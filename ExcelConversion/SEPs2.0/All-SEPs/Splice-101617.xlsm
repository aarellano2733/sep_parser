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Y14" i="17"/>
  <c r="Z14" i="17"/>
  <c r="AA14" i="17"/>
  <c r="AB14" i="17"/>
  <c r="C15" i="17"/>
  <c r="H15" i="17"/>
  <c r="M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Z9" i="17" s="1"/>
  <c r="I6" i="17" s="1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AB11" i="17" l="1"/>
  <c r="X14" i="17"/>
  <c r="X15" i="17"/>
  <c r="AB9" i="17"/>
  <c r="G5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R837" i="14"/>
  <c r="S837" i="14" s="1"/>
  <c r="Q837" i="14"/>
  <c r="P837" i="14"/>
  <c r="N837" i="14"/>
  <c r="O837" i="14" s="1"/>
  <c r="M837" i="14"/>
  <c r="L837" i="14"/>
  <c r="V836" i="14"/>
  <c r="W836" i="14" s="1"/>
  <c r="U836" i="14"/>
  <c r="T836" i="14"/>
  <c r="R836" i="14"/>
  <c r="S836" i="14" s="1"/>
  <c r="Q836" i="14"/>
  <c r="P836" i="14"/>
  <c r="N836" i="14"/>
  <c r="O836" i="14" s="1"/>
  <c r="M836" i="14"/>
  <c r="L836" i="14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U834" i="14"/>
  <c r="T834" i="14"/>
  <c r="R834" i="14"/>
  <c r="S834" i="14" s="1"/>
  <c r="Q834" i="14"/>
  <c r="P834" i="14"/>
  <c r="N834" i="14"/>
  <c r="O834" i="14" s="1"/>
  <c r="M834" i="14"/>
  <c r="L834" i="14"/>
  <c r="V833" i="14"/>
  <c r="W833" i="14" s="1"/>
  <c r="U833" i="14"/>
  <c r="T833" i="14"/>
  <c r="R833" i="14"/>
  <c r="S833" i="14" s="1"/>
  <c r="Q833" i="14"/>
  <c r="P833" i="14"/>
  <c r="N833" i="14"/>
  <c r="O833" i="14" s="1"/>
  <c r="M833" i="14"/>
  <c r="L833" i="14"/>
  <c r="V832" i="14"/>
  <c r="W832" i="14" s="1"/>
  <c r="U832" i="14"/>
  <c r="T832" i="14"/>
  <c r="R832" i="14"/>
  <c r="S832" i="14" s="1"/>
  <c r="Q832" i="14"/>
  <c r="P832" i="14"/>
  <c r="N832" i="14"/>
  <c r="O832" i="14" s="1"/>
  <c r="M832" i="14"/>
  <c r="L832" i="14"/>
  <c r="V831" i="14"/>
  <c r="W831" i="14" s="1"/>
  <c r="U831" i="14"/>
  <c r="T831" i="14"/>
  <c r="R831" i="14"/>
  <c r="S831" i="14" s="1"/>
  <c r="Q831" i="14"/>
  <c r="P831" i="14"/>
  <c r="N831" i="14"/>
  <c r="O831" i="14" s="1"/>
  <c r="M831" i="14"/>
  <c r="L831" i="14"/>
  <c r="V830" i="14"/>
  <c r="W830" i="14" s="1"/>
  <c r="U830" i="14"/>
  <c r="T830" i="14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Q829" i="14"/>
  <c r="P829" i="14"/>
  <c r="N829" i="14"/>
  <c r="O829" i="14" s="1"/>
  <c r="M829" i="14"/>
  <c r="L829" i="14"/>
  <c r="V828" i="14"/>
  <c r="W828" i="14" s="1"/>
  <c r="U828" i="14"/>
  <c r="T828" i="14"/>
  <c r="R828" i="14"/>
  <c r="S828" i="14" s="1"/>
  <c r="Q828" i="14"/>
  <c r="P828" i="14"/>
  <c r="N828" i="14"/>
  <c r="O828" i="14" s="1"/>
  <c r="M828" i="14"/>
  <c r="L828" i="14"/>
  <c r="V827" i="14"/>
  <c r="W827" i="14" s="1"/>
  <c r="U827" i="14"/>
  <c r="T827" i="14"/>
  <c r="R827" i="14"/>
  <c r="S827" i="14" s="1"/>
  <c r="Q827" i="14"/>
  <c r="P827" i="14"/>
  <c r="N827" i="14"/>
  <c r="O827" i="14" s="1"/>
  <c r="M827" i="14"/>
  <c r="L827" i="14"/>
  <c r="V826" i="14"/>
  <c r="W826" i="14" s="1"/>
  <c r="U826" i="14"/>
  <c r="T826" i="14"/>
  <c r="R826" i="14"/>
  <c r="S826" i="14" s="1"/>
  <c r="Q826" i="14"/>
  <c r="P826" i="14"/>
  <c r="N826" i="14"/>
  <c r="O826" i="14" s="1"/>
  <c r="M826" i="14"/>
  <c r="L826" i="14"/>
  <c r="V825" i="14"/>
  <c r="W825" i="14" s="1"/>
  <c r="U825" i="14"/>
  <c r="T825" i="14"/>
  <c r="R825" i="14"/>
  <c r="S825" i="14" s="1"/>
  <c r="Q825" i="14"/>
  <c r="P825" i="14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M824" i="14"/>
  <c r="L824" i="14"/>
  <c r="V823" i="14"/>
  <c r="W823" i="14" s="1"/>
  <c r="U823" i="14"/>
  <c r="T823" i="14"/>
  <c r="R823" i="14"/>
  <c r="S823" i="14" s="1"/>
  <c r="Q823" i="14"/>
  <c r="P823" i="14"/>
  <c r="N823" i="14"/>
  <c r="O823" i="14" s="1"/>
  <c r="M823" i="14"/>
  <c r="L823" i="14"/>
  <c r="V822" i="14"/>
  <c r="W822" i="14" s="1"/>
  <c r="U822" i="14"/>
  <c r="T822" i="14"/>
  <c r="R822" i="14"/>
  <c r="S822" i="14" s="1"/>
  <c r="Q822" i="14"/>
  <c r="P822" i="14"/>
  <c r="N822" i="14"/>
  <c r="O822" i="14" s="1"/>
  <c r="M822" i="14"/>
  <c r="L822" i="14"/>
  <c r="V821" i="14"/>
  <c r="W821" i="14" s="1"/>
  <c r="U821" i="14"/>
  <c r="T821" i="14"/>
  <c r="R821" i="14"/>
  <c r="S821" i="14" s="1"/>
  <c r="Q821" i="14"/>
  <c r="P821" i="14"/>
  <c r="N821" i="14"/>
  <c r="O821" i="14" s="1"/>
  <c r="M821" i="14"/>
  <c r="L821" i="14"/>
  <c r="V820" i="14"/>
  <c r="W820" i="14" s="1"/>
  <c r="U820" i="14"/>
  <c r="T820" i="14"/>
  <c r="R820" i="14"/>
  <c r="S820" i="14" s="1"/>
  <c r="Q820" i="14"/>
  <c r="P820" i="14"/>
  <c r="N820" i="14"/>
  <c r="O820" i="14" s="1"/>
  <c r="M820" i="14"/>
  <c r="L820" i="14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U818" i="14"/>
  <c r="T818" i="14"/>
  <c r="R818" i="14"/>
  <c r="S818" i="14" s="1"/>
  <c r="Q818" i="14"/>
  <c r="P818" i="14"/>
  <c r="N818" i="14"/>
  <c r="O818" i="14" s="1"/>
  <c r="M818" i="14"/>
  <c r="L818" i="14"/>
  <c r="V817" i="14"/>
  <c r="W817" i="14" s="1"/>
  <c r="U817" i="14"/>
  <c r="T817" i="14"/>
  <c r="R817" i="14"/>
  <c r="S817" i="14" s="1"/>
  <c r="Q817" i="14"/>
  <c r="P817" i="14"/>
  <c r="N817" i="14"/>
  <c r="O817" i="14" s="1"/>
  <c r="M817" i="14"/>
  <c r="L817" i="14"/>
  <c r="V816" i="14"/>
  <c r="W816" i="14" s="1"/>
  <c r="U816" i="14"/>
  <c r="T816" i="14"/>
  <c r="R816" i="14"/>
  <c r="S816" i="14" s="1"/>
  <c r="Q816" i="14"/>
  <c r="P816" i="14"/>
  <c r="N816" i="14"/>
  <c r="O816" i="14" s="1"/>
  <c r="M816" i="14"/>
  <c r="L816" i="14"/>
  <c r="V815" i="14"/>
  <c r="W815" i="14" s="1"/>
  <c r="U815" i="14"/>
  <c r="T815" i="14"/>
  <c r="R815" i="14"/>
  <c r="S815" i="14" s="1"/>
  <c r="Q815" i="14"/>
  <c r="P815" i="14"/>
  <c r="N815" i="14"/>
  <c r="O815" i="14" s="1"/>
  <c r="M815" i="14"/>
  <c r="L815" i="14"/>
  <c r="V814" i="14"/>
  <c r="W814" i="14" s="1"/>
  <c r="U814" i="14"/>
  <c r="T814" i="14"/>
  <c r="R814" i="14"/>
  <c r="S814" i="14" s="1"/>
  <c r="Q814" i="14"/>
  <c r="P814" i="14"/>
  <c r="N814" i="14"/>
  <c r="O814" i="14" s="1"/>
  <c r="M814" i="14"/>
  <c r="L814" i="14"/>
  <c r="V813" i="14"/>
  <c r="W813" i="14" s="1"/>
  <c r="U813" i="14"/>
  <c r="T813" i="14"/>
  <c r="R813" i="14"/>
  <c r="S813" i="14" s="1"/>
  <c r="Q813" i="14"/>
  <c r="P813" i="14"/>
  <c r="N813" i="14"/>
  <c r="O813" i="14" s="1"/>
  <c r="M813" i="14"/>
  <c r="L813" i="14"/>
  <c r="V812" i="14"/>
  <c r="W812" i="14" s="1"/>
  <c r="U812" i="14"/>
  <c r="T812" i="14"/>
  <c r="R812" i="14"/>
  <c r="S812" i="14" s="1"/>
  <c r="Q812" i="14"/>
  <c r="P812" i="14"/>
  <c r="N812" i="14"/>
  <c r="O812" i="14" s="1"/>
  <c r="M812" i="14"/>
  <c r="L812" i="14"/>
  <c r="V811" i="14"/>
  <c r="W811" i="14" s="1"/>
  <c r="U811" i="14"/>
  <c r="T811" i="14"/>
  <c r="R811" i="14"/>
  <c r="S811" i="14" s="1"/>
  <c r="Q811" i="14"/>
  <c r="P811" i="14"/>
  <c r="N811" i="14"/>
  <c r="O811" i="14" s="1"/>
  <c r="M811" i="14"/>
  <c r="L811" i="14"/>
  <c r="V810" i="14"/>
  <c r="W810" i="14" s="1"/>
  <c r="U810" i="14"/>
  <c r="T810" i="14"/>
  <c r="R810" i="14"/>
  <c r="S810" i="14" s="1"/>
  <c r="Q810" i="14"/>
  <c r="P810" i="14"/>
  <c r="N810" i="14"/>
  <c r="O810" i="14" s="1"/>
  <c r="M810" i="14"/>
  <c r="L810" i="14"/>
  <c r="V809" i="14"/>
  <c r="W809" i="14" s="1"/>
  <c r="U809" i="14"/>
  <c r="T809" i="14"/>
  <c r="R809" i="14"/>
  <c r="S809" i="14" s="1"/>
  <c r="Q809" i="14"/>
  <c r="P809" i="14"/>
  <c r="N809" i="14"/>
  <c r="O809" i="14" s="1"/>
  <c r="M809" i="14"/>
  <c r="L809" i="14"/>
  <c r="V808" i="14"/>
  <c r="W808" i="14" s="1"/>
  <c r="U808" i="14"/>
  <c r="T808" i="14"/>
  <c r="R808" i="14"/>
  <c r="S808" i="14" s="1"/>
  <c r="Q808" i="14"/>
  <c r="P808" i="14"/>
  <c r="N808" i="14"/>
  <c r="O808" i="14" s="1"/>
  <c r="M808" i="14"/>
  <c r="L808" i="14"/>
  <c r="V807" i="14"/>
  <c r="W807" i="14" s="1"/>
  <c r="U807" i="14"/>
  <c r="T807" i="14"/>
  <c r="R807" i="14"/>
  <c r="S807" i="14" s="1"/>
  <c r="Q807" i="14"/>
  <c r="P807" i="14"/>
  <c r="N807" i="14"/>
  <c r="O807" i="14" s="1"/>
  <c r="M807" i="14"/>
  <c r="L807" i="14"/>
  <c r="V806" i="14"/>
  <c r="W806" i="14" s="1"/>
  <c r="U806" i="14"/>
  <c r="T806" i="14"/>
  <c r="R806" i="14"/>
  <c r="S806" i="14" s="1"/>
  <c r="Q806" i="14"/>
  <c r="P806" i="14"/>
  <c r="N806" i="14"/>
  <c r="O806" i="14" s="1"/>
  <c r="M806" i="14"/>
  <c r="L806" i="14"/>
  <c r="V805" i="14"/>
  <c r="W805" i="14" s="1"/>
  <c r="U805" i="14"/>
  <c r="T805" i="14"/>
  <c r="R805" i="14"/>
  <c r="S805" i="14" s="1"/>
  <c r="Q805" i="14"/>
  <c r="P805" i="14"/>
  <c r="N805" i="14"/>
  <c r="O805" i="14" s="1"/>
  <c r="M805" i="14"/>
  <c r="L805" i="14"/>
  <c r="V804" i="14"/>
  <c r="W804" i="14" s="1"/>
  <c r="U804" i="14"/>
  <c r="T804" i="14"/>
  <c r="R804" i="14"/>
  <c r="S804" i="14" s="1"/>
  <c r="Q804" i="14"/>
  <c r="P804" i="14"/>
  <c r="N804" i="14"/>
  <c r="O804" i="14" s="1"/>
  <c r="M804" i="14"/>
  <c r="L804" i="14"/>
  <c r="V803" i="14"/>
  <c r="W803" i="14" s="1"/>
  <c r="U803" i="14"/>
  <c r="T803" i="14"/>
  <c r="R803" i="14"/>
  <c r="S803" i="14" s="1"/>
  <c r="Q803" i="14"/>
  <c r="P803" i="14"/>
  <c r="N803" i="14"/>
  <c r="O803" i="14" s="1"/>
  <c r="M803" i="14"/>
  <c r="L803" i="14"/>
  <c r="V802" i="14"/>
  <c r="W802" i="14" s="1"/>
  <c r="U802" i="14"/>
  <c r="T802" i="14"/>
  <c r="R802" i="14"/>
  <c r="S802" i="14" s="1"/>
  <c r="Q802" i="14"/>
  <c r="P802" i="14"/>
  <c r="N802" i="14"/>
  <c r="O802" i="14" s="1"/>
  <c r="M802" i="14"/>
  <c r="L802" i="14"/>
  <c r="V801" i="14"/>
  <c r="W801" i="14" s="1"/>
  <c r="U801" i="14"/>
  <c r="T801" i="14"/>
  <c r="R801" i="14"/>
  <c r="S801" i="14" s="1"/>
  <c r="Q801" i="14"/>
  <c r="P801" i="14"/>
  <c r="N801" i="14"/>
  <c r="O801" i="14" s="1"/>
  <c r="M801" i="14"/>
  <c r="L801" i="14"/>
  <c r="V800" i="14"/>
  <c r="W800" i="14" s="1"/>
  <c r="U800" i="14"/>
  <c r="T800" i="14"/>
  <c r="R800" i="14"/>
  <c r="S800" i="14" s="1"/>
  <c r="Q800" i="14"/>
  <c r="P800" i="14"/>
  <c r="N800" i="14"/>
  <c r="O800" i="14" s="1"/>
  <c r="M800" i="14"/>
  <c r="L800" i="14"/>
  <c r="V799" i="14"/>
  <c r="W799" i="14" s="1"/>
  <c r="U799" i="14"/>
  <c r="T799" i="14"/>
  <c r="R799" i="14"/>
  <c r="S799" i="14" s="1"/>
  <c r="Q799" i="14"/>
  <c r="P799" i="14"/>
  <c r="N799" i="14"/>
  <c r="O799" i="14" s="1"/>
  <c r="M799" i="14"/>
  <c r="L799" i="14"/>
  <c r="V798" i="14"/>
  <c r="W798" i="14" s="1"/>
  <c r="U798" i="14"/>
  <c r="T798" i="14"/>
  <c r="R798" i="14"/>
  <c r="S798" i="14" s="1"/>
  <c r="Q798" i="14"/>
  <c r="P798" i="14"/>
  <c r="N798" i="14"/>
  <c r="O798" i="14" s="1"/>
  <c r="M798" i="14"/>
  <c r="L798" i="14"/>
  <c r="V797" i="14"/>
  <c r="W797" i="14" s="1"/>
  <c r="U797" i="14"/>
  <c r="T797" i="14"/>
  <c r="R797" i="14"/>
  <c r="S797" i="14" s="1"/>
  <c r="Q797" i="14"/>
  <c r="P797" i="14"/>
  <c r="N797" i="14"/>
  <c r="O797" i="14" s="1"/>
  <c r="M797" i="14"/>
  <c r="L797" i="14"/>
  <c r="V796" i="14"/>
  <c r="W796" i="14" s="1"/>
  <c r="U796" i="14"/>
  <c r="T796" i="14"/>
  <c r="R796" i="14"/>
  <c r="S796" i="14" s="1"/>
  <c r="Q796" i="14"/>
  <c r="P796" i="14"/>
  <c r="N796" i="14"/>
  <c r="O796" i="14" s="1"/>
  <c r="M796" i="14"/>
  <c r="L796" i="14"/>
  <c r="V795" i="14"/>
  <c r="W795" i="14" s="1"/>
  <c r="U795" i="14"/>
  <c r="T795" i="14"/>
  <c r="R795" i="14"/>
  <c r="S795" i="14" s="1"/>
  <c r="Q795" i="14"/>
  <c r="P795" i="14"/>
  <c r="N795" i="14"/>
  <c r="O795" i="14" s="1"/>
  <c r="M795" i="14"/>
  <c r="L795" i="14"/>
  <c r="V794" i="14"/>
  <c r="W794" i="14" s="1"/>
  <c r="U794" i="14"/>
  <c r="T794" i="14"/>
  <c r="R794" i="14"/>
  <c r="S794" i="14" s="1"/>
  <c r="Q794" i="14"/>
  <c r="P794" i="14"/>
  <c r="N794" i="14"/>
  <c r="O794" i="14" s="1"/>
  <c r="M794" i="14"/>
  <c r="L794" i="14"/>
  <c r="V793" i="14"/>
  <c r="W793" i="14" s="1"/>
  <c r="U793" i="14"/>
  <c r="T793" i="14"/>
  <c r="R793" i="14"/>
  <c r="S793" i="14" s="1"/>
  <c r="Q793" i="14"/>
  <c r="P793" i="14"/>
  <c r="N793" i="14"/>
  <c r="O793" i="14" s="1"/>
  <c r="M793" i="14"/>
  <c r="L793" i="14"/>
  <c r="V792" i="14"/>
  <c r="W792" i="14" s="1"/>
  <c r="U792" i="14"/>
  <c r="T792" i="14"/>
  <c r="R792" i="14"/>
  <c r="S792" i="14" s="1"/>
  <c r="Q792" i="14"/>
  <c r="P792" i="14"/>
  <c r="N792" i="14"/>
  <c r="O792" i="14" s="1"/>
  <c r="M792" i="14"/>
  <c r="L792" i="14"/>
  <c r="V791" i="14"/>
  <c r="W791" i="14" s="1"/>
  <c r="U791" i="14"/>
  <c r="T791" i="14"/>
  <c r="R791" i="14"/>
  <c r="S791" i="14" s="1"/>
  <c r="Q791" i="14"/>
  <c r="P791" i="14"/>
  <c r="N791" i="14"/>
  <c r="O791" i="14" s="1"/>
  <c r="M791" i="14"/>
  <c r="L791" i="14"/>
  <c r="V790" i="14"/>
  <c r="W790" i="14" s="1"/>
  <c r="U790" i="14"/>
  <c r="T790" i="14"/>
  <c r="R790" i="14"/>
  <c r="S790" i="14" s="1"/>
  <c r="Q790" i="14"/>
  <c r="P790" i="14"/>
  <c r="N790" i="14"/>
  <c r="O790" i="14" s="1"/>
  <c r="M790" i="14"/>
  <c r="L790" i="14"/>
  <c r="V789" i="14"/>
  <c r="W789" i="14" s="1"/>
  <c r="U789" i="14"/>
  <c r="T789" i="14"/>
  <c r="R789" i="14"/>
  <c r="S789" i="14" s="1"/>
  <c r="Q789" i="14"/>
  <c r="P789" i="14"/>
  <c r="N789" i="14"/>
  <c r="O789" i="14" s="1"/>
  <c r="M789" i="14"/>
  <c r="L789" i="14"/>
  <c r="V788" i="14"/>
  <c r="W788" i="14" s="1"/>
  <c r="U788" i="14"/>
  <c r="T788" i="14"/>
  <c r="R788" i="14"/>
  <c r="S788" i="14" s="1"/>
  <c r="Q788" i="14"/>
  <c r="P788" i="14"/>
  <c r="N788" i="14"/>
  <c r="O788" i="14" s="1"/>
  <c r="M788" i="14"/>
  <c r="L788" i="14"/>
  <c r="V787" i="14"/>
  <c r="W787" i="14" s="1"/>
  <c r="U787" i="14"/>
  <c r="T787" i="14"/>
  <c r="R787" i="14"/>
  <c r="S787" i="14" s="1"/>
  <c r="Q787" i="14"/>
  <c r="P787" i="14"/>
  <c r="N787" i="14"/>
  <c r="O787" i="14" s="1"/>
  <c r="M787" i="14"/>
  <c r="L787" i="14"/>
  <c r="V786" i="14"/>
  <c r="W786" i="14" s="1"/>
  <c r="U786" i="14"/>
  <c r="T786" i="14"/>
  <c r="R786" i="14"/>
  <c r="S786" i="14" s="1"/>
  <c r="Q786" i="14"/>
  <c r="P786" i="14"/>
  <c r="N786" i="14"/>
  <c r="O786" i="14" s="1"/>
  <c r="M786" i="14"/>
  <c r="L786" i="14"/>
  <c r="V785" i="14"/>
  <c r="W785" i="14" s="1"/>
  <c r="U785" i="14"/>
  <c r="T785" i="14"/>
  <c r="R785" i="14"/>
  <c r="S785" i="14" s="1"/>
  <c r="Q785" i="14"/>
  <c r="P785" i="14"/>
  <c r="N785" i="14"/>
  <c r="O785" i="14" s="1"/>
  <c r="M785" i="14"/>
  <c r="L785" i="14"/>
  <c r="V784" i="14"/>
  <c r="W784" i="14" s="1"/>
  <c r="U784" i="14"/>
  <c r="T784" i="14"/>
  <c r="R784" i="14"/>
  <c r="S784" i="14" s="1"/>
  <c r="Q784" i="14"/>
  <c r="P784" i="14"/>
  <c r="N784" i="14"/>
  <c r="O784" i="14" s="1"/>
  <c r="M784" i="14"/>
  <c r="L784" i="14"/>
  <c r="V783" i="14"/>
  <c r="W783" i="14" s="1"/>
  <c r="U783" i="14"/>
  <c r="T783" i="14"/>
  <c r="R783" i="14"/>
  <c r="S783" i="14" s="1"/>
  <c r="Q783" i="14"/>
  <c r="P783" i="14"/>
  <c r="N783" i="14"/>
  <c r="O783" i="14" s="1"/>
  <c r="M783" i="14"/>
  <c r="L783" i="14"/>
  <c r="V782" i="14"/>
  <c r="W782" i="14" s="1"/>
  <c r="U782" i="14"/>
  <c r="T782" i="14"/>
  <c r="R782" i="14"/>
  <c r="S782" i="14" s="1"/>
  <c r="Q782" i="14"/>
  <c r="P782" i="14"/>
  <c r="N782" i="14"/>
  <c r="O782" i="14" s="1"/>
  <c r="M782" i="14"/>
  <c r="L782" i="14"/>
  <c r="V781" i="14"/>
  <c r="W781" i="14" s="1"/>
  <c r="U781" i="14"/>
  <c r="T781" i="14"/>
  <c r="R781" i="14"/>
  <c r="S781" i="14" s="1"/>
  <c r="Q781" i="14"/>
  <c r="P781" i="14"/>
  <c r="N781" i="14"/>
  <c r="O781" i="14" s="1"/>
  <c r="M781" i="14"/>
  <c r="L781" i="14"/>
  <c r="V780" i="14"/>
  <c r="W780" i="14" s="1"/>
  <c r="U780" i="14"/>
  <c r="T780" i="14"/>
  <c r="R780" i="14"/>
  <c r="S780" i="14" s="1"/>
  <c r="Q780" i="14"/>
  <c r="P780" i="14"/>
  <c r="N780" i="14"/>
  <c r="O780" i="14" s="1"/>
  <c r="M780" i="14"/>
  <c r="L780" i="14"/>
  <c r="V779" i="14"/>
  <c r="W779" i="14" s="1"/>
  <c r="U779" i="14"/>
  <c r="T779" i="14"/>
  <c r="R779" i="14"/>
  <c r="S779" i="14" s="1"/>
  <c r="Q779" i="14"/>
  <c r="P779" i="14"/>
  <c r="N779" i="14"/>
  <c r="O779" i="14" s="1"/>
  <c r="M779" i="14"/>
  <c r="L779" i="14"/>
  <c r="V778" i="14"/>
  <c r="W778" i="14" s="1"/>
  <c r="U778" i="14"/>
  <c r="T778" i="14"/>
  <c r="R778" i="14"/>
  <c r="S778" i="14" s="1"/>
  <c r="Q778" i="14"/>
  <c r="P778" i="14"/>
  <c r="N778" i="14"/>
  <c r="O778" i="14" s="1"/>
  <c r="M778" i="14"/>
  <c r="L778" i="14"/>
  <c r="V777" i="14"/>
  <c r="W777" i="14" s="1"/>
  <c r="U777" i="14"/>
  <c r="T777" i="14"/>
  <c r="R777" i="14"/>
  <c r="S777" i="14" s="1"/>
  <c r="Q777" i="14"/>
  <c r="P777" i="14"/>
  <c r="N777" i="14"/>
  <c r="O777" i="14" s="1"/>
  <c r="M777" i="14"/>
  <c r="L777" i="14"/>
  <c r="V776" i="14"/>
  <c r="W776" i="14" s="1"/>
  <c r="U776" i="14"/>
  <c r="T776" i="14"/>
  <c r="R776" i="14"/>
  <c r="S776" i="14" s="1"/>
  <c r="Q776" i="14"/>
  <c r="P776" i="14"/>
  <c r="N776" i="14"/>
  <c r="O776" i="14" s="1"/>
  <c r="M776" i="14"/>
  <c r="L776" i="14"/>
  <c r="V775" i="14"/>
  <c r="W775" i="14" s="1"/>
  <c r="U775" i="14"/>
  <c r="T775" i="14"/>
  <c r="R775" i="14"/>
  <c r="S775" i="14" s="1"/>
  <c r="Q775" i="14"/>
  <c r="P775" i="14"/>
  <c r="N775" i="14"/>
  <c r="O775" i="14" s="1"/>
  <c r="M775" i="14"/>
  <c r="L775" i="14"/>
  <c r="V774" i="14"/>
  <c r="W774" i="14" s="1"/>
  <c r="U774" i="14"/>
  <c r="T774" i="14"/>
  <c r="R774" i="14"/>
  <c r="S774" i="14" s="1"/>
  <c r="Q774" i="14"/>
  <c r="P774" i="14"/>
  <c r="N774" i="14"/>
  <c r="O774" i="14" s="1"/>
  <c r="M774" i="14"/>
  <c r="L774" i="14"/>
  <c r="V773" i="14"/>
  <c r="W773" i="14" s="1"/>
  <c r="U773" i="14"/>
  <c r="T773" i="14"/>
  <c r="R773" i="14"/>
  <c r="S773" i="14" s="1"/>
  <c r="Q773" i="14"/>
  <c r="P773" i="14"/>
  <c r="N773" i="14"/>
  <c r="O773" i="14" s="1"/>
  <c r="M773" i="14"/>
  <c r="L773" i="14"/>
  <c r="V772" i="14"/>
  <c r="W772" i="14" s="1"/>
  <c r="U772" i="14"/>
  <c r="T772" i="14"/>
  <c r="R772" i="14"/>
  <c r="S772" i="14" s="1"/>
  <c r="Q772" i="14"/>
  <c r="P772" i="14"/>
  <c r="N772" i="14"/>
  <c r="O772" i="14" s="1"/>
  <c r="M772" i="14"/>
  <c r="L772" i="14"/>
  <c r="V771" i="14"/>
  <c r="W771" i="14" s="1"/>
  <c r="U771" i="14"/>
  <c r="T771" i="14"/>
  <c r="R771" i="14"/>
  <c r="S771" i="14" s="1"/>
  <c r="Q771" i="14"/>
  <c r="P771" i="14"/>
  <c r="N771" i="14"/>
  <c r="O771" i="14" s="1"/>
  <c r="M771" i="14"/>
  <c r="L771" i="14"/>
  <c r="V770" i="14"/>
  <c r="W770" i="14" s="1"/>
  <c r="U770" i="14"/>
  <c r="T770" i="14"/>
  <c r="R770" i="14"/>
  <c r="S770" i="14" s="1"/>
  <c r="Q770" i="14"/>
  <c r="P770" i="14"/>
  <c r="N770" i="14"/>
  <c r="O770" i="14" s="1"/>
  <c r="M770" i="14"/>
  <c r="L770" i="14"/>
  <c r="V769" i="14"/>
  <c r="W769" i="14" s="1"/>
  <c r="U769" i="14"/>
  <c r="T769" i="14"/>
  <c r="R769" i="14"/>
  <c r="S769" i="14" s="1"/>
  <c r="Q769" i="14"/>
  <c r="P769" i="14"/>
  <c r="N769" i="14"/>
  <c r="O769" i="14" s="1"/>
  <c r="M769" i="14"/>
  <c r="L769" i="14"/>
  <c r="V768" i="14"/>
  <c r="W768" i="14" s="1"/>
  <c r="U768" i="14"/>
  <c r="T768" i="14"/>
  <c r="R768" i="14"/>
  <c r="S768" i="14" s="1"/>
  <c r="Q768" i="14"/>
  <c r="P768" i="14"/>
  <c r="N768" i="14"/>
  <c r="O768" i="14" s="1"/>
  <c r="M768" i="14"/>
  <c r="L768" i="14"/>
  <c r="V767" i="14"/>
  <c r="W767" i="14" s="1"/>
  <c r="U767" i="14"/>
  <c r="T767" i="14"/>
  <c r="R767" i="14"/>
  <c r="S767" i="14" s="1"/>
  <c r="Q767" i="14"/>
  <c r="P767" i="14"/>
  <c r="N767" i="14"/>
  <c r="O767" i="14" s="1"/>
  <c r="M767" i="14"/>
  <c r="L767" i="14"/>
  <c r="V766" i="14"/>
  <c r="W766" i="14" s="1"/>
  <c r="U766" i="14"/>
  <c r="T766" i="14"/>
  <c r="R766" i="14"/>
  <c r="S766" i="14" s="1"/>
  <c r="Q766" i="14"/>
  <c r="P766" i="14"/>
  <c r="N766" i="14"/>
  <c r="O766" i="14" s="1"/>
  <c r="M766" i="14"/>
  <c r="L766" i="14"/>
  <c r="V765" i="14"/>
  <c r="W765" i="14" s="1"/>
  <c r="U765" i="14"/>
  <c r="T765" i="14"/>
  <c r="R765" i="14"/>
  <c r="S765" i="14" s="1"/>
  <c r="Q765" i="14"/>
  <c r="P765" i="14"/>
  <c r="N765" i="14"/>
  <c r="O765" i="14" s="1"/>
  <c r="M765" i="14"/>
  <c r="L765" i="14"/>
  <c r="V764" i="14"/>
  <c r="W764" i="14" s="1"/>
  <c r="U764" i="14"/>
  <c r="T764" i="14"/>
  <c r="R764" i="14"/>
  <c r="S764" i="14" s="1"/>
  <c r="Q764" i="14"/>
  <c r="P764" i="14"/>
  <c r="N764" i="14"/>
  <c r="O764" i="14" s="1"/>
  <c r="M764" i="14"/>
  <c r="L764" i="14"/>
  <c r="V763" i="14"/>
  <c r="W763" i="14" s="1"/>
  <c r="U763" i="14"/>
  <c r="T763" i="14"/>
  <c r="R763" i="14"/>
  <c r="S763" i="14" s="1"/>
  <c r="Q763" i="14"/>
  <c r="P763" i="14"/>
  <c r="N763" i="14"/>
  <c r="O763" i="14" s="1"/>
  <c r="M763" i="14"/>
  <c r="L763" i="14"/>
  <c r="V762" i="14"/>
  <c r="W762" i="14" s="1"/>
  <c r="U762" i="14"/>
  <c r="T762" i="14"/>
  <c r="R762" i="14"/>
  <c r="S762" i="14" s="1"/>
  <c r="Q762" i="14"/>
  <c r="P762" i="14"/>
  <c r="N762" i="14"/>
  <c r="O762" i="14" s="1"/>
  <c r="M762" i="14"/>
  <c r="L762" i="14"/>
  <c r="V761" i="14"/>
  <c r="W761" i="14" s="1"/>
  <c r="U761" i="14"/>
  <c r="T761" i="14"/>
  <c r="R761" i="14"/>
  <c r="S761" i="14" s="1"/>
  <c r="Q761" i="14"/>
  <c r="P761" i="14"/>
  <c r="N761" i="14"/>
  <c r="O761" i="14" s="1"/>
  <c r="M761" i="14"/>
  <c r="L761" i="14"/>
  <c r="V760" i="14"/>
  <c r="W760" i="14" s="1"/>
  <c r="U760" i="14"/>
  <c r="T760" i="14"/>
  <c r="R760" i="14"/>
  <c r="S760" i="14" s="1"/>
  <c r="Q760" i="14"/>
  <c r="P760" i="14"/>
  <c r="N760" i="14"/>
  <c r="O760" i="14" s="1"/>
  <c r="M760" i="14"/>
  <c r="L760" i="14"/>
  <c r="V759" i="14"/>
  <c r="W759" i="14" s="1"/>
  <c r="U759" i="14"/>
  <c r="T759" i="14"/>
  <c r="R759" i="14"/>
  <c r="S759" i="14" s="1"/>
  <c r="Q759" i="14"/>
  <c r="P759" i="14"/>
  <c r="N759" i="14"/>
  <c r="O759" i="14" s="1"/>
  <c r="M759" i="14"/>
  <c r="L759" i="14"/>
  <c r="V758" i="14"/>
  <c r="W758" i="14" s="1"/>
  <c r="U758" i="14"/>
  <c r="T758" i="14"/>
  <c r="R758" i="14"/>
  <c r="S758" i="14" s="1"/>
  <c r="Q758" i="14"/>
  <c r="P758" i="14"/>
  <c r="N758" i="14"/>
  <c r="O758" i="14" s="1"/>
  <c r="M758" i="14"/>
  <c r="L758" i="14"/>
  <c r="V757" i="14"/>
  <c r="W757" i="14" s="1"/>
  <c r="U757" i="14"/>
  <c r="T757" i="14"/>
  <c r="R757" i="14"/>
  <c r="S757" i="14" s="1"/>
  <c r="Q757" i="14"/>
  <c r="P757" i="14"/>
  <c r="N757" i="14"/>
  <c r="O757" i="14" s="1"/>
  <c r="M757" i="14"/>
  <c r="L757" i="14"/>
  <c r="V756" i="14"/>
  <c r="W756" i="14" s="1"/>
  <c r="U756" i="14"/>
  <c r="T756" i="14"/>
  <c r="R756" i="14"/>
  <c r="S756" i="14" s="1"/>
  <c r="Q756" i="14"/>
  <c r="P756" i="14"/>
  <c r="N756" i="14"/>
  <c r="O756" i="14" s="1"/>
  <c r="M756" i="14"/>
  <c r="L756" i="14"/>
  <c r="V755" i="14"/>
  <c r="W755" i="14" s="1"/>
  <c r="U755" i="14"/>
  <c r="T755" i="14"/>
  <c r="R755" i="14"/>
  <c r="S755" i="14" s="1"/>
  <c r="Q755" i="14"/>
  <c r="P755" i="14"/>
  <c r="N755" i="14"/>
  <c r="O755" i="14" s="1"/>
  <c r="M755" i="14"/>
  <c r="L755" i="14"/>
  <c r="V754" i="14"/>
  <c r="W754" i="14" s="1"/>
  <c r="U754" i="14"/>
  <c r="T754" i="14"/>
  <c r="R754" i="14"/>
  <c r="S754" i="14" s="1"/>
  <c r="Q754" i="14"/>
  <c r="P754" i="14"/>
  <c r="N754" i="14"/>
  <c r="O754" i="14" s="1"/>
  <c r="M754" i="14"/>
  <c r="L754" i="14"/>
  <c r="V753" i="14"/>
  <c r="W753" i="14" s="1"/>
  <c r="U753" i="14"/>
  <c r="T753" i="14"/>
  <c r="R753" i="14"/>
  <c r="S753" i="14" s="1"/>
  <c r="Q753" i="14"/>
  <c r="P753" i="14"/>
  <c r="N753" i="14"/>
  <c r="O753" i="14" s="1"/>
  <c r="M753" i="14"/>
  <c r="L753" i="14"/>
  <c r="V752" i="14"/>
  <c r="W752" i="14" s="1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W733" i="14"/>
  <c r="V733" i="14"/>
  <c r="T733" i="14"/>
  <c r="U733" i="14" s="1"/>
  <c r="R733" i="14"/>
  <c r="S733" i="14" s="1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W729" i="14"/>
  <c r="V729" i="14"/>
  <c r="T729" i="14"/>
  <c r="U729" i="14" s="1"/>
  <c r="R729" i="14"/>
  <c r="S729" i="14" s="1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N728" i="14"/>
  <c r="O728" i="14" s="1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W725" i="14"/>
  <c r="V725" i="14"/>
  <c r="T725" i="14"/>
  <c r="U725" i="14" s="1"/>
  <c r="R725" i="14"/>
  <c r="S725" i="14" s="1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O723" i="14"/>
  <c r="N723" i="14"/>
  <c r="L723" i="14"/>
  <c r="M723" i="14" s="1"/>
  <c r="V722" i="14"/>
  <c r="W722" i="14" s="1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S720" i="14"/>
  <c r="R720" i="14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O719" i="14"/>
  <c r="N719" i="14"/>
  <c r="L719" i="14"/>
  <c r="M719" i="14" s="1"/>
  <c r="V718" i="14"/>
  <c r="W718" i="14" s="1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R717" i="14"/>
  <c r="S717" i="14" s="1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O715" i="14"/>
  <c r="N715" i="14"/>
  <c r="L715" i="14"/>
  <c r="M715" i="14" s="1"/>
  <c r="V714" i="14"/>
  <c r="W714" i="14" s="1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S712" i="14"/>
  <c r="R712" i="14"/>
  <c r="P712" i="14"/>
  <c r="Q712" i="14" s="1"/>
  <c r="N712" i="14"/>
  <c r="O712" i="14" s="1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S710" i="14"/>
  <c r="R710" i="14"/>
  <c r="P710" i="14"/>
  <c r="Q710" i="14" s="1"/>
  <c r="N710" i="14"/>
  <c r="O710" i="14" s="1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V708" i="14"/>
  <c r="W708" i="14" s="1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S706" i="14"/>
  <c r="R706" i="14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O705" i="14"/>
  <c r="N705" i="14"/>
  <c r="L705" i="14"/>
  <c r="M705" i="14" s="1"/>
  <c r="V704" i="14"/>
  <c r="W704" i="14" s="1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R703" i="14"/>
  <c r="S703" i="14" s="1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O701" i="14"/>
  <c r="N701" i="14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W699" i="14"/>
  <c r="V699" i="14"/>
  <c r="T699" i="14"/>
  <c r="U699" i="14" s="1"/>
  <c r="R699" i="14"/>
  <c r="S699" i="14" s="1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N698" i="14"/>
  <c r="O698" i="14" s="1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W695" i="14"/>
  <c r="V695" i="14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S694" i="14"/>
  <c r="R694" i="14"/>
  <c r="P694" i="14"/>
  <c r="Q694" i="14" s="1"/>
  <c r="N694" i="14"/>
  <c r="O694" i="14" s="1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V692" i="14"/>
  <c r="W692" i="14" s="1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S690" i="14"/>
  <c r="R690" i="14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O689" i="14"/>
  <c r="N689" i="14"/>
  <c r="L689" i="14"/>
  <c r="M689" i="14" s="1"/>
  <c r="V688" i="14"/>
  <c r="W688" i="14" s="1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R687" i="14"/>
  <c r="S687" i="14" s="1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O685" i="14"/>
  <c r="N685" i="14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W683" i="14"/>
  <c r="V683" i="14"/>
  <c r="T683" i="14"/>
  <c r="U683" i="14" s="1"/>
  <c r="R683" i="14"/>
  <c r="S683" i="14" s="1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N682" i="14"/>
  <c r="O682" i="14" s="1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W679" i="14"/>
  <c r="V679" i="14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S678" i="14"/>
  <c r="R678" i="14"/>
  <c r="P678" i="14"/>
  <c r="Q678" i="14" s="1"/>
  <c r="N678" i="14"/>
  <c r="O678" i="14" s="1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V676" i="14"/>
  <c r="W676" i="14" s="1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S674" i="14"/>
  <c r="R674" i="14"/>
  <c r="P674" i="14"/>
  <c r="Q674" i="14" s="1"/>
  <c r="O674" i="14"/>
  <c r="N674" i="14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U541" i="14"/>
  <c r="T541" i="14"/>
  <c r="R541" i="14"/>
  <c r="S541" i="14" s="1"/>
  <c r="P541" i="14"/>
  <c r="Q541" i="14" s="1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L540" i="14"/>
  <c r="M540" i="14" s="1"/>
  <c r="V539" i="14"/>
  <c r="W539" i="14" s="1"/>
  <c r="T539" i="14"/>
  <c r="U539" i="14" s="1"/>
  <c r="R539" i="14"/>
  <c r="S539" i="14" s="1"/>
  <c r="Q539" i="14"/>
  <c r="P539" i="14"/>
  <c r="N539" i="14"/>
  <c r="O539" i="14" s="1"/>
  <c r="M539" i="14"/>
  <c r="L539" i="14"/>
  <c r="V538" i="14"/>
  <c r="W538" i="14" s="1"/>
  <c r="T538" i="14"/>
  <c r="U538" i="14" s="1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P537" i="14"/>
  <c r="Q537" i="14" s="1"/>
  <c r="N537" i="14"/>
  <c r="O537" i="14" s="1"/>
  <c r="L537" i="14"/>
  <c r="M537" i="14" s="1"/>
  <c r="V536" i="14"/>
  <c r="W536" i="14" s="1"/>
  <c r="U536" i="14"/>
  <c r="T536" i="14"/>
  <c r="R536" i="14"/>
  <c r="S536" i="14" s="1"/>
  <c r="Q536" i="14"/>
  <c r="P536" i="14"/>
  <c r="N536" i="14"/>
  <c r="O536" i="14" s="1"/>
  <c r="L536" i="14"/>
  <c r="M536" i="14" s="1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T534" i="14"/>
  <c r="U534" i="14" s="1"/>
  <c r="R534" i="14"/>
  <c r="S534" i="14" s="1"/>
  <c r="P534" i="14"/>
  <c r="Q534" i="14" s="1"/>
  <c r="N534" i="14"/>
  <c r="O534" i="14" s="1"/>
  <c r="M534" i="14"/>
  <c r="L534" i="14"/>
  <c r="V533" i="14"/>
  <c r="W533" i="14" s="1"/>
  <c r="U533" i="14"/>
  <c r="T533" i="14"/>
  <c r="R533" i="14"/>
  <c r="S533" i="14" s="1"/>
  <c r="P533" i="14"/>
  <c r="Q533" i="14" s="1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L532" i="14"/>
  <c r="M532" i="14" s="1"/>
  <c r="V531" i="14"/>
  <c r="W531" i="14" s="1"/>
  <c r="T531" i="14"/>
  <c r="U531" i="14" s="1"/>
  <c r="R531" i="14"/>
  <c r="S531" i="14" s="1"/>
  <c r="Q531" i="14"/>
  <c r="P531" i="14"/>
  <c r="N531" i="14"/>
  <c r="O531" i="14" s="1"/>
  <c r="M531" i="14"/>
  <c r="L531" i="14"/>
  <c r="V530" i="14"/>
  <c r="W530" i="14" s="1"/>
  <c r="T530" i="14"/>
  <c r="U530" i="14" s="1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P529" i="14"/>
  <c r="Q529" i="14" s="1"/>
  <c r="N529" i="14"/>
  <c r="O529" i="14" s="1"/>
  <c r="L529" i="14"/>
  <c r="M529" i="14" s="1"/>
  <c r="V528" i="14"/>
  <c r="W528" i="14" s="1"/>
  <c r="U528" i="14"/>
  <c r="T528" i="14"/>
  <c r="R528" i="14"/>
  <c r="S528" i="14" s="1"/>
  <c r="Q528" i="14"/>
  <c r="P528" i="14"/>
  <c r="N528" i="14"/>
  <c r="O528" i="14" s="1"/>
  <c r="L528" i="14"/>
  <c r="M528" i="14" s="1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T526" i="14"/>
  <c r="U526" i="14" s="1"/>
  <c r="R526" i="14"/>
  <c r="S526" i="14" s="1"/>
  <c r="P526" i="14"/>
  <c r="Q526" i="14" s="1"/>
  <c r="N526" i="14"/>
  <c r="O526" i="14" s="1"/>
  <c r="M526" i="14"/>
  <c r="L526" i="14"/>
  <c r="V525" i="14"/>
  <c r="W525" i="14" s="1"/>
  <c r="U525" i="14"/>
  <c r="T525" i="14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Q524" i="14"/>
  <c r="P524" i="14"/>
  <c r="N524" i="14"/>
  <c r="O524" i="14" s="1"/>
  <c r="L524" i="14"/>
  <c r="M524" i="14" s="1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U521" i="14"/>
  <c r="T521" i="14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Q520" i="14"/>
  <c r="P520" i="14"/>
  <c r="N520" i="14"/>
  <c r="O520" i="14" s="1"/>
  <c r="L520" i="14"/>
  <c r="M520" i="14" s="1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T518" i="14"/>
  <c r="U518" i="14" s="1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Q516" i="14"/>
  <c r="P516" i="14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M515" i="14"/>
  <c r="L515" i="14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U513" i="14"/>
  <c r="T513" i="14"/>
  <c r="R513" i="14"/>
  <c r="S513" i="14" s="1"/>
  <c r="P513" i="14"/>
  <c r="Q513" i="14" s="1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M511" i="14"/>
  <c r="L511" i="14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U509" i="14"/>
  <c r="T509" i="14"/>
  <c r="R509" i="14"/>
  <c r="S509" i="14" s="1"/>
  <c r="P509" i="14"/>
  <c r="Q509" i="14" s="1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L508" i="14"/>
  <c r="M508" i="14" s="1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U505" i="14"/>
  <c r="T505" i="14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Q504" i="14"/>
  <c r="P504" i="14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M503" i="14"/>
  <c r="L503" i="14"/>
  <c r="V502" i="14"/>
  <c r="W502" i="14" s="1"/>
  <c r="T502" i="14"/>
  <c r="U502" i="14" s="1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Q500" i="14"/>
  <c r="P500" i="14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M499" i="14"/>
  <c r="L499" i="14"/>
  <c r="V498" i="14"/>
  <c r="W498" i="14" s="1"/>
  <c r="T498" i="14"/>
  <c r="U498" i="14" s="1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P497" i="14"/>
  <c r="Q497" i="14" s="1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M495" i="14"/>
  <c r="L495" i="14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U493" i="14"/>
  <c r="T493" i="14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M196" i="14"/>
  <c r="L196" i="14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U194" i="14"/>
  <c r="T194" i="14"/>
  <c r="R194" i="14"/>
  <c r="S194" i="14" s="1"/>
  <c r="Q194" i="14"/>
  <c r="P194" i="14"/>
  <c r="N194" i="14"/>
  <c r="O194" i="14" s="1"/>
  <c r="L194" i="14"/>
  <c r="M194" i="14" s="1"/>
  <c r="V193" i="14"/>
  <c r="W193" i="14" s="1"/>
  <c r="T193" i="14"/>
  <c r="U193" i="14" s="1"/>
  <c r="R193" i="14"/>
  <c r="S193" i="14" s="1"/>
  <c r="Q193" i="14"/>
  <c r="P193" i="14"/>
  <c r="N193" i="14"/>
  <c r="O193" i="14" s="1"/>
  <c r="L193" i="14"/>
  <c r="M193" i="14" s="1"/>
  <c r="V192" i="14"/>
  <c r="W192" i="14" s="1"/>
  <c r="T192" i="14"/>
  <c r="U192" i="14" s="1"/>
  <c r="R192" i="14"/>
  <c r="S192" i="14" s="1"/>
  <c r="P192" i="14"/>
  <c r="Q192" i="14" s="1"/>
  <c r="N192" i="14"/>
  <c r="O192" i="14" s="1"/>
  <c r="M192" i="14"/>
  <c r="L192" i="14"/>
  <c r="V191" i="14"/>
  <c r="W191" i="14" s="1"/>
  <c r="U191" i="14"/>
  <c r="T191" i="14"/>
  <c r="R191" i="14"/>
  <c r="S191" i="14" s="1"/>
  <c r="P191" i="14"/>
  <c r="Q191" i="14" s="1"/>
  <c r="N191" i="14"/>
  <c r="O191" i="14" s="1"/>
  <c r="L191" i="14"/>
  <c r="M191" i="14" s="1"/>
  <c r="V190" i="14"/>
  <c r="W190" i="14" s="1"/>
  <c r="U190" i="14"/>
  <c r="T190" i="14"/>
  <c r="R190" i="14"/>
  <c r="S190" i="14" s="1"/>
  <c r="P190" i="14"/>
  <c r="Q190" i="14" s="1"/>
  <c r="N190" i="14"/>
  <c r="O190" i="14" s="1"/>
  <c r="L190" i="14"/>
  <c r="M190" i="14" s="1"/>
  <c r="V189" i="14"/>
  <c r="W189" i="14" s="1"/>
  <c r="T189" i="14"/>
  <c r="U189" i="14" s="1"/>
  <c r="R189" i="14"/>
  <c r="S189" i="14" s="1"/>
  <c r="Q189" i="14"/>
  <c r="P189" i="14"/>
  <c r="N189" i="14"/>
  <c r="O189" i="14" s="1"/>
  <c r="M189" i="14"/>
  <c r="L189" i="14"/>
  <c r="V188" i="14"/>
  <c r="W188" i="14" s="1"/>
  <c r="T188" i="14"/>
  <c r="U188" i="14" s="1"/>
  <c r="R188" i="14"/>
  <c r="S188" i="14" s="1"/>
  <c r="P188" i="14"/>
  <c r="Q188" i="14" s="1"/>
  <c r="N188" i="14"/>
  <c r="O188" i="14" s="1"/>
  <c r="M188" i="14"/>
  <c r="L188" i="14"/>
  <c r="V187" i="14"/>
  <c r="W187" i="14" s="1"/>
  <c r="T187" i="14"/>
  <c r="U187" i="14" s="1"/>
  <c r="R187" i="14"/>
  <c r="S187" i="14" s="1"/>
  <c r="P187" i="14"/>
  <c r="Q187" i="14" s="1"/>
  <c r="N187" i="14"/>
  <c r="O187" i="14" s="1"/>
  <c r="L187" i="14"/>
  <c r="M187" i="14" s="1"/>
  <c r="V186" i="14"/>
  <c r="W186" i="14" s="1"/>
  <c r="U186" i="14"/>
  <c r="T186" i="14"/>
  <c r="R186" i="14"/>
  <c r="S186" i="14" s="1"/>
  <c r="Q186" i="14"/>
  <c r="P186" i="14"/>
  <c r="N186" i="14"/>
  <c r="O186" i="14" s="1"/>
  <c r="L186" i="14"/>
  <c r="M186" i="14" s="1"/>
  <c r="V185" i="14"/>
  <c r="W185" i="14" s="1"/>
  <c r="T185" i="14"/>
  <c r="U185" i="14" s="1"/>
  <c r="R185" i="14"/>
  <c r="S185" i="14" s="1"/>
  <c r="Q185" i="14"/>
  <c r="P185" i="14"/>
  <c r="N185" i="14"/>
  <c r="O185" i="14" s="1"/>
  <c r="M185" i="14"/>
  <c r="L185" i="14"/>
  <c r="V184" i="14"/>
  <c r="W184" i="14" s="1"/>
  <c r="U184" i="14"/>
  <c r="T184" i="14"/>
  <c r="R184" i="14"/>
  <c r="S184" i="14" s="1"/>
  <c r="Q184" i="14"/>
  <c r="P184" i="14"/>
  <c r="N184" i="14"/>
  <c r="O184" i="14" s="1"/>
  <c r="M184" i="14"/>
  <c r="L184" i="14"/>
  <c r="V183" i="14"/>
  <c r="W183" i="14" s="1"/>
  <c r="U183" i="14"/>
  <c r="T183" i="14"/>
  <c r="R183" i="14"/>
  <c r="S183" i="14" s="1"/>
  <c r="Q183" i="14"/>
  <c r="P183" i="14"/>
  <c r="N183" i="14"/>
  <c r="O183" i="14" s="1"/>
  <c r="M183" i="14"/>
  <c r="L183" i="14"/>
  <c r="V182" i="14"/>
  <c r="W182" i="14" s="1"/>
  <c r="U182" i="14"/>
  <c r="T182" i="14"/>
  <c r="R182" i="14"/>
  <c r="S182" i="14" s="1"/>
  <c r="Q182" i="14"/>
  <c r="P182" i="14"/>
  <c r="N182" i="14"/>
  <c r="O182" i="14" s="1"/>
  <c r="M182" i="14"/>
  <c r="L182" i="14"/>
  <c r="V181" i="14"/>
  <c r="W181" i="14" s="1"/>
  <c r="U181" i="14"/>
  <c r="T181" i="14"/>
  <c r="R181" i="14"/>
  <c r="S181" i="14" s="1"/>
  <c r="Q181" i="14"/>
  <c r="P181" i="14"/>
  <c r="N181" i="14"/>
  <c r="O181" i="14" s="1"/>
  <c r="M181" i="14"/>
  <c r="L181" i="14"/>
  <c r="V180" i="14"/>
  <c r="W180" i="14" s="1"/>
  <c r="U180" i="14"/>
  <c r="T180" i="14"/>
  <c r="R180" i="14"/>
  <c r="S180" i="14" s="1"/>
  <c r="Q180" i="14"/>
  <c r="P180" i="14"/>
  <c r="N180" i="14"/>
  <c r="O180" i="14" s="1"/>
  <c r="M180" i="14"/>
  <c r="L180" i="14"/>
  <c r="V179" i="14"/>
  <c r="W179" i="14" s="1"/>
  <c r="U179" i="14"/>
  <c r="T179" i="14"/>
  <c r="R179" i="14"/>
  <c r="S179" i="14" s="1"/>
  <c r="Q179" i="14"/>
  <c r="P179" i="14"/>
  <c r="N179" i="14"/>
  <c r="O179" i="14" s="1"/>
  <c r="M179" i="14"/>
  <c r="L179" i="14"/>
  <c r="V178" i="14"/>
  <c r="W178" i="14" s="1"/>
  <c r="U178" i="14"/>
  <c r="T178" i="14"/>
  <c r="R178" i="14"/>
  <c r="S178" i="14" s="1"/>
  <c r="Q178" i="14"/>
  <c r="P178" i="14"/>
  <c r="N178" i="14"/>
  <c r="O178" i="14" s="1"/>
  <c r="M178" i="14"/>
  <c r="L178" i="14"/>
  <c r="V177" i="14"/>
  <c r="W177" i="14" s="1"/>
  <c r="U177" i="14"/>
  <c r="T177" i="14"/>
  <c r="R177" i="14"/>
  <c r="S177" i="14" s="1"/>
  <c r="Q177" i="14"/>
  <c r="P177" i="14"/>
  <c r="N177" i="14"/>
  <c r="O177" i="14" s="1"/>
  <c r="M177" i="14"/>
  <c r="L177" i="14"/>
  <c r="V176" i="14"/>
  <c r="W176" i="14" s="1"/>
  <c r="U176" i="14"/>
  <c r="T176" i="14"/>
  <c r="R176" i="14"/>
  <c r="S176" i="14" s="1"/>
  <c r="Q176" i="14"/>
  <c r="P176" i="14"/>
  <c r="N176" i="14"/>
  <c r="O176" i="14" s="1"/>
  <c r="M176" i="14"/>
  <c r="L176" i="14"/>
  <c r="V175" i="14"/>
  <c r="W175" i="14" s="1"/>
  <c r="U175" i="14"/>
  <c r="T175" i="14"/>
  <c r="R175" i="14"/>
  <c r="S175" i="14" s="1"/>
  <c r="Q175" i="14"/>
  <c r="P175" i="14"/>
  <c r="N175" i="14"/>
  <c r="O175" i="14" s="1"/>
  <c r="M175" i="14"/>
  <c r="L175" i="14"/>
  <c r="V174" i="14"/>
  <c r="W174" i="14" s="1"/>
  <c r="U174" i="14"/>
  <c r="T174" i="14"/>
  <c r="R174" i="14"/>
  <c r="S174" i="14" s="1"/>
  <c r="Q174" i="14"/>
  <c r="P174" i="14"/>
  <c r="N174" i="14"/>
  <c r="O174" i="14" s="1"/>
  <c r="M174" i="14"/>
  <c r="L174" i="14"/>
  <c r="V173" i="14"/>
  <c r="W173" i="14" s="1"/>
  <c r="U173" i="14"/>
  <c r="T173" i="14"/>
  <c r="R173" i="14"/>
  <c r="S173" i="14" s="1"/>
  <c r="Q173" i="14"/>
  <c r="P173" i="14"/>
  <c r="N173" i="14"/>
  <c r="O173" i="14" s="1"/>
  <c r="M173" i="14"/>
  <c r="L173" i="14"/>
  <c r="V172" i="14"/>
  <c r="W172" i="14" s="1"/>
  <c r="U172" i="14"/>
  <c r="T172" i="14"/>
  <c r="R172" i="14"/>
  <c r="S172" i="14" s="1"/>
  <c r="Q172" i="14"/>
  <c r="P172" i="14"/>
  <c r="N172" i="14"/>
  <c r="O172" i="14" s="1"/>
  <c r="M172" i="14"/>
  <c r="L172" i="14"/>
  <c r="V171" i="14"/>
  <c r="W171" i="14" s="1"/>
  <c r="U171" i="14"/>
  <c r="T171" i="14"/>
  <c r="R171" i="14"/>
  <c r="S171" i="14" s="1"/>
  <c r="Q171" i="14"/>
  <c r="P171" i="14"/>
  <c r="N171" i="14"/>
  <c r="O171" i="14" s="1"/>
  <c r="M171" i="14"/>
  <c r="L171" i="14"/>
  <c r="V170" i="14"/>
  <c r="W170" i="14" s="1"/>
  <c r="U170" i="14"/>
  <c r="T170" i="14"/>
  <c r="R170" i="14"/>
  <c r="S170" i="14" s="1"/>
  <c r="Q170" i="14"/>
  <c r="P170" i="14"/>
  <c r="N170" i="14"/>
  <c r="O170" i="14" s="1"/>
  <c r="M170" i="14"/>
  <c r="L170" i="14"/>
  <c r="V169" i="14"/>
  <c r="W169" i="14" s="1"/>
  <c r="U169" i="14"/>
  <c r="T169" i="14"/>
  <c r="R169" i="14"/>
  <c r="S169" i="14" s="1"/>
  <c r="Q169" i="14"/>
  <c r="P169" i="14"/>
  <c r="N169" i="14"/>
  <c r="O169" i="14" s="1"/>
  <c r="M169" i="14"/>
  <c r="L169" i="14"/>
  <c r="V168" i="14"/>
  <c r="W168" i="14" s="1"/>
  <c r="U168" i="14"/>
  <c r="T168" i="14"/>
  <c r="R168" i="14"/>
  <c r="S168" i="14" s="1"/>
  <c r="Q168" i="14"/>
  <c r="P168" i="14"/>
  <c r="N168" i="14"/>
  <c r="O168" i="14" s="1"/>
  <c r="M168" i="14"/>
  <c r="L168" i="14"/>
  <c r="V167" i="14"/>
  <c r="W167" i="14" s="1"/>
  <c r="U167" i="14"/>
  <c r="T167" i="14"/>
  <c r="R167" i="14"/>
  <c r="S167" i="14" s="1"/>
  <c r="Q167" i="14"/>
  <c r="P167" i="14"/>
  <c r="N167" i="14"/>
  <c r="O167" i="14" s="1"/>
  <c r="M167" i="14"/>
  <c r="L167" i="14"/>
  <c r="V166" i="14"/>
  <c r="W166" i="14" s="1"/>
  <c r="U166" i="14"/>
  <c r="T166" i="14"/>
  <c r="R166" i="14"/>
  <c r="S166" i="14" s="1"/>
  <c r="Q166" i="14"/>
  <c r="P166" i="14"/>
  <c r="N166" i="14"/>
  <c r="O166" i="14" s="1"/>
  <c r="M166" i="14"/>
  <c r="L166" i="14"/>
  <c r="V165" i="14"/>
  <c r="W165" i="14" s="1"/>
  <c r="U165" i="14"/>
  <c r="T165" i="14"/>
  <c r="R165" i="14"/>
  <c r="S165" i="14" s="1"/>
  <c r="Q165" i="14"/>
  <c r="P165" i="14"/>
  <c r="N165" i="14"/>
  <c r="O165" i="14" s="1"/>
  <c r="M165" i="14"/>
  <c r="L165" i="14"/>
  <c r="V164" i="14"/>
  <c r="W164" i="14" s="1"/>
  <c r="U164" i="14"/>
  <c r="T164" i="14"/>
  <c r="R164" i="14"/>
  <c r="S164" i="14" s="1"/>
  <c r="Q164" i="14"/>
  <c r="P164" i="14"/>
  <c r="N164" i="14"/>
  <c r="O164" i="14" s="1"/>
  <c r="M164" i="14"/>
  <c r="L164" i="14"/>
  <c r="V163" i="14"/>
  <c r="W163" i="14" s="1"/>
  <c r="U163" i="14"/>
  <c r="T163" i="14"/>
  <c r="R163" i="14"/>
  <c r="S163" i="14" s="1"/>
  <c r="Q163" i="14"/>
  <c r="P163" i="14"/>
  <c r="N163" i="14"/>
  <c r="O163" i="14" s="1"/>
  <c r="M163" i="14"/>
  <c r="L163" i="14"/>
  <c r="V162" i="14"/>
  <c r="W162" i="14" s="1"/>
  <c r="U162" i="14"/>
  <c r="T162" i="14"/>
  <c r="R162" i="14"/>
  <c r="S162" i="14" s="1"/>
  <c r="Q162" i="14"/>
  <c r="P162" i="14"/>
  <c r="N162" i="14"/>
  <c r="O162" i="14" s="1"/>
  <c r="M162" i="14"/>
  <c r="L162" i="14"/>
  <c r="V161" i="14"/>
  <c r="W161" i="14" s="1"/>
  <c r="U161" i="14"/>
  <c r="T161" i="14"/>
  <c r="R161" i="14"/>
  <c r="S161" i="14" s="1"/>
  <c r="Q161" i="14"/>
  <c r="P161" i="14"/>
  <c r="N161" i="14"/>
  <c r="O161" i="14" s="1"/>
  <c r="M161" i="14"/>
  <c r="L161" i="14"/>
  <c r="V160" i="14"/>
  <c r="W160" i="14" s="1"/>
  <c r="U160" i="14"/>
  <c r="T160" i="14"/>
  <c r="R160" i="14"/>
  <c r="S160" i="14" s="1"/>
  <c r="Q160" i="14"/>
  <c r="P160" i="14"/>
  <c r="N160" i="14"/>
  <c r="O160" i="14" s="1"/>
  <c r="M160" i="14"/>
  <c r="L160" i="14"/>
  <c r="V159" i="14"/>
  <c r="W159" i="14" s="1"/>
  <c r="U159" i="14"/>
  <c r="T159" i="14"/>
  <c r="R159" i="14"/>
  <c r="S159" i="14" s="1"/>
  <c r="Q159" i="14"/>
  <c r="P159" i="14"/>
  <c r="N159" i="14"/>
  <c r="O159" i="14" s="1"/>
  <c r="M159" i="14"/>
  <c r="L159" i="14"/>
  <c r="V158" i="14"/>
  <c r="W158" i="14" s="1"/>
  <c r="U158" i="14"/>
  <c r="T158" i="14"/>
  <c r="R158" i="14"/>
  <c r="S158" i="14" s="1"/>
  <c r="Q158" i="14"/>
  <c r="P158" i="14"/>
  <c r="N158" i="14"/>
  <c r="O158" i="14" s="1"/>
  <c r="M158" i="14"/>
  <c r="L158" i="14"/>
  <c r="V157" i="14"/>
  <c r="W157" i="14" s="1"/>
  <c r="U157" i="14"/>
  <c r="T157" i="14"/>
  <c r="R157" i="14"/>
  <c r="S157" i="14" s="1"/>
  <c r="Q157" i="14"/>
  <c r="P157" i="14"/>
  <c r="N157" i="14"/>
  <c r="O157" i="14" s="1"/>
  <c r="M157" i="14"/>
  <c r="L157" i="14"/>
  <c r="V156" i="14"/>
  <c r="W156" i="14" s="1"/>
  <c r="U156" i="14"/>
  <c r="T156" i="14"/>
  <c r="R156" i="14"/>
  <c r="S156" i="14" s="1"/>
  <c r="Q156" i="14"/>
  <c r="P156" i="14"/>
  <c r="N156" i="14"/>
  <c r="O156" i="14" s="1"/>
  <c r="M156" i="14"/>
  <c r="L156" i="14"/>
  <c r="V155" i="14"/>
  <c r="W155" i="14" s="1"/>
  <c r="U155" i="14"/>
  <c r="T155" i="14"/>
  <c r="R155" i="14"/>
  <c r="S155" i="14" s="1"/>
  <c r="Q155" i="14"/>
  <c r="P155" i="14"/>
  <c r="N155" i="14"/>
  <c r="O155" i="14" s="1"/>
  <c r="M155" i="14"/>
  <c r="L155" i="14"/>
  <c r="V154" i="14"/>
  <c r="W154" i="14" s="1"/>
  <c r="U154" i="14"/>
  <c r="T154" i="14"/>
  <c r="R154" i="14"/>
  <c r="S154" i="14" s="1"/>
  <c r="Q154" i="14"/>
  <c r="P154" i="14"/>
  <c r="N154" i="14"/>
  <c r="O154" i="14" s="1"/>
  <c r="M154" i="14"/>
  <c r="L154" i="14"/>
  <c r="V153" i="14"/>
  <c r="W153" i="14" s="1"/>
  <c r="U153" i="14"/>
  <c r="T153" i="14"/>
  <c r="R153" i="14"/>
  <c r="S153" i="14" s="1"/>
  <c r="Q153" i="14"/>
  <c r="P153" i="14"/>
  <c r="N153" i="14"/>
  <c r="O153" i="14" s="1"/>
  <c r="M153" i="14"/>
  <c r="L153" i="14"/>
  <c r="V152" i="14"/>
  <c r="W152" i="14" s="1"/>
  <c r="U152" i="14"/>
  <c r="T152" i="14"/>
  <c r="R152" i="14"/>
  <c r="S152" i="14" s="1"/>
  <c r="Q152" i="14"/>
  <c r="P152" i="14"/>
  <c r="N152" i="14"/>
  <c r="O152" i="14" s="1"/>
  <c r="M152" i="14"/>
  <c r="L152" i="14"/>
  <c r="V151" i="14"/>
  <c r="W151" i="14" s="1"/>
  <c r="U151" i="14"/>
  <c r="T151" i="14"/>
  <c r="R151" i="14"/>
  <c r="S151" i="14" s="1"/>
  <c r="Q151" i="14"/>
  <c r="P151" i="14"/>
  <c r="N151" i="14"/>
  <c r="O151" i="14" s="1"/>
  <c r="M151" i="14"/>
  <c r="L151" i="14"/>
  <c r="V150" i="14"/>
  <c r="W150" i="14" s="1"/>
  <c r="U150" i="14"/>
  <c r="T150" i="14"/>
  <c r="R150" i="14"/>
  <c r="S150" i="14" s="1"/>
  <c r="Q150" i="14"/>
  <c r="P150" i="14"/>
  <c r="N150" i="14"/>
  <c r="O150" i="14" s="1"/>
  <c r="M150" i="14"/>
  <c r="L150" i="14"/>
  <c r="V149" i="14"/>
  <c r="W149" i="14" s="1"/>
  <c r="U149" i="14"/>
  <c r="T149" i="14"/>
  <c r="R149" i="14"/>
  <c r="S149" i="14" s="1"/>
  <c r="Q149" i="14"/>
  <c r="P149" i="14"/>
  <c r="N149" i="14"/>
  <c r="O149" i="14" s="1"/>
  <c r="M149" i="14"/>
  <c r="L149" i="14"/>
  <c r="V148" i="14"/>
  <c r="W148" i="14" s="1"/>
  <c r="U148" i="14"/>
  <c r="T148" i="14"/>
  <c r="R148" i="14"/>
  <c r="S148" i="14" s="1"/>
  <c r="Q148" i="14"/>
  <c r="P148" i="14"/>
  <c r="N148" i="14"/>
  <c r="O148" i="14" s="1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T42" i="14"/>
  <c r="U42" i="14" s="1"/>
  <c r="S42" i="14"/>
  <c r="R42" i="14"/>
  <c r="P42" i="14"/>
  <c r="Q42" i="14" s="1"/>
  <c r="O42" i="14"/>
  <c r="N42" i="14"/>
  <c r="L42" i="14"/>
  <c r="M42" i="14" s="1"/>
  <c r="W41" i="14"/>
  <c r="V41" i="14"/>
  <c r="T41" i="14"/>
  <c r="U41" i="14" s="1"/>
  <c r="S41" i="14"/>
  <c r="R41" i="14"/>
  <c r="P41" i="14"/>
  <c r="Q41" i="14" s="1"/>
  <c r="O41" i="14"/>
  <c r="N41" i="14"/>
  <c r="L41" i="14"/>
  <c r="M41" i="14" s="1"/>
  <c r="W40" i="14"/>
  <c r="V40" i="14"/>
  <c r="T40" i="14"/>
  <c r="U40" i="14" s="1"/>
  <c r="S40" i="14"/>
  <c r="R40" i="14"/>
  <c r="P40" i="14"/>
  <c r="Q40" i="14" s="1"/>
  <c r="O40" i="14"/>
  <c r="N40" i="14"/>
  <c r="L40" i="14"/>
  <c r="M40" i="14" s="1"/>
  <c r="W39" i="14"/>
  <c r="V39" i="14"/>
  <c r="T39" i="14"/>
  <c r="U39" i="14" s="1"/>
  <c r="S39" i="14"/>
  <c r="R39" i="14"/>
  <c r="P39" i="14"/>
  <c r="Q39" i="14" s="1"/>
  <c r="O39" i="14"/>
  <c r="N39" i="14"/>
  <c r="L39" i="14"/>
  <c r="M39" i="14" s="1"/>
  <c r="W38" i="14"/>
  <c r="V38" i="14"/>
  <c r="T38" i="14"/>
  <c r="U38" i="14" s="1"/>
  <c r="S38" i="14"/>
  <c r="R38" i="14"/>
  <c r="P38" i="14"/>
  <c r="Q38" i="14" s="1"/>
  <c r="O38" i="14"/>
  <c r="N38" i="14"/>
  <c r="L38" i="14"/>
  <c r="M38" i="14" s="1"/>
  <c r="W37" i="14"/>
  <c r="V37" i="14"/>
  <c r="T37" i="14"/>
  <c r="U37" i="14" s="1"/>
  <c r="S37" i="14"/>
  <c r="R37" i="14"/>
  <c r="P37" i="14"/>
  <c r="Q37" i="14" s="1"/>
  <c r="O37" i="14"/>
  <c r="N37" i="14"/>
  <c r="L37" i="14"/>
  <c r="M37" i="14" s="1"/>
  <c r="W36" i="14"/>
  <c r="V36" i="14"/>
  <c r="T36" i="14"/>
  <c r="U36" i="14" s="1"/>
  <c r="S36" i="14"/>
  <c r="R36" i="14"/>
  <c r="P36" i="14"/>
  <c r="Q36" i="14" s="1"/>
  <c r="O36" i="14"/>
  <c r="N36" i="14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T28" i="14"/>
  <c r="U28" i="14" s="1"/>
  <c r="S28" i="14"/>
  <c r="R28" i="14"/>
  <c r="P28" i="14"/>
  <c r="Q28" i="14" s="1"/>
  <c r="O28" i="14"/>
  <c r="N28" i="14"/>
  <c r="L28" i="14"/>
  <c r="M28" i="14" s="1"/>
  <c r="W27" i="14"/>
  <c r="V27" i="14"/>
  <c r="T27" i="14"/>
  <c r="U27" i="14" s="1"/>
  <c r="S27" i="14"/>
  <c r="R27" i="14"/>
  <c r="P27" i="14"/>
  <c r="Q27" i="14" s="1"/>
  <c r="O27" i="14"/>
  <c r="N27" i="14"/>
  <c r="L27" i="14"/>
  <c r="M27" i="14" s="1"/>
  <c r="W26" i="14"/>
  <c r="V26" i="14"/>
  <c r="T26" i="14"/>
  <c r="U26" i="14" s="1"/>
  <c r="S26" i="14"/>
  <c r="R26" i="14"/>
  <c r="P26" i="14"/>
  <c r="Q26" i="14" s="1"/>
  <c r="O26" i="14"/>
  <c r="N26" i="14"/>
  <c r="L26" i="14"/>
  <c r="M26" i="14" s="1"/>
  <c r="W25" i="14"/>
  <c r="V25" i="14"/>
  <c r="T25" i="14"/>
  <c r="U25" i="14" s="1"/>
  <c r="S25" i="14"/>
  <c r="R25" i="14"/>
  <c r="P25" i="14"/>
  <c r="Q25" i="14" s="1"/>
  <c r="N25" i="14"/>
  <c r="O25" i="14" s="1"/>
  <c r="L25" i="14"/>
  <c r="M25" i="14" s="1"/>
  <c r="V24" i="14"/>
  <c r="W24" i="14" s="1"/>
  <c r="U24" i="14"/>
  <c r="T24" i="14"/>
  <c r="R24" i="14"/>
  <c r="S24" i="14" s="1"/>
  <c r="Q24" i="14"/>
  <c r="P24" i="14"/>
  <c r="N24" i="14"/>
  <c r="O24" i="14" s="1"/>
  <c r="L24" i="14"/>
  <c r="M24" i="14" s="1"/>
  <c r="V23" i="14"/>
  <c r="W23" i="14" s="1"/>
  <c r="T23" i="14"/>
  <c r="U23" i="14" s="1"/>
  <c r="R23" i="14"/>
  <c r="S23" i="14" s="1"/>
  <c r="Q23" i="14"/>
  <c r="P23" i="14"/>
  <c r="N23" i="14"/>
  <c r="O23" i="14" s="1"/>
  <c r="M23" i="14"/>
  <c r="L23" i="14"/>
  <c r="V22" i="14"/>
  <c r="W22" i="14" s="1"/>
  <c r="T22" i="14"/>
  <c r="U22" i="14" s="1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R14" i="14"/>
  <c r="S14" i="14" s="1"/>
  <c r="P14" i="14"/>
  <c r="Q14" i="14" s="1"/>
  <c r="O14" i="14"/>
  <c r="N14" i="14"/>
  <c r="L14" i="14"/>
  <c r="M14" i="14" s="1"/>
  <c r="W13" i="14"/>
  <c r="V13" i="14"/>
  <c r="T13" i="14"/>
  <c r="U13" i="14" s="1"/>
  <c r="R13" i="14"/>
  <c r="S13" i="14" s="1"/>
  <c r="P13" i="14"/>
  <c r="Q13" i="14" s="1"/>
  <c r="N13" i="14"/>
  <c r="O13" i="14" s="1"/>
  <c r="L13" i="14"/>
  <c r="M13" i="14" s="1"/>
  <c r="W12" i="14"/>
  <c r="V12" i="14"/>
  <c r="T12" i="14"/>
  <c r="U12" i="14" s="1"/>
  <c r="S12" i="14"/>
  <c r="R12" i="14"/>
  <c r="P12" i="14"/>
  <c r="Q12" i="14" s="1"/>
  <c r="N12" i="14"/>
  <c r="O12" i="14" s="1"/>
  <c r="L12" i="14"/>
  <c r="M12" i="14" s="1"/>
  <c r="V11" i="14"/>
  <c r="W11" i="14" s="1"/>
  <c r="T11" i="14"/>
  <c r="U11" i="14" s="1"/>
  <c r="S11" i="14"/>
  <c r="R11" i="14"/>
  <c r="P11" i="14"/>
  <c r="Q11" i="14" s="1"/>
  <c r="O11" i="14"/>
  <c r="N11" i="14"/>
  <c r="L11" i="14"/>
  <c r="M11" i="14" s="1"/>
  <c r="V10" i="14"/>
  <c r="W10" i="14" s="1"/>
  <c r="T10" i="14"/>
  <c r="U10" i="14" s="1"/>
  <c r="R10" i="14"/>
  <c r="S10" i="14" s="1"/>
  <c r="P10" i="14"/>
  <c r="Q10" i="14" s="1"/>
  <c r="O10" i="14"/>
  <c r="N10" i="14"/>
  <c r="L10" i="14"/>
  <c r="M10" i="14" s="1"/>
  <c r="W9" i="14"/>
  <c r="V9" i="14"/>
  <c r="T9" i="14"/>
  <c r="U9" i="14" s="1"/>
  <c r="R9" i="14"/>
  <c r="S9" i="14" s="1"/>
  <c r="P9" i="14"/>
  <c r="Q9" i="14" s="1"/>
  <c r="N9" i="14"/>
  <c r="O9" i="14" s="1"/>
  <c r="L9" i="14"/>
  <c r="M9" i="14" s="1"/>
  <c r="W8" i="14"/>
  <c r="V8" i="14"/>
  <c r="T8" i="14"/>
  <c r="U8" i="14" s="1"/>
  <c r="S8" i="14"/>
  <c r="R8" i="14"/>
  <c r="P8" i="14"/>
  <c r="Q8" i="14" s="1"/>
  <c r="N8" i="14"/>
  <c r="O8" i="14" s="1"/>
  <c r="L8" i="14"/>
  <c r="M8" i="14" s="1"/>
  <c r="V7" i="14"/>
  <c r="W7" i="14" s="1"/>
  <c r="T7" i="14"/>
  <c r="U7" i="14" s="1"/>
  <c r="S7" i="14"/>
  <c r="R7" i="14"/>
  <c r="P7" i="14"/>
  <c r="Q7" i="14" s="1"/>
  <c r="O7" i="14"/>
  <c r="N7" i="14"/>
  <c r="L7" i="14"/>
  <c r="M7" i="14" s="1"/>
  <c r="V6" i="14"/>
  <c r="W6" i="14" s="1"/>
  <c r="T6" i="14"/>
  <c r="U6" i="14" s="1"/>
  <c r="R6" i="14"/>
  <c r="S6" i="14" s="1"/>
  <c r="P6" i="14"/>
  <c r="Q6" i="14" s="1"/>
  <c r="O6" i="14"/>
  <c r="N6" i="14"/>
  <c r="L6" i="14"/>
  <c r="M6" i="14" s="1"/>
  <c r="W5" i="14"/>
  <c r="V5" i="14"/>
  <c r="T5" i="14"/>
  <c r="U5" i="14" s="1"/>
  <c r="R5" i="14"/>
  <c r="S5" i="14" s="1"/>
  <c r="P5" i="14"/>
  <c r="Q5" i="14" s="1"/>
  <c r="N5" i="14"/>
  <c r="O5" i="14" s="1"/>
  <c r="L5" i="14"/>
  <c r="M5" i="14" s="1"/>
  <c r="W4" i="14"/>
  <c r="V4" i="14"/>
  <c r="T4" i="14"/>
  <c r="U4" i="14" s="1"/>
  <c r="S4" i="14"/>
  <c r="R4" i="14"/>
  <c r="P4" i="14"/>
  <c r="Q4" i="14" s="1"/>
  <c r="N4" i="14"/>
  <c r="O4" i="14" s="1"/>
  <c r="L4" i="14"/>
  <c r="M4" i="14" s="1"/>
  <c r="V3" i="14"/>
  <c r="W3" i="14" s="1"/>
  <c r="T3" i="14"/>
  <c r="U3" i="14" s="1"/>
  <c r="S3" i="14"/>
  <c r="R3" i="14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P2" i="14"/>
  <c r="Q2" i="14" s="1"/>
  <c r="N2" i="14"/>
  <c r="O2" i="14" s="1"/>
  <c r="L2" i="14"/>
  <c r="M2" i="14" s="1"/>
  <c r="P675" i="5" l="1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P219" i="5"/>
  <c r="V218" i="5"/>
  <c r="V217" i="5"/>
  <c r="V216" i="5"/>
  <c r="P216" i="5"/>
  <c r="L216" i="5"/>
  <c r="V215" i="5"/>
  <c r="V214" i="5"/>
  <c r="V213" i="5"/>
  <c r="L213" i="5"/>
  <c r="V212" i="5"/>
  <c r="V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P190" i="5"/>
  <c r="V189" i="5"/>
  <c r="N189" i="5"/>
  <c r="L189" i="5"/>
  <c r="V188" i="5"/>
  <c r="V187" i="5"/>
  <c r="V186" i="5"/>
  <c r="L186" i="5"/>
  <c r="V185" i="5"/>
  <c r="V184" i="5"/>
  <c r="N184" i="5"/>
  <c r="V183" i="5"/>
  <c r="W183" i="5" s="1"/>
  <c r="V182" i="5"/>
  <c r="P182" i="5"/>
  <c r="N182" i="5"/>
  <c r="V181" i="5"/>
  <c r="L181" i="5"/>
  <c r="V180" i="5"/>
  <c r="W180" i="5" s="1"/>
  <c r="L180" i="5"/>
  <c r="V179" i="5"/>
  <c r="W179" i="5" s="1"/>
  <c r="L179" i="5"/>
  <c r="V178" i="5"/>
  <c r="P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V148" i="5"/>
  <c r="P148" i="5"/>
  <c r="V147" i="5"/>
  <c r="T147" i="5"/>
  <c r="V146" i="5"/>
  <c r="V145" i="5"/>
  <c r="V144" i="5"/>
  <c r="T144" i="5"/>
  <c r="P144" i="5"/>
  <c r="V143" i="5"/>
  <c r="V142" i="5"/>
  <c r="N142" i="5"/>
  <c r="V141" i="5"/>
  <c r="V140" i="5"/>
  <c r="V139" i="5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V99" i="5"/>
  <c r="P99" i="5"/>
  <c r="V98" i="5"/>
  <c r="V97" i="5"/>
  <c r="V96" i="5"/>
  <c r="N96" i="5"/>
  <c r="L96" i="5"/>
  <c r="V95" i="5"/>
  <c r="V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P87" i="5"/>
  <c r="V86" i="5"/>
  <c r="V85" i="5"/>
  <c r="P85" i="5"/>
  <c r="N85" i="5"/>
  <c r="V84" i="5"/>
  <c r="P84" i="5"/>
  <c r="V83" i="5"/>
  <c r="V82" i="5"/>
  <c r="V81" i="5"/>
  <c r="P81" i="5"/>
  <c r="V80" i="5"/>
  <c r="L80" i="5"/>
  <c r="V79" i="5"/>
  <c r="V78" i="5"/>
  <c r="P78" i="5"/>
  <c r="V77" i="5"/>
  <c r="V76" i="5"/>
  <c r="P76" i="5"/>
  <c r="N76" i="5"/>
  <c r="V75" i="5"/>
  <c r="V74" i="5"/>
  <c r="T74" i="5"/>
  <c r="N74" i="5"/>
  <c r="V73" i="5"/>
  <c r="V72" i="5"/>
  <c r="N72" i="5"/>
  <c r="V71" i="5"/>
  <c r="P71" i="5"/>
  <c r="V70" i="5"/>
  <c r="N70" i="5"/>
  <c r="V69" i="5"/>
  <c r="V68" i="5"/>
  <c r="L68" i="5"/>
  <c r="V67" i="5"/>
  <c r="V66" i="5"/>
  <c r="P66" i="5"/>
  <c r="V65" i="5"/>
  <c r="L65" i="5"/>
  <c r="V64" i="5"/>
  <c r="P64" i="5"/>
  <c r="L64" i="5"/>
  <c r="V63" i="5"/>
  <c r="V62" i="5"/>
  <c r="P62" i="5"/>
  <c r="V61" i="5"/>
  <c r="V60" i="5"/>
  <c r="P60" i="5"/>
  <c r="N60" i="5"/>
  <c r="V59" i="5"/>
  <c r="P59" i="5"/>
  <c r="V58" i="5"/>
  <c r="N58" i="5"/>
  <c r="V57" i="5"/>
  <c r="L57" i="5"/>
  <c r="V56" i="5"/>
  <c r="V55" i="5"/>
  <c r="P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P41" i="5"/>
  <c r="L41" i="5"/>
  <c r="V40" i="5"/>
  <c r="N40" i="5"/>
  <c r="L40" i="5"/>
  <c r="V39" i="5"/>
  <c r="T39" i="5"/>
  <c r="P39" i="5"/>
  <c r="V38" i="5"/>
  <c r="N38" i="5"/>
  <c r="V37" i="5"/>
  <c r="P37" i="5"/>
  <c r="L37" i="5"/>
  <c r="V36" i="5"/>
  <c r="V35" i="5"/>
  <c r="P35" i="5"/>
  <c r="V34" i="5"/>
  <c r="N34" i="5"/>
  <c r="V33" i="5"/>
  <c r="N33" i="5"/>
  <c r="V32" i="5"/>
  <c r="P32" i="5"/>
  <c r="L32" i="5"/>
  <c r="V31" i="5"/>
  <c r="P31" i="5"/>
  <c r="L31" i="5"/>
  <c r="V30" i="5"/>
  <c r="V29" i="5"/>
  <c r="P29" i="5"/>
  <c r="V28" i="5"/>
  <c r="P28" i="5"/>
  <c r="V27" i="5"/>
  <c r="L27" i="5"/>
  <c r="V26" i="5"/>
  <c r="P26" i="5"/>
  <c r="N26" i="5"/>
  <c r="L26" i="5"/>
  <c r="V25" i="5"/>
  <c r="V24" i="5"/>
  <c r="V23" i="5"/>
  <c r="T23" i="5"/>
  <c r="P23" i="5"/>
  <c r="V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V13" i="5"/>
  <c r="V12" i="5"/>
  <c r="P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P2" i="5"/>
  <c r="W432" i="5" l="1"/>
  <c r="W522" i="5"/>
  <c r="W561" i="5"/>
  <c r="W739" i="5"/>
  <c r="Q675" i="5"/>
  <c r="AT975" i="17"/>
  <c r="AW975" i="17" s="1"/>
  <c r="Q2" i="5"/>
  <c r="AT2" i="17"/>
  <c r="AW2" i="17" s="1"/>
  <c r="O4" i="5"/>
  <c r="AO4" i="17" s="1"/>
  <c r="AR4" i="17" s="1"/>
  <c r="Q12" i="5"/>
  <c r="AT13" i="17"/>
  <c r="AW13" i="17" s="1"/>
  <c r="Q16" i="5"/>
  <c r="AT17" i="17"/>
  <c r="AW17" i="17" s="1"/>
  <c r="Q20" i="5"/>
  <c r="AT21" i="17"/>
  <c r="AW21" i="17" s="1"/>
  <c r="Q23" i="5"/>
  <c r="AT24" i="17"/>
  <c r="AW24" i="17" s="1"/>
  <c r="Q26" i="5"/>
  <c r="AT27" i="17"/>
  <c r="AW27" i="17" s="1"/>
  <c r="M31" i="5"/>
  <c r="AJ32" i="17" s="1"/>
  <c r="AM32" i="17" s="1"/>
  <c r="W33" i="5"/>
  <c r="BI34" i="17"/>
  <c r="BL34" i="17" s="1"/>
  <c r="Q35" i="5"/>
  <c r="AT36" i="17"/>
  <c r="AW36" i="17" s="1"/>
  <c r="W38" i="5"/>
  <c r="BI39" i="17"/>
  <c r="BL39" i="17" s="1"/>
  <c r="Q41" i="5"/>
  <c r="AT42" i="17"/>
  <c r="AW42" i="17" s="1"/>
  <c r="W44" i="5"/>
  <c r="BI45" i="17"/>
  <c r="BL45" i="17" s="1"/>
  <c r="W48" i="5"/>
  <c r="BI49" i="17"/>
  <c r="BL49" i="17" s="1"/>
  <c r="O52" i="5"/>
  <c r="AO53" i="17" s="1"/>
  <c r="AR53" i="17" s="1"/>
  <c r="Q55" i="5"/>
  <c r="AT56" i="17"/>
  <c r="AW56" i="17" s="1"/>
  <c r="W58" i="5"/>
  <c r="BI59" i="17"/>
  <c r="BL59" i="17" s="1"/>
  <c r="Q62" i="5"/>
  <c r="AT63" i="17"/>
  <c r="AW63" i="17" s="1"/>
  <c r="W65" i="5"/>
  <c r="BI66" i="17"/>
  <c r="BL66" i="17" s="1"/>
  <c r="W69" i="5"/>
  <c r="BI70" i="17"/>
  <c r="BL70" i="17" s="1"/>
  <c r="W72" i="5"/>
  <c r="BI73" i="17"/>
  <c r="BL73" i="17" s="1"/>
  <c r="O76" i="5"/>
  <c r="AO77" i="17" s="1"/>
  <c r="AR77" i="17" s="1"/>
  <c r="W79" i="5"/>
  <c r="BI80" i="17"/>
  <c r="BL80" i="17" s="1"/>
  <c r="W83" i="5"/>
  <c r="BI84" i="17"/>
  <c r="BL84" i="17" s="1"/>
  <c r="M89" i="5"/>
  <c r="AJ90" i="17"/>
  <c r="AM90" i="17" s="1"/>
  <c r="AJ389" i="17"/>
  <c r="AM389" i="17" s="1"/>
  <c r="W91" i="5"/>
  <c r="BI92" i="17"/>
  <c r="BL92" i="17" s="1"/>
  <c r="BI391" i="17"/>
  <c r="BL391" i="17" s="1"/>
  <c r="W94" i="5"/>
  <c r="BI95" i="17"/>
  <c r="BL95" i="17" s="1"/>
  <c r="BI394" i="17"/>
  <c r="BL394" i="17" s="1"/>
  <c r="W101" i="5"/>
  <c r="BI102" i="17"/>
  <c r="BL102" i="17" s="1"/>
  <c r="BI401" i="17"/>
  <c r="BL401" i="17" s="1"/>
  <c r="O113" i="5"/>
  <c r="AO413" i="17" s="1"/>
  <c r="AR413" i="17" s="1"/>
  <c r="W131" i="5"/>
  <c r="BI132" i="17"/>
  <c r="BL132" i="17" s="1"/>
  <c r="BI431" i="17"/>
  <c r="BL431" i="17" s="1"/>
  <c r="W200" i="5"/>
  <c r="BI201" i="17"/>
  <c r="BL201" i="17" s="1"/>
  <c r="BI500" i="17"/>
  <c r="BL500" i="17" s="1"/>
  <c r="W640" i="5"/>
  <c r="BI940" i="17"/>
  <c r="BL940" i="17" s="1"/>
  <c r="O644" i="5"/>
  <c r="AO944" i="17"/>
  <c r="AR944" i="17" s="1"/>
  <c r="W647" i="5"/>
  <c r="BI947" i="17"/>
  <c r="BL947" i="17" s="1"/>
  <c r="U650" i="5"/>
  <c r="BD950" i="17"/>
  <c r="BG950" i="17" s="1"/>
  <c r="W656" i="5"/>
  <c r="BI956" i="17"/>
  <c r="BL956" i="17" s="1"/>
  <c r="M659" i="5"/>
  <c r="AJ959" i="17"/>
  <c r="AM959" i="17" s="1"/>
  <c r="M665" i="5"/>
  <c r="AJ965" i="17"/>
  <c r="AM965" i="17" s="1"/>
  <c r="M670" i="5"/>
  <c r="AJ970" i="17"/>
  <c r="AM970" i="17" s="1"/>
  <c r="W672" i="5"/>
  <c r="BI972" i="17"/>
  <c r="BL972" i="17" s="1"/>
  <c r="W678" i="5"/>
  <c r="BI978" i="17"/>
  <c r="BL978" i="17" s="1"/>
  <c r="W681" i="5"/>
  <c r="BI981" i="17"/>
  <c r="BL981" i="17" s="1"/>
  <c r="W686" i="5"/>
  <c r="BI986" i="17"/>
  <c r="BL986" i="17" s="1"/>
  <c r="O693" i="5"/>
  <c r="AO993" i="17"/>
  <c r="AR993" i="17" s="1"/>
  <c r="O695" i="5"/>
  <c r="AO995" i="17"/>
  <c r="AR995" i="17" s="1"/>
  <c r="M701" i="5"/>
  <c r="AJ1001" i="17"/>
  <c r="AM1001" i="17" s="1"/>
  <c r="M704" i="5"/>
  <c r="AJ1004" i="17"/>
  <c r="AM1004" i="17" s="1"/>
  <c r="M710" i="5"/>
  <c r="AJ1010" i="17"/>
  <c r="AM1010" i="17" s="1"/>
  <c r="M713" i="5"/>
  <c r="AJ1013" i="17"/>
  <c r="AM1013" i="17" s="1"/>
  <c r="W719" i="5"/>
  <c r="BI1019" i="17"/>
  <c r="BL1019" i="17" s="1"/>
  <c r="W722" i="5"/>
  <c r="BI1022" i="17"/>
  <c r="BL1022" i="17" s="1"/>
  <c r="W727" i="5"/>
  <c r="BI1027" i="17"/>
  <c r="BL1027" i="17" s="1"/>
  <c r="W733" i="5"/>
  <c r="BI1033" i="17"/>
  <c r="BL1033" i="17" s="1"/>
  <c r="W746" i="5"/>
  <c r="BI1046" i="17"/>
  <c r="BL1046" i="17" s="1"/>
  <c r="M752" i="5"/>
  <c r="AJ1052" i="17"/>
  <c r="AM1052" i="17" s="1"/>
  <c r="W757" i="5"/>
  <c r="BI1057" i="17"/>
  <c r="BL1057" i="17" s="1"/>
  <c r="W763" i="5"/>
  <c r="BI1063" i="17"/>
  <c r="BL1063" i="17" s="1"/>
  <c r="W770" i="5"/>
  <c r="BI1070" i="17"/>
  <c r="BL1070" i="17" s="1"/>
  <c r="W777" i="5"/>
  <c r="BI1077" i="17"/>
  <c r="BL1077" i="17" s="1"/>
  <c r="W784" i="5"/>
  <c r="BI1084" i="17"/>
  <c r="BL1084" i="17" s="1"/>
  <c r="W795" i="5"/>
  <c r="BI1095" i="17"/>
  <c r="BL1095" i="17" s="1"/>
  <c r="W803" i="5"/>
  <c r="BI1103" i="17"/>
  <c r="BL1103" i="17" s="1"/>
  <c r="W811" i="5"/>
  <c r="BI1111" i="17"/>
  <c r="BL1111" i="17" s="1"/>
  <c r="W818" i="5"/>
  <c r="BI1118" i="17"/>
  <c r="BL1118" i="17" s="1"/>
  <c r="W826" i="5"/>
  <c r="BI1126" i="17"/>
  <c r="BL1126" i="17" s="1"/>
  <c r="W834" i="5"/>
  <c r="BI1134" i="17"/>
  <c r="BL1134" i="17" s="1"/>
  <c r="W840" i="5"/>
  <c r="BI1140" i="17"/>
  <c r="BL1140" i="17" s="1"/>
  <c r="W847" i="5"/>
  <c r="BI1147" i="17"/>
  <c r="BL1147" i="17" s="1"/>
  <c r="M853" i="5"/>
  <c r="AJ1153" i="17"/>
  <c r="AM1153" i="17" s="1"/>
  <c r="W863" i="5"/>
  <c r="BI1163" i="17"/>
  <c r="BL1163" i="17" s="1"/>
  <c r="Q4" i="5"/>
  <c r="AT4" i="17"/>
  <c r="AW4" i="17" s="1"/>
  <c r="O6" i="5"/>
  <c r="AO6" i="17" s="1"/>
  <c r="AR6" i="17" s="1"/>
  <c r="Q7" i="5"/>
  <c r="AT7" i="17"/>
  <c r="AW7" i="17" s="1"/>
  <c r="Q11" i="5"/>
  <c r="AT12" i="17"/>
  <c r="AW12" i="17" s="1"/>
  <c r="O15" i="5"/>
  <c r="AO16" i="17" s="1"/>
  <c r="AR16" i="17" s="1"/>
  <c r="W18" i="5"/>
  <c r="BI19" i="17"/>
  <c r="BL19" i="17" s="1"/>
  <c r="O22" i="5"/>
  <c r="AO23" i="17" s="1"/>
  <c r="AR23" i="17" s="1"/>
  <c r="W25" i="5"/>
  <c r="BI26" i="17"/>
  <c r="BL26" i="17" s="1"/>
  <c r="Q28" i="5"/>
  <c r="AT29" i="17"/>
  <c r="AW29" i="17" s="1"/>
  <c r="W32" i="5"/>
  <c r="BI33" i="17"/>
  <c r="BL33" i="17" s="1"/>
  <c r="W35" i="5"/>
  <c r="BI36" i="17"/>
  <c r="BL36" i="17" s="1"/>
  <c r="Q39" i="5"/>
  <c r="AT40" i="17"/>
  <c r="AW40" i="17" s="1"/>
  <c r="W41" i="5"/>
  <c r="BI42" i="17"/>
  <c r="BL42" i="17" s="1"/>
  <c r="Q45" i="5"/>
  <c r="AT46" i="17"/>
  <c r="AW46" i="17" s="1"/>
  <c r="Q49" i="5"/>
  <c r="AT50" i="17"/>
  <c r="AW50" i="17" s="1"/>
  <c r="Q52" i="5"/>
  <c r="AT53" i="17"/>
  <c r="AW53" i="17" s="1"/>
  <c r="W55" i="5"/>
  <c r="BI56" i="17"/>
  <c r="BL56" i="17" s="1"/>
  <c r="Q59" i="5"/>
  <c r="AT60" i="17"/>
  <c r="AW60" i="17" s="1"/>
  <c r="W62" i="5"/>
  <c r="BI63" i="17"/>
  <c r="BL63" i="17" s="1"/>
  <c r="Q66" i="5"/>
  <c r="AT67" i="17"/>
  <c r="AW67" i="17" s="1"/>
  <c r="O70" i="5"/>
  <c r="AO71" i="17" s="1"/>
  <c r="AR71" i="17" s="1"/>
  <c r="W73" i="5"/>
  <c r="BI74" i="17"/>
  <c r="BL74" i="17" s="1"/>
  <c r="Q76" i="5"/>
  <c r="AT77" i="17"/>
  <c r="AW77" i="17" s="1"/>
  <c r="M80" i="5"/>
  <c r="AJ81" i="17"/>
  <c r="AM81" i="17" s="1"/>
  <c r="Q84" i="5"/>
  <c r="AT85" i="17"/>
  <c r="AW85" i="17" s="1"/>
  <c r="AT384" i="17"/>
  <c r="AW384" i="17" s="1"/>
  <c r="W87" i="5"/>
  <c r="BI88" i="17"/>
  <c r="BL88" i="17" s="1"/>
  <c r="BI387" i="17"/>
  <c r="BL387" i="17" s="1"/>
  <c r="Q90" i="5"/>
  <c r="AT91" i="17"/>
  <c r="AW91" i="17" s="1"/>
  <c r="AT390" i="17"/>
  <c r="AW390" i="17" s="1"/>
  <c r="W93" i="5"/>
  <c r="BI94" i="17"/>
  <c r="BL94" i="17" s="1"/>
  <c r="BI393" i="17"/>
  <c r="BL393" i="17" s="1"/>
  <c r="W99" i="5"/>
  <c r="BI100" i="17"/>
  <c r="BL100" i="17" s="1"/>
  <c r="BI399" i="17"/>
  <c r="BL399" i="17" s="1"/>
  <c r="M105" i="5"/>
  <c r="AJ106" i="17"/>
  <c r="AM106" i="17" s="1"/>
  <c r="AJ405" i="17"/>
  <c r="AM405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O118" i="5"/>
  <c r="AO119" i="17" s="1"/>
  <c r="AR119" i="17" s="1"/>
  <c r="W122" i="5"/>
  <c r="BI123" i="17"/>
  <c r="BL123" i="17" s="1"/>
  <c r="BI422" i="17"/>
  <c r="BL422" i="17" s="1"/>
  <c r="Q127" i="5"/>
  <c r="AT128" i="17"/>
  <c r="AW128" i="17" s="1"/>
  <c r="AT427" i="17"/>
  <c r="AW427" i="17" s="1"/>
  <c r="U130" i="5"/>
  <c r="BD131" i="17"/>
  <c r="BG131" i="17" s="1"/>
  <c r="BD430" i="17"/>
  <c r="BG430" i="17" s="1"/>
  <c r="Q134" i="5"/>
  <c r="AT135" i="17"/>
  <c r="AW135" i="17" s="1"/>
  <c r="AT434" i="17"/>
  <c r="AW434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8" i="5"/>
  <c r="BI149" i="17"/>
  <c r="BL149" i="17" s="1"/>
  <c r="BI448" i="17"/>
  <c r="BL448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W163" i="5"/>
  <c r="BI164" i="17"/>
  <c r="BL164" i="17" s="1"/>
  <c r="BI463" i="17"/>
  <c r="BL463" i="17" s="1"/>
  <c r="W167" i="5"/>
  <c r="BI168" i="17"/>
  <c r="BL168" i="17" s="1"/>
  <c r="BI467" i="17"/>
  <c r="BL467" i="17" s="1"/>
  <c r="W171" i="5"/>
  <c r="BI172" i="17"/>
  <c r="BL172" i="17" s="1"/>
  <c r="BI471" i="17"/>
  <c r="BL471" i="17" s="1"/>
  <c r="M175" i="5"/>
  <c r="AJ176" i="17"/>
  <c r="AM176" i="17" s="1"/>
  <c r="AJ475" i="17"/>
  <c r="AM475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M189" i="5"/>
  <c r="AJ190" i="17"/>
  <c r="AM190" i="17" s="1"/>
  <c r="AJ489" i="17"/>
  <c r="AM489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M203" i="5"/>
  <c r="AJ204" i="17"/>
  <c r="AM204" i="17" s="1"/>
  <c r="AJ503" i="17"/>
  <c r="AM503" i="17" s="1"/>
  <c r="M207" i="5"/>
  <c r="AJ208" i="17"/>
  <c r="AM208" i="17" s="1"/>
  <c r="AJ507" i="17"/>
  <c r="AM507" i="17" s="1"/>
  <c r="W212" i="5"/>
  <c r="BI213" i="17"/>
  <c r="BL213" i="17" s="1"/>
  <c r="BI512" i="17"/>
  <c r="BL512" i="17" s="1"/>
  <c r="W216" i="5"/>
  <c r="BI217" i="17"/>
  <c r="BL217" i="17" s="1"/>
  <c r="BI516" i="17"/>
  <c r="BL516" i="17" s="1"/>
  <c r="W221" i="5"/>
  <c r="BI222" i="17"/>
  <c r="BL222" i="17" s="1"/>
  <c r="BI521" i="17"/>
  <c r="BL521" i="17" s="1"/>
  <c r="W225" i="5"/>
  <c r="BI226" i="17"/>
  <c r="BL226" i="17" s="1"/>
  <c r="BI525" i="17"/>
  <c r="BL525" i="17" s="1"/>
  <c r="W231" i="5"/>
  <c r="BI232" i="17"/>
  <c r="BL232" i="17" s="1"/>
  <c r="BI531" i="17"/>
  <c r="BL531" i="17" s="1"/>
  <c r="O235" i="5"/>
  <c r="AO236" i="17"/>
  <c r="AR236" i="17" s="1"/>
  <c r="AO535" i="17"/>
  <c r="AR535" i="17" s="1"/>
  <c r="M238" i="5"/>
  <c r="AJ239" i="17"/>
  <c r="AM239" i="17" s="1"/>
  <c r="AJ538" i="17"/>
  <c r="AM538" i="17" s="1"/>
  <c r="M244" i="5"/>
  <c r="AJ245" i="17"/>
  <c r="AM245" i="17" s="1"/>
  <c r="AJ544" i="17"/>
  <c r="AM544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U257" i="5"/>
  <c r="BD258" i="17"/>
  <c r="BG258" i="17" s="1"/>
  <c r="BD557" i="17"/>
  <c r="BG557" i="17" s="1"/>
  <c r="O264" i="5"/>
  <c r="AO265" i="17"/>
  <c r="AR265" i="17" s="1"/>
  <c r="AO564" i="17"/>
  <c r="AR564" i="17" s="1"/>
  <c r="Q268" i="5"/>
  <c r="AT269" i="17"/>
  <c r="AW269" i="17" s="1"/>
  <c r="AT568" i="17"/>
  <c r="AW568" i="17" s="1"/>
  <c r="W271" i="5"/>
  <c r="BI272" i="17"/>
  <c r="BL272" i="17" s="1"/>
  <c r="BI571" i="17"/>
  <c r="BL571" i="17" s="1"/>
  <c r="W277" i="5"/>
  <c r="BI278" i="17"/>
  <c r="BL278" i="17" s="1"/>
  <c r="BI577" i="17"/>
  <c r="BL577" i="17" s="1"/>
  <c r="Q287" i="5"/>
  <c r="AT288" i="17"/>
  <c r="AW288" i="17" s="1"/>
  <c r="AT587" i="17"/>
  <c r="AW587" i="17" s="1"/>
  <c r="Q289" i="5"/>
  <c r="AT290" i="17"/>
  <c r="AW290" i="17" s="1"/>
  <c r="AT589" i="17"/>
  <c r="AW589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8" i="5"/>
  <c r="BI299" i="17"/>
  <c r="BL299" i="17" s="1"/>
  <c r="BI598" i="17"/>
  <c r="BL598" i="17" s="1"/>
  <c r="W304" i="5"/>
  <c r="BI305" i="17"/>
  <c r="BL305" i="17" s="1"/>
  <c r="BI604" i="17"/>
  <c r="BL604" i="17" s="1"/>
  <c r="W309" i="5"/>
  <c r="BI310" i="17"/>
  <c r="BL310" i="17" s="1"/>
  <c r="BI609" i="17"/>
  <c r="BL609" i="17" s="1"/>
  <c r="W315" i="5"/>
  <c r="BI316" i="17"/>
  <c r="BL316" i="17" s="1"/>
  <c r="BI615" i="17"/>
  <c r="BL615" i="17" s="1"/>
  <c r="W320" i="5"/>
  <c r="BI321" i="17"/>
  <c r="BL321" i="17" s="1"/>
  <c r="BI620" i="17"/>
  <c r="BL620" i="17" s="1"/>
  <c r="M324" i="5"/>
  <c r="AJ325" i="17"/>
  <c r="AM325" i="17" s="1"/>
  <c r="AJ624" i="17"/>
  <c r="AM624" i="17" s="1"/>
  <c r="W328" i="5"/>
  <c r="BI329" i="17"/>
  <c r="BL329" i="17" s="1"/>
  <c r="BI628" i="17"/>
  <c r="BL628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O344" i="5"/>
  <c r="AO345" i="17"/>
  <c r="AR345" i="17" s="1"/>
  <c r="AO644" i="17"/>
  <c r="AR644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M361" i="5"/>
  <c r="AJ362" i="17"/>
  <c r="AM362" i="17" s="1"/>
  <c r="AJ661" i="17"/>
  <c r="AM661" i="17" s="1"/>
  <c r="O366" i="5"/>
  <c r="AO367" i="17"/>
  <c r="AR367" i="17" s="1"/>
  <c r="AO666" i="17"/>
  <c r="AR666" i="17" s="1"/>
  <c r="O370" i="5"/>
  <c r="AO371" i="17"/>
  <c r="AR371" i="17" s="1"/>
  <c r="AO670" i="17"/>
  <c r="AR670" i="17" s="1"/>
  <c r="W373" i="5"/>
  <c r="BI374" i="17"/>
  <c r="BL374" i="17" s="1"/>
  <c r="BI673" i="17"/>
  <c r="BL673" i="17" s="1"/>
  <c r="W378" i="5"/>
  <c r="BI379" i="17"/>
  <c r="BL379" i="17" s="1"/>
  <c r="BI678" i="17"/>
  <c r="BL678" i="17" s="1"/>
  <c r="W383" i="5"/>
  <c r="BI683" i="17"/>
  <c r="BL683" i="17" s="1"/>
  <c r="M389" i="5"/>
  <c r="AJ689" i="17"/>
  <c r="AM689" i="17" s="1"/>
  <c r="W395" i="5"/>
  <c r="BI695" i="17"/>
  <c r="BL695" i="17" s="1"/>
  <c r="W400" i="5"/>
  <c r="BI700" i="17"/>
  <c r="BL700" i="17" s="1"/>
  <c r="W404" i="5"/>
  <c r="BI704" i="17"/>
  <c r="BL704" i="17" s="1"/>
  <c r="W411" i="5"/>
  <c r="BI711" i="17"/>
  <c r="BL711" i="17" s="1"/>
  <c r="W414" i="5"/>
  <c r="BI714" i="17"/>
  <c r="BL714" i="17" s="1"/>
  <c r="W419" i="5"/>
  <c r="BI719" i="17"/>
  <c r="BL719" i="17" s="1"/>
  <c r="M425" i="5"/>
  <c r="AJ725" i="17"/>
  <c r="AM725" i="17" s="1"/>
  <c r="W430" i="5"/>
  <c r="BI730" i="17"/>
  <c r="BL730" i="17" s="1"/>
  <c r="M438" i="5"/>
  <c r="AJ738" i="17"/>
  <c r="AM738" i="17" s="1"/>
  <c r="M442" i="5"/>
  <c r="AJ742" i="17"/>
  <c r="AM742" i="17" s="1"/>
  <c r="M447" i="5"/>
  <c r="AJ747" i="17"/>
  <c r="AM747" i="17" s="1"/>
  <c r="W450" i="5"/>
  <c r="BI750" i="17"/>
  <c r="BL750" i="17" s="1"/>
  <c r="W454" i="5"/>
  <c r="BI754" i="17"/>
  <c r="BL754" i="17" s="1"/>
  <c r="W457" i="5"/>
  <c r="BI757" i="17"/>
  <c r="BL757" i="17" s="1"/>
  <c r="W464" i="5"/>
  <c r="BI764" i="17"/>
  <c r="BL764" i="17" s="1"/>
  <c r="W471" i="5"/>
  <c r="BI771" i="17"/>
  <c r="BL771" i="17" s="1"/>
  <c r="W476" i="5"/>
  <c r="BI776" i="17"/>
  <c r="BL776" i="17" s="1"/>
  <c r="M483" i="5"/>
  <c r="AJ783" i="17"/>
  <c r="AM783" i="17" s="1"/>
  <c r="W484" i="5"/>
  <c r="BI784" i="17"/>
  <c r="BL784" i="17" s="1"/>
  <c r="W489" i="5"/>
  <c r="BI789" i="17"/>
  <c r="BL789" i="17" s="1"/>
  <c r="M494" i="5"/>
  <c r="AJ794" i="17"/>
  <c r="AM794" i="17" s="1"/>
  <c r="W500" i="5"/>
  <c r="BI800" i="17"/>
  <c r="BL800" i="17" s="1"/>
  <c r="M506" i="5"/>
  <c r="AJ806" i="17"/>
  <c r="AM806" i="17" s="1"/>
  <c r="W510" i="5"/>
  <c r="BI810" i="17"/>
  <c r="BL810" i="17" s="1"/>
  <c r="W515" i="5"/>
  <c r="BI815" i="17"/>
  <c r="BL815" i="17" s="1"/>
  <c r="W521" i="5"/>
  <c r="BI821" i="17"/>
  <c r="BL821" i="17" s="1"/>
  <c r="M523" i="5"/>
  <c r="AJ823" i="17"/>
  <c r="AM823" i="17" s="1"/>
  <c r="O531" i="5"/>
  <c r="AO831" i="17"/>
  <c r="AR831" i="17" s="1"/>
  <c r="W535" i="5"/>
  <c r="BI835" i="17"/>
  <c r="BL835" i="17" s="1"/>
  <c r="W537" i="5"/>
  <c r="W543" i="5"/>
  <c r="BI843" i="17"/>
  <c r="BL843" i="17" s="1"/>
  <c r="W548" i="5"/>
  <c r="S551" i="5"/>
  <c r="AY851" i="17"/>
  <c r="BB851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M579" i="5"/>
  <c r="AJ879" i="17"/>
  <c r="AM879" i="17" s="1"/>
  <c r="M585" i="5"/>
  <c r="AJ885" i="17"/>
  <c r="AM885" i="17" s="1"/>
  <c r="M591" i="5"/>
  <c r="AJ891" i="17"/>
  <c r="AM891" i="17" s="1"/>
  <c r="O596" i="5"/>
  <c r="AO896" i="17"/>
  <c r="AR896" i="17" s="1"/>
  <c r="O602" i="5"/>
  <c r="AO902" i="17"/>
  <c r="AR902" i="17" s="1"/>
  <c r="W606" i="5"/>
  <c r="BI906" i="17"/>
  <c r="BL906" i="17" s="1"/>
  <c r="O612" i="5"/>
  <c r="AO912" i="17"/>
  <c r="AR912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U648" i="5"/>
  <c r="BD948" i="17"/>
  <c r="BG948" i="17" s="1"/>
  <c r="W653" i="5"/>
  <c r="BI953" i="17"/>
  <c r="BL953" i="17" s="1"/>
  <c r="W659" i="5"/>
  <c r="BI959" i="17"/>
  <c r="BL959" i="17" s="1"/>
  <c r="M663" i="5"/>
  <c r="AJ963" i="17"/>
  <c r="AM963" i="17" s="1"/>
  <c r="W667" i="5"/>
  <c r="BI967" i="17"/>
  <c r="BL967" i="17" s="1"/>
  <c r="W676" i="5"/>
  <c r="BI976" i="17"/>
  <c r="BL976" i="17" s="1"/>
  <c r="W682" i="5"/>
  <c r="BI982" i="17"/>
  <c r="BL982" i="17" s="1"/>
  <c r="W687" i="5"/>
  <c r="BI987" i="17"/>
  <c r="BL987" i="17" s="1"/>
  <c r="W693" i="5"/>
  <c r="BI993" i="17"/>
  <c r="BL993" i="17" s="1"/>
  <c r="M699" i="5"/>
  <c r="AJ999" i="17"/>
  <c r="AM999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7" i="5"/>
  <c r="BI1037" i="17"/>
  <c r="BL1037" i="17" s="1"/>
  <c r="W761" i="5"/>
  <c r="BI1061" i="17"/>
  <c r="BL1061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Q835" i="5"/>
  <c r="AT1135" i="17"/>
  <c r="AW1135" i="17" s="1"/>
  <c r="M841" i="5"/>
  <c r="AJ1141" i="17"/>
  <c r="AM1141" i="17" s="1"/>
  <c r="M848" i="5"/>
  <c r="AJ1148" i="17"/>
  <c r="AM1148" i="17" s="1"/>
  <c r="W853" i="5"/>
  <c r="BI1153" i="17"/>
  <c r="BL1153" i="17" s="1"/>
  <c r="W861" i="5"/>
  <c r="BI1161" i="17"/>
  <c r="BL1161" i="17" s="1"/>
  <c r="Q318" i="5"/>
  <c r="AT319" i="17"/>
  <c r="AW319" i="17" s="1"/>
  <c r="AT618" i="17"/>
  <c r="AW618" i="17" s="1"/>
  <c r="P10" i="5"/>
  <c r="W13" i="5"/>
  <c r="BI14" i="17"/>
  <c r="BL14" i="17" s="1"/>
  <c r="W19" i="5"/>
  <c r="BI20" i="17"/>
  <c r="BL20" i="17" s="1"/>
  <c r="W23" i="5"/>
  <c r="BI24" i="17"/>
  <c r="BL24" i="17" s="1"/>
  <c r="M27" i="5"/>
  <c r="AJ28" i="17" s="1"/>
  <c r="AM28" i="17" s="1"/>
  <c r="P30" i="5"/>
  <c r="O33" i="5"/>
  <c r="AO34" i="17" s="1"/>
  <c r="AR34" i="17" s="1"/>
  <c r="W36" i="5"/>
  <c r="BI37" i="17"/>
  <c r="BL37" i="17" s="1"/>
  <c r="U39" i="5"/>
  <c r="BD40" i="17"/>
  <c r="BG40" i="17" s="1"/>
  <c r="W43" i="5"/>
  <c r="BI44" i="17"/>
  <c r="BL44" i="17" s="1"/>
  <c r="W47" i="5"/>
  <c r="BI48" i="17"/>
  <c r="BL48" i="17" s="1"/>
  <c r="W52" i="5"/>
  <c r="BI53" i="17"/>
  <c r="BL53" i="17" s="1"/>
  <c r="O58" i="5"/>
  <c r="AO59" i="17" s="1"/>
  <c r="AR59" i="17" s="1"/>
  <c r="W63" i="5"/>
  <c r="BI64" i="17"/>
  <c r="BL64" i="17" s="1"/>
  <c r="W66" i="5"/>
  <c r="BI67" i="17"/>
  <c r="BL67" i="17" s="1"/>
  <c r="O74" i="5"/>
  <c r="AO75" i="17" s="1"/>
  <c r="AR75" i="17" s="1"/>
  <c r="W78" i="5"/>
  <c r="BI79" i="17"/>
  <c r="BL79" i="17" s="1"/>
  <c r="W84" i="5"/>
  <c r="BI85" i="17"/>
  <c r="BL85" i="17" s="1"/>
  <c r="BI384" i="17"/>
  <c r="BL384" i="17" s="1"/>
  <c r="P88" i="5"/>
  <c r="W92" i="5"/>
  <c r="BI93" i="17"/>
  <c r="BL93" i="17" s="1"/>
  <c r="BI392" i="17"/>
  <c r="BL392" i="17" s="1"/>
  <c r="M96" i="5"/>
  <c r="AJ97" i="17"/>
  <c r="AM97" i="17" s="1"/>
  <c r="AJ396" i="17"/>
  <c r="AM396" i="17" s="1"/>
  <c r="P100" i="5"/>
  <c r="W107" i="5"/>
  <c r="BI108" i="17"/>
  <c r="BL108" i="17" s="1"/>
  <c r="BI407" i="17"/>
  <c r="BL407" i="17" s="1"/>
  <c r="W112" i="5"/>
  <c r="BI113" i="17"/>
  <c r="BL113" i="17" s="1"/>
  <c r="BI412" i="17"/>
  <c r="BL412" i="17" s="1"/>
  <c r="W118" i="5"/>
  <c r="BI119" i="17"/>
  <c r="BL119" i="17" s="1"/>
  <c r="BI418" i="17"/>
  <c r="BL418" i="17" s="1"/>
  <c r="O123" i="5"/>
  <c r="AO124" i="17" s="1"/>
  <c r="AR124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P139" i="5"/>
  <c r="W144" i="5"/>
  <c r="BI145" i="17"/>
  <c r="BL145" i="17" s="1"/>
  <c r="BI444" i="17"/>
  <c r="BL444" i="17" s="1"/>
  <c r="P149" i="5"/>
  <c r="W153" i="5"/>
  <c r="BI154" i="17"/>
  <c r="BL154" i="17" s="1"/>
  <c r="BI453" i="17"/>
  <c r="BL453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W172" i="5"/>
  <c r="BI173" i="17"/>
  <c r="BL173" i="17" s="1"/>
  <c r="BI472" i="17"/>
  <c r="BL472" i="17" s="1"/>
  <c r="P175" i="5"/>
  <c r="M179" i="5"/>
  <c r="AJ180" i="17"/>
  <c r="AM180" i="17" s="1"/>
  <c r="AJ479" i="17"/>
  <c r="AM479" i="17" s="1"/>
  <c r="P180" i="5"/>
  <c r="P183" i="5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P223" i="5"/>
  <c r="M229" i="5"/>
  <c r="AJ230" i="17"/>
  <c r="AM230" i="17" s="1"/>
  <c r="AJ529" i="17"/>
  <c r="AM529" i="17" s="1"/>
  <c r="P234" i="5"/>
  <c r="W238" i="5"/>
  <c r="BI239" i="17"/>
  <c r="BL239" i="17" s="1"/>
  <c r="BI538" i="17"/>
  <c r="BL538" i="17" s="1"/>
  <c r="M242" i="5"/>
  <c r="AJ243" i="17"/>
  <c r="AM243" i="17" s="1"/>
  <c r="AJ542" i="17"/>
  <c r="AM542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P286" i="5"/>
  <c r="W288" i="5"/>
  <c r="BI289" i="17"/>
  <c r="BL289" i="17" s="1"/>
  <c r="BI588" i="17"/>
  <c r="BL588" i="17" s="1"/>
  <c r="U291" i="5"/>
  <c r="BD292" i="17"/>
  <c r="BG292" i="17" s="1"/>
  <c r="BD591" i="17"/>
  <c r="BG591" i="17" s="1"/>
  <c r="P295" i="5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P341" i="5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P370" i="5"/>
  <c r="W374" i="5"/>
  <c r="BI375" i="17"/>
  <c r="BL375" i="17" s="1"/>
  <c r="BI674" i="17"/>
  <c r="BL674" i="17" s="1"/>
  <c r="M379" i="5"/>
  <c r="AJ380" i="17"/>
  <c r="AM380" i="17" s="1"/>
  <c r="AJ679" i="17"/>
  <c r="AM679" i="17" s="1"/>
  <c r="P382" i="5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P403" i="5"/>
  <c r="W408" i="5"/>
  <c r="BI708" i="17"/>
  <c r="BL708" i="17" s="1"/>
  <c r="M415" i="5"/>
  <c r="AJ715" i="17"/>
  <c r="AM715" i="17" s="1"/>
  <c r="M420" i="5"/>
  <c r="AJ720" i="17"/>
  <c r="AM720" i="17" s="1"/>
  <c r="W427" i="5"/>
  <c r="BI727" i="17"/>
  <c r="BL727" i="17" s="1"/>
  <c r="W434" i="5"/>
  <c r="BI734" i="17"/>
  <c r="BL734" i="17" s="1"/>
  <c r="W438" i="5"/>
  <c r="BI738" i="17"/>
  <c r="BL738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W490" i="5"/>
  <c r="BI790" i="17"/>
  <c r="BL790" i="17" s="1"/>
  <c r="M493" i="5"/>
  <c r="AJ793" i="17"/>
  <c r="AM793" i="17" s="1"/>
  <c r="W501" i="5"/>
  <c r="BI801" i="17"/>
  <c r="BL801" i="17" s="1"/>
  <c r="W506" i="5"/>
  <c r="BI806" i="17"/>
  <c r="BL806" i="17" s="1"/>
  <c r="W511" i="5"/>
  <c r="BI811" i="17"/>
  <c r="BL811" i="17" s="1"/>
  <c r="M516" i="5"/>
  <c r="AJ816" i="17"/>
  <c r="AM816" i="17" s="1"/>
  <c r="M522" i="5"/>
  <c r="AJ822" i="17"/>
  <c r="AM822" i="17" s="1"/>
  <c r="W525" i="5"/>
  <c r="BI825" i="17"/>
  <c r="BL825" i="17" s="1"/>
  <c r="W533" i="5"/>
  <c r="BI833" i="17"/>
  <c r="BL833" i="17" s="1"/>
  <c r="W538" i="5"/>
  <c r="BI838" i="17"/>
  <c r="BL838" i="17" s="1"/>
  <c r="W547" i="5"/>
  <c r="BI847" i="17"/>
  <c r="BL847" i="17" s="1"/>
  <c r="W551" i="5"/>
  <c r="BI851" i="17"/>
  <c r="BL851" i="17" s="1"/>
  <c r="M558" i="5"/>
  <c r="AJ858" i="17"/>
  <c r="AM858" i="17" s="1"/>
  <c r="W566" i="5"/>
  <c r="BI866" i="17"/>
  <c r="BL866" i="17" s="1"/>
  <c r="W571" i="5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W604" i="5"/>
  <c r="BI904" i="17"/>
  <c r="BL904" i="17" s="1"/>
  <c r="W610" i="5"/>
  <c r="BI910" i="17"/>
  <c r="BL910" i="17" s="1"/>
  <c r="W617" i="5"/>
  <c r="BI917" i="17"/>
  <c r="BL917" i="17" s="1"/>
  <c r="M622" i="5"/>
  <c r="AJ922" i="17"/>
  <c r="AM922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U651" i="5"/>
  <c r="BD951" i="17"/>
  <c r="BG951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5" i="5"/>
  <c r="BI985" i="17"/>
  <c r="BL985" i="17" s="1"/>
  <c r="W691" i="5"/>
  <c r="BI991" i="17"/>
  <c r="BL991" i="17" s="1"/>
  <c r="W699" i="5"/>
  <c r="BI999" i="17"/>
  <c r="BL999" i="17" s="1"/>
  <c r="W705" i="5"/>
  <c r="BI1005" i="17"/>
  <c r="BL1005" i="17" s="1"/>
  <c r="W711" i="5"/>
  <c r="BI1011" i="17"/>
  <c r="BL1011" i="17" s="1"/>
  <c r="M718" i="5"/>
  <c r="AJ1018" i="17"/>
  <c r="AM1018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50" i="5"/>
  <c r="BI1050" i="17"/>
  <c r="BL1050" i="17" s="1"/>
  <c r="W756" i="5"/>
  <c r="M765" i="5"/>
  <c r="AJ1065" i="17"/>
  <c r="AM1065" i="17" s="1"/>
  <c r="W772" i="5"/>
  <c r="BI1072" i="17"/>
  <c r="BL1072" i="17" s="1"/>
  <c r="P779" i="5"/>
  <c r="W786" i="5"/>
  <c r="BI1086" i="17"/>
  <c r="BL1086" i="17" s="1"/>
  <c r="P794" i="5"/>
  <c r="W805" i="5"/>
  <c r="BI1105" i="17"/>
  <c r="BL1105" i="17" s="1"/>
  <c r="W824" i="5"/>
  <c r="BI1124" i="17"/>
  <c r="BL1124" i="17" s="1"/>
  <c r="W865" i="5"/>
  <c r="BI1165" i="17"/>
  <c r="BL1165" i="17" s="1"/>
  <c r="M11" i="5"/>
  <c r="AJ12" i="17" s="1"/>
  <c r="AM12" i="17" s="1"/>
  <c r="W14" i="5"/>
  <c r="BI15" i="17"/>
  <c r="BL15" i="17" s="1"/>
  <c r="Q18" i="5"/>
  <c r="AT19" i="17"/>
  <c r="AW19" i="17" s="1"/>
  <c r="W21" i="5"/>
  <c r="BI22" i="17"/>
  <c r="BL22" i="17" s="1"/>
  <c r="W24" i="5"/>
  <c r="BI25" i="17"/>
  <c r="BL25" i="17" s="1"/>
  <c r="W27" i="5"/>
  <c r="BI28" i="17"/>
  <c r="BL28" i="17" s="1"/>
  <c r="Q29" i="5"/>
  <c r="AT30" i="17"/>
  <c r="AW30" i="17" s="1"/>
  <c r="Q32" i="5"/>
  <c r="AT33" i="17"/>
  <c r="AW33" i="17" s="1"/>
  <c r="Q37" i="5"/>
  <c r="AT38" i="17"/>
  <c r="AW38" i="17" s="1"/>
  <c r="M40" i="5"/>
  <c r="AJ41" i="17" s="1"/>
  <c r="AM41" i="17" s="1"/>
  <c r="W42" i="5"/>
  <c r="BI43" i="17"/>
  <c r="BL43" i="17" s="1"/>
  <c r="W46" i="5"/>
  <c r="BI47" i="17"/>
  <c r="BL47" i="17" s="1"/>
  <c r="O50" i="5"/>
  <c r="AO51" i="17" s="1"/>
  <c r="AR51" i="17" s="1"/>
  <c r="W53" i="5"/>
  <c r="BI54" i="17"/>
  <c r="BL54" i="17" s="1"/>
  <c r="M57" i="5"/>
  <c r="AJ58" i="17" s="1"/>
  <c r="AM58" i="17" s="1"/>
  <c r="Q60" i="5"/>
  <c r="AT61" i="17"/>
  <c r="AW61" i="17" s="1"/>
  <c r="Q64" i="5"/>
  <c r="AT65" i="17"/>
  <c r="AW65" i="17" s="1"/>
  <c r="W67" i="5"/>
  <c r="BI68" i="17"/>
  <c r="BL68" i="17" s="1"/>
  <c r="Q71" i="5"/>
  <c r="AT72" i="17"/>
  <c r="AW72" i="17" s="1"/>
  <c r="U74" i="5"/>
  <c r="BD75" i="17"/>
  <c r="BG75" i="17" s="1"/>
  <c r="W77" i="5"/>
  <c r="BI78" i="17"/>
  <c r="BL78" i="17" s="1"/>
  <c r="Q81" i="5"/>
  <c r="AT82" i="17"/>
  <c r="AW82" i="17" s="1"/>
  <c r="Q85" i="5"/>
  <c r="AT86" i="17"/>
  <c r="AW86" i="17" s="1"/>
  <c r="AT385" i="17"/>
  <c r="AW385" i="17" s="1"/>
  <c r="Q87" i="5"/>
  <c r="AT88" i="17"/>
  <c r="AW88" i="17" s="1"/>
  <c r="AT387" i="17"/>
  <c r="AW387" i="17" s="1"/>
  <c r="O90" i="5"/>
  <c r="AO91" i="17" s="1"/>
  <c r="AR91" i="17" s="1"/>
  <c r="Q93" i="5"/>
  <c r="AT94" i="17"/>
  <c r="AW94" i="17" s="1"/>
  <c r="AT393" i="17"/>
  <c r="AW393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/>
  <c r="AM123" i="17" s="1"/>
  <c r="AJ422" i="17"/>
  <c r="AM422" i="17" s="1"/>
  <c r="W124" i="5"/>
  <c r="BI125" i="17"/>
  <c r="BL125" i="17" s="1"/>
  <c r="BI424" i="17"/>
  <c r="BL424" i="17" s="1"/>
  <c r="M127" i="5"/>
  <c r="AJ128" i="17"/>
  <c r="AM128" i="17" s="1"/>
  <c r="AJ427" i="17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3" i="5"/>
  <c r="BI134" i="17"/>
  <c r="BL134" i="17" s="1"/>
  <c r="BI433" i="17"/>
  <c r="BL433" i="17" s="1"/>
  <c r="M136" i="5"/>
  <c r="AJ137" i="17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442" i="17" s="1"/>
  <c r="AR442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Q182" i="5"/>
  <c r="AT183" i="17"/>
  <c r="AW183" i="17" s="1"/>
  <c r="AT482" i="17"/>
  <c r="AW482" i="17" s="1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5" i="5"/>
  <c r="BI945" i="17"/>
  <c r="BL945" i="17" s="1"/>
  <c r="W652" i="5"/>
  <c r="BI952" i="17"/>
  <c r="BL952" i="17" s="1"/>
  <c r="W662" i="5"/>
  <c r="BI962" i="17"/>
  <c r="BL962" i="17" s="1"/>
  <c r="W666" i="5"/>
  <c r="BI966" i="17"/>
  <c r="BL966" i="17" s="1"/>
  <c r="W675" i="5"/>
  <c r="BI975" i="17"/>
  <c r="BL975" i="17" s="1"/>
  <c r="U684" i="5"/>
  <c r="BD984" i="17"/>
  <c r="BG984" i="17" s="1"/>
  <c r="W690" i="5"/>
  <c r="BI990" i="17"/>
  <c r="BL990" i="17" s="1"/>
  <c r="W698" i="5"/>
  <c r="BI998" i="17"/>
  <c r="BL998" i="17" s="1"/>
  <c r="W707" i="5"/>
  <c r="BI1007" i="17"/>
  <c r="BL1007" i="17" s="1"/>
  <c r="W716" i="5"/>
  <c r="BI1016" i="17"/>
  <c r="BL1016" i="17" s="1"/>
  <c r="W725" i="5"/>
  <c r="BI1025" i="17"/>
  <c r="BL1025" i="17" s="1"/>
  <c r="M731" i="5"/>
  <c r="AJ1031" i="17"/>
  <c r="AM1031" i="17" s="1"/>
  <c r="W736" i="5"/>
  <c r="BI1036" i="17"/>
  <c r="BL1036" i="17" s="1"/>
  <c r="W742" i="5"/>
  <c r="BI1042" i="17"/>
  <c r="BL1042" i="17" s="1"/>
  <c r="W748" i="5"/>
  <c r="BI1048" i="17"/>
  <c r="BL1048" i="17" s="1"/>
  <c r="W755" i="5"/>
  <c r="BI1055" i="17"/>
  <c r="BL1055" i="17" s="1"/>
  <c r="M761" i="5"/>
  <c r="AJ1061" i="17"/>
  <c r="AM1061" i="17" s="1"/>
  <c r="W766" i="5"/>
  <c r="BI1066" i="17"/>
  <c r="BL1066" i="17" s="1"/>
  <c r="W774" i="5"/>
  <c r="BI1074" i="17"/>
  <c r="BL1074" i="17" s="1"/>
  <c r="W780" i="5"/>
  <c r="BI1080" i="17"/>
  <c r="BL1080" i="17" s="1"/>
  <c r="W788" i="5"/>
  <c r="BI1088" i="17"/>
  <c r="BL1088" i="17" s="1"/>
  <c r="W792" i="5"/>
  <c r="BI1092" i="17"/>
  <c r="BL1092" i="17" s="1"/>
  <c r="W799" i="5"/>
  <c r="BI1099" i="17"/>
  <c r="BL1099" i="17" s="1"/>
  <c r="W807" i="5"/>
  <c r="BI1107" i="17"/>
  <c r="BL1107" i="17" s="1"/>
  <c r="W815" i="5"/>
  <c r="BI1115" i="17"/>
  <c r="BL1115" i="17" s="1"/>
  <c r="W822" i="5"/>
  <c r="BI1122" i="17"/>
  <c r="BL1122" i="17" s="1"/>
  <c r="W830" i="5"/>
  <c r="BI1130" i="17"/>
  <c r="BL1130" i="17" s="1"/>
  <c r="W837" i="5"/>
  <c r="BI1137" i="17"/>
  <c r="BL1137" i="17" s="1"/>
  <c r="W843" i="5"/>
  <c r="BI1143" i="17"/>
  <c r="BL1143" i="17" s="1"/>
  <c r="M850" i="5"/>
  <c r="AJ1150" i="17"/>
  <c r="AM1150" i="17" s="1"/>
  <c r="W856" i="5"/>
  <c r="BI1156" i="17"/>
  <c r="BL1156" i="17" s="1"/>
  <c r="W860" i="5"/>
  <c r="BI1160" i="17"/>
  <c r="BL1160" i="17" s="1"/>
  <c r="O684" i="5"/>
  <c r="AO984" i="17"/>
  <c r="AR984" i="17" s="1"/>
  <c r="W12" i="5"/>
  <c r="BI13" i="17"/>
  <c r="BL13" i="17" s="1"/>
  <c r="W16" i="5"/>
  <c r="BI17" i="17"/>
  <c r="BL17" i="17" s="1"/>
  <c r="W20" i="5"/>
  <c r="BI21" i="17"/>
  <c r="BL21" i="17" s="1"/>
  <c r="U23" i="5"/>
  <c r="BD24" i="17"/>
  <c r="BG24" i="17" s="1"/>
  <c r="W26" i="5"/>
  <c r="BI27" i="17"/>
  <c r="BL27" i="17" s="1"/>
  <c r="W29" i="5"/>
  <c r="BI30" i="17"/>
  <c r="BL30" i="17" s="1"/>
  <c r="Q31" i="5"/>
  <c r="AT32" i="17"/>
  <c r="AW32" i="17" s="1"/>
  <c r="O34" i="5"/>
  <c r="AO35" i="17" s="1"/>
  <c r="AR35" i="17" s="1"/>
  <c r="W37" i="5"/>
  <c r="BI38" i="17"/>
  <c r="BL38" i="17" s="1"/>
  <c r="O40" i="5"/>
  <c r="AO41" i="17" s="1"/>
  <c r="AR41" i="17" s="1"/>
  <c r="Q43" i="5"/>
  <c r="AT44" i="17"/>
  <c r="AW44" i="17" s="1"/>
  <c r="Q47" i="5"/>
  <c r="AT48" i="17"/>
  <c r="AW48" i="17" s="1"/>
  <c r="Q50" i="5"/>
  <c r="AT51" i="17"/>
  <c r="AW51" i="17" s="1"/>
  <c r="O54" i="5"/>
  <c r="AO55" i="17" s="1"/>
  <c r="AR55" i="17" s="1"/>
  <c r="W57" i="5"/>
  <c r="BI58" i="17"/>
  <c r="BL58" i="17" s="1"/>
  <c r="W60" i="5"/>
  <c r="BI61" i="17"/>
  <c r="BL61" i="17" s="1"/>
  <c r="W64" i="5"/>
  <c r="BI65" i="17"/>
  <c r="BL65" i="17" s="1"/>
  <c r="M68" i="5"/>
  <c r="AJ69" i="17" s="1"/>
  <c r="AM69" i="17" s="1"/>
  <c r="W71" i="5"/>
  <c r="BI72" i="17"/>
  <c r="BL72" i="17" s="1"/>
  <c r="W74" i="5"/>
  <c r="BI75" i="17"/>
  <c r="BL75" i="17" s="1"/>
  <c r="Q78" i="5"/>
  <c r="AT79" i="17"/>
  <c r="AW79" i="17" s="1"/>
  <c r="W81" i="5"/>
  <c r="BI82" i="17"/>
  <c r="BL82" i="17" s="1"/>
  <c r="W85" i="5"/>
  <c r="BI86" i="17"/>
  <c r="BL86" i="17" s="1"/>
  <c r="BI385" i="17"/>
  <c r="BL385" i="17" s="1"/>
  <c r="Q89" i="5"/>
  <c r="AT90" i="17"/>
  <c r="AW90" i="17" s="1"/>
  <c r="AT389" i="17"/>
  <c r="AW389" i="17" s="1"/>
  <c r="Q92" i="5"/>
  <c r="AT93" i="17"/>
  <c r="AW93" i="17" s="1"/>
  <c r="AT392" i="17"/>
  <c r="AW392" i="17" s="1"/>
  <c r="W95" i="5"/>
  <c r="BI96" i="17"/>
  <c r="BL96" i="17" s="1"/>
  <c r="BI395" i="17"/>
  <c r="BL395" i="17" s="1"/>
  <c r="W97" i="5"/>
  <c r="BI98" i="17"/>
  <c r="BL98" i="17" s="1"/>
  <c r="BI397" i="17"/>
  <c r="BL397" i="17" s="1"/>
  <c r="M102" i="5"/>
  <c r="AJ103" i="17"/>
  <c r="AM103" i="17" s="1"/>
  <c r="AJ402" i="17"/>
  <c r="AM402" i="17" s="1"/>
  <c r="W106" i="5"/>
  <c r="BI107" i="17"/>
  <c r="BL107" i="17" s="1"/>
  <c r="BI406" i="17"/>
  <c r="BL406" i="17" s="1"/>
  <c r="W111" i="5"/>
  <c r="BI112" i="17"/>
  <c r="BL112" i="17" s="1"/>
  <c r="BI411" i="17"/>
  <c r="BL411" i="17" s="1"/>
  <c r="W115" i="5"/>
  <c r="BI116" i="17"/>
  <c r="BL116" i="17" s="1"/>
  <c r="BI415" i="17"/>
  <c r="BL415" i="17" s="1"/>
  <c r="O120" i="5"/>
  <c r="AO121" i="17" s="1"/>
  <c r="AR121" i="17" s="1"/>
  <c r="M125" i="5"/>
  <c r="AJ126" i="17"/>
  <c r="AM126" i="17" s="1"/>
  <c r="AJ425" i="17"/>
  <c r="AM425" i="17" s="1"/>
  <c r="W128" i="5"/>
  <c r="BI129" i="17"/>
  <c r="BL129" i="17" s="1"/>
  <c r="BI428" i="17"/>
  <c r="BL428" i="17" s="1"/>
  <c r="O132" i="5"/>
  <c r="AO432" i="17" s="1"/>
  <c r="AR432" i="17" s="1"/>
  <c r="Q136" i="5"/>
  <c r="AT137" i="17"/>
  <c r="AW137" i="17" s="1"/>
  <c r="AT436" i="17"/>
  <c r="AW436" i="17" s="1"/>
  <c r="W139" i="5"/>
  <c r="W146" i="5"/>
  <c r="BI147" i="17"/>
  <c r="BL147" i="17" s="1"/>
  <c r="BI446" i="17"/>
  <c r="BL446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Q160" i="5"/>
  <c r="AT161" i="17"/>
  <c r="AW161" i="17" s="1"/>
  <c r="AT460" i="17"/>
  <c r="AW460" i="17" s="1"/>
  <c r="Q165" i="5"/>
  <c r="AT166" i="17"/>
  <c r="AW166" i="17" s="1"/>
  <c r="AT465" i="17"/>
  <c r="AW465" i="17" s="1"/>
  <c r="BI171" i="17"/>
  <c r="BL171" i="17" s="1"/>
  <c r="BI470" i="17"/>
  <c r="BL470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2" i="5"/>
  <c r="BI183" i="17"/>
  <c r="BL183" i="17" s="1"/>
  <c r="BI482" i="17"/>
  <c r="BL482" i="17" s="1"/>
  <c r="W186" i="5"/>
  <c r="BI187" i="17"/>
  <c r="BL187" i="17" s="1"/>
  <c r="BI486" i="17"/>
  <c r="BL486" i="17" s="1"/>
  <c r="W190" i="5"/>
  <c r="BI191" i="17"/>
  <c r="BL191" i="17" s="1"/>
  <c r="BI490" i="17"/>
  <c r="BL490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Q205" i="5"/>
  <c r="AT206" i="17"/>
  <c r="AW206" i="17" s="1"/>
  <c r="AT505" i="17"/>
  <c r="AW505" i="17" s="1"/>
  <c r="W209" i="5"/>
  <c r="BI210" i="17"/>
  <c r="BL210" i="17" s="1"/>
  <c r="BI509" i="17"/>
  <c r="BL509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M223" i="5"/>
  <c r="AJ224" i="17"/>
  <c r="AM224" i="17" s="1"/>
  <c r="AJ523" i="17"/>
  <c r="AM523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O236" i="5"/>
  <c r="AO237" i="17"/>
  <c r="AR237" i="17" s="1"/>
  <c r="AO536" i="17"/>
  <c r="AR536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W266" i="5"/>
  <c r="BI267" i="17"/>
  <c r="BL267" i="17" s="1"/>
  <c r="BI566" i="17"/>
  <c r="BL566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U288" i="5"/>
  <c r="BD289" i="17"/>
  <c r="BG289" i="17" s="1"/>
  <c r="BD588" i="17"/>
  <c r="BG588" i="17" s="1"/>
  <c r="W290" i="5"/>
  <c r="BI291" i="17"/>
  <c r="BL291" i="17" s="1"/>
  <c r="BI590" i="17"/>
  <c r="BL590" i="17" s="1"/>
  <c r="W296" i="5"/>
  <c r="BI297" i="17"/>
  <c r="BL297" i="17" s="1"/>
  <c r="BI596" i="17"/>
  <c r="BL596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12" i="5"/>
  <c r="BI313" i="17"/>
  <c r="BL313" i="17" s="1"/>
  <c r="BI612" i="17"/>
  <c r="BL612" i="17" s="1"/>
  <c r="W317" i="5"/>
  <c r="BI318" i="17"/>
  <c r="BL318" i="17" s="1"/>
  <c r="BI617" i="17"/>
  <c r="BL617" i="17" s="1"/>
  <c r="M323" i="5"/>
  <c r="AJ324" i="17"/>
  <c r="AM324" i="17" s="1"/>
  <c r="AJ623" i="17"/>
  <c r="AM623" i="17" s="1"/>
  <c r="W326" i="5"/>
  <c r="BI327" i="17"/>
  <c r="BL327" i="17" s="1"/>
  <c r="BI626" i="17"/>
  <c r="BL626" i="17" s="1"/>
  <c r="M332" i="5"/>
  <c r="AJ333" i="17"/>
  <c r="AM333" i="17" s="1"/>
  <c r="AJ632" i="17"/>
  <c r="AM632" i="17" s="1"/>
  <c r="W336" i="5"/>
  <c r="BI337" i="17"/>
  <c r="BL337" i="17" s="1"/>
  <c r="BI636" i="17"/>
  <c r="BL636" i="17" s="1"/>
  <c r="W341" i="5"/>
  <c r="BI342" i="17"/>
  <c r="BL342" i="17" s="1"/>
  <c r="BI641" i="17"/>
  <c r="BL641" i="17" s="1"/>
  <c r="W346" i="5"/>
  <c r="BI347" i="17"/>
  <c r="BL347" i="17" s="1"/>
  <c r="BI646" i="17"/>
  <c r="BL646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W363" i="5"/>
  <c r="BI364" i="17"/>
  <c r="BL364" i="17" s="1"/>
  <c r="BI663" i="17"/>
  <c r="BL663" i="17" s="1"/>
  <c r="W368" i="5"/>
  <c r="BI369" i="17"/>
  <c r="BL369" i="17" s="1"/>
  <c r="BI668" i="17"/>
  <c r="BL668" i="17" s="1"/>
  <c r="W371" i="5"/>
  <c r="BI372" i="17"/>
  <c r="BL372" i="17" s="1"/>
  <c r="BI671" i="17"/>
  <c r="BL671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W385" i="5"/>
  <c r="BI685" i="17"/>
  <c r="BL685" i="17" s="1"/>
  <c r="W392" i="5"/>
  <c r="BI692" i="17"/>
  <c r="BL692" i="17" s="1"/>
  <c r="W398" i="5"/>
  <c r="BI698" i="17"/>
  <c r="BL698" i="17" s="1"/>
  <c r="M403" i="5"/>
  <c r="AJ703" i="17"/>
  <c r="AM703" i="17" s="1"/>
  <c r="M408" i="5"/>
  <c r="AJ708" i="17"/>
  <c r="AM708" i="17" s="1"/>
  <c r="M417" i="5"/>
  <c r="AJ717" i="17"/>
  <c r="AM717" i="17" s="1"/>
  <c r="M422" i="5"/>
  <c r="AJ722" i="17"/>
  <c r="AM722" i="17" s="1"/>
  <c r="M427" i="5"/>
  <c r="AJ727" i="17"/>
  <c r="AM727" i="17" s="1"/>
  <c r="W433" i="5"/>
  <c r="BI733" i="17"/>
  <c r="BL733" i="17" s="1"/>
  <c r="W435" i="5"/>
  <c r="BI735" i="17"/>
  <c r="BL735" i="17" s="1"/>
  <c r="W440" i="5"/>
  <c r="BI740" i="17"/>
  <c r="BL740" i="17" s="1"/>
  <c r="W444" i="5"/>
  <c r="BI744" i="17"/>
  <c r="BL744" i="17" s="1"/>
  <c r="M449" i="5"/>
  <c r="AJ749" i="17"/>
  <c r="AM749" i="17" s="1"/>
  <c r="W452" i="5"/>
  <c r="BI752" i="17"/>
  <c r="BL752" i="17" s="1"/>
  <c r="W460" i="5"/>
  <c r="BI760" i="17"/>
  <c r="BL760" i="17" s="1"/>
  <c r="W468" i="5"/>
  <c r="BI768" i="17"/>
  <c r="BL768" i="17" s="1"/>
  <c r="Q474" i="5"/>
  <c r="AT774" i="17"/>
  <c r="AW774" i="17" s="1"/>
  <c r="W479" i="5"/>
  <c r="BI779" i="17"/>
  <c r="BL779" i="17" s="1"/>
  <c r="M488" i="5"/>
  <c r="AJ788" i="17"/>
  <c r="AM788" i="17" s="1"/>
  <c r="W492" i="5"/>
  <c r="BI792" i="17"/>
  <c r="BL792" i="17" s="1"/>
  <c r="W497" i="5"/>
  <c r="BI797" i="17"/>
  <c r="BL797" i="17" s="1"/>
  <c r="W503" i="5"/>
  <c r="BI803" i="17"/>
  <c r="BL803" i="17" s="1"/>
  <c r="W508" i="5"/>
  <c r="BI808" i="17"/>
  <c r="BL808" i="17" s="1"/>
  <c r="W513" i="5"/>
  <c r="BI813" i="17"/>
  <c r="BL813" i="17" s="1"/>
  <c r="W518" i="5"/>
  <c r="BI818" i="17"/>
  <c r="BL818" i="17" s="1"/>
  <c r="Q525" i="5"/>
  <c r="AT825" i="17"/>
  <c r="AW825" i="17" s="1"/>
  <c r="W528" i="5"/>
  <c r="BI828" i="17"/>
  <c r="BL828" i="17" s="1"/>
  <c r="M533" i="5"/>
  <c r="AJ833" i="17"/>
  <c r="AM833" i="17" s="1"/>
  <c r="M540" i="5"/>
  <c r="AJ840" i="17"/>
  <c r="AM840" i="17" s="1"/>
  <c r="W546" i="5"/>
  <c r="BI846" i="17"/>
  <c r="BL846" i="17" s="1"/>
  <c r="M554" i="5"/>
  <c r="AJ854" i="17"/>
  <c r="AM854" i="17" s="1"/>
  <c r="W577" i="5"/>
  <c r="BI877" i="17"/>
  <c r="BL877" i="17" s="1"/>
  <c r="W582" i="5"/>
  <c r="BI882" i="17"/>
  <c r="BL882" i="17" s="1"/>
  <c r="W587" i="5"/>
  <c r="BI887" i="17"/>
  <c r="BL887" i="17" s="1"/>
  <c r="W593" i="5"/>
  <c r="BI893" i="17"/>
  <c r="BL893" i="17" s="1"/>
  <c r="U599" i="5"/>
  <c r="BD899" i="17"/>
  <c r="BG899" i="17" s="1"/>
  <c r="Q601" i="5"/>
  <c r="AT901" i="17"/>
  <c r="AW901" i="17" s="1"/>
  <c r="W603" i="5"/>
  <c r="BI903" i="17"/>
  <c r="BL903" i="17" s="1"/>
  <c r="W609" i="5"/>
  <c r="BI909" i="17"/>
  <c r="BL909" i="17" s="1"/>
  <c r="W614" i="5"/>
  <c r="BI914" i="17"/>
  <c r="BL914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W650" i="5"/>
  <c r="BI950" i="17"/>
  <c r="BL950" i="17" s="1"/>
  <c r="M657" i="5"/>
  <c r="AJ957" i="17"/>
  <c r="AM957" i="17" s="1"/>
  <c r="U665" i="5"/>
  <c r="BD965" i="17"/>
  <c r="BG965" i="17" s="1"/>
  <c r="W670" i="5"/>
  <c r="BI970" i="17"/>
  <c r="BL970" i="17" s="1"/>
  <c r="W673" i="5"/>
  <c r="BI973" i="17"/>
  <c r="BL973" i="17" s="1"/>
  <c r="W679" i="5"/>
  <c r="BI979" i="17"/>
  <c r="BL979" i="17" s="1"/>
  <c r="W684" i="5"/>
  <c r="BI984" i="17"/>
  <c r="BL984" i="17" s="1"/>
  <c r="O691" i="5"/>
  <c r="AO991" i="17"/>
  <c r="AR991" i="17" s="1"/>
  <c r="W695" i="5"/>
  <c r="BI995" i="17"/>
  <c r="BL995" i="17" s="1"/>
  <c r="W701" i="5"/>
  <c r="BI1001" i="17"/>
  <c r="BL1001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31" i="5"/>
  <c r="BI1031" i="17"/>
  <c r="BL1031" i="17" s="1"/>
  <c r="W734" i="5"/>
  <c r="BI1034" i="17"/>
  <c r="BL1034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W831" i="5"/>
  <c r="BI1131" i="17"/>
  <c r="BL1131" i="17" s="1"/>
  <c r="W838" i="5"/>
  <c r="BI1138" i="17"/>
  <c r="BL1138" i="17" s="1"/>
  <c r="W844" i="5"/>
  <c r="BI1144" i="17"/>
  <c r="BL1144" i="17" s="1"/>
  <c r="W850" i="5"/>
  <c r="BI1150" i="17"/>
  <c r="BL1150" i="17" s="1"/>
  <c r="W857" i="5"/>
  <c r="BI1157" i="17"/>
  <c r="BL1157" i="17" s="1"/>
  <c r="W864" i="5"/>
  <c r="BI1164" i="17"/>
  <c r="BL1164" i="17" s="1"/>
  <c r="P3" i="5"/>
  <c r="P6" i="5"/>
  <c r="W11" i="5"/>
  <c r="BI12" i="17"/>
  <c r="BL12" i="17" s="1"/>
  <c r="W15" i="5"/>
  <c r="BI16" i="17"/>
  <c r="BL16" i="17" s="1"/>
  <c r="W17" i="5"/>
  <c r="BI18" i="17"/>
  <c r="BL18" i="17" s="1"/>
  <c r="M21" i="5"/>
  <c r="AJ22" i="17" s="1"/>
  <c r="AM22" i="17" s="1"/>
  <c r="P22" i="5"/>
  <c r="M26" i="5"/>
  <c r="AJ27" i="17" s="1"/>
  <c r="AM27" i="17" s="1"/>
  <c r="W28" i="5"/>
  <c r="BI29" i="17"/>
  <c r="BL29" i="17" s="1"/>
  <c r="W31" i="5"/>
  <c r="BI32" i="17"/>
  <c r="BL32" i="17" s="1"/>
  <c r="P34" i="5"/>
  <c r="O38" i="5"/>
  <c r="AO39" i="17" s="1"/>
  <c r="AR39" i="17" s="1"/>
  <c r="W40" i="5"/>
  <c r="BI41" i="17"/>
  <c r="BL41" i="17" s="1"/>
  <c r="M42" i="5"/>
  <c r="AJ43" i="17" s="1"/>
  <c r="AM43" i="17" s="1"/>
  <c r="U45" i="5"/>
  <c r="BD46" i="17"/>
  <c r="BG46" i="17" s="1"/>
  <c r="W49" i="5"/>
  <c r="BI50" i="17"/>
  <c r="BL50" i="17" s="1"/>
  <c r="W50" i="5"/>
  <c r="BI51" i="17"/>
  <c r="BL51" i="17" s="1"/>
  <c r="P54" i="5"/>
  <c r="P56" i="5"/>
  <c r="W59" i="5"/>
  <c r="BI60" i="17"/>
  <c r="BL60" i="17" s="1"/>
  <c r="P61" i="5"/>
  <c r="M65" i="5"/>
  <c r="AJ66" i="17" s="1"/>
  <c r="AM66" i="17" s="1"/>
  <c r="W68" i="5"/>
  <c r="BI69" i="17"/>
  <c r="BL69" i="17" s="1"/>
  <c r="P70" i="5"/>
  <c r="O72" i="5"/>
  <c r="AO73" i="17" s="1"/>
  <c r="AR73" i="17" s="1"/>
  <c r="P75" i="5"/>
  <c r="W76" i="5"/>
  <c r="BI77" i="17"/>
  <c r="BL77" i="17" s="1"/>
  <c r="P80" i="5"/>
  <c r="W82" i="5"/>
  <c r="BI83" i="17"/>
  <c r="BL83" i="17" s="1"/>
  <c r="P86" i="5"/>
  <c r="W89" i="5"/>
  <c r="BI90" i="17"/>
  <c r="BL90" i="17" s="1"/>
  <c r="BI389" i="17"/>
  <c r="BL389" i="17" s="1"/>
  <c r="W90" i="5"/>
  <c r="BI91" i="17"/>
  <c r="BL91" i="17" s="1"/>
  <c r="BI390" i="17"/>
  <c r="BL390" i="17" s="1"/>
  <c r="M94" i="5"/>
  <c r="AJ95" i="17"/>
  <c r="AM95" i="17" s="1"/>
  <c r="AJ394" i="17"/>
  <c r="AM394" i="17" s="1"/>
  <c r="P98" i="5"/>
  <c r="W102" i="5"/>
  <c r="BI103" i="17"/>
  <c r="BL103" i="17" s="1"/>
  <c r="BI402" i="17"/>
  <c r="BL402" i="17" s="1"/>
  <c r="O105" i="5"/>
  <c r="AO106" i="17" s="1"/>
  <c r="AR106" i="17" s="1"/>
  <c r="O110" i="5"/>
  <c r="AO111" i="17" s="1"/>
  <c r="AR111" i="17" s="1"/>
  <c r="W114" i="5"/>
  <c r="BI115" i="17"/>
  <c r="BL115" i="17" s="1"/>
  <c r="BI414" i="17"/>
  <c r="BL414" i="17" s="1"/>
  <c r="P116" i="5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130" i="17"/>
  <c r="AM130" i="17" s="1"/>
  <c r="AJ429" i="17"/>
  <c r="AM429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40" i="5"/>
  <c r="BI141" i="17"/>
  <c r="BL141" i="17" s="1"/>
  <c r="BI440" i="17"/>
  <c r="BL440" i="17" s="1"/>
  <c r="P143" i="5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P159" i="5"/>
  <c r="O164" i="5"/>
  <c r="AO165" i="17"/>
  <c r="AR165" i="17" s="1"/>
  <c r="AO464" i="17"/>
  <c r="AR464" i="17" s="1"/>
  <c r="M168" i="5"/>
  <c r="AJ169" i="17"/>
  <c r="AM169" i="17" s="1"/>
  <c r="AJ468" i="17"/>
  <c r="AM468" i="17" s="1"/>
  <c r="W170" i="5"/>
  <c r="P174" i="5"/>
  <c r="U177" i="5"/>
  <c r="BD178" i="17"/>
  <c r="BG178" i="17" s="1"/>
  <c r="BD477" i="17"/>
  <c r="BG477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P187" i="5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P203" i="5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P235" i="5"/>
  <c r="P236" i="5"/>
  <c r="M241" i="5"/>
  <c r="AJ242" i="17"/>
  <c r="AM242" i="17" s="1"/>
  <c r="AJ541" i="17"/>
  <c r="AM541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M384" i="5"/>
  <c r="AJ684" i="17"/>
  <c r="AM684" i="17" s="1"/>
  <c r="P401" i="5"/>
  <c r="W405" i="5"/>
  <c r="BI705" i="17"/>
  <c r="BL705" i="17" s="1"/>
  <c r="O412" i="5"/>
  <c r="AO712" i="17"/>
  <c r="AR712" i="17" s="1"/>
  <c r="W417" i="5"/>
  <c r="BI717" i="17"/>
  <c r="BL717" i="17" s="1"/>
  <c r="W422" i="5"/>
  <c r="BI722" i="17"/>
  <c r="BL722" i="17" s="1"/>
  <c r="W425" i="5"/>
  <c r="BI725" i="17"/>
  <c r="BL725" i="17" s="1"/>
  <c r="W431" i="5"/>
  <c r="BI731" i="17"/>
  <c r="BL731" i="17" s="1"/>
  <c r="M436" i="5"/>
  <c r="AJ736" i="17"/>
  <c r="AM736" i="17" s="1"/>
  <c r="M441" i="5"/>
  <c r="AJ741" i="17"/>
  <c r="AM741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4" i="5"/>
  <c r="BI794" i="17"/>
  <c r="BL794" i="17" s="1"/>
  <c r="W498" i="5"/>
  <c r="BI798" i="17"/>
  <c r="BL798" i="17" s="1"/>
  <c r="O504" i="5"/>
  <c r="AO804" i="17"/>
  <c r="AR804" i="17" s="1"/>
  <c r="W509" i="5"/>
  <c r="BI809" i="17"/>
  <c r="BL809" i="17" s="1"/>
  <c r="O514" i="5"/>
  <c r="AO814" i="17"/>
  <c r="AR814" i="17" s="1"/>
  <c r="W519" i="5"/>
  <c r="BI819" i="17"/>
  <c r="BL819" i="17" s="1"/>
  <c r="W523" i="5"/>
  <c r="BI823" i="17"/>
  <c r="BL823" i="17" s="1"/>
  <c r="W529" i="5"/>
  <c r="BI829" i="17"/>
  <c r="BL829" i="17" s="1"/>
  <c r="P531" i="5"/>
  <c r="M536" i="5"/>
  <c r="AJ836" i="17"/>
  <c r="AM836" i="17" s="1"/>
  <c r="W540" i="5"/>
  <c r="BI840" i="17"/>
  <c r="BL840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3" i="5"/>
  <c r="BI863" i="17"/>
  <c r="BL863" i="17" s="1"/>
  <c r="W569" i="5"/>
  <c r="BI869" i="17"/>
  <c r="BL869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P602" i="5"/>
  <c r="W607" i="5"/>
  <c r="BI907" i="17"/>
  <c r="BL907" i="17" s="1"/>
  <c r="W612" i="5"/>
  <c r="BI912" i="17"/>
  <c r="BL912" i="17" s="1"/>
  <c r="M615" i="5"/>
  <c r="AJ915" i="17"/>
  <c r="AM915" i="17" s="1"/>
  <c r="M620" i="5"/>
  <c r="AJ920" i="17"/>
  <c r="AM920" i="17" s="1"/>
  <c r="M625" i="5"/>
  <c r="AJ925" i="17"/>
  <c r="AM925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W648" i="5"/>
  <c r="BI948" i="17"/>
  <c r="BL948" i="17" s="1"/>
  <c r="W654" i="5"/>
  <c r="BI954" i="17"/>
  <c r="BL954" i="17" s="1"/>
  <c r="W657" i="5"/>
  <c r="BI957" i="17"/>
  <c r="BL957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3" i="5"/>
  <c r="BI983" i="17"/>
  <c r="BL983" i="17" s="1"/>
  <c r="W688" i="5"/>
  <c r="BI988" i="17"/>
  <c r="BL988" i="17" s="1"/>
  <c r="M694" i="5"/>
  <c r="AJ994" i="17"/>
  <c r="AM994" i="17" s="1"/>
  <c r="W696" i="5"/>
  <c r="BI996" i="17"/>
  <c r="BL996" i="17" s="1"/>
  <c r="W702" i="5"/>
  <c r="BI1002" i="17"/>
  <c r="BL1002" i="17" s="1"/>
  <c r="W708" i="5"/>
  <c r="BI1008" i="17"/>
  <c r="BL1008" i="17" s="1"/>
  <c r="W714" i="5"/>
  <c r="BI1014" i="17"/>
  <c r="BL1014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47" i="5"/>
  <c r="BI1047" i="17"/>
  <c r="BL1047" i="17" s="1"/>
  <c r="W753" i="5"/>
  <c r="BI1053" i="17"/>
  <c r="BL1053" i="17" s="1"/>
  <c r="W759" i="5"/>
  <c r="BI1059" i="17"/>
  <c r="BL1059" i="17" s="1"/>
  <c r="W762" i="5"/>
  <c r="BI1062" i="17"/>
  <c r="BL1062" i="17" s="1"/>
  <c r="W768" i="5"/>
  <c r="BI1068" i="17"/>
  <c r="BL1068" i="17" s="1"/>
  <c r="P776" i="5"/>
  <c r="W782" i="5"/>
  <c r="BI1082" i="17"/>
  <c r="BL1082" i="17" s="1"/>
  <c r="W790" i="5"/>
  <c r="BI1090" i="17"/>
  <c r="BL1090" i="17" s="1"/>
  <c r="W797" i="5"/>
  <c r="BI1097" i="17"/>
  <c r="BL1097" i="17" s="1"/>
  <c r="W801" i="5"/>
  <c r="BI1101" i="17"/>
  <c r="BL1101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S778" i="5"/>
  <c r="AY1078" i="17"/>
  <c r="BB1078" i="17" s="1"/>
  <c r="P5" i="5"/>
  <c r="U6" i="5"/>
  <c r="BD6" i="17"/>
  <c r="BG6" i="17" s="1"/>
  <c r="P8" i="5"/>
  <c r="W10" i="5"/>
  <c r="BI11" i="17"/>
  <c r="BL11" i="17" s="1"/>
  <c r="BI10" i="17"/>
  <c r="BL10" i="17" s="1"/>
  <c r="M12" i="5"/>
  <c r="AJ13" i="17" s="1"/>
  <c r="AM13" i="17" s="1"/>
  <c r="P14" i="5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 s="1"/>
  <c r="AR22" i="17" s="1"/>
  <c r="W22" i="5"/>
  <c r="BI23" i="17"/>
  <c r="BL23" i="17" s="1"/>
  <c r="P24" i="5"/>
  <c r="O26" i="5"/>
  <c r="AO27" i="17" s="1"/>
  <c r="AR27" i="17" s="1"/>
  <c r="P27" i="5"/>
  <c r="F29" i="5"/>
  <c r="W30" i="5"/>
  <c r="BI31" i="17"/>
  <c r="BL31" i="17" s="1"/>
  <c r="M32" i="5"/>
  <c r="AJ33" i="17"/>
  <c r="AM33" i="17" s="1"/>
  <c r="P33" i="5"/>
  <c r="W34" i="5"/>
  <c r="BI35" i="17"/>
  <c r="BL35" i="17" s="1"/>
  <c r="M37" i="5"/>
  <c r="AJ38" i="17" s="1"/>
  <c r="AM38" i="17" s="1"/>
  <c r="P38" i="5"/>
  <c r="W39" i="5"/>
  <c r="BI40" i="17"/>
  <c r="BL40" i="17" s="1"/>
  <c r="M41" i="5"/>
  <c r="AJ42" i="17" s="1"/>
  <c r="AM42" i="17" s="1"/>
  <c r="P42" i="5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P58" i="5"/>
  <c r="O60" i="5"/>
  <c r="AO61" i="17"/>
  <c r="AR61" i="17" s="1"/>
  <c r="W61" i="5"/>
  <c r="BI62" i="17"/>
  <c r="BL62" i="17" s="1"/>
  <c r="M64" i="5"/>
  <c r="AJ65" i="17" s="1"/>
  <c r="AM65" i="17" s="1"/>
  <c r="P65" i="5"/>
  <c r="P67" i="5"/>
  <c r="P69" i="5"/>
  <c r="W70" i="5"/>
  <c r="BI71" i="17"/>
  <c r="BL71" i="17" s="1"/>
  <c r="P72" i="5"/>
  <c r="P74" i="5"/>
  <c r="W75" i="5"/>
  <c r="BI76" i="17"/>
  <c r="BL76" i="17" s="1"/>
  <c r="P77" i="5"/>
  <c r="P79" i="5"/>
  <c r="W80" i="5"/>
  <c r="BI81" i="17"/>
  <c r="BL81" i="17" s="1"/>
  <c r="P83" i="5"/>
  <c r="O85" i="5"/>
  <c r="AO385" i="17" s="1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/>
  <c r="AM91" i="17" s="1"/>
  <c r="AJ390" i="17"/>
  <c r="AM390" i="17" s="1"/>
  <c r="M91" i="5"/>
  <c r="AJ92" i="17"/>
  <c r="AM92" i="17" s="1"/>
  <c r="AJ391" i="17"/>
  <c r="AM391" i="17" s="1"/>
  <c r="M93" i="5"/>
  <c r="AJ94" i="17"/>
  <c r="AM94" i="17" s="1"/>
  <c r="AJ393" i="17"/>
  <c r="AM393" i="17" s="1"/>
  <c r="P94" i="5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P108" i="5"/>
  <c r="U110" i="5"/>
  <c r="BD111" i="17"/>
  <c r="BG111" i="17" s="1"/>
  <c r="BD410" i="17"/>
  <c r="BG410" i="17" s="1"/>
  <c r="M113" i="5"/>
  <c r="AJ114" i="17"/>
  <c r="AM114" i="17" s="1"/>
  <c r="AJ413" i="17"/>
  <c r="AM413" i="17" s="1"/>
  <c r="M115" i="5"/>
  <c r="AJ116" i="17"/>
  <c r="AM116" i="17" s="1"/>
  <c r="AJ415" i="17"/>
  <c r="AM415" i="17" s="1"/>
  <c r="W116" i="5"/>
  <c r="BI117" i="17"/>
  <c r="BL117" i="17" s="1"/>
  <c r="BI416" i="17"/>
  <c r="BL416" i="17" s="1"/>
  <c r="M119" i="5"/>
  <c r="AJ120" i="17"/>
  <c r="AM120" i="17" s="1"/>
  <c r="AJ419" i="17"/>
  <c r="AM419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129" i="17"/>
  <c r="AM129" i="17" s="1"/>
  <c r="AJ428" i="17"/>
  <c r="AM428" i="17" s="1"/>
  <c r="U129" i="5"/>
  <c r="BD130" i="17"/>
  <c r="BG130" i="17" s="1"/>
  <c r="BD429" i="17"/>
  <c r="BG429" i="17" s="1"/>
  <c r="P131" i="5"/>
  <c r="M133" i="5"/>
  <c r="AJ134" i="17"/>
  <c r="AM134" i="17" s="1"/>
  <c r="AJ433" i="17"/>
  <c r="AM433" i="17" s="1"/>
  <c r="W135" i="5"/>
  <c r="BI136" i="17"/>
  <c r="BL136" i="17" s="1"/>
  <c r="BI435" i="17"/>
  <c r="BL435" i="17" s="1"/>
  <c r="O137" i="5"/>
  <c r="AO437" i="17" s="1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P145" i="5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P164" i="5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P191" i="5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P202" i="5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P211" i="5"/>
  <c r="P213" i="5"/>
  <c r="M216" i="5"/>
  <c r="AJ217" i="17"/>
  <c r="AM217" i="17" s="1"/>
  <c r="AJ516" i="17"/>
  <c r="AM516" i="17" s="1"/>
  <c r="W218" i="5"/>
  <c r="BI219" i="17"/>
  <c r="BL219" i="17" s="1"/>
  <c r="BI518" i="17"/>
  <c r="BL518" i="17" s="1"/>
  <c r="P220" i="5"/>
  <c r="P222" i="5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P239" i="5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P247" i="5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P303" i="5"/>
  <c r="W305" i="5"/>
  <c r="BI306" i="17"/>
  <c r="BL306" i="17" s="1"/>
  <c r="BI605" i="17"/>
  <c r="BL605" i="17" s="1"/>
  <c r="P308" i="5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P323" i="5"/>
  <c r="P325" i="5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P369" i="5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AT9" i="17" s="1"/>
  <c r="AW9" i="17" s="1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O138" i="17" l="1"/>
  <c r="AR138" i="17" s="1"/>
  <c r="AO423" i="17"/>
  <c r="AR423" i="17" s="1"/>
  <c r="AO418" i="17"/>
  <c r="AR418" i="17" s="1"/>
  <c r="AO143" i="17"/>
  <c r="AR143" i="17" s="1"/>
  <c r="AO405" i="17"/>
  <c r="AR405" i="17" s="1"/>
  <c r="AO133" i="17"/>
  <c r="AR133" i="17" s="1"/>
  <c r="AO420" i="17"/>
  <c r="AR420" i="17" s="1"/>
  <c r="AO114" i="17"/>
  <c r="AR114" i="17" s="1"/>
  <c r="AO86" i="17"/>
  <c r="AR86" i="17" s="1"/>
  <c r="M843" i="5"/>
  <c r="AJ1143" i="17"/>
  <c r="AM1143" i="17" s="1"/>
  <c r="M830" i="5"/>
  <c r="AJ1130" i="17"/>
  <c r="AM1130" i="17" s="1"/>
  <c r="M818" i="5"/>
  <c r="AJ1118" i="17"/>
  <c r="AM1118" i="17" s="1"/>
  <c r="M806" i="5"/>
  <c r="AJ1106" i="17"/>
  <c r="AM1106" i="17" s="1"/>
  <c r="M802" i="5"/>
  <c r="AJ1102" i="17"/>
  <c r="AM1102" i="17" s="1"/>
  <c r="M790" i="5"/>
  <c r="AJ1090" i="17"/>
  <c r="AM1090" i="17" s="1"/>
  <c r="M782" i="5"/>
  <c r="AJ1082" i="17"/>
  <c r="AM1082" i="17" s="1"/>
  <c r="M774" i="5"/>
  <c r="AJ1074" i="17"/>
  <c r="AM1074" i="17" s="1"/>
  <c r="M766" i="5"/>
  <c r="AJ1066" i="17"/>
  <c r="AM1066" i="17" s="1"/>
  <c r="Q833" i="5"/>
  <c r="AT1133" i="17"/>
  <c r="AW1133" i="17" s="1"/>
  <c r="Q802" i="5"/>
  <c r="AT1102" i="17"/>
  <c r="AW1102" i="17" s="1"/>
  <c r="U838" i="5"/>
  <c r="BD1138" i="17"/>
  <c r="BG1138" i="17" s="1"/>
  <c r="U789" i="5"/>
  <c r="BD1089" i="17"/>
  <c r="BG1089" i="17" s="1"/>
  <c r="O847" i="5"/>
  <c r="AO1147" i="17"/>
  <c r="AR1147" i="17" s="1"/>
  <c r="O828" i="5"/>
  <c r="AO1128" i="17"/>
  <c r="AR1128" i="17" s="1"/>
  <c r="O761" i="5"/>
  <c r="AO1061" i="17"/>
  <c r="AR1061" i="17" s="1"/>
  <c r="Q757" i="5"/>
  <c r="AT1057" i="17"/>
  <c r="AW1057" i="17" s="1"/>
  <c r="Q722" i="5"/>
  <c r="AT1022" i="17"/>
  <c r="AW1022" i="17" s="1"/>
  <c r="Q678" i="5"/>
  <c r="AT978" i="17"/>
  <c r="AW978" i="17" s="1"/>
  <c r="Q625" i="5"/>
  <c r="AT925" i="17"/>
  <c r="AW925" i="17" s="1"/>
  <c r="Q842" i="5"/>
  <c r="AT1142" i="17"/>
  <c r="AW1142" i="17" s="1"/>
  <c r="M865" i="5"/>
  <c r="AJ1165" i="17"/>
  <c r="AM1165" i="17" s="1"/>
  <c r="O736" i="5"/>
  <c r="AO1036" i="17"/>
  <c r="AR1036" i="17" s="1"/>
  <c r="O795" i="5"/>
  <c r="AO1095" i="17"/>
  <c r="AR1095" i="17" s="1"/>
  <c r="O713" i="5"/>
  <c r="AO1013" i="17"/>
  <c r="AR1013" i="17" s="1"/>
  <c r="O784" i="5"/>
  <c r="AO1084" i="17"/>
  <c r="AR1084" i="17" s="1"/>
  <c r="O821" i="5"/>
  <c r="AO1121" i="17"/>
  <c r="AR1121" i="17" s="1"/>
  <c r="Q114" i="5"/>
  <c r="AT115" i="17"/>
  <c r="AW115" i="17" s="1"/>
  <c r="AT414" i="17"/>
  <c r="AW414" i="17" s="1"/>
  <c r="Q141" i="5"/>
  <c r="AT142" i="17"/>
  <c r="AW142" i="17" s="1"/>
  <c r="AT441" i="17"/>
  <c r="AW441" i="17" s="1"/>
  <c r="Q172" i="5"/>
  <c r="AT173" i="17"/>
  <c r="AW173" i="17" s="1"/>
  <c r="AT472" i="17"/>
  <c r="AW472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385" i="5"/>
  <c r="AT685" i="17"/>
  <c r="AW685" i="17" s="1"/>
  <c r="Q462" i="5"/>
  <c r="AT762" i="17"/>
  <c r="AW762" i="17" s="1"/>
  <c r="Q128" i="5"/>
  <c r="AT129" i="17"/>
  <c r="AW129" i="17" s="1"/>
  <c r="AT428" i="17"/>
  <c r="AW428" i="17" s="1"/>
  <c r="Q198" i="5"/>
  <c r="AT199" i="17"/>
  <c r="AW199" i="17" s="1"/>
  <c r="AT498" i="17"/>
  <c r="AW498" i="17" s="1"/>
  <c r="Q224" i="5"/>
  <c r="AT225" i="17"/>
  <c r="AW225" i="17" s="1"/>
  <c r="AT524" i="17"/>
  <c r="AW524" i="17" s="1"/>
  <c r="M856" i="5"/>
  <c r="AJ1156" i="17"/>
  <c r="AM1156" i="17" s="1"/>
  <c r="M826" i="5"/>
  <c r="AJ1126" i="17"/>
  <c r="AM1126" i="17" s="1"/>
  <c r="M814" i="5"/>
  <c r="AJ1114" i="17"/>
  <c r="AM1114" i="17" s="1"/>
  <c r="M794" i="5"/>
  <c r="AJ1094" i="17"/>
  <c r="AM1094" i="17" s="1"/>
  <c r="M786" i="5"/>
  <c r="AJ1086" i="17"/>
  <c r="AM1086" i="17" s="1"/>
  <c r="M770" i="5"/>
  <c r="AJ1070" i="17"/>
  <c r="AM1070" i="17" s="1"/>
  <c r="Q856" i="5"/>
  <c r="AT1156" i="17"/>
  <c r="AW1156" i="17" s="1"/>
  <c r="Q787" i="5"/>
  <c r="AT1087" i="17"/>
  <c r="AW1087" i="17" s="1"/>
  <c r="U802" i="5"/>
  <c r="BD1102" i="17"/>
  <c r="BG1102" i="17" s="1"/>
  <c r="O822" i="5"/>
  <c r="AO1122" i="17"/>
  <c r="AR1122" i="17" s="1"/>
  <c r="O770" i="5"/>
  <c r="AO1070" i="17"/>
  <c r="AR1070" i="17" s="1"/>
  <c r="Q795" i="5"/>
  <c r="AT1095" i="17"/>
  <c r="AW1095" i="17" s="1"/>
  <c r="Q711" i="5"/>
  <c r="AT1011" i="17"/>
  <c r="AW1011" i="17" s="1"/>
  <c r="Q656" i="5"/>
  <c r="AT956" i="17"/>
  <c r="AW956" i="17" s="1"/>
  <c r="Q613" i="5"/>
  <c r="AT913" i="17"/>
  <c r="AW913" i="17" s="1"/>
  <c r="Q825" i="5"/>
  <c r="AT1125" i="17"/>
  <c r="AW1125" i="17" s="1"/>
  <c r="Q822" i="5"/>
  <c r="AT1122" i="17"/>
  <c r="AW1122" i="17" s="1"/>
  <c r="O748" i="5"/>
  <c r="AO1048" i="17"/>
  <c r="AR1048" i="17" s="1"/>
  <c r="O848" i="5"/>
  <c r="AO1148" i="17"/>
  <c r="AR1148" i="17" s="1"/>
  <c r="O737" i="5"/>
  <c r="AO1037" i="17"/>
  <c r="AR1037" i="17" s="1"/>
  <c r="O802" i="5"/>
  <c r="AO1102" i="17"/>
  <c r="AR1102" i="17" s="1"/>
  <c r="Q103" i="5"/>
  <c r="AT104" i="17"/>
  <c r="AW104" i="17" s="1"/>
  <c r="AT403" i="17"/>
  <c r="AW403" i="17" s="1"/>
  <c r="Q125" i="5"/>
  <c r="AT126" i="17"/>
  <c r="AW126" i="17" s="1"/>
  <c r="AT425" i="17"/>
  <c r="AW425" i="17" s="1"/>
  <c r="Q157" i="5"/>
  <c r="AT158" i="17"/>
  <c r="AW158" i="17" s="1"/>
  <c r="AT457" i="17"/>
  <c r="AW457" i="17" s="1"/>
  <c r="Q225" i="5"/>
  <c r="AT226" i="17"/>
  <c r="AW226" i="17" s="1"/>
  <c r="AT525" i="17"/>
  <c r="AW525" i="17" s="1"/>
  <c r="Q255" i="5"/>
  <c r="AT256" i="17"/>
  <c r="AW256" i="17" s="1"/>
  <c r="AT555" i="17"/>
  <c r="AW555" i="17" s="1"/>
  <c r="Q427" i="5"/>
  <c r="AT727" i="17"/>
  <c r="AW727" i="17" s="1"/>
  <c r="Q681" i="5"/>
  <c r="AT981" i="17"/>
  <c r="AW981" i="17" s="1"/>
  <c r="Q179" i="5"/>
  <c r="AT180" i="17"/>
  <c r="AW180" i="17" s="1"/>
  <c r="AT479" i="17"/>
  <c r="AW479" i="17" s="1"/>
  <c r="Q207" i="5"/>
  <c r="AT208" i="17"/>
  <c r="AW208" i="17" s="1"/>
  <c r="AT507" i="17"/>
  <c r="AW507" i="17" s="1"/>
  <c r="M834" i="5"/>
  <c r="AJ1134" i="17"/>
  <c r="AM1134" i="17" s="1"/>
  <c r="M822" i="5"/>
  <c r="AJ1122" i="17"/>
  <c r="AM1122" i="17" s="1"/>
  <c r="M810" i="5"/>
  <c r="AJ1110" i="17"/>
  <c r="AM1110" i="17" s="1"/>
  <c r="M798" i="5"/>
  <c r="AJ1098" i="17"/>
  <c r="AM1098" i="17" s="1"/>
  <c r="M778" i="5"/>
  <c r="AJ1078" i="17"/>
  <c r="AM1078" i="17" s="1"/>
  <c r="O839" i="5"/>
  <c r="AO1139" i="17"/>
  <c r="AR1139" i="17" s="1"/>
  <c r="Q815" i="5"/>
  <c r="AT1115" i="17"/>
  <c r="AW1115" i="17" s="1"/>
  <c r="U827" i="5"/>
  <c r="BD1127" i="17"/>
  <c r="BG1127" i="17" s="1"/>
  <c r="O844" i="5"/>
  <c r="AO1144" i="17"/>
  <c r="AR1144" i="17" s="1"/>
  <c r="O800" i="5"/>
  <c r="AO1100" i="17"/>
  <c r="AR1100" i="17" s="1"/>
  <c r="Q847" i="5"/>
  <c r="AT1147" i="17"/>
  <c r="AW1147" i="17" s="1"/>
  <c r="Q736" i="5"/>
  <c r="AT1036" i="17"/>
  <c r="AW1036" i="17" s="1"/>
  <c r="Q696" i="5"/>
  <c r="AT996" i="17"/>
  <c r="AW996" i="17" s="1"/>
  <c r="Q640" i="5"/>
  <c r="AT940" i="17"/>
  <c r="AW940" i="17" s="1"/>
  <c r="Q804" i="5"/>
  <c r="AT1104" i="17"/>
  <c r="AW1104" i="17" s="1"/>
  <c r="Q855" i="5"/>
  <c r="AT1155" i="17"/>
  <c r="AW1155" i="17" s="1"/>
  <c r="Q801" i="5"/>
  <c r="AT1101" i="17"/>
  <c r="AW1101" i="17" s="1"/>
  <c r="Q837" i="5"/>
  <c r="AT1137" i="17"/>
  <c r="AW1137" i="17" s="1"/>
  <c r="O779" i="5"/>
  <c r="AO1079" i="17"/>
  <c r="AR1079" i="17" s="1"/>
  <c r="O816" i="5"/>
  <c r="AO1116" i="17"/>
  <c r="AR1116" i="17" s="1"/>
  <c r="O759" i="5"/>
  <c r="AO1059" i="17"/>
  <c r="AR1059" i="17" s="1"/>
  <c r="O834" i="5"/>
  <c r="AO1134" i="17"/>
  <c r="AR1134" i="17" s="1"/>
  <c r="Q133" i="5"/>
  <c r="AT134" i="17"/>
  <c r="AW134" i="17" s="1"/>
  <c r="AT433" i="17"/>
  <c r="AW433" i="17" s="1"/>
  <c r="Q188" i="5"/>
  <c r="AT189" i="17"/>
  <c r="AW189" i="17" s="1"/>
  <c r="AT488" i="17"/>
  <c r="AW488" i="17" s="1"/>
  <c r="Q238" i="5"/>
  <c r="AT239" i="17"/>
  <c r="AW239" i="17" s="1"/>
  <c r="AT538" i="17"/>
  <c r="AW538" i="17" s="1"/>
  <c r="Q313" i="5"/>
  <c r="AT314" i="17"/>
  <c r="AW314" i="17" s="1"/>
  <c r="AT613" i="17"/>
  <c r="AW613" i="17" s="1"/>
  <c r="Q606" i="5"/>
  <c r="AT906" i="17"/>
  <c r="AW906" i="17" s="1"/>
  <c r="Q162" i="5"/>
  <c r="AT163" i="17"/>
  <c r="AW163" i="17" s="1"/>
  <c r="AT462" i="17"/>
  <c r="AW462" i="17" s="1"/>
  <c r="Q233" i="5"/>
  <c r="AT234" i="17"/>
  <c r="AW234" i="17" s="1"/>
  <c r="AT533" i="17"/>
  <c r="AW533" i="17" s="1"/>
  <c r="Q390" i="5"/>
  <c r="AT690" i="17"/>
  <c r="AW690" i="17" s="1"/>
  <c r="Q550" i="5"/>
  <c r="AT850" i="17"/>
  <c r="AW850" i="17" s="1"/>
  <c r="Q263" i="5"/>
  <c r="AT264" i="17"/>
  <c r="AW264" i="17" s="1"/>
  <c r="AT563" i="17"/>
  <c r="AW563" i="17" s="1"/>
  <c r="Q366" i="5"/>
  <c r="AT367" i="17"/>
  <c r="AW367" i="17" s="1"/>
  <c r="AT666" i="17"/>
  <c r="AW666" i="17" s="1"/>
  <c r="Q490" i="5"/>
  <c r="AT790" i="17"/>
  <c r="AW790" i="17" s="1"/>
  <c r="Q281" i="5"/>
  <c r="AT282" i="17"/>
  <c r="AW282" i="17" s="1"/>
  <c r="AT581" i="17"/>
  <c r="AW581" i="17" s="1"/>
  <c r="Q415" i="5"/>
  <c r="AT715" i="17"/>
  <c r="AW715" i="17" s="1"/>
  <c r="Q585" i="5"/>
  <c r="AT885" i="17"/>
  <c r="AW885" i="17" s="1"/>
  <c r="Q276" i="5"/>
  <c r="AT277" i="17"/>
  <c r="AW277" i="17" s="1"/>
  <c r="AT576" i="17"/>
  <c r="AW576" i="17" s="1"/>
  <c r="Q355" i="5"/>
  <c r="AT356" i="17"/>
  <c r="AW356" i="17" s="1"/>
  <c r="AT655" i="17"/>
  <c r="AW655" i="17" s="1"/>
  <c r="Q398" i="5"/>
  <c r="AT698" i="17"/>
  <c r="AW698" i="17" s="1"/>
  <c r="Q495" i="5"/>
  <c r="AT795" i="17"/>
  <c r="AW795" i="17" s="1"/>
  <c r="Q575" i="5"/>
  <c r="AT875" i="17"/>
  <c r="AW875" i="17" s="1"/>
  <c r="Q346" i="5"/>
  <c r="AT347" i="17"/>
  <c r="AW347" i="17" s="1"/>
  <c r="AT646" i="17"/>
  <c r="AW646" i="17" s="1"/>
  <c r="Q411" i="5"/>
  <c r="AT711" i="17"/>
  <c r="AW711" i="17" s="1"/>
  <c r="Q511" i="5"/>
  <c r="AT811" i="17"/>
  <c r="AW811" i="17" s="1"/>
  <c r="Q740" i="5"/>
  <c r="AT1040" i="17"/>
  <c r="AW1040" i="17" s="1"/>
  <c r="Q496" i="5"/>
  <c r="AT796" i="17"/>
  <c r="AW796" i="17" s="1"/>
  <c r="Q532" i="5"/>
  <c r="AT832" i="17"/>
  <c r="AW832" i="17" s="1"/>
  <c r="Q669" i="5"/>
  <c r="AT969" i="17"/>
  <c r="AW969" i="17" s="1"/>
  <c r="Q437" i="5"/>
  <c r="AT737" i="17"/>
  <c r="AW737" i="17" s="1"/>
  <c r="Q471" i="5"/>
  <c r="AT771" i="17"/>
  <c r="AW771" i="17" s="1"/>
  <c r="Q527" i="5"/>
  <c r="AT827" i="17"/>
  <c r="AW827" i="17" s="1"/>
  <c r="Q582" i="5"/>
  <c r="AT882" i="17"/>
  <c r="AW882" i="17" s="1"/>
  <c r="Q629" i="5"/>
  <c r="AT929" i="17"/>
  <c r="AW929" i="17" s="1"/>
  <c r="Q710" i="5"/>
  <c r="AT1010" i="17"/>
  <c r="AW1010" i="17" s="1"/>
  <c r="Q744" i="5"/>
  <c r="AT1044" i="17"/>
  <c r="AW1044" i="17" s="1"/>
  <c r="Q592" i="5"/>
  <c r="AT892" i="17"/>
  <c r="AW892" i="17" s="1"/>
  <c r="Q697" i="5"/>
  <c r="AT997" i="17"/>
  <c r="AW997" i="17" s="1"/>
  <c r="Q814" i="5"/>
  <c r="AT1114" i="17"/>
  <c r="AW1114" i="17" s="1"/>
  <c r="Q717" i="5"/>
  <c r="AT1017" i="17"/>
  <c r="AW1017" i="17" s="1"/>
  <c r="Q788" i="5"/>
  <c r="AT1088" i="17"/>
  <c r="AW1088" i="17" s="1"/>
  <c r="Q208" i="5"/>
  <c r="AT209" i="17"/>
  <c r="AW209" i="17" s="1"/>
  <c r="AT508" i="17"/>
  <c r="AW508" i="17" s="1"/>
  <c r="Q151" i="5"/>
  <c r="AT152" i="17"/>
  <c r="AW152" i="17" s="1"/>
  <c r="AT451" i="17"/>
  <c r="AW451" i="17" s="1"/>
  <c r="Q110" i="5"/>
  <c r="AT111" i="17"/>
  <c r="AW111" i="17" s="1"/>
  <c r="AT410" i="17"/>
  <c r="AW410" i="17" s="1"/>
  <c r="Q48" i="5"/>
  <c r="AT49" i="17"/>
  <c r="AW49" i="17" s="1"/>
  <c r="S247" i="5"/>
  <c r="AY248" i="17"/>
  <c r="BB248" i="17" s="1"/>
  <c r="AY547" i="17"/>
  <c r="BB547" i="17" s="1"/>
  <c r="S297" i="5"/>
  <c r="AY298" i="17"/>
  <c r="BB298" i="17" s="1"/>
  <c r="AY597" i="17"/>
  <c r="BB597" i="17" s="1"/>
  <c r="S348" i="5"/>
  <c r="AY349" i="17"/>
  <c r="BB349" i="17" s="1"/>
  <c r="AY648" i="17"/>
  <c r="BB648" i="17" s="1"/>
  <c r="S395" i="5"/>
  <c r="AY695" i="17"/>
  <c r="BB695" i="17" s="1"/>
  <c r="S489" i="5"/>
  <c r="AY789" i="17"/>
  <c r="BB789" i="17" s="1"/>
  <c r="S598" i="5"/>
  <c r="AY898" i="17"/>
  <c r="BB898" i="17" s="1"/>
  <c r="S682" i="5"/>
  <c r="AY982" i="17"/>
  <c r="BB982" i="17" s="1"/>
  <c r="S721" i="5"/>
  <c r="AY1021" i="17"/>
  <c r="BB1021" i="17" s="1"/>
  <c r="S823" i="5"/>
  <c r="AY1123" i="17"/>
  <c r="BB1123" i="17" s="1"/>
  <c r="S15" i="5"/>
  <c r="AY16" i="17"/>
  <c r="BB16" i="17" s="1"/>
  <c r="S46" i="5"/>
  <c r="AY47" i="17"/>
  <c r="BB47" i="17" s="1"/>
  <c r="S106" i="5"/>
  <c r="AY107" i="17"/>
  <c r="BB107" i="17" s="1"/>
  <c r="AY406" i="17"/>
  <c r="BB406" i="17" s="1"/>
  <c r="S194" i="5"/>
  <c r="AY195" i="17"/>
  <c r="BB195" i="17" s="1"/>
  <c r="AY494" i="17"/>
  <c r="BB494" i="17" s="1"/>
  <c r="S220" i="5"/>
  <c r="AY221" i="17"/>
  <c r="BB221" i="17" s="1"/>
  <c r="AY520" i="17"/>
  <c r="BB520" i="17" s="1"/>
  <c r="S289" i="5"/>
  <c r="AY290" i="17"/>
  <c r="BB290" i="17" s="1"/>
  <c r="AY589" i="17"/>
  <c r="BB589" i="17" s="1"/>
  <c r="S330" i="5"/>
  <c r="AY331" i="17"/>
  <c r="BB331" i="17" s="1"/>
  <c r="AY630" i="17"/>
  <c r="BB630" i="17" s="1"/>
  <c r="S391" i="5"/>
  <c r="AY691" i="17"/>
  <c r="BB691" i="17" s="1"/>
  <c r="S453" i="5"/>
  <c r="AY753" i="17"/>
  <c r="BB753" i="17" s="1"/>
  <c r="S507" i="5"/>
  <c r="AY807" i="17"/>
  <c r="BB807" i="17" s="1"/>
  <c r="S545" i="5"/>
  <c r="AY845" i="17"/>
  <c r="BB845" i="17" s="1"/>
  <c r="S604" i="5"/>
  <c r="AY904" i="17"/>
  <c r="BB904" i="17" s="1"/>
  <c r="S698" i="5"/>
  <c r="AY998" i="17"/>
  <c r="BB998" i="17" s="1"/>
  <c r="S774" i="5"/>
  <c r="AY1074" i="17"/>
  <c r="BB1074" i="17" s="1"/>
  <c r="S824" i="5"/>
  <c r="AY1124" i="17"/>
  <c r="BB1124" i="17" s="1"/>
  <c r="S850" i="5"/>
  <c r="AY1150" i="17"/>
  <c r="BB1150" i="17" s="1"/>
  <c r="S602" i="5"/>
  <c r="AY902" i="17"/>
  <c r="BB902" i="17" s="1"/>
  <c r="S677" i="5"/>
  <c r="AY977" i="17"/>
  <c r="BB977" i="17" s="1"/>
  <c r="S709" i="5"/>
  <c r="AY1009" i="17"/>
  <c r="BB1009" i="17" s="1"/>
  <c r="S767" i="5"/>
  <c r="AY1067" i="17"/>
  <c r="BB1067" i="17" s="1"/>
  <c r="S829" i="5"/>
  <c r="AY1129" i="17"/>
  <c r="BB1129" i="17" s="1"/>
  <c r="S711" i="5"/>
  <c r="AY1011" i="17"/>
  <c r="BB1011" i="17" s="1"/>
  <c r="S546" i="5"/>
  <c r="AY846" i="17"/>
  <c r="BB846" i="17" s="1"/>
  <c r="S474" i="5"/>
  <c r="AY774" i="17"/>
  <c r="BB774" i="17" s="1"/>
  <c r="S365" i="5"/>
  <c r="AY366" i="17"/>
  <c r="BB366" i="17" s="1"/>
  <c r="AY665" i="17"/>
  <c r="BB665" i="17" s="1"/>
  <c r="S497" i="5"/>
  <c r="AY797" i="17"/>
  <c r="BB797" i="17" s="1"/>
  <c r="S107" i="5"/>
  <c r="AY108" i="17"/>
  <c r="BB108" i="17" s="1"/>
  <c r="AY407" i="17"/>
  <c r="BB407" i="17" s="1"/>
  <c r="S32" i="5"/>
  <c r="AY33" i="17"/>
  <c r="BB33" i="17" s="1"/>
  <c r="S80" i="5"/>
  <c r="AY81" i="17"/>
  <c r="BB81" i="17" s="1"/>
  <c r="S230" i="5"/>
  <c r="AY231" i="17"/>
  <c r="BB231" i="17" s="1"/>
  <c r="AY530" i="17"/>
  <c r="BB530" i="17" s="1"/>
  <c r="S332" i="5"/>
  <c r="AY333" i="17"/>
  <c r="BB333" i="17" s="1"/>
  <c r="AY632" i="17"/>
  <c r="BB632" i="17" s="1"/>
  <c r="S525" i="5"/>
  <c r="AY825" i="17"/>
  <c r="BB825" i="17" s="1"/>
  <c r="S658" i="5"/>
  <c r="AY958" i="17"/>
  <c r="BB958" i="17" s="1"/>
  <c r="S753" i="5"/>
  <c r="AY1053" i="17"/>
  <c r="BB1053" i="17" s="1"/>
  <c r="S40" i="5"/>
  <c r="AY41" i="17"/>
  <c r="BB41" i="17" s="1"/>
  <c r="S179" i="5"/>
  <c r="AY180" i="17"/>
  <c r="BB180" i="17" s="1"/>
  <c r="AY479" i="17"/>
  <c r="BB479" i="17" s="1"/>
  <c r="S294" i="5"/>
  <c r="AY295" i="17"/>
  <c r="BB295" i="17" s="1"/>
  <c r="AY594" i="17"/>
  <c r="BB594" i="17" s="1"/>
  <c r="S434" i="5"/>
  <c r="AY734" i="17"/>
  <c r="BB734" i="17" s="1"/>
  <c r="S620" i="5"/>
  <c r="AY920" i="17"/>
  <c r="BB920" i="17" s="1"/>
  <c r="S726" i="5"/>
  <c r="AY1026" i="17"/>
  <c r="BB1026" i="17" s="1"/>
  <c r="S140" i="5"/>
  <c r="AY141" i="17"/>
  <c r="BB141" i="17" s="1"/>
  <c r="AY440" i="17"/>
  <c r="BB440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99" i="5"/>
  <c r="AY799" i="17"/>
  <c r="BB799" i="17" s="1"/>
  <c r="S609" i="5"/>
  <c r="AY909" i="17"/>
  <c r="BB909" i="17" s="1"/>
  <c r="S722" i="5"/>
  <c r="AY1022" i="17"/>
  <c r="BB1022" i="17" s="1"/>
  <c r="S138" i="5"/>
  <c r="AY139" i="17"/>
  <c r="BB139" i="17" s="1"/>
  <c r="AY438" i="17"/>
  <c r="BB438" i="17" s="1"/>
  <c r="U853" i="5"/>
  <c r="BD1153" i="17"/>
  <c r="BG1153" i="17" s="1"/>
  <c r="U795" i="5"/>
  <c r="BD1095" i="17"/>
  <c r="BG1095" i="17" s="1"/>
  <c r="U720" i="5"/>
  <c r="BD1020" i="17"/>
  <c r="BG1020" i="17" s="1"/>
  <c r="U673" i="5"/>
  <c r="BD973" i="17"/>
  <c r="BG973" i="17" s="1"/>
  <c r="U738" i="5"/>
  <c r="BD1038" i="17"/>
  <c r="BG1038" i="17" s="1"/>
  <c r="U529" i="5"/>
  <c r="BD829" i="17"/>
  <c r="BG829" i="17" s="1"/>
  <c r="U585" i="5"/>
  <c r="BD885" i="17"/>
  <c r="BG885" i="17" s="1"/>
  <c r="U627" i="5"/>
  <c r="BD927" i="17"/>
  <c r="BG927" i="17" s="1"/>
  <c r="U732" i="5"/>
  <c r="BD1032" i="17"/>
  <c r="BG1032" i="17" s="1"/>
  <c r="U500" i="5"/>
  <c r="BD800" i="17"/>
  <c r="BG800" i="17" s="1"/>
  <c r="U527" i="5"/>
  <c r="BD827" i="17"/>
  <c r="BG827" i="17" s="1"/>
  <c r="U594" i="5"/>
  <c r="BD894" i="17"/>
  <c r="BG894" i="17" s="1"/>
  <c r="U662" i="5"/>
  <c r="BD962" i="17"/>
  <c r="BG962" i="17" s="1"/>
  <c r="U726" i="5"/>
  <c r="BD1026" i="17"/>
  <c r="BG1026" i="17" s="1"/>
  <c r="U767" i="5"/>
  <c r="BD1067" i="17"/>
  <c r="BG1067" i="17" s="1"/>
  <c r="U821" i="5"/>
  <c r="BD1121" i="17"/>
  <c r="BG1121" i="17" s="1"/>
  <c r="U856" i="5"/>
  <c r="BD1156" i="17"/>
  <c r="BG1156" i="17" s="1"/>
  <c r="O824" i="5"/>
  <c r="AO1124" i="17"/>
  <c r="AR1124" i="17" s="1"/>
  <c r="O856" i="5"/>
  <c r="AO1156" i="17"/>
  <c r="AR1156" i="17" s="1"/>
  <c r="O765" i="5"/>
  <c r="AO1065" i="17"/>
  <c r="AR1065" i="17" s="1"/>
  <c r="O785" i="5"/>
  <c r="AO1085" i="17"/>
  <c r="AR1085" i="17" s="1"/>
  <c r="O103" i="5"/>
  <c r="AO104" i="17" s="1"/>
  <c r="AR104" i="17" s="1"/>
  <c r="O168" i="5"/>
  <c r="AO169" i="17"/>
  <c r="AR169" i="17" s="1"/>
  <c r="AO468" i="17"/>
  <c r="AR468" i="17" s="1"/>
  <c r="O231" i="5"/>
  <c r="AO232" i="17"/>
  <c r="AR232" i="17" s="1"/>
  <c r="AO531" i="17"/>
  <c r="AR531" i="17" s="1"/>
  <c r="O296" i="5"/>
  <c r="AO297" i="17"/>
  <c r="AR297" i="17" s="1"/>
  <c r="AO596" i="17"/>
  <c r="AR596" i="17" s="1"/>
  <c r="O378" i="5"/>
  <c r="AO379" i="17"/>
  <c r="AR379" i="17" s="1"/>
  <c r="AO678" i="17"/>
  <c r="AR678" i="17" s="1"/>
  <c r="O494" i="5"/>
  <c r="AO794" i="17"/>
  <c r="AR794" i="17" s="1"/>
  <c r="O546" i="5"/>
  <c r="AO846" i="17"/>
  <c r="AR846" i="17" s="1"/>
  <c r="O625" i="5"/>
  <c r="AO925" i="17"/>
  <c r="AR925" i="17" s="1"/>
  <c r="O685" i="5"/>
  <c r="AO985" i="17"/>
  <c r="AR985" i="17" s="1"/>
  <c r="O32" i="5"/>
  <c r="AO33" i="17" s="1"/>
  <c r="AR33" i="17" s="1"/>
  <c r="O91" i="5"/>
  <c r="AO92" i="17" s="1"/>
  <c r="AR92" i="17" s="1"/>
  <c r="O141" i="5"/>
  <c r="AO441" i="17" s="1"/>
  <c r="AR441" i="17" s="1"/>
  <c r="AO142" i="17"/>
  <c r="AR142" i="17" s="1"/>
  <c r="O211" i="5"/>
  <c r="AO212" i="17"/>
  <c r="AR212" i="17" s="1"/>
  <c r="AO511" i="17"/>
  <c r="AR511" i="17" s="1"/>
  <c r="O261" i="5"/>
  <c r="AO262" i="17"/>
  <c r="AR262" i="17" s="1"/>
  <c r="AO561" i="17"/>
  <c r="AR561" i="17" s="1"/>
  <c r="O319" i="5"/>
  <c r="AO320" i="17"/>
  <c r="AR320" i="17" s="1"/>
  <c r="AO619" i="17"/>
  <c r="AR619" i="17" s="1"/>
  <c r="O383" i="5"/>
  <c r="AO683" i="17"/>
  <c r="AR683" i="17" s="1"/>
  <c r="O417" i="5"/>
  <c r="AO717" i="17"/>
  <c r="AR717" i="17" s="1"/>
  <c r="O502" i="5"/>
  <c r="AO802" i="17"/>
  <c r="AR802" i="17" s="1"/>
  <c r="O572" i="5"/>
  <c r="AO872" i="17"/>
  <c r="AR872" i="17" s="1"/>
  <c r="O654" i="5"/>
  <c r="AO954" i="17"/>
  <c r="AR954" i="17" s="1"/>
  <c r="O703" i="5"/>
  <c r="AO1003" i="17"/>
  <c r="AR1003" i="17" s="1"/>
  <c r="O346" i="5"/>
  <c r="AO347" i="17"/>
  <c r="AR347" i="17" s="1"/>
  <c r="AO646" i="17"/>
  <c r="AR646" i="17" s="1"/>
  <c r="O403" i="5"/>
  <c r="AO703" i="17"/>
  <c r="AR703" i="17" s="1"/>
  <c r="O459" i="5"/>
  <c r="AO759" i="17"/>
  <c r="AR759" i="17" s="1"/>
  <c r="O563" i="5"/>
  <c r="AO863" i="17"/>
  <c r="AR863" i="17" s="1"/>
  <c r="O614" i="5"/>
  <c r="AO914" i="17"/>
  <c r="AR914" i="17" s="1"/>
  <c r="O680" i="5"/>
  <c r="AO980" i="17"/>
  <c r="AR980" i="17" s="1"/>
  <c r="S400" i="5"/>
  <c r="AY700" i="17"/>
  <c r="BB700" i="17" s="1"/>
  <c r="S63" i="5"/>
  <c r="AY64" i="17"/>
  <c r="BB64" i="17" s="1"/>
  <c r="O469" i="5"/>
  <c r="AO769" i="17"/>
  <c r="AR769" i="17" s="1"/>
  <c r="O284" i="5"/>
  <c r="AO285" i="17"/>
  <c r="AR285" i="17" s="1"/>
  <c r="AO584" i="17"/>
  <c r="AR584" i="17" s="1"/>
  <c r="O73" i="5"/>
  <c r="AO74" i="17"/>
  <c r="AR74" i="17" s="1"/>
  <c r="O638" i="5"/>
  <c r="AO938" i="17"/>
  <c r="AR938" i="17" s="1"/>
  <c r="O12" i="5"/>
  <c r="AO13" i="17"/>
  <c r="AR13" i="17" s="1"/>
  <c r="O43" i="5"/>
  <c r="AO44" i="17" s="1"/>
  <c r="AR44" i="17" s="1"/>
  <c r="O229" i="5"/>
  <c r="AO230" i="17"/>
  <c r="AR230" i="17" s="1"/>
  <c r="AO529" i="17"/>
  <c r="AR529" i="17" s="1"/>
  <c r="O325" i="5"/>
  <c r="AO326" i="17"/>
  <c r="AR326" i="17" s="1"/>
  <c r="AO625" i="17"/>
  <c r="AR625" i="17" s="1"/>
  <c r="O575" i="5"/>
  <c r="AO875" i="17"/>
  <c r="AR875" i="17" s="1"/>
  <c r="O649" i="5"/>
  <c r="AO949" i="17"/>
  <c r="AR949" i="17" s="1"/>
  <c r="O446" i="5"/>
  <c r="AO746" i="17"/>
  <c r="AR746" i="17" s="1"/>
  <c r="O218" i="5"/>
  <c r="AO219" i="17"/>
  <c r="AR219" i="17" s="1"/>
  <c r="AO518" i="17"/>
  <c r="AR518" i="17" s="1"/>
  <c r="O135" i="5"/>
  <c r="AO136" i="17" s="1"/>
  <c r="AR136" i="17" s="1"/>
  <c r="O734" i="5"/>
  <c r="AO1034" i="17"/>
  <c r="AR1034" i="17" s="1"/>
  <c r="S12" i="5"/>
  <c r="AY13" i="17"/>
  <c r="BB13" i="17" s="1"/>
  <c r="U312" i="5"/>
  <c r="BD313" i="17"/>
  <c r="BG313" i="17" s="1"/>
  <c r="BD612" i="17"/>
  <c r="BG612" i="17" s="1"/>
  <c r="U359" i="5"/>
  <c r="BD360" i="17"/>
  <c r="BG360" i="17" s="1"/>
  <c r="BD659" i="17"/>
  <c r="BG659" i="17" s="1"/>
  <c r="U408" i="5"/>
  <c r="BD708" i="17"/>
  <c r="BG708" i="17" s="1"/>
  <c r="U463" i="5"/>
  <c r="BD763" i="17"/>
  <c r="BG763" i="17" s="1"/>
  <c r="U537" i="5"/>
  <c r="BD837" i="17"/>
  <c r="BG837" i="17" s="1"/>
  <c r="U721" i="5"/>
  <c r="BD1021" i="17"/>
  <c r="BG1021" i="17" s="1"/>
  <c r="U694" i="5"/>
  <c r="BD994" i="17"/>
  <c r="BG994" i="17" s="1"/>
  <c r="U544" i="5"/>
  <c r="BD844" i="17"/>
  <c r="BG844" i="17" s="1"/>
  <c r="U465" i="5"/>
  <c r="BD765" i="17"/>
  <c r="BG765" i="17" s="1"/>
  <c r="U378" i="5"/>
  <c r="BD379" i="17"/>
  <c r="BG379" i="17" s="1"/>
  <c r="BD678" i="17"/>
  <c r="BG678" i="17" s="1"/>
  <c r="U289" i="5"/>
  <c r="BD290" i="17"/>
  <c r="BG290" i="17" s="1"/>
  <c r="BD589" i="17"/>
  <c r="BG589" i="17" s="1"/>
  <c r="U218" i="5"/>
  <c r="BD219" i="17"/>
  <c r="BG219" i="17" s="1"/>
  <c r="BD518" i="17"/>
  <c r="BG518" i="17" s="1"/>
  <c r="U167" i="5"/>
  <c r="BD168" i="17"/>
  <c r="BG168" i="17" s="1"/>
  <c r="BD467" i="17"/>
  <c r="BG467" i="17" s="1"/>
  <c r="U125" i="5"/>
  <c r="BD126" i="17"/>
  <c r="BG126" i="17" s="1"/>
  <c r="BD425" i="17"/>
  <c r="BG425" i="17" s="1"/>
  <c r="U62" i="5"/>
  <c r="BD63" i="17"/>
  <c r="BG63" i="17" s="1"/>
  <c r="U28" i="5"/>
  <c r="BD29" i="17"/>
  <c r="BG29" i="17" s="1"/>
  <c r="U415" i="5"/>
  <c r="BD715" i="17"/>
  <c r="BG715" i="17" s="1"/>
  <c r="U308" i="5"/>
  <c r="BD309" i="17"/>
  <c r="BG309" i="17" s="1"/>
  <c r="BD608" i="17"/>
  <c r="BG608" i="17" s="1"/>
  <c r="U209" i="5"/>
  <c r="BD210" i="17"/>
  <c r="BG210" i="17" s="1"/>
  <c r="BD509" i="17"/>
  <c r="BG509" i="17" s="1"/>
  <c r="U46" i="5"/>
  <c r="BD47" i="17"/>
  <c r="BG47" i="17" s="1"/>
  <c r="U122" i="5"/>
  <c r="BD123" i="17"/>
  <c r="BG123" i="17" s="1"/>
  <c r="BD422" i="17"/>
  <c r="BG422" i="17" s="1"/>
  <c r="U169" i="5"/>
  <c r="BD170" i="17"/>
  <c r="BG170" i="17" s="1"/>
  <c r="BD469" i="17"/>
  <c r="BG469" i="17" s="1"/>
  <c r="U225" i="5"/>
  <c r="BD226" i="17"/>
  <c r="BG226" i="17" s="1"/>
  <c r="BD525" i="17"/>
  <c r="BG525" i="17" s="1"/>
  <c r="U363" i="5"/>
  <c r="BD364" i="17"/>
  <c r="BG364" i="17" s="1"/>
  <c r="BD663" i="17"/>
  <c r="BG663" i="17" s="1"/>
  <c r="U595" i="5"/>
  <c r="BD895" i="17"/>
  <c r="BG895" i="17" s="1"/>
  <c r="U87" i="5"/>
  <c r="BD88" i="17"/>
  <c r="BG88" i="17" s="1"/>
  <c r="BD387" i="17"/>
  <c r="BG387" i="17" s="1"/>
  <c r="U119" i="5"/>
  <c r="BD120" i="17"/>
  <c r="BG120" i="17" s="1"/>
  <c r="BD419" i="17"/>
  <c r="BG419" i="17" s="1"/>
  <c r="U220" i="5"/>
  <c r="BD221" i="17"/>
  <c r="BG221" i="17" s="1"/>
  <c r="BD520" i="17"/>
  <c r="BG520" i="17" s="1"/>
  <c r="U374" i="5"/>
  <c r="BD375" i="17"/>
  <c r="BG375" i="17" s="1"/>
  <c r="BD674" i="17"/>
  <c r="BG674" i="17" s="1"/>
  <c r="U497" i="5"/>
  <c r="BD797" i="17"/>
  <c r="BG797" i="17" s="1"/>
  <c r="U149" i="5"/>
  <c r="BD150" i="17"/>
  <c r="BG150" i="17" s="1"/>
  <c r="BD449" i="17"/>
  <c r="BG449" i="17" s="1"/>
  <c r="U229" i="5"/>
  <c r="BD230" i="17"/>
  <c r="BG230" i="17" s="1"/>
  <c r="BD529" i="17"/>
  <c r="BG529" i="17" s="1"/>
  <c r="U322" i="5"/>
  <c r="BD323" i="17"/>
  <c r="BG323" i="17" s="1"/>
  <c r="BD622" i="17"/>
  <c r="BG622" i="17" s="1"/>
  <c r="U441" i="5"/>
  <c r="BD741" i="17"/>
  <c r="BG741" i="17" s="1"/>
  <c r="U580" i="5"/>
  <c r="BD880" i="17"/>
  <c r="BG880" i="17" s="1"/>
  <c r="U717" i="5"/>
  <c r="BD1017" i="17"/>
  <c r="BG1017" i="17" s="1"/>
  <c r="U573" i="5"/>
  <c r="BD873" i="17"/>
  <c r="BG873" i="17" s="1"/>
  <c r="U166" i="5"/>
  <c r="BD167" i="17"/>
  <c r="BG167" i="17" s="1"/>
  <c r="BD466" i="17"/>
  <c r="BG466" i="17" s="1"/>
  <c r="U811" i="5"/>
  <c r="BD1111" i="17"/>
  <c r="BG1111" i="17" s="1"/>
  <c r="U65" i="5"/>
  <c r="BD66" i="17"/>
  <c r="BG66" i="17" s="1"/>
  <c r="M764" i="5"/>
  <c r="AJ1064" i="17"/>
  <c r="AM1064" i="17" s="1"/>
  <c r="M711" i="5"/>
  <c r="AJ1011" i="17"/>
  <c r="AM1011" i="17" s="1"/>
  <c r="M646" i="5"/>
  <c r="AJ946" i="17"/>
  <c r="AM946" i="17" s="1"/>
  <c r="M565" i="5"/>
  <c r="AJ865" i="17"/>
  <c r="AM865" i="17" s="1"/>
  <c r="M517" i="5"/>
  <c r="AJ817" i="17"/>
  <c r="AM817" i="17" s="1"/>
  <c r="M501" i="5"/>
  <c r="AJ801" i="17"/>
  <c r="AM801" i="17" s="1"/>
  <c r="M434" i="5"/>
  <c r="AJ734" i="17"/>
  <c r="AM734" i="17" s="1"/>
  <c r="M350" i="5"/>
  <c r="AJ351" i="17"/>
  <c r="AM351" i="17" s="1"/>
  <c r="AJ650" i="17"/>
  <c r="AM650" i="17" s="1"/>
  <c r="M308" i="5"/>
  <c r="AJ309" i="17"/>
  <c r="AM309" i="17" s="1"/>
  <c r="AJ608" i="17"/>
  <c r="AM608" i="17" s="1"/>
  <c r="M221" i="5"/>
  <c r="AJ222" i="17"/>
  <c r="AM222" i="17" s="1"/>
  <c r="AJ521" i="17"/>
  <c r="AM521" i="17" s="1"/>
  <c r="M187" i="5"/>
  <c r="AJ188" i="17"/>
  <c r="AM188" i="17" s="1"/>
  <c r="AJ487" i="17"/>
  <c r="AM487" i="17" s="1"/>
  <c r="M134" i="5"/>
  <c r="AJ135" i="17"/>
  <c r="AM135" i="17" s="1"/>
  <c r="AJ434" i="17"/>
  <c r="AM434" i="17" s="1"/>
  <c r="M95" i="5"/>
  <c r="AJ96" i="17"/>
  <c r="AM96" i="17" s="1"/>
  <c r="AJ395" i="17"/>
  <c r="AM395" i="17" s="1"/>
  <c r="M39" i="5"/>
  <c r="AJ40" i="17" s="1"/>
  <c r="AM40" i="17" s="1"/>
  <c r="M153" i="5"/>
  <c r="AJ154" i="17"/>
  <c r="AM154" i="17" s="1"/>
  <c r="AJ453" i="17"/>
  <c r="AM453" i="17" s="1"/>
  <c r="M751" i="5"/>
  <c r="AJ1051" i="17"/>
  <c r="AM1051" i="17" s="1"/>
  <c r="M703" i="5"/>
  <c r="AJ1003" i="17"/>
  <c r="AM1003" i="17" s="1"/>
  <c r="M639" i="5"/>
  <c r="AJ939" i="17"/>
  <c r="AM939" i="17" s="1"/>
  <c r="M575" i="5"/>
  <c r="AJ875" i="17"/>
  <c r="AM875" i="17" s="1"/>
  <c r="M485" i="5"/>
  <c r="AJ785" i="17"/>
  <c r="AM785" i="17" s="1"/>
  <c r="M407" i="5"/>
  <c r="AJ707" i="17"/>
  <c r="AM707" i="17" s="1"/>
  <c r="M369" i="5"/>
  <c r="AJ370" i="17"/>
  <c r="AM370" i="17" s="1"/>
  <c r="AJ669" i="17"/>
  <c r="AM669" i="17" s="1"/>
  <c r="M296" i="5"/>
  <c r="AJ297" i="17"/>
  <c r="AM297" i="17" s="1"/>
  <c r="AJ596" i="17"/>
  <c r="AM596" i="17" s="1"/>
  <c r="M240" i="5"/>
  <c r="AJ241" i="17"/>
  <c r="AM241" i="17" s="1"/>
  <c r="AJ540" i="17"/>
  <c r="AM540" i="17" s="1"/>
  <c r="M188" i="5"/>
  <c r="AJ189" i="17"/>
  <c r="AM189" i="17" s="1"/>
  <c r="AJ488" i="17"/>
  <c r="AM488" i="17" s="1"/>
  <c r="M140" i="5"/>
  <c r="AJ141" i="17"/>
  <c r="AM141" i="17" s="1"/>
  <c r="AJ440" i="17"/>
  <c r="AM440" i="17" s="1"/>
  <c r="M50" i="5"/>
  <c r="AJ51" i="17" s="1"/>
  <c r="AM51" i="17" s="1"/>
  <c r="M745" i="5"/>
  <c r="AJ1045" i="17"/>
  <c r="AM1045" i="17" s="1"/>
  <c r="M567" i="5"/>
  <c r="AJ867" i="17"/>
  <c r="AM867" i="17" s="1"/>
  <c r="M406" i="5"/>
  <c r="AJ706" i="17"/>
  <c r="AM706" i="17" s="1"/>
  <c r="M162" i="5"/>
  <c r="AJ163" i="17"/>
  <c r="AM163" i="17" s="1"/>
  <c r="AJ462" i="17"/>
  <c r="AM462" i="17" s="1"/>
  <c r="M79" i="5"/>
  <c r="AJ80" i="17"/>
  <c r="AM80" i="17" s="1"/>
  <c r="M142" i="5"/>
  <c r="AJ143" i="17"/>
  <c r="AM143" i="17" s="1"/>
  <c r="AJ442" i="17"/>
  <c r="AM442" i="17" s="1"/>
  <c r="M301" i="5"/>
  <c r="AJ302" i="17"/>
  <c r="AM302" i="17" s="1"/>
  <c r="AJ601" i="17"/>
  <c r="AM601" i="17" s="1"/>
  <c r="M402" i="5"/>
  <c r="AJ702" i="17"/>
  <c r="AM702" i="17" s="1"/>
  <c r="M528" i="5"/>
  <c r="AJ828" i="17"/>
  <c r="AM828" i="17" s="1"/>
  <c r="M678" i="5"/>
  <c r="AJ978" i="17"/>
  <c r="AM978" i="17" s="1"/>
  <c r="Q284" i="5"/>
  <c r="AT285" i="17"/>
  <c r="AW285" i="17" s="1"/>
  <c r="AT584" i="17"/>
  <c r="AW584" i="17" s="1"/>
  <c r="Q433" i="5"/>
  <c r="AT733" i="17"/>
  <c r="AW733" i="17" s="1"/>
  <c r="Q498" i="5"/>
  <c r="AT798" i="17"/>
  <c r="AW798" i="17" s="1"/>
  <c r="Q248" i="5"/>
  <c r="AT249" i="17"/>
  <c r="AW249" i="17" s="1"/>
  <c r="AT548" i="17"/>
  <c r="AW548" i="17" s="1"/>
  <c r="Q274" i="5"/>
  <c r="AT275" i="17"/>
  <c r="AW275" i="17" s="1"/>
  <c r="AT574" i="17"/>
  <c r="AW574" i="17" s="1"/>
  <c r="Q324" i="5"/>
  <c r="AT325" i="17"/>
  <c r="AW325" i="17" s="1"/>
  <c r="AT624" i="17"/>
  <c r="AW624" i="17" s="1"/>
  <c r="Q408" i="5"/>
  <c r="AT708" i="17"/>
  <c r="AW708" i="17" s="1"/>
  <c r="Q269" i="5"/>
  <c r="AT270" i="17"/>
  <c r="AW270" i="17" s="1"/>
  <c r="AT569" i="17"/>
  <c r="AW569" i="17" s="1"/>
  <c r="Q315" i="5"/>
  <c r="AT316" i="17"/>
  <c r="AW316" i="17" s="1"/>
  <c r="AT615" i="17"/>
  <c r="AW615" i="17" s="1"/>
  <c r="Q353" i="5"/>
  <c r="AT354" i="17"/>
  <c r="AW354" i="17" s="1"/>
  <c r="AT653" i="17"/>
  <c r="AW653" i="17" s="1"/>
  <c r="Q491" i="5"/>
  <c r="AT791" i="17"/>
  <c r="AW791" i="17" s="1"/>
  <c r="Q654" i="5"/>
  <c r="AT954" i="17"/>
  <c r="AW954" i="17" s="1"/>
  <c r="Q305" i="5"/>
  <c r="AT306" i="17"/>
  <c r="AW306" i="17" s="1"/>
  <c r="AT605" i="17"/>
  <c r="AW605" i="17" s="1"/>
  <c r="Q338" i="5"/>
  <c r="AT339" i="17"/>
  <c r="AW339" i="17" s="1"/>
  <c r="AT638" i="17"/>
  <c r="AW638" i="17" s="1"/>
  <c r="Q375" i="5"/>
  <c r="AT376" i="17"/>
  <c r="AW376" i="17" s="1"/>
  <c r="AT675" i="17"/>
  <c r="AW675" i="17" s="1"/>
  <c r="Q384" i="5"/>
  <c r="AT684" i="17"/>
  <c r="AW684" i="17" s="1"/>
  <c r="Q464" i="5"/>
  <c r="AT764" i="17"/>
  <c r="AW764" i="17" s="1"/>
  <c r="Q537" i="5"/>
  <c r="AT837" i="17"/>
  <c r="AW837" i="17" s="1"/>
  <c r="Q623" i="5"/>
  <c r="AT923" i="17"/>
  <c r="AW923" i="17" s="1"/>
  <c r="Q340" i="5"/>
  <c r="AT341" i="17"/>
  <c r="AW341" i="17" s="1"/>
  <c r="AT640" i="17"/>
  <c r="AW640" i="17" s="1"/>
  <c r="Q389" i="5"/>
  <c r="AT689" i="17"/>
  <c r="AW689" i="17" s="1"/>
  <c r="Q431" i="5"/>
  <c r="AT731" i="17"/>
  <c r="AW731" i="17" s="1"/>
  <c r="Q546" i="5"/>
  <c r="AT846" i="17"/>
  <c r="AW846" i="17" s="1"/>
  <c r="Q459" i="5"/>
  <c r="AT759" i="17"/>
  <c r="AW759" i="17" s="1"/>
  <c r="Q482" i="5"/>
  <c r="AT782" i="17"/>
  <c r="AW782" i="17" s="1"/>
  <c r="Q517" i="5"/>
  <c r="AT817" i="17"/>
  <c r="AW817" i="17" s="1"/>
  <c r="Q558" i="5"/>
  <c r="AT858" i="17"/>
  <c r="AW858" i="17" s="1"/>
  <c r="Q593" i="5"/>
  <c r="AT893" i="17"/>
  <c r="AW893" i="17" s="1"/>
  <c r="Q820" i="5"/>
  <c r="AT1120" i="17"/>
  <c r="AW1120" i="17" s="1"/>
  <c r="Q445" i="5"/>
  <c r="AT745" i="17"/>
  <c r="AW745" i="17" s="1"/>
  <c r="Q455" i="5"/>
  <c r="AT755" i="17"/>
  <c r="AW755" i="17" s="1"/>
  <c r="Q506" i="5"/>
  <c r="AT806" i="17"/>
  <c r="AW806" i="17" s="1"/>
  <c r="Q543" i="5"/>
  <c r="AT843" i="17"/>
  <c r="AW843" i="17" s="1"/>
  <c r="Q571" i="5"/>
  <c r="AT871" i="17"/>
  <c r="AW871" i="17" s="1"/>
  <c r="Q677" i="5"/>
  <c r="AT977" i="17"/>
  <c r="AW977" i="17" s="1"/>
  <c r="Q658" i="5"/>
  <c r="AT958" i="17"/>
  <c r="AW958" i="17" s="1"/>
  <c r="Q680" i="5"/>
  <c r="AT980" i="17"/>
  <c r="AW980" i="17" s="1"/>
  <c r="Q751" i="5"/>
  <c r="AT1051" i="17"/>
  <c r="AW1051" i="17" s="1"/>
  <c r="Q576" i="5"/>
  <c r="AT876" i="17"/>
  <c r="AW876" i="17" s="1"/>
  <c r="Q643" i="5"/>
  <c r="AT943" i="17"/>
  <c r="AW943" i="17" s="1"/>
  <c r="Q651" i="5"/>
  <c r="AT951" i="17"/>
  <c r="AW951" i="17" s="1"/>
  <c r="Q713" i="5"/>
  <c r="AT1013" i="17"/>
  <c r="AW1013" i="17" s="1"/>
  <c r="Q732" i="5"/>
  <c r="AT1032" i="17"/>
  <c r="AW1032" i="17" s="1"/>
  <c r="Q737" i="5"/>
  <c r="AT1037" i="17"/>
  <c r="AW1037" i="17" s="1"/>
  <c r="Q781" i="5"/>
  <c r="AT1081" i="17"/>
  <c r="AW1081" i="17" s="1"/>
  <c r="Q745" i="5"/>
  <c r="AT1045" i="17"/>
  <c r="AW1045" i="17" s="1"/>
  <c r="Q843" i="5"/>
  <c r="AT1143" i="17"/>
  <c r="AW1143" i="17" s="1"/>
  <c r="Q249" i="5"/>
  <c r="AT250" i="17"/>
  <c r="AW250" i="17" s="1"/>
  <c r="AT549" i="17"/>
  <c r="AW549" i="17" s="1"/>
  <c r="Q181" i="5"/>
  <c r="AT182" i="17"/>
  <c r="AW182" i="17" s="1"/>
  <c r="AT481" i="17"/>
  <c r="AW481" i="17" s="1"/>
  <c r="Q118" i="5"/>
  <c r="AT119" i="17"/>
  <c r="AW119" i="17" s="1"/>
  <c r="AT418" i="17"/>
  <c r="AW418" i="17" s="1"/>
  <c r="Q91" i="5"/>
  <c r="AT92" i="17"/>
  <c r="AW92" i="17" s="1"/>
  <c r="AT391" i="17"/>
  <c r="AW391" i="17" s="1"/>
  <c r="Q36" i="5"/>
  <c r="AT37" i="17"/>
  <c r="AW37" i="17" s="1"/>
  <c r="Q17" i="5"/>
  <c r="AT18" i="17"/>
  <c r="AW18" i="17" s="1"/>
  <c r="S257" i="5"/>
  <c r="AY258" i="17"/>
  <c r="BB258" i="17" s="1"/>
  <c r="AY557" i="17"/>
  <c r="BB557" i="17" s="1"/>
  <c r="S277" i="5"/>
  <c r="AY278" i="17"/>
  <c r="BB278" i="17" s="1"/>
  <c r="AY577" i="17"/>
  <c r="BB577" i="17" s="1"/>
  <c r="S328" i="5"/>
  <c r="AY329" i="17"/>
  <c r="BB329" i="17" s="1"/>
  <c r="AY628" i="17"/>
  <c r="BB628" i="17" s="1"/>
  <c r="S358" i="5"/>
  <c r="AY359" i="17"/>
  <c r="BB359" i="17" s="1"/>
  <c r="AY658" i="17"/>
  <c r="BB658" i="17" s="1"/>
  <c r="S411" i="5"/>
  <c r="AY711" i="17"/>
  <c r="BB711" i="17" s="1"/>
  <c r="S460" i="5"/>
  <c r="AY760" i="17"/>
  <c r="BB760" i="17" s="1"/>
  <c r="S511" i="5"/>
  <c r="AY811" i="17"/>
  <c r="BB811" i="17" s="1"/>
  <c r="S554" i="5"/>
  <c r="AY854" i="17"/>
  <c r="BB854" i="17" s="1"/>
  <c r="S622" i="5"/>
  <c r="AY922" i="17"/>
  <c r="BB922" i="17" s="1"/>
  <c r="S649" i="5"/>
  <c r="AY949" i="17"/>
  <c r="BB949" i="17" s="1"/>
  <c r="S703" i="5"/>
  <c r="AY1003" i="17"/>
  <c r="BB1003" i="17" s="1"/>
  <c r="S734" i="5"/>
  <c r="AY1034" i="17"/>
  <c r="BB1034" i="17" s="1"/>
  <c r="S840" i="5"/>
  <c r="AY1140" i="17"/>
  <c r="BB1140" i="17" s="1"/>
  <c r="S75" i="5"/>
  <c r="AY76" i="17"/>
  <c r="BB76" i="17" s="1"/>
  <c r="S121" i="5"/>
  <c r="AY122" i="17"/>
  <c r="BB122" i="17" s="1"/>
  <c r="AY421" i="17"/>
  <c r="BB421" i="17" s="1"/>
  <c r="S159" i="5"/>
  <c r="AY160" i="17"/>
  <c r="BB160" i="17" s="1"/>
  <c r="AY459" i="17"/>
  <c r="BB459" i="17" s="1"/>
  <c r="S207" i="5"/>
  <c r="AY208" i="17"/>
  <c r="BB208" i="17" s="1"/>
  <c r="AY507" i="17"/>
  <c r="BB507" i="17" s="1"/>
  <c r="S242" i="5"/>
  <c r="AY243" i="17"/>
  <c r="BB243" i="17" s="1"/>
  <c r="AY542" i="17"/>
  <c r="BB542" i="17" s="1"/>
  <c r="S269" i="5"/>
  <c r="AY270" i="17"/>
  <c r="BB270" i="17" s="1"/>
  <c r="AY569" i="17"/>
  <c r="BB569" i="17" s="1"/>
  <c r="S310" i="5"/>
  <c r="AY311" i="17"/>
  <c r="BB311" i="17" s="1"/>
  <c r="AY610" i="17"/>
  <c r="BB610" i="17" s="1"/>
  <c r="S361" i="5"/>
  <c r="AY362" i="17"/>
  <c r="BB362" i="17" s="1"/>
  <c r="AY661" i="17"/>
  <c r="BB661" i="17" s="1"/>
  <c r="S413" i="5"/>
  <c r="AY713" i="17"/>
  <c r="BB713" i="17" s="1"/>
  <c r="S440" i="5"/>
  <c r="AY740" i="17"/>
  <c r="BB740" i="17" s="1"/>
  <c r="S470" i="5"/>
  <c r="AY770" i="17"/>
  <c r="BB770" i="17" s="1"/>
  <c r="S484" i="5"/>
  <c r="AY784" i="17"/>
  <c r="BB784" i="17" s="1"/>
  <c r="S523" i="5"/>
  <c r="AY823" i="17"/>
  <c r="BB823" i="17" s="1"/>
  <c r="S578" i="5"/>
  <c r="AY878" i="17"/>
  <c r="BB878" i="17" s="1"/>
  <c r="S624" i="5"/>
  <c r="AY924" i="17"/>
  <c r="BB924" i="17" s="1"/>
  <c r="S661" i="5"/>
  <c r="AY961" i="17"/>
  <c r="BB961" i="17" s="1"/>
  <c r="S744" i="5"/>
  <c r="AY1044" i="17"/>
  <c r="BB1044" i="17" s="1"/>
  <c r="S786" i="5"/>
  <c r="AY1086" i="17"/>
  <c r="BB1086" i="17" s="1"/>
  <c r="S839" i="5"/>
  <c r="AY1139" i="17"/>
  <c r="BB1139" i="17" s="1"/>
  <c r="S856" i="5"/>
  <c r="AY1156" i="17"/>
  <c r="BB1156" i="17" s="1"/>
  <c r="S564" i="5"/>
  <c r="AY864" i="17"/>
  <c r="BB864" i="17" s="1"/>
  <c r="S614" i="5"/>
  <c r="AY914" i="17"/>
  <c r="BB914" i="17" s="1"/>
  <c r="S633" i="5"/>
  <c r="AY933" i="17"/>
  <c r="BB933" i="17" s="1"/>
  <c r="S689" i="5"/>
  <c r="AY989" i="17"/>
  <c r="BB989" i="17" s="1"/>
  <c r="S747" i="5"/>
  <c r="AY1047" i="17"/>
  <c r="BB1047" i="17" s="1"/>
  <c r="S761" i="5"/>
  <c r="AY1061" i="17"/>
  <c r="BB1061" i="17" s="1"/>
  <c r="S800" i="5"/>
  <c r="AY1100" i="17"/>
  <c r="BB1100" i="17" s="1"/>
  <c r="S836" i="5"/>
  <c r="AY1136" i="17"/>
  <c r="BB1136" i="17" s="1"/>
  <c r="S746" i="5"/>
  <c r="AY1046" i="17"/>
  <c r="BB1046" i="17" s="1"/>
  <c r="S572" i="5"/>
  <c r="AY872" i="17"/>
  <c r="BB872" i="17" s="1"/>
  <c r="S515" i="5"/>
  <c r="AY815" i="17"/>
  <c r="BB815" i="17" s="1"/>
  <c r="S457" i="5"/>
  <c r="AY757" i="17"/>
  <c r="BB757" i="17" s="1"/>
  <c r="S407" i="5"/>
  <c r="AY707" i="17"/>
  <c r="BB707" i="17" s="1"/>
  <c r="S687" i="5"/>
  <c r="AY987" i="17"/>
  <c r="BB987" i="17" s="1"/>
  <c r="S590" i="5"/>
  <c r="AY890" i="17"/>
  <c r="BB890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821" i="5"/>
  <c r="AY1121" i="17"/>
  <c r="BB1121" i="17" s="1"/>
  <c r="S758" i="5"/>
  <c r="AY1058" i="17"/>
  <c r="BB1058" i="17" s="1"/>
  <c r="S680" i="5"/>
  <c r="AY980" i="17"/>
  <c r="BB980" i="17" s="1"/>
  <c r="S423" i="5"/>
  <c r="AY723" i="17"/>
  <c r="BB723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21" i="5"/>
  <c r="AY22" i="17"/>
  <c r="BB22" i="17" s="1"/>
  <c r="S72" i="5"/>
  <c r="AY73" i="17"/>
  <c r="BB73" i="17" s="1"/>
  <c r="S111" i="5"/>
  <c r="AY112" i="17"/>
  <c r="BB112" i="17" s="1"/>
  <c r="AY411" i="17"/>
  <c r="BB411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66" i="5"/>
  <c r="AY267" i="17"/>
  <c r="BB267" i="17" s="1"/>
  <c r="AY566" i="17"/>
  <c r="BB566" i="17" s="1"/>
  <c r="S394" i="5"/>
  <c r="AY694" i="17"/>
  <c r="BB694" i="17" s="1"/>
  <c r="S562" i="5"/>
  <c r="AY862" i="17"/>
  <c r="BB8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334" i="5"/>
  <c r="AY335" i="17"/>
  <c r="BB335" i="17" s="1"/>
  <c r="AY634" i="17"/>
  <c r="BB634" i="17" s="1"/>
  <c r="S473" i="5"/>
  <c r="AY773" i="17"/>
  <c r="BB773" i="17" s="1"/>
  <c r="S542" i="5"/>
  <c r="AY842" i="17"/>
  <c r="BB842" i="17" s="1"/>
  <c r="S681" i="5"/>
  <c r="AY981" i="17"/>
  <c r="BB981" i="17" s="1"/>
  <c r="S863" i="5"/>
  <c r="AY1163" i="17"/>
  <c r="BB1163" i="17" s="1"/>
  <c r="S119" i="5"/>
  <c r="AY120" i="17"/>
  <c r="BB120" i="17" s="1"/>
  <c r="AY419" i="17"/>
  <c r="BB419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91" i="5"/>
  <c r="AY292" i="17"/>
  <c r="BB292" i="17" s="1"/>
  <c r="AY591" i="17"/>
  <c r="BB591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584" i="5"/>
  <c r="AY884" i="17"/>
  <c r="BB884" i="17" s="1"/>
  <c r="S701" i="5"/>
  <c r="AY1001" i="17"/>
  <c r="BB1001" i="17" s="1"/>
  <c r="S755" i="5"/>
  <c r="AY1055" i="17"/>
  <c r="BB1055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84" i="5"/>
  <c r="AY85" i="17"/>
  <c r="BB85" i="17" s="1"/>
  <c r="AY384" i="17"/>
  <c r="BB384" i="17" s="1"/>
  <c r="U842" i="5"/>
  <c r="BD1142" i="17"/>
  <c r="BG1142" i="17" s="1"/>
  <c r="U814" i="5"/>
  <c r="BD1114" i="17"/>
  <c r="BG1114" i="17" s="1"/>
  <c r="U774" i="5"/>
  <c r="BD1074" i="17"/>
  <c r="BG1074" i="17" s="1"/>
  <c r="U708" i="5"/>
  <c r="BD1008" i="17"/>
  <c r="BG1008" i="17" s="1"/>
  <c r="U816" i="5"/>
  <c r="BD1116" i="17"/>
  <c r="BG1116" i="17" s="1"/>
  <c r="U755" i="5"/>
  <c r="BD1055" i="17"/>
  <c r="BG1055" i="17" s="1"/>
  <c r="U725" i="5"/>
  <c r="BD1025" i="17"/>
  <c r="BG1025" i="17" s="1"/>
  <c r="U545" i="5"/>
  <c r="BD845" i="17"/>
  <c r="BG845" i="17" s="1"/>
  <c r="U572" i="5"/>
  <c r="BD872" i="17"/>
  <c r="BG872" i="17" s="1"/>
  <c r="U598" i="5"/>
  <c r="BD898" i="17"/>
  <c r="BG898" i="17" s="1"/>
  <c r="U638" i="5"/>
  <c r="BD938" i="17"/>
  <c r="BG938" i="17" s="1"/>
  <c r="U700" i="5"/>
  <c r="BD1000" i="17"/>
  <c r="BG1000" i="17" s="1"/>
  <c r="U781" i="5"/>
  <c r="BD1081" i="17"/>
  <c r="BG1081" i="17" s="1"/>
  <c r="U832" i="5"/>
  <c r="BD1132" i="17"/>
  <c r="BG1132" i="17" s="1"/>
  <c r="U859" i="5"/>
  <c r="BD1159" i="17"/>
  <c r="BG1159" i="17" s="1"/>
  <c r="U514" i="5"/>
  <c r="BD814" i="17"/>
  <c r="BG814" i="17" s="1"/>
  <c r="U571" i="5"/>
  <c r="BD871" i="17"/>
  <c r="BG871" i="17" s="1"/>
  <c r="U606" i="5"/>
  <c r="BD906" i="17"/>
  <c r="BG906" i="17" s="1"/>
  <c r="U646" i="5"/>
  <c r="BD946" i="17"/>
  <c r="BG946" i="17" s="1"/>
  <c r="U682" i="5"/>
  <c r="BD982" i="17"/>
  <c r="BG982" i="17" s="1"/>
  <c r="U745" i="5"/>
  <c r="BD1045" i="17"/>
  <c r="BG1045" i="17" s="1"/>
  <c r="U750" i="5"/>
  <c r="BD1050" i="17"/>
  <c r="BG1050" i="17" s="1"/>
  <c r="U799" i="5"/>
  <c r="BD1099" i="17"/>
  <c r="BG1099" i="17" s="1"/>
  <c r="O810" i="5"/>
  <c r="AO1110" i="17"/>
  <c r="AR1110" i="17" s="1"/>
  <c r="O801" i="5"/>
  <c r="AO1101" i="17"/>
  <c r="AR1101" i="17" s="1"/>
  <c r="O857" i="5"/>
  <c r="AO1157" i="17"/>
  <c r="AR1157" i="17" s="1"/>
  <c r="O764" i="5"/>
  <c r="AO1064" i="17"/>
  <c r="AR1064" i="17" s="1"/>
  <c r="O95" i="5"/>
  <c r="AO96" i="17" s="1"/>
  <c r="AR96" i="17" s="1"/>
  <c r="O121" i="5"/>
  <c r="AO421" i="17" s="1"/>
  <c r="AR421" i="17" s="1"/>
  <c r="O154" i="5"/>
  <c r="AO155" i="17"/>
  <c r="AR155" i="17" s="1"/>
  <c r="AO454" i="17"/>
  <c r="AR454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426" i="5"/>
  <c r="AO726" i="17"/>
  <c r="AR726" i="17" s="1"/>
  <c r="O473" i="5"/>
  <c r="AO773" i="17"/>
  <c r="AR773" i="17" s="1"/>
  <c r="O511" i="5"/>
  <c r="AO811" i="17"/>
  <c r="AR811" i="17" s="1"/>
  <c r="O581" i="5"/>
  <c r="AO881" i="17"/>
  <c r="AR881" i="17" s="1"/>
  <c r="O592" i="5"/>
  <c r="AO892" i="17"/>
  <c r="AR892" i="17" s="1"/>
  <c r="O662" i="5"/>
  <c r="AO962" i="17"/>
  <c r="AR962" i="17" s="1"/>
  <c r="O710" i="5"/>
  <c r="AO1010" i="17"/>
  <c r="AR1010" i="17" s="1"/>
  <c r="O49" i="5"/>
  <c r="AO50" i="17" s="1"/>
  <c r="AR50" i="17" s="1"/>
  <c r="O81" i="5"/>
  <c r="AO82" i="17" s="1"/>
  <c r="AR82" i="17" s="1"/>
  <c r="O125" i="5"/>
  <c r="AO126" i="17" s="1"/>
  <c r="AR126" i="17" s="1"/>
  <c r="O155" i="5"/>
  <c r="AO156" i="17"/>
  <c r="AR156" i="17" s="1"/>
  <c r="AO455" i="17"/>
  <c r="AR455" i="17" s="1"/>
  <c r="O188" i="5"/>
  <c r="AO189" i="17"/>
  <c r="AR189" i="17" s="1"/>
  <c r="AO488" i="17"/>
  <c r="AR488" i="17" s="1"/>
  <c r="O228" i="5"/>
  <c r="AO229" i="17"/>
  <c r="AR229" i="17" s="1"/>
  <c r="AO528" i="17"/>
  <c r="AR528" i="17" s="1"/>
  <c r="O273" i="5"/>
  <c r="AO274" i="17"/>
  <c r="AR274" i="17" s="1"/>
  <c r="AO573" i="17"/>
  <c r="AR573" i="17" s="1"/>
  <c r="O304" i="5"/>
  <c r="AO305" i="17"/>
  <c r="AR305" i="17" s="1"/>
  <c r="AO604" i="17"/>
  <c r="AR604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98" i="5"/>
  <c r="AO698" i="17"/>
  <c r="AR698" i="17" s="1"/>
  <c r="O444" i="5"/>
  <c r="AO744" i="17"/>
  <c r="AR744" i="17" s="1"/>
  <c r="O492" i="5"/>
  <c r="AO792" i="17"/>
  <c r="AR792" i="17" s="1"/>
  <c r="O551" i="5"/>
  <c r="AO851" i="17"/>
  <c r="AR851" i="17" s="1"/>
  <c r="O593" i="5"/>
  <c r="AO893" i="17"/>
  <c r="AR893" i="17" s="1"/>
  <c r="O627" i="5"/>
  <c r="AO927" i="17"/>
  <c r="AR927" i="17" s="1"/>
  <c r="O678" i="5"/>
  <c r="AO978" i="17"/>
  <c r="AR978" i="17" s="1"/>
  <c r="O690" i="5"/>
  <c r="AO990" i="17"/>
  <c r="AR990" i="17" s="1"/>
  <c r="O757" i="5"/>
  <c r="AO1057" i="17"/>
  <c r="AR1057" i="17" s="1"/>
  <c r="O334" i="5"/>
  <c r="AO335" i="17"/>
  <c r="AR335" i="17" s="1"/>
  <c r="AO634" i="17"/>
  <c r="AR634" i="17" s="1"/>
  <c r="O372" i="5"/>
  <c r="AO373" i="17"/>
  <c r="AR373" i="17" s="1"/>
  <c r="AO672" i="17"/>
  <c r="AR672" i="17" s="1"/>
  <c r="O414" i="5"/>
  <c r="AO714" i="17"/>
  <c r="AR714" i="17" s="1"/>
  <c r="O443" i="5"/>
  <c r="AO743" i="17"/>
  <c r="AR743" i="17" s="1"/>
  <c r="O479" i="5"/>
  <c r="AO779" i="17"/>
  <c r="AR779" i="17" s="1"/>
  <c r="O517" i="5"/>
  <c r="AO817" i="17"/>
  <c r="AR817" i="17" s="1"/>
  <c r="O532" i="5"/>
  <c r="AO832" i="17"/>
  <c r="AR832" i="17" s="1"/>
  <c r="O576" i="5"/>
  <c r="AO876" i="17"/>
  <c r="AR876" i="17" s="1"/>
  <c r="O599" i="5"/>
  <c r="AO899" i="17"/>
  <c r="AR899" i="17" s="1"/>
  <c r="O636" i="5"/>
  <c r="AO936" i="17"/>
  <c r="AR936" i="17" s="1"/>
  <c r="O656" i="5"/>
  <c r="AO956" i="17"/>
  <c r="AR956" i="17" s="1"/>
  <c r="O700" i="5"/>
  <c r="AO1000" i="17"/>
  <c r="AR1000" i="17" s="1"/>
  <c r="O709" i="5"/>
  <c r="AO1009" i="17"/>
  <c r="AR1009" i="17" s="1"/>
  <c r="O835" i="5"/>
  <c r="AO1135" i="17"/>
  <c r="AR1135" i="17" s="1"/>
  <c r="S33" i="5"/>
  <c r="AY34" i="17"/>
  <c r="BB34" i="17" s="1"/>
  <c r="S384" i="5"/>
  <c r="AY684" i="17"/>
  <c r="BB684" i="17" s="1"/>
  <c r="S327" i="5"/>
  <c r="AY328" i="17"/>
  <c r="BB328" i="17" s="1"/>
  <c r="AY627" i="17"/>
  <c r="BB627" i="17" s="1"/>
  <c r="O677" i="5"/>
  <c r="AO977" i="17"/>
  <c r="AR977" i="17" s="1"/>
  <c r="O554" i="5"/>
  <c r="AO854" i="17"/>
  <c r="AR854" i="17" s="1"/>
  <c r="O422" i="5"/>
  <c r="AO722" i="17"/>
  <c r="AR722" i="17" s="1"/>
  <c r="O379" i="5"/>
  <c r="AO380" i="17"/>
  <c r="AR380" i="17" s="1"/>
  <c r="AO679" i="17"/>
  <c r="AR679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59" i="5"/>
  <c r="AO60" i="17"/>
  <c r="AR60" i="17" s="1"/>
  <c r="O46" i="5"/>
  <c r="AO47" i="17" s="1"/>
  <c r="AR47" i="17" s="1"/>
  <c r="O715" i="5"/>
  <c r="AO1015" i="17"/>
  <c r="AR1015" i="17" s="1"/>
  <c r="O28" i="5"/>
  <c r="AO29" i="17" s="1"/>
  <c r="AR29" i="17" s="1"/>
  <c r="O79" i="5"/>
  <c r="AO80" i="17"/>
  <c r="AR80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97" i="5"/>
  <c r="AO298" i="17"/>
  <c r="AR298" i="17" s="1"/>
  <c r="AO597" i="17"/>
  <c r="AR597" i="17" s="1"/>
  <c r="O404" i="5"/>
  <c r="AO704" i="17"/>
  <c r="AR704" i="17" s="1"/>
  <c r="O440" i="5"/>
  <c r="AO740" i="17"/>
  <c r="AR740" i="17" s="1"/>
  <c r="O486" i="5"/>
  <c r="AO786" i="17"/>
  <c r="AR786" i="17" s="1"/>
  <c r="O723" i="5"/>
  <c r="AO1023" i="17"/>
  <c r="AR1023" i="17" s="1"/>
  <c r="O552" i="5"/>
  <c r="AO852" i="17"/>
  <c r="AR852" i="17" s="1"/>
  <c r="O491" i="5"/>
  <c r="AO791" i="17"/>
  <c r="AR7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179" i="5"/>
  <c r="AO180" i="17"/>
  <c r="AR180" i="17" s="1"/>
  <c r="AO479" i="17"/>
  <c r="AR479" i="17" s="1"/>
  <c r="O108" i="5"/>
  <c r="AO109" i="17"/>
  <c r="AR109" i="17" s="1"/>
  <c r="AO408" i="17"/>
  <c r="AR408" i="17" s="1"/>
  <c r="O13" i="5"/>
  <c r="AO14" i="17" s="1"/>
  <c r="AR14" i="17" s="1"/>
  <c r="U331" i="5"/>
  <c r="BD332" i="17"/>
  <c r="BG332" i="17" s="1"/>
  <c r="BD631" i="17"/>
  <c r="BG631" i="17" s="1"/>
  <c r="U380" i="5"/>
  <c r="BD381" i="17"/>
  <c r="BG381" i="17" s="1"/>
  <c r="BD680" i="17"/>
  <c r="BG680" i="17" s="1"/>
  <c r="U428" i="5"/>
  <c r="BD728" i="17"/>
  <c r="BG728" i="17" s="1"/>
  <c r="U449" i="5"/>
  <c r="BD749" i="17"/>
  <c r="BG749" i="17" s="1"/>
  <c r="U499" i="5"/>
  <c r="BD799" i="17"/>
  <c r="BG799" i="17" s="1"/>
  <c r="U559" i="5"/>
  <c r="BD859" i="17"/>
  <c r="BG859" i="17" s="1"/>
  <c r="U645" i="5"/>
  <c r="BD945" i="17"/>
  <c r="BG945" i="17" s="1"/>
  <c r="U809" i="5"/>
  <c r="BD1109" i="17"/>
  <c r="BG1109" i="17" s="1"/>
  <c r="U785" i="5"/>
  <c r="BD1085" i="17"/>
  <c r="BG1085" i="17" s="1"/>
  <c r="U669" i="5"/>
  <c r="BD969" i="17"/>
  <c r="BG969" i="17" s="1"/>
  <c r="U524" i="5"/>
  <c r="BD824" i="17"/>
  <c r="BG824" i="17" s="1"/>
  <c r="U481" i="5"/>
  <c r="BD781" i="17"/>
  <c r="BG781" i="17" s="1"/>
  <c r="U410" i="5"/>
  <c r="BD710" i="17"/>
  <c r="BG710" i="17" s="1"/>
  <c r="U361" i="5"/>
  <c r="BD362" i="17"/>
  <c r="BG362" i="17" s="1"/>
  <c r="BD661" i="17"/>
  <c r="BG661" i="17" s="1"/>
  <c r="U304" i="5"/>
  <c r="BD305" i="17"/>
  <c r="BG305" i="17" s="1"/>
  <c r="BD604" i="17"/>
  <c r="BG604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190" i="5"/>
  <c r="BD191" i="17"/>
  <c r="BG191" i="17" s="1"/>
  <c r="BD490" i="17"/>
  <c r="BG490" i="17" s="1"/>
  <c r="U138" i="5"/>
  <c r="BD139" i="17"/>
  <c r="BG139" i="17" s="1"/>
  <c r="BD438" i="17"/>
  <c r="BG438" i="17" s="1"/>
  <c r="U114" i="5"/>
  <c r="BD115" i="17"/>
  <c r="BG115" i="17" s="1"/>
  <c r="BD414" i="17"/>
  <c r="BG414" i="17" s="1"/>
  <c r="U78" i="5"/>
  <c r="BD79" i="17"/>
  <c r="BG79" i="17" s="1"/>
  <c r="U52" i="5"/>
  <c r="BD53" i="17"/>
  <c r="BG53" i="17" s="1"/>
  <c r="U10" i="5"/>
  <c r="BD11" i="17"/>
  <c r="BG11" i="17" s="1"/>
  <c r="BD10" i="17"/>
  <c r="BG10" i="17" s="1"/>
  <c r="U692" i="5"/>
  <c r="BD992" i="17"/>
  <c r="BG992" i="17" s="1"/>
  <c r="U400" i="5"/>
  <c r="BD700" i="17"/>
  <c r="BG700" i="17" s="1"/>
  <c r="U276" i="5"/>
  <c r="BD277" i="17"/>
  <c r="BG277" i="17" s="1"/>
  <c r="BD576" i="17"/>
  <c r="BG576" i="17" s="1"/>
  <c r="U69" i="5"/>
  <c r="BD70" i="17"/>
  <c r="BG70" i="17" s="1"/>
  <c r="U22" i="5"/>
  <c r="BD23" i="17"/>
  <c r="BG23" i="17" s="1"/>
  <c r="U79" i="5"/>
  <c r="BD80" i="17"/>
  <c r="BG80" i="17" s="1"/>
  <c r="U94" i="5"/>
  <c r="BD95" i="17"/>
  <c r="BG95" i="17" s="1"/>
  <c r="BD394" i="17"/>
  <c r="BG394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208" i="5"/>
  <c r="BD209" i="17"/>
  <c r="BG209" i="17" s="1"/>
  <c r="BD508" i="17"/>
  <c r="BG508" i="17" s="1"/>
  <c r="U292" i="5"/>
  <c r="BD293" i="17"/>
  <c r="BG293" i="17" s="1"/>
  <c r="BD592" i="17"/>
  <c r="BG592" i="17" s="1"/>
  <c r="U329" i="5"/>
  <c r="BD330" i="17"/>
  <c r="BG330" i="17" s="1"/>
  <c r="BD629" i="17"/>
  <c r="BG629" i="17" s="1"/>
  <c r="U425" i="5"/>
  <c r="BD725" i="17"/>
  <c r="BG725" i="17" s="1"/>
  <c r="U471" i="5"/>
  <c r="BD771" i="17"/>
  <c r="BG771" i="17" s="1"/>
  <c r="U26" i="5"/>
  <c r="BD27" i="17"/>
  <c r="BG27" i="17" s="1"/>
  <c r="U75" i="5"/>
  <c r="BD76" i="17"/>
  <c r="BG76" i="17" s="1"/>
  <c r="U97" i="5"/>
  <c r="BD98" i="17"/>
  <c r="BG98" i="17" s="1"/>
  <c r="BD397" i="17"/>
  <c r="BG397" i="17" s="1"/>
  <c r="U187" i="5"/>
  <c r="BD188" i="17"/>
  <c r="BG188" i="17" s="1"/>
  <c r="BD487" i="17"/>
  <c r="BG487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431" i="5"/>
  <c r="BD731" i="17"/>
  <c r="BG731" i="17" s="1"/>
  <c r="U447" i="5"/>
  <c r="BD747" i="17"/>
  <c r="BG747" i="17" s="1"/>
  <c r="U521" i="5"/>
  <c r="BD821" i="17"/>
  <c r="BG821" i="17" s="1"/>
  <c r="U733" i="5"/>
  <c r="BD1033" i="17"/>
  <c r="BG1033" i="17" s="1"/>
  <c r="U179" i="5"/>
  <c r="BD180" i="17"/>
  <c r="BG180" i="17" s="1"/>
  <c r="BD479" i="17"/>
  <c r="BG479" i="17" s="1"/>
  <c r="U241" i="5"/>
  <c r="BD242" i="17"/>
  <c r="BG242" i="17" s="1"/>
  <c r="BD541" i="17"/>
  <c r="BG54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38" i="5"/>
  <c r="BD339" i="17"/>
  <c r="BG339" i="17" s="1"/>
  <c r="BD638" i="17"/>
  <c r="BG638" i="17" s="1"/>
  <c r="U382" i="5"/>
  <c r="BD383" i="17"/>
  <c r="BG383" i="17" s="1"/>
  <c r="BD682" i="17"/>
  <c r="BG682" i="17" s="1"/>
  <c r="U452" i="5"/>
  <c r="BD752" i="17"/>
  <c r="BG752" i="17" s="1"/>
  <c r="U613" i="5"/>
  <c r="BD913" i="17"/>
  <c r="BG913" i="17" s="1"/>
  <c r="U634" i="5"/>
  <c r="BD934" i="17"/>
  <c r="BG934" i="17" s="1"/>
  <c r="U697" i="5"/>
  <c r="BD997" i="17"/>
  <c r="BG997" i="17" s="1"/>
  <c r="U360" i="5"/>
  <c r="BD361" i="17"/>
  <c r="BG361" i="17" s="1"/>
  <c r="BD660" i="17"/>
  <c r="BG660" i="17" s="1"/>
  <c r="U115" i="5"/>
  <c r="BD116" i="17"/>
  <c r="BG116" i="17" s="1"/>
  <c r="BD415" i="17"/>
  <c r="BG415" i="17" s="1"/>
  <c r="U29" i="5"/>
  <c r="BD30" i="17"/>
  <c r="BG30" i="17" s="1"/>
  <c r="U568" i="5"/>
  <c r="BD868" i="17"/>
  <c r="BG868" i="17" s="1"/>
  <c r="U506" i="5"/>
  <c r="BD806" i="17"/>
  <c r="BG806" i="17" s="1"/>
  <c r="U201" i="5"/>
  <c r="BD202" i="17"/>
  <c r="BG202" i="17" s="1"/>
  <c r="BD501" i="17"/>
  <c r="BG501" i="17" s="1"/>
  <c r="U102" i="5"/>
  <c r="BD103" i="17"/>
  <c r="BG103" i="17" s="1"/>
  <c r="BD402" i="17"/>
  <c r="BG402" i="17" s="1"/>
  <c r="U637" i="5"/>
  <c r="BD937" i="17"/>
  <c r="BG937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25" i="5"/>
  <c r="AJ1025" i="17"/>
  <c r="AM1025" i="17" s="1"/>
  <c r="M685" i="5"/>
  <c r="AJ985" i="17"/>
  <c r="AM985" i="17" s="1"/>
  <c r="M664" i="5"/>
  <c r="AJ964" i="17"/>
  <c r="AM964" i="17" s="1"/>
  <c r="M612" i="5"/>
  <c r="AJ912" i="17"/>
  <c r="AM912" i="17" s="1"/>
  <c r="M597" i="5"/>
  <c r="AJ897" i="17"/>
  <c r="AM897" i="17" s="1"/>
  <c r="M543" i="5"/>
  <c r="AJ843" i="17"/>
  <c r="AM843" i="17" s="1"/>
  <c r="M477" i="5"/>
  <c r="AJ777" i="17"/>
  <c r="AM777" i="17" s="1"/>
  <c r="M448" i="5"/>
  <c r="AJ748" i="17"/>
  <c r="AM748" i="17" s="1"/>
  <c r="M421" i="5"/>
  <c r="AJ721" i="17"/>
  <c r="AM721" i="17" s="1"/>
  <c r="M376" i="5"/>
  <c r="AJ377" i="17"/>
  <c r="AM377" i="17" s="1"/>
  <c r="AJ676" i="17"/>
  <c r="AM676" i="17" s="1"/>
  <c r="M316" i="5"/>
  <c r="AJ317" i="17"/>
  <c r="AM317" i="17" s="1"/>
  <c r="AJ616" i="17"/>
  <c r="AM616" i="17" s="1"/>
  <c r="M295" i="5"/>
  <c r="AJ296" i="17"/>
  <c r="AM296" i="17" s="1"/>
  <c r="AJ595" i="17"/>
  <c r="AM595" i="17" s="1"/>
  <c r="M246" i="5"/>
  <c r="AJ247" i="17"/>
  <c r="AM247" i="17" s="1"/>
  <c r="AJ546" i="17"/>
  <c r="AM546" i="17" s="1"/>
  <c r="M197" i="5"/>
  <c r="AJ198" i="17"/>
  <c r="AM198" i="17" s="1"/>
  <c r="AJ497" i="17"/>
  <c r="AM497" i="17" s="1"/>
  <c r="M176" i="5"/>
  <c r="AJ177" i="17"/>
  <c r="AM177" i="17" s="1"/>
  <c r="AJ476" i="17"/>
  <c r="AM476" i="17" s="1"/>
  <c r="M147" i="5"/>
  <c r="AJ148" i="17"/>
  <c r="AM148" i="17" s="1"/>
  <c r="AJ447" i="17"/>
  <c r="AM447" i="17" s="1"/>
  <c r="M101" i="5"/>
  <c r="AJ102" i="17"/>
  <c r="AM102" i="17" s="1"/>
  <c r="AJ401" i="17"/>
  <c r="AM401" i="17" s="1"/>
  <c r="M81" i="5"/>
  <c r="AJ82" i="17"/>
  <c r="AM82" i="17" s="1"/>
  <c r="M55" i="5"/>
  <c r="AJ56" i="17" s="1"/>
  <c r="AM56" i="17" s="1"/>
  <c r="M33" i="5"/>
  <c r="AJ34" i="17" s="1"/>
  <c r="AM34" i="17" s="1"/>
  <c r="M23" i="5"/>
  <c r="AJ24" i="17" s="1"/>
  <c r="AM24" i="17" s="1"/>
  <c r="M14" i="5"/>
  <c r="AJ15" i="17" s="1"/>
  <c r="AM15" i="17" s="1"/>
  <c r="M760" i="5"/>
  <c r="AJ1060" i="17"/>
  <c r="AM1060" i="17" s="1"/>
  <c r="M720" i="5"/>
  <c r="AJ1020" i="17"/>
  <c r="AM1020" i="17" s="1"/>
  <c r="M681" i="5"/>
  <c r="AJ981" i="17"/>
  <c r="AM981" i="17" s="1"/>
  <c r="M652" i="5"/>
  <c r="AJ952" i="17"/>
  <c r="AM952" i="17" s="1"/>
  <c r="M624" i="5"/>
  <c r="AJ924" i="17"/>
  <c r="AM924" i="17" s="1"/>
  <c r="M586" i="5"/>
  <c r="AJ886" i="17"/>
  <c r="AM886" i="17" s="1"/>
  <c r="M566" i="5"/>
  <c r="AJ866" i="17"/>
  <c r="AM866" i="17" s="1"/>
  <c r="M515" i="5"/>
  <c r="AJ815" i="17"/>
  <c r="AM815" i="17" s="1"/>
  <c r="M497" i="5"/>
  <c r="AJ797" i="17"/>
  <c r="AM797" i="17" s="1"/>
  <c r="M437" i="5"/>
  <c r="AJ737" i="17"/>
  <c r="AM737" i="17" s="1"/>
  <c r="M424" i="5"/>
  <c r="AJ724" i="17"/>
  <c r="AM724" i="17" s="1"/>
  <c r="M382" i="5"/>
  <c r="AJ383" i="17"/>
  <c r="AM383" i="17" s="1"/>
  <c r="AJ682" i="17"/>
  <c r="AM682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27" i="5"/>
  <c r="AJ228" i="17"/>
  <c r="AM228" i="17" s="1"/>
  <c r="AJ527" i="17"/>
  <c r="AM527" i="17" s="1"/>
  <c r="M169" i="5"/>
  <c r="AJ170" i="17"/>
  <c r="AM170" i="17" s="1"/>
  <c r="AJ469" i="17"/>
  <c r="AM469" i="17" s="1"/>
  <c r="M148" i="5"/>
  <c r="AJ149" i="17"/>
  <c r="AM149" i="17" s="1"/>
  <c r="AJ448" i="17"/>
  <c r="AM448" i="17" s="1"/>
  <c r="M121" i="5"/>
  <c r="AJ122" i="17"/>
  <c r="AM122" i="17" s="1"/>
  <c r="AJ421" i="17"/>
  <c r="AM421" i="17" s="1"/>
  <c r="M104" i="5"/>
  <c r="AJ105" i="17"/>
  <c r="AM105" i="17" s="1"/>
  <c r="AJ404" i="17"/>
  <c r="AM404" i="17" s="1"/>
  <c r="M70" i="5"/>
  <c r="AJ71" i="17" s="1"/>
  <c r="AM7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619" i="5"/>
  <c r="AJ919" i="17"/>
  <c r="AM919" i="17" s="1"/>
  <c r="M481" i="5"/>
  <c r="AJ781" i="17"/>
  <c r="AM781" i="17" s="1"/>
  <c r="M461" i="5"/>
  <c r="AJ761" i="17"/>
  <c r="AM761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139" i="5"/>
  <c r="AJ140" i="17"/>
  <c r="AM140" i="17" s="1"/>
  <c r="AJ439" i="17"/>
  <c r="AM439" i="17" s="1"/>
  <c r="M2" i="5"/>
  <c r="AJ2" i="17" s="1"/>
  <c r="AM2" i="17" s="1"/>
  <c r="M67" i="5"/>
  <c r="AJ68" i="17" s="1"/>
  <c r="AM68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73" i="5"/>
  <c r="AJ374" i="17"/>
  <c r="AM374" i="17" s="1"/>
  <c r="AJ673" i="17"/>
  <c r="AM673" i="17" s="1"/>
  <c r="M387" i="5"/>
  <c r="AJ687" i="17"/>
  <c r="AM687" i="17" s="1"/>
  <c r="M498" i="5"/>
  <c r="AJ798" i="17"/>
  <c r="AM798" i="17" s="1"/>
  <c r="M596" i="5"/>
  <c r="AJ896" i="17"/>
  <c r="AM896" i="17" s="1"/>
  <c r="M614" i="5"/>
  <c r="AJ914" i="17"/>
  <c r="AM914" i="17" s="1"/>
  <c r="M702" i="5"/>
  <c r="AJ1002" i="17"/>
  <c r="AM1002" i="17" s="1"/>
  <c r="Q308" i="5"/>
  <c r="AT309" i="17"/>
  <c r="AW309" i="17" s="1"/>
  <c r="AT608" i="17"/>
  <c r="AW608" i="17" s="1"/>
  <c r="Q131" i="5"/>
  <c r="AT132" i="17"/>
  <c r="AW132" i="17" s="1"/>
  <c r="AT431" i="17"/>
  <c r="AW431" i="17" s="1"/>
  <c r="Q24" i="5"/>
  <c r="AT25" i="17"/>
  <c r="AW25" i="17" s="1"/>
  <c r="Q5" i="5"/>
  <c r="AT5" i="17"/>
  <c r="AW5" i="17" s="1"/>
  <c r="Q401" i="5"/>
  <c r="AT701" i="17"/>
  <c r="AW701" i="17" s="1"/>
  <c r="Q80" i="5"/>
  <c r="AT81" i="17"/>
  <c r="AW81" i="17" s="1"/>
  <c r="Q34" i="5"/>
  <c r="AT35" i="17"/>
  <c r="AW35" i="17" s="1"/>
  <c r="Q6" i="5"/>
  <c r="AT6" i="17"/>
  <c r="AW6" i="17" s="1"/>
  <c r="Q779" i="5"/>
  <c r="AT1079" i="17"/>
  <c r="AW1079" i="17" s="1"/>
  <c r="Q295" i="5"/>
  <c r="AT296" i="17"/>
  <c r="AW296" i="17" s="1"/>
  <c r="AT595" i="17"/>
  <c r="AW595" i="17" s="1"/>
  <c r="Q100" i="5"/>
  <c r="AT101" i="17"/>
  <c r="AW101" i="17" s="1"/>
  <c r="AT400" i="17"/>
  <c r="AW400" i="17" s="1"/>
  <c r="M837" i="5"/>
  <c r="AJ1137" i="17"/>
  <c r="AM1137" i="17" s="1"/>
  <c r="M829" i="5"/>
  <c r="AJ1129" i="17"/>
  <c r="AM1129" i="17" s="1"/>
  <c r="M821" i="5"/>
  <c r="AJ1121" i="17"/>
  <c r="AM1121" i="17" s="1"/>
  <c r="M813" i="5"/>
  <c r="AJ1113" i="17"/>
  <c r="AM1113" i="17" s="1"/>
  <c r="M805" i="5"/>
  <c r="AJ1105" i="17"/>
  <c r="AM1105" i="17" s="1"/>
  <c r="M797" i="5"/>
  <c r="AJ1097" i="17"/>
  <c r="AM1097" i="17" s="1"/>
  <c r="M789" i="5"/>
  <c r="AJ1089" i="17"/>
  <c r="AM1089" i="17" s="1"/>
  <c r="M781" i="5"/>
  <c r="AJ1081" i="17"/>
  <c r="AM1081" i="17" s="1"/>
  <c r="M773" i="5"/>
  <c r="AJ1073" i="17"/>
  <c r="AM1073" i="17" s="1"/>
  <c r="O864" i="5"/>
  <c r="AO1164" i="17"/>
  <c r="AR1164" i="17" s="1"/>
  <c r="Q848" i="5"/>
  <c r="AT1148" i="17"/>
  <c r="AW1148" i="17" s="1"/>
  <c r="Q812" i="5"/>
  <c r="AT1112" i="17"/>
  <c r="AW1112" i="17" s="1"/>
  <c r="Q784" i="5"/>
  <c r="AT1084" i="17"/>
  <c r="AW1084" i="17" s="1"/>
  <c r="U826" i="5"/>
  <c r="BD1126" i="17"/>
  <c r="BG1126" i="17" s="1"/>
  <c r="O858" i="5"/>
  <c r="AO1158" i="17"/>
  <c r="AR1158" i="17" s="1"/>
  <c r="O820" i="5"/>
  <c r="AO1120" i="17"/>
  <c r="AR1120" i="17" s="1"/>
  <c r="O818" i="5"/>
  <c r="AO1118" i="17"/>
  <c r="AR1118" i="17" s="1"/>
  <c r="O769" i="5"/>
  <c r="AO1069" i="17"/>
  <c r="AR1069" i="17" s="1"/>
  <c r="Q841" i="5"/>
  <c r="AT1141" i="17"/>
  <c r="AW1141" i="17" s="1"/>
  <c r="Q754" i="5"/>
  <c r="AT1054" i="17"/>
  <c r="AW1054" i="17" s="1"/>
  <c r="Q721" i="5"/>
  <c r="AT1021" i="17"/>
  <c r="AW1021" i="17" s="1"/>
  <c r="Q695" i="5"/>
  <c r="AT995" i="17"/>
  <c r="AW995" i="17" s="1"/>
  <c r="Q655" i="5"/>
  <c r="AT955" i="17"/>
  <c r="AW955" i="17" s="1"/>
  <c r="Q622" i="5"/>
  <c r="AT922" i="17"/>
  <c r="AW922" i="17" s="1"/>
  <c r="Q808" i="5"/>
  <c r="AT1108" i="17"/>
  <c r="AW1108" i="17" s="1"/>
  <c r="Q845" i="5"/>
  <c r="AT1145" i="17"/>
  <c r="AW1145" i="17" s="1"/>
  <c r="Q807" i="5"/>
  <c r="AT1107" i="17"/>
  <c r="AW1107" i="17" s="1"/>
  <c r="Q846" i="5"/>
  <c r="AT1146" i="17"/>
  <c r="AW1146" i="17" s="1"/>
  <c r="O739" i="5"/>
  <c r="AO1039" i="17"/>
  <c r="AR1039" i="17" s="1"/>
  <c r="O780" i="5"/>
  <c r="AO1080" i="17"/>
  <c r="AR1080" i="17" s="1"/>
  <c r="O829" i="5"/>
  <c r="AO1129" i="17"/>
  <c r="AR1129" i="17" s="1"/>
  <c r="O718" i="5"/>
  <c r="AO1018" i="17"/>
  <c r="AR1018" i="17" s="1"/>
  <c r="O767" i="5"/>
  <c r="AO1067" i="17"/>
  <c r="AR1067" i="17" s="1"/>
  <c r="O805" i="5"/>
  <c r="AO1105" i="17"/>
  <c r="AR1105" i="17" s="1"/>
  <c r="O859" i="5"/>
  <c r="AO1159" i="17"/>
  <c r="AR1159" i="17" s="1"/>
  <c r="Q121" i="5"/>
  <c r="AT122" i="17"/>
  <c r="AW122" i="17" s="1"/>
  <c r="AT421" i="17"/>
  <c r="AW421" i="17" s="1"/>
  <c r="Q137" i="5"/>
  <c r="AT138" i="17"/>
  <c r="AW138" i="17" s="1"/>
  <c r="AT437" i="17"/>
  <c r="AW437" i="17" s="1"/>
  <c r="Q163" i="5"/>
  <c r="AT164" i="17"/>
  <c r="AW164" i="17" s="1"/>
  <c r="AT463" i="17"/>
  <c r="AW46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321" i="5"/>
  <c r="AT322" i="17"/>
  <c r="AW322" i="17" s="1"/>
  <c r="AT621" i="17"/>
  <c r="AW621" i="17" s="1"/>
  <c r="Q429" i="5"/>
  <c r="AT729" i="17"/>
  <c r="AW729" i="17" s="1"/>
  <c r="Q607" i="5"/>
  <c r="AT907" i="17"/>
  <c r="AW907" i="17" s="1"/>
  <c r="Q147" i="5"/>
  <c r="AT148" i="17"/>
  <c r="AW148" i="17" s="1"/>
  <c r="AT447" i="17"/>
  <c r="AW447" i="17" s="1"/>
  <c r="Q184" i="5"/>
  <c r="AT185" i="17"/>
  <c r="AW185" i="17" s="1"/>
  <c r="AT484" i="17"/>
  <c r="AW484" i="17" s="1"/>
  <c r="Q214" i="5"/>
  <c r="AT215" i="17"/>
  <c r="AW215" i="17" s="1"/>
  <c r="AT514" i="17"/>
  <c r="AW514" i="17" s="1"/>
  <c r="Q260" i="5"/>
  <c r="AT261" i="17"/>
  <c r="AW261" i="17" s="1"/>
  <c r="AT560" i="17"/>
  <c r="AW560" i="17" s="1"/>
  <c r="Q331" i="5"/>
  <c r="AT332" i="17"/>
  <c r="AW332" i="17" s="1"/>
  <c r="AT631" i="17"/>
  <c r="AW631" i="17" s="1"/>
  <c r="Q392" i="5"/>
  <c r="AT692" i="17"/>
  <c r="AW692" i="17" s="1"/>
  <c r="Q502" i="5"/>
  <c r="AT802" i="17"/>
  <c r="AW802" i="17" s="1"/>
  <c r="Q768" i="5"/>
  <c r="AT1068" i="17"/>
  <c r="AW1068" i="17" s="1"/>
  <c r="Q264" i="5"/>
  <c r="AT265" i="17"/>
  <c r="AW265" i="17" s="1"/>
  <c r="AT564" i="17"/>
  <c r="AW564" i="17" s="1"/>
  <c r="Q309" i="5"/>
  <c r="AT310" i="17"/>
  <c r="AW310" i="17" s="1"/>
  <c r="AT609" i="17"/>
  <c r="AW609" i="17" s="1"/>
  <c r="Q368" i="5"/>
  <c r="AT369" i="17"/>
  <c r="AW369" i="17" s="1"/>
  <c r="AT668" i="17"/>
  <c r="AW668" i="17" s="1"/>
  <c r="Q421" i="5"/>
  <c r="AT721" i="17"/>
  <c r="AW721" i="17" s="1"/>
  <c r="Q653" i="5"/>
  <c r="AT953" i="17"/>
  <c r="AW953" i="17" s="1"/>
  <c r="Q291" i="5"/>
  <c r="AT292" i="17"/>
  <c r="AW292" i="17" s="1"/>
  <c r="AT591" i="17"/>
  <c r="AW591" i="17" s="1"/>
  <c r="Q335" i="5"/>
  <c r="AT336" i="17"/>
  <c r="AW336" i="17" s="1"/>
  <c r="AT635" i="17"/>
  <c r="AW635" i="17" s="1"/>
  <c r="Q416" i="5"/>
  <c r="AT716" i="17"/>
  <c r="AW716" i="17" s="1"/>
  <c r="Q539" i="5"/>
  <c r="AT839" i="17"/>
  <c r="AW839" i="17" s="1"/>
  <c r="Q586" i="5"/>
  <c r="AT886" i="17"/>
  <c r="AW886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56" i="5"/>
  <c r="AT357" i="17"/>
  <c r="AW357" i="17" s="1"/>
  <c r="AT656" i="17"/>
  <c r="AW656" i="17" s="1"/>
  <c r="Q379" i="5"/>
  <c r="AT380" i="17"/>
  <c r="AW380" i="17" s="1"/>
  <c r="AT679" i="17"/>
  <c r="AW679" i="17" s="1"/>
  <c r="Q402" i="5"/>
  <c r="AT702" i="17"/>
  <c r="AW702" i="17" s="1"/>
  <c r="Q514" i="5"/>
  <c r="AT814" i="17"/>
  <c r="AW814" i="17" s="1"/>
  <c r="Q569" i="5"/>
  <c r="AT869" i="17"/>
  <c r="AW869" i="17" s="1"/>
  <c r="Q639" i="5"/>
  <c r="AT939" i="17"/>
  <c r="AW939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412" i="5"/>
  <c r="AT712" i="17"/>
  <c r="AW712" i="17" s="1"/>
  <c r="Q463" i="5"/>
  <c r="AT763" i="17"/>
  <c r="AW763" i="17" s="1"/>
  <c r="Q553" i="5"/>
  <c r="AT853" i="17"/>
  <c r="AW853" i="17" s="1"/>
  <c r="Q818" i="5"/>
  <c r="AT1118" i="17"/>
  <c r="AW1118" i="17" s="1"/>
  <c r="Q475" i="5"/>
  <c r="AT775" i="17"/>
  <c r="AW775" i="17" s="1"/>
  <c r="Q500" i="5"/>
  <c r="AT800" i="17"/>
  <c r="AW800" i="17" s="1"/>
  <c r="Q536" i="5"/>
  <c r="AT836" i="17"/>
  <c r="AW836" i="17" s="1"/>
  <c r="Q579" i="5"/>
  <c r="AT879" i="17"/>
  <c r="AW879" i="17" s="1"/>
  <c r="Q631" i="5"/>
  <c r="AT931" i="17"/>
  <c r="AW931" i="17" s="1"/>
  <c r="Q414" i="5"/>
  <c r="AT714" i="17"/>
  <c r="AW714" i="17" s="1"/>
  <c r="Q438" i="5"/>
  <c r="AT738" i="17"/>
  <c r="AW738" i="17" s="1"/>
  <c r="Q465" i="5"/>
  <c r="AT765" i="17"/>
  <c r="AW765" i="17" s="1"/>
  <c r="Q489" i="5"/>
  <c r="AT789" i="17"/>
  <c r="AW789" i="17" s="1"/>
  <c r="Q530" i="5"/>
  <c r="AT830" i="17"/>
  <c r="AW830" i="17" s="1"/>
  <c r="Q561" i="5"/>
  <c r="AT861" i="17"/>
  <c r="AW861" i="17" s="1"/>
  <c r="Q583" i="5"/>
  <c r="AT883" i="17"/>
  <c r="AW883" i="17" s="1"/>
  <c r="Q773" i="5"/>
  <c r="AT1073" i="17"/>
  <c r="AW1073" i="17" s="1"/>
  <c r="Q633" i="5"/>
  <c r="AT933" i="17"/>
  <c r="AW933" i="17" s="1"/>
  <c r="Q662" i="5"/>
  <c r="AT962" i="17"/>
  <c r="AW962" i="17" s="1"/>
  <c r="Q712" i="5"/>
  <c r="AT1012" i="17"/>
  <c r="AW1012" i="17" s="1"/>
  <c r="Q760" i="5"/>
  <c r="AT1060" i="17"/>
  <c r="AW1060" i="17" s="1"/>
  <c r="Q580" i="5"/>
  <c r="AT880" i="17"/>
  <c r="AW880" i="17" s="1"/>
  <c r="Q614" i="5"/>
  <c r="AT914" i="17"/>
  <c r="AW914" i="17" s="1"/>
  <c r="Q663" i="5"/>
  <c r="AT963" i="17"/>
  <c r="AW963" i="17" s="1"/>
  <c r="Q702" i="5"/>
  <c r="AT1002" i="17"/>
  <c r="AW1002" i="17" s="1"/>
  <c r="Q761" i="5"/>
  <c r="AT1061" i="17"/>
  <c r="AW1061" i="17" s="1"/>
  <c r="Q823" i="5"/>
  <c r="AT1123" i="17"/>
  <c r="AW1123" i="17" s="1"/>
  <c r="Q767" i="5"/>
  <c r="AT1067" i="17"/>
  <c r="AW1067" i="17" s="1"/>
  <c r="Q724" i="5"/>
  <c r="AT1024" i="17"/>
  <c r="AW1024" i="17" s="1"/>
  <c r="Q752" i="5"/>
  <c r="AT1052" i="17"/>
  <c r="AW1052" i="17" s="1"/>
  <c r="Q844" i="5"/>
  <c r="AT1144" i="17"/>
  <c r="AW1144" i="17" s="1"/>
  <c r="Q206" i="5"/>
  <c r="AT207" i="17"/>
  <c r="AW207" i="17" s="1"/>
  <c r="AT506" i="17"/>
  <c r="AW506" i="17" s="1"/>
  <c r="Q146" i="5"/>
  <c r="AT147" i="17"/>
  <c r="AW147" i="17" s="1"/>
  <c r="AT446" i="17"/>
  <c r="AW446" i="17" s="1"/>
  <c r="Q117" i="5"/>
  <c r="AT118" i="17"/>
  <c r="AW118" i="17" s="1"/>
  <c r="AT417" i="17"/>
  <c r="AW417" i="17" s="1"/>
  <c r="Q97" i="5"/>
  <c r="AT98" i="17"/>
  <c r="AW98" i="17" s="1"/>
  <c r="AT397" i="17"/>
  <c r="AW397" i="17" s="1"/>
  <c r="Q46" i="5"/>
  <c r="AT47" i="17"/>
  <c r="AW47" i="17" s="1"/>
  <c r="Q15" i="5"/>
  <c r="AT16" i="17"/>
  <c r="AW16" i="17" s="1"/>
  <c r="S249" i="5"/>
  <c r="AY250" i="17"/>
  <c r="BB250" i="17" s="1"/>
  <c r="AY549" i="17"/>
  <c r="BB549" i="17" s="1"/>
  <c r="S274" i="5"/>
  <c r="AY275" i="17"/>
  <c r="BB275" i="17" s="1"/>
  <c r="AY574" i="17"/>
  <c r="BB574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62" i="5"/>
  <c r="AY363" i="17"/>
  <c r="BB363" i="17" s="1"/>
  <c r="AY662" i="17"/>
  <c r="BB662" i="17" s="1"/>
  <c r="S405" i="5"/>
  <c r="AY705" i="17"/>
  <c r="BB705" i="17" s="1"/>
  <c r="S431" i="5"/>
  <c r="AY731" i="17"/>
  <c r="BB731" i="17" s="1"/>
  <c r="S492" i="5"/>
  <c r="AY792" i="17"/>
  <c r="BB792" i="17" s="1"/>
  <c r="S527" i="5"/>
  <c r="AY827" i="17"/>
  <c r="BB827" i="17" s="1"/>
  <c r="S556" i="5"/>
  <c r="AY856" i="17"/>
  <c r="BB856" i="17" s="1"/>
  <c r="S605" i="5"/>
  <c r="AY905" i="17"/>
  <c r="BB905" i="17" s="1"/>
  <c r="S652" i="5"/>
  <c r="AY952" i="17"/>
  <c r="BB952" i="17" s="1"/>
  <c r="S693" i="5"/>
  <c r="AY993" i="17"/>
  <c r="BB993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67" i="5"/>
  <c r="AY68" i="17"/>
  <c r="BB68" i="17" s="1"/>
  <c r="S109" i="5"/>
  <c r="AY110" i="17"/>
  <c r="BB110" i="17" s="1"/>
  <c r="AY409" i="17"/>
  <c r="BB409" i="17" s="1"/>
  <c r="S143" i="5"/>
  <c r="AY144" i="17"/>
  <c r="BB144" i="17" s="1"/>
  <c r="AY443" i="17"/>
  <c r="BB443" i="17" s="1"/>
  <c r="S176" i="5"/>
  <c r="AY177" i="17"/>
  <c r="BB177" i="17" s="1"/>
  <c r="AY476" i="17"/>
  <c r="BB476" i="17" s="1"/>
  <c r="S213" i="5"/>
  <c r="AY214" i="17"/>
  <c r="BB214" i="17" s="1"/>
  <c r="AY513" i="17"/>
  <c r="BB513" i="17" s="1"/>
  <c r="S243" i="5"/>
  <c r="AY244" i="17"/>
  <c r="BB244" i="17" s="1"/>
  <c r="AY543" i="17"/>
  <c r="BB543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13" i="5"/>
  <c r="AY314" i="17"/>
  <c r="BB314" i="17" s="1"/>
  <c r="AY613" i="17"/>
  <c r="BB613" i="17" s="1"/>
  <c r="S354" i="5"/>
  <c r="AY355" i="17"/>
  <c r="BB355" i="17" s="1"/>
  <c r="AY654" i="17"/>
  <c r="BB654" i="17" s="1"/>
  <c r="S399" i="5"/>
  <c r="AY699" i="17"/>
  <c r="BB699" i="17" s="1"/>
  <c r="S428" i="5"/>
  <c r="AY728" i="17"/>
  <c r="BB728" i="17" s="1"/>
  <c r="S456" i="5"/>
  <c r="AY756" i="17"/>
  <c r="BB756" i="17" s="1"/>
  <c r="S471" i="5"/>
  <c r="AY771" i="17"/>
  <c r="BB771" i="17" s="1"/>
  <c r="S498" i="5"/>
  <c r="AY798" i="17"/>
  <c r="BB798" i="17" s="1"/>
  <c r="S531" i="5"/>
  <c r="AY831" i="17"/>
  <c r="BB831" i="17" s="1"/>
  <c r="S547" i="5"/>
  <c r="AY847" i="17"/>
  <c r="BB847" i="17" s="1"/>
  <c r="S591" i="5"/>
  <c r="AY891" i="17"/>
  <c r="BB891" i="17" s="1"/>
  <c r="S625" i="5"/>
  <c r="AY925" i="17"/>
  <c r="BB925" i="17" s="1"/>
  <c r="S645" i="5"/>
  <c r="AY945" i="17"/>
  <c r="BB945" i="17" s="1"/>
  <c r="S702" i="5"/>
  <c r="AY1002" i="17"/>
  <c r="BB1002" i="17" s="1"/>
  <c r="S745" i="5"/>
  <c r="AY1045" i="17"/>
  <c r="BB1045" i="17" s="1"/>
  <c r="S787" i="5"/>
  <c r="AY1087" i="17"/>
  <c r="BB1087" i="17" s="1"/>
  <c r="S825" i="5"/>
  <c r="AY1125" i="17"/>
  <c r="BB1125" i="17" s="1"/>
  <c r="S847" i="5"/>
  <c r="AY1147" i="17"/>
  <c r="BB1147" i="17" s="1"/>
  <c r="S860" i="5"/>
  <c r="AY1160" i="17"/>
  <c r="BB1160" i="17" s="1"/>
  <c r="S588" i="5"/>
  <c r="AY888" i="17"/>
  <c r="BB888" i="17" s="1"/>
  <c r="S616" i="5"/>
  <c r="AY916" i="17"/>
  <c r="BB916" i="17" s="1"/>
  <c r="S657" i="5"/>
  <c r="AY957" i="17"/>
  <c r="BB957" i="17" s="1"/>
  <c r="S697" i="5"/>
  <c r="AY997" i="17"/>
  <c r="BB997" i="17" s="1"/>
  <c r="S728" i="5"/>
  <c r="AY1028" i="17"/>
  <c r="BB1028" i="17" s="1"/>
  <c r="S764" i="5"/>
  <c r="AY1064" i="17"/>
  <c r="BB1064" i="17" s="1"/>
  <c r="S791" i="5"/>
  <c r="AY1091" i="17"/>
  <c r="BB1091" i="17" s="1"/>
  <c r="S830" i="5"/>
  <c r="AY1130" i="17"/>
  <c r="BB1130" i="17" s="1"/>
  <c r="S828" i="5"/>
  <c r="AY1128" i="17"/>
  <c r="BB1128" i="17" s="1"/>
  <c r="S651" i="5"/>
  <c r="AY951" i="17"/>
  <c r="BB951" i="17" s="1"/>
  <c r="S537" i="5"/>
  <c r="AY837" i="17"/>
  <c r="BB837" i="17" s="1"/>
  <c r="S478" i="5"/>
  <c r="AY778" i="17"/>
  <c r="BB778" i="17" s="1"/>
  <c r="S447" i="5"/>
  <c r="AY747" i="17"/>
  <c r="BB747" i="17" s="1"/>
  <c r="S397" i="5"/>
  <c r="AY697" i="17"/>
  <c r="BB697" i="17" s="1"/>
  <c r="S793" i="5"/>
  <c r="AY1093" i="17"/>
  <c r="BB1093" i="17" s="1"/>
  <c r="S580" i="5"/>
  <c r="AY880" i="17"/>
  <c r="BB880" i="17" s="1"/>
  <c r="S218" i="5"/>
  <c r="AY219" i="17"/>
  <c r="BB219" i="17" s="1"/>
  <c r="AY518" i="17"/>
  <c r="BB518" i="17" s="1"/>
  <c r="S141" i="5"/>
  <c r="AY142" i="17"/>
  <c r="BB142" i="17" s="1"/>
  <c r="AY441" i="17"/>
  <c r="BB441" i="17" s="1"/>
  <c r="S29" i="5"/>
  <c r="AY30" i="17"/>
  <c r="BB30" i="17" s="1"/>
  <c r="S756" i="5"/>
  <c r="AY1056" i="17"/>
  <c r="BB1056" i="17" s="1"/>
  <c r="S480" i="5"/>
  <c r="AY780" i="17"/>
  <c r="BB780" i="17" s="1"/>
  <c r="S34" i="5"/>
  <c r="AY35" i="17"/>
  <c r="BB35" i="17" s="1"/>
  <c r="S77" i="5"/>
  <c r="AY78" i="17"/>
  <c r="BB78" i="17" s="1"/>
  <c r="S115" i="5"/>
  <c r="AY116" i="17"/>
  <c r="BB116" i="17" s="1"/>
  <c r="AY415" i="17"/>
  <c r="BB415" i="17" s="1"/>
  <c r="S151" i="5"/>
  <c r="AY152" i="17"/>
  <c r="BB152" i="17" s="1"/>
  <c r="AY451" i="17"/>
  <c r="BB451" i="17" s="1"/>
  <c r="S204" i="5"/>
  <c r="AY205" i="17"/>
  <c r="BB205" i="17" s="1"/>
  <c r="AY504" i="17"/>
  <c r="BB504" i="17" s="1"/>
  <c r="S273" i="5"/>
  <c r="AY274" i="17"/>
  <c r="BB274" i="17" s="1"/>
  <c r="AY573" i="17"/>
  <c r="BB573" i="17" s="1"/>
  <c r="S336" i="5"/>
  <c r="AY337" i="17"/>
  <c r="BB337" i="17" s="1"/>
  <c r="AY636" i="17"/>
  <c r="BB636" i="17" s="1"/>
  <c r="S550" i="5"/>
  <c r="AY850" i="17"/>
  <c r="BB850" i="17" s="1"/>
  <c r="S635" i="5"/>
  <c r="AY935" i="17"/>
  <c r="BB935" i="17" s="1"/>
  <c r="S684" i="5"/>
  <c r="AY984" i="17"/>
  <c r="BB984" i="17" s="1"/>
  <c r="S808" i="5"/>
  <c r="AY1108" i="17"/>
  <c r="BB1108" i="17" s="1"/>
  <c r="S49" i="5"/>
  <c r="AY50" i="17"/>
  <c r="BB50" i="17" s="1"/>
  <c r="S101" i="5"/>
  <c r="AY102" i="17"/>
  <c r="BB102" i="17" s="1"/>
  <c r="AY401" i="17"/>
  <c r="BB401" i="17" s="1"/>
  <c r="S181" i="5"/>
  <c r="AY182" i="17"/>
  <c r="BB182" i="17" s="1"/>
  <c r="AY481" i="17"/>
  <c r="BB481" i="17" s="1"/>
  <c r="S226" i="5"/>
  <c r="AY227" i="17"/>
  <c r="BB227" i="17" s="1"/>
  <c r="AY526" i="17"/>
  <c r="BB526" i="17" s="1"/>
  <c r="S295" i="5"/>
  <c r="AY296" i="17"/>
  <c r="BB296" i="17" s="1"/>
  <c r="AY595" i="17"/>
  <c r="BB595" i="17" s="1"/>
  <c r="S393" i="5"/>
  <c r="AY693" i="17"/>
  <c r="BB693" i="17" s="1"/>
  <c r="S482" i="5"/>
  <c r="AY782" i="17"/>
  <c r="BB782" i="17" s="1"/>
  <c r="S653" i="5"/>
  <c r="AY953" i="17"/>
  <c r="BB953" i="17" s="1"/>
  <c r="S738" i="5"/>
  <c r="AY1038" i="17"/>
  <c r="BB1038" i="17" s="1"/>
  <c r="S99" i="5"/>
  <c r="AY100" i="17"/>
  <c r="BB100" i="17" s="1"/>
  <c r="AY399" i="17"/>
  <c r="BB399" i="17" s="1"/>
  <c r="S142" i="5"/>
  <c r="AY143" i="17"/>
  <c r="BB143" i="17" s="1"/>
  <c r="AY442" i="17"/>
  <c r="BB442" i="17" s="1"/>
  <c r="S180" i="5"/>
  <c r="AY181" i="17"/>
  <c r="BB181" i="17" s="1"/>
  <c r="AY480" i="17"/>
  <c r="BB480" i="17" s="1"/>
  <c r="S223" i="5"/>
  <c r="AY224" i="17"/>
  <c r="BB224" i="17" s="1"/>
  <c r="AY523" i="17"/>
  <c r="BB523" i="17" s="1"/>
  <c r="S298" i="5"/>
  <c r="AY299" i="17"/>
  <c r="BB299" i="17" s="1"/>
  <c r="AY598" i="17"/>
  <c r="BB598" i="17" s="1"/>
  <c r="S343" i="5"/>
  <c r="AY344" i="17"/>
  <c r="BB344" i="17" s="1"/>
  <c r="AY643" i="17"/>
  <c r="BB643" i="17" s="1"/>
  <c r="S420" i="5"/>
  <c r="AY720" i="17"/>
  <c r="BB720" i="17" s="1"/>
  <c r="S510" i="5"/>
  <c r="AY810" i="17"/>
  <c r="BB810" i="17" s="1"/>
  <c r="S586" i="5"/>
  <c r="AY886" i="17"/>
  <c r="BB886" i="17" s="1"/>
  <c r="S641" i="5"/>
  <c r="AY941" i="17"/>
  <c r="BB941" i="17" s="1"/>
  <c r="S763" i="5"/>
  <c r="AY1063" i="17"/>
  <c r="BB1063" i="17" s="1"/>
  <c r="S583" i="5"/>
  <c r="AY883" i="17"/>
  <c r="BB883" i="17" s="1"/>
  <c r="S256" i="5"/>
  <c r="AY257" i="17"/>
  <c r="BB257" i="17" s="1"/>
  <c r="AY556" i="17"/>
  <c r="BB556" i="17" s="1"/>
  <c r="S128" i="5"/>
  <c r="AY129" i="17"/>
  <c r="BB129" i="17" s="1"/>
  <c r="AY428" i="17"/>
  <c r="BB428" i="17" s="1"/>
  <c r="S27" i="5"/>
  <c r="AY28" i="17"/>
  <c r="BB28" i="17" s="1"/>
  <c r="U852" i="5"/>
  <c r="BD1152" i="17"/>
  <c r="BG1152" i="17" s="1"/>
  <c r="U824" i="5"/>
  <c r="BD1124" i="17"/>
  <c r="BG1124" i="17" s="1"/>
  <c r="U788" i="5"/>
  <c r="BD1088" i="17"/>
  <c r="BG1088" i="17" s="1"/>
  <c r="U758" i="5"/>
  <c r="BD1058" i="17"/>
  <c r="BG1058" i="17" s="1"/>
  <c r="U704" i="5"/>
  <c r="BD1004" i="17"/>
  <c r="BG1004" i="17" s="1"/>
  <c r="U667" i="5"/>
  <c r="BD967" i="17"/>
  <c r="BG967" i="17" s="1"/>
  <c r="U778" i="5"/>
  <c r="BD1078" i="17"/>
  <c r="BG1078" i="17" s="1"/>
  <c r="U737" i="5"/>
  <c r="BD1037" i="17"/>
  <c r="BG1037" i="17" s="1"/>
  <c r="U517" i="5"/>
  <c r="BD817" i="17"/>
  <c r="BG817" i="17" s="1"/>
  <c r="U549" i="5"/>
  <c r="BD849" i="17"/>
  <c r="BG849" i="17" s="1"/>
  <c r="U574" i="5"/>
  <c r="BD874" i="17"/>
  <c r="BG874" i="17" s="1"/>
  <c r="U602" i="5"/>
  <c r="BD902" i="17"/>
  <c r="BG902" i="17" s="1"/>
  <c r="U629" i="5"/>
  <c r="BD929" i="17"/>
  <c r="BG929" i="17" s="1"/>
  <c r="U661" i="5"/>
  <c r="BD961" i="17"/>
  <c r="BG961" i="17" s="1"/>
  <c r="U761" i="5"/>
  <c r="BD1061" i="17"/>
  <c r="BG1061" i="17" s="1"/>
  <c r="U817" i="5"/>
  <c r="BD1117" i="17"/>
  <c r="BG1117" i="17" s="1"/>
  <c r="U861" i="5"/>
  <c r="BD1161" i="17"/>
  <c r="BG1161" i="17" s="1"/>
  <c r="U520" i="5"/>
  <c r="BD820" i="17"/>
  <c r="BG820" i="17" s="1"/>
  <c r="U557" i="5"/>
  <c r="BD857" i="17"/>
  <c r="BG857" i="17" s="1"/>
  <c r="U597" i="5"/>
  <c r="BD897" i="17"/>
  <c r="BG897" i="17" s="1"/>
  <c r="U633" i="5"/>
  <c r="BD933" i="17"/>
  <c r="BG933" i="17" s="1"/>
  <c r="U666" i="5"/>
  <c r="BD966" i="17"/>
  <c r="BG966" i="17" s="1"/>
  <c r="U706" i="5"/>
  <c r="BD1006" i="17"/>
  <c r="BG1006" i="17" s="1"/>
  <c r="U746" i="5"/>
  <c r="BD1046" i="17"/>
  <c r="BG1046" i="17" s="1"/>
  <c r="U775" i="5"/>
  <c r="BD1075" i="17"/>
  <c r="BG1075" i="17" s="1"/>
  <c r="U844" i="5"/>
  <c r="BD1144" i="17"/>
  <c r="BG1144" i="17" s="1"/>
  <c r="O819" i="5"/>
  <c r="AO1119" i="17"/>
  <c r="AR1119" i="17" s="1"/>
  <c r="O754" i="5"/>
  <c r="AO1054" i="17"/>
  <c r="AR1054" i="17" s="1"/>
  <c r="O796" i="5"/>
  <c r="AO1096" i="17"/>
  <c r="AR1096" i="17" s="1"/>
  <c r="O841" i="5"/>
  <c r="AO1141" i="17"/>
  <c r="AR1141" i="17" s="1"/>
  <c r="O755" i="5"/>
  <c r="AO1055" i="17"/>
  <c r="AR1055" i="17" s="1"/>
  <c r="O84" i="5"/>
  <c r="AO85" i="17" s="1"/>
  <c r="AR85" i="17" s="1"/>
  <c r="AO384" i="17"/>
  <c r="AR384" i="17" s="1"/>
  <c r="O109" i="5"/>
  <c r="AO110" i="17" s="1"/>
  <c r="AR110" i="17" s="1"/>
  <c r="O140" i="5"/>
  <c r="AO141" i="17" s="1"/>
  <c r="AR141" i="17" s="1"/>
  <c r="O174" i="5"/>
  <c r="AO175" i="17"/>
  <c r="AR175" i="17" s="1"/>
  <c r="AO474" i="17"/>
  <c r="AR474" i="17" s="1"/>
  <c r="O205" i="5"/>
  <c r="AO206" i="17"/>
  <c r="AR206" i="17" s="1"/>
  <c r="AO505" i="17"/>
  <c r="AR505" i="17" s="1"/>
  <c r="O234" i="5"/>
  <c r="AO235" i="17"/>
  <c r="AR235" i="17" s="1"/>
  <c r="AO534" i="17"/>
  <c r="AR534" i="17" s="1"/>
  <c r="O272" i="5"/>
  <c r="AO273" i="17"/>
  <c r="AR273" i="17" s="1"/>
  <c r="AO572" i="17"/>
  <c r="AR572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413" i="5"/>
  <c r="AO713" i="17"/>
  <c r="AR713" i="17" s="1"/>
  <c r="O434" i="5"/>
  <c r="AO734" i="17"/>
  <c r="AR734" i="17" s="1"/>
  <c r="O475" i="5"/>
  <c r="AO775" i="17"/>
  <c r="AR775" i="17" s="1"/>
  <c r="O519" i="5"/>
  <c r="AO819" i="17"/>
  <c r="AR819" i="17" s="1"/>
  <c r="O566" i="5"/>
  <c r="AO866" i="17"/>
  <c r="AR866" i="17" s="1"/>
  <c r="O597" i="5"/>
  <c r="AO897" i="17"/>
  <c r="AR897" i="17" s="1"/>
  <c r="O671" i="5"/>
  <c r="AO971" i="17"/>
  <c r="AR971" i="17" s="1"/>
  <c r="O51" i="5"/>
  <c r="AO52" i="17" s="1"/>
  <c r="AR52" i="17" s="1"/>
  <c r="O83" i="5"/>
  <c r="AO84" i="17" s="1"/>
  <c r="AR84" i="17" s="1"/>
  <c r="O117" i="5"/>
  <c r="AO118" i="17" s="1"/>
  <c r="AR118" i="17" s="1"/>
  <c r="O144" i="5"/>
  <c r="AO145" i="17" s="1"/>
  <c r="AR145" i="17" s="1"/>
  <c r="O177" i="5"/>
  <c r="AO178" i="17"/>
  <c r="AR178" i="17" s="1"/>
  <c r="AO477" i="17"/>
  <c r="AR477" i="17" s="1"/>
  <c r="O213" i="5"/>
  <c r="AO214" i="17"/>
  <c r="AR214" i="17" s="1"/>
  <c r="AO513" i="17"/>
  <c r="AR513" i="17" s="1"/>
  <c r="O252" i="5"/>
  <c r="AO253" i="17"/>
  <c r="AR253" i="17" s="1"/>
  <c r="AO552" i="17"/>
  <c r="AR552" i="17" s="1"/>
  <c r="O277" i="5"/>
  <c r="AO278" i="17"/>
  <c r="AR278" i="17" s="1"/>
  <c r="AO577" i="17"/>
  <c r="AR577" i="17" s="1"/>
  <c r="O307" i="5"/>
  <c r="AO308" i="17"/>
  <c r="AR308" i="17" s="1"/>
  <c r="AO607" i="17"/>
  <c r="AR607" i="17" s="1"/>
  <c r="O338" i="5"/>
  <c r="AO339" i="17"/>
  <c r="AR339" i="17" s="1"/>
  <c r="AO638" i="17"/>
  <c r="AR638" i="17" s="1"/>
  <c r="O373" i="5"/>
  <c r="AO374" i="17"/>
  <c r="AR374" i="17" s="1"/>
  <c r="AO673" i="17"/>
  <c r="AR673" i="17" s="1"/>
  <c r="O406" i="5"/>
  <c r="AO706" i="17"/>
  <c r="AR706" i="17" s="1"/>
  <c r="O455" i="5"/>
  <c r="AO755" i="17"/>
  <c r="AR755" i="17" s="1"/>
  <c r="O495" i="5"/>
  <c r="AO795" i="17"/>
  <c r="AR795" i="17" s="1"/>
  <c r="O537" i="5"/>
  <c r="AO837" i="17"/>
  <c r="AR837" i="17" s="1"/>
  <c r="O557" i="5"/>
  <c r="AO857" i="17"/>
  <c r="AR857" i="17" s="1"/>
  <c r="O600" i="5"/>
  <c r="AO900" i="17"/>
  <c r="AR900" i="17" s="1"/>
  <c r="O628" i="5"/>
  <c r="AO928" i="17"/>
  <c r="AR928" i="17" s="1"/>
  <c r="O663" i="5"/>
  <c r="AO963" i="17"/>
  <c r="AR963" i="17" s="1"/>
  <c r="O716" i="5"/>
  <c r="AO1016" i="17"/>
  <c r="AR1016" i="17" s="1"/>
  <c r="O791" i="5"/>
  <c r="AO1091" i="17"/>
  <c r="AR1091" i="17" s="1"/>
  <c r="O352" i="5"/>
  <c r="AO353" i="17"/>
  <c r="AR353" i="17" s="1"/>
  <c r="AO652" i="17"/>
  <c r="AR652" i="17" s="1"/>
  <c r="O392" i="5"/>
  <c r="AO692" i="17"/>
  <c r="AR692" i="17" s="1"/>
  <c r="O419" i="5"/>
  <c r="AO719" i="17"/>
  <c r="AR719" i="17" s="1"/>
  <c r="O450" i="5"/>
  <c r="AO750" i="17"/>
  <c r="AR750" i="17" s="1"/>
  <c r="O508" i="5"/>
  <c r="AO808" i="17"/>
  <c r="AR808" i="17" s="1"/>
  <c r="O540" i="5"/>
  <c r="AO840" i="17"/>
  <c r="AR840" i="17" s="1"/>
  <c r="O564" i="5"/>
  <c r="AO864" i="17"/>
  <c r="AR864" i="17" s="1"/>
  <c r="O605" i="5"/>
  <c r="AO905" i="17"/>
  <c r="AR905" i="17" s="1"/>
  <c r="O629" i="5"/>
  <c r="AO929" i="17"/>
  <c r="AR929" i="17" s="1"/>
  <c r="O668" i="5"/>
  <c r="AO968" i="17"/>
  <c r="AR968" i="17" s="1"/>
  <c r="O706" i="5"/>
  <c r="AO1006" i="17"/>
  <c r="AR1006" i="17" s="1"/>
  <c r="O750" i="5"/>
  <c r="AO1050" i="17"/>
  <c r="AR1050" i="17" s="1"/>
  <c r="S150" i="5"/>
  <c r="AY151" i="17"/>
  <c r="BB151" i="17" s="1"/>
  <c r="AY450" i="17"/>
  <c r="BB450" i="17" s="1"/>
  <c r="S48" i="5"/>
  <c r="AY49" i="17"/>
  <c r="BB49" i="17" s="1"/>
  <c r="O569" i="5"/>
  <c r="AO869" i="17"/>
  <c r="AR869" i="17" s="1"/>
  <c r="O500" i="5"/>
  <c r="AO800" i="17"/>
  <c r="AR800" i="17" s="1"/>
  <c r="O416" i="5"/>
  <c r="AO716" i="17"/>
  <c r="AR716" i="17" s="1"/>
  <c r="O305" i="5"/>
  <c r="AO306" i="17"/>
  <c r="AR306" i="17" s="1"/>
  <c r="AO605" i="17"/>
  <c r="AR605" i="17" s="1"/>
  <c r="O222" i="5"/>
  <c r="AO223" i="17"/>
  <c r="AR223" i="17" s="1"/>
  <c r="AO522" i="17"/>
  <c r="AR522" i="17" s="1"/>
  <c r="O92" i="5"/>
  <c r="AO93" i="17" s="1"/>
  <c r="AR93" i="17" s="1"/>
  <c r="AO392" i="17"/>
  <c r="AR392" i="17" s="1"/>
  <c r="O71" i="5"/>
  <c r="AO72" i="17" s="1"/>
  <c r="AR72" i="17" s="1"/>
  <c r="O31" i="5"/>
  <c r="AO32" i="17" s="1"/>
  <c r="AR32" i="17" s="1"/>
  <c r="O704" i="5"/>
  <c r="AO1004" i="17"/>
  <c r="AR1004" i="17" s="1"/>
  <c r="O14" i="5"/>
  <c r="AO15" i="17" s="1"/>
  <c r="AR15" i="17" s="1"/>
  <c r="O30" i="5"/>
  <c r="AO31" i="17" s="1"/>
  <c r="AR31" i="17" s="1"/>
  <c r="O88" i="5"/>
  <c r="AO388" i="17" s="1"/>
  <c r="AR388" i="17" s="1"/>
  <c r="AO89" i="17"/>
  <c r="AR89" i="17" s="1"/>
  <c r="O161" i="5"/>
  <c r="AO162" i="17"/>
  <c r="AR162" i="17" s="1"/>
  <c r="AO461" i="17"/>
  <c r="AR461" i="17" s="1"/>
  <c r="O239" i="5"/>
  <c r="AO240" i="17"/>
  <c r="AR240" i="17" s="1"/>
  <c r="AO539" i="17"/>
  <c r="AR539" i="17" s="1"/>
  <c r="O300" i="5"/>
  <c r="AO301" i="17"/>
  <c r="AR301" i="17" s="1"/>
  <c r="AO600" i="17"/>
  <c r="AR600" i="17" s="1"/>
  <c r="O374" i="5"/>
  <c r="AO375" i="17"/>
  <c r="AR375" i="17" s="1"/>
  <c r="AO674" i="17"/>
  <c r="AR674" i="17" s="1"/>
  <c r="O457" i="5"/>
  <c r="AO757" i="17"/>
  <c r="AR757" i="17" s="1"/>
  <c r="O590" i="5"/>
  <c r="AO890" i="17"/>
  <c r="AR890" i="17" s="1"/>
  <c r="O679" i="5"/>
  <c r="AO979" i="17"/>
  <c r="AR979" i="17" s="1"/>
  <c r="O562" i="5"/>
  <c r="AO862" i="17"/>
  <c r="AR862" i="17" s="1"/>
  <c r="O481" i="5"/>
  <c r="AO781" i="17"/>
  <c r="AR781" i="17" s="1"/>
  <c r="O389" i="5"/>
  <c r="AO689" i="17"/>
  <c r="AR689" i="17" s="1"/>
  <c r="O265" i="5"/>
  <c r="AO266" i="17"/>
  <c r="AR266" i="17" s="1"/>
  <c r="AO565" i="17"/>
  <c r="AR565" i="17" s="1"/>
  <c r="O197" i="5"/>
  <c r="AO198" i="17"/>
  <c r="AR198" i="17" s="1"/>
  <c r="AO497" i="17"/>
  <c r="AR497" i="17" s="1"/>
  <c r="O129" i="5"/>
  <c r="AO130" i="17" s="1"/>
  <c r="AR130" i="17" s="1"/>
  <c r="O39" i="5"/>
  <c r="AO40" i="17" s="1"/>
  <c r="AR40" i="17" s="1"/>
  <c r="S386" i="5"/>
  <c r="AY686" i="17"/>
  <c r="BB686" i="17" s="1"/>
  <c r="U300" i="5"/>
  <c r="BD301" i="17"/>
  <c r="BG301" i="17" s="1"/>
  <c r="BD600" i="17"/>
  <c r="BG600" i="17" s="1"/>
  <c r="U336" i="5"/>
  <c r="BD337" i="17"/>
  <c r="BG337" i="17" s="1"/>
  <c r="BD636" i="17"/>
  <c r="BG636" i="17" s="1"/>
  <c r="U362" i="5"/>
  <c r="BD363" i="17"/>
  <c r="BG363" i="17" s="1"/>
  <c r="BD662" i="17"/>
  <c r="BG662" i="17" s="1"/>
  <c r="U401" i="5"/>
  <c r="BD701" i="17"/>
  <c r="BG701" i="17" s="1"/>
  <c r="U438" i="5"/>
  <c r="BD738" i="17"/>
  <c r="BG738" i="17" s="1"/>
  <c r="U464" i="5"/>
  <c r="BD764" i="17"/>
  <c r="BG764" i="17" s="1"/>
  <c r="U507" i="5"/>
  <c r="BD807" i="17"/>
  <c r="BG807" i="17" s="1"/>
  <c r="U586" i="5"/>
  <c r="BD886" i="17"/>
  <c r="BG886" i="17" s="1"/>
  <c r="U657" i="5"/>
  <c r="BD957" i="17"/>
  <c r="BG957" i="17" s="1"/>
  <c r="U830" i="5"/>
  <c r="BD1130" i="17"/>
  <c r="BG1130" i="17" s="1"/>
  <c r="U678" i="5"/>
  <c r="BD978" i="17"/>
  <c r="BG978" i="17" s="1"/>
  <c r="U558" i="5"/>
  <c r="BD858" i="17"/>
  <c r="BG858" i="17" s="1"/>
  <c r="U513" i="5"/>
  <c r="BD813" i="17"/>
  <c r="BG813" i="17" s="1"/>
  <c r="U458" i="5"/>
  <c r="BD758" i="17"/>
  <c r="BG758" i="17" s="1"/>
  <c r="U402" i="5"/>
  <c r="BD702" i="17"/>
  <c r="BG702" i="17" s="1"/>
  <c r="U358" i="5"/>
  <c r="BD359" i="17"/>
  <c r="BG359" i="17" s="1"/>
  <c r="BD658" i="17"/>
  <c r="BG658" i="17" s="1"/>
  <c r="U283" i="5"/>
  <c r="BD284" i="17"/>
  <c r="BG284" i="17" s="1"/>
  <c r="BD583" i="17"/>
  <c r="BG583" i="17" s="1"/>
  <c r="U247" i="5"/>
  <c r="BD248" i="17"/>
  <c r="BG248" i="17" s="1"/>
  <c r="BD547" i="17"/>
  <c r="BG547" i="17" s="1"/>
  <c r="U217" i="5"/>
  <c r="BD218" i="17"/>
  <c r="BG218" i="17" s="1"/>
  <c r="BD517" i="17"/>
  <c r="BG517" i="17" s="1"/>
  <c r="U182" i="5"/>
  <c r="BD183" i="17"/>
  <c r="BG183" i="17" s="1"/>
  <c r="BD482" i="17"/>
  <c r="BG482" i="17" s="1"/>
  <c r="U153" i="5"/>
  <c r="BD154" i="17"/>
  <c r="BG154" i="17" s="1"/>
  <c r="BD453" i="17"/>
  <c r="BG453" i="17" s="1"/>
  <c r="U93" i="5"/>
  <c r="BD94" i="17"/>
  <c r="BG94" i="17" s="1"/>
  <c r="BD393" i="17"/>
  <c r="BG393" i="17" s="1"/>
  <c r="U414" i="5"/>
  <c r="BD714" i="17"/>
  <c r="BG714" i="17" s="1"/>
  <c r="U303" i="5"/>
  <c r="BD304" i="17"/>
  <c r="BG304" i="17" s="1"/>
  <c r="BD603" i="17"/>
  <c r="BG603" i="17" s="1"/>
  <c r="U204" i="5"/>
  <c r="BD205" i="17"/>
  <c r="BG205" i="17" s="1"/>
  <c r="BD504" i="17"/>
  <c r="BG504" i="17" s="1"/>
  <c r="U15" i="5"/>
  <c r="BD16" i="17"/>
  <c r="BG16" i="17" s="1"/>
  <c r="U36" i="5"/>
  <c r="BD37" i="17"/>
  <c r="BG37" i="17" s="1"/>
  <c r="U60" i="5"/>
  <c r="BD61" i="17"/>
  <c r="BG61" i="17" s="1"/>
  <c r="U95" i="5"/>
  <c r="BD96" i="17"/>
  <c r="BG96" i="17" s="1"/>
  <c r="BD395" i="17"/>
  <c r="BG395" i="17" s="1"/>
  <c r="U131" i="5"/>
  <c r="BD132" i="17"/>
  <c r="BG132" i="17" s="1"/>
  <c r="BD431" i="17"/>
  <c r="BG431" i="17" s="1"/>
  <c r="U157" i="5"/>
  <c r="BD158" i="17"/>
  <c r="BG158" i="17" s="1"/>
  <c r="BD457" i="17"/>
  <c r="BG457" i="17" s="1"/>
  <c r="U185" i="5"/>
  <c r="BD186" i="17"/>
  <c r="BG186" i="17" s="1"/>
  <c r="BD485" i="17"/>
  <c r="BG485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810" i="5"/>
  <c r="BD1110" i="17"/>
  <c r="BG1110" i="17" s="1"/>
  <c r="U67" i="5"/>
  <c r="BD68" i="17"/>
  <c r="BG68" i="17" s="1"/>
  <c r="U90" i="5"/>
  <c r="BD91" i="17"/>
  <c r="BG91" i="17" s="1"/>
  <c r="BD390" i="17"/>
  <c r="BG390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228" i="5"/>
  <c r="BD229" i="17"/>
  <c r="BG229" i="17" s="1"/>
  <c r="BD528" i="17"/>
  <c r="BG528" i="17" s="1"/>
  <c r="U348" i="5"/>
  <c r="BD349" i="17"/>
  <c r="BG349" i="17" s="1"/>
  <c r="BD648" i="17"/>
  <c r="BG648" i="17" s="1"/>
  <c r="U417" i="5"/>
  <c r="BD717" i="17"/>
  <c r="BG717" i="17" s="1"/>
  <c r="U448" i="5"/>
  <c r="BD748" i="17"/>
  <c r="BG748" i="17" s="1"/>
  <c r="U516" i="5"/>
  <c r="BD816" i="17"/>
  <c r="BG816" i="17" s="1"/>
  <c r="U727" i="5"/>
  <c r="BD1027" i="17"/>
  <c r="BG1027" i="17" s="1"/>
  <c r="U161" i="5"/>
  <c r="BD162" i="17"/>
  <c r="BG162" i="17" s="1"/>
  <c r="BD461" i="17"/>
  <c r="BG461" i="17" s="1"/>
  <c r="U236" i="5"/>
  <c r="BD237" i="17"/>
  <c r="BG237" i="17" s="1"/>
  <c r="BD536" i="17"/>
  <c r="BG536" i="17" s="1"/>
  <c r="U262" i="5"/>
  <c r="BD263" i="17"/>
  <c r="BG263" i="17" s="1"/>
  <c r="BD562" i="17"/>
  <c r="BG562" i="17" s="1"/>
  <c r="U307" i="5"/>
  <c r="BD308" i="17"/>
  <c r="BG308" i="17" s="1"/>
  <c r="BD607" i="17"/>
  <c r="BG607" i="17" s="1"/>
  <c r="U339" i="5"/>
  <c r="BD340" i="17"/>
  <c r="BG340" i="17" s="1"/>
  <c r="BD639" i="17"/>
  <c r="BG639" i="17" s="1"/>
  <c r="U386" i="5"/>
  <c r="BD686" i="17"/>
  <c r="BG686" i="17" s="1"/>
  <c r="U420" i="5"/>
  <c r="BD720" i="17"/>
  <c r="BG720" i="17" s="1"/>
  <c r="U453" i="5"/>
  <c r="BD753" i="17"/>
  <c r="BG753" i="17" s="1"/>
  <c r="U596" i="5"/>
  <c r="BD896" i="17"/>
  <c r="BG896" i="17" s="1"/>
  <c r="U635" i="5"/>
  <c r="BD935" i="17"/>
  <c r="BG935" i="17" s="1"/>
  <c r="U851" i="5"/>
  <c r="BD1151" i="17"/>
  <c r="BG1151" i="17" s="1"/>
  <c r="U484" i="5"/>
  <c r="BD784" i="17"/>
  <c r="BG784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05" i="5"/>
  <c r="BD805" i="17"/>
  <c r="BG805" i="17" s="1"/>
  <c r="U200" i="5"/>
  <c r="BD201" i="17"/>
  <c r="BG201" i="17" s="1"/>
  <c r="BD500" i="17"/>
  <c r="BG500" i="17" s="1"/>
  <c r="U643" i="5"/>
  <c r="BD943" i="17"/>
  <c r="BG943" i="17" s="1"/>
  <c r="U502" i="5"/>
  <c r="BD802" i="17"/>
  <c r="BG802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756" i="5"/>
  <c r="AJ1056" i="17"/>
  <c r="AM1056" i="17" s="1"/>
  <c r="M709" i="5"/>
  <c r="AJ1009" i="17"/>
  <c r="AM1009" i="17" s="1"/>
  <c r="M675" i="5"/>
  <c r="AJ975" i="17"/>
  <c r="AM975" i="17" s="1"/>
  <c r="M643" i="5"/>
  <c r="AJ943" i="17"/>
  <c r="AM943" i="17" s="1"/>
  <c r="M594" i="5"/>
  <c r="AJ894" i="17"/>
  <c r="AM894" i="17" s="1"/>
  <c r="M552" i="5"/>
  <c r="AJ852" i="17"/>
  <c r="AM852" i="17" s="1"/>
  <c r="M541" i="5"/>
  <c r="AJ841" i="17"/>
  <c r="AM841" i="17" s="1"/>
  <c r="M514" i="5"/>
  <c r="AJ814" i="17"/>
  <c r="AM814" i="17" s="1"/>
  <c r="M475" i="5"/>
  <c r="AJ775" i="17"/>
  <c r="AM775" i="17" s="1"/>
  <c r="M445" i="5"/>
  <c r="AJ745" i="17"/>
  <c r="AM745" i="17" s="1"/>
  <c r="M418" i="5"/>
  <c r="AJ718" i="17"/>
  <c r="AM718" i="17" s="1"/>
  <c r="M374" i="5"/>
  <c r="AJ375" i="17"/>
  <c r="AM375" i="17" s="1"/>
  <c r="AJ674" i="17"/>
  <c r="AM674" i="17" s="1"/>
  <c r="M326" i="5"/>
  <c r="AJ327" i="17"/>
  <c r="AM327" i="17" s="1"/>
  <c r="AJ626" i="17"/>
  <c r="AM626" i="17" s="1"/>
  <c r="M306" i="5"/>
  <c r="AJ307" i="17"/>
  <c r="AM307" i="17" s="1"/>
  <c r="AJ606" i="17"/>
  <c r="AM606" i="17" s="1"/>
  <c r="M261" i="5"/>
  <c r="AJ262" i="17"/>
  <c r="AM262" i="17" s="1"/>
  <c r="AJ561" i="17"/>
  <c r="AM561" i="17" s="1"/>
  <c r="M220" i="5"/>
  <c r="AJ221" i="17"/>
  <c r="AM221" i="17" s="1"/>
  <c r="AJ520" i="17"/>
  <c r="AM520" i="17" s="1"/>
  <c r="M192" i="5"/>
  <c r="AJ193" i="17"/>
  <c r="AM193" i="17" s="1"/>
  <c r="AJ492" i="17"/>
  <c r="AM492" i="17" s="1"/>
  <c r="M172" i="5"/>
  <c r="AJ173" i="17"/>
  <c r="AM173" i="17" s="1"/>
  <c r="AJ472" i="17"/>
  <c r="AM472" i="17" s="1"/>
  <c r="M143" i="5"/>
  <c r="AJ144" i="17"/>
  <c r="AM144" i="17" s="1"/>
  <c r="AJ443" i="17"/>
  <c r="AM443" i="17" s="1"/>
  <c r="M110" i="5"/>
  <c r="AJ111" i="17"/>
  <c r="AM111" i="17" s="1"/>
  <c r="AJ410" i="17"/>
  <c r="AM410" i="17" s="1"/>
  <c r="M87" i="5"/>
  <c r="AJ88" i="17"/>
  <c r="AM88" i="17" s="1"/>
  <c r="AJ387" i="17"/>
  <c r="AM387" i="17" s="1"/>
  <c r="M69" i="5"/>
  <c r="AJ70" i="17"/>
  <c r="AM70" i="17" s="1"/>
  <c r="M38" i="5"/>
  <c r="AJ39" i="17"/>
  <c r="AM39" i="17" s="1"/>
  <c r="M22" i="5"/>
  <c r="AJ23" i="17"/>
  <c r="AM23" i="17" s="1"/>
  <c r="Q86" i="5"/>
  <c r="AT87" i="17"/>
  <c r="AW87" i="17" s="1"/>
  <c r="AT386" i="17"/>
  <c r="AW386" i="17" s="1"/>
  <c r="Q3" i="5"/>
  <c r="AT3" i="17"/>
  <c r="AW3" i="17" s="1"/>
  <c r="Q794" i="5"/>
  <c r="AT1094" i="17"/>
  <c r="AW1094" i="17" s="1"/>
  <c r="Q180" i="5"/>
  <c r="AT181" i="17"/>
  <c r="AW181" i="17" s="1"/>
  <c r="AT480" i="17"/>
  <c r="AW480" i="17" s="1"/>
  <c r="Q175" i="5"/>
  <c r="AT176" i="17"/>
  <c r="AW176" i="17" s="1"/>
  <c r="AT475" i="17"/>
  <c r="AW475" i="17" s="1"/>
  <c r="Q30" i="5"/>
  <c r="AT31" i="17"/>
  <c r="AW31" i="17" s="1"/>
  <c r="Q330" i="5"/>
  <c r="AT331" i="17"/>
  <c r="AW331" i="17" s="1"/>
  <c r="AT630" i="17"/>
  <c r="AW630" i="17" s="1"/>
  <c r="Q756" i="5"/>
  <c r="AT1056" i="17"/>
  <c r="AW1056" i="17" s="1"/>
  <c r="Q300" i="5"/>
  <c r="AT301" i="17"/>
  <c r="AW301" i="17" s="1"/>
  <c r="AT600" i="17"/>
  <c r="AW600" i="17" s="1"/>
  <c r="Q395" i="5"/>
  <c r="AT695" i="17"/>
  <c r="AW695" i="17" s="1"/>
  <c r="Q619" i="5"/>
  <c r="AT919" i="17"/>
  <c r="AW919" i="17" s="1"/>
  <c r="Q334" i="5"/>
  <c r="AT335" i="17"/>
  <c r="AW335" i="17" s="1"/>
  <c r="AT634" i="17"/>
  <c r="AW634" i="17" s="1"/>
  <c r="Q528" i="5"/>
  <c r="AT828" i="17"/>
  <c r="AW828" i="17" s="1"/>
  <c r="Q328" i="5"/>
  <c r="AT329" i="17"/>
  <c r="AW329" i="17" s="1"/>
  <c r="AT628" i="17"/>
  <c r="AW628" i="17" s="1"/>
  <c r="Q363" i="5"/>
  <c r="AT364" i="17"/>
  <c r="AW364" i="17" s="1"/>
  <c r="AT663" i="17"/>
  <c r="AW663" i="17" s="1"/>
  <c r="Q418" i="5"/>
  <c r="AT718" i="17"/>
  <c r="AW718" i="17" s="1"/>
  <c r="Q568" i="5"/>
  <c r="AT868" i="17"/>
  <c r="AW868" i="17" s="1"/>
  <c r="Q687" i="5"/>
  <c r="AT987" i="17"/>
  <c r="AW987" i="17" s="1"/>
  <c r="Q367" i="5"/>
  <c r="AT368" i="17"/>
  <c r="AW368" i="17" s="1"/>
  <c r="AT667" i="17"/>
  <c r="AW667" i="17" s="1"/>
  <c r="Q457" i="5"/>
  <c r="AT757" i="17"/>
  <c r="AW757" i="17" s="1"/>
  <c r="Q562" i="5"/>
  <c r="AT862" i="17"/>
  <c r="AW862" i="17" s="1"/>
  <c r="Q473" i="5"/>
  <c r="AT773" i="17"/>
  <c r="AW773" i="17" s="1"/>
  <c r="Q507" i="5"/>
  <c r="AT807" i="17"/>
  <c r="AW807" i="17" s="1"/>
  <c r="Q578" i="5"/>
  <c r="AT878" i="17"/>
  <c r="AW878" i="17" s="1"/>
  <c r="Q605" i="5"/>
  <c r="AT905" i="17"/>
  <c r="AW905" i="17" s="1"/>
  <c r="Q424" i="5"/>
  <c r="AT724" i="17"/>
  <c r="AW724" i="17" s="1"/>
  <c r="Q488" i="5"/>
  <c r="AT788" i="17"/>
  <c r="AW788" i="17" s="1"/>
  <c r="Q554" i="5"/>
  <c r="AT854" i="17"/>
  <c r="AW854" i="17" s="1"/>
  <c r="Q599" i="5"/>
  <c r="AT899" i="17"/>
  <c r="AW899" i="17" s="1"/>
  <c r="Q642" i="5"/>
  <c r="AT942" i="17"/>
  <c r="AW942" i="17" s="1"/>
  <c r="Q694" i="5"/>
  <c r="AT994" i="17"/>
  <c r="AW994" i="17" s="1"/>
  <c r="Q764" i="5"/>
  <c r="AT1064" i="17"/>
  <c r="AW1064" i="17" s="1"/>
  <c r="Q608" i="5"/>
  <c r="AT908" i="17"/>
  <c r="AW908" i="17" s="1"/>
  <c r="Q672" i="5"/>
  <c r="AT972" i="17"/>
  <c r="AW972" i="17" s="1"/>
  <c r="Q772" i="5"/>
  <c r="AT1072" i="17"/>
  <c r="AW1072" i="17" s="1"/>
  <c r="Q759" i="5"/>
  <c r="AT1059" i="17"/>
  <c r="AW1059" i="17" s="1"/>
  <c r="Q730" i="5"/>
  <c r="AT1030" i="17"/>
  <c r="AW1030" i="17" s="1"/>
  <c r="Q864" i="5"/>
  <c r="AT1164" i="17"/>
  <c r="AW1164" i="17" s="1"/>
  <c r="Q126" i="5"/>
  <c r="AT127" i="17"/>
  <c r="AW127" i="17" s="1"/>
  <c r="AT426" i="17"/>
  <c r="AW426" i="17" s="1"/>
  <c r="Q101" i="5"/>
  <c r="AT102" i="17"/>
  <c r="AW102" i="17" s="1"/>
  <c r="AT401" i="17"/>
  <c r="AW401" i="17" s="1"/>
  <c r="Q63" i="5"/>
  <c r="AT64" i="17"/>
  <c r="AW64" i="17" s="1"/>
  <c r="S227" i="5"/>
  <c r="AY228" i="17"/>
  <c r="BB228" i="17" s="1"/>
  <c r="AY527" i="17"/>
  <c r="BB527" i="17" s="1"/>
  <c r="S272" i="5"/>
  <c r="AY273" i="17"/>
  <c r="BB273" i="17" s="1"/>
  <c r="AY572" i="17"/>
  <c r="BB572" i="17" s="1"/>
  <c r="S318" i="5"/>
  <c r="AY319" i="17"/>
  <c r="BB319" i="17" s="1"/>
  <c r="AY618" i="17"/>
  <c r="BB618" i="17" s="1"/>
  <c r="S374" i="5"/>
  <c r="AY375" i="17"/>
  <c r="BB375" i="17" s="1"/>
  <c r="AY674" i="17"/>
  <c r="BB674" i="17" s="1"/>
  <c r="S429" i="5"/>
  <c r="AY729" i="17"/>
  <c r="BB729" i="17" s="1"/>
  <c r="S526" i="5"/>
  <c r="AY826" i="17"/>
  <c r="BB826" i="17" s="1"/>
  <c r="S579" i="5"/>
  <c r="AY879" i="17"/>
  <c r="BB879" i="17" s="1"/>
  <c r="S667" i="5"/>
  <c r="AY967" i="17"/>
  <c r="BB967" i="17" s="1"/>
  <c r="S771" i="5"/>
  <c r="AY1071" i="17"/>
  <c r="BB1071" i="17" s="1"/>
  <c r="S865" i="5"/>
  <c r="AY1165" i="17"/>
  <c r="BB1165" i="17" s="1"/>
  <c r="S66" i="5"/>
  <c r="AY67" i="17"/>
  <c r="BB67" i="17" s="1"/>
  <c r="S134" i="5"/>
  <c r="AY135" i="17"/>
  <c r="BB135" i="17" s="1"/>
  <c r="AY434" i="17"/>
  <c r="BB434" i="17" s="1"/>
  <c r="S173" i="5"/>
  <c r="AY174" i="17"/>
  <c r="BB174" i="17" s="1"/>
  <c r="AY473" i="17"/>
  <c r="BB473" i="17" s="1"/>
  <c r="S253" i="5"/>
  <c r="AY254" i="17"/>
  <c r="BB254" i="17" s="1"/>
  <c r="AY553" i="17"/>
  <c r="BB553" i="17" s="1"/>
  <c r="S303" i="5"/>
  <c r="AY304" i="17"/>
  <c r="BB304" i="17" s="1"/>
  <c r="AY603" i="17"/>
  <c r="BB603" i="17" s="1"/>
  <c r="S353" i="5"/>
  <c r="AY354" i="17"/>
  <c r="BB354" i="17" s="1"/>
  <c r="AY653" i="17"/>
  <c r="BB653" i="17" s="1"/>
  <c r="S427" i="5"/>
  <c r="AY727" i="17"/>
  <c r="BB727" i="17" s="1"/>
  <c r="S462" i="5"/>
  <c r="AY762" i="17"/>
  <c r="BB762" i="17" s="1"/>
  <c r="S495" i="5"/>
  <c r="AY795" i="17"/>
  <c r="BB795" i="17" s="1"/>
  <c r="S535" i="5"/>
  <c r="AY835" i="17"/>
  <c r="BB835" i="17" s="1"/>
  <c r="S561" i="5"/>
  <c r="AY861" i="17"/>
  <c r="BB861" i="17" s="1"/>
  <c r="S642" i="5"/>
  <c r="AY942" i="17"/>
  <c r="BB942" i="17" s="1"/>
  <c r="S727" i="5"/>
  <c r="AY1027" i="17"/>
  <c r="BB1027" i="17" s="1"/>
  <c r="S797" i="5"/>
  <c r="AY1097" i="17"/>
  <c r="BB1097" i="17" s="1"/>
  <c r="S846" i="5"/>
  <c r="AY1146" i="17"/>
  <c r="BB1146" i="17" s="1"/>
  <c r="S581" i="5"/>
  <c r="AY881" i="17"/>
  <c r="BB881" i="17" s="1"/>
  <c r="S656" i="5"/>
  <c r="AY956" i="17"/>
  <c r="BB956" i="17" s="1"/>
  <c r="S724" i="5"/>
  <c r="AY1024" i="17"/>
  <c r="BB1024" i="17" s="1"/>
  <c r="S780" i="5"/>
  <c r="AY1080" i="17"/>
  <c r="BB1080" i="17" s="1"/>
  <c r="S838" i="5"/>
  <c r="AY1138" i="17"/>
  <c r="BB1138" i="17" s="1"/>
  <c r="S670" i="5"/>
  <c r="AY970" i="17"/>
  <c r="BB970" i="17" s="1"/>
  <c r="S487" i="5"/>
  <c r="AY787" i="17"/>
  <c r="BB787" i="17" s="1"/>
  <c r="S439" i="5"/>
  <c r="AY739" i="17"/>
  <c r="BB739" i="17" s="1"/>
  <c r="S814" i="5"/>
  <c r="AY1114" i="17"/>
  <c r="BB1114" i="17" s="1"/>
  <c r="S237" i="5"/>
  <c r="AY238" i="17"/>
  <c r="BB238" i="17" s="1"/>
  <c r="AY537" i="17"/>
  <c r="BB537" i="17" s="1"/>
  <c r="S59" i="5"/>
  <c r="AY60" i="17"/>
  <c r="BB60" i="17" s="1"/>
  <c r="S481" i="5"/>
  <c r="AY781" i="17"/>
  <c r="BB781" i="17" s="1"/>
  <c r="S302" i="5"/>
  <c r="AY303" i="17"/>
  <c r="BB303" i="17" s="1"/>
  <c r="AY602" i="17"/>
  <c r="BB602" i="17" s="1"/>
  <c r="S52" i="5"/>
  <c r="AY53" i="17"/>
  <c r="BB53" i="17" s="1"/>
  <c r="S53" i="5"/>
  <c r="AY54" i="17"/>
  <c r="BB54" i="17" s="1"/>
  <c r="S133" i="5"/>
  <c r="AY134" i="17"/>
  <c r="BB134" i="17" s="1"/>
  <c r="AY433" i="17"/>
  <c r="BB433" i="17" s="1"/>
  <c r="S203" i="5"/>
  <c r="AY204" i="17"/>
  <c r="BB204" i="17" s="1"/>
  <c r="AY503" i="17"/>
  <c r="BB503" i="17" s="1"/>
  <c r="S284" i="5"/>
  <c r="AY285" i="17"/>
  <c r="BB285" i="17" s="1"/>
  <c r="AY584" i="17"/>
  <c r="BB584" i="17" s="1"/>
  <c r="S441" i="5"/>
  <c r="AY741" i="17"/>
  <c r="BB741" i="17" s="1"/>
  <c r="S623" i="5"/>
  <c r="AY923" i="17"/>
  <c r="BB923" i="17" s="1"/>
  <c r="S683" i="5"/>
  <c r="AY983" i="17"/>
  <c r="BB983" i="17" s="1"/>
  <c r="S805" i="5"/>
  <c r="AY1105" i="17"/>
  <c r="BB1105" i="17" s="1"/>
  <c r="S61" i="5"/>
  <c r="AY62" i="17"/>
  <c r="BB62" i="17" s="1"/>
  <c r="S114" i="5"/>
  <c r="AY115" i="17"/>
  <c r="BB115" i="17" s="1"/>
  <c r="AY414" i="17"/>
  <c r="BB414" i="17" s="1"/>
  <c r="S235" i="5"/>
  <c r="AY236" i="17"/>
  <c r="BB236" i="17" s="1"/>
  <c r="AY535" i="17"/>
  <c r="BB535" i="17" s="1"/>
  <c r="S387" i="5"/>
  <c r="AY687" i="17"/>
  <c r="BB687" i="17" s="1"/>
  <c r="S650" i="5"/>
  <c r="AY950" i="17"/>
  <c r="BB950" i="17" s="1"/>
  <c r="S798" i="5"/>
  <c r="AY1098" i="17"/>
  <c r="BB1098" i="17" s="1"/>
  <c r="S153" i="5"/>
  <c r="AY154" i="17"/>
  <c r="BB154" i="17" s="1"/>
  <c r="AY453" i="17"/>
  <c r="BB453" i="17" s="1"/>
  <c r="S255" i="5"/>
  <c r="AY256" i="17"/>
  <c r="BB256" i="17" s="1"/>
  <c r="AY555" i="17"/>
  <c r="BB555" i="17" s="1"/>
  <c r="S342" i="5"/>
  <c r="AY343" i="17"/>
  <c r="BB343" i="17" s="1"/>
  <c r="AY642" i="17"/>
  <c r="BB642" i="17" s="1"/>
  <c r="S530" i="5"/>
  <c r="AY830" i="17"/>
  <c r="BB830" i="17" s="1"/>
  <c r="S640" i="5"/>
  <c r="AY940" i="17"/>
  <c r="BB940" i="17" s="1"/>
  <c r="S843" i="5"/>
  <c r="AY1143" i="17"/>
  <c r="BB1143" i="17" s="1"/>
  <c r="S187" i="5"/>
  <c r="AY188" i="17"/>
  <c r="BB188" i="17" s="1"/>
  <c r="AY487" i="17"/>
  <c r="BB487" i="17" s="1"/>
  <c r="S35" i="5"/>
  <c r="AY36" i="17"/>
  <c r="BB36" i="17" s="1"/>
  <c r="U829" i="5"/>
  <c r="BD1129" i="17"/>
  <c r="BG1129" i="17" s="1"/>
  <c r="U759" i="5"/>
  <c r="BD1059" i="17"/>
  <c r="BG1059" i="17" s="1"/>
  <c r="U689" i="5"/>
  <c r="BD989" i="17"/>
  <c r="BG989" i="17" s="1"/>
  <c r="U779" i="5"/>
  <c r="BD1079" i="17"/>
  <c r="BG1079" i="17" s="1"/>
  <c r="U515" i="5"/>
  <c r="BD815" i="17"/>
  <c r="BG815" i="17" s="1"/>
  <c r="U561" i="5"/>
  <c r="BD861" i="17"/>
  <c r="BG861" i="17" s="1"/>
  <c r="U616" i="5"/>
  <c r="BD916" i="17"/>
  <c r="BG916" i="17" s="1"/>
  <c r="U658" i="5"/>
  <c r="BD958" i="17"/>
  <c r="BG958" i="17" s="1"/>
  <c r="U798" i="5"/>
  <c r="BD1098" i="17"/>
  <c r="BG1098" i="17" s="1"/>
  <c r="U554" i="5"/>
  <c r="BD854" i="17"/>
  <c r="BG854" i="17" s="1"/>
  <c r="U626" i="5"/>
  <c r="BD926" i="17"/>
  <c r="BG926" i="17" s="1"/>
  <c r="U698" i="5"/>
  <c r="BD998" i="17"/>
  <c r="BG998" i="17" s="1"/>
  <c r="O763" i="5"/>
  <c r="AO1063" i="17"/>
  <c r="AR1063" i="17" s="1"/>
  <c r="O82" i="5"/>
  <c r="AO83" i="17" s="1"/>
  <c r="AR83" i="17" s="1"/>
  <c r="O138" i="5"/>
  <c r="AO139" i="17" s="1"/>
  <c r="AR139" i="17" s="1"/>
  <c r="AO438" i="17"/>
  <c r="AR438" i="17" s="1"/>
  <c r="O185" i="5"/>
  <c r="AO186" i="17"/>
  <c r="AR186" i="17" s="1"/>
  <c r="AO485" i="17"/>
  <c r="AR485" i="17" s="1"/>
  <c r="O245" i="5"/>
  <c r="AO246" i="17"/>
  <c r="AR246" i="17" s="1"/>
  <c r="AO545" i="17"/>
  <c r="AR545" i="17" s="1"/>
  <c r="O311" i="5"/>
  <c r="AO312" i="17"/>
  <c r="AR312" i="17" s="1"/>
  <c r="AO611" i="17"/>
  <c r="AR611" i="17" s="1"/>
  <c r="O402" i="5"/>
  <c r="AO702" i="17"/>
  <c r="AR702" i="17" s="1"/>
  <c r="O462" i="5"/>
  <c r="AO762" i="17"/>
  <c r="AR762" i="17" s="1"/>
  <c r="O524" i="5"/>
  <c r="AO824" i="17"/>
  <c r="AR824" i="17" s="1"/>
  <c r="O615" i="5"/>
  <c r="AO915" i="17"/>
  <c r="AR915" i="17" s="1"/>
  <c r="O63" i="5"/>
  <c r="AO64" i="17"/>
  <c r="AR64" i="17" s="1"/>
  <c r="O115" i="5"/>
  <c r="AO116" i="17" s="1"/>
  <c r="AR116" i="17" s="1"/>
  <c r="O172" i="5"/>
  <c r="AO173" i="17"/>
  <c r="AR173" i="17" s="1"/>
  <c r="AO472" i="17"/>
  <c r="AR472" i="17" s="1"/>
  <c r="O250" i="5"/>
  <c r="AO251" i="17"/>
  <c r="AR251" i="17" s="1"/>
  <c r="AO550" i="17"/>
  <c r="AR550" i="17" s="1"/>
  <c r="O290" i="5"/>
  <c r="AO291" i="17"/>
  <c r="AR291" i="17" s="1"/>
  <c r="AO590" i="17"/>
  <c r="AR590" i="17" s="1"/>
  <c r="O367" i="5"/>
  <c r="AO368" i="17"/>
  <c r="AR368" i="17" s="1"/>
  <c r="AO667" i="17"/>
  <c r="AR667" i="17" s="1"/>
  <c r="O474" i="5"/>
  <c r="AO774" i="17"/>
  <c r="AR774" i="17" s="1"/>
  <c r="O536" i="5"/>
  <c r="AO836" i="17"/>
  <c r="AR836" i="17" s="1"/>
  <c r="O608" i="5"/>
  <c r="AO908" i="17"/>
  <c r="AR908" i="17" s="1"/>
  <c r="O643" i="5"/>
  <c r="AO943" i="17"/>
  <c r="AR943" i="17" s="1"/>
  <c r="O730" i="5"/>
  <c r="AO1030" i="17"/>
  <c r="AR1030" i="17" s="1"/>
  <c r="O390" i="5"/>
  <c r="AO690" i="17"/>
  <c r="AR690" i="17" s="1"/>
  <c r="O429" i="5"/>
  <c r="AO729" i="17"/>
  <c r="AR729" i="17" s="1"/>
  <c r="O506" i="5"/>
  <c r="AO806" i="17"/>
  <c r="AR806" i="17" s="1"/>
  <c r="O549" i="5"/>
  <c r="AO849" i="17"/>
  <c r="AR849" i="17" s="1"/>
  <c r="O624" i="5"/>
  <c r="AO924" i="17"/>
  <c r="AR924" i="17" s="1"/>
  <c r="O667" i="5"/>
  <c r="AO967" i="17"/>
  <c r="AR967" i="17" s="1"/>
  <c r="O735" i="5"/>
  <c r="AO1035" i="17"/>
  <c r="AR1035" i="17" s="1"/>
  <c r="S199" i="5"/>
  <c r="AY200" i="17"/>
  <c r="BB200" i="17" s="1"/>
  <c r="AY499" i="17"/>
  <c r="BB499" i="17" s="1"/>
  <c r="S44" i="5"/>
  <c r="AY45" i="17"/>
  <c r="BB45" i="17" s="1"/>
  <c r="O574" i="5"/>
  <c r="AO874" i="17"/>
  <c r="AR874" i="17" s="1"/>
  <c r="O507" i="5"/>
  <c r="AO807" i="17"/>
  <c r="AR807" i="17" s="1"/>
  <c r="O310" i="5"/>
  <c r="AO311" i="17"/>
  <c r="AR311" i="17" s="1"/>
  <c r="AO610" i="17"/>
  <c r="AR610" i="17" s="1"/>
  <c r="O100" i="5"/>
  <c r="AO101" i="17" s="1"/>
  <c r="AR101" i="17" s="1"/>
  <c r="O688" i="5"/>
  <c r="AO988" i="17"/>
  <c r="AR988" i="17" s="1"/>
  <c r="O20" i="5"/>
  <c r="AO21" i="17" s="1"/>
  <c r="AR21" i="17" s="1"/>
  <c r="O112" i="5"/>
  <c r="AO113" i="17"/>
  <c r="AR113" i="17" s="1"/>
  <c r="AO412" i="17"/>
  <c r="AR412" i="17" s="1"/>
  <c r="O267" i="5"/>
  <c r="AO268" i="17"/>
  <c r="AR268" i="17" s="1"/>
  <c r="AO567" i="17"/>
  <c r="AR567" i="17" s="1"/>
  <c r="O362" i="5"/>
  <c r="AO363" i="17"/>
  <c r="AR363" i="17" s="1"/>
  <c r="AO662" i="17"/>
  <c r="AR662" i="17" s="1"/>
  <c r="O648" i="5"/>
  <c r="AO948" i="17"/>
  <c r="AR948" i="17" s="1"/>
  <c r="O579" i="5"/>
  <c r="AO879" i="17"/>
  <c r="AR879" i="17" s="1"/>
  <c r="O391" i="5"/>
  <c r="AO691" i="17"/>
  <c r="AR691" i="17" s="1"/>
  <c r="O203" i="5"/>
  <c r="AO204" i="17"/>
  <c r="AR204" i="17" s="1"/>
  <c r="AO503" i="17"/>
  <c r="AR503" i="17" s="1"/>
  <c r="O66" i="5"/>
  <c r="AO67" i="17" s="1"/>
  <c r="AR67" i="17" s="1"/>
  <c r="S329" i="5"/>
  <c r="AY330" i="17"/>
  <c r="BB330" i="17" s="1"/>
  <c r="AY629" i="17"/>
  <c r="BB629" i="17" s="1"/>
  <c r="U290" i="5"/>
  <c r="BD291" i="17"/>
  <c r="BG291" i="17" s="1"/>
  <c r="BD590" i="17"/>
  <c r="BG590" i="17" s="1"/>
  <c r="U346" i="5"/>
  <c r="BD347" i="17"/>
  <c r="BG347" i="17" s="1"/>
  <c r="BD646" i="17"/>
  <c r="BG646" i="17" s="1"/>
  <c r="U395" i="5"/>
  <c r="BD695" i="17"/>
  <c r="BG695" i="17" s="1"/>
  <c r="U482" i="5"/>
  <c r="BD782" i="17"/>
  <c r="BG782" i="17" s="1"/>
  <c r="U591" i="5"/>
  <c r="BD891" i="17"/>
  <c r="BG891" i="17" s="1"/>
  <c r="U680" i="5"/>
  <c r="BD980" i="17"/>
  <c r="BG980" i="17" s="1"/>
  <c r="U753" i="5"/>
  <c r="BD1053" i="17"/>
  <c r="BG1053" i="17" s="1"/>
  <c r="U628" i="5"/>
  <c r="BD928" i="17"/>
  <c r="BG928" i="17" s="1"/>
  <c r="U455" i="5"/>
  <c r="BD755" i="17"/>
  <c r="BG755" i="17" s="1"/>
  <c r="U334" i="5"/>
  <c r="BD335" i="17"/>
  <c r="BG335" i="17" s="1"/>
  <c r="BD634" i="17"/>
  <c r="BG634" i="17" s="1"/>
  <c r="U273" i="5"/>
  <c r="BD274" i="17"/>
  <c r="BG274" i="17" s="1"/>
  <c r="BD573" i="17"/>
  <c r="BG573" i="17" s="1"/>
  <c r="U202" i="5"/>
  <c r="BD203" i="17"/>
  <c r="BG203" i="17" s="1"/>
  <c r="BD502" i="17"/>
  <c r="BG502" i="17" s="1"/>
  <c r="U154" i="5"/>
  <c r="BD155" i="17"/>
  <c r="BG155" i="17" s="1"/>
  <c r="BD454" i="17"/>
  <c r="BG454" i="17" s="1"/>
  <c r="U98" i="5"/>
  <c r="BD99" i="17"/>
  <c r="BG99" i="17" s="1"/>
  <c r="BD398" i="17"/>
  <c r="BG398" i="17" s="1"/>
  <c r="U40" i="5"/>
  <c r="BD41" i="17"/>
  <c r="BG41" i="17" s="1"/>
  <c r="U55" i="5"/>
  <c r="BD56" i="17"/>
  <c r="BG56" i="17" s="1"/>
  <c r="U116" i="5"/>
  <c r="BD117" i="17"/>
  <c r="BG117" i="17" s="1"/>
  <c r="BD416" i="17"/>
  <c r="BG416" i="17" s="1"/>
  <c r="U184" i="5"/>
  <c r="BD185" i="17"/>
  <c r="BG185" i="17" s="1"/>
  <c r="BD484" i="17"/>
  <c r="BG484" i="17" s="1"/>
  <c r="U317" i="5"/>
  <c r="BD318" i="17"/>
  <c r="BG318" i="17" s="1"/>
  <c r="BD617" i="17"/>
  <c r="BG617" i="17" s="1"/>
  <c r="U445" i="5"/>
  <c r="BD745" i="17"/>
  <c r="BG745" i="17" s="1"/>
  <c r="U803" i="5"/>
  <c r="BD1103" i="17"/>
  <c r="BG1103" i="17" s="1"/>
  <c r="U64" i="5"/>
  <c r="BD65" i="17"/>
  <c r="BG65" i="17" s="1"/>
  <c r="U146" i="5"/>
  <c r="BD147" i="17"/>
  <c r="BG147" i="17" s="1"/>
  <c r="BD446" i="17"/>
  <c r="BG446" i="17" s="1"/>
  <c r="U246" i="5"/>
  <c r="BD247" i="17"/>
  <c r="BG247" i="17" s="1"/>
  <c r="BD546" i="17"/>
  <c r="BG546" i="17" s="1"/>
  <c r="U389" i="5"/>
  <c r="BD689" i="17"/>
  <c r="BG689" i="17" s="1"/>
  <c r="U477" i="5"/>
  <c r="BD777" i="17"/>
  <c r="BG777" i="17" s="1"/>
  <c r="U688" i="5"/>
  <c r="BD988" i="17"/>
  <c r="BG988" i="17" s="1"/>
  <c r="U206" i="5"/>
  <c r="BD207" i="17"/>
  <c r="BG207" i="17" s="1"/>
  <c r="BD506" i="17"/>
  <c r="BG506" i="17" s="1"/>
  <c r="U261" i="5"/>
  <c r="BD262" i="17"/>
  <c r="BG262" i="17" s="1"/>
  <c r="BD561" i="17"/>
  <c r="BG561" i="17" s="1"/>
  <c r="U349" i="5"/>
  <c r="BD350" i="17"/>
  <c r="BG350" i="17" s="1"/>
  <c r="BD649" i="17"/>
  <c r="BG649" i="17" s="1"/>
  <c r="U419" i="5"/>
  <c r="BD719" i="17"/>
  <c r="BG719" i="17" s="1"/>
  <c r="U479" i="5"/>
  <c r="BD779" i="17"/>
  <c r="BG779" i="17" s="1"/>
  <c r="U769" i="5"/>
  <c r="BD1069" i="17"/>
  <c r="BG1069" i="17" s="1"/>
  <c r="U485" i="5"/>
  <c r="BD785" i="17"/>
  <c r="BG785" i="17" s="1"/>
  <c r="U42" i="5"/>
  <c r="BD43" i="17"/>
  <c r="BG43" i="17" s="1"/>
  <c r="U16" i="5"/>
  <c r="BD17" i="17"/>
  <c r="BG17" i="17" s="1"/>
  <c r="U460" i="5"/>
  <c r="BD760" i="17"/>
  <c r="BG760" i="17" s="1"/>
  <c r="U191" i="5"/>
  <c r="BD192" i="17"/>
  <c r="BG192" i="17" s="1"/>
  <c r="BD491" i="17"/>
  <c r="BG491" i="17" s="1"/>
  <c r="U11" i="5"/>
  <c r="BD12" i="17"/>
  <c r="BG12" i="17" s="1"/>
  <c r="U654" i="5"/>
  <c r="BD954" i="17"/>
  <c r="BG954" i="17" s="1"/>
  <c r="M862" i="5"/>
  <c r="AJ1162" i="17"/>
  <c r="AM1162" i="17" s="1"/>
  <c r="M719" i="5"/>
  <c r="AJ1019" i="17"/>
  <c r="AM1019" i="17" s="1"/>
  <c r="M691" i="5"/>
  <c r="AJ991" i="17"/>
  <c r="AM991" i="17" s="1"/>
  <c r="M662" i="5"/>
  <c r="AJ962" i="17"/>
  <c r="AM962" i="17" s="1"/>
  <c r="M623" i="5"/>
  <c r="AJ923" i="17"/>
  <c r="AM923" i="17" s="1"/>
  <c r="M610" i="5"/>
  <c r="AJ910" i="17"/>
  <c r="AM910" i="17" s="1"/>
  <c r="M562" i="5"/>
  <c r="AJ862" i="17"/>
  <c r="AM862" i="17" s="1"/>
  <c r="M527" i="5"/>
  <c r="AJ827" i="17"/>
  <c r="AM827" i="17" s="1"/>
  <c r="M499" i="5"/>
  <c r="AJ799" i="17"/>
  <c r="AM799" i="17" s="1"/>
  <c r="M460" i="5"/>
  <c r="AJ760" i="17"/>
  <c r="AM760" i="17" s="1"/>
  <c r="M431" i="5"/>
  <c r="AJ731" i="17"/>
  <c r="AM731" i="17" s="1"/>
  <c r="M392" i="5"/>
  <c r="AJ692" i="17"/>
  <c r="AM692" i="17" s="1"/>
  <c r="M342" i="5"/>
  <c r="AJ343" i="17"/>
  <c r="AM343" i="17" s="1"/>
  <c r="AJ642" i="17"/>
  <c r="AM642" i="17" s="1"/>
  <c r="M314" i="5"/>
  <c r="AJ315" i="17"/>
  <c r="AM315" i="17" s="1"/>
  <c r="AJ614" i="17"/>
  <c r="AM614" i="17" s="1"/>
  <c r="M283" i="5"/>
  <c r="AJ284" i="17"/>
  <c r="AM284" i="17" s="1"/>
  <c r="AJ583" i="17"/>
  <c r="AM583" i="17" s="1"/>
  <c r="M232" i="5"/>
  <c r="AJ233" i="17"/>
  <c r="AM233" i="17" s="1"/>
  <c r="AJ532" i="17"/>
  <c r="AM532" i="17" s="1"/>
  <c r="M208" i="5"/>
  <c r="AJ209" i="17"/>
  <c r="AM209" i="17" s="1"/>
  <c r="AJ508" i="17"/>
  <c r="AM508" i="17" s="1"/>
  <c r="M185" i="5"/>
  <c r="AJ186" i="17"/>
  <c r="AM186" i="17" s="1"/>
  <c r="AJ485" i="17"/>
  <c r="AM485" i="17" s="1"/>
  <c r="M157" i="5"/>
  <c r="AJ158" i="17"/>
  <c r="AM158" i="17" s="1"/>
  <c r="AJ457" i="17"/>
  <c r="AM457" i="17" s="1"/>
  <c r="M130" i="5"/>
  <c r="AJ131" i="17"/>
  <c r="AM131" i="17" s="1"/>
  <c r="AJ430" i="17"/>
  <c r="AM430" i="17" s="1"/>
  <c r="M100" i="5"/>
  <c r="AJ101" i="17"/>
  <c r="AM101" i="17" s="1"/>
  <c r="AJ400" i="17"/>
  <c r="AM400" i="17" s="1"/>
  <c r="M75" i="5"/>
  <c r="AJ76" i="17"/>
  <c r="AM76" i="17" s="1"/>
  <c r="M54" i="5"/>
  <c r="AJ55" i="17" s="1"/>
  <c r="AM55" i="17" s="1"/>
  <c r="M29" i="5"/>
  <c r="AJ30" i="17" s="1"/>
  <c r="AM30" i="17" s="1"/>
  <c r="M9" i="5"/>
  <c r="AJ9" i="17" s="1"/>
  <c r="AM9" i="17" s="1"/>
  <c r="M840" i="5"/>
  <c r="AJ1140" i="17"/>
  <c r="AM1140" i="17" s="1"/>
  <c r="M749" i="5"/>
  <c r="AJ1049" i="17"/>
  <c r="AM1049" i="17" s="1"/>
  <c r="M728" i="5"/>
  <c r="AJ1028" i="17"/>
  <c r="AM1028" i="17" s="1"/>
  <c r="M696" i="5"/>
  <c r="AJ996" i="17"/>
  <c r="AM996" i="17" s="1"/>
  <c r="M658" i="5"/>
  <c r="AJ958" i="17"/>
  <c r="AM958" i="17" s="1"/>
  <c r="M637" i="5"/>
  <c r="AJ937" i="17"/>
  <c r="AM937" i="17" s="1"/>
  <c r="M600" i="5"/>
  <c r="AJ900" i="17"/>
  <c r="AM900" i="17" s="1"/>
  <c r="M573" i="5"/>
  <c r="AJ873" i="17"/>
  <c r="AM873" i="17" s="1"/>
  <c r="M538" i="5"/>
  <c r="AJ838" i="17"/>
  <c r="AM838" i="17" s="1"/>
  <c r="M495" i="5"/>
  <c r="AJ795" i="17"/>
  <c r="AM795" i="17" s="1"/>
  <c r="M456" i="5"/>
  <c r="AJ756" i="17"/>
  <c r="AM756" i="17" s="1"/>
  <c r="M419" i="5"/>
  <c r="AJ719" i="17"/>
  <c r="AM719" i="17" s="1"/>
  <c r="M390" i="5"/>
  <c r="AJ690" i="17"/>
  <c r="AM690" i="17" s="1"/>
  <c r="M367" i="5"/>
  <c r="AJ368" i="17"/>
  <c r="AM368" i="17" s="1"/>
  <c r="AJ667" i="17"/>
  <c r="AM667" i="17" s="1"/>
  <c r="M339" i="5"/>
  <c r="AJ340" i="17"/>
  <c r="AM340" i="17" s="1"/>
  <c r="AJ639" i="17"/>
  <c r="AM639" i="17" s="1"/>
  <c r="M302" i="5"/>
  <c r="AJ303" i="17"/>
  <c r="AM303" i="17" s="1"/>
  <c r="AJ602" i="17"/>
  <c r="AM602" i="17" s="1"/>
  <c r="M270" i="5"/>
  <c r="AJ271" i="17"/>
  <c r="AM271" i="17" s="1"/>
  <c r="AJ570" i="17"/>
  <c r="AM570" i="17" s="1"/>
  <c r="M249" i="5"/>
  <c r="AJ250" i="17"/>
  <c r="AM250" i="17" s="1"/>
  <c r="AJ549" i="17"/>
  <c r="AM549" i="17" s="1"/>
  <c r="M225" i="5"/>
  <c r="AJ226" i="17"/>
  <c r="AM226" i="17" s="1"/>
  <c r="AJ525" i="17"/>
  <c r="AM525" i="17" s="1"/>
  <c r="M182" i="5"/>
  <c r="AJ183" i="17"/>
  <c r="AM183" i="17" s="1"/>
  <c r="AJ482" i="17"/>
  <c r="AM482" i="17" s="1"/>
  <c r="M160" i="5"/>
  <c r="AJ161" i="17"/>
  <c r="AM161" i="17" s="1"/>
  <c r="AJ460" i="17"/>
  <c r="AM460" i="17" s="1"/>
  <c r="M131" i="5"/>
  <c r="AJ132" i="17"/>
  <c r="AM132" i="17" s="1"/>
  <c r="AJ431" i="17"/>
  <c r="AM431" i="17" s="1"/>
  <c r="M92" i="5"/>
  <c r="AJ93" i="17"/>
  <c r="AM93" i="17" s="1"/>
  <c r="AJ392" i="17"/>
  <c r="AM392" i="17" s="1"/>
  <c r="M63" i="5"/>
  <c r="AJ64" i="17" s="1"/>
  <c r="AM64" i="17" s="1"/>
  <c r="M30" i="5"/>
  <c r="AJ31" i="17" s="1"/>
  <c r="AM31" i="17" s="1"/>
  <c r="M743" i="5"/>
  <c r="AJ1043" i="17"/>
  <c r="AM1043" i="17" s="1"/>
  <c r="M648" i="5"/>
  <c r="AJ948" i="17"/>
  <c r="AM948" i="17" s="1"/>
  <c r="M544" i="5"/>
  <c r="AJ844" i="17"/>
  <c r="AM844" i="17" s="1"/>
  <c r="M430" i="5"/>
  <c r="AJ730" i="17"/>
  <c r="AM730" i="17" s="1"/>
  <c r="M391" i="5"/>
  <c r="AJ691" i="17"/>
  <c r="AM691" i="17" s="1"/>
  <c r="M307" i="5"/>
  <c r="AJ308" i="17"/>
  <c r="AM308" i="17" s="1"/>
  <c r="AJ607" i="17"/>
  <c r="AM607" i="17" s="1"/>
  <c r="M214" i="5"/>
  <c r="AJ215" i="17"/>
  <c r="AM215" i="17" s="1"/>
  <c r="AJ514" i="17"/>
  <c r="AM514" i="17" s="1"/>
  <c r="M137" i="5"/>
  <c r="AJ138" i="17"/>
  <c r="AM138" i="17" s="1"/>
  <c r="AJ437" i="17"/>
  <c r="AM437" i="17" s="1"/>
  <c r="M52" i="5"/>
  <c r="AJ53" i="17" s="1"/>
  <c r="AM53" i="17" s="1"/>
  <c r="M78" i="5"/>
  <c r="AJ79" i="17"/>
  <c r="AM79" i="17" s="1"/>
  <c r="M149" i="5"/>
  <c r="AJ150" i="17"/>
  <c r="AM150" i="17" s="1"/>
  <c r="AJ449" i="17"/>
  <c r="AM449" i="17" s="1"/>
  <c r="M277" i="5"/>
  <c r="AJ278" i="17"/>
  <c r="AM278" i="17" s="1"/>
  <c r="AJ577" i="17"/>
  <c r="AM577" i="17" s="1"/>
  <c r="M351" i="5"/>
  <c r="AJ352" i="17"/>
  <c r="AM352" i="17" s="1"/>
  <c r="AJ651" i="17"/>
  <c r="AM651" i="17" s="1"/>
  <c r="M398" i="5"/>
  <c r="AJ698" i="17"/>
  <c r="AM698" i="17" s="1"/>
  <c r="M410" i="5"/>
  <c r="AJ710" i="17"/>
  <c r="AM710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Q239" i="5"/>
  <c r="AT240" i="17"/>
  <c r="AW240" i="17" s="1"/>
  <c r="AT539" i="17"/>
  <c r="AW539" i="17" s="1"/>
  <c r="Q145" i="5"/>
  <c r="AT146" i="17"/>
  <c r="AW146" i="17" s="1"/>
  <c r="AT445" i="17"/>
  <c r="AW445" i="17" s="1"/>
  <c r="Q74" i="5"/>
  <c r="AT75" i="17"/>
  <c r="AW75" i="17" s="1"/>
  <c r="Q69" i="5"/>
  <c r="AT70" i="17"/>
  <c r="AW70" i="17" s="1"/>
  <c r="Q27" i="5"/>
  <c r="AT28" i="17"/>
  <c r="AW28" i="17" s="1"/>
  <c r="Q8" i="5"/>
  <c r="AT8" i="17"/>
  <c r="AW8" i="17" s="1"/>
  <c r="Q776" i="5"/>
  <c r="AT1076" i="17"/>
  <c r="AW1076" i="17" s="1"/>
  <c r="Q531" i="5"/>
  <c r="AT831" i="17"/>
  <c r="AW831" i="17" s="1"/>
  <c r="Q174" i="5"/>
  <c r="AT175" i="17"/>
  <c r="AW175" i="17" s="1"/>
  <c r="AT474" i="17"/>
  <c r="AW474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/>
  <c r="AW74" i="17" s="1"/>
  <c r="Q53" i="5"/>
  <c r="AT54" i="17"/>
  <c r="AW54" i="17" s="1"/>
  <c r="Q44" i="5"/>
  <c r="AT45" i="17"/>
  <c r="AW45" i="17" s="1"/>
  <c r="Q21" i="5"/>
  <c r="AT22" i="17"/>
  <c r="AW22" i="17" s="1"/>
  <c r="Q13" i="5"/>
  <c r="AT14" i="17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 s="1"/>
  <c r="AR88" i="17" s="1"/>
  <c r="AO387" i="17"/>
  <c r="AR387" i="17" s="1"/>
  <c r="O99" i="5"/>
  <c r="AO399" i="17" s="1"/>
  <c r="AR399" i="17" s="1"/>
  <c r="AO100" i="17"/>
  <c r="AR100" i="17" s="1"/>
  <c r="O111" i="5"/>
  <c r="AO112" i="17" s="1"/>
  <c r="AR112" i="17" s="1"/>
  <c r="O133" i="5"/>
  <c r="AO134" i="17" s="1"/>
  <c r="AR134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 s="1"/>
  <c r="AR87" i="17" s="1"/>
  <c r="O104" i="5"/>
  <c r="AO105" i="17" s="1"/>
  <c r="AR105" i="17" s="1"/>
  <c r="AO404" i="17"/>
  <c r="AR404" i="17" s="1"/>
  <c r="O119" i="5"/>
  <c r="AO120" i="17" s="1"/>
  <c r="AR120" i="17" s="1"/>
  <c r="AO419" i="17"/>
  <c r="AR419" i="17" s="1"/>
  <c r="O134" i="5"/>
  <c r="AO135" i="17" s="1"/>
  <c r="AR135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 s="1"/>
  <c r="AR146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AO394" i="17"/>
  <c r="AR394" i="17" s="1"/>
  <c r="O128" i="5"/>
  <c r="AO129" i="17" s="1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424" i="17" s="1"/>
  <c r="AR424" i="17" s="1"/>
  <c r="AO125" i="17"/>
  <c r="AR125" i="17" s="1"/>
  <c r="O80" i="5"/>
  <c r="AO81" i="17" s="1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/>
  <c r="AM139" i="17" s="1"/>
  <c r="AJ438" i="17"/>
  <c r="AM438" i="17" s="1"/>
  <c r="M123" i="5"/>
  <c r="AJ124" i="17"/>
  <c r="AM124" i="17" s="1"/>
  <c r="AJ423" i="17"/>
  <c r="AM423" i="17" s="1"/>
  <c r="M106" i="5"/>
  <c r="AJ107" i="17"/>
  <c r="AM107" i="17" s="1"/>
  <c r="AJ406" i="17"/>
  <c r="AM406" i="17" s="1"/>
  <c r="M99" i="5"/>
  <c r="AJ100" i="17"/>
  <c r="AM100" i="17" s="1"/>
  <c r="AJ399" i="17"/>
  <c r="AM399" i="17" s="1"/>
  <c r="M86" i="5"/>
  <c r="AJ87" i="17"/>
  <c r="AM87" i="17" s="1"/>
  <c r="AJ386" i="17"/>
  <c r="AM386" i="17" s="1"/>
  <c r="M73" i="5"/>
  <c r="AJ74" i="17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/>
  <c r="AM145" i="17" s="1"/>
  <c r="AJ444" i="17"/>
  <c r="AM444" i="17" s="1"/>
  <c r="M126" i="5"/>
  <c r="AJ127" i="17"/>
  <c r="AM127" i="17" s="1"/>
  <c r="AJ426" i="17"/>
  <c r="AM426" i="17" s="1"/>
  <c r="M112" i="5"/>
  <c r="AJ113" i="17"/>
  <c r="AM113" i="17" s="1"/>
  <c r="AJ412" i="17"/>
  <c r="AM412" i="17" s="1"/>
  <c r="M88" i="5"/>
  <c r="AJ89" i="17"/>
  <c r="AM89" i="17" s="1"/>
  <c r="AJ388" i="17"/>
  <c r="AM388" i="17" s="1"/>
  <c r="M76" i="5"/>
  <c r="AJ77" i="17"/>
  <c r="AM77" i="17" s="1"/>
  <c r="M56" i="5"/>
  <c r="AJ57" i="17" s="1"/>
  <c r="AM57" i="17" s="1"/>
  <c r="M46" i="5"/>
  <c r="AJ47" i="17" s="1"/>
  <c r="AM47" i="17" s="1"/>
  <c r="M25" i="5"/>
  <c r="AJ26" i="17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/>
  <c r="AM112" i="17" s="1"/>
  <c r="AJ411" i="17"/>
  <c r="AM411" i="17" s="1"/>
  <c r="M61" i="5"/>
  <c r="AJ62" i="17"/>
  <c r="AM62" i="17" s="1"/>
  <c r="M47" i="5"/>
  <c r="AJ48" i="17" s="1"/>
  <c r="AM48" i="17" s="1"/>
  <c r="M13" i="5"/>
  <c r="AJ14" i="17" s="1"/>
  <c r="AM14" i="17" s="1"/>
  <c r="M83" i="5"/>
  <c r="AJ84" i="17"/>
  <c r="AM84" i="17" s="1"/>
  <c r="M118" i="5"/>
  <c r="AJ119" i="17"/>
  <c r="AM119" i="17" s="1"/>
  <c r="AJ418" i="17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Q202" i="5"/>
  <c r="AT203" i="17"/>
  <c r="AW203" i="17" s="1"/>
  <c r="AT502" i="17"/>
  <c r="AW502" i="17" s="1"/>
  <c r="Q83" i="5"/>
  <c r="AT84" i="17"/>
  <c r="AW84" i="17" s="1"/>
  <c r="Q77" i="5"/>
  <c r="AT78" i="17"/>
  <c r="AW78" i="17" s="1"/>
  <c r="Q72" i="5"/>
  <c r="AT73" i="17"/>
  <c r="AW73" i="17" s="1"/>
  <c r="Q67" i="5"/>
  <c r="AT68" i="17"/>
  <c r="AW68" i="17" s="1"/>
  <c r="Q58" i="5"/>
  <c r="AT59" i="17"/>
  <c r="AW59" i="17" s="1"/>
  <c r="Q38" i="5"/>
  <c r="AT39" i="17"/>
  <c r="AW39" i="17" s="1"/>
  <c r="Q236" i="5"/>
  <c r="AT237" i="17"/>
  <c r="AW237" i="17" s="1"/>
  <c r="AT536" i="17"/>
  <c r="AW536" i="17" s="1"/>
  <c r="Q203" i="5"/>
  <c r="AT204" i="17"/>
  <c r="AW204" i="17" s="1"/>
  <c r="AT503" i="17"/>
  <c r="AW503" i="17" s="1"/>
  <c r="Q116" i="5"/>
  <c r="AT117" i="17"/>
  <c r="AW117" i="17" s="1"/>
  <c r="AT416" i="17"/>
  <c r="AW416" i="17" s="1"/>
  <c r="AO410" i="17"/>
  <c r="AR410" i="17" s="1"/>
  <c r="Q70" i="5"/>
  <c r="AT71" i="17"/>
  <c r="AW71" i="17" s="1"/>
  <c r="Q56" i="5"/>
  <c r="AT57" i="17"/>
  <c r="AW57" i="17" s="1"/>
  <c r="AO390" i="17"/>
  <c r="AR390" i="17" s="1"/>
  <c r="Q234" i="5"/>
  <c r="AT235" i="17"/>
  <c r="AW235" i="17" s="1"/>
  <c r="AT534" i="17"/>
  <c r="AW534" i="17" s="1"/>
  <c r="Q223" i="5"/>
  <c r="AT224" i="17"/>
  <c r="AW224" i="17" s="1"/>
  <c r="AT523" i="17"/>
  <c r="AW523" i="17" s="1"/>
  <c r="Q149" i="5"/>
  <c r="AT150" i="17"/>
  <c r="AW150" i="17" s="1"/>
  <c r="AT449" i="17"/>
  <c r="AW449" i="17" s="1"/>
  <c r="Q139" i="5"/>
  <c r="AT140" i="17"/>
  <c r="AW140" i="17" s="1"/>
  <c r="AT439" i="17"/>
  <c r="AW439" i="17" s="1"/>
  <c r="Q10" i="5"/>
  <c r="AT10" i="17"/>
  <c r="AW10" i="17" s="1"/>
  <c r="AT11" i="17"/>
  <c r="AW11" i="17" s="1"/>
  <c r="M695" i="5"/>
  <c r="AJ995" i="17"/>
  <c r="AM995" i="17" s="1"/>
  <c r="M628" i="5"/>
  <c r="AJ928" i="17"/>
  <c r="AM928" i="17" s="1"/>
  <c r="M555" i="5"/>
  <c r="AJ855" i="17"/>
  <c r="AM855" i="17" s="1"/>
  <c r="M529" i="5"/>
  <c r="AJ829" i="17"/>
  <c r="AM829" i="17" s="1"/>
  <c r="M462" i="5"/>
  <c r="AJ762" i="17"/>
  <c r="AM762" i="17" s="1"/>
  <c r="M394" i="5"/>
  <c r="AJ694" i="17"/>
  <c r="AM694" i="17" s="1"/>
  <c r="M328" i="5"/>
  <c r="AJ329" i="17"/>
  <c r="AM329" i="17" s="1"/>
  <c r="AJ628" i="17"/>
  <c r="AM628" i="17" s="1"/>
  <c r="M275" i="5"/>
  <c r="AJ276" i="17"/>
  <c r="AM276" i="17" s="1"/>
  <c r="AJ575" i="17"/>
  <c r="AM575" i="17" s="1"/>
  <c r="M211" i="5"/>
  <c r="AJ212" i="17"/>
  <c r="AM212" i="17" s="1"/>
  <c r="AJ511" i="17"/>
  <c r="AM511" i="17" s="1"/>
  <c r="M159" i="5"/>
  <c r="AJ160" i="17"/>
  <c r="AM160" i="17" s="1"/>
  <c r="AJ459" i="17"/>
  <c r="AM459" i="17" s="1"/>
  <c r="M114" i="5"/>
  <c r="AJ115" i="17"/>
  <c r="AM115" i="17" s="1"/>
  <c r="AJ414" i="17"/>
  <c r="AM414" i="17" s="1"/>
  <c r="M71" i="5"/>
  <c r="AJ72" i="17" s="1"/>
  <c r="AM72" i="17" s="1"/>
  <c r="M842" i="5"/>
  <c r="AJ1142" i="17"/>
  <c r="AM1142" i="17" s="1"/>
  <c r="M740" i="5"/>
  <c r="AJ1040" i="17"/>
  <c r="AM1040" i="17" s="1"/>
  <c r="M730" i="5"/>
  <c r="AJ1030" i="17"/>
  <c r="AM1030" i="17" s="1"/>
  <c r="M667" i="5"/>
  <c r="AJ967" i="17"/>
  <c r="AM967" i="17" s="1"/>
  <c r="M604" i="5"/>
  <c r="AJ904" i="17"/>
  <c r="AM904" i="17" s="1"/>
  <c r="M550" i="5"/>
  <c r="AJ850" i="17"/>
  <c r="AM850" i="17" s="1"/>
  <c r="M465" i="5"/>
  <c r="AJ765" i="17"/>
  <c r="AM765" i="17" s="1"/>
  <c r="M395" i="5"/>
  <c r="AJ695" i="17"/>
  <c r="AM695" i="17" s="1"/>
  <c r="M359" i="5"/>
  <c r="AJ360" i="17"/>
  <c r="AM360" i="17" s="1"/>
  <c r="AJ659" i="17"/>
  <c r="AM659" i="17" s="1"/>
  <c r="M312" i="5"/>
  <c r="AJ313" i="17"/>
  <c r="AM313" i="17" s="1"/>
  <c r="AJ612" i="17"/>
  <c r="AM612" i="17" s="1"/>
  <c r="M250" i="5"/>
  <c r="AJ251" i="17"/>
  <c r="AM251" i="17" s="1"/>
  <c r="AJ550" i="17"/>
  <c r="AM550" i="17" s="1"/>
  <c r="M201" i="5"/>
  <c r="AJ202" i="17"/>
  <c r="AM202" i="17" s="1"/>
  <c r="AJ501" i="17"/>
  <c r="AM501" i="17" s="1"/>
  <c r="M161" i="5"/>
  <c r="AJ162" i="17"/>
  <c r="AM162" i="17" s="1"/>
  <c r="AJ461" i="17"/>
  <c r="AM461" i="17" s="1"/>
  <c r="M82" i="5"/>
  <c r="AJ83" i="17"/>
  <c r="AM83" i="17" s="1"/>
  <c r="M706" i="5"/>
  <c r="AJ1006" i="17"/>
  <c r="AM1006" i="17" s="1"/>
  <c r="M655" i="5"/>
  <c r="AJ955" i="17"/>
  <c r="AM955" i="17" s="1"/>
  <c r="M526" i="5"/>
  <c r="AJ826" i="17"/>
  <c r="AM826" i="17" s="1"/>
  <c r="M352" i="5"/>
  <c r="AJ353" i="17"/>
  <c r="AM353" i="17" s="1"/>
  <c r="AJ652" i="17"/>
  <c r="AM652" i="17" s="1"/>
  <c r="M219" i="5"/>
  <c r="AJ220" i="17"/>
  <c r="AM220" i="17" s="1"/>
  <c r="AJ519" i="17"/>
  <c r="AM519" i="17" s="1"/>
  <c r="M59" i="5"/>
  <c r="AJ60" i="17"/>
  <c r="AM60" i="17" s="1"/>
  <c r="M109" i="5"/>
  <c r="AJ110" i="17"/>
  <c r="AM110" i="17" s="1"/>
  <c r="AJ409" i="17"/>
  <c r="AM409" i="17" s="1"/>
  <c r="M343" i="5"/>
  <c r="AJ344" i="17"/>
  <c r="AM344" i="17" s="1"/>
  <c r="AJ643" i="17"/>
  <c r="AM643" i="17" s="1"/>
  <c r="M463" i="5"/>
  <c r="AJ763" i="17"/>
  <c r="AM763" i="17" s="1"/>
  <c r="M561" i="5"/>
  <c r="AJ861" i="17"/>
  <c r="AM861" i="17" s="1"/>
  <c r="M644" i="5"/>
  <c r="AJ944" i="17"/>
  <c r="AM944" i="17" s="1"/>
  <c r="M734" i="5"/>
  <c r="AJ1034" i="17"/>
  <c r="AM1034" i="17" s="1"/>
  <c r="M854" i="5"/>
  <c r="AJ1154" i="17"/>
  <c r="AM1154" i="17" s="1"/>
  <c r="Q323" i="5"/>
  <c r="AT324" i="17"/>
  <c r="AW324" i="17" s="1"/>
  <c r="AT623" i="17"/>
  <c r="AW623" i="17" s="1"/>
  <c r="Q303" i="5"/>
  <c r="AT304" i="17"/>
  <c r="AW304" i="17" s="1"/>
  <c r="AT603" i="17"/>
  <c r="AW603" i="17" s="1"/>
  <c r="Q220" i="5"/>
  <c r="AT221" i="17"/>
  <c r="AW221" i="17" s="1"/>
  <c r="AT520" i="17"/>
  <c r="AW520" i="17" s="1"/>
  <c r="Q211" i="5"/>
  <c r="AT212" i="17"/>
  <c r="AW212" i="17" s="1"/>
  <c r="AT511" i="17"/>
  <c r="AW511" i="17" s="1"/>
  <c r="Q602" i="5"/>
  <c r="AT902" i="17"/>
  <c r="AW902" i="17" s="1"/>
  <c r="Q382" i="5"/>
  <c r="AT383" i="17"/>
  <c r="AW383" i="17" s="1"/>
  <c r="AT682" i="17"/>
  <c r="AW682" i="17" s="1"/>
  <c r="Q183" i="5"/>
  <c r="AT184" i="17"/>
  <c r="AW184" i="17" s="1"/>
  <c r="AT483" i="17"/>
  <c r="AW483" i="17" s="1"/>
  <c r="M852" i="5"/>
  <c r="AJ1152" i="17"/>
  <c r="AM1152" i="17" s="1"/>
  <c r="M833" i="5"/>
  <c r="AJ1133" i="17"/>
  <c r="AM1133" i="17" s="1"/>
  <c r="M825" i="5"/>
  <c r="AJ1125" i="17"/>
  <c r="AM1125" i="17" s="1"/>
  <c r="M817" i="5"/>
  <c r="AJ1117" i="17"/>
  <c r="AM1117" i="17" s="1"/>
  <c r="M809" i="5"/>
  <c r="AJ1109" i="17"/>
  <c r="AM1109" i="17" s="1"/>
  <c r="M801" i="5"/>
  <c r="AJ1101" i="17"/>
  <c r="AM1101" i="17" s="1"/>
  <c r="M793" i="5"/>
  <c r="AJ1093" i="17"/>
  <c r="AM1093" i="17" s="1"/>
  <c r="M785" i="5"/>
  <c r="AJ1085" i="17"/>
  <c r="AM1085" i="17" s="1"/>
  <c r="M777" i="5"/>
  <c r="AJ1077" i="17"/>
  <c r="AM1077" i="17" s="1"/>
  <c r="M769" i="5"/>
  <c r="AJ1069" i="17"/>
  <c r="AM1069" i="17" s="1"/>
  <c r="Q859" i="5"/>
  <c r="AT1159" i="17"/>
  <c r="AW1159" i="17" s="1"/>
  <c r="Q830" i="5"/>
  <c r="AT1130" i="17"/>
  <c r="AW1130" i="17" s="1"/>
  <c r="Q796" i="5"/>
  <c r="AT1096" i="17"/>
  <c r="AW1096" i="17" s="1"/>
  <c r="U837" i="5"/>
  <c r="BD1137" i="17"/>
  <c r="BG1137" i="17" s="1"/>
  <c r="U796" i="5"/>
  <c r="BD1096" i="17"/>
  <c r="BG1096" i="17" s="1"/>
  <c r="O831" i="5"/>
  <c r="AO1131" i="17"/>
  <c r="AR1131" i="17" s="1"/>
  <c r="O838" i="5"/>
  <c r="AO1138" i="17"/>
  <c r="AR1138" i="17" s="1"/>
  <c r="O787" i="5"/>
  <c r="AO1087" i="17"/>
  <c r="AR1087" i="17" s="1"/>
  <c r="O758" i="5"/>
  <c r="AO1058" i="17"/>
  <c r="AR1058" i="17" s="1"/>
  <c r="Q789" i="5"/>
  <c r="AT1089" i="17"/>
  <c r="AW1089" i="17" s="1"/>
  <c r="Q733" i="5"/>
  <c r="AT1033" i="17"/>
  <c r="AW1033" i="17" s="1"/>
  <c r="Q708" i="5"/>
  <c r="AT1008" i="17"/>
  <c r="AW1008" i="17" s="1"/>
  <c r="Q674" i="5"/>
  <c r="AT974" i="17"/>
  <c r="AW974" i="17" s="1"/>
  <c r="Q637" i="5"/>
  <c r="AT937" i="17"/>
  <c r="AW937" i="17" s="1"/>
  <c r="Q611" i="5"/>
  <c r="AT911" i="17"/>
  <c r="AW911" i="17" s="1"/>
  <c r="Q829" i="5"/>
  <c r="AT1129" i="17"/>
  <c r="AW1129" i="17" s="1"/>
  <c r="Q860" i="5"/>
  <c r="AT1160" i="17"/>
  <c r="AW1160" i="17" s="1"/>
  <c r="Q824" i="5"/>
  <c r="AT1124" i="17"/>
  <c r="AW1124" i="17" s="1"/>
  <c r="M861" i="5"/>
  <c r="AJ1161" i="17"/>
  <c r="AM1161" i="17" s="1"/>
  <c r="O760" i="5"/>
  <c r="AO1060" i="17"/>
  <c r="AR1060" i="17" s="1"/>
  <c r="O803" i="5"/>
  <c r="AO1103" i="17"/>
  <c r="AR1103" i="17" s="1"/>
  <c r="O851" i="5"/>
  <c r="AO1151" i="17"/>
  <c r="AR1151" i="17" s="1"/>
  <c r="O738" i="5"/>
  <c r="AO1038" i="17"/>
  <c r="AR1038" i="17" s="1"/>
  <c r="O786" i="5"/>
  <c r="AO1086" i="17"/>
  <c r="AR1086" i="17" s="1"/>
  <c r="O825" i="5"/>
  <c r="AO1125" i="17"/>
  <c r="AR1125" i="17" s="1"/>
  <c r="Q104" i="5"/>
  <c r="AT105" i="17"/>
  <c r="AW105" i="17" s="1"/>
  <c r="AT404" i="17"/>
  <c r="AW404" i="17" s="1"/>
  <c r="Q129" i="5"/>
  <c r="AT130" i="17"/>
  <c r="AW130" i="17" s="1"/>
  <c r="AT429" i="17"/>
  <c r="AW429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212" i="5"/>
  <c r="AT213" i="17"/>
  <c r="AW213" i="17" s="1"/>
  <c r="AT512" i="17"/>
  <c r="AW512" i="17" s="1"/>
  <c r="Q243" i="5"/>
  <c r="AT244" i="17"/>
  <c r="AW244" i="17" s="1"/>
  <c r="AT543" i="17"/>
  <c r="AW543" i="17" s="1"/>
  <c r="Q258" i="5"/>
  <c r="AT259" i="17"/>
  <c r="AW259" i="17" s="1"/>
  <c r="AT558" i="17"/>
  <c r="AW558" i="17" s="1"/>
  <c r="Q386" i="5"/>
  <c r="AT686" i="17"/>
  <c r="AW686" i="17" s="1"/>
  <c r="Q477" i="5"/>
  <c r="AT777" i="17"/>
  <c r="AW777" i="17" s="1"/>
  <c r="Q688" i="5"/>
  <c r="AT988" i="17"/>
  <c r="AW988" i="17" s="1"/>
  <c r="Q166" i="5"/>
  <c r="AT167" i="17"/>
  <c r="AW167" i="17" s="1"/>
  <c r="AT466" i="17"/>
  <c r="AW466" i="17" s="1"/>
  <c r="Q199" i="5"/>
  <c r="AT200" i="17"/>
  <c r="AW200" i="17" s="1"/>
  <c r="AT499" i="17"/>
  <c r="AW499" i="17" s="1"/>
  <c r="Q230" i="5"/>
  <c r="AT231" i="17"/>
  <c r="AW231" i="17" s="1"/>
  <c r="AT530" i="17"/>
  <c r="AW530" i="17" s="1"/>
  <c r="Q307" i="5"/>
  <c r="AT308" i="17"/>
  <c r="AW308" i="17" s="1"/>
  <c r="AT607" i="17"/>
  <c r="AW607" i="17" s="1"/>
  <c r="Q440" i="5"/>
  <c r="AT740" i="17"/>
  <c r="AW740" i="17" s="1"/>
  <c r="Q612" i="5"/>
  <c r="AT912" i="17"/>
  <c r="AW912" i="17" s="1"/>
  <c r="Q256" i="5"/>
  <c r="AT257" i="17"/>
  <c r="AW257" i="17" s="1"/>
  <c r="AT556" i="17"/>
  <c r="AW556" i="17" s="1"/>
  <c r="Q279" i="5"/>
  <c r="AT280" i="17"/>
  <c r="AW280" i="17" s="1"/>
  <c r="AT579" i="17"/>
  <c r="AW579" i="17" s="1"/>
  <c r="Q348" i="5"/>
  <c r="AT349" i="17"/>
  <c r="AW349" i="17" s="1"/>
  <c r="AT648" i="17"/>
  <c r="AW648" i="17" s="1"/>
  <c r="Q396" i="5"/>
  <c r="AT696" i="17"/>
  <c r="AW696" i="17" s="1"/>
  <c r="Q526" i="5"/>
  <c r="AT826" i="17"/>
  <c r="AW826" i="17" s="1"/>
  <c r="Q272" i="5"/>
  <c r="AT273" i="17"/>
  <c r="AW273" i="17" s="1"/>
  <c r="AT572" i="17"/>
  <c r="AW572" i="17" s="1"/>
  <c r="Q316" i="5"/>
  <c r="AT317" i="17"/>
  <c r="AW317" i="17" s="1"/>
  <c r="AT616" i="17"/>
  <c r="AW616" i="17" s="1"/>
  <c r="Q362" i="5"/>
  <c r="AT363" i="17"/>
  <c r="AW363" i="17" s="1"/>
  <c r="AT662" i="17"/>
  <c r="AW662" i="17" s="1"/>
  <c r="Q497" i="5"/>
  <c r="AT797" i="17"/>
  <c r="AW797" i="17" s="1"/>
  <c r="Q664" i="5"/>
  <c r="AT964" i="17"/>
  <c r="AW964" i="17" s="1"/>
  <c r="Q306" i="5"/>
  <c r="AT307" i="17"/>
  <c r="AW307" i="17" s="1"/>
  <c r="AT606" i="17"/>
  <c r="AW606" i="17" s="1"/>
  <c r="Q342" i="5"/>
  <c r="AT343" i="17"/>
  <c r="AW343" i="17" s="1"/>
  <c r="AT642" i="17"/>
  <c r="AW642" i="17" s="1"/>
  <c r="Q364" i="5"/>
  <c r="AT365" i="17"/>
  <c r="AW365" i="17" s="1"/>
  <c r="AT664" i="17"/>
  <c r="AW664" i="17" s="1"/>
  <c r="Q387" i="5"/>
  <c r="AT687" i="17"/>
  <c r="AW687" i="17" s="1"/>
  <c r="Q444" i="5"/>
  <c r="AT744" i="17"/>
  <c r="AW744" i="17" s="1"/>
  <c r="Q466" i="5"/>
  <c r="AT766" i="17"/>
  <c r="AW766" i="17" s="1"/>
  <c r="Q547" i="5"/>
  <c r="AT847" i="17"/>
  <c r="AW847" i="17" s="1"/>
  <c r="Q590" i="5"/>
  <c r="AT890" i="17"/>
  <c r="AW890" i="17" s="1"/>
  <c r="Q700" i="5"/>
  <c r="AT1000" i="17"/>
  <c r="AW1000" i="17" s="1"/>
  <c r="Q350" i="5"/>
  <c r="AT351" i="17"/>
  <c r="AW351" i="17" s="1"/>
  <c r="AT650" i="17"/>
  <c r="AW650" i="17" s="1"/>
  <c r="Q391" i="5"/>
  <c r="AT691" i="17"/>
  <c r="AW691" i="17" s="1"/>
  <c r="Q434" i="5"/>
  <c r="AT734" i="17"/>
  <c r="AW734" i="17" s="1"/>
  <c r="Q523" i="5"/>
  <c r="AT823" i="17"/>
  <c r="AW823" i="17" s="1"/>
  <c r="Q616" i="5"/>
  <c r="AT916" i="17"/>
  <c r="AW916" i="17" s="1"/>
  <c r="Q460" i="5"/>
  <c r="AT760" i="17"/>
  <c r="AW760" i="17" s="1"/>
  <c r="Q483" i="5"/>
  <c r="AT783" i="17"/>
  <c r="AW783" i="17" s="1"/>
  <c r="Q510" i="5"/>
  <c r="AT810" i="17"/>
  <c r="AW810" i="17" s="1"/>
  <c r="Q521" i="5"/>
  <c r="AT821" i="17"/>
  <c r="AW821" i="17" s="1"/>
  <c r="Q563" i="5"/>
  <c r="AT863" i="17"/>
  <c r="AW863" i="17" s="1"/>
  <c r="Q594" i="5"/>
  <c r="AT894" i="17"/>
  <c r="AW894" i="17" s="1"/>
  <c r="Q683" i="5"/>
  <c r="AT983" i="17"/>
  <c r="AW983" i="17" s="1"/>
  <c r="Q428" i="5"/>
  <c r="AT728" i="17"/>
  <c r="AW728" i="17" s="1"/>
  <c r="Q447" i="5"/>
  <c r="AT747" i="17"/>
  <c r="AW747" i="17" s="1"/>
  <c r="Q476" i="5"/>
  <c r="AT776" i="17"/>
  <c r="AW776" i="17" s="1"/>
  <c r="Q508" i="5"/>
  <c r="AT808" i="17"/>
  <c r="AW808" i="17" s="1"/>
  <c r="Q545" i="5"/>
  <c r="AT845" i="17"/>
  <c r="AW845" i="17" s="1"/>
  <c r="Q572" i="5"/>
  <c r="AT872" i="17"/>
  <c r="AW872" i="17" s="1"/>
  <c r="Q624" i="5"/>
  <c r="AT924" i="17"/>
  <c r="AW924" i="17" s="1"/>
  <c r="Q646" i="5"/>
  <c r="AT946" i="17"/>
  <c r="AW946" i="17" s="1"/>
  <c r="Q684" i="5"/>
  <c r="AT984" i="17"/>
  <c r="AW984" i="17" s="1"/>
  <c r="Q701" i="5"/>
  <c r="AT1001" i="17"/>
  <c r="AW1001" i="17" s="1"/>
  <c r="Q748" i="5"/>
  <c r="AT1048" i="17"/>
  <c r="AW1048" i="17" s="1"/>
  <c r="Q774" i="5"/>
  <c r="AT1074" i="17"/>
  <c r="AW1074" i="17" s="1"/>
  <c r="Q596" i="5"/>
  <c r="AT896" i="17"/>
  <c r="AW896" i="17" s="1"/>
  <c r="Q644" i="5"/>
  <c r="AT944" i="17"/>
  <c r="AW944" i="17" s="1"/>
  <c r="Q685" i="5"/>
  <c r="AT985" i="17"/>
  <c r="AW985" i="17" s="1"/>
  <c r="Q716" i="5"/>
  <c r="AT1016" i="17"/>
  <c r="AW1016" i="17" s="1"/>
  <c r="Q780" i="5"/>
  <c r="AT1080" i="17"/>
  <c r="AW1080" i="17" s="1"/>
  <c r="Q738" i="5"/>
  <c r="AT1038" i="17"/>
  <c r="AW1038" i="17" s="1"/>
  <c r="Q786" i="5"/>
  <c r="AT1086" i="17"/>
  <c r="AW1086" i="17" s="1"/>
  <c r="Q734" i="5"/>
  <c r="AT1034" i="17"/>
  <c r="AW1034" i="17" s="1"/>
  <c r="Q791" i="5"/>
  <c r="AT1091" i="17"/>
  <c r="AW1091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23" i="5"/>
  <c r="AT124" i="17"/>
  <c r="AW124" i="17" s="1"/>
  <c r="AT423" i="17"/>
  <c r="AW423" i="17" s="1"/>
  <c r="Q109" i="5"/>
  <c r="AT110" i="17"/>
  <c r="AW110" i="17" s="1"/>
  <c r="AT409" i="17"/>
  <c r="AW409" i="17" s="1"/>
  <c r="Q82" i="5"/>
  <c r="AT83" i="17"/>
  <c r="AW83" i="17" s="1"/>
  <c r="Q57" i="5"/>
  <c r="AT58" i="17"/>
  <c r="AW58" i="17" s="1"/>
  <c r="Q25" i="5"/>
  <c r="AT26" i="17"/>
  <c r="AW26" i="17" s="1"/>
  <c r="S233" i="5"/>
  <c r="AY234" i="17"/>
  <c r="BB234" i="17" s="1"/>
  <c r="AY533" i="17"/>
  <c r="BB533" i="17" s="1"/>
  <c r="S259" i="5"/>
  <c r="AY260" i="17"/>
  <c r="BB260" i="17" s="1"/>
  <c r="AY559" i="17"/>
  <c r="BB559" i="17" s="1"/>
  <c r="S282" i="5"/>
  <c r="AY283" i="17"/>
  <c r="BB283" i="17" s="1"/>
  <c r="AY582" i="17"/>
  <c r="BB582" i="17" s="1"/>
  <c r="S319" i="5"/>
  <c r="AY320" i="17"/>
  <c r="BB320" i="17" s="1"/>
  <c r="AY619" i="17"/>
  <c r="BB619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16" i="5"/>
  <c r="AY716" i="17"/>
  <c r="BB716" i="17" s="1"/>
  <c r="S466" i="5"/>
  <c r="AY766" i="17"/>
  <c r="BB766" i="17" s="1"/>
  <c r="S512" i="5"/>
  <c r="AY812" i="17"/>
  <c r="BB812" i="17" s="1"/>
  <c r="S582" i="5"/>
  <c r="AY882" i="17"/>
  <c r="BB882" i="17" s="1"/>
  <c r="S631" i="5"/>
  <c r="AY931" i="17"/>
  <c r="BB931" i="17" s="1"/>
  <c r="S669" i="5"/>
  <c r="AY969" i="17"/>
  <c r="BB969" i="17" s="1"/>
  <c r="S715" i="5"/>
  <c r="AY1015" i="17"/>
  <c r="BB1015" i="17" s="1"/>
  <c r="S50" i="5"/>
  <c r="AY51" i="17"/>
  <c r="BB51" i="17" s="1"/>
  <c r="S82" i="5"/>
  <c r="AY83" i="17"/>
  <c r="BB83" i="17" s="1"/>
  <c r="S123" i="5"/>
  <c r="AY124" i="17"/>
  <c r="BB124" i="17" s="1"/>
  <c r="AY423" i="17"/>
  <c r="BB423" i="17" s="1"/>
  <c r="S163" i="5"/>
  <c r="AY164" i="17"/>
  <c r="BB164" i="17" s="1"/>
  <c r="AY463" i="17"/>
  <c r="BB463" i="17" s="1"/>
  <c r="S197" i="5"/>
  <c r="AY198" i="17"/>
  <c r="BB198" i="17" s="1"/>
  <c r="AY497" i="17"/>
  <c r="BB497" i="17" s="1"/>
  <c r="S224" i="5"/>
  <c r="AY225" i="17"/>
  <c r="BB225" i="17" s="1"/>
  <c r="AY524" i="17"/>
  <c r="BB524" i="17" s="1"/>
  <c r="S261" i="5"/>
  <c r="AY262" i="17"/>
  <c r="BB262" i="17" s="1"/>
  <c r="AY561" i="17"/>
  <c r="BB561" i="17" s="1"/>
  <c r="S304" i="5"/>
  <c r="AY305" i="17"/>
  <c r="BB305" i="17" s="1"/>
  <c r="AY604" i="17"/>
  <c r="BB604" i="17" s="1"/>
  <c r="S335" i="5"/>
  <c r="AY336" i="17"/>
  <c r="BB336" i="17" s="1"/>
  <c r="AY635" i="17"/>
  <c r="BB635" i="17" s="1"/>
  <c r="S373" i="5"/>
  <c r="AY374" i="17"/>
  <c r="BB374" i="17" s="1"/>
  <c r="AY673" i="17"/>
  <c r="BB673" i="17" s="1"/>
  <c r="S415" i="5"/>
  <c r="AY715" i="17"/>
  <c r="BB715" i="17" s="1"/>
  <c r="S442" i="5"/>
  <c r="AY742" i="17"/>
  <c r="BB742" i="17" s="1"/>
  <c r="S464" i="5"/>
  <c r="AY764" i="17"/>
  <c r="BB764" i="17" s="1"/>
  <c r="S486" i="5"/>
  <c r="AY786" i="17"/>
  <c r="BB786" i="17" s="1"/>
  <c r="S508" i="5"/>
  <c r="AY808" i="17"/>
  <c r="BB808" i="17" s="1"/>
  <c r="S538" i="5"/>
  <c r="AY838" i="17"/>
  <c r="BB838" i="17" s="1"/>
  <c r="S570" i="5"/>
  <c r="AY870" i="17"/>
  <c r="BB870" i="17" s="1"/>
  <c r="S613" i="5"/>
  <c r="AY913" i="17"/>
  <c r="BB913" i="17" s="1"/>
  <c r="S662" i="5"/>
  <c r="AY962" i="17"/>
  <c r="BB962" i="17" s="1"/>
  <c r="S732" i="5"/>
  <c r="AY1032" i="17"/>
  <c r="BB1032" i="17" s="1"/>
  <c r="S775" i="5"/>
  <c r="AY1075" i="17"/>
  <c r="BB1075" i="17" s="1"/>
  <c r="S811" i="5"/>
  <c r="AY1111" i="17"/>
  <c r="BB1111" i="17" s="1"/>
  <c r="S841" i="5"/>
  <c r="AY1141" i="17"/>
  <c r="BB1141" i="17" s="1"/>
  <c r="S853" i="5"/>
  <c r="AY1153" i="17"/>
  <c r="BB1153" i="17" s="1"/>
  <c r="S567" i="5"/>
  <c r="AY867" i="17"/>
  <c r="BB867" i="17" s="1"/>
  <c r="S603" i="5"/>
  <c r="AY903" i="17"/>
  <c r="BB903" i="17" s="1"/>
  <c r="S634" i="5"/>
  <c r="AY934" i="17"/>
  <c r="BB934" i="17" s="1"/>
  <c r="S678" i="5"/>
  <c r="AY978" i="17"/>
  <c r="BB978" i="17" s="1"/>
  <c r="S713" i="5"/>
  <c r="AY1013" i="17"/>
  <c r="BB1013" i="17" s="1"/>
  <c r="S749" i="5"/>
  <c r="AY1049" i="17"/>
  <c r="BB1049" i="17" s="1"/>
  <c r="S768" i="5"/>
  <c r="AY1068" i="17"/>
  <c r="BB1068" i="17" s="1"/>
  <c r="S803" i="5"/>
  <c r="AY1103" i="17"/>
  <c r="BB1103" i="17" s="1"/>
  <c r="S837" i="5"/>
  <c r="AY1137" i="17"/>
  <c r="BB1137" i="17" s="1"/>
  <c r="S740" i="5"/>
  <c r="AY1040" i="17"/>
  <c r="BB1040" i="17" s="1"/>
  <c r="S704" i="5"/>
  <c r="AY1004" i="17"/>
  <c r="BB1004" i="17" s="1"/>
  <c r="S566" i="5"/>
  <c r="AY866" i="17"/>
  <c r="BB866" i="17" s="1"/>
  <c r="S509" i="5"/>
  <c r="AY809" i="17"/>
  <c r="BB809" i="17" s="1"/>
  <c r="S468" i="5"/>
  <c r="AY768" i="17"/>
  <c r="BB768" i="17" s="1"/>
  <c r="S432" i="5"/>
  <c r="AY732" i="17"/>
  <c r="BB732" i="17" s="1"/>
  <c r="S364" i="5"/>
  <c r="AY365" i="17"/>
  <c r="BB365" i="17" s="1"/>
  <c r="AY664" i="17"/>
  <c r="BB664" i="17" s="1"/>
  <c r="S685" i="5"/>
  <c r="AY985" i="17"/>
  <c r="BB985" i="17" s="1"/>
  <c r="S412" i="5"/>
  <c r="AY712" i="17"/>
  <c r="BB712" i="17" s="1"/>
  <c r="S177" i="5"/>
  <c r="AY178" i="17"/>
  <c r="BB178" i="17" s="1"/>
  <c r="AY477" i="17"/>
  <c r="BB477" i="17" s="1"/>
  <c r="S105" i="5"/>
  <c r="AY106" i="17"/>
  <c r="BB106" i="17" s="1"/>
  <c r="AY405" i="17"/>
  <c r="BB405" i="17" s="1"/>
  <c r="S820" i="5"/>
  <c r="AY1120" i="17"/>
  <c r="BB1120" i="17" s="1"/>
  <c r="S612" i="5"/>
  <c r="AY912" i="17"/>
  <c r="BB912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56" i="5"/>
  <c r="AY57" i="17"/>
  <c r="BB57" i="17" s="1"/>
  <c r="S89" i="5"/>
  <c r="AY90" i="17"/>
  <c r="BB90" i="17" s="1"/>
  <c r="AY389" i="17"/>
  <c r="BB389" i="17" s="1"/>
  <c r="S135" i="5"/>
  <c r="AY136" i="17"/>
  <c r="BB136" i="17" s="1"/>
  <c r="AY435" i="17"/>
  <c r="BB435" i="17" s="1"/>
  <c r="S168" i="5"/>
  <c r="AY169" i="17"/>
  <c r="BB169" i="17" s="1"/>
  <c r="AY468" i="17"/>
  <c r="BB468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96" i="5"/>
  <c r="AY696" i="17"/>
  <c r="BB696" i="17" s="1"/>
  <c r="S461" i="5"/>
  <c r="AY761" i="17"/>
  <c r="BB761" i="17" s="1"/>
  <c r="S563" i="5"/>
  <c r="AY863" i="17"/>
  <c r="BB863" i="17" s="1"/>
  <c r="S660" i="5"/>
  <c r="AY960" i="17"/>
  <c r="BB960" i="17" s="1"/>
  <c r="S789" i="5"/>
  <c r="AY1089" i="17"/>
  <c r="BB1089" i="17" s="1"/>
  <c r="S18" i="5"/>
  <c r="AY19" i="17"/>
  <c r="BB19" i="17" s="1"/>
  <c r="S62" i="5"/>
  <c r="AY63" i="17"/>
  <c r="BB63" i="17" s="1"/>
  <c r="S86" i="5"/>
  <c r="AY87" i="17"/>
  <c r="BB87" i="17" s="1"/>
  <c r="AY386" i="17"/>
  <c r="BB386" i="17" s="1"/>
  <c r="S126" i="5"/>
  <c r="AY127" i="17"/>
  <c r="BB127" i="17" s="1"/>
  <c r="AY426" i="17"/>
  <c r="BB426" i="17" s="1"/>
  <c r="S202" i="5"/>
  <c r="AY203" i="17"/>
  <c r="BB203" i="17" s="1"/>
  <c r="AY502" i="17"/>
  <c r="BB502" i="17" s="1"/>
  <c r="S236" i="5"/>
  <c r="AY237" i="17"/>
  <c r="BB237" i="17" s="1"/>
  <c r="AY536" i="17"/>
  <c r="BB536" i="17" s="1"/>
  <c r="S379" i="5"/>
  <c r="AY380" i="17"/>
  <c r="BB380" i="17" s="1"/>
  <c r="AY679" i="17"/>
  <c r="BB679" i="17" s="1"/>
  <c r="S436" i="5"/>
  <c r="AY736" i="17"/>
  <c r="BB736" i="17" s="1"/>
  <c r="S543" i="5"/>
  <c r="AY843" i="17"/>
  <c r="BB843" i="17" s="1"/>
  <c r="S628" i="5"/>
  <c r="AY928" i="17"/>
  <c r="BB928" i="17" s="1"/>
  <c r="S710" i="5"/>
  <c r="AY1010" i="17"/>
  <c r="BB1010" i="17" s="1"/>
  <c r="S799" i="5"/>
  <c r="AY1099" i="17"/>
  <c r="BB1099" i="17" s="1"/>
  <c r="S127" i="5"/>
  <c r="AY128" i="17"/>
  <c r="BB128" i="17" s="1"/>
  <c r="AY427" i="17"/>
  <c r="BB427" i="17" s="1"/>
  <c r="S155" i="5"/>
  <c r="AY156" i="17"/>
  <c r="BB156" i="17" s="1"/>
  <c r="AY455" i="17"/>
  <c r="BB455" i="17" s="1"/>
  <c r="S198" i="5"/>
  <c r="AY199" i="17"/>
  <c r="BB199" i="17" s="1"/>
  <c r="AY498" i="17"/>
  <c r="BB498" i="17" s="1"/>
  <c r="S260" i="5"/>
  <c r="AY261" i="17"/>
  <c r="BB261" i="17" s="1"/>
  <c r="AY560" i="17"/>
  <c r="BB560" i="17" s="1"/>
  <c r="S323" i="5"/>
  <c r="AY324" i="17"/>
  <c r="BB324" i="17" s="1"/>
  <c r="AY623" i="17"/>
  <c r="BB623" i="17" s="1"/>
  <c r="S389" i="5"/>
  <c r="AY689" i="17"/>
  <c r="BB689" i="17" s="1"/>
  <c r="S451" i="5"/>
  <c r="AY751" i="17"/>
  <c r="BB751" i="17" s="1"/>
  <c r="S539" i="5"/>
  <c r="AY839" i="17"/>
  <c r="BB839" i="17" s="1"/>
  <c r="S611" i="5"/>
  <c r="AY911" i="17"/>
  <c r="BB911" i="17" s="1"/>
  <c r="S706" i="5"/>
  <c r="AY1006" i="17"/>
  <c r="BB1006" i="17" s="1"/>
  <c r="S859" i="5"/>
  <c r="AY1159" i="17"/>
  <c r="BB1159" i="17" s="1"/>
  <c r="S371" i="5"/>
  <c r="AY372" i="17"/>
  <c r="BB372" i="17" s="1"/>
  <c r="AY671" i="17"/>
  <c r="BB671" i="17" s="1"/>
  <c r="S186" i="5"/>
  <c r="AY187" i="17"/>
  <c r="BB187" i="17" s="1"/>
  <c r="AY486" i="17"/>
  <c r="BB486" i="17" s="1"/>
  <c r="S64" i="5"/>
  <c r="AY65" i="17"/>
  <c r="BB65" i="17" s="1"/>
  <c r="U841" i="5"/>
  <c r="BD1141" i="17"/>
  <c r="BG1141" i="17" s="1"/>
  <c r="U813" i="5"/>
  <c r="BD1113" i="17"/>
  <c r="BG1113" i="17" s="1"/>
  <c r="U765" i="5"/>
  <c r="BD1065" i="17"/>
  <c r="BG1065" i="17" s="1"/>
  <c r="U716" i="5"/>
  <c r="BD1016" i="17"/>
  <c r="BG1016" i="17" s="1"/>
  <c r="U687" i="5"/>
  <c r="BD987" i="17"/>
  <c r="BG987" i="17" s="1"/>
  <c r="U815" i="5"/>
  <c r="BD1115" i="17"/>
  <c r="BG1115" i="17" s="1"/>
  <c r="U749" i="5"/>
  <c r="BD1049" i="17"/>
  <c r="BG1049" i="17" s="1"/>
  <c r="U498" i="5"/>
  <c r="BD798" i="17"/>
  <c r="BG798" i="17" s="1"/>
  <c r="U531" i="5"/>
  <c r="BD831" i="17"/>
  <c r="BG831" i="17" s="1"/>
  <c r="U564" i="5"/>
  <c r="BD864" i="17"/>
  <c r="BG864" i="17" s="1"/>
  <c r="U587" i="5"/>
  <c r="BD887" i="17"/>
  <c r="BG887" i="17" s="1"/>
  <c r="U618" i="5"/>
  <c r="BD918" i="17"/>
  <c r="BG918" i="17" s="1"/>
  <c r="U642" i="5"/>
  <c r="BD942" i="17"/>
  <c r="BG942" i="17" s="1"/>
  <c r="U703" i="5"/>
  <c r="BD1003" i="17"/>
  <c r="BG1003" i="17" s="1"/>
  <c r="U782" i="5"/>
  <c r="BD1082" i="17"/>
  <c r="BG1082" i="17" s="1"/>
  <c r="U836" i="5"/>
  <c r="BD1136" i="17"/>
  <c r="BG1136" i="17" s="1"/>
  <c r="U504" i="5"/>
  <c r="BD804" i="17"/>
  <c r="BG804" i="17" s="1"/>
  <c r="U539" i="5"/>
  <c r="BD839" i="17"/>
  <c r="BG839" i="17" s="1"/>
  <c r="U578" i="5"/>
  <c r="BD878" i="17"/>
  <c r="BG878" i="17" s="1"/>
  <c r="U609" i="5"/>
  <c r="BD909" i="17"/>
  <c r="BG909" i="17" s="1"/>
  <c r="U649" i="5"/>
  <c r="BD949" i="17"/>
  <c r="BG949" i="17" s="1"/>
  <c r="U685" i="5"/>
  <c r="BD985" i="17"/>
  <c r="BG985" i="17" s="1"/>
  <c r="U730" i="5"/>
  <c r="BD1030" i="17"/>
  <c r="BG1030" i="17" s="1"/>
  <c r="U752" i="5"/>
  <c r="BD1052" i="17"/>
  <c r="BG1052" i="17" s="1"/>
  <c r="U806" i="5"/>
  <c r="BD1106" i="17"/>
  <c r="BG1106" i="17" s="1"/>
  <c r="U857" i="5"/>
  <c r="BD1157" i="17"/>
  <c r="BG1157" i="17" s="1"/>
  <c r="O794" i="5"/>
  <c r="AO1094" i="17"/>
  <c r="AR1094" i="17" s="1"/>
  <c r="O843" i="5"/>
  <c r="AO1143" i="17"/>
  <c r="AR1143" i="17" s="1"/>
  <c r="O756" i="5"/>
  <c r="AO1056" i="17"/>
  <c r="AR1056" i="17" s="1"/>
  <c r="O782" i="5"/>
  <c r="AO1082" i="17"/>
  <c r="AR1082" i="17" s="1"/>
  <c r="O97" i="5"/>
  <c r="AO98" i="17" s="1"/>
  <c r="AR98" i="17" s="1"/>
  <c r="AO397" i="17"/>
  <c r="AR397" i="17" s="1"/>
  <c r="O130" i="5"/>
  <c r="AO131" i="17" s="1"/>
  <c r="AR131" i="17" s="1"/>
  <c r="O158" i="5"/>
  <c r="AO159" i="17"/>
  <c r="AR159" i="17" s="1"/>
  <c r="AO458" i="17"/>
  <c r="AR458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47" i="5"/>
  <c r="AO248" i="17"/>
  <c r="AR248" i="17" s="1"/>
  <c r="AO547" i="17"/>
  <c r="AR547" i="17" s="1"/>
  <c r="O287" i="5"/>
  <c r="AO288" i="17"/>
  <c r="AR288" i="17" s="1"/>
  <c r="AO587" i="17"/>
  <c r="AR587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80" i="5"/>
  <c r="AO381" i="17"/>
  <c r="AR381" i="17" s="1"/>
  <c r="AO680" i="17"/>
  <c r="AR680" i="17" s="1"/>
  <c r="O465" i="5"/>
  <c r="AO765" i="17"/>
  <c r="AR765" i="17" s="1"/>
  <c r="O497" i="5"/>
  <c r="AO797" i="17"/>
  <c r="AR797" i="17" s="1"/>
  <c r="O529" i="5"/>
  <c r="AO829" i="17"/>
  <c r="AR829" i="17" s="1"/>
  <c r="O582" i="5"/>
  <c r="AO882" i="17"/>
  <c r="AR882" i="17" s="1"/>
  <c r="O616" i="5"/>
  <c r="AO916" i="17"/>
  <c r="AR916" i="17" s="1"/>
  <c r="O637" i="5"/>
  <c r="AO937" i="17"/>
  <c r="AR937" i="17" s="1"/>
  <c r="O689" i="5"/>
  <c r="AO989" i="17"/>
  <c r="AR989" i="17" s="1"/>
  <c r="O721" i="5"/>
  <c r="AO1021" i="17"/>
  <c r="AR1021" i="17" s="1"/>
  <c r="O35" i="5"/>
  <c r="AO36" i="17" s="1"/>
  <c r="AR36" i="17" s="1"/>
  <c r="O65" i="5"/>
  <c r="AO66" i="17" s="1"/>
  <c r="AR66" i="17" s="1"/>
  <c r="O98" i="5"/>
  <c r="AO99" i="17" s="1"/>
  <c r="AR99" i="17" s="1"/>
  <c r="O131" i="5"/>
  <c r="AO132" i="17" s="1"/>
  <c r="AR132" i="17" s="1"/>
  <c r="O159" i="5"/>
  <c r="AO160" i="17"/>
  <c r="AR160" i="17" s="1"/>
  <c r="AO459" i="17"/>
  <c r="AR459" i="17" s="1"/>
  <c r="O195" i="5"/>
  <c r="AO196" i="17"/>
  <c r="AR196" i="17" s="1"/>
  <c r="AO495" i="17"/>
  <c r="AR495" i="17" s="1"/>
  <c r="O238" i="5"/>
  <c r="AO239" i="17"/>
  <c r="AR239" i="17" s="1"/>
  <c r="AO538" i="17"/>
  <c r="AR538" i="17" s="1"/>
  <c r="O263" i="5"/>
  <c r="AO264" i="17"/>
  <c r="AR264" i="17" s="1"/>
  <c r="AO563" i="17"/>
  <c r="AR563" i="17" s="1"/>
  <c r="O295" i="5"/>
  <c r="AO296" i="17"/>
  <c r="AR296" i="17" s="1"/>
  <c r="AO595" i="17"/>
  <c r="AR595" i="17" s="1"/>
  <c r="O322" i="5"/>
  <c r="AO323" i="17"/>
  <c r="AR323" i="17" s="1"/>
  <c r="AO622" i="17"/>
  <c r="AR622" i="17" s="1"/>
  <c r="O361" i="5"/>
  <c r="AO362" i="17"/>
  <c r="AR362" i="17" s="1"/>
  <c r="AO661" i="17"/>
  <c r="AR661" i="17" s="1"/>
  <c r="O385" i="5"/>
  <c r="AO685" i="17"/>
  <c r="AR685" i="17" s="1"/>
  <c r="O421" i="5"/>
  <c r="AO721" i="17"/>
  <c r="AR721" i="17" s="1"/>
  <c r="O480" i="5"/>
  <c r="AO780" i="17"/>
  <c r="AR780" i="17" s="1"/>
  <c r="O512" i="5"/>
  <c r="AO812" i="17"/>
  <c r="AR812" i="17" s="1"/>
  <c r="O577" i="5"/>
  <c r="AO877" i="17"/>
  <c r="AR877" i="17" s="1"/>
  <c r="O611" i="5"/>
  <c r="AO911" i="17"/>
  <c r="AR911" i="17" s="1"/>
  <c r="O646" i="5"/>
  <c r="AO946" i="17"/>
  <c r="AR946" i="17" s="1"/>
  <c r="O682" i="5"/>
  <c r="AO982" i="17"/>
  <c r="AR982" i="17" s="1"/>
  <c r="O694" i="5"/>
  <c r="AO994" i="17"/>
  <c r="AR994" i="17" s="1"/>
  <c r="O733" i="5"/>
  <c r="AO1033" i="17"/>
  <c r="AR1033" i="17" s="1"/>
  <c r="O337" i="5"/>
  <c r="AO338" i="17"/>
  <c r="AR338" i="17" s="1"/>
  <c r="AO637" i="17"/>
  <c r="AR637" i="17" s="1"/>
  <c r="O377" i="5"/>
  <c r="AO378" i="17"/>
  <c r="AR378" i="17" s="1"/>
  <c r="AO677" i="17"/>
  <c r="AR677" i="17" s="1"/>
  <c r="O405" i="5"/>
  <c r="AO705" i="17"/>
  <c r="AR705" i="17" s="1"/>
  <c r="O433" i="5"/>
  <c r="AO733" i="17"/>
  <c r="AR733" i="17" s="1"/>
  <c r="O461" i="5"/>
  <c r="AO761" i="17"/>
  <c r="AR761" i="17" s="1"/>
  <c r="O487" i="5"/>
  <c r="AO787" i="17"/>
  <c r="AR787" i="17" s="1"/>
  <c r="O518" i="5"/>
  <c r="AO818" i="17"/>
  <c r="AR818" i="17" s="1"/>
  <c r="O550" i="5"/>
  <c r="AO850" i="17"/>
  <c r="AR850" i="17" s="1"/>
  <c r="O580" i="5"/>
  <c r="AO880" i="17"/>
  <c r="AR880" i="17" s="1"/>
  <c r="O618" i="5"/>
  <c r="AO918" i="17"/>
  <c r="AR918" i="17" s="1"/>
  <c r="O640" i="5"/>
  <c r="AO940" i="17"/>
  <c r="AR940" i="17" s="1"/>
  <c r="O659" i="5"/>
  <c r="AO959" i="17"/>
  <c r="AR959" i="17" s="1"/>
  <c r="O692" i="5"/>
  <c r="AO992" i="17"/>
  <c r="AR992" i="17" s="1"/>
  <c r="O712" i="5"/>
  <c r="AO1012" i="17"/>
  <c r="AR1012" i="17" s="1"/>
  <c r="O853" i="5"/>
  <c r="AO1153" i="17"/>
  <c r="AR1153" i="17" s="1"/>
  <c r="S807" i="5"/>
  <c r="AY1107" i="17"/>
  <c r="BB1107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O665" i="5"/>
  <c r="AO965" i="17"/>
  <c r="AR965" i="17" s="1"/>
  <c r="O534" i="5"/>
  <c r="AO834" i="17"/>
  <c r="AR834" i="17" s="1"/>
  <c r="O464" i="5"/>
  <c r="AO764" i="17"/>
  <c r="AR764" i="17" s="1"/>
  <c r="O348" i="5"/>
  <c r="AO349" i="17"/>
  <c r="AR349" i="17" s="1"/>
  <c r="AO648" i="17"/>
  <c r="AR648" i="17" s="1"/>
  <c r="O278" i="5"/>
  <c r="AO279" i="17"/>
  <c r="AR279" i="17" s="1"/>
  <c r="AO578" i="17"/>
  <c r="AR578" i="17" s="1"/>
  <c r="O170" i="5"/>
  <c r="AO171" i="17"/>
  <c r="AR171" i="17" s="1"/>
  <c r="AO470" i="17"/>
  <c r="AR470" i="17" s="1"/>
  <c r="O56" i="5"/>
  <c r="AO57" i="17" s="1"/>
  <c r="AR57" i="17" s="1"/>
  <c r="O639" i="5"/>
  <c r="AO939" i="17"/>
  <c r="AR939" i="17" s="1"/>
  <c r="O722" i="5"/>
  <c r="AO1022" i="17"/>
  <c r="AR1022" i="17" s="1"/>
  <c r="O45" i="5"/>
  <c r="AO46" i="17" s="1"/>
  <c r="AR46" i="17" s="1"/>
  <c r="O126" i="5"/>
  <c r="AO127" i="17" s="1"/>
  <c r="AR127" i="17" s="1"/>
  <c r="O216" i="5"/>
  <c r="AO217" i="17"/>
  <c r="AR217" i="17" s="1"/>
  <c r="AO516" i="17"/>
  <c r="AR516" i="17" s="1"/>
  <c r="O269" i="5"/>
  <c r="AO270" i="17"/>
  <c r="AR270" i="17" s="1"/>
  <c r="AO569" i="17"/>
  <c r="AR569" i="17" s="1"/>
  <c r="O333" i="5"/>
  <c r="AO334" i="17"/>
  <c r="AR334" i="17" s="1"/>
  <c r="AO633" i="17"/>
  <c r="AR633" i="17" s="1"/>
  <c r="O409" i="5"/>
  <c r="AO709" i="17"/>
  <c r="AR709" i="17" s="1"/>
  <c r="O496" i="5"/>
  <c r="AO796" i="17"/>
  <c r="AR796" i="17" s="1"/>
  <c r="O655" i="5"/>
  <c r="AO955" i="17"/>
  <c r="AR955" i="17" s="1"/>
  <c r="O586" i="5"/>
  <c r="AO886" i="17"/>
  <c r="AR886" i="17" s="1"/>
  <c r="O543" i="5"/>
  <c r="AO843" i="17"/>
  <c r="AR843" i="17" s="1"/>
  <c r="O437" i="5"/>
  <c r="AO737" i="17"/>
  <c r="AR737" i="17" s="1"/>
  <c r="O294" i="5"/>
  <c r="AO295" i="17"/>
  <c r="AR295" i="17" s="1"/>
  <c r="AO594" i="17"/>
  <c r="AR594" i="17" s="1"/>
  <c r="O210" i="5"/>
  <c r="AO211" i="17"/>
  <c r="AR211" i="17" s="1"/>
  <c r="AO510" i="17"/>
  <c r="AR510" i="17" s="1"/>
  <c r="O157" i="5"/>
  <c r="AO158" i="17"/>
  <c r="AR158" i="17" s="1"/>
  <c r="AO457" i="17"/>
  <c r="AR457" i="17" s="1"/>
  <c r="O102" i="5"/>
  <c r="AO103" i="17" s="1"/>
  <c r="AR103" i="17" s="1"/>
  <c r="O11" i="5"/>
  <c r="AO12" i="17" s="1"/>
  <c r="AR12" i="17" s="1"/>
  <c r="S83" i="5"/>
  <c r="AY84" i="17"/>
  <c r="BB84" i="17" s="1"/>
  <c r="U281" i="5"/>
  <c r="BD282" i="17"/>
  <c r="BG282" i="17" s="1"/>
  <c r="BD581" i="17"/>
  <c r="BG581" i="17" s="1"/>
  <c r="U313" i="5"/>
  <c r="BD314" i="17"/>
  <c r="BG314" i="17" s="1"/>
  <c r="BD613" i="17"/>
  <c r="BG613" i="17" s="1"/>
  <c r="U347" i="5"/>
  <c r="BD348" i="17"/>
  <c r="BG348" i="17" s="1"/>
  <c r="BD647" i="17"/>
  <c r="BG647" i="17" s="1"/>
  <c r="U381" i="5"/>
  <c r="BD382" i="17"/>
  <c r="BG382" i="17" s="1"/>
  <c r="BD681" i="17"/>
  <c r="BG681" i="17" s="1"/>
  <c r="U409" i="5"/>
  <c r="BD709" i="17"/>
  <c r="BG709" i="17" s="1"/>
  <c r="U454" i="5"/>
  <c r="BD754" i="17"/>
  <c r="BG754" i="17" s="1"/>
  <c r="U493" i="5"/>
  <c r="BD793" i="17"/>
  <c r="BG793" i="17" s="1"/>
  <c r="U538" i="5"/>
  <c r="BD838" i="17"/>
  <c r="BG838" i="17" s="1"/>
  <c r="U603" i="5"/>
  <c r="BD903" i="17"/>
  <c r="BG903" i="17" s="1"/>
  <c r="U681" i="5"/>
  <c r="BD981" i="17"/>
  <c r="BG981" i="17" s="1"/>
  <c r="U751" i="5"/>
  <c r="BD1051" i="17"/>
  <c r="BG1051" i="17" s="1"/>
  <c r="U773" i="5"/>
  <c r="BD1073" i="17"/>
  <c r="BG1073" i="17" s="1"/>
  <c r="U713" i="5"/>
  <c r="BD1013" i="17"/>
  <c r="BG1013" i="17" s="1"/>
  <c r="U659" i="5"/>
  <c r="BD959" i="17"/>
  <c r="BG959" i="17" s="1"/>
  <c r="U543" i="5"/>
  <c r="BD843" i="17"/>
  <c r="BG843" i="17" s="1"/>
  <c r="U473" i="5"/>
  <c r="BD773" i="17"/>
  <c r="BG773" i="17" s="1"/>
  <c r="U427" i="5"/>
  <c r="BD727" i="17"/>
  <c r="BG727" i="17" s="1"/>
  <c r="U377" i="5"/>
  <c r="BD378" i="17"/>
  <c r="BG378" i="17" s="1"/>
  <c r="BD677" i="17"/>
  <c r="BG677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72" i="5"/>
  <c r="BD273" i="17"/>
  <c r="BG273" i="17" s="1"/>
  <c r="BD572" i="17"/>
  <c r="BG572" i="17" s="1"/>
  <c r="U232" i="5"/>
  <c r="BD233" i="17"/>
  <c r="BG233" i="17" s="1"/>
  <c r="BD532" i="17"/>
  <c r="BG532" i="17" s="1"/>
  <c r="U198" i="5"/>
  <c r="BD199" i="17"/>
  <c r="BG199" i="17" s="1"/>
  <c r="BD498" i="17"/>
  <c r="BG498" i="17" s="1"/>
  <c r="U164" i="5"/>
  <c r="BD165" i="17"/>
  <c r="BG165" i="17" s="1"/>
  <c r="BD464" i="17"/>
  <c r="BG464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392" i="5"/>
  <c r="BD692" i="17"/>
  <c r="BG692" i="17" s="1"/>
  <c r="U240" i="5"/>
  <c r="BD241" i="17"/>
  <c r="BG241" i="17" s="1"/>
  <c r="BD540" i="17"/>
  <c r="BG540" i="17" s="1"/>
  <c r="U58" i="5"/>
  <c r="BD59" i="17"/>
  <c r="BG59" i="17" s="1"/>
  <c r="U47" i="5"/>
  <c r="BD48" i="17"/>
  <c r="BG48" i="17" s="1"/>
  <c r="U84" i="5"/>
  <c r="BD85" i="17"/>
  <c r="BG85" i="17" s="1"/>
  <c r="BD384" i="17"/>
  <c r="BG384" i="17" s="1"/>
  <c r="U117" i="5"/>
  <c r="BD118" i="17"/>
  <c r="BG118" i="17" s="1"/>
  <c r="BD417" i="17"/>
  <c r="BG417" i="17" s="1"/>
  <c r="U141" i="5"/>
  <c r="BD142" i="17"/>
  <c r="BG142" i="17" s="1"/>
  <c r="BD441" i="17"/>
  <c r="BG441" i="17" s="1"/>
  <c r="U170" i="5"/>
  <c r="BD171" i="17"/>
  <c r="BG171" i="17" s="1"/>
  <c r="BD470" i="17"/>
  <c r="BG470" i="17" s="1"/>
  <c r="U214" i="5"/>
  <c r="BD215" i="17"/>
  <c r="BG215" i="17" s="1"/>
  <c r="BD514" i="17"/>
  <c r="BG514" i="17" s="1"/>
  <c r="U318" i="5"/>
  <c r="BD319" i="17"/>
  <c r="BG319" i="17" s="1"/>
  <c r="BD618" i="17"/>
  <c r="BG618" i="17" s="1"/>
  <c r="U705" i="5"/>
  <c r="BD1005" i="17"/>
  <c r="BG1005" i="17" s="1"/>
  <c r="U33" i="5"/>
  <c r="BD34" i="17"/>
  <c r="BG34" i="17" s="1"/>
  <c r="U81" i="5"/>
  <c r="BD82" i="17"/>
  <c r="BG82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79" i="5"/>
  <c r="BD380" i="17"/>
  <c r="BG380" i="17" s="1"/>
  <c r="BD679" i="17"/>
  <c r="BG679" i="17" s="1"/>
  <c r="U432" i="5"/>
  <c r="BD732" i="17"/>
  <c r="BG732" i="17" s="1"/>
  <c r="U483" i="5"/>
  <c r="BD783" i="17"/>
  <c r="BG783" i="17" s="1"/>
  <c r="U562" i="5"/>
  <c r="BD862" i="17"/>
  <c r="BG862" i="17" s="1"/>
  <c r="U825" i="5"/>
  <c r="BD1125" i="17"/>
  <c r="BG1125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42" i="5"/>
  <c r="BD243" i="17"/>
  <c r="BG243" i="17" s="1"/>
  <c r="BD542" i="17"/>
  <c r="BG542" i="17" s="1"/>
  <c r="U294" i="5"/>
  <c r="BD295" i="17"/>
  <c r="BG295" i="17" s="1"/>
  <c r="BD594" i="17"/>
  <c r="BG594" i="17" s="1"/>
  <c r="U325" i="5"/>
  <c r="BD326" i="17"/>
  <c r="BG326" i="17" s="1"/>
  <c r="BD625" i="17"/>
  <c r="BG625" i="17" s="1"/>
  <c r="U350" i="5"/>
  <c r="BD351" i="17"/>
  <c r="BG351" i="17" s="1"/>
  <c r="BD650" i="17"/>
  <c r="BG650" i="17" s="1"/>
  <c r="U442" i="5"/>
  <c r="BD742" i="17"/>
  <c r="BG742" i="17" s="1"/>
  <c r="U480" i="5"/>
  <c r="BD780" i="17"/>
  <c r="BG780" i="17" s="1"/>
  <c r="U614" i="5"/>
  <c r="BD914" i="17"/>
  <c r="BG914" i="17" s="1"/>
  <c r="U718" i="5"/>
  <c r="BD1018" i="17"/>
  <c r="BG1018" i="17" s="1"/>
  <c r="U696" i="5"/>
  <c r="BD996" i="17"/>
  <c r="BG996" i="17" s="1"/>
  <c r="U488" i="5"/>
  <c r="BD788" i="17"/>
  <c r="BG788" i="17" s="1"/>
  <c r="U275" i="5"/>
  <c r="BD276" i="17"/>
  <c r="BG276" i="17" s="1"/>
  <c r="BD575" i="17"/>
  <c r="BG575" i="17" s="1"/>
  <c r="U567" i="5"/>
  <c r="BD867" i="17"/>
  <c r="BG867" i="17" s="1"/>
  <c r="U230" i="5"/>
  <c r="BD231" i="17"/>
  <c r="BG231" i="17" s="1"/>
  <c r="BD530" i="17"/>
  <c r="BG53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25" i="5"/>
  <c r="BD925" i="17"/>
  <c r="BG925" i="17" s="1"/>
  <c r="U368" i="5"/>
  <c r="BD369" i="17"/>
  <c r="BG369" i="17" s="1"/>
  <c r="BD668" i="17"/>
  <c r="BG668" i="17" s="1"/>
  <c r="M849" i="5"/>
  <c r="AJ1149" i="17"/>
  <c r="AM1149" i="17" s="1"/>
  <c r="M758" i="5"/>
  <c r="AJ1058" i="17"/>
  <c r="AM1058" i="17" s="1"/>
  <c r="M737" i="5"/>
  <c r="AJ1037" i="17"/>
  <c r="AM1037" i="17" s="1"/>
  <c r="M712" i="5"/>
  <c r="AJ1012" i="17"/>
  <c r="AM1012" i="17" s="1"/>
  <c r="M679" i="5"/>
  <c r="AJ979" i="17"/>
  <c r="AM979" i="17" s="1"/>
  <c r="M651" i="5"/>
  <c r="AJ951" i="17"/>
  <c r="AM951" i="17" s="1"/>
  <c r="M616" i="5"/>
  <c r="AJ916" i="17"/>
  <c r="AM916" i="17" s="1"/>
  <c r="M584" i="5"/>
  <c r="AJ884" i="17"/>
  <c r="AM884" i="17" s="1"/>
  <c r="M563" i="5"/>
  <c r="AJ863" i="17"/>
  <c r="AM863" i="17" s="1"/>
  <c r="M512" i="5"/>
  <c r="AJ812" i="17"/>
  <c r="AM812" i="17" s="1"/>
  <c r="M473" i="5"/>
  <c r="AJ773" i="17"/>
  <c r="AM773" i="17" s="1"/>
  <c r="M432" i="5"/>
  <c r="AJ732" i="17"/>
  <c r="AM732" i="17" s="1"/>
  <c r="M405" i="5"/>
  <c r="AJ705" i="17"/>
  <c r="AM705" i="17" s="1"/>
  <c r="M380" i="5"/>
  <c r="AJ381" i="17"/>
  <c r="AM381" i="17" s="1"/>
  <c r="AJ680" i="17"/>
  <c r="AM680" i="17" s="1"/>
  <c r="M353" i="5"/>
  <c r="AJ354" i="17"/>
  <c r="AM354" i="17" s="1"/>
  <c r="AJ653" i="17"/>
  <c r="AM653" i="17" s="1"/>
  <c r="M322" i="5"/>
  <c r="AJ323" i="17"/>
  <c r="AM323" i="17" s="1"/>
  <c r="AJ622" i="17"/>
  <c r="AM622" i="17" s="1"/>
  <c r="M293" i="5"/>
  <c r="AJ294" i="17"/>
  <c r="AM294" i="17" s="1"/>
  <c r="AJ593" i="17"/>
  <c r="AM593" i="17" s="1"/>
  <c r="M259" i="5"/>
  <c r="AJ260" i="17"/>
  <c r="AM260" i="17" s="1"/>
  <c r="AJ559" i="17"/>
  <c r="AM559" i="17" s="1"/>
  <c r="M239" i="5"/>
  <c r="AJ240" i="17"/>
  <c r="AM240" i="17" s="1"/>
  <c r="AJ539" i="17"/>
  <c r="AM539" i="17" s="1"/>
  <c r="M198" i="5"/>
  <c r="AJ199" i="17"/>
  <c r="AM199" i="17" s="1"/>
  <c r="AJ498" i="17"/>
  <c r="AM498" i="17" s="1"/>
  <c r="M167" i="5"/>
  <c r="AJ168" i="17"/>
  <c r="AM168" i="17" s="1"/>
  <c r="AJ467" i="17"/>
  <c r="AM467" i="17" s="1"/>
  <c r="M145" i="5"/>
  <c r="AJ146" i="17"/>
  <c r="AM146" i="17" s="1"/>
  <c r="AJ445" i="17"/>
  <c r="AM445" i="17" s="1"/>
  <c r="M120" i="5"/>
  <c r="AJ121" i="17"/>
  <c r="AM121" i="17" s="1"/>
  <c r="AJ420" i="17"/>
  <c r="AM420" i="17" s="1"/>
  <c r="M77" i="5"/>
  <c r="AJ78" i="17"/>
  <c r="AM78" i="17" s="1"/>
  <c r="M49" i="5"/>
  <c r="AJ50" i="17" s="1"/>
  <c r="AM50" i="17" s="1"/>
  <c r="M759" i="5"/>
  <c r="AJ1059" i="17"/>
  <c r="AM1059" i="17" s="1"/>
  <c r="M690" i="5"/>
  <c r="AJ990" i="17"/>
  <c r="AM990" i="17" s="1"/>
  <c r="M617" i="5"/>
  <c r="AJ917" i="17"/>
  <c r="AM917" i="17" s="1"/>
  <c r="M521" i="5"/>
  <c r="AJ821" i="17"/>
  <c r="AM821" i="17" s="1"/>
  <c r="M479" i="5"/>
  <c r="AJ779" i="17"/>
  <c r="AM779" i="17" s="1"/>
  <c r="M347" i="5"/>
  <c r="AJ348" i="17"/>
  <c r="AM348" i="17" s="1"/>
  <c r="AJ647" i="17"/>
  <c r="AM647" i="17" s="1"/>
  <c r="M260" i="5"/>
  <c r="AJ261" i="17"/>
  <c r="AM261" i="17" s="1"/>
  <c r="AJ560" i="17"/>
  <c r="AM560" i="17" s="1"/>
  <c r="M158" i="5"/>
  <c r="AJ159" i="17"/>
  <c r="AM159" i="17" s="1"/>
  <c r="AJ458" i="17"/>
  <c r="AM458" i="17" s="1"/>
  <c r="M66" i="5"/>
  <c r="AJ67" i="17" s="1"/>
  <c r="AM67" i="17" s="1"/>
  <c r="M6" i="5"/>
  <c r="AJ6" i="17" s="1"/>
  <c r="AM6" i="17" s="1"/>
  <c r="M116" i="5"/>
  <c r="AJ117" i="17"/>
  <c r="AM117" i="17" s="1"/>
  <c r="AJ416" i="17"/>
  <c r="AM416" i="17" s="1"/>
  <c r="M217" i="5"/>
  <c r="AJ218" i="17"/>
  <c r="AM218" i="17" s="1"/>
  <c r="AJ517" i="17"/>
  <c r="AM517" i="17" s="1"/>
  <c r="M310" i="5"/>
  <c r="AJ311" i="17"/>
  <c r="AM311" i="17" s="1"/>
  <c r="AJ610" i="17"/>
  <c r="AM610" i="17" s="1"/>
  <c r="M375" i="5"/>
  <c r="AJ376" i="17"/>
  <c r="AM376" i="17" s="1"/>
  <c r="AJ675" i="17"/>
  <c r="AM675" i="17" s="1"/>
  <c r="M471" i="5"/>
  <c r="AJ771" i="17"/>
  <c r="AM771" i="17" s="1"/>
  <c r="Q79" i="5"/>
  <c r="AT80" i="17"/>
  <c r="AW80" i="17" s="1"/>
  <c r="Q42" i="5"/>
  <c r="AT43" i="17"/>
  <c r="AW43" i="17" s="1"/>
  <c r="Q159" i="5"/>
  <c r="AT160" i="17"/>
  <c r="AW160" i="17" s="1"/>
  <c r="AT459" i="17"/>
  <c r="AW459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 s="1"/>
  <c r="AR94" i="17" s="1"/>
  <c r="O101" i="5"/>
  <c r="AO102" i="17" s="1"/>
  <c r="AR102" i="17" s="1"/>
  <c r="O114" i="5"/>
  <c r="AO115" i="17" s="1"/>
  <c r="AR115" i="17" s="1"/>
  <c r="O136" i="5"/>
  <c r="AO137" i="17" s="1"/>
  <c r="AR137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57" i="5"/>
  <c r="AO58" i="17" s="1"/>
  <c r="AR58" i="17" s="1"/>
  <c r="O78" i="5"/>
  <c r="AO79" i="17" s="1"/>
  <c r="AR79" i="17" s="1"/>
  <c r="O89" i="5"/>
  <c r="AO90" i="17" s="1"/>
  <c r="AR90" i="17" s="1"/>
  <c r="O107" i="5"/>
  <c r="AO108" i="17" s="1"/>
  <c r="AR108" i="17" s="1"/>
  <c r="O122" i="5"/>
  <c r="AO123" i="17" s="1"/>
  <c r="AR123" i="17" s="1"/>
  <c r="O139" i="5"/>
  <c r="AO140" i="17" s="1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 s="1"/>
  <c r="AR128" i="17" s="1"/>
  <c r="O75" i="5"/>
  <c r="AO76" i="17" s="1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 s="1"/>
  <c r="AR107" i="17" s="1"/>
  <c r="O143" i="5"/>
  <c r="AO144" i="17" s="1"/>
  <c r="AR144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 s="1"/>
  <c r="AR11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/>
  <c r="AM136" i="17" s="1"/>
  <c r="AJ435" i="17"/>
  <c r="AM435" i="17" s="1"/>
  <c r="M117" i="5"/>
  <c r="AJ118" i="17"/>
  <c r="AM118" i="17" s="1"/>
  <c r="AJ417" i="17"/>
  <c r="AM417" i="17" s="1"/>
  <c r="M103" i="5"/>
  <c r="AJ104" i="17"/>
  <c r="AM104" i="17" s="1"/>
  <c r="AJ403" i="17"/>
  <c r="AM403" i="17" s="1"/>
  <c r="M98" i="5"/>
  <c r="AJ99" i="17"/>
  <c r="AM99" i="17" s="1"/>
  <c r="AJ398" i="17"/>
  <c r="AM398" i="17" s="1"/>
  <c r="M84" i="5"/>
  <c r="AJ85" i="17"/>
  <c r="AM85" i="17" s="1"/>
  <c r="AJ384" i="17"/>
  <c r="AM384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/>
  <c r="AM142" i="17" s="1"/>
  <c r="AJ441" i="17"/>
  <c r="AM441" i="17" s="1"/>
  <c r="M124" i="5"/>
  <c r="AJ125" i="17"/>
  <c r="AM125" i="17" s="1"/>
  <c r="AJ424" i="17"/>
  <c r="AM424" i="17" s="1"/>
  <c r="M107" i="5"/>
  <c r="AJ108" i="17"/>
  <c r="AM108" i="17" s="1"/>
  <c r="AJ407" i="17"/>
  <c r="AM407" i="17" s="1"/>
  <c r="M85" i="5"/>
  <c r="AJ86" i="17"/>
  <c r="AM86" i="17" s="1"/>
  <c r="AJ385" i="17"/>
  <c r="AM385" i="17" s="1"/>
  <c r="M74" i="5"/>
  <c r="AJ75" i="17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/>
  <c r="AM109" i="17" s="1"/>
  <c r="AJ408" i="17"/>
  <c r="AM408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98" i="17"/>
  <c r="AM98" i="17" s="1"/>
  <c r="AJ397" i="17"/>
  <c r="AM397" i="17" s="1"/>
  <c r="M132" i="5"/>
  <c r="AJ133" i="17"/>
  <c r="AM133" i="17" s="1"/>
  <c r="AJ432" i="17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Q369" i="5"/>
  <c r="AT370" i="17"/>
  <c r="AW370" i="17" s="1"/>
  <c r="AT669" i="17"/>
  <c r="AW669" i="17" s="1"/>
  <c r="Q325" i="5"/>
  <c r="AT326" i="17"/>
  <c r="AW326" i="17" s="1"/>
  <c r="AT625" i="17"/>
  <c r="AW625" i="17" s="1"/>
  <c r="Q247" i="5"/>
  <c r="AT248" i="17"/>
  <c r="AW248" i="17" s="1"/>
  <c r="AT547" i="17"/>
  <c r="AW547" i="17" s="1"/>
  <c r="Q222" i="5"/>
  <c r="AT223" i="17"/>
  <c r="AW223" i="17" s="1"/>
  <c r="AT522" i="17"/>
  <c r="AW522" i="17" s="1"/>
  <c r="Q213" i="5"/>
  <c r="AT214" i="17"/>
  <c r="AW214" i="17" s="1"/>
  <c r="AT513" i="17"/>
  <c r="AW513" i="17" s="1"/>
  <c r="Q191" i="5"/>
  <c r="AT192" i="17"/>
  <c r="AW192" i="17" s="1"/>
  <c r="AT491" i="17"/>
  <c r="AW491" i="17" s="1"/>
  <c r="Q164" i="5"/>
  <c r="AT165" i="17"/>
  <c r="AW165" i="17" s="1"/>
  <c r="AT464" i="17"/>
  <c r="AW464" i="17" s="1"/>
  <c r="Q108" i="5"/>
  <c r="AT109" i="17"/>
  <c r="AW109" i="17" s="1"/>
  <c r="AT408" i="17"/>
  <c r="AW408" i="17" s="1"/>
  <c r="Q94" i="5"/>
  <c r="AT95" i="17"/>
  <c r="AW95" i="17" s="1"/>
  <c r="AT394" i="17"/>
  <c r="AW394" i="17" s="1"/>
  <c r="Q65" i="5"/>
  <c r="AT66" i="17"/>
  <c r="AW66" i="17" s="1"/>
  <c r="Q33" i="5"/>
  <c r="AT34" i="17"/>
  <c r="AW34" i="17" s="1"/>
  <c r="Q14" i="5"/>
  <c r="AT15" i="17"/>
  <c r="AW15" i="17" s="1"/>
  <c r="Q235" i="5"/>
  <c r="AT236" i="17"/>
  <c r="AW236" i="17" s="1"/>
  <c r="AT535" i="17"/>
  <c r="AW535" i="17" s="1"/>
  <c r="Q187" i="5"/>
  <c r="AT188" i="17"/>
  <c r="AW188" i="17" s="1"/>
  <c r="AT487" i="17"/>
  <c r="AW487" i="17" s="1"/>
  <c r="Q143" i="5"/>
  <c r="AT144" i="17"/>
  <c r="AW144" i="17" s="1"/>
  <c r="AT443" i="17"/>
  <c r="AW443" i="17" s="1"/>
  <c r="Q98" i="5"/>
  <c r="AT99" i="17"/>
  <c r="AW99" i="17" s="1"/>
  <c r="AT398" i="17"/>
  <c r="AW398" i="17" s="1"/>
  <c r="Q75" i="5"/>
  <c r="AT76" i="17"/>
  <c r="AW76" i="17" s="1"/>
  <c r="Q61" i="5"/>
  <c r="AT62" i="17"/>
  <c r="AW62" i="17" s="1"/>
  <c r="Q54" i="5"/>
  <c r="AT55" i="17"/>
  <c r="AW55" i="17" s="1"/>
  <c r="Q22" i="5"/>
  <c r="AT23" i="17"/>
  <c r="AW23" i="17" s="1"/>
  <c r="Q403" i="5"/>
  <c r="AT703" i="17"/>
  <c r="AW703" i="17" s="1"/>
  <c r="Q370" i="5"/>
  <c r="AT371" i="17"/>
  <c r="AW371" i="17" s="1"/>
  <c r="AT670" i="17"/>
  <c r="AW670" i="17" s="1"/>
  <c r="Q341" i="5"/>
  <c r="AT342" i="17"/>
  <c r="AW342" i="17" s="1"/>
  <c r="AT641" i="17"/>
  <c r="AW641" i="17" s="1"/>
  <c r="Q286" i="5"/>
  <c r="AT287" i="17"/>
  <c r="AW287" i="17" s="1"/>
  <c r="AT586" i="17"/>
  <c r="AW586" i="17" s="1"/>
  <c r="Q88" i="5"/>
  <c r="AT89" i="17"/>
  <c r="AW89" i="17" s="1"/>
  <c r="AT388" i="17"/>
  <c r="AW388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O433" i="17" l="1"/>
  <c r="AR433" i="17" s="1"/>
  <c r="AO444" i="17"/>
  <c r="AR444" i="17" s="1"/>
  <c r="AO414" i="17"/>
  <c r="AR414" i="17" s="1"/>
  <c r="AO431" i="17"/>
  <c r="AR431" i="17" s="1"/>
  <c r="AO406" i="17"/>
  <c r="AR406" i="17" s="1"/>
  <c r="AO427" i="17"/>
  <c r="AR427" i="17" s="1"/>
  <c r="AO401" i="17"/>
  <c r="AR401" i="17" s="1"/>
  <c r="AO122" i="17"/>
  <c r="AR122" i="17" s="1"/>
  <c r="AO10" i="17"/>
  <c r="AR10" i="17" s="1"/>
  <c r="AO422" i="17"/>
  <c r="AR422" i="17" s="1"/>
  <c r="AO445" i="17"/>
  <c r="AR445" i="17" s="1"/>
  <c r="AO443" i="17"/>
  <c r="AR443" i="17" s="1"/>
  <c r="AO403" i="17"/>
  <c r="AR403" i="17" s="1"/>
  <c r="AO416" i="17"/>
  <c r="AR416" i="17" s="1"/>
  <c r="AO389" i="17"/>
  <c r="AR389" i="17" s="1"/>
  <c r="AO436" i="17"/>
  <c r="AR436" i="17" s="1"/>
  <c r="AO402" i="17"/>
  <c r="AR402" i="17" s="1"/>
  <c r="AO430" i="17"/>
  <c r="AR430" i="17" s="1"/>
  <c r="AO434" i="17"/>
  <c r="AR434" i="17" s="1"/>
  <c r="AO415" i="17"/>
  <c r="AR415" i="17" s="1"/>
  <c r="AO409" i="17"/>
  <c r="AR409" i="17" s="1"/>
  <c r="AO425" i="17"/>
  <c r="AR425" i="17" s="1"/>
  <c r="AJ10" i="17"/>
  <c r="AM10" i="17" s="1"/>
  <c r="AO407" i="17"/>
  <c r="AR407" i="17" s="1"/>
  <c r="AO393" i="17"/>
  <c r="AR393" i="17" s="1"/>
  <c r="AO426" i="17"/>
  <c r="AR426" i="17" s="1"/>
  <c r="AO398" i="17"/>
  <c r="AR398" i="17" s="1"/>
  <c r="AO386" i="17"/>
  <c r="AR386" i="17" s="1"/>
  <c r="AO411" i="17"/>
  <c r="AR411" i="17" s="1"/>
  <c r="AO400" i="17"/>
  <c r="AR400" i="17" s="1"/>
  <c r="AO429" i="17"/>
  <c r="AR429" i="17" s="1"/>
  <c r="AO417" i="17"/>
  <c r="AR417" i="17" s="1"/>
  <c r="AO440" i="17"/>
  <c r="AR440" i="17" s="1"/>
  <c r="AO395" i="17"/>
  <c r="AR395" i="17" s="1"/>
  <c r="AO435" i="17"/>
  <c r="AR435" i="17" s="1"/>
  <c r="AO391" i="17"/>
  <c r="AR391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<sst xmlns="http://schemas.openxmlformats.org/spreadsheetml/2006/main" count="2183" uniqueCount="116">
  <si>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</si>
  <si>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</si>
  <si>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</si>
  <si>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</si>
  <si>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</si>
  <si>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</si>
  <si>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</si>
  <si>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</si>
  <si>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</si>
  <si>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</si>
  <si>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</si>
  <si>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</si>
  <si>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</si>
  <si>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</si>
  <si>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</si>
  <si>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</si>
  <si>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</si>
  <si>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</si>
  <si>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</si>
  <si>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</si>
  <si>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</si>
  <si>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</si>
  <si>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</si>
  <si>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</si>
  <si>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</si>
  <si>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</si>
  <si>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</si>
  <si>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</si>
  <si>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</si>
  <si>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</si>
  <si>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</si>
  <si>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</si>
  <si>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</si>
  <si>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</si>
  <si>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</si>
  <si>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</si>
  <si>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</si>
  <si>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</si>
  <si>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</si>
  <si>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</si>
  <si>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</si>
  <si>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</si>
  <si>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</si>
  <si>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</si>
  <si>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</si>
  <si>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</si>
  <si>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</si>
  <si>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</si>
  <si>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</si>
  <si>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</si>
  <si>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</si>
  <si>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</si>
  <si>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</si>
  <si>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</si>
  <si>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</si>
  <si>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</si>
  <si>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</si>
  <si>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</si>
  <si>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</si>
  <si>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</si>
  <si>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</si>
  <si>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</si>
  <si>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</si>
  <si>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</si>
  <si>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</si>
  <si>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</si>
  <si>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</si>
  <si>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</si>
  <si>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</si>
  <si>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</si>
  <si>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</si>
  <si>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</si>
  <si>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</si>
  <si>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</si>
  <si>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</si>
  <si>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</si>
  <si>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</si>
  <si>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</si>
  <si>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</si>
  <si>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</si>
  <si>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</si>
  <si>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</si>
  <si>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</si>
  <si>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</si>
  <si>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</si>
  <si>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</si>
  <si>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</si>
  <si>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</si>
  <si>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954</t>
  </si>
  <si>
    <t>101617</t>
  </si>
  <si>
    <t>Convention Center and Paradise</t>
  </si>
  <si>
    <t>Las Vegas NV</t>
  </si>
  <si>
    <t>Douglas Trevino</t>
  </si>
  <si>
    <t>Jason Little</t>
  </si>
  <si>
    <t>Legacy: SP-LAS-59135834</t>
  </si>
  <si>
    <t>BB LAS(Z)-B111B (08)</t>
  </si>
  <si>
    <t>NV-3PR: ZAYO-ENT-W-1</t>
  </si>
  <si>
    <t>Lateral To 3000 Paradise</t>
  </si>
  <si>
    <t>6</t>
  </si>
  <si>
    <t>ISO-0184900</t>
  </si>
  <si>
    <t>F17E-0035644 ETYX/142318/005/ZYO</t>
  </si>
  <si>
    <t>1.1</t>
  </si>
  <si>
    <t>ISO-0184914</t>
  </si>
  <si>
    <t>F17E-0035648 ETYX/142318/007/ZYO</t>
  </si>
  <si>
    <t>1.2</t>
  </si>
  <si>
    <t>ISO-0182645</t>
  </si>
  <si>
    <t>F17M-0035908 FBDK/749655/002/ZFS</t>
  </si>
  <si>
    <t>F17M-0035909 FBDK/749655/003/ZFS</t>
  </si>
  <si>
    <t>5</t>
  </si>
  <si>
    <t>1.3</t>
  </si>
  <si>
    <t>ISO-0192023</t>
  </si>
  <si>
    <t>F17E-0038807</t>
  </si>
  <si>
    <t>2</t>
  </si>
  <si>
    <t>1.4</t>
  </si>
  <si>
    <t>ISO-0192019</t>
  </si>
  <si>
    <t>F17E-0038799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</si>
</sst>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9" zoomScale="85" zoomScaleNormal="85" workbookViewId="0">
      <selection activeCell="H47" sqref="H47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312" t="s">
        <v>62</v>
      </c>
      <c r="I5" s="312"/>
      <c r="J5" s="312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313" t="s">
        <v>63</v>
      </c>
      <c r="B8" s="314"/>
      <c r="C8" s="314"/>
      <c r="D8" s="314"/>
      <c r="E8" s="314"/>
      <c r="F8" s="315"/>
      <c r="G8" s="91"/>
      <c r="H8" s="100"/>
      <c r="I8" s="101" t="s">
        <v>9</v>
      </c>
      <c r="J8" s="102" t="s">
        <v>89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316" t="s">
        <v>10</v>
      </c>
      <c r="I10" s="317"/>
      <c r="J10" s="104" t="s">
        <v>104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318"/>
      <c r="I13" s="318"/>
      <c r="J13" s="318"/>
      <c r="K13" s="318"/>
      <c r="L13" s="318"/>
      <c r="M13" s="318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318"/>
      <c r="I14" s="318"/>
      <c r="J14" s="318"/>
      <c r="K14" s="318"/>
      <c r="L14" s="318"/>
      <c r="M14" s="318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319" t="s">
        <v>65</v>
      </c>
      <c r="I15" s="319"/>
      <c r="J15" s="319"/>
      <c r="K15" s="319"/>
      <c r="L15" s="319"/>
      <c r="M15" s="319"/>
      <c r="N15" s="319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319"/>
      <c r="I16" s="319"/>
      <c r="J16" s="319"/>
      <c r="K16" s="319"/>
      <c r="L16" s="319"/>
      <c r="M16" s="319"/>
      <c r="N16" s="319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319"/>
      <c r="I17" s="319"/>
      <c r="J17" s="319"/>
      <c r="K17" s="319"/>
      <c r="L17" s="319"/>
      <c r="M17" s="319"/>
      <c r="N17" s="319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319"/>
      <c r="I18" s="319"/>
      <c r="J18" s="319"/>
      <c r="K18" s="319"/>
      <c r="L18" s="319"/>
      <c r="M18" s="319"/>
      <c r="N18" s="319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320" t="s">
        <v>66</v>
      </c>
      <c r="K20" s="320"/>
      <c r="L20" s="320"/>
      <c r="M20" s="320"/>
      <c r="N20" s="320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320"/>
      <c r="K21" s="320"/>
      <c r="L21" s="320"/>
      <c r="M21" s="320"/>
      <c r="N21" s="320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320"/>
      <c r="K22" s="320"/>
      <c r="L22" s="320"/>
      <c r="M22" s="320"/>
      <c r="N22" s="320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320"/>
      <c r="K23" s="320"/>
      <c r="L23" s="320"/>
      <c r="M23" s="320"/>
      <c r="N23" s="320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321"/>
      <c r="C41" s="321"/>
      <c r="D41" s="321" t="s">
        <v>90</v>
      </c>
      <c r="E41" s="321" t="s">
        <v>91</v>
      </c>
      <c r="F41" s="89"/>
      <c r="G41" s="91"/>
      <c r="H41" s="324"/>
      <c r="I41" s="324"/>
      <c r="J41" s="324"/>
      <c r="K41" s="324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322"/>
      <c r="C42" s="322"/>
      <c r="D42" s="322"/>
      <c r="E42" s="323"/>
      <c r="F42" s="89"/>
      <c r="G42" s="91"/>
      <c r="H42" s="324"/>
      <c r="I42" s="324"/>
      <c r="J42" s="324"/>
      <c r="K42" s="324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311"/>
      <c r="E43" s="311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78" t="s">
        <v>72</v>
      </c>
      <c r="E44" s="279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290"/>
      <c r="C45" s="291"/>
      <c r="D45" s="294" t="str">
        <f>CONCATENATE('Cable Info'!C11,"  ",'Cable Info'!C18,"   ",'Cable Info'!C25,"  ",'Cable Info'!C32,"   ",'Cable Info'!C39,"   ",'Cable Info'!C46)</f>
        <v xml:space="preserve">NV-3PR: ZAYO-ENT-W-1  BB LAS(Z)-B111B (08)   Lateral To 3000 Paradise        </v>
      </c>
      <c r="E45" s="295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292"/>
      <c r="C46" s="293"/>
      <c r="D46" s="296"/>
      <c r="E46" s="297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298"/>
      <c r="C47" s="299"/>
      <c r="D47" s="301"/>
      <c r="E47" s="302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00"/>
      <c r="C48" s="300"/>
      <c r="D48" s="303"/>
      <c r="E48" s="303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04" t="s">
        <v>92</v>
      </c>
      <c r="C50" s="306">
        <v>42786</v>
      </c>
      <c r="D50" s="308" t="s">
        <v>93</v>
      </c>
      <c r="E50" s="309" t="str">
        <f>J10</f>
        <v>1.2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05"/>
      <c r="C51" s="307"/>
      <c r="D51" s="305"/>
      <c r="E51" s="310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78" t="s">
        <v>23</v>
      </c>
      <c r="C52" s="279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80" t="s">
        <v>94</v>
      </c>
      <c r="C53" s="281"/>
      <c r="D53" s="286" t="str">
        <f>J8</f>
        <v>101617</v>
      </c>
      <c r="E53" s="287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82"/>
      <c r="C54" s="283"/>
      <c r="D54" s="286"/>
      <c r="E54" s="287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82"/>
      <c r="C55" s="283"/>
      <c r="D55" s="286"/>
      <c r="E55" s="287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82"/>
      <c r="C56" s="283"/>
      <c r="D56" s="286"/>
      <c r="E56" s="287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84"/>
      <c r="C57" s="285"/>
      <c r="D57" s="288"/>
      <c r="E57" s="289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5" sqref="C2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27" t="s">
        <v>10</v>
      </c>
      <c r="F2" s="328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29" t="str">
        <f>'Cover - Location Info'!J8</f>
        <v>101617</v>
      </c>
      <c r="C3" s="13"/>
      <c r="D3" s="13"/>
      <c r="E3" s="331" t="str">
        <f>'Cover - Location Info'!J10</f>
        <v>1.2</v>
      </c>
      <c r="F3" s="332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96</v>
      </c>
      <c r="D11" s="339" t="s">
        <v>88</v>
      </c>
      <c r="E11" s="340"/>
      <c r="F11" s="341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2">
        <v>72</v>
      </c>
      <c r="C13" s="345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95</v>
      </c>
      <c r="D18" s="339"/>
      <c r="E18" s="340"/>
      <c r="F18" s="341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2">
        <v>144</v>
      </c>
      <c r="C20" s="345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97</v>
      </c>
      <c r="D25" s="339" t="s">
        <v>97</v>
      </c>
      <c r="E25" s="340"/>
      <c r="F25" s="341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2">
        <v>0</v>
      </c>
      <c r="C27" s="345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9"/>
      <c r="E32" s="340"/>
      <c r="F32" s="341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2">
        <v>0</v>
      </c>
      <c r="C34" s="345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9"/>
      <c r="E39" s="340"/>
      <c r="F39" s="341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2">
        <v>0</v>
      </c>
      <c r="C41" s="345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9"/>
      <c r="E46" s="340"/>
      <c r="F46" s="341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2">
        <v>0</v>
      </c>
      <c r="C48" s="345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51" t="str">
        <f>'Cover - Location Info'!J8</f>
        <v>101617</v>
      </c>
      <c r="C3" s="52"/>
      <c r="D3" s="52"/>
      <c r="E3" s="52"/>
      <c r="F3" s="353" t="str">
        <f>'Cover - Location Info'!J10</f>
        <v>1.2</v>
      </c>
      <c r="G3" s="55"/>
    </row>
    <row r="4" spans="1:12" ht="12.75" customHeight="1" thickBot="1" x14ac:dyDescent="0.25">
      <c r="A4" s="50"/>
      <c r="B4" s="352"/>
      <c r="C4" s="52"/>
      <c r="D4" s="52"/>
      <c r="E4" s="52"/>
      <c r="F4" s="354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55" t="s">
        <v>77</v>
      </c>
      <c r="C6" s="355"/>
      <c r="D6" s="355"/>
      <c r="E6" s="355"/>
      <c r="F6" s="355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56"/>
      <c r="C9" s="357"/>
      <c r="D9" s="357"/>
      <c r="E9" s="357"/>
      <c r="F9" s="358"/>
      <c r="G9" s="57"/>
      <c r="I9" s="58"/>
      <c r="J9" s="58"/>
      <c r="K9" s="58"/>
      <c r="L9" s="58"/>
    </row>
    <row r="10" spans="1:12" ht="15" customHeight="1" x14ac:dyDescent="0.2">
      <c r="A10" s="50"/>
      <c r="B10" s="348"/>
      <c r="C10" s="349"/>
      <c r="D10" s="349"/>
      <c r="E10" s="349"/>
      <c r="F10" s="350"/>
      <c r="G10" s="57"/>
      <c r="I10" s="58"/>
      <c r="J10" s="58"/>
      <c r="K10" s="58"/>
      <c r="L10" s="58"/>
    </row>
    <row r="11" spans="1:12" ht="15" customHeight="1" x14ac:dyDescent="0.2">
      <c r="A11" s="50"/>
      <c r="B11" s="359"/>
      <c r="C11" s="360"/>
      <c r="D11" s="360"/>
      <c r="E11" s="360"/>
      <c r="F11" s="361"/>
      <c r="G11" s="57"/>
      <c r="I11" s="58"/>
      <c r="J11" s="58"/>
      <c r="K11" s="59"/>
      <c r="L11" s="60"/>
    </row>
    <row r="12" spans="1:12" ht="15" customHeight="1" x14ac:dyDescent="0.2">
      <c r="A12" s="50"/>
      <c r="B12" s="348"/>
      <c r="C12" s="349"/>
      <c r="D12" s="349"/>
      <c r="E12" s="349"/>
      <c r="F12" s="350"/>
      <c r="G12" s="57"/>
      <c r="I12" s="58"/>
      <c r="J12" s="58"/>
      <c r="K12" s="59"/>
      <c r="L12" s="60"/>
    </row>
    <row r="13" spans="1:12" ht="15" customHeight="1" x14ac:dyDescent="0.2">
      <c r="A13" s="50"/>
      <c r="B13" s="348"/>
      <c r="C13" s="349"/>
      <c r="D13" s="349"/>
      <c r="E13" s="349"/>
      <c r="F13" s="350"/>
      <c r="G13" s="57"/>
      <c r="I13" s="58"/>
      <c r="J13" s="58"/>
      <c r="K13" s="59"/>
      <c r="L13" s="60"/>
    </row>
    <row r="14" spans="1:12" ht="15" customHeight="1" x14ac:dyDescent="0.2">
      <c r="A14" s="50"/>
      <c r="B14" s="348"/>
      <c r="C14" s="349"/>
      <c r="D14" s="349"/>
      <c r="E14" s="349"/>
      <c r="F14" s="350"/>
      <c r="G14" s="57"/>
      <c r="I14" s="58"/>
      <c r="J14" s="58"/>
      <c r="K14" s="60"/>
      <c r="L14" s="60"/>
    </row>
    <row r="15" spans="1:12" ht="15" customHeight="1" x14ac:dyDescent="0.2">
      <c r="A15" s="50"/>
      <c r="B15" s="348"/>
      <c r="C15" s="349"/>
      <c r="D15" s="349"/>
      <c r="E15" s="349"/>
      <c r="F15" s="350"/>
      <c r="G15" s="57"/>
      <c r="I15" s="58"/>
      <c r="J15" s="58"/>
      <c r="K15" s="61"/>
      <c r="L15" s="61"/>
    </row>
    <row r="16" spans="1:12" ht="15" customHeight="1" x14ac:dyDescent="0.2">
      <c r="A16" s="50"/>
      <c r="B16" s="348"/>
      <c r="C16" s="349"/>
      <c r="D16" s="349"/>
      <c r="E16" s="349"/>
      <c r="F16" s="350"/>
      <c r="G16" s="57"/>
      <c r="I16" s="58"/>
      <c r="J16" s="58"/>
      <c r="K16" s="62"/>
      <c r="L16" s="62"/>
    </row>
    <row r="17" spans="1:12" ht="15" customHeight="1" x14ac:dyDescent="0.2">
      <c r="A17" s="50"/>
      <c r="B17" s="348"/>
      <c r="C17" s="349"/>
      <c r="D17" s="349"/>
      <c r="E17" s="349"/>
      <c r="F17" s="350"/>
      <c r="G17" s="57"/>
      <c r="I17" s="58"/>
      <c r="J17" s="58"/>
      <c r="K17" s="62"/>
      <c r="L17" s="62"/>
    </row>
    <row r="18" spans="1:12" ht="15" customHeight="1" x14ac:dyDescent="0.2">
      <c r="A18" s="50"/>
      <c r="B18" s="348"/>
      <c r="C18" s="349"/>
      <c r="D18" s="349"/>
      <c r="E18" s="349"/>
      <c r="F18" s="350"/>
      <c r="G18" s="57"/>
      <c r="I18" s="58"/>
      <c r="J18" s="58"/>
      <c r="K18" s="61"/>
      <c r="L18" s="61"/>
    </row>
    <row r="19" spans="1:12" ht="15" customHeight="1" x14ac:dyDescent="0.2">
      <c r="A19" s="50"/>
      <c r="B19" s="348"/>
      <c r="C19" s="349"/>
      <c r="D19" s="349"/>
      <c r="E19" s="349"/>
      <c r="F19" s="350"/>
      <c r="G19" s="57"/>
      <c r="I19" s="58"/>
      <c r="J19" s="58"/>
      <c r="K19" s="61"/>
      <c r="L19" s="61"/>
    </row>
    <row r="20" spans="1:12" ht="15" customHeight="1" x14ac:dyDescent="0.2">
      <c r="A20" s="50"/>
      <c r="B20" s="348"/>
      <c r="C20" s="349"/>
      <c r="D20" s="349"/>
      <c r="E20" s="349"/>
      <c r="F20" s="350"/>
      <c r="G20" s="57"/>
      <c r="I20" s="58"/>
      <c r="J20" s="58"/>
      <c r="K20" s="61"/>
      <c r="L20" s="61"/>
    </row>
    <row r="21" spans="1:12" ht="15" customHeight="1" x14ac:dyDescent="0.2">
      <c r="A21" s="50"/>
      <c r="B21" s="348"/>
      <c r="C21" s="349"/>
      <c r="D21" s="349"/>
      <c r="E21" s="349"/>
      <c r="F21" s="350"/>
      <c r="G21" s="57"/>
      <c r="I21" s="58"/>
      <c r="J21" s="58"/>
      <c r="K21" s="59"/>
      <c r="L21" s="60"/>
    </row>
    <row r="22" spans="1:12" ht="15" customHeight="1" x14ac:dyDescent="0.2">
      <c r="A22" s="50"/>
      <c r="B22" s="348"/>
      <c r="C22" s="349"/>
      <c r="D22" s="349"/>
      <c r="E22" s="349"/>
      <c r="F22" s="350"/>
      <c r="G22" s="57"/>
      <c r="I22" s="58"/>
      <c r="J22" s="58"/>
      <c r="K22" s="59"/>
      <c r="L22" s="60"/>
    </row>
    <row r="23" spans="1:12" ht="15" customHeight="1" x14ac:dyDescent="0.2">
      <c r="A23" s="50"/>
      <c r="B23" s="348"/>
      <c r="C23" s="349"/>
      <c r="D23" s="349"/>
      <c r="E23" s="349"/>
      <c r="F23" s="350"/>
      <c r="G23" s="57"/>
      <c r="I23" s="58"/>
      <c r="J23" s="58"/>
      <c r="K23" s="60"/>
      <c r="L23" s="60"/>
    </row>
    <row r="24" spans="1:12" ht="15" customHeight="1" x14ac:dyDescent="0.2">
      <c r="A24" s="50"/>
      <c r="B24" s="348"/>
      <c r="C24" s="349"/>
      <c r="D24" s="349"/>
      <c r="E24" s="349"/>
      <c r="F24" s="350"/>
      <c r="G24" s="57"/>
      <c r="I24" s="58"/>
      <c r="J24" s="58"/>
      <c r="K24" s="60"/>
      <c r="L24" s="60"/>
    </row>
    <row r="25" spans="1:12" ht="15" customHeight="1" x14ac:dyDescent="0.2">
      <c r="A25" s="50"/>
      <c r="B25" s="348"/>
      <c r="C25" s="349"/>
      <c r="D25" s="349"/>
      <c r="E25" s="349"/>
      <c r="F25" s="350"/>
      <c r="G25" s="57"/>
      <c r="I25" s="58"/>
      <c r="J25" s="58"/>
      <c r="K25" s="60"/>
      <c r="L25" s="60"/>
    </row>
    <row r="26" spans="1:12" ht="15" customHeight="1" x14ac:dyDescent="0.2">
      <c r="A26" s="50"/>
      <c r="B26" s="348"/>
      <c r="C26" s="349"/>
      <c r="D26" s="349"/>
      <c r="E26" s="349"/>
      <c r="F26" s="350"/>
      <c r="G26" s="57"/>
      <c r="I26" s="58"/>
      <c r="J26" s="58"/>
      <c r="K26" s="60"/>
      <c r="L26" s="60"/>
    </row>
    <row r="27" spans="1:12" ht="15" customHeight="1" x14ac:dyDescent="0.2">
      <c r="A27" s="50"/>
      <c r="B27" s="348"/>
      <c r="C27" s="349"/>
      <c r="D27" s="349"/>
      <c r="E27" s="349"/>
      <c r="F27" s="350"/>
      <c r="G27" s="57"/>
      <c r="I27" s="58"/>
      <c r="J27" s="58"/>
      <c r="K27" s="60"/>
      <c r="L27" s="60"/>
    </row>
    <row r="28" spans="1:12" ht="15" customHeight="1" x14ac:dyDescent="0.2">
      <c r="A28" s="50"/>
      <c r="B28" s="365"/>
      <c r="C28" s="366"/>
      <c r="D28" s="366"/>
      <c r="E28" s="366"/>
      <c r="F28" s="367"/>
      <c r="G28" s="57"/>
      <c r="I28" s="58"/>
      <c r="J28" s="58"/>
      <c r="K28" s="58"/>
      <c r="L28" s="58"/>
    </row>
    <row r="29" spans="1:12" ht="15" customHeight="1" x14ac:dyDescent="0.2">
      <c r="A29" s="50"/>
      <c r="B29" s="362"/>
      <c r="C29" s="363"/>
      <c r="D29" s="363"/>
      <c r="E29" s="363"/>
      <c r="F29" s="364"/>
      <c r="G29" s="57"/>
      <c r="I29" s="58"/>
      <c r="J29" s="58"/>
      <c r="K29" s="58"/>
      <c r="L29" s="58"/>
    </row>
    <row r="30" spans="1:12" ht="15" customHeight="1" x14ac:dyDescent="0.2">
      <c r="A30" s="50"/>
      <c r="B30" s="362"/>
      <c r="C30" s="363"/>
      <c r="D30" s="363"/>
      <c r="E30" s="363"/>
      <c r="F30" s="364"/>
      <c r="G30" s="57"/>
    </row>
    <row r="31" spans="1:12" ht="15" customHeight="1" x14ac:dyDescent="0.2">
      <c r="A31" s="50"/>
      <c r="B31" s="362"/>
      <c r="C31" s="363"/>
      <c r="D31" s="363"/>
      <c r="E31" s="363"/>
      <c r="F31" s="364"/>
      <c r="G31" s="57"/>
    </row>
    <row r="32" spans="1:12" ht="15" customHeight="1" x14ac:dyDescent="0.2">
      <c r="A32" s="50"/>
      <c r="B32" s="362"/>
      <c r="C32" s="363"/>
      <c r="D32" s="363"/>
      <c r="E32" s="363"/>
      <c r="F32" s="364"/>
      <c r="G32" s="57"/>
    </row>
    <row r="33" spans="1:7" ht="15" customHeight="1" x14ac:dyDescent="0.2">
      <c r="A33" s="50"/>
      <c r="B33" s="348"/>
      <c r="C33" s="349"/>
      <c r="D33" s="349"/>
      <c r="E33" s="349"/>
      <c r="F33" s="350"/>
      <c r="G33" s="57"/>
    </row>
    <row r="34" spans="1:7" ht="15" customHeight="1" x14ac:dyDescent="0.2">
      <c r="A34" s="50"/>
      <c r="B34" s="348"/>
      <c r="C34" s="349"/>
      <c r="D34" s="349"/>
      <c r="E34" s="349"/>
      <c r="F34" s="350"/>
      <c r="G34" s="57"/>
    </row>
    <row r="35" spans="1:7" ht="15" customHeight="1" x14ac:dyDescent="0.2">
      <c r="A35" s="50"/>
      <c r="B35" s="368"/>
      <c r="C35" s="369"/>
      <c r="D35" s="369"/>
      <c r="E35" s="369"/>
      <c r="F35" s="370"/>
      <c r="G35" s="57"/>
    </row>
    <row r="36" spans="1:7" ht="15" customHeight="1" x14ac:dyDescent="0.2">
      <c r="A36" s="50"/>
      <c r="B36" s="359"/>
      <c r="C36" s="360"/>
      <c r="D36" s="360"/>
      <c r="E36" s="360"/>
      <c r="F36" s="361"/>
      <c r="G36" s="57"/>
    </row>
    <row r="37" spans="1:7" ht="15" customHeight="1" x14ac:dyDescent="0.2">
      <c r="A37" s="50"/>
      <c r="B37" s="359"/>
      <c r="C37" s="360"/>
      <c r="D37" s="360"/>
      <c r="E37" s="360"/>
      <c r="F37" s="361"/>
      <c r="G37" s="57"/>
    </row>
    <row r="38" spans="1:7" ht="15" customHeight="1" x14ac:dyDescent="0.2">
      <c r="A38" s="50"/>
      <c r="B38" s="348"/>
      <c r="C38" s="349"/>
      <c r="D38" s="349"/>
      <c r="E38" s="349"/>
      <c r="F38" s="350"/>
      <c r="G38" s="57"/>
    </row>
    <row r="39" spans="1:7" ht="15" customHeight="1" x14ac:dyDescent="0.2">
      <c r="A39" s="50"/>
      <c r="B39" s="348"/>
      <c r="C39" s="349"/>
      <c r="D39" s="349"/>
      <c r="E39" s="349"/>
      <c r="F39" s="350"/>
      <c r="G39" s="57"/>
    </row>
    <row r="40" spans="1:7" ht="15" customHeight="1" x14ac:dyDescent="0.2">
      <c r="A40" s="50"/>
      <c r="B40" s="348"/>
      <c r="C40" s="349"/>
      <c r="D40" s="349"/>
      <c r="E40" s="349"/>
      <c r="F40" s="350"/>
      <c r="G40" s="57"/>
    </row>
    <row r="41" spans="1:7" ht="15" customHeight="1" x14ac:dyDescent="0.2">
      <c r="A41" s="50"/>
      <c r="B41" s="348"/>
      <c r="C41" s="349"/>
      <c r="D41" s="349"/>
      <c r="E41" s="349"/>
      <c r="F41" s="350"/>
      <c r="G41" s="57"/>
    </row>
    <row r="42" spans="1:7" ht="15" customHeight="1" x14ac:dyDescent="0.2">
      <c r="A42" s="50"/>
      <c r="B42" s="348"/>
      <c r="C42" s="349"/>
      <c r="D42" s="349"/>
      <c r="E42" s="349"/>
      <c r="F42" s="350"/>
      <c r="G42" s="57"/>
    </row>
    <row r="43" spans="1:7" ht="15" customHeight="1" x14ac:dyDescent="0.2">
      <c r="A43" s="50"/>
      <c r="B43" s="377"/>
      <c r="C43" s="378"/>
      <c r="D43" s="378"/>
      <c r="E43" s="378"/>
      <c r="F43" s="379"/>
      <c r="G43" s="57"/>
    </row>
    <row r="44" spans="1:7" ht="15" customHeight="1" x14ac:dyDescent="0.2">
      <c r="A44" s="50"/>
      <c r="B44" s="371"/>
      <c r="C44" s="372"/>
      <c r="D44" s="372"/>
      <c r="E44" s="372"/>
      <c r="F44" s="373"/>
      <c r="G44" s="57"/>
    </row>
    <row r="45" spans="1:7" ht="15" customHeight="1" x14ac:dyDescent="0.2">
      <c r="A45" s="50"/>
      <c r="B45" s="371"/>
      <c r="C45" s="372"/>
      <c r="D45" s="372"/>
      <c r="E45" s="372"/>
      <c r="F45" s="373"/>
      <c r="G45" s="57"/>
    </row>
    <row r="46" spans="1:7" ht="15" customHeight="1" x14ac:dyDescent="0.2">
      <c r="A46" s="50"/>
      <c r="B46" s="380"/>
      <c r="C46" s="381"/>
      <c r="D46" s="381"/>
      <c r="E46" s="381"/>
      <c r="F46" s="382"/>
      <c r="G46" s="57"/>
    </row>
    <row r="47" spans="1:7" ht="15" customHeight="1" x14ac:dyDescent="0.2">
      <c r="A47" s="50"/>
      <c r="B47" s="377"/>
      <c r="C47" s="378"/>
      <c r="D47" s="378"/>
      <c r="E47" s="378"/>
      <c r="F47" s="379"/>
      <c r="G47" s="57"/>
    </row>
    <row r="48" spans="1:7" ht="15" customHeight="1" x14ac:dyDescent="0.2">
      <c r="A48" s="50"/>
      <c r="B48" s="371"/>
      <c r="C48" s="372"/>
      <c r="D48" s="372"/>
      <c r="E48" s="372"/>
      <c r="F48" s="373"/>
      <c r="G48" s="57"/>
    </row>
    <row r="49" spans="1:7" ht="15" customHeight="1" x14ac:dyDescent="0.2">
      <c r="A49" s="50"/>
      <c r="B49" s="371"/>
      <c r="C49" s="372"/>
      <c r="D49" s="372"/>
      <c r="E49" s="372"/>
      <c r="F49" s="373"/>
      <c r="G49" s="57"/>
    </row>
    <row r="50" spans="1:7" ht="15" customHeight="1" x14ac:dyDescent="0.2">
      <c r="A50" s="50"/>
      <c r="B50" s="371"/>
      <c r="C50" s="372"/>
      <c r="D50" s="372"/>
      <c r="E50" s="372"/>
      <c r="F50" s="373"/>
      <c r="G50" s="57"/>
    </row>
    <row r="51" spans="1:7" ht="15" customHeight="1" thickBot="1" x14ac:dyDescent="0.25">
      <c r="A51" s="50"/>
      <c r="B51" s="374"/>
      <c r="C51" s="375"/>
      <c r="D51" s="375"/>
      <c r="E51" s="375"/>
      <c r="F51" s="376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27" t="s">
        <v>10</v>
      </c>
      <c r="F2" s="328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29" t="str">
        <f>'Cover - Location Info'!J8</f>
        <v>101617</v>
      </c>
      <c r="C3" s="13"/>
      <c r="D3" s="13"/>
      <c r="E3" s="331" t="str">
        <f>'Cover - Location Info'!J10</f>
        <v>1.2</v>
      </c>
      <c r="F3" s="332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9"/>
      <c r="E11" s="340"/>
      <c r="F11" s="341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2"/>
      <c r="C13" s="345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9"/>
      <c r="E18" s="340"/>
      <c r="F18" s="341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2"/>
      <c r="C20" s="345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9"/>
      <c r="E25" s="340"/>
      <c r="F25" s="341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2"/>
      <c r="C27" s="345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9"/>
      <c r="E32" s="340"/>
      <c r="F32" s="341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2"/>
      <c r="C34" s="345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9"/>
      <c r="E39" s="340"/>
      <c r="F39" s="341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2"/>
      <c r="C41" s="345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9"/>
      <c r="E46" s="340"/>
      <c r="F46" s="341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2"/>
      <c r="C48" s="345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topLeftCell="A7" zoomScale="85" zoomScaleNormal="85" workbookViewId="0">
      <selection activeCell="S21" sqref="S21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NV-3PR: ZAYO-ENT-W-1</v>
      </c>
      <c r="AI1" s="165" t="s">
        <v>8</v>
      </c>
      <c r="AJ1" s="166" t="s">
        <v>0</v>
      </c>
      <c r="AM1" s="166" t="str">
        <f>AF1</f>
        <v>[A] NV-3PR: ZAYO-ENT-W-1</v>
      </c>
      <c r="AN1" s="166" t="s">
        <v>8</v>
      </c>
      <c r="AO1" s="166" t="s">
        <v>1</v>
      </c>
      <c r="AR1" s="166" t="str">
        <f>AF2</f>
        <v>[B] BB LAS(Z)-B111B (08)</v>
      </c>
      <c r="AS1" s="166" t="s">
        <v>8</v>
      </c>
      <c r="AT1" s="166" t="s">
        <v>2</v>
      </c>
      <c r="AW1" s="166" t="str">
        <f>AF3</f>
        <v>[C] Lateral To 3000 Paradise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94" t="s">
        <v>9</v>
      </c>
      <c r="C2" s="395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94" t="s">
        <v>10</v>
      </c>
      <c r="V2" s="396"/>
      <c r="W2" s="395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LAS(Z)-B111B (08)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str">
        <f>IF('Cable Info'!P2="","",CONCATENATE('Cable Info'!P2," - ",'Cable Info'!Q2))</f>
        <v/>
      </c>
      <c r="AW2" s="166" t="str">
        <f>IF(AU2="",AT2,CONCATENATE(AT2,"  &lt;=&gt; ",AU2," ",AV2))</f>
        <v/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97" t="str">
        <f>'Cover - Location Info'!J8</f>
        <v>101617</v>
      </c>
      <c r="C3" s="398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401" t="str">
        <f>'Cover - Location Info'!J10</f>
        <v>1.2</v>
      </c>
      <c r="V3" s="402"/>
      <c r="W3" s="403"/>
      <c r="X3" s="175"/>
      <c r="Y3" s="163"/>
      <c r="AE3" s="163" t="s">
        <v>2</v>
      </c>
      <c r="AF3" s="163" t="str">
        <f>IF('Cable Info'!C25="","",CONCATENATE("[",AE3,"]"," ",'Cable Info'!C25))</f>
        <v>[C] Lateral To 3000 Paradise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str">
        <f>IF('Cable Info'!P3="","",CONCATENATE('Cable Info'!P3," - ",'Cable Info'!Q3))</f>
        <v/>
      </c>
      <c r="AW3" s="166" t="str">
        <f t="shared" ref="AW3:AW11" si="2">IF(AU3="",AT3,CONCATENATE(AT3,"  &lt;=&gt; ",AU3," ",AV3))</f>
        <v/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9"/>
      <c r="C4" s="400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404"/>
      <c r="V4" s="405"/>
      <c r="W4" s="406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str">
        <f>IF('Cable Info'!P4="","",CONCATENATE('Cable Info'!P4," - ",'Cable Info'!Q4))</f>
        <v/>
      </c>
      <c r="AW4" s="166" t="str">
        <f t="shared" si="2"/>
        <v/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407" t="str">
        <f>IF(AB9&gt;0,"COUNT MISMATCH","")</f>
        <v/>
      </c>
      <c r="H5" s="407"/>
      <c r="I5" s="407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str">
        <f>IF('Cable Info'!P5="","",CONCATENATE('Cable Info'!P5," - ",'Cable Info'!Q5))</f>
        <v/>
      </c>
      <c r="AW5" s="166" t="str">
        <f t="shared" si="2"/>
        <v/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92" t="str">
        <f>IF(Y9&gt;0,"FIBERS OUT OF SEQ.","")</f>
        <v/>
      </c>
      <c r="E6" s="392"/>
      <c r="F6" s="392"/>
      <c r="G6" s="392"/>
      <c r="H6" s="181"/>
      <c r="I6" s="393" t="str">
        <f>IF(Z9&gt;0,"FIBERS OUT OF SEQ.","")</f>
        <v/>
      </c>
      <c r="J6" s="393"/>
      <c r="K6" s="393"/>
      <c r="L6" s="393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str">
        <f>IF('Cable Info'!P6="","",CONCATENATE('Cable Info'!P6," - ",'Cable Info'!Q6))</f>
        <v/>
      </c>
      <c r="AW6" s="166" t="str">
        <f t="shared" si="2"/>
        <v/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83" t="s">
        <v>14</v>
      </c>
      <c r="C7" s="384"/>
      <c r="D7" s="384"/>
      <c r="E7" s="385"/>
      <c r="F7" s="385"/>
      <c r="G7" s="385"/>
      <c r="H7" s="384"/>
      <c r="I7" s="384"/>
      <c r="J7" s="384"/>
      <c r="K7" s="384"/>
      <c r="L7" s="384"/>
      <c r="M7" s="384"/>
      <c r="N7" s="384"/>
      <c r="O7" s="384"/>
      <c r="P7" s="386"/>
      <c r="Q7" s="186"/>
      <c r="R7" s="383" t="s">
        <v>15</v>
      </c>
      <c r="S7" s="384"/>
      <c r="T7" s="384"/>
      <c r="U7" s="384"/>
      <c r="V7" s="384"/>
      <c r="W7" s="386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str">
        <f>IF('Cable Info'!P7="","",CONCATENATE('Cable Info'!P7," - ",'Cable Info'!Q7))</f>
        <v/>
      </c>
      <c r="AW7" s="166" t="str">
        <f t="shared" si="2"/>
        <v/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str">
        <f>IF('Cable Info'!P8="","",CONCATENATE('Cable Info'!P8," - ",'Cable Info'!Q8))</f>
        <v/>
      </c>
      <c r="AW8" s="166" t="str">
        <f t="shared" si="2"/>
        <v/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387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389" t="s">
        <v>27</v>
      </c>
      <c r="F9" s="390"/>
      <c r="G9" s="391"/>
      <c r="H9" s="202" t="s">
        <v>28</v>
      </c>
      <c r="I9" s="389" t="s">
        <v>27</v>
      </c>
      <c r="J9" s="390"/>
      <c r="K9" s="391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str">
        <f>IF('Cable Info'!P9="","",CONCATENATE('Cable Info'!P9," - ",'Cable Info'!Q9))</f>
        <v/>
      </c>
      <c r="AW9" s="166" t="str">
        <f t="shared" si="2"/>
        <v/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388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NV-3PR: ZAYO-ENT-W-1</v>
      </c>
      <c r="D10" s="207">
        <v>1</v>
      </c>
      <c r="E10" s="208">
        <v>1</v>
      </c>
      <c r="F10" s="209" t="s">
        <v>37</v>
      </c>
      <c r="G10" s="210">
        <v>12</v>
      </c>
      <c r="H10" s="206">
        <f>IF(G10="","",((E10-G10)-1)*(-1))</f>
        <v>12</v>
      </c>
      <c r="I10" s="211">
        <v>1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LAS(Z)-B111B (08)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12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str">
        <f>IF('Cable Info'!P10="","",CONCATENATE('Cable Info'!P10," - ",'Cable Info'!Q10))</f>
        <v/>
      </c>
      <c r="AW10" s="166" t="str">
        <f t="shared" si="2"/>
        <v/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NV-3PR: ZAYO-ENT-W-1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LAS(Z)-B111B (08)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str">
        <f>IF('Cable Info'!P10="","",CONCATENATE('Cable Info'!P10," - ",'Cable Info'!Q10))</f>
        <v/>
      </c>
      <c r="AU11" s="166" t="s">
        <v>38</v>
      </c>
      <c r="AW11" s="166" t="str">
        <f t="shared" si="2"/>
        <v xml:space="preserve">  &lt;=&gt; CABLEC 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NV-3PR: ZAYO-ENT-W-1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LAS(Z)-B111B (08)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str">
        <f>IF('Cable Info'!P11="","",CONCATENATE('Cable Info'!P11," - ",'Cable Info'!Q11))</f>
        <v/>
      </c>
      <c r="AU12" s="166" t="s">
        <v>38</v>
      </c>
      <c r="AW12" s="166" t="str">
        <f t="shared" ref="AW12:AW75" si="20">IF(AU12="",AT12,CONCATENATE(AT12,"  &lt;=&gt; ",AU12," ",AV12))</f>
        <v xml:space="preserve">  &lt;=&gt; CABLEC 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NV-3PR: ZAYO-ENT-W-1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LAS(Z)-B111B (08)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str">
        <f>IF('Cable Info'!P12="","",CONCATENATE('Cable Info'!P12," - ",'Cable Info'!Q12))</f>
        <v/>
      </c>
      <c r="AU13" s="166" t="s">
        <v>38</v>
      </c>
      <c r="AW13" s="166" t="str">
        <f t="shared" si="20"/>
        <v xml:space="preserve">  &lt;=&gt; CABLEC 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1</v>
      </c>
      <c r="C14" s="222" t="str">
        <f>IFERROR(IF(B14="","",IF((COUNTIF('Cable Info'!$B$11:$C$50,B14)=0),VLOOKUP(B14,'Cable Info (2)'!$B$11:$C$50,2,FALSE),(VLOOKUP(B14,'Cable Info'!$B$11:$C$50,2,FALSE)))),"NO SUCH EXIT")</f>
        <v>BB LAS(Z)-B111B (08)</v>
      </c>
      <c r="D14" s="223" t="s">
        <v>98</v>
      </c>
      <c r="E14" s="224">
        <v>67</v>
      </c>
      <c r="F14" s="225" t="s">
        <v>37</v>
      </c>
      <c r="G14" s="226">
        <v>68</v>
      </c>
      <c r="H14" s="222">
        <f t="shared" si="12"/>
        <v>2</v>
      </c>
      <c r="I14" s="227" t="s">
        <v>61</v>
      </c>
      <c r="J14" s="225" t="s">
        <v>37</v>
      </c>
      <c r="K14" s="228" t="s">
        <v>61</v>
      </c>
      <c r="L14" s="229" t="s">
        <v>61</v>
      </c>
      <c r="M14" s="222" t="str">
        <f>IFERROR(IF(P14="","",IF((COUNTIF('Cable Info'!$B$11:$C$50,P14)=0),VLOOKUP(P14,'Cable Info (2)'!$B$11:$C$50,2,FALSE),(VLOOKUP(P14,'Cable Info'!$B$11:$C$50,2,FALSE)))),"NO SUCH EXIT")</f>
        <v>Lateral To 3000 Paradise</v>
      </c>
      <c r="N14" s="230"/>
      <c r="O14" s="231"/>
      <c r="P14" s="232" t="s">
        <v>2</v>
      </c>
      <c r="Q14" s="186"/>
      <c r="R14" s="233" t="s">
        <v>6</v>
      </c>
      <c r="S14" s="233" t="s">
        <v>12</v>
      </c>
      <c r="T14" s="234">
        <v>42780</v>
      </c>
      <c r="U14" s="234"/>
      <c r="V14" s="235" t="s">
        <v>64</v>
      </c>
      <c r="W14" s="217" t="s">
        <v>99</v>
      </c>
      <c r="X14" s="236">
        <f t="shared" si="13"/>
        <v>1</v>
      </c>
      <c r="Y14" s="163" t="str">
        <f t="shared" si="14"/>
        <v/>
      </c>
      <c r="Z14" s="164" t="str">
        <f t="shared" si="15"/>
        <v/>
      </c>
      <c r="AA14" s="164" t="str">
        <f t="shared" si="16"/>
        <v/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str">
        <f>IF('Cable Info'!P13="","",CONCATENATE('Cable Info'!P13," - ",'Cable Info'!Q13))</f>
        <v/>
      </c>
      <c r="AU14" s="166" t="s">
        <v>38</v>
      </c>
      <c r="AW14" s="166" t="str">
        <f t="shared" si="20"/>
        <v xml:space="preserve">  &lt;=&gt; CABLEC 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 t="s">
        <v>100</v>
      </c>
    </row>
    <row r="15" spans="1:90" x14ac:dyDescent="0.2">
      <c r="A15" s="185"/>
      <c r="B15" s="205" t="s">
        <v>1</v>
      </c>
      <c r="C15" s="222" t="str">
        <f>IFERROR(IF(B15="","",IF((COUNTIF('Cable Info'!$B$11:$C$50,B15)=0),VLOOKUP(B15,'Cable Info (2)'!$B$11:$C$50,2,FALSE),(VLOOKUP(B15,'Cable Info'!$B$11:$C$50,2,FALSE)))),"NO SUCH EXIT")</f>
        <v>BB LAS(Z)-B111B (08)</v>
      </c>
      <c r="D15" s="223" t="s">
        <v>98</v>
      </c>
      <c r="E15" s="224">
        <v>69</v>
      </c>
      <c r="F15" s="225" t="s">
        <v>37</v>
      </c>
      <c r="G15" s="226">
        <v>70</v>
      </c>
      <c r="H15" s="222">
        <f t="shared" si="12"/>
        <v>2</v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>Lateral To 3000 Paradise</v>
      </c>
      <c r="N15" s="230"/>
      <c r="O15" s="231"/>
      <c r="P15" s="232" t="s">
        <v>2</v>
      </c>
      <c r="Q15" s="186"/>
      <c r="R15" s="233" t="s">
        <v>6</v>
      </c>
      <c r="S15" s="233" t="s">
        <v>12</v>
      </c>
      <c r="T15" s="234">
        <v>42781</v>
      </c>
      <c r="U15" s="234"/>
      <c r="V15" s="235" t="s">
        <v>101</v>
      </c>
      <c r="W15" s="217" t="s">
        <v>102</v>
      </c>
      <c r="X15" s="236">
        <f t="shared" si="13"/>
        <v>1</v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str">
        <f>IF('Cable Info'!P14="","",CONCATENATE('Cable Info'!P14," - ",'Cable Info'!Q14))</f>
        <v/>
      </c>
      <c r="AU15" s="166" t="s">
        <v>38</v>
      </c>
      <c r="AW15" s="166" t="str">
        <f t="shared" si="20"/>
        <v xml:space="preserve">  &lt;=&gt; CABLEC 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 t="s">
        <v>103</v>
      </c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NV-3PR: ZAYO-ENT-W-1</v>
      </c>
      <c r="D16" s="223" t="s">
        <v>98</v>
      </c>
      <c r="E16" s="224">
        <v>65</v>
      </c>
      <c r="F16" s="225" t="s">
        <v>37</v>
      </c>
      <c r="G16" s="226">
        <v>66</v>
      </c>
      <c r="H16" s="222">
        <f t="shared" si="12"/>
        <v>2</v>
      </c>
      <c r="I16" s="227">
        <v>65</v>
      </c>
      <c r="J16" s="225" t="s">
        <v>37</v>
      </c>
      <c r="K16" s="228">
        <v>66</v>
      </c>
      <c r="L16" s="229" t="s">
        <v>98</v>
      </c>
      <c r="M16" s="222" t="str">
        <f>IFERROR(IF(P16="","",IF((COUNTIF('Cable Info'!$B$11:$C$50,P16)=0),VLOOKUP(P16,'Cable Info (2)'!$B$11:$C$50,2,FALSE),(VLOOKUP(P16,'Cable Info'!$B$11:$C$50,2,FALSE)))),"NO SUCH EXIT")</f>
        <v>BB LAS(Z)-B111B (08)</v>
      </c>
      <c r="N16" s="230"/>
      <c r="O16" s="231"/>
      <c r="P16" s="232" t="s">
        <v>1</v>
      </c>
      <c r="Q16" s="186"/>
      <c r="R16" s="233" t="s">
        <v>6</v>
      </c>
      <c r="S16" s="233" t="s">
        <v>12</v>
      </c>
      <c r="T16" s="234">
        <v>42786</v>
      </c>
      <c r="U16" s="234"/>
      <c r="V16" s="235" t="s">
        <v>104</v>
      </c>
      <c r="W16" s="217" t="s">
        <v>105</v>
      </c>
      <c r="X16" s="236">
        <f t="shared" si="13"/>
        <v>11</v>
      </c>
      <c r="Y16" s="163" t="str">
        <f t="shared" si="14"/>
        <v/>
      </c>
      <c r="Z16" s="164" t="str">
        <f t="shared" si="15"/>
        <v/>
      </c>
      <c r="AA16" s="164">
        <f t="shared" si="16"/>
        <v>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str">
        <f>IF('Cable Info'!P15="","",CONCATENATE('Cable Info'!P15," - ",'Cable Info'!Q15))</f>
        <v/>
      </c>
      <c r="AU16" s="166" t="s">
        <v>38</v>
      </c>
      <c r="AW16" s="166" t="str">
        <f t="shared" si="20"/>
        <v xml:space="preserve">  &lt;=&gt; CABLEC 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 t="s">
        <v>106</v>
      </c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NV-3PR: ZAYO-ENT-W-1</v>
      </c>
      <c r="D17" s="223" t="s">
        <v>98</v>
      </c>
      <c r="E17" s="224">
        <v>61</v>
      </c>
      <c r="F17" s="225" t="s">
        <v>37</v>
      </c>
      <c r="G17" s="226">
        <v>62</v>
      </c>
      <c r="H17" s="222">
        <f t="shared" si="12"/>
        <v>2</v>
      </c>
      <c r="I17" s="227">
        <v>61</v>
      </c>
      <c r="J17" s="225" t="s">
        <v>37</v>
      </c>
      <c r="K17" s="228">
        <v>62</v>
      </c>
      <c r="L17" s="229" t="s">
        <v>98</v>
      </c>
      <c r="M17" s="222" t="str">
        <f>IFERROR(IF(P17="","",IF((COUNTIF('Cable Info'!$B$11:$C$50,P17)=0),VLOOKUP(P17,'Cable Info (2)'!$B$11:$C$50,2,FALSE),(VLOOKUP(P17,'Cable Info'!$B$11:$C$50,2,FALSE)))),"NO SUCH EXIT")</f>
        <v>BB LAS(Z)-B111B (08)</v>
      </c>
      <c r="N17" s="230"/>
      <c r="O17" s="231"/>
      <c r="P17" s="232" t="s">
        <v>1</v>
      </c>
      <c r="Q17" s="186"/>
      <c r="R17" s="233" t="s">
        <v>6</v>
      </c>
      <c r="S17" s="233" t="s">
        <v>12</v>
      </c>
      <c r="T17" s="234">
        <v>42786</v>
      </c>
      <c r="U17" s="234"/>
      <c r="V17" s="235" t="s">
        <v>104</v>
      </c>
      <c r="W17" s="217" t="s">
        <v>105</v>
      </c>
      <c r="X17" s="236">
        <f t="shared" si="13"/>
        <v>11</v>
      </c>
      <c r="Y17" s="163" t="str">
        <f t="shared" si="14"/>
        <v/>
      </c>
      <c r="Z17" s="164" t="str">
        <f t="shared" si="15"/>
        <v/>
      </c>
      <c r="AA17" s="164">
        <f t="shared" si="16"/>
        <v>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str">
        <f>IF('Cable Info'!P16="","",CONCATENATE('Cable Info'!P16," - ",'Cable Info'!Q16))</f>
        <v/>
      </c>
      <c r="AU17" s="166" t="s">
        <v>38</v>
      </c>
      <c r="AW17" s="166" t="str">
        <f t="shared" si="20"/>
        <v xml:space="preserve">  &lt;=&gt; CABLEC 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 t="s">
        <v>107</v>
      </c>
    </row>
    <row r="18" spans="1:90" x14ac:dyDescent="0.2">
      <c r="A18" s="185"/>
      <c r="B18" s="205" t="s">
        <v>1</v>
      </c>
      <c r="C18" s="222" t="str">
        <f>IFERROR(IF(B18="","",IF((COUNTIF('Cable Info'!$B$11:$C$50,B18)=0),VLOOKUP(B18,'Cable Info (2)'!$B$11:$C$50,2,FALSE),(VLOOKUP(B18,'Cable Info'!$B$11:$C$50,2,FALSE)))),"NO SUCH EXIT")</f>
        <v>BB LAS(Z)-B111B (08)</v>
      </c>
      <c r="D18" s="223" t="s">
        <v>108</v>
      </c>
      <c r="E18" s="224">
        <v>49</v>
      </c>
      <c r="F18" s="225" t="s">
        <v>37</v>
      </c>
      <c r="G18" s="226">
        <v>50</v>
      </c>
      <c r="H18" s="222">
        <f t="shared" si="12"/>
        <v>2</v>
      </c>
      <c r="I18" s="227"/>
      <c r="J18" s="225" t="s">
        <v>37</v>
      </c>
      <c r="K18" s="228"/>
      <c r="L18" s="229"/>
      <c r="M18" s="222" t="str">
        <f>IFERROR(IF(P18="","",IF((COUNTIF('Cable Info'!$B$11:$C$50,P18)=0),VLOOKUP(P18,'Cable Info (2)'!$B$11:$C$50,2,FALSE),(VLOOKUP(P18,'Cable Info'!$B$11:$C$50,2,FALSE)))),"NO SUCH EXIT")</f>
        <v>Lateral To 3000 Paradise</v>
      </c>
      <c r="N18" s="230"/>
      <c r="O18" s="231"/>
      <c r="P18" s="232" t="s">
        <v>2</v>
      </c>
      <c r="Q18" s="186"/>
      <c r="R18" s="233" t="s">
        <v>6</v>
      </c>
      <c r="S18" s="233" t="s">
        <v>12</v>
      </c>
      <c r="T18" s="234">
        <v>42825</v>
      </c>
      <c r="U18" s="234"/>
      <c r="V18" s="235" t="s">
        <v>109</v>
      </c>
      <c r="W18" s="217" t="s">
        <v>110</v>
      </c>
      <c r="X18" s="236">
        <f t="shared" si="13"/>
        <v>1</v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str">
        <f>IF('Cable Info'!P17="","",CONCATENATE('Cable Info'!P17," - ",'Cable Info'!Q17))</f>
        <v/>
      </c>
      <c r="AU18" s="166" t="s">
        <v>38</v>
      </c>
      <c r="AW18" s="166" t="str">
        <f t="shared" si="20"/>
        <v xml:space="preserve">  &lt;=&gt; CABLEC 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 t="s">
        <v>111</v>
      </c>
    </row>
    <row r="19" spans="1:90" x14ac:dyDescent="0.2">
      <c r="A19" s="185"/>
      <c r="B19" s="205" t="s">
        <v>1</v>
      </c>
      <c r="C19" s="222" t="str">
        <f>IFERROR(IF(B19="","",IF((COUNTIF('Cable Info'!$B$11:$C$50,B19)=0),VLOOKUP(B19,'Cable Info (2)'!$B$11:$C$50,2,FALSE),(VLOOKUP(B19,'Cable Info'!$B$11:$C$50,2,FALSE)))),"NO SUCH EXIT")</f>
        <v>BB LAS(Z)-B111B (08)</v>
      </c>
      <c r="D19" s="223" t="s">
        <v>112</v>
      </c>
      <c r="E19" s="224">
        <v>19</v>
      </c>
      <c r="F19" s="225" t="s">
        <v>37</v>
      </c>
      <c r="G19" s="226">
        <v>20</v>
      </c>
      <c r="H19" s="222">
        <f t="shared" si="12"/>
        <v>2</v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>Lateral To 3000 Paradise</v>
      </c>
      <c r="N19" s="230"/>
      <c r="O19" s="231"/>
      <c r="P19" s="232" t="s">
        <v>2</v>
      </c>
      <c r="Q19" s="186"/>
      <c r="R19" s="233" t="s">
        <v>6</v>
      </c>
      <c r="S19" s="233" t="s">
        <v>12</v>
      </c>
      <c r="T19" s="234">
        <v>42825</v>
      </c>
      <c r="U19" s="234"/>
      <c r="V19" s="235" t="s">
        <v>113</v>
      </c>
      <c r="W19" s="217" t="s">
        <v>114</v>
      </c>
      <c r="X19" s="236">
        <f t="shared" si="13"/>
        <v>1</v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str">
        <f>IF('Cable Info'!P18="","",CONCATENATE('Cable Info'!P18," - ",'Cable Info'!Q18))</f>
        <v/>
      </c>
      <c r="AU19" s="166" t="s">
        <v>38</v>
      </c>
      <c r="AW19" s="166" t="str">
        <f t="shared" si="20"/>
        <v xml:space="preserve">  &lt;=&gt; CABLEC 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 t="s">
        <v>115</v>
      </c>
    </row>
    <row r="20" spans="1:90" x14ac:dyDescent="0.2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str">
        <f>IF('Cable Info'!P19="","",CONCATENATE('Cable Info'!P19," - ",'Cable Info'!Q19))</f>
        <v/>
      </c>
      <c r="AU20" s="166" t="s">
        <v>38</v>
      </c>
      <c r="AW20" s="166" t="str">
        <f t="shared" si="20"/>
        <v xml:space="preserve">  &lt;=&gt; CABLEC 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str">
        <f>IF('Cable Info'!P20="","",CONCATENATE('Cable Info'!P20," - ",'Cable Info'!Q20))</f>
        <v/>
      </c>
      <c r="AU21" s="166" t="s">
        <v>38</v>
      </c>
      <c r="AW21" s="166" t="str">
        <f t="shared" si="20"/>
        <v xml:space="preserve">  &lt;=&gt; CABLEC 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str">
        <f>IF('Cable Info'!P21="","",CONCATENATE('Cable Info'!P21," - ",'Cable Info'!Q21))</f>
        <v/>
      </c>
      <c r="AU22" s="166" t="s">
        <v>38</v>
      </c>
      <c r="AW22" s="166" t="str">
        <f t="shared" si="20"/>
        <v xml:space="preserve">  &lt;=&gt; CABLEC 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str">
        <f>IF('Cable Info'!P22="","",CONCATENATE('Cable Info'!P22," - ",'Cable Info'!Q22))</f>
        <v/>
      </c>
      <c r="AU23" s="166" t="s">
        <v>38</v>
      </c>
      <c r="AW23" s="166" t="str">
        <f t="shared" si="20"/>
        <v xml:space="preserve">  &lt;=&gt; CABLEC 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str">
        <f>IF('Cable Info'!P23="","",CONCATENATE('Cable Info'!P23," - ",'Cable Info'!Q23))</f>
        <v/>
      </c>
      <c r="AU24" s="166" t="s">
        <v>38</v>
      </c>
      <c r="AW24" s="166" t="str">
        <f t="shared" si="20"/>
        <v xml:space="preserve">  &lt;=&gt; CABLEC 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str">
        <f>IF('Cable Info'!P24="","",CONCATENATE('Cable Info'!P24," - ",'Cable Info'!Q24))</f>
        <v/>
      </c>
      <c r="AU25" s="166" t="s">
        <v>38</v>
      </c>
      <c r="AW25" s="166" t="str">
        <f t="shared" si="20"/>
        <v xml:space="preserve">  &lt;=&gt; CABLEC 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str">
        <f>IF('Cable Info'!P25="","",CONCATENATE('Cable Info'!P25," - ",'Cable Info'!Q25))</f>
        <v/>
      </c>
      <c r="AU26" s="166" t="s">
        <v>38</v>
      </c>
      <c r="AW26" s="166" t="str">
        <f t="shared" si="20"/>
        <v xml:space="preserve">  &lt;=&gt; CABLEC 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str">
        <f>IF('Cable Info'!L74="","",CONCATENATE('Cable Info'!L74," - ",'Cable Info'!M74))</f>
        <v/>
      </c>
      <c r="AM75" s="166" t="str">
        <f t="shared" si="18"/>
        <v/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str">
        <f>IF('Cable Info'!L75="","",CONCATENATE('Cable Info'!L75," - ",'Cable Info'!M75))</f>
        <v/>
      </c>
      <c r="AM76" s="166" t="str">
        <f t="shared" ref="AM76:AM139" si="30">IF(AK76="",AJ76,CONCATENATE(AJ76,"  &lt;=&gt; ",AK76," ",AL76))</f>
        <v/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str">
        <f>IF('Cable Info'!L76="","",CONCATENATE('Cable Info'!L76," - ",'Cable Info'!M76))</f>
        <v/>
      </c>
      <c r="AM77" s="166" t="str">
        <f t="shared" si="30"/>
        <v/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str">
        <f>IF('Cable Info'!L77="","",CONCATENATE('Cable Info'!L77," - ",'Cable Info'!M77))</f>
        <v/>
      </c>
      <c r="AM78" s="166" t="str">
        <f t="shared" si="30"/>
        <v/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str">
        <f>IF('Cable Info'!L78="","",CONCATENATE('Cable Info'!L78," - ",'Cable Info'!M78))</f>
        <v/>
      </c>
      <c r="AM79" s="166" t="str">
        <f t="shared" si="30"/>
        <v/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str">
        <f>IF('Cable Info'!L79="","",CONCATENATE('Cable Info'!L79," - ",'Cable Info'!M79))</f>
        <v/>
      </c>
      <c r="AM80" s="166" t="str">
        <f t="shared" si="30"/>
        <v/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str">
        <f>IF('Cable Info'!L80="","",CONCATENATE('Cable Info'!L80," - ",'Cable Info'!M80))</f>
        <v/>
      </c>
      <c r="AM81" s="166" t="str">
        <f t="shared" si="30"/>
        <v/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str">
        <f>IF('Cable Info'!L81="","",CONCATENATE('Cable Info'!L81," - ",'Cable Info'!M81))</f>
        <v/>
      </c>
      <c r="AM82" s="166" t="str">
        <f t="shared" si="30"/>
        <v/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str">
        <f>IF('Cable Info'!L82="","",CONCATENATE('Cable Info'!L82," - ",'Cable Info'!M82))</f>
        <v/>
      </c>
      <c r="AM83" s="166" t="str">
        <f t="shared" si="30"/>
        <v/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str">
        <f>IF('Cable Info'!L83="","",CONCATENATE('Cable Info'!L83," - ",'Cable Info'!M83))</f>
        <v/>
      </c>
      <c r="AM84" s="166" t="str">
        <f t="shared" si="30"/>
        <v/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str">
        <f>IF('Cable Info'!L84="","",CONCATENATE('Cable Info'!L84," - ",'Cable Info'!M84))</f>
        <v/>
      </c>
      <c r="AM85" s="166" t="str">
        <f t="shared" si="30"/>
        <v/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str">
        <f>IF('Cable Info'!L85="","",CONCATENATE('Cable Info'!L85," - ",'Cable Info'!M85))</f>
        <v/>
      </c>
      <c r="AM86" s="166" t="str">
        <f t="shared" si="30"/>
        <v/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str">
        <f>IF('Cable Info'!L86="","",CONCATENATE('Cable Info'!L86," - ",'Cable Info'!M86))</f>
        <v/>
      </c>
      <c r="AM87" s="166" t="str">
        <f t="shared" si="30"/>
        <v/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str">
        <f>IF('Cable Info'!L87="","",CONCATENATE('Cable Info'!L87," - ",'Cable Info'!M87))</f>
        <v/>
      </c>
      <c r="AM88" s="166" t="str">
        <f t="shared" si="30"/>
        <v/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str">
        <f>IF('Cable Info'!L88="","",CONCATENATE('Cable Info'!L88," - ",'Cable Info'!M88))</f>
        <v/>
      </c>
      <c r="AM89" s="166" t="str">
        <f t="shared" si="30"/>
        <v/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str">
        <f>IF('Cable Info'!L89="","",CONCATENATE('Cable Info'!L89," - ",'Cable Info'!M89))</f>
        <v/>
      </c>
      <c r="AM90" s="166" t="str">
        <f t="shared" si="30"/>
        <v/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str">
        <f>IF('Cable Info'!L90="","",CONCATENATE('Cable Info'!L90," - ",'Cable Info'!M90))</f>
        <v/>
      </c>
      <c r="AM91" s="166" t="str">
        <f t="shared" si="30"/>
        <v/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str">
        <f>IF('Cable Info'!L91="","",CONCATENATE('Cable Info'!L91," - ",'Cable Info'!M91))</f>
        <v/>
      </c>
      <c r="AM92" s="166" t="str">
        <f t="shared" si="30"/>
        <v/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str">
        <f>IF('Cable Info'!L92="","",CONCATENATE('Cable Info'!L92," - ",'Cable Info'!M92))</f>
        <v/>
      </c>
      <c r="AM93" s="166" t="str">
        <f t="shared" si="30"/>
        <v/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str">
        <f>IF('Cable Info'!L93="","",CONCATENATE('Cable Info'!L93," - ",'Cable Info'!M93))</f>
        <v/>
      </c>
      <c r="AM94" s="166" t="str">
        <f t="shared" si="30"/>
        <v/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str">
        <f>IF('Cable Info'!L94="","",CONCATENATE('Cable Info'!L94," - ",'Cable Info'!M94))</f>
        <v/>
      </c>
      <c r="AM95" s="166" t="str">
        <f t="shared" si="30"/>
        <v/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str">
        <f>IF('Cable Info'!L95="","",CONCATENATE('Cable Info'!L95," - ",'Cable Info'!M95))</f>
        <v/>
      </c>
      <c r="AM96" s="166" t="str">
        <f t="shared" si="30"/>
        <v/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str">
        <f>IF('Cable Info'!L96="","",CONCATENATE('Cable Info'!L96," - ",'Cable Info'!M96))</f>
        <v/>
      </c>
      <c r="AM97" s="166" t="str">
        <f t="shared" si="30"/>
        <v/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str">
        <f>IF('Cable Info'!L97="","",CONCATENATE('Cable Info'!L97," - ",'Cable Info'!M97))</f>
        <v/>
      </c>
      <c r="AM98" s="166" t="str">
        <f t="shared" si="30"/>
        <v/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str">
        <f>IF('Cable Info'!L98="","",CONCATENATE('Cable Info'!L98," - ",'Cable Info'!M98))</f>
        <v/>
      </c>
      <c r="AM99" s="166" t="str">
        <f t="shared" si="30"/>
        <v/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str">
        <f>IF('Cable Info'!L99="","",CONCATENATE('Cable Info'!L99," - ",'Cable Info'!M99))</f>
        <v/>
      </c>
      <c r="AM100" s="166" t="str">
        <f t="shared" si="30"/>
        <v/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str">
        <f>IF('Cable Info'!L100="","",CONCATENATE('Cable Info'!L100," - ",'Cable Info'!M100))</f>
        <v/>
      </c>
      <c r="AM101" s="166" t="str">
        <f t="shared" si="30"/>
        <v/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str">
        <f>IF('Cable Info'!L101="","",CONCATENATE('Cable Info'!L101," - ",'Cable Info'!M101))</f>
        <v/>
      </c>
      <c r="AM102" s="166" t="str">
        <f t="shared" si="30"/>
        <v/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str">
        <f>IF('Cable Info'!L102="","",CONCATENATE('Cable Info'!L102," - ",'Cable Info'!M102))</f>
        <v/>
      </c>
      <c r="AM103" s="166" t="str">
        <f t="shared" si="30"/>
        <v/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str">
        <f>IF('Cable Info'!L103="","",CONCATENATE('Cable Info'!L103," - ",'Cable Info'!M103))</f>
        <v/>
      </c>
      <c r="AM104" s="166" t="str">
        <f t="shared" si="30"/>
        <v/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str">
        <f>IF('Cable Info'!L104="","",CONCATENATE('Cable Info'!L104," - ",'Cable Info'!M104))</f>
        <v/>
      </c>
      <c r="AM105" s="166" t="str">
        <f t="shared" si="30"/>
        <v/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str">
        <f>IF('Cable Info'!L105="","",CONCATENATE('Cable Info'!L105," - ",'Cable Info'!M105))</f>
        <v/>
      </c>
      <c r="AM106" s="166" t="str">
        <f t="shared" si="30"/>
        <v/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str">
        <f>IF('Cable Info'!L106="","",CONCATENATE('Cable Info'!L106," - ",'Cable Info'!M106))</f>
        <v/>
      </c>
      <c r="AM107" s="166" t="str">
        <f t="shared" si="30"/>
        <v/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str">
        <f>IF('Cable Info'!L107="","",CONCATENATE('Cable Info'!L107," - ",'Cable Info'!M107))</f>
        <v/>
      </c>
      <c r="AM108" s="166" t="str">
        <f t="shared" si="30"/>
        <v/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str">
        <f>IF('Cable Info'!L108="","",CONCATENATE('Cable Info'!L108," - ",'Cable Info'!M108))</f>
        <v/>
      </c>
      <c r="AM109" s="166" t="str">
        <f t="shared" si="30"/>
        <v/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str">
        <f>IF('Cable Info'!L109="","",CONCATENATE('Cable Info'!L109," - ",'Cable Info'!M109))</f>
        <v/>
      </c>
      <c r="AM110" s="166" t="str">
        <f t="shared" si="30"/>
        <v/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str">
        <f>IF('Cable Info'!L110="","",CONCATENATE('Cable Info'!L110," - ",'Cable Info'!M110))</f>
        <v/>
      </c>
      <c r="AM111" s="166" t="str">
        <f t="shared" si="30"/>
        <v/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str">
        <f>IF('Cable Info'!L111="","",CONCATENATE('Cable Info'!L111," - ",'Cable Info'!M111))</f>
        <v/>
      </c>
      <c r="AM112" s="166" t="str">
        <f t="shared" si="30"/>
        <v/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str">
        <f>IF('Cable Info'!L112="","",CONCATENATE('Cable Info'!L112," - ",'Cable Info'!M112))</f>
        <v/>
      </c>
      <c r="AM113" s="166" t="str">
        <f t="shared" si="30"/>
        <v/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str">
        <f>IF('Cable Info'!L113="","",CONCATENATE('Cable Info'!L113," - ",'Cable Info'!M113))</f>
        <v/>
      </c>
      <c r="AM114" s="166" t="str">
        <f t="shared" si="30"/>
        <v/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str">
        <f>IF('Cable Info'!L114="","",CONCATENATE('Cable Info'!L114," - ",'Cable Info'!M114))</f>
        <v/>
      </c>
      <c r="AM115" s="166" t="str">
        <f t="shared" si="30"/>
        <v/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str">
        <f>IF('Cable Info'!L115="","",CONCATENATE('Cable Info'!L115," - ",'Cable Info'!M115))</f>
        <v/>
      </c>
      <c r="AM116" s="166" t="str">
        <f t="shared" si="30"/>
        <v/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str">
        <f>IF('Cable Info'!L116="","",CONCATENATE('Cable Info'!L116," - ",'Cable Info'!M116))</f>
        <v/>
      </c>
      <c r="AM117" s="166" t="str">
        <f t="shared" si="30"/>
        <v/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str">
        <f>IF('Cable Info'!L117="","",CONCATENATE('Cable Info'!L117," - ",'Cable Info'!M117))</f>
        <v/>
      </c>
      <c r="AM118" s="166" t="str">
        <f t="shared" si="30"/>
        <v/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str">
        <f>IF('Cable Info'!L118="","",CONCATENATE('Cable Info'!L118," - ",'Cable Info'!M118))</f>
        <v/>
      </c>
      <c r="AM119" s="166" t="str">
        <f t="shared" si="30"/>
        <v/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str">
        <f>IF('Cable Info'!L119="","",CONCATENATE('Cable Info'!L119," - ",'Cable Info'!M119))</f>
        <v/>
      </c>
      <c r="AM120" s="166" t="str">
        <f t="shared" si="30"/>
        <v/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str">
        <f>IF('Cable Info'!L120="","",CONCATENATE('Cable Info'!L120," - ",'Cable Info'!M120))</f>
        <v/>
      </c>
      <c r="AM121" s="166" t="str">
        <f t="shared" si="30"/>
        <v/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str">
        <f>IF('Cable Info'!L121="","",CONCATENATE('Cable Info'!L121," - ",'Cable Info'!M121))</f>
        <v/>
      </c>
      <c r="AM122" s="166" t="str">
        <f t="shared" si="30"/>
        <v/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str">
        <f>IF('Cable Info'!L122="","",CONCATENATE('Cable Info'!L122," - ",'Cable Info'!M122))</f>
        <v/>
      </c>
      <c r="AM123" s="166" t="str">
        <f t="shared" si="30"/>
        <v/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str">
        <f>IF('Cable Info'!L123="","",CONCATENATE('Cable Info'!L123," - ",'Cable Info'!M123))</f>
        <v/>
      </c>
      <c r="AM124" s="166" t="str">
        <f t="shared" si="30"/>
        <v/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str">
        <f>IF('Cable Info'!L124="","",CONCATENATE('Cable Info'!L124," - ",'Cable Info'!M124))</f>
        <v/>
      </c>
      <c r="AM125" s="166" t="str">
        <f t="shared" si="30"/>
        <v/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str">
        <f>IF('Cable Info'!L125="","",CONCATENATE('Cable Info'!L125," - ",'Cable Info'!M125))</f>
        <v/>
      </c>
      <c r="AM126" s="166" t="str">
        <f t="shared" si="30"/>
        <v/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str">
        <f>IF('Cable Info'!L126="","",CONCATENATE('Cable Info'!L126," - ",'Cable Info'!M126))</f>
        <v/>
      </c>
      <c r="AM127" s="166" t="str">
        <f t="shared" si="30"/>
        <v/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str">
        <f>IF('Cable Info'!L127="","",CONCATENATE('Cable Info'!L127," - ",'Cable Info'!M127))</f>
        <v/>
      </c>
      <c r="AM128" s="166" t="str">
        <f t="shared" si="30"/>
        <v/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str">
        <f>IF('Cable Info'!L128="","",CONCATENATE('Cable Info'!L128," - ",'Cable Info'!M128))</f>
        <v/>
      </c>
      <c r="AM129" s="166" t="str">
        <f t="shared" si="30"/>
        <v/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str">
        <f>IF('Cable Info'!L129="","",CONCATENATE('Cable Info'!L129," - ",'Cable Info'!M129))</f>
        <v/>
      </c>
      <c r="AM130" s="166" t="str">
        <f t="shared" si="30"/>
        <v/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str">
        <f>IF('Cable Info'!L130="","",CONCATENATE('Cable Info'!L130," - ",'Cable Info'!M130))</f>
        <v/>
      </c>
      <c r="AM131" s="166" t="str">
        <f t="shared" si="30"/>
        <v/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str">
        <f>IF('Cable Info'!L131="","",CONCATENATE('Cable Info'!L131," - ",'Cable Info'!M131))</f>
        <v/>
      </c>
      <c r="AM132" s="166" t="str">
        <f t="shared" si="30"/>
        <v/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str">
        <f>IF('Cable Info'!L132="","",CONCATENATE('Cable Info'!L132," - ",'Cable Info'!M132))</f>
        <v/>
      </c>
      <c r="AM133" s="166" t="str">
        <f t="shared" si="30"/>
        <v/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str">
        <f>IF('Cable Info'!L133="","",CONCATENATE('Cable Info'!L133," - ",'Cable Info'!M133))</f>
        <v/>
      </c>
      <c r="AM134" s="166" t="str">
        <f t="shared" si="30"/>
        <v/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str">
        <f>IF('Cable Info'!L134="","",CONCATENATE('Cable Info'!L134," - ",'Cable Info'!M134))</f>
        <v/>
      </c>
      <c r="AM135" s="166" t="str">
        <f t="shared" si="30"/>
        <v/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str">
        <f>IF('Cable Info'!L135="","",CONCATENATE('Cable Info'!L135," - ",'Cable Info'!M135))</f>
        <v/>
      </c>
      <c r="AM136" s="166" t="str">
        <f t="shared" si="30"/>
        <v/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str">
        <f>IF('Cable Info'!L136="","",CONCATENATE('Cable Info'!L136," - ",'Cable Info'!M136))</f>
        <v/>
      </c>
      <c r="AM137" s="166" t="str">
        <f t="shared" si="30"/>
        <v/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str">
        <f>IF('Cable Info'!L137="","",CONCATENATE('Cable Info'!L137," - ",'Cable Info'!M137))</f>
        <v/>
      </c>
      <c r="AM138" s="166" t="str">
        <f t="shared" si="30"/>
        <v/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str">
        <f>IF('Cable Info'!L138="","",CONCATENATE('Cable Info'!L138," - ",'Cable Info'!M138))</f>
        <v/>
      </c>
      <c r="AM139" s="166" t="str">
        <f t="shared" si="30"/>
        <v/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str">
        <f>IF('Cable Info'!L139="","",CONCATENATE('Cable Info'!L139," - ",'Cable Info'!M139))</f>
        <v/>
      </c>
      <c r="AM140" s="166" t="str">
        <f t="shared" ref="AM140:AM203" si="42">IF(AK140="",AJ140,CONCATENATE(AJ140,"  &lt;=&gt; ",AK140," ",AL140))</f>
        <v/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str">
        <f>IF('Cable Info'!L140="","",CONCATENATE('Cable Info'!L140," - ",'Cable Info'!M140))</f>
        <v/>
      </c>
      <c r="AM141" s="166" t="str">
        <f t="shared" si="42"/>
        <v/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str">
        <f>IF('Cable Info'!L141="","",CONCATENATE('Cable Info'!L141," - ",'Cable Info'!M141))</f>
        <v/>
      </c>
      <c r="AM142" s="166" t="str">
        <f t="shared" si="42"/>
        <v/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str">
        <f>IF('Cable Info'!L142="","",CONCATENATE('Cable Info'!L142," - ",'Cable Info'!M142))</f>
        <v/>
      </c>
      <c r="AM143" s="166" t="str">
        <f t="shared" si="42"/>
        <v/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str">
        <f>IF('Cable Info'!L143="","",CONCATENATE('Cable Info'!L143," - ",'Cable Info'!M143))</f>
        <v/>
      </c>
      <c r="AM144" s="166" t="str">
        <f t="shared" si="42"/>
        <v/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str">
        <f>IF('Cable Info'!L144="","",CONCATENATE('Cable Info'!L144," - ",'Cable Info'!M144))</f>
        <v/>
      </c>
      <c r="AM145" s="166" t="str">
        <f t="shared" si="42"/>
        <v/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str">
        <f>IF('Cable Info'!L145="","",CONCATENATE('Cable Info'!L145," - ",'Cable Info'!M145))</f>
        <v/>
      </c>
      <c r="AM146" s="166" t="str">
        <f t="shared" si="42"/>
        <v/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str">
        <f>IF('Cable Info'!L84="","",CONCATENATE('Cable Info'!L84," - ",'Cable Info'!M84))</f>
        <v/>
      </c>
      <c r="AM384" s="166" t="str">
        <f t="shared" ref="AM384:AM431" si="90">IF(AK384="",AJ384,CONCATENATE(AJ384,"  &lt;=&gt; ",AK384," ",AL384))</f>
        <v/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str">
        <f>IF('Cable Info'!L85="","",CONCATENATE('Cable Info'!L85," - ",'Cable Info'!M85))</f>
        <v/>
      </c>
      <c r="AM385" s="166" t="str">
        <f t="shared" si="90"/>
        <v/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str">
        <f>IF('Cable Info'!L86="","",CONCATENATE('Cable Info'!L86," - ",'Cable Info'!M86))</f>
        <v/>
      </c>
      <c r="AK386" s="261"/>
      <c r="AL386" s="261"/>
      <c r="AM386" s="261" t="str">
        <f t="shared" si="90"/>
        <v/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str">
        <f>IF('Cable Info'!L87="","",CONCATENATE('Cable Info'!L87," - ",'Cable Info'!M87))</f>
        <v/>
      </c>
      <c r="AK387" s="267"/>
      <c r="AL387" s="267"/>
      <c r="AM387" s="267" t="str">
        <f t="shared" si="90"/>
        <v/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str">
        <f>IF('Cable Info'!L88="","",CONCATENATE('Cable Info'!L88," - ",'Cable Info'!M88))</f>
        <v/>
      </c>
      <c r="AM388" s="166" t="str">
        <f t="shared" si="90"/>
        <v/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str">
        <f>IF('Cable Info'!L89="","",CONCATENATE('Cable Info'!L89," - ",'Cable Info'!M89))</f>
        <v/>
      </c>
      <c r="AM389" s="166" t="str">
        <f t="shared" si="90"/>
        <v/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str">
        <f>IF('Cable Info'!L90="","",CONCATENATE('Cable Info'!L90," - ",'Cable Info'!M90))</f>
        <v/>
      </c>
      <c r="AM390" s="166" t="str">
        <f t="shared" si="90"/>
        <v/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str">
        <f>IF('Cable Info'!L91="","",CONCATENATE('Cable Info'!L91," - ",'Cable Info'!M91))</f>
        <v/>
      </c>
      <c r="AM391" s="166" t="str">
        <f t="shared" si="90"/>
        <v/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str">
        <f>IF('Cable Info'!L92="","",CONCATENATE('Cable Info'!L92," - ",'Cable Info'!M92))</f>
        <v/>
      </c>
      <c r="AM392" s="166" t="str">
        <f t="shared" si="90"/>
        <v/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str">
        <f>IF('Cable Info'!L93="","",CONCATENATE('Cable Info'!L93," - ",'Cable Info'!M93))</f>
        <v/>
      </c>
      <c r="AM393" s="166" t="str">
        <f t="shared" si="90"/>
        <v/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str">
        <f>IF('Cable Info'!L94="","",CONCATENATE('Cable Info'!L94," - ",'Cable Info'!M94))</f>
        <v/>
      </c>
      <c r="AM394" s="166" t="str">
        <f t="shared" si="90"/>
        <v/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str">
        <f>IF('Cable Info'!L95="","",CONCATENATE('Cable Info'!L95," - ",'Cable Info'!M95))</f>
        <v/>
      </c>
      <c r="AM395" s="166" t="str">
        <f t="shared" si="90"/>
        <v/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str">
        <f>IF('Cable Info'!L96="","",CONCATENATE('Cable Info'!L96," - ",'Cable Info'!M96))</f>
        <v/>
      </c>
      <c r="AM396" s="166" t="str">
        <f t="shared" si="90"/>
        <v/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str">
        <f>IF('Cable Info'!L97="","",CONCATENATE('Cable Info'!L97," - ",'Cable Info'!M97))</f>
        <v/>
      </c>
      <c r="AM397" s="166" t="str">
        <f t="shared" si="90"/>
        <v/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str">
        <f>IF('Cable Info'!L98="","",CONCATENATE('Cable Info'!L98," - ",'Cable Info'!M98))</f>
        <v/>
      </c>
      <c r="AM398" s="166" t="str">
        <f t="shared" si="90"/>
        <v/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str">
        <f>IF('Cable Info'!L99="","",CONCATENATE('Cable Info'!L99," - ",'Cable Info'!M99))</f>
        <v/>
      </c>
      <c r="AM399" s="166" t="str">
        <f t="shared" si="90"/>
        <v/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str">
        <f>IF('Cable Info'!L100="","",CONCATENATE('Cable Info'!L100," - ",'Cable Info'!M100))</f>
        <v/>
      </c>
      <c r="AM400" s="166" t="str">
        <f t="shared" si="90"/>
        <v/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str">
        <f>IF('Cable Info'!L101="","",CONCATENATE('Cable Info'!L101," - ",'Cable Info'!M101))</f>
        <v/>
      </c>
      <c r="AM401" s="166" t="str">
        <f t="shared" si="90"/>
        <v/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str">
        <f>IF('Cable Info'!L102="","",CONCATENATE('Cable Info'!L102," - ",'Cable Info'!M102))</f>
        <v/>
      </c>
      <c r="AM402" s="166" t="str">
        <f t="shared" si="90"/>
        <v/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str">
        <f>IF('Cable Info'!L103="","",CONCATENATE('Cable Info'!L103," - ",'Cable Info'!M103))</f>
        <v/>
      </c>
      <c r="AM403" s="166" t="str">
        <f t="shared" si="90"/>
        <v/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str">
        <f>IF('Cable Info'!L104="","",CONCATENATE('Cable Info'!L104," - ",'Cable Info'!M104))</f>
        <v/>
      </c>
      <c r="AM404" s="166" t="str">
        <f t="shared" si="90"/>
        <v/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str">
        <f>IF('Cable Info'!L105="","",CONCATENATE('Cable Info'!L105," - ",'Cable Info'!M105))</f>
        <v/>
      </c>
      <c r="AM405" s="166" t="str">
        <f t="shared" si="90"/>
        <v/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str">
        <f>IF('Cable Info'!L106="","",CONCATENATE('Cable Info'!L106," - ",'Cable Info'!M106))</f>
        <v/>
      </c>
      <c r="AM406" s="166" t="str">
        <f t="shared" si="90"/>
        <v/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str">
        <f>IF('Cable Info'!L107="","",CONCATENATE('Cable Info'!L107," - ",'Cable Info'!M107))</f>
        <v/>
      </c>
      <c r="AM407" s="166" t="str">
        <f t="shared" si="90"/>
        <v/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str">
        <f>IF('Cable Info'!L108="","",CONCATENATE('Cable Info'!L108," - ",'Cable Info'!M108))</f>
        <v/>
      </c>
      <c r="AM408" s="166" t="str">
        <f t="shared" si="90"/>
        <v/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str">
        <f>IF('Cable Info'!L109="","",CONCATENATE('Cable Info'!L109," - ",'Cable Info'!M109))</f>
        <v/>
      </c>
      <c r="AM409" s="166" t="str">
        <f t="shared" si="90"/>
        <v/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str">
        <f>IF('Cable Info'!L110="","",CONCATENATE('Cable Info'!L110," - ",'Cable Info'!M110))</f>
        <v/>
      </c>
      <c r="AM410" s="166" t="str">
        <f t="shared" si="90"/>
        <v/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str">
        <f>IF('Cable Info'!L111="","",CONCATENATE('Cable Info'!L111," - ",'Cable Info'!M111))</f>
        <v/>
      </c>
      <c r="AM411" s="166" t="str">
        <f t="shared" si="90"/>
        <v/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str">
        <f>IF('Cable Info'!L112="","",CONCATENATE('Cable Info'!L112," - ",'Cable Info'!M112))</f>
        <v/>
      </c>
      <c r="AM412" s="166" t="str">
        <f t="shared" si="90"/>
        <v/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str">
        <f>IF('Cable Info'!L113="","",CONCATENATE('Cable Info'!L113," - ",'Cable Info'!M113))</f>
        <v/>
      </c>
      <c r="AM413" s="166" t="str">
        <f t="shared" si="90"/>
        <v/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str">
        <f>IF('Cable Info'!L114="","",CONCATENATE('Cable Info'!L114," - ",'Cable Info'!M114))</f>
        <v/>
      </c>
      <c r="AM414" s="166" t="str">
        <f t="shared" si="90"/>
        <v/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str">
        <f>IF('Cable Info'!L115="","",CONCATENATE('Cable Info'!L115," - ",'Cable Info'!M115))</f>
        <v/>
      </c>
      <c r="AM415" s="166" t="str">
        <f t="shared" si="90"/>
        <v/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str">
        <f>IF('Cable Info'!L116="","",CONCATENATE('Cable Info'!L116," - ",'Cable Info'!M116))</f>
        <v/>
      </c>
      <c r="AM416" s="166" t="str">
        <f t="shared" si="90"/>
        <v/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str">
        <f>IF('Cable Info'!L117="","",CONCATENATE('Cable Info'!L117," - ",'Cable Info'!M117))</f>
        <v/>
      </c>
      <c r="AM417" s="166" t="str">
        <f t="shared" si="90"/>
        <v/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str">
        <f>IF('Cable Info'!L118="","",CONCATENATE('Cable Info'!L118," - ",'Cable Info'!M118))</f>
        <v/>
      </c>
      <c r="AM418" s="166" t="str">
        <f t="shared" si="90"/>
        <v/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str">
        <f>IF('Cable Info'!L119="","",CONCATENATE('Cable Info'!L119," - ",'Cable Info'!M119))</f>
        <v/>
      </c>
      <c r="AM419" s="166" t="str">
        <f t="shared" si="90"/>
        <v/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str">
        <f>IF('Cable Info'!L120="","",CONCATENATE('Cable Info'!L120," - ",'Cable Info'!M120))</f>
        <v/>
      </c>
      <c r="AM420" s="166" t="str">
        <f t="shared" si="90"/>
        <v/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str">
        <f>IF('Cable Info'!L121="","",CONCATENATE('Cable Info'!L121," - ",'Cable Info'!M121))</f>
        <v/>
      </c>
      <c r="AM421" s="166" t="str">
        <f t="shared" si="90"/>
        <v/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str">
        <f>IF('Cable Info'!L122="","",CONCATENATE('Cable Info'!L122," - ",'Cable Info'!M122))</f>
        <v/>
      </c>
      <c r="AM422" s="166" t="str">
        <f t="shared" si="90"/>
        <v/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str">
        <f>IF('Cable Info'!L123="","",CONCATENATE('Cable Info'!L123," - ",'Cable Info'!M123))</f>
        <v/>
      </c>
      <c r="AM423" s="166" t="str">
        <f t="shared" si="90"/>
        <v/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str">
        <f>IF('Cable Info'!L124="","",CONCATENATE('Cable Info'!L124," - ",'Cable Info'!M124))</f>
        <v/>
      </c>
      <c r="AM424" s="166" t="str">
        <f t="shared" si="90"/>
        <v/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str">
        <f>IF('Cable Info'!L125="","",CONCATENATE('Cable Info'!L125," - ",'Cable Info'!M125))</f>
        <v/>
      </c>
      <c r="AM425" s="166" t="str">
        <f t="shared" si="90"/>
        <v/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str">
        <f>IF('Cable Info'!L126="","",CONCATENATE('Cable Info'!L126," - ",'Cable Info'!M126))</f>
        <v/>
      </c>
      <c r="AM426" s="166" t="str">
        <f t="shared" si="90"/>
        <v/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str">
        <f>IF('Cable Info'!L127="","",CONCATENATE('Cable Info'!L127," - ",'Cable Info'!M127))</f>
        <v/>
      </c>
      <c r="AM427" s="166" t="str">
        <f t="shared" si="90"/>
        <v/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str">
        <f>IF('Cable Info'!L128="","",CONCATENATE('Cable Info'!L128," - ",'Cable Info'!M128))</f>
        <v/>
      </c>
      <c r="AM428" s="166" t="str">
        <f t="shared" si="90"/>
        <v/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str">
        <f>IF('Cable Info'!L129="","",CONCATENATE('Cable Info'!L129," - ",'Cable Info'!M129))</f>
        <v/>
      </c>
      <c r="AM429" s="166" t="str">
        <f t="shared" si="90"/>
        <v/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str">
        <f>IF('Cable Info'!L130="","",CONCATENATE('Cable Info'!L130," - ",'Cable Info'!M130))</f>
        <v/>
      </c>
      <c r="AM430" s="166" t="str">
        <f t="shared" si="90"/>
        <v/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str">
        <f>IF('Cable Info'!L131="","",CONCATENATE('Cable Info'!L131," - ",'Cable Info'!M131))</f>
        <v/>
      </c>
      <c r="AM431" s="166" t="str">
        <f t="shared" si="90"/>
        <v/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str">
        <f>IF('Cable Info'!L132="","",CONCATENATE('Cable Info'!L132," - ",'Cable Info'!M132))</f>
        <v/>
      </c>
      <c r="AM432" s="166" t="str">
        <f t="shared" ref="AM432:AM495" si="96">IF(AK432="",AJ432,CONCATENATE(AJ432,"  &lt;=&gt; ",AK432," ",AL432))</f>
        <v/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str">
        <f>IF('Cable Info'!L133="","",CONCATENATE('Cable Info'!L133," - ",'Cable Info'!M133))</f>
        <v/>
      </c>
      <c r="AM433" s="166" t="str">
        <f t="shared" si="96"/>
        <v/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str">
        <f>IF('Cable Info'!L134="","",CONCATENATE('Cable Info'!L134," - ",'Cable Info'!M134))</f>
        <v/>
      </c>
      <c r="AM434" s="166" t="str">
        <f t="shared" si="96"/>
        <v/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str">
        <f>IF('Cable Info'!L135="","",CONCATENATE('Cable Info'!L135," - ",'Cable Info'!M135))</f>
        <v/>
      </c>
      <c r="AM435" s="166" t="str">
        <f t="shared" si="96"/>
        <v/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str">
        <f>IF('Cable Info'!L136="","",CONCATENATE('Cable Info'!L136," - ",'Cable Info'!M136))</f>
        <v/>
      </c>
      <c r="AM436" s="166" t="str">
        <f t="shared" si="96"/>
        <v/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str">
        <f>IF('Cable Info'!L137="","",CONCATENATE('Cable Info'!L137," - ",'Cable Info'!M137))</f>
        <v/>
      </c>
      <c r="AM437" s="166" t="str">
        <f t="shared" si="96"/>
        <v/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str">
        <f>IF('Cable Info'!L138="","",CONCATENATE('Cable Info'!L138," - ",'Cable Info'!M138))</f>
        <v/>
      </c>
      <c r="AM438" s="166" t="str">
        <f t="shared" si="96"/>
        <v/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str">
        <f>IF('Cable Info'!L139="","",CONCATENATE('Cable Info'!L139," - ",'Cable Info'!M139))</f>
        <v/>
      </c>
      <c r="AM439" s="166" t="str">
        <f t="shared" si="96"/>
        <v/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str">
        <f>IF('Cable Info'!L140="","",CONCATENATE('Cable Info'!L140," - ",'Cable Info'!M140))</f>
        <v/>
      </c>
      <c r="AM440" s="166" t="str">
        <f t="shared" si="96"/>
        <v/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str">
        <f>IF('Cable Info'!L141="","",CONCATENATE('Cable Info'!L141," - ",'Cable Info'!M141))</f>
        <v/>
      </c>
      <c r="AM441" s="166" t="str">
        <f t="shared" si="96"/>
        <v/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str">
        <f>IF('Cable Info'!L142="","",CONCATENATE('Cable Info'!L142," - ",'Cable Info'!M142))</f>
        <v/>
      </c>
      <c r="AM442" s="166" t="str">
        <f t="shared" si="96"/>
        <v/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str">
        <f>IF('Cable Info'!L143="","",CONCATENATE('Cable Info'!L143," - ",'Cable Info'!M143))</f>
        <v/>
      </c>
      <c r="AM443" s="166" t="str">
        <f t="shared" si="96"/>
        <v/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str">
        <f>IF('Cable Info'!L144="","",CONCATENATE('Cable Info'!L144," - ",'Cable Info'!M144))</f>
        <v/>
      </c>
      <c r="AM444" s="166" t="str">
        <f t="shared" si="96"/>
        <v/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str">
        <f>IF('Cable Info'!L145="","",CONCATENATE('Cable Info'!L145," - ",'Cable Info'!M145))</f>
        <v/>
      </c>
      <c r="AM445" s="166" t="str">
        <f t="shared" si="96"/>
        <v/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D6:G6"/>
    <mergeCell ref="I6:L6"/>
    <mergeCell ref="B2:C2"/>
    <mergeCell ref="U2:W2"/>
    <mergeCell ref="B3:C4"/>
    <mergeCell ref="U3:W4"/>
    <mergeCell ref="G5:I5"/>
    <mergeCell ref="B7:P7"/>
    <mergeCell ref="R7:W7"/>
    <mergeCell ref="CL8:CL9"/>
    <mergeCell ref="E9:G9"/>
    <mergeCell ref="I9:K9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B10:P384 R10:W384">
    <cfRule type="expression" dxfId="6" priority="7">
      <formula>$X10=12</formula>
    </cfRule>
  </conditionalFormatting>
  <conditionalFormatting sqref="B10:P384 R10:W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B10:P384 R10:X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2017-03-31T23:12:43Z</dcterms:modified>
</cp:coreProperties>
</file>