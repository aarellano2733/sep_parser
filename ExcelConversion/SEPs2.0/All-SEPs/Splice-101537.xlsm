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15555" windowHeight="1192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Table'!$A$10:$X$41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M23" i="5"/>
  <c r="E43" i="5" l="1"/>
  <c r="D3" i="10" l="1"/>
  <c r="B3" i="10"/>
  <c r="C7" i="10"/>
  <c r="B7" i="10"/>
  <c r="J43" i="5" l="1"/>
  <c r="J42" i="5"/>
  <c r="J41" i="5"/>
  <c r="J40" i="5"/>
  <c r="J39" i="5"/>
  <c r="J38" i="5"/>
  <c r="J37" i="5"/>
  <c r="J36" i="5"/>
  <c r="J35" i="5"/>
  <c r="J34" i="5"/>
  <c r="J33" i="5"/>
  <c r="J32" i="5"/>
  <c r="J31" i="5" l="1"/>
  <c r="C12" i="5" l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M863" i="6"/>
  <c r="L863" i="6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Q852" i="6"/>
  <c r="P852" i="6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Q848" i="6"/>
  <c r="P848" i="6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U837" i="6"/>
  <c r="T837" i="6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Q834" i="6"/>
  <c r="P834" i="6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Q820" i="6"/>
  <c r="P820" i="6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Q812" i="6"/>
  <c r="P812" i="6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U797" i="6"/>
  <c r="T797" i="6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Q795" i="6"/>
  <c r="P795" i="6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U793" i="6"/>
  <c r="T793" i="6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Q785" i="6"/>
  <c r="P785" i="6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S764" i="6"/>
  <c r="R764" i="6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S748" i="6"/>
  <c r="R748" i="6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O743" i="6"/>
  <c r="N743" i="6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W721" i="6"/>
  <c r="V721" i="6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W709" i="6"/>
  <c r="V709" i="6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W705" i="6"/>
  <c r="V705" i="6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W702" i="6"/>
  <c r="V702" i="6"/>
  <c r="T702" i="6"/>
  <c r="U702" i="6" s="1"/>
  <c r="R702" i="6"/>
  <c r="S702" i="6" s="1"/>
  <c r="P702" i="6"/>
  <c r="Q702" i="6" s="1"/>
  <c r="N702" i="6"/>
  <c r="O702" i="6" s="1"/>
  <c r="L702" i="6"/>
  <c r="M702" i="6" s="1"/>
  <c r="W701" i="6"/>
  <c r="V701" i="6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S698" i="6"/>
  <c r="R698" i="6"/>
  <c r="P698" i="6"/>
  <c r="Q698" i="6" s="1"/>
  <c r="O698" i="6"/>
  <c r="N698" i="6"/>
  <c r="L698" i="6"/>
  <c r="M698" i="6" s="1"/>
  <c r="V697" i="6"/>
  <c r="W697" i="6" s="1"/>
  <c r="T697" i="6"/>
  <c r="U697" i="6" s="1"/>
  <c r="R697" i="6"/>
  <c r="S697" i="6" s="1"/>
  <c r="P697" i="6"/>
  <c r="Q697" i="6" s="1"/>
  <c r="O697" i="6"/>
  <c r="N697" i="6"/>
  <c r="L697" i="6"/>
  <c r="M697" i="6" s="1"/>
  <c r="V696" i="6"/>
  <c r="W696" i="6" s="1"/>
  <c r="U696" i="6"/>
  <c r="T696" i="6"/>
  <c r="R696" i="6"/>
  <c r="S696" i="6" s="1"/>
  <c r="P696" i="6"/>
  <c r="Q696" i="6" s="1"/>
  <c r="N696" i="6"/>
  <c r="O696" i="6" s="1"/>
  <c r="L696" i="6"/>
  <c r="M696" i="6" s="1"/>
  <c r="V695" i="6"/>
  <c r="W695" i="6" s="1"/>
  <c r="U695" i="6"/>
  <c r="T695" i="6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S694" i="6"/>
  <c r="R694" i="6"/>
  <c r="P694" i="6"/>
  <c r="Q694" i="6" s="1"/>
  <c r="O694" i="6"/>
  <c r="N694" i="6"/>
  <c r="L694" i="6"/>
  <c r="M694" i="6" s="1"/>
  <c r="V693" i="6"/>
  <c r="W693" i="6" s="1"/>
  <c r="T693" i="6"/>
  <c r="U693" i="6" s="1"/>
  <c r="R693" i="6"/>
  <c r="S693" i="6" s="1"/>
  <c r="P693" i="6"/>
  <c r="Q693" i="6" s="1"/>
  <c r="O693" i="6"/>
  <c r="N693" i="6"/>
  <c r="L693" i="6"/>
  <c r="M693" i="6" s="1"/>
  <c r="V692" i="6"/>
  <c r="W692" i="6" s="1"/>
  <c r="U692" i="6"/>
  <c r="T692" i="6"/>
  <c r="R692" i="6"/>
  <c r="S692" i="6" s="1"/>
  <c r="P692" i="6"/>
  <c r="Q692" i="6" s="1"/>
  <c r="N692" i="6"/>
  <c r="O692" i="6" s="1"/>
  <c r="L692" i="6"/>
  <c r="M692" i="6" s="1"/>
  <c r="V691" i="6"/>
  <c r="W691" i="6" s="1"/>
  <c r="U691" i="6"/>
  <c r="T691" i="6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N690" i="6"/>
  <c r="O690" i="6" s="1"/>
  <c r="L690" i="6"/>
  <c r="M690" i="6" s="1"/>
  <c r="W689" i="6"/>
  <c r="V689" i="6"/>
  <c r="T689" i="6"/>
  <c r="U689" i="6" s="1"/>
  <c r="S689" i="6"/>
  <c r="R689" i="6"/>
  <c r="P689" i="6"/>
  <c r="Q689" i="6" s="1"/>
  <c r="N689" i="6"/>
  <c r="O689" i="6" s="1"/>
  <c r="L689" i="6"/>
  <c r="M689" i="6" s="1"/>
  <c r="V688" i="6"/>
  <c r="W688" i="6" s="1"/>
  <c r="T688" i="6"/>
  <c r="U688" i="6" s="1"/>
  <c r="R688" i="6"/>
  <c r="S688" i="6" s="1"/>
  <c r="Q688" i="6"/>
  <c r="P688" i="6"/>
  <c r="N688" i="6"/>
  <c r="O688" i="6" s="1"/>
  <c r="L688" i="6"/>
  <c r="M688" i="6" s="1"/>
  <c r="V687" i="6"/>
  <c r="W687" i="6" s="1"/>
  <c r="T687" i="6"/>
  <c r="U687" i="6" s="1"/>
  <c r="R687" i="6"/>
  <c r="S687" i="6" s="1"/>
  <c r="Q687" i="6"/>
  <c r="P687" i="6"/>
  <c r="N687" i="6"/>
  <c r="O687" i="6" s="1"/>
  <c r="L687" i="6"/>
  <c r="M687" i="6" s="1"/>
  <c r="W686" i="6"/>
  <c r="V686" i="6"/>
  <c r="T686" i="6"/>
  <c r="U686" i="6" s="1"/>
  <c r="R686" i="6"/>
  <c r="S686" i="6" s="1"/>
  <c r="P686" i="6"/>
  <c r="Q686" i="6" s="1"/>
  <c r="N686" i="6"/>
  <c r="O686" i="6" s="1"/>
  <c r="L686" i="6"/>
  <c r="M686" i="6" s="1"/>
  <c r="V685" i="6"/>
  <c r="W685" i="6" s="1"/>
  <c r="T685" i="6"/>
  <c r="U685" i="6" s="1"/>
  <c r="S685" i="6"/>
  <c r="R685" i="6"/>
  <c r="P685" i="6"/>
  <c r="Q685" i="6" s="1"/>
  <c r="O685" i="6"/>
  <c r="N685" i="6"/>
  <c r="L685" i="6"/>
  <c r="M685" i="6" s="1"/>
  <c r="V684" i="6"/>
  <c r="W684" i="6" s="1"/>
  <c r="U684" i="6"/>
  <c r="T684" i="6"/>
  <c r="R684" i="6"/>
  <c r="S684" i="6" s="1"/>
  <c r="Q684" i="6"/>
  <c r="P684" i="6"/>
  <c r="N684" i="6"/>
  <c r="O684" i="6" s="1"/>
  <c r="L684" i="6"/>
  <c r="M684" i="6" s="1"/>
  <c r="V683" i="6"/>
  <c r="W683" i="6" s="1"/>
  <c r="T683" i="6"/>
  <c r="U683" i="6" s="1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W681" i="6"/>
  <c r="V681" i="6"/>
  <c r="T681" i="6"/>
  <c r="U681" i="6" s="1"/>
  <c r="S681" i="6"/>
  <c r="R681" i="6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W677" i="6"/>
  <c r="V677" i="6"/>
  <c r="T677" i="6"/>
  <c r="U677" i="6" s="1"/>
  <c r="S677" i="6"/>
  <c r="R677" i="6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S674" i="6"/>
  <c r="R674" i="6"/>
  <c r="P674" i="6"/>
  <c r="Q674" i="6" s="1"/>
  <c r="O674" i="6"/>
  <c r="N674" i="6"/>
  <c r="L674" i="6"/>
  <c r="M674" i="6" s="1"/>
  <c r="V673" i="6"/>
  <c r="W673" i="6" s="1"/>
  <c r="T673" i="6"/>
  <c r="U673" i="6" s="1"/>
  <c r="R673" i="6"/>
  <c r="S673" i="6" s="1"/>
  <c r="P673" i="6"/>
  <c r="Q673" i="6" s="1"/>
  <c r="O673" i="6"/>
  <c r="N673" i="6"/>
  <c r="L673" i="6"/>
  <c r="M673" i="6" s="1"/>
  <c r="W672" i="6"/>
  <c r="V672" i="6"/>
  <c r="T672" i="6"/>
  <c r="U672" i="6" s="1"/>
  <c r="S672" i="6"/>
  <c r="R672" i="6"/>
  <c r="P672" i="6"/>
  <c r="Q672" i="6" s="1"/>
  <c r="O672" i="6"/>
  <c r="N672" i="6"/>
  <c r="L672" i="6"/>
  <c r="M672" i="6" s="1"/>
  <c r="V671" i="6"/>
  <c r="W671" i="6" s="1"/>
  <c r="U671" i="6"/>
  <c r="T671" i="6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O670" i="6"/>
  <c r="N670" i="6"/>
  <c r="L670" i="6"/>
  <c r="M670" i="6" s="1"/>
  <c r="V669" i="6"/>
  <c r="W669" i="6" s="1"/>
  <c r="T669" i="6"/>
  <c r="U669" i="6" s="1"/>
  <c r="R669" i="6"/>
  <c r="S669" i="6" s="1"/>
  <c r="P669" i="6"/>
  <c r="Q669" i="6" s="1"/>
  <c r="O669" i="6"/>
  <c r="N669" i="6"/>
  <c r="L669" i="6"/>
  <c r="M669" i="6" s="1"/>
  <c r="V668" i="6"/>
  <c r="W668" i="6" s="1"/>
  <c r="U668" i="6"/>
  <c r="T668" i="6"/>
  <c r="R668" i="6"/>
  <c r="S668" i="6" s="1"/>
  <c r="Q668" i="6"/>
  <c r="P668" i="6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W666" i="6"/>
  <c r="V666" i="6"/>
  <c r="T666" i="6"/>
  <c r="U666" i="6" s="1"/>
  <c r="S666" i="6"/>
  <c r="R666" i="6"/>
  <c r="P666" i="6"/>
  <c r="Q666" i="6" s="1"/>
  <c r="O666" i="6"/>
  <c r="N666" i="6"/>
  <c r="L666" i="6"/>
  <c r="M666" i="6" s="1"/>
  <c r="V665" i="6"/>
  <c r="W665" i="6" s="1"/>
  <c r="T665" i="6"/>
  <c r="U665" i="6" s="1"/>
  <c r="R665" i="6"/>
  <c r="S665" i="6" s="1"/>
  <c r="P665" i="6"/>
  <c r="Q665" i="6" s="1"/>
  <c r="O665" i="6"/>
  <c r="N665" i="6"/>
  <c r="L665" i="6"/>
  <c r="M665" i="6" s="1"/>
  <c r="V664" i="6"/>
  <c r="W664" i="6" s="1"/>
  <c r="U664" i="6"/>
  <c r="T664" i="6"/>
  <c r="R664" i="6"/>
  <c r="S664" i="6" s="1"/>
  <c r="Q664" i="6"/>
  <c r="P664" i="6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U662" i="6"/>
  <c r="T662" i="6"/>
  <c r="R662" i="6"/>
  <c r="S662" i="6" s="1"/>
  <c r="Q662" i="6"/>
  <c r="P662" i="6"/>
  <c r="N662" i="6"/>
  <c r="O662" i="6" s="1"/>
  <c r="L662" i="6"/>
  <c r="M662" i="6" s="1"/>
  <c r="W661" i="6"/>
  <c r="V661" i="6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Q660" i="6"/>
  <c r="P660" i="6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Q658" i="6"/>
  <c r="P658" i="6"/>
  <c r="N658" i="6"/>
  <c r="O658" i="6" s="1"/>
  <c r="L658" i="6"/>
  <c r="M658" i="6" s="1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 s="1"/>
  <c r="W656" i="6"/>
  <c r="V656" i="6"/>
  <c r="T656" i="6"/>
  <c r="U656" i="6" s="1"/>
  <c r="S656" i="6"/>
  <c r="R656" i="6"/>
  <c r="P656" i="6"/>
  <c r="Q656" i="6" s="1"/>
  <c r="O656" i="6"/>
  <c r="N656" i="6"/>
  <c r="L656" i="6"/>
  <c r="M656" i="6" s="1"/>
  <c r="V655" i="6"/>
  <c r="W655" i="6" s="1"/>
  <c r="T655" i="6"/>
  <c r="U655" i="6" s="1"/>
  <c r="S655" i="6"/>
  <c r="R655" i="6"/>
  <c r="P655" i="6"/>
  <c r="Q655" i="6" s="1"/>
  <c r="O655" i="6"/>
  <c r="N655" i="6"/>
  <c r="L655" i="6"/>
  <c r="M655" i="6" s="1"/>
  <c r="V654" i="6"/>
  <c r="W654" i="6" s="1"/>
  <c r="U654" i="6"/>
  <c r="T654" i="6"/>
  <c r="R654" i="6"/>
  <c r="S654" i="6" s="1"/>
  <c r="Q654" i="6"/>
  <c r="P654" i="6"/>
  <c r="N654" i="6"/>
  <c r="O654" i="6" s="1"/>
  <c r="L654" i="6"/>
  <c r="M654" i="6" s="1"/>
  <c r="V653" i="6"/>
  <c r="W653" i="6" s="1"/>
  <c r="U653" i="6"/>
  <c r="T653" i="6"/>
  <c r="R653" i="6"/>
  <c r="S653" i="6" s="1"/>
  <c r="Q653" i="6"/>
  <c r="P653" i="6"/>
  <c r="N653" i="6"/>
  <c r="O653" i="6" s="1"/>
  <c r="L653" i="6"/>
  <c r="M653" i="6" s="1"/>
  <c r="W652" i="6"/>
  <c r="V652" i="6"/>
  <c r="T652" i="6"/>
  <c r="U652" i="6" s="1"/>
  <c r="R652" i="6"/>
  <c r="S652" i="6" s="1"/>
  <c r="P652" i="6"/>
  <c r="Q652" i="6" s="1"/>
  <c r="O652" i="6"/>
  <c r="N652" i="6"/>
  <c r="L652" i="6"/>
  <c r="M652" i="6" s="1"/>
  <c r="W651" i="6"/>
  <c r="V651" i="6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Q650" i="6"/>
  <c r="P650" i="6"/>
  <c r="N650" i="6"/>
  <c r="O650" i="6" s="1"/>
  <c r="L650" i="6"/>
  <c r="M650" i="6" s="1"/>
  <c r="V649" i="6"/>
  <c r="W649" i="6" s="1"/>
  <c r="T649" i="6"/>
  <c r="U649" i="6" s="1"/>
  <c r="R649" i="6"/>
  <c r="S649" i="6" s="1"/>
  <c r="Q649" i="6"/>
  <c r="P649" i="6"/>
  <c r="N649" i="6"/>
  <c r="O649" i="6" s="1"/>
  <c r="L649" i="6"/>
  <c r="M649" i="6" s="1"/>
  <c r="W648" i="6"/>
  <c r="V648" i="6"/>
  <c r="T648" i="6"/>
  <c r="U648" i="6" s="1"/>
  <c r="S648" i="6"/>
  <c r="R648" i="6"/>
  <c r="P648" i="6"/>
  <c r="Q648" i="6" s="1"/>
  <c r="N648" i="6"/>
  <c r="O648" i="6" s="1"/>
  <c r="L648" i="6"/>
  <c r="M648" i="6" s="1"/>
  <c r="V647" i="6"/>
  <c r="W647" i="6" s="1"/>
  <c r="T647" i="6"/>
  <c r="U647" i="6" s="1"/>
  <c r="S647" i="6"/>
  <c r="R647" i="6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O644" i="6"/>
  <c r="N644" i="6"/>
  <c r="L644" i="6"/>
  <c r="M644" i="6" s="1"/>
  <c r="V643" i="6"/>
  <c r="W643" i="6" s="1"/>
  <c r="T643" i="6"/>
  <c r="U643" i="6" s="1"/>
  <c r="S643" i="6"/>
  <c r="R643" i="6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Q642" i="6"/>
  <c r="P642" i="6"/>
  <c r="N642" i="6"/>
  <c r="O642" i="6" s="1"/>
  <c r="L642" i="6"/>
  <c r="M642" i="6" s="1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W640" i="6"/>
  <c r="V640" i="6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S639" i="6"/>
  <c r="R639" i="6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Q638" i="6"/>
  <c r="P638" i="6"/>
  <c r="N638" i="6"/>
  <c r="O638" i="6" s="1"/>
  <c r="L638" i="6"/>
  <c r="M638" i="6" s="1"/>
  <c r="V637" i="6"/>
  <c r="W637" i="6" s="1"/>
  <c r="T637" i="6"/>
  <c r="U637" i="6" s="1"/>
  <c r="R637" i="6"/>
  <c r="S637" i="6" s="1"/>
  <c r="Q637" i="6"/>
  <c r="P637" i="6"/>
  <c r="N637" i="6"/>
  <c r="O637" i="6" s="1"/>
  <c r="L637" i="6"/>
  <c r="M637" i="6" s="1"/>
  <c r="W636" i="6"/>
  <c r="V636" i="6"/>
  <c r="T636" i="6"/>
  <c r="U636" i="6" s="1"/>
  <c r="R636" i="6"/>
  <c r="S636" i="6" s="1"/>
  <c r="P636" i="6"/>
  <c r="Q636" i="6" s="1"/>
  <c r="O636" i="6"/>
  <c r="N636" i="6"/>
  <c r="L636" i="6"/>
  <c r="M636" i="6" s="1"/>
  <c r="W635" i="6"/>
  <c r="V635" i="6"/>
  <c r="T635" i="6"/>
  <c r="U635" i="6" s="1"/>
  <c r="S635" i="6"/>
  <c r="R635" i="6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Q634" i="6"/>
  <c r="P634" i="6"/>
  <c r="N634" i="6"/>
  <c r="O634" i="6" s="1"/>
  <c r="L634" i="6"/>
  <c r="M634" i="6" s="1"/>
  <c r="V633" i="6"/>
  <c r="W633" i="6" s="1"/>
  <c r="T633" i="6"/>
  <c r="U633" i="6" s="1"/>
  <c r="R633" i="6"/>
  <c r="S633" i="6" s="1"/>
  <c r="Q633" i="6"/>
  <c r="P633" i="6"/>
  <c r="N633" i="6"/>
  <c r="O633" i="6" s="1"/>
  <c r="L633" i="6"/>
  <c r="M633" i="6" s="1"/>
  <c r="W632" i="6"/>
  <c r="V632" i="6"/>
  <c r="T632" i="6"/>
  <c r="U632" i="6" s="1"/>
  <c r="R632" i="6"/>
  <c r="S632" i="6" s="1"/>
  <c r="P632" i="6"/>
  <c r="Q632" i="6" s="1"/>
  <c r="O632" i="6"/>
  <c r="N632" i="6"/>
  <c r="L632" i="6"/>
  <c r="M632" i="6" s="1"/>
  <c r="V631" i="6"/>
  <c r="W631" i="6" s="1"/>
  <c r="T631" i="6"/>
  <c r="U631" i="6" s="1"/>
  <c r="S631" i="6"/>
  <c r="R631" i="6"/>
  <c r="P631" i="6"/>
  <c r="Q631" i="6" s="1"/>
  <c r="O631" i="6"/>
  <c r="N631" i="6"/>
  <c r="L631" i="6"/>
  <c r="M631" i="6" s="1"/>
  <c r="V630" i="6"/>
  <c r="W630" i="6" s="1"/>
  <c r="U630" i="6"/>
  <c r="T630" i="6"/>
  <c r="R630" i="6"/>
  <c r="S630" i="6" s="1"/>
  <c r="Q630" i="6"/>
  <c r="P630" i="6"/>
  <c r="N630" i="6"/>
  <c r="O630" i="6" s="1"/>
  <c r="L630" i="6"/>
  <c r="M630" i="6" s="1"/>
  <c r="V629" i="6"/>
  <c r="W629" i="6" s="1"/>
  <c r="U629" i="6"/>
  <c r="T629" i="6"/>
  <c r="R629" i="6"/>
  <c r="S629" i="6" s="1"/>
  <c r="Q629" i="6"/>
  <c r="P629" i="6"/>
  <c r="N629" i="6"/>
  <c r="O629" i="6" s="1"/>
  <c r="L629" i="6"/>
  <c r="M629" i="6" s="1"/>
  <c r="W628" i="6"/>
  <c r="V628" i="6"/>
  <c r="T628" i="6"/>
  <c r="U628" i="6" s="1"/>
  <c r="R628" i="6"/>
  <c r="S628" i="6" s="1"/>
  <c r="P628" i="6"/>
  <c r="Q628" i="6" s="1"/>
  <c r="O628" i="6"/>
  <c r="N628" i="6"/>
  <c r="L628" i="6"/>
  <c r="M628" i="6" s="1"/>
  <c r="W627" i="6"/>
  <c r="V627" i="6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Q626" i="6"/>
  <c r="P626" i="6"/>
  <c r="N626" i="6"/>
  <c r="O626" i="6" s="1"/>
  <c r="L626" i="6"/>
  <c r="M626" i="6" s="1"/>
  <c r="V625" i="6"/>
  <c r="W625" i="6" s="1"/>
  <c r="T625" i="6"/>
  <c r="U625" i="6" s="1"/>
  <c r="R625" i="6"/>
  <c r="S625" i="6" s="1"/>
  <c r="Q625" i="6"/>
  <c r="P625" i="6"/>
  <c r="N625" i="6"/>
  <c r="O625" i="6" s="1"/>
  <c r="L625" i="6"/>
  <c r="M625" i="6" s="1"/>
  <c r="W624" i="6"/>
  <c r="V624" i="6"/>
  <c r="T624" i="6"/>
  <c r="U624" i="6" s="1"/>
  <c r="S624" i="6"/>
  <c r="R624" i="6"/>
  <c r="P624" i="6"/>
  <c r="Q624" i="6" s="1"/>
  <c r="O624" i="6"/>
  <c r="N624" i="6"/>
  <c r="L624" i="6"/>
  <c r="M624" i="6" s="1"/>
  <c r="V623" i="6"/>
  <c r="W623" i="6" s="1"/>
  <c r="T623" i="6"/>
  <c r="U623" i="6" s="1"/>
  <c r="S623" i="6"/>
  <c r="R623" i="6"/>
  <c r="P623" i="6"/>
  <c r="Q623" i="6" s="1"/>
  <c r="O623" i="6"/>
  <c r="N623" i="6"/>
  <c r="L623" i="6"/>
  <c r="M623" i="6" s="1"/>
  <c r="V622" i="6"/>
  <c r="W622" i="6" s="1"/>
  <c r="U622" i="6"/>
  <c r="T622" i="6"/>
  <c r="R622" i="6"/>
  <c r="S622" i="6" s="1"/>
  <c r="P622" i="6"/>
  <c r="Q622" i="6" s="1"/>
  <c r="N622" i="6"/>
  <c r="O622" i="6" s="1"/>
  <c r="L622" i="6"/>
  <c r="M622" i="6" s="1"/>
  <c r="V621" i="6"/>
  <c r="W621" i="6" s="1"/>
  <c r="U621" i="6"/>
  <c r="T621" i="6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O620" i="6"/>
  <c r="N620" i="6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Q618" i="6"/>
  <c r="P618" i="6"/>
  <c r="N618" i="6"/>
  <c r="O618" i="6" s="1"/>
  <c r="L618" i="6"/>
  <c r="M618" i="6" s="1"/>
  <c r="V617" i="6"/>
  <c r="W617" i="6" s="1"/>
  <c r="T617" i="6"/>
  <c r="U617" i="6" s="1"/>
  <c r="R617" i="6"/>
  <c r="S617" i="6" s="1"/>
  <c r="Q617" i="6"/>
  <c r="P617" i="6"/>
  <c r="N617" i="6"/>
  <c r="O617" i="6" s="1"/>
  <c r="L617" i="6"/>
  <c r="M617" i="6" s="1"/>
  <c r="W616" i="6"/>
  <c r="V616" i="6"/>
  <c r="T616" i="6"/>
  <c r="U616" i="6" s="1"/>
  <c r="S616" i="6"/>
  <c r="R616" i="6"/>
  <c r="P616" i="6"/>
  <c r="Q616" i="6" s="1"/>
  <c r="O616" i="6"/>
  <c r="N616" i="6"/>
  <c r="L616" i="6"/>
  <c r="M616" i="6" s="1"/>
  <c r="V615" i="6"/>
  <c r="W615" i="6" s="1"/>
  <c r="T615" i="6"/>
  <c r="U615" i="6" s="1"/>
  <c r="S615" i="6"/>
  <c r="R615" i="6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Q614" i="6"/>
  <c r="P614" i="6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O612" i="6"/>
  <c r="N612" i="6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U610" i="6"/>
  <c r="T610" i="6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W608" i="6"/>
  <c r="V608" i="6"/>
  <c r="T608" i="6"/>
  <c r="U608" i="6" s="1"/>
  <c r="S608" i="6"/>
  <c r="R608" i="6"/>
  <c r="P608" i="6"/>
  <c r="Q608" i="6" s="1"/>
  <c r="O608" i="6"/>
  <c r="N608" i="6"/>
  <c r="L608" i="6"/>
  <c r="M608" i="6" s="1"/>
  <c r="V607" i="6"/>
  <c r="W607" i="6" s="1"/>
  <c r="T607" i="6"/>
  <c r="U607" i="6" s="1"/>
  <c r="S607" i="6"/>
  <c r="R607" i="6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Q606" i="6"/>
  <c r="P606" i="6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W604" i="6"/>
  <c r="V604" i="6"/>
  <c r="U604" i="6"/>
  <c r="T604" i="6"/>
  <c r="S604" i="6"/>
  <c r="R604" i="6"/>
  <c r="Q604" i="6"/>
  <c r="P604" i="6"/>
  <c r="O604" i="6"/>
  <c r="N604" i="6"/>
  <c r="L604" i="6"/>
  <c r="M604" i="6" s="1"/>
  <c r="V603" i="6"/>
  <c r="W603" i="6" s="1"/>
  <c r="T603" i="6"/>
  <c r="U603" i="6" s="1"/>
  <c r="S603" i="6"/>
  <c r="R603" i="6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Q602" i="6"/>
  <c r="P602" i="6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O600" i="6"/>
  <c r="N600" i="6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Q598" i="6"/>
  <c r="P598" i="6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S596" i="6"/>
  <c r="R596" i="6"/>
  <c r="P596" i="6"/>
  <c r="Q596" i="6" s="1"/>
  <c r="O596" i="6"/>
  <c r="N596" i="6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W594" i="6"/>
  <c r="V594" i="6"/>
  <c r="U594" i="6"/>
  <c r="T594" i="6"/>
  <c r="S594" i="6"/>
  <c r="R594" i="6"/>
  <c r="Q594" i="6"/>
  <c r="P594" i="6"/>
  <c r="O594" i="6"/>
  <c r="N594" i="6"/>
  <c r="L594" i="6"/>
  <c r="M594" i="6" s="1"/>
  <c r="V593" i="6"/>
  <c r="W593" i="6" s="1"/>
  <c r="U593" i="6"/>
  <c r="T593" i="6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Q591" i="6"/>
  <c r="P591" i="6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O589" i="6"/>
  <c r="N589" i="6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U587" i="6"/>
  <c r="T587" i="6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W585" i="6"/>
  <c r="V585" i="6"/>
  <c r="T585" i="6"/>
  <c r="U585" i="6" s="1"/>
  <c r="S585" i="6"/>
  <c r="R585" i="6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U583" i="6"/>
  <c r="T583" i="6"/>
  <c r="R583" i="6"/>
  <c r="S583" i="6" s="1"/>
  <c r="Q583" i="6"/>
  <c r="P583" i="6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W581" i="6"/>
  <c r="V581" i="6"/>
  <c r="T581" i="6"/>
  <c r="U581" i="6" s="1"/>
  <c r="S581" i="6"/>
  <c r="R581" i="6"/>
  <c r="P581" i="6"/>
  <c r="Q581" i="6" s="1"/>
  <c r="O581" i="6"/>
  <c r="N581" i="6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U579" i="6"/>
  <c r="T579" i="6"/>
  <c r="R579" i="6"/>
  <c r="S579" i="6" s="1"/>
  <c r="Q579" i="6"/>
  <c r="P579" i="6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S577" i="6"/>
  <c r="R577" i="6"/>
  <c r="P577" i="6"/>
  <c r="Q577" i="6" s="1"/>
  <c r="O577" i="6"/>
  <c r="N577" i="6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Q575" i="6"/>
  <c r="P575" i="6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W573" i="6"/>
  <c r="V573" i="6"/>
  <c r="T573" i="6"/>
  <c r="U573" i="6" s="1"/>
  <c r="R573" i="6"/>
  <c r="S573" i="6" s="1"/>
  <c r="P573" i="6"/>
  <c r="Q573" i="6" s="1"/>
  <c r="O573" i="6"/>
  <c r="N573" i="6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U571" i="6"/>
  <c r="T571" i="6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W569" i="6"/>
  <c r="V569" i="6"/>
  <c r="T569" i="6"/>
  <c r="U569" i="6" s="1"/>
  <c r="S569" i="6"/>
  <c r="R569" i="6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U567" i="6"/>
  <c r="T567" i="6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W565" i="6"/>
  <c r="V565" i="6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U563" i="6"/>
  <c r="T563" i="6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U559" i="6"/>
  <c r="T559" i="6"/>
  <c r="R559" i="6"/>
  <c r="S559" i="6" s="1"/>
  <c r="Q559" i="6"/>
  <c r="P559" i="6"/>
  <c r="N559" i="6"/>
  <c r="O559" i="6" s="1"/>
  <c r="L559" i="6"/>
  <c r="M559" i="6" s="1"/>
  <c r="W558" i="6"/>
  <c r="V558" i="6"/>
  <c r="T558" i="6"/>
  <c r="U558" i="6" s="1"/>
  <c r="R558" i="6"/>
  <c r="S558" i="6" s="1"/>
  <c r="P558" i="6"/>
  <c r="Q558" i="6" s="1"/>
  <c r="O558" i="6"/>
  <c r="N558" i="6"/>
  <c r="L558" i="6"/>
  <c r="M558" i="6" s="1"/>
  <c r="W557" i="6"/>
  <c r="V557" i="6"/>
  <c r="T557" i="6"/>
  <c r="U557" i="6" s="1"/>
  <c r="S557" i="6"/>
  <c r="R557" i="6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Q556" i="6"/>
  <c r="P556" i="6"/>
  <c r="N556" i="6"/>
  <c r="O556" i="6" s="1"/>
  <c r="L556" i="6"/>
  <c r="M556" i="6" s="1"/>
  <c r="V555" i="6"/>
  <c r="W555" i="6" s="1"/>
  <c r="T555" i="6"/>
  <c r="U555" i="6" s="1"/>
  <c r="R555" i="6"/>
  <c r="S555" i="6" s="1"/>
  <c r="Q555" i="6"/>
  <c r="P555" i="6"/>
  <c r="N555" i="6"/>
  <c r="O555" i="6" s="1"/>
  <c r="L555" i="6"/>
  <c r="M555" i="6" s="1"/>
  <c r="W554" i="6"/>
  <c r="V554" i="6"/>
  <c r="T554" i="6"/>
  <c r="U554" i="6" s="1"/>
  <c r="S554" i="6"/>
  <c r="R554" i="6"/>
  <c r="P554" i="6"/>
  <c r="Q554" i="6" s="1"/>
  <c r="O554" i="6"/>
  <c r="N554" i="6"/>
  <c r="L554" i="6"/>
  <c r="M554" i="6" s="1"/>
  <c r="V553" i="6"/>
  <c r="W553" i="6" s="1"/>
  <c r="T553" i="6"/>
  <c r="U553" i="6" s="1"/>
  <c r="S553" i="6"/>
  <c r="R553" i="6"/>
  <c r="P553" i="6"/>
  <c r="Q553" i="6" s="1"/>
  <c r="O553" i="6"/>
  <c r="N553" i="6"/>
  <c r="L553" i="6"/>
  <c r="M553" i="6" s="1"/>
  <c r="V552" i="6"/>
  <c r="W552" i="6" s="1"/>
  <c r="U552" i="6"/>
  <c r="T552" i="6"/>
  <c r="R552" i="6"/>
  <c r="S552" i="6" s="1"/>
  <c r="Q552" i="6"/>
  <c r="P552" i="6"/>
  <c r="N552" i="6"/>
  <c r="O552" i="6" s="1"/>
  <c r="L552" i="6"/>
  <c r="M552" i="6" s="1"/>
  <c r="V551" i="6"/>
  <c r="W551" i="6" s="1"/>
  <c r="U551" i="6"/>
  <c r="T551" i="6"/>
  <c r="R551" i="6"/>
  <c r="S551" i="6" s="1"/>
  <c r="Q551" i="6"/>
  <c r="P551" i="6"/>
  <c r="N551" i="6"/>
  <c r="O551" i="6" s="1"/>
  <c r="L551" i="6"/>
  <c r="M551" i="6" s="1"/>
  <c r="W550" i="6"/>
  <c r="V550" i="6"/>
  <c r="T550" i="6"/>
  <c r="U550" i="6" s="1"/>
  <c r="R550" i="6"/>
  <c r="S550" i="6" s="1"/>
  <c r="P550" i="6"/>
  <c r="Q550" i="6" s="1"/>
  <c r="O550" i="6"/>
  <c r="N550" i="6"/>
  <c r="L550" i="6"/>
  <c r="M550" i="6" s="1"/>
  <c r="W549" i="6"/>
  <c r="V549" i="6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Q548" i="6"/>
  <c r="P548" i="6"/>
  <c r="N548" i="6"/>
  <c r="O548" i="6" s="1"/>
  <c r="L548" i="6"/>
  <c r="M548" i="6" s="1"/>
  <c r="V547" i="6"/>
  <c r="W547" i="6" s="1"/>
  <c r="T547" i="6"/>
  <c r="U547" i="6" s="1"/>
  <c r="R547" i="6"/>
  <c r="S547" i="6" s="1"/>
  <c r="Q547" i="6"/>
  <c r="P547" i="6"/>
  <c r="N547" i="6"/>
  <c r="O547" i="6" s="1"/>
  <c r="L547" i="6"/>
  <c r="M547" i="6" s="1"/>
  <c r="W546" i="6"/>
  <c r="V546" i="6"/>
  <c r="T546" i="6"/>
  <c r="U546" i="6" s="1"/>
  <c r="S546" i="6"/>
  <c r="R546" i="6"/>
  <c r="P546" i="6"/>
  <c r="Q546" i="6" s="1"/>
  <c r="O546" i="6"/>
  <c r="N546" i="6"/>
  <c r="L546" i="6"/>
  <c r="M546" i="6" s="1"/>
  <c r="V545" i="6"/>
  <c r="W545" i="6" s="1"/>
  <c r="T545" i="6"/>
  <c r="U545" i="6" s="1"/>
  <c r="S545" i="6"/>
  <c r="R545" i="6"/>
  <c r="P545" i="6"/>
  <c r="Q545" i="6" s="1"/>
  <c r="O545" i="6"/>
  <c r="N545" i="6"/>
  <c r="L545" i="6"/>
  <c r="M545" i="6" s="1"/>
  <c r="V544" i="6"/>
  <c r="W544" i="6" s="1"/>
  <c r="U544" i="6"/>
  <c r="T544" i="6"/>
  <c r="R544" i="6"/>
  <c r="S544" i="6" s="1"/>
  <c r="P544" i="6"/>
  <c r="Q544" i="6" s="1"/>
  <c r="N544" i="6"/>
  <c r="O544" i="6" s="1"/>
  <c r="L544" i="6"/>
  <c r="M544" i="6" s="1"/>
  <c r="V543" i="6"/>
  <c r="W543" i="6" s="1"/>
  <c r="U543" i="6"/>
  <c r="T543" i="6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O542" i="6"/>
  <c r="N542" i="6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Q540" i="6"/>
  <c r="P540" i="6"/>
  <c r="N540" i="6"/>
  <c r="O540" i="6" s="1"/>
  <c r="L540" i="6"/>
  <c r="M540" i="6" s="1"/>
  <c r="V539" i="6"/>
  <c r="W539" i="6" s="1"/>
  <c r="T539" i="6"/>
  <c r="U539" i="6" s="1"/>
  <c r="R539" i="6"/>
  <c r="S539" i="6" s="1"/>
  <c r="Q539" i="6"/>
  <c r="P539" i="6"/>
  <c r="N539" i="6"/>
  <c r="O539" i="6" s="1"/>
  <c r="L539" i="6"/>
  <c r="M539" i="6" s="1"/>
  <c r="W538" i="6"/>
  <c r="V538" i="6"/>
  <c r="T538" i="6"/>
  <c r="U538" i="6" s="1"/>
  <c r="S538" i="6"/>
  <c r="R538" i="6"/>
  <c r="P538" i="6"/>
  <c r="Q538" i="6" s="1"/>
  <c r="N538" i="6"/>
  <c r="O538" i="6" s="1"/>
  <c r="L538" i="6"/>
  <c r="M538" i="6" s="1"/>
  <c r="V537" i="6"/>
  <c r="W537" i="6" s="1"/>
  <c r="T537" i="6"/>
  <c r="U537" i="6" s="1"/>
  <c r="S537" i="6"/>
  <c r="R537" i="6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O534" i="6"/>
  <c r="N534" i="6"/>
  <c r="L534" i="6"/>
  <c r="M534" i="6" s="1"/>
  <c r="V533" i="6"/>
  <c r="W533" i="6" s="1"/>
  <c r="T533" i="6"/>
  <c r="U533" i="6" s="1"/>
  <c r="S533" i="6"/>
  <c r="R533" i="6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Q532" i="6"/>
  <c r="P532" i="6"/>
  <c r="N532" i="6"/>
  <c r="O532" i="6" s="1"/>
  <c r="L532" i="6"/>
  <c r="M532" i="6" s="1"/>
  <c r="V531" i="6"/>
  <c r="W531" i="6" s="1"/>
  <c r="T531" i="6"/>
  <c r="U531" i="6" s="1"/>
  <c r="R531" i="6"/>
  <c r="S531" i="6" s="1"/>
  <c r="Q531" i="6"/>
  <c r="P531" i="6"/>
  <c r="N531" i="6"/>
  <c r="O531" i="6" s="1"/>
  <c r="L531" i="6"/>
  <c r="M531" i="6" s="1"/>
  <c r="W530" i="6"/>
  <c r="V530" i="6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S529" i="6"/>
  <c r="R529" i="6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Q528" i="6"/>
  <c r="P528" i="6"/>
  <c r="N528" i="6"/>
  <c r="O528" i="6" s="1"/>
  <c r="L528" i="6"/>
  <c r="M528" i="6" s="1"/>
  <c r="V527" i="6"/>
  <c r="W527" i="6" s="1"/>
  <c r="T527" i="6"/>
  <c r="U527" i="6" s="1"/>
  <c r="R527" i="6"/>
  <c r="S527" i="6" s="1"/>
  <c r="Q527" i="6"/>
  <c r="P527" i="6"/>
  <c r="N527" i="6"/>
  <c r="O527" i="6" s="1"/>
  <c r="L527" i="6"/>
  <c r="M527" i="6" s="1"/>
  <c r="W526" i="6"/>
  <c r="V526" i="6"/>
  <c r="T526" i="6"/>
  <c r="U526" i="6" s="1"/>
  <c r="R526" i="6"/>
  <c r="S526" i="6" s="1"/>
  <c r="P526" i="6"/>
  <c r="Q526" i="6" s="1"/>
  <c r="O526" i="6"/>
  <c r="N526" i="6"/>
  <c r="L526" i="6"/>
  <c r="M526" i="6" s="1"/>
  <c r="W525" i="6"/>
  <c r="V525" i="6"/>
  <c r="T525" i="6"/>
  <c r="U525" i="6" s="1"/>
  <c r="S525" i="6"/>
  <c r="R525" i="6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Q524" i="6"/>
  <c r="P524" i="6"/>
  <c r="N524" i="6"/>
  <c r="O524" i="6" s="1"/>
  <c r="L524" i="6"/>
  <c r="M524" i="6" s="1"/>
  <c r="V523" i="6"/>
  <c r="W523" i="6" s="1"/>
  <c r="T523" i="6"/>
  <c r="U523" i="6" s="1"/>
  <c r="R523" i="6"/>
  <c r="S523" i="6" s="1"/>
  <c r="Q523" i="6"/>
  <c r="P523" i="6"/>
  <c r="N523" i="6"/>
  <c r="O523" i="6" s="1"/>
  <c r="L523" i="6"/>
  <c r="M523" i="6" s="1"/>
  <c r="W522" i="6"/>
  <c r="V522" i="6"/>
  <c r="T522" i="6"/>
  <c r="U522" i="6" s="1"/>
  <c r="R522" i="6"/>
  <c r="S522" i="6" s="1"/>
  <c r="P522" i="6"/>
  <c r="Q522" i="6" s="1"/>
  <c r="O522" i="6"/>
  <c r="N522" i="6"/>
  <c r="L522" i="6"/>
  <c r="M522" i="6" s="1"/>
  <c r="V521" i="6"/>
  <c r="W521" i="6" s="1"/>
  <c r="T521" i="6"/>
  <c r="U521" i="6" s="1"/>
  <c r="S521" i="6"/>
  <c r="R521" i="6"/>
  <c r="P521" i="6"/>
  <c r="Q521" i="6" s="1"/>
  <c r="O521" i="6"/>
  <c r="N521" i="6"/>
  <c r="L521" i="6"/>
  <c r="M521" i="6" s="1"/>
  <c r="V520" i="6"/>
  <c r="W520" i="6" s="1"/>
  <c r="U520" i="6"/>
  <c r="T520" i="6"/>
  <c r="R520" i="6"/>
  <c r="S520" i="6" s="1"/>
  <c r="Q520" i="6"/>
  <c r="P520" i="6"/>
  <c r="N520" i="6"/>
  <c r="O520" i="6" s="1"/>
  <c r="L520" i="6"/>
  <c r="M520" i="6" s="1"/>
  <c r="V519" i="6"/>
  <c r="W519" i="6" s="1"/>
  <c r="U519" i="6"/>
  <c r="T519" i="6"/>
  <c r="R519" i="6"/>
  <c r="S519" i="6" s="1"/>
  <c r="Q519" i="6"/>
  <c r="P519" i="6"/>
  <c r="N519" i="6"/>
  <c r="O519" i="6" s="1"/>
  <c r="L519" i="6"/>
  <c r="M519" i="6" s="1"/>
  <c r="W518" i="6"/>
  <c r="V518" i="6"/>
  <c r="T518" i="6"/>
  <c r="U518" i="6" s="1"/>
  <c r="R518" i="6"/>
  <c r="S518" i="6" s="1"/>
  <c r="P518" i="6"/>
  <c r="Q518" i="6" s="1"/>
  <c r="O518" i="6"/>
  <c r="N518" i="6"/>
  <c r="L518" i="6"/>
  <c r="M518" i="6" s="1"/>
  <c r="W517" i="6"/>
  <c r="V517" i="6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Q516" i="6"/>
  <c r="P516" i="6"/>
  <c r="N516" i="6"/>
  <c r="O516" i="6" s="1"/>
  <c r="L516" i="6"/>
  <c r="M516" i="6" s="1"/>
  <c r="V515" i="6"/>
  <c r="W515" i="6" s="1"/>
  <c r="T515" i="6"/>
  <c r="U515" i="6" s="1"/>
  <c r="R515" i="6"/>
  <c r="S515" i="6" s="1"/>
  <c r="Q515" i="6"/>
  <c r="P515" i="6"/>
  <c r="N515" i="6"/>
  <c r="O515" i="6" s="1"/>
  <c r="L515" i="6"/>
  <c r="M515" i="6" s="1"/>
  <c r="W514" i="6"/>
  <c r="V514" i="6"/>
  <c r="T514" i="6"/>
  <c r="U514" i="6" s="1"/>
  <c r="S514" i="6"/>
  <c r="R514" i="6"/>
  <c r="P514" i="6"/>
  <c r="Q514" i="6" s="1"/>
  <c r="O514" i="6"/>
  <c r="N514" i="6"/>
  <c r="L514" i="6"/>
  <c r="M514" i="6" s="1"/>
  <c r="V513" i="6"/>
  <c r="W513" i="6" s="1"/>
  <c r="T513" i="6"/>
  <c r="U513" i="6" s="1"/>
  <c r="S513" i="6"/>
  <c r="R513" i="6"/>
  <c r="P513" i="6"/>
  <c r="Q513" i="6" s="1"/>
  <c r="O513" i="6"/>
  <c r="N513" i="6"/>
  <c r="L513" i="6"/>
  <c r="M513" i="6" s="1"/>
  <c r="V512" i="6"/>
  <c r="W512" i="6" s="1"/>
  <c r="U512" i="6"/>
  <c r="T512" i="6"/>
  <c r="R512" i="6"/>
  <c r="S512" i="6" s="1"/>
  <c r="P512" i="6"/>
  <c r="Q512" i="6" s="1"/>
  <c r="N512" i="6"/>
  <c r="O512" i="6" s="1"/>
  <c r="L512" i="6"/>
  <c r="M512" i="6" s="1"/>
  <c r="V511" i="6"/>
  <c r="W511" i="6" s="1"/>
  <c r="U511" i="6"/>
  <c r="T511" i="6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O510" i="6"/>
  <c r="N510" i="6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Q508" i="6"/>
  <c r="P508" i="6"/>
  <c r="N508" i="6"/>
  <c r="O508" i="6" s="1"/>
  <c r="L508" i="6"/>
  <c r="M508" i="6" s="1"/>
  <c r="V507" i="6"/>
  <c r="W507" i="6" s="1"/>
  <c r="T507" i="6"/>
  <c r="U507" i="6" s="1"/>
  <c r="R507" i="6"/>
  <c r="S507" i="6" s="1"/>
  <c r="Q507" i="6"/>
  <c r="P507" i="6"/>
  <c r="N507" i="6"/>
  <c r="O507" i="6" s="1"/>
  <c r="L507" i="6"/>
  <c r="M507" i="6" s="1"/>
  <c r="W506" i="6"/>
  <c r="V506" i="6"/>
  <c r="T506" i="6"/>
  <c r="U506" i="6" s="1"/>
  <c r="S506" i="6"/>
  <c r="R506" i="6"/>
  <c r="P506" i="6"/>
  <c r="Q506" i="6" s="1"/>
  <c r="N506" i="6"/>
  <c r="O506" i="6" s="1"/>
  <c r="L506" i="6"/>
  <c r="M506" i="6" s="1"/>
  <c r="V505" i="6"/>
  <c r="W505" i="6" s="1"/>
  <c r="T505" i="6"/>
  <c r="U505" i="6" s="1"/>
  <c r="S505" i="6"/>
  <c r="R505" i="6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O502" i="6"/>
  <c r="N502" i="6"/>
  <c r="L502" i="6"/>
  <c r="M502" i="6" s="1"/>
  <c r="V501" i="6"/>
  <c r="W501" i="6" s="1"/>
  <c r="T501" i="6"/>
  <c r="U501" i="6" s="1"/>
  <c r="S501" i="6"/>
  <c r="R501" i="6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Q500" i="6"/>
  <c r="P500" i="6"/>
  <c r="N500" i="6"/>
  <c r="O500" i="6" s="1"/>
  <c r="L500" i="6"/>
  <c r="M500" i="6" s="1"/>
  <c r="V499" i="6"/>
  <c r="W499" i="6" s="1"/>
  <c r="T499" i="6"/>
  <c r="U499" i="6" s="1"/>
  <c r="R499" i="6"/>
  <c r="S499" i="6" s="1"/>
  <c r="Q499" i="6"/>
  <c r="P499" i="6"/>
  <c r="N499" i="6"/>
  <c r="O499" i="6" s="1"/>
  <c r="L499" i="6"/>
  <c r="M499" i="6" s="1"/>
  <c r="W498" i="6"/>
  <c r="V498" i="6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S497" i="6"/>
  <c r="R497" i="6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Q496" i="6"/>
  <c r="P496" i="6"/>
  <c r="N496" i="6"/>
  <c r="O496" i="6" s="1"/>
  <c r="L496" i="6"/>
  <c r="M496" i="6" s="1"/>
  <c r="V495" i="6"/>
  <c r="W495" i="6" s="1"/>
  <c r="T495" i="6"/>
  <c r="U495" i="6" s="1"/>
  <c r="R495" i="6"/>
  <c r="S495" i="6" s="1"/>
  <c r="Q495" i="6"/>
  <c r="P495" i="6"/>
  <c r="N495" i="6"/>
  <c r="O495" i="6" s="1"/>
  <c r="L495" i="6"/>
  <c r="M495" i="6" s="1"/>
  <c r="W494" i="6"/>
  <c r="V494" i="6"/>
  <c r="T494" i="6"/>
  <c r="U494" i="6" s="1"/>
  <c r="R494" i="6"/>
  <c r="S494" i="6" s="1"/>
  <c r="P494" i="6"/>
  <c r="Q494" i="6" s="1"/>
  <c r="O494" i="6"/>
  <c r="N494" i="6"/>
  <c r="L494" i="6"/>
  <c r="M494" i="6" s="1"/>
  <c r="W493" i="6"/>
  <c r="V493" i="6"/>
  <c r="T493" i="6"/>
  <c r="U493" i="6" s="1"/>
  <c r="S493" i="6"/>
  <c r="R493" i="6"/>
  <c r="P493" i="6"/>
  <c r="Q493" i="6" s="1"/>
  <c r="N493" i="6"/>
  <c r="O493" i="6" s="1"/>
  <c r="L493" i="6"/>
  <c r="M493" i="6" s="1"/>
  <c r="V492" i="6"/>
  <c r="W492" i="6" s="1"/>
  <c r="U492" i="6"/>
  <c r="T492" i="6"/>
  <c r="R492" i="6"/>
  <c r="S492" i="6" s="1"/>
  <c r="Q492" i="6"/>
  <c r="P492" i="6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S490" i="6"/>
  <c r="R490" i="6"/>
  <c r="P490" i="6"/>
  <c r="Q490" i="6" s="1"/>
  <c r="O490" i="6"/>
  <c r="N490" i="6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S487" i="6"/>
  <c r="R487" i="6"/>
  <c r="P487" i="6"/>
  <c r="Q487" i="6" s="1"/>
  <c r="N487" i="6"/>
  <c r="O487" i="6" s="1"/>
  <c r="L487" i="6"/>
  <c r="M487" i="6" s="1"/>
  <c r="W486" i="6"/>
  <c r="V486" i="6"/>
  <c r="T486" i="6"/>
  <c r="U486" i="6" s="1"/>
  <c r="R486" i="6"/>
  <c r="S486" i="6" s="1"/>
  <c r="P486" i="6"/>
  <c r="Q486" i="6" s="1"/>
  <c r="O486" i="6"/>
  <c r="N486" i="6"/>
  <c r="L486" i="6"/>
  <c r="M486" i="6" s="1"/>
  <c r="W485" i="6"/>
  <c r="V485" i="6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U483" i="6"/>
  <c r="T483" i="6"/>
  <c r="R483" i="6"/>
  <c r="S483" i="6" s="1"/>
  <c r="Q483" i="6"/>
  <c r="P483" i="6"/>
  <c r="N483" i="6"/>
  <c r="O483" i="6" s="1"/>
  <c r="L483" i="6"/>
  <c r="M483" i="6" s="1"/>
  <c r="V482" i="6"/>
  <c r="W482" i="6" s="1"/>
  <c r="T482" i="6"/>
  <c r="U482" i="6" s="1"/>
  <c r="S482" i="6"/>
  <c r="R482" i="6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Q481" i="6"/>
  <c r="P481" i="6"/>
  <c r="N481" i="6"/>
  <c r="O481" i="6" s="1"/>
  <c r="L481" i="6"/>
  <c r="M481" i="6" s="1"/>
  <c r="V480" i="6"/>
  <c r="W480" i="6" s="1"/>
  <c r="T480" i="6"/>
  <c r="U480" i="6" s="1"/>
  <c r="R480" i="6"/>
  <c r="S480" i="6" s="1"/>
  <c r="Q480" i="6"/>
  <c r="P480" i="6"/>
  <c r="N480" i="6"/>
  <c r="O480" i="6" s="1"/>
  <c r="L480" i="6"/>
  <c r="M480" i="6" s="1"/>
  <c r="W479" i="6"/>
  <c r="V479" i="6"/>
  <c r="U479" i="6"/>
  <c r="T479" i="6"/>
  <c r="S479" i="6"/>
  <c r="R479" i="6"/>
  <c r="Q479" i="6"/>
  <c r="P479" i="6"/>
  <c r="O479" i="6"/>
  <c r="N479" i="6"/>
  <c r="L479" i="6"/>
  <c r="M479" i="6" s="1"/>
  <c r="V478" i="6"/>
  <c r="W478" i="6" s="1"/>
  <c r="T478" i="6"/>
  <c r="U478" i="6" s="1"/>
  <c r="S478" i="6"/>
  <c r="R478" i="6"/>
  <c r="P478" i="6"/>
  <c r="Q478" i="6" s="1"/>
  <c r="O478" i="6"/>
  <c r="N478" i="6"/>
  <c r="L478" i="6"/>
  <c r="M478" i="6" s="1"/>
  <c r="V477" i="6"/>
  <c r="W477" i="6" s="1"/>
  <c r="U477" i="6"/>
  <c r="T477" i="6"/>
  <c r="R477" i="6"/>
  <c r="S477" i="6" s="1"/>
  <c r="Q477" i="6"/>
  <c r="P477" i="6"/>
  <c r="N477" i="6"/>
  <c r="O477" i="6" s="1"/>
  <c r="L477" i="6"/>
  <c r="M477" i="6" s="1"/>
  <c r="V476" i="6"/>
  <c r="W476" i="6" s="1"/>
  <c r="U476" i="6"/>
  <c r="T476" i="6"/>
  <c r="R476" i="6"/>
  <c r="S476" i="6" s="1"/>
  <c r="Q476" i="6"/>
  <c r="P476" i="6"/>
  <c r="N476" i="6"/>
  <c r="O476" i="6" s="1"/>
  <c r="L476" i="6"/>
  <c r="M476" i="6" s="1"/>
  <c r="W475" i="6"/>
  <c r="V475" i="6"/>
  <c r="T475" i="6"/>
  <c r="U475" i="6" s="1"/>
  <c r="R475" i="6"/>
  <c r="S475" i="6" s="1"/>
  <c r="P475" i="6"/>
  <c r="Q475" i="6" s="1"/>
  <c r="O475" i="6"/>
  <c r="N475" i="6"/>
  <c r="L475" i="6"/>
  <c r="M475" i="6" s="1"/>
  <c r="W474" i="6"/>
  <c r="V474" i="6"/>
  <c r="T474" i="6"/>
  <c r="U474" i="6" s="1"/>
  <c r="R474" i="6"/>
  <c r="S474" i="6" s="1"/>
  <c r="P474" i="6"/>
  <c r="Q474" i="6" s="1"/>
  <c r="N474" i="6"/>
  <c r="O474" i="6" s="1"/>
  <c r="L474" i="6"/>
  <c r="M474" i="6" s="1"/>
  <c r="W473" i="6"/>
  <c r="V473" i="6"/>
  <c r="T473" i="6"/>
  <c r="U473" i="6" s="1"/>
  <c r="S473" i="6"/>
  <c r="R473" i="6"/>
  <c r="P473" i="6"/>
  <c r="Q473" i="6" s="1"/>
  <c r="O473" i="6"/>
  <c r="N473" i="6"/>
  <c r="L473" i="6"/>
  <c r="M473" i="6" s="1"/>
  <c r="V472" i="6"/>
  <c r="W472" i="6" s="1"/>
  <c r="U472" i="6"/>
  <c r="T472" i="6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O470" i="6"/>
  <c r="N470" i="6"/>
  <c r="L470" i="6"/>
  <c r="M470" i="6" s="1"/>
  <c r="V469" i="6"/>
  <c r="W469" i="6" s="1"/>
  <c r="T469" i="6"/>
  <c r="U469" i="6" s="1"/>
  <c r="S469" i="6"/>
  <c r="R469" i="6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S466" i="6"/>
  <c r="R466" i="6"/>
  <c r="P466" i="6"/>
  <c r="Q466" i="6" s="1"/>
  <c r="N466" i="6"/>
  <c r="O466" i="6" s="1"/>
  <c r="L466" i="6"/>
  <c r="M466" i="6" s="1"/>
  <c r="W465" i="6"/>
  <c r="V465" i="6"/>
  <c r="T465" i="6"/>
  <c r="U465" i="6" s="1"/>
  <c r="S465" i="6"/>
  <c r="R465" i="6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S462" i="6"/>
  <c r="R462" i="6"/>
  <c r="P462" i="6"/>
  <c r="Q462" i="6" s="1"/>
  <c r="O462" i="6"/>
  <c r="N462" i="6"/>
  <c r="L462" i="6"/>
  <c r="M462" i="6" s="1"/>
  <c r="W461" i="6"/>
  <c r="V461" i="6"/>
  <c r="T461" i="6"/>
  <c r="U461" i="6" s="1"/>
  <c r="R461" i="6"/>
  <c r="S461" i="6" s="1"/>
  <c r="P461" i="6"/>
  <c r="Q461" i="6" s="1"/>
  <c r="O461" i="6"/>
  <c r="N461" i="6"/>
  <c r="L461" i="6"/>
  <c r="M461" i="6" s="1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U459" i="6"/>
  <c r="T459" i="6"/>
  <c r="R459" i="6"/>
  <c r="S459" i="6" s="1"/>
  <c r="Q459" i="6"/>
  <c r="P459" i="6"/>
  <c r="N459" i="6"/>
  <c r="O459" i="6" s="1"/>
  <c r="L459" i="6"/>
  <c r="M459" i="6" s="1"/>
  <c r="W458" i="6"/>
  <c r="V458" i="6"/>
  <c r="T458" i="6"/>
  <c r="U458" i="6" s="1"/>
  <c r="R458" i="6"/>
  <c r="S458" i="6" s="1"/>
  <c r="P458" i="6"/>
  <c r="Q458" i="6" s="1"/>
  <c r="N458" i="6"/>
  <c r="O458" i="6" s="1"/>
  <c r="L458" i="6"/>
  <c r="M458" i="6" s="1"/>
  <c r="W457" i="6"/>
  <c r="V457" i="6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U455" i="6"/>
  <c r="T455" i="6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S454" i="6"/>
  <c r="R454" i="6"/>
  <c r="P454" i="6"/>
  <c r="Q454" i="6" s="1"/>
  <c r="O454" i="6"/>
  <c r="N454" i="6"/>
  <c r="L454" i="6"/>
  <c r="M454" i="6" s="1"/>
  <c r="V453" i="6"/>
  <c r="W453" i="6" s="1"/>
  <c r="T453" i="6"/>
  <c r="U453" i="6" s="1"/>
  <c r="R453" i="6"/>
  <c r="S453" i="6" s="1"/>
  <c r="P453" i="6"/>
  <c r="Q453" i="6" s="1"/>
  <c r="O453" i="6"/>
  <c r="N453" i="6"/>
  <c r="L453" i="6"/>
  <c r="M453" i="6" s="1"/>
  <c r="V452" i="6"/>
  <c r="W452" i="6" s="1"/>
  <c r="U452" i="6"/>
  <c r="T452" i="6"/>
  <c r="R452" i="6"/>
  <c r="S452" i="6" s="1"/>
  <c r="P452" i="6"/>
  <c r="Q452" i="6" s="1"/>
  <c r="N452" i="6"/>
  <c r="O452" i="6" s="1"/>
  <c r="L452" i="6"/>
  <c r="M452" i="6" s="1"/>
  <c r="V451" i="6"/>
  <c r="W451" i="6" s="1"/>
  <c r="U451" i="6"/>
  <c r="T451" i="6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W449" i="6"/>
  <c r="V449" i="6"/>
  <c r="T449" i="6"/>
  <c r="U449" i="6" s="1"/>
  <c r="R449" i="6"/>
  <c r="S449" i="6" s="1"/>
  <c r="P449" i="6"/>
  <c r="Q449" i="6" s="1"/>
  <c r="O449" i="6"/>
  <c r="N449" i="6"/>
  <c r="L449" i="6"/>
  <c r="M449" i="6" s="1"/>
  <c r="V448" i="6"/>
  <c r="W448" i="6" s="1"/>
  <c r="U448" i="6"/>
  <c r="T448" i="6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S446" i="6"/>
  <c r="R446" i="6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O445" i="6"/>
  <c r="N445" i="6"/>
  <c r="L445" i="6"/>
  <c r="M445" i="6" s="1"/>
  <c r="V444" i="6"/>
  <c r="W444" i="6" s="1"/>
  <c r="U444" i="6"/>
  <c r="T444" i="6"/>
  <c r="R444" i="6"/>
  <c r="S444" i="6" s="1"/>
  <c r="P444" i="6"/>
  <c r="Q444" i="6" s="1"/>
  <c r="N444" i="6"/>
  <c r="O444" i="6" s="1"/>
  <c r="L444" i="6"/>
  <c r="M444" i="6" s="1"/>
  <c r="V443" i="6"/>
  <c r="W443" i="6" s="1"/>
  <c r="U443" i="6"/>
  <c r="T443" i="6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S442" i="6"/>
  <c r="R442" i="6"/>
  <c r="P442" i="6"/>
  <c r="Q442" i="6" s="1"/>
  <c r="N442" i="6"/>
  <c r="O442" i="6" s="1"/>
  <c r="L442" i="6"/>
  <c r="M442" i="6" s="1"/>
  <c r="W441" i="6"/>
  <c r="V441" i="6"/>
  <c r="T441" i="6"/>
  <c r="U441" i="6" s="1"/>
  <c r="S441" i="6"/>
  <c r="R441" i="6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S438" i="6"/>
  <c r="R438" i="6"/>
  <c r="P438" i="6"/>
  <c r="Q438" i="6" s="1"/>
  <c r="N438" i="6"/>
  <c r="O438" i="6" s="1"/>
  <c r="L438" i="6"/>
  <c r="M438" i="6" s="1"/>
  <c r="W437" i="6"/>
  <c r="V437" i="6"/>
  <c r="T437" i="6"/>
  <c r="U437" i="6" s="1"/>
  <c r="R437" i="6"/>
  <c r="S437" i="6" s="1"/>
  <c r="P437" i="6"/>
  <c r="Q437" i="6" s="1"/>
  <c r="O437" i="6"/>
  <c r="N437" i="6"/>
  <c r="L437" i="6"/>
  <c r="M437" i="6" s="1"/>
  <c r="V436" i="6"/>
  <c r="W436" i="6" s="1"/>
  <c r="U436" i="6"/>
  <c r="T436" i="6"/>
  <c r="R436" i="6"/>
  <c r="S436" i="6" s="1"/>
  <c r="Q436" i="6"/>
  <c r="P436" i="6"/>
  <c r="N436" i="6"/>
  <c r="O436" i="6" s="1"/>
  <c r="L436" i="6"/>
  <c r="M436" i="6" s="1"/>
  <c r="V435" i="6"/>
  <c r="W435" i="6" s="1"/>
  <c r="U435" i="6"/>
  <c r="T435" i="6"/>
  <c r="R435" i="6"/>
  <c r="S435" i="6" s="1"/>
  <c r="Q435" i="6"/>
  <c r="P435" i="6"/>
  <c r="N435" i="6"/>
  <c r="O435" i="6" s="1"/>
  <c r="L435" i="6"/>
  <c r="M435" i="6" s="1"/>
  <c r="W434" i="6"/>
  <c r="V434" i="6"/>
  <c r="T434" i="6"/>
  <c r="U434" i="6" s="1"/>
  <c r="R434" i="6"/>
  <c r="S434" i="6" s="1"/>
  <c r="P434" i="6"/>
  <c r="Q434" i="6" s="1"/>
  <c r="N434" i="6"/>
  <c r="O434" i="6" s="1"/>
  <c r="L434" i="6"/>
  <c r="M434" i="6" s="1"/>
  <c r="W433" i="6"/>
  <c r="V433" i="6"/>
  <c r="T433" i="6"/>
  <c r="U433" i="6" s="1"/>
  <c r="R433" i="6"/>
  <c r="S433" i="6" s="1"/>
  <c r="P433" i="6"/>
  <c r="Q433" i="6" s="1"/>
  <c r="O433" i="6"/>
  <c r="N433" i="6"/>
  <c r="L433" i="6"/>
  <c r="M433" i="6" s="1"/>
  <c r="V432" i="6"/>
  <c r="W432" i="6" s="1"/>
  <c r="U432" i="6"/>
  <c r="T432" i="6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S430" i="6"/>
  <c r="R430" i="6"/>
  <c r="P430" i="6"/>
  <c r="Q430" i="6" s="1"/>
  <c r="O430" i="6"/>
  <c r="N430" i="6"/>
  <c r="L430" i="6"/>
  <c r="M430" i="6" s="1"/>
  <c r="W429" i="6"/>
  <c r="V429" i="6"/>
  <c r="T429" i="6"/>
  <c r="U429" i="6" s="1"/>
  <c r="R429" i="6"/>
  <c r="S429" i="6" s="1"/>
  <c r="P429" i="6"/>
  <c r="Q429" i="6" s="1"/>
  <c r="O429" i="6"/>
  <c r="N429" i="6"/>
  <c r="L429" i="6"/>
  <c r="M429" i="6" s="1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U427" i="6"/>
  <c r="T427" i="6"/>
  <c r="R427" i="6"/>
  <c r="S427" i="6" s="1"/>
  <c r="Q427" i="6"/>
  <c r="P427" i="6"/>
  <c r="N427" i="6"/>
  <c r="O427" i="6" s="1"/>
  <c r="L427" i="6"/>
  <c r="M427" i="6" s="1"/>
  <c r="W426" i="6"/>
  <c r="V426" i="6"/>
  <c r="T426" i="6"/>
  <c r="U426" i="6" s="1"/>
  <c r="S426" i="6"/>
  <c r="R426" i="6"/>
  <c r="P426" i="6"/>
  <c r="Q426" i="6" s="1"/>
  <c r="N426" i="6"/>
  <c r="O426" i="6" s="1"/>
  <c r="L426" i="6"/>
  <c r="M426" i="6" s="1"/>
  <c r="W425" i="6"/>
  <c r="V425" i="6"/>
  <c r="T425" i="6"/>
  <c r="U425" i="6" s="1"/>
  <c r="S425" i="6"/>
  <c r="R425" i="6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U423" i="6"/>
  <c r="T423" i="6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S422" i="6"/>
  <c r="R422" i="6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O421" i="6"/>
  <c r="N421" i="6"/>
  <c r="L421" i="6"/>
  <c r="M421" i="6" s="1"/>
  <c r="V420" i="6"/>
  <c r="W420" i="6" s="1"/>
  <c r="U420" i="6"/>
  <c r="T420" i="6"/>
  <c r="R420" i="6"/>
  <c r="S420" i="6" s="1"/>
  <c r="P420" i="6"/>
  <c r="Q420" i="6" s="1"/>
  <c r="N420" i="6"/>
  <c r="O420" i="6" s="1"/>
  <c r="L420" i="6"/>
  <c r="M420" i="6" s="1"/>
  <c r="V419" i="6"/>
  <c r="W419" i="6" s="1"/>
  <c r="U419" i="6"/>
  <c r="T419" i="6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W417" i="6"/>
  <c r="V417" i="6"/>
  <c r="T417" i="6"/>
  <c r="U417" i="6" s="1"/>
  <c r="R417" i="6"/>
  <c r="S417" i="6" s="1"/>
  <c r="P417" i="6"/>
  <c r="Q417" i="6" s="1"/>
  <c r="O417" i="6"/>
  <c r="N417" i="6"/>
  <c r="L417" i="6"/>
  <c r="M417" i="6" s="1"/>
  <c r="V416" i="6"/>
  <c r="W416" i="6" s="1"/>
  <c r="U416" i="6"/>
  <c r="T416" i="6"/>
  <c r="R416" i="6"/>
  <c r="S416" i="6" s="1"/>
  <c r="P416" i="6"/>
  <c r="Q416" i="6" s="1"/>
  <c r="N416" i="6"/>
  <c r="O416" i="6" s="1"/>
  <c r="L416" i="6"/>
  <c r="M416" i="6" s="1"/>
  <c r="V415" i="6"/>
  <c r="W415" i="6" s="1"/>
  <c r="U415" i="6"/>
  <c r="T415" i="6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S414" i="6"/>
  <c r="R414" i="6"/>
  <c r="P414" i="6"/>
  <c r="Q414" i="6" s="1"/>
  <c r="O414" i="6"/>
  <c r="N414" i="6"/>
  <c r="L414" i="6"/>
  <c r="M414" i="6" s="1"/>
  <c r="V413" i="6"/>
  <c r="W413" i="6" s="1"/>
  <c r="T413" i="6"/>
  <c r="U413" i="6" s="1"/>
  <c r="R413" i="6"/>
  <c r="S413" i="6" s="1"/>
  <c r="P413" i="6"/>
  <c r="Q413" i="6" s="1"/>
  <c r="O413" i="6"/>
  <c r="N413" i="6"/>
  <c r="L413" i="6"/>
  <c r="M413" i="6" s="1"/>
  <c r="V412" i="6"/>
  <c r="W412" i="6" s="1"/>
  <c r="U412" i="6"/>
  <c r="T412" i="6"/>
  <c r="R412" i="6"/>
  <c r="S412" i="6" s="1"/>
  <c r="P412" i="6"/>
  <c r="Q412" i="6" s="1"/>
  <c r="N412" i="6"/>
  <c r="O412" i="6" s="1"/>
  <c r="L412" i="6"/>
  <c r="M412" i="6" s="1"/>
  <c r="V411" i="6"/>
  <c r="W411" i="6" s="1"/>
  <c r="U411" i="6"/>
  <c r="T411" i="6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S410" i="6"/>
  <c r="R410" i="6"/>
  <c r="P410" i="6"/>
  <c r="Q410" i="6" s="1"/>
  <c r="N410" i="6"/>
  <c r="O410" i="6" s="1"/>
  <c r="L410" i="6"/>
  <c r="M410" i="6" s="1"/>
  <c r="W409" i="6"/>
  <c r="V409" i="6"/>
  <c r="T409" i="6"/>
  <c r="U409" i="6" s="1"/>
  <c r="S409" i="6"/>
  <c r="R409" i="6"/>
  <c r="P409" i="6"/>
  <c r="Q409" i="6" s="1"/>
  <c r="O409" i="6"/>
  <c r="N409" i="6"/>
  <c r="L409" i="6"/>
  <c r="M409" i="6" s="1"/>
  <c r="V408" i="6"/>
  <c r="W408" i="6" s="1"/>
  <c r="U408" i="6"/>
  <c r="T408" i="6"/>
  <c r="R408" i="6"/>
  <c r="S408" i="6" s="1"/>
  <c r="P408" i="6"/>
  <c r="Q408" i="6" s="1"/>
  <c r="N408" i="6"/>
  <c r="O408" i="6" s="1"/>
  <c r="L408" i="6"/>
  <c r="M408" i="6" s="1"/>
  <c r="V407" i="6"/>
  <c r="W407" i="6" s="1"/>
  <c r="U407" i="6"/>
  <c r="T407" i="6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S406" i="6"/>
  <c r="R406" i="6"/>
  <c r="P406" i="6"/>
  <c r="Q406" i="6" s="1"/>
  <c r="N406" i="6"/>
  <c r="O406" i="6" s="1"/>
  <c r="L406" i="6"/>
  <c r="M406" i="6" s="1"/>
  <c r="W405" i="6"/>
  <c r="V405" i="6"/>
  <c r="T405" i="6"/>
  <c r="U405" i="6" s="1"/>
  <c r="R405" i="6"/>
  <c r="S405" i="6" s="1"/>
  <c r="P405" i="6"/>
  <c r="Q405" i="6" s="1"/>
  <c r="O405" i="6"/>
  <c r="N405" i="6"/>
  <c r="L405" i="6"/>
  <c r="M405" i="6" s="1"/>
  <c r="V404" i="6"/>
  <c r="W404" i="6" s="1"/>
  <c r="U404" i="6"/>
  <c r="T404" i="6"/>
  <c r="R404" i="6"/>
  <c r="S404" i="6" s="1"/>
  <c r="Q404" i="6"/>
  <c r="P404" i="6"/>
  <c r="N404" i="6"/>
  <c r="O404" i="6" s="1"/>
  <c r="M404" i="6"/>
  <c r="L404" i="6"/>
  <c r="V403" i="6"/>
  <c r="W403" i="6" s="1"/>
  <c r="T403" i="6"/>
  <c r="U403" i="6" s="1"/>
  <c r="R403" i="6"/>
  <c r="S403" i="6" s="1"/>
  <c r="Q403" i="6"/>
  <c r="P403" i="6"/>
  <c r="N403" i="6"/>
  <c r="O403" i="6" s="1"/>
  <c r="M403" i="6"/>
  <c r="L403" i="6"/>
  <c r="V402" i="6"/>
  <c r="W402" i="6" s="1"/>
  <c r="T402" i="6"/>
  <c r="U402" i="6" s="1"/>
  <c r="R402" i="6"/>
  <c r="S402" i="6" s="1"/>
  <c r="P402" i="6"/>
  <c r="Q402" i="6" s="1"/>
  <c r="N402" i="6"/>
  <c r="O402" i="6" s="1"/>
  <c r="M402" i="6"/>
  <c r="L402" i="6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U400" i="6"/>
  <c r="T400" i="6"/>
  <c r="R400" i="6"/>
  <c r="S400" i="6" s="1"/>
  <c r="P400" i="6"/>
  <c r="Q400" i="6" s="1"/>
  <c r="N400" i="6"/>
  <c r="O400" i="6" s="1"/>
  <c r="M400" i="6"/>
  <c r="L400" i="6"/>
  <c r="V399" i="6"/>
  <c r="W399" i="6" s="1"/>
  <c r="T399" i="6"/>
  <c r="U399" i="6" s="1"/>
  <c r="R399" i="6"/>
  <c r="S399" i="6" s="1"/>
  <c r="Q399" i="6"/>
  <c r="P399" i="6"/>
  <c r="N399" i="6"/>
  <c r="O399" i="6" s="1"/>
  <c r="M399" i="6"/>
  <c r="L399" i="6"/>
  <c r="V398" i="6"/>
  <c r="W398" i="6" s="1"/>
  <c r="T398" i="6"/>
  <c r="U398" i="6" s="1"/>
  <c r="R398" i="6"/>
  <c r="S398" i="6" s="1"/>
  <c r="P398" i="6"/>
  <c r="Q398" i="6" s="1"/>
  <c r="N398" i="6"/>
  <c r="O398" i="6" s="1"/>
  <c r="M398" i="6"/>
  <c r="L398" i="6"/>
  <c r="V397" i="6"/>
  <c r="W397" i="6" s="1"/>
  <c r="T397" i="6"/>
  <c r="U397" i="6" s="1"/>
  <c r="R397" i="6"/>
  <c r="S397" i="6" s="1"/>
  <c r="Q397" i="6"/>
  <c r="P397" i="6"/>
  <c r="N397" i="6"/>
  <c r="O397" i="6" s="1"/>
  <c r="L397" i="6"/>
  <c r="M397" i="6" s="1"/>
  <c r="V396" i="6"/>
  <c r="W396" i="6" s="1"/>
  <c r="U396" i="6"/>
  <c r="T396" i="6"/>
  <c r="R396" i="6"/>
  <c r="S396" i="6" s="1"/>
  <c r="Q396" i="6"/>
  <c r="P396" i="6"/>
  <c r="N396" i="6"/>
  <c r="O396" i="6" s="1"/>
  <c r="L396" i="6"/>
  <c r="M396" i="6" s="1"/>
  <c r="V395" i="6"/>
  <c r="W395" i="6" s="1"/>
  <c r="T395" i="6"/>
  <c r="U395" i="6" s="1"/>
  <c r="R395" i="6"/>
  <c r="S395" i="6" s="1"/>
  <c r="Q395" i="6"/>
  <c r="P395" i="6"/>
  <c r="N395" i="6"/>
  <c r="O395" i="6" s="1"/>
  <c r="L395" i="6"/>
  <c r="M395" i="6" s="1"/>
  <c r="V394" i="6"/>
  <c r="W394" i="6" s="1"/>
  <c r="U394" i="6"/>
  <c r="T394" i="6"/>
  <c r="R394" i="6"/>
  <c r="S394" i="6" s="1"/>
  <c r="P394" i="6"/>
  <c r="Q394" i="6" s="1"/>
  <c r="N394" i="6"/>
  <c r="O394" i="6" s="1"/>
  <c r="M394" i="6"/>
  <c r="L394" i="6"/>
  <c r="V393" i="6"/>
  <c r="W393" i="6" s="1"/>
  <c r="U393" i="6"/>
  <c r="T393" i="6"/>
  <c r="R393" i="6"/>
  <c r="S393" i="6" s="1"/>
  <c r="Q393" i="6"/>
  <c r="P393" i="6"/>
  <c r="N393" i="6"/>
  <c r="O393" i="6" s="1"/>
  <c r="L393" i="6"/>
  <c r="M393" i="6" s="1"/>
  <c r="V392" i="6"/>
  <c r="W392" i="6" s="1"/>
  <c r="U392" i="6"/>
  <c r="T392" i="6"/>
  <c r="R392" i="6"/>
  <c r="S392" i="6" s="1"/>
  <c r="Q392" i="6"/>
  <c r="P392" i="6"/>
  <c r="N392" i="6"/>
  <c r="O392" i="6" s="1"/>
  <c r="L392" i="6"/>
  <c r="M392" i="6" s="1"/>
  <c r="V391" i="6"/>
  <c r="W391" i="6" s="1"/>
  <c r="T391" i="6"/>
  <c r="U391" i="6" s="1"/>
  <c r="R391" i="6"/>
  <c r="S391" i="6" s="1"/>
  <c r="Q391" i="6"/>
  <c r="P391" i="6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M390" i="6"/>
  <c r="L390" i="6"/>
  <c r="V389" i="6"/>
  <c r="W389" i="6" s="1"/>
  <c r="T389" i="6"/>
  <c r="U389" i="6" s="1"/>
  <c r="R389" i="6"/>
  <c r="S389" i="6" s="1"/>
  <c r="Q389" i="6"/>
  <c r="P389" i="6"/>
  <c r="N389" i="6"/>
  <c r="O389" i="6" s="1"/>
  <c r="L389" i="6"/>
  <c r="M389" i="6" s="1"/>
  <c r="V388" i="6"/>
  <c r="W388" i="6" s="1"/>
  <c r="U388" i="6"/>
  <c r="T388" i="6"/>
  <c r="R388" i="6"/>
  <c r="S388" i="6" s="1"/>
  <c r="Q388" i="6"/>
  <c r="P388" i="6"/>
  <c r="N388" i="6"/>
  <c r="O388" i="6" s="1"/>
  <c r="L388" i="6"/>
  <c r="M388" i="6" s="1"/>
  <c r="V387" i="6"/>
  <c r="W387" i="6" s="1"/>
  <c r="T387" i="6"/>
  <c r="U387" i="6" s="1"/>
  <c r="R387" i="6"/>
  <c r="S387" i="6" s="1"/>
  <c r="Q387" i="6"/>
  <c r="P387" i="6"/>
  <c r="N387" i="6"/>
  <c r="O387" i="6" s="1"/>
  <c r="L387" i="6"/>
  <c r="M387" i="6" s="1"/>
  <c r="V386" i="6"/>
  <c r="W386" i="6" s="1"/>
  <c r="U386" i="6"/>
  <c r="T386" i="6"/>
  <c r="R386" i="6"/>
  <c r="S386" i="6" s="1"/>
  <c r="P386" i="6"/>
  <c r="Q386" i="6" s="1"/>
  <c r="N386" i="6"/>
  <c r="O386" i="6" s="1"/>
  <c r="M386" i="6"/>
  <c r="L386" i="6"/>
  <c r="V385" i="6"/>
  <c r="W385" i="6" s="1"/>
  <c r="U385" i="6"/>
  <c r="T385" i="6"/>
  <c r="R385" i="6"/>
  <c r="S385" i="6" s="1"/>
  <c r="P385" i="6"/>
  <c r="Q385" i="6" s="1"/>
  <c r="N385" i="6"/>
  <c r="O385" i="6" s="1"/>
  <c r="L385" i="6"/>
  <c r="M385" i="6" s="1"/>
  <c r="V384" i="6"/>
  <c r="W384" i="6" s="1"/>
  <c r="U384" i="6"/>
  <c r="T384" i="6"/>
  <c r="R384" i="6"/>
  <c r="S384" i="6" s="1"/>
  <c r="P384" i="6"/>
  <c r="Q384" i="6" s="1"/>
  <c r="N384" i="6"/>
  <c r="O384" i="6" s="1"/>
  <c r="M384" i="6"/>
  <c r="L384" i="6"/>
  <c r="V383" i="6"/>
  <c r="W383" i="6" s="1"/>
  <c r="T383" i="6"/>
  <c r="U383" i="6" s="1"/>
  <c r="R383" i="6"/>
  <c r="S383" i="6" s="1"/>
  <c r="Q383" i="6"/>
  <c r="P383" i="6"/>
  <c r="N383" i="6"/>
  <c r="O383" i="6" s="1"/>
  <c r="M383" i="6"/>
  <c r="L383" i="6"/>
  <c r="V382" i="6"/>
  <c r="W382" i="6" s="1"/>
  <c r="U382" i="6"/>
  <c r="T382" i="6"/>
  <c r="R382" i="6"/>
  <c r="S382" i="6" s="1"/>
  <c r="P382" i="6"/>
  <c r="Q382" i="6" s="1"/>
  <c r="N382" i="6"/>
  <c r="O382" i="6" s="1"/>
  <c r="M382" i="6"/>
  <c r="L382" i="6"/>
  <c r="V381" i="6"/>
  <c r="W381" i="6" s="1"/>
  <c r="U381" i="6"/>
  <c r="T381" i="6"/>
  <c r="R381" i="6"/>
  <c r="S381" i="6" s="1"/>
  <c r="P381" i="6"/>
  <c r="Q381" i="6" s="1"/>
  <c r="N381" i="6"/>
  <c r="O381" i="6" s="1"/>
  <c r="L381" i="6"/>
  <c r="M381" i="6" s="1"/>
  <c r="V380" i="6"/>
  <c r="W380" i="6" s="1"/>
  <c r="U380" i="6"/>
  <c r="T380" i="6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Q379" i="6"/>
  <c r="P379" i="6"/>
  <c r="N379" i="6"/>
  <c r="O379" i="6" s="1"/>
  <c r="L379" i="6"/>
  <c r="M379" i="6" s="1"/>
  <c r="V378" i="6"/>
  <c r="W378" i="6" s="1"/>
  <c r="U378" i="6"/>
  <c r="T378" i="6"/>
  <c r="R378" i="6"/>
  <c r="S378" i="6" s="1"/>
  <c r="P378" i="6"/>
  <c r="Q378" i="6" s="1"/>
  <c r="N378" i="6"/>
  <c r="O378" i="6" s="1"/>
  <c r="M378" i="6"/>
  <c r="L378" i="6"/>
  <c r="V377" i="6"/>
  <c r="W377" i="6" s="1"/>
  <c r="U377" i="6"/>
  <c r="T377" i="6"/>
  <c r="R377" i="6"/>
  <c r="S377" i="6" s="1"/>
  <c r="P377" i="6"/>
  <c r="Q377" i="6" s="1"/>
  <c r="N377" i="6"/>
  <c r="O377" i="6" s="1"/>
  <c r="L377" i="6"/>
  <c r="M377" i="6" s="1"/>
  <c r="V376" i="6"/>
  <c r="W376" i="6" s="1"/>
  <c r="U376" i="6"/>
  <c r="T376" i="6"/>
  <c r="R376" i="6"/>
  <c r="S376" i="6" s="1"/>
  <c r="P376" i="6"/>
  <c r="Q376" i="6" s="1"/>
  <c r="N376" i="6"/>
  <c r="O376" i="6" s="1"/>
  <c r="M376" i="6"/>
  <c r="L376" i="6"/>
  <c r="V375" i="6"/>
  <c r="W375" i="6" s="1"/>
  <c r="T375" i="6"/>
  <c r="U375" i="6" s="1"/>
  <c r="R375" i="6"/>
  <c r="S375" i="6" s="1"/>
  <c r="Q375" i="6"/>
  <c r="P375" i="6"/>
  <c r="N375" i="6"/>
  <c r="O375" i="6" s="1"/>
  <c r="M375" i="6"/>
  <c r="L375" i="6"/>
  <c r="V374" i="6"/>
  <c r="W374" i="6" s="1"/>
  <c r="T374" i="6"/>
  <c r="U374" i="6" s="1"/>
  <c r="R374" i="6"/>
  <c r="S374" i="6" s="1"/>
  <c r="P374" i="6"/>
  <c r="Q374" i="6" s="1"/>
  <c r="N374" i="6"/>
  <c r="O374" i="6" s="1"/>
  <c r="M374" i="6"/>
  <c r="L374" i="6"/>
  <c r="V373" i="6"/>
  <c r="W373" i="6" s="1"/>
  <c r="T373" i="6"/>
  <c r="U373" i="6" s="1"/>
  <c r="R373" i="6"/>
  <c r="S373" i="6" s="1"/>
  <c r="Q373" i="6"/>
  <c r="P373" i="6"/>
  <c r="N373" i="6"/>
  <c r="O373" i="6" s="1"/>
  <c r="L373" i="6"/>
  <c r="M373" i="6" s="1"/>
  <c r="V372" i="6"/>
  <c r="W372" i="6" s="1"/>
  <c r="T372" i="6"/>
  <c r="U372" i="6" s="1"/>
  <c r="R372" i="6"/>
  <c r="S372" i="6" s="1"/>
  <c r="Q372" i="6"/>
  <c r="P372" i="6"/>
  <c r="N372" i="6"/>
  <c r="O372" i="6" s="1"/>
  <c r="L372" i="6"/>
  <c r="M372" i="6" s="1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U370" i="6"/>
  <c r="T370" i="6"/>
  <c r="R370" i="6"/>
  <c r="S370" i="6" s="1"/>
  <c r="P370" i="6"/>
  <c r="Q370" i="6" s="1"/>
  <c r="N370" i="6"/>
  <c r="O370" i="6" s="1"/>
  <c r="L370" i="6"/>
  <c r="M370" i="6" s="1"/>
  <c r="V369" i="6"/>
  <c r="W369" i="6" s="1"/>
  <c r="U369" i="6"/>
  <c r="T369" i="6"/>
  <c r="R369" i="6"/>
  <c r="S369" i="6" s="1"/>
  <c r="P369" i="6"/>
  <c r="Q369" i="6" s="1"/>
  <c r="N369" i="6"/>
  <c r="O369" i="6" s="1"/>
  <c r="L369" i="6"/>
  <c r="M369" i="6" s="1"/>
  <c r="V368" i="6"/>
  <c r="W368" i="6" s="1"/>
  <c r="U368" i="6"/>
  <c r="T368" i="6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M366" i="6"/>
  <c r="L366" i="6"/>
  <c r="V365" i="6"/>
  <c r="W365" i="6" s="1"/>
  <c r="T365" i="6"/>
  <c r="U365" i="6" s="1"/>
  <c r="R365" i="6"/>
  <c r="S365" i="6" s="1"/>
  <c r="Q365" i="6"/>
  <c r="P365" i="6"/>
  <c r="N365" i="6"/>
  <c r="O365" i="6" s="1"/>
  <c r="L365" i="6"/>
  <c r="M365" i="6" s="1"/>
  <c r="V364" i="6"/>
  <c r="W364" i="6" s="1"/>
  <c r="T364" i="6"/>
  <c r="U364" i="6" s="1"/>
  <c r="R364" i="6"/>
  <c r="S364" i="6" s="1"/>
  <c r="Q364" i="6"/>
  <c r="P364" i="6"/>
  <c r="N364" i="6"/>
  <c r="O364" i="6" s="1"/>
  <c r="M364" i="6"/>
  <c r="L364" i="6"/>
  <c r="V363" i="6"/>
  <c r="W363" i="6" s="1"/>
  <c r="T363" i="6"/>
  <c r="U363" i="6" s="1"/>
  <c r="R363" i="6"/>
  <c r="S363" i="6" s="1"/>
  <c r="Q363" i="6"/>
  <c r="P363" i="6"/>
  <c r="N363" i="6"/>
  <c r="O363" i="6" s="1"/>
  <c r="M363" i="6"/>
  <c r="L363" i="6"/>
  <c r="V362" i="6"/>
  <c r="W362" i="6" s="1"/>
  <c r="U362" i="6"/>
  <c r="T362" i="6"/>
  <c r="R362" i="6"/>
  <c r="S362" i="6" s="1"/>
  <c r="P362" i="6"/>
  <c r="Q362" i="6" s="1"/>
  <c r="N362" i="6"/>
  <c r="O362" i="6" s="1"/>
  <c r="M362" i="6"/>
  <c r="L362" i="6"/>
  <c r="V361" i="6"/>
  <c r="W361" i="6" s="1"/>
  <c r="U361" i="6"/>
  <c r="T361" i="6"/>
  <c r="R361" i="6"/>
  <c r="S361" i="6" s="1"/>
  <c r="P361" i="6"/>
  <c r="Q361" i="6" s="1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M360" i="6"/>
  <c r="L360" i="6"/>
  <c r="V359" i="6"/>
  <c r="W359" i="6" s="1"/>
  <c r="T359" i="6"/>
  <c r="U359" i="6" s="1"/>
  <c r="R359" i="6"/>
  <c r="S359" i="6" s="1"/>
  <c r="P359" i="6"/>
  <c r="Q359" i="6" s="1"/>
  <c r="N359" i="6"/>
  <c r="O359" i="6" s="1"/>
  <c r="M359" i="6"/>
  <c r="L359" i="6"/>
  <c r="V358" i="6"/>
  <c r="W358" i="6" s="1"/>
  <c r="U358" i="6"/>
  <c r="T358" i="6"/>
  <c r="R358" i="6"/>
  <c r="S358" i="6" s="1"/>
  <c r="P358" i="6"/>
  <c r="Q358" i="6" s="1"/>
  <c r="N358" i="6"/>
  <c r="O358" i="6" s="1"/>
  <c r="M358" i="6"/>
  <c r="L358" i="6"/>
  <c r="V357" i="6"/>
  <c r="W357" i="6" s="1"/>
  <c r="U357" i="6"/>
  <c r="T357" i="6"/>
  <c r="R357" i="6"/>
  <c r="S357" i="6" s="1"/>
  <c r="Q357" i="6"/>
  <c r="P357" i="6"/>
  <c r="N357" i="6"/>
  <c r="O357" i="6" s="1"/>
  <c r="L357" i="6"/>
  <c r="M357" i="6" s="1"/>
  <c r="V356" i="6"/>
  <c r="W356" i="6" s="1"/>
  <c r="U356" i="6"/>
  <c r="T356" i="6"/>
  <c r="R356" i="6"/>
  <c r="S356" i="6" s="1"/>
  <c r="Q356" i="6"/>
  <c r="P356" i="6"/>
  <c r="N356" i="6"/>
  <c r="O356" i="6" s="1"/>
  <c r="L356" i="6"/>
  <c r="M356" i="6" s="1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U354" i="6"/>
  <c r="T354" i="6"/>
  <c r="R354" i="6"/>
  <c r="S354" i="6" s="1"/>
  <c r="P354" i="6"/>
  <c r="Q354" i="6" s="1"/>
  <c r="N354" i="6"/>
  <c r="O354" i="6" s="1"/>
  <c r="L354" i="6"/>
  <c r="M354" i="6" s="1"/>
  <c r="V353" i="6"/>
  <c r="W353" i="6" s="1"/>
  <c r="U353" i="6"/>
  <c r="T353" i="6"/>
  <c r="R353" i="6"/>
  <c r="S353" i="6" s="1"/>
  <c r="P353" i="6"/>
  <c r="Q353" i="6" s="1"/>
  <c r="N353" i="6"/>
  <c r="O353" i="6" s="1"/>
  <c r="L353" i="6"/>
  <c r="M353" i="6" s="1"/>
  <c r="V352" i="6"/>
  <c r="W352" i="6" s="1"/>
  <c r="U352" i="6"/>
  <c r="T352" i="6"/>
  <c r="R352" i="6"/>
  <c r="S352" i="6" s="1"/>
  <c r="P352" i="6"/>
  <c r="Q352" i="6" s="1"/>
  <c r="N352" i="6"/>
  <c r="O352" i="6" s="1"/>
  <c r="M352" i="6"/>
  <c r="L352" i="6"/>
  <c r="V351" i="6"/>
  <c r="W351" i="6" s="1"/>
  <c r="T351" i="6"/>
  <c r="U351" i="6" s="1"/>
  <c r="R351" i="6"/>
  <c r="S351" i="6" s="1"/>
  <c r="P351" i="6"/>
  <c r="Q351" i="6" s="1"/>
  <c r="N351" i="6"/>
  <c r="O351" i="6" s="1"/>
  <c r="M351" i="6"/>
  <c r="L351" i="6"/>
  <c r="V350" i="6"/>
  <c r="W350" i="6" s="1"/>
  <c r="T350" i="6"/>
  <c r="U350" i="6" s="1"/>
  <c r="R350" i="6"/>
  <c r="S350" i="6" s="1"/>
  <c r="P350" i="6"/>
  <c r="Q350" i="6" s="1"/>
  <c r="N350" i="6"/>
  <c r="O350" i="6" s="1"/>
  <c r="M350" i="6"/>
  <c r="L350" i="6"/>
  <c r="V349" i="6"/>
  <c r="W349" i="6" s="1"/>
  <c r="T349" i="6"/>
  <c r="U349" i="6" s="1"/>
  <c r="R349" i="6"/>
  <c r="S349" i="6" s="1"/>
  <c r="Q349" i="6"/>
  <c r="P349" i="6"/>
  <c r="N349" i="6"/>
  <c r="O349" i="6" s="1"/>
  <c r="L349" i="6"/>
  <c r="M349" i="6" s="1"/>
  <c r="V348" i="6"/>
  <c r="W348" i="6" s="1"/>
  <c r="T348" i="6"/>
  <c r="U348" i="6" s="1"/>
  <c r="R348" i="6"/>
  <c r="S348" i="6" s="1"/>
  <c r="Q348" i="6"/>
  <c r="P348" i="6"/>
  <c r="N348" i="6"/>
  <c r="O348" i="6" s="1"/>
  <c r="M348" i="6"/>
  <c r="L348" i="6"/>
  <c r="V347" i="6"/>
  <c r="W347" i="6" s="1"/>
  <c r="T347" i="6"/>
  <c r="U347" i="6" s="1"/>
  <c r="R347" i="6"/>
  <c r="S347" i="6" s="1"/>
  <c r="Q347" i="6"/>
  <c r="P347" i="6"/>
  <c r="N347" i="6"/>
  <c r="O347" i="6" s="1"/>
  <c r="M347" i="6"/>
  <c r="L347" i="6"/>
  <c r="V346" i="6"/>
  <c r="W346" i="6" s="1"/>
  <c r="T346" i="6"/>
  <c r="U346" i="6" s="1"/>
  <c r="R346" i="6"/>
  <c r="S346" i="6" s="1"/>
  <c r="P346" i="6"/>
  <c r="Q346" i="6" s="1"/>
  <c r="N346" i="6"/>
  <c r="O346" i="6" s="1"/>
  <c r="L346" i="6"/>
  <c r="M346" i="6" s="1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U344" i="6"/>
  <c r="T344" i="6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Q343" i="6"/>
  <c r="P343" i="6"/>
  <c r="N343" i="6"/>
  <c r="O343" i="6" s="1"/>
  <c r="L343" i="6"/>
  <c r="M343" i="6" s="1"/>
  <c r="V342" i="6"/>
  <c r="W342" i="6" s="1"/>
  <c r="U342" i="6"/>
  <c r="T342" i="6"/>
  <c r="R342" i="6"/>
  <c r="S342" i="6" s="1"/>
  <c r="P342" i="6"/>
  <c r="Q342" i="6" s="1"/>
  <c r="N342" i="6"/>
  <c r="O342" i="6" s="1"/>
  <c r="L342" i="6"/>
  <c r="M342" i="6" s="1"/>
  <c r="V341" i="6"/>
  <c r="W341" i="6" s="1"/>
  <c r="U341" i="6"/>
  <c r="T341" i="6"/>
  <c r="R341" i="6"/>
  <c r="S341" i="6" s="1"/>
  <c r="Q341" i="6"/>
  <c r="P341" i="6"/>
  <c r="N341" i="6"/>
  <c r="O341" i="6" s="1"/>
  <c r="L341" i="6"/>
  <c r="M341" i="6" s="1"/>
  <c r="V340" i="6"/>
  <c r="W340" i="6" s="1"/>
  <c r="U340" i="6"/>
  <c r="T340" i="6"/>
  <c r="R340" i="6"/>
  <c r="S340" i="6" s="1"/>
  <c r="Q340" i="6"/>
  <c r="P340" i="6"/>
  <c r="N340" i="6"/>
  <c r="O340" i="6" s="1"/>
  <c r="L340" i="6"/>
  <c r="M340" i="6" s="1"/>
  <c r="V339" i="6"/>
  <c r="W339" i="6" s="1"/>
  <c r="T339" i="6"/>
  <c r="U339" i="6" s="1"/>
  <c r="R339" i="6"/>
  <c r="S339" i="6" s="1"/>
  <c r="Q339" i="6"/>
  <c r="P339" i="6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R337" i="6"/>
  <c r="S337" i="6" s="1"/>
  <c r="Q337" i="6"/>
  <c r="P337" i="6"/>
  <c r="N337" i="6"/>
  <c r="O337" i="6" s="1"/>
  <c r="L337" i="6"/>
  <c r="M337" i="6" s="1"/>
  <c r="V336" i="6"/>
  <c r="W336" i="6" s="1"/>
  <c r="T336" i="6"/>
  <c r="U336" i="6" s="1"/>
  <c r="R336" i="6"/>
  <c r="S336" i="6" s="1"/>
  <c r="Q336" i="6"/>
  <c r="P336" i="6"/>
  <c r="N336" i="6"/>
  <c r="O336" i="6" s="1"/>
  <c r="M336" i="6"/>
  <c r="L336" i="6"/>
  <c r="V335" i="6"/>
  <c r="W335" i="6" s="1"/>
  <c r="T335" i="6"/>
  <c r="U335" i="6" s="1"/>
  <c r="R335" i="6"/>
  <c r="S335" i="6" s="1"/>
  <c r="Q335" i="6"/>
  <c r="P335" i="6"/>
  <c r="N335" i="6"/>
  <c r="O335" i="6" s="1"/>
  <c r="M335" i="6"/>
  <c r="L335" i="6"/>
  <c r="V334" i="6"/>
  <c r="W334" i="6" s="1"/>
  <c r="U334" i="6"/>
  <c r="T334" i="6"/>
  <c r="R334" i="6"/>
  <c r="S334" i="6" s="1"/>
  <c r="P334" i="6"/>
  <c r="Q334" i="6" s="1"/>
  <c r="N334" i="6"/>
  <c r="O334" i="6" s="1"/>
  <c r="M334" i="6"/>
  <c r="L334" i="6"/>
  <c r="V333" i="6"/>
  <c r="W333" i="6" s="1"/>
  <c r="U333" i="6"/>
  <c r="T333" i="6"/>
  <c r="R333" i="6"/>
  <c r="S333" i="6" s="1"/>
  <c r="P333" i="6"/>
  <c r="Q333" i="6" s="1"/>
  <c r="N333" i="6"/>
  <c r="O333" i="6" s="1"/>
  <c r="L333" i="6"/>
  <c r="M333" i="6" s="1"/>
  <c r="V332" i="6"/>
  <c r="W332" i="6" s="1"/>
  <c r="T332" i="6"/>
  <c r="U332" i="6" s="1"/>
  <c r="R332" i="6"/>
  <c r="S332" i="6" s="1"/>
  <c r="P332" i="6"/>
  <c r="Q332" i="6" s="1"/>
  <c r="N332" i="6"/>
  <c r="O332" i="6" s="1"/>
  <c r="M332" i="6"/>
  <c r="L332" i="6"/>
  <c r="V331" i="6"/>
  <c r="W331" i="6" s="1"/>
  <c r="T331" i="6"/>
  <c r="U331" i="6" s="1"/>
  <c r="R331" i="6"/>
  <c r="S331" i="6" s="1"/>
  <c r="P331" i="6"/>
  <c r="Q331" i="6" s="1"/>
  <c r="N331" i="6"/>
  <c r="O331" i="6" s="1"/>
  <c r="M331" i="6"/>
  <c r="L331" i="6"/>
  <c r="V330" i="6"/>
  <c r="W330" i="6" s="1"/>
  <c r="T330" i="6"/>
  <c r="U330" i="6" s="1"/>
  <c r="R330" i="6"/>
  <c r="S330" i="6" s="1"/>
  <c r="P330" i="6"/>
  <c r="Q330" i="6" s="1"/>
  <c r="N330" i="6"/>
  <c r="O330" i="6" s="1"/>
  <c r="M330" i="6"/>
  <c r="L330" i="6"/>
  <c r="V329" i="6"/>
  <c r="W329" i="6" s="1"/>
  <c r="T329" i="6"/>
  <c r="U329" i="6" s="1"/>
  <c r="R329" i="6"/>
  <c r="S329" i="6" s="1"/>
  <c r="Q329" i="6"/>
  <c r="P329" i="6"/>
  <c r="N329" i="6"/>
  <c r="O329" i="6" s="1"/>
  <c r="L329" i="6"/>
  <c r="M329" i="6" s="1"/>
  <c r="V328" i="6"/>
  <c r="W328" i="6" s="1"/>
  <c r="T328" i="6"/>
  <c r="U328" i="6" s="1"/>
  <c r="R328" i="6"/>
  <c r="S328" i="6" s="1"/>
  <c r="Q328" i="6"/>
  <c r="P328" i="6"/>
  <c r="N328" i="6"/>
  <c r="O328" i="6" s="1"/>
  <c r="L328" i="6"/>
  <c r="M328" i="6" s="1"/>
  <c r="V327" i="6"/>
  <c r="W327" i="6" s="1"/>
  <c r="T327" i="6"/>
  <c r="U327" i="6" s="1"/>
  <c r="R327" i="6"/>
  <c r="S327" i="6" s="1"/>
  <c r="Q327" i="6"/>
  <c r="P327" i="6"/>
  <c r="N327" i="6"/>
  <c r="O327" i="6" s="1"/>
  <c r="L327" i="6"/>
  <c r="M327" i="6" s="1"/>
  <c r="V326" i="6"/>
  <c r="W326" i="6" s="1"/>
  <c r="U326" i="6"/>
  <c r="T326" i="6"/>
  <c r="R326" i="6"/>
  <c r="S326" i="6" s="1"/>
  <c r="P326" i="6"/>
  <c r="Q326" i="6" s="1"/>
  <c r="N326" i="6"/>
  <c r="O326" i="6" s="1"/>
  <c r="L326" i="6"/>
  <c r="M326" i="6" s="1"/>
  <c r="V325" i="6"/>
  <c r="W325" i="6" s="1"/>
  <c r="U325" i="6"/>
  <c r="T325" i="6"/>
  <c r="R325" i="6"/>
  <c r="S325" i="6" s="1"/>
  <c r="P325" i="6"/>
  <c r="Q325" i="6" s="1"/>
  <c r="N325" i="6"/>
  <c r="O325" i="6" s="1"/>
  <c r="L325" i="6"/>
  <c r="M325" i="6" s="1"/>
  <c r="V324" i="6"/>
  <c r="W324" i="6" s="1"/>
  <c r="U324" i="6"/>
  <c r="T324" i="6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N322" i="6"/>
  <c r="O322" i="6" s="1"/>
  <c r="M322" i="6"/>
  <c r="L322" i="6"/>
  <c r="V321" i="6"/>
  <c r="W321" i="6" s="1"/>
  <c r="T321" i="6"/>
  <c r="U321" i="6" s="1"/>
  <c r="R321" i="6"/>
  <c r="S321" i="6" s="1"/>
  <c r="Q321" i="6"/>
  <c r="P321" i="6"/>
  <c r="N321" i="6"/>
  <c r="O321" i="6" s="1"/>
  <c r="L321" i="6"/>
  <c r="M321" i="6" s="1"/>
  <c r="V320" i="6"/>
  <c r="W320" i="6" s="1"/>
  <c r="T320" i="6"/>
  <c r="U320" i="6" s="1"/>
  <c r="R320" i="6"/>
  <c r="S320" i="6" s="1"/>
  <c r="Q320" i="6"/>
  <c r="P320" i="6"/>
  <c r="N320" i="6"/>
  <c r="O320" i="6" s="1"/>
  <c r="M320" i="6"/>
  <c r="L320" i="6"/>
  <c r="V319" i="6"/>
  <c r="W319" i="6" s="1"/>
  <c r="T319" i="6"/>
  <c r="U319" i="6" s="1"/>
  <c r="R319" i="6"/>
  <c r="S319" i="6" s="1"/>
  <c r="P319" i="6"/>
  <c r="Q319" i="6" s="1"/>
  <c r="N319" i="6"/>
  <c r="O319" i="6" s="1"/>
  <c r="M319" i="6"/>
  <c r="L319" i="6"/>
  <c r="V318" i="6"/>
  <c r="W318" i="6" s="1"/>
  <c r="U318" i="6"/>
  <c r="T318" i="6"/>
  <c r="R318" i="6"/>
  <c r="S318" i="6" s="1"/>
  <c r="P318" i="6"/>
  <c r="Q318" i="6" s="1"/>
  <c r="N318" i="6"/>
  <c r="O318" i="6" s="1"/>
  <c r="L318" i="6"/>
  <c r="M318" i="6" s="1"/>
  <c r="V317" i="6"/>
  <c r="W317" i="6" s="1"/>
  <c r="U317" i="6"/>
  <c r="T317" i="6"/>
  <c r="R317" i="6"/>
  <c r="S317" i="6" s="1"/>
  <c r="Q317" i="6"/>
  <c r="P317" i="6"/>
  <c r="N317" i="6"/>
  <c r="O317" i="6" s="1"/>
  <c r="L317" i="6"/>
  <c r="M317" i="6" s="1"/>
  <c r="V316" i="6"/>
  <c r="W316" i="6" s="1"/>
  <c r="T316" i="6"/>
  <c r="U316" i="6" s="1"/>
  <c r="R316" i="6"/>
  <c r="S316" i="6" s="1"/>
  <c r="Q316" i="6"/>
  <c r="P316" i="6"/>
  <c r="N316" i="6"/>
  <c r="O316" i="6" s="1"/>
  <c r="M316" i="6"/>
  <c r="L316" i="6"/>
  <c r="V315" i="6"/>
  <c r="W315" i="6" s="1"/>
  <c r="T315" i="6"/>
  <c r="U315" i="6" s="1"/>
  <c r="R315" i="6"/>
  <c r="S315" i="6" s="1"/>
  <c r="P315" i="6"/>
  <c r="Q315" i="6" s="1"/>
  <c r="N315" i="6"/>
  <c r="O315" i="6" s="1"/>
  <c r="M315" i="6"/>
  <c r="L315" i="6"/>
  <c r="V314" i="6"/>
  <c r="W314" i="6" s="1"/>
  <c r="U314" i="6"/>
  <c r="T314" i="6"/>
  <c r="R314" i="6"/>
  <c r="S314" i="6" s="1"/>
  <c r="P314" i="6"/>
  <c r="Q314" i="6" s="1"/>
  <c r="N314" i="6"/>
  <c r="O314" i="6" s="1"/>
  <c r="L314" i="6"/>
  <c r="M314" i="6" s="1"/>
  <c r="V313" i="6"/>
  <c r="W313" i="6" s="1"/>
  <c r="U313" i="6"/>
  <c r="T313" i="6"/>
  <c r="R313" i="6"/>
  <c r="S313" i="6" s="1"/>
  <c r="Q313" i="6"/>
  <c r="P313" i="6"/>
  <c r="N313" i="6"/>
  <c r="O313" i="6" s="1"/>
  <c r="L313" i="6"/>
  <c r="M313" i="6" s="1"/>
  <c r="V312" i="6"/>
  <c r="W312" i="6" s="1"/>
  <c r="T312" i="6"/>
  <c r="U312" i="6" s="1"/>
  <c r="R312" i="6"/>
  <c r="S312" i="6" s="1"/>
  <c r="Q312" i="6"/>
  <c r="P312" i="6"/>
  <c r="N312" i="6"/>
  <c r="O312" i="6" s="1"/>
  <c r="M312" i="6"/>
  <c r="L312" i="6"/>
  <c r="V311" i="6"/>
  <c r="W311" i="6" s="1"/>
  <c r="T311" i="6"/>
  <c r="U311" i="6" s="1"/>
  <c r="R311" i="6"/>
  <c r="S311" i="6" s="1"/>
  <c r="P311" i="6"/>
  <c r="Q311" i="6" s="1"/>
  <c r="N311" i="6"/>
  <c r="O311" i="6" s="1"/>
  <c r="M311" i="6"/>
  <c r="L311" i="6"/>
  <c r="V310" i="6"/>
  <c r="W310" i="6" s="1"/>
  <c r="U310" i="6"/>
  <c r="T310" i="6"/>
  <c r="R310" i="6"/>
  <c r="S310" i="6" s="1"/>
  <c r="P310" i="6"/>
  <c r="Q310" i="6" s="1"/>
  <c r="N310" i="6"/>
  <c r="O310" i="6" s="1"/>
  <c r="L310" i="6"/>
  <c r="M310" i="6" s="1"/>
  <c r="V309" i="6"/>
  <c r="W309" i="6" s="1"/>
  <c r="U309" i="6"/>
  <c r="T309" i="6"/>
  <c r="R309" i="6"/>
  <c r="S309" i="6" s="1"/>
  <c r="Q309" i="6"/>
  <c r="P309" i="6"/>
  <c r="N309" i="6"/>
  <c r="O309" i="6" s="1"/>
  <c r="L309" i="6"/>
  <c r="M309" i="6" s="1"/>
  <c r="V308" i="6"/>
  <c r="W308" i="6" s="1"/>
  <c r="T308" i="6"/>
  <c r="U308" i="6" s="1"/>
  <c r="R308" i="6"/>
  <c r="S308" i="6" s="1"/>
  <c r="Q308" i="6"/>
  <c r="P308" i="6"/>
  <c r="N308" i="6"/>
  <c r="O308" i="6" s="1"/>
  <c r="M308" i="6"/>
  <c r="L308" i="6"/>
  <c r="V307" i="6"/>
  <c r="W307" i="6" s="1"/>
  <c r="T307" i="6"/>
  <c r="U307" i="6" s="1"/>
  <c r="R307" i="6"/>
  <c r="S307" i="6" s="1"/>
  <c r="P307" i="6"/>
  <c r="Q307" i="6" s="1"/>
  <c r="N307" i="6"/>
  <c r="O307" i="6" s="1"/>
  <c r="M307" i="6"/>
  <c r="L307" i="6"/>
  <c r="V306" i="6"/>
  <c r="W306" i="6" s="1"/>
  <c r="U306" i="6"/>
  <c r="T306" i="6"/>
  <c r="R306" i="6"/>
  <c r="S306" i="6" s="1"/>
  <c r="P306" i="6"/>
  <c r="Q306" i="6" s="1"/>
  <c r="N306" i="6"/>
  <c r="O306" i="6" s="1"/>
  <c r="L306" i="6"/>
  <c r="M306" i="6" s="1"/>
  <c r="V305" i="6"/>
  <c r="W305" i="6" s="1"/>
  <c r="U305" i="6"/>
  <c r="T305" i="6"/>
  <c r="R305" i="6"/>
  <c r="S305" i="6" s="1"/>
  <c r="Q305" i="6"/>
  <c r="P305" i="6"/>
  <c r="N305" i="6"/>
  <c r="O305" i="6" s="1"/>
  <c r="L305" i="6"/>
  <c r="M305" i="6" s="1"/>
  <c r="V304" i="6"/>
  <c r="W304" i="6" s="1"/>
  <c r="T304" i="6"/>
  <c r="U304" i="6" s="1"/>
  <c r="R304" i="6"/>
  <c r="S304" i="6" s="1"/>
  <c r="Q304" i="6"/>
  <c r="P304" i="6"/>
  <c r="N304" i="6"/>
  <c r="O304" i="6" s="1"/>
  <c r="M304" i="6"/>
  <c r="L304" i="6"/>
  <c r="V303" i="6"/>
  <c r="W303" i="6" s="1"/>
  <c r="T303" i="6"/>
  <c r="U303" i="6" s="1"/>
  <c r="R303" i="6"/>
  <c r="S303" i="6" s="1"/>
  <c r="P303" i="6"/>
  <c r="Q303" i="6" s="1"/>
  <c r="N303" i="6"/>
  <c r="O303" i="6" s="1"/>
  <c r="M303" i="6"/>
  <c r="L303" i="6"/>
  <c r="V302" i="6"/>
  <c r="W302" i="6" s="1"/>
  <c r="U302" i="6"/>
  <c r="T302" i="6"/>
  <c r="R302" i="6"/>
  <c r="S302" i="6" s="1"/>
  <c r="P302" i="6"/>
  <c r="Q302" i="6" s="1"/>
  <c r="N302" i="6"/>
  <c r="O302" i="6" s="1"/>
  <c r="L302" i="6"/>
  <c r="M302" i="6" s="1"/>
  <c r="V301" i="6"/>
  <c r="W301" i="6" s="1"/>
  <c r="U301" i="6"/>
  <c r="T301" i="6"/>
  <c r="R301" i="6"/>
  <c r="S301" i="6" s="1"/>
  <c r="Q301" i="6"/>
  <c r="P301" i="6"/>
  <c r="N301" i="6"/>
  <c r="O301" i="6" s="1"/>
  <c r="L301" i="6"/>
  <c r="M301" i="6" s="1"/>
  <c r="V300" i="6"/>
  <c r="W300" i="6" s="1"/>
  <c r="T300" i="6"/>
  <c r="U300" i="6" s="1"/>
  <c r="R300" i="6"/>
  <c r="S300" i="6" s="1"/>
  <c r="Q300" i="6"/>
  <c r="P300" i="6"/>
  <c r="N300" i="6"/>
  <c r="O300" i="6" s="1"/>
  <c r="M300" i="6"/>
  <c r="L300" i="6"/>
  <c r="V299" i="6"/>
  <c r="W299" i="6" s="1"/>
  <c r="T299" i="6"/>
  <c r="U299" i="6" s="1"/>
  <c r="R299" i="6"/>
  <c r="S299" i="6" s="1"/>
  <c r="P299" i="6"/>
  <c r="Q299" i="6" s="1"/>
  <c r="N299" i="6"/>
  <c r="O299" i="6" s="1"/>
  <c r="M299" i="6"/>
  <c r="L299" i="6"/>
  <c r="V298" i="6"/>
  <c r="W298" i="6" s="1"/>
  <c r="U298" i="6"/>
  <c r="T298" i="6"/>
  <c r="R298" i="6"/>
  <c r="S298" i="6" s="1"/>
  <c r="P298" i="6"/>
  <c r="Q298" i="6" s="1"/>
  <c r="N298" i="6"/>
  <c r="O298" i="6" s="1"/>
  <c r="L298" i="6"/>
  <c r="M298" i="6" s="1"/>
  <c r="V297" i="6"/>
  <c r="W297" i="6" s="1"/>
  <c r="U297" i="6"/>
  <c r="T297" i="6"/>
  <c r="R297" i="6"/>
  <c r="S297" i="6" s="1"/>
  <c r="Q297" i="6"/>
  <c r="P297" i="6"/>
  <c r="N297" i="6"/>
  <c r="O297" i="6" s="1"/>
  <c r="L297" i="6"/>
  <c r="M297" i="6" s="1"/>
  <c r="V296" i="6"/>
  <c r="W296" i="6" s="1"/>
  <c r="T296" i="6"/>
  <c r="U296" i="6" s="1"/>
  <c r="R296" i="6"/>
  <c r="S296" i="6" s="1"/>
  <c r="Q296" i="6"/>
  <c r="P296" i="6"/>
  <c r="N296" i="6"/>
  <c r="O296" i="6" s="1"/>
  <c r="M296" i="6"/>
  <c r="L296" i="6"/>
  <c r="V295" i="6"/>
  <c r="W295" i="6" s="1"/>
  <c r="T295" i="6"/>
  <c r="U295" i="6" s="1"/>
  <c r="R295" i="6"/>
  <c r="S295" i="6" s="1"/>
  <c r="P295" i="6"/>
  <c r="Q295" i="6" s="1"/>
  <c r="N295" i="6"/>
  <c r="O295" i="6" s="1"/>
  <c r="M295" i="6"/>
  <c r="L295" i="6"/>
  <c r="V294" i="6"/>
  <c r="W294" i="6" s="1"/>
  <c r="U294" i="6"/>
  <c r="T294" i="6"/>
  <c r="R294" i="6"/>
  <c r="S294" i="6" s="1"/>
  <c r="P294" i="6"/>
  <c r="Q294" i="6" s="1"/>
  <c r="N294" i="6"/>
  <c r="O294" i="6" s="1"/>
  <c r="L294" i="6"/>
  <c r="M294" i="6" s="1"/>
  <c r="V293" i="6"/>
  <c r="W293" i="6" s="1"/>
  <c r="U293" i="6"/>
  <c r="T293" i="6"/>
  <c r="R293" i="6"/>
  <c r="S293" i="6" s="1"/>
  <c r="Q293" i="6"/>
  <c r="P293" i="6"/>
  <c r="N293" i="6"/>
  <c r="O293" i="6" s="1"/>
  <c r="L293" i="6"/>
  <c r="M293" i="6" s="1"/>
  <c r="V292" i="6"/>
  <c r="W292" i="6" s="1"/>
  <c r="T292" i="6"/>
  <c r="U292" i="6" s="1"/>
  <c r="R292" i="6"/>
  <c r="S292" i="6" s="1"/>
  <c r="Q292" i="6"/>
  <c r="P292" i="6"/>
  <c r="N292" i="6"/>
  <c r="O292" i="6" s="1"/>
  <c r="M292" i="6"/>
  <c r="L292" i="6"/>
  <c r="V291" i="6"/>
  <c r="W291" i="6" s="1"/>
  <c r="T291" i="6"/>
  <c r="U291" i="6" s="1"/>
  <c r="R291" i="6"/>
  <c r="S291" i="6" s="1"/>
  <c r="P291" i="6"/>
  <c r="Q291" i="6" s="1"/>
  <c r="N291" i="6"/>
  <c r="O291" i="6" s="1"/>
  <c r="M291" i="6"/>
  <c r="L291" i="6"/>
  <c r="V290" i="6"/>
  <c r="W290" i="6" s="1"/>
  <c r="U290" i="6"/>
  <c r="T290" i="6"/>
  <c r="R290" i="6"/>
  <c r="S290" i="6" s="1"/>
  <c r="P290" i="6"/>
  <c r="Q290" i="6" s="1"/>
  <c r="N290" i="6"/>
  <c r="O290" i="6" s="1"/>
  <c r="L290" i="6"/>
  <c r="M290" i="6" s="1"/>
  <c r="V289" i="6"/>
  <c r="W289" i="6" s="1"/>
  <c r="U289" i="6"/>
  <c r="T289" i="6"/>
  <c r="R289" i="6"/>
  <c r="S289" i="6" s="1"/>
  <c r="Q289" i="6"/>
  <c r="P289" i="6"/>
  <c r="N289" i="6"/>
  <c r="O289" i="6" s="1"/>
  <c r="L289" i="6"/>
  <c r="M289" i="6" s="1"/>
  <c r="V288" i="6"/>
  <c r="W288" i="6" s="1"/>
  <c r="T288" i="6"/>
  <c r="U288" i="6" s="1"/>
  <c r="R288" i="6"/>
  <c r="S288" i="6" s="1"/>
  <c r="Q288" i="6"/>
  <c r="P288" i="6"/>
  <c r="N288" i="6"/>
  <c r="O288" i="6" s="1"/>
  <c r="M288" i="6"/>
  <c r="L288" i="6"/>
  <c r="V287" i="6"/>
  <c r="W287" i="6" s="1"/>
  <c r="T287" i="6"/>
  <c r="U287" i="6" s="1"/>
  <c r="R287" i="6"/>
  <c r="S287" i="6" s="1"/>
  <c r="P287" i="6"/>
  <c r="Q287" i="6" s="1"/>
  <c r="N287" i="6"/>
  <c r="O287" i="6" s="1"/>
  <c r="M287" i="6"/>
  <c r="L287" i="6"/>
  <c r="V286" i="6"/>
  <c r="W286" i="6" s="1"/>
  <c r="U286" i="6"/>
  <c r="T286" i="6"/>
  <c r="R286" i="6"/>
  <c r="S286" i="6" s="1"/>
  <c r="P286" i="6"/>
  <c r="Q286" i="6" s="1"/>
  <c r="N286" i="6"/>
  <c r="O286" i="6" s="1"/>
  <c r="L286" i="6"/>
  <c r="M286" i="6" s="1"/>
  <c r="V285" i="6"/>
  <c r="W285" i="6" s="1"/>
  <c r="U285" i="6"/>
  <c r="T285" i="6"/>
  <c r="R285" i="6"/>
  <c r="S285" i="6" s="1"/>
  <c r="Q285" i="6"/>
  <c r="P285" i="6"/>
  <c r="N285" i="6"/>
  <c r="O285" i="6" s="1"/>
  <c r="L285" i="6"/>
  <c r="M285" i="6" s="1"/>
  <c r="V284" i="6"/>
  <c r="W284" i="6" s="1"/>
  <c r="T284" i="6"/>
  <c r="U284" i="6" s="1"/>
  <c r="R284" i="6"/>
  <c r="S284" i="6" s="1"/>
  <c r="Q284" i="6"/>
  <c r="P284" i="6"/>
  <c r="N284" i="6"/>
  <c r="O284" i="6" s="1"/>
  <c r="M284" i="6"/>
  <c r="L284" i="6"/>
  <c r="V283" i="6"/>
  <c r="W283" i="6" s="1"/>
  <c r="T283" i="6"/>
  <c r="U283" i="6" s="1"/>
  <c r="R283" i="6"/>
  <c r="S283" i="6" s="1"/>
  <c r="P283" i="6"/>
  <c r="Q283" i="6" s="1"/>
  <c r="N283" i="6"/>
  <c r="O283" i="6" s="1"/>
  <c r="M283" i="6"/>
  <c r="L283" i="6"/>
  <c r="V282" i="6"/>
  <c r="W282" i="6" s="1"/>
  <c r="U282" i="6"/>
  <c r="T282" i="6"/>
  <c r="R282" i="6"/>
  <c r="S282" i="6" s="1"/>
  <c r="P282" i="6"/>
  <c r="Q282" i="6" s="1"/>
  <c r="N282" i="6"/>
  <c r="O282" i="6" s="1"/>
  <c r="L282" i="6"/>
  <c r="M282" i="6" s="1"/>
  <c r="V281" i="6"/>
  <c r="W281" i="6" s="1"/>
  <c r="U281" i="6"/>
  <c r="T281" i="6"/>
  <c r="R281" i="6"/>
  <c r="S281" i="6" s="1"/>
  <c r="Q281" i="6"/>
  <c r="P281" i="6"/>
  <c r="N281" i="6"/>
  <c r="O281" i="6" s="1"/>
  <c r="L281" i="6"/>
  <c r="M281" i="6" s="1"/>
  <c r="V280" i="6"/>
  <c r="W280" i="6" s="1"/>
  <c r="T280" i="6"/>
  <c r="U280" i="6" s="1"/>
  <c r="R280" i="6"/>
  <c r="S280" i="6" s="1"/>
  <c r="Q280" i="6"/>
  <c r="P280" i="6"/>
  <c r="N280" i="6"/>
  <c r="O280" i="6" s="1"/>
  <c r="M280" i="6"/>
  <c r="L280" i="6"/>
  <c r="V279" i="6"/>
  <c r="W279" i="6" s="1"/>
  <c r="T279" i="6"/>
  <c r="U279" i="6" s="1"/>
  <c r="R279" i="6"/>
  <c r="S279" i="6" s="1"/>
  <c r="P279" i="6"/>
  <c r="Q279" i="6" s="1"/>
  <c r="N279" i="6"/>
  <c r="O279" i="6" s="1"/>
  <c r="M279" i="6"/>
  <c r="L279" i="6"/>
  <c r="V278" i="6"/>
  <c r="W278" i="6" s="1"/>
  <c r="U278" i="6"/>
  <c r="T278" i="6"/>
  <c r="R278" i="6"/>
  <c r="S278" i="6" s="1"/>
  <c r="P278" i="6"/>
  <c r="Q278" i="6" s="1"/>
  <c r="N278" i="6"/>
  <c r="O278" i="6" s="1"/>
  <c r="L278" i="6"/>
  <c r="M278" i="6" s="1"/>
  <c r="V277" i="6"/>
  <c r="W277" i="6" s="1"/>
  <c r="U277" i="6"/>
  <c r="T277" i="6"/>
  <c r="R277" i="6"/>
  <c r="S277" i="6" s="1"/>
  <c r="Q277" i="6"/>
  <c r="P277" i="6"/>
  <c r="N277" i="6"/>
  <c r="O277" i="6" s="1"/>
  <c r="L277" i="6"/>
  <c r="M277" i="6" s="1"/>
  <c r="V276" i="6"/>
  <c r="W276" i="6" s="1"/>
  <c r="T276" i="6"/>
  <c r="U276" i="6" s="1"/>
  <c r="R276" i="6"/>
  <c r="S276" i="6" s="1"/>
  <c r="Q276" i="6"/>
  <c r="P276" i="6"/>
  <c r="N276" i="6"/>
  <c r="O276" i="6" s="1"/>
  <c r="M276" i="6"/>
  <c r="L276" i="6"/>
  <c r="V275" i="6"/>
  <c r="W275" i="6" s="1"/>
  <c r="T275" i="6"/>
  <c r="U275" i="6" s="1"/>
  <c r="R275" i="6"/>
  <c r="S275" i="6" s="1"/>
  <c r="P275" i="6"/>
  <c r="Q275" i="6" s="1"/>
  <c r="N275" i="6"/>
  <c r="O275" i="6" s="1"/>
  <c r="M275" i="6"/>
  <c r="L275" i="6"/>
  <c r="V274" i="6"/>
  <c r="W274" i="6" s="1"/>
  <c r="U274" i="6"/>
  <c r="T274" i="6"/>
  <c r="R274" i="6"/>
  <c r="S274" i="6" s="1"/>
  <c r="P274" i="6"/>
  <c r="Q274" i="6" s="1"/>
  <c r="N274" i="6"/>
  <c r="O274" i="6" s="1"/>
  <c r="L274" i="6"/>
  <c r="M274" i="6" s="1"/>
  <c r="V273" i="6"/>
  <c r="W273" i="6" s="1"/>
  <c r="U273" i="6"/>
  <c r="T273" i="6"/>
  <c r="R273" i="6"/>
  <c r="S273" i="6" s="1"/>
  <c r="Q273" i="6"/>
  <c r="P273" i="6"/>
  <c r="N273" i="6"/>
  <c r="O273" i="6" s="1"/>
  <c r="L273" i="6"/>
  <c r="M273" i="6" s="1"/>
  <c r="V272" i="6"/>
  <c r="W272" i="6" s="1"/>
  <c r="T272" i="6"/>
  <c r="U272" i="6" s="1"/>
  <c r="R272" i="6"/>
  <c r="S272" i="6" s="1"/>
  <c r="Q272" i="6"/>
  <c r="P272" i="6"/>
  <c r="N272" i="6"/>
  <c r="O272" i="6" s="1"/>
  <c r="M272" i="6"/>
  <c r="L272" i="6"/>
  <c r="V271" i="6"/>
  <c r="W271" i="6" s="1"/>
  <c r="T271" i="6"/>
  <c r="U271" i="6" s="1"/>
  <c r="R271" i="6"/>
  <c r="S271" i="6" s="1"/>
  <c r="P271" i="6"/>
  <c r="Q271" i="6" s="1"/>
  <c r="N271" i="6"/>
  <c r="O271" i="6" s="1"/>
  <c r="M271" i="6"/>
  <c r="L271" i="6"/>
  <c r="V270" i="6"/>
  <c r="W270" i="6" s="1"/>
  <c r="U270" i="6"/>
  <c r="T270" i="6"/>
  <c r="R270" i="6"/>
  <c r="S270" i="6" s="1"/>
  <c r="P270" i="6"/>
  <c r="Q270" i="6" s="1"/>
  <c r="N270" i="6"/>
  <c r="O270" i="6" s="1"/>
  <c r="L270" i="6"/>
  <c r="M270" i="6" s="1"/>
  <c r="V269" i="6"/>
  <c r="W269" i="6" s="1"/>
  <c r="U269" i="6"/>
  <c r="T269" i="6"/>
  <c r="R269" i="6"/>
  <c r="S269" i="6" s="1"/>
  <c r="Q269" i="6"/>
  <c r="P269" i="6"/>
  <c r="N269" i="6"/>
  <c r="O269" i="6" s="1"/>
  <c r="L269" i="6"/>
  <c r="M269" i="6" s="1"/>
  <c r="V268" i="6"/>
  <c r="W268" i="6" s="1"/>
  <c r="T268" i="6"/>
  <c r="U268" i="6" s="1"/>
  <c r="R268" i="6"/>
  <c r="S268" i="6" s="1"/>
  <c r="Q268" i="6"/>
  <c r="P268" i="6"/>
  <c r="N268" i="6"/>
  <c r="O268" i="6" s="1"/>
  <c r="M268" i="6"/>
  <c r="L268" i="6"/>
  <c r="V267" i="6"/>
  <c r="W267" i="6" s="1"/>
  <c r="T267" i="6"/>
  <c r="U267" i="6" s="1"/>
  <c r="R267" i="6"/>
  <c r="S267" i="6" s="1"/>
  <c r="P267" i="6"/>
  <c r="Q267" i="6" s="1"/>
  <c r="N267" i="6"/>
  <c r="O267" i="6" s="1"/>
  <c r="M267" i="6"/>
  <c r="L267" i="6"/>
  <c r="V266" i="6"/>
  <c r="W266" i="6" s="1"/>
  <c r="U266" i="6"/>
  <c r="T266" i="6"/>
  <c r="R266" i="6"/>
  <c r="S266" i="6" s="1"/>
  <c r="P266" i="6"/>
  <c r="Q266" i="6" s="1"/>
  <c r="N266" i="6"/>
  <c r="O266" i="6" s="1"/>
  <c r="L266" i="6"/>
  <c r="M266" i="6" s="1"/>
  <c r="V265" i="6"/>
  <c r="W265" i="6" s="1"/>
  <c r="U265" i="6"/>
  <c r="T265" i="6"/>
  <c r="R265" i="6"/>
  <c r="S265" i="6" s="1"/>
  <c r="Q265" i="6"/>
  <c r="P265" i="6"/>
  <c r="N265" i="6"/>
  <c r="O265" i="6" s="1"/>
  <c r="L265" i="6"/>
  <c r="M265" i="6" s="1"/>
  <c r="V264" i="6"/>
  <c r="W264" i="6" s="1"/>
  <c r="T264" i="6"/>
  <c r="U264" i="6" s="1"/>
  <c r="R264" i="6"/>
  <c r="S264" i="6" s="1"/>
  <c r="Q264" i="6"/>
  <c r="P264" i="6"/>
  <c r="N264" i="6"/>
  <c r="O264" i="6" s="1"/>
  <c r="M264" i="6"/>
  <c r="L264" i="6"/>
  <c r="V263" i="6"/>
  <c r="W263" i="6" s="1"/>
  <c r="T263" i="6"/>
  <c r="U263" i="6" s="1"/>
  <c r="R263" i="6"/>
  <c r="S263" i="6" s="1"/>
  <c r="P263" i="6"/>
  <c r="Q263" i="6" s="1"/>
  <c r="N263" i="6"/>
  <c r="O263" i="6" s="1"/>
  <c r="M263" i="6"/>
  <c r="L263" i="6"/>
  <c r="V262" i="6"/>
  <c r="W262" i="6" s="1"/>
  <c r="U262" i="6"/>
  <c r="T262" i="6"/>
  <c r="R262" i="6"/>
  <c r="S262" i="6" s="1"/>
  <c r="P262" i="6"/>
  <c r="Q262" i="6" s="1"/>
  <c r="N262" i="6"/>
  <c r="O262" i="6" s="1"/>
  <c r="L262" i="6"/>
  <c r="M262" i="6" s="1"/>
  <c r="V261" i="6"/>
  <c r="W261" i="6" s="1"/>
  <c r="U261" i="6"/>
  <c r="T261" i="6"/>
  <c r="R261" i="6"/>
  <c r="S261" i="6" s="1"/>
  <c r="Q261" i="6"/>
  <c r="P261" i="6"/>
  <c r="N261" i="6"/>
  <c r="O261" i="6" s="1"/>
  <c r="L261" i="6"/>
  <c r="M261" i="6" s="1"/>
  <c r="V260" i="6"/>
  <c r="W260" i="6" s="1"/>
  <c r="T260" i="6"/>
  <c r="U260" i="6" s="1"/>
  <c r="R260" i="6"/>
  <c r="S260" i="6" s="1"/>
  <c r="Q260" i="6"/>
  <c r="P260" i="6"/>
  <c r="N260" i="6"/>
  <c r="O260" i="6" s="1"/>
  <c r="M260" i="6"/>
  <c r="L260" i="6"/>
  <c r="V259" i="6"/>
  <c r="W259" i="6" s="1"/>
  <c r="T259" i="6"/>
  <c r="U259" i="6" s="1"/>
  <c r="R259" i="6"/>
  <c r="S259" i="6" s="1"/>
  <c r="P259" i="6"/>
  <c r="Q259" i="6" s="1"/>
  <c r="N259" i="6"/>
  <c r="O259" i="6" s="1"/>
  <c r="M259" i="6"/>
  <c r="L259" i="6"/>
  <c r="V258" i="6"/>
  <c r="W258" i="6" s="1"/>
  <c r="U258" i="6"/>
  <c r="T258" i="6"/>
  <c r="R258" i="6"/>
  <c r="S258" i="6" s="1"/>
  <c r="P258" i="6"/>
  <c r="Q258" i="6" s="1"/>
  <c r="N258" i="6"/>
  <c r="O258" i="6" s="1"/>
  <c r="L258" i="6"/>
  <c r="M258" i="6" s="1"/>
  <c r="V257" i="6"/>
  <c r="W257" i="6" s="1"/>
  <c r="U257" i="6"/>
  <c r="T257" i="6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Q256" i="6"/>
  <c r="P256" i="6"/>
  <c r="N256" i="6"/>
  <c r="O256" i="6" s="1"/>
  <c r="M256" i="6"/>
  <c r="L256" i="6"/>
  <c r="V255" i="6"/>
  <c r="W255" i="6" s="1"/>
  <c r="T255" i="6"/>
  <c r="U255" i="6" s="1"/>
  <c r="R255" i="6"/>
  <c r="S255" i="6" s="1"/>
  <c r="P255" i="6"/>
  <c r="Q255" i="6" s="1"/>
  <c r="N255" i="6"/>
  <c r="O255" i="6" s="1"/>
  <c r="M255" i="6"/>
  <c r="L255" i="6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V253" i="6"/>
  <c r="W253" i="6" s="1"/>
  <c r="U253" i="6"/>
  <c r="T253" i="6"/>
  <c r="R253" i="6"/>
  <c r="S253" i="6" s="1"/>
  <c r="Q253" i="6"/>
  <c r="P253" i="6"/>
  <c r="N253" i="6"/>
  <c r="O253" i="6" s="1"/>
  <c r="L253" i="6"/>
  <c r="M253" i="6" s="1"/>
  <c r="V252" i="6"/>
  <c r="W252" i="6" s="1"/>
  <c r="T252" i="6"/>
  <c r="U252" i="6" s="1"/>
  <c r="R252" i="6"/>
  <c r="S252" i="6" s="1"/>
  <c r="Q252" i="6"/>
  <c r="P252" i="6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M251" i="6"/>
  <c r="L251" i="6"/>
  <c r="V250" i="6"/>
  <c r="W250" i="6" s="1"/>
  <c r="T250" i="6"/>
  <c r="U250" i="6" s="1"/>
  <c r="R250" i="6"/>
  <c r="S250" i="6" s="1"/>
  <c r="Q250" i="6"/>
  <c r="P250" i="6"/>
  <c r="N250" i="6"/>
  <c r="O250" i="6" s="1"/>
  <c r="L250" i="6"/>
  <c r="M250" i="6" s="1"/>
  <c r="V249" i="6"/>
  <c r="W249" i="6" s="1"/>
  <c r="U249" i="6"/>
  <c r="T249" i="6"/>
  <c r="R249" i="6"/>
  <c r="S249" i="6" s="1"/>
  <c r="Q249" i="6"/>
  <c r="P249" i="6"/>
  <c r="N249" i="6"/>
  <c r="O249" i="6" s="1"/>
  <c r="M249" i="6"/>
  <c r="L249" i="6"/>
  <c r="V248" i="6"/>
  <c r="W248" i="6" s="1"/>
  <c r="T248" i="6"/>
  <c r="U248" i="6" s="1"/>
  <c r="R248" i="6"/>
  <c r="S248" i="6" s="1"/>
  <c r="Q248" i="6"/>
  <c r="P248" i="6"/>
  <c r="N248" i="6"/>
  <c r="O248" i="6" s="1"/>
  <c r="M248" i="6"/>
  <c r="L248" i="6"/>
  <c r="V247" i="6"/>
  <c r="W247" i="6" s="1"/>
  <c r="T247" i="6"/>
  <c r="U247" i="6" s="1"/>
  <c r="R247" i="6"/>
  <c r="S247" i="6" s="1"/>
  <c r="P247" i="6"/>
  <c r="Q247" i="6" s="1"/>
  <c r="N247" i="6"/>
  <c r="O247" i="6" s="1"/>
  <c r="M247" i="6"/>
  <c r="L247" i="6"/>
  <c r="V246" i="6"/>
  <c r="W246" i="6" s="1"/>
  <c r="T246" i="6"/>
  <c r="U246" i="6" s="1"/>
  <c r="R246" i="6"/>
  <c r="S246" i="6" s="1"/>
  <c r="P246" i="6"/>
  <c r="Q246" i="6" s="1"/>
  <c r="N246" i="6"/>
  <c r="O246" i="6" s="1"/>
  <c r="L246" i="6"/>
  <c r="M246" i="6" s="1"/>
  <c r="V245" i="6"/>
  <c r="W245" i="6" s="1"/>
  <c r="U245" i="6"/>
  <c r="T245" i="6"/>
  <c r="R245" i="6"/>
  <c r="S245" i="6" s="1"/>
  <c r="P245" i="6"/>
  <c r="Q245" i="6" s="1"/>
  <c r="N245" i="6"/>
  <c r="O245" i="6" s="1"/>
  <c r="M245" i="6"/>
  <c r="L245" i="6"/>
  <c r="V244" i="6"/>
  <c r="W244" i="6" s="1"/>
  <c r="T244" i="6"/>
  <c r="U244" i="6" s="1"/>
  <c r="R244" i="6"/>
  <c r="S244" i="6" s="1"/>
  <c r="Q244" i="6"/>
  <c r="P244" i="6"/>
  <c r="N244" i="6"/>
  <c r="O244" i="6" s="1"/>
  <c r="M244" i="6"/>
  <c r="L244" i="6"/>
  <c r="V243" i="6"/>
  <c r="W243" i="6" s="1"/>
  <c r="U243" i="6"/>
  <c r="T243" i="6"/>
  <c r="R243" i="6"/>
  <c r="S243" i="6" s="1"/>
  <c r="P243" i="6"/>
  <c r="Q243" i="6" s="1"/>
  <c r="N243" i="6"/>
  <c r="O243" i="6" s="1"/>
  <c r="M243" i="6"/>
  <c r="L243" i="6"/>
  <c r="V242" i="6"/>
  <c r="W242" i="6" s="1"/>
  <c r="U242" i="6"/>
  <c r="T242" i="6"/>
  <c r="R242" i="6"/>
  <c r="S242" i="6" s="1"/>
  <c r="P242" i="6"/>
  <c r="Q242" i="6" s="1"/>
  <c r="N242" i="6"/>
  <c r="O242" i="6" s="1"/>
  <c r="L242" i="6"/>
  <c r="M242" i="6" s="1"/>
  <c r="V241" i="6"/>
  <c r="W241" i="6" s="1"/>
  <c r="U241" i="6"/>
  <c r="T241" i="6"/>
  <c r="R241" i="6"/>
  <c r="S241" i="6" s="1"/>
  <c r="P241" i="6"/>
  <c r="Q241" i="6" s="1"/>
  <c r="N241" i="6"/>
  <c r="O241" i="6" s="1"/>
  <c r="L241" i="6"/>
  <c r="M241" i="6" s="1"/>
  <c r="V240" i="6"/>
  <c r="W240" i="6" s="1"/>
  <c r="T240" i="6"/>
  <c r="U240" i="6" s="1"/>
  <c r="R240" i="6"/>
  <c r="S240" i="6" s="1"/>
  <c r="Q240" i="6"/>
  <c r="P240" i="6"/>
  <c r="N240" i="6"/>
  <c r="O240" i="6" s="1"/>
  <c r="L240" i="6"/>
  <c r="M240" i="6" s="1"/>
  <c r="V239" i="6"/>
  <c r="W239" i="6" s="1"/>
  <c r="U239" i="6"/>
  <c r="T239" i="6"/>
  <c r="R239" i="6"/>
  <c r="S239" i="6" s="1"/>
  <c r="P239" i="6"/>
  <c r="Q239" i="6" s="1"/>
  <c r="N239" i="6"/>
  <c r="O239" i="6" s="1"/>
  <c r="M239" i="6"/>
  <c r="L239" i="6"/>
  <c r="V238" i="6"/>
  <c r="W238" i="6" s="1"/>
  <c r="U238" i="6"/>
  <c r="T238" i="6"/>
  <c r="R238" i="6"/>
  <c r="S238" i="6" s="1"/>
  <c r="Q238" i="6"/>
  <c r="P238" i="6"/>
  <c r="N238" i="6"/>
  <c r="O238" i="6" s="1"/>
  <c r="L238" i="6"/>
  <c r="M238" i="6" s="1"/>
  <c r="V237" i="6"/>
  <c r="W237" i="6" s="1"/>
  <c r="T237" i="6"/>
  <c r="U237" i="6" s="1"/>
  <c r="R237" i="6"/>
  <c r="S237" i="6" s="1"/>
  <c r="Q237" i="6"/>
  <c r="P237" i="6"/>
  <c r="N237" i="6"/>
  <c r="O237" i="6" s="1"/>
  <c r="M237" i="6"/>
  <c r="L237" i="6"/>
  <c r="V236" i="6"/>
  <c r="W236" i="6" s="1"/>
  <c r="T236" i="6"/>
  <c r="U236" i="6" s="1"/>
  <c r="R236" i="6"/>
  <c r="S236" i="6" s="1"/>
  <c r="P236" i="6"/>
  <c r="Q236" i="6" s="1"/>
  <c r="N236" i="6"/>
  <c r="O236" i="6" s="1"/>
  <c r="M236" i="6"/>
  <c r="L236" i="6"/>
  <c r="V235" i="6"/>
  <c r="W235" i="6" s="1"/>
  <c r="U235" i="6"/>
  <c r="T235" i="6"/>
  <c r="R235" i="6"/>
  <c r="S235" i="6" s="1"/>
  <c r="P235" i="6"/>
  <c r="Q235" i="6" s="1"/>
  <c r="N235" i="6"/>
  <c r="O235" i="6" s="1"/>
  <c r="L235" i="6"/>
  <c r="M235" i="6" s="1"/>
  <c r="V234" i="6"/>
  <c r="W234" i="6" s="1"/>
  <c r="U234" i="6"/>
  <c r="T234" i="6"/>
  <c r="R234" i="6"/>
  <c r="S234" i="6" s="1"/>
  <c r="Q234" i="6"/>
  <c r="P234" i="6"/>
  <c r="N234" i="6"/>
  <c r="O234" i="6" s="1"/>
  <c r="L234" i="6"/>
  <c r="M234" i="6" s="1"/>
  <c r="V233" i="6"/>
  <c r="W233" i="6" s="1"/>
  <c r="T233" i="6"/>
  <c r="U233" i="6" s="1"/>
  <c r="R233" i="6"/>
  <c r="S233" i="6" s="1"/>
  <c r="Q233" i="6"/>
  <c r="P233" i="6"/>
  <c r="N233" i="6"/>
  <c r="O233" i="6" s="1"/>
  <c r="M233" i="6"/>
  <c r="L233" i="6"/>
  <c r="V232" i="6"/>
  <c r="W232" i="6" s="1"/>
  <c r="T232" i="6"/>
  <c r="U232" i="6" s="1"/>
  <c r="R232" i="6"/>
  <c r="S232" i="6" s="1"/>
  <c r="P232" i="6"/>
  <c r="Q232" i="6" s="1"/>
  <c r="N232" i="6"/>
  <c r="O232" i="6" s="1"/>
  <c r="M232" i="6"/>
  <c r="L232" i="6"/>
  <c r="V231" i="6"/>
  <c r="W231" i="6" s="1"/>
  <c r="U231" i="6"/>
  <c r="T231" i="6"/>
  <c r="R231" i="6"/>
  <c r="S231" i="6" s="1"/>
  <c r="P231" i="6"/>
  <c r="Q231" i="6" s="1"/>
  <c r="N231" i="6"/>
  <c r="O231" i="6" s="1"/>
  <c r="L231" i="6"/>
  <c r="M231" i="6" s="1"/>
  <c r="V230" i="6"/>
  <c r="W230" i="6" s="1"/>
  <c r="U230" i="6"/>
  <c r="T230" i="6"/>
  <c r="R230" i="6"/>
  <c r="S230" i="6" s="1"/>
  <c r="Q230" i="6"/>
  <c r="P230" i="6"/>
  <c r="N230" i="6"/>
  <c r="O230" i="6" s="1"/>
  <c r="L230" i="6"/>
  <c r="M230" i="6" s="1"/>
  <c r="V229" i="6"/>
  <c r="W229" i="6" s="1"/>
  <c r="T229" i="6"/>
  <c r="U229" i="6" s="1"/>
  <c r="R229" i="6"/>
  <c r="S229" i="6" s="1"/>
  <c r="Q229" i="6"/>
  <c r="P229" i="6"/>
  <c r="N229" i="6"/>
  <c r="O229" i="6" s="1"/>
  <c r="M229" i="6"/>
  <c r="L229" i="6"/>
  <c r="V228" i="6"/>
  <c r="W228" i="6" s="1"/>
  <c r="T228" i="6"/>
  <c r="U228" i="6" s="1"/>
  <c r="R228" i="6"/>
  <c r="S228" i="6" s="1"/>
  <c r="P228" i="6"/>
  <c r="Q228" i="6" s="1"/>
  <c r="N228" i="6"/>
  <c r="O228" i="6" s="1"/>
  <c r="M228" i="6"/>
  <c r="L228" i="6"/>
  <c r="V227" i="6"/>
  <c r="W227" i="6" s="1"/>
  <c r="U227" i="6"/>
  <c r="T227" i="6"/>
  <c r="R227" i="6"/>
  <c r="S227" i="6" s="1"/>
  <c r="P227" i="6"/>
  <c r="Q227" i="6" s="1"/>
  <c r="N227" i="6"/>
  <c r="O227" i="6" s="1"/>
  <c r="L227" i="6"/>
  <c r="M227" i="6" s="1"/>
  <c r="V226" i="6"/>
  <c r="W226" i="6" s="1"/>
  <c r="U226" i="6"/>
  <c r="T226" i="6"/>
  <c r="R226" i="6"/>
  <c r="S226" i="6" s="1"/>
  <c r="Q226" i="6"/>
  <c r="P226" i="6"/>
  <c r="N226" i="6"/>
  <c r="O226" i="6" s="1"/>
  <c r="L226" i="6"/>
  <c r="M226" i="6" s="1"/>
  <c r="V225" i="6"/>
  <c r="W225" i="6" s="1"/>
  <c r="T225" i="6"/>
  <c r="U225" i="6" s="1"/>
  <c r="R225" i="6"/>
  <c r="S225" i="6" s="1"/>
  <c r="Q225" i="6"/>
  <c r="P225" i="6"/>
  <c r="N225" i="6"/>
  <c r="O225" i="6" s="1"/>
  <c r="M225" i="6"/>
  <c r="L225" i="6"/>
  <c r="V224" i="6"/>
  <c r="W224" i="6" s="1"/>
  <c r="T224" i="6"/>
  <c r="U224" i="6" s="1"/>
  <c r="R224" i="6"/>
  <c r="S224" i="6" s="1"/>
  <c r="P224" i="6"/>
  <c r="Q224" i="6" s="1"/>
  <c r="N224" i="6"/>
  <c r="O224" i="6" s="1"/>
  <c r="M224" i="6"/>
  <c r="L224" i="6"/>
  <c r="V223" i="6"/>
  <c r="W223" i="6" s="1"/>
  <c r="U223" i="6"/>
  <c r="T223" i="6"/>
  <c r="R223" i="6"/>
  <c r="S223" i="6" s="1"/>
  <c r="P223" i="6"/>
  <c r="Q223" i="6" s="1"/>
  <c r="N223" i="6"/>
  <c r="O223" i="6" s="1"/>
  <c r="L223" i="6"/>
  <c r="M223" i="6" s="1"/>
  <c r="V222" i="6"/>
  <c r="W222" i="6" s="1"/>
  <c r="U222" i="6"/>
  <c r="T222" i="6"/>
  <c r="R222" i="6"/>
  <c r="S222" i="6" s="1"/>
  <c r="Q222" i="6"/>
  <c r="P222" i="6"/>
  <c r="N222" i="6"/>
  <c r="O222" i="6" s="1"/>
  <c r="L222" i="6"/>
  <c r="M222" i="6" s="1"/>
  <c r="V221" i="6"/>
  <c r="W221" i="6" s="1"/>
  <c r="T221" i="6"/>
  <c r="U221" i="6" s="1"/>
  <c r="R221" i="6"/>
  <c r="S221" i="6" s="1"/>
  <c r="Q221" i="6"/>
  <c r="P221" i="6"/>
  <c r="N221" i="6"/>
  <c r="O221" i="6" s="1"/>
  <c r="M221" i="6"/>
  <c r="L221" i="6"/>
  <c r="V220" i="6"/>
  <c r="W220" i="6" s="1"/>
  <c r="T220" i="6"/>
  <c r="U220" i="6" s="1"/>
  <c r="R220" i="6"/>
  <c r="S220" i="6" s="1"/>
  <c r="P220" i="6"/>
  <c r="Q220" i="6" s="1"/>
  <c r="N220" i="6"/>
  <c r="O220" i="6" s="1"/>
  <c r="M220" i="6"/>
  <c r="L220" i="6"/>
  <c r="V219" i="6"/>
  <c r="W219" i="6" s="1"/>
  <c r="U219" i="6"/>
  <c r="T219" i="6"/>
  <c r="R219" i="6"/>
  <c r="S219" i="6" s="1"/>
  <c r="P219" i="6"/>
  <c r="Q219" i="6" s="1"/>
  <c r="N219" i="6"/>
  <c r="O219" i="6" s="1"/>
  <c r="L219" i="6"/>
  <c r="M219" i="6" s="1"/>
  <c r="V218" i="6"/>
  <c r="W218" i="6" s="1"/>
  <c r="U218" i="6"/>
  <c r="T218" i="6"/>
  <c r="R218" i="6"/>
  <c r="S218" i="6" s="1"/>
  <c r="Q218" i="6"/>
  <c r="P218" i="6"/>
  <c r="N218" i="6"/>
  <c r="O218" i="6" s="1"/>
  <c r="L218" i="6"/>
  <c r="M218" i="6" s="1"/>
  <c r="V217" i="6"/>
  <c r="W217" i="6" s="1"/>
  <c r="T217" i="6"/>
  <c r="U217" i="6" s="1"/>
  <c r="R217" i="6"/>
  <c r="S217" i="6" s="1"/>
  <c r="Q217" i="6"/>
  <c r="P217" i="6"/>
  <c r="N217" i="6"/>
  <c r="O217" i="6" s="1"/>
  <c r="M217" i="6"/>
  <c r="L217" i="6"/>
  <c r="V216" i="6"/>
  <c r="W216" i="6" s="1"/>
  <c r="T216" i="6"/>
  <c r="U216" i="6" s="1"/>
  <c r="R216" i="6"/>
  <c r="S216" i="6" s="1"/>
  <c r="P216" i="6"/>
  <c r="Q216" i="6" s="1"/>
  <c r="N216" i="6"/>
  <c r="O216" i="6" s="1"/>
  <c r="M216" i="6"/>
  <c r="L216" i="6"/>
  <c r="V215" i="6"/>
  <c r="W215" i="6" s="1"/>
  <c r="U215" i="6"/>
  <c r="T215" i="6"/>
  <c r="R215" i="6"/>
  <c r="S215" i="6" s="1"/>
  <c r="P215" i="6"/>
  <c r="Q215" i="6" s="1"/>
  <c r="N215" i="6"/>
  <c r="O215" i="6" s="1"/>
  <c r="L215" i="6"/>
  <c r="M215" i="6" s="1"/>
  <c r="V214" i="6"/>
  <c r="W214" i="6" s="1"/>
  <c r="U214" i="6"/>
  <c r="T214" i="6"/>
  <c r="R214" i="6"/>
  <c r="S214" i="6" s="1"/>
  <c r="Q214" i="6"/>
  <c r="P214" i="6"/>
  <c r="N214" i="6"/>
  <c r="O214" i="6" s="1"/>
  <c r="L214" i="6"/>
  <c r="M214" i="6" s="1"/>
  <c r="V213" i="6"/>
  <c r="W213" i="6" s="1"/>
  <c r="T213" i="6"/>
  <c r="U213" i="6" s="1"/>
  <c r="R213" i="6"/>
  <c r="S213" i="6" s="1"/>
  <c r="Q213" i="6"/>
  <c r="P213" i="6"/>
  <c r="N213" i="6"/>
  <c r="O213" i="6" s="1"/>
  <c r="M213" i="6"/>
  <c r="L213" i="6"/>
  <c r="V212" i="6"/>
  <c r="W212" i="6" s="1"/>
  <c r="T212" i="6"/>
  <c r="U212" i="6" s="1"/>
  <c r="R212" i="6"/>
  <c r="S212" i="6" s="1"/>
  <c r="P212" i="6"/>
  <c r="Q212" i="6" s="1"/>
  <c r="N212" i="6"/>
  <c r="O212" i="6" s="1"/>
  <c r="M212" i="6"/>
  <c r="L212" i="6"/>
  <c r="V211" i="6"/>
  <c r="W211" i="6" s="1"/>
  <c r="U211" i="6"/>
  <c r="T211" i="6"/>
  <c r="R211" i="6"/>
  <c r="S211" i="6" s="1"/>
  <c r="P211" i="6"/>
  <c r="Q211" i="6" s="1"/>
  <c r="N211" i="6"/>
  <c r="O211" i="6" s="1"/>
  <c r="L211" i="6"/>
  <c r="M211" i="6" s="1"/>
  <c r="V210" i="6"/>
  <c r="W210" i="6" s="1"/>
  <c r="U210" i="6"/>
  <c r="T210" i="6"/>
  <c r="R210" i="6"/>
  <c r="S210" i="6" s="1"/>
  <c r="Q210" i="6"/>
  <c r="P210" i="6"/>
  <c r="N210" i="6"/>
  <c r="O210" i="6" s="1"/>
  <c r="L210" i="6"/>
  <c r="M210" i="6" s="1"/>
  <c r="V209" i="6"/>
  <c r="W209" i="6" s="1"/>
  <c r="T209" i="6"/>
  <c r="U209" i="6" s="1"/>
  <c r="R209" i="6"/>
  <c r="S209" i="6" s="1"/>
  <c r="Q209" i="6"/>
  <c r="P209" i="6"/>
  <c r="N209" i="6"/>
  <c r="O209" i="6" s="1"/>
  <c r="M209" i="6"/>
  <c r="L209" i="6"/>
  <c r="V208" i="6"/>
  <c r="W208" i="6" s="1"/>
  <c r="T208" i="6"/>
  <c r="U208" i="6" s="1"/>
  <c r="R208" i="6"/>
  <c r="S208" i="6" s="1"/>
  <c r="P208" i="6"/>
  <c r="Q208" i="6" s="1"/>
  <c r="N208" i="6"/>
  <c r="O208" i="6" s="1"/>
  <c r="M208" i="6"/>
  <c r="L208" i="6"/>
  <c r="V207" i="6"/>
  <c r="W207" i="6" s="1"/>
  <c r="U207" i="6"/>
  <c r="T207" i="6"/>
  <c r="R207" i="6"/>
  <c r="S207" i="6" s="1"/>
  <c r="P207" i="6"/>
  <c r="Q207" i="6" s="1"/>
  <c r="N207" i="6"/>
  <c r="O207" i="6" s="1"/>
  <c r="L207" i="6"/>
  <c r="M207" i="6" s="1"/>
  <c r="V206" i="6"/>
  <c r="W206" i="6" s="1"/>
  <c r="U206" i="6"/>
  <c r="T206" i="6"/>
  <c r="R206" i="6"/>
  <c r="S206" i="6" s="1"/>
  <c r="Q206" i="6"/>
  <c r="P206" i="6"/>
  <c r="N206" i="6"/>
  <c r="O206" i="6" s="1"/>
  <c r="L206" i="6"/>
  <c r="M206" i="6" s="1"/>
  <c r="V205" i="6"/>
  <c r="W205" i="6" s="1"/>
  <c r="T205" i="6"/>
  <c r="U205" i="6" s="1"/>
  <c r="R205" i="6"/>
  <c r="S205" i="6" s="1"/>
  <c r="Q205" i="6"/>
  <c r="P205" i="6"/>
  <c r="N205" i="6"/>
  <c r="O205" i="6" s="1"/>
  <c r="M205" i="6"/>
  <c r="L205" i="6"/>
  <c r="V204" i="6"/>
  <c r="W204" i="6" s="1"/>
  <c r="T204" i="6"/>
  <c r="U204" i="6" s="1"/>
  <c r="R204" i="6"/>
  <c r="S204" i="6" s="1"/>
  <c r="P204" i="6"/>
  <c r="Q204" i="6" s="1"/>
  <c r="N204" i="6"/>
  <c r="O204" i="6" s="1"/>
  <c r="M204" i="6"/>
  <c r="L204" i="6"/>
  <c r="V203" i="6"/>
  <c r="W203" i="6" s="1"/>
  <c r="U203" i="6"/>
  <c r="T203" i="6"/>
  <c r="R203" i="6"/>
  <c r="S203" i="6" s="1"/>
  <c r="P203" i="6"/>
  <c r="Q203" i="6" s="1"/>
  <c r="N203" i="6"/>
  <c r="O203" i="6" s="1"/>
  <c r="L203" i="6"/>
  <c r="M203" i="6" s="1"/>
  <c r="V202" i="6"/>
  <c r="W202" i="6" s="1"/>
  <c r="U202" i="6"/>
  <c r="T202" i="6"/>
  <c r="R202" i="6"/>
  <c r="S202" i="6" s="1"/>
  <c r="Q202" i="6"/>
  <c r="P202" i="6"/>
  <c r="N202" i="6"/>
  <c r="O202" i="6" s="1"/>
  <c r="L202" i="6"/>
  <c r="M202" i="6" s="1"/>
  <c r="V201" i="6"/>
  <c r="W201" i="6" s="1"/>
  <c r="T201" i="6"/>
  <c r="U201" i="6" s="1"/>
  <c r="R201" i="6"/>
  <c r="S201" i="6" s="1"/>
  <c r="Q201" i="6"/>
  <c r="P201" i="6"/>
  <c r="N201" i="6"/>
  <c r="O201" i="6" s="1"/>
  <c r="M201" i="6"/>
  <c r="L201" i="6"/>
  <c r="V200" i="6"/>
  <c r="W200" i="6" s="1"/>
  <c r="T200" i="6"/>
  <c r="U200" i="6" s="1"/>
  <c r="R200" i="6"/>
  <c r="S200" i="6" s="1"/>
  <c r="P200" i="6"/>
  <c r="Q200" i="6" s="1"/>
  <c r="N200" i="6"/>
  <c r="O200" i="6" s="1"/>
  <c r="M200" i="6"/>
  <c r="L200" i="6"/>
  <c r="V199" i="6"/>
  <c r="W199" i="6" s="1"/>
  <c r="U199" i="6"/>
  <c r="T199" i="6"/>
  <c r="R199" i="6"/>
  <c r="S199" i="6" s="1"/>
  <c r="P199" i="6"/>
  <c r="Q199" i="6" s="1"/>
  <c r="N199" i="6"/>
  <c r="O199" i="6" s="1"/>
  <c r="L199" i="6"/>
  <c r="M199" i="6" s="1"/>
  <c r="V198" i="6"/>
  <c r="W198" i="6" s="1"/>
  <c r="U198" i="6"/>
  <c r="T198" i="6"/>
  <c r="R198" i="6"/>
  <c r="S198" i="6" s="1"/>
  <c r="Q198" i="6"/>
  <c r="P198" i="6"/>
  <c r="N198" i="6"/>
  <c r="O198" i="6" s="1"/>
  <c r="L198" i="6"/>
  <c r="M198" i="6" s="1"/>
  <c r="V197" i="6"/>
  <c r="W197" i="6" s="1"/>
  <c r="T197" i="6"/>
  <c r="U197" i="6" s="1"/>
  <c r="R197" i="6"/>
  <c r="S197" i="6" s="1"/>
  <c r="Q197" i="6"/>
  <c r="P197" i="6"/>
  <c r="N197" i="6"/>
  <c r="O197" i="6" s="1"/>
  <c r="M197" i="6"/>
  <c r="L197" i="6"/>
  <c r="V196" i="6"/>
  <c r="W196" i="6" s="1"/>
  <c r="T196" i="6"/>
  <c r="U196" i="6" s="1"/>
  <c r="R196" i="6"/>
  <c r="S196" i="6" s="1"/>
  <c r="P196" i="6"/>
  <c r="Q196" i="6" s="1"/>
  <c r="N196" i="6"/>
  <c r="O196" i="6" s="1"/>
  <c r="M196" i="6"/>
  <c r="L196" i="6"/>
  <c r="V195" i="6"/>
  <c r="W195" i="6" s="1"/>
  <c r="U195" i="6"/>
  <c r="T195" i="6"/>
  <c r="R195" i="6"/>
  <c r="S195" i="6" s="1"/>
  <c r="P195" i="6"/>
  <c r="Q195" i="6" s="1"/>
  <c r="N195" i="6"/>
  <c r="O195" i="6" s="1"/>
  <c r="L195" i="6"/>
  <c r="M195" i="6" s="1"/>
  <c r="V194" i="6"/>
  <c r="W194" i="6" s="1"/>
  <c r="U194" i="6"/>
  <c r="T194" i="6"/>
  <c r="R194" i="6"/>
  <c r="S194" i="6" s="1"/>
  <c r="Q194" i="6"/>
  <c r="P194" i="6"/>
  <c r="N194" i="6"/>
  <c r="O194" i="6" s="1"/>
  <c r="L194" i="6"/>
  <c r="M194" i="6" s="1"/>
  <c r="V193" i="6"/>
  <c r="W193" i="6" s="1"/>
  <c r="T193" i="6"/>
  <c r="U193" i="6" s="1"/>
  <c r="R193" i="6"/>
  <c r="S193" i="6" s="1"/>
  <c r="Q193" i="6"/>
  <c r="P193" i="6"/>
  <c r="N193" i="6"/>
  <c r="O193" i="6" s="1"/>
  <c r="M193" i="6"/>
  <c r="L193" i="6"/>
  <c r="V192" i="6"/>
  <c r="W192" i="6" s="1"/>
  <c r="T192" i="6"/>
  <c r="U192" i="6" s="1"/>
  <c r="R192" i="6"/>
  <c r="S192" i="6" s="1"/>
  <c r="P192" i="6"/>
  <c r="Q192" i="6" s="1"/>
  <c r="N192" i="6"/>
  <c r="O192" i="6" s="1"/>
  <c r="M192" i="6"/>
  <c r="L192" i="6"/>
  <c r="V191" i="6"/>
  <c r="W191" i="6" s="1"/>
  <c r="U191" i="6"/>
  <c r="T191" i="6"/>
  <c r="R191" i="6"/>
  <c r="S191" i="6" s="1"/>
  <c r="P191" i="6"/>
  <c r="Q191" i="6" s="1"/>
  <c r="N191" i="6"/>
  <c r="O191" i="6" s="1"/>
  <c r="L191" i="6"/>
  <c r="M191" i="6" s="1"/>
  <c r="V190" i="6"/>
  <c r="W190" i="6" s="1"/>
  <c r="U190" i="6"/>
  <c r="T190" i="6"/>
  <c r="R190" i="6"/>
  <c r="S190" i="6" s="1"/>
  <c r="Q190" i="6"/>
  <c r="P190" i="6"/>
  <c r="N190" i="6"/>
  <c r="O190" i="6" s="1"/>
  <c r="L190" i="6"/>
  <c r="M190" i="6" s="1"/>
  <c r="V189" i="6"/>
  <c r="W189" i="6" s="1"/>
  <c r="T189" i="6"/>
  <c r="U189" i="6" s="1"/>
  <c r="R189" i="6"/>
  <c r="S189" i="6" s="1"/>
  <c r="Q189" i="6"/>
  <c r="P189" i="6"/>
  <c r="N189" i="6"/>
  <c r="O189" i="6" s="1"/>
  <c r="M189" i="6"/>
  <c r="L189" i="6"/>
  <c r="V188" i="6"/>
  <c r="W188" i="6" s="1"/>
  <c r="T188" i="6"/>
  <c r="U188" i="6" s="1"/>
  <c r="R188" i="6"/>
  <c r="S188" i="6" s="1"/>
  <c r="P188" i="6"/>
  <c r="Q188" i="6" s="1"/>
  <c r="N188" i="6"/>
  <c r="O188" i="6" s="1"/>
  <c r="M188" i="6"/>
  <c r="L188" i="6"/>
  <c r="V187" i="6"/>
  <c r="W187" i="6" s="1"/>
  <c r="U187" i="6"/>
  <c r="T187" i="6"/>
  <c r="R187" i="6"/>
  <c r="S187" i="6" s="1"/>
  <c r="P187" i="6"/>
  <c r="Q187" i="6" s="1"/>
  <c r="N187" i="6"/>
  <c r="O187" i="6" s="1"/>
  <c r="L187" i="6"/>
  <c r="M187" i="6" s="1"/>
  <c r="V186" i="6"/>
  <c r="W186" i="6" s="1"/>
  <c r="U186" i="6"/>
  <c r="T186" i="6"/>
  <c r="R186" i="6"/>
  <c r="S186" i="6" s="1"/>
  <c r="Q186" i="6"/>
  <c r="P186" i="6"/>
  <c r="N186" i="6"/>
  <c r="O186" i="6" s="1"/>
  <c r="L186" i="6"/>
  <c r="M186" i="6" s="1"/>
  <c r="V185" i="6"/>
  <c r="W185" i="6" s="1"/>
  <c r="T185" i="6"/>
  <c r="U185" i="6" s="1"/>
  <c r="R185" i="6"/>
  <c r="S185" i="6" s="1"/>
  <c r="Q185" i="6"/>
  <c r="P185" i="6"/>
  <c r="N185" i="6"/>
  <c r="O185" i="6" s="1"/>
  <c r="M185" i="6"/>
  <c r="L185" i="6"/>
  <c r="V184" i="6"/>
  <c r="W184" i="6" s="1"/>
  <c r="T184" i="6"/>
  <c r="U184" i="6" s="1"/>
  <c r="R184" i="6"/>
  <c r="S184" i="6" s="1"/>
  <c r="P184" i="6"/>
  <c r="Q184" i="6" s="1"/>
  <c r="N184" i="6"/>
  <c r="O184" i="6" s="1"/>
  <c r="M184" i="6"/>
  <c r="L184" i="6"/>
  <c r="V183" i="6"/>
  <c r="W183" i="6" s="1"/>
  <c r="U183" i="6"/>
  <c r="T183" i="6"/>
  <c r="R183" i="6"/>
  <c r="S183" i="6" s="1"/>
  <c r="P183" i="6"/>
  <c r="Q183" i="6" s="1"/>
  <c r="N183" i="6"/>
  <c r="O183" i="6" s="1"/>
  <c r="L183" i="6"/>
  <c r="M183" i="6" s="1"/>
  <c r="V182" i="6"/>
  <c r="W182" i="6" s="1"/>
  <c r="U182" i="6"/>
  <c r="T182" i="6"/>
  <c r="R182" i="6"/>
  <c r="S182" i="6" s="1"/>
  <c r="Q182" i="6"/>
  <c r="P182" i="6"/>
  <c r="N182" i="6"/>
  <c r="O182" i="6" s="1"/>
  <c r="L182" i="6"/>
  <c r="M182" i="6" s="1"/>
  <c r="V181" i="6"/>
  <c r="W181" i="6" s="1"/>
  <c r="T181" i="6"/>
  <c r="U181" i="6" s="1"/>
  <c r="R181" i="6"/>
  <c r="S181" i="6" s="1"/>
  <c r="Q181" i="6"/>
  <c r="P181" i="6"/>
  <c r="N181" i="6"/>
  <c r="O181" i="6" s="1"/>
  <c r="M181" i="6"/>
  <c r="L181" i="6"/>
  <c r="V180" i="6"/>
  <c r="W180" i="6" s="1"/>
  <c r="T180" i="6"/>
  <c r="U180" i="6" s="1"/>
  <c r="R180" i="6"/>
  <c r="S180" i="6" s="1"/>
  <c r="P180" i="6"/>
  <c r="Q180" i="6" s="1"/>
  <c r="N180" i="6"/>
  <c r="O180" i="6" s="1"/>
  <c r="M180" i="6"/>
  <c r="L180" i="6"/>
  <c r="V179" i="6"/>
  <c r="W179" i="6" s="1"/>
  <c r="U179" i="6"/>
  <c r="T179" i="6"/>
  <c r="R179" i="6"/>
  <c r="S179" i="6" s="1"/>
  <c r="P179" i="6"/>
  <c r="Q179" i="6" s="1"/>
  <c r="N179" i="6"/>
  <c r="O179" i="6" s="1"/>
  <c r="L179" i="6"/>
  <c r="M179" i="6" s="1"/>
  <c r="V178" i="6"/>
  <c r="W178" i="6" s="1"/>
  <c r="U178" i="6"/>
  <c r="T178" i="6"/>
  <c r="R178" i="6"/>
  <c r="S178" i="6" s="1"/>
  <c r="Q178" i="6"/>
  <c r="P178" i="6"/>
  <c r="N178" i="6"/>
  <c r="O178" i="6" s="1"/>
  <c r="L178" i="6"/>
  <c r="M178" i="6" s="1"/>
  <c r="V177" i="6"/>
  <c r="W177" i="6" s="1"/>
  <c r="T177" i="6"/>
  <c r="U177" i="6" s="1"/>
  <c r="R177" i="6"/>
  <c r="S177" i="6" s="1"/>
  <c r="Q177" i="6"/>
  <c r="P177" i="6"/>
  <c r="N177" i="6"/>
  <c r="O177" i="6" s="1"/>
  <c r="M177" i="6"/>
  <c r="L177" i="6"/>
  <c r="V176" i="6"/>
  <c r="W176" i="6" s="1"/>
  <c r="T176" i="6"/>
  <c r="U176" i="6" s="1"/>
  <c r="R176" i="6"/>
  <c r="S176" i="6" s="1"/>
  <c r="P176" i="6"/>
  <c r="Q176" i="6" s="1"/>
  <c r="N176" i="6"/>
  <c r="O176" i="6" s="1"/>
  <c r="M176" i="6"/>
  <c r="L176" i="6"/>
  <c r="V175" i="6"/>
  <c r="W175" i="6" s="1"/>
  <c r="U175" i="6"/>
  <c r="T175" i="6"/>
  <c r="R175" i="6"/>
  <c r="S175" i="6" s="1"/>
  <c r="P175" i="6"/>
  <c r="Q175" i="6" s="1"/>
  <c r="N175" i="6"/>
  <c r="O175" i="6" s="1"/>
  <c r="L175" i="6"/>
  <c r="M175" i="6" s="1"/>
  <c r="V174" i="6"/>
  <c r="W174" i="6" s="1"/>
  <c r="U174" i="6"/>
  <c r="T174" i="6"/>
  <c r="R174" i="6"/>
  <c r="S174" i="6" s="1"/>
  <c r="Q174" i="6"/>
  <c r="P174" i="6"/>
  <c r="N174" i="6"/>
  <c r="O174" i="6" s="1"/>
  <c r="L174" i="6"/>
  <c r="M174" i="6" s="1"/>
  <c r="V173" i="6"/>
  <c r="W173" i="6" s="1"/>
  <c r="T173" i="6"/>
  <c r="U173" i="6" s="1"/>
  <c r="R173" i="6"/>
  <c r="S173" i="6" s="1"/>
  <c r="Q173" i="6"/>
  <c r="P173" i="6"/>
  <c r="N173" i="6"/>
  <c r="O173" i="6" s="1"/>
  <c r="M173" i="6"/>
  <c r="L173" i="6"/>
  <c r="V172" i="6"/>
  <c r="W172" i="6" s="1"/>
  <c r="T172" i="6"/>
  <c r="U172" i="6" s="1"/>
  <c r="R172" i="6"/>
  <c r="S172" i="6" s="1"/>
  <c r="P172" i="6"/>
  <c r="Q172" i="6" s="1"/>
  <c r="N172" i="6"/>
  <c r="O172" i="6" s="1"/>
  <c r="M172" i="6"/>
  <c r="L172" i="6"/>
  <c r="V171" i="6"/>
  <c r="W171" i="6" s="1"/>
  <c r="U171" i="6"/>
  <c r="T171" i="6"/>
  <c r="R171" i="6"/>
  <c r="S171" i="6" s="1"/>
  <c r="P171" i="6"/>
  <c r="Q171" i="6" s="1"/>
  <c r="N171" i="6"/>
  <c r="O171" i="6" s="1"/>
  <c r="L171" i="6"/>
  <c r="M171" i="6" s="1"/>
  <c r="V170" i="6"/>
  <c r="W170" i="6" s="1"/>
  <c r="U170" i="6"/>
  <c r="T170" i="6"/>
  <c r="R170" i="6"/>
  <c r="S170" i="6" s="1"/>
  <c r="Q170" i="6"/>
  <c r="P170" i="6"/>
  <c r="N170" i="6"/>
  <c r="O170" i="6" s="1"/>
  <c r="L170" i="6"/>
  <c r="M170" i="6" s="1"/>
  <c r="V169" i="6"/>
  <c r="W169" i="6" s="1"/>
  <c r="T169" i="6"/>
  <c r="U169" i="6" s="1"/>
  <c r="R169" i="6"/>
  <c r="S169" i="6" s="1"/>
  <c r="Q169" i="6"/>
  <c r="P169" i="6"/>
  <c r="N169" i="6"/>
  <c r="O169" i="6" s="1"/>
  <c r="M169" i="6"/>
  <c r="L169" i="6"/>
  <c r="V168" i="6"/>
  <c r="W168" i="6" s="1"/>
  <c r="T168" i="6"/>
  <c r="U168" i="6" s="1"/>
  <c r="R168" i="6"/>
  <c r="S168" i="6" s="1"/>
  <c r="P168" i="6"/>
  <c r="Q168" i="6" s="1"/>
  <c r="N168" i="6"/>
  <c r="O168" i="6" s="1"/>
  <c r="M168" i="6"/>
  <c r="L168" i="6"/>
  <c r="V167" i="6"/>
  <c r="W167" i="6" s="1"/>
  <c r="U167" i="6"/>
  <c r="T167" i="6"/>
  <c r="R167" i="6"/>
  <c r="S167" i="6" s="1"/>
  <c r="P167" i="6"/>
  <c r="Q167" i="6" s="1"/>
  <c r="N167" i="6"/>
  <c r="O167" i="6" s="1"/>
  <c r="L167" i="6"/>
  <c r="M167" i="6" s="1"/>
  <c r="V166" i="6"/>
  <c r="W166" i="6" s="1"/>
  <c r="U166" i="6"/>
  <c r="T166" i="6"/>
  <c r="R166" i="6"/>
  <c r="S166" i="6" s="1"/>
  <c r="Q166" i="6"/>
  <c r="P166" i="6"/>
  <c r="N166" i="6"/>
  <c r="O166" i="6" s="1"/>
  <c r="L166" i="6"/>
  <c r="M166" i="6" s="1"/>
  <c r="V165" i="6"/>
  <c r="W165" i="6" s="1"/>
  <c r="T165" i="6"/>
  <c r="U165" i="6" s="1"/>
  <c r="R165" i="6"/>
  <c r="S165" i="6" s="1"/>
  <c r="Q165" i="6"/>
  <c r="P165" i="6"/>
  <c r="N165" i="6"/>
  <c r="O165" i="6" s="1"/>
  <c r="M165" i="6"/>
  <c r="L165" i="6"/>
  <c r="V164" i="6"/>
  <c r="W164" i="6" s="1"/>
  <c r="T164" i="6"/>
  <c r="U164" i="6" s="1"/>
  <c r="R164" i="6"/>
  <c r="S164" i="6" s="1"/>
  <c r="P164" i="6"/>
  <c r="Q164" i="6" s="1"/>
  <c r="N164" i="6"/>
  <c r="O164" i="6" s="1"/>
  <c r="M164" i="6"/>
  <c r="L164" i="6"/>
  <c r="V163" i="6"/>
  <c r="W163" i="6" s="1"/>
  <c r="U163" i="6"/>
  <c r="T163" i="6"/>
  <c r="R163" i="6"/>
  <c r="S163" i="6" s="1"/>
  <c r="P163" i="6"/>
  <c r="Q163" i="6" s="1"/>
  <c r="N163" i="6"/>
  <c r="O163" i="6" s="1"/>
  <c r="L163" i="6"/>
  <c r="M163" i="6" s="1"/>
  <c r="V162" i="6"/>
  <c r="W162" i="6" s="1"/>
  <c r="U162" i="6"/>
  <c r="T162" i="6"/>
  <c r="R162" i="6"/>
  <c r="S162" i="6" s="1"/>
  <c r="Q162" i="6"/>
  <c r="P162" i="6"/>
  <c r="N162" i="6"/>
  <c r="O162" i="6" s="1"/>
  <c r="L162" i="6"/>
  <c r="M162" i="6" s="1"/>
  <c r="V161" i="6"/>
  <c r="W161" i="6" s="1"/>
  <c r="T161" i="6"/>
  <c r="U161" i="6" s="1"/>
  <c r="R161" i="6"/>
  <c r="S161" i="6" s="1"/>
  <c r="Q161" i="6"/>
  <c r="P161" i="6"/>
  <c r="N161" i="6"/>
  <c r="O161" i="6" s="1"/>
  <c r="M161" i="6"/>
  <c r="L161" i="6"/>
  <c r="V160" i="6"/>
  <c r="W160" i="6" s="1"/>
  <c r="T160" i="6"/>
  <c r="U160" i="6" s="1"/>
  <c r="R160" i="6"/>
  <c r="S160" i="6" s="1"/>
  <c r="P160" i="6"/>
  <c r="Q160" i="6" s="1"/>
  <c r="N160" i="6"/>
  <c r="O160" i="6" s="1"/>
  <c r="M160" i="6"/>
  <c r="L160" i="6"/>
  <c r="V159" i="6"/>
  <c r="W159" i="6" s="1"/>
  <c r="U159" i="6"/>
  <c r="T159" i="6"/>
  <c r="R159" i="6"/>
  <c r="S159" i="6" s="1"/>
  <c r="P159" i="6"/>
  <c r="Q159" i="6" s="1"/>
  <c r="N159" i="6"/>
  <c r="O159" i="6" s="1"/>
  <c r="L159" i="6"/>
  <c r="M159" i="6" s="1"/>
  <c r="V158" i="6"/>
  <c r="W158" i="6" s="1"/>
  <c r="U158" i="6"/>
  <c r="T158" i="6"/>
  <c r="R158" i="6"/>
  <c r="S158" i="6" s="1"/>
  <c r="P158" i="6"/>
  <c r="Q158" i="6" s="1"/>
  <c r="N158" i="6"/>
  <c r="O158" i="6" s="1"/>
  <c r="L158" i="6"/>
  <c r="M158" i="6" s="1"/>
  <c r="V157" i="6"/>
  <c r="W157" i="6" s="1"/>
  <c r="T157" i="6"/>
  <c r="U157" i="6" s="1"/>
  <c r="R157" i="6"/>
  <c r="S157" i="6" s="1"/>
  <c r="Q157" i="6"/>
  <c r="P157" i="6"/>
  <c r="N157" i="6"/>
  <c r="O157" i="6" s="1"/>
  <c r="M157" i="6"/>
  <c r="L157" i="6"/>
  <c r="V156" i="6"/>
  <c r="W156" i="6" s="1"/>
  <c r="T156" i="6"/>
  <c r="U156" i="6" s="1"/>
  <c r="R156" i="6"/>
  <c r="S156" i="6" s="1"/>
  <c r="P156" i="6"/>
  <c r="Q156" i="6" s="1"/>
  <c r="N156" i="6"/>
  <c r="O156" i="6" s="1"/>
  <c r="M156" i="6"/>
  <c r="L156" i="6"/>
  <c r="V155" i="6"/>
  <c r="W155" i="6" s="1"/>
  <c r="T155" i="6"/>
  <c r="U155" i="6" s="1"/>
  <c r="R155" i="6"/>
  <c r="S155" i="6" s="1"/>
  <c r="P155" i="6"/>
  <c r="Q155" i="6" s="1"/>
  <c r="N155" i="6"/>
  <c r="O155" i="6" s="1"/>
  <c r="L155" i="6"/>
  <c r="M155" i="6" s="1"/>
  <c r="V154" i="6"/>
  <c r="W154" i="6" s="1"/>
  <c r="U154" i="6"/>
  <c r="T154" i="6"/>
  <c r="R154" i="6"/>
  <c r="S154" i="6" s="1"/>
  <c r="Q154" i="6"/>
  <c r="P154" i="6"/>
  <c r="N154" i="6"/>
  <c r="O154" i="6" s="1"/>
  <c r="L154" i="6"/>
  <c r="M154" i="6" s="1"/>
  <c r="V153" i="6"/>
  <c r="W153" i="6" s="1"/>
  <c r="T153" i="6"/>
  <c r="U153" i="6" s="1"/>
  <c r="R153" i="6"/>
  <c r="S153" i="6" s="1"/>
  <c r="Q153" i="6"/>
  <c r="P153" i="6"/>
  <c r="N153" i="6"/>
  <c r="O153" i="6" s="1"/>
  <c r="L153" i="6"/>
  <c r="M153" i="6" s="1"/>
  <c r="V152" i="6"/>
  <c r="W152" i="6" s="1"/>
  <c r="T152" i="6"/>
  <c r="U152" i="6" s="1"/>
  <c r="R152" i="6"/>
  <c r="S152" i="6" s="1"/>
  <c r="P152" i="6"/>
  <c r="Q152" i="6" s="1"/>
  <c r="N152" i="6"/>
  <c r="O152" i="6" s="1"/>
  <c r="M152" i="6"/>
  <c r="L152" i="6"/>
  <c r="V151" i="6"/>
  <c r="W151" i="6" s="1"/>
  <c r="U151" i="6"/>
  <c r="T151" i="6"/>
  <c r="R151" i="6"/>
  <c r="S151" i="6" s="1"/>
  <c r="P151" i="6"/>
  <c r="Q151" i="6" s="1"/>
  <c r="N151" i="6"/>
  <c r="O151" i="6" s="1"/>
  <c r="L151" i="6"/>
  <c r="M151" i="6" s="1"/>
  <c r="V150" i="6"/>
  <c r="W150" i="6" s="1"/>
  <c r="U150" i="6"/>
  <c r="T150" i="6"/>
  <c r="R150" i="6"/>
  <c r="S150" i="6" s="1"/>
  <c r="P150" i="6"/>
  <c r="Q150" i="6" s="1"/>
  <c r="N150" i="6"/>
  <c r="O150" i="6" s="1"/>
  <c r="L150" i="6"/>
  <c r="M150" i="6" s="1"/>
  <c r="V149" i="6"/>
  <c r="W149" i="6" s="1"/>
  <c r="T149" i="6"/>
  <c r="U149" i="6" s="1"/>
  <c r="R149" i="6"/>
  <c r="S149" i="6" s="1"/>
  <c r="Q149" i="6"/>
  <c r="P149" i="6"/>
  <c r="N149" i="6"/>
  <c r="O149" i="6" s="1"/>
  <c r="M149" i="6"/>
  <c r="L149" i="6"/>
  <c r="V148" i="6"/>
  <c r="W148" i="6" s="1"/>
  <c r="T148" i="6"/>
  <c r="U148" i="6" s="1"/>
  <c r="R148" i="6"/>
  <c r="S148" i="6" s="1"/>
  <c r="P148" i="6"/>
  <c r="Q148" i="6" s="1"/>
  <c r="N148" i="6"/>
  <c r="O148" i="6" s="1"/>
  <c r="M148" i="6"/>
  <c r="L148" i="6"/>
  <c r="V147" i="6"/>
  <c r="W147" i="6" s="1"/>
  <c r="T147" i="6"/>
  <c r="U147" i="6" s="1"/>
  <c r="R147" i="6"/>
  <c r="S147" i="6" s="1"/>
  <c r="P147" i="6"/>
  <c r="Q147" i="6" s="1"/>
  <c r="N147" i="6"/>
  <c r="O147" i="6" s="1"/>
  <c r="L147" i="6"/>
  <c r="M147" i="6" s="1"/>
  <c r="V146" i="6"/>
  <c r="W146" i="6" s="1"/>
  <c r="U146" i="6"/>
  <c r="T146" i="6"/>
  <c r="R146" i="6"/>
  <c r="S146" i="6" s="1"/>
  <c r="Q146" i="6"/>
  <c r="P146" i="6"/>
  <c r="N146" i="6"/>
  <c r="O146" i="6" s="1"/>
  <c r="L146" i="6"/>
  <c r="M146" i="6" s="1"/>
  <c r="V145" i="6"/>
  <c r="W145" i="6" s="1"/>
  <c r="T145" i="6"/>
  <c r="U145" i="6" s="1"/>
  <c r="R145" i="6"/>
  <c r="S145" i="6" s="1"/>
  <c r="Q145" i="6"/>
  <c r="P145" i="6"/>
  <c r="N145" i="6"/>
  <c r="O145" i="6" s="1"/>
  <c r="L145" i="6"/>
  <c r="M145" i="6" s="1"/>
  <c r="V144" i="6"/>
  <c r="W144" i="6" s="1"/>
  <c r="T144" i="6"/>
  <c r="U144" i="6" s="1"/>
  <c r="R144" i="6"/>
  <c r="S144" i="6" s="1"/>
  <c r="P144" i="6"/>
  <c r="Q144" i="6" s="1"/>
  <c r="N144" i="6"/>
  <c r="O144" i="6" s="1"/>
  <c r="M144" i="6"/>
  <c r="L144" i="6"/>
  <c r="V143" i="6"/>
  <c r="W143" i="6" s="1"/>
  <c r="U143" i="6"/>
  <c r="T143" i="6"/>
  <c r="R143" i="6"/>
  <c r="S143" i="6" s="1"/>
  <c r="P143" i="6"/>
  <c r="Q143" i="6" s="1"/>
  <c r="N143" i="6"/>
  <c r="O143" i="6" s="1"/>
  <c r="L143" i="6"/>
  <c r="M143" i="6" s="1"/>
  <c r="V142" i="6"/>
  <c r="W142" i="6" s="1"/>
  <c r="U142" i="6"/>
  <c r="T142" i="6"/>
  <c r="R142" i="6"/>
  <c r="S142" i="6" s="1"/>
  <c r="P142" i="6"/>
  <c r="Q142" i="6" s="1"/>
  <c r="N142" i="6"/>
  <c r="O142" i="6" s="1"/>
  <c r="L142" i="6"/>
  <c r="M142" i="6" s="1"/>
  <c r="V141" i="6"/>
  <c r="W141" i="6" s="1"/>
  <c r="T141" i="6"/>
  <c r="U141" i="6" s="1"/>
  <c r="R141" i="6"/>
  <c r="S141" i="6" s="1"/>
  <c r="Q141" i="6"/>
  <c r="P141" i="6"/>
  <c r="N141" i="6"/>
  <c r="O141" i="6" s="1"/>
  <c r="M141" i="6"/>
  <c r="L141" i="6"/>
  <c r="V140" i="6"/>
  <c r="W140" i="6" s="1"/>
  <c r="T140" i="6"/>
  <c r="U140" i="6" s="1"/>
  <c r="R140" i="6"/>
  <c r="S140" i="6" s="1"/>
  <c r="P140" i="6"/>
  <c r="Q140" i="6" s="1"/>
  <c r="N140" i="6"/>
  <c r="O140" i="6" s="1"/>
  <c r="M140" i="6"/>
  <c r="L140" i="6"/>
  <c r="V139" i="6"/>
  <c r="W139" i="6" s="1"/>
  <c r="T139" i="6"/>
  <c r="U139" i="6" s="1"/>
  <c r="R139" i="6"/>
  <c r="S139" i="6" s="1"/>
  <c r="P139" i="6"/>
  <c r="Q139" i="6" s="1"/>
  <c r="N139" i="6"/>
  <c r="O139" i="6" s="1"/>
  <c r="L139" i="6"/>
  <c r="M139" i="6" s="1"/>
  <c r="V138" i="6"/>
  <c r="W138" i="6" s="1"/>
  <c r="U138" i="6"/>
  <c r="T138" i="6"/>
  <c r="R138" i="6"/>
  <c r="S138" i="6" s="1"/>
  <c r="Q138" i="6"/>
  <c r="P138" i="6"/>
  <c r="N138" i="6"/>
  <c r="O138" i="6" s="1"/>
  <c r="L138" i="6"/>
  <c r="M138" i="6" s="1"/>
  <c r="V137" i="6"/>
  <c r="W137" i="6" s="1"/>
  <c r="T137" i="6"/>
  <c r="U137" i="6" s="1"/>
  <c r="R137" i="6"/>
  <c r="S137" i="6" s="1"/>
  <c r="Q137" i="6"/>
  <c r="P137" i="6"/>
  <c r="N137" i="6"/>
  <c r="O137" i="6" s="1"/>
  <c r="L137" i="6"/>
  <c r="M137" i="6" s="1"/>
  <c r="V136" i="6"/>
  <c r="W136" i="6" s="1"/>
  <c r="T136" i="6"/>
  <c r="U136" i="6" s="1"/>
  <c r="R136" i="6"/>
  <c r="S136" i="6" s="1"/>
  <c r="P136" i="6"/>
  <c r="Q136" i="6" s="1"/>
  <c r="N136" i="6"/>
  <c r="O136" i="6" s="1"/>
  <c r="M136" i="6"/>
  <c r="L136" i="6"/>
  <c r="V135" i="6"/>
  <c r="W135" i="6" s="1"/>
  <c r="U135" i="6"/>
  <c r="T135" i="6"/>
  <c r="R135" i="6"/>
  <c r="S135" i="6" s="1"/>
  <c r="P135" i="6"/>
  <c r="Q135" i="6" s="1"/>
  <c r="N135" i="6"/>
  <c r="O135" i="6" s="1"/>
  <c r="L135" i="6"/>
  <c r="M135" i="6" s="1"/>
  <c r="V134" i="6"/>
  <c r="W134" i="6" s="1"/>
  <c r="U134" i="6"/>
  <c r="T134" i="6"/>
  <c r="R134" i="6"/>
  <c r="S134" i="6" s="1"/>
  <c r="P134" i="6"/>
  <c r="Q134" i="6" s="1"/>
  <c r="N134" i="6"/>
  <c r="O134" i="6" s="1"/>
  <c r="L134" i="6"/>
  <c r="M134" i="6" s="1"/>
  <c r="V133" i="6"/>
  <c r="W133" i="6" s="1"/>
  <c r="T133" i="6"/>
  <c r="U133" i="6" s="1"/>
  <c r="R133" i="6"/>
  <c r="S133" i="6" s="1"/>
  <c r="Q133" i="6"/>
  <c r="P133" i="6"/>
  <c r="N133" i="6"/>
  <c r="O133" i="6" s="1"/>
  <c r="M133" i="6"/>
  <c r="L133" i="6"/>
  <c r="V132" i="6"/>
  <c r="W132" i="6" s="1"/>
  <c r="T132" i="6"/>
  <c r="U132" i="6" s="1"/>
  <c r="R132" i="6"/>
  <c r="S132" i="6" s="1"/>
  <c r="P132" i="6"/>
  <c r="Q132" i="6" s="1"/>
  <c r="N132" i="6"/>
  <c r="O132" i="6" s="1"/>
  <c r="M132" i="6"/>
  <c r="L132" i="6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U130" i="6"/>
  <c r="T130" i="6"/>
  <c r="R130" i="6"/>
  <c r="S130" i="6" s="1"/>
  <c r="Q130" i="6"/>
  <c r="P130" i="6"/>
  <c r="N130" i="6"/>
  <c r="O130" i="6" s="1"/>
  <c r="L130" i="6"/>
  <c r="M130" i="6" s="1"/>
  <c r="V129" i="6"/>
  <c r="W129" i="6" s="1"/>
  <c r="T129" i="6"/>
  <c r="U129" i="6" s="1"/>
  <c r="R129" i="6"/>
  <c r="S129" i="6" s="1"/>
  <c r="Q129" i="6"/>
  <c r="P129" i="6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M128" i="6"/>
  <c r="L128" i="6"/>
  <c r="V127" i="6"/>
  <c r="W127" i="6" s="1"/>
  <c r="U127" i="6"/>
  <c r="T127" i="6"/>
  <c r="R127" i="6"/>
  <c r="S127" i="6" s="1"/>
  <c r="P127" i="6"/>
  <c r="Q127" i="6" s="1"/>
  <c r="N127" i="6"/>
  <c r="O127" i="6" s="1"/>
  <c r="L127" i="6"/>
  <c r="M127" i="6" s="1"/>
  <c r="V126" i="6"/>
  <c r="W126" i="6" s="1"/>
  <c r="U126" i="6"/>
  <c r="T126" i="6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Q125" i="6"/>
  <c r="P125" i="6"/>
  <c r="N125" i="6"/>
  <c r="O125" i="6" s="1"/>
  <c r="M125" i="6"/>
  <c r="L125" i="6"/>
  <c r="V124" i="6"/>
  <c r="W124" i="6" s="1"/>
  <c r="T124" i="6"/>
  <c r="U124" i="6" s="1"/>
  <c r="R124" i="6"/>
  <c r="S124" i="6" s="1"/>
  <c r="P124" i="6"/>
  <c r="Q124" i="6" s="1"/>
  <c r="N124" i="6"/>
  <c r="O124" i="6" s="1"/>
  <c r="M124" i="6"/>
  <c r="L124" i="6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U122" i="6"/>
  <c r="T122" i="6"/>
  <c r="R122" i="6"/>
  <c r="S122" i="6" s="1"/>
  <c r="Q122" i="6"/>
  <c r="P122" i="6"/>
  <c r="N122" i="6"/>
  <c r="O122" i="6" s="1"/>
  <c r="L122" i="6"/>
  <c r="M122" i="6" s="1"/>
  <c r="V121" i="6"/>
  <c r="W121" i="6" s="1"/>
  <c r="T121" i="6"/>
  <c r="U121" i="6" s="1"/>
  <c r="R121" i="6"/>
  <c r="S121" i="6" s="1"/>
  <c r="Q121" i="6"/>
  <c r="P121" i="6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M120" i="6"/>
  <c r="L120" i="6"/>
  <c r="V119" i="6"/>
  <c r="W119" i="6" s="1"/>
  <c r="U119" i="6"/>
  <c r="T119" i="6"/>
  <c r="R119" i="6"/>
  <c r="S119" i="6" s="1"/>
  <c r="P119" i="6"/>
  <c r="Q119" i="6" s="1"/>
  <c r="N119" i="6"/>
  <c r="O119" i="6" s="1"/>
  <c r="L119" i="6"/>
  <c r="M119" i="6" s="1"/>
  <c r="V118" i="6"/>
  <c r="W118" i="6" s="1"/>
  <c r="U118" i="6"/>
  <c r="T118" i="6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Q117" i="6"/>
  <c r="P117" i="6"/>
  <c r="N117" i="6"/>
  <c r="O117" i="6" s="1"/>
  <c r="M117" i="6"/>
  <c r="L117" i="6"/>
  <c r="V116" i="6"/>
  <c r="W116" i="6" s="1"/>
  <c r="T116" i="6"/>
  <c r="U116" i="6" s="1"/>
  <c r="R116" i="6"/>
  <c r="S116" i="6" s="1"/>
  <c r="P116" i="6"/>
  <c r="Q116" i="6" s="1"/>
  <c r="N116" i="6"/>
  <c r="O116" i="6" s="1"/>
  <c r="M116" i="6"/>
  <c r="L116" i="6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U114" i="6"/>
  <c r="T114" i="6"/>
  <c r="R114" i="6"/>
  <c r="S114" i="6" s="1"/>
  <c r="Q114" i="6"/>
  <c r="P114" i="6"/>
  <c r="N114" i="6"/>
  <c r="O114" i="6" s="1"/>
  <c r="L114" i="6"/>
  <c r="M114" i="6" s="1"/>
  <c r="V113" i="6"/>
  <c r="W113" i="6" s="1"/>
  <c r="T113" i="6"/>
  <c r="U113" i="6" s="1"/>
  <c r="R113" i="6"/>
  <c r="S113" i="6" s="1"/>
  <c r="Q113" i="6"/>
  <c r="P113" i="6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M112" i="6"/>
  <c r="L112" i="6"/>
  <c r="V111" i="6"/>
  <c r="W111" i="6" s="1"/>
  <c r="U111" i="6"/>
  <c r="T111" i="6"/>
  <c r="R111" i="6"/>
  <c r="S111" i="6" s="1"/>
  <c r="P111" i="6"/>
  <c r="Q111" i="6" s="1"/>
  <c r="N111" i="6"/>
  <c r="O111" i="6" s="1"/>
  <c r="L111" i="6"/>
  <c r="M111" i="6" s="1"/>
  <c r="V110" i="6"/>
  <c r="W110" i="6" s="1"/>
  <c r="U110" i="6"/>
  <c r="T110" i="6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Q109" i="6"/>
  <c r="P109" i="6"/>
  <c r="N109" i="6"/>
  <c r="O109" i="6" s="1"/>
  <c r="M109" i="6"/>
  <c r="L109" i="6"/>
  <c r="V108" i="6"/>
  <c r="W108" i="6" s="1"/>
  <c r="T108" i="6"/>
  <c r="U108" i="6" s="1"/>
  <c r="R108" i="6"/>
  <c r="S108" i="6" s="1"/>
  <c r="P108" i="6"/>
  <c r="Q108" i="6" s="1"/>
  <c r="N108" i="6"/>
  <c r="O108" i="6" s="1"/>
  <c r="M108" i="6"/>
  <c r="L108" i="6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U106" i="6"/>
  <c r="T106" i="6"/>
  <c r="R106" i="6"/>
  <c r="S106" i="6" s="1"/>
  <c r="Q106" i="6"/>
  <c r="P106" i="6"/>
  <c r="N106" i="6"/>
  <c r="O106" i="6" s="1"/>
  <c r="L106" i="6"/>
  <c r="M106" i="6" s="1"/>
  <c r="V105" i="6"/>
  <c r="W105" i="6" s="1"/>
  <c r="T105" i="6"/>
  <c r="U105" i="6" s="1"/>
  <c r="R105" i="6"/>
  <c r="S105" i="6" s="1"/>
  <c r="Q105" i="6"/>
  <c r="P105" i="6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M104" i="6"/>
  <c r="L104" i="6"/>
  <c r="V103" i="6"/>
  <c r="W103" i="6" s="1"/>
  <c r="U103" i="6"/>
  <c r="T103" i="6"/>
  <c r="R103" i="6"/>
  <c r="S103" i="6" s="1"/>
  <c r="P103" i="6"/>
  <c r="Q103" i="6" s="1"/>
  <c r="N103" i="6"/>
  <c r="O103" i="6" s="1"/>
  <c r="L103" i="6"/>
  <c r="M103" i="6" s="1"/>
  <c r="V102" i="6"/>
  <c r="W102" i="6" s="1"/>
  <c r="U102" i="6"/>
  <c r="T102" i="6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Q101" i="6"/>
  <c r="P101" i="6"/>
  <c r="N101" i="6"/>
  <c r="O101" i="6" s="1"/>
  <c r="M101" i="6"/>
  <c r="L101" i="6"/>
  <c r="V100" i="6"/>
  <c r="W100" i="6" s="1"/>
  <c r="T100" i="6"/>
  <c r="U100" i="6" s="1"/>
  <c r="R100" i="6"/>
  <c r="S100" i="6" s="1"/>
  <c r="P100" i="6"/>
  <c r="Q100" i="6" s="1"/>
  <c r="N100" i="6"/>
  <c r="O100" i="6" s="1"/>
  <c r="M100" i="6"/>
  <c r="L100" i="6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U98" i="6"/>
  <c r="T98" i="6"/>
  <c r="R98" i="6"/>
  <c r="S98" i="6" s="1"/>
  <c r="Q98" i="6"/>
  <c r="P98" i="6"/>
  <c r="N98" i="6"/>
  <c r="O98" i="6" s="1"/>
  <c r="L98" i="6"/>
  <c r="M98" i="6" s="1"/>
  <c r="V97" i="6"/>
  <c r="W97" i="6" s="1"/>
  <c r="T97" i="6"/>
  <c r="U97" i="6" s="1"/>
  <c r="R97" i="6"/>
  <c r="S97" i="6" s="1"/>
  <c r="Q97" i="6"/>
  <c r="P97" i="6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M96" i="6"/>
  <c r="L96" i="6"/>
  <c r="V95" i="6"/>
  <c r="W95" i="6" s="1"/>
  <c r="U95" i="6"/>
  <c r="T95" i="6"/>
  <c r="R95" i="6"/>
  <c r="S95" i="6" s="1"/>
  <c r="P95" i="6"/>
  <c r="Q95" i="6" s="1"/>
  <c r="N95" i="6"/>
  <c r="O95" i="6" s="1"/>
  <c r="L95" i="6"/>
  <c r="M95" i="6" s="1"/>
  <c r="V94" i="6"/>
  <c r="W94" i="6" s="1"/>
  <c r="U94" i="6"/>
  <c r="T94" i="6"/>
  <c r="R94" i="6"/>
  <c r="S94" i="6" s="1"/>
  <c r="P94" i="6"/>
  <c r="Q94" i="6" s="1"/>
  <c r="N94" i="6"/>
  <c r="O94" i="6" s="1"/>
  <c r="M94" i="6"/>
  <c r="L94" i="6"/>
  <c r="V93" i="6"/>
  <c r="W93" i="6" s="1"/>
  <c r="T93" i="6"/>
  <c r="U93" i="6" s="1"/>
  <c r="R93" i="6"/>
  <c r="S93" i="6" s="1"/>
  <c r="Q93" i="6"/>
  <c r="P93" i="6"/>
  <c r="N93" i="6"/>
  <c r="O93" i="6" s="1"/>
  <c r="M93" i="6"/>
  <c r="L93" i="6"/>
  <c r="V92" i="6"/>
  <c r="W92" i="6" s="1"/>
  <c r="U92" i="6"/>
  <c r="T92" i="6"/>
  <c r="R92" i="6"/>
  <c r="S92" i="6" s="1"/>
  <c r="P92" i="6"/>
  <c r="Q92" i="6" s="1"/>
  <c r="N92" i="6"/>
  <c r="O92" i="6" s="1"/>
  <c r="M92" i="6"/>
  <c r="L92" i="6"/>
  <c r="V91" i="6"/>
  <c r="W91" i="6" s="1"/>
  <c r="U91" i="6"/>
  <c r="T91" i="6"/>
  <c r="R91" i="6"/>
  <c r="S91" i="6" s="1"/>
  <c r="P91" i="6"/>
  <c r="Q91" i="6" s="1"/>
  <c r="N91" i="6"/>
  <c r="O91" i="6" s="1"/>
  <c r="L91" i="6"/>
  <c r="M91" i="6" s="1"/>
  <c r="V90" i="6"/>
  <c r="W90" i="6" s="1"/>
  <c r="U90" i="6"/>
  <c r="T90" i="6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Q89" i="6"/>
  <c r="P89" i="6"/>
  <c r="N89" i="6"/>
  <c r="O89" i="6" s="1"/>
  <c r="L89" i="6"/>
  <c r="M89" i="6" s="1"/>
  <c r="V88" i="6"/>
  <c r="W88" i="6" s="1"/>
  <c r="U88" i="6"/>
  <c r="T88" i="6"/>
  <c r="R88" i="6"/>
  <c r="S88" i="6" s="1"/>
  <c r="P88" i="6"/>
  <c r="Q88" i="6" s="1"/>
  <c r="N88" i="6"/>
  <c r="O88" i="6" s="1"/>
  <c r="M88" i="6"/>
  <c r="L88" i="6"/>
  <c r="V87" i="6"/>
  <c r="W87" i="6" s="1"/>
  <c r="U87" i="6"/>
  <c r="T87" i="6"/>
  <c r="R87" i="6"/>
  <c r="S87" i="6" s="1"/>
  <c r="Q87" i="6"/>
  <c r="P87" i="6"/>
  <c r="N87" i="6"/>
  <c r="O87" i="6" s="1"/>
  <c r="L87" i="6"/>
  <c r="M87" i="6" s="1"/>
  <c r="V86" i="6"/>
  <c r="W86" i="6" s="1"/>
  <c r="U86" i="6"/>
  <c r="T86" i="6"/>
  <c r="R86" i="6"/>
  <c r="S86" i="6" s="1"/>
  <c r="Q86" i="6"/>
  <c r="P86" i="6"/>
  <c r="N86" i="6"/>
  <c r="O86" i="6" s="1"/>
  <c r="L86" i="6"/>
  <c r="M86" i="6" s="1"/>
  <c r="V85" i="6"/>
  <c r="W85" i="6" s="1"/>
  <c r="T85" i="6"/>
  <c r="U85" i="6" s="1"/>
  <c r="R85" i="6"/>
  <c r="S85" i="6" s="1"/>
  <c r="Q85" i="6"/>
  <c r="P85" i="6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M84" i="6"/>
  <c r="L84" i="6"/>
  <c r="V83" i="6"/>
  <c r="W83" i="6" s="1"/>
  <c r="T83" i="6"/>
  <c r="U83" i="6" s="1"/>
  <c r="R83" i="6"/>
  <c r="S83" i="6" s="1"/>
  <c r="Q83" i="6"/>
  <c r="P83" i="6"/>
  <c r="N83" i="6"/>
  <c r="O83" i="6" s="1"/>
  <c r="L83" i="6"/>
  <c r="M83" i="6" s="1"/>
  <c r="V82" i="6"/>
  <c r="W82" i="6" s="1"/>
  <c r="U82" i="6"/>
  <c r="T82" i="6"/>
  <c r="R82" i="6"/>
  <c r="S82" i="6" s="1"/>
  <c r="Q82" i="6"/>
  <c r="P82" i="6"/>
  <c r="N82" i="6"/>
  <c r="O82" i="6" s="1"/>
  <c r="M82" i="6"/>
  <c r="L82" i="6"/>
  <c r="V81" i="6"/>
  <c r="W81" i="6" s="1"/>
  <c r="T81" i="6"/>
  <c r="U81" i="6" s="1"/>
  <c r="R81" i="6"/>
  <c r="S81" i="6" s="1"/>
  <c r="Q81" i="6"/>
  <c r="P81" i="6"/>
  <c r="N81" i="6"/>
  <c r="O81" i="6" s="1"/>
  <c r="M81" i="6"/>
  <c r="L81" i="6"/>
  <c r="V80" i="6"/>
  <c r="W80" i="6" s="1"/>
  <c r="T80" i="6"/>
  <c r="U80" i="6" s="1"/>
  <c r="R80" i="6"/>
  <c r="S80" i="6" s="1"/>
  <c r="P80" i="6"/>
  <c r="Q80" i="6" s="1"/>
  <c r="N80" i="6"/>
  <c r="O80" i="6" s="1"/>
  <c r="M80" i="6"/>
  <c r="L80" i="6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U78" i="6"/>
  <c r="T78" i="6"/>
  <c r="R78" i="6"/>
  <c r="S78" i="6" s="1"/>
  <c r="P78" i="6"/>
  <c r="Q78" i="6" s="1"/>
  <c r="N78" i="6"/>
  <c r="O78" i="6" s="1"/>
  <c r="M78" i="6"/>
  <c r="L78" i="6"/>
  <c r="V77" i="6"/>
  <c r="W77" i="6" s="1"/>
  <c r="T77" i="6"/>
  <c r="U77" i="6" s="1"/>
  <c r="R77" i="6"/>
  <c r="S77" i="6" s="1"/>
  <c r="Q77" i="6"/>
  <c r="P77" i="6"/>
  <c r="N77" i="6"/>
  <c r="O77" i="6" s="1"/>
  <c r="M77" i="6"/>
  <c r="L77" i="6"/>
  <c r="V76" i="6"/>
  <c r="W76" i="6" s="1"/>
  <c r="U76" i="6"/>
  <c r="T76" i="6"/>
  <c r="R76" i="6"/>
  <c r="S76" i="6" s="1"/>
  <c r="P76" i="6"/>
  <c r="Q76" i="6" s="1"/>
  <c r="N76" i="6"/>
  <c r="O76" i="6" s="1"/>
  <c r="M76" i="6"/>
  <c r="L76" i="6"/>
  <c r="V75" i="6"/>
  <c r="W75" i="6" s="1"/>
  <c r="U75" i="6"/>
  <c r="T75" i="6"/>
  <c r="R75" i="6"/>
  <c r="S75" i="6" s="1"/>
  <c r="P75" i="6"/>
  <c r="Q75" i="6" s="1"/>
  <c r="N75" i="6"/>
  <c r="O75" i="6" s="1"/>
  <c r="L75" i="6"/>
  <c r="M75" i="6" s="1"/>
  <c r="V74" i="6"/>
  <c r="W74" i="6" s="1"/>
  <c r="U74" i="6"/>
  <c r="T74" i="6"/>
  <c r="R74" i="6"/>
  <c r="S74" i="6" s="1"/>
  <c r="P74" i="6"/>
  <c r="Q74" i="6" s="1"/>
  <c r="N74" i="6"/>
  <c r="O74" i="6" s="1"/>
  <c r="L74" i="6"/>
  <c r="M74" i="6" s="1"/>
  <c r="V73" i="6"/>
  <c r="W73" i="6" s="1"/>
  <c r="T73" i="6"/>
  <c r="U73" i="6" s="1"/>
  <c r="R73" i="6"/>
  <c r="S73" i="6" s="1"/>
  <c r="Q73" i="6"/>
  <c r="P73" i="6"/>
  <c r="N73" i="6"/>
  <c r="O73" i="6" s="1"/>
  <c r="L73" i="6"/>
  <c r="M73" i="6" s="1"/>
  <c r="V72" i="6"/>
  <c r="W72" i="6" s="1"/>
  <c r="U72" i="6"/>
  <c r="T72" i="6"/>
  <c r="R72" i="6"/>
  <c r="S72" i="6" s="1"/>
  <c r="P72" i="6"/>
  <c r="Q72" i="6" s="1"/>
  <c r="N72" i="6"/>
  <c r="O72" i="6" s="1"/>
  <c r="M72" i="6"/>
  <c r="L72" i="6"/>
  <c r="V71" i="6"/>
  <c r="W71" i="6" s="1"/>
  <c r="U71" i="6"/>
  <c r="T71" i="6"/>
  <c r="R71" i="6"/>
  <c r="S71" i="6" s="1"/>
  <c r="Q71" i="6"/>
  <c r="P71" i="6"/>
  <c r="N71" i="6"/>
  <c r="O71" i="6" s="1"/>
  <c r="L71" i="6"/>
  <c r="M71" i="6" s="1"/>
  <c r="V70" i="6"/>
  <c r="W70" i="6" s="1"/>
  <c r="U70" i="6"/>
  <c r="T70" i="6"/>
  <c r="R70" i="6"/>
  <c r="S70" i="6" s="1"/>
  <c r="Q70" i="6"/>
  <c r="P70" i="6"/>
  <c r="N70" i="6"/>
  <c r="O70" i="6" s="1"/>
  <c r="L70" i="6"/>
  <c r="M70" i="6" s="1"/>
  <c r="V69" i="6"/>
  <c r="W69" i="6" s="1"/>
  <c r="T69" i="6"/>
  <c r="U69" i="6" s="1"/>
  <c r="R69" i="6"/>
  <c r="S69" i="6" s="1"/>
  <c r="Q69" i="6"/>
  <c r="P69" i="6"/>
  <c r="N69" i="6"/>
  <c r="O69" i="6" s="1"/>
  <c r="L69" i="6"/>
  <c r="M69" i="6" s="1"/>
  <c r="V68" i="6"/>
  <c r="W68" i="6" s="1"/>
  <c r="T68" i="6"/>
  <c r="U68" i="6" s="1"/>
  <c r="R68" i="6"/>
  <c r="S68" i="6" s="1"/>
  <c r="P68" i="6"/>
  <c r="Q68" i="6" s="1"/>
  <c r="N68" i="6"/>
  <c r="O68" i="6" s="1"/>
  <c r="M68" i="6"/>
  <c r="L68" i="6"/>
  <c r="V67" i="6"/>
  <c r="W67" i="6" s="1"/>
  <c r="T67" i="6"/>
  <c r="U67" i="6" s="1"/>
  <c r="R67" i="6"/>
  <c r="S67" i="6" s="1"/>
  <c r="Q67" i="6"/>
  <c r="P67" i="6"/>
  <c r="N67" i="6"/>
  <c r="O67" i="6" s="1"/>
  <c r="L67" i="6"/>
  <c r="M67" i="6" s="1"/>
  <c r="V66" i="6"/>
  <c r="W66" i="6" s="1"/>
  <c r="U66" i="6"/>
  <c r="T66" i="6"/>
  <c r="R66" i="6"/>
  <c r="S66" i="6" s="1"/>
  <c r="Q66" i="6"/>
  <c r="P66" i="6"/>
  <c r="N66" i="6"/>
  <c r="O66" i="6" s="1"/>
  <c r="M66" i="6"/>
  <c r="L66" i="6"/>
  <c r="V65" i="6"/>
  <c r="W65" i="6" s="1"/>
  <c r="T65" i="6"/>
  <c r="U65" i="6" s="1"/>
  <c r="R65" i="6"/>
  <c r="S65" i="6" s="1"/>
  <c r="Q65" i="6"/>
  <c r="P65" i="6"/>
  <c r="N65" i="6"/>
  <c r="O65" i="6" s="1"/>
  <c r="M65" i="6"/>
  <c r="L65" i="6"/>
  <c r="V64" i="6"/>
  <c r="W64" i="6" s="1"/>
  <c r="T64" i="6"/>
  <c r="U64" i="6" s="1"/>
  <c r="R64" i="6"/>
  <c r="S64" i="6" s="1"/>
  <c r="P64" i="6"/>
  <c r="Q64" i="6" s="1"/>
  <c r="N64" i="6"/>
  <c r="O64" i="6" s="1"/>
  <c r="M64" i="6"/>
  <c r="L64" i="6"/>
  <c r="V63" i="6"/>
  <c r="W63" i="6" s="1"/>
  <c r="T63" i="6"/>
  <c r="U63" i="6" s="1"/>
  <c r="R63" i="6"/>
  <c r="S63" i="6" s="1"/>
  <c r="P63" i="6"/>
  <c r="Q63" i="6" s="1"/>
  <c r="N63" i="6"/>
  <c r="O63" i="6" s="1"/>
  <c r="L63" i="6"/>
  <c r="M63" i="6" s="1"/>
  <c r="V62" i="6"/>
  <c r="W62" i="6" s="1"/>
  <c r="U62" i="6"/>
  <c r="T62" i="6"/>
  <c r="R62" i="6"/>
  <c r="S62" i="6" s="1"/>
  <c r="P62" i="6"/>
  <c r="Q62" i="6" s="1"/>
  <c r="N62" i="6"/>
  <c r="O62" i="6" s="1"/>
  <c r="M62" i="6"/>
  <c r="L62" i="6"/>
  <c r="V61" i="6"/>
  <c r="W61" i="6" s="1"/>
  <c r="T61" i="6"/>
  <c r="U61" i="6" s="1"/>
  <c r="R61" i="6"/>
  <c r="S61" i="6" s="1"/>
  <c r="Q61" i="6"/>
  <c r="P61" i="6"/>
  <c r="N61" i="6"/>
  <c r="O61" i="6" s="1"/>
  <c r="M61" i="6"/>
  <c r="L61" i="6"/>
  <c r="V60" i="6"/>
  <c r="W60" i="6" s="1"/>
  <c r="U60" i="6"/>
  <c r="T60" i="6"/>
  <c r="R60" i="6"/>
  <c r="S60" i="6" s="1"/>
  <c r="P60" i="6"/>
  <c r="Q60" i="6" s="1"/>
  <c r="N60" i="6"/>
  <c r="O60" i="6" s="1"/>
  <c r="M60" i="6"/>
  <c r="L60" i="6"/>
  <c r="V59" i="6"/>
  <c r="W59" i="6" s="1"/>
  <c r="U59" i="6"/>
  <c r="T59" i="6"/>
  <c r="R59" i="6"/>
  <c r="S59" i="6" s="1"/>
  <c r="P59" i="6"/>
  <c r="Q59" i="6" s="1"/>
  <c r="N59" i="6"/>
  <c r="O59" i="6" s="1"/>
  <c r="L59" i="6"/>
  <c r="M59" i="6" s="1"/>
  <c r="V58" i="6"/>
  <c r="W58" i="6" s="1"/>
  <c r="U58" i="6"/>
  <c r="T58" i="6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R57" i="6"/>
  <c r="S57" i="6" s="1"/>
  <c r="Q57" i="6"/>
  <c r="P57" i="6"/>
  <c r="N57" i="6"/>
  <c r="O57" i="6" s="1"/>
  <c r="L57" i="6"/>
  <c r="M57" i="6" s="1"/>
  <c r="V56" i="6"/>
  <c r="W56" i="6" s="1"/>
  <c r="U56" i="6"/>
  <c r="T56" i="6"/>
  <c r="R56" i="6"/>
  <c r="S56" i="6" s="1"/>
  <c r="P56" i="6"/>
  <c r="Q56" i="6" s="1"/>
  <c r="N56" i="6"/>
  <c r="O56" i="6" s="1"/>
  <c r="M56" i="6"/>
  <c r="L56" i="6"/>
  <c r="V55" i="6"/>
  <c r="W55" i="6" s="1"/>
  <c r="U55" i="6"/>
  <c r="T55" i="6"/>
  <c r="R55" i="6"/>
  <c r="S55" i="6" s="1"/>
  <c r="Q55" i="6"/>
  <c r="P55" i="6"/>
  <c r="N55" i="6"/>
  <c r="O55" i="6" s="1"/>
  <c r="L55" i="6"/>
  <c r="M55" i="6" s="1"/>
  <c r="V54" i="6"/>
  <c r="W54" i="6" s="1"/>
  <c r="U54" i="6"/>
  <c r="T54" i="6"/>
  <c r="R54" i="6"/>
  <c r="S54" i="6" s="1"/>
  <c r="Q54" i="6"/>
  <c r="P54" i="6"/>
  <c r="N54" i="6"/>
  <c r="O54" i="6" s="1"/>
  <c r="L54" i="6"/>
  <c r="M54" i="6" s="1"/>
  <c r="V53" i="6"/>
  <c r="W53" i="6" s="1"/>
  <c r="T53" i="6"/>
  <c r="U53" i="6" s="1"/>
  <c r="R53" i="6"/>
  <c r="S53" i="6" s="1"/>
  <c r="Q53" i="6"/>
  <c r="P53" i="6"/>
  <c r="N53" i="6"/>
  <c r="O53" i="6" s="1"/>
  <c r="L53" i="6"/>
  <c r="M53" i="6" s="1"/>
  <c r="V52" i="6"/>
  <c r="W52" i="6" s="1"/>
  <c r="T52" i="6"/>
  <c r="U52" i="6" s="1"/>
  <c r="R52" i="6"/>
  <c r="S52" i="6" s="1"/>
  <c r="P52" i="6"/>
  <c r="Q52" i="6" s="1"/>
  <c r="N52" i="6"/>
  <c r="O52" i="6" s="1"/>
  <c r="M52" i="6"/>
  <c r="L52" i="6"/>
  <c r="V51" i="6"/>
  <c r="W51" i="6" s="1"/>
  <c r="T51" i="6"/>
  <c r="U51" i="6" s="1"/>
  <c r="R51" i="6"/>
  <c r="S51" i="6" s="1"/>
  <c r="Q51" i="6"/>
  <c r="P51" i="6"/>
  <c r="N51" i="6"/>
  <c r="O51" i="6" s="1"/>
  <c r="L51" i="6"/>
  <c r="M51" i="6" s="1"/>
  <c r="V50" i="6"/>
  <c r="W50" i="6" s="1"/>
  <c r="U50" i="6"/>
  <c r="T50" i="6"/>
  <c r="R50" i="6"/>
  <c r="S50" i="6" s="1"/>
  <c r="Q50" i="6"/>
  <c r="P50" i="6"/>
  <c r="N50" i="6"/>
  <c r="O50" i="6" s="1"/>
  <c r="M50" i="6"/>
  <c r="L50" i="6"/>
  <c r="F50" i="6"/>
  <c r="V49" i="6"/>
  <c r="W49" i="6" s="1"/>
  <c r="U49" i="6"/>
  <c r="T49" i="6"/>
  <c r="R49" i="6"/>
  <c r="S49" i="6" s="1"/>
  <c r="P49" i="6"/>
  <c r="Q49" i="6" s="1"/>
  <c r="N49" i="6"/>
  <c r="O49" i="6" s="1"/>
  <c r="M49" i="6"/>
  <c r="L49" i="6"/>
  <c r="V48" i="6"/>
  <c r="W48" i="6" s="1"/>
  <c r="T48" i="6"/>
  <c r="U48" i="6" s="1"/>
  <c r="R48" i="6"/>
  <c r="S48" i="6" s="1"/>
  <c r="P48" i="6"/>
  <c r="Q48" i="6" s="1"/>
  <c r="N48" i="6"/>
  <c r="O48" i="6" s="1"/>
  <c r="M48" i="6"/>
  <c r="L48" i="6"/>
  <c r="V47" i="6"/>
  <c r="W47" i="6" s="1"/>
  <c r="T47" i="6"/>
  <c r="U47" i="6" s="1"/>
  <c r="R47" i="6"/>
  <c r="S47" i="6" s="1"/>
  <c r="P47" i="6"/>
  <c r="Q47" i="6" s="1"/>
  <c r="N47" i="6"/>
  <c r="O47" i="6" s="1"/>
  <c r="M47" i="6"/>
  <c r="L47" i="6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Q44" i="6"/>
  <c r="P44" i="6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O41" i="6"/>
  <c r="N41" i="6"/>
  <c r="L41" i="6"/>
  <c r="M41" i="6" s="1"/>
  <c r="V40" i="6"/>
  <c r="W40" i="6" s="1"/>
  <c r="U40" i="6"/>
  <c r="T40" i="6"/>
  <c r="R40" i="6"/>
  <c r="S40" i="6" s="1"/>
  <c r="P40" i="6"/>
  <c r="Q40" i="6" s="1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M39" i="6"/>
  <c r="L39" i="6"/>
  <c r="V38" i="6"/>
  <c r="W38" i="6" s="1"/>
  <c r="T38" i="6"/>
  <c r="U38" i="6" s="1"/>
  <c r="R38" i="6"/>
  <c r="S38" i="6" s="1"/>
  <c r="P38" i="6"/>
  <c r="Q38" i="6" s="1"/>
  <c r="N38" i="6"/>
  <c r="O38" i="6" s="1"/>
  <c r="L38" i="6"/>
  <c r="M38" i="6" s="1"/>
  <c r="V37" i="6"/>
  <c r="W37" i="6" s="1"/>
  <c r="T37" i="6"/>
  <c r="U37" i="6" s="1"/>
  <c r="R37" i="6"/>
  <c r="S37" i="6" s="1"/>
  <c r="Q37" i="6"/>
  <c r="P37" i="6"/>
  <c r="N37" i="6"/>
  <c r="O37" i="6" s="1"/>
  <c r="L37" i="6"/>
  <c r="M37" i="6" s="1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S33" i="6"/>
  <c r="R33" i="6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W31" i="6"/>
  <c r="V31" i="6"/>
  <c r="T31" i="6"/>
  <c r="U31" i="6" s="1"/>
  <c r="R31" i="6"/>
  <c r="S31" i="6" s="1"/>
  <c r="P31" i="6"/>
  <c r="Q31" i="6" s="1"/>
  <c r="N31" i="6"/>
  <c r="O31" i="6" s="1"/>
  <c r="L31" i="6"/>
  <c r="M31" i="6" s="1"/>
  <c r="W30" i="6"/>
  <c r="V30" i="6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S29" i="6"/>
  <c r="R29" i="6"/>
  <c r="P29" i="6"/>
  <c r="Q29" i="6" s="1"/>
  <c r="O29" i="6"/>
  <c r="N29" i="6"/>
  <c r="L29" i="6"/>
  <c r="M29" i="6" s="1"/>
  <c r="F29" i="6"/>
  <c r="W28" i="6"/>
  <c r="V28" i="6"/>
  <c r="T28" i="6"/>
  <c r="U28" i="6" s="1"/>
  <c r="S28" i="6"/>
  <c r="R28" i="6"/>
  <c r="P28" i="6"/>
  <c r="Q28" i="6" s="1"/>
  <c r="N28" i="6"/>
  <c r="O28" i="6" s="1"/>
  <c r="L28" i="6"/>
  <c r="M28" i="6" s="1"/>
  <c r="W27" i="6"/>
  <c r="V27" i="6"/>
  <c r="T27" i="6"/>
  <c r="U27" i="6" s="1"/>
  <c r="S27" i="6"/>
  <c r="R27" i="6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W25" i="6"/>
  <c r="V25" i="6"/>
  <c r="T25" i="6"/>
  <c r="U25" i="6" s="1"/>
  <c r="R25" i="6"/>
  <c r="S25" i="6" s="1"/>
  <c r="P25" i="6"/>
  <c r="Q25" i="6" s="1"/>
  <c r="N25" i="6"/>
  <c r="O25" i="6" s="1"/>
  <c r="L25" i="6"/>
  <c r="M25" i="6" s="1"/>
  <c r="W24" i="6"/>
  <c r="V24" i="6"/>
  <c r="T24" i="6"/>
  <c r="U24" i="6" s="1"/>
  <c r="R24" i="6"/>
  <c r="S24" i="6" s="1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O23" i="6"/>
  <c r="N23" i="6"/>
  <c r="L23" i="6"/>
  <c r="M23" i="6" s="1"/>
  <c r="V22" i="6"/>
  <c r="W22" i="6" s="1"/>
  <c r="T22" i="6"/>
  <c r="U22" i="6" s="1"/>
  <c r="R22" i="6"/>
  <c r="S22" i="6" s="1"/>
  <c r="P22" i="6"/>
  <c r="Q22" i="6" s="1"/>
  <c r="O22" i="6"/>
  <c r="N22" i="6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U18" i="6"/>
  <c r="T18" i="6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Q17" i="6"/>
  <c r="P17" i="6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V14" i="6"/>
  <c r="W14" i="6" s="1"/>
  <c r="T14" i="6"/>
  <c r="U14" i="6" s="1"/>
  <c r="S14" i="6"/>
  <c r="R14" i="6"/>
  <c r="P14" i="6"/>
  <c r="Q14" i="6" s="1"/>
  <c r="O14" i="6"/>
  <c r="N14" i="6"/>
  <c r="L14" i="6"/>
  <c r="M14" i="6" s="1"/>
  <c r="V13" i="6"/>
  <c r="W13" i="6" s="1"/>
  <c r="T13" i="6"/>
  <c r="U13" i="6" s="1"/>
  <c r="S13" i="6"/>
  <c r="R13" i="6"/>
  <c r="P13" i="6"/>
  <c r="Q13" i="6" s="1"/>
  <c r="O13" i="6"/>
  <c r="N13" i="6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W10" i="6"/>
  <c r="V10" i="6"/>
  <c r="T10" i="6"/>
  <c r="U10" i="6" s="1"/>
  <c r="R10" i="6"/>
  <c r="S10" i="6" s="1"/>
  <c r="P10" i="6"/>
  <c r="Q10" i="6" s="1"/>
  <c r="O10" i="6"/>
  <c r="N10" i="6"/>
  <c r="L10" i="6"/>
  <c r="M10" i="6" s="1"/>
  <c r="V9" i="6"/>
  <c r="W9" i="6" s="1"/>
  <c r="T9" i="6"/>
  <c r="U9" i="6" s="1"/>
  <c r="R9" i="6"/>
  <c r="S9" i="6" s="1"/>
  <c r="P9" i="6"/>
  <c r="Q9" i="6" s="1"/>
  <c r="O9" i="6"/>
  <c r="N9" i="6"/>
  <c r="L9" i="6"/>
  <c r="M9" i="6" s="1"/>
  <c r="V8" i="6"/>
  <c r="W8" i="6" s="1"/>
  <c r="T8" i="6"/>
  <c r="U8" i="6" s="1"/>
  <c r="R8" i="6"/>
  <c r="S8" i="6" s="1"/>
  <c r="P8" i="6"/>
  <c r="Q8" i="6" s="1"/>
  <c r="O8" i="6"/>
  <c r="N8" i="6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W4" i="6"/>
  <c r="V4" i="6"/>
  <c r="T4" i="6"/>
  <c r="U4" i="6" s="1"/>
  <c r="R4" i="6"/>
  <c r="S4" i="6" s="1"/>
  <c r="P4" i="6"/>
  <c r="Q4" i="6" s="1"/>
  <c r="N4" i="6"/>
  <c r="O4" i="6" s="1"/>
  <c r="L4" i="6"/>
  <c r="M4" i="6" s="1"/>
  <c r="W3" i="6"/>
  <c r="V3" i="6"/>
  <c r="T3" i="6"/>
  <c r="U3" i="6" s="1"/>
  <c r="S3" i="6"/>
  <c r="R3" i="6"/>
  <c r="P3" i="6"/>
  <c r="Q3" i="6" s="1"/>
  <c r="N3" i="6"/>
  <c r="O3" i="6" s="1"/>
  <c r="L3" i="6"/>
  <c r="M3" i="6" s="1"/>
  <c r="E3" i="6"/>
  <c r="B3" i="6"/>
  <c r="V2" i="6"/>
  <c r="W2" i="6" s="1"/>
  <c r="U2" i="6"/>
  <c r="T2" i="6"/>
  <c r="R2" i="6"/>
  <c r="S2" i="6" s="1"/>
  <c r="P2" i="6"/>
  <c r="Q2" i="6" s="1"/>
  <c r="N2" i="6"/>
  <c r="O2" i="6" s="1"/>
  <c r="L2" i="6"/>
  <c r="M2" i="6" s="1"/>
  <c r="D47" i="5"/>
  <c r="F50" i="2" l="1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A17" i="3"/>
  <c r="AB17" i="3" s="1"/>
  <c r="AA18" i="3"/>
  <c r="AB18" i="3" s="1"/>
  <c r="AA19" i="3"/>
  <c r="AB19" i="3" s="1"/>
  <c r="AA20" i="3"/>
  <c r="AB20" i="3" s="1"/>
  <c r="AA21" i="3"/>
  <c r="AA22" i="3"/>
  <c r="AA23" i="3"/>
  <c r="AB23" i="3" s="1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 l="1"/>
  <c r="AB10" i="3"/>
  <c r="AB12" i="3"/>
  <c r="AB14" i="3"/>
  <c r="AB15" i="3"/>
  <c r="Y9" i="3"/>
  <c r="D6" i="3" s="1"/>
  <c r="Z9" i="3"/>
  <c r="I6" i="3" s="1"/>
  <c r="AB9" i="3" l="1"/>
  <c r="G5" i="3" s="1"/>
  <c r="O1" i="5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 s="1"/>
  <c r="BL557" i="3" s="1"/>
  <c r="V558" i="2"/>
  <c r="BI558" i="3" s="1"/>
  <c r="BL558" i="3" s="1"/>
  <c r="V559" i="2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V620" i="2"/>
  <c r="BI620" i="3" s="1"/>
  <c r="BL620" i="3" s="1"/>
  <c r="V621" i="2"/>
  <c r="BI621" i="3" s="1"/>
  <c r="BL621" i="3" s="1"/>
  <c r="V622" i="2"/>
  <c r="BI622" i="3" s="1"/>
  <c r="BL622" i="3" s="1"/>
  <c r="V623" i="2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V684" i="2"/>
  <c r="BI684" i="3" s="1"/>
  <c r="BL684" i="3" s="1"/>
  <c r="V685" i="2"/>
  <c r="BI685" i="3" s="1"/>
  <c r="BL685" i="3" s="1"/>
  <c r="V686" i="2"/>
  <c r="BI686" i="3" s="1"/>
  <c r="BL686" i="3" s="1"/>
  <c r="V687" i="2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7" i="3" s="1"/>
  <c r="BG47" i="3" s="1"/>
  <c r="T48" i="2"/>
  <c r="T49" i="2"/>
  <c r="T50" i="2"/>
  <c r="T51" i="2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 s="1"/>
  <c r="BG83" i="3" s="1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1" i="3" s="1"/>
  <c r="BG111" i="3" s="1"/>
  <c r="T112" i="2"/>
  <c r="T113" i="2"/>
  <c r="T114" i="2"/>
  <c r="T115" i="2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BD143" i="3" s="1"/>
  <c r="BG143" i="3" s="1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BD175" i="3" s="1"/>
  <c r="BG175" i="3" s="1"/>
  <c r="T176" i="2"/>
  <c r="T177" i="2"/>
  <c r="T178" i="2"/>
  <c r="T179" i="2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7" i="3" s="1"/>
  <c r="BG207" i="3" s="1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 s="1"/>
  <c r="BG239" i="3" s="1"/>
  <c r="T240" i="2"/>
  <c r="T241" i="2"/>
  <c r="T242" i="2"/>
  <c r="T243" i="2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BD271" i="3" s="1"/>
  <c r="BG271" i="3" s="1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BD303" i="3" s="1"/>
  <c r="BG303" i="3" s="1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 s="1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BD399" i="3" s="1"/>
  <c r="BG399" i="3" s="1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431" i="3" s="1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527" i="3" s="1"/>
  <c r="BG527" i="3" s="1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559" i="3" s="1"/>
  <c r="BG559" i="3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1" i="3" s="1"/>
  <c r="BG591" i="3" s="1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3" i="3" s="1"/>
  <c r="BG623" i="3" s="1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BD655" i="3" s="1"/>
  <c r="BG655" i="3" s="1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687" i="3" s="1"/>
  <c r="BG687" i="3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 s="1"/>
  <c r="BG719" i="3" s="1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 s="1"/>
  <c r="BG751" i="3" s="1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7" i="3" s="1"/>
  <c r="BG847" i="3" s="1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847" i="2" l="1"/>
  <c r="U687" i="2"/>
  <c r="U527" i="2"/>
  <c r="U335" i="2"/>
  <c r="U175" i="2"/>
  <c r="U47" i="2"/>
  <c r="W831" i="2"/>
  <c r="W767" i="2"/>
  <c r="W695" i="2"/>
  <c r="W567" i="2"/>
  <c r="BD631" i="3"/>
  <c r="BG631" i="3" s="1"/>
  <c r="BD119" i="3"/>
  <c r="BG119" i="3" s="1"/>
  <c r="BI724" i="3"/>
  <c r="BL724" i="3" s="1"/>
  <c r="BI468" i="3"/>
  <c r="BL468" i="3" s="1"/>
  <c r="BI212" i="3"/>
  <c r="BL212" i="3" s="1"/>
  <c r="U815" i="2"/>
  <c r="U655" i="2"/>
  <c r="U463" i="2"/>
  <c r="U303" i="2"/>
  <c r="U143" i="2"/>
  <c r="W823" i="2"/>
  <c r="W759" i="2"/>
  <c r="W679" i="2"/>
  <c r="W551" i="2"/>
  <c r="BD567" i="3"/>
  <c r="BG567" i="3" s="1"/>
  <c r="BD55" i="3"/>
  <c r="BG55" i="3" s="1"/>
  <c r="BI660" i="3"/>
  <c r="BL660" i="3" s="1"/>
  <c r="BI404" i="3"/>
  <c r="BL404" i="3" s="1"/>
  <c r="BI148" i="3"/>
  <c r="BL148" i="3" s="1"/>
  <c r="U783" i="2"/>
  <c r="U591" i="2"/>
  <c r="U431" i="2"/>
  <c r="U271" i="2"/>
  <c r="U83" i="2"/>
  <c r="W863" i="2"/>
  <c r="W799" i="2"/>
  <c r="W735" i="2"/>
  <c r="W631" i="2"/>
  <c r="W27" i="2"/>
  <c r="BD375" i="3"/>
  <c r="BG375" i="3" s="1"/>
  <c r="BI852" i="3"/>
  <c r="BL852" i="3" s="1"/>
  <c r="BI596" i="3"/>
  <c r="BL596" i="3" s="1"/>
  <c r="BI340" i="3"/>
  <c r="BL340" i="3" s="1"/>
  <c r="BI84" i="3"/>
  <c r="BL84" i="3" s="1"/>
  <c r="U719" i="2"/>
  <c r="U559" i="2"/>
  <c r="U399" i="2"/>
  <c r="U207" i="2"/>
  <c r="U63" i="2"/>
  <c r="W855" i="2"/>
  <c r="W791" i="2"/>
  <c r="W727" i="2"/>
  <c r="W615" i="2"/>
  <c r="BD823" i="3"/>
  <c r="BG823" i="3" s="1"/>
  <c r="BD311" i="3"/>
  <c r="BG311" i="3" s="1"/>
  <c r="BI788" i="3"/>
  <c r="BL788" i="3" s="1"/>
  <c r="BI532" i="3"/>
  <c r="BL532" i="3" s="1"/>
  <c r="BI276" i="3"/>
  <c r="BL276" i="3" s="1"/>
  <c r="BI20" i="3"/>
  <c r="BL20" i="3" s="1"/>
  <c r="U855" i="2"/>
  <c r="BD855" i="3"/>
  <c r="BG855" i="3" s="1"/>
  <c r="BD851" i="3"/>
  <c r="BG851" i="3" s="1"/>
  <c r="U851" i="2"/>
  <c r="BD819" i="3"/>
  <c r="BG819" i="3" s="1"/>
  <c r="U819" i="2"/>
  <c r="U791" i="2"/>
  <c r="BD791" i="3"/>
  <c r="BG791" i="3" s="1"/>
  <c r="BD787" i="3"/>
  <c r="BG787" i="3" s="1"/>
  <c r="U787" i="2"/>
  <c r="BD755" i="3"/>
  <c r="BG755" i="3" s="1"/>
  <c r="U755" i="2"/>
  <c r="U727" i="2"/>
  <c r="BD727" i="3"/>
  <c r="BG727" i="3" s="1"/>
  <c r="BD723" i="3"/>
  <c r="BG723" i="3" s="1"/>
  <c r="U723" i="2"/>
  <c r="BD691" i="3"/>
  <c r="BG691" i="3" s="1"/>
  <c r="U691" i="2"/>
  <c r="U663" i="2"/>
  <c r="BD663" i="3"/>
  <c r="BG663" i="3" s="1"/>
  <c r="BD659" i="3"/>
  <c r="BG659" i="3" s="1"/>
  <c r="U659" i="2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5" i="3"/>
  <c r="BG535" i="3" s="1"/>
  <c r="BD531" i="3"/>
  <c r="BG531" i="3" s="1"/>
  <c r="U531" i="2"/>
  <c r="BD499" i="3"/>
  <c r="BG499" i="3" s="1"/>
  <c r="U499" i="2"/>
  <c r="U471" i="2"/>
  <c r="BD471" i="3"/>
  <c r="BG471" i="3" s="1"/>
  <c r="BD467" i="3"/>
  <c r="BG467" i="3" s="1"/>
  <c r="U467" i="2"/>
  <c r="BD435" i="3"/>
  <c r="BG435" i="3" s="1"/>
  <c r="U435" i="2"/>
  <c r="U407" i="2"/>
  <c r="BD407" i="3"/>
  <c r="BG407" i="3" s="1"/>
  <c r="BD403" i="3"/>
  <c r="BG403" i="3" s="1"/>
  <c r="U403" i="2"/>
  <c r="BD371" i="3"/>
  <c r="BG371" i="3" s="1"/>
  <c r="U371" i="2"/>
  <c r="U343" i="2"/>
  <c r="BD343" i="3"/>
  <c r="BG343" i="3" s="1"/>
  <c r="BD339" i="3"/>
  <c r="BG339" i="3" s="1"/>
  <c r="U339" i="2"/>
  <c r="BD307" i="3"/>
  <c r="BG307" i="3" s="1"/>
  <c r="U307" i="2"/>
  <c r="U279" i="2"/>
  <c r="BD279" i="3"/>
  <c r="BG279" i="3" s="1"/>
  <c r="BD275" i="3"/>
  <c r="BG275" i="3" s="1"/>
  <c r="U275" i="2"/>
  <c r="BD243" i="3"/>
  <c r="BG243" i="3" s="1"/>
  <c r="U243" i="2"/>
  <c r="U215" i="2"/>
  <c r="BD215" i="3"/>
  <c r="BG215" i="3" s="1"/>
  <c r="BD211" i="3"/>
  <c r="BG211" i="3" s="1"/>
  <c r="U211" i="2"/>
  <c r="BD179" i="3"/>
  <c r="BG179" i="3" s="1"/>
  <c r="U179" i="2"/>
  <c r="U151" i="2"/>
  <c r="BD151" i="3"/>
  <c r="BG151" i="3" s="1"/>
  <c r="BD147" i="3"/>
  <c r="BG147" i="3" s="1"/>
  <c r="U147" i="2"/>
  <c r="BD115" i="3"/>
  <c r="BG115" i="3" s="1"/>
  <c r="U115" i="2"/>
  <c r="BD95" i="3"/>
  <c r="BG95" i="3" s="1"/>
  <c r="U95" i="2"/>
  <c r="U87" i="2"/>
  <c r="BD87" i="3"/>
  <c r="BG87" i="3" s="1"/>
  <c r="BD79" i="3"/>
  <c r="BG79" i="3" s="1"/>
  <c r="U79" i="2"/>
  <c r="BD51" i="3"/>
  <c r="BG51" i="3" s="1"/>
  <c r="U51" i="2"/>
  <c r="BD31" i="3"/>
  <c r="BG31" i="3" s="1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 s="1"/>
  <c r="BD503" i="3"/>
  <c r="BG503" i="3" s="1"/>
  <c r="BD247" i="3"/>
  <c r="BG247" i="3" s="1"/>
  <c r="W811" i="2"/>
  <c r="BI811" i="3"/>
  <c r="BL811" i="3" s="1"/>
  <c r="W747" i="2"/>
  <c r="BI747" i="3"/>
  <c r="BL747" i="3" s="1"/>
  <c r="BI703" i="3"/>
  <c r="BL703" i="3" s="1"/>
  <c r="W703" i="2"/>
  <c r="BI687" i="3"/>
  <c r="BL687" i="3" s="1"/>
  <c r="W687" i="2"/>
  <c r="W683" i="2"/>
  <c r="BI683" i="3"/>
  <c r="BL683" i="3" s="1"/>
  <c r="BI671" i="3"/>
  <c r="BL671" i="3" s="1"/>
  <c r="W671" i="2"/>
  <c r="BI655" i="3"/>
  <c r="BL655" i="3" s="1"/>
  <c r="W655" i="2"/>
  <c r="BI639" i="3"/>
  <c r="BL639" i="3" s="1"/>
  <c r="W639" i="2"/>
  <c r="BI623" i="3"/>
  <c r="BL623" i="3" s="1"/>
  <c r="W623" i="2"/>
  <c r="W619" i="2"/>
  <c r="BI619" i="3"/>
  <c r="BL619" i="3" s="1"/>
  <c r="BI607" i="3"/>
  <c r="BL607" i="3" s="1"/>
  <c r="W607" i="2"/>
  <c r="BI591" i="3"/>
  <c r="BL591" i="3" s="1"/>
  <c r="W591" i="2"/>
  <c r="BI575" i="3"/>
  <c r="BL575" i="3" s="1"/>
  <c r="W575" i="2"/>
  <c r="BI559" i="3"/>
  <c r="BL559" i="3" s="1"/>
  <c r="W559" i="2"/>
  <c r="W555" i="2"/>
  <c r="BI555" i="3"/>
  <c r="BL555" i="3" s="1"/>
  <c r="BI543" i="3"/>
  <c r="BL543" i="3" s="1"/>
  <c r="W543" i="2"/>
  <c r="BI527" i="3"/>
  <c r="BL527" i="3" s="1"/>
  <c r="W527" i="2"/>
  <c r="W491" i="2"/>
  <c r="BI491" i="3"/>
  <c r="BL491" i="3" s="1"/>
  <c r="BI463" i="3"/>
  <c r="BL463" i="3" s="1"/>
  <c r="W463" i="2"/>
  <c r="W427" i="2"/>
  <c r="BI427" i="3"/>
  <c r="BL427" i="3" s="1"/>
  <c r="BI415" i="3"/>
  <c r="BL415" i="3" s="1"/>
  <c r="W415" i="2"/>
  <c r="BI399" i="3"/>
  <c r="BL399" i="3" s="1"/>
  <c r="W399" i="2"/>
  <c r="W363" i="2"/>
  <c r="BI363" i="3"/>
  <c r="BL363" i="3" s="1"/>
  <c r="BI335" i="3"/>
  <c r="BL335" i="3" s="1"/>
  <c r="W335" i="2"/>
  <c r="W299" i="2"/>
  <c r="BI299" i="3"/>
  <c r="BL299" i="3" s="1"/>
  <c r="BI287" i="3"/>
  <c r="BL287" i="3" s="1"/>
  <c r="W287" i="2"/>
  <c r="BI271" i="3"/>
  <c r="BL271" i="3" s="1"/>
  <c r="W271" i="2"/>
  <c r="W235" i="2"/>
  <c r="BI235" i="3"/>
  <c r="BL235" i="3" s="1"/>
  <c r="W171" i="2"/>
  <c r="BI171" i="3"/>
  <c r="BL171" i="3" s="1"/>
  <c r="W107" i="2"/>
  <c r="BI107" i="3"/>
  <c r="BL107" i="3" s="1"/>
  <c r="W43" i="2"/>
  <c r="BI43" i="3"/>
  <c r="BL43" i="3" s="1"/>
  <c r="BI11" i="3"/>
  <c r="BL11" i="3" s="1"/>
  <c r="W11" i="2"/>
  <c r="W839" i="2"/>
  <c r="W807" i="2"/>
  <c r="W775" i="2"/>
  <c r="W743" i="2"/>
  <c r="W711" i="2"/>
  <c r="W647" i="2"/>
  <c r="W583" i="2"/>
  <c r="W351" i="2"/>
  <c r="BD695" i="3"/>
  <c r="BG695" i="3" s="1"/>
  <c r="BD439" i="3"/>
  <c r="BG439" i="3" s="1"/>
  <c r="BD183" i="3"/>
  <c r="BG183" i="3" s="1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AO617" i="3" s="1"/>
  <c r="AR617" i="3" s="1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AO813" i="3" s="1"/>
  <c r="AR813" i="3" s="1"/>
  <c r="O641" i="2"/>
  <c r="AO641" i="3" s="1"/>
  <c r="AR641" i="3" s="1"/>
  <c r="O729" i="2"/>
  <c r="AO729" i="3" s="1"/>
  <c r="AR729" i="3" s="1"/>
  <c r="O745" i="2"/>
  <c r="AO745" i="3" s="1"/>
  <c r="AR745" i="3" s="1"/>
  <c r="O521" i="2"/>
  <c r="AO521" i="3" s="1"/>
  <c r="AR521" i="3" s="1"/>
  <c r="O470" i="2"/>
  <c r="AO470" i="3" s="1"/>
  <c r="AR470" i="3" s="1"/>
  <c r="O825" i="2"/>
  <c r="AO825" i="3" s="1"/>
  <c r="AR825" i="3" s="1"/>
  <c r="O509" i="2"/>
  <c r="AO509" i="3" s="1"/>
  <c r="AR509" i="3" s="1"/>
  <c r="O859" i="2"/>
  <c r="AO859" i="3" s="1"/>
  <c r="AR859" i="3" s="1"/>
  <c r="O765" i="2"/>
  <c r="AO765" i="3" s="1"/>
  <c r="AR765" i="3" s="1"/>
  <c r="O673" i="2"/>
  <c r="AO673" i="3" s="1"/>
  <c r="AR673" i="3" s="1"/>
  <c r="O557" i="2"/>
  <c r="AO557" i="3" s="1"/>
  <c r="AR557" i="3" s="1"/>
  <c r="O457" i="2"/>
  <c r="AO457" i="3" s="1"/>
  <c r="AR457" i="3" s="1"/>
  <c r="O781" i="2"/>
  <c r="AO781" i="3" s="1"/>
  <c r="AR781" i="3" s="1"/>
  <c r="O685" i="2"/>
  <c r="AO685" i="3" s="1"/>
  <c r="AR685" i="3" s="1"/>
  <c r="O581" i="2"/>
  <c r="AO581" i="3" s="1"/>
  <c r="AR581" i="3" s="1"/>
  <c r="O485" i="2"/>
  <c r="AO485" i="3" s="1"/>
  <c r="AR485" i="3" s="1"/>
  <c r="AO409" i="3"/>
  <c r="AR409" i="3" s="1"/>
  <c r="AO357" i="3"/>
  <c r="AR357" i="3" s="1"/>
  <c r="AO273" i="3"/>
  <c r="AR273" i="3" s="1"/>
  <c r="AO237" i="3"/>
  <c r="AR237" i="3" s="1"/>
  <c r="AO221" i="3"/>
  <c r="AR221" i="3" s="1"/>
  <c r="AO185" i="3"/>
  <c r="AR185" i="3" s="1"/>
  <c r="O836" i="2"/>
  <c r="AO836" i="3" s="1"/>
  <c r="AR836" i="3" s="1"/>
  <c r="O783" i="2"/>
  <c r="AO783" i="3" s="1"/>
  <c r="AR783" i="3" s="1"/>
  <c r="O749" i="2"/>
  <c r="AO749" i="3" s="1"/>
  <c r="AR749" i="3" s="1"/>
  <c r="O697" i="2"/>
  <c r="AO697" i="3" s="1"/>
  <c r="AR697" i="3" s="1"/>
  <c r="O645" i="2"/>
  <c r="AO645" i="3" s="1"/>
  <c r="AR645" i="3" s="1"/>
  <c r="O589" i="2"/>
  <c r="AO589" i="3" s="1"/>
  <c r="AR589" i="3" s="1"/>
  <c r="O537" i="2"/>
  <c r="AO537" i="3" s="1"/>
  <c r="AR537" i="3" s="1"/>
  <c r="O489" i="2"/>
  <c r="AO489" i="3" s="1"/>
  <c r="AR489" i="3" s="1"/>
  <c r="O441" i="2"/>
  <c r="AO441" i="3" s="1"/>
  <c r="AR441" i="3" s="1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425" i="3"/>
  <c r="AR425" i="3" s="1"/>
  <c r="AO317" i="3"/>
  <c r="AR317" i="3" s="1"/>
  <c r="AO289" i="3"/>
  <c r="AR289" i="3" s="1"/>
  <c r="AO257" i="3"/>
  <c r="AR257" i="3" s="1"/>
  <c r="AO165" i="3"/>
  <c r="AR165" i="3" s="1"/>
  <c r="O857" i="2"/>
  <c r="AO857" i="3" s="1"/>
  <c r="AR857" i="3" s="1"/>
  <c r="O801" i="2"/>
  <c r="AO801" i="3" s="1"/>
  <c r="AR801" i="3" s="1"/>
  <c r="O764" i="2"/>
  <c r="AO764" i="3" s="1"/>
  <c r="AR764" i="3" s="1"/>
  <c r="O713" i="2"/>
  <c r="AO713" i="3" s="1"/>
  <c r="AR713" i="3" s="1"/>
  <c r="O669" i="2"/>
  <c r="AO669" i="3" s="1"/>
  <c r="AR669" i="3" s="1"/>
  <c r="O613" i="2"/>
  <c r="AO613" i="3" s="1"/>
  <c r="AR613" i="3" s="1"/>
  <c r="O553" i="2"/>
  <c r="AO553" i="3" s="1"/>
  <c r="AR553" i="3" s="1"/>
  <c r="O508" i="2"/>
  <c r="AO508" i="3" s="1"/>
  <c r="AR508" i="3" s="1"/>
  <c r="O453" i="2"/>
  <c r="AO453" i="3" s="1"/>
  <c r="AR453" i="3" s="1"/>
  <c r="O397" i="2"/>
  <c r="AO397" i="3" s="1"/>
  <c r="AR397" i="3" s="1"/>
  <c r="O345" i="2"/>
  <c r="AO345" i="3" s="1"/>
  <c r="AR345" i="3" s="1"/>
  <c r="O297" i="2"/>
  <c r="AO297" i="3" s="1"/>
  <c r="AR297" i="3" s="1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AO837" i="3" s="1"/>
  <c r="AR837" i="3" s="1"/>
  <c r="O805" i="2"/>
  <c r="AO805" i="3" s="1"/>
  <c r="AR805" i="3" s="1"/>
  <c r="O777" i="2"/>
  <c r="AO777" i="3" s="1"/>
  <c r="AR777" i="3" s="1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AO518" i="3" s="1"/>
  <c r="AR518" i="3" s="1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AO845" i="3" s="1"/>
  <c r="AR845" i="3" s="1"/>
  <c r="O833" i="2"/>
  <c r="AO833" i="3" s="1"/>
  <c r="AR833" i="3" s="1"/>
  <c r="O809" i="2"/>
  <c r="AO809" i="3" s="1"/>
  <c r="AR809" i="3" s="1"/>
  <c r="O797" i="2"/>
  <c r="AO797" i="3" s="1"/>
  <c r="AR797" i="3" s="1"/>
  <c r="O769" i="2"/>
  <c r="AO769" i="3" s="1"/>
  <c r="AR769" i="3" s="1"/>
  <c r="O761" i="2"/>
  <c r="AO761" i="3" s="1"/>
  <c r="AR761" i="3" s="1"/>
  <c r="O741" i="2"/>
  <c r="AO741" i="3" s="1"/>
  <c r="AR741" i="3" s="1"/>
  <c r="O709" i="2"/>
  <c r="AO709" i="3" s="1"/>
  <c r="AR709" i="3" s="1"/>
  <c r="O681" i="2"/>
  <c r="AO681" i="3" s="1"/>
  <c r="AR681" i="3" s="1"/>
  <c r="O664" i="2"/>
  <c r="AO664" i="3" s="1"/>
  <c r="AR664" i="3" s="1"/>
  <c r="O637" i="2"/>
  <c r="AO637" i="3" s="1"/>
  <c r="AR637" i="3" s="1"/>
  <c r="O605" i="2"/>
  <c r="AO605" i="3" s="1"/>
  <c r="AR605" i="3" s="1"/>
  <c r="O577" i="2"/>
  <c r="AO577" i="3" s="1"/>
  <c r="AR577" i="3" s="1"/>
  <c r="O545" i="2"/>
  <c r="AO545" i="3" s="1"/>
  <c r="AR545" i="3" s="1"/>
  <c r="O505" i="2"/>
  <c r="AO505" i="3" s="1"/>
  <c r="AR505" i="3" s="1"/>
  <c r="O477" i="2"/>
  <c r="AO477" i="3" s="1"/>
  <c r="AR477" i="3" s="1"/>
  <c r="O449" i="2"/>
  <c r="AO449" i="3" s="1"/>
  <c r="AR449" i="3" s="1"/>
  <c r="O421" i="2"/>
  <c r="AO421" i="3" s="1"/>
  <c r="AR421" i="3" s="1"/>
  <c r="O389" i="2"/>
  <c r="AO389" i="3" s="1"/>
  <c r="AR389" i="3" s="1"/>
  <c r="O377" i="2"/>
  <c r="AO377" i="3" s="1"/>
  <c r="AR377" i="3" s="1"/>
  <c r="O352" i="2"/>
  <c r="AO352" i="3" s="1"/>
  <c r="AR352" i="3" s="1"/>
  <c r="O329" i="2"/>
  <c r="AO329" i="3" s="1"/>
  <c r="AR329" i="3" s="1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360" i="3" s="1"/>
  <c r="AR360" i="3" s="1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AO865" i="3" s="1"/>
  <c r="AR865" i="3" s="1"/>
  <c r="O841" i="2"/>
  <c r="AO841" i="3" s="1"/>
  <c r="AR841" i="3" s="1"/>
  <c r="O829" i="2"/>
  <c r="AO829" i="3" s="1"/>
  <c r="AR829" i="3" s="1"/>
  <c r="O808" i="2"/>
  <c r="AO808" i="3" s="1"/>
  <c r="AR808" i="3" s="1"/>
  <c r="O768" i="2"/>
  <c r="AO768" i="3" s="1"/>
  <c r="AR768" i="3" s="1"/>
  <c r="O760" i="2"/>
  <c r="AO760" i="3" s="1"/>
  <c r="AR760" i="3" s="1"/>
  <c r="O733" i="2"/>
  <c r="AO733" i="3" s="1"/>
  <c r="AR733" i="3" s="1"/>
  <c r="O705" i="2"/>
  <c r="AO705" i="3" s="1"/>
  <c r="AR705" i="3" s="1"/>
  <c r="O677" i="2"/>
  <c r="AO677" i="3" s="1"/>
  <c r="AR677" i="3" s="1"/>
  <c r="O653" i="2"/>
  <c r="AO653" i="3" s="1"/>
  <c r="AR653" i="3" s="1"/>
  <c r="O621" i="2"/>
  <c r="AO621" i="3" s="1"/>
  <c r="AR621" i="3" s="1"/>
  <c r="O601" i="2"/>
  <c r="AO601" i="3" s="1"/>
  <c r="AR601" i="3" s="1"/>
  <c r="O569" i="2"/>
  <c r="AO569" i="3" s="1"/>
  <c r="AR569" i="3" s="1"/>
  <c r="O541" i="2"/>
  <c r="AO541" i="3" s="1"/>
  <c r="AR541" i="3" s="1"/>
  <c r="O517" i="2"/>
  <c r="AO517" i="3" s="1"/>
  <c r="AR517" i="3" s="1"/>
  <c r="O493" i="2"/>
  <c r="AO493" i="3" s="1"/>
  <c r="AR493" i="3" s="1"/>
  <c r="O473" i="2"/>
  <c r="AO473" i="3" s="1"/>
  <c r="AR473" i="3" s="1"/>
  <c r="O445" i="2"/>
  <c r="AO445" i="3" s="1"/>
  <c r="AR445" i="3" s="1"/>
  <c r="O417" i="2"/>
  <c r="AO417" i="3" s="1"/>
  <c r="AR417" i="3" s="1"/>
  <c r="O388" i="2"/>
  <c r="AO388" i="3" s="1"/>
  <c r="AR388" i="3" s="1"/>
  <c r="O361" i="2"/>
  <c r="AO361" i="3" s="1"/>
  <c r="AR361" i="3" s="1"/>
  <c r="O349" i="2"/>
  <c r="AO349" i="3" s="1"/>
  <c r="AR349" i="3" s="1"/>
  <c r="O321" i="2"/>
  <c r="AO321" i="3" s="1"/>
  <c r="AR321" i="3" s="1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726" i="3" s="1"/>
  <c r="AR726" i="3" s="1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4" i="3" s="1"/>
  <c r="AM434" i="3" s="1"/>
  <c r="L435" i="2"/>
  <c r="AJ435" i="3" s="1"/>
  <c r="AM435" i="3" s="1"/>
  <c r="L436" i="2"/>
  <c r="AJ436" i="3" s="1"/>
  <c r="AM436" i="3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 s="1"/>
  <c r="AM440" i="3" s="1"/>
  <c r="L441" i="2"/>
  <c r="AJ441" i="3" s="1"/>
  <c r="AM441" i="3" s="1"/>
  <c r="L442" i="2"/>
  <c r="AJ442" i="3" s="1"/>
  <c r="AM442" i="3" s="1"/>
  <c r="L443" i="2"/>
  <c r="AJ443" i="3" s="1"/>
  <c r="AM443" i="3" s="1"/>
  <c r="L444" i="2"/>
  <c r="AJ444" i="3" s="1"/>
  <c r="AM444" i="3" s="1"/>
  <c r="L445" i="2"/>
  <c r="AJ445" i="3" s="1"/>
  <c r="AM445" i="3" s="1"/>
  <c r="L446" i="2"/>
  <c r="AJ446" i="3" s="1"/>
  <c r="AM446" i="3" s="1"/>
  <c r="L447" i="2"/>
  <c r="AJ447" i="3" s="1"/>
  <c r="AM447" i="3" s="1"/>
  <c r="L448" i="2"/>
  <c r="AJ448" i="3" s="1"/>
  <c r="AM448" i="3" s="1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AJ453" i="3" s="1"/>
  <c r="AM453" i="3" s="1"/>
  <c r="L454" i="2"/>
  <c r="L455" i="2"/>
  <c r="AJ455" i="3" s="1"/>
  <c r="AM455" i="3" s="1"/>
  <c r="L456" i="2"/>
  <c r="AJ456" i="3" s="1"/>
  <c r="AM456" i="3" s="1"/>
  <c r="L457" i="2"/>
  <c r="AJ457" i="3" s="1"/>
  <c r="AM457" i="3" s="1"/>
  <c r="L458" i="2"/>
  <c r="AJ458" i="3" s="1"/>
  <c r="AM458" i="3" s="1"/>
  <c r="L459" i="2"/>
  <c r="AJ459" i="3" s="1"/>
  <c r="AM459" i="3" s="1"/>
  <c r="L460" i="2"/>
  <c r="AJ460" i="3" s="1"/>
  <c r="AM460" i="3" s="1"/>
  <c r="L461" i="2"/>
  <c r="AJ461" i="3" s="1"/>
  <c r="AM461" i="3" s="1"/>
  <c r="L462" i="2"/>
  <c r="AJ462" i="3" s="1"/>
  <c r="AM462" i="3" s="1"/>
  <c r="L463" i="2"/>
  <c r="AJ463" i="3" s="1"/>
  <c r="AM463" i="3" s="1"/>
  <c r="L464" i="2"/>
  <c r="AJ464" i="3" s="1"/>
  <c r="AM464" i="3" s="1"/>
  <c r="L465" i="2"/>
  <c r="AJ465" i="3" s="1"/>
  <c r="AM465" i="3" s="1"/>
  <c r="L466" i="2"/>
  <c r="AJ466" i="3" s="1"/>
  <c r="AM466" i="3" s="1"/>
  <c r="L467" i="2"/>
  <c r="AJ467" i="3" s="1"/>
  <c r="AM467" i="3" s="1"/>
  <c r="L468" i="2"/>
  <c r="AJ468" i="3" s="1"/>
  <c r="AM468" i="3" s="1"/>
  <c r="L469" i="2"/>
  <c r="AJ469" i="3" s="1"/>
  <c r="AM469" i="3" s="1"/>
  <c r="L470" i="2"/>
  <c r="AJ470" i="3" s="1"/>
  <c r="AM470" i="3" s="1"/>
  <c r="L471" i="2"/>
  <c r="AJ471" i="3" s="1"/>
  <c r="AM471" i="3" s="1"/>
  <c r="L472" i="2"/>
  <c r="AJ472" i="3" s="1"/>
  <c r="AM472" i="3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AJ477" i="3" s="1"/>
  <c r="AM477" i="3" s="1"/>
  <c r="L478" i="2"/>
  <c r="AJ478" i="3" s="1"/>
  <c r="AM478" i="3" s="1"/>
  <c r="L479" i="2"/>
  <c r="AJ479" i="3" s="1"/>
  <c r="AM479" i="3" s="1"/>
  <c r="L480" i="2"/>
  <c r="AJ480" i="3" s="1"/>
  <c r="AM480" i="3" s="1"/>
  <c r="L481" i="2"/>
  <c r="AJ481" i="3" s="1"/>
  <c r="AM481" i="3" s="1"/>
  <c r="L482" i="2"/>
  <c r="AJ482" i="3" s="1"/>
  <c r="AM482" i="3" s="1"/>
  <c r="L483" i="2"/>
  <c r="AJ483" i="3" s="1"/>
  <c r="AM483" i="3" s="1"/>
  <c r="L484" i="2"/>
  <c r="AJ484" i="3" s="1"/>
  <c r="AM484" i="3" s="1"/>
  <c r="L485" i="2"/>
  <c r="AJ485" i="3" s="1"/>
  <c r="AM485" i="3" s="1"/>
  <c r="L486" i="2"/>
  <c r="AJ486" i="3" s="1"/>
  <c r="AM486" i="3" s="1"/>
  <c r="L487" i="2"/>
  <c r="AJ487" i="3" s="1"/>
  <c r="AM487" i="3" s="1"/>
  <c r="L488" i="2"/>
  <c r="AJ488" i="3" s="1"/>
  <c r="AM488" i="3" s="1"/>
  <c r="L489" i="2"/>
  <c r="AJ489" i="3" s="1"/>
  <c r="AM489" i="3" s="1"/>
  <c r="L490" i="2"/>
  <c r="AJ490" i="3" s="1"/>
  <c r="AM490" i="3" s="1"/>
  <c r="L491" i="2"/>
  <c r="AJ491" i="3" s="1"/>
  <c r="AM491" i="3" s="1"/>
  <c r="L492" i="2"/>
  <c r="AJ492" i="3" s="1"/>
  <c r="AM492" i="3" s="1"/>
  <c r="L493" i="2"/>
  <c r="AJ493" i="3" s="1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 s="1"/>
  <c r="AM498" i="3" s="1"/>
  <c r="L499" i="2"/>
  <c r="AJ499" i="3" s="1"/>
  <c r="AM499" i="3" s="1"/>
  <c r="L500" i="2"/>
  <c r="AJ500" i="3" s="1"/>
  <c r="AM500" i="3" s="1"/>
  <c r="L501" i="2"/>
  <c r="AJ501" i="3" s="1"/>
  <c r="AM501" i="3" s="1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AJ506" i="3" s="1"/>
  <c r="AM506" i="3" s="1"/>
  <c r="L507" i="2"/>
  <c r="AJ507" i="3" s="1"/>
  <c r="AM507" i="3" s="1"/>
  <c r="L508" i="2"/>
  <c r="AJ508" i="3" s="1"/>
  <c r="AM508" i="3" s="1"/>
  <c r="L509" i="2"/>
  <c r="AJ509" i="3" s="1"/>
  <c r="AM509" i="3" s="1"/>
  <c r="L510" i="2"/>
  <c r="AJ510" i="3" s="1"/>
  <c r="AM510" i="3" s="1"/>
  <c r="L511" i="2"/>
  <c r="AJ511" i="3" s="1"/>
  <c r="AM511" i="3" s="1"/>
  <c r="L512" i="2"/>
  <c r="AJ512" i="3" s="1"/>
  <c r="AM512" i="3" s="1"/>
  <c r="L513" i="2"/>
  <c r="AJ513" i="3" s="1"/>
  <c r="AM513" i="3" s="1"/>
  <c r="L514" i="2"/>
  <c r="AJ514" i="3" s="1"/>
  <c r="AM514" i="3" s="1"/>
  <c r="L515" i="2"/>
  <c r="AJ515" i="3" s="1"/>
  <c r="AM515" i="3" s="1"/>
  <c r="L516" i="2"/>
  <c r="AJ516" i="3" s="1"/>
  <c r="AM516" i="3" s="1"/>
  <c r="L517" i="2"/>
  <c r="AJ517" i="3" s="1"/>
  <c r="AM517" i="3" s="1"/>
  <c r="L518" i="2"/>
  <c r="AJ518" i="3" s="1"/>
  <c r="AM518" i="3" s="1"/>
  <c r="L519" i="2"/>
  <c r="AJ519" i="3" s="1"/>
  <c r="AM519" i="3" s="1"/>
  <c r="L520" i="2"/>
  <c r="AJ520" i="3" s="1"/>
  <c r="AM520" i="3" s="1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AJ526" i="3" s="1"/>
  <c r="AM526" i="3" s="1"/>
  <c r="L527" i="2"/>
  <c r="AJ527" i="3" s="1"/>
  <c r="AM527" i="3" s="1"/>
  <c r="L528" i="2"/>
  <c r="AJ528" i="3" s="1"/>
  <c r="AM528" i="3" s="1"/>
  <c r="L529" i="2"/>
  <c r="AJ529" i="3" s="1"/>
  <c r="AM529" i="3" s="1"/>
  <c r="L530" i="2"/>
  <c r="AJ530" i="3" s="1"/>
  <c r="AM530" i="3" s="1"/>
  <c r="L531" i="2"/>
  <c r="AJ531" i="3" s="1"/>
  <c r="AM531" i="3" s="1"/>
  <c r="L532" i="2"/>
  <c r="AJ532" i="3" s="1"/>
  <c r="AM532" i="3" s="1"/>
  <c r="L533" i="2"/>
  <c r="AJ533" i="3" s="1"/>
  <c r="AM533" i="3" s="1"/>
  <c r="L534" i="2"/>
  <c r="AJ534" i="3" s="1"/>
  <c r="AM534" i="3" s="1"/>
  <c r="L535" i="2"/>
  <c r="AJ535" i="3" s="1"/>
  <c r="AM535" i="3" s="1"/>
  <c r="L536" i="2"/>
  <c r="AJ536" i="3" s="1"/>
  <c r="AM536" i="3" s="1"/>
  <c r="L537" i="2"/>
  <c r="AJ537" i="3" s="1"/>
  <c r="AM537" i="3" s="1"/>
  <c r="L538" i="2"/>
  <c r="AJ538" i="3" s="1"/>
  <c r="AM538" i="3" s="1"/>
  <c r="L539" i="2"/>
  <c r="AJ539" i="3" s="1"/>
  <c r="AM539" i="3" s="1"/>
  <c r="L540" i="2"/>
  <c r="AJ540" i="3" s="1"/>
  <c r="AM540" i="3" s="1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AJ546" i="3" s="1"/>
  <c r="AM546" i="3" s="1"/>
  <c r="L547" i="2"/>
  <c r="AJ547" i="3" s="1"/>
  <c r="AM547" i="3" s="1"/>
  <c r="L548" i="2"/>
  <c r="AJ548" i="3" s="1"/>
  <c r="AM548" i="3" s="1"/>
  <c r="L549" i="2"/>
  <c r="AJ549" i="3" s="1"/>
  <c r="AM549" i="3" s="1"/>
  <c r="L550" i="2"/>
  <c r="AJ550" i="3" s="1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AJ554" i="3" s="1"/>
  <c r="AM554" i="3" s="1"/>
  <c r="L555" i="2"/>
  <c r="AJ555" i="3" s="1"/>
  <c r="AM555" i="3" s="1"/>
  <c r="L556" i="2"/>
  <c r="AJ556" i="3" s="1"/>
  <c r="AM556" i="3" s="1"/>
  <c r="L557" i="2"/>
  <c r="AJ557" i="3" s="1"/>
  <c r="AM557" i="3" s="1"/>
  <c r="L558" i="2"/>
  <c r="AJ558" i="3" s="1"/>
  <c r="AM558" i="3" s="1"/>
  <c r="L559" i="2"/>
  <c r="AJ559" i="3" s="1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AJ563" i="3" s="1"/>
  <c r="AM563" i="3" s="1"/>
  <c r="L564" i="2"/>
  <c r="AJ564" i="3" s="1"/>
  <c r="AM564" i="3" s="1"/>
  <c r="L565" i="2"/>
  <c r="AJ565" i="3" s="1"/>
  <c r="AM565" i="3" s="1"/>
  <c r="L566" i="2"/>
  <c r="AJ566" i="3" s="1"/>
  <c r="AM566" i="3" s="1"/>
  <c r="L567" i="2"/>
  <c r="AJ567" i="3" s="1"/>
  <c r="AM567" i="3" s="1"/>
  <c r="L568" i="2"/>
  <c r="AJ568" i="3" s="1"/>
  <c r="AM568" i="3" s="1"/>
  <c r="L569" i="2"/>
  <c r="AJ569" i="3" s="1"/>
  <c r="AM569" i="3" s="1"/>
  <c r="L570" i="2"/>
  <c r="AJ570" i="3" s="1"/>
  <c r="AM570" i="3" s="1"/>
  <c r="L571" i="2"/>
  <c r="AJ571" i="3" s="1"/>
  <c r="AM571" i="3" s="1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AJ577" i="3" s="1"/>
  <c r="AM577" i="3" s="1"/>
  <c r="L578" i="2"/>
  <c r="AJ578" i="3" s="1"/>
  <c r="AM578" i="3" s="1"/>
  <c r="L579" i="2"/>
  <c r="AJ579" i="3" s="1"/>
  <c r="AM579" i="3" s="1"/>
  <c r="L580" i="2"/>
  <c r="AJ580" i="3" s="1"/>
  <c r="AM580" i="3" s="1"/>
  <c r="L581" i="2"/>
  <c r="AJ581" i="3" s="1"/>
  <c r="AM581" i="3" s="1"/>
  <c r="L582" i="2"/>
  <c r="AJ582" i="3" s="1"/>
  <c r="AM582" i="3" s="1"/>
  <c r="L583" i="2"/>
  <c r="AJ583" i="3" s="1"/>
  <c r="AM583" i="3" s="1"/>
  <c r="L584" i="2"/>
  <c r="AJ584" i="3" s="1"/>
  <c r="AM584" i="3" s="1"/>
  <c r="L585" i="2"/>
  <c r="AJ585" i="3" s="1"/>
  <c r="AM585" i="3" s="1"/>
  <c r="L586" i="2"/>
  <c r="AJ586" i="3" s="1"/>
  <c r="AM586" i="3" s="1"/>
  <c r="L587" i="2"/>
  <c r="AJ587" i="3" s="1"/>
  <c r="AM587" i="3" s="1"/>
  <c r="L588" i="2"/>
  <c r="AJ588" i="3" s="1"/>
  <c r="AM588" i="3" s="1"/>
  <c r="L589" i="2"/>
  <c r="AJ589" i="3" s="1"/>
  <c r="AM589" i="3" s="1"/>
  <c r="L590" i="2"/>
  <c r="AJ590" i="3" s="1"/>
  <c r="AM590" i="3" s="1"/>
  <c r="L591" i="2"/>
  <c r="AJ591" i="3" s="1"/>
  <c r="AM591" i="3" s="1"/>
  <c r="L592" i="2"/>
  <c r="AJ592" i="3" s="1"/>
  <c r="AM592" i="3" s="1"/>
  <c r="L593" i="2"/>
  <c r="AJ593" i="3" s="1"/>
  <c r="AM593" i="3" s="1"/>
  <c r="L594" i="2"/>
  <c r="AJ594" i="3" s="1"/>
  <c r="AM594" i="3" s="1"/>
  <c r="L595" i="2"/>
  <c r="AJ595" i="3" s="1"/>
  <c r="AM595" i="3" s="1"/>
  <c r="L596" i="2"/>
  <c r="AJ596" i="3" s="1"/>
  <c r="AM596" i="3" s="1"/>
  <c r="L597" i="2"/>
  <c r="AJ597" i="3" s="1"/>
  <c r="AM597" i="3" s="1"/>
  <c r="L598" i="2"/>
  <c r="AJ598" i="3" s="1"/>
  <c r="AM598" i="3" s="1"/>
  <c r="L599" i="2"/>
  <c r="AJ599" i="3" s="1"/>
  <c r="AM599" i="3" s="1"/>
  <c r="L600" i="2"/>
  <c r="AJ600" i="3" s="1"/>
  <c r="AM600" i="3" s="1"/>
  <c r="L601" i="2"/>
  <c r="AJ601" i="3" s="1"/>
  <c r="AM601" i="3" s="1"/>
  <c r="L602" i="2"/>
  <c r="AJ602" i="3" s="1"/>
  <c r="AM602" i="3" s="1"/>
  <c r="L603" i="2"/>
  <c r="AJ603" i="3" s="1"/>
  <c r="AM603" i="3" s="1"/>
  <c r="L604" i="2"/>
  <c r="AJ604" i="3" s="1"/>
  <c r="AM604" i="3" s="1"/>
  <c r="L605" i="2"/>
  <c r="AJ605" i="3" s="1"/>
  <c r="AM605" i="3" s="1"/>
  <c r="L606" i="2"/>
  <c r="AJ606" i="3" s="1"/>
  <c r="AM606" i="3" s="1"/>
  <c r="L607" i="2"/>
  <c r="AJ607" i="3" s="1"/>
  <c r="AM607" i="3" s="1"/>
  <c r="L608" i="2"/>
  <c r="AJ608" i="3" s="1"/>
  <c r="AM608" i="3" s="1"/>
  <c r="L609" i="2"/>
  <c r="AJ609" i="3" s="1"/>
  <c r="AM609" i="3" s="1"/>
  <c r="L610" i="2"/>
  <c r="AJ610" i="3" s="1"/>
  <c r="AM610" i="3" s="1"/>
  <c r="L611" i="2"/>
  <c r="AJ611" i="3" s="1"/>
  <c r="AM611" i="3" s="1"/>
  <c r="L612" i="2"/>
  <c r="AJ612" i="3" s="1"/>
  <c r="AM612" i="3" s="1"/>
  <c r="L613" i="2"/>
  <c r="AJ613" i="3" s="1"/>
  <c r="AM613" i="3" s="1"/>
  <c r="L614" i="2"/>
  <c r="AJ614" i="3" s="1"/>
  <c r="AM614" i="3" s="1"/>
  <c r="L615" i="2"/>
  <c r="AJ615" i="3" s="1"/>
  <c r="AM615" i="3" s="1"/>
  <c r="L616" i="2"/>
  <c r="AJ616" i="3" s="1"/>
  <c r="AM616" i="3" s="1"/>
  <c r="L617" i="2"/>
  <c r="AJ617" i="3" s="1"/>
  <c r="AM617" i="3" s="1"/>
  <c r="L618" i="2"/>
  <c r="AJ618" i="3" s="1"/>
  <c r="AM618" i="3" s="1"/>
  <c r="L619" i="2"/>
  <c r="AJ619" i="3" s="1"/>
  <c r="AM619" i="3" s="1"/>
  <c r="L620" i="2"/>
  <c r="AJ620" i="3" s="1"/>
  <c r="AM620" i="3" s="1"/>
  <c r="L621" i="2"/>
  <c r="AJ621" i="3" s="1"/>
  <c r="AM621" i="3" s="1"/>
  <c r="L622" i="2"/>
  <c r="AJ622" i="3" s="1"/>
  <c r="AM622" i="3" s="1"/>
  <c r="L623" i="2"/>
  <c r="AJ623" i="3" s="1"/>
  <c r="AM623" i="3" s="1"/>
  <c r="L624" i="2"/>
  <c r="AJ624" i="3" s="1"/>
  <c r="AM624" i="3" s="1"/>
  <c r="L625" i="2"/>
  <c r="AJ625" i="3" s="1"/>
  <c r="AM625" i="3" s="1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AJ632" i="3" s="1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AJ637" i="3" s="1"/>
  <c r="AM637" i="3" s="1"/>
  <c r="L638" i="2"/>
  <c r="AJ638" i="3" s="1"/>
  <c r="AM638" i="3" s="1"/>
  <c r="L639" i="2"/>
  <c r="AJ639" i="3" s="1"/>
  <c r="AM639" i="3" s="1"/>
  <c r="L640" i="2"/>
  <c r="AJ640" i="3" s="1"/>
  <c r="AM640" i="3" s="1"/>
  <c r="L641" i="2"/>
  <c r="AJ641" i="3" s="1"/>
  <c r="AM641" i="3" s="1"/>
  <c r="L642" i="2"/>
  <c r="AJ642" i="3" s="1"/>
  <c r="AM642" i="3" s="1"/>
  <c r="L643" i="2"/>
  <c r="AJ643" i="3" s="1"/>
  <c r="AM643" i="3" s="1"/>
  <c r="L644" i="2"/>
  <c r="AJ644" i="3" s="1"/>
  <c r="AM644" i="3" s="1"/>
  <c r="L645" i="2"/>
  <c r="AJ645" i="3" s="1"/>
  <c r="AM645" i="3" s="1"/>
  <c r="L646" i="2"/>
  <c r="AJ646" i="3" s="1"/>
  <c r="AM646" i="3" s="1"/>
  <c r="L647" i="2"/>
  <c r="AJ647" i="3" s="1"/>
  <c r="AM647" i="3" s="1"/>
  <c r="L648" i="2"/>
  <c r="AJ648" i="3" s="1"/>
  <c r="AM648" i="3" s="1"/>
  <c r="L649" i="2"/>
  <c r="AJ649" i="3" s="1"/>
  <c r="AM649" i="3" s="1"/>
  <c r="L650" i="2"/>
  <c r="AJ650" i="3" s="1"/>
  <c r="AM650" i="3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 s="1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AJ659" i="3" s="1"/>
  <c r="AM659" i="3" s="1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AJ665" i="3" s="1"/>
  <c r="AM665" i="3" s="1"/>
  <c r="L666" i="2"/>
  <c r="AJ666" i="3" s="1"/>
  <c r="AM666" i="3" s="1"/>
  <c r="L667" i="2"/>
  <c r="AJ667" i="3" s="1"/>
  <c r="AM667" i="3" s="1"/>
  <c r="L668" i="2"/>
  <c r="AJ668" i="3" s="1"/>
  <c r="AM668" i="3" s="1"/>
  <c r="L669" i="2"/>
  <c r="AJ669" i="3" s="1"/>
  <c r="AM669" i="3" s="1"/>
  <c r="L670" i="2"/>
  <c r="AJ670" i="3" s="1"/>
  <c r="AM670" i="3" s="1"/>
  <c r="L671" i="2"/>
  <c r="AJ671" i="3" s="1"/>
  <c r="AM671" i="3" s="1"/>
  <c r="L672" i="2"/>
  <c r="AJ672" i="3" s="1"/>
  <c r="AM672" i="3" s="1"/>
  <c r="L673" i="2"/>
  <c r="AJ673" i="3" s="1"/>
  <c r="AM673" i="3" s="1"/>
  <c r="L674" i="2"/>
  <c r="AJ674" i="3" s="1"/>
  <c r="AM674" i="3" s="1"/>
  <c r="L675" i="2"/>
  <c r="AJ675" i="3" s="1"/>
  <c r="AM675" i="3" s="1"/>
  <c r="L676" i="2"/>
  <c r="AJ676" i="3" s="1"/>
  <c r="AM676" i="3" s="1"/>
  <c r="L677" i="2"/>
  <c r="AJ677" i="3" s="1"/>
  <c r="AM677" i="3" s="1"/>
  <c r="L678" i="2"/>
  <c r="AJ678" i="3" s="1"/>
  <c r="AM678" i="3" s="1"/>
  <c r="L679" i="2"/>
  <c r="AJ679" i="3" s="1"/>
  <c r="AM679" i="3" s="1"/>
  <c r="L680" i="2"/>
  <c r="AJ680" i="3" s="1"/>
  <c r="AM680" i="3" s="1"/>
  <c r="L681" i="2"/>
  <c r="AJ681" i="3" s="1"/>
  <c r="AM681" i="3" s="1"/>
  <c r="L682" i="2"/>
  <c r="AJ682" i="3" s="1"/>
  <c r="AM682" i="3" s="1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AJ689" i="3" s="1"/>
  <c r="AM689" i="3" s="1"/>
  <c r="L690" i="2"/>
  <c r="AJ690" i="3" s="1"/>
  <c r="AM690" i="3" s="1"/>
  <c r="L691" i="2"/>
  <c r="AJ691" i="3" s="1"/>
  <c r="AM691" i="3" s="1"/>
  <c r="L692" i="2"/>
  <c r="AJ692" i="3" s="1"/>
  <c r="AM692" i="3" s="1"/>
  <c r="L693" i="2"/>
  <c r="AJ693" i="3" s="1"/>
  <c r="AM693" i="3" s="1"/>
  <c r="L694" i="2"/>
  <c r="AJ694" i="3" s="1"/>
  <c r="AM694" i="3" s="1"/>
  <c r="L695" i="2"/>
  <c r="AJ695" i="3" s="1"/>
  <c r="AM695" i="3" s="1"/>
  <c r="L696" i="2"/>
  <c r="AJ696" i="3" s="1"/>
  <c r="AM696" i="3" s="1"/>
  <c r="L697" i="2"/>
  <c r="AJ697" i="3" s="1"/>
  <c r="AM697" i="3" s="1"/>
  <c r="L698" i="2"/>
  <c r="AJ698" i="3" s="1"/>
  <c r="AM698" i="3" s="1"/>
  <c r="L699" i="2"/>
  <c r="AJ699" i="3" s="1"/>
  <c r="AM699" i="3" s="1"/>
  <c r="L700" i="2"/>
  <c r="AJ700" i="3" s="1"/>
  <c r="AM700" i="3" s="1"/>
  <c r="L701" i="2"/>
  <c r="AJ701" i="3" s="1"/>
  <c r="AM701" i="3" s="1"/>
  <c r="L702" i="2"/>
  <c r="AJ702" i="3" s="1"/>
  <c r="AM702" i="3" s="1"/>
  <c r="L703" i="2"/>
  <c r="AJ703" i="3" s="1"/>
  <c r="AM703" i="3" s="1"/>
  <c r="L704" i="2"/>
  <c r="AJ704" i="3" s="1"/>
  <c r="AM704" i="3" s="1"/>
  <c r="L705" i="2"/>
  <c r="AJ705" i="3" s="1"/>
  <c r="AM705" i="3" s="1"/>
  <c r="L706" i="2"/>
  <c r="AJ706" i="3" s="1"/>
  <c r="AM706" i="3" s="1"/>
  <c r="L707" i="2"/>
  <c r="AJ707" i="3" s="1"/>
  <c r="AM707" i="3" s="1"/>
  <c r="L708" i="2"/>
  <c r="AJ708" i="3" s="1"/>
  <c r="AM708" i="3" s="1"/>
  <c r="L709" i="2"/>
  <c r="AJ709" i="3" s="1"/>
  <c r="AM709" i="3" s="1"/>
  <c r="L710" i="2"/>
  <c r="AJ710" i="3" s="1"/>
  <c r="AM710" i="3" s="1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 s="1"/>
  <c r="AM719" i="3" s="1"/>
  <c r="L720" i="2"/>
  <c r="AJ720" i="3" s="1"/>
  <c r="AM720" i="3" s="1"/>
  <c r="L721" i="2"/>
  <c r="AJ721" i="3" s="1"/>
  <c r="AM721" i="3" s="1"/>
  <c r="L722" i="2"/>
  <c r="AJ722" i="3" s="1"/>
  <c r="AM722" i="3" s="1"/>
  <c r="L723" i="2"/>
  <c r="AJ723" i="3" s="1"/>
  <c r="AM723" i="3" s="1"/>
  <c r="L724" i="2"/>
  <c r="AJ724" i="3" s="1"/>
  <c r="AM724" i="3" s="1"/>
  <c r="L725" i="2"/>
  <c r="AJ725" i="3" s="1"/>
  <c r="AM725" i="3" s="1"/>
  <c r="L726" i="2"/>
  <c r="AJ726" i="3" s="1"/>
  <c r="AM726" i="3" s="1"/>
  <c r="L727" i="2"/>
  <c r="AJ727" i="3" s="1"/>
  <c r="AM727" i="3" s="1"/>
  <c r="L728" i="2"/>
  <c r="AJ728" i="3" s="1"/>
  <c r="AM728" i="3" s="1"/>
  <c r="L729" i="2"/>
  <c r="AJ729" i="3" s="1"/>
  <c r="AM729" i="3" s="1"/>
  <c r="L730" i="2"/>
  <c r="AJ730" i="3" s="1"/>
  <c r="AM730" i="3" s="1"/>
  <c r="L731" i="2"/>
  <c r="AJ731" i="3" s="1"/>
  <c r="AM731" i="3" s="1"/>
  <c r="L732" i="2"/>
  <c r="AJ732" i="3" s="1"/>
  <c r="AM732" i="3" s="1"/>
  <c r="L733" i="2"/>
  <c r="AJ733" i="3" s="1"/>
  <c r="AM733" i="3" s="1"/>
  <c r="L734" i="2"/>
  <c r="AJ734" i="3" s="1"/>
  <c r="AM734" i="3" s="1"/>
  <c r="L735" i="2"/>
  <c r="AJ735" i="3" s="1"/>
  <c r="AM735" i="3" s="1"/>
  <c r="L736" i="2"/>
  <c r="AJ736" i="3" s="1"/>
  <c r="AM736" i="3" s="1"/>
  <c r="L737" i="2"/>
  <c r="AJ737" i="3" s="1"/>
  <c r="AM737" i="3" s="1"/>
  <c r="L738" i="2"/>
  <c r="AJ738" i="3" s="1"/>
  <c r="AM738" i="3" s="1"/>
  <c r="L739" i="2"/>
  <c r="AJ739" i="3" s="1"/>
  <c r="AM739" i="3" s="1"/>
  <c r="L740" i="2"/>
  <c r="AJ740" i="3" s="1"/>
  <c r="AM740" i="3" s="1"/>
  <c r="L741" i="2"/>
  <c r="AJ741" i="3" s="1"/>
  <c r="AM741" i="3" s="1"/>
  <c r="L742" i="2"/>
  <c r="AJ742" i="3" s="1"/>
  <c r="AM742" i="3" s="1"/>
  <c r="L743" i="2"/>
  <c r="AJ743" i="3" s="1"/>
  <c r="AM743" i="3" s="1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AJ749" i="3" s="1"/>
  <c r="AM749" i="3" s="1"/>
  <c r="L750" i="2"/>
  <c r="AJ750" i="3" s="1"/>
  <c r="AM750" i="3" s="1"/>
  <c r="L751" i="2"/>
  <c r="AJ751" i="3" s="1"/>
  <c r="AM751" i="3" s="1"/>
  <c r="L752" i="2"/>
  <c r="AJ752" i="3" s="1"/>
  <c r="AM752" i="3" s="1"/>
  <c r="L753" i="2"/>
  <c r="AJ753" i="3" s="1"/>
  <c r="AM753" i="3" s="1"/>
  <c r="L754" i="2"/>
  <c r="AJ754" i="3" s="1"/>
  <c r="AM754" i="3" s="1"/>
  <c r="L755" i="2"/>
  <c r="AJ755" i="3" s="1"/>
  <c r="AM755" i="3" s="1"/>
  <c r="L756" i="2"/>
  <c r="AJ756" i="3" s="1"/>
  <c r="AM756" i="3" s="1"/>
  <c r="L757" i="2"/>
  <c r="AJ757" i="3" s="1"/>
  <c r="AM757" i="3" s="1"/>
  <c r="L758" i="2"/>
  <c r="AJ758" i="3" s="1"/>
  <c r="AM758" i="3" s="1"/>
  <c r="L759" i="2"/>
  <c r="AJ759" i="3" s="1"/>
  <c r="AM759" i="3" s="1"/>
  <c r="L760" i="2"/>
  <c r="AJ760" i="3" s="1"/>
  <c r="AM760" i="3" s="1"/>
  <c r="L761" i="2"/>
  <c r="AJ761" i="3" s="1"/>
  <c r="AM761" i="3" s="1"/>
  <c r="L762" i="2"/>
  <c r="AJ762" i="3" s="1"/>
  <c r="AM762" i="3" s="1"/>
  <c r="L763" i="2"/>
  <c r="AJ763" i="3" s="1"/>
  <c r="AM763" i="3" s="1"/>
  <c r="L764" i="2"/>
  <c r="AJ764" i="3" s="1"/>
  <c r="AM764" i="3" s="1"/>
  <c r="L765" i="2"/>
  <c r="AJ765" i="3" s="1"/>
  <c r="AM765" i="3" s="1"/>
  <c r="L766" i="2"/>
  <c r="AJ766" i="3" s="1"/>
  <c r="AM766" i="3" s="1"/>
  <c r="L767" i="2"/>
  <c r="AJ767" i="3" s="1"/>
  <c r="AM767" i="3" s="1"/>
  <c r="L768" i="2"/>
  <c r="AJ768" i="3" s="1"/>
  <c r="AM768" i="3" s="1"/>
  <c r="L769" i="2"/>
  <c r="AJ769" i="3" s="1"/>
  <c r="AM769" i="3" s="1"/>
  <c r="L770" i="2"/>
  <c r="AJ770" i="3" s="1"/>
  <c r="AM770" i="3" s="1"/>
  <c r="L771" i="2"/>
  <c r="AJ771" i="3" s="1"/>
  <c r="AM771" i="3" s="1"/>
  <c r="L772" i="2"/>
  <c r="AJ772" i="3" s="1"/>
  <c r="AM772" i="3" s="1"/>
  <c r="L773" i="2"/>
  <c r="AJ773" i="3" s="1"/>
  <c r="AM773" i="3" s="1"/>
  <c r="L774" i="2"/>
  <c r="AJ774" i="3" s="1"/>
  <c r="AM774" i="3" s="1"/>
  <c r="L775" i="2"/>
  <c r="AJ775" i="3" s="1"/>
  <c r="AM775" i="3" s="1"/>
  <c r="L776" i="2"/>
  <c r="AJ776" i="3" s="1"/>
  <c r="AM776" i="3" s="1"/>
  <c r="L777" i="2"/>
  <c r="AJ777" i="3" s="1"/>
  <c r="AM777" i="3" s="1"/>
  <c r="L778" i="2"/>
  <c r="AJ778" i="3" s="1"/>
  <c r="AM778" i="3" s="1"/>
  <c r="L779" i="2"/>
  <c r="AJ779" i="3" s="1"/>
  <c r="AM779" i="3" s="1"/>
  <c r="L780" i="2"/>
  <c r="AJ780" i="3" s="1"/>
  <c r="AM780" i="3" s="1"/>
  <c r="L781" i="2"/>
  <c r="AJ781" i="3" s="1"/>
  <c r="AM781" i="3" s="1"/>
  <c r="L782" i="2"/>
  <c r="AJ782" i="3" s="1"/>
  <c r="AM782" i="3" s="1"/>
  <c r="L783" i="2"/>
  <c r="AJ783" i="3" s="1"/>
  <c r="AM783" i="3" s="1"/>
  <c r="L784" i="2"/>
  <c r="AJ784" i="3" s="1"/>
  <c r="AM784" i="3" s="1"/>
  <c r="L785" i="2"/>
  <c r="AJ785" i="3" s="1"/>
  <c r="AM785" i="3" s="1"/>
  <c r="L786" i="2"/>
  <c r="AJ786" i="3" s="1"/>
  <c r="AM786" i="3" s="1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 s="1"/>
  <c r="AM794" i="3" s="1"/>
  <c r="L795" i="2"/>
  <c r="AJ795" i="3" s="1"/>
  <c r="AM795" i="3" s="1"/>
  <c r="L796" i="2"/>
  <c r="AJ796" i="3" s="1"/>
  <c r="AM796" i="3" s="1"/>
  <c r="L797" i="2"/>
  <c r="AJ797" i="3" s="1"/>
  <c r="AM797" i="3" s="1"/>
  <c r="L798" i="2"/>
  <c r="AJ798" i="3" s="1"/>
  <c r="AM798" i="3" s="1"/>
  <c r="L799" i="2"/>
  <c r="AJ799" i="3" s="1"/>
  <c r="AM799" i="3" s="1"/>
  <c r="L800" i="2"/>
  <c r="AJ800" i="3" s="1"/>
  <c r="AM800" i="3" s="1"/>
  <c r="L801" i="2"/>
  <c r="AJ801" i="3" s="1"/>
  <c r="AM801" i="3" s="1"/>
  <c r="L802" i="2"/>
  <c r="AJ802" i="3" s="1"/>
  <c r="AM802" i="3" s="1"/>
  <c r="L803" i="2"/>
  <c r="AJ803" i="3" s="1"/>
  <c r="AM803" i="3" s="1"/>
  <c r="L804" i="2"/>
  <c r="AJ804" i="3" s="1"/>
  <c r="AM804" i="3" s="1"/>
  <c r="L805" i="2"/>
  <c r="AJ805" i="3" s="1"/>
  <c r="AM805" i="3" s="1"/>
  <c r="L806" i="2"/>
  <c r="AJ806" i="3" s="1"/>
  <c r="AM806" i="3" s="1"/>
  <c r="L807" i="2"/>
  <c r="AJ807" i="3" s="1"/>
  <c r="AM807" i="3" s="1"/>
  <c r="L808" i="2"/>
  <c r="AJ808" i="3" s="1"/>
  <c r="AM808" i="3" s="1"/>
  <c r="L809" i="2"/>
  <c r="AJ809" i="3" s="1"/>
  <c r="AM809" i="3" s="1"/>
  <c r="L810" i="2"/>
  <c r="AJ810" i="3" s="1"/>
  <c r="AM810" i="3" s="1"/>
  <c r="L811" i="2"/>
  <c r="AJ811" i="3" s="1"/>
  <c r="AM811" i="3" s="1"/>
  <c r="L812" i="2"/>
  <c r="AJ812" i="3" s="1"/>
  <c r="AM812" i="3" s="1"/>
  <c r="L813" i="2"/>
  <c r="AJ813" i="3" s="1"/>
  <c r="AM813" i="3" s="1"/>
  <c r="L814" i="2"/>
  <c r="AJ814" i="3" s="1"/>
  <c r="AM814" i="3" s="1"/>
  <c r="L815" i="2"/>
  <c r="AJ815" i="3" s="1"/>
  <c r="AM815" i="3" s="1"/>
  <c r="L816" i="2"/>
  <c r="AJ816" i="3" s="1"/>
  <c r="AM816" i="3" s="1"/>
  <c r="L817" i="2"/>
  <c r="AJ817" i="3" s="1"/>
  <c r="AM817" i="3" s="1"/>
  <c r="L818" i="2"/>
  <c r="AJ818" i="3" s="1"/>
  <c r="AM818" i="3" s="1"/>
  <c r="L819" i="2"/>
  <c r="AJ819" i="3" s="1"/>
  <c r="AM819" i="3" s="1"/>
  <c r="L820" i="2"/>
  <c r="AJ820" i="3" s="1"/>
  <c r="AM820" i="3" s="1"/>
  <c r="L821" i="2"/>
  <c r="AJ821" i="3" s="1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 s="1"/>
  <c r="AM825" i="3" s="1"/>
  <c r="L826" i="2"/>
  <c r="AJ826" i="3" s="1"/>
  <c r="AM826" i="3" s="1"/>
  <c r="L827" i="2"/>
  <c r="AJ827" i="3" s="1"/>
  <c r="AM827" i="3" s="1"/>
  <c r="L828" i="2"/>
  <c r="AJ828" i="3" s="1"/>
  <c r="AM828" i="3" s="1"/>
  <c r="L829" i="2"/>
  <c r="AJ829" i="3" s="1"/>
  <c r="AM829" i="3" s="1"/>
  <c r="L830" i="2"/>
  <c r="AJ830" i="3" s="1"/>
  <c r="AM830" i="3" s="1"/>
  <c r="L831" i="2"/>
  <c r="AJ831" i="3" s="1"/>
  <c r="AM831" i="3" s="1"/>
  <c r="L832" i="2"/>
  <c r="AJ832" i="3" s="1"/>
  <c r="AM832" i="3" s="1"/>
  <c r="L833" i="2"/>
  <c r="AJ833" i="3" s="1"/>
  <c r="AM833" i="3" s="1"/>
  <c r="L834" i="2"/>
  <c r="AJ834" i="3" s="1"/>
  <c r="AM834" i="3" s="1"/>
  <c r="L835" i="2"/>
  <c r="AJ835" i="3" s="1"/>
  <c r="AM835" i="3" s="1"/>
  <c r="L836" i="2"/>
  <c r="AJ836" i="3" s="1"/>
  <c r="AM836" i="3" s="1"/>
  <c r="L837" i="2"/>
  <c r="AJ837" i="3" s="1"/>
  <c r="AM837" i="3" s="1"/>
  <c r="L838" i="2"/>
  <c r="AJ838" i="3" s="1"/>
  <c r="AM838" i="3" s="1"/>
  <c r="L839" i="2"/>
  <c r="AJ839" i="3" s="1"/>
  <c r="AM839" i="3" s="1"/>
  <c r="L840" i="2"/>
  <c r="AJ840" i="3" s="1"/>
  <c r="AM840" i="3" s="1"/>
  <c r="L841" i="2"/>
  <c r="AJ841" i="3" s="1"/>
  <c r="AM841" i="3" s="1"/>
  <c r="L842" i="2"/>
  <c r="AJ842" i="3" s="1"/>
  <c r="AM842" i="3" s="1"/>
  <c r="L843" i="2"/>
  <c r="AJ843" i="3" s="1"/>
  <c r="AM843" i="3" s="1"/>
  <c r="L844" i="2"/>
  <c r="AJ844" i="3" s="1"/>
  <c r="AM844" i="3" s="1"/>
  <c r="L845" i="2"/>
  <c r="AJ845" i="3" s="1"/>
  <c r="AM845" i="3" s="1"/>
  <c r="L846" i="2"/>
  <c r="AJ846" i="3" s="1"/>
  <c r="AM846" i="3" s="1"/>
  <c r="L847" i="2"/>
  <c r="AJ847" i="3" s="1"/>
  <c r="AM847" i="3" s="1"/>
  <c r="L848" i="2"/>
  <c r="AJ848" i="3" s="1"/>
  <c r="AM848" i="3" s="1"/>
  <c r="L849" i="2"/>
  <c r="AJ849" i="3" s="1"/>
  <c r="AM849" i="3" s="1"/>
  <c r="L850" i="2"/>
  <c r="AJ850" i="3" s="1"/>
  <c r="AM850" i="3" s="1"/>
  <c r="L851" i="2"/>
  <c r="AJ851" i="3" s="1"/>
  <c r="AM851" i="3" s="1"/>
  <c r="L852" i="2"/>
  <c r="AJ852" i="3" s="1"/>
  <c r="AM852" i="3" s="1"/>
  <c r="L853" i="2"/>
  <c r="AJ853" i="3" s="1"/>
  <c r="AM853" i="3" s="1"/>
  <c r="L854" i="2"/>
  <c r="AJ854" i="3" s="1"/>
  <c r="AM854" i="3" s="1"/>
  <c r="L855" i="2"/>
  <c r="AJ855" i="3" s="1"/>
  <c r="AM855" i="3" s="1"/>
  <c r="L856" i="2"/>
  <c r="AJ856" i="3" s="1"/>
  <c r="AM856" i="3" s="1"/>
  <c r="L857" i="2"/>
  <c r="AJ857" i="3" s="1"/>
  <c r="AM857" i="3" s="1"/>
  <c r="L858" i="2"/>
  <c r="AJ858" i="3" s="1"/>
  <c r="AM858" i="3" s="1"/>
  <c r="L859" i="2"/>
  <c r="AJ859" i="3" s="1"/>
  <c r="AM859" i="3" s="1"/>
  <c r="L860" i="2"/>
  <c r="AJ860" i="3" s="1"/>
  <c r="AM860" i="3" s="1"/>
  <c r="L861" i="2"/>
  <c r="AJ861" i="3" s="1"/>
  <c r="AM861" i="3" s="1"/>
  <c r="L862" i="2"/>
  <c r="AJ862" i="3" s="1"/>
  <c r="AM862" i="3" s="1"/>
  <c r="L863" i="2"/>
  <c r="AJ863" i="3" s="1"/>
  <c r="AM863" i="3" s="1"/>
  <c r="L864" i="2"/>
  <c r="AJ864" i="3" s="1"/>
  <c r="AM864" i="3" s="1"/>
  <c r="L865" i="2"/>
  <c r="AJ865" i="3" s="1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X10" i="3" l="1"/>
  <c r="X11" i="3"/>
  <c r="AJ433" i="3"/>
  <c r="AM433" i="3" s="1"/>
  <c r="AJ401" i="3"/>
  <c r="AM401" i="3" s="1"/>
  <c r="AJ293" i="3"/>
  <c r="AM293" i="3" s="1"/>
  <c r="AJ330" i="3"/>
  <c r="AM330" i="3" s="1"/>
  <c r="AJ423" i="3"/>
  <c r="AM423" i="3" s="1"/>
  <c r="AJ391" i="3"/>
  <c r="AM391" i="3" s="1"/>
  <c r="AJ359" i="3"/>
  <c r="AM359" i="3" s="1"/>
  <c r="AJ327" i="3"/>
  <c r="AM327" i="3" s="1"/>
  <c r="AJ295" i="3"/>
  <c r="AM295" i="3" s="1"/>
  <c r="AJ389" i="3"/>
  <c r="AM389" i="3" s="1"/>
  <c r="AJ378" i="3"/>
  <c r="AM378" i="3" s="1"/>
  <c r="AJ420" i="3"/>
  <c r="AM420" i="3" s="1"/>
  <c r="AJ404" i="3"/>
  <c r="AM404" i="3" s="1"/>
  <c r="AJ356" i="3"/>
  <c r="AM356" i="3" s="1"/>
  <c r="AJ340" i="3"/>
  <c r="AM340" i="3" s="1"/>
  <c r="AJ292" i="3"/>
  <c r="AM292" i="3" s="1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/>
  <c r="AM326" i="3" s="1"/>
  <c r="M198" i="2"/>
  <c r="AJ198" i="3" s="1"/>
  <c r="AM198" i="3" s="1"/>
  <c r="M102" i="2"/>
  <c r="AJ102" i="3" s="1"/>
  <c r="AM102" i="3" s="1"/>
  <c r="M678" i="2"/>
  <c r="M38" i="2"/>
  <c r="AJ38" i="3" s="1"/>
  <c r="AM38" i="3" s="1"/>
  <c r="M166" i="2"/>
  <c r="AJ166" i="3" s="1"/>
  <c r="AM166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M397" i="2"/>
  <c r="AJ397" i="3" s="1"/>
  <c r="AM397" i="3" s="1"/>
  <c r="M393" i="2"/>
  <c r="AJ393" i="3" s="1"/>
  <c r="AM393" i="3" s="1"/>
  <c r="M389" i="2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1" i="3" s="1"/>
  <c r="AM431" i="3" s="1"/>
  <c r="M427" i="2"/>
  <c r="AJ427" i="3" s="1"/>
  <c r="AM427" i="3" s="1"/>
  <c r="M423" i="2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M230" i="2"/>
  <c r="AJ230" i="3" s="1"/>
  <c r="AM230" i="3" s="1"/>
  <c r="M502" i="2"/>
  <c r="M498" i="2"/>
  <c r="M490" i="2"/>
  <c r="M474" i="2"/>
  <c r="M466" i="2"/>
  <c r="M450" i="2"/>
  <c r="M442" i="2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2" i="3" s="1"/>
  <c r="AM432" i="3" s="1"/>
  <c r="M428" i="2"/>
  <c r="AJ428" i="3" s="1"/>
  <c r="AM428" i="3" s="1"/>
  <c r="M424" i="2"/>
  <c r="AJ424" i="3" s="1"/>
  <c r="AM424" i="3" s="1"/>
  <c r="M420" i="2"/>
  <c r="M416" i="2"/>
  <c r="AJ416" i="3" s="1"/>
  <c r="AM416" i="3" s="1"/>
  <c r="M412" i="2"/>
  <c r="AJ412" i="3" s="1"/>
  <c r="AM412" i="3" s="1"/>
  <c r="M408" i="2"/>
  <c r="AJ408" i="3" s="1"/>
  <c r="AM408" i="3" s="1"/>
  <c r="M404" i="2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M352" i="2"/>
  <c r="AJ352" i="3" s="1"/>
  <c r="AM352" i="3" s="1"/>
  <c r="M348" i="2"/>
  <c r="AJ348" i="3" s="1"/>
  <c r="AM348" i="3" s="1"/>
  <c r="M344" i="2"/>
  <c r="AJ344" i="3" s="1"/>
  <c r="AM344" i="3" s="1"/>
  <c r="M340" i="2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M718" i="2"/>
  <c r="M686" i="2"/>
  <c r="M654" i="2"/>
  <c r="M622" i="2"/>
  <c r="M590" i="2"/>
  <c r="M558" i="2"/>
  <c r="M526" i="2"/>
  <c r="M494" i="2"/>
  <c r="M462" i="2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R181" i="5"/>
  <c r="S180" i="5"/>
  <c r="R180" i="5"/>
  <c r="W179" i="5"/>
  <c r="S179" i="5"/>
  <c r="U179" i="5" s="1"/>
  <c r="R179" i="5"/>
  <c r="W178" i="5"/>
  <c r="S178" i="5"/>
  <c r="U178" i="5" s="1"/>
  <c r="R178" i="5"/>
  <c r="S177" i="5"/>
  <c r="R177" i="5"/>
  <c r="W176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W162" i="5"/>
  <c r="S162" i="5"/>
  <c r="U162" i="5" s="1"/>
  <c r="R162" i="5"/>
  <c r="S161" i="5"/>
  <c r="R161" i="5"/>
  <c r="S160" i="5"/>
  <c r="R160" i="5"/>
  <c r="S159" i="5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W116" i="5"/>
  <c r="S116" i="5"/>
  <c r="U116" i="5" s="1"/>
  <c r="R116" i="5"/>
  <c r="W115" i="5"/>
  <c r="S115" i="5"/>
  <c r="U115" i="5" s="1"/>
  <c r="R115" i="5"/>
  <c r="S114" i="5"/>
  <c r="R114" i="5"/>
  <c r="W113" i="5"/>
  <c r="S113" i="5"/>
  <c r="U113" i="5" s="1"/>
  <c r="R113" i="5"/>
  <c r="S112" i="5"/>
  <c r="R112" i="5"/>
  <c r="W111" i="5"/>
  <c r="S111" i="5"/>
  <c r="U111" i="5" s="1"/>
  <c r="R111" i="5"/>
  <c r="S110" i="5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S96" i="5"/>
  <c r="R96" i="5"/>
  <c r="W95" i="5"/>
  <c r="S95" i="5"/>
  <c r="U95" i="5" s="1"/>
  <c r="R95" i="5"/>
  <c r="S94" i="5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S84" i="5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B57" i="5" l="1"/>
  <c r="M17" i="5" s="1"/>
  <c r="P25" i="5"/>
  <c r="P24" i="5"/>
  <c r="O25" i="5"/>
  <c r="T2" i="5"/>
  <c r="T3" i="5" s="1"/>
  <c r="C67" i="5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U2" i="5"/>
  <c r="B52" i="5"/>
  <c r="T4" i="5"/>
  <c r="T5" i="5" s="1"/>
  <c r="M3" i="5" l="1"/>
  <c r="M2" i="5"/>
  <c r="M1" i="5"/>
  <c r="O23" i="5"/>
  <c r="O24" i="5"/>
  <c r="O20" i="5"/>
  <c r="O22" i="5"/>
  <c r="O21" i="5"/>
  <c r="O19" i="5"/>
  <c r="W114" i="5" s="1"/>
  <c r="O17" i="5"/>
  <c r="O18" i="5"/>
  <c r="U6" i="5"/>
  <c r="W43" i="5"/>
  <c r="W44" i="5"/>
  <c r="W46" i="5"/>
  <c r="W42" i="5"/>
  <c r="O16" i="5"/>
  <c r="T6" i="5"/>
  <c r="W110" i="5" l="1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T7" i="5"/>
  <c r="Z24" i="5" l="1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T8" i="5"/>
  <c r="X4" i="5" l="1"/>
  <c r="T9" i="5"/>
  <c r="X5" i="5" l="1"/>
  <c r="T10" i="5"/>
  <c r="X6" i="5" l="1"/>
  <c r="T11" i="5"/>
  <c r="X7" i="5" l="1"/>
  <c r="T12" i="5"/>
  <c r="U12" i="5" s="1"/>
  <c r="X8" i="5" l="1"/>
  <c r="X12" i="5"/>
  <c r="AE9" i="5" s="1"/>
  <c r="T13" i="5"/>
  <c r="AA9" i="5" l="1"/>
  <c r="AI9" i="5" s="1"/>
  <c r="X9" i="5"/>
  <c r="T14" i="5"/>
  <c r="X13" i="5"/>
  <c r="AF9" i="5" s="1"/>
  <c r="AJ9" i="5" s="1"/>
  <c r="AB9" i="5" l="1"/>
  <c r="X10" i="5"/>
  <c r="T15" i="5"/>
  <c r="X14" i="5"/>
  <c r="AA10" i="5" s="1"/>
  <c r="AC9" i="5" l="1"/>
  <c r="X11" i="5"/>
  <c r="AD9" i="5" s="1"/>
  <c r="X15" i="5"/>
  <c r="AB10" i="5" s="1"/>
  <c r="T16" i="5"/>
  <c r="AI10" i="5"/>
  <c r="AK9" i="5" l="1"/>
  <c r="AH9" i="5"/>
  <c r="T17" i="5"/>
  <c r="X16" i="5"/>
  <c r="AC10" i="5" s="1"/>
  <c r="T18" i="5" l="1"/>
  <c r="X17" i="5"/>
  <c r="AD10" i="5" s="1"/>
  <c r="X18" i="5" l="1"/>
  <c r="AE10" i="5" s="1"/>
  <c r="T19" i="5"/>
  <c r="X19" i="5" l="1"/>
  <c r="AF10" i="5" s="1"/>
  <c r="T20" i="5"/>
  <c r="AJ10" i="5" l="1"/>
  <c r="AK10" i="5"/>
  <c r="X20" i="5"/>
  <c r="AA11" i="5" s="1"/>
  <c r="T21" i="5"/>
  <c r="AH10" i="5"/>
  <c r="T22" i="5" l="1"/>
  <c r="X21" i="5"/>
  <c r="AB11" i="5" s="1"/>
  <c r="AI11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H11" i="5"/>
  <c r="AK11" i="5"/>
  <c r="AG11" i="5" l="1"/>
  <c r="AI12" i="5"/>
  <c r="T28" i="5"/>
  <c r="X27" i="5"/>
  <c r="AB12" i="5" s="1"/>
  <c r="X28" i="5" l="1"/>
  <c r="AC12" i="5" s="1"/>
  <c r="T29" i="5"/>
  <c r="X29" i="5" l="1"/>
  <c r="AD12" i="5" s="1"/>
  <c r="T30" i="5"/>
  <c r="X30" i="5" l="1"/>
  <c r="AE12" i="5" s="1"/>
  <c r="T31" i="5"/>
  <c r="X31" i="5" l="1"/>
  <c r="AF12" i="5" s="1"/>
  <c r="T32" i="5"/>
  <c r="AJ12" i="5" l="1"/>
  <c r="AK12" i="5"/>
  <c r="AH12" i="5"/>
  <c r="T33" i="5"/>
  <c r="X32" i="5"/>
  <c r="AA13" i="5" s="1"/>
  <c r="AG12" i="5" l="1"/>
  <c r="X33" i="5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U84" i="5" s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U94" i="5" s="1"/>
  <c r="X93" i="5"/>
  <c r="AB23" i="5" s="1"/>
  <c r="T95" i="5" l="1"/>
  <c r="U96" i="5" s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U104" i="5" s="1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U110" i="5" s="1"/>
  <c r="AJ25" i="5" l="1"/>
  <c r="AH25" i="5"/>
  <c r="AK25" i="5"/>
  <c r="T111" i="5"/>
  <c r="X110" i="5"/>
  <c r="AA26" i="5" s="1"/>
  <c r="AG25" i="5" l="1"/>
  <c r="AI26" i="5"/>
  <c r="T112" i="5"/>
  <c r="U112" i="5" s="1"/>
  <c r="X111" i="5"/>
  <c r="AB26" i="5" s="1"/>
  <c r="X112" i="5" l="1"/>
  <c r="AC26" i="5" s="1"/>
  <c r="T113" i="5"/>
  <c r="U114" i="5" s="1"/>
  <c r="X113" i="5" l="1"/>
  <c r="AD26" i="5" s="1"/>
  <c r="T114" i="5"/>
  <c r="X114" i="5" l="1"/>
  <c r="AE26" i="5" s="1"/>
  <c r="T115" i="5"/>
  <c r="X115" i="5" l="1"/>
  <c r="AF26" i="5" s="1"/>
  <c r="T116" i="5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X136" i="5"/>
  <c r="AC30" i="5" s="1"/>
  <c r="U137" i="5" l="1"/>
  <c r="X137" i="5"/>
  <c r="AD30" i="5" s="1"/>
  <c r="T138" i="5"/>
  <c r="U138" i="5" s="1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0" i="5" s="1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AH33" i="5" s="1"/>
  <c r="T159" i="5" l="1"/>
  <c r="U159" i="5" s="1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s="1"/>
  <c r="T162" i="5" l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32" i="5"/>
  <c r="B31" i="5"/>
  <c r="B25" i="5"/>
  <c r="B29" i="5"/>
  <c r="B33" i="5"/>
  <c r="B37" i="5"/>
  <c r="B27" i="5"/>
  <c r="B26" i="5"/>
  <c r="B30" i="5"/>
  <c r="B17" i="5"/>
  <c r="B21" i="5"/>
  <c r="B19" i="5"/>
  <c r="B22" i="5"/>
  <c r="B16" i="5"/>
  <c r="B20" i="5"/>
  <c r="B24" i="5"/>
  <c r="B23" i="5"/>
  <c r="B18" i="5"/>
  <c r="AC35" i="5"/>
  <c r="AD8" i="5"/>
  <c r="X167" i="5"/>
  <c r="T168" i="5"/>
  <c r="U168" i="5" l="1"/>
  <c r="P19" i="5" s="1"/>
  <c r="D33" i="5"/>
  <c r="C17" i="5"/>
  <c r="D17" i="5"/>
  <c r="D24" i="5"/>
  <c r="C24" i="5"/>
  <c r="C22" i="5"/>
  <c r="D22" i="5"/>
  <c r="D18" i="5"/>
  <c r="C18" i="5"/>
  <c r="D23" i="5"/>
  <c r="C23" i="5"/>
  <c r="C28" i="5"/>
  <c r="D28" i="5"/>
  <c r="C21" i="5"/>
  <c r="D21" i="5"/>
  <c r="D26" i="5"/>
  <c r="C26" i="5"/>
  <c r="C27" i="5"/>
  <c r="D27" i="5"/>
  <c r="D32" i="5"/>
  <c r="C32" i="5"/>
  <c r="C19" i="5"/>
  <c r="D19" i="5"/>
  <c r="D25" i="5"/>
  <c r="C25" i="5"/>
  <c r="C33" i="5"/>
  <c r="D30" i="5"/>
  <c r="C30" i="5"/>
  <c r="C31" i="5"/>
  <c r="D31" i="5"/>
  <c r="C20" i="5"/>
  <c r="D20" i="5"/>
  <c r="C29" i="5"/>
  <c r="D29" i="5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G9" i="5" s="1"/>
  <c r="AJ35" i="5"/>
  <c r="AK35" i="5"/>
  <c r="X170" i="5"/>
  <c r="AA36" i="5" s="1"/>
  <c r="T171" i="5"/>
  <c r="U171" i="5" s="1"/>
  <c r="AH35" i="5"/>
  <c r="AG10" i="5" l="1"/>
  <c r="B15" i="5" s="1"/>
  <c r="B14" i="5"/>
  <c r="AG35" i="5"/>
  <c r="B34" i="5" s="1"/>
  <c r="AG8" i="5"/>
  <c r="B13" i="5" s="1"/>
  <c r="AI36" i="5"/>
  <c r="T172" i="5"/>
  <c r="U172" i="5" s="1"/>
  <c r="X171" i="5"/>
  <c r="AB36" i="5" s="1"/>
  <c r="P20" i="5" l="1"/>
  <c r="D16" i="5"/>
  <c r="C16" i="5"/>
  <c r="C15" i="5"/>
  <c r="D15" i="5"/>
  <c r="C14" i="5"/>
  <c r="D14" i="5"/>
  <c r="D13" i="5"/>
  <c r="C13" i="5"/>
  <c r="X172" i="5"/>
  <c r="AC36" i="5" s="1"/>
  <c r="T173" i="5"/>
  <c r="C34" i="5" l="1"/>
  <c r="D34" i="5"/>
  <c r="X173" i="5"/>
  <c r="AD36" i="5" s="1"/>
  <c r="T174" i="5"/>
  <c r="U175" i="5" l="1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T179" i="5"/>
  <c r="X178" i="5"/>
  <c r="AC37" i="5" s="1"/>
  <c r="C35" i="5" l="1"/>
  <c r="X179" i="5"/>
  <c r="AD37" i="5" s="1"/>
  <c r="T180" i="5"/>
  <c r="U180" i="5" s="1"/>
  <c r="P16" i="5" s="1"/>
  <c r="U181" i="5" l="1"/>
  <c r="P21" i="5" s="1"/>
  <c r="H13" i="5" s="1"/>
  <c r="T181" i="5"/>
  <c r="X180" i="5"/>
  <c r="AE37" i="5" s="1"/>
  <c r="U1" i="5" l="1"/>
  <c r="X181" i="5"/>
  <c r="AF37" i="5" s="1"/>
  <c r="T182" i="5"/>
  <c r="X182" i="5" l="1"/>
  <c r="AJ37" i="5"/>
  <c r="AH37" i="5"/>
  <c r="AK37" i="5"/>
  <c r="AG37" i="5" l="1"/>
  <c r="B36" i="5" s="1"/>
  <c r="C36" i="5" l="1"/>
  <c r="D37" i="5"/>
  <c r="C37" i="5"/>
  <c r="D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<sst xmlns="http://schemas.openxmlformats.org/spreadsheetml/2006/main" count="502" uniqueCount="163">
  <si>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</si>
  <si>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</si>
  <si>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</si>
  <si>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</si>
  <si>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</si>
  <si>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</si>
  <si>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</si>
  <si>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</si>
  <si>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</si>
  <si>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</si>
  <si>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</si>
  <si>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</si>
  <si>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</si>
  <si>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</si>
  <si>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</si>
  <si>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</si>
  <si>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</si>
  <si>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</si>
  <si>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</si>
  <si>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</si>
  <si>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</si>
  <si>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</si>
  <si>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</si>
  <si>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</si>
  <si>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</si>
  <si>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</si>
  <si>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</si>
  <si>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</si>
  <si>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</si>
  <si>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</si>
  <si>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</si>
  <si>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</si>
  <si>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</si>
  <si>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</si>
  <si>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</si>
  <si>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</si>
  <si>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</si>
  <si>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</si>
  <si>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</si>
  <si>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</si>
  <si>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</si>
  <si>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</si>
  <si>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</si>
  <si>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</si>
  <si>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</si>
  <si>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</si>
  <si>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</si>
  <si>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</si>
  <si>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</si>
  <si>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</si>
  <si>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</si>
  <si>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</si>
  <si>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</si>
  <si>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</si>
  <si>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</si>
  <si>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</si>
  <si>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</si>
  <si>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</si>
  <si>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</si>
  <si>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</si>
  <si>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</si>
  <si>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</si>
  <si>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</si>
  <si>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</si>
  <si>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</si>
  <si>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</si>
  <si>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</si>
  <si>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</si>
  <si>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</si>
  <si>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</si>
  <si>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</si>
  <si>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</si>
  <si>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</si>
  <si>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</si>
  <si>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</si>
  <si>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</si>
  <si>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</si>
  <si>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</si>
  <si>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</si>
  <si>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</si>
  <si>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</si>
  <si>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</si>
  <si>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</si>
  <si>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</si>
  <si>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</si>
  <si>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</si>
  <si>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</si>
  <si>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</si>
  <si>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</si>
  <si>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</si>
  <si>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</si>
  <si>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</si>
  <si>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</si>
  <si>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</si>
  <si>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</si>
  <si>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</si>
  <si>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</si>
  <si>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</si>
  <si>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</si>
  <si>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</si>
  <si>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</si>
  <si>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</si>
  <si>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</si>
  <si>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</si>
  <si>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</si>
  <si>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</si>
  <si>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</si>
  <si>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</si>
  <si>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</si>
  <si>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</si>
  <si>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</si>
  <si>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</si>
  <si>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</si>
  <si>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</si>
  <si>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</si>
  <si>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</si>
  <si>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</si>
  <si>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</si>
  <si>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</si>
  <si>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</si>
  <si>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</si>
  <si>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</si>
  <si>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</si>
  <si>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</si>
  <si>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</si>
  <si>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</si>
  <si>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</si>
  <si>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</si>
  <si>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</si>
  <si>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</si>
  <si>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</si>
  <si>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</si>
  <si>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</si>
  <si>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</si>
  <si>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</si>
  <si>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</si>
  <si>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</si>
  <si>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</si>
  <si>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</si>
  <si>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</si>
  <si>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</si>
  <si>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</si>
  <si>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</si>
  <si>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</si>
  <si>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</si>
  <si>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</si>
  <si>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OFS</t>
  </si>
  <si>
    <t>1</t>
  </si>
  <si>
    <t>Aria wall mount 48 port</t>
  </si>
  <si>
    <t>Erik Rodriguez</t>
  </si>
  <si>
    <t>Keith McNamara</t>
  </si>
  <si>
    <t>1-12</t>
  </si>
  <si>
    <t>101537</t>
  </si>
  <si>
    <t xml:space="preserve">3001 Hackberry </t>
  </si>
  <si>
    <t>Irving TX</t>
  </si>
  <si>
    <t>MPOE</t>
  </si>
  <si>
    <t>359461</t>
  </si>
  <si>
    <t>IRNHTXSB</t>
  </si>
  <si>
    <t>WPM</t>
  </si>
  <si>
    <t>Aria</t>
  </si>
  <si>
    <t xml:space="preserve">Wall mount term panel located in west Telco Room </t>
  </si>
  <si>
    <t>TX-1HB:9999-ENT-W-1</t>
  </si>
  <si>
    <t>Entrance cable from SEP 101538 west MPOE to 3001 Hackberry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</si>
</sst>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1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3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7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5" customWidth="1"/>
    <col min="2" max="16384" width="9.140625" style="315"/>
  </cols>
  <sheetData>
    <row r="1" spans="1:22" ht="23.25" customHeight="1">
      <c r="A1" s="363" t="s">
        <v>102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</row>
    <row r="2" spans="1:22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</row>
    <row r="3" spans="1:22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</row>
    <row r="4" spans="1:22">
      <c r="K4" s="364" t="s">
        <v>103</v>
      </c>
      <c r="L4" s="364"/>
    </row>
    <row r="5" spans="1:22">
      <c r="A5" s="364" t="s">
        <v>104</v>
      </c>
      <c r="B5" s="364"/>
      <c r="K5" s="364"/>
      <c r="L5" s="364"/>
    </row>
    <row r="6" spans="1:22">
      <c r="A6" s="364"/>
      <c r="B6" s="364"/>
    </row>
    <row r="45" spans="1:2">
      <c r="A45" s="364" t="s">
        <v>105</v>
      </c>
      <c r="B45" s="364"/>
    </row>
    <row r="46" spans="1:2">
      <c r="A46" s="364"/>
      <c r="B46" s="364"/>
    </row>
    <row r="60" spans="1:2">
      <c r="A60" s="364" t="s">
        <v>106</v>
      </c>
      <c r="B60" s="364"/>
    </row>
    <row r="61" spans="1:2">
      <c r="A61" s="364"/>
      <c r="B61" s="36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371" t="s">
        <v>72</v>
      </c>
      <c r="I5" s="371"/>
      <c r="J5" s="37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379" t="s">
        <v>82</v>
      </c>
      <c r="B8" s="380"/>
      <c r="C8" s="380"/>
      <c r="D8" s="380"/>
      <c r="E8" s="380"/>
      <c r="F8" s="381"/>
      <c r="G8" s="31"/>
      <c r="H8" s="124"/>
      <c r="I8" s="125" t="s">
        <v>8</v>
      </c>
      <c r="J8" s="311" t="s">
        <v>152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372" t="s">
        <v>9</v>
      </c>
      <c r="I10" s="373"/>
      <c r="J10" s="215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5" t="str">
        <f>IF(E44="","",IF(F11=1,C61,E44))</f>
        <v/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4" t="s">
        <v>98</v>
      </c>
      <c r="AY12" s="374"/>
      <c r="AZ12" s="374"/>
      <c r="BA12" s="374"/>
      <c r="BB12" s="374"/>
      <c r="BC12" s="374"/>
      <c r="BD12" s="374"/>
      <c r="BE12" s="374"/>
      <c r="BF12" s="374"/>
      <c r="BG12" s="374"/>
    </row>
    <row r="13" spans="1:59" ht="12.75" customHeight="1">
      <c r="A13" s="27"/>
      <c r="B13" s="46">
        <f>IF($AI$4&gt;0,(IF(AG8&gt;0,AG8,0)),IF(AG14&gt;0,AG14,IF($F$11=1,1,0)))</f>
        <v>1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2"/>
      <c r="J13" s="382"/>
      <c r="K13" s="382"/>
      <c r="L13" s="382"/>
      <c r="M13" s="38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</row>
    <row r="14" spans="1:59" ht="13.5" customHeight="1" thickBot="1">
      <c r="A14" s="27"/>
      <c r="B14" s="46">
        <f t="shared" ref="B14:B37" si="20">IF($AI$4&gt;0,(IF(AG9&gt;0,AG9,0)),IF(AG15&gt;0,AG15,IF($F$11=1,1,0)))</f>
        <v>1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83"/>
      <c r="I14" s="383"/>
      <c r="J14" s="383"/>
      <c r="K14" s="383"/>
      <c r="L14" s="383"/>
      <c r="M14" s="38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</row>
    <row r="15" spans="1:59">
      <c r="A15" s="27"/>
      <c r="B15" s="46">
        <f t="shared" si="20"/>
        <v>1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1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1"/>
      <c r="I16" s="14" t="s">
        <v>70</v>
      </c>
      <c r="J16" s="12"/>
      <c r="K16" s="13"/>
      <c r="L16" s="11"/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5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1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1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1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1</v>
      </c>
      <c r="C20" s="121" t="str">
        <f t="shared" si="18"/>
        <v/>
      </c>
      <c r="D20" s="44" t="str">
        <f t="shared" si="19"/>
        <v/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1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1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1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1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1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1</v>
      </c>
      <c r="C26" s="121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1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1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1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1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1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1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>WPM</v>
      </c>
      <c r="K32" s="51"/>
      <c r="L32" s="51"/>
      <c r="M32" s="51"/>
      <c r="N32" s="37" t="str">
        <f t="shared" si="22"/>
        <v xml:space="preserve">WPM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1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>TX-1HB:9999-ENT-W-1</v>
      </c>
      <c r="K33" s="51"/>
      <c r="L33" s="51"/>
      <c r="M33" s="51"/>
      <c r="N33" s="37" t="str">
        <f t="shared" si="22"/>
        <v xml:space="preserve">TX-1HB:9999-ENT-W-1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1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1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1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1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384" t="s">
        <v>153</v>
      </c>
      <c r="C41" s="384" t="s">
        <v>154</v>
      </c>
      <c r="D41" s="384">
        <v>1</v>
      </c>
      <c r="E41" s="384" t="s">
        <v>155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385"/>
      <c r="C42" s="385"/>
      <c r="D42" s="385"/>
      <c r="E42" s="386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302" t="s">
        <v>138</v>
      </c>
      <c r="E43" s="301" t="str">
        <f>IF(F11=1,"Wall Direction","Rack")</f>
        <v>Wall Direction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390" t="s">
        <v>157</v>
      </c>
      <c r="C44" s="391"/>
      <c r="D44" s="369" t="s">
        <v>156</v>
      </c>
      <c r="E44" s="367"/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392"/>
      <c r="C45" s="393"/>
      <c r="D45" s="370"/>
      <c r="E45" s="368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390" t="s">
        <v>148</v>
      </c>
      <c r="C47" s="391"/>
      <c r="D47" s="394" t="str">
        <f>CONCATENATE('Cable Info'!C11,"  ",'Cable Info'!C18,"   ",'Cable Info'!C25,"  ",'Cable Info'!C32,"   ",'Cable Info'!C39,"   ",'Cable Info'!C46)</f>
        <v xml:space="preserve">WPM  TX-1HB:9999-ENT-W-1           </v>
      </c>
      <c r="E47" s="395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392"/>
      <c r="C48" s="393"/>
      <c r="D48" s="396"/>
      <c r="E48" s="397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398" t="s">
        <v>150</v>
      </c>
      <c r="C50" s="400">
        <v>42682</v>
      </c>
      <c r="D50" s="402" t="s">
        <v>149</v>
      </c>
      <c r="E50" s="365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399"/>
      <c r="C51" s="401"/>
      <c r="D51" s="399"/>
      <c r="E51" s="366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387" t="str">
        <f>IF(C54=1,IF(B57=FALSE,"FLOOR SUMMARY NEEDED!","FLOOR SUMMARY"),"")</f>
        <v/>
      </c>
      <c r="C52" s="388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375" t="str">
        <f>J8</f>
        <v>101537</v>
      </c>
      <c r="E53" s="37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>
      <c r="A54" s="27"/>
      <c r="B54" s="389"/>
      <c r="C54" s="85">
        <v>0</v>
      </c>
      <c r="D54" s="375"/>
      <c r="E54" s="37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389"/>
      <c r="C55" s="86"/>
      <c r="D55" s="375"/>
      <c r="E55" s="37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>
      <c r="A56" s="27"/>
      <c r="B56" s="69" t="s">
        <v>32</v>
      </c>
      <c r="C56" s="209">
        <f>IF(C64=FALSE,IF(C65=FALSE,1,0),0)</f>
        <v>1</v>
      </c>
      <c r="D56" s="375"/>
      <c r="E56" s="37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7"/>
      <c r="D57" s="377"/>
      <c r="E57" s="37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9"/>
      <c r="B61" s="82">
        <v>10</v>
      </c>
      <c r="C61" s="82" t="s">
        <v>20</v>
      </c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9"/>
      <c r="B62" s="79">
        <v>9</v>
      </c>
      <c r="C62" s="82" t="str">
        <f>IF(C61="","",CONCATENATE("WALL",C61))</f>
        <v>WALLWEST</v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password="CABA" sheet="1" objects="1" scenarios="1" selectLockedCells="1"/>
  <mergeCells count="21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62" priority="30" stopIfTrue="1">
      <formula>$P16="DUPLICATE"</formula>
    </cfRule>
  </conditionalFormatting>
  <conditionalFormatting sqref="B38:E38">
    <cfRule type="expression" dxfId="61" priority="25" stopIfTrue="1">
      <formula>$F$11=1</formula>
    </cfRule>
  </conditionalFormatting>
  <conditionalFormatting sqref="C13:C37">
    <cfRule type="expression" dxfId="60" priority="16" stopIfTrue="1">
      <formula>$B13=1</formula>
    </cfRule>
    <cfRule type="expression" dxfId="59" priority="18" stopIfTrue="1">
      <formula>$B13=0</formula>
    </cfRule>
    <cfRule type="expression" dxfId="58" priority="21" stopIfTrue="1">
      <formula>$B13&lt;&gt;$B12</formula>
    </cfRule>
    <cfRule type="expression" dxfId="57" priority="22" stopIfTrue="1">
      <formula>$B13&lt;&gt;0</formula>
    </cfRule>
  </conditionalFormatting>
  <conditionalFormatting sqref="H16:M23">
    <cfRule type="expression" dxfId="56" priority="19" stopIfTrue="1">
      <formula>$P16="DUPLICATE"</formula>
    </cfRule>
  </conditionalFormatting>
  <conditionalFormatting sqref="C12:C37">
    <cfRule type="expression" dxfId="55" priority="23" stopIfTrue="1">
      <formula>$F$11=1</formula>
    </cfRule>
  </conditionalFormatting>
  <conditionalFormatting sqref="C38:E38 C11:E11 D12:E37 B11:B38">
    <cfRule type="expression" dxfId="54" priority="24" stopIfTrue="1">
      <formula>$F$11=1</formula>
    </cfRule>
  </conditionalFormatting>
  <conditionalFormatting sqref="C11">
    <cfRule type="expression" dxfId="53" priority="15" stopIfTrue="1">
      <formula>$F$11=1</formula>
    </cfRule>
  </conditionalFormatting>
  <conditionalFormatting sqref="B52:C52">
    <cfRule type="expression" dxfId="52" priority="9" stopIfTrue="1">
      <formula>$C$54=0</formula>
    </cfRule>
    <cfRule type="expression" dxfId="51" priority="13" stopIfTrue="1">
      <formula>$B$52="FLOOR SUMMARY NEEDED!"</formula>
    </cfRule>
  </conditionalFormatting>
  <conditionalFormatting sqref="B57">
    <cfRule type="expression" dxfId="50" priority="12" stopIfTrue="1">
      <formula>$B$57=FALSE</formula>
    </cfRule>
  </conditionalFormatting>
  <conditionalFormatting sqref="C54:C57">
    <cfRule type="expression" dxfId="49" priority="10" stopIfTrue="1">
      <formula>$C$56=1</formula>
    </cfRule>
  </conditionalFormatting>
  <conditionalFormatting sqref="B53:B55">
    <cfRule type="expression" dxfId="48" priority="8" stopIfTrue="1">
      <formula>$C$54=0</formula>
    </cfRule>
  </conditionalFormatting>
  <conditionalFormatting sqref="C53:C55">
    <cfRule type="expression" dxfId="47" priority="7" stopIfTrue="1">
      <formula>$C$54=0</formula>
    </cfRule>
  </conditionalFormatting>
  <conditionalFormatting sqref="E43">
    <cfRule type="expression" dxfId="46" priority="6" stopIfTrue="1">
      <formula>$D$43="MAKE WALL SELECTION"</formula>
    </cfRule>
    <cfRule type="expression" dxfId="45" priority="28" stopIfTrue="1">
      <formula>$F$11=1</formula>
    </cfRule>
  </conditionalFormatting>
  <conditionalFormatting sqref="C56:C57">
    <cfRule type="expression" dxfId="44" priority="5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conditionalFormatting sqref="B44:C45">
    <cfRule type="expression" dxfId="42" priority="3">
      <formula>$M$1&gt;0</formula>
    </cfRule>
  </conditionalFormatting>
  <conditionalFormatting sqref="D41:D42">
    <cfRule type="expression" dxfId="41" priority="2">
      <formula>$M$2&gt;0</formula>
    </cfRule>
  </conditionalFormatting>
  <conditionalFormatting sqref="E44">
    <cfRule type="expression" dxfId="40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/>
  <cols>
    <col min="1" max="1" width="3.85546875" style="80" customWidth="1"/>
    <col min="2" max="4" width="25" style="80" customWidth="1"/>
    <col min="5" max="6" width="13.28515625" style="80" customWidth="1"/>
    <col min="7" max="7" width="3.85546875" style="80" customWidth="1"/>
    <col min="8" max="8" width="9.140625" style="187" customWidth="1"/>
    <col min="9" max="9" width="14.85546875" style="187" hidden="1" customWidth="1"/>
    <col min="10" max="25" width="9.140625" style="187" hidden="1" customWidth="1"/>
    <col min="26" max="26" width="0" style="187" hidden="1" customWidth="1"/>
    <col min="27" max="147" width="9.140625" style="187"/>
    <col min="148" max="16384" width="9.140625" style="80"/>
  </cols>
  <sheetData>
    <row r="1" spans="1:147" ht="14.25" thickTop="1" thickBot="1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5" thickBot="1">
      <c r="A2" s="91"/>
      <c r="B2" s="92" t="s">
        <v>8</v>
      </c>
      <c r="C2" s="93"/>
      <c r="D2" s="93"/>
      <c r="E2" s="403" t="s">
        <v>9</v>
      </c>
      <c r="F2" s="404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e">
        <f>IF(L2="","",IF(L2&lt;=$E$15,VLOOKUP($E$14,$I$1:$J$4,2,FALSE),VLOOKUP($F$14,$I$1:$J$4,2,FALSE)))</f>
        <v>#N/A</v>
      </c>
      <c r="N2" s="187">
        <f>IF($B$20&gt;=K2,K2,"")</f>
        <v>1</v>
      </c>
      <c r="O2" s="187" t="e">
        <f>IF(N2="","",IF(N2&lt;=$E$22,VLOOKUP($E$21,$I$1:$J$4,2,FALSE),VLOOKUP($F$21,$I$1:$J$4,2,FALSE)))</f>
        <v>#N/A</v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>
      <c r="A3" s="96"/>
      <c r="B3" s="411" t="str">
        <f>'Cover - Location Info'!J8</f>
        <v>101537</v>
      </c>
      <c r="C3" s="28"/>
      <c r="D3" s="28"/>
      <c r="E3" s="414" t="str">
        <f>'Cover - Location Info'!J10</f>
        <v>1.0</v>
      </c>
      <c r="F3" s="415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e">
        <f t="shared" ref="M3:M66" si="1">IF(L3="","",IF(L3&lt;=$E$15,VLOOKUP($E$14,$I$1:$J$4,2,FALSE),VLOOKUP($F$14,$I$1:$J$4,2,FALSE)))</f>
        <v>#N/A</v>
      </c>
      <c r="N3" s="187">
        <f t="shared" ref="N3:N66" si="2">IF($B$20&gt;=K3,K3,"")</f>
        <v>2</v>
      </c>
      <c r="O3" s="187" t="e">
        <f t="shared" ref="O3:O66" si="3">IF(N3="","",IF(N3&lt;=$E$22,VLOOKUP($E$21,$I$1:$J$4,2,FALSE),VLOOKUP($F$21,$I$1:$J$4,2,FALSE)))</f>
        <v>#N/A</v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5" thickBot="1">
      <c r="A4" s="96"/>
      <c r="B4" s="412"/>
      <c r="C4" s="28"/>
      <c r="D4" s="28"/>
      <c r="E4" s="416"/>
      <c r="F4" s="417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e">
        <f t="shared" si="1"/>
        <v>#N/A</v>
      </c>
      <c r="N4" s="187">
        <f t="shared" si="2"/>
        <v>3</v>
      </c>
      <c r="O4" s="187" t="e">
        <f t="shared" si="3"/>
        <v>#N/A</v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e">
        <f t="shared" si="1"/>
        <v>#N/A</v>
      </c>
      <c r="N5" s="187">
        <f t="shared" si="2"/>
        <v>4</v>
      </c>
      <c r="O5" s="187" t="e">
        <f t="shared" si="3"/>
        <v>#N/A</v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6.25">
      <c r="A6" s="96"/>
      <c r="B6" s="413" t="s">
        <v>2</v>
      </c>
      <c r="C6" s="413"/>
      <c r="D6" s="413"/>
      <c r="E6" s="413"/>
      <c r="F6" s="413"/>
      <c r="G6" s="97"/>
      <c r="K6" s="187">
        <v>5</v>
      </c>
      <c r="L6" s="187">
        <f t="shared" si="0"/>
        <v>5</v>
      </c>
      <c r="M6" s="187" t="e">
        <f t="shared" si="1"/>
        <v>#N/A</v>
      </c>
      <c r="N6" s="187">
        <f t="shared" si="2"/>
        <v>5</v>
      </c>
      <c r="O6" s="187" t="e">
        <f t="shared" si="3"/>
        <v>#N/A</v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e">
        <f t="shared" si="1"/>
        <v>#N/A</v>
      </c>
      <c r="N7" s="187">
        <f t="shared" si="2"/>
        <v>6</v>
      </c>
      <c r="O7" s="187" t="e">
        <f t="shared" si="3"/>
        <v>#N/A</v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e">
        <f t="shared" si="1"/>
        <v>#N/A</v>
      </c>
      <c r="N8" s="187">
        <f t="shared" si="2"/>
        <v>7</v>
      </c>
      <c r="O8" s="187" t="e">
        <f t="shared" si="3"/>
        <v>#N/A</v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e">
        <f t="shared" si="1"/>
        <v>#N/A</v>
      </c>
      <c r="N9" s="187">
        <f t="shared" si="2"/>
        <v>8</v>
      </c>
      <c r="O9" s="187" t="e">
        <f t="shared" si="3"/>
        <v>#N/A</v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>
      <c r="A10" s="96"/>
      <c r="B10" s="99" t="s">
        <v>35</v>
      </c>
      <c r="C10" s="100" t="s">
        <v>33</v>
      </c>
      <c r="D10" s="408" t="s">
        <v>34</v>
      </c>
      <c r="E10" s="409"/>
      <c r="F10" s="410"/>
      <c r="G10" s="97"/>
      <c r="K10" s="187">
        <v>9</v>
      </c>
      <c r="L10" s="187">
        <f t="shared" si="0"/>
        <v>9</v>
      </c>
      <c r="M10" s="187" t="e">
        <f t="shared" si="1"/>
        <v>#N/A</v>
      </c>
      <c r="N10" s="187">
        <f t="shared" si="2"/>
        <v>9</v>
      </c>
      <c r="O10" s="187" t="e">
        <f t="shared" si="3"/>
        <v>#N/A</v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>
      <c r="A11" s="96"/>
      <c r="B11" s="3" t="s">
        <v>13</v>
      </c>
      <c r="C11" s="4" t="s">
        <v>158</v>
      </c>
      <c r="D11" s="405" t="s">
        <v>160</v>
      </c>
      <c r="E11" s="406"/>
      <c r="F11" s="407"/>
      <c r="G11" s="97"/>
      <c r="K11" s="187">
        <v>10</v>
      </c>
      <c r="L11" s="187">
        <f t="shared" si="0"/>
        <v>10</v>
      </c>
      <c r="M11" s="187" t="e">
        <f t="shared" si="1"/>
        <v>#N/A</v>
      </c>
      <c r="N11" s="187">
        <f t="shared" si="2"/>
        <v>10</v>
      </c>
      <c r="O11" s="187" t="e">
        <f t="shared" si="3"/>
        <v>#N/A</v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5" thickBot="1">
      <c r="A12" s="96"/>
      <c r="B12" s="101" t="s">
        <v>144</v>
      </c>
      <c r="C12" s="102" t="s">
        <v>36</v>
      </c>
      <c r="D12" s="103" t="s">
        <v>64</v>
      </c>
      <c r="E12" s="421" t="s">
        <v>41</v>
      </c>
      <c r="F12" s="422"/>
      <c r="G12" s="97"/>
      <c r="K12" s="187">
        <v>11</v>
      </c>
      <c r="L12" s="187">
        <f t="shared" si="0"/>
        <v>11</v>
      </c>
      <c r="M12" s="187" t="e">
        <f t="shared" si="1"/>
        <v>#N/A</v>
      </c>
      <c r="N12" s="187">
        <f t="shared" si="2"/>
        <v>11</v>
      </c>
      <c r="O12" s="187" t="e">
        <f t="shared" si="3"/>
        <v>#N/A</v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>
      <c r="A13" s="96"/>
      <c r="B13" s="418">
        <v>24</v>
      </c>
      <c r="C13" s="423" t="s">
        <v>159</v>
      </c>
      <c r="D13" s="116"/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e">
        <f t="shared" si="1"/>
        <v>#N/A</v>
      </c>
      <c r="N13" s="187">
        <f t="shared" si="2"/>
        <v>12</v>
      </c>
      <c r="O13" s="187" t="e">
        <f t="shared" si="3"/>
        <v>#N/A</v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>
      <c r="A14" s="96"/>
      <c r="B14" s="419"/>
      <c r="C14" s="424"/>
      <c r="D14" s="103" t="s">
        <v>60</v>
      </c>
      <c r="E14" s="119" t="s">
        <v>54</v>
      </c>
      <c r="F14" s="120"/>
      <c r="G14" s="97"/>
      <c r="K14" s="187">
        <v>13</v>
      </c>
      <c r="L14" s="187">
        <f t="shared" si="0"/>
        <v>13</v>
      </c>
      <c r="M14" s="187" t="e">
        <f t="shared" si="1"/>
        <v>#N/A</v>
      </c>
      <c r="N14" s="187">
        <f t="shared" si="2"/>
        <v>13</v>
      </c>
      <c r="O14" s="187" t="e">
        <f t="shared" si="3"/>
        <v>#N/A</v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>
      <c r="A15" s="96"/>
      <c r="B15" s="420"/>
      <c r="C15" s="425"/>
      <c r="D15" s="117" t="s">
        <v>63</v>
      </c>
      <c r="E15" s="118"/>
      <c r="F15" s="106" t="str">
        <f>IF(B13="","",IF(E15="","",IF(F14="None","",B13-E15)))</f>
        <v/>
      </c>
      <c r="G15" s="97"/>
      <c r="K15" s="187">
        <v>14</v>
      </c>
      <c r="L15" s="187">
        <f t="shared" si="0"/>
        <v>14</v>
      </c>
      <c r="M15" s="187" t="e">
        <f t="shared" si="1"/>
        <v>#N/A</v>
      </c>
      <c r="N15" s="187">
        <f t="shared" si="2"/>
        <v>14</v>
      </c>
      <c r="O15" s="187" t="e">
        <f t="shared" si="3"/>
        <v>#N/A</v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e">
        <f t="shared" si="1"/>
        <v>#N/A</v>
      </c>
      <c r="N16" s="187">
        <f t="shared" si="2"/>
        <v>15</v>
      </c>
      <c r="O16" s="187" t="e">
        <f t="shared" si="3"/>
        <v>#N/A</v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5" thickBot="1">
      <c r="A17" s="96"/>
      <c r="B17" s="99" t="s">
        <v>35</v>
      </c>
      <c r="C17" s="100" t="s">
        <v>33</v>
      </c>
      <c r="D17" s="408" t="s">
        <v>34</v>
      </c>
      <c r="E17" s="409"/>
      <c r="F17" s="410"/>
      <c r="G17" s="97"/>
      <c r="K17" s="187">
        <v>16</v>
      </c>
      <c r="L17" s="187">
        <f t="shared" si="0"/>
        <v>16</v>
      </c>
      <c r="M17" s="187" t="e">
        <f t="shared" si="1"/>
        <v>#N/A</v>
      </c>
      <c r="N17" s="187">
        <f t="shared" si="2"/>
        <v>16</v>
      </c>
      <c r="O17" s="187" t="e">
        <f t="shared" si="3"/>
        <v>#N/A</v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>
      <c r="A18" s="96"/>
      <c r="B18" s="5" t="s">
        <v>14</v>
      </c>
      <c r="C18" s="4" t="s">
        <v>161</v>
      </c>
      <c r="D18" s="405" t="s">
        <v>162</v>
      </c>
      <c r="E18" s="406"/>
      <c r="F18" s="407"/>
      <c r="G18" s="97"/>
      <c r="K18" s="187">
        <v>17</v>
      </c>
      <c r="L18" s="187">
        <f t="shared" si="0"/>
        <v>17</v>
      </c>
      <c r="M18" s="187" t="e">
        <f t="shared" si="1"/>
        <v>#N/A</v>
      </c>
      <c r="N18" s="187">
        <f t="shared" si="2"/>
        <v>17</v>
      </c>
      <c r="O18" s="187" t="e">
        <f t="shared" si="3"/>
        <v>#N/A</v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>
      <c r="A19" s="96"/>
      <c r="B19" s="101" t="s">
        <v>144</v>
      </c>
      <c r="C19" s="102" t="s">
        <v>36</v>
      </c>
      <c r="D19" s="103" t="s">
        <v>64</v>
      </c>
      <c r="E19" s="421" t="s">
        <v>41</v>
      </c>
      <c r="F19" s="422"/>
      <c r="G19" s="97"/>
      <c r="K19" s="187">
        <v>18</v>
      </c>
      <c r="L19" s="187">
        <f t="shared" si="0"/>
        <v>18</v>
      </c>
      <c r="M19" s="187" t="e">
        <f t="shared" si="1"/>
        <v>#N/A</v>
      </c>
      <c r="N19" s="187">
        <f t="shared" si="2"/>
        <v>18</v>
      </c>
      <c r="O19" s="187" t="e">
        <f t="shared" si="3"/>
        <v>#N/A</v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>
      <c r="A20" s="96"/>
      <c r="B20" s="418">
        <v>48</v>
      </c>
      <c r="C20" s="423" t="s">
        <v>146</v>
      </c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e">
        <f t="shared" si="1"/>
        <v>#N/A</v>
      </c>
      <c r="N20" s="187">
        <f t="shared" si="2"/>
        <v>19</v>
      </c>
      <c r="O20" s="187" t="e">
        <f t="shared" si="3"/>
        <v>#N/A</v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>
      <c r="A21" s="96"/>
      <c r="B21" s="419"/>
      <c r="C21" s="424"/>
      <c r="D21" s="103" t="s">
        <v>60</v>
      </c>
      <c r="E21" s="119" t="s">
        <v>54</v>
      </c>
      <c r="F21" s="120"/>
      <c r="G21" s="97"/>
      <c r="K21" s="187">
        <v>20</v>
      </c>
      <c r="L21" s="187">
        <f t="shared" si="0"/>
        <v>20</v>
      </c>
      <c r="M21" s="187" t="e">
        <f t="shared" si="1"/>
        <v>#N/A</v>
      </c>
      <c r="N21" s="187">
        <f t="shared" si="2"/>
        <v>20</v>
      </c>
      <c r="O21" s="187" t="e">
        <f t="shared" si="3"/>
        <v>#N/A</v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>
      <c r="A22" s="96"/>
      <c r="B22" s="420"/>
      <c r="C22" s="425"/>
      <c r="D22" s="117" t="s">
        <v>63</v>
      </c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e">
        <f t="shared" si="1"/>
        <v>#N/A</v>
      </c>
      <c r="N22" s="187">
        <f t="shared" si="2"/>
        <v>21</v>
      </c>
      <c r="O22" s="187" t="e">
        <f t="shared" si="3"/>
        <v>#N/A</v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e">
        <f t="shared" si="1"/>
        <v>#N/A</v>
      </c>
      <c r="N23" s="187">
        <f t="shared" si="2"/>
        <v>22</v>
      </c>
      <c r="O23" s="187" t="e">
        <f t="shared" si="3"/>
        <v>#N/A</v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>
      <c r="A24" s="96"/>
      <c r="B24" s="99" t="s">
        <v>35</v>
      </c>
      <c r="C24" s="100" t="s">
        <v>33</v>
      </c>
      <c r="D24" s="408" t="s">
        <v>34</v>
      </c>
      <c r="E24" s="409"/>
      <c r="F24" s="410"/>
      <c r="G24" s="97"/>
      <c r="K24" s="187">
        <v>23</v>
      </c>
      <c r="L24" s="187">
        <f t="shared" si="0"/>
        <v>23</v>
      </c>
      <c r="M24" s="187" t="e">
        <f t="shared" si="1"/>
        <v>#N/A</v>
      </c>
      <c r="N24" s="187">
        <f t="shared" si="2"/>
        <v>23</v>
      </c>
      <c r="O24" s="187" t="e">
        <f t="shared" si="3"/>
        <v>#N/A</v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>
      <c r="A25" s="96"/>
      <c r="B25" s="5"/>
      <c r="C25" s="4"/>
      <c r="D25" s="405"/>
      <c r="E25" s="406"/>
      <c r="F25" s="407"/>
      <c r="G25" s="97"/>
      <c r="K25" s="187">
        <v>24</v>
      </c>
      <c r="L25" s="187">
        <f t="shared" si="0"/>
        <v>24</v>
      </c>
      <c r="M25" s="187" t="e">
        <f t="shared" si="1"/>
        <v>#N/A</v>
      </c>
      <c r="N25" s="187">
        <f t="shared" si="2"/>
        <v>24</v>
      </c>
      <c r="O25" s="187" t="e">
        <f t="shared" si="3"/>
        <v>#N/A</v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>
      <c r="A26" s="96"/>
      <c r="B26" s="101" t="s">
        <v>144</v>
      </c>
      <c r="C26" s="102" t="s">
        <v>36</v>
      </c>
      <c r="D26" s="103" t="s">
        <v>64</v>
      </c>
      <c r="E26" s="421" t="s">
        <v>41</v>
      </c>
      <c r="F26" s="422"/>
      <c r="G26" s="97"/>
      <c r="K26" s="187">
        <v>25</v>
      </c>
      <c r="L26" s="187" t="str">
        <f t="shared" si="0"/>
        <v/>
      </c>
      <c r="M26" s="187" t="str">
        <f t="shared" si="1"/>
        <v/>
      </c>
      <c r="N26" s="187">
        <f t="shared" si="2"/>
        <v>25</v>
      </c>
      <c r="O26" s="187" t="e">
        <f t="shared" si="3"/>
        <v>#N/A</v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>
      <c r="A27" s="96"/>
      <c r="B27" s="418"/>
      <c r="C27" s="423"/>
      <c r="D27" s="116"/>
      <c r="E27" s="104" t="s">
        <v>44</v>
      </c>
      <c r="F27" s="105" t="s">
        <v>48</v>
      </c>
      <c r="G27" s="97"/>
      <c r="K27" s="187">
        <v>26</v>
      </c>
      <c r="L27" s="187" t="str">
        <f t="shared" si="0"/>
        <v/>
      </c>
      <c r="M27" s="187" t="str">
        <f t="shared" si="1"/>
        <v/>
      </c>
      <c r="N27" s="187">
        <f t="shared" si="2"/>
        <v>26</v>
      </c>
      <c r="O27" s="187" t="e">
        <f t="shared" si="3"/>
        <v>#N/A</v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>
      <c r="A28" s="96"/>
      <c r="B28" s="419"/>
      <c r="C28" s="424"/>
      <c r="D28" s="103" t="s">
        <v>60</v>
      </c>
      <c r="E28" s="119"/>
      <c r="F28" s="120"/>
      <c r="G28" s="97"/>
      <c r="K28" s="187">
        <v>27</v>
      </c>
      <c r="L28" s="187" t="str">
        <f t="shared" si="0"/>
        <v/>
      </c>
      <c r="M28" s="187" t="str">
        <f t="shared" si="1"/>
        <v/>
      </c>
      <c r="N28" s="187">
        <f t="shared" si="2"/>
        <v>27</v>
      </c>
      <c r="O28" s="187" t="e">
        <f t="shared" si="3"/>
        <v>#N/A</v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>
      <c r="A29" s="96"/>
      <c r="B29" s="420"/>
      <c r="C29" s="425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 t="str">
        <f t="shared" si="0"/>
        <v/>
      </c>
      <c r="M29" s="187" t="str">
        <f t="shared" si="1"/>
        <v/>
      </c>
      <c r="N29" s="187">
        <f t="shared" si="2"/>
        <v>28</v>
      </c>
      <c r="O29" s="187" t="e">
        <f t="shared" si="3"/>
        <v>#N/A</v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>
      <c r="A30" s="96"/>
      <c r="B30" s="109"/>
      <c r="C30" s="109"/>
      <c r="D30" s="28"/>
      <c r="E30" s="109"/>
      <c r="F30" s="109"/>
      <c r="G30" s="97"/>
      <c r="K30" s="187">
        <v>29</v>
      </c>
      <c r="L30" s="187" t="str">
        <f t="shared" si="0"/>
        <v/>
      </c>
      <c r="M30" s="187" t="str">
        <f t="shared" si="1"/>
        <v/>
      </c>
      <c r="N30" s="187">
        <f t="shared" si="2"/>
        <v>29</v>
      </c>
      <c r="O30" s="187" t="e">
        <f t="shared" si="3"/>
        <v>#N/A</v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5" thickBot="1">
      <c r="A31" s="96"/>
      <c r="B31" s="99" t="s">
        <v>35</v>
      </c>
      <c r="C31" s="100" t="s">
        <v>33</v>
      </c>
      <c r="D31" s="408" t="s">
        <v>34</v>
      </c>
      <c r="E31" s="409"/>
      <c r="F31" s="410"/>
      <c r="G31" s="97"/>
      <c r="K31" s="187">
        <v>30</v>
      </c>
      <c r="L31" s="187" t="str">
        <f t="shared" si="0"/>
        <v/>
      </c>
      <c r="M31" s="187" t="str">
        <f t="shared" si="1"/>
        <v/>
      </c>
      <c r="N31" s="187">
        <f t="shared" si="2"/>
        <v>30</v>
      </c>
      <c r="O31" s="187" t="e">
        <f t="shared" si="3"/>
        <v>#N/A</v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>
      <c r="A32" s="96"/>
      <c r="B32" s="5"/>
      <c r="C32" s="4"/>
      <c r="D32" s="405"/>
      <c r="E32" s="406"/>
      <c r="F32" s="407"/>
      <c r="G32" s="97"/>
      <c r="K32" s="187">
        <v>31</v>
      </c>
      <c r="L32" s="187" t="str">
        <f t="shared" si="0"/>
        <v/>
      </c>
      <c r="M32" s="187" t="str">
        <f t="shared" si="1"/>
        <v/>
      </c>
      <c r="N32" s="187">
        <f t="shared" si="2"/>
        <v>31</v>
      </c>
      <c r="O32" s="187" t="e">
        <f t="shared" si="3"/>
        <v>#N/A</v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>
      <c r="A33" s="96"/>
      <c r="B33" s="101" t="s">
        <v>144</v>
      </c>
      <c r="C33" s="102" t="s">
        <v>36</v>
      </c>
      <c r="D33" s="103" t="s">
        <v>64</v>
      </c>
      <c r="E33" s="421" t="s">
        <v>41</v>
      </c>
      <c r="F33" s="422"/>
      <c r="G33" s="97"/>
      <c r="K33" s="187">
        <v>32</v>
      </c>
      <c r="L33" s="187" t="str">
        <f t="shared" si="0"/>
        <v/>
      </c>
      <c r="M33" s="187" t="str">
        <f t="shared" si="1"/>
        <v/>
      </c>
      <c r="N33" s="187">
        <f t="shared" si="2"/>
        <v>32</v>
      </c>
      <c r="O33" s="187" t="e">
        <f t="shared" si="3"/>
        <v>#N/A</v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>
      <c r="A34" s="96"/>
      <c r="B34" s="418"/>
      <c r="C34" s="423"/>
      <c r="D34" s="116"/>
      <c r="E34" s="104" t="s">
        <v>44</v>
      </c>
      <c r="F34" s="105" t="s">
        <v>48</v>
      </c>
      <c r="G34" s="97"/>
      <c r="K34" s="187">
        <v>33</v>
      </c>
      <c r="L34" s="187" t="str">
        <f t="shared" si="0"/>
        <v/>
      </c>
      <c r="M34" s="187" t="str">
        <f t="shared" si="1"/>
        <v/>
      </c>
      <c r="N34" s="187">
        <f t="shared" si="2"/>
        <v>33</v>
      </c>
      <c r="O34" s="187" t="e">
        <f t="shared" si="3"/>
        <v>#N/A</v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>
      <c r="A35" s="96"/>
      <c r="B35" s="419"/>
      <c r="C35" s="424"/>
      <c r="D35" s="103" t="s">
        <v>60</v>
      </c>
      <c r="E35" s="119"/>
      <c r="F35" s="120"/>
      <c r="G35" s="97"/>
      <c r="K35" s="187">
        <v>34</v>
      </c>
      <c r="L35" s="187" t="str">
        <f t="shared" si="0"/>
        <v/>
      </c>
      <c r="M35" s="187" t="str">
        <f t="shared" si="1"/>
        <v/>
      </c>
      <c r="N35" s="187">
        <f t="shared" si="2"/>
        <v>34</v>
      </c>
      <c r="O35" s="187" t="e">
        <f t="shared" si="3"/>
        <v>#N/A</v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>
      <c r="A36" s="96"/>
      <c r="B36" s="420"/>
      <c r="C36" s="425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 t="str">
        <f t="shared" si="0"/>
        <v/>
      </c>
      <c r="M36" s="187" t="str">
        <f t="shared" si="1"/>
        <v/>
      </c>
      <c r="N36" s="187">
        <f t="shared" si="2"/>
        <v>35</v>
      </c>
      <c r="O36" s="187" t="e">
        <f t="shared" si="3"/>
        <v>#N/A</v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>
      <c r="A37" s="96"/>
      <c r="B37" s="109"/>
      <c r="C37" s="110"/>
      <c r="D37" s="28"/>
      <c r="E37" s="109"/>
      <c r="F37" s="110"/>
      <c r="G37" s="97"/>
      <c r="K37" s="187">
        <v>36</v>
      </c>
      <c r="L37" s="187" t="str">
        <f t="shared" si="0"/>
        <v/>
      </c>
      <c r="M37" s="187" t="str">
        <f t="shared" si="1"/>
        <v/>
      </c>
      <c r="N37" s="187">
        <f t="shared" si="2"/>
        <v>36</v>
      </c>
      <c r="O37" s="187" t="e">
        <f t="shared" si="3"/>
        <v>#N/A</v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5" thickBot="1">
      <c r="A38" s="96"/>
      <c r="B38" s="99" t="s">
        <v>35</v>
      </c>
      <c r="C38" s="100" t="s">
        <v>33</v>
      </c>
      <c r="D38" s="408" t="s">
        <v>34</v>
      </c>
      <c r="E38" s="409"/>
      <c r="F38" s="410"/>
      <c r="G38" s="97"/>
      <c r="K38" s="187">
        <v>37</v>
      </c>
      <c r="L38" s="187" t="str">
        <f t="shared" si="0"/>
        <v/>
      </c>
      <c r="M38" s="187" t="str">
        <f t="shared" si="1"/>
        <v/>
      </c>
      <c r="N38" s="187">
        <f t="shared" si="2"/>
        <v>37</v>
      </c>
      <c r="O38" s="187" t="e">
        <f t="shared" si="3"/>
        <v>#N/A</v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>
      <c r="A39" s="96"/>
      <c r="B39" s="5"/>
      <c r="C39" s="4"/>
      <c r="D39" s="405"/>
      <c r="E39" s="406"/>
      <c r="F39" s="407"/>
      <c r="G39" s="97"/>
      <c r="K39" s="187">
        <v>38</v>
      </c>
      <c r="L39" s="187" t="str">
        <f t="shared" si="0"/>
        <v/>
      </c>
      <c r="M39" s="187" t="str">
        <f t="shared" si="1"/>
        <v/>
      </c>
      <c r="N39" s="187">
        <f t="shared" si="2"/>
        <v>38</v>
      </c>
      <c r="O39" s="187" t="e">
        <f t="shared" si="3"/>
        <v>#N/A</v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>
      <c r="A40" s="96"/>
      <c r="B40" s="101" t="s">
        <v>144</v>
      </c>
      <c r="C40" s="102" t="s">
        <v>36</v>
      </c>
      <c r="D40" s="103" t="s">
        <v>64</v>
      </c>
      <c r="E40" s="421" t="s">
        <v>41</v>
      </c>
      <c r="F40" s="422"/>
      <c r="G40" s="97"/>
      <c r="K40" s="187">
        <v>39</v>
      </c>
      <c r="L40" s="187" t="str">
        <f t="shared" si="0"/>
        <v/>
      </c>
      <c r="M40" s="187" t="str">
        <f t="shared" si="1"/>
        <v/>
      </c>
      <c r="N40" s="187">
        <f t="shared" si="2"/>
        <v>39</v>
      </c>
      <c r="O40" s="187" t="e">
        <f t="shared" si="3"/>
        <v>#N/A</v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>
      <c r="A41" s="96"/>
      <c r="B41" s="418"/>
      <c r="C41" s="423"/>
      <c r="D41" s="116"/>
      <c r="E41" s="104" t="s">
        <v>44</v>
      </c>
      <c r="F41" s="105" t="s">
        <v>48</v>
      </c>
      <c r="G41" s="97"/>
      <c r="K41" s="187">
        <v>40</v>
      </c>
      <c r="L41" s="187" t="str">
        <f t="shared" si="0"/>
        <v/>
      </c>
      <c r="M41" s="187" t="str">
        <f t="shared" si="1"/>
        <v/>
      </c>
      <c r="N41" s="187">
        <f t="shared" si="2"/>
        <v>40</v>
      </c>
      <c r="O41" s="187" t="e">
        <f t="shared" si="3"/>
        <v>#N/A</v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>
      <c r="A42" s="96"/>
      <c r="B42" s="419"/>
      <c r="C42" s="424"/>
      <c r="D42" s="103" t="s">
        <v>60</v>
      </c>
      <c r="E42" s="119"/>
      <c r="F42" s="120"/>
      <c r="G42" s="97"/>
      <c r="K42" s="187">
        <v>41</v>
      </c>
      <c r="L42" s="187" t="str">
        <f t="shared" si="0"/>
        <v/>
      </c>
      <c r="M42" s="187" t="str">
        <f t="shared" si="1"/>
        <v/>
      </c>
      <c r="N42" s="187">
        <f t="shared" si="2"/>
        <v>41</v>
      </c>
      <c r="O42" s="187" t="e">
        <f t="shared" si="3"/>
        <v>#N/A</v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>
      <c r="A43" s="96"/>
      <c r="B43" s="420"/>
      <c r="C43" s="425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 t="str">
        <f t="shared" si="0"/>
        <v/>
      </c>
      <c r="M43" s="187" t="str">
        <f t="shared" si="1"/>
        <v/>
      </c>
      <c r="N43" s="187">
        <f t="shared" si="2"/>
        <v>42</v>
      </c>
      <c r="O43" s="187" t="e">
        <f t="shared" si="3"/>
        <v>#N/A</v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>
      <c r="A44" s="96"/>
      <c r="B44" s="109"/>
      <c r="C44" s="111"/>
      <c r="D44" s="28"/>
      <c r="E44" s="109"/>
      <c r="F44" s="111"/>
      <c r="G44" s="97"/>
      <c r="K44" s="187">
        <v>43</v>
      </c>
      <c r="L44" s="187" t="str">
        <f t="shared" si="0"/>
        <v/>
      </c>
      <c r="M44" s="187" t="str">
        <f t="shared" si="1"/>
        <v/>
      </c>
      <c r="N44" s="187">
        <f t="shared" si="2"/>
        <v>43</v>
      </c>
      <c r="O44" s="187" t="e">
        <f t="shared" si="3"/>
        <v>#N/A</v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5" thickBot="1">
      <c r="A45" s="96"/>
      <c r="B45" s="99" t="s">
        <v>35</v>
      </c>
      <c r="C45" s="100" t="s">
        <v>33</v>
      </c>
      <c r="D45" s="408" t="s">
        <v>34</v>
      </c>
      <c r="E45" s="409"/>
      <c r="F45" s="410"/>
      <c r="G45" s="97"/>
      <c r="K45" s="187">
        <v>44</v>
      </c>
      <c r="L45" s="187" t="str">
        <f t="shared" si="0"/>
        <v/>
      </c>
      <c r="M45" s="187" t="str">
        <f t="shared" si="1"/>
        <v/>
      </c>
      <c r="N45" s="187">
        <f t="shared" si="2"/>
        <v>44</v>
      </c>
      <c r="O45" s="187" t="e">
        <f t="shared" si="3"/>
        <v>#N/A</v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>
      <c r="A46" s="96"/>
      <c r="B46" s="5"/>
      <c r="C46" s="4"/>
      <c r="D46" s="405"/>
      <c r="E46" s="406"/>
      <c r="F46" s="407"/>
      <c r="G46" s="97"/>
      <c r="K46" s="187">
        <v>45</v>
      </c>
      <c r="L46" s="187" t="str">
        <f t="shared" si="0"/>
        <v/>
      </c>
      <c r="M46" s="187" t="str">
        <f t="shared" si="1"/>
        <v/>
      </c>
      <c r="N46" s="187">
        <f t="shared" si="2"/>
        <v>45</v>
      </c>
      <c r="O46" s="187" t="e">
        <f t="shared" si="3"/>
        <v>#N/A</v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>
      <c r="A47" s="96"/>
      <c r="B47" s="101" t="s">
        <v>144</v>
      </c>
      <c r="C47" s="102" t="s">
        <v>36</v>
      </c>
      <c r="D47" s="103" t="s">
        <v>64</v>
      </c>
      <c r="E47" s="421" t="s">
        <v>41</v>
      </c>
      <c r="F47" s="422"/>
      <c r="G47" s="97"/>
      <c r="K47" s="187">
        <v>46</v>
      </c>
      <c r="L47" s="187" t="str">
        <f t="shared" si="0"/>
        <v/>
      </c>
      <c r="M47" s="187" t="str">
        <f t="shared" si="1"/>
        <v/>
      </c>
      <c r="N47" s="187">
        <f t="shared" si="2"/>
        <v>46</v>
      </c>
      <c r="O47" s="187" t="e">
        <f t="shared" si="3"/>
        <v>#N/A</v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>
      <c r="A48" s="96"/>
      <c r="B48" s="418"/>
      <c r="C48" s="423"/>
      <c r="D48" s="116"/>
      <c r="E48" s="104" t="s">
        <v>44</v>
      </c>
      <c r="F48" s="105" t="s">
        <v>48</v>
      </c>
      <c r="G48" s="97"/>
      <c r="K48" s="187">
        <v>47</v>
      </c>
      <c r="L48" s="187" t="str">
        <f t="shared" si="0"/>
        <v/>
      </c>
      <c r="M48" s="187" t="str">
        <f t="shared" si="1"/>
        <v/>
      </c>
      <c r="N48" s="187">
        <f t="shared" si="2"/>
        <v>47</v>
      </c>
      <c r="O48" s="187" t="e">
        <f t="shared" si="3"/>
        <v>#N/A</v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>
      <c r="A49" s="96"/>
      <c r="B49" s="419"/>
      <c r="C49" s="424"/>
      <c r="D49" s="103" t="s">
        <v>60</v>
      </c>
      <c r="E49" s="119"/>
      <c r="F49" s="120"/>
      <c r="G49" s="97"/>
      <c r="K49" s="187">
        <v>48</v>
      </c>
      <c r="L49" s="187" t="str">
        <f t="shared" si="0"/>
        <v/>
      </c>
      <c r="M49" s="187" t="str">
        <f t="shared" si="1"/>
        <v/>
      </c>
      <c r="N49" s="187">
        <f t="shared" si="2"/>
        <v>48</v>
      </c>
      <c r="O49" s="187" t="e">
        <f t="shared" si="3"/>
        <v>#N/A</v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>
      <c r="A50" s="96"/>
      <c r="B50" s="420"/>
      <c r="C50" s="425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 t="str">
        <f t="shared" si="0"/>
        <v/>
      </c>
      <c r="M50" s="187" t="str">
        <f t="shared" si="1"/>
        <v/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>
      <c r="A51" s="112"/>
      <c r="B51" s="113"/>
      <c r="C51" s="113"/>
      <c r="D51" s="114"/>
      <c r="E51" s="113"/>
      <c r="F51" s="113"/>
      <c r="G51" s="115"/>
      <c r="K51" s="187">
        <v>50</v>
      </c>
      <c r="L51" s="187" t="str">
        <f t="shared" si="0"/>
        <v/>
      </c>
      <c r="M51" s="187" t="str">
        <f t="shared" si="1"/>
        <v/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5" thickTop="1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 t="str">
        <f t="shared" si="0"/>
        <v/>
      </c>
      <c r="M52" s="187" t="str">
        <f t="shared" si="1"/>
        <v/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 t="str">
        <f t="shared" si="0"/>
        <v/>
      </c>
      <c r="M53" s="187" t="str">
        <f t="shared" si="1"/>
        <v/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 t="str">
        <f t="shared" si="0"/>
        <v/>
      </c>
      <c r="M54" s="187" t="str">
        <f t="shared" si="1"/>
        <v/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 t="str">
        <f t="shared" si="0"/>
        <v/>
      </c>
      <c r="M55" s="187" t="str">
        <f t="shared" si="1"/>
        <v/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 t="str">
        <f t="shared" si="0"/>
        <v/>
      </c>
      <c r="M56" s="187" t="str">
        <f t="shared" si="1"/>
        <v/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 t="str">
        <f t="shared" si="0"/>
        <v/>
      </c>
      <c r="M57" s="187" t="str">
        <f t="shared" si="1"/>
        <v/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 t="str">
        <f t="shared" si="0"/>
        <v/>
      </c>
      <c r="M58" s="187" t="str">
        <f t="shared" si="1"/>
        <v/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 t="str">
        <f t="shared" si="0"/>
        <v/>
      </c>
      <c r="M59" s="187" t="str">
        <f t="shared" si="1"/>
        <v/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>
      <c r="A60" s="186"/>
      <c r="B60" s="186"/>
      <c r="C60" s="186"/>
      <c r="D60" s="186"/>
      <c r="E60" s="186"/>
      <c r="F60" s="186"/>
      <c r="G60" s="186"/>
      <c r="K60" s="187">
        <v>59</v>
      </c>
      <c r="L60" s="187" t="str">
        <f t="shared" si="0"/>
        <v/>
      </c>
      <c r="M60" s="187" t="str">
        <f t="shared" si="1"/>
        <v/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>
      <c r="A61" s="186"/>
      <c r="B61" s="186"/>
      <c r="C61" s="186"/>
      <c r="D61" s="186"/>
      <c r="E61" s="186"/>
      <c r="F61" s="186"/>
      <c r="G61" s="186"/>
      <c r="K61" s="187">
        <v>60</v>
      </c>
      <c r="L61" s="187" t="str">
        <f t="shared" si="0"/>
        <v/>
      </c>
      <c r="M61" s="187" t="str">
        <f t="shared" si="1"/>
        <v/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>
      <c r="A62" s="186"/>
      <c r="B62" s="186"/>
      <c r="C62" s="186"/>
      <c r="D62" s="186"/>
      <c r="E62" s="186"/>
      <c r="F62" s="186"/>
      <c r="G62" s="186"/>
      <c r="K62" s="187">
        <v>61</v>
      </c>
      <c r="L62" s="187" t="str">
        <f t="shared" si="0"/>
        <v/>
      </c>
      <c r="M62" s="187" t="str">
        <f t="shared" si="1"/>
        <v/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>
      <c r="A63" s="186"/>
      <c r="B63" s="186"/>
      <c r="C63" s="186"/>
      <c r="D63" s="186"/>
      <c r="E63" s="186"/>
      <c r="F63" s="186"/>
      <c r="G63" s="186"/>
      <c r="K63" s="187">
        <v>62</v>
      </c>
      <c r="L63" s="187" t="str">
        <f t="shared" si="0"/>
        <v/>
      </c>
      <c r="M63" s="187" t="str">
        <f t="shared" si="1"/>
        <v/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>
      <c r="A64" s="186"/>
      <c r="B64" s="186"/>
      <c r="C64" s="186"/>
      <c r="D64" s="186"/>
      <c r="E64" s="186"/>
      <c r="F64" s="186"/>
      <c r="G64" s="186"/>
      <c r="K64" s="187">
        <v>63</v>
      </c>
      <c r="L64" s="187" t="str">
        <f t="shared" si="0"/>
        <v/>
      </c>
      <c r="M64" s="187" t="str">
        <f t="shared" si="1"/>
        <v/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>
      <c r="A65" s="186"/>
      <c r="B65" s="186"/>
      <c r="C65" s="186"/>
      <c r="D65" s="186"/>
      <c r="E65" s="186"/>
      <c r="F65" s="186"/>
      <c r="G65" s="186"/>
      <c r="K65" s="187">
        <v>64</v>
      </c>
      <c r="L65" s="187" t="str">
        <f t="shared" si="0"/>
        <v/>
      </c>
      <c r="M65" s="187" t="str">
        <f t="shared" si="1"/>
        <v/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>
      <c r="A66" s="186"/>
      <c r="B66" s="186"/>
      <c r="C66" s="186"/>
      <c r="D66" s="186"/>
      <c r="E66" s="186"/>
      <c r="F66" s="186"/>
      <c r="G66" s="186"/>
      <c r="K66" s="187">
        <v>65</v>
      </c>
      <c r="L66" s="187" t="str">
        <f t="shared" si="0"/>
        <v/>
      </c>
      <c r="M66" s="187" t="str">
        <f t="shared" si="1"/>
        <v/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>
      <c r="A67" s="186"/>
      <c r="B67" s="186"/>
      <c r="C67" s="186"/>
      <c r="D67" s="186"/>
      <c r="E67" s="186"/>
      <c r="F67" s="186"/>
      <c r="G67" s="186"/>
      <c r="K67" s="187">
        <v>66</v>
      </c>
      <c r="L67" s="187" t="str">
        <f t="shared" ref="L67:L130" si="12">IF($B$13&gt;=K67,K67,"")</f>
        <v/>
      </c>
      <c r="M67" s="187" t="str">
        <f t="shared" ref="M67:M130" si="13">IF(L67="","",IF(L67&lt;=$E$15,VLOOKUP($E$14,$I$1:$J$4,2,FALSE),VLOOKUP($F$14,$I$1:$J$4,2,FALSE)))</f>
        <v/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>
      <c r="A68" s="186"/>
      <c r="B68" s="186"/>
      <c r="C68" s="186"/>
      <c r="D68" s="186"/>
      <c r="E68" s="186"/>
      <c r="F68" s="186"/>
      <c r="G68" s="186"/>
      <c r="K68" s="187">
        <v>67</v>
      </c>
      <c r="L68" s="187" t="str">
        <f t="shared" si="12"/>
        <v/>
      </c>
      <c r="M68" s="187" t="str">
        <f t="shared" si="13"/>
        <v/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>
      <c r="A69" s="186"/>
      <c r="B69" s="186"/>
      <c r="C69" s="186"/>
      <c r="D69" s="186"/>
      <c r="E69" s="186"/>
      <c r="F69" s="186"/>
      <c r="G69" s="186"/>
      <c r="K69" s="187">
        <v>68</v>
      </c>
      <c r="L69" s="187" t="str">
        <f t="shared" si="12"/>
        <v/>
      </c>
      <c r="M69" s="187" t="str">
        <f t="shared" si="13"/>
        <v/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>
      <c r="A70" s="186"/>
      <c r="B70" s="186"/>
      <c r="C70" s="186"/>
      <c r="D70" s="186"/>
      <c r="E70" s="186"/>
      <c r="F70" s="186"/>
      <c r="G70" s="186"/>
      <c r="K70" s="187">
        <v>69</v>
      </c>
      <c r="L70" s="187" t="str">
        <f t="shared" si="12"/>
        <v/>
      </c>
      <c r="M70" s="187" t="str">
        <f t="shared" si="13"/>
        <v/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>
      <c r="A71" s="186"/>
      <c r="B71" s="186"/>
      <c r="C71" s="186"/>
      <c r="D71" s="186"/>
      <c r="E71" s="186"/>
      <c r="F71" s="186"/>
      <c r="G71" s="186"/>
      <c r="K71" s="187">
        <v>70</v>
      </c>
      <c r="L71" s="187" t="str">
        <f t="shared" si="12"/>
        <v/>
      </c>
      <c r="M71" s="187" t="str">
        <f t="shared" si="13"/>
        <v/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>
      <c r="A72" s="186"/>
      <c r="B72" s="186"/>
      <c r="C72" s="186"/>
      <c r="D72" s="186"/>
      <c r="E72" s="186"/>
      <c r="F72" s="186"/>
      <c r="G72" s="186"/>
      <c r="K72" s="187">
        <v>71</v>
      </c>
      <c r="L72" s="187" t="str">
        <f t="shared" si="12"/>
        <v/>
      </c>
      <c r="M72" s="187" t="str">
        <f t="shared" si="13"/>
        <v/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>
      <c r="A73" s="186"/>
      <c r="B73" s="186"/>
      <c r="C73" s="186"/>
      <c r="D73" s="186"/>
      <c r="E73" s="186"/>
      <c r="F73" s="186"/>
      <c r="G73" s="186"/>
      <c r="K73" s="187">
        <v>72</v>
      </c>
      <c r="L73" s="187" t="str">
        <f t="shared" si="12"/>
        <v/>
      </c>
      <c r="M73" s="187" t="str">
        <f t="shared" si="13"/>
        <v/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>
      <c r="A74" s="186"/>
      <c r="B74" s="186"/>
      <c r="C74" s="186"/>
      <c r="D74" s="186"/>
      <c r="E74" s="186"/>
      <c r="F74" s="186"/>
      <c r="G74" s="186"/>
      <c r="K74" s="187">
        <v>73</v>
      </c>
      <c r="L74" s="187" t="str">
        <f t="shared" si="12"/>
        <v/>
      </c>
      <c r="M74" s="187" t="str">
        <f t="shared" si="13"/>
        <v/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>
      <c r="A75" s="186"/>
      <c r="B75" s="186"/>
      <c r="C75" s="186"/>
      <c r="D75" s="186"/>
      <c r="E75" s="186"/>
      <c r="F75" s="186"/>
      <c r="G75" s="186"/>
      <c r="K75" s="187">
        <v>74</v>
      </c>
      <c r="L75" s="187" t="str">
        <f t="shared" si="12"/>
        <v/>
      </c>
      <c r="M75" s="187" t="str">
        <f t="shared" si="13"/>
        <v/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>
      <c r="A76" s="186"/>
      <c r="B76" s="186"/>
      <c r="C76" s="186"/>
      <c r="D76" s="186"/>
      <c r="E76" s="186"/>
      <c r="F76" s="186"/>
      <c r="G76" s="186"/>
      <c r="K76" s="187">
        <v>75</v>
      </c>
      <c r="L76" s="187" t="str">
        <f t="shared" si="12"/>
        <v/>
      </c>
      <c r="M76" s="187" t="str">
        <f t="shared" si="13"/>
        <v/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>
      <c r="A77" s="186"/>
      <c r="B77" s="186"/>
      <c r="C77" s="186"/>
      <c r="D77" s="186"/>
      <c r="E77" s="186"/>
      <c r="F77" s="186"/>
      <c r="G77" s="186"/>
      <c r="K77" s="187">
        <v>76</v>
      </c>
      <c r="L77" s="187" t="str">
        <f t="shared" si="12"/>
        <v/>
      </c>
      <c r="M77" s="187" t="str">
        <f t="shared" si="13"/>
        <v/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>
      <c r="A78" s="186"/>
      <c r="B78" s="186"/>
      <c r="C78" s="186"/>
      <c r="D78" s="186"/>
      <c r="E78" s="186"/>
      <c r="F78" s="186"/>
      <c r="G78" s="186"/>
      <c r="K78" s="187">
        <v>77</v>
      </c>
      <c r="L78" s="187" t="str">
        <f t="shared" si="12"/>
        <v/>
      </c>
      <c r="M78" s="187" t="str">
        <f t="shared" si="13"/>
        <v/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>
      <c r="A79" s="186"/>
      <c r="B79" s="186"/>
      <c r="C79" s="186"/>
      <c r="D79" s="186"/>
      <c r="E79" s="186"/>
      <c r="F79" s="186"/>
      <c r="G79" s="186"/>
      <c r="K79" s="187">
        <v>78</v>
      </c>
      <c r="L79" s="187" t="str">
        <f t="shared" si="12"/>
        <v/>
      </c>
      <c r="M79" s="187" t="str">
        <f t="shared" si="13"/>
        <v/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>
      <c r="A80" s="186"/>
      <c r="B80" s="186"/>
      <c r="C80" s="186"/>
      <c r="D80" s="186"/>
      <c r="E80" s="186"/>
      <c r="F80" s="186"/>
      <c r="G80" s="186"/>
      <c r="K80" s="187">
        <v>79</v>
      </c>
      <c r="L80" s="187" t="str">
        <f t="shared" si="12"/>
        <v/>
      </c>
      <c r="M80" s="187" t="str">
        <f t="shared" si="13"/>
        <v/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>
      <c r="A81" s="186"/>
      <c r="B81" s="186"/>
      <c r="C81" s="186"/>
      <c r="D81" s="186"/>
      <c r="E81" s="186"/>
      <c r="F81" s="186"/>
      <c r="G81" s="186"/>
      <c r="K81" s="187">
        <v>80</v>
      </c>
      <c r="L81" s="187" t="str">
        <f t="shared" si="12"/>
        <v/>
      </c>
      <c r="M81" s="187" t="str">
        <f t="shared" si="13"/>
        <v/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>
      <c r="A82" s="186"/>
      <c r="B82" s="186"/>
      <c r="C82" s="186"/>
      <c r="D82" s="186"/>
      <c r="E82" s="186"/>
      <c r="F82" s="186"/>
      <c r="G82" s="186"/>
      <c r="K82" s="187">
        <v>81</v>
      </c>
      <c r="L82" s="187" t="str">
        <f t="shared" si="12"/>
        <v/>
      </c>
      <c r="M82" s="187" t="str">
        <f t="shared" si="13"/>
        <v/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>
      <c r="A83" s="186"/>
      <c r="B83" s="186"/>
      <c r="C83" s="186"/>
      <c r="D83" s="186"/>
      <c r="E83" s="186"/>
      <c r="F83" s="186"/>
      <c r="G83" s="186"/>
      <c r="K83" s="187">
        <v>82</v>
      </c>
      <c r="L83" s="187" t="str">
        <f t="shared" si="12"/>
        <v/>
      </c>
      <c r="M83" s="187" t="str">
        <f t="shared" si="13"/>
        <v/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>
      <c r="A84" s="186"/>
      <c r="B84" s="186"/>
      <c r="C84" s="186"/>
      <c r="D84" s="186"/>
      <c r="E84" s="186"/>
      <c r="F84" s="186"/>
      <c r="G84" s="186"/>
      <c r="K84" s="187">
        <v>83</v>
      </c>
      <c r="L84" s="187" t="str">
        <f t="shared" si="12"/>
        <v/>
      </c>
      <c r="M84" s="187" t="str">
        <f t="shared" si="13"/>
        <v/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>
      <c r="A85" s="186"/>
      <c r="B85" s="186"/>
      <c r="C85" s="186"/>
      <c r="D85" s="186"/>
      <c r="E85" s="186"/>
      <c r="F85" s="186"/>
      <c r="G85" s="186"/>
      <c r="K85" s="187">
        <v>84</v>
      </c>
      <c r="L85" s="187" t="str">
        <f t="shared" si="12"/>
        <v/>
      </c>
      <c r="M85" s="187" t="str">
        <f t="shared" si="13"/>
        <v/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>
      <c r="A86" s="186"/>
      <c r="B86" s="186"/>
      <c r="C86" s="186"/>
      <c r="D86" s="186"/>
      <c r="E86" s="186"/>
      <c r="F86" s="186"/>
      <c r="G86" s="186"/>
      <c r="K86" s="187">
        <v>85</v>
      </c>
      <c r="L86" s="187" t="str">
        <f t="shared" si="12"/>
        <v/>
      </c>
      <c r="M86" s="187" t="str">
        <f t="shared" si="13"/>
        <v/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>
      <c r="A87" s="186"/>
      <c r="B87" s="186"/>
      <c r="C87" s="186"/>
      <c r="D87" s="186"/>
      <c r="E87" s="186"/>
      <c r="F87" s="186"/>
      <c r="G87" s="186"/>
      <c r="K87" s="187">
        <v>86</v>
      </c>
      <c r="L87" s="187" t="str">
        <f t="shared" si="12"/>
        <v/>
      </c>
      <c r="M87" s="187" t="str">
        <f t="shared" si="13"/>
        <v/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>
      <c r="A88" s="186"/>
      <c r="B88" s="186"/>
      <c r="C88" s="186"/>
      <c r="D88" s="186"/>
      <c r="E88" s="186"/>
      <c r="F88" s="186"/>
      <c r="G88" s="186"/>
      <c r="K88" s="187">
        <v>87</v>
      </c>
      <c r="L88" s="187" t="str">
        <f t="shared" si="12"/>
        <v/>
      </c>
      <c r="M88" s="187" t="str">
        <f t="shared" si="13"/>
        <v/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>
      <c r="A89" s="186"/>
      <c r="B89" s="186"/>
      <c r="C89" s="186"/>
      <c r="D89" s="186"/>
      <c r="E89" s="186"/>
      <c r="F89" s="186"/>
      <c r="G89" s="186"/>
      <c r="K89" s="187">
        <v>88</v>
      </c>
      <c r="L89" s="187" t="str">
        <f t="shared" si="12"/>
        <v/>
      </c>
      <c r="M89" s="187" t="str">
        <f t="shared" si="13"/>
        <v/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>
      <c r="A90" s="186"/>
      <c r="B90" s="186"/>
      <c r="C90" s="186"/>
      <c r="D90" s="186"/>
      <c r="E90" s="186"/>
      <c r="F90" s="186"/>
      <c r="G90" s="186"/>
      <c r="K90" s="187">
        <v>89</v>
      </c>
      <c r="L90" s="187" t="str">
        <f t="shared" si="12"/>
        <v/>
      </c>
      <c r="M90" s="187" t="str">
        <f t="shared" si="13"/>
        <v/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>
      <c r="A91" s="186"/>
      <c r="B91" s="186"/>
      <c r="C91" s="186"/>
      <c r="D91" s="186"/>
      <c r="E91" s="186"/>
      <c r="F91" s="186"/>
      <c r="G91" s="186"/>
      <c r="K91" s="187">
        <v>90</v>
      </c>
      <c r="L91" s="187" t="str">
        <f t="shared" si="12"/>
        <v/>
      </c>
      <c r="M91" s="187" t="str">
        <f t="shared" si="13"/>
        <v/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>
      <c r="A92" s="186"/>
      <c r="B92" s="186"/>
      <c r="C92" s="186"/>
      <c r="D92" s="186"/>
      <c r="E92" s="186"/>
      <c r="F92" s="186"/>
      <c r="G92" s="186"/>
      <c r="K92" s="187">
        <v>91</v>
      </c>
      <c r="L92" s="187" t="str">
        <f t="shared" si="12"/>
        <v/>
      </c>
      <c r="M92" s="187" t="str">
        <f t="shared" si="13"/>
        <v/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>
      <c r="A93" s="186"/>
      <c r="B93" s="186"/>
      <c r="C93" s="186"/>
      <c r="D93" s="186"/>
      <c r="E93" s="186"/>
      <c r="F93" s="186"/>
      <c r="G93" s="186"/>
      <c r="K93" s="187">
        <v>92</v>
      </c>
      <c r="L93" s="187" t="str">
        <f t="shared" si="12"/>
        <v/>
      </c>
      <c r="M93" s="187" t="str">
        <f t="shared" si="13"/>
        <v/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>
      <c r="A94" s="186"/>
      <c r="B94" s="186"/>
      <c r="C94" s="186"/>
      <c r="D94" s="186"/>
      <c r="E94" s="186"/>
      <c r="F94" s="186"/>
      <c r="G94" s="186"/>
      <c r="K94" s="187">
        <v>93</v>
      </c>
      <c r="L94" s="187" t="str">
        <f t="shared" si="12"/>
        <v/>
      </c>
      <c r="M94" s="187" t="str">
        <f t="shared" si="13"/>
        <v/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>
      <c r="A95" s="186"/>
      <c r="B95" s="186"/>
      <c r="C95" s="186"/>
      <c r="D95" s="186"/>
      <c r="E95" s="186"/>
      <c r="F95" s="186"/>
      <c r="G95" s="186"/>
      <c r="K95" s="187">
        <v>94</v>
      </c>
      <c r="L95" s="187" t="str">
        <f t="shared" si="12"/>
        <v/>
      </c>
      <c r="M95" s="187" t="str">
        <f t="shared" si="13"/>
        <v/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>
      <c r="A96" s="186"/>
      <c r="B96" s="186"/>
      <c r="C96" s="186"/>
      <c r="D96" s="186"/>
      <c r="E96" s="186"/>
      <c r="F96" s="186"/>
      <c r="G96" s="186"/>
      <c r="K96" s="187">
        <v>95</v>
      </c>
      <c r="L96" s="187" t="str">
        <f t="shared" si="12"/>
        <v/>
      </c>
      <c r="M96" s="187" t="str">
        <f t="shared" si="13"/>
        <v/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>
      <c r="A97" s="186"/>
      <c r="B97" s="186"/>
      <c r="C97" s="186"/>
      <c r="D97" s="186"/>
      <c r="E97" s="186"/>
      <c r="F97" s="186"/>
      <c r="G97" s="186"/>
      <c r="K97" s="187">
        <v>96</v>
      </c>
      <c r="L97" s="187" t="str">
        <f t="shared" si="12"/>
        <v/>
      </c>
      <c r="M97" s="187" t="str">
        <f t="shared" si="13"/>
        <v/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>
      <c r="A98" s="186"/>
      <c r="B98" s="186"/>
      <c r="C98" s="186"/>
      <c r="D98" s="186"/>
      <c r="E98" s="186"/>
      <c r="F98" s="186"/>
      <c r="G98" s="186"/>
      <c r="K98" s="187">
        <v>97</v>
      </c>
      <c r="L98" s="187" t="str">
        <f t="shared" si="12"/>
        <v/>
      </c>
      <c r="M98" s="187" t="str">
        <f t="shared" si="13"/>
        <v/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>
      <c r="A99" s="186"/>
      <c r="B99" s="186"/>
      <c r="C99" s="186"/>
      <c r="D99" s="186"/>
      <c r="E99" s="186"/>
      <c r="F99" s="186"/>
      <c r="G99" s="186"/>
      <c r="K99" s="187">
        <v>98</v>
      </c>
      <c r="L99" s="187" t="str">
        <f t="shared" si="12"/>
        <v/>
      </c>
      <c r="M99" s="187" t="str">
        <f t="shared" si="13"/>
        <v/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 t="str">
        <f t="shared" si="12"/>
        <v/>
      </c>
      <c r="M100" s="187" t="str">
        <f t="shared" si="13"/>
        <v/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 t="str">
        <f t="shared" si="12"/>
        <v/>
      </c>
      <c r="M101" s="187" t="str">
        <f t="shared" si="13"/>
        <v/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 t="str">
        <f t="shared" si="12"/>
        <v/>
      </c>
      <c r="M102" s="187" t="str">
        <f t="shared" si="13"/>
        <v/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 t="str">
        <f t="shared" si="12"/>
        <v/>
      </c>
      <c r="M103" s="187" t="str">
        <f t="shared" si="13"/>
        <v/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 t="str">
        <f t="shared" si="12"/>
        <v/>
      </c>
      <c r="M104" s="187" t="str">
        <f t="shared" si="13"/>
        <v/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 t="str">
        <f t="shared" si="12"/>
        <v/>
      </c>
      <c r="M105" s="187" t="str">
        <f t="shared" si="13"/>
        <v/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 t="str">
        <f t="shared" si="12"/>
        <v/>
      </c>
      <c r="M106" s="187" t="str">
        <f t="shared" si="13"/>
        <v/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 t="str">
        <f t="shared" si="12"/>
        <v/>
      </c>
      <c r="M107" s="187" t="str">
        <f t="shared" si="13"/>
        <v/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 t="str">
        <f t="shared" si="12"/>
        <v/>
      </c>
      <c r="M108" s="187" t="str">
        <f t="shared" si="13"/>
        <v/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 t="str">
        <f t="shared" si="12"/>
        <v/>
      </c>
      <c r="M109" s="187" t="str">
        <f t="shared" si="13"/>
        <v/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 t="str">
        <f t="shared" si="12"/>
        <v/>
      </c>
      <c r="M110" s="187" t="str">
        <f t="shared" si="13"/>
        <v/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 t="str">
        <f t="shared" si="12"/>
        <v/>
      </c>
      <c r="M111" s="187" t="str">
        <f t="shared" si="13"/>
        <v/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 t="str">
        <f t="shared" si="12"/>
        <v/>
      </c>
      <c r="M112" s="187" t="str">
        <f t="shared" si="13"/>
        <v/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 t="str">
        <f t="shared" si="12"/>
        <v/>
      </c>
      <c r="M113" s="187" t="str">
        <f t="shared" si="13"/>
        <v/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 t="str">
        <f t="shared" si="12"/>
        <v/>
      </c>
      <c r="M114" s="187" t="str">
        <f t="shared" si="13"/>
        <v/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 t="str">
        <f t="shared" si="12"/>
        <v/>
      </c>
      <c r="M115" s="187" t="str">
        <f t="shared" si="13"/>
        <v/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 t="str">
        <f t="shared" si="12"/>
        <v/>
      </c>
      <c r="M116" s="187" t="str">
        <f t="shared" si="13"/>
        <v/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 t="str">
        <f t="shared" si="12"/>
        <v/>
      </c>
      <c r="M117" s="187" t="str">
        <f t="shared" si="13"/>
        <v/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 t="str">
        <f t="shared" si="12"/>
        <v/>
      </c>
      <c r="M118" s="187" t="str">
        <f t="shared" si="13"/>
        <v/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 t="str">
        <f t="shared" si="12"/>
        <v/>
      </c>
      <c r="M119" s="187" t="str">
        <f t="shared" si="13"/>
        <v/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 t="str">
        <f t="shared" si="12"/>
        <v/>
      </c>
      <c r="M120" s="187" t="str">
        <f t="shared" si="13"/>
        <v/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 t="str">
        <f t="shared" si="12"/>
        <v/>
      </c>
      <c r="M121" s="187" t="str">
        <f t="shared" si="13"/>
        <v/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 t="str">
        <f t="shared" si="12"/>
        <v/>
      </c>
      <c r="M122" s="187" t="str">
        <f t="shared" si="13"/>
        <v/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 t="str">
        <f t="shared" si="12"/>
        <v/>
      </c>
      <c r="M123" s="187" t="str">
        <f t="shared" si="13"/>
        <v/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 t="str">
        <f t="shared" si="12"/>
        <v/>
      </c>
      <c r="M124" s="187" t="str">
        <f t="shared" si="13"/>
        <v/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 t="str">
        <f t="shared" si="12"/>
        <v/>
      </c>
      <c r="M125" s="187" t="str">
        <f t="shared" si="13"/>
        <v/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 t="str">
        <f t="shared" si="12"/>
        <v/>
      </c>
      <c r="M126" s="187" t="str">
        <f t="shared" si="13"/>
        <v/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 t="str">
        <f t="shared" si="12"/>
        <v/>
      </c>
      <c r="M127" s="187" t="str">
        <f t="shared" si="13"/>
        <v/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 t="str">
        <f t="shared" si="12"/>
        <v/>
      </c>
      <c r="M128" s="187" t="str">
        <f t="shared" si="13"/>
        <v/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 t="str">
        <f t="shared" si="12"/>
        <v/>
      </c>
      <c r="M129" s="187" t="str">
        <f t="shared" si="13"/>
        <v/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 t="str">
        <f t="shared" si="12"/>
        <v/>
      </c>
      <c r="M130" s="187" t="str">
        <f t="shared" si="13"/>
        <v/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 t="str">
        <f t="shared" ref="L131:L194" si="24">IF($B$13&gt;=K131,K131,"")</f>
        <v/>
      </c>
      <c r="M131" s="187" t="str">
        <f t="shared" ref="M131:M194" si="25">IF(L131="","",IF(L131&lt;=$E$15,VLOOKUP($E$14,$I$1:$J$4,2,FALSE),VLOOKUP($F$14,$I$1:$J$4,2,FALSE)))</f>
        <v/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 t="str">
        <f t="shared" si="24"/>
        <v/>
      </c>
      <c r="M132" s="187" t="str">
        <f t="shared" si="25"/>
        <v/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 t="str">
        <f t="shared" si="24"/>
        <v/>
      </c>
      <c r="M133" s="187" t="str">
        <f t="shared" si="25"/>
        <v/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 t="str">
        <f t="shared" si="24"/>
        <v/>
      </c>
      <c r="M134" s="187" t="str">
        <f t="shared" si="25"/>
        <v/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 t="str">
        <f t="shared" si="24"/>
        <v/>
      </c>
      <c r="M135" s="187" t="str">
        <f t="shared" si="25"/>
        <v/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 t="str">
        <f t="shared" si="24"/>
        <v/>
      </c>
      <c r="M136" s="187" t="str">
        <f t="shared" si="25"/>
        <v/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 t="str">
        <f t="shared" si="24"/>
        <v/>
      </c>
      <c r="M137" s="187" t="str">
        <f t="shared" si="25"/>
        <v/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 t="str">
        <f t="shared" si="24"/>
        <v/>
      </c>
      <c r="M138" s="187" t="str">
        <f t="shared" si="25"/>
        <v/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 t="str">
        <f t="shared" si="24"/>
        <v/>
      </c>
      <c r="M139" s="187" t="str">
        <f t="shared" si="25"/>
        <v/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 t="str">
        <f t="shared" si="24"/>
        <v/>
      </c>
      <c r="M140" s="187" t="str">
        <f t="shared" si="25"/>
        <v/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 t="str">
        <f t="shared" si="24"/>
        <v/>
      </c>
      <c r="M141" s="187" t="str">
        <f t="shared" si="25"/>
        <v/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 t="str">
        <f t="shared" si="24"/>
        <v/>
      </c>
      <c r="M142" s="187" t="str">
        <f t="shared" si="25"/>
        <v/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 t="str">
        <f t="shared" si="24"/>
        <v/>
      </c>
      <c r="M143" s="187" t="str">
        <f t="shared" si="25"/>
        <v/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 t="str">
        <f t="shared" si="24"/>
        <v/>
      </c>
      <c r="M144" s="187" t="str">
        <f t="shared" si="25"/>
        <v/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 t="str">
        <f t="shared" si="24"/>
        <v/>
      </c>
      <c r="M145" s="187" t="str">
        <f t="shared" si="25"/>
        <v/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 t="str">
        <f t="shared" si="24"/>
        <v/>
      </c>
      <c r="M146" s="187" t="str">
        <f t="shared" si="25"/>
        <v/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 t="str">
        <f t="shared" si="24"/>
        <v/>
      </c>
      <c r="M147" s="187" t="str">
        <f t="shared" si="25"/>
        <v/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 t="str">
        <f t="shared" si="24"/>
        <v/>
      </c>
      <c r="M148" s="187" t="str">
        <f t="shared" si="25"/>
        <v/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 t="str">
        <f t="shared" si="24"/>
        <v/>
      </c>
      <c r="M149" s="187" t="str">
        <f t="shared" si="25"/>
        <v/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 t="str">
        <f t="shared" si="24"/>
        <v/>
      </c>
      <c r="M150" s="187" t="str">
        <f t="shared" si="25"/>
        <v/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 t="str">
        <f t="shared" si="24"/>
        <v/>
      </c>
      <c r="M151" s="187" t="str">
        <f t="shared" si="25"/>
        <v/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 t="str">
        <f t="shared" si="24"/>
        <v/>
      </c>
      <c r="M152" s="187" t="str">
        <f t="shared" si="25"/>
        <v/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 t="str">
        <f t="shared" si="24"/>
        <v/>
      </c>
      <c r="M153" s="187" t="str">
        <f t="shared" si="25"/>
        <v/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 t="str">
        <f t="shared" si="24"/>
        <v/>
      </c>
      <c r="M154" s="187" t="str">
        <f t="shared" si="25"/>
        <v/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 t="str">
        <f t="shared" si="24"/>
        <v/>
      </c>
      <c r="M155" s="187" t="str">
        <f t="shared" si="25"/>
        <v/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 t="str">
        <f t="shared" si="24"/>
        <v/>
      </c>
      <c r="M156" s="187" t="str">
        <f t="shared" si="25"/>
        <v/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 t="str">
        <f t="shared" si="24"/>
        <v/>
      </c>
      <c r="M157" s="187" t="str">
        <f t="shared" si="25"/>
        <v/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 t="str">
        <f t="shared" si="24"/>
        <v/>
      </c>
      <c r="M158" s="187" t="str">
        <f t="shared" si="25"/>
        <v/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 t="str">
        <f t="shared" si="24"/>
        <v/>
      </c>
      <c r="M159" s="187" t="str">
        <f t="shared" si="25"/>
        <v/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 t="str">
        <f t="shared" si="24"/>
        <v/>
      </c>
      <c r="M160" s="187" t="str">
        <f t="shared" si="25"/>
        <v/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 t="str">
        <f t="shared" si="24"/>
        <v/>
      </c>
      <c r="M161" s="187" t="str">
        <f t="shared" si="25"/>
        <v/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 t="str">
        <f t="shared" si="24"/>
        <v/>
      </c>
      <c r="M162" s="187" t="str">
        <f t="shared" si="25"/>
        <v/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 t="str">
        <f t="shared" si="24"/>
        <v/>
      </c>
      <c r="M163" s="187" t="str">
        <f t="shared" si="25"/>
        <v/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 t="str">
        <f t="shared" si="24"/>
        <v/>
      </c>
      <c r="M164" s="187" t="str">
        <f t="shared" si="25"/>
        <v/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 t="str">
        <f t="shared" si="24"/>
        <v/>
      </c>
      <c r="M165" s="187" t="str">
        <f t="shared" si="25"/>
        <v/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 t="str">
        <f t="shared" si="24"/>
        <v/>
      </c>
      <c r="M166" s="187" t="str">
        <f t="shared" si="25"/>
        <v/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 t="str">
        <f t="shared" si="24"/>
        <v/>
      </c>
      <c r="M167" s="187" t="str">
        <f t="shared" si="25"/>
        <v/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 t="str">
        <f t="shared" si="24"/>
        <v/>
      </c>
      <c r="M168" s="187" t="str">
        <f t="shared" si="25"/>
        <v/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 t="str">
        <f t="shared" si="24"/>
        <v/>
      </c>
      <c r="M169" s="187" t="str">
        <f t="shared" si="25"/>
        <v/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 t="str">
        <f t="shared" si="24"/>
        <v/>
      </c>
      <c r="M170" s="187" t="str">
        <f t="shared" si="25"/>
        <v/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 t="str">
        <f t="shared" si="24"/>
        <v/>
      </c>
      <c r="M171" s="187" t="str">
        <f t="shared" si="25"/>
        <v/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 t="str">
        <f t="shared" si="24"/>
        <v/>
      </c>
      <c r="M172" s="187" t="str">
        <f t="shared" si="25"/>
        <v/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 t="str">
        <f t="shared" si="24"/>
        <v/>
      </c>
      <c r="M173" s="187" t="str">
        <f t="shared" si="25"/>
        <v/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 t="str">
        <f t="shared" si="24"/>
        <v/>
      </c>
      <c r="M174" s="187" t="str">
        <f t="shared" si="25"/>
        <v/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 t="str">
        <f t="shared" si="24"/>
        <v/>
      </c>
      <c r="M175" s="187" t="str">
        <f t="shared" si="25"/>
        <v/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 t="str">
        <f t="shared" si="24"/>
        <v/>
      </c>
      <c r="M176" s="187" t="str">
        <f t="shared" si="25"/>
        <v/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 t="str">
        <f t="shared" si="24"/>
        <v/>
      </c>
      <c r="M177" s="187" t="str">
        <f t="shared" si="25"/>
        <v/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 t="str">
        <f t="shared" si="24"/>
        <v/>
      </c>
      <c r="M178" s="187" t="str">
        <f t="shared" si="25"/>
        <v/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 t="str">
        <f t="shared" si="24"/>
        <v/>
      </c>
      <c r="M179" s="187" t="str">
        <f t="shared" si="25"/>
        <v/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 t="str">
        <f t="shared" si="24"/>
        <v/>
      </c>
      <c r="M180" s="187" t="str">
        <f t="shared" si="25"/>
        <v/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 t="str">
        <f t="shared" si="24"/>
        <v/>
      </c>
      <c r="M181" s="187" t="str">
        <f t="shared" si="25"/>
        <v/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 t="str">
        <f t="shared" si="24"/>
        <v/>
      </c>
      <c r="M182" s="187" t="str">
        <f t="shared" si="25"/>
        <v/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 t="str">
        <f t="shared" si="24"/>
        <v/>
      </c>
      <c r="M183" s="187" t="str">
        <f t="shared" si="25"/>
        <v/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 t="str">
        <f t="shared" si="24"/>
        <v/>
      </c>
      <c r="M184" s="187" t="str">
        <f t="shared" si="25"/>
        <v/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 t="str">
        <f t="shared" si="24"/>
        <v/>
      </c>
      <c r="M185" s="187" t="str">
        <f t="shared" si="25"/>
        <v/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 t="str">
        <f t="shared" si="24"/>
        <v/>
      </c>
      <c r="M186" s="187" t="str">
        <f t="shared" si="25"/>
        <v/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 t="str">
        <f t="shared" si="24"/>
        <v/>
      </c>
      <c r="M187" s="187" t="str">
        <f t="shared" si="25"/>
        <v/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 t="str">
        <f t="shared" si="24"/>
        <v/>
      </c>
      <c r="M188" s="187" t="str">
        <f t="shared" si="25"/>
        <v/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 t="str">
        <f t="shared" si="24"/>
        <v/>
      </c>
      <c r="M189" s="187" t="str">
        <f t="shared" si="25"/>
        <v/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 t="str">
        <f t="shared" si="24"/>
        <v/>
      </c>
      <c r="M190" s="187" t="str">
        <f t="shared" si="25"/>
        <v/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 t="str">
        <f t="shared" si="24"/>
        <v/>
      </c>
      <c r="M191" s="187" t="str">
        <f t="shared" si="25"/>
        <v/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 t="str">
        <f t="shared" si="24"/>
        <v/>
      </c>
      <c r="M192" s="187" t="str">
        <f t="shared" si="25"/>
        <v/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 t="str">
        <f t="shared" si="24"/>
        <v/>
      </c>
      <c r="M193" s="187" t="str">
        <f t="shared" si="25"/>
        <v/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 t="str">
        <f t="shared" si="24"/>
        <v/>
      </c>
      <c r="M194" s="187" t="str">
        <f t="shared" si="25"/>
        <v/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 t="str">
        <f t="shared" ref="L195:L258" si="36">IF($B$13&gt;=K195,K195,"")</f>
        <v/>
      </c>
      <c r="M195" s="187" t="str">
        <f t="shared" ref="M195:M258" si="37">IF(L195="","",IF(L195&lt;=$E$15,VLOOKUP($E$14,$I$1:$J$4,2,FALSE),VLOOKUP($F$14,$I$1:$J$4,2,FALSE)))</f>
        <v/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 t="str">
        <f t="shared" si="36"/>
        <v/>
      </c>
      <c r="M196" s="187" t="str">
        <f t="shared" si="37"/>
        <v/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 t="str">
        <f t="shared" si="36"/>
        <v/>
      </c>
      <c r="M197" s="187" t="str">
        <f t="shared" si="37"/>
        <v/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 t="str">
        <f t="shared" si="36"/>
        <v/>
      </c>
      <c r="M198" s="187" t="str">
        <f t="shared" si="37"/>
        <v/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 t="str">
        <f t="shared" si="36"/>
        <v/>
      </c>
      <c r="M199" s="187" t="str">
        <f t="shared" si="37"/>
        <v/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 t="str">
        <f t="shared" si="36"/>
        <v/>
      </c>
      <c r="M200" s="187" t="str">
        <f t="shared" si="37"/>
        <v/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 t="str">
        <f t="shared" si="36"/>
        <v/>
      </c>
      <c r="M201" s="187" t="str">
        <f t="shared" si="37"/>
        <v/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 t="str">
        <f t="shared" si="36"/>
        <v/>
      </c>
      <c r="M202" s="187" t="str">
        <f t="shared" si="37"/>
        <v/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 t="str">
        <f t="shared" si="36"/>
        <v/>
      </c>
      <c r="M203" s="187" t="str">
        <f t="shared" si="37"/>
        <v/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 t="str">
        <f t="shared" si="36"/>
        <v/>
      </c>
      <c r="M204" s="187" t="str">
        <f t="shared" si="37"/>
        <v/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 t="str">
        <f t="shared" si="36"/>
        <v/>
      </c>
      <c r="M205" s="187" t="str">
        <f t="shared" si="37"/>
        <v/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 t="str">
        <f t="shared" si="36"/>
        <v/>
      </c>
      <c r="M206" s="187" t="str">
        <f t="shared" si="37"/>
        <v/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 t="str">
        <f t="shared" si="36"/>
        <v/>
      </c>
      <c r="M207" s="187" t="str">
        <f t="shared" si="37"/>
        <v/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 t="str">
        <f t="shared" si="36"/>
        <v/>
      </c>
      <c r="M208" s="187" t="str">
        <f t="shared" si="37"/>
        <v/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 t="str">
        <f t="shared" si="36"/>
        <v/>
      </c>
      <c r="M209" s="187" t="str">
        <f t="shared" si="37"/>
        <v/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 t="str">
        <f t="shared" si="36"/>
        <v/>
      </c>
      <c r="M210" s="187" t="str">
        <f t="shared" si="37"/>
        <v/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 t="str">
        <f t="shared" si="36"/>
        <v/>
      </c>
      <c r="M211" s="187" t="str">
        <f t="shared" si="37"/>
        <v/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 t="str">
        <f t="shared" si="36"/>
        <v/>
      </c>
      <c r="M212" s="187" t="str">
        <f t="shared" si="37"/>
        <v/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 t="str">
        <f t="shared" si="36"/>
        <v/>
      </c>
      <c r="M213" s="187" t="str">
        <f t="shared" si="37"/>
        <v/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 t="str">
        <f t="shared" si="36"/>
        <v/>
      </c>
      <c r="M214" s="187" t="str">
        <f t="shared" si="37"/>
        <v/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 t="str">
        <f t="shared" si="36"/>
        <v/>
      </c>
      <c r="M215" s="187" t="str">
        <f t="shared" si="37"/>
        <v/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 t="str">
        <f t="shared" si="36"/>
        <v/>
      </c>
      <c r="M216" s="187" t="str">
        <f t="shared" si="37"/>
        <v/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 t="str">
        <f t="shared" si="36"/>
        <v/>
      </c>
      <c r="M217" s="187" t="str">
        <f t="shared" si="37"/>
        <v/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 t="str">
        <f t="shared" si="36"/>
        <v/>
      </c>
      <c r="M218" s="187" t="str">
        <f t="shared" si="37"/>
        <v/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 t="str">
        <f t="shared" si="36"/>
        <v/>
      </c>
      <c r="M219" s="187" t="str">
        <f t="shared" si="37"/>
        <v/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 t="str">
        <f t="shared" si="36"/>
        <v/>
      </c>
      <c r="M220" s="187" t="str">
        <f t="shared" si="37"/>
        <v/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 t="str">
        <f t="shared" si="36"/>
        <v/>
      </c>
      <c r="M221" s="187" t="str">
        <f t="shared" si="37"/>
        <v/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 t="str">
        <f t="shared" si="36"/>
        <v/>
      </c>
      <c r="M222" s="187" t="str">
        <f t="shared" si="37"/>
        <v/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 t="str">
        <f t="shared" si="36"/>
        <v/>
      </c>
      <c r="M223" s="187" t="str">
        <f t="shared" si="37"/>
        <v/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 t="str">
        <f t="shared" si="36"/>
        <v/>
      </c>
      <c r="M224" s="187" t="str">
        <f t="shared" si="37"/>
        <v/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 t="str">
        <f t="shared" si="36"/>
        <v/>
      </c>
      <c r="M225" s="187" t="str">
        <f t="shared" si="37"/>
        <v/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 t="str">
        <f t="shared" si="36"/>
        <v/>
      </c>
      <c r="M226" s="187" t="str">
        <f t="shared" si="37"/>
        <v/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 t="str">
        <f t="shared" si="36"/>
        <v/>
      </c>
      <c r="M227" s="187" t="str">
        <f t="shared" si="37"/>
        <v/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 t="str">
        <f t="shared" si="36"/>
        <v/>
      </c>
      <c r="M228" s="187" t="str">
        <f t="shared" si="37"/>
        <v/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 t="str">
        <f t="shared" si="36"/>
        <v/>
      </c>
      <c r="M229" s="187" t="str">
        <f t="shared" si="37"/>
        <v/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 t="str">
        <f t="shared" si="36"/>
        <v/>
      </c>
      <c r="M230" s="187" t="str">
        <f t="shared" si="37"/>
        <v/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 t="str">
        <f t="shared" si="36"/>
        <v/>
      </c>
      <c r="M231" s="187" t="str">
        <f t="shared" si="37"/>
        <v/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 t="str">
        <f t="shared" si="36"/>
        <v/>
      </c>
      <c r="M232" s="187" t="str">
        <f t="shared" si="37"/>
        <v/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 t="str">
        <f t="shared" si="36"/>
        <v/>
      </c>
      <c r="M233" s="187" t="str">
        <f t="shared" si="37"/>
        <v/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 t="str">
        <f t="shared" si="36"/>
        <v/>
      </c>
      <c r="M234" s="187" t="str">
        <f t="shared" si="37"/>
        <v/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 t="str">
        <f t="shared" si="36"/>
        <v/>
      </c>
      <c r="M235" s="187" t="str">
        <f t="shared" si="37"/>
        <v/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 t="str">
        <f t="shared" si="36"/>
        <v/>
      </c>
      <c r="M236" s="187" t="str">
        <f t="shared" si="37"/>
        <v/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 t="str">
        <f t="shared" si="36"/>
        <v/>
      </c>
      <c r="M237" s="187" t="str">
        <f t="shared" si="37"/>
        <v/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 t="str">
        <f t="shared" si="36"/>
        <v/>
      </c>
      <c r="M238" s="187" t="str">
        <f t="shared" si="37"/>
        <v/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 t="str">
        <f t="shared" si="36"/>
        <v/>
      </c>
      <c r="M239" s="187" t="str">
        <f t="shared" si="37"/>
        <v/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 t="str">
        <f t="shared" si="36"/>
        <v/>
      </c>
      <c r="M240" s="187" t="str">
        <f t="shared" si="37"/>
        <v/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 t="str">
        <f t="shared" si="36"/>
        <v/>
      </c>
      <c r="M241" s="187" t="str">
        <f t="shared" si="37"/>
        <v/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 t="str">
        <f t="shared" si="36"/>
        <v/>
      </c>
      <c r="M242" s="187" t="str">
        <f t="shared" si="37"/>
        <v/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 t="str">
        <f t="shared" si="36"/>
        <v/>
      </c>
      <c r="M243" s="187" t="str">
        <f t="shared" si="37"/>
        <v/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 t="str">
        <f t="shared" si="36"/>
        <v/>
      </c>
      <c r="M244" s="187" t="str">
        <f t="shared" si="37"/>
        <v/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 t="str">
        <f t="shared" si="36"/>
        <v/>
      </c>
      <c r="M245" s="187" t="str">
        <f t="shared" si="37"/>
        <v/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 t="str">
        <f t="shared" si="36"/>
        <v/>
      </c>
      <c r="M246" s="187" t="str">
        <f t="shared" si="37"/>
        <v/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 t="str">
        <f t="shared" si="36"/>
        <v/>
      </c>
      <c r="M247" s="187" t="str">
        <f t="shared" si="37"/>
        <v/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 t="str">
        <f t="shared" si="36"/>
        <v/>
      </c>
      <c r="M248" s="187" t="str">
        <f t="shared" si="37"/>
        <v/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 t="str">
        <f t="shared" si="36"/>
        <v/>
      </c>
      <c r="M249" s="187" t="str">
        <f t="shared" si="37"/>
        <v/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 t="str">
        <f t="shared" si="36"/>
        <v/>
      </c>
      <c r="M250" s="187" t="str">
        <f t="shared" si="37"/>
        <v/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 t="str">
        <f t="shared" si="36"/>
        <v/>
      </c>
      <c r="M251" s="187" t="str">
        <f t="shared" si="37"/>
        <v/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 t="str">
        <f t="shared" si="36"/>
        <v/>
      </c>
      <c r="M252" s="187" t="str">
        <f t="shared" si="37"/>
        <v/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 t="str">
        <f t="shared" si="36"/>
        <v/>
      </c>
      <c r="M253" s="187" t="str">
        <f t="shared" si="37"/>
        <v/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 t="str">
        <f t="shared" si="36"/>
        <v/>
      </c>
      <c r="M254" s="187" t="str">
        <f t="shared" si="37"/>
        <v/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 t="str">
        <f t="shared" si="36"/>
        <v/>
      </c>
      <c r="M255" s="187" t="str">
        <f t="shared" si="37"/>
        <v/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 t="str">
        <f t="shared" si="36"/>
        <v/>
      </c>
      <c r="M256" s="187" t="str">
        <f t="shared" si="37"/>
        <v/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 t="str">
        <f t="shared" si="36"/>
        <v/>
      </c>
      <c r="M257" s="187" t="str">
        <f t="shared" si="37"/>
        <v/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 t="str">
        <f t="shared" si="36"/>
        <v/>
      </c>
      <c r="M258" s="187" t="str">
        <f t="shared" si="37"/>
        <v/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 t="str">
        <f t="shared" ref="L259:L322" si="48">IF($B$13&gt;=K259,K259,"")</f>
        <v/>
      </c>
      <c r="M259" s="187" t="str">
        <f t="shared" ref="M259:M322" si="49">IF(L259="","",IF(L259&lt;=$E$15,VLOOKUP($E$14,$I$1:$J$4,2,FALSE),VLOOKUP($F$14,$I$1:$J$4,2,FALSE)))</f>
        <v/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 t="str">
        <f t="shared" si="48"/>
        <v/>
      </c>
      <c r="M260" s="187" t="str">
        <f t="shared" si="49"/>
        <v/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 t="str">
        <f t="shared" si="48"/>
        <v/>
      </c>
      <c r="M261" s="187" t="str">
        <f t="shared" si="49"/>
        <v/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 t="str">
        <f t="shared" si="48"/>
        <v/>
      </c>
      <c r="M262" s="187" t="str">
        <f t="shared" si="49"/>
        <v/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 t="str">
        <f t="shared" si="48"/>
        <v/>
      </c>
      <c r="M263" s="187" t="str">
        <f t="shared" si="49"/>
        <v/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 t="str">
        <f t="shared" si="48"/>
        <v/>
      </c>
      <c r="M264" s="187" t="str">
        <f t="shared" si="49"/>
        <v/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 t="str">
        <f t="shared" si="48"/>
        <v/>
      </c>
      <c r="M265" s="187" t="str">
        <f t="shared" si="49"/>
        <v/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 t="str">
        <f t="shared" si="48"/>
        <v/>
      </c>
      <c r="M266" s="187" t="str">
        <f t="shared" si="49"/>
        <v/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 t="str">
        <f t="shared" si="48"/>
        <v/>
      </c>
      <c r="M267" s="187" t="str">
        <f t="shared" si="49"/>
        <v/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 t="str">
        <f t="shared" si="48"/>
        <v/>
      </c>
      <c r="M268" s="187" t="str">
        <f t="shared" si="49"/>
        <v/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 t="str">
        <f t="shared" si="48"/>
        <v/>
      </c>
      <c r="M269" s="187" t="str">
        <f t="shared" si="49"/>
        <v/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 t="str">
        <f t="shared" si="48"/>
        <v/>
      </c>
      <c r="M270" s="187" t="str">
        <f t="shared" si="49"/>
        <v/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 t="str">
        <f t="shared" si="48"/>
        <v/>
      </c>
      <c r="M271" s="187" t="str">
        <f t="shared" si="49"/>
        <v/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 t="str">
        <f t="shared" si="48"/>
        <v/>
      </c>
      <c r="M272" s="187" t="str">
        <f t="shared" si="49"/>
        <v/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 t="str">
        <f t="shared" si="48"/>
        <v/>
      </c>
      <c r="M273" s="187" t="str">
        <f t="shared" si="49"/>
        <v/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 t="str">
        <f t="shared" si="48"/>
        <v/>
      </c>
      <c r="M274" s="187" t="str">
        <f t="shared" si="49"/>
        <v/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 t="str">
        <f t="shared" si="48"/>
        <v/>
      </c>
      <c r="M275" s="187" t="str">
        <f t="shared" si="49"/>
        <v/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 t="str">
        <f t="shared" si="48"/>
        <v/>
      </c>
      <c r="M276" s="187" t="str">
        <f t="shared" si="49"/>
        <v/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 t="str">
        <f t="shared" si="48"/>
        <v/>
      </c>
      <c r="M277" s="187" t="str">
        <f t="shared" si="49"/>
        <v/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 t="str">
        <f t="shared" si="48"/>
        <v/>
      </c>
      <c r="M278" s="187" t="str">
        <f t="shared" si="49"/>
        <v/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 t="str">
        <f t="shared" si="48"/>
        <v/>
      </c>
      <c r="M279" s="187" t="str">
        <f t="shared" si="49"/>
        <v/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 t="str">
        <f t="shared" si="48"/>
        <v/>
      </c>
      <c r="M280" s="187" t="str">
        <f t="shared" si="49"/>
        <v/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 t="str">
        <f t="shared" si="48"/>
        <v/>
      </c>
      <c r="M281" s="187" t="str">
        <f t="shared" si="49"/>
        <v/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 t="str">
        <f t="shared" si="48"/>
        <v/>
      </c>
      <c r="M282" s="187" t="str">
        <f t="shared" si="49"/>
        <v/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 t="str">
        <f t="shared" si="48"/>
        <v/>
      </c>
      <c r="M283" s="187" t="str">
        <f t="shared" si="49"/>
        <v/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 t="str">
        <f t="shared" si="48"/>
        <v/>
      </c>
      <c r="M284" s="187" t="str">
        <f t="shared" si="49"/>
        <v/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 t="str">
        <f t="shared" si="48"/>
        <v/>
      </c>
      <c r="M285" s="187" t="str">
        <f t="shared" si="49"/>
        <v/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 t="str">
        <f t="shared" si="48"/>
        <v/>
      </c>
      <c r="M286" s="187" t="str">
        <f t="shared" si="49"/>
        <v/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 t="str">
        <f t="shared" si="48"/>
        <v/>
      </c>
      <c r="M287" s="187" t="str">
        <f t="shared" si="49"/>
        <v/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 t="str">
        <f t="shared" si="48"/>
        <v/>
      </c>
      <c r="M288" s="187" t="str">
        <f t="shared" si="49"/>
        <v/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 t="str">
        <f t="shared" si="48"/>
        <v/>
      </c>
      <c r="M289" s="187" t="str">
        <f t="shared" si="49"/>
        <v/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39" priority="20">
      <formula>$B$18=""</formula>
    </cfRule>
  </conditionalFormatting>
  <conditionalFormatting sqref="B26:B29 C24:C29 E24:F29 D24:D25">
    <cfRule type="expression" dxfId="38" priority="19">
      <formula>$B$25=""</formula>
    </cfRule>
  </conditionalFormatting>
  <conditionalFormatting sqref="B33:B36 C31:C36 E31:F36 D31:D32">
    <cfRule type="expression" dxfId="37" priority="16">
      <formula>$B$32=""</formula>
    </cfRule>
  </conditionalFormatting>
  <conditionalFormatting sqref="B40:B43 C38:C43 E38:F43 D38:D39">
    <cfRule type="expression" dxfId="36" priority="14">
      <formula>$B$39=""</formula>
    </cfRule>
  </conditionalFormatting>
  <conditionalFormatting sqref="B47:B50 C45:C50 E45:F50 D45:D46">
    <cfRule type="expression" dxfId="35" priority="12">
      <formula>$B$46=""</formula>
    </cfRule>
  </conditionalFormatting>
  <conditionalFormatting sqref="B17:B18">
    <cfRule type="expression" dxfId="34" priority="10">
      <formula>$B$18=""</formula>
    </cfRule>
  </conditionalFormatting>
  <conditionalFormatting sqref="B24:B25">
    <cfRule type="expression" dxfId="33" priority="9">
      <formula>$B$25=""</formula>
    </cfRule>
  </conditionalFormatting>
  <conditionalFormatting sqref="B31:B32">
    <cfRule type="expression" dxfId="32" priority="8">
      <formula>$B$32=""</formula>
    </cfRule>
  </conditionalFormatting>
  <conditionalFormatting sqref="B38:B39">
    <cfRule type="expression" dxfId="31" priority="7">
      <formula>$B$39=""</formula>
    </cfRule>
  </conditionalFormatting>
  <conditionalFormatting sqref="B45:B46">
    <cfRule type="expression" dxfId="30" priority="6">
      <formula>$B$46=""</formula>
    </cfRule>
  </conditionalFormatting>
  <conditionalFormatting sqref="D19:D22">
    <cfRule type="expression" dxfId="29" priority="5">
      <formula>$B$18=""</formula>
    </cfRule>
  </conditionalFormatting>
  <conditionalFormatting sqref="D26:D29">
    <cfRule type="expression" dxfId="28" priority="4">
      <formula>$B$25=""</formula>
    </cfRule>
  </conditionalFormatting>
  <conditionalFormatting sqref="D33:D36">
    <cfRule type="expression" dxfId="27" priority="3">
      <formula>$B$32=""</formula>
    </cfRule>
  </conditionalFormatting>
  <conditionalFormatting sqref="D40:D43">
    <cfRule type="expression" dxfId="26" priority="2">
      <formula>$B$39=""</formula>
    </cfRule>
  </conditionalFormatting>
  <conditionalFormatting sqref="D47:D50">
    <cfRule type="expression" dxfId="25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9" customWidth="1"/>
    <col min="2" max="4" width="25" style="249" customWidth="1"/>
    <col min="5" max="6" width="13.28515625" style="249" customWidth="1"/>
    <col min="7" max="7" width="3.85546875" style="249" customWidth="1"/>
    <col min="8" max="8" width="9.140625" style="247" customWidth="1"/>
    <col min="9" max="9" width="14.85546875" style="247" hidden="1" customWidth="1"/>
    <col min="10" max="26" width="9.140625" style="247" hidden="1" customWidth="1"/>
    <col min="27" max="147" width="9.140625" style="247"/>
    <col min="148" max="16384" width="9.140625" style="249"/>
  </cols>
  <sheetData>
    <row r="1" spans="1:147" ht="14.25" thickTop="1" thickBot="1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5" thickBot="1">
      <c r="A2" s="250"/>
      <c r="B2" s="251" t="s">
        <v>8</v>
      </c>
      <c r="C2" s="252"/>
      <c r="D2" s="252"/>
      <c r="E2" s="440" t="s">
        <v>9</v>
      </c>
      <c r="F2" s="441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>
      <c r="A3" s="255"/>
      <c r="B3" s="442" t="str">
        <f>'[3]Cover - Location Info'!J8</f>
        <v>00000</v>
      </c>
      <c r="C3" s="256"/>
      <c r="D3" s="256"/>
      <c r="E3" s="444" t="str">
        <f>'[3]Cover - Location Info'!J10</f>
        <v>1.0</v>
      </c>
      <c r="F3" s="445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5" thickBot="1">
      <c r="A4" s="255"/>
      <c r="B4" s="443"/>
      <c r="C4" s="256"/>
      <c r="D4" s="256"/>
      <c r="E4" s="446"/>
      <c r="F4" s="447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6.25">
      <c r="A6" s="255"/>
      <c r="B6" s="448" t="s">
        <v>2</v>
      </c>
      <c r="C6" s="448"/>
      <c r="D6" s="448"/>
      <c r="E6" s="448"/>
      <c r="F6" s="448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>
      <c r="A10" s="255"/>
      <c r="B10" s="259" t="s">
        <v>35</v>
      </c>
      <c r="C10" s="260" t="s">
        <v>33</v>
      </c>
      <c r="D10" s="437" t="s">
        <v>34</v>
      </c>
      <c r="E10" s="438"/>
      <c r="F10" s="439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>
      <c r="A11" s="255"/>
      <c r="B11" s="261" t="s">
        <v>90</v>
      </c>
      <c r="C11" s="262"/>
      <c r="D11" s="434"/>
      <c r="E11" s="435"/>
      <c r="F11" s="436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5" thickBot="1">
      <c r="A12" s="255"/>
      <c r="B12" s="263" t="s">
        <v>144</v>
      </c>
      <c r="C12" s="264" t="s">
        <v>36</v>
      </c>
      <c r="D12" s="265" t="s">
        <v>64</v>
      </c>
      <c r="E12" s="426" t="s">
        <v>41</v>
      </c>
      <c r="F12" s="427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>
      <c r="A13" s="255"/>
      <c r="B13" s="428"/>
      <c r="C13" s="431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>
      <c r="A14" s="255"/>
      <c r="B14" s="429"/>
      <c r="C14" s="432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>
      <c r="A15" s="255"/>
      <c r="B15" s="430"/>
      <c r="C15" s="433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5" thickBot="1">
      <c r="A17" s="255"/>
      <c r="B17" s="259" t="s">
        <v>35</v>
      </c>
      <c r="C17" s="260" t="s">
        <v>33</v>
      </c>
      <c r="D17" s="437" t="s">
        <v>34</v>
      </c>
      <c r="E17" s="438"/>
      <c r="F17" s="439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>
      <c r="A18" s="255"/>
      <c r="B18" s="276" t="s">
        <v>91</v>
      </c>
      <c r="C18" s="262"/>
      <c r="D18" s="434"/>
      <c r="E18" s="435"/>
      <c r="F18" s="436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>
      <c r="A19" s="255"/>
      <c r="B19" s="263" t="s">
        <v>144</v>
      </c>
      <c r="C19" s="264" t="s">
        <v>36</v>
      </c>
      <c r="D19" s="265" t="s">
        <v>64</v>
      </c>
      <c r="E19" s="426" t="s">
        <v>41</v>
      </c>
      <c r="F19" s="427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>
      <c r="A20" s="255"/>
      <c r="B20" s="428"/>
      <c r="C20" s="431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>
      <c r="A21" s="255"/>
      <c r="B21" s="429"/>
      <c r="C21" s="432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>
      <c r="A22" s="255"/>
      <c r="B22" s="430"/>
      <c r="C22" s="433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>
      <c r="A24" s="255"/>
      <c r="B24" s="259" t="s">
        <v>35</v>
      </c>
      <c r="C24" s="260" t="s">
        <v>33</v>
      </c>
      <c r="D24" s="437" t="s">
        <v>34</v>
      </c>
      <c r="E24" s="438"/>
      <c r="F24" s="439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>
      <c r="A25" s="255"/>
      <c r="B25" s="276" t="s">
        <v>92</v>
      </c>
      <c r="C25" s="262"/>
      <c r="D25" s="434"/>
      <c r="E25" s="435"/>
      <c r="F25" s="436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>
      <c r="A26" s="255"/>
      <c r="B26" s="263" t="s">
        <v>144</v>
      </c>
      <c r="C26" s="264" t="s">
        <v>36</v>
      </c>
      <c r="D26" s="265" t="s">
        <v>64</v>
      </c>
      <c r="E26" s="426" t="s">
        <v>41</v>
      </c>
      <c r="F26" s="427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>
      <c r="A27" s="255"/>
      <c r="B27" s="428"/>
      <c r="C27" s="431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>
      <c r="A28" s="255"/>
      <c r="B28" s="429"/>
      <c r="C28" s="432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>
      <c r="A29" s="255"/>
      <c r="B29" s="430"/>
      <c r="C29" s="433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5" thickBot="1">
      <c r="A31" s="255"/>
      <c r="B31" s="259" t="s">
        <v>35</v>
      </c>
      <c r="C31" s="260" t="s">
        <v>33</v>
      </c>
      <c r="D31" s="437" t="s">
        <v>34</v>
      </c>
      <c r="E31" s="438"/>
      <c r="F31" s="439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>
      <c r="A32" s="255"/>
      <c r="B32" s="276" t="s">
        <v>93</v>
      </c>
      <c r="C32" s="262"/>
      <c r="D32" s="434"/>
      <c r="E32" s="435"/>
      <c r="F32" s="436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>
      <c r="A33" s="255"/>
      <c r="B33" s="263" t="s">
        <v>144</v>
      </c>
      <c r="C33" s="264" t="s">
        <v>36</v>
      </c>
      <c r="D33" s="265" t="s">
        <v>64</v>
      </c>
      <c r="E33" s="426" t="s">
        <v>41</v>
      </c>
      <c r="F33" s="427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>
      <c r="A34" s="255"/>
      <c r="B34" s="428"/>
      <c r="C34" s="431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>
      <c r="A35" s="255"/>
      <c r="B35" s="429"/>
      <c r="C35" s="432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>
      <c r="A36" s="255"/>
      <c r="B36" s="430"/>
      <c r="C36" s="433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5" thickBot="1">
      <c r="A38" s="255"/>
      <c r="B38" s="259" t="s">
        <v>35</v>
      </c>
      <c r="C38" s="260" t="s">
        <v>33</v>
      </c>
      <c r="D38" s="437" t="s">
        <v>34</v>
      </c>
      <c r="E38" s="438"/>
      <c r="F38" s="439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>
      <c r="A39" s="255"/>
      <c r="B39" s="276" t="s">
        <v>94</v>
      </c>
      <c r="C39" s="262"/>
      <c r="D39" s="434"/>
      <c r="E39" s="435"/>
      <c r="F39" s="436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>
      <c r="A40" s="255"/>
      <c r="B40" s="263" t="s">
        <v>144</v>
      </c>
      <c r="C40" s="264" t="s">
        <v>36</v>
      </c>
      <c r="D40" s="265" t="s">
        <v>64</v>
      </c>
      <c r="E40" s="426" t="s">
        <v>41</v>
      </c>
      <c r="F40" s="427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>
      <c r="A41" s="255"/>
      <c r="B41" s="428"/>
      <c r="C41" s="431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>
      <c r="A42" s="255"/>
      <c r="B42" s="429"/>
      <c r="C42" s="432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>
      <c r="A43" s="255"/>
      <c r="B43" s="430"/>
      <c r="C43" s="433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5" thickBot="1">
      <c r="A45" s="255"/>
      <c r="B45" s="259" t="s">
        <v>35</v>
      </c>
      <c r="C45" s="260" t="s">
        <v>33</v>
      </c>
      <c r="D45" s="437" t="s">
        <v>34</v>
      </c>
      <c r="E45" s="438"/>
      <c r="F45" s="439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>
      <c r="A46" s="255"/>
      <c r="B46" s="276" t="s">
        <v>95</v>
      </c>
      <c r="C46" s="262"/>
      <c r="D46" s="434"/>
      <c r="E46" s="435"/>
      <c r="F46" s="436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>
      <c r="A47" s="255"/>
      <c r="B47" s="263" t="s">
        <v>144</v>
      </c>
      <c r="C47" s="264" t="s">
        <v>36</v>
      </c>
      <c r="D47" s="265" t="s">
        <v>64</v>
      </c>
      <c r="E47" s="426" t="s">
        <v>41</v>
      </c>
      <c r="F47" s="427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>
      <c r="A48" s="255"/>
      <c r="B48" s="428"/>
      <c r="C48" s="431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>
      <c r="A49" s="255"/>
      <c r="B49" s="429"/>
      <c r="C49" s="432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>
      <c r="A50" s="255"/>
      <c r="B50" s="430"/>
      <c r="C50" s="433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5" thickTop="1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zoomScale="80" zoomScaleNormal="80" workbookViewId="0">
      <selection activeCell="N14" sqref="N14:N15"/>
    </sheetView>
  </sheetViews>
  <sheetFormatPr defaultRowHeight="12.75"/>
  <cols>
    <col min="1" max="1" width="1.7109375" style="155" customWidth="1"/>
    <col min="2" max="2" width="5.28515625" style="155" customWidth="1"/>
    <col min="3" max="3" width="25.28515625" style="155" customWidth="1"/>
    <col min="4" max="4" width="8.7109375" style="155" customWidth="1"/>
    <col min="5" max="5" width="6.5703125" style="155" customWidth="1"/>
    <col min="6" max="6" width="1.85546875" style="176" customWidth="1"/>
    <col min="7" max="7" width="6.5703125" style="155" customWidth="1"/>
    <col min="8" max="8" width="10.42578125" style="155" bestFit="1" customWidth="1"/>
    <col min="9" max="9" width="6.5703125" style="155" customWidth="1"/>
    <col min="10" max="10" width="1.85546875" style="176" customWidth="1"/>
    <col min="11" max="11" width="6.5703125" style="155" customWidth="1"/>
    <col min="12" max="12" width="8.7109375" style="155" customWidth="1"/>
    <col min="13" max="13" width="24.140625" style="155" customWidth="1"/>
    <col min="14" max="14" width="15.5703125" style="155" customWidth="1"/>
    <col min="15" max="15" width="9.85546875" style="224" customWidth="1"/>
    <col min="16" max="16" width="5.28515625" style="155" customWidth="1"/>
    <col min="17" max="17" width="2.140625" style="177" customWidth="1"/>
    <col min="18" max="18" width="10.140625" style="155" customWidth="1"/>
    <col min="19" max="19" width="10.28515625" style="155" customWidth="1"/>
    <col min="20" max="21" width="10.5703125" style="155" customWidth="1"/>
    <col min="22" max="22" width="6.7109375" style="155" customWidth="1"/>
    <col min="23" max="23" width="16.42578125" style="155" customWidth="1"/>
    <col min="24" max="24" width="1.7109375" style="207" customWidth="1"/>
    <col min="25" max="25" width="7.85546875" style="154" hidden="1" customWidth="1"/>
    <col min="26" max="30" width="9.140625" style="153" hidden="1" customWidth="1"/>
    <col min="31" max="35" width="9.140625" style="152" hidden="1" customWidth="1"/>
    <col min="36" max="38" width="9.140625" style="154" hidden="1" customWidth="1"/>
    <col min="39" max="39" width="32.42578125" style="154" hidden="1" customWidth="1"/>
    <col min="40" max="40" width="11.7109375" style="154" hidden="1" customWidth="1"/>
    <col min="41" max="41" width="10.7109375" style="154" hidden="1" customWidth="1"/>
    <col min="42" max="43" width="9.140625" style="154" hidden="1" customWidth="1"/>
    <col min="44" max="44" width="27.28515625" style="154" hidden="1" customWidth="1"/>
    <col min="45" max="45" width="11.7109375" style="154" hidden="1" customWidth="1"/>
    <col min="46" max="46" width="10.7109375" style="154" hidden="1" customWidth="1"/>
    <col min="47" max="48" width="9.140625" style="154" hidden="1" customWidth="1"/>
    <col min="49" max="49" width="27.28515625" style="154" hidden="1" customWidth="1"/>
    <col min="50" max="50" width="11.7109375" style="154" hidden="1" customWidth="1"/>
    <col min="51" max="51" width="10.7109375" style="154" hidden="1" customWidth="1"/>
    <col min="52" max="53" width="9.140625" style="154" hidden="1" customWidth="1"/>
    <col min="54" max="54" width="27.28515625" style="154" hidden="1" customWidth="1"/>
    <col min="55" max="55" width="11.7109375" style="154" hidden="1" customWidth="1"/>
    <col min="56" max="56" width="10.7109375" style="154" hidden="1" customWidth="1"/>
    <col min="57" max="58" width="9.140625" style="154" hidden="1" customWidth="1"/>
    <col min="59" max="59" width="27.28515625" style="154" hidden="1" customWidth="1"/>
    <col min="60" max="60" width="11.7109375" style="154" hidden="1" customWidth="1"/>
    <col min="61" max="61" width="10.7109375" style="154" hidden="1" customWidth="1"/>
    <col min="62" max="63" width="9.140625" style="154" hidden="1" customWidth="1"/>
    <col min="64" max="64" width="27.28515625" style="154" hidden="1" customWidth="1"/>
    <col min="65" max="65" width="9.140625" style="154" hidden="1" customWidth="1"/>
    <col min="66" max="88" width="9.140625" style="155" hidden="1" customWidth="1"/>
    <col min="89" max="89" width="2.7109375" style="185" customWidth="1"/>
    <col min="90" max="90" width="36.42578125" style="185" customWidth="1"/>
    <col min="91" max="195" width="9.140625" style="185"/>
    <col min="196" max="16384" width="9.140625" style="155"/>
  </cols>
  <sheetData>
    <row r="1" spans="1:90" ht="13.5" thickBot="1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>[A] WPM</v>
      </c>
      <c r="AI1" s="152" t="s">
        <v>21</v>
      </c>
      <c r="AJ1" s="154" t="s">
        <v>13</v>
      </c>
      <c r="AM1" s="154" t="str">
        <f>AF1</f>
        <v>[A] WPM</v>
      </c>
      <c r="AN1" s="154" t="s">
        <v>21</v>
      </c>
      <c r="AO1" s="154" t="s">
        <v>14</v>
      </c>
      <c r="AR1" s="154" t="str">
        <f>AF2</f>
        <v>[B] TX-1HB:9999-ENT-W-1</v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3.5" thickBot="1">
      <c r="A2" s="156"/>
      <c r="B2" s="455" t="s">
        <v>8</v>
      </c>
      <c r="C2" s="456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5" t="s">
        <v>9</v>
      </c>
      <c r="V2" s="464"/>
      <c r="W2" s="456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>[B] TX-1HB:9999-ENT-W-1</v>
      </c>
      <c r="AJ2" s="154" t="e">
        <f>IF('Cable Info'!L2="","",CONCATENATE('Cable Info'!L2," - ",'Cable Info'!M2))</f>
        <v>#N/A</v>
      </c>
      <c r="AM2" s="154" t="e">
        <f>IF(AK2="",AJ2,CONCATENATE(AJ2,"  &lt;=&gt; ",AK2," ",AL2))</f>
        <v>#N/A</v>
      </c>
      <c r="AO2" s="154" t="e">
        <f>IF('Cable Info'!N2="","",CONCATENATE('Cable Info'!N2," - ",'Cable Info'!O2))</f>
        <v>#N/A</v>
      </c>
      <c r="AR2" s="154" t="e">
        <f>IF(AP2="",AO2,CONCATENATE(AO2,"  &lt;=&gt; ",AP2," ",AQ2))</f>
        <v>#N/A</v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>
      <c r="A3" s="156"/>
      <c r="B3" s="457" t="str">
        <f>'Cover - Location Info'!J8</f>
        <v>101537</v>
      </c>
      <c r="C3" s="458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5" t="str">
        <f>'Cover - Location Info'!J10</f>
        <v>1.0</v>
      </c>
      <c r="V3" s="466"/>
      <c r="W3" s="467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e">
        <f>IF('Cable Info'!L3="","",CONCATENATE('Cable Info'!L3," - ",'Cable Info'!M3))</f>
        <v>#N/A</v>
      </c>
      <c r="AM3" s="154" t="e">
        <f t="shared" ref="AM3:AM66" si="0">IF(AK3="",AJ3,CONCATENATE(AJ3,"  &lt;=&gt; ",AK3," ",AL3))</f>
        <v>#N/A</v>
      </c>
      <c r="AO3" s="154" t="e">
        <f>IF('Cable Info'!N3="","",CONCATENATE('Cable Info'!N3," - ",'Cable Info'!O3))</f>
        <v>#N/A</v>
      </c>
      <c r="AR3" s="154" t="e">
        <f t="shared" ref="AR3:AR66" si="1">IF(AP3="",AO3,CONCATENATE(AO3,"  &lt;=&gt; ",AP3," ",AQ3))</f>
        <v>#N/A</v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>
      <c r="A4" s="156"/>
      <c r="B4" s="459"/>
      <c r="C4" s="460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8"/>
      <c r="V4" s="469"/>
      <c r="W4" s="470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e">
        <f>IF('Cable Info'!L4="","",CONCATENATE('Cable Info'!L4," - ",'Cable Info'!M4))</f>
        <v>#N/A</v>
      </c>
      <c r="AM4" s="154" t="e">
        <f t="shared" si="0"/>
        <v>#N/A</v>
      </c>
      <c r="AO4" s="154" t="e">
        <f>IF('Cable Info'!N4="","",CONCATENATE('Cable Info'!N4," - ",'Cable Info'!O4))</f>
        <v>#N/A</v>
      </c>
      <c r="AR4" s="154" t="e">
        <f t="shared" si="1"/>
        <v>#N/A</v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>
      <c r="A5" s="156"/>
      <c r="B5" s="6"/>
      <c r="C5" s="6"/>
      <c r="D5" s="6"/>
      <c r="E5" s="6"/>
      <c r="F5" s="136"/>
      <c r="G5" s="471" t="str">
        <f>IF(AB9&gt;0,"COUNT MISMATCH","")</f>
        <v/>
      </c>
      <c r="H5" s="471"/>
      <c r="I5" s="471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e">
        <f>IF('Cable Info'!L5="","",CONCATENATE('Cable Info'!L5," - ",'Cable Info'!M5))</f>
        <v>#N/A</v>
      </c>
      <c r="AM5" s="154" t="e">
        <f t="shared" si="0"/>
        <v>#N/A</v>
      </c>
      <c r="AO5" s="154" t="e">
        <f>IF('Cable Info'!N5="","",CONCATENATE('Cable Info'!N5," - ",'Cable Info'!O5))</f>
        <v>#N/A</v>
      </c>
      <c r="AR5" s="154" t="e">
        <f t="shared" si="1"/>
        <v>#N/A</v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>
      <c r="A6" s="156"/>
      <c r="B6" s="6"/>
      <c r="C6" s="15"/>
      <c r="D6" s="472" t="str">
        <f>IF(Y9&gt;0,"FIBERS OUT OF SEQ.","")</f>
        <v/>
      </c>
      <c r="E6" s="472"/>
      <c r="F6" s="472"/>
      <c r="G6" s="472"/>
      <c r="H6" s="141"/>
      <c r="I6" s="473" t="str">
        <f>IF(Z9&gt;0,"FIBERS OUT OF SEQ.","")</f>
        <v/>
      </c>
      <c r="J6" s="473"/>
      <c r="K6" s="473"/>
      <c r="L6" s="473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e">
        <f>IF('Cable Info'!L6="","",CONCATENATE('Cable Info'!L6," - ",'Cable Info'!M6))</f>
        <v>#N/A</v>
      </c>
      <c r="AM6" s="154" t="e">
        <f t="shared" si="0"/>
        <v>#N/A</v>
      </c>
      <c r="AO6" s="154" t="e">
        <f>IF('Cable Info'!N6="","",CONCATENATE('Cable Info'!N6," - ",'Cable Info'!O6))</f>
        <v>#N/A</v>
      </c>
      <c r="AR6" s="154" t="e">
        <f t="shared" si="1"/>
        <v>#N/A</v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>
      <c r="A7" s="227"/>
      <c r="B7" s="451" t="s">
        <v>40</v>
      </c>
      <c r="C7" s="452"/>
      <c r="D7" s="452"/>
      <c r="E7" s="454"/>
      <c r="F7" s="454"/>
      <c r="G7" s="454"/>
      <c r="H7" s="452"/>
      <c r="I7" s="452"/>
      <c r="J7" s="452"/>
      <c r="K7" s="452"/>
      <c r="L7" s="452"/>
      <c r="M7" s="452"/>
      <c r="N7" s="452"/>
      <c r="O7" s="452"/>
      <c r="P7" s="453"/>
      <c r="Q7" s="229"/>
      <c r="R7" s="451" t="s">
        <v>39</v>
      </c>
      <c r="S7" s="452"/>
      <c r="T7" s="452"/>
      <c r="U7" s="452"/>
      <c r="V7" s="452"/>
      <c r="W7" s="453"/>
      <c r="X7" s="232"/>
      <c r="Y7" s="152"/>
      <c r="AJ7" s="154" t="e">
        <f>IF('Cable Info'!L7="","",CONCATENATE('Cable Info'!L7," - ",'Cable Info'!M7))</f>
        <v>#N/A</v>
      </c>
      <c r="AM7" s="154" t="e">
        <f t="shared" si="0"/>
        <v>#N/A</v>
      </c>
      <c r="AO7" s="154" t="e">
        <f>IF('Cable Info'!N7="","",CONCATENATE('Cable Info'!N7," - ",'Cable Info'!O7))</f>
        <v>#N/A</v>
      </c>
      <c r="AR7" s="154" t="e">
        <f t="shared" si="1"/>
        <v>#N/A</v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5" thickBot="1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e">
        <f>IF('Cable Info'!L8="","",CONCATENATE('Cable Info'!L8," - ",'Cable Info'!M8))</f>
        <v>#N/A</v>
      </c>
      <c r="AM8" s="154" t="e">
        <f t="shared" si="0"/>
        <v>#N/A</v>
      </c>
      <c r="AO8" s="154" t="e">
        <f>IF('Cable Info'!N8="","",CONCATENATE('Cable Info'!N8," - ",'Cable Info'!O8))</f>
        <v>#N/A</v>
      </c>
      <c r="AR8" s="154" t="e">
        <f t="shared" si="1"/>
        <v>#N/A</v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49" t="s">
        <v>86</v>
      </c>
    </row>
    <row r="9" spans="1:90" ht="13.5" thickBot="1">
      <c r="A9" s="228"/>
      <c r="B9" s="143" t="s">
        <v>35</v>
      </c>
      <c r="C9" s="144" t="s">
        <v>38</v>
      </c>
      <c r="D9" s="143" t="s">
        <v>3</v>
      </c>
      <c r="E9" s="461" t="s">
        <v>73</v>
      </c>
      <c r="F9" s="462"/>
      <c r="G9" s="463"/>
      <c r="H9" s="145" t="s">
        <v>81</v>
      </c>
      <c r="I9" s="461" t="s">
        <v>73</v>
      </c>
      <c r="J9" s="462"/>
      <c r="K9" s="463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e">
        <f>IF('Cable Info'!L9="","",CONCATENATE('Cable Info'!L9," - ",'Cable Info'!M9))</f>
        <v>#N/A</v>
      </c>
      <c r="AM9" s="154" t="e">
        <f t="shared" si="0"/>
        <v>#N/A</v>
      </c>
      <c r="AO9" s="154" t="e">
        <f>IF('Cable Info'!N9="","",CONCATENATE('Cable Info'!N9," - ",'Cable Info'!O9))</f>
        <v>#N/A</v>
      </c>
      <c r="AR9" s="154" t="e">
        <f t="shared" si="1"/>
        <v>#N/A</v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0"/>
    </row>
    <row r="10" spans="1:90" ht="13.5" thickTop="1">
      <c r="A10" s="227"/>
      <c r="B10" s="161" t="s">
        <v>13</v>
      </c>
      <c r="C10" s="146" t="str">
        <f>IFERROR(IF(B10="","",IF((COUNTIF('Cable Info'!$B$11:$C$50,B10)=0),VLOOKUP(B10,'Cable Info (2)'!$B$11:$C$50,2,FALSE),(VLOOKUP(B10,'Cable Info'!$B$11:$C$50,2,FALSE)))),"NO SUCH EXIT")</f>
        <v>WPM</v>
      </c>
      <c r="D10" s="289" t="s">
        <v>147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147</v>
      </c>
      <c r="M10" s="146" t="str">
        <f>IFERROR(IF(P10="","",IF((COUNTIF('Cable Info'!$B$11:$C$50,P10)=0),VLOOKUP(P10,'Cable Info (2)'!$B$11:$C$50,2,FALSE),(VLOOKUP(P10,'Cable Info'!$B$11:$C$50,2,FALSE)))),"NO SUCH EXIT")</f>
        <v>TX-1HB:9999-ENT-W-1</v>
      </c>
      <c r="N10" s="297"/>
      <c r="O10" s="238" t="s">
        <v>151</v>
      </c>
      <c r="P10" s="162" t="s">
        <v>14</v>
      </c>
      <c r="Q10" s="229"/>
      <c r="R10" s="163" t="s">
        <v>77</v>
      </c>
      <c r="S10" s="163" t="s">
        <v>71</v>
      </c>
      <c r="T10" s="164"/>
      <c r="U10" s="164"/>
      <c r="V10" s="165" t="s">
        <v>147</v>
      </c>
      <c r="W10" s="165"/>
      <c r="X10" s="233">
        <f>IF(V10="","",IF(R10="","",IF(S10="","",IF(R10="SPLICED",(IF(S10="SPLICE",0,9)),IF(V10=$U$3,(IF(S10="BREAK",12,11)),IF(S10="BREAK",2,1))))))</f>
        <v>1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e">
        <f>IF('Cable Info'!L10="","",CONCATENATE('Cable Info'!L10," - ",'Cable Info'!M10))</f>
        <v>#N/A</v>
      </c>
      <c r="AM10" s="154" t="e">
        <f t="shared" si="0"/>
        <v>#N/A</v>
      </c>
      <c r="AO10" s="154" t="e">
        <f>IF('Cable Info'!N10="","",CONCATENATE('Cable Info'!N10," - ",'Cable Info'!O10))</f>
        <v>#N/A</v>
      </c>
      <c r="AR10" s="154" t="e">
        <f t="shared" si="1"/>
        <v>#N/A</v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/>
    </row>
    <row r="11" spans="1:90">
      <c r="A11" s="227"/>
      <c r="B11" s="161"/>
      <c r="C11" s="147" t="str">
        <f>IFERROR(IF(B11="","",IF((COUNTIF('Cable Info'!$B$11:$C$50,B11)=0),VLOOKUP(B11,'Cable Info (2)'!$B$11:$C$50,2,FALSE),(VLOOKUP(B11,'Cable Info'!$B$11:$C$50,2,FALSE)))),"NO SUCH EXIT")</f>
        <v/>
      </c>
      <c r="D11" s="290"/>
      <c r="E11" s="317"/>
      <c r="F11" s="137" t="s">
        <v>59</v>
      </c>
      <c r="G11" s="320"/>
      <c r="H11" s="147" t="str">
        <f>IF(G11="","",((E11-G11)-1)*(-1))</f>
        <v/>
      </c>
      <c r="I11" s="322"/>
      <c r="J11" s="137" t="s">
        <v>59</v>
      </c>
      <c r="K11" s="326"/>
      <c r="L11" s="294"/>
      <c r="M11" s="147" t="str">
        <f>IFERROR(IF(P11="","",IF((COUNTIF('Cable Info'!$B$11:$C$50,P11)=0),VLOOKUP(P11,'Cable Info (2)'!$B$11:$C$50,2,FALSE),(VLOOKUP(P11,'Cable Info'!$B$11:$C$50,2,FALSE)))),"NO SUCH EXIT")</f>
        <v/>
      </c>
      <c r="N11" s="298"/>
      <c r="O11" s="239"/>
      <c r="P11" s="166"/>
      <c r="Q11" s="229"/>
      <c r="R11" s="167"/>
      <c r="S11" s="167" t="s">
        <v>71</v>
      </c>
      <c r="T11" s="168"/>
      <c r="U11" s="168"/>
      <c r="V11" s="169" t="s">
        <v>147</v>
      </c>
      <c r="W11" s="165"/>
      <c r="X11" s="234" t="str">
        <f t="shared" ref="X11:X74" si="6">IF(V11="","",IF(R11="","",IF(S11="","",IF(R11="SPLICED",(IF(S11="SPLICE",0,9)),IF(V11=$U$3,(IF(S11="BREAK",12,11)),IF(S11="BREAK",2,1))))))</f>
        <v/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 t="str">
        <f t="shared" ref="AA11:AA74" si="9">IF(K11="","",((I11-K11)-1)*(-1))</f>
        <v/>
      </c>
      <c r="AB11" s="153" t="str">
        <f t="shared" ref="AB11:AB74" si="10">IF(E11="","",IF(G11="","",IF(I11="","",IF(K11="","",IF(AA11&lt;&gt;H11,1,"")))))</f>
        <v/>
      </c>
      <c r="AJ11" s="154" t="e">
        <f>IF('Cable Info'!L11="","",CONCATENATE('Cable Info'!L11," - ",'Cable Info'!M11))</f>
        <v>#N/A</v>
      </c>
      <c r="AM11" s="154" t="e">
        <f t="shared" si="0"/>
        <v>#N/A</v>
      </c>
      <c r="AO11" s="154" t="e">
        <f>IF('Cable Info'!N11="","",CONCATENATE('Cable Info'!N11," - ",'Cable Info'!O11))</f>
        <v>#N/A</v>
      </c>
      <c r="AR11" s="154" t="e">
        <f t="shared" si="1"/>
        <v>#N/A</v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e">
        <f>IF('Cable Info'!L12="","",CONCATENATE('Cable Info'!L12," - ",'Cable Info'!M12))</f>
        <v>#N/A</v>
      </c>
      <c r="AM12" s="154" t="e">
        <f t="shared" si="0"/>
        <v>#N/A</v>
      </c>
      <c r="AO12" s="154" t="e">
        <f>IF('Cable Info'!N12="","",CONCATENATE('Cable Info'!N12," - ",'Cable Info'!O12))</f>
        <v>#N/A</v>
      </c>
      <c r="AR12" s="154" t="e">
        <f t="shared" si="1"/>
        <v>#N/A</v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e">
        <f>IF('Cable Info'!L13="","",CONCATENATE('Cable Info'!L13," - ",'Cable Info'!M13))</f>
        <v>#N/A</v>
      </c>
      <c r="AK13" s="154" t="s">
        <v>65</v>
      </c>
      <c r="AL13" s="154" t="s">
        <v>66</v>
      </c>
      <c r="AM13" s="154" t="e">
        <f t="shared" si="0"/>
        <v>#N/A</v>
      </c>
      <c r="AO13" s="154" t="e">
        <f>IF('Cable Info'!N13="","",CONCATENATE('Cable Info'!N13," - ",'Cable Info'!O13))</f>
        <v>#N/A</v>
      </c>
      <c r="AR13" s="154" t="e">
        <f t="shared" si="1"/>
        <v>#N/A</v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e">
        <f>IF('Cable Info'!L14="","",CONCATENATE('Cable Info'!L14," - ",'Cable Info'!M14))</f>
        <v>#N/A</v>
      </c>
      <c r="AM14" s="154" t="e">
        <f t="shared" si="0"/>
        <v>#N/A</v>
      </c>
      <c r="AO14" s="154" t="e">
        <f>IF('Cable Info'!N14="","",CONCATENATE('Cable Info'!N14," - ",'Cable Info'!O14))</f>
        <v>#N/A</v>
      </c>
      <c r="AR14" s="154" t="e">
        <f t="shared" si="1"/>
        <v>#N/A</v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e">
        <f>IF('Cable Info'!L15="","",CONCATENATE('Cable Info'!L15," - ",'Cable Info'!M15))</f>
        <v>#N/A</v>
      </c>
      <c r="AM15" s="154" t="e">
        <f t="shared" si="0"/>
        <v>#N/A</v>
      </c>
      <c r="AO15" s="154" t="e">
        <f>IF('Cable Info'!N15="","",CONCATENATE('Cable Info'!N15," - ",'Cable Info'!O15))</f>
        <v>#N/A</v>
      </c>
      <c r="AR15" s="154" t="e">
        <f t="shared" si="1"/>
        <v>#N/A</v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e">
        <f>IF('Cable Info'!L16="","",CONCATENATE('Cable Info'!L16," - ",'Cable Info'!M16))</f>
        <v>#N/A</v>
      </c>
      <c r="AM16" s="154" t="e">
        <f t="shared" si="0"/>
        <v>#N/A</v>
      </c>
      <c r="AO16" s="154" t="e">
        <f>IF('Cable Info'!N16="","",CONCATENATE('Cable Info'!N16," - ",'Cable Info'!O16))</f>
        <v>#N/A</v>
      </c>
      <c r="AR16" s="154" t="e">
        <f t="shared" si="1"/>
        <v>#N/A</v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e">
        <f>IF('Cable Info'!L17="","",CONCATENATE('Cable Info'!L17," - ",'Cable Info'!M17))</f>
        <v>#N/A</v>
      </c>
      <c r="AM17" s="154" t="e">
        <f t="shared" si="0"/>
        <v>#N/A</v>
      </c>
      <c r="AO17" s="154" t="e">
        <f>IF('Cable Info'!N17="","",CONCATENATE('Cable Info'!N17," - ",'Cable Info'!O17))</f>
        <v>#N/A</v>
      </c>
      <c r="AR17" s="154" t="e">
        <f t="shared" si="1"/>
        <v>#N/A</v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e">
        <f>IF('Cable Info'!L18="","",CONCATENATE('Cable Info'!L18," - ",'Cable Info'!M18))</f>
        <v>#N/A</v>
      </c>
      <c r="AM18" s="154" t="e">
        <f t="shared" si="0"/>
        <v>#N/A</v>
      </c>
      <c r="AO18" s="154" t="e">
        <f>IF('Cable Info'!N18="","",CONCATENATE('Cable Info'!N18," - ",'Cable Info'!O18))</f>
        <v>#N/A</v>
      </c>
      <c r="AP18" s="154" t="s">
        <v>67</v>
      </c>
      <c r="AR18" s="154" t="e">
        <f t="shared" si="1"/>
        <v>#N/A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e">
        <f>IF('Cable Info'!L19="","",CONCATENATE('Cable Info'!L19," - ",'Cable Info'!M19))</f>
        <v>#N/A</v>
      </c>
      <c r="AM19" s="154" t="e">
        <f t="shared" si="0"/>
        <v>#N/A</v>
      </c>
      <c r="AO19" s="154" t="e">
        <f>IF('Cable Info'!N19="","",CONCATENATE('Cable Info'!N19," - ",'Cable Info'!O19))</f>
        <v>#N/A</v>
      </c>
      <c r="AR19" s="154" t="e">
        <f t="shared" si="1"/>
        <v>#N/A</v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e">
        <f>IF('Cable Info'!L20="","",CONCATENATE('Cable Info'!L20," - ",'Cable Info'!M20))</f>
        <v>#N/A</v>
      </c>
      <c r="AM20" s="154" t="e">
        <f t="shared" si="0"/>
        <v>#N/A</v>
      </c>
      <c r="AO20" s="154" t="e">
        <f>IF('Cable Info'!N20="","",CONCATENATE('Cable Info'!N20," - ",'Cable Info'!O20))</f>
        <v>#N/A</v>
      </c>
      <c r="AR20" s="154" t="e">
        <f t="shared" si="1"/>
        <v>#N/A</v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e">
        <f>IF('Cable Info'!L21="","",CONCATENATE('Cable Info'!L21," - ",'Cable Info'!M21))</f>
        <v>#N/A</v>
      </c>
      <c r="AM21" s="154" t="e">
        <f t="shared" si="0"/>
        <v>#N/A</v>
      </c>
      <c r="AO21" s="154" t="e">
        <f>IF('Cable Info'!N21="","",CONCATENATE('Cable Info'!N21," - ",'Cable Info'!O21))</f>
        <v>#N/A</v>
      </c>
      <c r="AR21" s="154" t="e">
        <f t="shared" si="1"/>
        <v>#N/A</v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e">
        <f>IF('Cable Info'!L22="","",CONCATENATE('Cable Info'!L22," - ",'Cable Info'!M22))</f>
        <v>#N/A</v>
      </c>
      <c r="AM22" s="154" t="e">
        <f t="shared" si="0"/>
        <v>#N/A</v>
      </c>
      <c r="AO22" s="154" t="e">
        <f>IF('Cable Info'!N22="","",CONCATENATE('Cable Info'!N22," - ",'Cable Info'!O22))</f>
        <v>#N/A</v>
      </c>
      <c r="AR22" s="154" t="e">
        <f t="shared" si="1"/>
        <v>#N/A</v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e">
        <f>IF('Cable Info'!L23="","",CONCATENATE('Cable Info'!L23," - ",'Cable Info'!M23))</f>
        <v>#N/A</v>
      </c>
      <c r="AM23" s="154" t="e">
        <f t="shared" si="0"/>
        <v>#N/A</v>
      </c>
      <c r="AO23" s="154" t="e">
        <f>IF('Cable Info'!N23="","",CONCATENATE('Cable Info'!N23," - ",'Cable Info'!O23))</f>
        <v>#N/A</v>
      </c>
      <c r="AR23" s="154" t="e">
        <f t="shared" si="1"/>
        <v>#N/A</v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e">
        <f>IF('Cable Info'!L24="","",CONCATENATE('Cable Info'!L24," - ",'Cable Info'!M24))</f>
        <v>#N/A</v>
      </c>
      <c r="AM24" s="154" t="e">
        <f t="shared" si="0"/>
        <v>#N/A</v>
      </c>
      <c r="AO24" s="154" t="e">
        <f>IF('Cable Info'!N24="","",CONCATENATE('Cable Info'!N24," - ",'Cable Info'!O24))</f>
        <v>#N/A</v>
      </c>
      <c r="AR24" s="154" t="e">
        <f t="shared" si="1"/>
        <v>#N/A</v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e">
        <f>IF('Cable Info'!L25="","",CONCATENATE('Cable Info'!L25," - ",'Cable Info'!M25))</f>
        <v>#N/A</v>
      </c>
      <c r="AM25" s="154" t="e">
        <f t="shared" si="0"/>
        <v>#N/A</v>
      </c>
      <c r="AO25" s="154" t="e">
        <f>IF('Cable Info'!N25="","",CONCATENATE('Cable Info'!N25," - ",'Cable Info'!O25))</f>
        <v>#N/A</v>
      </c>
      <c r="AR25" s="154" t="e">
        <f t="shared" si="1"/>
        <v>#N/A</v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str">
        <f>IF('Cable Info'!L26="","",CONCATENATE('Cable Info'!L26," - ",'Cable Info'!M26))</f>
        <v/>
      </c>
      <c r="AM26" s="154" t="str">
        <f t="shared" si="0"/>
        <v/>
      </c>
      <c r="AO26" s="154" t="e">
        <f>IF('Cable Info'!N26="","",CONCATENATE('Cable Info'!N26," - ",'Cable Info'!O26))</f>
        <v>#N/A</v>
      </c>
      <c r="AR26" s="154" t="e">
        <f t="shared" si="1"/>
        <v>#N/A</v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str">
        <f>IF('Cable Info'!L27="","",CONCATENATE('Cable Info'!L27," - ",'Cable Info'!M27))</f>
        <v/>
      </c>
      <c r="AM27" s="154" t="str">
        <f t="shared" si="0"/>
        <v/>
      </c>
      <c r="AO27" s="154" t="e">
        <f>IF('Cable Info'!N27="","",CONCATENATE('Cable Info'!N27," - ",'Cable Info'!O27))</f>
        <v>#N/A</v>
      </c>
      <c r="AR27" s="154" t="e">
        <f t="shared" si="1"/>
        <v>#N/A</v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str">
        <f>IF('Cable Info'!L28="","",CONCATENATE('Cable Info'!L28," - ",'Cable Info'!M28))</f>
        <v/>
      </c>
      <c r="AM28" s="154" t="str">
        <f t="shared" si="0"/>
        <v/>
      </c>
      <c r="AO28" s="154" t="e">
        <f>IF('Cable Info'!N28="","",CONCATENATE('Cable Info'!N28," - ",'Cable Info'!O28))</f>
        <v>#N/A</v>
      </c>
      <c r="AR28" s="154" t="e">
        <f t="shared" si="1"/>
        <v>#N/A</v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str">
        <f>IF('Cable Info'!L29="","",CONCATENATE('Cable Info'!L29," - ",'Cable Info'!M29))</f>
        <v/>
      </c>
      <c r="AM29" s="154" t="str">
        <f t="shared" si="0"/>
        <v/>
      </c>
      <c r="AO29" s="154" t="e">
        <f>IF('Cable Info'!N29="","",CONCATENATE('Cable Info'!N29," - ",'Cable Info'!O29))</f>
        <v>#N/A</v>
      </c>
      <c r="AR29" s="154" t="e">
        <f t="shared" si="1"/>
        <v>#N/A</v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str">
        <f>IF('Cable Info'!L30="","",CONCATENATE('Cable Info'!L30," - ",'Cable Info'!M30))</f>
        <v/>
      </c>
      <c r="AM30" s="154" t="str">
        <f t="shared" si="0"/>
        <v/>
      </c>
      <c r="AO30" s="154" t="e">
        <f>IF('Cable Info'!N30="","",CONCATENATE('Cable Info'!N30," - ",'Cable Info'!O30))</f>
        <v>#N/A</v>
      </c>
      <c r="AR30" s="154" t="e">
        <f t="shared" si="1"/>
        <v>#N/A</v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str">
        <f>IF('Cable Info'!L31="","",CONCATENATE('Cable Info'!L31," - ",'Cable Info'!M31))</f>
        <v/>
      </c>
      <c r="AM31" s="154" t="str">
        <f t="shared" si="0"/>
        <v/>
      </c>
      <c r="AO31" s="154" t="e">
        <f>IF('Cable Info'!N31="","",CONCATENATE('Cable Info'!N31," - ",'Cable Info'!O31))</f>
        <v>#N/A</v>
      </c>
      <c r="AR31" s="154" t="e">
        <f t="shared" si="1"/>
        <v>#N/A</v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str">
        <f>IF('Cable Info'!L32="","",CONCATENATE('Cable Info'!L32," - ",'Cable Info'!M32))</f>
        <v/>
      </c>
      <c r="AM32" s="154" t="str">
        <f t="shared" si="0"/>
        <v/>
      </c>
      <c r="AO32" s="154" t="e">
        <f>IF('Cable Info'!N32="","",CONCATENATE('Cable Info'!N32," - ",'Cable Info'!O32))</f>
        <v>#N/A</v>
      </c>
      <c r="AR32" s="154" t="e">
        <f t="shared" si="1"/>
        <v>#N/A</v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str">
        <f>IF('Cable Info'!L33="","",CONCATENATE('Cable Info'!L33," - ",'Cable Info'!M33))</f>
        <v/>
      </c>
      <c r="AM33" s="154" t="str">
        <f t="shared" si="0"/>
        <v/>
      </c>
      <c r="AO33" s="154" t="e">
        <f>IF('Cable Info'!N33="","",CONCATENATE('Cable Info'!N33," - ",'Cable Info'!O33))</f>
        <v>#N/A</v>
      </c>
      <c r="AR33" s="154" t="e">
        <f t="shared" si="1"/>
        <v>#N/A</v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str">
        <f>IF('Cable Info'!L34="","",CONCATENATE('Cable Info'!L34," - ",'Cable Info'!M34))</f>
        <v/>
      </c>
      <c r="AM34" s="154" t="str">
        <f t="shared" si="0"/>
        <v/>
      </c>
      <c r="AO34" s="154" t="e">
        <f>IF('Cable Info'!N34="","",CONCATENATE('Cable Info'!N34," - ",'Cable Info'!O34))</f>
        <v>#N/A</v>
      </c>
      <c r="AR34" s="154" t="e">
        <f t="shared" si="1"/>
        <v>#N/A</v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str">
        <f>IF('Cable Info'!L35="","",CONCATENATE('Cable Info'!L35," - ",'Cable Info'!M35))</f>
        <v/>
      </c>
      <c r="AM35" s="154" t="str">
        <f t="shared" si="0"/>
        <v/>
      </c>
      <c r="AO35" s="154" t="e">
        <f>IF('Cable Info'!N35="","",CONCATENATE('Cable Info'!N35," - ",'Cable Info'!O35))</f>
        <v>#N/A</v>
      </c>
      <c r="AR35" s="154" t="e">
        <f t="shared" si="1"/>
        <v>#N/A</v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str">
        <f>IF('Cable Info'!L36="","",CONCATENATE('Cable Info'!L36," - ",'Cable Info'!M36))</f>
        <v/>
      </c>
      <c r="AM36" s="154" t="str">
        <f t="shared" si="0"/>
        <v/>
      </c>
      <c r="AO36" s="154" t="e">
        <f>IF('Cable Info'!N36="","",CONCATENATE('Cable Info'!N36," - ",'Cable Info'!O36))</f>
        <v>#N/A</v>
      </c>
      <c r="AR36" s="154" t="e">
        <f t="shared" si="1"/>
        <v>#N/A</v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str">
        <f>IF('Cable Info'!L37="","",CONCATENATE('Cable Info'!L37," - ",'Cable Info'!M37))</f>
        <v/>
      </c>
      <c r="AM37" s="154" t="str">
        <f t="shared" si="0"/>
        <v/>
      </c>
      <c r="AO37" s="154" t="e">
        <f>IF('Cable Info'!N37="","",CONCATENATE('Cable Info'!N37," - ",'Cable Info'!O37))</f>
        <v>#N/A</v>
      </c>
      <c r="AR37" s="154" t="e">
        <f t="shared" si="1"/>
        <v>#N/A</v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str">
        <f>IF('Cable Info'!L38="","",CONCATENATE('Cable Info'!L38," - ",'Cable Info'!M38))</f>
        <v/>
      </c>
      <c r="AM38" s="154" t="str">
        <f t="shared" si="0"/>
        <v/>
      </c>
      <c r="AO38" s="154" t="e">
        <f>IF('Cable Info'!N38="","",CONCATENATE('Cable Info'!N38," - ",'Cable Info'!O38))</f>
        <v>#N/A</v>
      </c>
      <c r="AR38" s="154" t="e">
        <f t="shared" si="1"/>
        <v>#N/A</v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str">
        <f>IF('Cable Info'!L39="","",CONCATENATE('Cable Info'!L39," - ",'Cable Info'!M39))</f>
        <v/>
      </c>
      <c r="AM39" s="154" t="str">
        <f t="shared" si="0"/>
        <v/>
      </c>
      <c r="AO39" s="154" t="e">
        <f>IF('Cable Info'!N39="","",CONCATENATE('Cable Info'!N39," - ",'Cable Info'!O39))</f>
        <v>#N/A</v>
      </c>
      <c r="AR39" s="154" t="e">
        <f t="shared" si="1"/>
        <v>#N/A</v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str">
        <f>IF('Cable Info'!L40="","",CONCATENATE('Cable Info'!L40," - ",'Cable Info'!M40))</f>
        <v/>
      </c>
      <c r="AM40" s="154" t="str">
        <f t="shared" si="0"/>
        <v/>
      </c>
      <c r="AO40" s="154" t="e">
        <f>IF('Cable Info'!N40="","",CONCATENATE('Cable Info'!N40," - ",'Cable Info'!O40))</f>
        <v>#N/A</v>
      </c>
      <c r="AR40" s="154" t="e">
        <f t="shared" si="1"/>
        <v>#N/A</v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str">
        <f>IF('Cable Info'!L41="","",CONCATENATE('Cable Info'!L41," - ",'Cable Info'!M41))</f>
        <v/>
      </c>
      <c r="AM41" s="154" t="str">
        <f t="shared" si="0"/>
        <v/>
      </c>
      <c r="AO41" s="154" t="e">
        <f>IF('Cable Info'!N41="","",CONCATENATE('Cable Info'!N41," - ",'Cable Info'!O41))</f>
        <v>#N/A</v>
      </c>
      <c r="AR41" s="154" t="e">
        <f t="shared" si="1"/>
        <v>#N/A</v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str">
        <f>IF('Cable Info'!L42="","",CONCATENATE('Cable Info'!L42," - ",'Cable Info'!M42))</f>
        <v/>
      </c>
      <c r="AM42" s="154" t="str">
        <f t="shared" si="0"/>
        <v/>
      </c>
      <c r="AO42" s="154" t="e">
        <f>IF('Cable Info'!N42="","",CONCATENATE('Cable Info'!N42," - ",'Cable Info'!O42))</f>
        <v>#N/A</v>
      </c>
      <c r="AR42" s="154" t="e">
        <f t="shared" si="1"/>
        <v>#N/A</v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str">
        <f>IF('Cable Info'!L43="","",CONCATENATE('Cable Info'!L43," - ",'Cable Info'!M43))</f>
        <v/>
      </c>
      <c r="AM43" s="154" t="str">
        <f t="shared" si="0"/>
        <v/>
      </c>
      <c r="AO43" s="154" t="e">
        <f>IF('Cable Info'!N43="","",CONCATENATE('Cable Info'!N43," - ",'Cable Info'!O43))</f>
        <v>#N/A</v>
      </c>
      <c r="AR43" s="154" t="e">
        <f t="shared" si="1"/>
        <v>#N/A</v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str">
        <f>IF('Cable Info'!L44="","",CONCATENATE('Cable Info'!L44," - ",'Cable Info'!M44))</f>
        <v/>
      </c>
      <c r="AM44" s="154" t="str">
        <f t="shared" si="0"/>
        <v/>
      </c>
      <c r="AO44" s="154" t="e">
        <f>IF('Cable Info'!N44="","",CONCATENATE('Cable Info'!N44," - ",'Cable Info'!O44))</f>
        <v>#N/A</v>
      </c>
      <c r="AR44" s="154" t="e">
        <f t="shared" si="1"/>
        <v>#N/A</v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str">
        <f>IF('Cable Info'!L45="","",CONCATENATE('Cable Info'!L45," - ",'Cable Info'!M45))</f>
        <v/>
      </c>
      <c r="AM45" s="154" t="str">
        <f t="shared" si="0"/>
        <v/>
      </c>
      <c r="AO45" s="154" t="e">
        <f>IF('Cable Info'!N45="","",CONCATENATE('Cable Info'!N45," - ",'Cable Info'!O45))</f>
        <v>#N/A</v>
      </c>
      <c r="AR45" s="154" t="e">
        <f t="shared" si="1"/>
        <v>#N/A</v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str">
        <f>IF('Cable Info'!L46="","",CONCATENATE('Cable Info'!L46," - ",'Cable Info'!M46))</f>
        <v/>
      </c>
      <c r="AM46" s="154" t="str">
        <f t="shared" si="0"/>
        <v/>
      </c>
      <c r="AO46" s="154" t="e">
        <f>IF('Cable Info'!N46="","",CONCATENATE('Cable Info'!N46," - ",'Cable Info'!O46))</f>
        <v>#N/A</v>
      </c>
      <c r="AR46" s="154" t="e">
        <f t="shared" si="1"/>
        <v>#N/A</v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str">
        <f>IF('Cable Info'!L47="","",CONCATENATE('Cable Info'!L47," - ",'Cable Info'!M47))</f>
        <v/>
      </c>
      <c r="AM47" s="154" t="str">
        <f t="shared" si="0"/>
        <v/>
      </c>
      <c r="AO47" s="154" t="e">
        <f>IF('Cable Info'!N47="","",CONCATENATE('Cable Info'!N47," - ",'Cable Info'!O47))</f>
        <v>#N/A</v>
      </c>
      <c r="AR47" s="154" t="e">
        <f t="shared" si="1"/>
        <v>#N/A</v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str">
        <f>IF('Cable Info'!L48="","",CONCATENATE('Cable Info'!L48," - ",'Cable Info'!M48))</f>
        <v/>
      </c>
      <c r="AM48" s="154" t="str">
        <f t="shared" si="0"/>
        <v/>
      </c>
      <c r="AO48" s="154" t="e">
        <f>IF('Cable Info'!N48="","",CONCATENATE('Cable Info'!N48," - ",'Cable Info'!O48))</f>
        <v>#N/A</v>
      </c>
      <c r="AR48" s="154" t="e">
        <f t="shared" si="1"/>
        <v>#N/A</v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str">
        <f>IF('Cable Info'!L49="","",CONCATENATE('Cable Info'!L49," - ",'Cable Info'!M49))</f>
        <v/>
      </c>
      <c r="AM49" s="154" t="str">
        <f t="shared" si="0"/>
        <v/>
      </c>
      <c r="AO49" s="154" t="e">
        <f>IF('Cable Info'!N49="","",CONCATENATE('Cable Info'!N49," - ",'Cable Info'!O49))</f>
        <v>#N/A</v>
      </c>
      <c r="AR49" s="154" t="e">
        <f t="shared" si="1"/>
        <v>#N/A</v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str">
        <f>IF('Cable Info'!L50="","",CONCATENATE('Cable Info'!L50," - ",'Cable Info'!M50))</f>
        <v/>
      </c>
      <c r="AM50" s="154" t="str">
        <f t="shared" si="0"/>
        <v/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str">
        <f>IF('Cable Info'!L51="","",CONCATENATE('Cable Info'!L51," - ",'Cable Info'!M51))</f>
        <v/>
      </c>
      <c r="AM51" s="154" t="str">
        <f t="shared" si="0"/>
        <v/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str">
        <f>IF('Cable Info'!L52="","",CONCATENATE('Cable Info'!L52," - ",'Cable Info'!M52))</f>
        <v/>
      </c>
      <c r="AM52" s="154" t="str">
        <f t="shared" si="0"/>
        <v/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str">
        <f>IF('Cable Info'!L53="","",CONCATENATE('Cable Info'!L53," - ",'Cable Info'!M53))</f>
        <v/>
      </c>
      <c r="AM53" s="154" t="str">
        <f t="shared" si="0"/>
        <v/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str">
        <f>IF('Cable Info'!L54="","",CONCATENATE('Cable Info'!L54," - ",'Cable Info'!M54))</f>
        <v/>
      </c>
      <c r="AM54" s="154" t="str">
        <f t="shared" si="0"/>
        <v/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str">
        <f>IF('Cable Info'!L55="","",CONCATENATE('Cable Info'!L55," - ",'Cable Info'!M55))</f>
        <v/>
      </c>
      <c r="AM55" s="154" t="str">
        <f t="shared" si="0"/>
        <v/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str">
        <f>IF('Cable Info'!L56="","",CONCATENATE('Cable Info'!L56," - ",'Cable Info'!M56))</f>
        <v/>
      </c>
      <c r="AM56" s="154" t="str">
        <f t="shared" si="0"/>
        <v/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str">
        <f>IF('Cable Info'!L57="","",CONCATENATE('Cable Info'!L57," - ",'Cable Info'!M57))</f>
        <v/>
      </c>
      <c r="AM57" s="154" t="str">
        <f t="shared" si="0"/>
        <v/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str">
        <f>IF('Cable Info'!L58="","",CONCATENATE('Cable Info'!L58," - ",'Cable Info'!M58))</f>
        <v/>
      </c>
      <c r="AM58" s="154" t="str">
        <f t="shared" si="0"/>
        <v/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str">
        <f>IF('Cable Info'!L59="","",CONCATENATE('Cable Info'!L59," - ",'Cable Info'!M59))</f>
        <v/>
      </c>
      <c r="AM59" s="154" t="str">
        <f t="shared" si="0"/>
        <v/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str">
        <f>IF('Cable Info'!L60="","",CONCATENATE('Cable Info'!L60," - ",'Cable Info'!M60))</f>
        <v/>
      </c>
      <c r="AM60" s="154" t="str">
        <f t="shared" si="0"/>
        <v/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str">
        <f>IF('Cable Info'!L61="","",CONCATENATE('Cable Info'!L61," - ",'Cable Info'!M61))</f>
        <v/>
      </c>
      <c r="AM61" s="154" t="str">
        <f t="shared" si="0"/>
        <v/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str">
        <f>IF('Cable Info'!L62="","",CONCATENATE('Cable Info'!L62," - ",'Cable Info'!M62))</f>
        <v/>
      </c>
      <c r="AM62" s="154" t="str">
        <f t="shared" si="0"/>
        <v/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str">
        <f>IF('Cable Info'!L63="","",CONCATENATE('Cable Info'!L63," - ",'Cable Info'!M63))</f>
        <v/>
      </c>
      <c r="AM63" s="154" t="str">
        <f t="shared" si="0"/>
        <v/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str">
        <f>IF('Cable Info'!L64="","",CONCATENATE('Cable Info'!L64," - ",'Cable Info'!M64))</f>
        <v/>
      </c>
      <c r="AM64" s="154" t="str">
        <f t="shared" si="0"/>
        <v/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str">
        <f>IF('Cable Info'!L65="","",CONCATENATE('Cable Info'!L65," - ",'Cable Info'!M65))</f>
        <v/>
      </c>
      <c r="AM65" s="154" t="str">
        <f t="shared" si="0"/>
        <v/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str">
        <f>IF('Cable Info'!L66="","",CONCATENATE('Cable Info'!L66," - ",'Cable Info'!M66))</f>
        <v/>
      </c>
      <c r="AM66" s="154" t="str">
        <f t="shared" si="0"/>
        <v/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str">
        <f>IF('Cable Info'!L67="","",CONCATENATE('Cable Info'!L67," - ",'Cable Info'!M67))</f>
        <v/>
      </c>
      <c r="AM67" s="154" t="str">
        <f t="shared" ref="AM67:AM130" si="12">IF(AK67="",AJ67,CONCATENATE(AJ67,"  &lt;=&gt; ",AK67," ",AL67))</f>
        <v/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str">
        <f>IF('Cable Info'!L68="","",CONCATENATE('Cable Info'!L68," - ",'Cable Info'!M68))</f>
        <v/>
      </c>
      <c r="AM68" s="154" t="str">
        <f t="shared" si="12"/>
        <v/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str">
        <f>IF('Cable Info'!L69="","",CONCATENATE('Cable Info'!L69," - ",'Cable Info'!M69))</f>
        <v/>
      </c>
      <c r="AM69" s="154" t="str">
        <f t="shared" si="12"/>
        <v/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str">
        <f>IF('Cable Info'!L70="","",CONCATENATE('Cable Info'!L70," - ",'Cable Info'!M70))</f>
        <v/>
      </c>
      <c r="AM70" s="154" t="str">
        <f t="shared" si="12"/>
        <v/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str">
        <f>IF('Cable Info'!L71="","",CONCATENATE('Cable Info'!L71," - ",'Cable Info'!M71))</f>
        <v/>
      </c>
      <c r="AM71" s="154" t="str">
        <f t="shared" si="12"/>
        <v/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str">
        <f>IF('Cable Info'!L72="","",CONCATENATE('Cable Info'!L72," - ",'Cable Info'!M72))</f>
        <v/>
      </c>
      <c r="AM72" s="154" t="str">
        <f t="shared" si="12"/>
        <v/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str">
        <f>IF('Cable Info'!L73="","",CONCATENATE('Cable Info'!L73," - ",'Cable Info'!M73))</f>
        <v/>
      </c>
      <c r="AM73" s="154" t="str">
        <f t="shared" si="12"/>
        <v/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str">
        <f>IF('Cable Info'!L74="","",CONCATENATE('Cable Info'!L74," - ",'Cable Info'!M74))</f>
        <v/>
      </c>
      <c r="AM74" s="154" t="str">
        <f t="shared" si="12"/>
        <v/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str">
        <f>IF('Cable Info'!L75="","",CONCATENATE('Cable Info'!L75," - ",'Cable Info'!M75))</f>
        <v/>
      </c>
      <c r="AM75" s="154" t="str">
        <f t="shared" si="12"/>
        <v/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str">
        <f>IF('Cable Info'!L76="","",CONCATENATE('Cable Info'!L76," - ",'Cable Info'!M76))</f>
        <v/>
      </c>
      <c r="AM76" s="154" t="str">
        <f t="shared" si="12"/>
        <v/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str">
        <f>IF('Cable Info'!L77="","",CONCATENATE('Cable Info'!L77," - ",'Cable Info'!M77))</f>
        <v/>
      </c>
      <c r="AM77" s="154" t="str">
        <f t="shared" si="12"/>
        <v/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str">
        <f>IF('Cable Info'!L78="","",CONCATENATE('Cable Info'!L78," - ",'Cable Info'!M78))</f>
        <v/>
      </c>
      <c r="AM78" s="154" t="str">
        <f t="shared" si="12"/>
        <v/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str">
        <f>IF('Cable Info'!L79="","",CONCATENATE('Cable Info'!L79," - ",'Cable Info'!M79))</f>
        <v/>
      </c>
      <c r="AM79" s="154" t="str">
        <f t="shared" si="12"/>
        <v/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str">
        <f>IF('Cable Info'!L80="","",CONCATENATE('Cable Info'!L80," - ",'Cable Info'!M80))</f>
        <v/>
      </c>
      <c r="AM80" s="154" t="str">
        <f t="shared" si="12"/>
        <v/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str">
        <f>IF('Cable Info'!L81="","",CONCATENATE('Cable Info'!L81," - ",'Cable Info'!M81))</f>
        <v/>
      </c>
      <c r="AM81" s="154" t="str">
        <f t="shared" si="12"/>
        <v/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str">
        <f>IF('Cable Info'!L82="","",CONCATENATE('Cable Info'!L82," - ",'Cable Info'!M82))</f>
        <v/>
      </c>
      <c r="AM82" s="154" t="str">
        <f t="shared" si="12"/>
        <v/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str">
        <f>IF('Cable Info'!L83="","",CONCATENATE('Cable Info'!L83," - ",'Cable Info'!M83))</f>
        <v/>
      </c>
      <c r="AM83" s="154" t="str">
        <f t="shared" si="12"/>
        <v/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5" thickBot="1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str">
        <f>IF('Cable Info'!L84="","",CONCATENATE('Cable Info'!L84," - ",'Cable Info'!M84))</f>
        <v/>
      </c>
      <c r="AM84" s="154" t="str">
        <f t="shared" si="12"/>
        <v/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5" thickBot="1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str">
        <f>IF('Cable Info'!L85="","",CONCATENATE('Cable Info'!L85," - ",'Cable Info'!M85))</f>
        <v/>
      </c>
      <c r="AM85" s="154" t="str">
        <f t="shared" si="12"/>
        <v/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str">
        <f>IF('Cable Info'!L86="","",CONCATENATE('Cable Info'!L86," - ",'Cable Info'!M86))</f>
        <v/>
      </c>
      <c r="AK86" s="201"/>
      <c r="AL86" s="201"/>
      <c r="AM86" s="201" t="str">
        <f t="shared" si="12"/>
        <v/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str">
        <f>IF('Cable Info'!L87="","",CONCATENATE('Cable Info'!L87," - ",'Cable Info'!M87))</f>
        <v/>
      </c>
      <c r="AK87" s="197"/>
      <c r="AL87" s="197"/>
      <c r="AM87" s="197" t="str">
        <f t="shared" si="12"/>
        <v/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str">
        <f>IF('Cable Info'!L88="","",CONCATENATE('Cable Info'!L88," - ",'Cable Info'!M88))</f>
        <v/>
      </c>
      <c r="AM88" s="154" t="str">
        <f t="shared" si="12"/>
        <v/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str">
        <f>IF('Cable Info'!L89="","",CONCATENATE('Cable Info'!L89," - ",'Cable Info'!M89))</f>
        <v/>
      </c>
      <c r="AM89" s="154" t="str">
        <f t="shared" si="12"/>
        <v/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str">
        <f>IF('Cable Info'!L90="","",CONCATENATE('Cable Info'!L90," - ",'Cable Info'!M90))</f>
        <v/>
      </c>
      <c r="AM90" s="154" t="str">
        <f t="shared" si="12"/>
        <v/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str">
        <f>IF('Cable Info'!L91="","",CONCATENATE('Cable Info'!L91," - ",'Cable Info'!M91))</f>
        <v/>
      </c>
      <c r="AM91" s="154" t="str">
        <f t="shared" si="12"/>
        <v/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str">
        <f>IF('Cable Info'!L92="","",CONCATENATE('Cable Info'!L92," - ",'Cable Info'!M92))</f>
        <v/>
      </c>
      <c r="AM92" s="154" t="str">
        <f t="shared" si="12"/>
        <v/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str">
        <f>IF('Cable Info'!L93="","",CONCATENATE('Cable Info'!L93," - ",'Cable Info'!M93))</f>
        <v/>
      </c>
      <c r="AM93" s="154" t="str">
        <f t="shared" si="12"/>
        <v/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str">
        <f>IF('Cable Info'!L94="","",CONCATENATE('Cable Info'!L94," - ",'Cable Info'!M94))</f>
        <v/>
      </c>
      <c r="AM94" s="154" t="str">
        <f t="shared" si="12"/>
        <v/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str">
        <f>IF('Cable Info'!L95="","",CONCATENATE('Cable Info'!L95," - ",'Cable Info'!M95))</f>
        <v/>
      </c>
      <c r="AM95" s="154" t="str">
        <f t="shared" si="12"/>
        <v/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str">
        <f>IF('Cable Info'!L96="","",CONCATENATE('Cable Info'!L96," - ",'Cable Info'!M96))</f>
        <v/>
      </c>
      <c r="AM96" s="154" t="str">
        <f t="shared" si="12"/>
        <v/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str">
        <f>IF('Cable Info'!L97="","",CONCATENATE('Cable Info'!L97," - ",'Cable Info'!M97))</f>
        <v/>
      </c>
      <c r="AM97" s="154" t="str">
        <f t="shared" si="12"/>
        <v/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str">
        <f>IF('Cable Info'!L98="","",CONCATENATE('Cable Info'!L98," - ",'Cable Info'!M98))</f>
        <v/>
      </c>
      <c r="AM98" s="154" t="str">
        <f t="shared" si="12"/>
        <v/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str">
        <f>IF('Cable Info'!L99="","",CONCATENATE('Cable Info'!L99," - ",'Cable Info'!M99))</f>
        <v/>
      </c>
      <c r="AM99" s="154" t="str">
        <f t="shared" si="12"/>
        <v/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str">
        <f>IF('Cable Info'!L100="","",CONCATENATE('Cable Info'!L100," - ",'Cable Info'!M100))</f>
        <v/>
      </c>
      <c r="AM100" s="154" t="str">
        <f t="shared" si="12"/>
        <v/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str">
        <f>IF('Cable Info'!L101="","",CONCATENATE('Cable Info'!L101," - ",'Cable Info'!M101))</f>
        <v/>
      </c>
      <c r="AM101" s="154" t="str">
        <f t="shared" si="12"/>
        <v/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str">
        <f>IF('Cable Info'!L102="","",CONCATENATE('Cable Info'!L102," - ",'Cable Info'!M102))</f>
        <v/>
      </c>
      <c r="AM102" s="154" t="str">
        <f t="shared" si="12"/>
        <v/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str">
        <f>IF('Cable Info'!L103="","",CONCATENATE('Cable Info'!L103," - ",'Cable Info'!M103))</f>
        <v/>
      </c>
      <c r="AM103" s="154" t="str">
        <f t="shared" si="12"/>
        <v/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str">
        <f>IF('Cable Info'!L104="","",CONCATENATE('Cable Info'!L104," - ",'Cable Info'!M104))</f>
        <v/>
      </c>
      <c r="AM104" s="154" t="str">
        <f t="shared" si="12"/>
        <v/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str">
        <f>IF('Cable Info'!L105="","",CONCATENATE('Cable Info'!L105," - ",'Cable Info'!M105))</f>
        <v/>
      </c>
      <c r="AM105" s="154" t="str">
        <f t="shared" si="12"/>
        <v/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str">
        <f>IF('Cable Info'!L106="","",CONCATENATE('Cable Info'!L106," - ",'Cable Info'!M106))</f>
        <v/>
      </c>
      <c r="AM106" s="154" t="str">
        <f t="shared" si="12"/>
        <v/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str">
        <f>IF('Cable Info'!L107="","",CONCATENATE('Cable Info'!L107," - ",'Cable Info'!M107))</f>
        <v/>
      </c>
      <c r="AM107" s="154" t="str">
        <f t="shared" si="12"/>
        <v/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str">
        <f>IF('Cable Info'!L108="","",CONCATENATE('Cable Info'!L108," - ",'Cable Info'!M108))</f>
        <v/>
      </c>
      <c r="AM108" s="154" t="str">
        <f t="shared" si="12"/>
        <v/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str">
        <f>IF('Cable Info'!L109="","",CONCATENATE('Cable Info'!L109," - ",'Cable Info'!M109))</f>
        <v/>
      </c>
      <c r="AM109" s="154" t="str">
        <f t="shared" si="12"/>
        <v/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str">
        <f>IF('Cable Info'!L110="","",CONCATENATE('Cable Info'!L110," - ",'Cable Info'!M110))</f>
        <v/>
      </c>
      <c r="AM110" s="154" t="str">
        <f t="shared" si="12"/>
        <v/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str">
        <f>IF('Cable Info'!L111="","",CONCATENATE('Cable Info'!L111," - ",'Cable Info'!M111))</f>
        <v/>
      </c>
      <c r="AM111" s="154" t="str">
        <f t="shared" si="12"/>
        <v/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str">
        <f>IF('Cable Info'!L112="","",CONCATENATE('Cable Info'!L112," - ",'Cable Info'!M112))</f>
        <v/>
      </c>
      <c r="AM112" s="154" t="str">
        <f t="shared" si="12"/>
        <v/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str">
        <f>IF('Cable Info'!L113="","",CONCATENATE('Cable Info'!L113," - ",'Cable Info'!M113))</f>
        <v/>
      </c>
      <c r="AM113" s="154" t="str">
        <f t="shared" si="12"/>
        <v/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str">
        <f>IF('Cable Info'!L114="","",CONCATENATE('Cable Info'!L114," - ",'Cable Info'!M114))</f>
        <v/>
      </c>
      <c r="AM114" s="154" t="str">
        <f t="shared" si="12"/>
        <v/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str">
        <f>IF('Cable Info'!L115="","",CONCATENATE('Cable Info'!L115," - ",'Cable Info'!M115))</f>
        <v/>
      </c>
      <c r="AM115" s="154" t="str">
        <f t="shared" si="12"/>
        <v/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str">
        <f>IF('Cable Info'!L116="","",CONCATENATE('Cable Info'!L116," - ",'Cable Info'!M116))</f>
        <v/>
      </c>
      <c r="AM116" s="154" t="str">
        <f t="shared" si="12"/>
        <v/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str">
        <f>IF('Cable Info'!L117="","",CONCATENATE('Cable Info'!L117," - ",'Cable Info'!M117))</f>
        <v/>
      </c>
      <c r="AM117" s="154" t="str">
        <f t="shared" si="12"/>
        <v/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str">
        <f>IF('Cable Info'!L118="","",CONCATENATE('Cable Info'!L118," - ",'Cable Info'!M118))</f>
        <v/>
      </c>
      <c r="AM118" s="154" t="str">
        <f t="shared" si="12"/>
        <v/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str">
        <f>IF('Cable Info'!L119="","",CONCATENATE('Cable Info'!L119," - ",'Cable Info'!M119))</f>
        <v/>
      </c>
      <c r="AM119" s="154" t="str">
        <f t="shared" si="12"/>
        <v/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str">
        <f>IF('Cable Info'!L120="","",CONCATENATE('Cable Info'!L120," - ",'Cable Info'!M120))</f>
        <v/>
      </c>
      <c r="AM120" s="154" t="str">
        <f t="shared" si="12"/>
        <v/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str">
        <f>IF('Cable Info'!L121="","",CONCATENATE('Cable Info'!L121," - ",'Cable Info'!M121))</f>
        <v/>
      </c>
      <c r="AM121" s="154" t="str">
        <f t="shared" si="12"/>
        <v/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str">
        <f>IF('Cable Info'!L122="","",CONCATENATE('Cable Info'!L122," - ",'Cable Info'!M122))</f>
        <v/>
      </c>
      <c r="AM122" s="154" t="str">
        <f t="shared" si="12"/>
        <v/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str">
        <f>IF('Cable Info'!L123="","",CONCATENATE('Cable Info'!L123," - ",'Cable Info'!M123))</f>
        <v/>
      </c>
      <c r="AM123" s="154" t="str">
        <f t="shared" si="12"/>
        <v/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str">
        <f>IF('Cable Info'!L124="","",CONCATENATE('Cable Info'!L124," - ",'Cable Info'!M124))</f>
        <v/>
      </c>
      <c r="AM124" s="154" t="str">
        <f t="shared" si="12"/>
        <v/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str">
        <f>IF('Cable Info'!L125="","",CONCATENATE('Cable Info'!L125," - ",'Cable Info'!M125))</f>
        <v/>
      </c>
      <c r="AM125" s="154" t="str">
        <f t="shared" si="12"/>
        <v/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str">
        <f>IF('Cable Info'!L126="","",CONCATENATE('Cable Info'!L126," - ",'Cable Info'!M126))</f>
        <v/>
      </c>
      <c r="AM126" s="154" t="str">
        <f t="shared" si="12"/>
        <v/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str">
        <f>IF('Cable Info'!L127="","",CONCATENATE('Cable Info'!L127," - ",'Cable Info'!M127))</f>
        <v/>
      </c>
      <c r="AM127" s="154" t="str">
        <f t="shared" si="12"/>
        <v/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str">
        <f>IF('Cable Info'!L128="","",CONCATENATE('Cable Info'!L128," - ",'Cable Info'!M128))</f>
        <v/>
      </c>
      <c r="AM128" s="154" t="str">
        <f t="shared" si="12"/>
        <v/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str">
        <f>IF('Cable Info'!L129="","",CONCATENATE('Cable Info'!L129," - ",'Cable Info'!M129))</f>
        <v/>
      </c>
      <c r="AM129" s="154" t="str">
        <f t="shared" si="12"/>
        <v/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str">
        <f>IF('Cable Info'!L130="","",CONCATENATE('Cable Info'!L130," - ",'Cable Info'!M130))</f>
        <v/>
      </c>
      <c r="AM130" s="154" t="str">
        <f t="shared" si="12"/>
        <v/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str">
        <f>IF('Cable Info'!L131="","",CONCATENATE('Cable Info'!L131," - ",'Cable Info'!M131))</f>
        <v/>
      </c>
      <c r="AM131" s="154" t="str">
        <f t="shared" ref="AM131:AM194" si="24">IF(AK131="",AJ131,CONCATENATE(AJ131,"  &lt;=&gt; ",AK131," ",AL131))</f>
        <v/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str">
        <f>IF('Cable Info'!L132="","",CONCATENATE('Cable Info'!L132," - ",'Cable Info'!M132))</f>
        <v/>
      </c>
      <c r="AM132" s="154" t="str">
        <f t="shared" si="24"/>
        <v/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str">
        <f>IF('Cable Info'!L133="","",CONCATENATE('Cable Info'!L133," - ",'Cable Info'!M133))</f>
        <v/>
      </c>
      <c r="AM133" s="154" t="str">
        <f t="shared" si="24"/>
        <v/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str">
        <f>IF('Cable Info'!L134="","",CONCATENATE('Cable Info'!L134," - ",'Cable Info'!M134))</f>
        <v/>
      </c>
      <c r="AM134" s="154" t="str">
        <f t="shared" si="24"/>
        <v/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str">
        <f>IF('Cable Info'!L135="","",CONCATENATE('Cable Info'!L135," - ",'Cable Info'!M135))</f>
        <v/>
      </c>
      <c r="AM135" s="154" t="str">
        <f t="shared" si="24"/>
        <v/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str">
        <f>IF('Cable Info'!L136="","",CONCATENATE('Cable Info'!L136," - ",'Cable Info'!M136))</f>
        <v/>
      </c>
      <c r="AM136" s="154" t="str">
        <f t="shared" si="24"/>
        <v/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str">
        <f>IF('Cable Info'!L137="","",CONCATENATE('Cable Info'!L137," - ",'Cable Info'!M137))</f>
        <v/>
      </c>
      <c r="AM137" s="154" t="str">
        <f t="shared" si="24"/>
        <v/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str">
        <f>IF('Cable Info'!L138="","",CONCATENATE('Cable Info'!L138," - ",'Cable Info'!M138))</f>
        <v/>
      </c>
      <c r="AM138" s="154" t="str">
        <f t="shared" si="24"/>
        <v/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str">
        <f>IF('Cable Info'!L139="","",CONCATENATE('Cable Info'!L139," - ",'Cable Info'!M139))</f>
        <v/>
      </c>
      <c r="AM139" s="154" t="str">
        <f t="shared" si="24"/>
        <v/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str">
        <f>IF('Cable Info'!L140="","",CONCATENATE('Cable Info'!L140," - ",'Cable Info'!M140))</f>
        <v/>
      </c>
      <c r="AM140" s="154" t="str">
        <f t="shared" si="24"/>
        <v/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str">
        <f>IF('Cable Info'!L141="","",CONCATENATE('Cable Info'!L141," - ",'Cable Info'!M141))</f>
        <v/>
      </c>
      <c r="AM141" s="154" t="str">
        <f t="shared" si="24"/>
        <v/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str">
        <f>IF('Cable Info'!L142="","",CONCATENATE('Cable Info'!L142," - ",'Cable Info'!M142))</f>
        <v/>
      </c>
      <c r="AM142" s="154" t="str">
        <f t="shared" si="24"/>
        <v/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str">
        <f>IF('Cable Info'!L143="","",CONCATENATE('Cable Info'!L143," - ",'Cable Info'!M143))</f>
        <v/>
      </c>
      <c r="AM143" s="154" t="str">
        <f t="shared" si="24"/>
        <v/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str">
        <f>IF('Cable Info'!L144="","",CONCATENATE('Cable Info'!L144," - ",'Cable Info'!M144))</f>
        <v/>
      </c>
      <c r="AM144" s="154" t="str">
        <f t="shared" si="24"/>
        <v/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str">
        <f>IF('Cable Info'!L145="","",CONCATENATE('Cable Info'!L145," - ",'Cable Info'!M145))</f>
        <v/>
      </c>
      <c r="AM145" s="154" t="str">
        <f t="shared" si="24"/>
        <v/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str">
        <f>IF('Cable Info'!L146="","",CONCATENATE('Cable Info'!L146," - ",'Cable Info'!M146))</f>
        <v/>
      </c>
      <c r="AM146" s="154" t="str">
        <f t="shared" si="24"/>
        <v/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str">
        <f>IF('Cable Info'!L147="","",CONCATENATE('Cable Info'!L147," - ",'Cable Info'!M147))</f>
        <v/>
      </c>
      <c r="AM147" s="154" t="str">
        <f t="shared" si="24"/>
        <v/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str">
        <f>IF('Cable Info'!L148="","",CONCATENATE('Cable Info'!L148," - ",'Cable Info'!M148))</f>
        <v/>
      </c>
      <c r="AM148" s="154" t="str">
        <f t="shared" si="24"/>
        <v/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str">
        <f>IF('Cable Info'!L149="","",CONCATENATE('Cable Info'!L149," - ",'Cable Info'!M149))</f>
        <v/>
      </c>
      <c r="AM149" s="154" t="str">
        <f t="shared" si="24"/>
        <v/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str">
        <f>IF('Cable Info'!L150="","",CONCATENATE('Cable Info'!L150," - ",'Cable Info'!M150))</f>
        <v/>
      </c>
      <c r="AM150" s="154" t="str">
        <f t="shared" si="24"/>
        <v/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str">
        <f>IF('Cable Info'!L151="","",CONCATENATE('Cable Info'!L151," - ",'Cable Info'!M151))</f>
        <v/>
      </c>
      <c r="AM151" s="154" t="str">
        <f t="shared" si="24"/>
        <v/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str">
        <f>IF('Cable Info'!L152="","",CONCATENATE('Cable Info'!L152," - ",'Cable Info'!M152))</f>
        <v/>
      </c>
      <c r="AM152" s="154" t="str">
        <f t="shared" si="24"/>
        <v/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str">
        <f>IF('Cable Info'!L153="","",CONCATENATE('Cable Info'!L153," - ",'Cable Info'!M153))</f>
        <v/>
      </c>
      <c r="AM153" s="154" t="str">
        <f t="shared" si="24"/>
        <v/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str">
        <f>IF('Cable Info'!L154="","",CONCATENATE('Cable Info'!L154," - ",'Cable Info'!M154))</f>
        <v/>
      </c>
      <c r="AM154" s="154" t="str">
        <f t="shared" si="24"/>
        <v/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str">
        <f>IF('Cable Info'!L155="","",CONCATENATE('Cable Info'!L155," - ",'Cable Info'!M155))</f>
        <v/>
      </c>
      <c r="AM155" s="154" t="str">
        <f t="shared" si="24"/>
        <v/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str">
        <f>IF('Cable Info'!L156="","",CONCATENATE('Cable Info'!L156," - ",'Cable Info'!M156))</f>
        <v/>
      </c>
      <c r="AM156" s="154" t="str">
        <f t="shared" si="24"/>
        <v/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str">
        <f>IF('Cable Info'!L157="","",CONCATENATE('Cable Info'!L157," - ",'Cable Info'!M157))</f>
        <v/>
      </c>
      <c r="AM157" s="154" t="str">
        <f t="shared" si="24"/>
        <v/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str">
        <f>IF('Cable Info'!L158="","",CONCATENATE('Cable Info'!L158," - ",'Cable Info'!M158))</f>
        <v/>
      </c>
      <c r="AM158" s="154" t="str">
        <f t="shared" si="24"/>
        <v/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str">
        <f>IF('Cable Info'!L159="","",CONCATENATE('Cable Info'!L159," - ",'Cable Info'!M159))</f>
        <v/>
      </c>
      <c r="AM159" s="154" t="str">
        <f t="shared" si="24"/>
        <v/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str">
        <f>IF('Cable Info'!L160="","",CONCATENATE('Cable Info'!L160," - ",'Cable Info'!M160))</f>
        <v/>
      </c>
      <c r="AM160" s="154" t="str">
        <f t="shared" si="24"/>
        <v/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str">
        <f>IF('Cable Info'!L161="","",CONCATENATE('Cable Info'!L161," - ",'Cable Info'!M161))</f>
        <v/>
      </c>
      <c r="AM161" s="154" t="str">
        <f t="shared" si="24"/>
        <v/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str">
        <f>IF('Cable Info'!L162="","",CONCATENATE('Cable Info'!L162," - ",'Cable Info'!M162))</f>
        <v/>
      </c>
      <c r="AM162" s="154" t="str">
        <f t="shared" si="24"/>
        <v/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str">
        <f>IF('Cable Info'!L163="","",CONCATENATE('Cable Info'!L163," - ",'Cable Info'!M163))</f>
        <v/>
      </c>
      <c r="AM163" s="154" t="str">
        <f t="shared" si="24"/>
        <v/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str">
        <f>IF('Cable Info'!L164="","",CONCATENATE('Cable Info'!L164," - ",'Cable Info'!M164))</f>
        <v/>
      </c>
      <c r="AM164" s="154" t="str">
        <f t="shared" si="24"/>
        <v/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str">
        <f>IF('Cable Info'!L165="","",CONCATENATE('Cable Info'!L165," - ",'Cable Info'!M165))</f>
        <v/>
      </c>
      <c r="AM165" s="154" t="str">
        <f t="shared" si="24"/>
        <v/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str">
        <f>IF('Cable Info'!L166="","",CONCATENATE('Cable Info'!L166," - ",'Cable Info'!M166))</f>
        <v/>
      </c>
      <c r="AM166" s="154" t="str">
        <f t="shared" si="24"/>
        <v/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str">
        <f>IF('Cable Info'!L167="","",CONCATENATE('Cable Info'!L167," - ",'Cable Info'!M167))</f>
        <v/>
      </c>
      <c r="AM167" s="154" t="str">
        <f t="shared" si="24"/>
        <v/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str">
        <f>IF('Cable Info'!L168="","",CONCATENATE('Cable Info'!L168," - ",'Cable Info'!M168))</f>
        <v/>
      </c>
      <c r="AM168" s="154" t="str">
        <f t="shared" si="24"/>
        <v/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str">
        <f>IF('Cable Info'!L169="","",CONCATENATE('Cable Info'!L169," - ",'Cable Info'!M169))</f>
        <v/>
      </c>
      <c r="AM169" s="154" t="str">
        <f t="shared" si="24"/>
        <v/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str">
        <f>IF('Cable Info'!L170="","",CONCATENATE('Cable Info'!L170," - ",'Cable Info'!M170))</f>
        <v/>
      </c>
      <c r="AM170" s="154" t="str">
        <f t="shared" si="24"/>
        <v/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str">
        <f>IF('Cable Info'!L171="","",CONCATENATE('Cable Info'!L171," - ",'Cable Info'!M171))</f>
        <v/>
      </c>
      <c r="AM171" s="154" t="str">
        <f t="shared" si="24"/>
        <v/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str">
        <f>IF('Cable Info'!L172="","",CONCATENATE('Cable Info'!L172," - ",'Cable Info'!M172))</f>
        <v/>
      </c>
      <c r="AM172" s="154" t="str">
        <f t="shared" si="24"/>
        <v/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str">
        <f>IF('Cable Info'!L173="","",CONCATENATE('Cable Info'!L173," - ",'Cable Info'!M173))</f>
        <v/>
      </c>
      <c r="AM173" s="154" t="str">
        <f t="shared" si="24"/>
        <v/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str">
        <f>IF('Cable Info'!L174="","",CONCATENATE('Cable Info'!L174," - ",'Cable Info'!M174))</f>
        <v/>
      </c>
      <c r="AM174" s="154" t="str">
        <f t="shared" si="24"/>
        <v/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str">
        <f>IF('Cable Info'!L175="","",CONCATENATE('Cable Info'!L175," - ",'Cable Info'!M175))</f>
        <v/>
      </c>
      <c r="AM175" s="154" t="str">
        <f t="shared" si="24"/>
        <v/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str">
        <f>IF('Cable Info'!L176="","",CONCATENATE('Cable Info'!L176," - ",'Cable Info'!M176))</f>
        <v/>
      </c>
      <c r="AM176" s="154" t="str">
        <f t="shared" si="24"/>
        <v/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str">
        <f>IF('Cable Info'!L177="","",CONCATENATE('Cable Info'!L177," - ",'Cable Info'!M177))</f>
        <v/>
      </c>
      <c r="AM177" s="154" t="str">
        <f t="shared" si="24"/>
        <v/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str">
        <f>IF('Cable Info'!L178="","",CONCATENATE('Cable Info'!L178," - ",'Cable Info'!M178))</f>
        <v/>
      </c>
      <c r="AM178" s="154" t="str">
        <f t="shared" si="24"/>
        <v/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str">
        <f>IF('Cable Info'!L179="","",CONCATENATE('Cable Info'!L179," - ",'Cable Info'!M179))</f>
        <v/>
      </c>
      <c r="AM179" s="154" t="str">
        <f t="shared" si="24"/>
        <v/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str">
        <f>IF('Cable Info'!L180="","",CONCATENATE('Cable Info'!L180," - ",'Cable Info'!M180))</f>
        <v/>
      </c>
      <c r="AM180" s="154" t="str">
        <f t="shared" si="24"/>
        <v/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str">
        <f>IF('Cable Info'!L181="","",CONCATENATE('Cable Info'!L181," - ",'Cable Info'!M181))</f>
        <v/>
      </c>
      <c r="AM181" s="154" t="str">
        <f t="shared" si="24"/>
        <v/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str">
        <f>IF('Cable Info'!L182="","",CONCATENATE('Cable Info'!L182," - ",'Cable Info'!M182))</f>
        <v/>
      </c>
      <c r="AM182" s="154" t="str">
        <f t="shared" si="24"/>
        <v/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str">
        <f>IF('Cable Info'!L183="","",CONCATENATE('Cable Info'!L183," - ",'Cable Info'!M183))</f>
        <v/>
      </c>
      <c r="AM183" s="154" t="str">
        <f t="shared" si="24"/>
        <v/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str">
        <f>IF('Cable Info'!L184="","",CONCATENATE('Cable Info'!L184," - ",'Cable Info'!M184))</f>
        <v/>
      </c>
      <c r="AM184" s="154" t="str">
        <f t="shared" si="24"/>
        <v/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str">
        <f>IF('Cable Info'!L185="","",CONCATENATE('Cable Info'!L185," - ",'Cable Info'!M185))</f>
        <v/>
      </c>
      <c r="AM185" s="154" t="str">
        <f t="shared" si="24"/>
        <v/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str">
        <f>IF('Cable Info'!L186="","",CONCATENATE('Cable Info'!L186," - ",'Cable Info'!M186))</f>
        <v/>
      </c>
      <c r="AM186" s="154" t="str">
        <f t="shared" si="24"/>
        <v/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str">
        <f>IF('Cable Info'!L187="","",CONCATENATE('Cable Info'!L187," - ",'Cable Info'!M187))</f>
        <v/>
      </c>
      <c r="AM187" s="154" t="str">
        <f t="shared" si="24"/>
        <v/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str">
        <f>IF('Cable Info'!L188="","",CONCATENATE('Cable Info'!L188," - ",'Cable Info'!M188))</f>
        <v/>
      </c>
      <c r="AM188" s="154" t="str">
        <f t="shared" si="24"/>
        <v/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str">
        <f>IF('Cable Info'!L189="","",CONCATENATE('Cable Info'!L189," - ",'Cable Info'!M189))</f>
        <v/>
      </c>
      <c r="AM189" s="154" t="str">
        <f t="shared" si="24"/>
        <v/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str">
        <f>IF('Cable Info'!L190="","",CONCATENATE('Cable Info'!L190," - ",'Cable Info'!M190))</f>
        <v/>
      </c>
      <c r="AM190" s="154" t="str">
        <f t="shared" si="24"/>
        <v/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str">
        <f>IF('Cable Info'!L191="","",CONCATENATE('Cable Info'!L191," - ",'Cable Info'!M191))</f>
        <v/>
      </c>
      <c r="AM191" s="154" t="str">
        <f t="shared" si="24"/>
        <v/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str">
        <f>IF('Cable Info'!L192="","",CONCATENATE('Cable Info'!L192," - ",'Cable Info'!M192))</f>
        <v/>
      </c>
      <c r="AM192" s="154" t="str">
        <f t="shared" si="24"/>
        <v/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str">
        <f>IF('Cable Info'!L193="","",CONCATENATE('Cable Info'!L193," - ",'Cable Info'!M193))</f>
        <v/>
      </c>
      <c r="AM193" s="154" t="str">
        <f t="shared" si="24"/>
        <v/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str">
        <f>IF('Cable Info'!L194="","",CONCATENATE('Cable Info'!L194," - ",'Cable Info'!M194))</f>
        <v/>
      </c>
      <c r="AM194" s="154" t="str">
        <f t="shared" si="24"/>
        <v/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str">
        <f>IF('Cable Info'!L195="","",CONCATENATE('Cable Info'!L195," - ",'Cable Info'!M195))</f>
        <v/>
      </c>
      <c r="AM195" s="154" t="str">
        <f t="shared" ref="AM195:AM258" si="30">IF(AK195="",AJ195,CONCATENATE(AJ195,"  &lt;=&gt; ",AK195," ",AL195))</f>
        <v/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str">
        <f>IF('Cable Info'!L196="","",CONCATENATE('Cable Info'!L196," - ",'Cable Info'!M196))</f>
        <v/>
      </c>
      <c r="AM196" s="154" t="str">
        <f t="shared" si="30"/>
        <v/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str">
        <f>IF('Cable Info'!L197="","",CONCATENATE('Cable Info'!L197," - ",'Cable Info'!M197))</f>
        <v/>
      </c>
      <c r="AM197" s="154" t="str">
        <f t="shared" si="30"/>
        <v/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str">
        <f>IF('Cable Info'!L198="","",CONCATENATE('Cable Info'!L198," - ",'Cable Info'!M198))</f>
        <v/>
      </c>
      <c r="AM198" s="154" t="str">
        <f t="shared" si="30"/>
        <v/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str">
        <f>IF('Cable Info'!L199="","",CONCATENATE('Cable Info'!L199," - ",'Cable Info'!M199))</f>
        <v/>
      </c>
      <c r="AM199" s="154" t="str">
        <f t="shared" si="30"/>
        <v/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str">
        <f>IF('Cable Info'!L200="","",CONCATENATE('Cable Info'!L200," - ",'Cable Info'!M200))</f>
        <v/>
      </c>
      <c r="AM200" s="154" t="str">
        <f t="shared" si="30"/>
        <v/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str">
        <f>IF('Cable Info'!L201="","",CONCATENATE('Cable Info'!L201," - ",'Cable Info'!M201))</f>
        <v/>
      </c>
      <c r="AM201" s="154" t="str">
        <f t="shared" si="30"/>
        <v/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str">
        <f>IF('Cable Info'!L202="","",CONCATENATE('Cable Info'!L202," - ",'Cable Info'!M202))</f>
        <v/>
      </c>
      <c r="AM202" s="154" t="str">
        <f t="shared" si="30"/>
        <v/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str">
        <f>IF('Cable Info'!L203="","",CONCATENATE('Cable Info'!L203," - ",'Cable Info'!M203))</f>
        <v/>
      </c>
      <c r="AM203" s="154" t="str">
        <f t="shared" si="30"/>
        <v/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str">
        <f>IF('Cable Info'!L204="","",CONCATENATE('Cable Info'!L204," - ",'Cable Info'!M204))</f>
        <v/>
      </c>
      <c r="AM204" s="154" t="str">
        <f t="shared" si="30"/>
        <v/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str">
        <f>IF('Cable Info'!L205="","",CONCATENATE('Cable Info'!L205," - ",'Cable Info'!M205))</f>
        <v/>
      </c>
      <c r="AM205" s="154" t="str">
        <f t="shared" si="30"/>
        <v/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str">
        <f>IF('Cable Info'!L206="","",CONCATENATE('Cable Info'!L206," - ",'Cable Info'!M206))</f>
        <v/>
      </c>
      <c r="AM206" s="154" t="str">
        <f t="shared" si="30"/>
        <v/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str">
        <f>IF('Cable Info'!L207="","",CONCATENATE('Cable Info'!L207," - ",'Cable Info'!M207))</f>
        <v/>
      </c>
      <c r="AM207" s="154" t="str">
        <f t="shared" si="30"/>
        <v/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str">
        <f>IF('Cable Info'!L208="","",CONCATENATE('Cable Info'!L208," - ",'Cable Info'!M208))</f>
        <v/>
      </c>
      <c r="AM208" s="154" t="str">
        <f t="shared" si="30"/>
        <v/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str">
        <f>IF('Cable Info'!L209="","",CONCATENATE('Cable Info'!L209," - ",'Cable Info'!M209))</f>
        <v/>
      </c>
      <c r="AM209" s="154" t="str">
        <f t="shared" si="30"/>
        <v/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str">
        <f>IF('Cable Info'!L210="","",CONCATENATE('Cable Info'!L210," - ",'Cable Info'!M210))</f>
        <v/>
      </c>
      <c r="AM210" s="154" t="str">
        <f t="shared" si="30"/>
        <v/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str">
        <f>IF('Cable Info'!L211="","",CONCATENATE('Cable Info'!L211," - ",'Cable Info'!M211))</f>
        <v/>
      </c>
      <c r="AM211" s="154" t="str">
        <f t="shared" si="30"/>
        <v/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str">
        <f>IF('Cable Info'!L212="","",CONCATENATE('Cable Info'!L212," - ",'Cable Info'!M212))</f>
        <v/>
      </c>
      <c r="AM212" s="154" t="str">
        <f t="shared" si="30"/>
        <v/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str">
        <f>IF('Cable Info'!L213="","",CONCATENATE('Cable Info'!L213," - ",'Cable Info'!M213))</f>
        <v/>
      </c>
      <c r="AM213" s="154" t="str">
        <f t="shared" si="30"/>
        <v/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str">
        <f>IF('Cable Info'!L214="","",CONCATENATE('Cable Info'!L214," - ",'Cable Info'!M214))</f>
        <v/>
      </c>
      <c r="AM214" s="154" t="str">
        <f t="shared" si="30"/>
        <v/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str">
        <f>IF('Cable Info'!L215="","",CONCATENATE('Cable Info'!L215," - ",'Cable Info'!M215))</f>
        <v/>
      </c>
      <c r="AM215" s="154" t="str">
        <f t="shared" si="30"/>
        <v/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str">
        <f>IF('Cable Info'!L216="","",CONCATENATE('Cable Info'!L216," - ",'Cable Info'!M216))</f>
        <v/>
      </c>
      <c r="AM216" s="154" t="str">
        <f t="shared" si="30"/>
        <v/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str">
        <f>IF('Cable Info'!L217="","",CONCATENATE('Cable Info'!L217," - ",'Cable Info'!M217))</f>
        <v/>
      </c>
      <c r="AM217" s="154" t="str">
        <f t="shared" si="30"/>
        <v/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str">
        <f>IF('Cable Info'!L218="","",CONCATENATE('Cable Info'!L218," - ",'Cable Info'!M218))</f>
        <v/>
      </c>
      <c r="AM218" s="154" t="str">
        <f t="shared" si="30"/>
        <v/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str">
        <f>IF('Cable Info'!L219="","",CONCATENATE('Cable Info'!L219," - ",'Cable Info'!M219))</f>
        <v/>
      </c>
      <c r="AM219" s="154" t="str">
        <f t="shared" si="30"/>
        <v/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str">
        <f>IF('Cable Info'!L220="","",CONCATENATE('Cable Info'!L220," - ",'Cable Info'!M220))</f>
        <v/>
      </c>
      <c r="AM220" s="154" t="str">
        <f t="shared" si="30"/>
        <v/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str">
        <f>IF('Cable Info'!L221="","",CONCATENATE('Cable Info'!L221," - ",'Cable Info'!M221))</f>
        <v/>
      </c>
      <c r="AM221" s="154" t="str">
        <f t="shared" si="30"/>
        <v/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str">
        <f>IF('Cable Info'!L222="","",CONCATENATE('Cable Info'!L222," - ",'Cable Info'!M222))</f>
        <v/>
      </c>
      <c r="AM222" s="154" t="str">
        <f t="shared" si="30"/>
        <v/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str">
        <f>IF('Cable Info'!L223="","",CONCATENATE('Cable Info'!L223," - ",'Cable Info'!M223))</f>
        <v/>
      </c>
      <c r="AM223" s="154" t="str">
        <f t="shared" si="30"/>
        <v/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str">
        <f>IF('Cable Info'!L224="","",CONCATENATE('Cable Info'!L224," - ",'Cable Info'!M224))</f>
        <v/>
      </c>
      <c r="AM224" s="154" t="str">
        <f t="shared" si="30"/>
        <v/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str">
        <f>IF('Cable Info'!L225="","",CONCATENATE('Cable Info'!L225," - ",'Cable Info'!M225))</f>
        <v/>
      </c>
      <c r="AM225" s="154" t="str">
        <f t="shared" si="30"/>
        <v/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str">
        <f>IF('Cable Info'!L226="","",CONCATENATE('Cable Info'!L226," - ",'Cable Info'!M226))</f>
        <v/>
      </c>
      <c r="AM226" s="154" t="str">
        <f t="shared" si="30"/>
        <v/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str">
        <f>IF('Cable Info'!L227="","",CONCATENATE('Cable Info'!L227," - ",'Cable Info'!M227))</f>
        <v/>
      </c>
      <c r="AM227" s="154" t="str">
        <f t="shared" si="30"/>
        <v/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str">
        <f>IF('Cable Info'!L228="","",CONCATENATE('Cable Info'!L228," - ",'Cable Info'!M228))</f>
        <v/>
      </c>
      <c r="AM228" s="154" t="str">
        <f t="shared" si="30"/>
        <v/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str">
        <f>IF('Cable Info'!L229="","",CONCATENATE('Cable Info'!L229," - ",'Cable Info'!M229))</f>
        <v/>
      </c>
      <c r="AM229" s="154" t="str">
        <f t="shared" si="30"/>
        <v/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str">
        <f>IF('Cable Info'!L230="","",CONCATENATE('Cable Info'!L230," - ",'Cable Info'!M230))</f>
        <v/>
      </c>
      <c r="AM230" s="154" t="str">
        <f t="shared" si="30"/>
        <v/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str">
        <f>IF('Cable Info'!L231="","",CONCATENATE('Cable Info'!L231," - ",'Cable Info'!M231))</f>
        <v/>
      </c>
      <c r="AM231" s="154" t="str">
        <f t="shared" si="30"/>
        <v/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str">
        <f>IF('Cable Info'!L232="","",CONCATENATE('Cable Info'!L232," - ",'Cable Info'!M232))</f>
        <v/>
      </c>
      <c r="AM232" s="154" t="str">
        <f t="shared" si="30"/>
        <v/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str">
        <f>IF('Cable Info'!L233="","",CONCATENATE('Cable Info'!L233," - ",'Cable Info'!M233))</f>
        <v/>
      </c>
      <c r="AM233" s="154" t="str">
        <f t="shared" si="30"/>
        <v/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str">
        <f>IF('Cable Info'!L234="","",CONCATENATE('Cable Info'!L234," - ",'Cable Info'!M234))</f>
        <v/>
      </c>
      <c r="AM234" s="154" t="str">
        <f t="shared" si="30"/>
        <v/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str">
        <f>IF('Cable Info'!L235="","",CONCATENATE('Cable Info'!L235," - ",'Cable Info'!M235))</f>
        <v/>
      </c>
      <c r="AM235" s="154" t="str">
        <f t="shared" si="30"/>
        <v/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str">
        <f>IF('Cable Info'!L236="","",CONCATENATE('Cable Info'!L236," - ",'Cable Info'!M236))</f>
        <v/>
      </c>
      <c r="AM236" s="154" t="str">
        <f t="shared" si="30"/>
        <v/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str">
        <f>IF('Cable Info'!L237="","",CONCATENATE('Cable Info'!L237," - ",'Cable Info'!M237))</f>
        <v/>
      </c>
      <c r="AM237" s="154" t="str">
        <f t="shared" si="30"/>
        <v/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str">
        <f>IF('Cable Info'!L238="","",CONCATENATE('Cable Info'!L238," - ",'Cable Info'!M238))</f>
        <v/>
      </c>
      <c r="AM238" s="154" t="str">
        <f t="shared" si="30"/>
        <v/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str">
        <f>IF('Cable Info'!L239="","",CONCATENATE('Cable Info'!L239," - ",'Cable Info'!M239))</f>
        <v/>
      </c>
      <c r="AM239" s="154" t="str">
        <f t="shared" si="30"/>
        <v/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str">
        <f>IF('Cable Info'!L240="","",CONCATENATE('Cable Info'!L240," - ",'Cable Info'!M240))</f>
        <v/>
      </c>
      <c r="AM240" s="154" t="str">
        <f t="shared" si="30"/>
        <v/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str">
        <f>IF('Cable Info'!L241="","",CONCATENATE('Cable Info'!L241," - ",'Cable Info'!M241))</f>
        <v/>
      </c>
      <c r="AM241" s="154" t="str">
        <f t="shared" si="30"/>
        <v/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str">
        <f>IF('Cable Info'!L242="","",CONCATENATE('Cable Info'!L242," - ",'Cable Info'!M242))</f>
        <v/>
      </c>
      <c r="AM242" s="154" t="str">
        <f t="shared" si="30"/>
        <v/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str">
        <f>IF('Cable Info'!L243="","",CONCATENATE('Cable Info'!L243," - ",'Cable Info'!M243))</f>
        <v/>
      </c>
      <c r="AM243" s="154" t="str">
        <f t="shared" si="30"/>
        <v/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str">
        <f>IF('Cable Info'!L244="","",CONCATENATE('Cable Info'!L244," - ",'Cable Info'!M244))</f>
        <v/>
      </c>
      <c r="AM244" s="154" t="str">
        <f t="shared" si="30"/>
        <v/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str">
        <f>IF('Cable Info'!L245="","",CONCATENATE('Cable Info'!L245," - ",'Cable Info'!M245))</f>
        <v/>
      </c>
      <c r="AM245" s="154" t="str">
        <f t="shared" si="30"/>
        <v/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str">
        <f>IF('Cable Info'!L246="","",CONCATENATE('Cable Info'!L246," - ",'Cable Info'!M246))</f>
        <v/>
      </c>
      <c r="AM246" s="154" t="str">
        <f t="shared" si="30"/>
        <v/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str">
        <f>IF('Cable Info'!L247="","",CONCATENATE('Cable Info'!L247," - ",'Cable Info'!M247))</f>
        <v/>
      </c>
      <c r="AM247" s="154" t="str">
        <f t="shared" si="30"/>
        <v/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str">
        <f>IF('Cable Info'!L248="","",CONCATENATE('Cable Info'!L248," - ",'Cable Info'!M248))</f>
        <v/>
      </c>
      <c r="AM248" s="154" t="str">
        <f t="shared" si="30"/>
        <v/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str">
        <f>IF('Cable Info'!L249="","",CONCATENATE('Cable Info'!L249," - ",'Cable Info'!M249))</f>
        <v/>
      </c>
      <c r="AM249" s="154" t="str">
        <f t="shared" si="30"/>
        <v/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str">
        <f>IF('Cable Info'!L250="","",CONCATENATE('Cable Info'!L250," - ",'Cable Info'!M250))</f>
        <v/>
      </c>
      <c r="AM250" s="154" t="str">
        <f t="shared" si="30"/>
        <v/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str">
        <f>IF('Cable Info'!L251="","",CONCATENATE('Cable Info'!L251," - ",'Cable Info'!M251))</f>
        <v/>
      </c>
      <c r="AM251" s="154" t="str">
        <f t="shared" si="30"/>
        <v/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str">
        <f>IF('Cable Info'!L252="","",CONCATENATE('Cable Info'!L252," - ",'Cable Info'!M252))</f>
        <v/>
      </c>
      <c r="AM252" s="154" t="str">
        <f t="shared" si="30"/>
        <v/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str">
        <f>IF('Cable Info'!L253="","",CONCATENATE('Cable Info'!L253," - ",'Cable Info'!M253))</f>
        <v/>
      </c>
      <c r="AM253" s="154" t="str">
        <f t="shared" si="30"/>
        <v/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str">
        <f>IF('Cable Info'!L254="","",CONCATENATE('Cable Info'!L254," - ",'Cable Info'!M254))</f>
        <v/>
      </c>
      <c r="AM254" s="154" t="str">
        <f t="shared" si="30"/>
        <v/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str">
        <f>IF('Cable Info'!L255="","",CONCATENATE('Cable Info'!L255," - ",'Cable Info'!M255))</f>
        <v/>
      </c>
      <c r="AM255" s="154" t="str">
        <f t="shared" si="30"/>
        <v/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str">
        <f>IF('Cable Info'!L256="","",CONCATENATE('Cable Info'!L256," - ",'Cable Info'!M256))</f>
        <v/>
      </c>
      <c r="AM256" s="154" t="str">
        <f t="shared" si="30"/>
        <v/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str">
        <f>IF('Cable Info'!L257="","",CONCATENATE('Cable Info'!L257," - ",'Cable Info'!M257))</f>
        <v/>
      </c>
      <c r="AM257" s="154" t="str">
        <f t="shared" si="30"/>
        <v/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str">
        <f>IF('Cable Info'!L258="","",CONCATENATE('Cable Info'!L258," - ",'Cable Info'!M258))</f>
        <v/>
      </c>
      <c r="AM258" s="154" t="str">
        <f t="shared" si="30"/>
        <v/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str">
        <f>IF('Cable Info'!L259="","",CONCATENATE('Cable Info'!L259," - ",'Cable Info'!M259))</f>
        <v/>
      </c>
      <c r="AM259" s="154" t="str">
        <f t="shared" ref="AM259:AM322" si="36">IF(AK259="",AJ259,CONCATENATE(AJ259,"  &lt;=&gt; ",AK259," ",AL259))</f>
        <v/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str">
        <f>IF('Cable Info'!L260="","",CONCATENATE('Cable Info'!L260," - ",'Cable Info'!M260))</f>
        <v/>
      </c>
      <c r="AM260" s="154" t="str">
        <f t="shared" si="36"/>
        <v/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str">
        <f>IF('Cable Info'!L261="","",CONCATENATE('Cable Info'!L261," - ",'Cable Info'!M261))</f>
        <v/>
      </c>
      <c r="AM261" s="154" t="str">
        <f t="shared" si="36"/>
        <v/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str">
        <f>IF('Cable Info'!L262="","",CONCATENATE('Cable Info'!L262," - ",'Cable Info'!M262))</f>
        <v/>
      </c>
      <c r="AM262" s="154" t="str">
        <f t="shared" si="36"/>
        <v/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str">
        <f>IF('Cable Info'!L263="","",CONCATENATE('Cable Info'!L263," - ",'Cable Info'!M263))</f>
        <v/>
      </c>
      <c r="AM263" s="154" t="str">
        <f t="shared" si="36"/>
        <v/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str">
        <f>IF('Cable Info'!L264="","",CONCATENATE('Cable Info'!L264," - ",'Cable Info'!M264))</f>
        <v/>
      </c>
      <c r="AM264" s="154" t="str">
        <f t="shared" si="36"/>
        <v/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str">
        <f>IF('Cable Info'!L265="","",CONCATENATE('Cable Info'!L265," - ",'Cable Info'!M265))</f>
        <v/>
      </c>
      <c r="AM265" s="154" t="str">
        <f t="shared" si="36"/>
        <v/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str">
        <f>IF('Cable Info'!L266="","",CONCATENATE('Cable Info'!L266," - ",'Cable Info'!M266))</f>
        <v/>
      </c>
      <c r="AM266" s="154" t="str">
        <f t="shared" si="36"/>
        <v/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str">
        <f>IF('Cable Info'!L267="","",CONCATENATE('Cable Info'!L267," - ",'Cable Info'!M267))</f>
        <v/>
      </c>
      <c r="AM267" s="154" t="str">
        <f t="shared" si="36"/>
        <v/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str">
        <f>IF('Cable Info'!L268="","",CONCATENATE('Cable Info'!L268," - ",'Cable Info'!M268))</f>
        <v/>
      </c>
      <c r="AM268" s="154" t="str">
        <f t="shared" si="36"/>
        <v/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str">
        <f>IF('Cable Info'!L269="","",CONCATENATE('Cable Info'!L269," - ",'Cable Info'!M269))</f>
        <v/>
      </c>
      <c r="AM269" s="154" t="str">
        <f t="shared" si="36"/>
        <v/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str">
        <f>IF('Cable Info'!L270="","",CONCATENATE('Cable Info'!L270," - ",'Cable Info'!M270))</f>
        <v/>
      </c>
      <c r="AM270" s="154" t="str">
        <f t="shared" si="36"/>
        <v/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str">
        <f>IF('Cable Info'!L271="","",CONCATENATE('Cable Info'!L271," - ",'Cable Info'!M271))</f>
        <v/>
      </c>
      <c r="AM271" s="154" t="str">
        <f t="shared" si="36"/>
        <v/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str">
        <f>IF('Cable Info'!L272="","",CONCATENATE('Cable Info'!L272," - ",'Cable Info'!M272))</f>
        <v/>
      </c>
      <c r="AM272" s="154" t="str">
        <f t="shared" si="36"/>
        <v/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str">
        <f>IF('Cable Info'!L273="","",CONCATENATE('Cable Info'!L273," - ",'Cable Info'!M273))</f>
        <v/>
      </c>
      <c r="AM273" s="154" t="str">
        <f t="shared" si="36"/>
        <v/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str">
        <f>IF('Cable Info'!L274="","",CONCATENATE('Cable Info'!L274," - ",'Cable Info'!M274))</f>
        <v/>
      </c>
      <c r="AM274" s="154" t="str">
        <f t="shared" si="36"/>
        <v/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str">
        <f>IF('Cable Info'!L275="","",CONCATENATE('Cable Info'!L275," - ",'Cable Info'!M275))</f>
        <v/>
      </c>
      <c r="AM275" s="154" t="str">
        <f t="shared" si="36"/>
        <v/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str">
        <f>IF('Cable Info'!L276="","",CONCATENATE('Cable Info'!L276," - ",'Cable Info'!M276))</f>
        <v/>
      </c>
      <c r="AM276" s="154" t="str">
        <f t="shared" si="36"/>
        <v/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str">
        <f>IF('Cable Info'!L277="","",CONCATENATE('Cable Info'!L277," - ",'Cable Info'!M277))</f>
        <v/>
      </c>
      <c r="AM277" s="154" t="str">
        <f t="shared" si="36"/>
        <v/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str">
        <f>IF('Cable Info'!L278="","",CONCATENATE('Cable Info'!L278," - ",'Cable Info'!M278))</f>
        <v/>
      </c>
      <c r="AM278" s="154" t="str">
        <f t="shared" si="36"/>
        <v/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str">
        <f>IF('Cable Info'!L279="","",CONCATENATE('Cable Info'!L279," - ",'Cable Info'!M279))</f>
        <v/>
      </c>
      <c r="AM279" s="154" t="str">
        <f t="shared" si="36"/>
        <v/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str">
        <f>IF('Cable Info'!L280="","",CONCATENATE('Cable Info'!L280," - ",'Cable Info'!M280))</f>
        <v/>
      </c>
      <c r="AM280" s="154" t="str">
        <f t="shared" si="36"/>
        <v/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str">
        <f>IF('Cable Info'!L281="","",CONCATENATE('Cable Info'!L281," - ",'Cable Info'!M281))</f>
        <v/>
      </c>
      <c r="AM281" s="154" t="str">
        <f t="shared" si="36"/>
        <v/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str">
        <f>IF('Cable Info'!L282="","",CONCATENATE('Cable Info'!L282," - ",'Cable Info'!M282))</f>
        <v/>
      </c>
      <c r="AM282" s="154" t="str">
        <f t="shared" si="36"/>
        <v/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str">
        <f>IF('Cable Info'!L283="","",CONCATENATE('Cable Info'!L283," - ",'Cable Info'!M283))</f>
        <v/>
      </c>
      <c r="AM283" s="154" t="str">
        <f t="shared" si="36"/>
        <v/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str">
        <f>IF('Cable Info'!L284="","",CONCATENATE('Cable Info'!L284," - ",'Cable Info'!M284))</f>
        <v/>
      </c>
      <c r="AM284" s="154" t="str">
        <f t="shared" si="36"/>
        <v/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str">
        <f>IF('Cable Info'!L285="","",CONCATENATE('Cable Info'!L285," - ",'Cable Info'!M285))</f>
        <v/>
      </c>
      <c r="AM285" s="154" t="str">
        <f t="shared" si="36"/>
        <v/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str">
        <f>IF('Cable Info'!L286="","",CONCATENATE('Cable Info'!L286," - ",'Cable Info'!M286))</f>
        <v/>
      </c>
      <c r="AM286" s="154" t="str">
        <f t="shared" si="36"/>
        <v/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str">
        <f>IF('Cable Info'!L287="","",CONCATENATE('Cable Info'!L287," - ",'Cable Info'!M287))</f>
        <v/>
      </c>
      <c r="AM287" s="154" t="str">
        <f t="shared" si="36"/>
        <v/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str">
        <f>IF('Cable Info'!L288="","",CONCATENATE('Cable Info'!L288," - ",'Cable Info'!M288))</f>
        <v/>
      </c>
      <c r="AM288" s="154" t="str">
        <f t="shared" si="36"/>
        <v/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str">
        <f>IF('Cable Info'!L289="","",CONCATENATE('Cable Info'!L289," - ",'Cable Info'!M289))</f>
        <v/>
      </c>
      <c r="AM289" s="154" t="str">
        <f t="shared" si="36"/>
        <v/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R10:W84 B10:P84">
    <cfRule type="expression" dxfId="6" priority="8">
      <formula>$X10=12</formula>
    </cfRule>
  </conditionalFormatting>
  <conditionalFormatting sqref="R10:W84 B10:P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84 B10:P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I7" sqref="I7"/>
    </sheetView>
  </sheetViews>
  <sheetFormatPr defaultRowHeight="15"/>
  <cols>
    <col min="1" max="1" width="1.7109375" style="329" customWidth="1"/>
    <col min="2" max="2" width="28.85546875" style="328" customWidth="1"/>
    <col min="3" max="3" width="29.28515625" style="328" customWidth="1"/>
    <col min="4" max="4" width="28.85546875" style="328" customWidth="1"/>
    <col min="5" max="5" width="1.7109375" style="329" customWidth="1"/>
    <col min="6" max="6" width="4" style="329" customWidth="1"/>
    <col min="7" max="7" width="9.140625" style="339"/>
    <col min="8" max="8" width="22.5703125" style="339" bestFit="1" customWidth="1"/>
    <col min="9" max="66" width="9.140625" style="338"/>
    <col min="67" max="16384" width="9.140625" style="328"/>
  </cols>
  <sheetData>
    <row r="1" spans="1:66" s="329" customFormat="1" ht="19.5" customHeight="1" thickBot="1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>
      <c r="A3" s="333"/>
      <c r="B3" s="342" t="str">
        <f>'Cover - Location Info'!$J$8</f>
        <v>101537</v>
      </c>
      <c r="C3" s="334"/>
      <c r="D3" s="341" t="str">
        <f>'Cover - Location Info'!$J$10</f>
        <v>1.0</v>
      </c>
      <c r="E3" s="335"/>
      <c r="F3" s="349"/>
      <c r="G3" s="474" t="s">
        <v>107</v>
      </c>
      <c r="H3" s="474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>
      <c r="A5" s="333"/>
      <c r="B5" s="492" t="s">
        <v>118</v>
      </c>
      <c r="C5" s="493"/>
      <c r="D5" s="494"/>
      <c r="E5" s="335"/>
      <c r="F5" s="349"/>
      <c r="G5" s="339" t="s">
        <v>110</v>
      </c>
      <c r="H5" s="339" t="s">
        <v>111</v>
      </c>
    </row>
    <row r="6" spans="1:66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>
      <c r="A7" s="333"/>
      <c r="B7" s="357">
        <f>IF('Cover - Location Info'!D41="","",'Cover - Location Info'!D41)</f>
        <v>1</v>
      </c>
      <c r="C7" s="358" t="str">
        <f>IF('Cover - Location Info'!E41="","",'Cover - Location Info'!E41)</f>
        <v>MPOE</v>
      </c>
      <c r="D7" s="359"/>
      <c r="E7" s="335"/>
      <c r="F7" s="349"/>
      <c r="H7" s="339" t="s">
        <v>113</v>
      </c>
    </row>
    <row r="8" spans="1:66" s="329" customFormat="1" ht="15.75" thickBot="1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>
      <c r="A9" s="333"/>
      <c r="B9" s="495" t="s">
        <v>119</v>
      </c>
      <c r="C9" s="496"/>
      <c r="D9" s="497"/>
      <c r="E9" s="335"/>
      <c r="F9" s="349"/>
      <c r="H9" s="339" t="s">
        <v>115</v>
      </c>
    </row>
    <row r="10" spans="1:66" ht="17.25" customHeight="1">
      <c r="A10" s="333"/>
      <c r="B10" s="353" t="s">
        <v>141</v>
      </c>
      <c r="C10" s="490"/>
      <c r="D10" s="491"/>
      <c r="E10" s="335"/>
      <c r="F10" s="349"/>
      <c r="H10" s="339" t="s">
        <v>116</v>
      </c>
    </row>
    <row r="11" spans="1:66" ht="17.25" customHeight="1">
      <c r="A11" s="333"/>
      <c r="B11" s="353" t="s">
        <v>126</v>
      </c>
      <c r="C11" s="490"/>
      <c r="D11" s="491"/>
      <c r="E11" s="335"/>
      <c r="F11" s="349"/>
      <c r="H11" s="339" t="s">
        <v>117</v>
      </c>
    </row>
    <row r="12" spans="1:66" s="329" customFormat="1" ht="17.25" customHeight="1" thickBot="1">
      <c r="A12" s="333"/>
      <c r="B12" s="361" t="s">
        <v>121</v>
      </c>
      <c r="C12" s="498"/>
      <c r="D12" s="499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>
      <c r="A13" s="333"/>
      <c r="B13" s="334"/>
      <c r="C13" s="334"/>
      <c r="D13" s="334"/>
      <c r="E13" s="335"/>
      <c r="F13" s="349"/>
    </row>
    <row r="14" spans="1:66" ht="22.5" customHeight="1">
      <c r="A14" s="333"/>
      <c r="B14" s="495" t="s">
        <v>120</v>
      </c>
      <c r="C14" s="496"/>
      <c r="D14" s="497"/>
      <c r="E14" s="335"/>
      <c r="F14" s="349"/>
    </row>
    <row r="15" spans="1:66" ht="17.25" customHeight="1">
      <c r="A15" s="333"/>
      <c r="B15" s="360" t="s">
        <v>127</v>
      </c>
      <c r="C15" s="475"/>
      <c r="D15" s="476"/>
      <c r="E15" s="335"/>
      <c r="F15" s="349"/>
    </row>
    <row r="16" spans="1:66" ht="17.25" customHeight="1">
      <c r="A16" s="333"/>
      <c r="B16" s="360" t="s">
        <v>128</v>
      </c>
      <c r="C16" s="475"/>
      <c r="D16" s="476"/>
      <c r="E16" s="335"/>
      <c r="F16" s="349"/>
    </row>
    <row r="17" spans="1:66" ht="17.25" customHeight="1">
      <c r="A17" s="333"/>
      <c r="B17" s="360" t="s">
        <v>129</v>
      </c>
      <c r="C17" s="477"/>
      <c r="D17" s="478"/>
      <c r="E17" s="335"/>
      <c r="F17" s="349"/>
    </row>
    <row r="18" spans="1:66" ht="17.25" customHeight="1">
      <c r="A18" s="333"/>
      <c r="B18" s="360" t="s">
        <v>130</v>
      </c>
      <c r="C18" s="477"/>
      <c r="D18" s="478"/>
      <c r="E18" s="335"/>
      <c r="F18" s="349"/>
    </row>
    <row r="19" spans="1:66" s="329" customFormat="1" ht="17.25" customHeight="1" thickBot="1">
      <c r="A19" s="346"/>
      <c r="B19" s="362" t="s">
        <v>131</v>
      </c>
      <c r="C19" s="488"/>
      <c r="D19" s="489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>
      <c r="A21" s="333"/>
      <c r="B21" s="479"/>
      <c r="C21" s="480"/>
      <c r="D21" s="481"/>
      <c r="E21" s="335"/>
      <c r="F21" s="350"/>
      <c r="G21" s="339"/>
      <c r="H21" s="339"/>
    </row>
    <row r="22" spans="1:66" s="338" customFormat="1" ht="16.5" customHeight="1">
      <c r="A22" s="333"/>
      <c r="B22" s="482"/>
      <c r="C22" s="483"/>
      <c r="D22" s="484"/>
      <c r="E22" s="335"/>
      <c r="F22" s="350"/>
      <c r="G22" s="339"/>
      <c r="H22" s="339"/>
    </row>
    <row r="23" spans="1:66" s="338" customFormat="1" ht="16.5" customHeight="1">
      <c r="A23" s="333"/>
      <c r="B23" s="482"/>
      <c r="C23" s="483"/>
      <c r="D23" s="484"/>
      <c r="E23" s="335"/>
      <c r="F23" s="350"/>
      <c r="G23" s="339"/>
      <c r="H23" s="339"/>
    </row>
    <row r="24" spans="1:66" s="338" customFormat="1" ht="16.5" customHeight="1">
      <c r="A24" s="333"/>
      <c r="B24" s="482"/>
      <c r="C24" s="483"/>
      <c r="D24" s="484"/>
      <c r="E24" s="335"/>
      <c r="F24" s="350"/>
      <c r="G24" s="339"/>
      <c r="H24" s="339"/>
    </row>
    <row r="25" spans="1:66" s="338" customFormat="1" ht="16.5" customHeight="1">
      <c r="A25" s="333"/>
      <c r="B25" s="482"/>
      <c r="C25" s="483"/>
      <c r="D25" s="484"/>
      <c r="E25" s="335"/>
      <c r="F25" s="350"/>
      <c r="G25" s="339"/>
      <c r="H25" s="339"/>
    </row>
    <row r="26" spans="1:66" s="338" customFormat="1" ht="16.5" customHeight="1">
      <c r="A26" s="333"/>
      <c r="B26" s="482"/>
      <c r="C26" s="483"/>
      <c r="D26" s="484"/>
      <c r="E26" s="335"/>
      <c r="F26" s="350"/>
      <c r="G26" s="339"/>
      <c r="H26" s="339"/>
    </row>
    <row r="27" spans="1:66" s="338" customFormat="1" ht="16.5" customHeight="1">
      <c r="A27" s="333"/>
      <c r="B27" s="482"/>
      <c r="C27" s="483"/>
      <c r="D27" s="484"/>
      <c r="E27" s="335"/>
      <c r="F27" s="350"/>
      <c r="G27" s="339"/>
      <c r="H27" s="339"/>
    </row>
    <row r="28" spans="1:66" s="338" customFormat="1" ht="16.5" customHeight="1">
      <c r="A28" s="333"/>
      <c r="B28" s="482"/>
      <c r="C28" s="483"/>
      <c r="D28" s="484"/>
      <c r="E28" s="335"/>
      <c r="F28" s="350"/>
      <c r="G28" s="339"/>
      <c r="H28" s="339"/>
    </row>
    <row r="29" spans="1:66" s="338" customFormat="1" ht="16.5" customHeight="1">
      <c r="A29" s="333"/>
      <c r="B29" s="485"/>
      <c r="C29" s="486"/>
      <c r="D29" s="487"/>
      <c r="E29" s="335"/>
      <c r="F29" s="350"/>
      <c r="G29" s="339"/>
      <c r="H29" s="339"/>
    </row>
    <row r="30" spans="1:66" s="338" customFormat="1" ht="15.75" thickBot="1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>
      <c r="G32" s="339"/>
      <c r="H32" s="339"/>
    </row>
    <row r="33" spans="7:8" s="338" customFormat="1">
      <c r="G33" s="339"/>
      <c r="H33" s="339"/>
    </row>
    <row r="34" spans="7:8" s="338" customFormat="1">
      <c r="G34" s="339"/>
      <c r="H34" s="339"/>
    </row>
    <row r="35" spans="7:8" s="338" customFormat="1">
      <c r="G35" s="339"/>
      <c r="H35" s="339"/>
    </row>
    <row r="36" spans="7:8" s="338" customFormat="1">
      <c r="G36" s="339"/>
      <c r="H36" s="339"/>
    </row>
    <row r="37" spans="7:8" s="338" customFormat="1">
      <c r="G37" s="339"/>
      <c r="H37" s="339"/>
    </row>
    <row r="38" spans="7:8" s="338" customFormat="1">
      <c r="G38" s="339"/>
      <c r="H38" s="339"/>
    </row>
    <row r="39" spans="7:8" s="338" customFormat="1">
      <c r="G39" s="339"/>
      <c r="H39" s="339"/>
    </row>
    <row r="40" spans="7:8" s="338" customFormat="1">
      <c r="G40" s="339"/>
      <c r="H40" s="339"/>
    </row>
    <row r="41" spans="7:8" s="338" customFormat="1">
      <c r="G41" s="339"/>
      <c r="H41" s="339"/>
    </row>
    <row r="42" spans="7:8" s="338" customFormat="1">
      <c r="G42" s="339"/>
      <c r="H42" s="339"/>
    </row>
    <row r="43" spans="7:8" s="338" customFormat="1">
      <c r="G43" s="339"/>
      <c r="H43" s="339"/>
    </row>
    <row r="44" spans="7:8" s="338" customFormat="1">
      <c r="G44" s="339"/>
      <c r="H44" s="339"/>
    </row>
    <row r="45" spans="7:8" s="338" customFormat="1">
      <c r="G45" s="339"/>
      <c r="H45" s="339"/>
    </row>
    <row r="46" spans="7:8" s="338" customFormat="1">
      <c r="G46" s="339"/>
      <c r="H46" s="339"/>
    </row>
    <row r="47" spans="7:8" s="338" customFormat="1">
      <c r="G47" s="339"/>
      <c r="H47" s="339"/>
    </row>
    <row r="48" spans="7:8" s="338" customFormat="1">
      <c r="G48" s="339"/>
      <c r="H48" s="339"/>
    </row>
    <row r="49" spans="7:8" s="338" customFormat="1">
      <c r="G49" s="339"/>
      <c r="H49" s="339"/>
    </row>
    <row r="50" spans="7:8" s="338" customFormat="1">
      <c r="G50" s="339"/>
      <c r="H50" s="339"/>
    </row>
    <row r="51" spans="7:8" s="338" customFormat="1">
      <c r="G51" s="339"/>
      <c r="H51" s="339"/>
    </row>
    <row r="52" spans="7:8" s="338" customFormat="1">
      <c r="G52" s="339"/>
      <c r="H52" s="339"/>
    </row>
    <row r="53" spans="7:8" s="338" customFormat="1">
      <c r="G53" s="339"/>
      <c r="H53" s="339"/>
    </row>
    <row r="54" spans="7:8" s="338" customFormat="1">
      <c r="G54" s="339"/>
      <c r="H54" s="339"/>
    </row>
    <row r="55" spans="7:8" s="338" customFormat="1">
      <c r="G55" s="339"/>
      <c r="H55" s="339"/>
    </row>
    <row r="56" spans="7:8" s="338" customFormat="1">
      <c r="G56" s="339"/>
      <c r="H56" s="339"/>
    </row>
    <row r="57" spans="7:8" s="338" customFormat="1">
      <c r="G57" s="339"/>
      <c r="H57" s="339"/>
    </row>
    <row r="58" spans="7:8" s="338" customFormat="1">
      <c r="G58" s="339"/>
      <c r="H58" s="339"/>
    </row>
    <row r="59" spans="7:8" s="338" customFormat="1">
      <c r="G59" s="339"/>
      <c r="H59" s="339"/>
    </row>
    <row r="60" spans="7:8" s="338" customFormat="1">
      <c r="G60" s="339"/>
      <c r="H60" s="339"/>
    </row>
    <row r="61" spans="7:8" s="338" customFormat="1">
      <c r="G61" s="339"/>
      <c r="H61" s="339"/>
    </row>
    <row r="62" spans="7:8" s="338" customFormat="1">
      <c r="G62" s="339"/>
      <c r="H62" s="339"/>
    </row>
    <row r="63" spans="7:8" s="338" customFormat="1">
      <c r="G63" s="339"/>
      <c r="H63" s="339"/>
    </row>
    <row r="64" spans="7:8" s="338" customFormat="1">
      <c r="G64" s="339"/>
      <c r="H64" s="339"/>
    </row>
    <row r="65" spans="7:8" s="338" customFormat="1">
      <c r="G65" s="339"/>
      <c r="H65" s="339"/>
    </row>
    <row r="66" spans="7:8" s="338" customFormat="1">
      <c r="G66" s="339"/>
      <c r="H66" s="339"/>
    </row>
    <row r="67" spans="7:8" s="338" customFormat="1">
      <c r="G67" s="339"/>
      <c r="H67" s="339"/>
    </row>
    <row r="68" spans="7:8" s="338" customFormat="1">
      <c r="G68" s="339"/>
      <c r="H68" s="339"/>
    </row>
    <row r="69" spans="7:8" s="338" customFormat="1">
      <c r="G69" s="339"/>
      <c r="H69" s="339"/>
    </row>
    <row r="70" spans="7:8" s="338" customFormat="1">
      <c r="G70" s="339"/>
      <c r="H70" s="339"/>
    </row>
    <row r="71" spans="7:8" s="338" customFormat="1">
      <c r="G71" s="339"/>
      <c r="H71" s="339"/>
    </row>
    <row r="72" spans="7:8" s="338" customFormat="1">
      <c r="G72" s="339"/>
      <c r="H72" s="339"/>
    </row>
    <row r="73" spans="7:8" s="338" customFormat="1">
      <c r="G73" s="339"/>
      <c r="H73" s="339"/>
    </row>
    <row r="74" spans="7:8" s="338" customFormat="1">
      <c r="G74" s="339"/>
      <c r="H74" s="339"/>
    </row>
    <row r="75" spans="7:8" s="338" customFormat="1">
      <c r="G75" s="339"/>
      <c r="H75" s="339"/>
    </row>
    <row r="76" spans="7:8" s="338" customFormat="1">
      <c r="G76" s="339"/>
      <c r="H76" s="339"/>
    </row>
    <row r="77" spans="7:8" s="338" customFormat="1">
      <c r="G77" s="339"/>
      <c r="H77" s="339"/>
    </row>
    <row r="78" spans="7:8" s="338" customFormat="1">
      <c r="G78" s="339"/>
      <c r="H78" s="339"/>
    </row>
    <row r="79" spans="7:8" s="338" customFormat="1">
      <c r="G79" s="339"/>
      <c r="H79" s="339"/>
    </row>
    <row r="80" spans="7:8" s="338" customFormat="1">
      <c r="G80" s="339"/>
      <c r="H80" s="339"/>
    </row>
    <row r="81" spans="7:8" s="338" customFormat="1">
      <c r="G81" s="339"/>
      <c r="H81" s="339"/>
    </row>
    <row r="82" spans="7:8" s="338" customFormat="1">
      <c r="G82" s="339"/>
      <c r="H82" s="339"/>
    </row>
    <row r="83" spans="7:8" s="338" customFormat="1">
      <c r="G83" s="339"/>
      <c r="H83" s="339"/>
    </row>
    <row r="84" spans="7:8" s="338" customFormat="1">
      <c r="G84" s="339"/>
      <c r="H84" s="339"/>
    </row>
    <row r="85" spans="7:8" s="338" customFormat="1">
      <c r="G85" s="339"/>
      <c r="H85" s="339"/>
    </row>
    <row r="86" spans="7:8" s="338" customFormat="1">
      <c r="G86" s="339"/>
      <c r="H86" s="339"/>
    </row>
    <row r="87" spans="7:8" s="338" customFormat="1">
      <c r="G87" s="339"/>
      <c r="H87" s="339"/>
    </row>
    <row r="88" spans="7:8" s="338" customFormat="1">
      <c r="G88" s="339"/>
      <c r="H88" s="339"/>
    </row>
    <row r="89" spans="7:8" s="338" customFormat="1">
      <c r="G89" s="339"/>
      <c r="H89" s="339"/>
    </row>
    <row r="90" spans="7:8" s="338" customFormat="1">
      <c r="G90" s="339"/>
      <c r="H90" s="339"/>
    </row>
    <row r="91" spans="7:8" s="338" customFormat="1">
      <c r="G91" s="339"/>
      <c r="H91" s="339"/>
    </row>
    <row r="92" spans="7:8" s="338" customFormat="1">
      <c r="G92" s="339"/>
      <c r="H92" s="339"/>
    </row>
    <row r="93" spans="7:8" s="338" customFormat="1">
      <c r="G93" s="339"/>
      <c r="H93" s="339"/>
    </row>
    <row r="94" spans="7:8" s="338" customFormat="1">
      <c r="G94" s="339"/>
      <c r="H94" s="339"/>
    </row>
    <row r="95" spans="7:8" s="338" customFormat="1">
      <c r="G95" s="339"/>
      <c r="H95" s="339"/>
    </row>
    <row r="96" spans="7:8" s="338" customFormat="1">
      <c r="G96" s="339"/>
      <c r="H96" s="339"/>
    </row>
    <row r="97" spans="7:8" s="338" customFormat="1">
      <c r="G97" s="339"/>
      <c r="H97" s="339"/>
    </row>
    <row r="98" spans="7:8" s="338" customFormat="1">
      <c r="G98" s="339"/>
      <c r="H98" s="339"/>
    </row>
    <row r="99" spans="7:8" s="338" customFormat="1">
      <c r="G99" s="339"/>
      <c r="H99" s="339"/>
    </row>
    <row r="100" spans="7:8" s="338" customFormat="1">
      <c r="G100" s="339"/>
      <c r="H100" s="339"/>
    </row>
    <row r="101" spans="7:8" s="338" customFormat="1">
      <c r="G101" s="339"/>
      <c r="H101" s="339"/>
    </row>
    <row r="102" spans="7:8" s="338" customFormat="1">
      <c r="G102" s="339"/>
      <c r="H102" s="339"/>
    </row>
    <row r="103" spans="7:8" s="338" customFormat="1">
      <c r="G103" s="339"/>
      <c r="H103" s="339"/>
    </row>
    <row r="104" spans="7:8" s="338" customFormat="1">
      <c r="G104" s="339"/>
      <c r="H104" s="339"/>
    </row>
    <row r="105" spans="7:8" s="338" customFormat="1">
      <c r="G105" s="339"/>
      <c r="H105" s="339"/>
    </row>
    <row r="106" spans="7:8" s="338" customFormat="1">
      <c r="G106" s="339"/>
      <c r="H106" s="339"/>
    </row>
    <row r="107" spans="7:8" s="338" customFormat="1">
      <c r="G107" s="339"/>
      <c r="H107" s="339"/>
    </row>
    <row r="108" spans="7:8" s="338" customFormat="1">
      <c r="G108" s="339"/>
      <c r="H108" s="339"/>
    </row>
    <row r="109" spans="7:8" s="338" customFormat="1">
      <c r="G109" s="339"/>
      <c r="H109" s="339"/>
    </row>
    <row r="110" spans="7:8" s="338" customFormat="1">
      <c r="G110" s="339"/>
      <c r="H110" s="339"/>
    </row>
    <row r="111" spans="7:8" s="338" customFormat="1">
      <c r="G111" s="339"/>
      <c r="H111" s="339"/>
    </row>
    <row r="112" spans="7:8" s="338" customFormat="1">
      <c r="G112" s="339"/>
      <c r="H112" s="339"/>
    </row>
    <row r="113" spans="7:8" s="338" customFormat="1">
      <c r="G113" s="339"/>
      <c r="H113" s="339"/>
    </row>
    <row r="114" spans="7:8" s="338" customFormat="1">
      <c r="G114" s="339"/>
      <c r="H114" s="339"/>
    </row>
    <row r="115" spans="7:8" s="338" customFormat="1">
      <c r="G115" s="339"/>
      <c r="H115" s="339"/>
    </row>
    <row r="116" spans="7:8" s="338" customFormat="1">
      <c r="G116" s="339"/>
      <c r="H116" s="339"/>
    </row>
    <row r="117" spans="7:8" s="338" customFormat="1">
      <c r="G117" s="339"/>
      <c r="H117" s="339"/>
    </row>
    <row r="118" spans="7:8" s="338" customFormat="1">
      <c r="G118" s="339"/>
      <c r="H118" s="339"/>
    </row>
    <row r="119" spans="7:8" s="338" customFormat="1">
      <c r="G119" s="339"/>
      <c r="H119" s="339"/>
    </row>
    <row r="120" spans="7:8" s="338" customFormat="1">
      <c r="G120" s="339"/>
      <c r="H120" s="339"/>
    </row>
    <row r="121" spans="7:8" s="338" customFormat="1">
      <c r="G121" s="339"/>
      <c r="H121" s="339"/>
    </row>
    <row r="122" spans="7:8" s="338" customFormat="1">
      <c r="G122" s="339"/>
      <c r="H122" s="339"/>
    </row>
    <row r="123" spans="7:8" s="338" customFormat="1">
      <c r="G123" s="339"/>
      <c r="H123" s="339"/>
    </row>
    <row r="124" spans="7:8" s="338" customFormat="1">
      <c r="G124" s="339"/>
      <c r="H124" s="339"/>
    </row>
    <row r="125" spans="7:8" s="338" customFormat="1">
      <c r="G125" s="339"/>
      <c r="H125" s="339"/>
    </row>
    <row r="126" spans="7:8" s="338" customFormat="1">
      <c r="G126" s="339"/>
      <c r="H126" s="339"/>
    </row>
    <row r="127" spans="7:8" s="338" customFormat="1">
      <c r="G127" s="339"/>
      <c r="H127" s="339"/>
    </row>
    <row r="128" spans="7:8" s="338" customFormat="1">
      <c r="G128" s="339"/>
      <c r="H128" s="339"/>
    </row>
    <row r="129" spans="7:8" s="338" customFormat="1">
      <c r="G129" s="339"/>
      <c r="H129" s="339"/>
    </row>
    <row r="130" spans="7:8" s="338" customFormat="1">
      <c r="G130" s="339"/>
      <c r="H130" s="339"/>
    </row>
    <row r="131" spans="7:8" s="338" customFormat="1">
      <c r="G131" s="339"/>
      <c r="H131" s="339"/>
    </row>
    <row r="132" spans="7:8" s="338" customFormat="1">
      <c r="G132" s="339"/>
      <c r="H132" s="339"/>
    </row>
    <row r="133" spans="7:8" s="338" customFormat="1">
      <c r="G133" s="339"/>
      <c r="H133" s="339"/>
    </row>
    <row r="134" spans="7:8" s="338" customFormat="1">
      <c r="G134" s="339"/>
      <c r="H134" s="339"/>
    </row>
    <row r="135" spans="7:8" s="338" customFormat="1">
      <c r="G135" s="339"/>
      <c r="H135" s="339"/>
    </row>
    <row r="136" spans="7:8" s="338" customFormat="1">
      <c r="G136" s="339"/>
      <c r="H136" s="339"/>
    </row>
    <row r="137" spans="7:8" s="338" customFormat="1">
      <c r="G137" s="339"/>
      <c r="H137" s="339"/>
    </row>
    <row r="138" spans="7:8" s="338" customFormat="1">
      <c r="G138" s="339"/>
      <c r="H138" s="339"/>
    </row>
    <row r="139" spans="7:8" s="338" customFormat="1">
      <c r="G139" s="339"/>
      <c r="H139" s="339"/>
    </row>
    <row r="140" spans="7:8" s="338" customFormat="1">
      <c r="G140" s="339"/>
      <c r="H140" s="339"/>
    </row>
    <row r="141" spans="7:8" s="338" customFormat="1">
      <c r="G141" s="339"/>
      <c r="H141" s="339"/>
    </row>
    <row r="142" spans="7:8" s="338" customFormat="1">
      <c r="G142" s="339"/>
      <c r="H142" s="339"/>
    </row>
    <row r="143" spans="7:8" s="338" customFormat="1">
      <c r="G143" s="339"/>
      <c r="H143" s="339"/>
    </row>
    <row r="144" spans="7:8" s="338" customFormat="1">
      <c r="G144" s="339"/>
      <c r="H144" s="339"/>
    </row>
    <row r="145" spans="7:8" s="338" customFormat="1">
      <c r="G145" s="339"/>
      <c r="H145" s="339"/>
    </row>
    <row r="146" spans="7:8" s="338" customFormat="1">
      <c r="G146" s="339"/>
      <c r="H146" s="339"/>
    </row>
    <row r="147" spans="7:8" s="338" customFormat="1">
      <c r="G147" s="339"/>
      <c r="H147" s="339"/>
    </row>
    <row r="148" spans="7:8" s="338" customFormat="1">
      <c r="G148" s="339"/>
      <c r="H148" s="339"/>
    </row>
    <row r="149" spans="7:8" s="338" customFormat="1">
      <c r="G149" s="339"/>
      <c r="H149" s="339"/>
    </row>
    <row r="150" spans="7:8" s="338" customFormat="1">
      <c r="G150" s="339"/>
      <c r="H150" s="339"/>
    </row>
    <row r="151" spans="7:8" s="338" customFormat="1">
      <c r="G151" s="339"/>
      <c r="H151" s="339"/>
    </row>
    <row r="152" spans="7:8" s="338" customFormat="1">
      <c r="G152" s="339"/>
      <c r="H152" s="339"/>
    </row>
    <row r="153" spans="7:8" s="338" customFormat="1">
      <c r="G153" s="339"/>
      <c r="H153" s="339"/>
    </row>
    <row r="154" spans="7:8" s="338" customFormat="1">
      <c r="G154" s="339"/>
      <c r="H154" s="339"/>
    </row>
    <row r="155" spans="7:8" s="338" customFormat="1">
      <c r="G155" s="339"/>
      <c r="H155" s="339"/>
    </row>
    <row r="156" spans="7:8" s="338" customFormat="1">
      <c r="G156" s="339"/>
      <c r="H156" s="339"/>
    </row>
    <row r="157" spans="7:8" s="338" customFormat="1">
      <c r="G157" s="339"/>
      <c r="H157" s="339"/>
    </row>
    <row r="158" spans="7:8" s="338" customFormat="1">
      <c r="G158" s="339"/>
      <c r="H158" s="339"/>
    </row>
    <row r="159" spans="7:8" s="338" customFormat="1">
      <c r="G159" s="339"/>
      <c r="H159" s="339"/>
    </row>
    <row r="160" spans="7:8" s="338" customFormat="1">
      <c r="G160" s="339"/>
      <c r="H160" s="339"/>
    </row>
    <row r="161" spans="7:8" s="338" customFormat="1">
      <c r="G161" s="339"/>
      <c r="H161" s="339"/>
    </row>
    <row r="162" spans="7:8" s="338" customFormat="1">
      <c r="G162" s="339"/>
      <c r="H162" s="339"/>
    </row>
    <row r="163" spans="7:8" s="338" customFormat="1">
      <c r="G163" s="339"/>
      <c r="H163" s="339"/>
    </row>
    <row r="164" spans="7:8" s="338" customFormat="1">
      <c r="G164" s="339"/>
      <c r="H164" s="339"/>
    </row>
    <row r="165" spans="7:8" s="338" customFormat="1">
      <c r="G165" s="339"/>
      <c r="H165" s="339"/>
    </row>
    <row r="166" spans="7:8" s="338" customFormat="1">
      <c r="G166" s="339"/>
      <c r="H166" s="339"/>
    </row>
    <row r="167" spans="7:8" s="338" customFormat="1">
      <c r="G167" s="339"/>
      <c r="H167" s="339"/>
    </row>
    <row r="168" spans="7:8" s="338" customFormat="1">
      <c r="G168" s="339"/>
      <c r="H168" s="339"/>
    </row>
    <row r="169" spans="7:8" s="338" customFormat="1">
      <c r="G169" s="339"/>
      <c r="H169" s="339"/>
    </row>
    <row r="170" spans="7:8" s="338" customFormat="1">
      <c r="G170" s="339"/>
      <c r="H170" s="339"/>
    </row>
    <row r="171" spans="7:8" s="338" customFormat="1">
      <c r="G171" s="339"/>
      <c r="H171" s="339"/>
    </row>
    <row r="172" spans="7:8" s="338" customFormat="1">
      <c r="G172" s="339"/>
      <c r="H172" s="339"/>
    </row>
    <row r="173" spans="7:8" s="338" customFormat="1">
      <c r="G173" s="339"/>
      <c r="H173" s="339"/>
    </row>
    <row r="174" spans="7:8" s="338" customFormat="1">
      <c r="G174" s="339"/>
      <c r="H174" s="339"/>
    </row>
    <row r="175" spans="7:8" s="338" customFormat="1">
      <c r="G175" s="339"/>
      <c r="H175" s="339"/>
    </row>
    <row r="176" spans="7:8" s="338" customFormat="1">
      <c r="G176" s="339"/>
      <c r="H176" s="339"/>
    </row>
    <row r="177" spans="7:8" s="338" customFormat="1">
      <c r="G177" s="339"/>
      <c r="H177" s="339"/>
    </row>
    <row r="178" spans="7:8" s="338" customFormat="1">
      <c r="G178" s="339"/>
      <c r="H178" s="339"/>
    </row>
    <row r="179" spans="7:8" s="338" customFormat="1">
      <c r="G179" s="339"/>
      <c r="H179" s="339"/>
    </row>
    <row r="180" spans="7:8" s="338" customFormat="1">
      <c r="G180" s="339"/>
      <c r="H180" s="339"/>
    </row>
    <row r="181" spans="7:8" s="338" customFormat="1">
      <c r="G181" s="339"/>
      <c r="H181" s="339"/>
    </row>
    <row r="182" spans="7:8" s="338" customFormat="1">
      <c r="G182" s="339"/>
      <c r="H182" s="339"/>
    </row>
    <row r="183" spans="7:8" s="338" customFormat="1">
      <c r="G183" s="339"/>
      <c r="H183" s="339"/>
    </row>
    <row r="184" spans="7:8" s="338" customFormat="1">
      <c r="G184" s="339"/>
      <c r="H184" s="339"/>
    </row>
    <row r="185" spans="7:8" s="338" customFormat="1">
      <c r="G185" s="339"/>
      <c r="H185" s="339"/>
    </row>
    <row r="186" spans="7:8" s="338" customFormat="1">
      <c r="G186" s="339"/>
      <c r="H186" s="339"/>
    </row>
    <row r="187" spans="7:8" s="338" customFormat="1">
      <c r="G187" s="339"/>
      <c r="H187" s="339"/>
    </row>
    <row r="188" spans="7:8" s="338" customFormat="1">
      <c r="G188" s="339"/>
      <c r="H188" s="339"/>
    </row>
    <row r="189" spans="7:8" s="338" customFormat="1">
      <c r="G189" s="339"/>
      <c r="H189" s="339"/>
    </row>
    <row r="190" spans="7:8" s="338" customFormat="1">
      <c r="G190" s="339"/>
      <c r="H190" s="339"/>
    </row>
    <row r="191" spans="7:8" s="338" customFormat="1">
      <c r="G191" s="339"/>
      <c r="H191" s="339"/>
    </row>
    <row r="192" spans="7:8" s="338" customFormat="1">
      <c r="G192" s="339"/>
      <c r="H192" s="339"/>
    </row>
    <row r="193" spans="7:8" s="338" customFormat="1">
      <c r="G193" s="339"/>
      <c r="H193" s="339"/>
    </row>
    <row r="194" spans="7:8" s="338" customFormat="1">
      <c r="G194" s="339"/>
      <c r="H194" s="339"/>
    </row>
    <row r="195" spans="7:8" s="338" customFormat="1">
      <c r="G195" s="339"/>
      <c r="H195" s="339"/>
    </row>
    <row r="196" spans="7:8" s="338" customFormat="1">
      <c r="G196" s="339"/>
      <c r="H196" s="339"/>
    </row>
    <row r="197" spans="7:8" s="338" customFormat="1">
      <c r="G197" s="339"/>
      <c r="H197" s="339"/>
    </row>
    <row r="198" spans="7:8" s="338" customFormat="1">
      <c r="G198" s="339"/>
      <c r="H198" s="339"/>
    </row>
    <row r="199" spans="7:8" s="338" customFormat="1">
      <c r="G199" s="339"/>
      <c r="H199" s="339"/>
    </row>
    <row r="200" spans="7:8" s="338" customFormat="1">
      <c r="G200" s="339"/>
      <c r="H200" s="339"/>
    </row>
    <row r="201" spans="7:8" s="338" customFormat="1">
      <c r="G201" s="339"/>
      <c r="H201" s="339"/>
    </row>
    <row r="202" spans="7:8" s="338" customFormat="1">
      <c r="G202" s="339"/>
      <c r="H202" s="339"/>
    </row>
    <row r="203" spans="7:8" s="338" customFormat="1">
      <c r="G203" s="339"/>
      <c r="H203" s="339"/>
    </row>
    <row r="204" spans="7:8" s="338" customFormat="1">
      <c r="G204" s="339"/>
      <c r="H204" s="339"/>
    </row>
    <row r="205" spans="7:8" s="338" customFormat="1">
      <c r="G205" s="339"/>
      <c r="H205" s="339"/>
    </row>
    <row r="206" spans="7:8" s="338" customFormat="1">
      <c r="G206" s="339"/>
      <c r="H206" s="339"/>
    </row>
    <row r="207" spans="7:8" s="338" customFormat="1">
      <c r="G207" s="339"/>
      <c r="H207" s="339"/>
    </row>
    <row r="208" spans="7:8" s="338" customFormat="1">
      <c r="G208" s="339"/>
      <c r="H208" s="339"/>
    </row>
    <row r="209" spans="7:8" s="338" customFormat="1">
      <c r="G209" s="339"/>
      <c r="H209" s="339"/>
    </row>
    <row r="210" spans="7:8" s="338" customFormat="1">
      <c r="G210" s="339"/>
      <c r="H210" s="339"/>
    </row>
    <row r="211" spans="7:8" s="338" customFormat="1">
      <c r="G211" s="339"/>
      <c r="H211" s="339"/>
    </row>
    <row r="212" spans="7:8" s="338" customFormat="1">
      <c r="G212" s="339"/>
      <c r="H212" s="339"/>
    </row>
    <row r="213" spans="7:8" s="338" customFormat="1">
      <c r="G213" s="339"/>
      <c r="H213" s="339"/>
    </row>
    <row r="214" spans="7:8" s="338" customFormat="1">
      <c r="G214" s="339"/>
      <c r="H214" s="339"/>
    </row>
    <row r="215" spans="7:8" s="338" customFormat="1">
      <c r="G215" s="339"/>
      <c r="H215" s="339"/>
    </row>
    <row r="216" spans="7:8" s="338" customFormat="1">
      <c r="G216" s="339"/>
      <c r="H216" s="339"/>
    </row>
    <row r="217" spans="7:8" s="338" customFormat="1">
      <c r="G217" s="339"/>
      <c r="H217" s="339"/>
    </row>
    <row r="218" spans="7:8" s="338" customFormat="1">
      <c r="G218" s="339"/>
      <c r="H218" s="339"/>
    </row>
    <row r="219" spans="7:8" s="338" customFormat="1">
      <c r="G219" s="339"/>
      <c r="H219" s="339"/>
    </row>
    <row r="220" spans="7:8" s="338" customFormat="1">
      <c r="G220" s="339"/>
      <c r="H220" s="339"/>
    </row>
    <row r="221" spans="7:8" s="338" customFormat="1">
      <c r="G221" s="339"/>
      <c r="H221" s="339"/>
    </row>
    <row r="222" spans="7:8" s="338" customFormat="1">
      <c r="G222" s="339"/>
      <c r="H222" s="339"/>
    </row>
    <row r="223" spans="7:8" s="338" customFormat="1">
      <c r="G223" s="339"/>
      <c r="H223" s="339"/>
    </row>
    <row r="224" spans="7:8" s="338" customFormat="1">
      <c r="G224" s="339"/>
      <c r="H224" s="339"/>
    </row>
    <row r="225" spans="7:8" s="338" customFormat="1">
      <c r="G225" s="339"/>
      <c r="H225" s="339"/>
    </row>
    <row r="226" spans="7:8" s="338" customFormat="1">
      <c r="G226" s="339"/>
      <c r="H226" s="339"/>
    </row>
    <row r="227" spans="7:8" s="338" customFormat="1">
      <c r="G227" s="339"/>
      <c r="H227" s="339"/>
    </row>
    <row r="228" spans="7:8" s="338" customFormat="1">
      <c r="G228" s="339"/>
      <c r="H228" s="339"/>
    </row>
    <row r="229" spans="7:8" s="338" customFormat="1">
      <c r="G229" s="339"/>
      <c r="H229" s="339"/>
    </row>
    <row r="230" spans="7:8" s="338" customFormat="1">
      <c r="G230" s="339"/>
      <c r="H230" s="339"/>
    </row>
    <row r="231" spans="7:8" s="338" customFormat="1">
      <c r="G231" s="339"/>
      <c r="H231" s="339"/>
    </row>
    <row r="232" spans="7:8" s="338" customFormat="1">
      <c r="G232" s="339"/>
      <c r="H232" s="339"/>
    </row>
    <row r="233" spans="7:8" s="338" customFormat="1">
      <c r="G233" s="339"/>
      <c r="H233" s="339"/>
    </row>
    <row r="234" spans="7:8" s="338" customFormat="1">
      <c r="G234" s="339"/>
      <c r="H234" s="339"/>
    </row>
    <row r="235" spans="7:8" s="338" customFormat="1">
      <c r="G235" s="339"/>
      <c r="H235" s="339"/>
    </row>
    <row r="236" spans="7:8" s="338" customFormat="1">
      <c r="G236" s="339"/>
      <c r="H236" s="339"/>
    </row>
    <row r="237" spans="7:8" s="338" customFormat="1">
      <c r="G237" s="339"/>
      <c r="H237" s="339"/>
    </row>
    <row r="238" spans="7:8" s="338" customFormat="1">
      <c r="G238" s="339"/>
      <c r="H238" s="339"/>
    </row>
    <row r="239" spans="7:8" s="338" customFormat="1">
      <c r="G239" s="339"/>
      <c r="H239" s="339"/>
    </row>
    <row r="240" spans="7:8" s="338" customFormat="1">
      <c r="G240" s="339"/>
      <c r="H240" s="339"/>
    </row>
    <row r="241" spans="7:8" s="338" customFormat="1">
      <c r="G241" s="339"/>
      <c r="H241" s="339"/>
    </row>
    <row r="242" spans="7:8" s="338" customFormat="1">
      <c r="G242" s="339"/>
      <c r="H242" s="339"/>
    </row>
    <row r="243" spans="7:8" s="338" customFormat="1">
      <c r="G243" s="339"/>
      <c r="H243" s="339"/>
    </row>
    <row r="244" spans="7:8" s="338" customFormat="1">
      <c r="G244" s="339"/>
      <c r="H244" s="339"/>
    </row>
    <row r="245" spans="7:8" s="338" customFormat="1">
      <c r="G245" s="339"/>
      <c r="H245" s="339"/>
    </row>
    <row r="246" spans="7:8" s="338" customFormat="1">
      <c r="G246" s="339"/>
      <c r="H246" s="339"/>
    </row>
    <row r="247" spans="7:8" s="338" customFormat="1">
      <c r="G247" s="339"/>
      <c r="H247" s="339"/>
    </row>
    <row r="248" spans="7:8" s="338" customFormat="1">
      <c r="G248" s="339"/>
      <c r="H248" s="339"/>
    </row>
    <row r="249" spans="7:8" s="338" customFormat="1">
      <c r="G249" s="339"/>
      <c r="H249" s="339"/>
    </row>
    <row r="250" spans="7:8" s="338" customFormat="1">
      <c r="G250" s="339"/>
      <c r="H250" s="339"/>
    </row>
    <row r="251" spans="7:8" s="338" customFormat="1">
      <c r="G251" s="339"/>
      <c r="H251" s="339"/>
    </row>
    <row r="252" spans="7:8" s="338" customFormat="1">
      <c r="G252" s="339"/>
      <c r="H252" s="339"/>
    </row>
    <row r="253" spans="7:8" s="338" customFormat="1">
      <c r="G253" s="339"/>
      <c r="H253" s="339"/>
    </row>
    <row r="254" spans="7:8" s="338" customFormat="1">
      <c r="G254" s="339"/>
      <c r="H254" s="339"/>
    </row>
    <row r="255" spans="7:8" s="338" customFormat="1">
      <c r="G255" s="339"/>
      <c r="H255" s="339"/>
    </row>
    <row r="256" spans="7:8" s="338" customFormat="1">
      <c r="G256" s="339"/>
      <c r="H256" s="339"/>
    </row>
    <row r="257" spans="7:8" s="338" customFormat="1">
      <c r="G257" s="339"/>
      <c r="H257" s="339"/>
    </row>
    <row r="258" spans="7:8" s="338" customFormat="1">
      <c r="G258" s="339"/>
      <c r="H258" s="339"/>
    </row>
    <row r="259" spans="7:8" s="338" customFormat="1">
      <c r="G259" s="339"/>
      <c r="H259" s="339"/>
    </row>
    <row r="260" spans="7:8" s="338" customFormat="1">
      <c r="G260" s="339"/>
      <c r="H260" s="339"/>
    </row>
    <row r="261" spans="7:8" s="338" customFormat="1">
      <c r="G261" s="339"/>
      <c r="H261" s="339"/>
    </row>
    <row r="262" spans="7:8" s="338" customFormat="1">
      <c r="G262" s="339"/>
      <c r="H262" s="339"/>
    </row>
    <row r="263" spans="7:8" s="338" customFormat="1">
      <c r="G263" s="339"/>
      <c r="H263" s="339"/>
    </row>
    <row r="264" spans="7:8" s="338" customFormat="1">
      <c r="G264" s="339"/>
      <c r="H264" s="339"/>
    </row>
    <row r="265" spans="7:8" s="338" customFormat="1">
      <c r="G265" s="339"/>
      <c r="H265" s="339"/>
    </row>
    <row r="266" spans="7:8" s="338" customFormat="1">
      <c r="G266" s="339"/>
      <c r="H266" s="339"/>
    </row>
    <row r="267" spans="7:8" s="338" customFormat="1">
      <c r="G267" s="339"/>
      <c r="H267" s="339"/>
    </row>
    <row r="268" spans="7:8" s="338" customFormat="1">
      <c r="G268" s="339"/>
      <c r="H268" s="339"/>
    </row>
    <row r="269" spans="7:8" s="338" customFormat="1">
      <c r="G269" s="339"/>
      <c r="H269" s="339"/>
    </row>
    <row r="270" spans="7:8" s="338" customFormat="1">
      <c r="G270" s="339"/>
      <c r="H270" s="339"/>
    </row>
    <row r="271" spans="7:8" s="338" customFormat="1">
      <c r="G271" s="339"/>
      <c r="H271" s="339"/>
    </row>
    <row r="272" spans="7:8" s="338" customFormat="1">
      <c r="G272" s="339"/>
      <c r="H272" s="339"/>
    </row>
    <row r="273" spans="7:8" s="338" customFormat="1">
      <c r="G273" s="339"/>
      <c r="H273" s="339"/>
    </row>
    <row r="274" spans="7:8" s="338" customFormat="1">
      <c r="G274" s="339"/>
      <c r="H274" s="339"/>
    </row>
    <row r="275" spans="7:8" s="338" customFormat="1">
      <c r="G275" s="339"/>
      <c r="H275" s="339"/>
    </row>
    <row r="276" spans="7:8" s="338" customFormat="1">
      <c r="G276" s="339"/>
      <c r="H276" s="339"/>
    </row>
    <row r="277" spans="7:8" s="338" customFormat="1">
      <c r="G277" s="339"/>
      <c r="H277" s="339"/>
    </row>
    <row r="278" spans="7:8" s="338" customFormat="1">
      <c r="G278" s="339"/>
      <c r="H278" s="339"/>
    </row>
    <row r="279" spans="7:8" s="338" customFormat="1">
      <c r="G279" s="339"/>
      <c r="H279" s="339"/>
    </row>
    <row r="280" spans="7:8" s="338" customFormat="1">
      <c r="G280" s="339"/>
      <c r="H280" s="339"/>
    </row>
    <row r="281" spans="7:8" s="338" customFormat="1">
      <c r="G281" s="339"/>
      <c r="H281" s="339"/>
    </row>
    <row r="282" spans="7:8" s="338" customFormat="1">
      <c r="G282" s="339"/>
      <c r="H282" s="339"/>
    </row>
    <row r="283" spans="7:8" s="338" customFormat="1">
      <c r="G283" s="339"/>
      <c r="H283" s="339"/>
    </row>
    <row r="284" spans="7:8" s="338" customFormat="1">
      <c r="G284" s="339"/>
      <c r="H284" s="339"/>
    </row>
    <row r="285" spans="7:8" s="338" customFormat="1">
      <c r="G285" s="339"/>
      <c r="H285" s="339"/>
    </row>
    <row r="286" spans="7:8" s="338" customFormat="1">
      <c r="G286" s="339"/>
      <c r="H286" s="339"/>
    </row>
    <row r="287" spans="7:8" s="338" customFormat="1">
      <c r="G287" s="339"/>
      <c r="H287" s="339"/>
    </row>
    <row r="288" spans="7:8" s="338" customFormat="1">
      <c r="G288" s="339"/>
      <c r="H288" s="339"/>
    </row>
    <row r="289" spans="7:8" s="338" customFormat="1">
      <c r="G289" s="339"/>
      <c r="H289" s="339"/>
    </row>
    <row r="290" spans="7:8" s="338" customFormat="1">
      <c r="G290" s="339"/>
      <c r="H290" s="339"/>
    </row>
    <row r="291" spans="7:8" s="338" customFormat="1">
      <c r="G291" s="339"/>
      <c r="H291" s="339"/>
    </row>
    <row r="292" spans="7:8" s="338" customFormat="1">
      <c r="G292" s="339"/>
      <c r="H292" s="339"/>
    </row>
    <row r="293" spans="7:8" s="338" customFormat="1">
      <c r="G293" s="339"/>
      <c r="H293" s="339"/>
    </row>
    <row r="294" spans="7:8" s="338" customFormat="1">
      <c r="G294" s="339"/>
      <c r="H294" s="339"/>
    </row>
    <row r="295" spans="7:8" s="338" customFormat="1">
      <c r="G295" s="339"/>
      <c r="H295" s="339"/>
    </row>
    <row r="296" spans="7:8" s="338" customFormat="1">
      <c r="G296" s="339"/>
      <c r="H296" s="339"/>
    </row>
    <row r="297" spans="7:8" s="338" customFormat="1">
      <c r="G297" s="339"/>
      <c r="H297" s="339"/>
    </row>
    <row r="298" spans="7:8" s="338" customFormat="1">
      <c r="G298" s="339"/>
      <c r="H298" s="339"/>
    </row>
    <row r="299" spans="7:8" s="338" customFormat="1">
      <c r="G299" s="339"/>
      <c r="H299" s="339"/>
    </row>
    <row r="300" spans="7:8" s="338" customFormat="1">
      <c r="G300" s="339"/>
      <c r="H300" s="339"/>
    </row>
    <row r="301" spans="7:8" s="338" customFormat="1">
      <c r="G301" s="339"/>
      <c r="H301" s="339"/>
    </row>
    <row r="302" spans="7:8" s="338" customFormat="1">
      <c r="G302" s="339"/>
      <c r="H302" s="339"/>
    </row>
    <row r="303" spans="7:8" s="338" customFormat="1">
      <c r="G303" s="339"/>
      <c r="H303" s="339"/>
    </row>
    <row r="304" spans="7:8" s="338" customFormat="1">
      <c r="G304" s="339"/>
      <c r="H304" s="339"/>
    </row>
    <row r="305" spans="7:8" s="338" customFormat="1">
      <c r="G305" s="339"/>
      <c r="H305" s="339"/>
    </row>
    <row r="306" spans="7:8" s="338" customFormat="1">
      <c r="G306" s="339"/>
      <c r="H306" s="339"/>
    </row>
    <row r="307" spans="7:8" s="338" customFormat="1">
      <c r="G307" s="339"/>
      <c r="H307" s="339"/>
    </row>
    <row r="308" spans="7:8" s="338" customFormat="1">
      <c r="G308" s="339"/>
      <c r="H308" s="339"/>
    </row>
    <row r="309" spans="7:8" s="338" customFormat="1">
      <c r="G309" s="339"/>
      <c r="H309" s="339"/>
    </row>
    <row r="310" spans="7:8" s="338" customFormat="1">
      <c r="G310" s="339"/>
      <c r="H310" s="339"/>
    </row>
    <row r="311" spans="7:8" s="338" customFormat="1">
      <c r="G311" s="339"/>
      <c r="H311" s="339"/>
    </row>
    <row r="312" spans="7:8" s="338" customFormat="1">
      <c r="G312" s="339"/>
      <c r="H312" s="339"/>
    </row>
    <row r="313" spans="7:8" s="338" customFormat="1">
      <c r="G313" s="339"/>
      <c r="H313" s="339"/>
    </row>
    <row r="314" spans="7:8" s="338" customFormat="1">
      <c r="G314" s="339"/>
      <c r="H314" s="339"/>
    </row>
    <row r="315" spans="7:8" s="338" customFormat="1">
      <c r="G315" s="339"/>
      <c r="H315" s="339"/>
    </row>
    <row r="316" spans="7:8" s="338" customFormat="1">
      <c r="G316" s="339"/>
      <c r="H316" s="339"/>
    </row>
    <row r="317" spans="7:8" s="338" customFormat="1">
      <c r="G317" s="339"/>
      <c r="H317" s="339"/>
    </row>
    <row r="318" spans="7:8" s="338" customFormat="1">
      <c r="G318" s="339"/>
      <c r="H318" s="339"/>
    </row>
    <row r="319" spans="7:8" s="338" customFormat="1">
      <c r="G319" s="339"/>
      <c r="H319" s="339"/>
    </row>
    <row r="320" spans="7:8" s="338" customFormat="1">
      <c r="G320" s="339"/>
      <c r="H320" s="339"/>
    </row>
    <row r="321" spans="7:8" s="338" customFormat="1">
      <c r="G321" s="339"/>
      <c r="H321" s="339"/>
    </row>
    <row r="322" spans="7:8" s="338" customFormat="1">
      <c r="G322" s="339"/>
      <c r="H322" s="339"/>
    </row>
    <row r="323" spans="7:8" s="338" customFormat="1">
      <c r="G323" s="339"/>
      <c r="H323" s="339"/>
    </row>
    <row r="324" spans="7:8" s="338" customFormat="1">
      <c r="G324" s="339"/>
      <c r="H324" s="339"/>
    </row>
    <row r="325" spans="7:8" s="338" customFormat="1">
      <c r="G325" s="339"/>
      <c r="H325" s="339"/>
    </row>
    <row r="326" spans="7:8" s="338" customFormat="1">
      <c r="G326" s="339"/>
      <c r="H326" s="339"/>
    </row>
    <row r="327" spans="7:8" s="338" customFormat="1">
      <c r="G327" s="339"/>
      <c r="H327" s="339"/>
    </row>
    <row r="328" spans="7:8" s="338" customFormat="1">
      <c r="G328" s="339"/>
      <c r="H328" s="339"/>
    </row>
    <row r="329" spans="7:8" s="338" customFormat="1">
      <c r="G329" s="339"/>
      <c r="H329" s="339"/>
    </row>
    <row r="330" spans="7:8" s="338" customFormat="1">
      <c r="G330" s="339"/>
      <c r="H330" s="339"/>
    </row>
    <row r="331" spans="7:8" s="338" customFormat="1">
      <c r="G331" s="339"/>
      <c r="H331" s="339"/>
    </row>
    <row r="332" spans="7:8" s="338" customFormat="1">
      <c r="G332" s="339"/>
      <c r="H332" s="339"/>
    </row>
    <row r="333" spans="7:8" s="338" customFormat="1">
      <c r="G333" s="339"/>
      <c r="H333" s="339"/>
    </row>
    <row r="334" spans="7:8" s="338" customFormat="1">
      <c r="G334" s="339"/>
      <c r="H334" s="339"/>
    </row>
    <row r="335" spans="7:8" s="338" customFormat="1">
      <c r="G335" s="339"/>
      <c r="H335" s="339"/>
    </row>
    <row r="336" spans="7:8" s="338" customFormat="1">
      <c r="G336" s="339"/>
      <c r="H336" s="339"/>
    </row>
    <row r="337" spans="7:8" s="338" customFormat="1">
      <c r="G337" s="339"/>
      <c r="H337" s="339"/>
    </row>
    <row r="338" spans="7:8" s="338" customFormat="1">
      <c r="G338" s="339"/>
      <c r="H338" s="339"/>
    </row>
    <row r="339" spans="7:8" s="338" customFormat="1">
      <c r="G339" s="339"/>
      <c r="H339" s="339"/>
    </row>
    <row r="340" spans="7:8" s="338" customFormat="1">
      <c r="G340" s="339"/>
      <c r="H340" s="339"/>
    </row>
    <row r="341" spans="7:8" s="338" customFormat="1">
      <c r="G341" s="339"/>
      <c r="H341" s="339"/>
    </row>
    <row r="342" spans="7:8" s="338" customFormat="1">
      <c r="G342" s="339"/>
      <c r="H342" s="339"/>
    </row>
    <row r="343" spans="7:8" s="338" customFormat="1">
      <c r="G343" s="339"/>
      <c r="H343" s="339"/>
    </row>
    <row r="344" spans="7:8" s="338" customFormat="1">
      <c r="G344" s="339"/>
      <c r="H344" s="339"/>
    </row>
    <row r="345" spans="7:8" s="338" customFormat="1">
      <c r="G345" s="339"/>
      <c r="H345" s="339"/>
    </row>
    <row r="346" spans="7:8" s="338" customFormat="1">
      <c r="G346" s="339"/>
      <c r="H346" s="339"/>
    </row>
    <row r="347" spans="7:8" s="338" customFormat="1">
      <c r="G347" s="339"/>
      <c r="H347" s="339"/>
    </row>
    <row r="348" spans="7:8" s="338" customFormat="1">
      <c r="G348" s="339"/>
      <c r="H348" s="339"/>
    </row>
    <row r="349" spans="7:8" s="338" customFormat="1">
      <c r="G349" s="339"/>
      <c r="H349" s="339"/>
    </row>
    <row r="350" spans="7:8" s="338" customFormat="1">
      <c r="G350" s="339"/>
      <c r="H350" s="339"/>
    </row>
    <row r="351" spans="7:8" s="338" customFormat="1">
      <c r="G351" s="339"/>
      <c r="H351" s="339"/>
    </row>
    <row r="352" spans="7:8" s="338" customFormat="1">
      <c r="G352" s="339"/>
      <c r="H352" s="339"/>
    </row>
    <row r="353" spans="7:8" s="338" customFormat="1">
      <c r="G353" s="339"/>
      <c r="H353" s="339"/>
    </row>
    <row r="354" spans="7:8" s="338" customFormat="1">
      <c r="G354" s="339"/>
      <c r="H354" s="339"/>
    </row>
    <row r="355" spans="7:8" s="338" customFormat="1">
      <c r="G355" s="339"/>
      <c r="H355" s="339"/>
    </row>
    <row r="356" spans="7:8" s="338" customFormat="1">
      <c r="G356" s="339"/>
      <c r="H356" s="339"/>
    </row>
    <row r="357" spans="7:8" s="338" customFormat="1">
      <c r="G357" s="339"/>
      <c r="H357" s="339"/>
    </row>
    <row r="358" spans="7:8" s="338" customFormat="1">
      <c r="G358" s="339"/>
      <c r="H358" s="339"/>
    </row>
    <row r="359" spans="7:8" s="338" customFormat="1">
      <c r="G359" s="339"/>
      <c r="H359" s="339"/>
    </row>
    <row r="360" spans="7:8" s="338" customFormat="1">
      <c r="G360" s="339"/>
      <c r="H360" s="339"/>
    </row>
    <row r="361" spans="7:8" s="338" customFormat="1">
      <c r="G361" s="339"/>
      <c r="H361" s="339"/>
    </row>
    <row r="362" spans="7:8" s="338" customFormat="1">
      <c r="G362" s="339"/>
      <c r="H362" s="339"/>
    </row>
    <row r="363" spans="7:8" s="338" customFormat="1">
      <c r="G363" s="339"/>
      <c r="H363" s="339"/>
    </row>
    <row r="364" spans="7:8" s="338" customFormat="1">
      <c r="G364" s="339"/>
      <c r="H364" s="339"/>
    </row>
    <row r="365" spans="7:8" s="338" customFormat="1">
      <c r="G365" s="339"/>
      <c r="H365" s="339"/>
    </row>
    <row r="366" spans="7:8" s="338" customFormat="1">
      <c r="G366" s="339"/>
      <c r="H366" s="339"/>
    </row>
    <row r="367" spans="7:8" s="338" customFormat="1">
      <c r="G367" s="339"/>
      <c r="H367" s="339"/>
    </row>
    <row r="368" spans="7:8" s="338" customFormat="1">
      <c r="G368" s="339"/>
      <c r="H368" s="339"/>
    </row>
    <row r="369" spans="7:8" s="338" customFormat="1">
      <c r="G369" s="339"/>
      <c r="H369" s="339"/>
    </row>
    <row r="370" spans="7:8" s="338" customFormat="1">
      <c r="G370" s="339"/>
      <c r="H370" s="339"/>
    </row>
    <row r="371" spans="7:8" s="338" customFormat="1">
      <c r="G371" s="339"/>
      <c r="H371" s="339"/>
    </row>
    <row r="372" spans="7:8" s="338" customFormat="1">
      <c r="G372" s="339"/>
      <c r="H372" s="339"/>
    </row>
    <row r="373" spans="7:8" s="338" customFormat="1">
      <c r="G373" s="339"/>
      <c r="H373" s="339"/>
    </row>
    <row r="374" spans="7:8" s="338" customFormat="1">
      <c r="G374" s="339"/>
      <c r="H374" s="339"/>
    </row>
    <row r="375" spans="7:8" s="338" customFormat="1">
      <c r="G375" s="339"/>
      <c r="H375" s="339"/>
    </row>
    <row r="376" spans="7:8" s="338" customFormat="1">
      <c r="G376" s="339"/>
      <c r="H376" s="339"/>
    </row>
    <row r="377" spans="7:8" s="338" customFormat="1">
      <c r="G377" s="339"/>
      <c r="H377" s="339"/>
    </row>
    <row r="378" spans="7:8" s="338" customFormat="1">
      <c r="G378" s="339"/>
      <c r="H378" s="339"/>
    </row>
    <row r="379" spans="7:8" s="338" customFormat="1">
      <c r="G379" s="339"/>
      <c r="H379" s="339"/>
    </row>
    <row r="380" spans="7:8" s="338" customFormat="1">
      <c r="G380" s="339"/>
      <c r="H380" s="339"/>
    </row>
    <row r="381" spans="7:8" s="338" customFormat="1">
      <c r="G381" s="339"/>
      <c r="H381" s="339"/>
    </row>
    <row r="382" spans="7:8" s="338" customFormat="1">
      <c r="G382" s="339"/>
      <c r="H382" s="339"/>
    </row>
    <row r="383" spans="7:8" s="338" customFormat="1">
      <c r="G383" s="339"/>
      <c r="H383" s="339"/>
    </row>
    <row r="384" spans="7:8" s="338" customFormat="1">
      <c r="G384" s="339"/>
      <c r="H384" s="339"/>
    </row>
    <row r="385" spans="7:8" s="338" customFormat="1">
      <c r="G385" s="339"/>
      <c r="H385" s="339"/>
    </row>
    <row r="386" spans="7:8" s="338" customFormat="1">
      <c r="G386" s="339"/>
      <c r="H386" s="339"/>
    </row>
    <row r="387" spans="7:8" s="338" customFormat="1">
      <c r="G387" s="339"/>
      <c r="H387" s="339"/>
    </row>
    <row r="388" spans="7:8" s="338" customFormat="1">
      <c r="G388" s="339"/>
      <c r="H388" s="339"/>
    </row>
    <row r="389" spans="7:8" s="338" customFormat="1">
      <c r="G389" s="339"/>
      <c r="H389" s="339"/>
    </row>
    <row r="390" spans="7:8" s="338" customFormat="1">
      <c r="G390" s="339"/>
      <c r="H390" s="339"/>
    </row>
    <row r="391" spans="7:8" s="338" customFormat="1">
      <c r="G391" s="339"/>
      <c r="H391" s="339"/>
    </row>
    <row r="392" spans="7:8" s="338" customFormat="1">
      <c r="G392" s="339"/>
      <c r="H392" s="339"/>
    </row>
    <row r="393" spans="7:8" s="338" customFormat="1">
      <c r="G393" s="339"/>
      <c r="H393" s="339"/>
    </row>
    <row r="394" spans="7:8" s="338" customFormat="1">
      <c r="G394" s="339"/>
      <c r="H394" s="339"/>
    </row>
    <row r="395" spans="7:8" s="338" customFormat="1">
      <c r="G395" s="339"/>
      <c r="H395" s="339"/>
    </row>
    <row r="396" spans="7:8" s="338" customFormat="1">
      <c r="G396" s="339"/>
      <c r="H396" s="339"/>
    </row>
    <row r="397" spans="7:8" s="338" customFormat="1">
      <c r="G397" s="339"/>
      <c r="H397" s="339"/>
    </row>
    <row r="398" spans="7:8" s="338" customFormat="1">
      <c r="G398" s="339"/>
      <c r="H398" s="339"/>
    </row>
    <row r="399" spans="7:8" s="338" customFormat="1">
      <c r="G399" s="339"/>
      <c r="H399" s="339"/>
    </row>
    <row r="400" spans="7:8" s="338" customFormat="1">
      <c r="G400" s="339"/>
      <c r="H400" s="339"/>
    </row>
    <row r="401" spans="7:8" s="338" customFormat="1">
      <c r="G401" s="339"/>
      <c r="H401" s="339"/>
    </row>
    <row r="402" spans="7:8" s="338" customFormat="1">
      <c r="G402" s="339"/>
      <c r="H402" s="339"/>
    </row>
    <row r="403" spans="7:8" s="338" customFormat="1">
      <c r="G403" s="339"/>
      <c r="H403" s="339"/>
    </row>
    <row r="404" spans="7:8" s="338" customFormat="1">
      <c r="G404" s="339"/>
      <c r="H404" s="339"/>
    </row>
    <row r="405" spans="7:8" s="338" customFormat="1">
      <c r="G405" s="339"/>
      <c r="H405" s="339"/>
    </row>
    <row r="406" spans="7:8" s="338" customFormat="1">
      <c r="G406" s="339"/>
      <c r="H406" s="339"/>
    </row>
    <row r="407" spans="7:8" s="338" customFormat="1">
      <c r="G407" s="339"/>
      <c r="H407" s="339"/>
    </row>
    <row r="408" spans="7:8" s="338" customFormat="1">
      <c r="G408" s="339"/>
      <c r="H408" s="339"/>
    </row>
    <row r="409" spans="7:8" s="338" customFormat="1">
      <c r="G409" s="339"/>
      <c r="H409" s="339"/>
    </row>
    <row r="410" spans="7:8" s="338" customFormat="1">
      <c r="G410" s="339"/>
      <c r="H410" s="339"/>
    </row>
    <row r="411" spans="7:8" s="338" customFormat="1">
      <c r="G411" s="339"/>
      <c r="H411" s="339"/>
    </row>
    <row r="412" spans="7:8" s="338" customFormat="1">
      <c r="G412" s="339"/>
      <c r="H412" s="339"/>
    </row>
    <row r="413" spans="7:8" s="338" customFormat="1">
      <c r="G413" s="339"/>
      <c r="H413" s="339"/>
    </row>
    <row r="414" spans="7:8" s="338" customFormat="1">
      <c r="G414" s="339"/>
      <c r="H414" s="339"/>
    </row>
    <row r="415" spans="7:8" s="338" customFormat="1">
      <c r="G415" s="339"/>
      <c r="H415" s="339"/>
    </row>
    <row r="416" spans="7:8" s="338" customFormat="1">
      <c r="G416" s="339"/>
      <c r="H416" s="339"/>
    </row>
    <row r="417" spans="7:8" s="338" customFormat="1">
      <c r="G417" s="339"/>
      <c r="H417" s="339"/>
    </row>
    <row r="418" spans="7:8" s="338" customFormat="1">
      <c r="G418" s="339"/>
      <c r="H418" s="339"/>
    </row>
    <row r="419" spans="7:8" s="338" customFormat="1">
      <c r="G419" s="339"/>
      <c r="H419" s="339"/>
    </row>
    <row r="420" spans="7:8" s="338" customFormat="1">
      <c r="G420" s="339"/>
      <c r="H420" s="339"/>
    </row>
    <row r="421" spans="7:8" s="338" customFormat="1">
      <c r="G421" s="339"/>
      <c r="H421" s="339"/>
    </row>
    <row r="422" spans="7:8" s="338" customFormat="1">
      <c r="G422" s="339"/>
      <c r="H422" s="339"/>
    </row>
    <row r="423" spans="7:8" s="338" customFormat="1">
      <c r="G423" s="339"/>
      <c r="H423" s="339"/>
    </row>
    <row r="424" spans="7:8" s="338" customFormat="1">
      <c r="G424" s="339"/>
      <c r="H424" s="339"/>
    </row>
    <row r="425" spans="7:8" s="338" customFormat="1">
      <c r="G425" s="339"/>
      <c r="H425" s="339"/>
    </row>
    <row r="426" spans="7:8" s="338" customFormat="1">
      <c r="G426" s="339"/>
      <c r="H426" s="339"/>
    </row>
    <row r="427" spans="7:8" s="338" customFormat="1">
      <c r="G427" s="339"/>
      <c r="H427" s="339"/>
    </row>
    <row r="428" spans="7:8" s="338" customFormat="1">
      <c r="G428" s="339"/>
      <c r="H428" s="339"/>
    </row>
    <row r="429" spans="7:8" s="338" customFormat="1">
      <c r="G429" s="339"/>
      <c r="H429" s="339"/>
    </row>
    <row r="430" spans="7:8" s="338" customFormat="1">
      <c r="G430" s="339"/>
      <c r="H430" s="339"/>
    </row>
    <row r="431" spans="7:8" s="338" customFormat="1">
      <c r="G431" s="339"/>
      <c r="H431" s="339"/>
    </row>
    <row r="432" spans="7:8" s="338" customFormat="1">
      <c r="G432" s="339"/>
      <c r="H432" s="339"/>
    </row>
    <row r="433" spans="7:8" s="338" customFormat="1">
      <c r="G433" s="339"/>
      <c r="H433" s="339"/>
    </row>
    <row r="434" spans="7:8" s="338" customFormat="1">
      <c r="G434" s="339"/>
      <c r="H434" s="339"/>
    </row>
    <row r="435" spans="7:8" s="338" customFormat="1">
      <c r="G435" s="339"/>
      <c r="H435" s="339"/>
    </row>
    <row r="436" spans="7:8" s="338" customFormat="1">
      <c r="G436" s="339"/>
      <c r="H436" s="339"/>
    </row>
    <row r="437" spans="7:8" s="338" customFormat="1">
      <c r="G437" s="339"/>
      <c r="H437" s="339"/>
    </row>
    <row r="438" spans="7:8" s="338" customFormat="1">
      <c r="G438" s="339"/>
      <c r="H438" s="339"/>
    </row>
    <row r="439" spans="7:8" s="338" customFormat="1">
      <c r="G439" s="339"/>
      <c r="H439" s="339"/>
    </row>
    <row r="440" spans="7:8" s="338" customFormat="1">
      <c r="G440" s="339"/>
      <c r="H440" s="339"/>
    </row>
    <row r="441" spans="7:8" s="338" customFormat="1">
      <c r="G441" s="339"/>
      <c r="H441" s="339"/>
    </row>
    <row r="442" spans="7:8" s="338" customFormat="1">
      <c r="G442" s="339"/>
      <c r="H442" s="339"/>
    </row>
    <row r="443" spans="7:8" s="338" customFormat="1">
      <c r="G443" s="339"/>
      <c r="H443" s="339"/>
    </row>
    <row r="444" spans="7:8" s="338" customFormat="1">
      <c r="G444" s="339"/>
      <c r="H444" s="339"/>
    </row>
    <row r="445" spans="7:8" s="338" customFormat="1">
      <c r="G445" s="339"/>
      <c r="H445" s="339"/>
    </row>
    <row r="446" spans="7:8" s="338" customFormat="1">
      <c r="G446" s="339"/>
      <c r="H446" s="339"/>
    </row>
    <row r="447" spans="7:8" s="338" customFormat="1">
      <c r="G447" s="339"/>
      <c r="H447" s="339"/>
    </row>
    <row r="448" spans="7:8" s="338" customFormat="1">
      <c r="G448" s="339"/>
      <c r="H448" s="339"/>
    </row>
    <row r="449" spans="7:8" s="338" customFormat="1">
      <c r="G449" s="339"/>
      <c r="H449" s="339"/>
    </row>
    <row r="450" spans="7:8" s="338" customFormat="1">
      <c r="G450" s="339"/>
      <c r="H450" s="339"/>
    </row>
    <row r="451" spans="7:8" s="338" customFormat="1">
      <c r="G451" s="339"/>
      <c r="H451" s="339"/>
    </row>
    <row r="452" spans="7:8" s="338" customFormat="1">
      <c r="G452" s="339"/>
      <c r="H452" s="339"/>
    </row>
    <row r="453" spans="7:8" s="338" customFormat="1">
      <c r="G453" s="339"/>
      <c r="H453" s="339"/>
    </row>
    <row r="454" spans="7:8" s="338" customFormat="1">
      <c r="G454" s="339"/>
      <c r="H454" s="339"/>
    </row>
    <row r="455" spans="7:8" s="338" customFormat="1">
      <c r="G455" s="339"/>
      <c r="H455" s="339"/>
    </row>
    <row r="456" spans="7:8" s="338" customFormat="1">
      <c r="G456" s="339"/>
      <c r="H456" s="339"/>
    </row>
    <row r="457" spans="7:8" s="338" customFormat="1">
      <c r="G457" s="339"/>
      <c r="H457" s="339"/>
    </row>
    <row r="458" spans="7:8" s="338" customFormat="1">
      <c r="G458" s="339"/>
      <c r="H458" s="339"/>
    </row>
    <row r="459" spans="7:8" s="338" customFormat="1">
      <c r="G459" s="339"/>
      <c r="H459" s="339"/>
    </row>
    <row r="460" spans="7:8" s="338" customFormat="1">
      <c r="G460" s="339"/>
      <c r="H460" s="339"/>
    </row>
    <row r="461" spans="7:8" s="338" customFormat="1">
      <c r="G461" s="339"/>
      <c r="H461" s="339"/>
    </row>
    <row r="462" spans="7:8" s="338" customFormat="1">
      <c r="G462" s="339"/>
      <c r="H462" s="339"/>
    </row>
    <row r="463" spans="7:8" s="338" customFormat="1">
      <c r="G463" s="339"/>
      <c r="H463" s="339"/>
    </row>
    <row r="464" spans="7:8" s="338" customFormat="1">
      <c r="G464" s="339"/>
      <c r="H464" s="339"/>
    </row>
    <row r="465" spans="7:8" s="338" customFormat="1">
      <c r="G465" s="339"/>
      <c r="H465" s="339"/>
    </row>
    <row r="466" spans="7:8" s="338" customFormat="1">
      <c r="G466" s="339"/>
      <c r="H466" s="339"/>
    </row>
    <row r="467" spans="7:8" s="338" customFormat="1">
      <c r="G467" s="339"/>
      <c r="H467" s="339"/>
    </row>
    <row r="468" spans="7:8" s="338" customFormat="1">
      <c r="G468" s="339"/>
      <c r="H468" s="339"/>
    </row>
    <row r="469" spans="7:8" s="338" customFormat="1">
      <c r="G469" s="339"/>
      <c r="H469" s="339"/>
    </row>
    <row r="470" spans="7:8" s="338" customFormat="1">
      <c r="G470" s="339"/>
      <c r="H470" s="339"/>
    </row>
    <row r="471" spans="7:8" s="338" customFormat="1">
      <c r="G471" s="339"/>
      <c r="H471" s="339"/>
    </row>
    <row r="472" spans="7:8" s="338" customFormat="1">
      <c r="G472" s="339"/>
      <c r="H472" s="339"/>
    </row>
    <row r="473" spans="7:8" s="338" customFormat="1">
      <c r="G473" s="339"/>
      <c r="H473" s="339"/>
    </row>
    <row r="474" spans="7:8" s="338" customFormat="1">
      <c r="G474" s="339"/>
      <c r="H474" s="339"/>
    </row>
    <row r="475" spans="7:8" s="338" customFormat="1">
      <c r="G475" s="339"/>
      <c r="H475" s="339"/>
    </row>
    <row r="476" spans="7:8" s="338" customFormat="1">
      <c r="G476" s="339"/>
      <c r="H476" s="339"/>
    </row>
    <row r="477" spans="7:8" s="338" customFormat="1">
      <c r="G477" s="339"/>
      <c r="H477" s="339"/>
    </row>
    <row r="478" spans="7:8" s="338" customFormat="1">
      <c r="G478" s="339"/>
      <c r="H478" s="339"/>
    </row>
    <row r="479" spans="7:8" s="338" customFormat="1">
      <c r="G479" s="339"/>
      <c r="H479" s="339"/>
    </row>
    <row r="480" spans="7:8" s="338" customFormat="1">
      <c r="G480" s="339"/>
      <c r="H480" s="339"/>
    </row>
    <row r="481" spans="7:8" s="338" customFormat="1">
      <c r="G481" s="339"/>
      <c r="H481" s="339"/>
    </row>
    <row r="482" spans="7:8" s="338" customFormat="1">
      <c r="G482" s="339"/>
      <c r="H482" s="339"/>
    </row>
    <row r="483" spans="7:8" s="338" customFormat="1">
      <c r="G483" s="339"/>
      <c r="H483" s="339"/>
    </row>
    <row r="484" spans="7:8" s="338" customFormat="1">
      <c r="G484" s="339"/>
      <c r="H484" s="339"/>
    </row>
    <row r="485" spans="7:8" s="338" customFormat="1">
      <c r="G485" s="339"/>
      <c r="H485" s="339"/>
    </row>
    <row r="486" spans="7:8" s="338" customFormat="1">
      <c r="G486" s="339"/>
      <c r="H486" s="339"/>
    </row>
    <row r="487" spans="7:8" s="338" customFormat="1">
      <c r="G487" s="339"/>
      <c r="H487" s="339"/>
    </row>
    <row r="488" spans="7:8" s="338" customFormat="1">
      <c r="G488" s="339"/>
      <c r="H488" s="339"/>
    </row>
    <row r="489" spans="7:8" s="338" customFormat="1">
      <c r="G489" s="339"/>
      <c r="H489" s="339"/>
    </row>
    <row r="490" spans="7:8" s="338" customFormat="1">
      <c r="G490" s="339"/>
      <c r="H490" s="339"/>
    </row>
    <row r="491" spans="7:8" s="338" customFormat="1">
      <c r="G491" s="339"/>
      <c r="H491" s="339"/>
    </row>
    <row r="492" spans="7:8" s="338" customFormat="1">
      <c r="G492" s="339"/>
      <c r="H492" s="339"/>
    </row>
    <row r="493" spans="7:8" s="338" customFormat="1">
      <c r="G493" s="339"/>
      <c r="H493" s="339"/>
    </row>
    <row r="494" spans="7:8" s="338" customFormat="1">
      <c r="G494" s="339"/>
      <c r="H494" s="339"/>
    </row>
    <row r="495" spans="7:8" s="338" customFormat="1">
      <c r="G495" s="339"/>
      <c r="H495" s="339"/>
    </row>
    <row r="496" spans="7:8" s="338" customFormat="1">
      <c r="G496" s="339"/>
      <c r="H496" s="339"/>
    </row>
    <row r="497" spans="7:8" s="338" customFormat="1">
      <c r="G497" s="339"/>
      <c r="H497" s="339"/>
    </row>
    <row r="498" spans="7:8" s="338" customFormat="1">
      <c r="G498" s="339"/>
      <c r="H498" s="339"/>
    </row>
    <row r="499" spans="7:8" s="338" customFormat="1">
      <c r="G499" s="339"/>
      <c r="H499" s="339"/>
    </row>
    <row r="500" spans="7:8" s="338" customFormat="1">
      <c r="G500" s="339"/>
      <c r="H500" s="339"/>
    </row>
    <row r="501" spans="7:8" s="338" customFormat="1">
      <c r="G501" s="339"/>
      <c r="H501" s="339"/>
    </row>
    <row r="502" spans="7:8" s="338" customFormat="1">
      <c r="G502" s="339"/>
      <c r="H502" s="339"/>
    </row>
    <row r="503" spans="7:8" s="338" customFormat="1">
      <c r="G503" s="339"/>
      <c r="H503" s="339"/>
    </row>
    <row r="504" spans="7:8" s="338" customFormat="1">
      <c r="G504" s="339"/>
      <c r="H504" s="339"/>
    </row>
    <row r="505" spans="7:8" s="338" customFormat="1">
      <c r="G505" s="339"/>
      <c r="H505" s="339"/>
    </row>
    <row r="506" spans="7:8" s="338" customFormat="1">
      <c r="G506" s="339"/>
      <c r="H506" s="339"/>
    </row>
    <row r="507" spans="7:8" s="338" customFormat="1">
      <c r="G507" s="339"/>
      <c r="H507" s="339"/>
    </row>
    <row r="508" spans="7:8" s="338" customFormat="1">
      <c r="G508" s="339"/>
      <c r="H508" s="339"/>
    </row>
    <row r="509" spans="7:8" s="338" customFormat="1">
      <c r="G509" s="339"/>
      <c r="H509" s="339"/>
    </row>
    <row r="510" spans="7:8" s="338" customFormat="1">
      <c r="G510" s="339"/>
      <c r="H510" s="339"/>
    </row>
    <row r="511" spans="7:8" s="338" customFormat="1">
      <c r="G511" s="339"/>
      <c r="H511" s="339"/>
    </row>
    <row r="512" spans="7:8" s="338" customFormat="1">
      <c r="G512" s="339"/>
      <c r="H512" s="339"/>
    </row>
    <row r="513" spans="7:8" s="338" customFormat="1">
      <c r="G513" s="339"/>
      <c r="H513" s="339"/>
    </row>
    <row r="514" spans="7:8" s="338" customFormat="1">
      <c r="G514" s="339"/>
      <c r="H514" s="339"/>
    </row>
    <row r="515" spans="7:8" s="338" customFormat="1">
      <c r="G515" s="339"/>
      <c r="H515" s="339"/>
    </row>
    <row r="516" spans="7:8" s="338" customFormat="1">
      <c r="G516" s="339"/>
      <c r="H516" s="339"/>
    </row>
    <row r="517" spans="7:8" s="338" customFormat="1">
      <c r="G517" s="339"/>
      <c r="H517" s="339"/>
    </row>
    <row r="518" spans="7:8" s="338" customFormat="1">
      <c r="G518" s="339"/>
      <c r="H518" s="339"/>
    </row>
    <row r="519" spans="7:8" s="338" customFormat="1">
      <c r="G519" s="339"/>
      <c r="H519" s="339"/>
    </row>
    <row r="520" spans="7:8" s="338" customFormat="1">
      <c r="G520" s="339"/>
      <c r="H520" s="339"/>
    </row>
    <row r="521" spans="7:8" s="338" customFormat="1">
      <c r="G521" s="339"/>
      <c r="H521" s="339"/>
    </row>
    <row r="522" spans="7:8" s="338" customFormat="1">
      <c r="G522" s="339"/>
      <c r="H522" s="339"/>
    </row>
    <row r="523" spans="7:8" s="338" customFormat="1">
      <c r="G523" s="339"/>
      <c r="H523" s="339"/>
    </row>
    <row r="524" spans="7:8" s="338" customFormat="1">
      <c r="G524" s="339"/>
      <c r="H524" s="339"/>
    </row>
    <row r="525" spans="7:8" s="338" customFormat="1">
      <c r="G525" s="339"/>
      <c r="H525" s="339"/>
    </row>
    <row r="526" spans="7:8" s="338" customFormat="1">
      <c r="G526" s="339"/>
      <c r="H526" s="339"/>
    </row>
    <row r="527" spans="7:8" s="338" customFormat="1">
      <c r="G527" s="339"/>
      <c r="H527" s="339"/>
    </row>
    <row r="528" spans="7:8" s="338" customFormat="1">
      <c r="G528" s="339"/>
      <c r="H528" s="339"/>
    </row>
    <row r="529" spans="2:8" s="338" customFormat="1">
      <c r="G529" s="339"/>
      <c r="H529" s="339"/>
    </row>
    <row r="530" spans="2:8" s="338" customFormat="1">
      <c r="G530" s="339"/>
      <c r="H530" s="339"/>
    </row>
    <row r="531" spans="2:8" s="338" customFormat="1">
      <c r="G531" s="339"/>
      <c r="H531" s="339"/>
    </row>
    <row r="532" spans="2:8" s="338" customFormat="1">
      <c r="G532" s="339"/>
      <c r="H532" s="339"/>
    </row>
    <row r="533" spans="2:8" s="338" customFormat="1">
      <c r="G533" s="339"/>
      <c r="H533" s="339"/>
    </row>
    <row r="534" spans="2:8" s="338" customFormat="1">
      <c r="G534" s="339"/>
      <c r="H534" s="339"/>
    </row>
    <row r="535" spans="2:8" s="338" customFormat="1">
      <c r="G535" s="339"/>
      <c r="H535" s="339"/>
    </row>
    <row r="536" spans="2:8" s="338" customFormat="1">
      <c r="G536" s="339"/>
      <c r="H536" s="339"/>
    </row>
    <row r="537" spans="2:8" s="338" customFormat="1">
      <c r="G537" s="339"/>
      <c r="H537" s="339"/>
    </row>
    <row r="538" spans="2:8" s="338" customFormat="1">
      <c r="G538" s="339"/>
      <c r="H538" s="339"/>
    </row>
    <row r="539" spans="2:8" s="338" customFormat="1">
      <c r="G539" s="339"/>
      <c r="H539" s="339"/>
    </row>
    <row r="540" spans="2:8" s="338" customFormat="1">
      <c r="G540" s="339"/>
      <c r="H540" s="339"/>
    </row>
    <row r="541" spans="2:8">
      <c r="B541" s="338"/>
      <c r="C541" s="338"/>
      <c r="D541" s="338"/>
    </row>
  </sheetData>
  <sheetProtection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10" t="s">
        <v>96</v>
      </c>
    </row>
    <row r="2" spans="2:4" ht="10.5" customHeight="1">
      <c r="B2" s="308"/>
      <c r="C2" s="308"/>
      <c r="D2" s="308"/>
    </row>
    <row r="3" spans="2:4" ht="277.5" customHeight="1">
      <c r="B3" s="308"/>
      <c r="C3" s="309" t="s">
        <v>99</v>
      </c>
      <c r="D3" s="308"/>
    </row>
    <row r="4" spans="2:4" ht="10.5" customHeight="1">
      <c r="B4" s="308"/>
      <c r="C4" s="308"/>
      <c r="D4" s="308"/>
    </row>
    <row r="5" spans="2:4" ht="39.75" customHeight="1">
      <c r="B5" s="500" t="s">
        <v>97</v>
      </c>
      <c r="C5" s="500"/>
      <c r="D5" s="500"/>
    </row>
    <row r="8" spans="2:4" ht="18">
      <c r="B8" s="500"/>
      <c r="C8" s="500"/>
      <c r="D8" s="500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2014-07-02T16:10:46Z</cp:lastPrinted>
  <dcterms:created xsi:type="dcterms:W3CDTF">1998-05-29T15:48:38Z</dcterms:created>
  <dcterms:modified xsi:type="dcterms:W3CDTF">2017-10-20T20:28:18Z</dcterms:modified>
</cp:coreProperties>
</file>