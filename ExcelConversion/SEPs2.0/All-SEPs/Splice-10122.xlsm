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B:\Engineering_As-built\SEPs\All-SEPs\"/>
    </mc:Choice>
  </mc:AlternateContent>
  <bookViews>
    <workbookView xWindow="0" yWindow="0" windowWidth="28800" windowHeight="13410" activeTab="2"/>
  </bookViews>
  <sheets>
    <sheet name="Cover - MH Info" sheetId="1" r:id="rId1"/>
    <sheet name="Cable Info" sheetId="2" r:id="rId2"/>
    <sheet name="Splice Table" sheetId="3" r:id="rId3"/>
  </sheets>
  <definedNames>
    <definedName name="_xlnm._FilterDatabase" localSheetId="2" hidden="1">'Splice Table'!$B$9:$L$29</definedName>
    <definedName name="_xlnm.Print_Area" localSheetId="0">'Cover - MH Info'!$A$1:$F$59</definedName>
    <definedName name="_xlnm.Print_Area" localSheetId="2">'Splice Table'!$A$1:$S$47</definedName>
    <definedName name="_xlnm.Print_Titles" localSheetId="2">'Splice Table'!$1:$9</definedName>
  </definedNames>
  <calcPr calcId="152511"/>
</workbook>
</file>

<file path=xl/calcChain.xml><?xml version="1.0" encoding="utf-8"?>
<calcChain xmlns="http://schemas.openxmlformats.org/spreadsheetml/2006/main">
  <c r="F3" i="2" l="1"/>
  <c r="B3" i="2"/>
  <c r="D53" i="1"/>
  <c r="Q3" i="3"/>
  <c r="B3" i="3"/>
</calcChain>
</file>

<file path=xl/comments1.xml><?xml version="1.0" encoding="utf-8"?>
<comments xmlns="http://schemas.openxmlformats.org/spreadsheetml/2006/main">
  <authors>
    <author>Jonathan N. Palahnuk</author>
  </authors>
  <commentList>
    <comment ref="B53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  <comment ref="C53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  <comment ref="B55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  <comment ref="C55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  <comment ref="B57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  <comment ref="C57" authorId="0" shapeId="0">
      <text>
        <r>
          <rPr>
            <b/>
            <sz val="10"/>
            <color indexed="81"/>
            <rFont val="Tahoma"/>
            <family val="2"/>
          </rPr>
          <t xml:space="preserve">(for Approval)
</t>
        </r>
      </text>
    </comment>
  </commentList>
</comments>
</file>

<file path=xl/comments2.xml><?xml version="1.0" encoding="utf-8"?>
<comments xmlns="http://schemas.openxmlformats.org/spreadsheetml/2006/main">
  <authors>
    <author>John P. Hartnett</author>
    <author>TSaint-joy</author>
    <author xml:space="preserve"> J. Hartnett</author>
    <author>MOakes</author>
    <author>Abovenet</author>
    <author>AEasterling, Tech Services McLean, 571.633.5176</author>
    <author>powusu</author>
    <author>gmuller</author>
  </authors>
  <commentList>
    <comment ref="G10" authorId="0" shapeId="0">
      <text>
        <r>
          <rPr>
            <b/>
            <sz val="11"/>
            <color indexed="81"/>
            <rFont val="Tahoma"/>
            <family val="2"/>
          </rPr>
          <t>Core Express: (</t>
        </r>
        <r>
          <rPr>
            <b/>
            <sz val="11"/>
            <color indexed="10"/>
            <rFont val="Tahoma"/>
            <family val="2"/>
          </rPr>
          <t>Disconnected</t>
        </r>
        <r>
          <rPr>
            <b/>
            <sz val="11"/>
            <color indexed="81"/>
            <rFont val="Tahoma"/>
            <family val="2"/>
          </rPr>
          <t xml:space="preserve">)
</t>
        </r>
        <r>
          <rPr>
            <sz val="11"/>
            <color indexed="81"/>
            <rFont val="Tahoma"/>
            <family val="2"/>
          </rPr>
          <t>Span #</t>
        </r>
        <r>
          <rPr>
            <sz val="11"/>
            <color indexed="10"/>
            <rFont val="Tahoma"/>
            <family val="2"/>
          </rPr>
          <t>10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No Splice
Confirmation</t>
        </r>
      </text>
    </comment>
    <comment ref="G11" authorId="0" shapeId="0">
      <text>
        <r>
          <rPr>
            <b/>
            <sz val="11"/>
            <color indexed="81"/>
            <rFont val="Tahoma"/>
            <family val="2"/>
          </rPr>
          <t>Core Express: (</t>
        </r>
        <r>
          <rPr>
            <b/>
            <sz val="11"/>
            <color indexed="10"/>
            <rFont val="Tahoma"/>
            <family val="2"/>
          </rPr>
          <t>Disconnected</t>
        </r>
        <r>
          <rPr>
            <b/>
            <sz val="11"/>
            <color indexed="81"/>
            <rFont val="Tahoma"/>
            <family val="2"/>
          </rPr>
          <t xml:space="preserve">)
</t>
        </r>
        <r>
          <rPr>
            <sz val="11"/>
            <color indexed="81"/>
            <rFont val="Tahoma"/>
            <family val="2"/>
          </rPr>
          <t>Span #</t>
        </r>
        <r>
          <rPr>
            <sz val="11"/>
            <color indexed="10"/>
            <rFont val="Tahoma"/>
            <family val="2"/>
          </rPr>
          <t>10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P11" authorId="2" shapeId="0">
      <text>
        <r>
          <rPr>
            <b/>
            <sz val="11"/>
            <color indexed="81"/>
            <rFont val="Tahoma"/>
            <family val="2"/>
          </rPr>
          <t>No Splice Confirmation Sheet.</t>
        </r>
      </text>
    </comment>
    <comment ref="G12" authorId="0" shapeId="0">
      <text>
        <r>
          <rPr>
            <b/>
            <sz val="11"/>
            <color indexed="81"/>
            <rFont val="Tahoma"/>
            <family val="2"/>
          </rPr>
          <t xml:space="preserve">Abovenet #9519 (&amp; 9999):
</t>
        </r>
        <r>
          <rPr>
            <sz val="11"/>
            <color indexed="81"/>
            <rFont val="Tahoma"/>
            <family val="2"/>
          </rPr>
          <t>Span #15; 8-F:</t>
        </r>
      </text>
    </comment>
    <comment ref="P12" authorId="2" shapeId="0">
      <text>
        <r>
          <rPr>
            <b/>
            <sz val="11"/>
            <color indexed="81"/>
            <rFont val="Tahoma"/>
            <family val="2"/>
          </rPr>
          <t>No Splice Confirmation Sheet.</t>
        </r>
      </text>
    </comment>
    <comment ref="G13" authorId="3" shapeId="0">
      <text>
        <r>
          <rPr>
            <b/>
            <sz val="12"/>
            <color indexed="81"/>
            <rFont val="Tahoma"/>
            <family val="2"/>
          </rPr>
          <t xml:space="preserve">AOL #9526:
</t>
        </r>
        <r>
          <rPr>
            <sz val="12"/>
            <color indexed="10"/>
            <rFont val="Tahoma"/>
            <family val="2"/>
          </rPr>
          <t>Span #5</t>
        </r>
        <r>
          <rPr>
            <sz val="12"/>
            <color indexed="81"/>
            <rFont val="Tahoma"/>
            <family val="2"/>
          </rPr>
          <t xml:space="preserve">; 4-F:175-178/1-4 </t>
        </r>
        <r>
          <rPr>
            <sz val="12"/>
            <color indexed="10"/>
            <rFont val="Tahoma"/>
            <family val="2"/>
          </rPr>
          <t>(Disconnected)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G14" authorId="0" shapeId="0">
      <text>
        <r>
          <rPr>
            <b/>
            <sz val="11"/>
            <color indexed="81"/>
            <rFont val="Tahoma"/>
            <family val="2"/>
          </rPr>
          <t xml:space="preserve">Verizon Wireless #9513:
</t>
        </r>
        <r>
          <rPr>
            <sz val="11"/>
            <color indexed="81"/>
            <rFont val="Tahoma"/>
            <family val="2"/>
          </rPr>
          <t xml:space="preserve">Span #13; 2-F:237-238/51-52  ABV04-033204-01
</t>
        </r>
      </text>
    </comment>
    <comment ref="G15" authorId="3" shapeId="0">
      <text>
        <r>
          <rPr>
            <b/>
            <sz val="12"/>
            <color indexed="81"/>
            <rFont val="Tahoma"/>
            <family val="2"/>
          </rPr>
          <t>Turner Broadcasting Systems Inc. #0329:</t>
        </r>
        <r>
          <rPr>
            <sz val="12"/>
            <color indexed="81"/>
            <rFont val="Tahoma"/>
            <family val="2"/>
          </rPr>
          <t xml:space="preserve">
Span #2; 2-F:241-242/1-2</t>
        </r>
      </text>
    </comment>
    <comment ref="Q15" authorId="3" shapeId="0">
      <text>
        <r>
          <rPr>
            <b/>
            <sz val="8"/>
            <color indexed="81"/>
            <rFont val="Tahoma"/>
            <family val="2"/>
          </rPr>
          <t>MOakes:</t>
        </r>
        <r>
          <rPr>
            <sz val="8"/>
            <color indexed="81"/>
            <rFont val="Tahoma"/>
            <family val="2"/>
          </rPr>
          <t xml:space="preserve">
Original Rev. 1.0</t>
        </r>
      </text>
    </comment>
    <comment ref="G16" authorId="3" shapeId="0">
      <text>
        <r>
          <rPr>
            <b/>
            <sz val="12"/>
            <color indexed="81"/>
            <rFont val="Tahoma"/>
            <family val="2"/>
          </rPr>
          <t>Cogent #9559:</t>
        </r>
        <r>
          <rPr>
            <sz val="12"/>
            <color indexed="81"/>
            <rFont val="Tahoma"/>
            <family val="2"/>
          </rPr>
          <t xml:space="preserve">
Span #S600; 2-F:243-244/3-4  ABV09-049853-00</t>
        </r>
      </text>
    </comment>
    <comment ref="G17" authorId="4" shapeId="0">
      <text>
        <r>
          <rPr>
            <b/>
            <sz val="12"/>
            <color indexed="81"/>
            <rFont val="Tahoma"/>
            <family val="2"/>
          </rPr>
          <t xml:space="preserve">Global Crossing #9536:
</t>
        </r>
        <r>
          <rPr>
            <sz val="12"/>
            <color indexed="81"/>
            <rFont val="Tahoma"/>
            <family val="2"/>
          </rPr>
          <t>Span #E56; 2-F:245-246/5-6
Span #E58; 2-F:247-248/7-8</t>
        </r>
      </text>
    </comment>
    <comment ref="G18" authorId="5" shapeId="0">
      <text>
        <r>
          <rPr>
            <b/>
            <sz val="12"/>
            <color indexed="81"/>
            <rFont val="Tahoma"/>
            <family val="2"/>
          </rPr>
          <t>Williams (9547):</t>
        </r>
        <r>
          <rPr>
            <sz val="12"/>
            <color indexed="81"/>
            <rFont val="Tahoma"/>
            <family val="2"/>
          </rPr>
          <t xml:space="preserve">
Span# 248; 4-F: 255-258/15-18 (PO 108)
Span #460; 2-F: 261-262/21-22 (PO 188)
Span #558; 2-F: 263-264/23-24 (ABV08-046294)</t>
        </r>
      </text>
    </comment>
    <comment ref="Q18" authorId="3" shapeId="0">
      <text>
        <r>
          <rPr>
            <b/>
            <sz val="8"/>
            <color indexed="81"/>
            <rFont val="Tahoma"/>
            <family val="2"/>
          </rPr>
          <t>MOakes:</t>
        </r>
        <r>
          <rPr>
            <sz val="8"/>
            <color indexed="81"/>
            <rFont val="Tahoma"/>
            <family val="2"/>
          </rPr>
          <t xml:space="preserve">
Original Rev. 1.0</t>
        </r>
      </text>
    </comment>
    <comment ref="G19" authorId="3" shapeId="0">
      <text>
        <r>
          <rPr>
            <b/>
            <sz val="12"/>
            <color indexed="81"/>
            <rFont val="Tahoma"/>
            <family val="2"/>
          </rPr>
          <t xml:space="preserve">Wiltel #9547:
</t>
        </r>
        <r>
          <rPr>
            <sz val="12"/>
            <color indexed="81"/>
            <rFont val="Tahoma"/>
            <family val="2"/>
          </rPr>
          <t>Span #388; 2-F:265-266/25-26 PO 129
Span #451; 2-F:267-268/27-28 PO 122</t>
        </r>
      </text>
    </comment>
    <comment ref="Q19" authorId="3" shapeId="0">
      <text>
        <r>
          <rPr>
            <b/>
            <sz val="8"/>
            <color indexed="81"/>
            <rFont val="Tahoma"/>
            <family val="2"/>
          </rPr>
          <t>MOakes:</t>
        </r>
        <r>
          <rPr>
            <sz val="8"/>
            <color indexed="81"/>
            <rFont val="Tahoma"/>
            <family val="2"/>
          </rPr>
          <t xml:space="preserve">
Original Rev. 1.0</t>
        </r>
      </text>
    </comment>
    <comment ref="G21" authorId="0" shapeId="0">
      <text>
        <r>
          <rPr>
            <b/>
            <sz val="11"/>
            <color indexed="81"/>
            <rFont val="Tahoma"/>
            <family val="2"/>
          </rPr>
          <t xml:space="preserve">Cogent:
</t>
        </r>
        <r>
          <rPr>
            <sz val="11"/>
            <color indexed="81"/>
            <rFont val="Tahoma"/>
            <family val="2"/>
          </rPr>
          <t xml:space="preserve">Span #8, 2-F:391-392/67-68
</t>
        </r>
        <r>
          <rPr>
            <b/>
            <sz val="11"/>
            <color indexed="81"/>
            <rFont val="Tahoma"/>
            <family val="2"/>
          </rPr>
          <t>Cavalier # 9542:</t>
        </r>
        <r>
          <rPr>
            <sz val="11"/>
            <color indexed="81"/>
            <rFont val="Tahoma"/>
            <family val="2"/>
          </rPr>
          <t xml:space="preserve">
Span #107, 4-F:385-388/61-64
</t>
        </r>
        <r>
          <rPr>
            <b/>
            <sz val="11"/>
            <color indexed="81"/>
            <rFont val="Tahoma"/>
            <family val="2"/>
          </rPr>
          <t>Williams #9547: PO 110</t>
        </r>
        <r>
          <rPr>
            <sz val="11"/>
            <color indexed="81"/>
            <rFont val="Tahoma"/>
            <family val="2"/>
          </rPr>
          <t xml:space="preserve">
Span #365, 4-F:393-396/69-72</t>
        </r>
      </text>
    </comment>
    <comment ref="P21" authorId="2" shapeId="0">
      <text>
        <r>
          <rPr>
            <b/>
            <sz val="11"/>
            <color indexed="81"/>
            <rFont val="Tahoma"/>
            <family val="2"/>
          </rPr>
          <t>No Splice Confirmation Sheet.</t>
        </r>
      </text>
    </comment>
    <comment ref="Q21" authorId="3" shapeId="0">
      <text>
        <r>
          <rPr>
            <b/>
            <sz val="8"/>
            <color indexed="81"/>
            <rFont val="Tahoma"/>
            <family val="2"/>
          </rPr>
          <t>MOakes:</t>
        </r>
        <r>
          <rPr>
            <sz val="8"/>
            <color indexed="81"/>
            <rFont val="Tahoma"/>
            <family val="2"/>
          </rPr>
          <t xml:space="preserve">
Original Rev. 5.0</t>
        </r>
      </text>
    </comment>
    <comment ref="G22" authorId="0" shapeId="0">
      <text>
        <r>
          <rPr>
            <b/>
            <sz val="12"/>
            <color indexed="81"/>
            <rFont val="Tahoma"/>
            <family val="2"/>
          </rPr>
          <t xml:space="preserve">CTC #0166:
</t>
        </r>
        <r>
          <rPr>
            <sz val="12"/>
            <color indexed="81"/>
            <rFont val="Tahoma"/>
            <family val="2"/>
          </rPr>
          <t xml:space="preserve">Span #27, 2-F:397-398/73-74  ABV04-033861-01
P:13-14 @ Rack 101.06
Ports 15-24 should be free.. 
</t>
        </r>
      </text>
    </comment>
    <comment ref="L22" authorId="3" shapeId="0">
      <text>
        <r>
          <rPr>
            <b/>
            <sz val="12"/>
            <color indexed="81"/>
            <rFont val="Tahoma"/>
            <family val="2"/>
          </rPr>
          <t xml:space="preserve">9547-Stub-1 Terms into new Rack: 101.06, Panel #7, Ports </t>
        </r>
      </text>
    </comment>
    <comment ref="G25" authorId="6" shapeId="0">
      <text>
        <r>
          <rPr>
            <b/>
            <sz val="11"/>
            <color indexed="81"/>
            <rFont val="Tahoma"/>
            <family val="2"/>
          </rPr>
          <t>Hibernia Atlantic US, LLC</t>
        </r>
        <r>
          <rPr>
            <sz val="11"/>
            <color indexed="81"/>
            <rFont val="Tahoma"/>
            <family val="2"/>
          </rPr>
          <t xml:space="preserve">
Span # F14M-0079022-0002362; 2-F: 121-122/25-26</t>
        </r>
      </text>
    </comment>
    <comment ref="G26" authorId="3" shapeId="0">
      <text>
        <r>
          <rPr>
            <b/>
            <sz val="12"/>
            <color indexed="81"/>
            <rFont val="Tahoma"/>
            <family val="2"/>
          </rPr>
          <t>Dykema Gossett:</t>
        </r>
        <r>
          <rPr>
            <sz val="12"/>
            <color indexed="81"/>
            <rFont val="Tahoma"/>
            <family val="2"/>
          </rPr>
          <t xml:space="preserve">
Span #F14E-0076350-0001499; 2-F:157-158/49-50</t>
        </r>
      </text>
    </comment>
    <comment ref="G28" authorId="3" shapeId="0">
      <text>
        <r>
          <rPr>
            <b/>
            <sz val="12"/>
            <color indexed="81"/>
            <rFont val="Tahoma"/>
            <family val="2"/>
          </rPr>
          <t>Dykema Gossett:</t>
        </r>
        <r>
          <rPr>
            <sz val="12"/>
            <color indexed="81"/>
            <rFont val="Tahoma"/>
            <family val="2"/>
          </rPr>
          <t xml:space="preserve">
Span #F14E-0076350-0001499; 2-F:157-158/49-50</t>
        </r>
      </text>
    </comment>
    <comment ref="B39" authorId="7" shapeId="0">
      <text>
        <r>
          <rPr>
            <b/>
            <sz val="12"/>
            <color indexed="81"/>
            <rFont val="Tahoma"/>
            <family val="2"/>
          </rPr>
          <t>This is an AboveNet cable utilizing WilTel duct, WilTel terminated the fiber - 84 fibers are terminated:
Fibers 1-24 are @ 101.07, Panel 4, Ports 1-24
Fibers 25-48 are @ 101.08, Panel 5, Ports 1-24
Fibers 49-72 are @ 101.08, Panel 6, Ports 1-24
Fibers 73-84 are @ 101.06, Panel 7, Ports 13-24
Termination info provided by WilTel, should be verified on next project (N to N has notes on PM form for Verizon Wireless S13 about temporary termiantion positions).</t>
        </r>
      </text>
    </comment>
  </commentList>
</comments>
</file>

<file path=xl/sharedStrings.xml><?xml version="1.0" encoding="utf-8"?>
<sst xmlns="http://schemas.openxmlformats.org/spreadsheetml/2006/main" count="390" uniqueCount="165">
  <si>
    <t>City, State:</t>
  </si>
  <si>
    <t>Enclosure Make/Model:</t>
  </si>
  <si>
    <t>MFN Backbone Cables(s) in Enclosure:</t>
  </si>
  <si>
    <t>Date:</t>
  </si>
  <si>
    <t>FIBER  OPTIC  SPLICE  ENGINEERING  PACKAGE</t>
  </si>
  <si>
    <t>Exit:</t>
  </si>
  <si>
    <t>Cable:</t>
  </si>
  <si>
    <t>Description:</t>
  </si>
  <si>
    <t>Wall:</t>
  </si>
  <si>
    <t>Bank:</t>
  </si>
  <si>
    <t>Duct:</t>
  </si>
  <si>
    <t>Manufacturer:</t>
  </si>
  <si>
    <t>Part #:</t>
  </si>
  <si>
    <t>Fiber Quantity:</t>
  </si>
  <si>
    <t>Compartment:</t>
  </si>
  <si>
    <t>A</t>
  </si>
  <si>
    <t>B</t>
  </si>
  <si>
    <t>CABLE  INFORMATION</t>
  </si>
  <si>
    <t>Cable</t>
  </si>
  <si>
    <t>Exit</t>
  </si>
  <si>
    <t>Ribbon</t>
  </si>
  <si>
    <t>Splice</t>
  </si>
  <si>
    <t>Fiber(s)</t>
  </si>
  <si>
    <t>Status</t>
  </si>
  <si>
    <t>Assigned</t>
  </si>
  <si>
    <t>Date</t>
  </si>
  <si>
    <t>Spliced</t>
  </si>
  <si>
    <t>24-F</t>
  </si>
  <si>
    <t>12-F</t>
  </si>
  <si>
    <t>SPLICE  TABLE</t>
  </si>
  <si>
    <t>Splice Point #:</t>
  </si>
  <si>
    <t>Dir. Facilities Management:</t>
  </si>
  <si>
    <t>Dir. Network Engineering:</t>
  </si>
  <si>
    <t>VP Network Engineering:</t>
  </si>
  <si>
    <t>Release #:</t>
  </si>
  <si>
    <t>Project Engineer:</t>
  </si>
  <si>
    <t>Facilities Engineer:</t>
  </si>
  <si>
    <t>Other Splice Points in Manhole:</t>
  </si>
  <si>
    <t>Job #</t>
  </si>
  <si>
    <t>Rel. #</t>
  </si>
  <si>
    <t>Splice Point #;</t>
  </si>
  <si>
    <r>
      <t xml:space="preserve">Enter </t>
    </r>
    <r>
      <rPr>
        <b/>
        <sz val="10"/>
        <rFont val="Arial"/>
        <family val="2"/>
      </rPr>
      <t>Splice Point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Release</t>
    </r>
    <r>
      <rPr>
        <sz val="10"/>
        <rFont val="Arial"/>
        <family val="2"/>
      </rPr>
      <t xml:space="preserve"> #s here:</t>
    </r>
  </si>
  <si>
    <t>Manhole/Pole #:</t>
  </si>
  <si>
    <t>MH/Pole Owned By:</t>
  </si>
  <si>
    <t>Location Description:</t>
  </si>
  <si>
    <t>10122</t>
  </si>
  <si>
    <t>1.0</t>
  </si>
  <si>
    <t>Metromedia Fiber Network</t>
  </si>
  <si>
    <t>W Alley Between 'L' &amp; 'K' Streets NW on 13th Street NW</t>
  </si>
  <si>
    <t>Washington, DC</t>
  </si>
  <si>
    <t>Raychem FOSC400D5-36-1 NGV</t>
  </si>
  <si>
    <t>C</t>
  </si>
  <si>
    <t>DC-12K: 9999-ENT-N-1                       (To Splice 10117)</t>
  </si>
  <si>
    <t>Lucent</t>
  </si>
  <si>
    <t>432                                                       (96TW / 336SM)</t>
  </si>
  <si>
    <t>South</t>
  </si>
  <si>
    <t>North</t>
  </si>
  <si>
    <t>24SM                                                (Loose Tube, 6F / Buffer)</t>
  </si>
  <si>
    <t>144SM</t>
  </si>
  <si>
    <t>9526-????-ISP</t>
  </si>
  <si>
    <t>175-178</t>
  </si>
  <si>
    <t>Single</t>
  </si>
  <si>
    <t>1-4</t>
  </si>
  <si>
    <t>Blue</t>
  </si>
  <si>
    <t>-</t>
  </si>
  <si>
    <t>241-242</t>
  </si>
  <si>
    <t>1-2</t>
  </si>
  <si>
    <t>9547-????-ISP</t>
  </si>
  <si>
    <t>243-244</t>
  </si>
  <si>
    <t>12-F Ribbon</t>
  </si>
  <si>
    <t>3-4</t>
  </si>
  <si>
    <t>9512-????-ISP</t>
  </si>
  <si>
    <t>9518-????-ISP</t>
  </si>
  <si>
    <t>9999-????-ISP</t>
  </si>
  <si>
    <t>245-252</t>
  </si>
  <si>
    <t>5-12</t>
  </si>
  <si>
    <t>13-24</t>
  </si>
  <si>
    <t>25-36</t>
  </si>
  <si>
    <t>37-48</t>
  </si>
  <si>
    <t>253-264</t>
  </si>
  <si>
    <t>265-276</t>
  </si>
  <si>
    <t>277-288</t>
  </si>
  <si>
    <t>2.0</t>
  </si>
  <si>
    <t>53-60</t>
  </si>
  <si>
    <t>MFN-9</t>
  </si>
  <si>
    <t>????</t>
  </si>
  <si>
    <t>4.0</t>
  </si>
  <si>
    <t>0060-????-ISP</t>
  </si>
  <si>
    <t>49</t>
  </si>
  <si>
    <t>31</t>
  </si>
  <si>
    <t>385-396</t>
  </si>
  <si>
    <t>61-72</t>
  </si>
  <si>
    <t>9559-????-ISP</t>
  </si>
  <si>
    <t>?????</t>
  </si>
  <si>
    <t>6.0</t>
  </si>
  <si>
    <t>32</t>
  </si>
  <si>
    <t>50</t>
  </si>
  <si>
    <t>237-238</t>
  </si>
  <si>
    <t>2-F Ribbon</t>
  </si>
  <si>
    <t>51-52</t>
  </si>
  <si>
    <t>MFN DC-00582</t>
  </si>
  <si>
    <t>7.1</t>
  </si>
  <si>
    <t>7.2</t>
  </si>
  <si>
    <t>8.0</t>
  </si>
  <si>
    <t>8.1</t>
  </si>
  <si>
    <t>9.0</t>
  </si>
  <si>
    <t>397-408</t>
  </si>
  <si>
    <t>73-84</t>
  </si>
  <si>
    <t>DC-12L: 9526-Stub-W-1</t>
  </si>
  <si>
    <t>AOL Cable Stub-W-1              (To Quest on Floor 1B)</t>
  </si>
  <si>
    <t>8-F Ribbon</t>
  </si>
  <si>
    <t>10.0</t>
  </si>
  <si>
    <t>ABV04-033204-01</t>
  </si>
  <si>
    <t>Formerly identified as DC-12L: 9547-Stub-1</t>
  </si>
  <si>
    <t>DC-12L:9999-ENT-W-1</t>
  </si>
  <si>
    <t>Termination info for 9999:ENT-W-1</t>
  </si>
  <si>
    <t>DC-12L: 9999-ENT-W-1</t>
  </si>
  <si>
    <t>DC-12L:ENT-W-1                                     To Williams (Suite 200),                  see comments  on splice table</t>
  </si>
  <si>
    <t>11.0</t>
  </si>
  <si>
    <t>D</t>
  </si>
  <si>
    <t>Bridge: 10122-29686</t>
  </si>
  <si>
    <t>Bridge to Splice-29686,    DC-12 cable to DC-28L</t>
  </si>
  <si>
    <t>Ofs</t>
  </si>
  <si>
    <t>432aw</t>
  </si>
  <si>
    <t>97-108</t>
  </si>
  <si>
    <t>109-120</t>
  </si>
  <si>
    <t>121-132</t>
  </si>
  <si>
    <t>1-12</t>
  </si>
  <si>
    <t>ISO-0079022</t>
  </si>
  <si>
    <t>12.0</t>
  </si>
  <si>
    <t>157-168</t>
  </si>
  <si>
    <t>49-60</t>
  </si>
  <si>
    <t>ISO-0076350</t>
  </si>
  <si>
    <t>39-42</t>
  </si>
  <si>
    <t>13.0</t>
  </si>
  <si>
    <t>E</t>
  </si>
  <si>
    <t>Bridge to Splice-10114             to DC-1KS</t>
  </si>
  <si>
    <t>10/28/2015 </t>
  </si>
  <si>
    <t>Installed ISO-0110382</t>
  </si>
  <si>
    <t>Bridge: 10122-40197</t>
  </si>
  <si>
    <t>ISO-0110382</t>
  </si>
  <si>
    <t>14.0</t>
  </si>
  <si>
    <t>24-F Ribbon</t>
  </si>
  <si>
    <t>6\7</t>
  </si>
  <si>
    <t>12\13</t>
  </si>
  <si>
    <t>133-156</t>
  </si>
  <si>
    <t>73-96</t>
  </si>
  <si>
    <t>7\8</t>
  </si>
  <si>
    <t>ISO-0144542</t>
  </si>
  <si>
    <t>Pending</t>
  </si>
  <si>
    <t>6-F Splice</t>
  </si>
  <si>
    <t>15.0</t>
  </si>
  <si>
    <t>ISO-0147750</t>
  </si>
  <si>
    <t>7-12</t>
  </si>
  <si>
    <t>103-108</t>
  </si>
  <si>
    <t>16.0</t>
  </si>
  <si>
    <t>Ann Muller</t>
  </si>
  <si>
    <t>181-192</t>
  </si>
  <si>
    <t>ISO-0183418</t>
  </si>
  <si>
    <t>17.0</t>
  </si>
  <si>
    <t>ISO-0221503</t>
  </si>
  <si>
    <t>Molly Hauck</t>
  </si>
  <si>
    <t xml:space="preserve">DC-12K: 9999-ENT-N-1 </t>
  </si>
  <si>
    <t>DC-12K: 9999-ENT-N-1, DC-12L: 9526-Stub-W-1 ,DC-12L:9999-ENT-W-1, Bridge: 10122-29686, Bridge: 10122-40197</t>
  </si>
  <si>
    <t>337-348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</si>
</sst>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24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8"/>
      <name val="Copperplate Gothic Bold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1"/>
      <color indexed="10"/>
      <name val="Tahoma"/>
      <family val="2"/>
    </font>
    <font>
      <sz val="11"/>
      <color indexed="10"/>
      <name val="Tahoma"/>
      <family val="2"/>
    </font>
    <font>
      <b/>
      <sz val="11"/>
      <name val="Arial"/>
      <family val="2"/>
    </font>
    <font>
      <sz val="12"/>
      <color indexed="1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theme="0"/>
      </patternFill>
    </fill>
    <fill>
      <patternFill patternType="solid">
        <fgColor rgb="FFCCFFCC"/>
        <bgColor indexed="64"/>
      </patternFill>
    </fill>
    <fill>
      <patternFill patternType="gray0625">
        <bgColor rgb="FFCCFFCC"/>
      </patternFill>
    </fill>
  </fills>
  <borders count="4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9" xfId="0" applyFont="1" applyBorder="1"/>
    <xf numFmtId="0" fontId="0" fillId="0" borderId="10" xfId="0" applyBorder="1"/>
    <xf numFmtId="0" fontId="2" fillId="0" borderId="11" xfId="0" applyFont="1" applyBorder="1"/>
    <xf numFmtId="0" fontId="5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12" xfId="0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shrinkToFit="1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8" fillId="0" borderId="0" xfId="0" applyFont="1" applyAlignment="1">
      <alignment horizontal="center"/>
    </xf>
    <xf numFmtId="164" fontId="9" fillId="0" borderId="17" xfId="0" applyNumberFormat="1" applyFont="1" applyBorder="1" applyAlignment="1">
      <alignment horizontal="center" vertical="center"/>
    </xf>
    <xf numFmtId="0" fontId="2" fillId="0" borderId="0" xfId="0" applyFont="1" applyBorder="1"/>
    <xf numFmtId="0" fontId="2" fillId="0" borderId="17" xfId="0" applyFont="1" applyBorder="1" applyAlignment="1"/>
    <xf numFmtId="0" fontId="2" fillId="0" borderId="11" xfId="0" applyFont="1" applyBorder="1" applyAlignment="1">
      <alignment horizontal="left" vertical="center"/>
    </xf>
    <xf numFmtId="0" fontId="2" fillId="0" borderId="0" xfId="0" applyFont="1" applyBorder="1" applyAlignment="1"/>
    <xf numFmtId="0" fontId="0" fillId="0" borderId="18" xfId="0" applyBorder="1"/>
    <xf numFmtId="0" fontId="1" fillId="0" borderId="4" xfId="0" applyFont="1" applyBorder="1"/>
    <xf numFmtId="0" fontId="5" fillId="0" borderId="0" xfId="0" applyFont="1" applyBorder="1" applyAlignment="1">
      <alignment horizontal="center"/>
    </xf>
    <xf numFmtId="0" fontId="11" fillId="0" borderId="5" xfId="0" applyFont="1" applyBorder="1"/>
    <xf numFmtId="0" fontId="11" fillId="0" borderId="0" xfId="0" applyFont="1"/>
    <xf numFmtId="49" fontId="0" fillId="0" borderId="0" xfId="0" applyNumberFormat="1"/>
    <xf numFmtId="0" fontId="12" fillId="0" borderId="11" xfId="0" applyFont="1" applyBorder="1" applyAlignment="1"/>
    <xf numFmtId="0" fontId="2" fillId="0" borderId="19" xfId="0" applyFont="1" applyBorder="1" applyAlignment="1">
      <alignment horizont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0" borderId="26" xfId="0" applyFill="1" applyBorder="1"/>
    <xf numFmtId="0" fontId="0" fillId="0" borderId="0" xfId="0" applyFill="1" applyBorder="1"/>
    <xf numFmtId="0" fontId="0" fillId="0" borderId="27" xfId="0" applyFill="1" applyBorder="1"/>
    <xf numFmtId="0" fontId="0" fillId="0" borderId="0" xfId="0" applyFill="1" applyBorder="1" applyAlignment="1">
      <alignment horizontal="right"/>
    </xf>
    <xf numFmtId="49" fontId="7" fillId="0" borderId="0" xfId="0" applyNumberFormat="1" applyFont="1" applyFill="1" applyBorder="1" applyAlignment="1">
      <alignment horizontal="center"/>
    </xf>
    <xf numFmtId="49" fontId="13" fillId="0" borderId="0" xfId="0" applyNumberFormat="1" applyFont="1" applyFill="1" applyBorder="1" applyAlignment="1">
      <alignment horizontal="left"/>
    </xf>
    <xf numFmtId="0" fontId="7" fillId="0" borderId="14" xfId="0" applyFon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49" fontId="0" fillId="0" borderId="31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0" fillId="0" borderId="29" xfId="0" applyNumberFormat="1" applyBorder="1" applyAlignment="1">
      <alignment horizontal="center"/>
    </xf>
    <xf numFmtId="0" fontId="0" fillId="2" borderId="29" xfId="0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49" fontId="9" fillId="0" borderId="13" xfId="0" applyNumberFormat="1" applyFont="1" applyBorder="1" applyAlignment="1">
      <alignment horizontal="center" shrinkToFit="1"/>
    </xf>
    <xf numFmtId="49" fontId="9" fillId="0" borderId="28" xfId="0" applyNumberFormat="1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49" fontId="9" fillId="0" borderId="13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9" fillId="0" borderId="13" xfId="0" quotePrefix="1" applyFont="1" applyBorder="1" applyAlignment="1">
      <alignment horizontal="center"/>
    </xf>
    <xf numFmtId="49" fontId="9" fillId="0" borderId="14" xfId="0" applyNumberFormat="1" applyFont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0" fontId="9" fillId="0" borderId="0" xfId="0" applyFont="1"/>
    <xf numFmtId="0" fontId="9" fillId="2" borderId="13" xfId="0" applyFont="1" applyFill="1" applyBorder="1" applyAlignment="1">
      <alignment horizontal="center"/>
    </xf>
    <xf numFmtId="49" fontId="0" fillId="0" borderId="12" xfId="0" applyNumberFormat="1" applyBorder="1" applyAlignment="1">
      <alignment horizontal="center" shrinkToFit="1"/>
    </xf>
    <xf numFmtId="49" fontId="0" fillId="0" borderId="31" xfId="0" applyNumberFormat="1" applyBorder="1" applyAlignment="1">
      <alignment horizontal="center" shrinkToFit="1"/>
    </xf>
    <xf numFmtId="49" fontId="9" fillId="0" borderId="13" xfId="0" applyNumberFormat="1" applyFont="1" applyFill="1" applyBorder="1" applyAlignment="1">
      <alignment horizontal="center" shrinkToFit="1"/>
    </xf>
    <xf numFmtId="49" fontId="9" fillId="0" borderId="28" xfId="0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49" fontId="9" fillId="0" borderId="13" xfId="0" applyNumberFormat="1" applyFont="1" applyFill="1" applyBorder="1" applyAlignment="1">
      <alignment horizontal="center"/>
    </xf>
    <xf numFmtId="49" fontId="9" fillId="0" borderId="15" xfId="0" applyNumberFormat="1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49" fontId="0" fillId="0" borderId="13" xfId="0" applyNumberFormat="1" applyFill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0" fillId="0" borderId="0" xfId="0" applyFill="1"/>
    <xf numFmtId="49" fontId="0" fillId="0" borderId="15" xfId="0" applyNumberFormat="1" applyFill="1" applyBorder="1" applyAlignment="1">
      <alignment horizontal="center"/>
    </xf>
    <xf numFmtId="49" fontId="0" fillId="5" borderId="13" xfId="0" applyNumberFormat="1" applyFill="1" applyBorder="1" applyAlignment="1">
      <alignment horizontal="center" shrinkToFit="1"/>
    </xf>
    <xf numFmtId="49" fontId="0" fillId="5" borderId="28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49" fontId="0" fillId="5" borderId="13" xfId="0" applyNumberFormat="1" applyFill="1" applyBorder="1" applyAlignment="1">
      <alignment horizontal="center"/>
    </xf>
    <xf numFmtId="49" fontId="0" fillId="5" borderId="15" xfId="0" applyNumberFormat="1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0" fontId="0" fillId="5" borderId="0" xfId="0" applyFill="1"/>
    <xf numFmtId="49" fontId="0" fillId="7" borderId="13" xfId="0" applyNumberFormat="1" applyFill="1" applyBorder="1" applyAlignment="1">
      <alignment horizontal="center" shrinkToFit="1"/>
    </xf>
    <xf numFmtId="49" fontId="0" fillId="7" borderId="28" xfId="0" applyNumberForma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49" fontId="0" fillId="7" borderId="13" xfId="0" applyNumberFormat="1" applyFill="1" applyBorder="1" applyAlignment="1">
      <alignment horizontal="center"/>
    </xf>
    <xf numFmtId="49" fontId="0" fillId="7" borderId="15" xfId="0" applyNumberFormat="1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164" fontId="0" fillId="7" borderId="13" xfId="0" applyNumberFormat="1" applyFill="1" applyBorder="1" applyAlignment="1">
      <alignment horizontal="center"/>
    </xf>
    <xf numFmtId="49" fontId="9" fillId="0" borderId="31" xfId="0" applyNumberFormat="1" applyFont="1" applyBorder="1" applyAlignment="1">
      <alignment horizontal="center" shrinkToFit="1"/>
    </xf>
    <xf numFmtId="49" fontId="9" fillId="0" borderId="40" xfId="0" applyNumberFormat="1" applyFont="1" applyBorder="1" applyAlignment="1">
      <alignment horizontal="center" shrinkToFit="1"/>
    </xf>
    <xf numFmtId="49" fontId="9" fillId="0" borderId="14" xfId="0" applyNumberFormat="1" applyFont="1" applyBorder="1" applyAlignment="1">
      <alignment horizontal="center" shrinkToFit="1"/>
    </xf>
    <xf numFmtId="49" fontId="0" fillId="0" borderId="32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33" xfId="0" applyNumberFormat="1" applyBorder="1" applyAlignment="1">
      <alignment horizontal="center" vertical="center" wrapText="1"/>
    </xf>
    <xf numFmtId="49" fontId="0" fillId="0" borderId="34" xfId="0" applyNumberFormat="1" applyBorder="1" applyAlignment="1">
      <alignment horizontal="center" vertical="center" wrapText="1"/>
    </xf>
    <xf numFmtId="49" fontId="0" fillId="0" borderId="35" xfId="0" applyNumberFormat="1" applyBorder="1" applyAlignment="1">
      <alignment horizontal="center" vertical="center" wrapText="1"/>
    </xf>
    <xf numFmtId="49" fontId="0" fillId="0" borderId="36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49" fontId="7" fillId="0" borderId="16" xfId="0" applyNumberFormat="1" applyFont="1" applyBorder="1" applyAlignment="1">
      <alignment horizontal="center" vertical="center" shrinkToFit="1"/>
    </xf>
    <xf numFmtId="0" fontId="7" fillId="0" borderId="17" xfId="0" applyNumberFormat="1" applyFont="1" applyBorder="1" applyAlignment="1">
      <alignment horizontal="center" vertical="center" shrinkToFit="1"/>
    </xf>
    <xf numFmtId="0" fontId="9" fillId="0" borderId="32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3" fillId="0" borderId="32" xfId="0" applyNumberFormat="1" applyFont="1" applyBorder="1" applyAlignment="1">
      <alignment horizontal="center" vertical="center"/>
    </xf>
    <xf numFmtId="0" fontId="3" fillId="0" borderId="33" xfId="0" applyNumberFormat="1" applyFont="1" applyBorder="1" applyAlignment="1">
      <alignment horizontal="center" vertical="center"/>
    </xf>
    <xf numFmtId="0" fontId="3" fillId="0" borderId="34" xfId="0" applyNumberFormat="1" applyFont="1" applyBorder="1" applyAlignment="1">
      <alignment horizontal="center" vertical="center"/>
    </xf>
    <xf numFmtId="0" fontId="3" fillId="0" borderId="36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 shrinkToFit="1"/>
    </xf>
    <xf numFmtId="49" fontId="0" fillId="0" borderId="17" xfId="0" applyNumberFormat="1" applyBorder="1" applyAlignment="1">
      <alignment horizontal="center" vertical="center" shrinkToFit="1"/>
    </xf>
    <xf numFmtId="164" fontId="9" fillId="0" borderId="16" xfId="0" applyNumberFormat="1" applyFon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0" fontId="6" fillId="0" borderId="16" xfId="0" applyFont="1" applyBorder="1" applyAlignment="1">
      <alignment horizontal="center" vertical="center" shrinkToFit="1"/>
    </xf>
    <xf numFmtId="0" fontId="6" fillId="0" borderId="17" xfId="0" applyFont="1" applyBorder="1" applyAlignment="1">
      <alignment horizontal="center" vertical="center" shrinkToFit="1"/>
    </xf>
    <xf numFmtId="0" fontId="7" fillId="0" borderId="16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wrapText="1" shrinkToFit="1"/>
    </xf>
    <xf numFmtId="0" fontId="0" fillId="0" borderId="17" xfId="0" applyBorder="1" applyAlignment="1">
      <alignment horizontal="center" vertical="center" wrapText="1" shrinkToFit="1"/>
    </xf>
    <xf numFmtId="0" fontId="7" fillId="4" borderId="16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 shrinkToFit="1"/>
    </xf>
    <xf numFmtId="0" fontId="9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shrinkToFit="1"/>
    </xf>
    <xf numFmtId="49" fontId="13" fillId="0" borderId="37" xfId="0" applyNumberFormat="1" applyFont="1" applyBorder="1" applyAlignment="1">
      <alignment horizontal="center" vertical="center"/>
    </xf>
    <xf numFmtId="0" fontId="13" fillId="0" borderId="38" xfId="0" applyNumberFormat="1" applyFont="1" applyBorder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0" fontId="7" fillId="0" borderId="38" xfId="0" applyNumberFormat="1" applyFont="1" applyBorder="1" applyAlignment="1">
      <alignment horizontal="center" vertical="center"/>
    </xf>
    <xf numFmtId="49" fontId="22" fillId="0" borderId="39" xfId="0" applyNumberFormat="1" applyFont="1" applyBorder="1" applyAlignment="1">
      <alignment horizontal="center" shrinkToFit="1"/>
    </xf>
    <xf numFmtId="0" fontId="22" fillId="0" borderId="15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27" xfId="0" applyNumberFormat="1" applyFont="1" applyBorder="1" applyAlignment="1">
      <alignment horizontal="center" vertical="center"/>
    </xf>
    <xf numFmtId="49" fontId="13" fillId="0" borderId="23" xfId="0" applyNumberFormat="1" applyFont="1" applyBorder="1" applyAlignment="1">
      <alignment horizontal="center" vertical="center"/>
    </xf>
    <xf numFmtId="49" fontId="13" fillId="0" borderId="25" xfId="0" applyNumberFormat="1" applyFont="1" applyBorder="1" applyAlignment="1">
      <alignment horizontal="center" vertical="center"/>
    </xf>
    <xf numFmtId="49" fontId="7" fillId="0" borderId="26" xfId="0" applyNumberFormat="1" applyFont="1" applyBorder="1" applyAlignment="1">
      <alignment horizontal="center" vertical="center"/>
    </xf>
    <xf numFmtId="0" fontId="7" fillId="0" borderId="27" xfId="0" applyNumberFormat="1" applyFont="1" applyBorder="1" applyAlignment="1">
      <alignment horizontal="center" vertical="center"/>
    </xf>
    <xf numFmtId="0" fontId="7" fillId="0" borderId="23" xfId="0" applyNumberFormat="1" applyFont="1" applyBorder="1" applyAlignment="1">
      <alignment horizontal="center" vertical="center"/>
    </xf>
    <xf numFmtId="0" fontId="7" fillId="0" borderId="25" xfId="0" applyNumberFormat="1" applyFont="1" applyBorder="1" applyAlignment="1">
      <alignment horizontal="center" vertical="center"/>
    </xf>
    <xf numFmtId="49" fontId="1" fillId="7" borderId="1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4</xdr:col>
          <xdr:colOff>1504950</xdr:colOff>
          <xdr:row>36</xdr:row>
          <xdr:rowOff>152400</xdr:rowOff>
        </xdr:to>
        <xdr:sp macro="" textlink="">
          <xdr:nvSpPr>
            <xdr:cNvPr id="1047" name="Object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K60"/>
  <sheetViews>
    <sheetView topLeftCell="A6" zoomScale="85" zoomScaleNormal="85" workbookViewId="0">
      <selection activeCell="K22" sqref="K22"/>
    </sheetView>
  </sheetViews>
  <sheetFormatPr defaultRowHeight="12.75"/>
  <cols>
    <col min="1" max="1" width="2.7109375" customWidth="1"/>
    <col min="2" max="5" width="22.7109375" customWidth="1"/>
    <col min="6" max="6" width="2.7109375" customWidth="1"/>
    <col min="7" max="7" width="6.7109375" customWidth="1"/>
  </cols>
  <sheetData>
    <row r="1" spans="1:11" ht="13.5" thickTop="1">
      <c r="A1" s="3"/>
      <c r="B1" s="4"/>
      <c r="C1" s="4"/>
      <c r="D1" s="4"/>
      <c r="E1" s="4"/>
      <c r="F1" s="5"/>
    </row>
    <row r="2" spans="1:11">
      <c r="A2" s="6"/>
      <c r="B2" s="1"/>
      <c r="C2" s="1"/>
      <c r="D2" s="1"/>
      <c r="E2" s="1"/>
      <c r="F2" s="7"/>
    </row>
    <row r="3" spans="1:11">
      <c r="A3" s="6"/>
      <c r="B3" s="1"/>
      <c r="C3" s="1"/>
      <c r="D3" s="14"/>
      <c r="E3" s="14"/>
      <c r="F3" s="7"/>
      <c r="I3" s="15"/>
      <c r="J3" s="15"/>
      <c r="K3" s="15"/>
    </row>
    <row r="4" spans="1:11">
      <c r="A4" s="6"/>
      <c r="B4" s="1"/>
      <c r="C4" s="1"/>
      <c r="D4" s="14"/>
      <c r="E4" s="14"/>
      <c r="F4" s="7"/>
      <c r="H4" s="15"/>
      <c r="I4" s="15"/>
      <c r="J4" s="15"/>
      <c r="K4" s="15"/>
    </row>
    <row r="5" spans="1:11">
      <c r="A5" s="6"/>
      <c r="B5" s="1"/>
      <c r="C5" s="1"/>
      <c r="D5" s="14"/>
      <c r="E5" s="14"/>
      <c r="F5" s="7"/>
      <c r="H5" s="119" t="s">
        <v>41</v>
      </c>
      <c r="I5" s="119"/>
      <c r="J5" s="119"/>
      <c r="K5" s="119"/>
    </row>
    <row r="6" spans="1:11">
      <c r="A6" s="6"/>
      <c r="B6" s="1"/>
      <c r="C6" s="1"/>
      <c r="D6" s="14"/>
      <c r="E6" s="14"/>
      <c r="F6" s="7"/>
      <c r="H6" s="43"/>
      <c r="I6" s="44"/>
      <c r="J6" s="44"/>
      <c r="K6" s="45"/>
    </row>
    <row r="7" spans="1:11" ht="9" customHeight="1">
      <c r="A7" s="6"/>
      <c r="B7" s="1"/>
      <c r="C7" s="1"/>
      <c r="D7" s="1"/>
      <c r="E7" s="1"/>
      <c r="F7" s="7"/>
      <c r="H7" s="49"/>
      <c r="I7" s="50"/>
      <c r="J7" s="50"/>
      <c r="K7" s="51"/>
    </row>
    <row r="8" spans="1:11" ht="21.75" customHeight="1">
      <c r="A8" s="120" t="s">
        <v>4</v>
      </c>
      <c r="B8" s="121"/>
      <c r="C8" s="121"/>
      <c r="D8" s="121"/>
      <c r="E8" s="121"/>
      <c r="F8" s="122"/>
      <c r="H8" s="49"/>
      <c r="I8" s="52" t="s">
        <v>40</v>
      </c>
      <c r="J8" s="54" t="s">
        <v>45</v>
      </c>
      <c r="K8" s="51"/>
    </row>
    <row r="9" spans="1:11">
      <c r="A9" s="6"/>
      <c r="B9" s="1"/>
      <c r="C9" s="1"/>
      <c r="D9" s="1"/>
      <c r="E9" s="1"/>
      <c r="F9" s="7"/>
      <c r="H9" s="49"/>
      <c r="I9" s="50"/>
      <c r="J9" s="50"/>
      <c r="K9" s="51"/>
    </row>
    <row r="10" spans="1:11">
      <c r="A10" s="6"/>
      <c r="B10" s="1"/>
      <c r="C10" s="1"/>
      <c r="D10" s="1"/>
      <c r="E10" s="1"/>
      <c r="F10" s="7"/>
      <c r="H10" s="49"/>
      <c r="I10" s="52" t="s">
        <v>34</v>
      </c>
      <c r="J10" s="53" t="s">
        <v>159</v>
      </c>
      <c r="K10" s="51"/>
    </row>
    <row r="11" spans="1:11">
      <c r="A11" s="6"/>
      <c r="B11" s="1"/>
      <c r="C11" s="1"/>
      <c r="D11" s="1"/>
      <c r="E11" s="1"/>
      <c r="F11" s="7"/>
      <c r="H11" s="49"/>
      <c r="I11" s="50"/>
      <c r="J11" s="50"/>
      <c r="K11" s="51"/>
    </row>
    <row r="12" spans="1:11">
      <c r="A12" s="6"/>
      <c r="B12" s="1"/>
      <c r="C12" s="1"/>
      <c r="D12" s="1"/>
      <c r="E12" s="1"/>
      <c r="F12" s="7"/>
      <c r="H12" s="46"/>
      <c r="I12" s="47"/>
      <c r="J12" s="47"/>
      <c r="K12" s="48"/>
    </row>
    <row r="13" spans="1:11">
      <c r="A13" s="6"/>
      <c r="B13" s="1"/>
      <c r="C13" s="1"/>
      <c r="D13" s="1"/>
      <c r="E13" s="1"/>
      <c r="F13" s="7"/>
    </row>
    <row r="14" spans="1:11">
      <c r="A14" s="6"/>
      <c r="B14" s="1"/>
      <c r="C14" s="1"/>
      <c r="D14" s="1"/>
      <c r="E14" s="1"/>
      <c r="F14" s="7"/>
    </row>
    <row r="15" spans="1:11">
      <c r="A15" s="6"/>
      <c r="B15" s="1"/>
      <c r="C15" s="1"/>
      <c r="D15" s="1"/>
      <c r="E15" s="1"/>
      <c r="F15" s="7"/>
    </row>
    <row r="16" spans="1:11">
      <c r="A16" s="6"/>
      <c r="B16" s="1"/>
      <c r="C16" s="1"/>
      <c r="D16" s="1"/>
      <c r="E16" s="1"/>
      <c r="F16" s="7"/>
    </row>
    <row r="17" spans="1:6">
      <c r="A17" s="6"/>
      <c r="B17" s="1"/>
      <c r="C17" s="1"/>
      <c r="D17" s="1"/>
      <c r="E17" s="1"/>
      <c r="F17" s="7"/>
    </row>
    <row r="18" spans="1:6">
      <c r="A18" s="6"/>
      <c r="B18" s="1"/>
      <c r="C18" s="1"/>
      <c r="D18" s="1"/>
      <c r="E18" s="1"/>
      <c r="F18" s="7"/>
    </row>
    <row r="19" spans="1:6">
      <c r="A19" s="6"/>
      <c r="B19" s="1"/>
      <c r="C19" s="1"/>
      <c r="D19" s="1"/>
      <c r="E19" s="1"/>
      <c r="F19" s="7"/>
    </row>
    <row r="20" spans="1:6">
      <c r="A20" s="6"/>
      <c r="B20" s="1"/>
      <c r="C20" s="1"/>
      <c r="D20" s="1"/>
      <c r="E20" s="1"/>
      <c r="F20" s="7"/>
    </row>
    <row r="21" spans="1:6">
      <c r="A21" s="6"/>
      <c r="B21" s="1"/>
      <c r="C21" s="1"/>
      <c r="D21" s="1"/>
      <c r="E21" s="1"/>
      <c r="F21" s="7"/>
    </row>
    <row r="22" spans="1:6">
      <c r="A22" s="6"/>
      <c r="B22" s="1"/>
      <c r="C22" s="1"/>
      <c r="D22" s="1"/>
      <c r="E22" s="1"/>
      <c r="F22" s="7"/>
    </row>
    <row r="23" spans="1:6">
      <c r="A23" s="6"/>
      <c r="B23" s="1"/>
      <c r="C23" s="1"/>
      <c r="D23" s="1"/>
      <c r="E23" s="1"/>
      <c r="F23" s="7"/>
    </row>
    <row r="24" spans="1:6">
      <c r="A24" s="6"/>
      <c r="B24" s="1"/>
      <c r="C24" s="1"/>
      <c r="D24" s="1"/>
      <c r="E24" s="1"/>
      <c r="F24" s="7"/>
    </row>
    <row r="25" spans="1:6">
      <c r="A25" s="6"/>
      <c r="B25" s="1"/>
      <c r="C25" s="1"/>
      <c r="D25" s="1"/>
      <c r="E25" s="1"/>
      <c r="F25" s="7"/>
    </row>
    <row r="26" spans="1:6">
      <c r="A26" s="6"/>
      <c r="F26" s="7"/>
    </row>
    <row r="27" spans="1:6">
      <c r="A27" s="6"/>
      <c r="F27" s="7"/>
    </row>
    <row r="28" spans="1:6">
      <c r="A28" s="6"/>
      <c r="F28" s="7"/>
    </row>
    <row r="29" spans="1:6">
      <c r="A29" s="6"/>
      <c r="B29" s="1"/>
      <c r="C29" s="1"/>
      <c r="D29" s="1"/>
      <c r="E29" s="1"/>
      <c r="F29" s="7"/>
    </row>
    <row r="30" spans="1:6">
      <c r="A30" s="6"/>
      <c r="B30" s="1"/>
      <c r="C30" s="1"/>
      <c r="D30" s="1"/>
      <c r="E30" s="1"/>
      <c r="F30" s="7"/>
    </row>
    <row r="31" spans="1:6">
      <c r="A31" s="6"/>
      <c r="B31" s="2"/>
      <c r="C31" s="1"/>
      <c r="D31" s="1"/>
      <c r="E31" s="1"/>
      <c r="F31" s="7"/>
    </row>
    <row r="32" spans="1:6">
      <c r="A32" s="6"/>
      <c r="F32" s="7"/>
    </row>
    <row r="33" spans="1:11">
      <c r="A33" s="6"/>
      <c r="F33" s="7"/>
    </row>
    <row r="34" spans="1:11">
      <c r="A34" s="6"/>
      <c r="F34" s="7"/>
    </row>
    <row r="35" spans="1:11">
      <c r="A35" s="6"/>
      <c r="F35" s="7"/>
    </row>
    <row r="36" spans="1:11">
      <c r="A36" s="6"/>
      <c r="F36" s="7"/>
    </row>
    <row r="37" spans="1:11">
      <c r="A37" s="6"/>
      <c r="F37" s="7"/>
    </row>
    <row r="38" spans="1:11">
      <c r="A38" s="6"/>
      <c r="F38" s="7"/>
    </row>
    <row r="39" spans="1:11" ht="13.5" thickBot="1">
      <c r="A39" s="6"/>
      <c r="B39" s="1"/>
      <c r="C39" s="1"/>
      <c r="D39" s="1"/>
      <c r="E39" s="1"/>
      <c r="F39" s="7"/>
    </row>
    <row r="40" spans="1:11" ht="13.5" thickTop="1">
      <c r="A40" s="6"/>
      <c r="B40" s="13" t="s">
        <v>42</v>
      </c>
      <c r="C40" s="13" t="s">
        <v>43</v>
      </c>
      <c r="D40" s="13" t="s">
        <v>44</v>
      </c>
      <c r="E40" s="13" t="s">
        <v>0</v>
      </c>
      <c r="F40" s="7"/>
      <c r="H40" s="11" t="s">
        <v>37</v>
      </c>
      <c r="I40" s="35"/>
      <c r="J40" s="35"/>
      <c r="K40" s="12"/>
    </row>
    <row r="41" spans="1:11" ht="12.75" customHeight="1">
      <c r="A41" s="6"/>
      <c r="B41" s="123" t="s">
        <v>100</v>
      </c>
      <c r="C41" s="125" t="s">
        <v>47</v>
      </c>
      <c r="D41" s="125" t="s">
        <v>48</v>
      </c>
      <c r="E41" s="125" t="s">
        <v>49</v>
      </c>
      <c r="F41" s="7"/>
      <c r="H41" s="113"/>
      <c r="I41" s="114"/>
      <c r="J41" s="114"/>
      <c r="K41" s="115"/>
    </row>
    <row r="42" spans="1:11" ht="13.5" thickBot="1">
      <c r="A42" s="6"/>
      <c r="B42" s="124"/>
      <c r="C42" s="127"/>
      <c r="D42" s="127"/>
      <c r="E42" s="126"/>
      <c r="F42" s="7"/>
      <c r="H42" s="116"/>
      <c r="I42" s="117"/>
      <c r="J42" s="117"/>
      <c r="K42" s="118"/>
    </row>
    <row r="43" spans="1:11" ht="14.25" thickTop="1" thickBot="1">
      <c r="A43" s="6"/>
      <c r="B43" s="1"/>
      <c r="C43" s="1"/>
      <c r="D43" s="1"/>
      <c r="E43" s="1"/>
      <c r="F43" s="7"/>
    </row>
    <row r="44" spans="1:11" ht="13.5" thickTop="1">
      <c r="A44" s="6"/>
      <c r="B44" s="11" t="s">
        <v>1</v>
      </c>
      <c r="C44" s="12"/>
      <c r="D44" s="11" t="s">
        <v>2</v>
      </c>
      <c r="E44" s="12"/>
      <c r="F44" s="7"/>
    </row>
    <row r="45" spans="1:11">
      <c r="A45" s="6"/>
      <c r="B45" s="113" t="s">
        <v>50</v>
      </c>
      <c r="C45" s="115"/>
      <c r="D45" s="130" t="s">
        <v>163</v>
      </c>
      <c r="E45" s="131"/>
      <c r="F45" s="7"/>
    </row>
    <row r="46" spans="1:11" ht="13.5" thickBot="1">
      <c r="A46" s="6"/>
      <c r="B46" s="116"/>
      <c r="C46" s="118"/>
      <c r="D46" s="132"/>
      <c r="E46" s="133"/>
      <c r="F46" s="7"/>
      <c r="H46" s="31"/>
    </row>
    <row r="47" spans="1:11" ht="13.5" thickTop="1">
      <c r="A47" s="6"/>
      <c r="B47" s="1"/>
      <c r="C47" s="1"/>
      <c r="D47" s="1"/>
      <c r="E47" s="1"/>
      <c r="F47" s="7"/>
    </row>
    <row r="48" spans="1:11" ht="13.5" thickBot="1">
      <c r="A48" s="6"/>
      <c r="B48" s="31"/>
      <c r="C48" s="1"/>
      <c r="D48" s="31"/>
      <c r="E48" s="1"/>
      <c r="F48" s="7"/>
    </row>
    <row r="49" spans="1:9" ht="13.5" thickTop="1">
      <c r="A49" s="6"/>
      <c r="B49" s="33" t="s">
        <v>36</v>
      </c>
      <c r="C49" s="33" t="s">
        <v>3</v>
      </c>
      <c r="D49" s="33" t="s">
        <v>35</v>
      </c>
      <c r="E49" s="33" t="s">
        <v>34</v>
      </c>
      <c r="F49" s="7"/>
    </row>
    <row r="50" spans="1:9">
      <c r="A50" s="6"/>
      <c r="B50" s="138" t="s">
        <v>161</v>
      </c>
      <c r="C50" s="140">
        <v>42997</v>
      </c>
      <c r="D50" s="138" t="s">
        <v>156</v>
      </c>
      <c r="E50" s="128" t="s">
        <v>159</v>
      </c>
      <c r="F50" s="7"/>
    </row>
    <row r="51" spans="1:9" ht="13.5" thickBot="1">
      <c r="A51" s="6"/>
      <c r="B51" s="139"/>
      <c r="C51" s="141"/>
      <c r="D51" s="139"/>
      <c r="E51" s="129"/>
      <c r="F51" s="7"/>
      <c r="H51" s="40"/>
    </row>
    <row r="52" spans="1:9" ht="13.5" thickTop="1">
      <c r="A52" s="6"/>
      <c r="B52" s="41" t="s">
        <v>31</v>
      </c>
      <c r="C52" s="41" t="s">
        <v>3</v>
      </c>
      <c r="D52" s="11" t="s">
        <v>30</v>
      </c>
      <c r="E52" s="12"/>
      <c r="F52" s="7"/>
      <c r="I52" s="34"/>
    </row>
    <row r="53" spans="1:9" ht="13.5" customHeight="1" thickBot="1">
      <c r="A53" s="6"/>
      <c r="B53" s="27"/>
      <c r="C53" s="26"/>
      <c r="D53" s="134" t="str">
        <f>J8</f>
        <v>10122</v>
      </c>
      <c r="E53" s="135"/>
      <c r="F53" s="7"/>
    </row>
    <row r="54" spans="1:9" ht="13.5" thickTop="1">
      <c r="A54" s="6"/>
      <c r="B54" s="41" t="s">
        <v>32</v>
      </c>
      <c r="C54" s="41" t="s">
        <v>3</v>
      </c>
      <c r="D54" s="134"/>
      <c r="E54" s="135"/>
      <c r="F54" s="7"/>
    </row>
    <row r="55" spans="1:9" ht="13.5" customHeight="1" thickBot="1">
      <c r="A55" s="6"/>
      <c r="B55" s="32"/>
      <c r="C55" s="32"/>
      <c r="D55" s="134"/>
      <c r="E55" s="135"/>
      <c r="F55" s="7"/>
    </row>
    <row r="56" spans="1:9" ht="13.5" thickTop="1">
      <c r="A56" s="6"/>
      <c r="B56" s="41" t="s">
        <v>33</v>
      </c>
      <c r="C56" s="41" t="s">
        <v>3</v>
      </c>
      <c r="D56" s="134"/>
      <c r="E56" s="135"/>
      <c r="F56" s="7"/>
    </row>
    <row r="57" spans="1:9" ht="13.5" customHeight="1" thickBot="1">
      <c r="A57" s="6"/>
      <c r="B57" s="28"/>
      <c r="C57" s="30"/>
      <c r="D57" s="136"/>
      <c r="E57" s="137"/>
      <c r="F57" s="7"/>
    </row>
    <row r="58" spans="1:9" ht="13.5" customHeight="1" thickTop="1">
      <c r="A58" s="6"/>
      <c r="B58" s="57"/>
      <c r="C58" s="58"/>
      <c r="D58" s="59"/>
      <c r="E58" s="59"/>
      <c r="F58" s="7"/>
    </row>
    <row r="59" spans="1:9" ht="13.5" thickBot="1">
      <c r="A59" s="8"/>
      <c r="B59" s="9"/>
      <c r="C59" s="9"/>
      <c r="D59" s="9"/>
      <c r="E59" s="9"/>
      <c r="F59" s="10"/>
    </row>
    <row r="60" spans="1:9" ht="13.5" thickTop="1"/>
  </sheetData>
  <mergeCells count="14">
    <mergeCell ref="E50:E51"/>
    <mergeCell ref="B45:C46"/>
    <mergeCell ref="D45:E46"/>
    <mergeCell ref="D53:E57"/>
    <mergeCell ref="B50:B51"/>
    <mergeCell ref="C50:C51"/>
    <mergeCell ref="D50:D51"/>
    <mergeCell ref="H41:K42"/>
    <mergeCell ref="H5:K5"/>
    <mergeCell ref="A8:F8"/>
    <mergeCell ref="B41:B42"/>
    <mergeCell ref="E41:E42"/>
    <mergeCell ref="C41:C42"/>
    <mergeCell ref="D41:D42"/>
  </mergeCells>
  <phoneticPr fontId="0" type="noConversion"/>
  <pageMargins left="0.6" right="0.25" top="0.25" bottom="0.25" header="0.5" footer="0.42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AutoCADLT.Drawing.4" shapeId="1047" r:id="rId4">
          <objectPr defaultSize="0" autoPict="0" r:id="rId5">
            <anchor moveWithCells="1">
              <from>
                <xdr:col>1</xdr:col>
                <xdr:colOff>0</xdr:colOff>
                <xdr:row>10</xdr:row>
                <xdr:rowOff>9525</xdr:rowOff>
              </from>
              <to>
                <xdr:col>4</xdr:col>
                <xdr:colOff>1504950</xdr:colOff>
                <xdr:row>36</xdr:row>
                <xdr:rowOff>152400</xdr:rowOff>
              </to>
            </anchor>
          </objectPr>
        </oleObject>
      </mc:Choice>
      <mc:Fallback>
        <oleObject progId="AutoCADLT.Drawing.4" shapeId="1047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58"/>
  <sheetViews>
    <sheetView topLeftCell="A28" zoomScaleNormal="100" workbookViewId="0">
      <selection activeCell="J41" sqref="J41"/>
    </sheetView>
  </sheetViews>
  <sheetFormatPr defaultRowHeight="12.75"/>
  <cols>
    <col min="1" max="1" width="2.7109375" customWidth="1"/>
    <col min="2" max="2" width="22.7109375" customWidth="1"/>
    <col min="3" max="3" width="26.5703125" customWidth="1"/>
    <col min="4" max="4" width="2.7109375" customWidth="1"/>
    <col min="5" max="5" width="22.85546875" customWidth="1"/>
    <col min="6" max="6" width="24.85546875" customWidth="1"/>
    <col min="7" max="7" width="2.7109375" customWidth="1"/>
  </cols>
  <sheetData>
    <row r="1" spans="1:7" ht="13.5" thickTop="1">
      <c r="A1" s="3"/>
      <c r="B1" s="4"/>
      <c r="C1" s="4"/>
      <c r="D1" s="4"/>
      <c r="E1" s="4"/>
      <c r="F1" s="4"/>
      <c r="G1" s="5"/>
    </row>
    <row r="2" spans="1:7" s="39" customFormat="1">
      <c r="A2" s="36"/>
      <c r="B2" s="42" t="s">
        <v>30</v>
      </c>
      <c r="C2" s="37"/>
      <c r="D2" s="37"/>
      <c r="E2" s="37"/>
      <c r="F2" s="42" t="s">
        <v>34</v>
      </c>
      <c r="G2" s="38"/>
    </row>
    <row r="3" spans="1:7">
      <c r="A3" s="6"/>
      <c r="B3" s="155" t="str">
        <f>'Cover - MH Info'!J8</f>
        <v>10122</v>
      </c>
      <c r="C3" s="1"/>
      <c r="D3" s="1"/>
      <c r="E3" s="1"/>
      <c r="F3" s="157" t="str">
        <f>'Cover - MH Info'!J10</f>
        <v>17.0</v>
      </c>
      <c r="G3" s="7"/>
    </row>
    <row r="4" spans="1:7">
      <c r="A4" s="6"/>
      <c r="B4" s="156"/>
      <c r="C4" s="1"/>
      <c r="D4" s="1"/>
      <c r="E4" s="1"/>
      <c r="F4" s="158"/>
      <c r="G4" s="7"/>
    </row>
    <row r="5" spans="1:7">
      <c r="A5" s="6"/>
      <c r="B5" s="1"/>
      <c r="C5" s="1"/>
      <c r="D5" s="1"/>
      <c r="E5" s="1"/>
      <c r="F5" s="1"/>
      <c r="G5" s="7"/>
    </row>
    <row r="6" spans="1:7" ht="23.25">
      <c r="A6" s="6"/>
      <c r="B6" s="121" t="s">
        <v>17</v>
      </c>
      <c r="C6" s="121"/>
      <c r="D6" s="121"/>
      <c r="E6" s="121"/>
      <c r="F6" s="121"/>
      <c r="G6" s="7"/>
    </row>
    <row r="7" spans="1:7">
      <c r="A7" s="6"/>
      <c r="B7" s="1"/>
      <c r="C7" s="1"/>
      <c r="D7" s="1"/>
      <c r="E7" s="1"/>
      <c r="F7" s="1"/>
      <c r="G7" s="7"/>
    </row>
    <row r="8" spans="1:7" ht="13.5" thickBot="1">
      <c r="A8" s="6"/>
      <c r="B8" s="1"/>
      <c r="C8" s="1"/>
      <c r="D8" s="1"/>
      <c r="E8" s="1"/>
      <c r="F8" s="1"/>
      <c r="G8" s="7"/>
    </row>
    <row r="9" spans="1:7" ht="13.5" thickTop="1">
      <c r="A9" s="6"/>
      <c r="B9" s="13" t="s">
        <v>5</v>
      </c>
      <c r="C9" s="13" t="s">
        <v>6</v>
      </c>
      <c r="D9" s="1"/>
      <c r="E9" s="13" t="s">
        <v>5</v>
      </c>
      <c r="F9" s="13" t="s">
        <v>6</v>
      </c>
      <c r="G9" s="7"/>
    </row>
    <row r="10" spans="1:7" ht="12.75" customHeight="1">
      <c r="A10" s="6"/>
      <c r="B10" s="142" t="s">
        <v>15</v>
      </c>
      <c r="C10" s="144" t="s">
        <v>162</v>
      </c>
      <c r="D10" s="1"/>
      <c r="E10" s="142" t="s">
        <v>16</v>
      </c>
      <c r="F10" s="144" t="s">
        <v>108</v>
      </c>
      <c r="G10" s="7"/>
    </row>
    <row r="11" spans="1:7" ht="13.5" customHeight="1" thickBot="1">
      <c r="A11" s="6"/>
      <c r="B11" s="143"/>
      <c r="C11" s="145"/>
      <c r="D11" s="1"/>
      <c r="E11" s="143"/>
      <c r="F11" s="145"/>
      <c r="G11" s="7"/>
    </row>
    <row r="12" spans="1:7" ht="13.5" thickTop="1">
      <c r="A12" s="6"/>
      <c r="B12" s="13" t="s">
        <v>14</v>
      </c>
      <c r="C12" s="13" t="s">
        <v>7</v>
      </c>
      <c r="D12" s="1"/>
      <c r="E12" s="13" t="s">
        <v>14</v>
      </c>
      <c r="F12" s="13" t="s">
        <v>7</v>
      </c>
      <c r="G12" s="7"/>
    </row>
    <row r="13" spans="1:7">
      <c r="A13" s="6"/>
      <c r="B13" s="146"/>
      <c r="C13" s="125" t="s">
        <v>52</v>
      </c>
      <c r="D13" s="1"/>
      <c r="E13" s="125"/>
      <c r="F13" s="125" t="s">
        <v>109</v>
      </c>
      <c r="G13" s="7"/>
    </row>
    <row r="14" spans="1:7" ht="13.5" thickBot="1">
      <c r="A14" s="6"/>
      <c r="B14" s="147"/>
      <c r="C14" s="127"/>
      <c r="D14" s="1"/>
      <c r="E14" s="127"/>
      <c r="F14" s="127"/>
      <c r="G14" s="7"/>
    </row>
    <row r="15" spans="1:7" ht="13.5" thickTop="1">
      <c r="A15" s="6"/>
      <c r="B15" s="13" t="s">
        <v>8</v>
      </c>
      <c r="C15" s="13" t="s">
        <v>11</v>
      </c>
      <c r="D15" s="1"/>
      <c r="E15" s="13" t="s">
        <v>8</v>
      </c>
      <c r="F15" s="13" t="s">
        <v>11</v>
      </c>
      <c r="G15" s="7"/>
    </row>
    <row r="16" spans="1:7">
      <c r="A16" s="6"/>
      <c r="B16" s="146" t="s">
        <v>55</v>
      </c>
      <c r="C16" s="146" t="s">
        <v>53</v>
      </c>
      <c r="D16" s="1"/>
      <c r="E16" s="146" t="s">
        <v>56</v>
      </c>
      <c r="F16" s="146"/>
      <c r="G16" s="7"/>
    </row>
    <row r="17" spans="1:7" ht="13.5" thickBot="1">
      <c r="A17" s="6"/>
      <c r="B17" s="147"/>
      <c r="C17" s="147"/>
      <c r="D17" s="1"/>
      <c r="E17" s="147"/>
      <c r="F17" s="147"/>
      <c r="G17" s="7"/>
    </row>
    <row r="18" spans="1:7" ht="13.5" thickTop="1">
      <c r="A18" s="6"/>
      <c r="B18" s="13" t="s">
        <v>9</v>
      </c>
      <c r="C18" s="13" t="s">
        <v>12</v>
      </c>
      <c r="D18" s="1"/>
      <c r="E18" s="13" t="s">
        <v>9</v>
      </c>
      <c r="F18" s="13" t="s">
        <v>12</v>
      </c>
      <c r="G18" s="7"/>
    </row>
    <row r="19" spans="1:7">
      <c r="A19" s="6"/>
      <c r="B19" s="146"/>
      <c r="C19" s="148"/>
      <c r="D19" s="1"/>
      <c r="E19" s="146"/>
      <c r="F19" s="148"/>
      <c r="G19" s="7"/>
    </row>
    <row r="20" spans="1:7" ht="13.5" thickBot="1">
      <c r="A20" s="6"/>
      <c r="B20" s="147"/>
      <c r="C20" s="149"/>
      <c r="D20" s="1"/>
      <c r="E20" s="147"/>
      <c r="F20" s="149"/>
      <c r="G20" s="7"/>
    </row>
    <row r="21" spans="1:7" ht="13.5" thickTop="1">
      <c r="A21" s="6"/>
      <c r="B21" s="13" t="s">
        <v>10</v>
      </c>
      <c r="C21" s="13" t="s">
        <v>13</v>
      </c>
      <c r="D21" s="1"/>
      <c r="E21" s="13" t="s">
        <v>10</v>
      </c>
      <c r="F21" s="13" t="s">
        <v>13</v>
      </c>
      <c r="G21" s="7"/>
    </row>
    <row r="22" spans="1:7">
      <c r="A22" s="6"/>
      <c r="B22" s="146"/>
      <c r="C22" s="148" t="s">
        <v>54</v>
      </c>
      <c r="D22" s="1"/>
      <c r="E22" s="146"/>
      <c r="F22" s="148" t="s">
        <v>57</v>
      </c>
      <c r="G22" s="7"/>
    </row>
    <row r="23" spans="1:7" ht="13.5" thickBot="1">
      <c r="A23" s="6"/>
      <c r="B23" s="147"/>
      <c r="C23" s="149"/>
      <c r="D23" s="1"/>
      <c r="E23" s="147"/>
      <c r="F23" s="149"/>
      <c r="G23" s="7"/>
    </row>
    <row r="24" spans="1:7" ht="14.25" thickTop="1" thickBot="1">
      <c r="A24" s="6"/>
      <c r="B24" s="1"/>
      <c r="C24" s="1"/>
      <c r="D24" s="1"/>
      <c r="E24" s="1"/>
      <c r="F24" s="1"/>
      <c r="G24" s="7"/>
    </row>
    <row r="25" spans="1:7" ht="13.5" thickTop="1">
      <c r="A25" s="6"/>
      <c r="B25" s="13" t="s">
        <v>5</v>
      </c>
      <c r="C25" s="13" t="s">
        <v>6</v>
      </c>
      <c r="D25" s="1"/>
      <c r="E25" s="13" t="s">
        <v>5</v>
      </c>
      <c r="F25" s="13" t="s">
        <v>6</v>
      </c>
      <c r="G25" s="7"/>
    </row>
    <row r="26" spans="1:7" ht="12.75" customHeight="1">
      <c r="A26" s="6"/>
      <c r="B26" s="142" t="s">
        <v>51</v>
      </c>
      <c r="C26" s="144" t="s">
        <v>114</v>
      </c>
      <c r="D26" s="1"/>
      <c r="E26" s="142" t="s">
        <v>119</v>
      </c>
      <c r="F26" s="144" t="s">
        <v>120</v>
      </c>
      <c r="G26" s="7"/>
    </row>
    <row r="27" spans="1:7" ht="13.5" customHeight="1" thickBot="1">
      <c r="A27" s="6"/>
      <c r="B27" s="143"/>
      <c r="C27" s="145"/>
      <c r="D27" s="1"/>
      <c r="E27" s="143"/>
      <c r="F27" s="145"/>
      <c r="G27" s="7"/>
    </row>
    <row r="28" spans="1:7" ht="13.5" thickTop="1">
      <c r="A28" s="6"/>
      <c r="B28" s="13" t="s">
        <v>14</v>
      </c>
      <c r="C28" s="13" t="s">
        <v>7</v>
      </c>
      <c r="D28" s="1"/>
      <c r="E28" s="13" t="s">
        <v>14</v>
      </c>
      <c r="F28" s="13" t="s">
        <v>7</v>
      </c>
      <c r="G28" s="7"/>
    </row>
    <row r="29" spans="1:7" ht="12.75" customHeight="1">
      <c r="A29" s="6"/>
      <c r="B29" s="150" t="s">
        <v>113</v>
      </c>
      <c r="C29" s="125" t="s">
        <v>117</v>
      </c>
      <c r="D29" s="1"/>
      <c r="E29" s="146"/>
      <c r="F29" s="153" t="s">
        <v>121</v>
      </c>
      <c r="G29" s="7"/>
    </row>
    <row r="30" spans="1:7" ht="32.25" customHeight="1" thickBot="1">
      <c r="A30" s="6"/>
      <c r="B30" s="151"/>
      <c r="C30" s="127"/>
      <c r="D30" s="1"/>
      <c r="E30" s="147"/>
      <c r="F30" s="127"/>
      <c r="G30" s="7"/>
    </row>
    <row r="31" spans="1:7" ht="13.5" thickTop="1">
      <c r="A31" s="6"/>
      <c r="B31" s="13" t="s">
        <v>8</v>
      </c>
      <c r="C31" s="13" t="s">
        <v>11</v>
      </c>
      <c r="D31" s="1"/>
      <c r="E31" s="13" t="s">
        <v>8</v>
      </c>
      <c r="F31" s="13" t="s">
        <v>11</v>
      </c>
      <c r="G31" s="7"/>
    </row>
    <row r="32" spans="1:7">
      <c r="A32" s="6"/>
      <c r="B32" s="146" t="s">
        <v>56</v>
      </c>
      <c r="C32" s="146" t="s">
        <v>53</v>
      </c>
      <c r="D32" s="1"/>
      <c r="E32" s="146"/>
      <c r="F32" s="154" t="s">
        <v>122</v>
      </c>
      <c r="G32" s="7"/>
    </row>
    <row r="33" spans="1:7" ht="13.5" thickBot="1">
      <c r="A33" s="6"/>
      <c r="B33" s="147"/>
      <c r="C33" s="147"/>
      <c r="D33" s="1"/>
      <c r="E33" s="147"/>
      <c r="F33" s="147"/>
      <c r="G33" s="7"/>
    </row>
    <row r="34" spans="1:7" ht="13.5" thickTop="1">
      <c r="A34" s="6"/>
      <c r="B34" s="13" t="s">
        <v>9</v>
      </c>
      <c r="C34" s="13" t="s">
        <v>12</v>
      </c>
      <c r="D34" s="1"/>
      <c r="E34" s="13" t="s">
        <v>9</v>
      </c>
      <c r="F34" s="13" t="s">
        <v>12</v>
      </c>
      <c r="G34" s="7"/>
    </row>
    <row r="35" spans="1:7">
      <c r="A35" s="6"/>
      <c r="B35" s="146"/>
      <c r="C35" s="148"/>
      <c r="D35" s="1"/>
      <c r="E35" s="146"/>
      <c r="F35" s="148"/>
      <c r="G35" s="7"/>
    </row>
    <row r="36" spans="1:7" ht="13.5" thickBot="1">
      <c r="A36" s="6"/>
      <c r="B36" s="147"/>
      <c r="C36" s="149"/>
      <c r="D36" s="1"/>
      <c r="E36" s="147"/>
      <c r="F36" s="149"/>
      <c r="G36" s="7"/>
    </row>
    <row r="37" spans="1:7" ht="13.5" thickTop="1">
      <c r="A37" s="6"/>
      <c r="B37" s="13" t="s">
        <v>10</v>
      </c>
      <c r="C37" s="13" t="s">
        <v>13</v>
      </c>
      <c r="D37" s="1"/>
      <c r="E37" s="13" t="s">
        <v>10</v>
      </c>
      <c r="F37" s="13" t="s">
        <v>13</v>
      </c>
      <c r="G37" s="7"/>
    </row>
    <row r="38" spans="1:7">
      <c r="A38" s="6"/>
      <c r="B38" s="146"/>
      <c r="C38" s="148" t="s">
        <v>58</v>
      </c>
      <c r="D38" s="1"/>
      <c r="E38" s="146"/>
      <c r="F38" s="152" t="s">
        <v>123</v>
      </c>
      <c r="G38" s="7"/>
    </row>
    <row r="39" spans="1:7" ht="13.5" thickBot="1">
      <c r="A39" s="6"/>
      <c r="B39" s="147"/>
      <c r="C39" s="149"/>
      <c r="D39" s="1"/>
      <c r="E39" s="147"/>
      <c r="F39" s="149"/>
      <c r="G39" s="7"/>
    </row>
    <row r="40" spans="1:7" ht="14.25" thickTop="1" thickBot="1">
      <c r="A40" s="6"/>
      <c r="B40" s="1"/>
      <c r="C40" s="1"/>
      <c r="D40" s="1"/>
      <c r="E40" s="1"/>
      <c r="F40" s="1"/>
      <c r="G40" s="7"/>
    </row>
    <row r="41" spans="1:7" ht="13.5" thickTop="1">
      <c r="A41" s="6"/>
      <c r="B41" s="13" t="s">
        <v>5</v>
      </c>
      <c r="C41" s="13" t="s">
        <v>6</v>
      </c>
      <c r="D41" s="1"/>
      <c r="E41" s="13" t="s">
        <v>5</v>
      </c>
      <c r="F41" s="13" t="s">
        <v>6</v>
      </c>
      <c r="G41" s="7"/>
    </row>
    <row r="42" spans="1:7">
      <c r="A42" s="6"/>
      <c r="B42" s="142" t="s">
        <v>135</v>
      </c>
      <c r="C42" s="144" t="s">
        <v>139</v>
      </c>
      <c r="D42" s="1"/>
      <c r="E42" s="142"/>
      <c r="F42" s="144"/>
      <c r="G42" s="7"/>
    </row>
    <row r="43" spans="1:7" ht="13.5" thickBot="1">
      <c r="A43" s="6"/>
      <c r="B43" s="143"/>
      <c r="C43" s="145"/>
      <c r="D43" s="1"/>
      <c r="E43" s="143"/>
      <c r="F43" s="145"/>
      <c r="G43" s="7"/>
    </row>
    <row r="44" spans="1:7" ht="13.5" thickTop="1">
      <c r="A44" s="6"/>
      <c r="B44" s="13" t="s">
        <v>14</v>
      </c>
      <c r="C44" s="13" t="s">
        <v>7</v>
      </c>
      <c r="D44" s="1"/>
      <c r="E44" s="13" t="s">
        <v>14</v>
      </c>
      <c r="F44" s="13" t="s">
        <v>7</v>
      </c>
      <c r="G44" s="7"/>
    </row>
    <row r="45" spans="1:7">
      <c r="A45" s="6"/>
      <c r="B45" s="146"/>
      <c r="C45" s="153" t="s">
        <v>136</v>
      </c>
      <c r="D45" s="1"/>
      <c r="E45" s="146"/>
      <c r="F45" s="125"/>
      <c r="G45" s="7"/>
    </row>
    <row r="46" spans="1:7" ht="13.5" thickBot="1">
      <c r="A46" s="6"/>
      <c r="B46" s="147"/>
      <c r="C46" s="127"/>
      <c r="D46" s="1"/>
      <c r="E46" s="147"/>
      <c r="F46" s="127"/>
      <c r="G46" s="7"/>
    </row>
    <row r="47" spans="1:7" ht="13.5" thickTop="1">
      <c r="A47" s="6"/>
      <c r="B47" s="13" t="s">
        <v>8</v>
      </c>
      <c r="C47" s="13" t="s">
        <v>11</v>
      </c>
      <c r="D47" s="1"/>
      <c r="E47" s="13" t="s">
        <v>8</v>
      </c>
      <c r="F47" s="13" t="s">
        <v>11</v>
      </c>
      <c r="G47" s="7"/>
    </row>
    <row r="48" spans="1:7">
      <c r="A48" s="6"/>
      <c r="B48" s="146"/>
      <c r="C48" s="146" t="s">
        <v>138</v>
      </c>
      <c r="D48" s="1"/>
      <c r="E48" s="146"/>
      <c r="F48" s="146"/>
      <c r="G48" s="7"/>
    </row>
    <row r="49" spans="1:7" ht="13.5" thickBot="1">
      <c r="A49" s="6"/>
      <c r="B49" s="147"/>
      <c r="C49" s="147"/>
      <c r="D49" s="1"/>
      <c r="E49" s="147"/>
      <c r="F49" s="147"/>
      <c r="G49" s="7"/>
    </row>
    <row r="50" spans="1:7" ht="13.5" thickTop="1">
      <c r="A50" s="6"/>
      <c r="B50" s="13" t="s">
        <v>9</v>
      </c>
      <c r="C50" s="13" t="s">
        <v>12</v>
      </c>
      <c r="D50" s="1"/>
      <c r="E50" s="13" t="s">
        <v>9</v>
      </c>
      <c r="F50" s="13" t="s">
        <v>12</v>
      </c>
      <c r="G50" s="7"/>
    </row>
    <row r="51" spans="1:7">
      <c r="A51" s="6"/>
      <c r="B51" s="146"/>
      <c r="C51" s="148"/>
      <c r="D51" s="1"/>
      <c r="E51" s="146"/>
      <c r="F51" s="148"/>
      <c r="G51" s="7"/>
    </row>
    <row r="52" spans="1:7" ht="13.5" thickBot="1">
      <c r="A52" s="6"/>
      <c r="B52" s="147"/>
      <c r="C52" s="149"/>
      <c r="D52" s="1"/>
      <c r="E52" s="147"/>
      <c r="F52" s="149"/>
      <c r="G52" s="7"/>
    </row>
    <row r="53" spans="1:7" ht="13.5" thickTop="1">
      <c r="A53" s="6"/>
      <c r="B53" s="13" t="s">
        <v>10</v>
      </c>
      <c r="C53" s="13" t="s">
        <v>13</v>
      </c>
      <c r="D53" s="1"/>
      <c r="E53" s="13" t="s">
        <v>10</v>
      </c>
      <c r="F53" s="13" t="s">
        <v>13</v>
      </c>
      <c r="G53" s="7"/>
    </row>
    <row r="54" spans="1:7">
      <c r="A54" s="6"/>
      <c r="B54" s="146"/>
      <c r="C54" s="148"/>
      <c r="D54" s="1"/>
      <c r="E54" s="146"/>
      <c r="F54" s="148"/>
      <c r="G54" s="7"/>
    </row>
    <row r="55" spans="1:7" ht="13.5" thickBot="1">
      <c r="A55" s="6"/>
      <c r="B55" s="147"/>
      <c r="C55" s="149"/>
      <c r="D55" s="1"/>
      <c r="E55" s="147"/>
      <c r="F55" s="149"/>
      <c r="G55" s="7"/>
    </row>
    <row r="56" spans="1:7" ht="13.5" thickTop="1">
      <c r="A56" s="6"/>
      <c r="B56" s="1"/>
      <c r="C56" s="1"/>
      <c r="D56" s="1"/>
      <c r="E56" s="1"/>
      <c r="F56" s="1"/>
      <c r="G56" s="7"/>
    </row>
    <row r="57" spans="1:7" ht="13.5" thickBot="1">
      <c r="A57" s="8"/>
      <c r="B57" s="9"/>
      <c r="C57" s="9"/>
      <c r="D57" s="9"/>
      <c r="E57" s="9"/>
      <c r="F57" s="9"/>
      <c r="G57" s="10"/>
    </row>
    <row r="58" spans="1:7" ht="13.5" thickTop="1"/>
  </sheetData>
  <mergeCells count="63">
    <mergeCell ref="B3:B4"/>
    <mergeCell ref="F3:F4"/>
    <mergeCell ref="B54:B55"/>
    <mergeCell ref="C54:C55"/>
    <mergeCell ref="B6:F6"/>
    <mergeCell ref="E54:E55"/>
    <mergeCell ref="F54:F55"/>
    <mergeCell ref="B42:B43"/>
    <mergeCell ref="C42:C43"/>
    <mergeCell ref="B45:B46"/>
    <mergeCell ref="C45:C46"/>
    <mergeCell ref="B48:B49"/>
    <mergeCell ref="C48:C49"/>
    <mergeCell ref="B51:B52"/>
    <mergeCell ref="C51:C52"/>
    <mergeCell ref="F48:F49"/>
    <mergeCell ref="E51:E52"/>
    <mergeCell ref="F51:F52"/>
    <mergeCell ref="E42:E43"/>
    <mergeCell ref="F42:F43"/>
    <mergeCell ref="E45:E46"/>
    <mergeCell ref="F45:F46"/>
    <mergeCell ref="E48:E49"/>
    <mergeCell ref="E35:E36"/>
    <mergeCell ref="F35:F36"/>
    <mergeCell ref="E38:E39"/>
    <mergeCell ref="F38:F39"/>
    <mergeCell ref="E29:E30"/>
    <mergeCell ref="F29:F30"/>
    <mergeCell ref="E32:E33"/>
    <mergeCell ref="F32:F33"/>
    <mergeCell ref="B35:B36"/>
    <mergeCell ref="C35:C36"/>
    <mergeCell ref="B38:B39"/>
    <mergeCell ref="C38:C39"/>
    <mergeCell ref="B29:B30"/>
    <mergeCell ref="C29:C30"/>
    <mergeCell ref="B32:B33"/>
    <mergeCell ref="C32:C33"/>
    <mergeCell ref="E22:E23"/>
    <mergeCell ref="F22:F23"/>
    <mergeCell ref="B26:B27"/>
    <mergeCell ref="C26:C27"/>
    <mergeCell ref="E26:E27"/>
    <mergeCell ref="F26:F27"/>
    <mergeCell ref="B22:B23"/>
    <mergeCell ref="C22:C23"/>
    <mergeCell ref="E16:E17"/>
    <mergeCell ref="F16:F17"/>
    <mergeCell ref="E19:E20"/>
    <mergeCell ref="F19:F20"/>
    <mergeCell ref="E10:E11"/>
    <mergeCell ref="F10:F11"/>
    <mergeCell ref="E13:E14"/>
    <mergeCell ref="F13:F14"/>
    <mergeCell ref="B10:B11"/>
    <mergeCell ref="C10:C11"/>
    <mergeCell ref="B19:B20"/>
    <mergeCell ref="C19:C20"/>
    <mergeCell ref="C16:C17"/>
    <mergeCell ref="B16:B17"/>
    <mergeCell ref="B13:B14"/>
    <mergeCell ref="C13:C14"/>
  </mergeCells>
  <phoneticPr fontId="0" type="noConversion"/>
  <pageMargins left="0.42" right="0.25" top="0.25" bottom="0.25" header="0.25" footer="0.65"/>
  <pageSetup scale="97" orientation="portrait" horizontalDpi="300" verticalDpi="300" r:id="rId1"/>
  <headerFooter alignWithMargins="0">
    <oddFooter xml:space="preserve">&amp;L     Confidential - MFN Proprietary Information&amp;RPage: &amp;P of &amp;N     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2:R83"/>
  <sheetViews>
    <sheetView tabSelected="1" zoomScale="115" zoomScaleNormal="115" workbookViewId="0">
      <pane ySplit="9" topLeftCell="A10" activePane="bottomLeft" state="frozen"/>
      <selection pane="bottomLeft" activeCell="J35" sqref="J35"/>
    </sheetView>
  </sheetViews>
  <sheetFormatPr defaultRowHeight="12.75"/>
  <cols>
    <col min="1" max="1" width="2.7109375" customWidth="1"/>
    <col min="2" max="2" width="25.28515625" customWidth="1"/>
    <col min="3" max="3" width="4.7109375" customWidth="1"/>
    <col min="4" max="5" width="7" customWidth="1"/>
    <col min="6" max="6" width="16.5703125" bestFit="1" customWidth="1"/>
    <col min="7" max="7" width="14.28515625" customWidth="1"/>
    <col min="8" max="8" width="15.7109375" bestFit="1" customWidth="1"/>
    <col min="9" max="10" width="7" customWidth="1"/>
    <col min="11" max="11" width="4.7109375" customWidth="1"/>
    <col min="12" max="12" width="26.28515625" customWidth="1"/>
    <col min="13" max="13" width="2.7109375" customWidth="1"/>
    <col min="14" max="14" width="15.7109375" customWidth="1"/>
    <col min="15" max="15" width="12.5703125" customWidth="1"/>
    <col min="16" max="16" width="17.28515625" customWidth="1"/>
    <col min="17" max="17" width="6.7109375" customWidth="1"/>
    <col min="18" max="18" width="21.7109375" customWidth="1"/>
    <col min="19" max="19" width="2.7109375" customWidth="1"/>
  </cols>
  <sheetData>
    <row r="2" spans="1:18">
      <c r="B2" s="162" t="s">
        <v>30</v>
      </c>
      <c r="C2" s="163"/>
      <c r="Q2" s="162" t="s">
        <v>34</v>
      </c>
      <c r="R2" s="163"/>
    </row>
    <row r="3" spans="1:18" ht="12.75" customHeight="1">
      <c r="B3" s="165" t="str">
        <f>'Cover - MH Info'!J8</f>
        <v>10122</v>
      </c>
      <c r="C3" s="166"/>
      <c r="Q3" s="169" t="str">
        <f>'Cover - MH Info'!J10</f>
        <v>17.0</v>
      </c>
      <c r="R3" s="170"/>
    </row>
    <row r="4" spans="1:18" ht="12.75" customHeight="1">
      <c r="B4" s="167"/>
      <c r="C4" s="168"/>
      <c r="Q4" s="171"/>
      <c r="R4" s="172"/>
    </row>
    <row r="6" spans="1:18" ht="20.25">
      <c r="C6" s="29"/>
      <c r="D6" s="164" t="s">
        <v>29</v>
      </c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</row>
    <row r="7" spans="1:18" ht="13.5" thickBot="1"/>
    <row r="8" spans="1:18">
      <c r="A8" s="15"/>
      <c r="B8" s="16"/>
      <c r="C8" s="16"/>
      <c r="D8" s="18" t="s">
        <v>27</v>
      </c>
      <c r="E8" s="18" t="s">
        <v>28</v>
      </c>
      <c r="F8" s="16"/>
      <c r="G8" s="15"/>
      <c r="H8" s="16"/>
      <c r="I8" s="18" t="s">
        <v>28</v>
      </c>
      <c r="J8" s="18" t="s">
        <v>27</v>
      </c>
      <c r="K8" s="16"/>
      <c r="L8" s="16"/>
      <c r="M8" s="15"/>
      <c r="N8" s="16"/>
      <c r="O8" s="18" t="s">
        <v>25</v>
      </c>
      <c r="P8" s="18" t="s">
        <v>25</v>
      </c>
      <c r="Q8" s="18"/>
      <c r="R8" s="18"/>
    </row>
    <row r="9" spans="1:18" ht="13.5" thickBot="1">
      <c r="A9" s="15"/>
      <c r="B9" s="55" t="s">
        <v>18</v>
      </c>
      <c r="C9" s="55" t="s">
        <v>19</v>
      </c>
      <c r="D9" s="55" t="s">
        <v>20</v>
      </c>
      <c r="E9" s="55" t="s">
        <v>20</v>
      </c>
      <c r="F9" s="55" t="s">
        <v>22</v>
      </c>
      <c r="G9" s="61" t="s">
        <v>21</v>
      </c>
      <c r="H9" s="55" t="s">
        <v>22</v>
      </c>
      <c r="I9" s="55" t="s">
        <v>20</v>
      </c>
      <c r="J9" s="55" t="s">
        <v>20</v>
      </c>
      <c r="K9" s="55" t="s">
        <v>19</v>
      </c>
      <c r="L9" s="55" t="s">
        <v>18</v>
      </c>
      <c r="M9" s="2"/>
      <c r="N9" s="55" t="s">
        <v>23</v>
      </c>
      <c r="O9" s="55" t="s">
        <v>24</v>
      </c>
      <c r="P9" s="55" t="s">
        <v>26</v>
      </c>
      <c r="Q9" s="55" t="s">
        <v>39</v>
      </c>
      <c r="R9" s="55" t="s">
        <v>38</v>
      </c>
    </row>
    <row r="10" spans="1:18">
      <c r="A10" s="15"/>
      <c r="B10" s="111" t="s">
        <v>162</v>
      </c>
      <c r="C10" s="67" t="s">
        <v>15</v>
      </c>
      <c r="D10" s="66">
        <v>2</v>
      </c>
      <c r="E10" s="66">
        <v>3</v>
      </c>
      <c r="F10" s="67" t="s">
        <v>89</v>
      </c>
      <c r="G10" s="67" t="s">
        <v>61</v>
      </c>
      <c r="H10" s="67" t="s">
        <v>88</v>
      </c>
      <c r="I10" s="66">
        <v>5</v>
      </c>
      <c r="J10" s="66" t="s">
        <v>64</v>
      </c>
      <c r="K10" s="67" t="s">
        <v>51</v>
      </c>
      <c r="L10" s="82" t="s">
        <v>116</v>
      </c>
      <c r="M10" s="68"/>
      <c r="N10" s="67" t="s">
        <v>26</v>
      </c>
      <c r="O10" s="69">
        <v>36766</v>
      </c>
      <c r="P10" s="69" t="s">
        <v>93</v>
      </c>
      <c r="Q10" s="67" t="s">
        <v>86</v>
      </c>
      <c r="R10" s="67" t="s">
        <v>87</v>
      </c>
    </row>
    <row r="11" spans="1:18">
      <c r="A11" s="15"/>
      <c r="B11" s="111" t="s">
        <v>162</v>
      </c>
      <c r="C11" s="21" t="s">
        <v>15</v>
      </c>
      <c r="D11" s="17">
        <v>2</v>
      </c>
      <c r="E11" s="17">
        <v>3</v>
      </c>
      <c r="F11" s="21" t="s">
        <v>95</v>
      </c>
      <c r="G11" s="21" t="s">
        <v>61</v>
      </c>
      <c r="H11" s="21" t="s">
        <v>96</v>
      </c>
      <c r="I11" s="17">
        <v>5</v>
      </c>
      <c r="J11" s="17" t="s">
        <v>64</v>
      </c>
      <c r="K11" s="21" t="s">
        <v>51</v>
      </c>
      <c r="L11" s="20" t="s">
        <v>116</v>
      </c>
      <c r="M11" s="60"/>
      <c r="N11" s="21" t="s">
        <v>26</v>
      </c>
      <c r="O11" s="19">
        <v>36864</v>
      </c>
      <c r="P11" s="65" t="s">
        <v>85</v>
      </c>
      <c r="Q11" s="21" t="s">
        <v>94</v>
      </c>
      <c r="R11" s="21" t="s">
        <v>87</v>
      </c>
    </row>
    <row r="12" spans="1:18">
      <c r="B12" s="111" t="s">
        <v>162</v>
      </c>
      <c r="C12" s="62" t="s">
        <v>15</v>
      </c>
      <c r="D12" s="63">
        <v>3</v>
      </c>
      <c r="E12" s="63">
        <v>5</v>
      </c>
      <c r="F12" s="64" t="s">
        <v>83</v>
      </c>
      <c r="G12" s="21" t="s">
        <v>61</v>
      </c>
      <c r="H12" s="64" t="s">
        <v>83</v>
      </c>
      <c r="I12" s="63">
        <v>5</v>
      </c>
      <c r="J12" s="63" t="s">
        <v>64</v>
      </c>
      <c r="K12" s="22" t="s">
        <v>51</v>
      </c>
      <c r="L12" s="83" t="s">
        <v>116</v>
      </c>
      <c r="M12" s="24"/>
      <c r="N12" s="22" t="s">
        <v>26</v>
      </c>
      <c r="O12" s="65">
        <v>36607</v>
      </c>
      <c r="P12" s="65" t="s">
        <v>85</v>
      </c>
      <c r="Q12" s="64" t="s">
        <v>82</v>
      </c>
      <c r="R12" s="64" t="s">
        <v>84</v>
      </c>
    </row>
    <row r="13" spans="1:18">
      <c r="B13" s="71" t="s">
        <v>162</v>
      </c>
      <c r="C13" s="56" t="s">
        <v>15</v>
      </c>
      <c r="D13" s="17">
        <v>8</v>
      </c>
      <c r="E13" s="17">
        <v>15</v>
      </c>
      <c r="F13" s="21" t="s">
        <v>60</v>
      </c>
      <c r="G13" s="23" t="s">
        <v>61</v>
      </c>
      <c r="H13" s="21" t="s">
        <v>62</v>
      </c>
      <c r="I13" s="17" t="s">
        <v>63</v>
      </c>
      <c r="J13" s="17" t="s">
        <v>64</v>
      </c>
      <c r="K13" s="21" t="s">
        <v>16</v>
      </c>
      <c r="L13" s="20" t="s">
        <v>108</v>
      </c>
      <c r="M13" s="25"/>
      <c r="N13" s="21" t="s">
        <v>26</v>
      </c>
      <c r="O13" s="19"/>
      <c r="P13" s="19"/>
      <c r="Q13" s="21" t="s">
        <v>46</v>
      </c>
      <c r="R13" s="21" t="s">
        <v>59</v>
      </c>
    </row>
    <row r="14" spans="1:18" s="80" customFormat="1">
      <c r="B14" s="111" t="s">
        <v>162</v>
      </c>
      <c r="C14" s="74" t="s">
        <v>15</v>
      </c>
      <c r="D14" s="73">
        <v>10</v>
      </c>
      <c r="E14" s="73">
        <v>20</v>
      </c>
      <c r="F14" s="74" t="s">
        <v>97</v>
      </c>
      <c r="G14" s="74" t="s">
        <v>98</v>
      </c>
      <c r="H14" s="74" t="s">
        <v>99</v>
      </c>
      <c r="I14" s="73">
        <v>5</v>
      </c>
      <c r="J14" s="73" t="s">
        <v>64</v>
      </c>
      <c r="K14" s="74" t="s">
        <v>51</v>
      </c>
      <c r="L14" s="71" t="s">
        <v>116</v>
      </c>
      <c r="M14" s="81"/>
      <c r="N14" s="74" t="s">
        <v>26</v>
      </c>
      <c r="O14" s="79">
        <v>38596</v>
      </c>
      <c r="P14" s="79">
        <v>38596</v>
      </c>
      <c r="Q14" s="74" t="s">
        <v>111</v>
      </c>
      <c r="R14" s="74" t="s">
        <v>112</v>
      </c>
    </row>
    <row r="15" spans="1:18" s="80" customFormat="1">
      <c r="B15" s="71" t="s">
        <v>162</v>
      </c>
      <c r="C15" s="72" t="s">
        <v>15</v>
      </c>
      <c r="D15" s="73">
        <v>11</v>
      </c>
      <c r="E15" s="73">
        <v>21</v>
      </c>
      <c r="F15" s="74" t="s">
        <v>65</v>
      </c>
      <c r="G15" s="75" t="s">
        <v>98</v>
      </c>
      <c r="H15" s="74" t="s">
        <v>66</v>
      </c>
      <c r="I15" s="73">
        <v>1</v>
      </c>
      <c r="J15" s="73" t="s">
        <v>64</v>
      </c>
      <c r="K15" s="74" t="s">
        <v>51</v>
      </c>
      <c r="L15" s="71" t="s">
        <v>116</v>
      </c>
      <c r="M15" s="78"/>
      <c r="N15" s="74" t="s">
        <v>26</v>
      </c>
      <c r="O15" s="79"/>
      <c r="P15" s="79"/>
      <c r="Q15" s="74" t="s">
        <v>104</v>
      </c>
      <c r="R15" s="74" t="s">
        <v>71</v>
      </c>
    </row>
    <row r="16" spans="1:18">
      <c r="B16" s="71" t="s">
        <v>162</v>
      </c>
      <c r="C16" s="56" t="s">
        <v>15</v>
      </c>
      <c r="D16" s="17">
        <v>11</v>
      </c>
      <c r="E16" s="17">
        <v>21</v>
      </c>
      <c r="F16" s="21" t="s">
        <v>68</v>
      </c>
      <c r="G16" s="23" t="s">
        <v>98</v>
      </c>
      <c r="H16" s="21" t="s">
        <v>70</v>
      </c>
      <c r="I16" s="17">
        <v>1</v>
      </c>
      <c r="J16" s="17" t="s">
        <v>64</v>
      </c>
      <c r="K16" s="21" t="s">
        <v>51</v>
      </c>
      <c r="L16" s="20" t="s">
        <v>116</v>
      </c>
      <c r="M16" s="25"/>
      <c r="N16" s="21" t="s">
        <v>26</v>
      </c>
      <c r="O16" s="19"/>
      <c r="P16" s="19"/>
      <c r="Q16" s="21" t="s">
        <v>46</v>
      </c>
      <c r="R16" s="21" t="s">
        <v>72</v>
      </c>
    </row>
    <row r="17" spans="2:18">
      <c r="B17" s="71" t="s">
        <v>162</v>
      </c>
      <c r="C17" s="56" t="s">
        <v>15</v>
      </c>
      <c r="D17" s="17">
        <v>11</v>
      </c>
      <c r="E17" s="17">
        <v>21</v>
      </c>
      <c r="F17" s="21" t="s">
        <v>74</v>
      </c>
      <c r="G17" s="23" t="s">
        <v>110</v>
      </c>
      <c r="H17" s="21" t="s">
        <v>75</v>
      </c>
      <c r="I17" s="17">
        <v>1</v>
      </c>
      <c r="J17" s="17" t="s">
        <v>64</v>
      </c>
      <c r="K17" s="21" t="s">
        <v>51</v>
      </c>
      <c r="L17" s="20" t="s">
        <v>116</v>
      </c>
      <c r="M17" s="25"/>
      <c r="N17" s="21" t="s">
        <v>26</v>
      </c>
      <c r="O17" s="19"/>
      <c r="P17" s="19"/>
      <c r="Q17" s="21" t="s">
        <v>46</v>
      </c>
      <c r="R17" s="21" t="s">
        <v>73</v>
      </c>
    </row>
    <row r="18" spans="2:18">
      <c r="B18" s="71" t="s">
        <v>162</v>
      </c>
      <c r="C18" s="56" t="s">
        <v>15</v>
      </c>
      <c r="D18" s="17">
        <v>11</v>
      </c>
      <c r="E18" s="17">
        <v>22</v>
      </c>
      <c r="F18" s="21" t="s">
        <v>79</v>
      </c>
      <c r="G18" s="23" t="s">
        <v>69</v>
      </c>
      <c r="H18" s="21" t="s">
        <v>76</v>
      </c>
      <c r="I18" s="17">
        <v>2</v>
      </c>
      <c r="J18" s="17" t="s">
        <v>64</v>
      </c>
      <c r="K18" s="21" t="s">
        <v>51</v>
      </c>
      <c r="L18" s="20" t="s">
        <v>116</v>
      </c>
      <c r="M18" s="25"/>
      <c r="N18" s="21" t="s">
        <v>26</v>
      </c>
      <c r="O18" s="19">
        <v>39554</v>
      </c>
      <c r="P18" s="19">
        <v>39568</v>
      </c>
      <c r="Q18" s="21" t="s">
        <v>101</v>
      </c>
      <c r="R18" s="21" t="s">
        <v>67</v>
      </c>
    </row>
    <row r="19" spans="2:18">
      <c r="B19" s="111" t="s">
        <v>162</v>
      </c>
      <c r="C19" s="56" t="s">
        <v>15</v>
      </c>
      <c r="D19" s="17">
        <v>12</v>
      </c>
      <c r="E19" s="17">
        <v>23</v>
      </c>
      <c r="F19" s="21" t="s">
        <v>80</v>
      </c>
      <c r="G19" s="23" t="s">
        <v>69</v>
      </c>
      <c r="H19" s="21" t="s">
        <v>77</v>
      </c>
      <c r="I19" s="17">
        <v>3</v>
      </c>
      <c r="J19" s="17" t="s">
        <v>64</v>
      </c>
      <c r="K19" s="21" t="s">
        <v>51</v>
      </c>
      <c r="L19" s="20" t="s">
        <v>116</v>
      </c>
      <c r="M19" s="25"/>
      <c r="N19" s="21" t="s">
        <v>26</v>
      </c>
      <c r="O19" s="19"/>
      <c r="P19" s="19"/>
      <c r="Q19" s="21" t="s">
        <v>103</v>
      </c>
      <c r="R19" s="21" t="s">
        <v>67</v>
      </c>
    </row>
    <row r="20" spans="2:18">
      <c r="B20" s="71" t="s">
        <v>162</v>
      </c>
      <c r="C20" s="56" t="s">
        <v>15</v>
      </c>
      <c r="D20" s="17">
        <v>12</v>
      </c>
      <c r="E20" s="17">
        <v>24</v>
      </c>
      <c r="F20" s="21" t="s">
        <v>81</v>
      </c>
      <c r="G20" s="23" t="s">
        <v>69</v>
      </c>
      <c r="H20" s="21" t="s">
        <v>78</v>
      </c>
      <c r="I20" s="17">
        <v>4</v>
      </c>
      <c r="J20" s="17" t="s">
        <v>64</v>
      </c>
      <c r="K20" s="21" t="s">
        <v>51</v>
      </c>
      <c r="L20" s="20" t="s">
        <v>116</v>
      </c>
      <c r="M20" s="25"/>
      <c r="N20" s="21" t="s">
        <v>26</v>
      </c>
      <c r="O20" s="19"/>
      <c r="P20" s="19"/>
      <c r="Q20" s="21" t="s">
        <v>46</v>
      </c>
      <c r="R20" s="21" t="s">
        <v>67</v>
      </c>
    </row>
    <row r="21" spans="2:18">
      <c r="B21" s="71" t="s">
        <v>162</v>
      </c>
      <c r="C21" s="56" t="s">
        <v>15</v>
      </c>
      <c r="D21" s="17">
        <v>17</v>
      </c>
      <c r="E21" s="17">
        <v>33</v>
      </c>
      <c r="F21" s="21" t="s">
        <v>90</v>
      </c>
      <c r="G21" s="23" t="s">
        <v>69</v>
      </c>
      <c r="H21" s="21" t="s">
        <v>91</v>
      </c>
      <c r="I21" s="17">
        <v>6</v>
      </c>
      <c r="J21" s="70" t="s">
        <v>64</v>
      </c>
      <c r="K21" s="22" t="s">
        <v>51</v>
      </c>
      <c r="L21" s="20" t="s">
        <v>116</v>
      </c>
      <c r="M21" s="60"/>
      <c r="N21" s="21" t="s">
        <v>26</v>
      </c>
      <c r="O21" s="19">
        <v>36852</v>
      </c>
      <c r="P21" s="65" t="s">
        <v>85</v>
      </c>
      <c r="Q21" s="21" t="s">
        <v>102</v>
      </c>
      <c r="R21" s="21" t="s">
        <v>92</v>
      </c>
    </row>
    <row r="22" spans="2:18" s="80" customFormat="1">
      <c r="B22" s="71" t="s">
        <v>162</v>
      </c>
      <c r="C22" s="72" t="s">
        <v>15</v>
      </c>
      <c r="D22" s="73">
        <v>17</v>
      </c>
      <c r="E22" s="73">
        <v>34</v>
      </c>
      <c r="F22" s="74" t="s">
        <v>106</v>
      </c>
      <c r="G22" s="75" t="s">
        <v>69</v>
      </c>
      <c r="H22" s="74" t="s">
        <v>107</v>
      </c>
      <c r="I22" s="73">
        <v>7</v>
      </c>
      <c r="J22" s="76" t="s">
        <v>64</v>
      </c>
      <c r="K22" s="77" t="s">
        <v>51</v>
      </c>
      <c r="L22" s="71" t="s">
        <v>116</v>
      </c>
      <c r="M22" s="78"/>
      <c r="N22" s="74" t="s">
        <v>26</v>
      </c>
      <c r="O22" s="79">
        <v>38390</v>
      </c>
      <c r="P22" s="79">
        <v>38418</v>
      </c>
      <c r="Q22" s="74" t="s">
        <v>105</v>
      </c>
      <c r="R22" s="74" t="s">
        <v>73</v>
      </c>
    </row>
    <row r="23" spans="2:18" s="93" customFormat="1">
      <c r="B23" s="110" t="s">
        <v>162</v>
      </c>
      <c r="C23" s="85" t="s">
        <v>15</v>
      </c>
      <c r="D23" s="86">
        <v>5</v>
      </c>
      <c r="E23" s="86">
        <v>9</v>
      </c>
      <c r="F23" s="87" t="s">
        <v>124</v>
      </c>
      <c r="G23" s="88" t="s">
        <v>69</v>
      </c>
      <c r="H23" s="87" t="s">
        <v>127</v>
      </c>
      <c r="I23" s="89">
        <v>1</v>
      </c>
      <c r="J23" s="89">
        <v>1</v>
      </c>
      <c r="K23" s="87" t="s">
        <v>119</v>
      </c>
      <c r="L23" s="84" t="s">
        <v>120</v>
      </c>
      <c r="M23" s="90"/>
      <c r="N23" s="87" t="s">
        <v>26</v>
      </c>
      <c r="O23" s="92">
        <v>41907</v>
      </c>
      <c r="P23" s="92">
        <v>41908</v>
      </c>
      <c r="Q23" s="87" t="s">
        <v>118</v>
      </c>
      <c r="R23" s="87" t="s">
        <v>128</v>
      </c>
    </row>
    <row r="24" spans="2:18" s="93" customFormat="1">
      <c r="B24" s="112" t="s">
        <v>162</v>
      </c>
      <c r="C24" s="85" t="s">
        <v>15</v>
      </c>
      <c r="D24" s="86">
        <v>5</v>
      </c>
      <c r="E24" s="86">
        <v>10</v>
      </c>
      <c r="F24" s="87" t="s">
        <v>125</v>
      </c>
      <c r="G24" s="88" t="s">
        <v>69</v>
      </c>
      <c r="H24" s="87" t="s">
        <v>76</v>
      </c>
      <c r="I24" s="89">
        <v>2</v>
      </c>
      <c r="J24" s="89">
        <v>1</v>
      </c>
      <c r="K24" s="87" t="s">
        <v>119</v>
      </c>
      <c r="L24" s="84" t="s">
        <v>120</v>
      </c>
      <c r="M24" s="90"/>
      <c r="N24" s="87" t="s">
        <v>26</v>
      </c>
      <c r="O24" s="92">
        <v>41907</v>
      </c>
      <c r="P24" s="92">
        <v>41908</v>
      </c>
      <c r="Q24" s="87" t="s">
        <v>118</v>
      </c>
      <c r="R24" s="87" t="s">
        <v>128</v>
      </c>
    </row>
    <row r="25" spans="2:18" s="93" customFormat="1">
      <c r="B25" s="71" t="s">
        <v>162</v>
      </c>
      <c r="C25" s="85" t="s">
        <v>15</v>
      </c>
      <c r="D25" s="86">
        <v>6</v>
      </c>
      <c r="E25" s="86">
        <v>11</v>
      </c>
      <c r="F25" s="87" t="s">
        <v>126</v>
      </c>
      <c r="G25" s="88" t="s">
        <v>69</v>
      </c>
      <c r="H25" s="87" t="s">
        <v>77</v>
      </c>
      <c r="I25" s="89">
        <v>3</v>
      </c>
      <c r="J25" s="89">
        <v>2</v>
      </c>
      <c r="K25" s="87" t="s">
        <v>119</v>
      </c>
      <c r="L25" s="84" t="s">
        <v>120</v>
      </c>
      <c r="M25" s="90"/>
      <c r="N25" s="87" t="s">
        <v>26</v>
      </c>
      <c r="O25" s="92">
        <v>41907</v>
      </c>
      <c r="P25" s="92">
        <v>41908</v>
      </c>
      <c r="Q25" s="87" t="s">
        <v>118</v>
      </c>
      <c r="R25" s="87" t="s">
        <v>128</v>
      </c>
    </row>
    <row r="26" spans="2:18" s="93" customFormat="1">
      <c r="B26" s="110" t="s">
        <v>162</v>
      </c>
      <c r="C26" s="85" t="s">
        <v>15</v>
      </c>
      <c r="D26" s="86">
        <v>7</v>
      </c>
      <c r="E26" s="86">
        <v>14</v>
      </c>
      <c r="F26" s="87" t="s">
        <v>130</v>
      </c>
      <c r="G26" s="88" t="s">
        <v>69</v>
      </c>
      <c r="H26" s="87" t="s">
        <v>131</v>
      </c>
      <c r="I26" s="89">
        <v>5</v>
      </c>
      <c r="J26" s="89">
        <v>3</v>
      </c>
      <c r="K26" s="87" t="s">
        <v>119</v>
      </c>
      <c r="L26" s="84" t="s">
        <v>120</v>
      </c>
      <c r="M26" s="90"/>
      <c r="N26" s="91" t="s">
        <v>149</v>
      </c>
      <c r="O26" s="92">
        <v>41948</v>
      </c>
      <c r="P26" s="92"/>
      <c r="Q26" s="91" t="s">
        <v>129</v>
      </c>
      <c r="R26" s="91" t="s">
        <v>132</v>
      </c>
    </row>
    <row r="27" spans="2:18" s="93" customFormat="1">
      <c r="B27" s="84" t="s">
        <v>139</v>
      </c>
      <c r="C27" s="85" t="s">
        <v>135</v>
      </c>
      <c r="D27" s="89">
        <v>1</v>
      </c>
      <c r="E27" s="89">
        <v>1</v>
      </c>
      <c r="F27" s="87" t="s">
        <v>62</v>
      </c>
      <c r="G27" s="94"/>
      <c r="H27" s="87" t="s">
        <v>133</v>
      </c>
      <c r="I27" s="89">
        <v>4</v>
      </c>
      <c r="J27" s="89">
        <v>2</v>
      </c>
      <c r="K27" s="87" t="s">
        <v>119</v>
      </c>
      <c r="L27" s="84" t="s">
        <v>120</v>
      </c>
      <c r="M27" s="90"/>
      <c r="N27" s="87" t="s">
        <v>26</v>
      </c>
      <c r="O27" s="92">
        <v>42146</v>
      </c>
      <c r="P27" s="92" t="s">
        <v>137</v>
      </c>
      <c r="Q27" s="87" t="s">
        <v>134</v>
      </c>
      <c r="R27" s="87" t="s">
        <v>140</v>
      </c>
    </row>
    <row r="28" spans="2:18" s="93" customFormat="1">
      <c r="B28" s="84" t="s">
        <v>162</v>
      </c>
      <c r="C28" s="85" t="s">
        <v>15</v>
      </c>
      <c r="D28" s="86" t="s">
        <v>143</v>
      </c>
      <c r="E28" s="86" t="s">
        <v>144</v>
      </c>
      <c r="F28" s="87" t="s">
        <v>145</v>
      </c>
      <c r="G28" s="88" t="s">
        <v>142</v>
      </c>
      <c r="H28" s="87" t="s">
        <v>146</v>
      </c>
      <c r="I28" s="89" t="s">
        <v>147</v>
      </c>
      <c r="J28" s="89">
        <v>4</v>
      </c>
      <c r="K28" s="87" t="s">
        <v>119</v>
      </c>
      <c r="L28" s="84" t="s">
        <v>120</v>
      </c>
      <c r="M28" s="90"/>
      <c r="N28" s="91" t="s">
        <v>149</v>
      </c>
      <c r="O28" s="92">
        <v>42460</v>
      </c>
      <c r="P28" s="92"/>
      <c r="Q28" s="91" t="s">
        <v>141</v>
      </c>
      <c r="R28" s="91" t="s">
        <v>148</v>
      </c>
    </row>
    <row r="29" spans="2:18" s="102" customFormat="1">
      <c r="B29" s="95" t="s">
        <v>139</v>
      </c>
      <c r="C29" s="96" t="s">
        <v>135</v>
      </c>
      <c r="D29" s="97">
        <v>1</v>
      </c>
      <c r="E29" s="97">
        <v>1</v>
      </c>
      <c r="F29" s="98" t="s">
        <v>153</v>
      </c>
      <c r="G29" s="99" t="s">
        <v>150</v>
      </c>
      <c r="H29" s="98" t="s">
        <v>154</v>
      </c>
      <c r="I29" s="97">
        <v>9</v>
      </c>
      <c r="J29" s="97">
        <v>5</v>
      </c>
      <c r="K29" s="98" t="s">
        <v>119</v>
      </c>
      <c r="L29" s="95" t="s">
        <v>120</v>
      </c>
      <c r="M29" s="100"/>
      <c r="N29" s="98" t="s">
        <v>26</v>
      </c>
      <c r="O29" s="101">
        <v>42478</v>
      </c>
      <c r="P29" s="101">
        <v>42573</v>
      </c>
      <c r="Q29" s="98" t="s">
        <v>151</v>
      </c>
      <c r="R29" s="98" t="s">
        <v>152</v>
      </c>
    </row>
    <row r="30" spans="2:18" s="102" customFormat="1">
      <c r="B30" s="95" t="s">
        <v>162</v>
      </c>
      <c r="C30" s="96" t="s">
        <v>15</v>
      </c>
      <c r="D30" s="97"/>
      <c r="E30" s="97">
        <v>16</v>
      </c>
      <c r="F30" s="98" t="s">
        <v>157</v>
      </c>
      <c r="G30" s="99" t="s">
        <v>69</v>
      </c>
      <c r="H30" s="98" t="s">
        <v>125</v>
      </c>
      <c r="I30" s="97">
        <v>10</v>
      </c>
      <c r="J30" s="97"/>
      <c r="K30" s="98" t="s">
        <v>119</v>
      </c>
      <c r="L30" s="95" t="s">
        <v>120</v>
      </c>
      <c r="M30" s="100"/>
      <c r="N30" s="98" t="s">
        <v>26</v>
      </c>
      <c r="O30" s="101">
        <v>42754</v>
      </c>
      <c r="P30" s="101">
        <v>42768</v>
      </c>
      <c r="Q30" s="98" t="s">
        <v>155</v>
      </c>
      <c r="R30" s="98" t="s">
        <v>158</v>
      </c>
    </row>
    <row r="31" spans="2:18">
      <c r="B31" s="103" t="s">
        <v>162</v>
      </c>
      <c r="C31" s="104" t="s">
        <v>15</v>
      </c>
      <c r="D31" s="105"/>
      <c r="E31" s="105">
        <v>4</v>
      </c>
      <c r="F31" s="106" t="s">
        <v>78</v>
      </c>
      <c r="G31" s="107" t="s">
        <v>69</v>
      </c>
      <c r="H31" s="173" t="s">
        <v>164</v>
      </c>
      <c r="I31" s="105">
        <v>29</v>
      </c>
      <c r="J31" s="105"/>
      <c r="K31" s="106" t="s">
        <v>135</v>
      </c>
      <c r="L31" s="103" t="s">
        <v>139</v>
      </c>
      <c r="M31" s="108"/>
      <c r="N31" s="106" t="s">
        <v>149</v>
      </c>
      <c r="O31" s="109">
        <v>42997</v>
      </c>
      <c r="P31" s="109"/>
      <c r="Q31" s="106" t="s">
        <v>159</v>
      </c>
      <c r="R31" s="106" t="s">
        <v>160</v>
      </c>
    </row>
    <row r="32" spans="2:18">
      <c r="B32" s="20"/>
      <c r="C32" s="56"/>
      <c r="D32" s="17"/>
      <c r="E32" s="17"/>
      <c r="F32" s="21"/>
      <c r="G32" s="23"/>
      <c r="H32" s="21"/>
      <c r="I32" s="17"/>
      <c r="J32" s="17"/>
      <c r="K32" s="21"/>
      <c r="L32" s="20"/>
      <c r="M32" s="25"/>
      <c r="N32" s="21"/>
      <c r="O32" s="19"/>
      <c r="P32" s="19"/>
      <c r="Q32" s="21"/>
      <c r="R32" s="21"/>
    </row>
    <row r="33" spans="2:18">
      <c r="B33" s="20"/>
      <c r="C33" s="56"/>
      <c r="D33" s="17"/>
      <c r="E33" s="17"/>
      <c r="F33" s="21"/>
      <c r="G33" s="23"/>
      <c r="H33" s="21"/>
      <c r="I33" s="17"/>
      <c r="J33" s="17"/>
      <c r="K33" s="21"/>
      <c r="L33" s="20"/>
      <c r="M33" s="25"/>
      <c r="N33" s="21"/>
      <c r="O33" s="19"/>
      <c r="P33" s="19"/>
      <c r="Q33" s="21"/>
      <c r="R33" s="21"/>
    </row>
    <row r="34" spans="2:18">
      <c r="B34" s="20"/>
      <c r="C34" s="56"/>
      <c r="D34" s="17"/>
      <c r="E34" s="17"/>
      <c r="F34" s="21"/>
      <c r="G34" s="23"/>
      <c r="H34" s="21"/>
      <c r="I34" s="17"/>
      <c r="J34" s="17"/>
      <c r="K34" s="21"/>
      <c r="L34" s="20"/>
      <c r="M34" s="25"/>
      <c r="N34" s="21"/>
      <c r="O34" s="19"/>
      <c r="P34" s="19"/>
      <c r="Q34" s="21"/>
      <c r="R34" s="21"/>
    </row>
    <row r="35" spans="2:18">
      <c r="B35" s="20"/>
      <c r="C35" s="56"/>
      <c r="D35" s="17"/>
      <c r="E35" s="17"/>
      <c r="F35" s="21"/>
      <c r="G35" s="23"/>
      <c r="H35" s="21"/>
      <c r="I35" s="17"/>
      <c r="J35" s="17"/>
      <c r="K35" s="21"/>
      <c r="L35" s="20"/>
      <c r="M35" s="25"/>
      <c r="N35" s="21"/>
      <c r="O35" s="19"/>
      <c r="P35" s="19"/>
      <c r="Q35" s="21"/>
      <c r="R35" s="21"/>
    </row>
    <row r="36" spans="2:18">
      <c r="B36" s="20"/>
      <c r="C36" s="56"/>
      <c r="D36" s="17"/>
      <c r="E36" s="17"/>
      <c r="F36" s="21"/>
      <c r="G36" s="23"/>
      <c r="H36" s="21"/>
      <c r="I36" s="17"/>
      <c r="J36" s="17"/>
      <c r="K36" s="21"/>
      <c r="L36" s="20"/>
      <c r="M36" s="25"/>
      <c r="N36" s="21"/>
      <c r="O36" s="19"/>
      <c r="P36" s="19"/>
      <c r="Q36" s="21"/>
      <c r="R36" s="21"/>
    </row>
    <row r="37" spans="2:18">
      <c r="B37" s="20"/>
      <c r="C37" s="56"/>
      <c r="D37" s="17"/>
      <c r="E37" s="17"/>
      <c r="F37" s="17"/>
      <c r="G37" s="23"/>
      <c r="H37" s="17"/>
      <c r="I37" s="17"/>
      <c r="J37" s="17"/>
      <c r="K37" s="21"/>
      <c r="L37" s="20"/>
      <c r="M37" s="25"/>
      <c r="N37" s="21"/>
      <c r="O37" s="19"/>
      <c r="P37" s="19"/>
      <c r="Q37" s="21"/>
      <c r="R37" s="21"/>
    </row>
    <row r="38" spans="2:18">
      <c r="B38" s="20"/>
      <c r="C38" s="56"/>
      <c r="D38" s="17"/>
      <c r="E38" s="17"/>
      <c r="F38" s="17"/>
      <c r="G38" s="23"/>
      <c r="H38" s="17"/>
      <c r="I38" s="17"/>
      <c r="J38" s="17"/>
      <c r="K38" s="21"/>
      <c r="L38" s="20"/>
      <c r="M38" s="25"/>
      <c r="N38" s="21"/>
      <c r="O38" s="19"/>
      <c r="P38" s="19"/>
      <c r="Q38" s="21"/>
      <c r="R38" s="21"/>
    </row>
    <row r="39" spans="2:18" ht="15">
      <c r="B39" s="159" t="s">
        <v>115</v>
      </c>
      <c r="C39" s="160"/>
      <c r="D39" s="161"/>
      <c r="E39" s="17"/>
      <c r="F39" s="17"/>
      <c r="G39" s="23"/>
      <c r="H39" s="17"/>
      <c r="I39" s="17"/>
      <c r="J39" s="17"/>
      <c r="K39" s="21"/>
      <c r="L39" s="20"/>
      <c r="M39" s="25"/>
      <c r="N39" s="21"/>
      <c r="O39" s="19"/>
      <c r="P39" s="19"/>
      <c r="Q39" s="21"/>
      <c r="R39" s="21"/>
    </row>
    <row r="40" spans="2:18">
      <c r="B40" s="20"/>
      <c r="C40" s="56"/>
      <c r="D40" s="17"/>
      <c r="E40" s="17"/>
      <c r="F40" s="17"/>
      <c r="G40" s="23"/>
      <c r="H40" s="17"/>
      <c r="I40" s="17"/>
      <c r="J40" s="17"/>
      <c r="K40" s="21"/>
      <c r="L40" s="20"/>
      <c r="M40" s="25"/>
      <c r="N40" s="21"/>
      <c r="O40" s="19"/>
      <c r="P40" s="19"/>
      <c r="Q40" s="21"/>
      <c r="R40" s="21"/>
    </row>
    <row r="41" spans="2:18">
      <c r="B41" s="20"/>
      <c r="C41" s="56"/>
      <c r="D41" s="17"/>
      <c r="E41" s="17"/>
      <c r="F41" s="17"/>
      <c r="G41" s="23"/>
      <c r="H41" s="17"/>
      <c r="I41" s="17"/>
      <c r="J41" s="17"/>
      <c r="K41" s="21"/>
      <c r="L41" s="20"/>
      <c r="M41" s="25"/>
      <c r="N41" s="21"/>
      <c r="O41" s="19"/>
      <c r="P41" s="19"/>
      <c r="Q41" s="21"/>
      <c r="R41" s="21"/>
    </row>
    <row r="42" spans="2:18">
      <c r="B42" s="20"/>
      <c r="C42" s="56"/>
      <c r="D42" s="17"/>
      <c r="E42" s="17"/>
      <c r="F42" s="17"/>
      <c r="G42" s="23"/>
      <c r="H42" s="17"/>
      <c r="I42" s="17"/>
      <c r="J42" s="17"/>
      <c r="K42" s="21"/>
      <c r="L42" s="20"/>
      <c r="M42" s="25"/>
      <c r="N42" s="21"/>
      <c r="O42" s="19"/>
      <c r="P42" s="19"/>
      <c r="Q42" s="21"/>
      <c r="R42" s="21"/>
    </row>
    <row r="43" spans="2:18">
      <c r="B43" s="20"/>
      <c r="C43" s="56"/>
      <c r="D43" s="17"/>
      <c r="E43" s="17"/>
      <c r="F43" s="17"/>
      <c r="G43" s="23"/>
      <c r="H43" s="17"/>
      <c r="I43" s="17"/>
      <c r="J43" s="17"/>
      <c r="K43" s="21"/>
      <c r="L43" s="20"/>
      <c r="M43" s="25"/>
      <c r="N43" s="21"/>
      <c r="O43" s="19"/>
      <c r="P43" s="19"/>
      <c r="Q43" s="21"/>
      <c r="R43" s="21"/>
    </row>
    <row r="44" spans="2:18">
      <c r="B44" s="20"/>
      <c r="C44" s="56"/>
      <c r="D44" s="17"/>
      <c r="E44" s="17"/>
      <c r="F44" s="17"/>
      <c r="G44" s="23"/>
      <c r="H44" s="17"/>
      <c r="I44" s="17"/>
      <c r="J44" s="17"/>
      <c r="K44" s="21"/>
      <c r="L44" s="20"/>
      <c r="M44" s="25"/>
      <c r="N44" s="21"/>
      <c r="O44" s="19"/>
      <c r="P44" s="19"/>
      <c r="Q44" s="21"/>
      <c r="R44" s="21"/>
    </row>
    <row r="45" spans="2:18">
      <c r="B45" s="20"/>
      <c r="C45" s="56"/>
      <c r="D45" s="17"/>
      <c r="E45" s="17"/>
      <c r="F45" s="17"/>
      <c r="G45" s="23"/>
      <c r="H45" s="17"/>
      <c r="I45" s="17"/>
      <c r="J45" s="17"/>
      <c r="K45" s="21"/>
      <c r="L45" s="20"/>
      <c r="M45" s="25"/>
      <c r="N45" s="21"/>
      <c r="O45" s="19"/>
      <c r="P45" s="19"/>
      <c r="Q45" s="21"/>
      <c r="R45" s="21"/>
    </row>
    <row r="46" spans="2:18">
      <c r="B46" s="20"/>
      <c r="C46" s="56"/>
      <c r="D46" s="17"/>
      <c r="E46" s="17"/>
      <c r="F46" s="17"/>
      <c r="G46" s="23"/>
      <c r="H46" s="17"/>
      <c r="I46" s="17"/>
      <c r="J46" s="17"/>
      <c r="K46" s="21"/>
      <c r="L46" s="20"/>
      <c r="M46" s="25"/>
      <c r="N46" s="21"/>
      <c r="O46" s="19"/>
      <c r="P46" s="19"/>
      <c r="Q46" s="21"/>
      <c r="R46" s="21"/>
    </row>
    <row r="47" spans="2:18">
      <c r="B47" s="20"/>
      <c r="C47" s="56"/>
      <c r="D47" s="17"/>
      <c r="E47" s="17"/>
      <c r="F47" s="17"/>
      <c r="G47" s="23"/>
      <c r="H47" s="17"/>
      <c r="I47" s="17"/>
      <c r="J47" s="17"/>
      <c r="K47" s="21"/>
      <c r="L47" s="20"/>
      <c r="M47" s="25"/>
      <c r="N47" s="21"/>
      <c r="O47" s="19"/>
      <c r="P47" s="19"/>
      <c r="Q47" s="21"/>
      <c r="R47" s="21"/>
    </row>
    <row r="48" spans="2:18">
      <c r="B48" s="20"/>
      <c r="C48" s="21"/>
      <c r="D48" s="17"/>
      <c r="E48" s="17"/>
      <c r="F48" s="17"/>
      <c r="G48" s="23"/>
      <c r="H48" s="17"/>
      <c r="I48" s="17"/>
      <c r="J48" s="17"/>
      <c r="K48" s="21"/>
      <c r="L48" s="20"/>
      <c r="M48" s="25"/>
      <c r="N48" s="21"/>
      <c r="O48" s="19"/>
      <c r="P48" s="19"/>
      <c r="Q48" s="21"/>
      <c r="R48" s="21"/>
    </row>
    <row r="49" spans="2:18">
      <c r="B49" s="20"/>
      <c r="C49" s="21"/>
      <c r="D49" s="17"/>
      <c r="E49" s="17"/>
      <c r="F49" s="17"/>
      <c r="G49" s="23"/>
      <c r="H49" s="17"/>
      <c r="I49" s="17"/>
      <c r="J49" s="17"/>
      <c r="K49" s="21"/>
      <c r="L49" s="20"/>
      <c r="M49" s="25"/>
      <c r="N49" s="21"/>
      <c r="O49" s="19"/>
      <c r="P49" s="19"/>
      <c r="Q49" s="21"/>
      <c r="R49" s="21"/>
    </row>
    <row r="50" spans="2:18">
      <c r="B50" s="20"/>
      <c r="C50" s="21"/>
      <c r="D50" s="17"/>
      <c r="E50" s="17"/>
      <c r="F50" s="17"/>
      <c r="G50" s="23"/>
      <c r="H50" s="17"/>
      <c r="I50" s="17"/>
      <c r="J50" s="17"/>
      <c r="K50" s="21"/>
      <c r="L50" s="20"/>
      <c r="M50" s="25"/>
      <c r="N50" s="21"/>
      <c r="O50" s="19"/>
      <c r="P50" s="19"/>
      <c r="Q50" s="21"/>
      <c r="R50" s="21"/>
    </row>
    <row r="51" spans="2:18">
      <c r="B51" s="20"/>
      <c r="C51" s="21"/>
      <c r="D51" s="17"/>
      <c r="E51" s="17"/>
      <c r="F51" s="17"/>
      <c r="G51" s="23"/>
      <c r="H51" s="17"/>
      <c r="I51" s="17"/>
      <c r="J51" s="17"/>
      <c r="K51" s="21"/>
      <c r="L51" s="20"/>
      <c r="M51" s="25"/>
      <c r="N51" s="21"/>
      <c r="O51" s="19"/>
      <c r="P51" s="19"/>
      <c r="Q51" s="21"/>
      <c r="R51" s="21"/>
    </row>
    <row r="52" spans="2:18">
      <c r="B52" s="20"/>
      <c r="C52" s="21"/>
      <c r="D52" s="17"/>
      <c r="E52" s="17"/>
      <c r="F52" s="17"/>
      <c r="G52" s="23"/>
      <c r="H52" s="17"/>
      <c r="I52" s="17"/>
      <c r="J52" s="17"/>
      <c r="K52" s="21"/>
      <c r="L52" s="20"/>
      <c r="M52" s="25"/>
      <c r="N52" s="21"/>
      <c r="O52" s="19"/>
      <c r="P52" s="19"/>
      <c r="Q52" s="21"/>
      <c r="R52" s="21"/>
    </row>
    <row r="53" spans="2:18">
      <c r="B53" s="20"/>
      <c r="C53" s="21"/>
      <c r="D53" s="17"/>
      <c r="E53" s="17"/>
      <c r="F53" s="17"/>
      <c r="G53" s="23"/>
      <c r="H53" s="17"/>
      <c r="I53" s="17"/>
      <c r="J53" s="17"/>
      <c r="K53" s="21"/>
      <c r="L53" s="20"/>
      <c r="M53" s="25"/>
      <c r="N53" s="21"/>
      <c r="O53" s="19"/>
      <c r="P53" s="19"/>
      <c r="Q53" s="21"/>
      <c r="R53" s="21"/>
    </row>
    <row r="54" spans="2:18">
      <c r="B54" s="20"/>
      <c r="C54" s="21"/>
      <c r="D54" s="17"/>
      <c r="E54" s="17"/>
      <c r="F54" s="17"/>
      <c r="G54" s="23"/>
      <c r="H54" s="17"/>
      <c r="I54" s="17"/>
      <c r="J54" s="17"/>
      <c r="K54" s="21"/>
      <c r="L54" s="20"/>
      <c r="M54" s="25"/>
      <c r="N54" s="21"/>
      <c r="O54" s="19"/>
      <c r="P54" s="19"/>
      <c r="Q54" s="21"/>
      <c r="R54" s="21"/>
    </row>
    <row r="55" spans="2:18">
      <c r="B55" s="20"/>
      <c r="C55" s="21"/>
      <c r="D55" s="17"/>
      <c r="E55" s="17"/>
      <c r="F55" s="17"/>
      <c r="G55" s="23"/>
      <c r="H55" s="17"/>
      <c r="I55" s="17"/>
      <c r="J55" s="17"/>
      <c r="K55" s="21"/>
      <c r="L55" s="20"/>
      <c r="M55" s="25"/>
      <c r="N55" s="21"/>
      <c r="O55" s="19"/>
      <c r="P55" s="19"/>
      <c r="Q55" s="21"/>
      <c r="R55" s="21"/>
    </row>
    <row r="56" spans="2:18">
      <c r="B56" s="20"/>
      <c r="C56" s="21"/>
      <c r="D56" s="17"/>
      <c r="E56" s="17"/>
      <c r="F56" s="17"/>
      <c r="G56" s="23"/>
      <c r="H56" s="17"/>
      <c r="I56" s="17"/>
      <c r="J56" s="17"/>
      <c r="K56" s="21"/>
      <c r="L56" s="20"/>
      <c r="M56" s="25"/>
      <c r="N56" s="21"/>
      <c r="O56" s="19"/>
      <c r="P56" s="19"/>
      <c r="Q56" s="21"/>
      <c r="R56" s="21"/>
    </row>
    <row r="57" spans="2:18">
      <c r="B57" s="20"/>
      <c r="C57" s="21"/>
      <c r="D57" s="17"/>
      <c r="E57" s="17"/>
      <c r="F57" s="17"/>
      <c r="G57" s="23"/>
      <c r="H57" s="17"/>
      <c r="I57" s="17"/>
      <c r="J57" s="17"/>
      <c r="K57" s="21"/>
      <c r="L57" s="20"/>
      <c r="M57" s="25"/>
      <c r="N57" s="21"/>
      <c r="O57" s="19"/>
      <c r="P57" s="19"/>
      <c r="Q57" s="21"/>
      <c r="R57" s="21"/>
    </row>
    <row r="58" spans="2:18">
      <c r="B58" s="20"/>
      <c r="C58" s="21"/>
      <c r="D58" s="17"/>
      <c r="E58" s="17"/>
      <c r="F58" s="17"/>
      <c r="G58" s="23"/>
      <c r="H58" s="17"/>
      <c r="I58" s="17"/>
      <c r="J58" s="17"/>
      <c r="K58" s="21"/>
      <c r="L58" s="20"/>
      <c r="M58" s="25"/>
      <c r="N58" s="21"/>
      <c r="O58" s="19"/>
      <c r="P58" s="19"/>
      <c r="Q58" s="21"/>
      <c r="R58" s="21"/>
    </row>
    <row r="59" spans="2:18">
      <c r="B59" s="20"/>
      <c r="C59" s="21"/>
      <c r="D59" s="17"/>
      <c r="E59" s="17"/>
      <c r="F59" s="17"/>
      <c r="G59" s="23"/>
      <c r="H59" s="17"/>
      <c r="I59" s="17"/>
      <c r="J59" s="17"/>
      <c r="K59" s="21"/>
      <c r="L59" s="20"/>
      <c r="M59" s="25"/>
      <c r="N59" s="21"/>
      <c r="O59" s="19"/>
      <c r="P59" s="19"/>
      <c r="Q59" s="21"/>
      <c r="R59" s="21"/>
    </row>
    <row r="60" spans="2:18">
      <c r="B60" s="20"/>
      <c r="C60" s="21"/>
      <c r="D60" s="17"/>
      <c r="E60" s="17"/>
      <c r="F60" s="17"/>
      <c r="G60" s="23"/>
      <c r="H60" s="17"/>
      <c r="I60" s="17"/>
      <c r="J60" s="17"/>
      <c r="K60" s="21"/>
      <c r="L60" s="20"/>
      <c r="M60" s="25"/>
      <c r="N60" s="21"/>
      <c r="O60" s="19"/>
      <c r="P60" s="19"/>
      <c r="Q60" s="21"/>
      <c r="R60" s="21"/>
    </row>
    <row r="61" spans="2:18">
      <c r="B61" s="20"/>
      <c r="C61" s="21"/>
      <c r="D61" s="17"/>
      <c r="E61" s="17"/>
      <c r="F61" s="17"/>
      <c r="G61" s="23"/>
      <c r="H61" s="17"/>
      <c r="I61" s="17"/>
      <c r="J61" s="17"/>
      <c r="K61" s="21"/>
      <c r="L61" s="20"/>
      <c r="M61" s="25"/>
      <c r="N61" s="21"/>
      <c r="O61" s="19"/>
      <c r="P61" s="19"/>
      <c r="Q61" s="21"/>
      <c r="R61" s="21"/>
    </row>
    <row r="62" spans="2:18">
      <c r="B62" s="20"/>
      <c r="C62" s="21"/>
      <c r="D62" s="17"/>
      <c r="E62" s="17"/>
      <c r="F62" s="17"/>
      <c r="G62" s="23"/>
      <c r="H62" s="17"/>
      <c r="I62" s="17"/>
      <c r="J62" s="17"/>
      <c r="K62" s="21"/>
      <c r="L62" s="20"/>
      <c r="M62" s="25"/>
      <c r="N62" s="21"/>
      <c r="O62" s="19"/>
      <c r="P62" s="19"/>
      <c r="Q62" s="21"/>
      <c r="R62" s="21"/>
    </row>
    <row r="63" spans="2:18">
      <c r="B63" s="20"/>
      <c r="C63" s="21"/>
      <c r="D63" s="17"/>
      <c r="E63" s="17"/>
      <c r="F63" s="17"/>
      <c r="G63" s="23"/>
      <c r="H63" s="17"/>
      <c r="I63" s="17"/>
      <c r="J63" s="17"/>
      <c r="K63" s="21"/>
      <c r="L63" s="20"/>
      <c r="M63" s="25"/>
      <c r="N63" s="21"/>
      <c r="O63" s="19"/>
      <c r="P63" s="19"/>
      <c r="Q63" s="21"/>
      <c r="R63" s="21"/>
    </row>
    <row r="64" spans="2:18">
      <c r="B64" s="20"/>
      <c r="C64" s="21"/>
      <c r="D64" s="17"/>
      <c r="E64" s="17"/>
      <c r="F64" s="17"/>
      <c r="G64" s="23"/>
      <c r="H64" s="17"/>
      <c r="I64" s="17"/>
      <c r="J64" s="17"/>
      <c r="K64" s="21"/>
      <c r="L64" s="20"/>
      <c r="M64" s="25"/>
      <c r="N64" s="21"/>
      <c r="O64" s="19"/>
      <c r="P64" s="19"/>
      <c r="Q64" s="21"/>
      <c r="R64" s="21"/>
    </row>
    <row r="65" spans="2:18">
      <c r="B65" s="20"/>
      <c r="C65" s="21"/>
      <c r="D65" s="17"/>
      <c r="E65" s="17"/>
      <c r="F65" s="17"/>
      <c r="G65" s="23"/>
      <c r="H65" s="17"/>
      <c r="I65" s="17"/>
      <c r="J65" s="17"/>
      <c r="K65" s="21"/>
      <c r="L65" s="20"/>
      <c r="M65" s="25"/>
      <c r="N65" s="21"/>
      <c r="O65" s="19"/>
      <c r="P65" s="19"/>
      <c r="Q65" s="21"/>
      <c r="R65" s="21"/>
    </row>
    <row r="66" spans="2:18">
      <c r="B66" s="20"/>
      <c r="C66" s="21"/>
      <c r="D66" s="17"/>
      <c r="E66" s="17"/>
      <c r="F66" s="17"/>
      <c r="G66" s="23"/>
      <c r="H66" s="17"/>
      <c r="I66" s="17"/>
      <c r="J66" s="17"/>
      <c r="K66" s="21"/>
      <c r="L66" s="20"/>
      <c r="M66" s="25"/>
      <c r="N66" s="21"/>
      <c r="O66" s="19"/>
      <c r="P66" s="19"/>
      <c r="Q66" s="21"/>
      <c r="R66" s="21"/>
    </row>
    <row r="67" spans="2:18">
      <c r="B67" s="20"/>
      <c r="C67" s="21"/>
      <c r="D67" s="17"/>
      <c r="E67" s="17"/>
      <c r="F67" s="17"/>
      <c r="G67" s="23"/>
      <c r="H67" s="17"/>
      <c r="I67" s="17"/>
      <c r="J67" s="17"/>
      <c r="K67" s="21"/>
      <c r="L67" s="20"/>
      <c r="M67" s="25"/>
      <c r="N67" s="21"/>
      <c r="O67" s="19"/>
      <c r="P67" s="19"/>
      <c r="Q67" s="21"/>
      <c r="R67" s="21"/>
    </row>
    <row r="68" spans="2:18">
      <c r="B68" s="20"/>
      <c r="C68" s="21"/>
      <c r="D68" s="17"/>
      <c r="E68" s="17"/>
      <c r="F68" s="17"/>
      <c r="G68" s="23"/>
      <c r="H68" s="17"/>
      <c r="I68" s="17"/>
      <c r="J68" s="17"/>
      <c r="K68" s="21"/>
      <c r="L68" s="20"/>
      <c r="M68" s="25"/>
      <c r="N68" s="21"/>
      <c r="O68" s="19"/>
      <c r="P68" s="19"/>
      <c r="Q68" s="21"/>
      <c r="R68" s="21"/>
    </row>
    <row r="69" spans="2:18">
      <c r="B69" s="20"/>
      <c r="C69" s="21"/>
      <c r="D69" s="17"/>
      <c r="E69" s="17"/>
      <c r="F69" s="17"/>
      <c r="G69" s="23"/>
      <c r="H69" s="17"/>
      <c r="I69" s="17"/>
      <c r="J69" s="17"/>
      <c r="K69" s="21"/>
      <c r="L69" s="20"/>
      <c r="M69" s="25"/>
      <c r="N69" s="21"/>
      <c r="O69" s="19"/>
      <c r="P69" s="19"/>
      <c r="Q69" s="21"/>
      <c r="R69" s="21"/>
    </row>
    <row r="70" spans="2:18">
      <c r="B70" s="20"/>
      <c r="C70" s="21"/>
      <c r="D70" s="17"/>
      <c r="E70" s="17"/>
      <c r="F70" s="17"/>
      <c r="G70" s="23"/>
      <c r="H70" s="17"/>
      <c r="I70" s="17"/>
      <c r="J70" s="17"/>
      <c r="K70" s="21"/>
      <c r="L70" s="20"/>
      <c r="M70" s="25"/>
      <c r="N70" s="21"/>
      <c r="O70" s="19"/>
      <c r="P70" s="19"/>
      <c r="Q70" s="21"/>
      <c r="R70" s="21"/>
    </row>
    <row r="71" spans="2:18">
      <c r="B71" s="20"/>
      <c r="C71" s="21"/>
      <c r="D71" s="17"/>
      <c r="E71" s="17"/>
      <c r="F71" s="17"/>
      <c r="G71" s="23"/>
      <c r="H71" s="17"/>
      <c r="I71" s="17"/>
      <c r="J71" s="17"/>
      <c r="K71" s="21"/>
      <c r="L71" s="20"/>
      <c r="M71" s="25"/>
      <c r="N71" s="21"/>
      <c r="O71" s="19"/>
      <c r="P71" s="19"/>
      <c r="Q71" s="21"/>
      <c r="R71" s="21"/>
    </row>
    <row r="72" spans="2:18">
      <c r="B72" s="20"/>
      <c r="C72" s="21"/>
      <c r="D72" s="17"/>
      <c r="E72" s="17"/>
      <c r="F72" s="17"/>
      <c r="G72" s="23"/>
      <c r="H72" s="17"/>
      <c r="I72" s="17"/>
      <c r="J72" s="17"/>
      <c r="K72" s="21"/>
      <c r="L72" s="20"/>
      <c r="M72" s="25"/>
      <c r="N72" s="21"/>
      <c r="O72" s="19"/>
      <c r="P72" s="19"/>
      <c r="Q72" s="21"/>
      <c r="R72" s="21"/>
    </row>
    <row r="73" spans="2:18">
      <c r="B73" s="20"/>
      <c r="C73" s="21"/>
      <c r="D73" s="17"/>
      <c r="E73" s="17"/>
      <c r="F73" s="17"/>
      <c r="G73" s="23"/>
      <c r="H73" s="17"/>
      <c r="I73" s="17"/>
      <c r="J73" s="17"/>
      <c r="K73" s="21"/>
      <c r="L73" s="20"/>
      <c r="M73" s="25"/>
      <c r="N73" s="21"/>
      <c r="O73" s="19"/>
      <c r="P73" s="19"/>
      <c r="Q73" s="21"/>
      <c r="R73" s="21"/>
    </row>
    <row r="74" spans="2:18">
      <c r="B74" s="20"/>
      <c r="C74" s="21"/>
      <c r="D74" s="17"/>
      <c r="E74" s="17"/>
      <c r="F74" s="17"/>
      <c r="G74" s="23"/>
      <c r="H74" s="17"/>
      <c r="I74" s="17"/>
      <c r="J74" s="17"/>
      <c r="K74" s="21"/>
      <c r="L74" s="20"/>
      <c r="M74" s="25"/>
      <c r="N74" s="21"/>
      <c r="O74" s="19"/>
      <c r="P74" s="19"/>
      <c r="Q74" s="21"/>
      <c r="R74" s="21"/>
    </row>
    <row r="75" spans="2:18">
      <c r="B75" s="20"/>
      <c r="C75" s="21"/>
      <c r="D75" s="17"/>
      <c r="E75" s="17"/>
      <c r="F75" s="17"/>
      <c r="G75" s="23"/>
      <c r="H75" s="17"/>
      <c r="I75" s="17"/>
      <c r="J75" s="17"/>
      <c r="K75" s="21"/>
      <c r="L75" s="20"/>
      <c r="M75" s="25"/>
      <c r="N75" s="21"/>
      <c r="O75" s="19"/>
      <c r="P75" s="19"/>
      <c r="Q75" s="21"/>
      <c r="R75" s="21"/>
    </row>
    <row r="76" spans="2:18">
      <c r="B76" s="20"/>
      <c r="C76" s="21"/>
      <c r="D76" s="17"/>
      <c r="E76" s="17"/>
      <c r="F76" s="17"/>
      <c r="G76" s="23"/>
      <c r="H76" s="17"/>
      <c r="I76" s="17"/>
      <c r="J76" s="17"/>
      <c r="K76" s="21"/>
      <c r="L76" s="20"/>
      <c r="M76" s="25"/>
      <c r="N76" s="21"/>
      <c r="O76" s="19"/>
      <c r="P76" s="19"/>
      <c r="Q76" s="21"/>
      <c r="R76" s="21"/>
    </row>
    <row r="77" spans="2:18">
      <c r="B77" s="20"/>
      <c r="C77" s="21"/>
      <c r="D77" s="17"/>
      <c r="E77" s="17"/>
      <c r="F77" s="17"/>
      <c r="G77" s="23"/>
      <c r="H77" s="17"/>
      <c r="I77" s="17"/>
      <c r="J77" s="17"/>
      <c r="K77" s="21"/>
      <c r="L77" s="20"/>
      <c r="M77" s="25"/>
      <c r="N77" s="21"/>
      <c r="O77" s="19"/>
      <c r="P77" s="19"/>
      <c r="Q77" s="21"/>
      <c r="R77" s="21"/>
    </row>
    <row r="78" spans="2:18">
      <c r="B78" s="20"/>
      <c r="C78" s="21"/>
      <c r="D78" s="17"/>
      <c r="E78" s="17"/>
      <c r="F78" s="17"/>
      <c r="G78" s="23"/>
      <c r="H78" s="17"/>
      <c r="I78" s="17"/>
      <c r="J78" s="17"/>
      <c r="K78" s="21"/>
      <c r="L78" s="20"/>
      <c r="M78" s="25"/>
      <c r="N78" s="21"/>
      <c r="O78" s="19"/>
      <c r="P78" s="19"/>
      <c r="Q78" s="21"/>
      <c r="R78" s="21"/>
    </row>
    <row r="79" spans="2:18">
      <c r="B79" s="20"/>
      <c r="C79" s="21"/>
      <c r="D79" s="17"/>
      <c r="E79" s="17"/>
      <c r="F79" s="17"/>
      <c r="G79" s="23"/>
      <c r="H79" s="17"/>
      <c r="I79" s="17"/>
      <c r="J79" s="17"/>
      <c r="K79" s="21"/>
      <c r="L79" s="20"/>
      <c r="M79" s="25"/>
      <c r="N79" s="21"/>
      <c r="O79" s="19"/>
      <c r="P79" s="19"/>
      <c r="Q79" s="21"/>
      <c r="R79" s="21"/>
    </row>
    <row r="80" spans="2:18">
      <c r="B80" s="20"/>
      <c r="C80" s="21"/>
      <c r="D80" s="17"/>
      <c r="E80" s="17"/>
      <c r="F80" s="17"/>
      <c r="G80" s="23"/>
      <c r="H80" s="17"/>
      <c r="I80" s="17"/>
      <c r="J80" s="17"/>
      <c r="K80" s="21"/>
      <c r="L80" s="20"/>
      <c r="M80" s="25"/>
      <c r="N80" s="21"/>
      <c r="O80" s="19"/>
      <c r="P80" s="19"/>
      <c r="Q80" s="21"/>
      <c r="R80" s="21"/>
    </row>
    <row r="81" spans="2:18">
      <c r="B81" s="20"/>
      <c r="C81" s="21"/>
      <c r="D81" s="17"/>
      <c r="E81" s="17"/>
      <c r="F81" s="17"/>
      <c r="G81" s="23"/>
      <c r="H81" s="17"/>
      <c r="I81" s="17"/>
      <c r="J81" s="17"/>
      <c r="K81" s="21"/>
      <c r="L81" s="20"/>
      <c r="M81" s="25"/>
      <c r="N81" s="21"/>
      <c r="O81" s="19"/>
      <c r="P81" s="19"/>
      <c r="Q81" s="21"/>
      <c r="R81" s="21"/>
    </row>
    <row r="82" spans="2:18">
      <c r="B82" s="20"/>
      <c r="C82" s="21"/>
      <c r="D82" s="17"/>
      <c r="E82" s="17"/>
      <c r="F82" s="17"/>
      <c r="G82" s="23"/>
      <c r="H82" s="17"/>
      <c r="I82" s="17"/>
      <c r="J82" s="17"/>
      <c r="K82" s="21"/>
      <c r="L82" s="20"/>
      <c r="M82" s="25"/>
      <c r="N82" s="21"/>
      <c r="O82" s="19"/>
      <c r="P82" s="19"/>
      <c r="Q82" s="21"/>
      <c r="R82" s="21"/>
    </row>
    <row r="83" spans="2:18">
      <c r="B83" s="20"/>
      <c r="C83" s="21"/>
      <c r="D83" s="17"/>
      <c r="E83" s="17"/>
      <c r="F83" s="17"/>
      <c r="G83" s="23"/>
      <c r="H83" s="17"/>
      <c r="I83" s="17"/>
      <c r="J83" s="17"/>
      <c r="K83" s="21"/>
      <c r="L83" s="20"/>
      <c r="M83" s="25"/>
      <c r="N83" s="21"/>
      <c r="O83" s="19"/>
      <c r="P83" s="19"/>
      <c r="Q83" s="21"/>
      <c r="R83" s="21"/>
    </row>
  </sheetData>
  <mergeCells count="6">
    <mergeCell ref="B39:D39"/>
    <mergeCell ref="B2:C2"/>
    <mergeCell ref="Q2:R2"/>
    <mergeCell ref="D6:P6"/>
    <mergeCell ref="B3:C4"/>
    <mergeCell ref="Q3:R4"/>
  </mergeCells>
  <phoneticPr fontId="0" type="noConversion"/>
  <pageMargins left="0.4" right="0.25" top="0.4" bottom="0.75" header="0.5" footer="0.5"/>
  <pageSetup scale="65" fitToHeight="0" orientation="landscape" horizontalDpi="300" verticalDpi="300" r:id="rId1"/>
  <headerFooter alignWithMargins="0">
    <oddFooter>&amp;L     Confidential - MFN Proprietary Information&amp;RPage: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Cover - MH Info</vt:lpstr>
      <vt:lpstr>Cable Info</vt:lpstr>
      <vt:lpstr>Splice Table</vt:lpstr>
      <vt:lpstr>'Cover - MH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Molly Hauck</cp:lastModifiedBy>
  <cp:lastPrinted>2006-11-17T19:58:35Z</cp:lastPrinted>
  <dcterms:created xsi:type="dcterms:W3CDTF">1998-05-29T15:48:38Z</dcterms:created>
  <dcterms:modified xsi:type="dcterms:W3CDTF">2017-09-19T17:32:12Z</dcterms:modified>
</cp:coreProperties>
</file>