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SEPs\All-SEPs\"/>
    </mc:Choice>
  </mc:AlternateContent>
  <bookViews>
    <workbookView xWindow="-132" yWindow="240" windowWidth="24240" windowHeight="11988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Y13" i="3"/>
  <c r="Z13" i="3"/>
  <c r="AA13" i="3"/>
  <c r="C14" i="3"/>
  <c r="H14" i="3"/>
  <c r="AB14" i="3" s="1"/>
  <c r="M14" i="3"/>
  <c r="Y14" i="3"/>
  <c r="Z14" i="3"/>
  <c r="AA14" i="3"/>
  <c r="C15" i="3"/>
  <c r="H15" i="3"/>
  <c r="M15" i="3"/>
  <c r="Y15" i="3"/>
  <c r="Z15" i="3"/>
  <c r="AA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Y12" i="3"/>
  <c r="Z12" i="3"/>
  <c r="AA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15" i="3" l="1"/>
  <c r="AB13" i="3"/>
  <c r="AB12" i="3"/>
  <c r="M380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66" i="3"/>
  <c r="AR566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5" i="3" s="1"/>
  <c r="B3" i="3"/>
  <c r="B3" i="2"/>
  <c r="E3" i="2"/>
  <c r="X12" i="3" l="1"/>
  <c r="X14" i="3"/>
  <c r="X13" i="3"/>
  <c r="AT619" i="3"/>
  <c r="AW619" i="3" s="1"/>
  <c r="AT393" i="3"/>
  <c r="AW393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<sst xmlns="http://schemas.openxmlformats.org/spreadsheetml/2006/main" count="1439" uniqueCount="118">
  <si>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</si>
  <si>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</si>
  <si>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</si>
  <si>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</si>
  <si>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</si>
  <si>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</si>
  <si>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</si>
  <si>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</si>
  <si>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</si>
  <si>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</si>
  <si>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</si>
  <si>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</si>
  <si>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</si>
  <si>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</si>
  <si>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</si>
  <si>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</si>
  <si>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</si>
  <si>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</si>
  <si>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</si>
  <si>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</si>
  <si>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</si>
  <si>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</si>
  <si>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</si>
  <si>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</si>
  <si>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</si>
  <si>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</si>
  <si>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</si>
  <si>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</si>
  <si>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</si>
  <si>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</si>
  <si>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</si>
  <si>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</si>
  <si>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</si>
  <si>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</si>
  <si>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</si>
  <si>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</si>
  <si>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</si>
  <si>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</si>
  <si>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</si>
  <si>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</si>
  <si>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</si>
  <si>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</si>
  <si>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</si>
  <si>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</si>
  <si>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</si>
  <si>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</si>
  <si>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</si>
  <si>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</si>
  <si>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</si>
  <si>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</si>
  <si>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</si>
  <si>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</si>
  <si>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</si>
  <si>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</si>
  <si>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</si>
  <si>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</si>
  <si>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</si>
  <si>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</si>
  <si>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</si>
  <si>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</si>
  <si>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</si>
  <si>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</si>
  <si>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</si>
  <si>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</si>
  <si>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</si>
  <si>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</si>
  <si>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</si>
  <si>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</si>
  <si>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</si>
  <si>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</si>
  <si>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</si>
  <si>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</si>
  <si>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</si>
  <si>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</si>
  <si>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</si>
  <si>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</si>
  <si>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</si>
  <si>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</si>
  <si>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</si>
  <si>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</si>
  <si>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</si>
  <si>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</si>
  <si>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</si>
  <si>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</si>
  <si>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</si>
  <si>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</si>
  <si>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</si>
  <si>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ZAYO</t>
  </si>
  <si>
    <t>?</t>
  </si>
  <si>
    <t>See Above</t>
  </si>
  <si>
    <t>HH</t>
  </si>
  <si>
    <t>101369</t>
  </si>
  <si>
    <t>Edina, MN</t>
  </si>
  <si>
    <t>48</t>
  </si>
  <si>
    <t>MPS-B251</t>
  </si>
  <si>
    <t>South to Minnesota Dr and France Ave</t>
  </si>
  <si>
    <t>West backbone</t>
  </si>
  <si>
    <t>North Backbone</t>
  </si>
  <si>
    <t>CAP-55466</t>
  </si>
  <si>
    <t>FRANCE AVE SMALL CELLS</t>
  </si>
  <si>
    <t>MPS-B485</t>
  </si>
  <si>
    <t>1.1</t>
  </si>
  <si>
    <t>ISO-0192467</t>
  </si>
  <si>
    <t>702 Communications</t>
  </si>
  <si>
    <t>2.0</t>
  </si>
  <si>
    <t>193521</t>
  </si>
  <si>
    <t>VZW PLATINUM RING</t>
  </si>
  <si>
    <t>3.0</t>
  </si>
  <si>
    <t>ISO-0223494</t>
  </si>
  <si>
    <t>Cogent Communications</t>
  </si>
  <si>
    <t>2</t>
  </si>
  <si>
    <t>3</t>
  </si>
  <si>
    <t>4.0</t>
  </si>
  <si>
    <t>ISO-0226909</t>
  </si>
  <si>
    <t>USBANK MPLS METRO RING</t>
  </si>
  <si>
    <t>Mike Wendinger</t>
  </si>
  <si>
    <t>4</t>
  </si>
  <si>
    <t>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</si>
</sst>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5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2" zoomScale="85" zoomScaleNormal="85" workbookViewId="0">
      <selection activeCell="J10" sqref="J10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117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90</v>
      </c>
      <c r="C41" s="316" t="s">
        <v>87</v>
      </c>
      <c r="D41" s="316" t="s">
        <v>89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 t="s">
        <v>88</v>
      </c>
      <c r="C45" s="307"/>
      <c r="D45" s="310" t="str">
        <f>CONCATENATE('Cable Info'!C11,"  ",'Cable Info'!C18,"   ",'Cable Info'!C25,"  ",'Cable Info'!C32,"   ",'Cable Info'!C39,"   ",'Cable Info'!C46)</f>
        <v xml:space="preserve">MPS-B251  MPS-B251   MPS-B485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115</v>
      </c>
      <c r="C50" s="291">
        <v>43082</v>
      </c>
      <c r="D50" s="293"/>
      <c r="E50" s="294" t="str">
        <f>J10</f>
        <v>5.0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/>
      <c r="C53" s="301"/>
      <c r="D53" s="276" t="str">
        <f>J8</f>
        <v>101369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C25" sqref="C25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101369</v>
      </c>
      <c r="C3" s="22"/>
      <c r="D3" s="22"/>
      <c r="E3" s="339" t="str">
        <f>'Cover - Location Info'!J10</f>
        <v>5.0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94</v>
      </c>
      <c r="D11" s="323" t="s">
        <v>97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93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94</v>
      </c>
      <c r="D18" s="323" t="s">
        <v>96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93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 t="s">
        <v>100</v>
      </c>
      <c r="D25" s="323" t="s">
        <v>95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 t="s">
        <v>93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101369</v>
      </c>
      <c r="C3" s="22"/>
      <c r="D3" s="22"/>
      <c r="E3" s="339" t="str">
        <f>'Cover - Location Info'!J10</f>
        <v>5.0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101369</v>
      </c>
      <c r="C3" s="221"/>
      <c r="D3" s="221"/>
      <c r="E3" s="221"/>
      <c r="F3" s="348" t="str">
        <f>'Cover - Location Info'!J10</f>
        <v>5.0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topLeftCell="D1" zoomScaleNormal="100" workbookViewId="0">
      <selection activeCell="CL15" sqref="CL15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MPS-B251</v>
      </c>
      <c r="AI1" s="120" t="s">
        <v>17</v>
      </c>
      <c r="AJ1" s="121" t="s">
        <v>12</v>
      </c>
      <c r="AM1" s="121" t="str">
        <f>AF1</f>
        <v>[A] MPS-B251</v>
      </c>
      <c r="AN1" s="121" t="s">
        <v>17</v>
      </c>
      <c r="AO1" s="121" t="s">
        <v>13</v>
      </c>
      <c r="AR1" s="121" t="str">
        <f>AF2</f>
        <v>[B] MPS-B251</v>
      </c>
      <c r="AS1" s="121" t="s">
        <v>17</v>
      </c>
      <c r="AT1" s="121" t="s">
        <v>36</v>
      </c>
      <c r="AW1" s="121" t="str">
        <f>AF3</f>
        <v>[C] MPS-B485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MPS-B251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101369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5.0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MPS-B485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e">
        <f>IF(AB9&gt;0,"COUNT MISMATCH","")</f>
        <v>#VALUE!</v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 t="e">
        <f>SUM(AB10:AB380)</f>
        <v>#VALUE!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MPS-B251</v>
      </c>
      <c r="D10" s="243"/>
      <c r="E10" s="259">
        <v>9</v>
      </c>
      <c r="F10" s="110" t="s">
        <v>45</v>
      </c>
      <c r="G10" s="262">
        <v>24</v>
      </c>
      <c r="H10" s="114">
        <f>IF(G10="","",((E10-G10)-1)*(-1))</f>
        <v>16</v>
      </c>
      <c r="I10" s="258">
        <v>1</v>
      </c>
      <c r="J10" s="110" t="s">
        <v>45</v>
      </c>
      <c r="K10" s="267">
        <v>16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MPS-B485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16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99</v>
      </c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MPS-B251</v>
      </c>
      <c r="D11" s="244"/>
      <c r="E11" s="260">
        <v>25</v>
      </c>
      <c r="F11" s="105" t="s">
        <v>45</v>
      </c>
      <c r="G11" s="263">
        <v>26</v>
      </c>
      <c r="H11" s="115">
        <f>IF(G11="","",((E11-G11)-1)*(-1))</f>
        <v>2</v>
      </c>
      <c r="I11" s="265">
        <v>17</v>
      </c>
      <c r="J11" s="105" t="s">
        <v>45</v>
      </c>
      <c r="K11" s="268">
        <v>18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MPS-B485</v>
      </c>
      <c r="N11" s="134"/>
      <c r="O11" s="180"/>
      <c r="P11" s="135" t="s">
        <v>36</v>
      </c>
      <c r="Q11" s="190"/>
      <c r="R11" s="131" t="s">
        <v>60</v>
      </c>
      <c r="S11" s="131" t="s">
        <v>52</v>
      </c>
      <c r="T11" s="132">
        <v>42815</v>
      </c>
      <c r="U11" s="132">
        <v>42825</v>
      </c>
      <c r="V11" s="133" t="s">
        <v>101</v>
      </c>
      <c r="W11" s="133" t="s">
        <v>102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103</v>
      </c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MPS-B251</v>
      </c>
      <c r="D12" s="244"/>
      <c r="E12" s="260">
        <v>27</v>
      </c>
      <c r="F12" s="105" t="s">
        <v>45</v>
      </c>
      <c r="G12" s="263">
        <v>28</v>
      </c>
      <c r="H12" s="115">
        <f t="shared" ref="H12" si="17">IF(G12="","",((E12-G12)-1)*(-1))</f>
        <v>2</v>
      </c>
      <c r="I12" s="265">
        <v>19</v>
      </c>
      <c r="J12" s="105" t="s">
        <v>45</v>
      </c>
      <c r="K12" s="268">
        <v>20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MPS-B485</v>
      </c>
      <c r="N12" s="134"/>
      <c r="O12" s="180"/>
      <c r="P12" s="135" t="s">
        <v>36</v>
      </c>
      <c r="Q12" s="190"/>
      <c r="R12" s="131" t="s">
        <v>59</v>
      </c>
      <c r="S12" s="131" t="s">
        <v>52</v>
      </c>
      <c r="T12" s="132">
        <v>42949</v>
      </c>
      <c r="U12" s="132"/>
      <c r="V12" s="133" t="s">
        <v>104</v>
      </c>
      <c r="W12" s="133" t="s">
        <v>105</v>
      </c>
      <c r="X12" s="195">
        <f t="shared" ref="X12" si="18">IF(V12="","",IF(R12="","",IF(S12="","",IF(R12="SPLICED",(IF(S12="SPLICE",0,9)),IF(V12=$U$3,(IF(S12="BREAK",12,11)),IF(S12="BREAK",2,1))))))</f>
        <v>1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 t="s">
        <v>106</v>
      </c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MPS-B251</v>
      </c>
      <c r="D13" s="244" t="s">
        <v>111</v>
      </c>
      <c r="E13" s="260">
        <v>29</v>
      </c>
      <c r="F13" s="105" t="s">
        <v>45</v>
      </c>
      <c r="G13" s="263">
        <v>30</v>
      </c>
      <c r="H13" s="115">
        <f t="shared" ref="H13:H76" si="29">IF(G13="","",((E13-G13)-1)*(-1))</f>
        <v>2</v>
      </c>
      <c r="I13" s="265">
        <v>21</v>
      </c>
      <c r="J13" s="105" t="s">
        <v>45</v>
      </c>
      <c r="K13" s="268">
        <v>22</v>
      </c>
      <c r="L13" s="247" t="s">
        <v>110</v>
      </c>
      <c r="M13" s="115" t="str">
        <f>IFERROR(IF(P13="","",IF((COUNTIF('Cable Info'!$B$11:$C$50,P13)=0),VLOOKUP(P13,'Cable Info (2)'!$B$11:$C$50,2,FALSE),(VLOOKUP(P13,'Cable Info'!$B$11:$C$50,2,FALSE)))),"NO SUCH EXIT")</f>
        <v>MPS-B485</v>
      </c>
      <c r="N13" s="134"/>
      <c r="O13" s="180"/>
      <c r="P13" s="135" t="s">
        <v>36</v>
      </c>
      <c r="Q13" s="190"/>
      <c r="R13" s="131" t="s">
        <v>59</v>
      </c>
      <c r="S13" s="131" t="s">
        <v>52</v>
      </c>
      <c r="T13" s="132">
        <v>42989</v>
      </c>
      <c r="U13" s="132"/>
      <c r="V13" s="133" t="s">
        <v>107</v>
      </c>
      <c r="W13" s="133" t="s">
        <v>108</v>
      </c>
      <c r="X13" s="195">
        <f t="shared" ref="X13:X76" si="30">IF(V13="","",IF(R13="","",IF(S13="","",IF(R13="SPLICED",(IF(S13="SPLICE",0,9)),IF(V13=$U$3,(IF(S13="BREAK",12,11)),IF(S13="BREAK",2,1))))))</f>
        <v>1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 t="s">
        <v>109</v>
      </c>
    </row>
    <row r="14" spans="1:90" x14ac:dyDescent="0.25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MPS-B251</v>
      </c>
      <c r="D14" s="244" t="s">
        <v>116</v>
      </c>
      <c r="E14" s="260">
        <v>39</v>
      </c>
      <c r="F14" s="105" t="s">
        <v>45</v>
      </c>
      <c r="G14" s="263">
        <v>40</v>
      </c>
      <c r="H14" s="115">
        <f t="shared" si="29"/>
        <v>2</v>
      </c>
      <c r="I14" s="265">
        <v>23</v>
      </c>
      <c r="J14" s="105" t="s">
        <v>45</v>
      </c>
      <c r="K14" s="268">
        <v>24</v>
      </c>
      <c r="L14" s="247" t="s">
        <v>110</v>
      </c>
      <c r="M14" s="115" t="str">
        <f>IFERROR(IF(P14="","",IF((COUNTIF('Cable Info'!$B$11:$C$50,P14)=0),VLOOKUP(P14,'Cable Info (2)'!$B$11:$C$50,2,FALSE),(VLOOKUP(P14,'Cable Info'!$B$11:$C$50,2,FALSE)))),"NO SUCH EXIT")</f>
        <v>MPS-B485</v>
      </c>
      <c r="N14" s="134"/>
      <c r="O14" s="180"/>
      <c r="P14" s="135" t="s">
        <v>36</v>
      </c>
      <c r="Q14" s="190"/>
      <c r="R14" s="136" t="s">
        <v>59</v>
      </c>
      <c r="S14" s="136" t="s">
        <v>52</v>
      </c>
      <c r="T14" s="137">
        <v>43046</v>
      </c>
      <c r="U14" s="137"/>
      <c r="V14" s="138" t="s">
        <v>112</v>
      </c>
      <c r="W14" s="133" t="s">
        <v>113</v>
      </c>
      <c r="X14" s="195">
        <f t="shared" si="30"/>
        <v>1</v>
      </c>
      <c r="Y14" s="252" t="str">
        <f t="shared" si="31"/>
        <v/>
      </c>
      <c r="Z14" s="253" t="str">
        <f t="shared" si="32"/>
        <v/>
      </c>
      <c r="AA14" s="253">
        <f t="shared" si="33"/>
        <v>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 t="s">
        <v>114</v>
      </c>
    </row>
    <row r="15" spans="1:90" x14ac:dyDescent="0.25">
      <c r="A15" s="188"/>
      <c r="B15" s="128" t="s">
        <v>11</v>
      </c>
      <c r="C15" s="115" t="str">
        <f>IFERROR(IF(B15="","",IF((COUNTIF('Cable Info'!$B$11:$C$50,B15)=0),VLOOKUP(B15,'Cable Info (2)'!$B$11:$C$50,2,FALSE),(VLOOKUP(B15,'Cable Info'!$B$11:$C$50,2,FALSE)))),"NO SUCH EXIT")</f>
        <v>NO SUCH EXIT</v>
      </c>
      <c r="D15" s="244" t="s">
        <v>11</v>
      </c>
      <c r="E15" s="260" t="s">
        <v>11</v>
      </c>
      <c r="F15" s="105" t="s">
        <v>45</v>
      </c>
      <c r="G15" s="263" t="s">
        <v>11</v>
      </c>
      <c r="H15" s="115" t="e">
        <f t="shared" si="29"/>
        <v>#VALUE!</v>
      </c>
      <c r="I15" s="265" t="s">
        <v>11</v>
      </c>
      <c r="J15" s="105" t="s">
        <v>45</v>
      </c>
      <c r="K15" s="268" t="s">
        <v>11</v>
      </c>
      <c r="L15" s="247" t="s">
        <v>11</v>
      </c>
      <c r="M15" s="115" t="str">
        <f>IFERROR(IF(P15="","",IF((COUNTIF('Cable Info'!$B$11:$C$50,P15)=0),VLOOKUP(P15,'Cable Info (2)'!$B$11:$C$50,2,FALSE),(VLOOKUP(P15,'Cable Info'!$B$11:$C$50,2,FALSE)))),"NO SUCH EXIT")</f>
        <v>NO SUCH EXIT</v>
      </c>
      <c r="N15" s="134"/>
      <c r="O15" s="180"/>
      <c r="P15" s="135" t="s">
        <v>11</v>
      </c>
      <c r="Q15" s="190"/>
      <c r="R15" s="136" t="s">
        <v>59</v>
      </c>
      <c r="S15" s="136" t="s">
        <v>52</v>
      </c>
      <c r="T15" s="137" t="s">
        <v>11</v>
      </c>
      <c r="U15" s="137"/>
      <c r="V15" s="138" t="s">
        <v>11</v>
      </c>
      <c r="W15" s="133" t="s">
        <v>11</v>
      </c>
      <c r="X15" s="195">
        <f t="shared" si="30"/>
        <v>1</v>
      </c>
      <c r="Y15" s="252" t="str">
        <f t="shared" si="31"/>
        <v/>
      </c>
      <c r="Z15" s="253" t="str">
        <f t="shared" si="32"/>
        <v/>
      </c>
      <c r="AA15" s="253" t="e">
        <f t="shared" si="33"/>
        <v>#VALUE!</v>
      </c>
      <c r="AB15" s="253" t="e">
        <f t="shared" si="34"/>
        <v>#VALUE!</v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 t="s">
        <v>11</v>
      </c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Mike Wendinger</cp:lastModifiedBy>
  <cp:lastPrinted>2013-11-22T22:56:05Z</cp:lastPrinted>
  <dcterms:created xsi:type="dcterms:W3CDTF">1998-05-29T15:48:38Z</dcterms:created>
  <dcterms:modified xsi:type="dcterms:W3CDTF">2017-12-15T13:21:00Z</dcterms:modified>
</cp:coreProperties>
</file>