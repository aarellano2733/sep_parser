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leon.walker\Documents\Jobs\BS# 00014326 SS\"/>
    </mc:Choice>
  </mc:AlternateContent>
  <bookViews>
    <workbookView xWindow="0" yWindow="0" windowWidth="26565" windowHeight="11610" tabRatio="599" firstSheet="1" activeTab="2"/>
  </bookViews>
  <sheets>
    <sheet name="MACROS DISABLED!" sheetId="8" state="hidden" r:id="rId1"/>
    <sheet name="Cover - Location Info" sheetId="5" r:id="rId2"/>
    <sheet name="Cable Info" sheetId="2" r:id="rId3"/>
    <sheet name="Cable Info (2)" sheetId="6" state="hidden" r:id="rId4"/>
    <sheet name="Splice Table" sheetId="3" r:id="rId5"/>
    <sheet name="Customer Table" sheetId="12" state="hidden" r:id="rId6"/>
    <sheet name="Site Survey" sheetId="10" r:id="rId7"/>
    <sheet name="Pics" sheetId="7" r:id="rId8"/>
  </sheets>
  <externalReferences>
    <externalReference r:id="rId9"/>
    <externalReference r:id="rId10"/>
    <externalReference r:id="rId11"/>
    <externalReference r:id="rId12"/>
  </externalReferences>
  <definedNames>
    <definedName name="_xlnm._FilterDatabase" localSheetId="5" hidden="1">'Customer Table'!$B$9:$N$9</definedName>
    <definedName name="_xlnm._FilterDatabase" localSheetId="4" hidden="1">'Splice Table'!$B$9:$W$9</definedName>
    <definedName name="Coverpic" localSheetId="5">[1]Pics!$C$3</definedName>
    <definedName name="Coverpic">Pics!$C$3</definedName>
    <definedName name="DynamicAlbum">OFFSET([2]Directory!$C$1,,,COUNTA([2]Directory!$C:$C),1)</definedName>
    <definedName name="Manufacturer">[3]Coversheet!$P$4:$P$6</definedName>
    <definedName name="Picture" localSheetId="5">OFFSET([2]Directory!$D$1,MATCH([2]Recipie!$W$1,DynamicAlbum,0)-1,0)</definedName>
    <definedName name="Picture">OFFSET([2]Directory!$D$1,MATCH([2]Recipie!$W$1,DynamicAlbum,0)-1,0)</definedName>
    <definedName name="_xlnm.Print_Area" localSheetId="2">'Cable Info'!$A$1:$G$51</definedName>
    <definedName name="_xlnm.Print_Area" localSheetId="3">'Cable Info (2)'!$A$1:$G$51</definedName>
    <definedName name="_xlnm.Print_Area" localSheetId="1">'Cover - Location Info'!$A$1:$F$59</definedName>
    <definedName name="_xlnm.Print_Area" localSheetId="5">'Customer Table'!$A$10:$O$41</definedName>
    <definedName name="_xlnm.Print_Area" localSheetId="6">'Site Survey'!$A$1:$E$30</definedName>
    <definedName name="_xlnm.Print_Area" localSheetId="4">'Splice Table'!$A$10:$X$181</definedName>
    <definedName name="_xlnm.Print_Titles" localSheetId="5">'Customer Table'!$1:$9</definedName>
    <definedName name="_xlnm.Print_Titles" localSheetId="4">'Splice Table'!$1:$9</definedName>
    <definedName name="valid" localSheetId="5">#REF!</definedName>
    <definedName name="valid">#REF!</definedName>
  </definedNames>
  <calcPr calcId="152511"/>
</workbook>
</file>

<file path=xl/calcChain.xml><?xml version="1.0" encoding="utf-8"?>
<calcChain xmlns="http://schemas.openxmlformats.org/spreadsheetml/2006/main">
  <c r="BI83" i="3" l="1"/>
  <c r="BL83" i="3" s="1"/>
  <c r="BG83" i="3"/>
  <c r="BD83" i="3"/>
  <c r="AY83" i="3"/>
  <c r="BB83" i="3" s="1"/>
  <c r="AW83" i="3"/>
  <c r="AT83" i="3"/>
  <c r="AO83" i="3"/>
  <c r="AR83" i="3" s="1"/>
  <c r="AM83" i="3"/>
  <c r="AJ83" i="3"/>
  <c r="AB83" i="3"/>
  <c r="AA83" i="3"/>
  <c r="Z83" i="3"/>
  <c r="Y83" i="3"/>
  <c r="X83" i="3"/>
  <c r="M83" i="3"/>
  <c r="H83" i="3"/>
  <c r="C83" i="3"/>
  <c r="BI82" i="3"/>
  <c r="BL82" i="3" s="1"/>
  <c r="BG82" i="3"/>
  <c r="BD82" i="3"/>
  <c r="AY82" i="3"/>
  <c r="BB82" i="3" s="1"/>
  <c r="AW82" i="3"/>
  <c r="AT82" i="3"/>
  <c r="AO82" i="3"/>
  <c r="AR82" i="3" s="1"/>
  <c r="AM82" i="3"/>
  <c r="AJ82" i="3"/>
  <c r="AB82" i="3"/>
  <c r="AA82" i="3"/>
  <c r="Z82" i="3"/>
  <c r="Y82" i="3"/>
  <c r="X82" i="3"/>
  <c r="M82" i="3"/>
  <c r="H82" i="3"/>
  <c r="C82" i="3"/>
  <c r="BI81" i="3"/>
  <c r="BL81" i="3" s="1"/>
  <c r="BG81" i="3"/>
  <c r="BD81" i="3"/>
  <c r="AY81" i="3"/>
  <c r="BB81" i="3" s="1"/>
  <c r="AW81" i="3"/>
  <c r="AT81" i="3"/>
  <c r="AO81" i="3"/>
  <c r="AR81" i="3" s="1"/>
  <c r="AM81" i="3"/>
  <c r="AJ81" i="3"/>
  <c r="AB81" i="3"/>
  <c r="AA81" i="3"/>
  <c r="Z81" i="3"/>
  <c r="Y81" i="3"/>
  <c r="X81" i="3"/>
  <c r="M81" i="3"/>
  <c r="H81" i="3"/>
  <c r="C81" i="3"/>
  <c r="BI80" i="3"/>
  <c r="BL80" i="3" s="1"/>
  <c r="BG80" i="3"/>
  <c r="BD80" i="3"/>
  <c r="AY80" i="3"/>
  <c r="BB80" i="3" s="1"/>
  <c r="AW80" i="3"/>
  <c r="AT80" i="3"/>
  <c r="AO80" i="3"/>
  <c r="AR80" i="3" s="1"/>
  <c r="AM80" i="3"/>
  <c r="AJ80" i="3"/>
  <c r="AB80" i="3"/>
  <c r="AA80" i="3"/>
  <c r="Z80" i="3"/>
  <c r="Y80" i="3"/>
  <c r="X80" i="3"/>
  <c r="M80" i="3"/>
  <c r="H80" i="3"/>
  <c r="C80" i="3"/>
  <c r="BI79" i="3"/>
  <c r="BL79" i="3" s="1"/>
  <c r="BG79" i="3"/>
  <c r="BD79" i="3"/>
  <c r="AY79" i="3"/>
  <c r="BB79" i="3" s="1"/>
  <c r="AW79" i="3"/>
  <c r="AT79" i="3"/>
  <c r="AO79" i="3"/>
  <c r="AR79" i="3" s="1"/>
  <c r="AM79" i="3"/>
  <c r="AJ79" i="3"/>
  <c r="AB79" i="3"/>
  <c r="AA79" i="3"/>
  <c r="Z79" i="3"/>
  <c r="Y79" i="3"/>
  <c r="X79" i="3"/>
  <c r="M79" i="3"/>
  <c r="H79" i="3"/>
  <c r="C79" i="3"/>
  <c r="BI78" i="3"/>
  <c r="BL78" i="3" s="1"/>
  <c r="BG78" i="3"/>
  <c r="BD78" i="3"/>
  <c r="AY78" i="3"/>
  <c r="BB78" i="3" s="1"/>
  <c r="AW78" i="3"/>
  <c r="AT78" i="3"/>
  <c r="AO78" i="3"/>
  <c r="AR78" i="3" s="1"/>
  <c r="AM78" i="3"/>
  <c r="AJ78" i="3"/>
  <c r="AB78" i="3"/>
  <c r="AA78" i="3"/>
  <c r="Z78" i="3"/>
  <c r="Y78" i="3"/>
  <c r="X78" i="3"/>
  <c r="M78" i="3"/>
  <c r="H78" i="3"/>
  <c r="C78" i="3"/>
  <c r="BI77" i="3"/>
  <c r="BL77" i="3" s="1"/>
  <c r="BG77" i="3"/>
  <c r="BD77" i="3"/>
  <c r="AY77" i="3"/>
  <c r="BB77" i="3" s="1"/>
  <c r="AW77" i="3"/>
  <c r="AT77" i="3"/>
  <c r="AO77" i="3"/>
  <c r="AR77" i="3" s="1"/>
  <c r="AM77" i="3"/>
  <c r="AJ77" i="3"/>
  <c r="AB77" i="3"/>
  <c r="AA77" i="3"/>
  <c r="Z77" i="3"/>
  <c r="Y77" i="3"/>
  <c r="X77" i="3"/>
  <c r="M77" i="3"/>
  <c r="H77" i="3"/>
  <c r="C77" i="3"/>
  <c r="BI76" i="3"/>
  <c r="BL76" i="3" s="1"/>
  <c r="BG76" i="3"/>
  <c r="BD76" i="3"/>
  <c r="AY76" i="3"/>
  <c r="BB76" i="3" s="1"/>
  <c r="AW76" i="3"/>
  <c r="AT76" i="3"/>
  <c r="AO76" i="3"/>
  <c r="AR76" i="3" s="1"/>
  <c r="AM76" i="3"/>
  <c r="AJ76" i="3"/>
  <c r="AB76" i="3"/>
  <c r="AA76" i="3"/>
  <c r="Z76" i="3"/>
  <c r="Y76" i="3"/>
  <c r="X76" i="3"/>
  <c r="M76" i="3"/>
  <c r="H76" i="3"/>
  <c r="C76" i="3"/>
  <c r="BI75" i="3"/>
  <c r="BL75" i="3" s="1"/>
  <c r="BG75" i="3"/>
  <c r="BD75" i="3"/>
  <c r="AY75" i="3"/>
  <c r="BB75" i="3" s="1"/>
  <c r="AW75" i="3"/>
  <c r="AT75" i="3"/>
  <c r="AO75" i="3"/>
  <c r="AR75" i="3" s="1"/>
  <c r="AM75" i="3"/>
  <c r="AJ75" i="3"/>
  <c r="AB75" i="3"/>
  <c r="AA75" i="3"/>
  <c r="Z75" i="3"/>
  <c r="Y75" i="3"/>
  <c r="X75" i="3"/>
  <c r="M75" i="3"/>
  <c r="H75" i="3"/>
  <c r="C75" i="3"/>
  <c r="BI74" i="3"/>
  <c r="BL74" i="3" s="1"/>
  <c r="BG74" i="3"/>
  <c r="BD74" i="3"/>
  <c r="AY74" i="3"/>
  <c r="BB74" i="3" s="1"/>
  <c r="AW74" i="3"/>
  <c r="AT74" i="3"/>
  <c r="AO74" i="3"/>
  <c r="AR74" i="3" s="1"/>
  <c r="AM74" i="3"/>
  <c r="AJ74" i="3"/>
  <c r="AB74" i="3"/>
  <c r="AA74" i="3"/>
  <c r="Z74" i="3"/>
  <c r="Y74" i="3"/>
  <c r="X74" i="3"/>
  <c r="M74" i="3"/>
  <c r="H74" i="3"/>
  <c r="C74" i="3"/>
  <c r="BI73" i="3"/>
  <c r="BL73" i="3" s="1"/>
  <c r="BG73" i="3"/>
  <c r="BD73" i="3"/>
  <c r="AY73" i="3"/>
  <c r="BB73" i="3" s="1"/>
  <c r="AW73" i="3"/>
  <c r="AT73" i="3"/>
  <c r="AO73" i="3"/>
  <c r="AR73" i="3" s="1"/>
  <c r="AM73" i="3"/>
  <c r="AJ73" i="3"/>
  <c r="AB73" i="3"/>
  <c r="AA73" i="3"/>
  <c r="Z73" i="3"/>
  <c r="Y73" i="3"/>
  <c r="X73" i="3"/>
  <c r="M73" i="3"/>
  <c r="H73" i="3"/>
  <c r="C73" i="3"/>
  <c r="BI72" i="3"/>
  <c r="BL72" i="3" s="1"/>
  <c r="BG72" i="3"/>
  <c r="BD72" i="3"/>
  <c r="AY72" i="3"/>
  <c r="BB72" i="3" s="1"/>
  <c r="AW72" i="3"/>
  <c r="AT72" i="3"/>
  <c r="AO72" i="3"/>
  <c r="AR72" i="3" s="1"/>
  <c r="AM72" i="3"/>
  <c r="AJ72" i="3"/>
  <c r="AB72" i="3"/>
  <c r="AA72" i="3"/>
  <c r="Z72" i="3"/>
  <c r="Y72" i="3"/>
  <c r="X72" i="3"/>
  <c r="M72" i="3"/>
  <c r="H72" i="3"/>
  <c r="C72" i="3"/>
  <c r="BI71" i="3"/>
  <c r="BL71" i="3" s="1"/>
  <c r="BG71" i="3"/>
  <c r="BD71" i="3"/>
  <c r="AY71" i="3"/>
  <c r="BB71" i="3" s="1"/>
  <c r="AW71" i="3"/>
  <c r="AT71" i="3"/>
  <c r="AO71" i="3"/>
  <c r="AR71" i="3" s="1"/>
  <c r="AM71" i="3"/>
  <c r="AJ71" i="3"/>
  <c r="AB71" i="3"/>
  <c r="AA71" i="3"/>
  <c r="Z71" i="3"/>
  <c r="Y71" i="3"/>
  <c r="X71" i="3"/>
  <c r="M71" i="3"/>
  <c r="H71" i="3"/>
  <c r="C71" i="3"/>
  <c r="BI70" i="3"/>
  <c r="BL70" i="3" s="1"/>
  <c r="BG70" i="3"/>
  <c r="BD70" i="3"/>
  <c r="AY70" i="3"/>
  <c r="BB70" i="3" s="1"/>
  <c r="AW70" i="3"/>
  <c r="AT70" i="3"/>
  <c r="AO70" i="3"/>
  <c r="AR70" i="3" s="1"/>
  <c r="AM70" i="3"/>
  <c r="AJ70" i="3"/>
  <c r="AB70" i="3"/>
  <c r="AA70" i="3"/>
  <c r="Z70" i="3"/>
  <c r="Y70" i="3"/>
  <c r="X70" i="3"/>
  <c r="M70" i="3"/>
  <c r="H70" i="3"/>
  <c r="C70" i="3"/>
  <c r="BI69" i="3"/>
  <c r="BL69" i="3" s="1"/>
  <c r="BG69" i="3"/>
  <c r="BD69" i="3"/>
  <c r="AY69" i="3"/>
  <c r="BB69" i="3" s="1"/>
  <c r="AW69" i="3"/>
  <c r="AT69" i="3"/>
  <c r="AO69" i="3"/>
  <c r="AR69" i="3" s="1"/>
  <c r="AM69" i="3"/>
  <c r="AJ69" i="3"/>
  <c r="AB69" i="3"/>
  <c r="AA69" i="3"/>
  <c r="Z69" i="3"/>
  <c r="Y69" i="3"/>
  <c r="X69" i="3"/>
  <c r="M69" i="3"/>
  <c r="H69" i="3"/>
  <c r="C69" i="3"/>
  <c r="BI68" i="3"/>
  <c r="BL68" i="3" s="1"/>
  <c r="BG68" i="3"/>
  <c r="BD68" i="3"/>
  <c r="AY68" i="3"/>
  <c r="BB68" i="3" s="1"/>
  <c r="AW68" i="3"/>
  <c r="AT68" i="3"/>
  <c r="AO68" i="3"/>
  <c r="AR68" i="3" s="1"/>
  <c r="AM68" i="3"/>
  <c r="AJ68" i="3"/>
  <c r="AB68" i="3"/>
  <c r="AA68" i="3"/>
  <c r="Z68" i="3"/>
  <c r="Y68" i="3"/>
  <c r="X68" i="3"/>
  <c r="M68" i="3"/>
  <c r="H68" i="3"/>
  <c r="C68" i="3"/>
  <c r="BI67" i="3"/>
  <c r="BL67" i="3" s="1"/>
  <c r="BG67" i="3"/>
  <c r="BD67" i="3"/>
  <c r="AY67" i="3"/>
  <c r="BB67" i="3" s="1"/>
  <c r="AW67" i="3"/>
  <c r="AT67" i="3"/>
  <c r="AO67" i="3"/>
  <c r="AR67" i="3" s="1"/>
  <c r="AM67" i="3"/>
  <c r="AJ67" i="3"/>
  <c r="AB67" i="3"/>
  <c r="AA67" i="3"/>
  <c r="Z67" i="3"/>
  <c r="Y67" i="3"/>
  <c r="X67" i="3"/>
  <c r="M67" i="3"/>
  <c r="H67" i="3"/>
  <c r="C67" i="3"/>
  <c r="BI66" i="3"/>
  <c r="BL66" i="3" s="1"/>
  <c r="BG66" i="3"/>
  <c r="BD66" i="3"/>
  <c r="AY66" i="3"/>
  <c r="BB66" i="3" s="1"/>
  <c r="AW66" i="3"/>
  <c r="AT66" i="3"/>
  <c r="AO66" i="3"/>
  <c r="AR66" i="3" s="1"/>
  <c r="AM66" i="3"/>
  <c r="AJ66" i="3"/>
  <c r="AB66" i="3"/>
  <c r="AA66" i="3"/>
  <c r="Z66" i="3"/>
  <c r="Y66" i="3"/>
  <c r="X66" i="3"/>
  <c r="M66" i="3"/>
  <c r="H66" i="3"/>
  <c r="C66" i="3"/>
  <c r="BI65" i="3"/>
  <c r="BL65" i="3" s="1"/>
  <c r="BG65" i="3"/>
  <c r="BD65" i="3"/>
  <c r="AY65" i="3"/>
  <c r="BB65" i="3" s="1"/>
  <c r="AW65" i="3"/>
  <c r="AT65" i="3"/>
  <c r="AO65" i="3"/>
  <c r="AR65" i="3" s="1"/>
  <c r="AM65" i="3"/>
  <c r="AJ65" i="3"/>
  <c r="AB65" i="3"/>
  <c r="AA65" i="3"/>
  <c r="Z65" i="3"/>
  <c r="Y65" i="3"/>
  <c r="X65" i="3"/>
  <c r="M65" i="3"/>
  <c r="H65" i="3"/>
  <c r="C65" i="3"/>
  <c r="BI64" i="3"/>
  <c r="BL64" i="3" s="1"/>
  <c r="BG64" i="3"/>
  <c r="BD64" i="3"/>
  <c r="AY64" i="3"/>
  <c r="BB64" i="3" s="1"/>
  <c r="AW64" i="3"/>
  <c r="AT64" i="3"/>
  <c r="AO64" i="3"/>
  <c r="AR64" i="3" s="1"/>
  <c r="AM64" i="3"/>
  <c r="AJ64" i="3"/>
  <c r="AB64" i="3"/>
  <c r="AA64" i="3"/>
  <c r="Z64" i="3"/>
  <c r="Y64" i="3"/>
  <c r="X64" i="3"/>
  <c r="M64" i="3"/>
  <c r="H64" i="3"/>
  <c r="C64" i="3"/>
  <c r="BI63" i="3"/>
  <c r="BL63" i="3" s="1"/>
  <c r="BG63" i="3"/>
  <c r="BD63" i="3"/>
  <c r="AY63" i="3"/>
  <c r="BB63" i="3" s="1"/>
  <c r="AW63" i="3"/>
  <c r="AT63" i="3"/>
  <c r="AO63" i="3"/>
  <c r="AR63" i="3" s="1"/>
  <c r="AM63" i="3"/>
  <c r="AJ63" i="3"/>
  <c r="AB63" i="3"/>
  <c r="AA63" i="3"/>
  <c r="Z63" i="3"/>
  <c r="Y63" i="3"/>
  <c r="X63" i="3"/>
  <c r="M63" i="3"/>
  <c r="H63" i="3"/>
  <c r="C63" i="3"/>
  <c r="BI62" i="3"/>
  <c r="BL62" i="3" s="1"/>
  <c r="BG62" i="3"/>
  <c r="BD62" i="3"/>
  <c r="AY62" i="3"/>
  <c r="BB62" i="3" s="1"/>
  <c r="AW62" i="3"/>
  <c r="AT62" i="3"/>
  <c r="AO62" i="3"/>
  <c r="AR62" i="3" s="1"/>
  <c r="AM62" i="3"/>
  <c r="AJ62" i="3"/>
  <c r="AB62" i="3"/>
  <c r="AA62" i="3"/>
  <c r="Z62" i="3"/>
  <c r="Y62" i="3"/>
  <c r="X62" i="3"/>
  <c r="M62" i="3"/>
  <c r="H62" i="3"/>
  <c r="C62" i="3"/>
  <c r="BI61" i="3"/>
  <c r="BL61" i="3" s="1"/>
  <c r="BG61" i="3"/>
  <c r="BD61" i="3"/>
  <c r="AY61" i="3"/>
  <c r="BB61" i="3" s="1"/>
  <c r="AW61" i="3"/>
  <c r="AT61" i="3"/>
  <c r="AO61" i="3"/>
  <c r="AR61" i="3" s="1"/>
  <c r="AM61" i="3"/>
  <c r="AJ61" i="3"/>
  <c r="AB61" i="3"/>
  <c r="AA61" i="3"/>
  <c r="Z61" i="3"/>
  <c r="Y61" i="3"/>
  <c r="X61" i="3"/>
  <c r="M61" i="3"/>
  <c r="H61" i="3"/>
  <c r="C61" i="3"/>
  <c r="BI60" i="3"/>
  <c r="BL60" i="3" s="1"/>
  <c r="BG60" i="3"/>
  <c r="BD60" i="3"/>
  <c r="AY60" i="3"/>
  <c r="BB60" i="3" s="1"/>
  <c r="AW60" i="3"/>
  <c r="AT60" i="3"/>
  <c r="AO60" i="3"/>
  <c r="AR60" i="3" s="1"/>
  <c r="AM60" i="3"/>
  <c r="AJ60" i="3"/>
  <c r="AB60" i="3"/>
  <c r="AA60" i="3"/>
  <c r="Z60" i="3"/>
  <c r="Y60" i="3"/>
  <c r="X60" i="3"/>
  <c r="M60" i="3"/>
  <c r="H60" i="3"/>
  <c r="C60" i="3"/>
  <c r="BI59" i="3"/>
  <c r="BL59" i="3" s="1"/>
  <c r="BG59" i="3"/>
  <c r="BD59" i="3"/>
  <c r="AY59" i="3"/>
  <c r="BB59" i="3" s="1"/>
  <c r="AW59" i="3"/>
  <c r="AT59" i="3"/>
  <c r="AO59" i="3"/>
  <c r="AR59" i="3" s="1"/>
  <c r="AM59" i="3"/>
  <c r="AJ59" i="3"/>
  <c r="AB59" i="3"/>
  <c r="AA59" i="3"/>
  <c r="Z59" i="3"/>
  <c r="Y59" i="3"/>
  <c r="X59" i="3"/>
  <c r="M59" i="3"/>
  <c r="H59" i="3"/>
  <c r="C59" i="3"/>
  <c r="BI58" i="3"/>
  <c r="BL58" i="3" s="1"/>
  <c r="BG58" i="3"/>
  <c r="BD58" i="3"/>
  <c r="AY58" i="3"/>
  <c r="BB58" i="3" s="1"/>
  <c r="AW58" i="3"/>
  <c r="AT58" i="3"/>
  <c r="AO58" i="3"/>
  <c r="AR58" i="3" s="1"/>
  <c r="AM58" i="3"/>
  <c r="AJ58" i="3"/>
  <c r="AB58" i="3"/>
  <c r="AA58" i="3"/>
  <c r="Z58" i="3"/>
  <c r="Y58" i="3"/>
  <c r="X58" i="3"/>
  <c r="M58" i="3"/>
  <c r="H58" i="3"/>
  <c r="C58" i="3"/>
  <c r="BI57" i="3"/>
  <c r="BL57" i="3" s="1"/>
  <c r="BG57" i="3"/>
  <c r="BD57" i="3"/>
  <c r="AY57" i="3"/>
  <c r="BB57" i="3" s="1"/>
  <c r="AW57" i="3"/>
  <c r="AT57" i="3"/>
  <c r="AO57" i="3"/>
  <c r="AR57" i="3" s="1"/>
  <c r="AM57" i="3"/>
  <c r="AJ57" i="3"/>
  <c r="AB57" i="3"/>
  <c r="AA57" i="3"/>
  <c r="Z57" i="3"/>
  <c r="Y57" i="3"/>
  <c r="X57" i="3"/>
  <c r="M57" i="3"/>
  <c r="H57" i="3"/>
  <c r="C57" i="3"/>
  <c r="BI56" i="3"/>
  <c r="BL56" i="3" s="1"/>
  <c r="BG56" i="3"/>
  <c r="BD56" i="3"/>
  <c r="AY56" i="3"/>
  <c r="BB56" i="3" s="1"/>
  <c r="AW56" i="3"/>
  <c r="AT56" i="3"/>
  <c r="AO56" i="3"/>
  <c r="AR56" i="3" s="1"/>
  <c r="AM56" i="3"/>
  <c r="AJ56" i="3"/>
  <c r="AB56" i="3"/>
  <c r="AA56" i="3"/>
  <c r="Z56" i="3"/>
  <c r="Y56" i="3"/>
  <c r="X56" i="3"/>
  <c r="M56" i="3"/>
  <c r="H56" i="3"/>
  <c r="C56" i="3"/>
  <c r="BI55" i="3"/>
  <c r="BL55" i="3" s="1"/>
  <c r="BG55" i="3"/>
  <c r="BD55" i="3"/>
  <c r="BB55" i="3"/>
  <c r="AY55" i="3"/>
  <c r="AW55" i="3"/>
  <c r="AT55" i="3"/>
  <c r="AR55" i="3"/>
  <c r="AO55" i="3"/>
  <c r="AM55" i="3"/>
  <c r="AJ55" i="3"/>
  <c r="AB55" i="3"/>
  <c r="AA55" i="3"/>
  <c r="Z55" i="3"/>
  <c r="Y55" i="3"/>
  <c r="X55" i="3"/>
  <c r="M55" i="3"/>
  <c r="H55" i="3"/>
  <c r="C55" i="3"/>
  <c r="BL54" i="3"/>
  <c r="BI54" i="3"/>
  <c r="BG54" i="3"/>
  <c r="BD54" i="3"/>
  <c r="BB54" i="3"/>
  <c r="AY54" i="3"/>
  <c r="AW54" i="3"/>
  <c r="AT54" i="3"/>
  <c r="AR54" i="3"/>
  <c r="AO54" i="3"/>
  <c r="AM54" i="3"/>
  <c r="AJ54" i="3"/>
  <c r="AB54" i="3"/>
  <c r="AA54" i="3"/>
  <c r="Z54" i="3"/>
  <c r="Y54" i="3"/>
  <c r="X54" i="3"/>
  <c r="M54" i="3"/>
  <c r="H54" i="3"/>
  <c r="C54" i="3"/>
  <c r="BL53" i="3"/>
  <c r="BI53" i="3"/>
  <c r="BG53" i="3"/>
  <c r="BD53" i="3"/>
  <c r="BB53" i="3"/>
  <c r="AY53" i="3"/>
  <c r="AW53" i="3"/>
  <c r="AT53" i="3"/>
  <c r="AR53" i="3"/>
  <c r="AO53" i="3"/>
  <c r="AM53" i="3"/>
  <c r="AJ53" i="3"/>
  <c r="AB53" i="3"/>
  <c r="AA53" i="3"/>
  <c r="Z53" i="3"/>
  <c r="Y53" i="3"/>
  <c r="X53" i="3"/>
  <c r="M53" i="3"/>
  <c r="H53" i="3"/>
  <c r="C53" i="3"/>
  <c r="BL52" i="3"/>
  <c r="BI52" i="3"/>
  <c r="BG52" i="3"/>
  <c r="BD52" i="3"/>
  <c r="BB52" i="3"/>
  <c r="AY52" i="3"/>
  <c r="AW52" i="3"/>
  <c r="AT52" i="3"/>
  <c r="AR52" i="3"/>
  <c r="AO52" i="3"/>
  <c r="AM52" i="3"/>
  <c r="AJ52" i="3"/>
  <c r="AB52" i="3"/>
  <c r="AA52" i="3"/>
  <c r="Z52" i="3"/>
  <c r="Y52" i="3"/>
  <c r="X52" i="3"/>
  <c r="M52" i="3"/>
  <c r="H52" i="3"/>
  <c r="C52" i="3"/>
  <c r="BL51" i="3"/>
  <c r="BI51" i="3"/>
  <c r="BG51" i="3"/>
  <c r="BD51" i="3"/>
  <c r="BB51" i="3"/>
  <c r="AY51" i="3"/>
  <c r="AW51" i="3"/>
  <c r="AT51" i="3"/>
  <c r="AR51" i="3"/>
  <c r="AO51" i="3"/>
  <c r="AM51" i="3"/>
  <c r="AJ51" i="3"/>
  <c r="AB51" i="3"/>
  <c r="AA51" i="3"/>
  <c r="Z51" i="3"/>
  <c r="Y51" i="3"/>
  <c r="X51" i="3"/>
  <c r="M51" i="3"/>
  <c r="H51" i="3"/>
  <c r="C51" i="3"/>
  <c r="BL50" i="3"/>
  <c r="BI50" i="3"/>
  <c r="BG50" i="3"/>
  <c r="BD50" i="3"/>
  <c r="BB50" i="3"/>
  <c r="AY50" i="3"/>
  <c r="AW50" i="3"/>
  <c r="AT50" i="3"/>
  <c r="AR50" i="3"/>
  <c r="AO50" i="3"/>
  <c r="AM50" i="3"/>
  <c r="AJ50" i="3"/>
  <c r="AB50" i="3"/>
  <c r="AA50" i="3"/>
  <c r="Z50" i="3"/>
  <c r="Y50" i="3"/>
  <c r="X50" i="3"/>
  <c r="M50" i="3"/>
  <c r="H50" i="3"/>
  <c r="C50" i="3"/>
  <c r="BL49" i="3"/>
  <c r="BI49" i="3"/>
  <c r="BG49" i="3"/>
  <c r="BD49" i="3"/>
  <c r="BB49" i="3"/>
  <c r="AY49" i="3"/>
  <c r="AW49" i="3"/>
  <c r="AT49" i="3"/>
  <c r="AR49" i="3"/>
  <c r="AO49" i="3"/>
  <c r="AM49" i="3"/>
  <c r="AJ49" i="3"/>
  <c r="AB49" i="3"/>
  <c r="AA49" i="3"/>
  <c r="Z49" i="3"/>
  <c r="Y49" i="3"/>
  <c r="X49" i="3"/>
  <c r="M49" i="3"/>
  <c r="H49" i="3"/>
  <c r="C49" i="3"/>
  <c r="BL48" i="3"/>
  <c r="BI48" i="3"/>
  <c r="BG48" i="3"/>
  <c r="BD48" i="3"/>
  <c r="BB48" i="3"/>
  <c r="AY48" i="3"/>
  <c r="AW48" i="3"/>
  <c r="AT48" i="3"/>
  <c r="AR48" i="3"/>
  <c r="AO48" i="3"/>
  <c r="AM48" i="3"/>
  <c r="AJ48" i="3"/>
  <c r="AB48" i="3"/>
  <c r="AA48" i="3"/>
  <c r="Z48" i="3"/>
  <c r="Y48" i="3"/>
  <c r="X48" i="3"/>
  <c r="M48" i="3"/>
  <c r="H48" i="3"/>
  <c r="C48" i="3"/>
  <c r="BL47" i="3"/>
  <c r="BI47" i="3"/>
  <c r="BG47" i="3"/>
  <c r="BD47" i="3"/>
  <c r="BB47" i="3"/>
  <c r="AY47" i="3"/>
  <c r="AW47" i="3"/>
  <c r="AT47" i="3"/>
  <c r="AR47" i="3"/>
  <c r="AO47" i="3"/>
  <c r="AM47" i="3"/>
  <c r="AJ47" i="3"/>
  <c r="AB47" i="3"/>
  <c r="AA47" i="3"/>
  <c r="Z47" i="3"/>
  <c r="Y47" i="3"/>
  <c r="X47" i="3"/>
  <c r="M47" i="3"/>
  <c r="H47" i="3"/>
  <c r="C47" i="3"/>
  <c r="BL46" i="3"/>
  <c r="BI46" i="3"/>
  <c r="BG46" i="3"/>
  <c r="BD46" i="3"/>
  <c r="BB46" i="3"/>
  <c r="AY46" i="3"/>
  <c r="AW46" i="3"/>
  <c r="AT46" i="3"/>
  <c r="AR46" i="3"/>
  <c r="AO46" i="3"/>
  <c r="AM46" i="3"/>
  <c r="AJ46" i="3"/>
  <c r="AB46" i="3"/>
  <c r="AA46" i="3"/>
  <c r="Z46" i="3"/>
  <c r="Y46" i="3"/>
  <c r="X46" i="3"/>
  <c r="M46" i="3"/>
  <c r="H46" i="3"/>
  <c r="C46" i="3"/>
  <c r="BL45" i="3"/>
  <c r="BI45" i="3"/>
  <c r="BG45" i="3"/>
  <c r="BD45" i="3"/>
  <c r="BB45" i="3"/>
  <c r="AY45" i="3"/>
  <c r="AW45" i="3"/>
  <c r="AT45" i="3"/>
  <c r="AR45" i="3"/>
  <c r="AO45" i="3"/>
  <c r="AM45" i="3"/>
  <c r="AJ45" i="3"/>
  <c r="AB45" i="3"/>
  <c r="AA45" i="3"/>
  <c r="Z45" i="3"/>
  <c r="Y45" i="3"/>
  <c r="X45" i="3"/>
  <c r="M45" i="3"/>
  <c r="H45" i="3"/>
  <c r="C45" i="3"/>
  <c r="BL44" i="3"/>
  <c r="BI44" i="3"/>
  <c r="BG44" i="3"/>
  <c r="BD44" i="3"/>
  <c r="BB44" i="3"/>
  <c r="AY44" i="3"/>
  <c r="AW44" i="3"/>
  <c r="AT44" i="3"/>
  <c r="AR44" i="3"/>
  <c r="AO44" i="3"/>
  <c r="AM44" i="3"/>
  <c r="AJ44" i="3"/>
  <c r="AB44" i="3"/>
  <c r="AA44" i="3"/>
  <c r="Z44" i="3"/>
  <c r="Y44" i="3"/>
  <c r="X44" i="3"/>
  <c r="M44" i="3"/>
  <c r="H44" i="3"/>
  <c r="C44" i="3"/>
  <c r="BL43" i="3"/>
  <c r="BI43" i="3"/>
  <c r="BG43" i="3"/>
  <c r="BD43" i="3"/>
  <c r="BB43" i="3"/>
  <c r="AY43" i="3"/>
  <c r="AW43" i="3"/>
  <c r="AT43" i="3"/>
  <c r="AR43" i="3"/>
  <c r="AO43" i="3"/>
  <c r="AM43" i="3"/>
  <c r="AJ43" i="3"/>
  <c r="AB43" i="3"/>
  <c r="AA43" i="3"/>
  <c r="Z43" i="3"/>
  <c r="Y43" i="3"/>
  <c r="X43" i="3"/>
  <c r="M43" i="3"/>
  <c r="H43" i="3"/>
  <c r="C43" i="3"/>
  <c r="BL42" i="3"/>
  <c r="BI42" i="3"/>
  <c r="BG42" i="3"/>
  <c r="BD42" i="3"/>
  <c r="BB42" i="3"/>
  <c r="AY42" i="3"/>
  <c r="AW42" i="3"/>
  <c r="AT42" i="3"/>
  <c r="AR42" i="3"/>
  <c r="AO42" i="3"/>
  <c r="AM42" i="3"/>
  <c r="AJ42" i="3"/>
  <c r="AB42" i="3"/>
  <c r="AA42" i="3"/>
  <c r="Z42" i="3"/>
  <c r="Y42" i="3"/>
  <c r="X42" i="3"/>
  <c r="M42" i="3"/>
  <c r="H42" i="3"/>
  <c r="C42" i="3"/>
  <c r="BL41" i="3"/>
  <c r="BI41" i="3"/>
  <c r="BG41" i="3"/>
  <c r="BD41" i="3"/>
  <c r="BB41" i="3"/>
  <c r="AY41" i="3"/>
  <c r="AW41" i="3"/>
  <c r="AT41" i="3"/>
  <c r="AR41" i="3"/>
  <c r="AO41" i="3"/>
  <c r="AM41" i="3"/>
  <c r="AJ41" i="3"/>
  <c r="AB41" i="3"/>
  <c r="AA41" i="3"/>
  <c r="Z41" i="3"/>
  <c r="Y41" i="3"/>
  <c r="X41" i="3"/>
  <c r="M41" i="3"/>
  <c r="H41" i="3"/>
  <c r="C41" i="3"/>
  <c r="BL40" i="3"/>
  <c r="BI40" i="3"/>
  <c r="BG40" i="3"/>
  <c r="BD40" i="3"/>
  <c r="BB40" i="3"/>
  <c r="AY40" i="3"/>
  <c r="AW40" i="3"/>
  <c r="AT40" i="3"/>
  <c r="AR40" i="3"/>
  <c r="AO40" i="3"/>
  <c r="AM40" i="3"/>
  <c r="AJ40" i="3"/>
  <c r="AB40" i="3"/>
  <c r="AA40" i="3"/>
  <c r="Z40" i="3"/>
  <c r="Y40" i="3"/>
  <c r="X40" i="3"/>
  <c r="M40" i="3"/>
  <c r="H40" i="3"/>
  <c r="C40" i="3"/>
  <c r="BL39" i="3"/>
  <c r="BI39" i="3"/>
  <c r="BG39" i="3"/>
  <c r="BD39" i="3"/>
  <c r="BB39" i="3"/>
  <c r="AY39" i="3"/>
  <c r="AW39" i="3"/>
  <c r="AT39" i="3"/>
  <c r="AR39" i="3"/>
  <c r="AO39" i="3"/>
  <c r="AM39" i="3"/>
  <c r="AJ39" i="3"/>
  <c r="AB39" i="3"/>
  <c r="AA39" i="3"/>
  <c r="Z39" i="3"/>
  <c r="Y39" i="3"/>
  <c r="X39" i="3"/>
  <c r="M39" i="3"/>
  <c r="H39" i="3"/>
  <c r="C39" i="3"/>
  <c r="BL38" i="3"/>
  <c r="BI38" i="3"/>
  <c r="BG38" i="3"/>
  <c r="BD38" i="3"/>
  <c r="BB38" i="3"/>
  <c r="AY38" i="3"/>
  <c r="AW38" i="3"/>
  <c r="AT38" i="3"/>
  <c r="AR38" i="3"/>
  <c r="AO38" i="3"/>
  <c r="AM38" i="3"/>
  <c r="AJ38" i="3"/>
  <c r="AB38" i="3"/>
  <c r="AA38" i="3"/>
  <c r="Z38" i="3"/>
  <c r="Y38" i="3"/>
  <c r="X38" i="3"/>
  <c r="M38" i="3"/>
  <c r="H38" i="3"/>
  <c r="C38" i="3"/>
  <c r="BL37" i="3"/>
  <c r="BI37" i="3"/>
  <c r="BG37" i="3"/>
  <c r="BD37" i="3"/>
  <c r="BB37" i="3"/>
  <c r="AY37" i="3"/>
  <c r="AW37" i="3"/>
  <c r="AT37" i="3"/>
  <c r="AR37" i="3"/>
  <c r="AO37" i="3"/>
  <c r="AM37" i="3"/>
  <c r="AJ37" i="3"/>
  <c r="AB37" i="3"/>
  <c r="AA37" i="3"/>
  <c r="Z37" i="3"/>
  <c r="Y37" i="3"/>
  <c r="X37" i="3"/>
  <c r="M37" i="3"/>
  <c r="H37" i="3"/>
  <c r="C37" i="3"/>
  <c r="BL36" i="3"/>
  <c r="BI36" i="3"/>
  <c r="BG36" i="3"/>
  <c r="BD36" i="3"/>
  <c r="BB36" i="3"/>
  <c r="AY36" i="3"/>
  <c r="AW36" i="3"/>
  <c r="AT36" i="3"/>
  <c r="AR36" i="3"/>
  <c r="AO36" i="3"/>
  <c r="AM36" i="3"/>
  <c r="AJ36" i="3"/>
  <c r="AB36" i="3"/>
  <c r="AA36" i="3"/>
  <c r="Z36" i="3"/>
  <c r="Y36" i="3"/>
  <c r="X36" i="3"/>
  <c r="M36" i="3"/>
  <c r="H36" i="3"/>
  <c r="C36" i="3"/>
  <c r="BL35" i="3"/>
  <c r="BI35" i="3"/>
  <c r="BG35" i="3"/>
  <c r="BD35" i="3"/>
  <c r="BB35" i="3"/>
  <c r="AY35" i="3"/>
  <c r="AW35" i="3"/>
  <c r="AT35" i="3"/>
  <c r="AR35" i="3"/>
  <c r="AO35" i="3"/>
  <c r="AM35" i="3"/>
  <c r="AJ35" i="3"/>
  <c r="AB35" i="3"/>
  <c r="AA35" i="3"/>
  <c r="Z35" i="3"/>
  <c r="Y35" i="3"/>
  <c r="X35" i="3"/>
  <c r="M35" i="3"/>
  <c r="H35" i="3"/>
  <c r="C35" i="3"/>
  <c r="BL34" i="3"/>
  <c r="BI34" i="3"/>
  <c r="BG34" i="3"/>
  <c r="BD34" i="3"/>
  <c r="BB34" i="3"/>
  <c r="AY34" i="3"/>
  <c r="AW34" i="3"/>
  <c r="AT34" i="3"/>
  <c r="AR34" i="3"/>
  <c r="AO34" i="3"/>
  <c r="AM34" i="3"/>
  <c r="AJ34" i="3"/>
  <c r="AB34" i="3"/>
  <c r="AA34" i="3"/>
  <c r="Z34" i="3"/>
  <c r="Y34" i="3"/>
  <c r="X34" i="3"/>
  <c r="M34" i="3"/>
  <c r="H34" i="3"/>
  <c r="C34" i="3"/>
  <c r="BL33" i="3"/>
  <c r="BI33" i="3"/>
  <c r="BG33" i="3"/>
  <c r="BD33" i="3"/>
  <c r="BB33" i="3"/>
  <c r="AY33" i="3"/>
  <c r="AW33" i="3"/>
  <c r="AT33" i="3"/>
  <c r="AR33" i="3"/>
  <c r="AO33" i="3"/>
  <c r="AM33" i="3"/>
  <c r="AJ33" i="3"/>
  <c r="AB33" i="3"/>
  <c r="AA33" i="3"/>
  <c r="Z33" i="3"/>
  <c r="Y33" i="3"/>
  <c r="X33" i="3"/>
  <c r="M33" i="3"/>
  <c r="H33" i="3"/>
  <c r="C33" i="3"/>
  <c r="BL32" i="3"/>
  <c r="BI32" i="3"/>
  <c r="BG32" i="3"/>
  <c r="BD32" i="3"/>
  <c r="BB32" i="3"/>
  <c r="AY32" i="3"/>
  <c r="AW32" i="3"/>
  <c r="AT32" i="3"/>
  <c r="AR32" i="3"/>
  <c r="AO32" i="3"/>
  <c r="AM32" i="3"/>
  <c r="AJ32" i="3"/>
  <c r="AB32" i="3"/>
  <c r="AA32" i="3"/>
  <c r="Z32" i="3"/>
  <c r="Y32" i="3"/>
  <c r="X32" i="3"/>
  <c r="M32" i="3"/>
  <c r="H32" i="3"/>
  <c r="C32" i="3"/>
  <c r="BL31" i="3"/>
  <c r="BI31" i="3"/>
  <c r="BG31" i="3"/>
  <c r="BD31" i="3"/>
  <c r="BB31" i="3"/>
  <c r="AY31" i="3"/>
  <c r="AW31" i="3"/>
  <c r="AT31" i="3"/>
  <c r="AR31" i="3"/>
  <c r="AO31" i="3"/>
  <c r="AM31" i="3"/>
  <c r="AJ31" i="3"/>
  <c r="AB31" i="3"/>
  <c r="AA31" i="3"/>
  <c r="Z31" i="3"/>
  <c r="Y31" i="3"/>
  <c r="X31" i="3"/>
  <c r="M31" i="3"/>
  <c r="H31" i="3"/>
  <c r="C31" i="3"/>
  <c r="BL30" i="3"/>
  <c r="BI30" i="3"/>
  <c r="BG30" i="3"/>
  <c r="BD30" i="3"/>
  <c r="BB30" i="3"/>
  <c r="AY30" i="3"/>
  <c r="AW30" i="3"/>
  <c r="AT30" i="3"/>
  <c r="AR30" i="3"/>
  <c r="AO30" i="3"/>
  <c r="AM30" i="3"/>
  <c r="AJ30" i="3"/>
  <c r="AB30" i="3"/>
  <c r="AA30" i="3"/>
  <c r="Z30" i="3"/>
  <c r="Y30" i="3"/>
  <c r="X30" i="3"/>
  <c r="M30" i="3"/>
  <c r="H30" i="3"/>
  <c r="C30" i="3"/>
  <c r="BL29" i="3"/>
  <c r="BI29" i="3"/>
  <c r="BG29" i="3"/>
  <c r="BD29" i="3"/>
  <c r="BB29" i="3"/>
  <c r="AY29" i="3"/>
  <c r="AW29" i="3"/>
  <c r="AT29" i="3"/>
  <c r="AR29" i="3"/>
  <c r="AO29" i="3"/>
  <c r="AM29" i="3"/>
  <c r="AJ29" i="3"/>
  <c r="AB29" i="3"/>
  <c r="AA29" i="3"/>
  <c r="Z29" i="3"/>
  <c r="Y29" i="3"/>
  <c r="X29" i="3"/>
  <c r="M29" i="3"/>
  <c r="H29" i="3"/>
  <c r="C29" i="3"/>
  <c r="BL28" i="3"/>
  <c r="BI28" i="3"/>
  <c r="BG28" i="3"/>
  <c r="BD28" i="3"/>
  <c r="BB28" i="3"/>
  <c r="AY28" i="3"/>
  <c r="AW28" i="3"/>
  <c r="AT28" i="3"/>
  <c r="AR28" i="3"/>
  <c r="AO28" i="3"/>
  <c r="AM28" i="3"/>
  <c r="AJ28" i="3"/>
  <c r="AB28" i="3"/>
  <c r="AA28" i="3"/>
  <c r="Z28" i="3"/>
  <c r="Y28" i="3"/>
  <c r="X28" i="3"/>
  <c r="M28" i="3"/>
  <c r="H28" i="3"/>
  <c r="C28" i="3"/>
  <c r="BL27" i="3"/>
  <c r="BI27" i="3"/>
  <c r="BG27" i="3"/>
  <c r="BD27" i="3"/>
  <c r="BB27" i="3"/>
  <c r="AY27" i="3"/>
  <c r="AW27" i="3"/>
  <c r="AT27" i="3"/>
  <c r="AR27" i="3"/>
  <c r="AO27" i="3"/>
  <c r="AM27" i="3"/>
  <c r="AJ27" i="3"/>
  <c r="AB27" i="3"/>
  <c r="AA27" i="3"/>
  <c r="Z27" i="3"/>
  <c r="Y27" i="3"/>
  <c r="X27" i="3"/>
  <c r="M27" i="3"/>
  <c r="H27" i="3"/>
  <c r="C27" i="3"/>
  <c r="BL26" i="3"/>
  <c r="BI26" i="3"/>
  <c r="BG26" i="3"/>
  <c r="BD26" i="3"/>
  <c r="BB26" i="3"/>
  <c r="AY26" i="3"/>
  <c r="AW26" i="3"/>
  <c r="AT26" i="3"/>
  <c r="AR26" i="3"/>
  <c r="AO26" i="3"/>
  <c r="AM26" i="3"/>
  <c r="AJ26" i="3"/>
  <c r="AB26" i="3"/>
  <c r="AA26" i="3"/>
  <c r="Z26" i="3"/>
  <c r="Y26" i="3"/>
  <c r="X26" i="3"/>
  <c r="M26" i="3"/>
  <c r="H26" i="3"/>
  <c r="C26" i="3"/>
  <c r="BL25" i="3"/>
  <c r="BI25" i="3"/>
  <c r="BG25" i="3"/>
  <c r="BD25" i="3"/>
  <c r="BB25" i="3"/>
  <c r="AY25" i="3"/>
  <c r="AW25" i="3"/>
  <c r="AT25" i="3"/>
  <c r="AR25" i="3"/>
  <c r="AO25" i="3"/>
  <c r="AM25" i="3"/>
  <c r="AJ25" i="3"/>
  <c r="AB25" i="3"/>
  <c r="AA25" i="3"/>
  <c r="Z25" i="3"/>
  <c r="Y25" i="3"/>
  <c r="X25" i="3"/>
  <c r="M25" i="3"/>
  <c r="H25" i="3"/>
  <c r="C25" i="3"/>
  <c r="BL24" i="3"/>
  <c r="BI24" i="3"/>
  <c r="BG24" i="3"/>
  <c r="BD24" i="3"/>
  <c r="BB24" i="3"/>
  <c r="AY24" i="3"/>
  <c r="AW24" i="3"/>
  <c r="AT24" i="3"/>
  <c r="AR24" i="3"/>
  <c r="AO24" i="3"/>
  <c r="AM24" i="3"/>
  <c r="AJ24" i="3"/>
  <c r="AB24" i="3"/>
  <c r="AA24" i="3"/>
  <c r="Z24" i="3"/>
  <c r="Y24" i="3"/>
  <c r="X24" i="3"/>
  <c r="M24" i="3"/>
  <c r="H24" i="3"/>
  <c r="C24" i="3"/>
  <c r="BL23" i="3"/>
  <c r="BI23" i="3"/>
  <c r="BG23" i="3"/>
  <c r="BD23" i="3"/>
  <c r="BB23" i="3"/>
  <c r="AY23" i="3"/>
  <c r="AW23" i="3"/>
  <c r="AT23" i="3"/>
  <c r="AR23" i="3"/>
  <c r="AO23" i="3"/>
  <c r="AM23" i="3"/>
  <c r="AJ23" i="3"/>
  <c r="AB23" i="3"/>
  <c r="AA23" i="3"/>
  <c r="Z23" i="3"/>
  <c r="Y23" i="3"/>
  <c r="X23" i="3"/>
  <c r="M23" i="3"/>
  <c r="H23" i="3"/>
  <c r="C23" i="3"/>
  <c r="BL22" i="3"/>
  <c r="BI22" i="3"/>
  <c r="BG22" i="3"/>
  <c r="BD22" i="3"/>
  <c r="BB22" i="3"/>
  <c r="AY22" i="3"/>
  <c r="AW22" i="3"/>
  <c r="AT22" i="3"/>
  <c r="AR22" i="3"/>
  <c r="AO22" i="3"/>
  <c r="AM22" i="3"/>
  <c r="AJ22" i="3"/>
  <c r="AB22" i="3"/>
  <c r="AA22" i="3"/>
  <c r="Z22" i="3"/>
  <c r="Y22" i="3"/>
  <c r="X22" i="3"/>
  <c r="M22" i="3"/>
  <c r="H22" i="3"/>
  <c r="C22" i="3"/>
  <c r="BL21" i="3"/>
  <c r="BI21" i="3"/>
  <c r="BG21" i="3"/>
  <c r="BD21" i="3"/>
  <c r="BB21" i="3"/>
  <c r="AY21" i="3"/>
  <c r="AW21" i="3"/>
  <c r="AT21" i="3"/>
  <c r="AR21" i="3"/>
  <c r="AO21" i="3"/>
  <c r="AM21" i="3"/>
  <c r="AJ21" i="3"/>
  <c r="AB21" i="3"/>
  <c r="AA21" i="3"/>
  <c r="Z21" i="3"/>
  <c r="Y21" i="3"/>
  <c r="X21" i="3"/>
  <c r="M21" i="3"/>
  <c r="H21" i="3"/>
  <c r="C21" i="3"/>
  <c r="BL20" i="3"/>
  <c r="BI20" i="3"/>
  <c r="BG20" i="3"/>
  <c r="BD20" i="3"/>
  <c r="BB20" i="3"/>
  <c r="AY20" i="3"/>
  <c r="AW20" i="3"/>
  <c r="AT20" i="3"/>
  <c r="AR20" i="3"/>
  <c r="AO20" i="3"/>
  <c r="AM20" i="3"/>
  <c r="AJ20" i="3"/>
  <c r="AB20" i="3"/>
  <c r="AA20" i="3"/>
  <c r="Z20" i="3"/>
  <c r="Y20" i="3"/>
  <c r="X20" i="3"/>
  <c r="M20" i="3"/>
  <c r="H20" i="3"/>
  <c r="C20" i="3"/>
  <c r="BL19" i="3"/>
  <c r="BI19" i="3"/>
  <c r="BG19" i="3"/>
  <c r="BD19" i="3"/>
  <c r="BB19" i="3"/>
  <c r="AY19" i="3"/>
  <c r="AW19" i="3"/>
  <c r="AT19" i="3"/>
  <c r="AR19" i="3"/>
  <c r="AO19" i="3"/>
  <c r="AM19" i="3"/>
  <c r="AJ19" i="3"/>
  <c r="AB19" i="3"/>
  <c r="AA19" i="3"/>
  <c r="Z19" i="3"/>
  <c r="Y19" i="3"/>
  <c r="X19" i="3"/>
  <c r="M19" i="3"/>
  <c r="H19" i="3"/>
  <c r="C19" i="3"/>
  <c r="BL18" i="3"/>
  <c r="BI18" i="3"/>
  <c r="BG18" i="3"/>
  <c r="BD18" i="3"/>
  <c r="BB18" i="3"/>
  <c r="AY18" i="3"/>
  <c r="AW18" i="3"/>
  <c r="AT18" i="3"/>
  <c r="AR18" i="3"/>
  <c r="AO18" i="3"/>
  <c r="AM18" i="3"/>
  <c r="AJ18" i="3"/>
  <c r="AB18" i="3"/>
  <c r="AA18" i="3"/>
  <c r="Z18" i="3"/>
  <c r="Y18" i="3"/>
  <c r="X18" i="3"/>
  <c r="M18" i="3"/>
  <c r="H18" i="3"/>
  <c r="C18" i="3"/>
  <c r="BL17" i="3"/>
  <c r="BI17" i="3"/>
  <c r="BG17" i="3"/>
  <c r="BD17" i="3"/>
  <c r="BB17" i="3"/>
  <c r="AY17" i="3"/>
  <c r="AW17" i="3"/>
  <c r="AT17" i="3"/>
  <c r="AR17" i="3"/>
  <c r="AO17" i="3"/>
  <c r="AM17" i="3"/>
  <c r="AJ17" i="3"/>
  <c r="AB17" i="3"/>
  <c r="AA17" i="3"/>
  <c r="Z17" i="3"/>
  <c r="Y17" i="3"/>
  <c r="X17" i="3"/>
  <c r="M17" i="3"/>
  <c r="H17" i="3"/>
  <c r="C17" i="3"/>
  <c r="BL16" i="3"/>
  <c r="BI16" i="3"/>
  <c r="BG16" i="3"/>
  <c r="BD16" i="3"/>
  <c r="BB16" i="3"/>
  <c r="AY16" i="3"/>
  <c r="AW16" i="3"/>
  <c r="AT16" i="3"/>
  <c r="AR16" i="3"/>
  <c r="AO16" i="3"/>
  <c r="AM16" i="3"/>
  <c r="AJ16" i="3"/>
  <c r="AB16" i="3"/>
  <c r="AA16" i="3"/>
  <c r="Z16" i="3"/>
  <c r="Y16" i="3"/>
  <c r="X16" i="3"/>
  <c r="M16" i="3"/>
  <c r="H16" i="3"/>
  <c r="C16" i="3"/>
  <c r="BL15" i="3"/>
  <c r="BI15" i="3"/>
  <c r="BG15" i="3"/>
  <c r="BD15" i="3"/>
  <c r="BB15" i="3"/>
  <c r="AY15" i="3"/>
  <c r="AW15" i="3"/>
  <c r="AT15" i="3"/>
  <c r="AR15" i="3"/>
  <c r="AO15" i="3"/>
  <c r="AM15" i="3"/>
  <c r="AJ15" i="3"/>
  <c r="AB15" i="3"/>
  <c r="AA15" i="3"/>
  <c r="Z15" i="3"/>
  <c r="Y15" i="3"/>
  <c r="X15" i="3"/>
  <c r="M15" i="3"/>
  <c r="H15" i="3"/>
  <c r="C15" i="3"/>
  <c r="BL14" i="3"/>
  <c r="BI14" i="3"/>
  <c r="BG14" i="3"/>
  <c r="BD14" i="3"/>
  <c r="BB14" i="3"/>
  <c r="AY14" i="3"/>
  <c r="AW14" i="3"/>
  <c r="AT14" i="3"/>
  <c r="AR14" i="3"/>
  <c r="AO14" i="3"/>
  <c r="AM14" i="3"/>
  <c r="AJ14" i="3"/>
  <c r="AB14" i="3"/>
  <c r="AA14" i="3"/>
  <c r="Z14" i="3"/>
  <c r="Y14" i="3"/>
  <c r="X14" i="3"/>
  <c r="M14" i="3"/>
  <c r="H14" i="3"/>
  <c r="C14" i="3"/>
  <c r="BI153" i="3"/>
  <c r="BL153" i="3" s="1"/>
  <c r="BD153" i="3"/>
  <c r="BG153" i="3" s="1"/>
  <c r="AY153" i="3"/>
  <c r="BB153" i="3" s="1"/>
  <c r="AT153" i="3"/>
  <c r="AW153" i="3" s="1"/>
  <c r="AO153" i="3"/>
  <c r="AR153" i="3" s="1"/>
  <c r="AB153" i="3"/>
  <c r="AA153" i="3"/>
  <c r="Z153" i="3"/>
  <c r="Y153" i="3"/>
  <c r="X153" i="3"/>
  <c r="M153" i="3"/>
  <c r="H153" i="3"/>
  <c r="C153" i="3"/>
  <c r="BI152" i="3"/>
  <c r="BL152" i="3" s="1"/>
  <c r="BD152" i="3"/>
  <c r="BG152" i="3" s="1"/>
  <c r="AY152" i="3"/>
  <c r="BB152" i="3" s="1"/>
  <c r="AT152" i="3"/>
  <c r="AW152" i="3" s="1"/>
  <c r="AO152" i="3"/>
  <c r="AR152" i="3" s="1"/>
  <c r="AB152" i="3"/>
  <c r="AA152" i="3"/>
  <c r="Z152" i="3"/>
  <c r="Y152" i="3"/>
  <c r="X152" i="3"/>
  <c r="M152" i="3"/>
  <c r="H152" i="3"/>
  <c r="C152" i="3"/>
  <c r="BI151" i="3"/>
  <c r="BL151" i="3" s="1"/>
  <c r="BD151" i="3"/>
  <c r="BG151" i="3" s="1"/>
  <c r="AY151" i="3"/>
  <c r="BB151" i="3" s="1"/>
  <c r="AT151" i="3"/>
  <c r="AW151" i="3" s="1"/>
  <c r="AO151" i="3"/>
  <c r="AR151" i="3" s="1"/>
  <c r="AB151" i="3"/>
  <c r="AA151" i="3"/>
  <c r="Z151" i="3"/>
  <c r="Y151" i="3"/>
  <c r="X151" i="3"/>
  <c r="M151" i="3"/>
  <c r="H151" i="3"/>
  <c r="C151" i="3"/>
  <c r="BI150" i="3"/>
  <c r="BL150" i="3" s="1"/>
  <c r="BD150" i="3"/>
  <c r="BG150" i="3" s="1"/>
  <c r="AY150" i="3"/>
  <c r="BB150" i="3" s="1"/>
  <c r="AT150" i="3"/>
  <c r="AW150" i="3" s="1"/>
  <c r="AO150" i="3"/>
  <c r="AR150" i="3" s="1"/>
  <c r="AB150" i="3"/>
  <c r="AA150" i="3"/>
  <c r="Z150" i="3"/>
  <c r="Y150" i="3"/>
  <c r="X150" i="3"/>
  <c r="M150" i="3"/>
  <c r="H150" i="3"/>
  <c r="C150" i="3"/>
  <c r="BI149" i="3"/>
  <c r="BL149" i="3" s="1"/>
  <c r="BD149" i="3"/>
  <c r="BG149" i="3" s="1"/>
  <c r="AY149" i="3"/>
  <c r="BB149" i="3" s="1"/>
  <c r="AT149" i="3"/>
  <c r="AW149" i="3" s="1"/>
  <c r="AO149" i="3"/>
  <c r="AR149" i="3" s="1"/>
  <c r="AB149" i="3"/>
  <c r="AA149" i="3"/>
  <c r="Z149" i="3"/>
  <c r="Y149" i="3"/>
  <c r="X149" i="3"/>
  <c r="M149" i="3"/>
  <c r="H149" i="3"/>
  <c r="C149" i="3"/>
  <c r="BI148" i="3"/>
  <c r="BL148" i="3" s="1"/>
  <c r="BD148" i="3"/>
  <c r="BG148" i="3" s="1"/>
  <c r="AY148" i="3"/>
  <c r="BB148" i="3" s="1"/>
  <c r="AT148" i="3"/>
  <c r="AW148" i="3" s="1"/>
  <c r="AO148" i="3"/>
  <c r="AR148" i="3" s="1"/>
  <c r="AB148" i="3"/>
  <c r="AA148" i="3"/>
  <c r="Z148" i="3"/>
  <c r="Y148" i="3"/>
  <c r="X148" i="3"/>
  <c r="M148" i="3"/>
  <c r="H148" i="3"/>
  <c r="C148" i="3"/>
  <c r="BI147" i="3"/>
  <c r="BL147" i="3" s="1"/>
  <c r="BD147" i="3"/>
  <c r="BG147" i="3" s="1"/>
  <c r="AY147" i="3"/>
  <c r="BB147" i="3" s="1"/>
  <c r="AT147" i="3"/>
  <c r="AW147" i="3" s="1"/>
  <c r="AO147" i="3"/>
  <c r="AR147" i="3" s="1"/>
  <c r="AB147" i="3"/>
  <c r="AA147" i="3"/>
  <c r="Z147" i="3"/>
  <c r="Y147" i="3"/>
  <c r="X147" i="3"/>
  <c r="M147" i="3"/>
  <c r="H147" i="3"/>
  <c r="C147" i="3"/>
  <c r="BI146" i="3"/>
  <c r="BL146" i="3" s="1"/>
  <c r="BD146" i="3"/>
  <c r="BG146" i="3" s="1"/>
  <c r="AY146" i="3"/>
  <c r="BB146" i="3" s="1"/>
  <c r="AT146" i="3"/>
  <c r="AW146" i="3" s="1"/>
  <c r="AO146" i="3"/>
  <c r="AR146" i="3" s="1"/>
  <c r="AB146" i="3"/>
  <c r="AA146" i="3"/>
  <c r="Z146" i="3"/>
  <c r="Y146" i="3"/>
  <c r="X146" i="3"/>
  <c r="M146" i="3"/>
  <c r="H146" i="3"/>
  <c r="C146" i="3"/>
  <c r="BI145" i="3"/>
  <c r="BL145" i="3" s="1"/>
  <c r="BD145" i="3"/>
  <c r="BG145" i="3" s="1"/>
  <c r="AY145" i="3"/>
  <c r="BB145" i="3" s="1"/>
  <c r="AT145" i="3"/>
  <c r="AW145" i="3" s="1"/>
  <c r="AO145" i="3"/>
  <c r="AR145" i="3" s="1"/>
  <c r="AB145" i="3"/>
  <c r="AA145" i="3"/>
  <c r="Z145" i="3"/>
  <c r="Y145" i="3"/>
  <c r="X145" i="3"/>
  <c r="M145" i="3"/>
  <c r="H145" i="3"/>
  <c r="C145" i="3"/>
  <c r="BI144" i="3"/>
  <c r="BL144" i="3" s="1"/>
  <c r="BD144" i="3"/>
  <c r="BG144" i="3" s="1"/>
  <c r="AY144" i="3"/>
  <c r="BB144" i="3" s="1"/>
  <c r="AT144" i="3"/>
  <c r="AW144" i="3" s="1"/>
  <c r="AO144" i="3"/>
  <c r="AR144" i="3" s="1"/>
  <c r="AB144" i="3"/>
  <c r="AA144" i="3"/>
  <c r="Z144" i="3"/>
  <c r="Y144" i="3"/>
  <c r="X144" i="3"/>
  <c r="M144" i="3"/>
  <c r="H144" i="3"/>
  <c r="C144" i="3"/>
  <c r="BI143" i="3"/>
  <c r="BL143" i="3" s="1"/>
  <c r="BD143" i="3"/>
  <c r="BG143" i="3" s="1"/>
  <c r="AY143" i="3"/>
  <c r="BB143" i="3" s="1"/>
  <c r="AT143" i="3"/>
  <c r="AW143" i="3" s="1"/>
  <c r="AO143" i="3"/>
  <c r="AR143" i="3" s="1"/>
  <c r="AB143" i="3"/>
  <c r="AA143" i="3"/>
  <c r="Z143" i="3"/>
  <c r="Y143" i="3"/>
  <c r="X143" i="3"/>
  <c r="M143" i="3"/>
  <c r="H143" i="3"/>
  <c r="C143" i="3"/>
  <c r="BI142" i="3"/>
  <c r="BL142" i="3" s="1"/>
  <c r="BD142" i="3"/>
  <c r="BG142" i="3" s="1"/>
  <c r="AY142" i="3"/>
  <c r="BB142" i="3" s="1"/>
  <c r="AT142" i="3"/>
  <c r="AW142" i="3" s="1"/>
  <c r="AO142" i="3"/>
  <c r="AR142" i="3" s="1"/>
  <c r="AB142" i="3"/>
  <c r="AA142" i="3"/>
  <c r="Z142" i="3"/>
  <c r="Y142" i="3"/>
  <c r="X142" i="3"/>
  <c r="M142" i="3"/>
  <c r="H142" i="3"/>
  <c r="C142" i="3"/>
  <c r="BI141" i="3"/>
  <c r="BL141" i="3" s="1"/>
  <c r="BD141" i="3"/>
  <c r="BG141" i="3" s="1"/>
  <c r="AY141" i="3"/>
  <c r="BB141" i="3" s="1"/>
  <c r="AT141" i="3"/>
  <c r="AW141" i="3" s="1"/>
  <c r="AO141" i="3"/>
  <c r="AR141" i="3" s="1"/>
  <c r="AJ141" i="3"/>
  <c r="AM141" i="3" s="1"/>
  <c r="AB141" i="3"/>
  <c r="AA141" i="3"/>
  <c r="Z141" i="3"/>
  <c r="Y141" i="3"/>
  <c r="X141" i="3"/>
  <c r="M141" i="3"/>
  <c r="H141" i="3"/>
  <c r="C141" i="3"/>
  <c r="BI140" i="3"/>
  <c r="BL140" i="3" s="1"/>
  <c r="BD140" i="3"/>
  <c r="BG140" i="3" s="1"/>
  <c r="AY140" i="3"/>
  <c r="BB140" i="3" s="1"/>
  <c r="AT140" i="3"/>
  <c r="AW140" i="3" s="1"/>
  <c r="AO140" i="3"/>
  <c r="AR140" i="3" s="1"/>
  <c r="AJ140" i="3"/>
  <c r="AM140" i="3" s="1"/>
  <c r="AB140" i="3"/>
  <c r="AA140" i="3"/>
  <c r="Z140" i="3"/>
  <c r="Y140" i="3"/>
  <c r="X140" i="3"/>
  <c r="M140" i="3"/>
  <c r="H140" i="3"/>
  <c r="C140" i="3"/>
  <c r="BI139" i="3"/>
  <c r="BL139" i="3" s="1"/>
  <c r="BD139" i="3"/>
  <c r="BG139" i="3" s="1"/>
  <c r="AY139" i="3"/>
  <c r="BB139" i="3" s="1"/>
  <c r="AT139" i="3"/>
  <c r="AW139" i="3" s="1"/>
  <c r="AO139" i="3"/>
  <c r="AR139" i="3" s="1"/>
  <c r="AJ139" i="3"/>
  <c r="AM139" i="3" s="1"/>
  <c r="AB139" i="3"/>
  <c r="AA139" i="3"/>
  <c r="Z139" i="3"/>
  <c r="Y139" i="3"/>
  <c r="X139" i="3"/>
  <c r="M139" i="3"/>
  <c r="H139" i="3"/>
  <c r="C139" i="3"/>
  <c r="BI138" i="3"/>
  <c r="BL138" i="3" s="1"/>
  <c r="BD138" i="3"/>
  <c r="BG138" i="3" s="1"/>
  <c r="AY138" i="3"/>
  <c r="BB138" i="3" s="1"/>
  <c r="AT138" i="3"/>
  <c r="AW138" i="3" s="1"/>
  <c r="AO138" i="3"/>
  <c r="AR138" i="3" s="1"/>
  <c r="AJ138" i="3"/>
  <c r="AM138" i="3" s="1"/>
  <c r="AB138" i="3"/>
  <c r="AA138" i="3"/>
  <c r="Z138" i="3"/>
  <c r="Y138" i="3"/>
  <c r="X138" i="3"/>
  <c r="M138" i="3"/>
  <c r="H138" i="3"/>
  <c r="C138" i="3"/>
  <c r="BI137" i="3"/>
  <c r="BL137" i="3" s="1"/>
  <c r="BD137" i="3"/>
  <c r="BG137" i="3" s="1"/>
  <c r="AY137" i="3"/>
  <c r="BB137" i="3" s="1"/>
  <c r="AT137" i="3"/>
  <c r="AW137" i="3" s="1"/>
  <c r="AO137" i="3"/>
  <c r="AR137" i="3" s="1"/>
  <c r="AJ137" i="3"/>
  <c r="AM137" i="3" s="1"/>
  <c r="AB137" i="3"/>
  <c r="AA137" i="3"/>
  <c r="Z137" i="3"/>
  <c r="Y137" i="3"/>
  <c r="X137" i="3"/>
  <c r="M137" i="3"/>
  <c r="H137" i="3"/>
  <c r="C137" i="3"/>
  <c r="BI136" i="3"/>
  <c r="BL136" i="3" s="1"/>
  <c r="BD136" i="3"/>
  <c r="BG136" i="3" s="1"/>
  <c r="AY136" i="3"/>
  <c r="BB136" i="3" s="1"/>
  <c r="AT136" i="3"/>
  <c r="AW136" i="3" s="1"/>
  <c r="AO136" i="3"/>
  <c r="AR136" i="3" s="1"/>
  <c r="AJ136" i="3"/>
  <c r="AM136" i="3" s="1"/>
  <c r="AB136" i="3"/>
  <c r="AA136" i="3"/>
  <c r="Z136" i="3"/>
  <c r="Y136" i="3"/>
  <c r="X136" i="3"/>
  <c r="M136" i="3"/>
  <c r="H136" i="3"/>
  <c r="C136" i="3"/>
  <c r="BI135" i="3"/>
  <c r="BL135" i="3" s="1"/>
  <c r="BD135" i="3"/>
  <c r="BG135" i="3" s="1"/>
  <c r="AY135" i="3"/>
  <c r="BB135" i="3" s="1"/>
  <c r="AT135" i="3"/>
  <c r="AW135" i="3" s="1"/>
  <c r="AO135" i="3"/>
  <c r="AR135" i="3" s="1"/>
  <c r="AJ135" i="3"/>
  <c r="AM135" i="3" s="1"/>
  <c r="AB135" i="3"/>
  <c r="AA135" i="3"/>
  <c r="Z135" i="3"/>
  <c r="Y135" i="3"/>
  <c r="X135" i="3"/>
  <c r="M135" i="3"/>
  <c r="H135" i="3"/>
  <c r="C135" i="3"/>
  <c r="BI134" i="3"/>
  <c r="BL134" i="3" s="1"/>
  <c r="BD134" i="3"/>
  <c r="BG134" i="3" s="1"/>
  <c r="AY134" i="3"/>
  <c r="BB134" i="3" s="1"/>
  <c r="AT134" i="3"/>
  <c r="AW134" i="3" s="1"/>
  <c r="AO134" i="3"/>
  <c r="AR134" i="3" s="1"/>
  <c r="AJ134" i="3"/>
  <c r="AM134" i="3" s="1"/>
  <c r="AB134" i="3"/>
  <c r="AA134" i="3"/>
  <c r="Z134" i="3"/>
  <c r="Y134" i="3"/>
  <c r="X134" i="3"/>
  <c r="M134" i="3"/>
  <c r="H134" i="3"/>
  <c r="C134" i="3"/>
  <c r="BI133" i="3"/>
  <c r="BL133" i="3" s="1"/>
  <c r="BD133" i="3"/>
  <c r="BG133" i="3" s="1"/>
  <c r="AY133" i="3"/>
  <c r="BB133" i="3" s="1"/>
  <c r="AT133" i="3"/>
  <c r="AW133" i="3" s="1"/>
  <c r="AO133" i="3"/>
  <c r="AR133" i="3" s="1"/>
  <c r="AJ133" i="3"/>
  <c r="AM133" i="3" s="1"/>
  <c r="AB133" i="3"/>
  <c r="AA133" i="3"/>
  <c r="Z133" i="3"/>
  <c r="Y133" i="3"/>
  <c r="X133" i="3"/>
  <c r="M133" i="3"/>
  <c r="H133" i="3"/>
  <c r="C133" i="3"/>
  <c r="BI132" i="3"/>
  <c r="BL132" i="3" s="1"/>
  <c r="BD132" i="3"/>
  <c r="BG132" i="3" s="1"/>
  <c r="AY132" i="3"/>
  <c r="BB132" i="3" s="1"/>
  <c r="AT132" i="3"/>
  <c r="AW132" i="3" s="1"/>
  <c r="AO132" i="3"/>
  <c r="AR132" i="3" s="1"/>
  <c r="AJ132" i="3"/>
  <c r="AM132" i="3" s="1"/>
  <c r="AB132" i="3"/>
  <c r="AA132" i="3"/>
  <c r="Z132" i="3"/>
  <c r="Y132" i="3"/>
  <c r="X132" i="3"/>
  <c r="M132" i="3"/>
  <c r="H132" i="3"/>
  <c r="C132" i="3"/>
  <c r="BI131" i="3"/>
  <c r="BL131" i="3" s="1"/>
  <c r="BD131" i="3"/>
  <c r="BG131" i="3" s="1"/>
  <c r="AY131" i="3"/>
  <c r="BB131" i="3" s="1"/>
  <c r="AT131" i="3"/>
  <c r="AW131" i="3" s="1"/>
  <c r="AO131" i="3"/>
  <c r="AR131" i="3" s="1"/>
  <c r="AJ131" i="3"/>
  <c r="AM131" i="3" s="1"/>
  <c r="AB131" i="3"/>
  <c r="AA131" i="3"/>
  <c r="Z131" i="3"/>
  <c r="Y131" i="3"/>
  <c r="X131" i="3"/>
  <c r="M131" i="3"/>
  <c r="H131" i="3"/>
  <c r="C131" i="3"/>
  <c r="BI130" i="3"/>
  <c r="BL130" i="3" s="1"/>
  <c r="BD130" i="3"/>
  <c r="BG130" i="3" s="1"/>
  <c r="AY130" i="3"/>
  <c r="BB130" i="3" s="1"/>
  <c r="AT130" i="3"/>
  <c r="AW130" i="3" s="1"/>
  <c r="AO130" i="3"/>
  <c r="AR130" i="3" s="1"/>
  <c r="AJ130" i="3"/>
  <c r="AM130" i="3" s="1"/>
  <c r="AB130" i="3"/>
  <c r="AA130" i="3"/>
  <c r="Z130" i="3"/>
  <c r="Y130" i="3"/>
  <c r="X130" i="3"/>
  <c r="M130" i="3"/>
  <c r="H130" i="3"/>
  <c r="C130" i="3"/>
  <c r="BI129" i="3"/>
  <c r="BL129" i="3" s="1"/>
  <c r="BD129" i="3"/>
  <c r="BG129" i="3" s="1"/>
  <c r="AY129" i="3"/>
  <c r="BB129" i="3" s="1"/>
  <c r="AT129" i="3"/>
  <c r="AW129" i="3" s="1"/>
  <c r="AO129" i="3"/>
  <c r="AR129" i="3" s="1"/>
  <c r="AJ129" i="3"/>
  <c r="AM129" i="3" s="1"/>
  <c r="AB129" i="3"/>
  <c r="AA129" i="3"/>
  <c r="Z129" i="3"/>
  <c r="Y129" i="3"/>
  <c r="X129" i="3"/>
  <c r="M129" i="3"/>
  <c r="H129" i="3"/>
  <c r="C129" i="3"/>
  <c r="BI128" i="3"/>
  <c r="BL128" i="3" s="1"/>
  <c r="BD128" i="3"/>
  <c r="BG128" i="3" s="1"/>
  <c r="AY128" i="3"/>
  <c r="BB128" i="3" s="1"/>
  <c r="AT128" i="3"/>
  <c r="AW128" i="3" s="1"/>
  <c r="AO128" i="3"/>
  <c r="AR128" i="3" s="1"/>
  <c r="AJ128" i="3"/>
  <c r="AM128" i="3" s="1"/>
  <c r="AB128" i="3"/>
  <c r="AA128" i="3"/>
  <c r="Z128" i="3"/>
  <c r="Y128" i="3"/>
  <c r="X128" i="3"/>
  <c r="M128" i="3"/>
  <c r="H128" i="3"/>
  <c r="C128" i="3"/>
  <c r="BI127" i="3"/>
  <c r="BL127" i="3" s="1"/>
  <c r="BD127" i="3"/>
  <c r="BG127" i="3" s="1"/>
  <c r="AY127" i="3"/>
  <c r="BB127" i="3" s="1"/>
  <c r="AT127" i="3"/>
  <c r="AW127" i="3" s="1"/>
  <c r="AO127" i="3"/>
  <c r="AR127" i="3" s="1"/>
  <c r="AJ127" i="3"/>
  <c r="AM127" i="3" s="1"/>
  <c r="AB127" i="3"/>
  <c r="AA127" i="3"/>
  <c r="Z127" i="3"/>
  <c r="Y127" i="3"/>
  <c r="X127" i="3"/>
  <c r="M127" i="3"/>
  <c r="H127" i="3"/>
  <c r="C127" i="3"/>
  <c r="BI126" i="3"/>
  <c r="BL126" i="3" s="1"/>
  <c r="BD126" i="3"/>
  <c r="BG126" i="3" s="1"/>
  <c r="AY126" i="3"/>
  <c r="BB126" i="3" s="1"/>
  <c r="AT126" i="3"/>
  <c r="AW126" i="3" s="1"/>
  <c r="AO126" i="3"/>
  <c r="AR126" i="3" s="1"/>
  <c r="AJ126" i="3"/>
  <c r="AM126" i="3" s="1"/>
  <c r="AB126" i="3"/>
  <c r="AA126" i="3"/>
  <c r="Z126" i="3"/>
  <c r="Y126" i="3"/>
  <c r="X126" i="3"/>
  <c r="M126" i="3"/>
  <c r="H126" i="3"/>
  <c r="C126" i="3"/>
  <c r="BI125" i="3"/>
  <c r="BL125" i="3" s="1"/>
  <c r="BD125" i="3"/>
  <c r="BG125" i="3" s="1"/>
  <c r="BB125" i="3"/>
  <c r="AY125" i="3"/>
  <c r="AT125" i="3"/>
  <c r="AW125" i="3" s="1"/>
  <c r="AR125" i="3"/>
  <c r="AO125" i="3"/>
  <c r="AJ125" i="3"/>
  <c r="AM125" i="3" s="1"/>
  <c r="AB125" i="3"/>
  <c r="AA125" i="3"/>
  <c r="Z125" i="3"/>
  <c r="Y125" i="3"/>
  <c r="X125" i="3"/>
  <c r="M125" i="3"/>
  <c r="H125" i="3"/>
  <c r="C125" i="3"/>
  <c r="BL124" i="3"/>
  <c r="BI124" i="3"/>
  <c r="BD124" i="3"/>
  <c r="BG124" i="3" s="1"/>
  <c r="BB124" i="3"/>
  <c r="AY124" i="3"/>
  <c r="AT124" i="3"/>
  <c r="AW124" i="3" s="1"/>
  <c r="AR124" i="3"/>
  <c r="AO124" i="3"/>
  <c r="AJ124" i="3"/>
  <c r="AM124" i="3" s="1"/>
  <c r="AB124" i="3"/>
  <c r="AA124" i="3"/>
  <c r="Z124" i="3"/>
  <c r="Y124" i="3"/>
  <c r="X124" i="3"/>
  <c r="M124" i="3"/>
  <c r="H124" i="3"/>
  <c r="C124" i="3"/>
  <c r="BL123" i="3"/>
  <c r="BI123" i="3"/>
  <c r="BD123" i="3"/>
  <c r="BG123" i="3" s="1"/>
  <c r="BB123" i="3"/>
  <c r="AY123" i="3"/>
  <c r="AT123" i="3"/>
  <c r="AW123" i="3" s="1"/>
  <c r="AR123" i="3"/>
  <c r="AO123" i="3"/>
  <c r="AJ123" i="3"/>
  <c r="AM123" i="3" s="1"/>
  <c r="AB123" i="3"/>
  <c r="AA123" i="3"/>
  <c r="Z123" i="3"/>
  <c r="Y123" i="3"/>
  <c r="X123" i="3"/>
  <c r="M123" i="3"/>
  <c r="H123" i="3"/>
  <c r="C123" i="3"/>
  <c r="BL122" i="3"/>
  <c r="BI122" i="3"/>
  <c r="BD122" i="3"/>
  <c r="BG122" i="3" s="1"/>
  <c r="BB122" i="3"/>
  <c r="AY122" i="3"/>
  <c r="AT122" i="3"/>
  <c r="AW122" i="3" s="1"/>
  <c r="AR122" i="3"/>
  <c r="AO122" i="3"/>
  <c r="AJ122" i="3"/>
  <c r="AM122" i="3" s="1"/>
  <c r="AB122" i="3"/>
  <c r="AA122" i="3"/>
  <c r="Z122" i="3"/>
  <c r="Y122" i="3"/>
  <c r="X122" i="3"/>
  <c r="M122" i="3"/>
  <c r="H122" i="3"/>
  <c r="C122" i="3"/>
  <c r="BL121" i="3"/>
  <c r="BI121" i="3"/>
  <c r="BD121" i="3"/>
  <c r="BG121" i="3" s="1"/>
  <c r="BB121" i="3"/>
  <c r="AY121" i="3"/>
  <c r="AT121" i="3"/>
  <c r="AW121" i="3" s="1"/>
  <c r="AR121" i="3"/>
  <c r="AO121" i="3"/>
  <c r="AJ121" i="3"/>
  <c r="AM121" i="3" s="1"/>
  <c r="AB121" i="3"/>
  <c r="AA121" i="3"/>
  <c r="Z121" i="3"/>
  <c r="Y121" i="3"/>
  <c r="X121" i="3"/>
  <c r="M121" i="3"/>
  <c r="H121" i="3"/>
  <c r="C121" i="3"/>
  <c r="BL120" i="3"/>
  <c r="BI120" i="3"/>
  <c r="BD120" i="3"/>
  <c r="BG120" i="3" s="1"/>
  <c r="BB120" i="3"/>
  <c r="AY120" i="3"/>
  <c r="AT120" i="3"/>
  <c r="AW120" i="3" s="1"/>
  <c r="AR120" i="3"/>
  <c r="AO120" i="3"/>
  <c r="AJ120" i="3"/>
  <c r="AM120" i="3" s="1"/>
  <c r="AB120" i="3"/>
  <c r="AA120" i="3"/>
  <c r="Z120" i="3"/>
  <c r="Y120" i="3"/>
  <c r="X120" i="3"/>
  <c r="M120" i="3"/>
  <c r="H120" i="3"/>
  <c r="C120" i="3"/>
  <c r="BL119" i="3"/>
  <c r="BI119" i="3"/>
  <c r="BD119" i="3"/>
  <c r="BG119" i="3" s="1"/>
  <c r="BB119" i="3"/>
  <c r="AY119" i="3"/>
  <c r="AT119" i="3"/>
  <c r="AW119" i="3" s="1"/>
  <c r="AR119" i="3"/>
  <c r="AO119" i="3"/>
  <c r="AJ119" i="3"/>
  <c r="AM119" i="3" s="1"/>
  <c r="AB119" i="3"/>
  <c r="AA119" i="3"/>
  <c r="Z119" i="3"/>
  <c r="Y119" i="3"/>
  <c r="X119" i="3"/>
  <c r="M119" i="3"/>
  <c r="H119" i="3"/>
  <c r="C119" i="3"/>
  <c r="BL118" i="3"/>
  <c r="BI118" i="3"/>
  <c r="BD118" i="3"/>
  <c r="BG118" i="3" s="1"/>
  <c r="BB118" i="3"/>
  <c r="AY118" i="3"/>
  <c r="AT118" i="3"/>
  <c r="AW118" i="3" s="1"/>
  <c r="AR118" i="3"/>
  <c r="AO118" i="3"/>
  <c r="AJ118" i="3"/>
  <c r="AM118" i="3" s="1"/>
  <c r="AB118" i="3"/>
  <c r="AA118" i="3"/>
  <c r="Z118" i="3"/>
  <c r="Y118" i="3"/>
  <c r="X118" i="3"/>
  <c r="M118" i="3"/>
  <c r="H118" i="3"/>
  <c r="C118" i="3"/>
  <c r="BL117" i="3"/>
  <c r="BI117" i="3"/>
  <c r="BD117" i="3"/>
  <c r="BG117" i="3" s="1"/>
  <c r="BB117" i="3"/>
  <c r="AY117" i="3"/>
  <c r="AT117" i="3"/>
  <c r="AW117" i="3" s="1"/>
  <c r="AR117" i="3"/>
  <c r="AO117" i="3"/>
  <c r="AJ117" i="3"/>
  <c r="AM117" i="3" s="1"/>
  <c r="AB117" i="3"/>
  <c r="AA117" i="3"/>
  <c r="Z117" i="3"/>
  <c r="Y117" i="3"/>
  <c r="X117" i="3"/>
  <c r="M117" i="3"/>
  <c r="H117" i="3"/>
  <c r="C117" i="3"/>
  <c r="BL116" i="3"/>
  <c r="BI116" i="3"/>
  <c r="BD116" i="3"/>
  <c r="BG116" i="3" s="1"/>
  <c r="BB116" i="3"/>
  <c r="AY116" i="3"/>
  <c r="AT116" i="3"/>
  <c r="AW116" i="3" s="1"/>
  <c r="AR116" i="3"/>
  <c r="AO116" i="3"/>
  <c r="AJ116" i="3"/>
  <c r="AM116" i="3" s="1"/>
  <c r="AB116" i="3"/>
  <c r="AA116" i="3"/>
  <c r="Z116" i="3"/>
  <c r="Y116" i="3"/>
  <c r="X116" i="3"/>
  <c r="M116" i="3"/>
  <c r="H116" i="3"/>
  <c r="C116" i="3"/>
  <c r="BL115" i="3"/>
  <c r="BI115" i="3"/>
  <c r="BD115" i="3"/>
  <c r="BG115" i="3" s="1"/>
  <c r="BB115" i="3"/>
  <c r="AY115" i="3"/>
  <c r="AT115" i="3"/>
  <c r="AW115" i="3" s="1"/>
  <c r="AR115" i="3"/>
  <c r="AO115" i="3"/>
  <c r="AJ115" i="3"/>
  <c r="AM115" i="3" s="1"/>
  <c r="AB115" i="3"/>
  <c r="AA115" i="3"/>
  <c r="Z115" i="3"/>
  <c r="Y115" i="3"/>
  <c r="X115" i="3"/>
  <c r="M115" i="3"/>
  <c r="H115" i="3"/>
  <c r="C115" i="3"/>
  <c r="BL114" i="3"/>
  <c r="BI114" i="3"/>
  <c r="BD114" i="3"/>
  <c r="BG114" i="3" s="1"/>
  <c r="BB114" i="3"/>
  <c r="AY114" i="3"/>
  <c r="AT114" i="3"/>
  <c r="AW114" i="3" s="1"/>
  <c r="AR114" i="3"/>
  <c r="AO114" i="3"/>
  <c r="AJ114" i="3"/>
  <c r="AM114" i="3" s="1"/>
  <c r="AB114" i="3"/>
  <c r="AA114" i="3"/>
  <c r="Z114" i="3"/>
  <c r="Y114" i="3"/>
  <c r="X114" i="3"/>
  <c r="M114" i="3"/>
  <c r="H114" i="3"/>
  <c r="C114" i="3"/>
  <c r="BL113" i="3"/>
  <c r="BI113" i="3"/>
  <c r="BD113" i="3"/>
  <c r="BG113" i="3" s="1"/>
  <c r="BB113" i="3"/>
  <c r="AY113" i="3"/>
  <c r="AT113" i="3"/>
  <c r="AW113" i="3" s="1"/>
  <c r="AR113" i="3"/>
  <c r="AO113" i="3"/>
  <c r="AJ113" i="3"/>
  <c r="AM113" i="3" s="1"/>
  <c r="AB113" i="3"/>
  <c r="AA113" i="3"/>
  <c r="Z113" i="3"/>
  <c r="Y113" i="3"/>
  <c r="X113" i="3"/>
  <c r="M113" i="3"/>
  <c r="H113" i="3"/>
  <c r="C113" i="3"/>
  <c r="BL112" i="3"/>
  <c r="BI112" i="3"/>
  <c r="BD112" i="3"/>
  <c r="BG112" i="3" s="1"/>
  <c r="BB112" i="3"/>
  <c r="AY112" i="3"/>
  <c r="AT112" i="3"/>
  <c r="AW112" i="3" s="1"/>
  <c r="AR112" i="3"/>
  <c r="AO112" i="3"/>
  <c r="AJ112" i="3"/>
  <c r="AM112" i="3" s="1"/>
  <c r="AB112" i="3"/>
  <c r="AA112" i="3"/>
  <c r="Z112" i="3"/>
  <c r="Y112" i="3"/>
  <c r="X112" i="3"/>
  <c r="M112" i="3"/>
  <c r="H112" i="3"/>
  <c r="C112" i="3"/>
  <c r="BL111" i="3"/>
  <c r="BI111" i="3"/>
  <c r="BD111" i="3"/>
  <c r="BG111" i="3" s="1"/>
  <c r="BB111" i="3"/>
  <c r="AY111" i="3"/>
  <c r="AT111" i="3"/>
  <c r="AW111" i="3" s="1"/>
  <c r="AR111" i="3"/>
  <c r="AO111" i="3"/>
  <c r="AJ111" i="3"/>
  <c r="AM111" i="3" s="1"/>
  <c r="AB111" i="3"/>
  <c r="AA111" i="3"/>
  <c r="Z111" i="3"/>
  <c r="Y111" i="3"/>
  <c r="X111" i="3"/>
  <c r="M111" i="3"/>
  <c r="H111" i="3"/>
  <c r="C111" i="3"/>
  <c r="BL110" i="3"/>
  <c r="BI110" i="3"/>
  <c r="BD110" i="3"/>
  <c r="BG110" i="3" s="1"/>
  <c r="BB110" i="3"/>
  <c r="AY110" i="3"/>
  <c r="AT110" i="3"/>
  <c r="AW110" i="3" s="1"/>
  <c r="AR110" i="3"/>
  <c r="AO110" i="3"/>
  <c r="AJ110" i="3"/>
  <c r="AM110" i="3" s="1"/>
  <c r="AB110" i="3"/>
  <c r="AA110" i="3"/>
  <c r="Z110" i="3"/>
  <c r="Y110" i="3"/>
  <c r="X110" i="3"/>
  <c r="M110" i="3"/>
  <c r="H110" i="3"/>
  <c r="C110" i="3"/>
  <c r="BL109" i="3"/>
  <c r="BI109" i="3"/>
  <c r="BD109" i="3"/>
  <c r="BG109" i="3" s="1"/>
  <c r="BB109" i="3"/>
  <c r="AY109" i="3"/>
  <c r="AT109" i="3"/>
  <c r="AW109" i="3" s="1"/>
  <c r="AR109" i="3"/>
  <c r="AO109" i="3"/>
  <c r="AJ109" i="3"/>
  <c r="AM109" i="3" s="1"/>
  <c r="AB109" i="3"/>
  <c r="AA109" i="3"/>
  <c r="Z109" i="3"/>
  <c r="Y109" i="3"/>
  <c r="X109" i="3"/>
  <c r="M109" i="3"/>
  <c r="H109" i="3"/>
  <c r="C109" i="3"/>
  <c r="BL108" i="3"/>
  <c r="BI108" i="3"/>
  <c r="BD108" i="3"/>
  <c r="BG108" i="3" s="1"/>
  <c r="BB108" i="3"/>
  <c r="AY108" i="3"/>
  <c r="AT108" i="3"/>
  <c r="AW108" i="3" s="1"/>
  <c r="AR108" i="3"/>
  <c r="AO108" i="3"/>
  <c r="AJ108" i="3"/>
  <c r="AM108" i="3" s="1"/>
  <c r="AB108" i="3"/>
  <c r="AA108" i="3"/>
  <c r="Z108" i="3"/>
  <c r="Y108" i="3"/>
  <c r="X108" i="3"/>
  <c r="M108" i="3"/>
  <c r="H108" i="3"/>
  <c r="C108" i="3"/>
  <c r="BL107" i="3"/>
  <c r="BI107" i="3"/>
  <c r="BD107" i="3"/>
  <c r="BG107" i="3" s="1"/>
  <c r="BB107" i="3"/>
  <c r="AY107" i="3"/>
  <c r="AT107" i="3"/>
  <c r="AW107" i="3" s="1"/>
  <c r="AR107" i="3"/>
  <c r="AO107" i="3"/>
  <c r="AJ107" i="3"/>
  <c r="AM107" i="3" s="1"/>
  <c r="AB107" i="3"/>
  <c r="AA107" i="3"/>
  <c r="Z107" i="3"/>
  <c r="Y107" i="3"/>
  <c r="X107" i="3"/>
  <c r="M107" i="3"/>
  <c r="H107" i="3"/>
  <c r="C107" i="3"/>
  <c r="BL106" i="3"/>
  <c r="BI106" i="3"/>
  <c r="BD106" i="3"/>
  <c r="BG106" i="3" s="1"/>
  <c r="BB106" i="3"/>
  <c r="AY106" i="3"/>
  <c r="AT106" i="3"/>
  <c r="AW106" i="3" s="1"/>
  <c r="AR106" i="3"/>
  <c r="AO106" i="3"/>
  <c r="AJ106" i="3"/>
  <c r="AM106" i="3" s="1"/>
  <c r="AB106" i="3"/>
  <c r="AA106" i="3"/>
  <c r="Z106" i="3"/>
  <c r="Y106" i="3"/>
  <c r="X106" i="3"/>
  <c r="M106" i="3"/>
  <c r="H106" i="3"/>
  <c r="C106" i="3"/>
  <c r="BL105" i="3"/>
  <c r="BI105" i="3"/>
  <c r="BD105" i="3"/>
  <c r="BG105" i="3" s="1"/>
  <c r="BB105" i="3"/>
  <c r="AY105" i="3"/>
  <c r="AT105" i="3"/>
  <c r="AW105" i="3" s="1"/>
  <c r="AR105" i="3"/>
  <c r="AO105" i="3"/>
  <c r="AJ105" i="3"/>
  <c r="AM105" i="3" s="1"/>
  <c r="AB105" i="3"/>
  <c r="AA105" i="3"/>
  <c r="Z105" i="3"/>
  <c r="Y105" i="3"/>
  <c r="X105" i="3"/>
  <c r="M105" i="3"/>
  <c r="H105" i="3"/>
  <c r="C105" i="3"/>
  <c r="BL104" i="3"/>
  <c r="BI104" i="3"/>
  <c r="BD104" i="3"/>
  <c r="BG104" i="3" s="1"/>
  <c r="BB104" i="3"/>
  <c r="AY104" i="3"/>
  <c r="AT104" i="3"/>
  <c r="AW104" i="3" s="1"/>
  <c r="AR104" i="3"/>
  <c r="AO104" i="3"/>
  <c r="AJ104" i="3"/>
  <c r="AM104" i="3" s="1"/>
  <c r="AB104" i="3"/>
  <c r="AA104" i="3"/>
  <c r="Z104" i="3"/>
  <c r="Y104" i="3"/>
  <c r="X104" i="3"/>
  <c r="M104" i="3"/>
  <c r="H104" i="3"/>
  <c r="C104" i="3"/>
  <c r="BL103" i="3"/>
  <c r="BI103" i="3"/>
  <c r="BD103" i="3"/>
  <c r="BG103" i="3" s="1"/>
  <c r="BB103" i="3"/>
  <c r="AY103" i="3"/>
  <c r="AT103" i="3"/>
  <c r="AW103" i="3" s="1"/>
  <c r="AR103" i="3"/>
  <c r="AO103" i="3"/>
  <c r="AJ103" i="3"/>
  <c r="AM103" i="3" s="1"/>
  <c r="AB103" i="3"/>
  <c r="AA103" i="3"/>
  <c r="Z103" i="3"/>
  <c r="Y103" i="3"/>
  <c r="X103" i="3"/>
  <c r="M103" i="3"/>
  <c r="H103" i="3"/>
  <c r="C103" i="3"/>
  <c r="BL102" i="3"/>
  <c r="BI102" i="3"/>
  <c r="BD102" i="3"/>
  <c r="BG102" i="3" s="1"/>
  <c r="BB102" i="3"/>
  <c r="AY102" i="3"/>
  <c r="AT102" i="3"/>
  <c r="AW102" i="3" s="1"/>
  <c r="AR102" i="3"/>
  <c r="AO102" i="3"/>
  <c r="AJ102" i="3"/>
  <c r="AM102" i="3" s="1"/>
  <c r="AB102" i="3"/>
  <c r="AA102" i="3"/>
  <c r="Z102" i="3"/>
  <c r="Y102" i="3"/>
  <c r="X102" i="3"/>
  <c r="M102" i="3"/>
  <c r="H102" i="3"/>
  <c r="C102" i="3"/>
  <c r="BL101" i="3"/>
  <c r="BI101" i="3"/>
  <c r="BD101" i="3"/>
  <c r="BG101" i="3" s="1"/>
  <c r="BB101" i="3"/>
  <c r="AY101" i="3"/>
  <c r="AT101" i="3"/>
  <c r="AW101" i="3" s="1"/>
  <c r="AR101" i="3"/>
  <c r="AO101" i="3"/>
  <c r="AJ101" i="3"/>
  <c r="AM101" i="3" s="1"/>
  <c r="AB101" i="3"/>
  <c r="AA101" i="3"/>
  <c r="Z101" i="3"/>
  <c r="Y101" i="3"/>
  <c r="X101" i="3"/>
  <c r="M101" i="3"/>
  <c r="H101" i="3"/>
  <c r="C101" i="3"/>
  <c r="BL100" i="3"/>
  <c r="BI100" i="3"/>
  <c r="BD100" i="3"/>
  <c r="BG100" i="3" s="1"/>
  <c r="BB100" i="3"/>
  <c r="AY100" i="3"/>
  <c r="AT100" i="3"/>
  <c r="AW100" i="3" s="1"/>
  <c r="AR100" i="3"/>
  <c r="AO100" i="3"/>
  <c r="AJ100" i="3"/>
  <c r="AM100" i="3" s="1"/>
  <c r="AB100" i="3"/>
  <c r="AA100" i="3"/>
  <c r="Z100" i="3"/>
  <c r="Y100" i="3"/>
  <c r="X100" i="3"/>
  <c r="M100" i="3"/>
  <c r="H100" i="3"/>
  <c r="C100" i="3"/>
  <c r="BL99" i="3"/>
  <c r="BI99" i="3"/>
  <c r="BD99" i="3"/>
  <c r="BG99" i="3" s="1"/>
  <c r="BB99" i="3"/>
  <c r="AY99" i="3"/>
  <c r="AT99" i="3"/>
  <c r="AW99" i="3" s="1"/>
  <c r="AR99" i="3"/>
  <c r="AO99" i="3"/>
  <c r="AJ99" i="3"/>
  <c r="AM99" i="3" s="1"/>
  <c r="AB99" i="3"/>
  <c r="AA99" i="3"/>
  <c r="Z99" i="3"/>
  <c r="Y99" i="3"/>
  <c r="X99" i="3"/>
  <c r="M99" i="3"/>
  <c r="H99" i="3"/>
  <c r="C99" i="3"/>
  <c r="BL98" i="3"/>
  <c r="BI98" i="3"/>
  <c r="BD98" i="3"/>
  <c r="BG98" i="3" s="1"/>
  <c r="BB98" i="3"/>
  <c r="AY98" i="3"/>
  <c r="AT98" i="3"/>
  <c r="AW98" i="3" s="1"/>
  <c r="AR98" i="3"/>
  <c r="AO98" i="3"/>
  <c r="AJ98" i="3"/>
  <c r="AM98" i="3" s="1"/>
  <c r="AB98" i="3"/>
  <c r="AA98" i="3"/>
  <c r="Z98" i="3"/>
  <c r="Y98" i="3"/>
  <c r="X98" i="3"/>
  <c r="M98" i="3"/>
  <c r="H98" i="3"/>
  <c r="C98" i="3"/>
  <c r="BL97" i="3"/>
  <c r="BI97" i="3"/>
  <c r="BD97" i="3"/>
  <c r="BG97" i="3" s="1"/>
  <c r="BB97" i="3"/>
  <c r="AY97" i="3"/>
  <c r="AT97" i="3"/>
  <c r="AW97" i="3" s="1"/>
  <c r="AR97" i="3"/>
  <c r="AO97" i="3"/>
  <c r="AJ97" i="3"/>
  <c r="AM97" i="3" s="1"/>
  <c r="AB97" i="3"/>
  <c r="AA97" i="3"/>
  <c r="Z97" i="3"/>
  <c r="Y97" i="3"/>
  <c r="X97" i="3"/>
  <c r="M97" i="3"/>
  <c r="H97" i="3"/>
  <c r="C97" i="3"/>
  <c r="BL96" i="3"/>
  <c r="BI96" i="3"/>
  <c r="BD96" i="3"/>
  <c r="BG96" i="3" s="1"/>
  <c r="BB96" i="3"/>
  <c r="AY96" i="3"/>
  <c r="AT96" i="3"/>
  <c r="AW96" i="3" s="1"/>
  <c r="AR96" i="3"/>
  <c r="AO96" i="3"/>
  <c r="AJ96" i="3"/>
  <c r="AM96" i="3" s="1"/>
  <c r="AB96" i="3"/>
  <c r="AA96" i="3"/>
  <c r="Z96" i="3"/>
  <c r="Y96" i="3"/>
  <c r="X96" i="3"/>
  <c r="M96" i="3"/>
  <c r="H96" i="3"/>
  <c r="C96" i="3"/>
  <c r="BL95" i="3"/>
  <c r="BI95" i="3"/>
  <c r="BD95" i="3"/>
  <c r="BG95" i="3" s="1"/>
  <c r="BB95" i="3"/>
  <c r="AY95" i="3"/>
  <c r="AT95" i="3"/>
  <c r="AW95" i="3" s="1"/>
  <c r="AR95" i="3"/>
  <c r="AO95" i="3"/>
  <c r="AJ95" i="3"/>
  <c r="AM95" i="3" s="1"/>
  <c r="AB95" i="3"/>
  <c r="AA95" i="3"/>
  <c r="Z95" i="3"/>
  <c r="Y95" i="3"/>
  <c r="X95" i="3"/>
  <c r="M95" i="3"/>
  <c r="H95" i="3"/>
  <c r="C95" i="3"/>
  <c r="BL94" i="3"/>
  <c r="BI94" i="3"/>
  <c r="BD94" i="3"/>
  <c r="BG94" i="3" s="1"/>
  <c r="BB94" i="3"/>
  <c r="AY94" i="3"/>
  <c r="AT94" i="3"/>
  <c r="AW94" i="3" s="1"/>
  <c r="AR94" i="3"/>
  <c r="AO94" i="3"/>
  <c r="AJ94" i="3"/>
  <c r="AM94" i="3" s="1"/>
  <c r="AB94" i="3"/>
  <c r="AA94" i="3"/>
  <c r="Z94" i="3"/>
  <c r="Y94" i="3"/>
  <c r="X94" i="3"/>
  <c r="M94" i="3"/>
  <c r="H94" i="3"/>
  <c r="C94" i="3"/>
  <c r="BL93" i="3"/>
  <c r="BI93" i="3"/>
  <c r="BD93" i="3"/>
  <c r="BG93" i="3" s="1"/>
  <c r="BB93" i="3"/>
  <c r="AY93" i="3"/>
  <c r="AT93" i="3"/>
  <c r="AW93" i="3" s="1"/>
  <c r="AR93" i="3"/>
  <c r="AO93" i="3"/>
  <c r="AJ93" i="3"/>
  <c r="AM93" i="3" s="1"/>
  <c r="AB93" i="3"/>
  <c r="AA93" i="3"/>
  <c r="Z93" i="3"/>
  <c r="Y93" i="3"/>
  <c r="X93" i="3"/>
  <c r="M93" i="3"/>
  <c r="H93" i="3"/>
  <c r="C93" i="3"/>
  <c r="BL92" i="3"/>
  <c r="BI92" i="3"/>
  <c r="BD92" i="3"/>
  <c r="BG92" i="3" s="1"/>
  <c r="BB92" i="3"/>
  <c r="AY92" i="3"/>
  <c r="AT92" i="3"/>
  <c r="AW92" i="3" s="1"/>
  <c r="AR92" i="3"/>
  <c r="AO92" i="3"/>
  <c r="AJ92" i="3"/>
  <c r="AM92" i="3" s="1"/>
  <c r="AB92" i="3"/>
  <c r="AA92" i="3"/>
  <c r="Z92" i="3"/>
  <c r="Y92" i="3"/>
  <c r="X92" i="3"/>
  <c r="M92" i="3"/>
  <c r="H92" i="3"/>
  <c r="C92" i="3"/>
  <c r="BL91" i="3"/>
  <c r="BI91" i="3"/>
  <c r="BD91" i="3"/>
  <c r="BG91" i="3" s="1"/>
  <c r="BB91" i="3"/>
  <c r="AY91" i="3"/>
  <c r="AT91" i="3"/>
  <c r="AW91" i="3" s="1"/>
  <c r="AR91" i="3"/>
  <c r="AO91" i="3"/>
  <c r="AJ91" i="3"/>
  <c r="AM91" i="3" s="1"/>
  <c r="AB91" i="3"/>
  <c r="AA91" i="3"/>
  <c r="Z91" i="3"/>
  <c r="Y91" i="3"/>
  <c r="X91" i="3"/>
  <c r="M91" i="3"/>
  <c r="H91" i="3"/>
  <c r="C91" i="3"/>
  <c r="BL90" i="3"/>
  <c r="BI90" i="3"/>
  <c r="BD90" i="3"/>
  <c r="BG90" i="3" s="1"/>
  <c r="BB90" i="3"/>
  <c r="AY90" i="3"/>
  <c r="AT90" i="3"/>
  <c r="AW90" i="3" s="1"/>
  <c r="AR90" i="3"/>
  <c r="AO90" i="3"/>
  <c r="AJ90" i="3"/>
  <c r="AM90" i="3" s="1"/>
  <c r="AB90" i="3"/>
  <c r="AA90" i="3"/>
  <c r="Z90" i="3"/>
  <c r="Y90" i="3"/>
  <c r="X90" i="3"/>
  <c r="M90" i="3"/>
  <c r="H90" i="3"/>
  <c r="C90" i="3"/>
  <c r="BL89" i="3"/>
  <c r="BI89" i="3"/>
  <c r="BD89" i="3"/>
  <c r="BG89" i="3" s="1"/>
  <c r="BB89" i="3"/>
  <c r="AY89" i="3"/>
  <c r="AT89" i="3"/>
  <c r="AW89" i="3" s="1"/>
  <c r="AR89" i="3"/>
  <c r="AO89" i="3"/>
  <c r="AJ89" i="3"/>
  <c r="AM89" i="3" s="1"/>
  <c r="AB89" i="3"/>
  <c r="AA89" i="3"/>
  <c r="Z89" i="3"/>
  <c r="Y89" i="3"/>
  <c r="X89" i="3"/>
  <c r="M89" i="3"/>
  <c r="H89" i="3"/>
  <c r="C89" i="3"/>
  <c r="BL88" i="3"/>
  <c r="BI88" i="3"/>
  <c r="BD88" i="3"/>
  <c r="BG88" i="3" s="1"/>
  <c r="BB88" i="3"/>
  <c r="AY88" i="3"/>
  <c r="AT88" i="3"/>
  <c r="AW88" i="3" s="1"/>
  <c r="AR88" i="3"/>
  <c r="AO88" i="3"/>
  <c r="AJ88" i="3"/>
  <c r="AM88" i="3" s="1"/>
  <c r="AB88" i="3"/>
  <c r="AA88" i="3"/>
  <c r="Z88" i="3"/>
  <c r="Y88" i="3"/>
  <c r="X88" i="3"/>
  <c r="M88" i="3"/>
  <c r="H88" i="3"/>
  <c r="C88" i="3"/>
  <c r="BL87" i="3"/>
  <c r="BI87" i="3"/>
  <c r="BD87" i="3"/>
  <c r="BG87" i="3" s="1"/>
  <c r="BB87" i="3"/>
  <c r="AY87" i="3"/>
  <c r="AT87" i="3"/>
  <c r="AW87" i="3" s="1"/>
  <c r="AR87" i="3"/>
  <c r="AO87" i="3"/>
  <c r="AJ87" i="3"/>
  <c r="AM87" i="3" s="1"/>
  <c r="AB87" i="3"/>
  <c r="AA87" i="3"/>
  <c r="Z87" i="3"/>
  <c r="Y87" i="3"/>
  <c r="X87" i="3"/>
  <c r="M87" i="3"/>
  <c r="H87" i="3"/>
  <c r="C87" i="3"/>
  <c r="BL86" i="3"/>
  <c r="BI86" i="3"/>
  <c r="BD86" i="3"/>
  <c r="BG86" i="3" s="1"/>
  <c r="BB86" i="3"/>
  <c r="AY86" i="3"/>
  <c r="AT86" i="3"/>
  <c r="AW86" i="3" s="1"/>
  <c r="AR86" i="3"/>
  <c r="AO86" i="3"/>
  <c r="AJ86" i="3"/>
  <c r="AM86" i="3" s="1"/>
  <c r="AB86" i="3"/>
  <c r="AA86" i="3"/>
  <c r="Z86" i="3"/>
  <c r="Y86" i="3"/>
  <c r="X86" i="3"/>
  <c r="M86" i="3"/>
  <c r="H86" i="3"/>
  <c r="C86" i="3"/>
  <c r="BL85" i="3"/>
  <c r="BI85" i="3"/>
  <c r="BD85" i="3"/>
  <c r="BG85" i="3" s="1"/>
  <c r="BB85" i="3"/>
  <c r="AY85" i="3"/>
  <c r="AT85" i="3"/>
  <c r="AW85" i="3" s="1"/>
  <c r="AR85" i="3"/>
  <c r="AO85" i="3"/>
  <c r="AJ85" i="3"/>
  <c r="AM85" i="3" s="1"/>
  <c r="AB85" i="3"/>
  <c r="AA85" i="3"/>
  <c r="Z85" i="3"/>
  <c r="Y85" i="3"/>
  <c r="X85" i="3"/>
  <c r="M85" i="3"/>
  <c r="H85" i="3"/>
  <c r="C85" i="3"/>
  <c r="BL84" i="3"/>
  <c r="BI84" i="3"/>
  <c r="BD84" i="3"/>
  <c r="BG84" i="3" s="1"/>
  <c r="BB84" i="3"/>
  <c r="AY84" i="3"/>
  <c r="AT84" i="3"/>
  <c r="AW84" i="3" s="1"/>
  <c r="AR84" i="3"/>
  <c r="AO84" i="3"/>
  <c r="AJ84" i="3"/>
  <c r="AM84" i="3" s="1"/>
  <c r="AB84" i="3"/>
  <c r="AA84" i="3"/>
  <c r="Z84" i="3"/>
  <c r="Y84" i="3"/>
  <c r="X84" i="3"/>
  <c r="M84" i="3"/>
  <c r="H84" i="3"/>
  <c r="C84" i="3"/>
  <c r="C7" i="10" l="1"/>
  <c r="B7" i="10"/>
  <c r="D3" i="10"/>
  <c r="B3" i="10"/>
  <c r="P124" i="12"/>
  <c r="H124" i="12"/>
  <c r="C124" i="12"/>
  <c r="P123" i="12"/>
  <c r="H123" i="12"/>
  <c r="C123" i="12"/>
  <c r="P122" i="12"/>
  <c r="H122" i="12"/>
  <c r="C122" i="12"/>
  <c r="P121" i="12"/>
  <c r="H121" i="12"/>
  <c r="C121" i="12"/>
  <c r="P120" i="12"/>
  <c r="H120" i="12"/>
  <c r="C120" i="12"/>
  <c r="P119" i="12"/>
  <c r="H119" i="12"/>
  <c r="C119" i="12"/>
  <c r="P118" i="12"/>
  <c r="H118" i="12"/>
  <c r="C118" i="12"/>
  <c r="P117" i="12"/>
  <c r="H117" i="12"/>
  <c r="C117" i="12"/>
  <c r="P116" i="12"/>
  <c r="H116" i="12"/>
  <c r="C116" i="12"/>
  <c r="P115" i="12"/>
  <c r="H115" i="12"/>
  <c r="C115" i="12"/>
  <c r="P114" i="12"/>
  <c r="H114" i="12"/>
  <c r="C114" i="12"/>
  <c r="P113" i="12"/>
  <c r="H113" i="12"/>
  <c r="C113" i="12"/>
  <c r="P112" i="12"/>
  <c r="H112" i="12"/>
  <c r="C112" i="12"/>
  <c r="P111" i="12"/>
  <c r="H111" i="12"/>
  <c r="C111" i="12"/>
  <c r="P110" i="12"/>
  <c r="H110" i="12"/>
  <c r="C110" i="12"/>
  <c r="P109" i="12"/>
  <c r="H109" i="12"/>
  <c r="C109" i="12"/>
  <c r="P108" i="12"/>
  <c r="H108" i="12"/>
  <c r="C108" i="12"/>
  <c r="P107" i="12"/>
  <c r="H107" i="12"/>
  <c r="C107" i="12"/>
  <c r="P106" i="12"/>
  <c r="H106" i="12"/>
  <c r="C106" i="12"/>
  <c r="P105" i="12"/>
  <c r="H105" i="12"/>
  <c r="C105" i="12"/>
  <c r="P104" i="12"/>
  <c r="H104" i="12"/>
  <c r="C104" i="12"/>
  <c r="P63" i="12"/>
  <c r="H63" i="12"/>
  <c r="C63" i="12"/>
  <c r="P62" i="12"/>
  <c r="H62" i="12"/>
  <c r="C62" i="12"/>
  <c r="P61" i="12"/>
  <c r="H61" i="12"/>
  <c r="C61" i="12"/>
  <c r="P60" i="12"/>
  <c r="H60" i="12"/>
  <c r="C60" i="12"/>
  <c r="P59" i="12"/>
  <c r="H59" i="12"/>
  <c r="C59" i="12"/>
  <c r="P58" i="12"/>
  <c r="H58" i="12"/>
  <c r="C58" i="12"/>
  <c r="P57" i="12"/>
  <c r="H57" i="12"/>
  <c r="C57" i="12"/>
  <c r="P56" i="12"/>
  <c r="H56" i="12"/>
  <c r="C56" i="12"/>
  <c r="P55" i="12"/>
  <c r="H55" i="12"/>
  <c r="C55" i="12"/>
  <c r="P54" i="12"/>
  <c r="H54" i="12"/>
  <c r="C54" i="12"/>
  <c r="P53" i="12"/>
  <c r="H53" i="12"/>
  <c r="C53" i="12"/>
  <c r="P52" i="12"/>
  <c r="H52" i="12"/>
  <c r="C52" i="12"/>
  <c r="P51" i="12"/>
  <c r="H51" i="12"/>
  <c r="C51" i="12"/>
  <c r="P50" i="12"/>
  <c r="H50" i="12"/>
  <c r="C50" i="12"/>
  <c r="P49" i="12"/>
  <c r="H49" i="12"/>
  <c r="C49" i="12"/>
  <c r="P48" i="12"/>
  <c r="H48" i="12"/>
  <c r="C48" i="12"/>
  <c r="P47" i="12"/>
  <c r="H47" i="12"/>
  <c r="C47" i="12"/>
  <c r="P46" i="12"/>
  <c r="H46" i="12"/>
  <c r="C46" i="12"/>
  <c r="P45" i="12"/>
  <c r="H45" i="12"/>
  <c r="C45" i="12"/>
  <c r="P44" i="12"/>
  <c r="H44" i="12"/>
  <c r="C44" i="12"/>
  <c r="P43" i="12"/>
  <c r="H43" i="12"/>
  <c r="C43" i="12"/>
  <c r="P42" i="12"/>
  <c r="H42" i="12"/>
  <c r="C42" i="12"/>
  <c r="P41" i="12"/>
  <c r="H41" i="12"/>
  <c r="C41" i="12"/>
  <c r="P40" i="12"/>
  <c r="H40" i="12"/>
  <c r="C40" i="12"/>
  <c r="P39" i="12"/>
  <c r="H39" i="12"/>
  <c r="C39" i="12"/>
  <c r="P38" i="12"/>
  <c r="H38" i="12"/>
  <c r="C38" i="12"/>
  <c r="P37" i="12"/>
  <c r="H37" i="12"/>
  <c r="C37" i="12"/>
  <c r="P36" i="12"/>
  <c r="H36" i="12"/>
  <c r="C36" i="12"/>
  <c r="P35" i="12"/>
  <c r="H35" i="12"/>
  <c r="C35" i="12"/>
  <c r="P34" i="12"/>
  <c r="H34" i="12"/>
  <c r="C34" i="12"/>
  <c r="P33" i="12"/>
  <c r="H33" i="12"/>
  <c r="C33" i="12"/>
  <c r="P32" i="12"/>
  <c r="H32" i="12"/>
  <c r="C32" i="12"/>
  <c r="P31" i="12"/>
  <c r="H31" i="12"/>
  <c r="C31" i="12"/>
  <c r="P30" i="12"/>
  <c r="H30" i="12"/>
  <c r="C30" i="12"/>
  <c r="P29" i="12"/>
  <c r="H29" i="12"/>
  <c r="C29" i="12"/>
  <c r="P28" i="12"/>
  <c r="H28" i="12"/>
  <c r="C28" i="12"/>
  <c r="P27" i="12"/>
  <c r="H27" i="12"/>
  <c r="C27" i="12"/>
  <c r="P26" i="12"/>
  <c r="H26" i="12"/>
  <c r="C26" i="12"/>
  <c r="P25" i="12"/>
  <c r="H25" i="12"/>
  <c r="C25" i="12"/>
  <c r="P24" i="12"/>
  <c r="H24" i="12"/>
  <c r="C24" i="12"/>
  <c r="P23" i="12"/>
  <c r="H23" i="12"/>
  <c r="C23" i="12"/>
  <c r="P22" i="12"/>
  <c r="H22" i="12"/>
  <c r="C22" i="12"/>
  <c r="P21" i="12"/>
  <c r="H21" i="12"/>
  <c r="C21" i="12"/>
  <c r="P20" i="12"/>
  <c r="H20" i="12"/>
  <c r="C20" i="12"/>
  <c r="P19" i="12"/>
  <c r="H19" i="12"/>
  <c r="C19" i="12"/>
  <c r="P18" i="12"/>
  <c r="H18" i="12"/>
  <c r="C18" i="12"/>
  <c r="P17" i="12"/>
  <c r="H17" i="12"/>
  <c r="C17" i="12"/>
  <c r="P16" i="12"/>
  <c r="H16" i="12"/>
  <c r="C16" i="12"/>
  <c r="P15" i="12"/>
  <c r="H15" i="12"/>
  <c r="C15" i="12"/>
  <c r="P14" i="12"/>
  <c r="H14" i="12"/>
  <c r="C14" i="12"/>
  <c r="P13" i="12"/>
  <c r="H13" i="12"/>
  <c r="C13" i="12"/>
  <c r="P12" i="12"/>
  <c r="H12" i="12"/>
  <c r="C12" i="12"/>
  <c r="P11" i="12"/>
  <c r="H11" i="12"/>
  <c r="C11" i="12"/>
  <c r="P10" i="12"/>
  <c r="P9" i="12" s="1"/>
  <c r="D6" i="12" s="1"/>
  <c r="H10" i="12"/>
  <c r="C10" i="12"/>
  <c r="N3" i="12"/>
  <c r="B3" i="12"/>
  <c r="BI1005" i="3"/>
  <c r="BL1005" i="3" s="1"/>
  <c r="BD1005" i="3"/>
  <c r="BG1005" i="3" s="1"/>
  <c r="AY1005" i="3"/>
  <c r="BB1005" i="3" s="1"/>
  <c r="AT1005" i="3"/>
  <c r="AW1005" i="3" s="1"/>
  <c r="AO1005" i="3"/>
  <c r="AR1005" i="3" s="1"/>
  <c r="BI1004" i="3"/>
  <c r="BL1004" i="3" s="1"/>
  <c r="BG1004" i="3"/>
  <c r="BD1004" i="3"/>
  <c r="AY1004" i="3"/>
  <c r="BB1004" i="3" s="1"/>
  <c r="AT1004" i="3"/>
  <c r="AW1004" i="3" s="1"/>
  <c r="AO1004" i="3"/>
  <c r="AR1004" i="3" s="1"/>
  <c r="AJ1004" i="3"/>
  <c r="AM1004" i="3" s="1"/>
  <c r="BI1003" i="3"/>
  <c r="BL1003" i="3" s="1"/>
  <c r="BD1003" i="3"/>
  <c r="BG1003" i="3" s="1"/>
  <c r="AY1003" i="3"/>
  <c r="BB1003" i="3" s="1"/>
  <c r="AW1003" i="3"/>
  <c r="AT1003" i="3"/>
  <c r="AO1003" i="3"/>
  <c r="AR1003" i="3" s="1"/>
  <c r="AJ1003" i="3"/>
  <c r="AM1003" i="3" s="1"/>
  <c r="BI1002" i="3"/>
  <c r="BL1002" i="3" s="1"/>
  <c r="BD1002" i="3"/>
  <c r="BG1002" i="3" s="1"/>
  <c r="AY1002" i="3"/>
  <c r="BB1002" i="3" s="1"/>
  <c r="AT1002" i="3"/>
  <c r="AW1002" i="3" s="1"/>
  <c r="AO1002" i="3"/>
  <c r="AR1002" i="3" s="1"/>
  <c r="AJ1002" i="3"/>
  <c r="AM1002" i="3" s="1"/>
  <c r="BI1001" i="3"/>
  <c r="BL1001" i="3" s="1"/>
  <c r="BD1001" i="3"/>
  <c r="BG1001" i="3" s="1"/>
  <c r="AY1001" i="3"/>
  <c r="BB1001" i="3" s="1"/>
  <c r="AT1001" i="3"/>
  <c r="AW1001" i="3" s="1"/>
  <c r="AO1001" i="3"/>
  <c r="AR1001" i="3" s="1"/>
  <c r="AJ1001" i="3"/>
  <c r="AM1001" i="3" s="1"/>
  <c r="BI1000" i="3"/>
  <c r="BL1000" i="3" s="1"/>
  <c r="BG1000" i="3"/>
  <c r="BD1000" i="3"/>
  <c r="AY1000" i="3"/>
  <c r="BB1000" i="3" s="1"/>
  <c r="AT1000" i="3"/>
  <c r="AW1000" i="3" s="1"/>
  <c r="AO1000" i="3"/>
  <c r="AR1000" i="3" s="1"/>
  <c r="BI999" i="3"/>
  <c r="BL999" i="3" s="1"/>
  <c r="BD999" i="3"/>
  <c r="BG999" i="3" s="1"/>
  <c r="AY999" i="3"/>
  <c r="BB999" i="3" s="1"/>
  <c r="AW999" i="3"/>
  <c r="AT999" i="3"/>
  <c r="AO999" i="3"/>
  <c r="AR999" i="3" s="1"/>
  <c r="AJ999" i="3"/>
  <c r="AM999" i="3" s="1"/>
  <c r="BI998" i="3"/>
  <c r="BL998" i="3" s="1"/>
  <c r="BD998" i="3"/>
  <c r="BG998" i="3" s="1"/>
  <c r="AY998" i="3"/>
  <c r="BB998" i="3" s="1"/>
  <c r="AT998" i="3"/>
  <c r="AW998" i="3" s="1"/>
  <c r="AO998" i="3"/>
  <c r="AR998" i="3" s="1"/>
  <c r="AM998" i="3"/>
  <c r="BI997" i="3"/>
  <c r="BL997" i="3" s="1"/>
  <c r="BD997" i="3"/>
  <c r="BG997" i="3" s="1"/>
  <c r="AY997" i="3"/>
  <c r="BB997" i="3" s="1"/>
  <c r="AT997" i="3"/>
  <c r="AW997" i="3" s="1"/>
  <c r="AO997" i="3"/>
  <c r="AR997" i="3" s="1"/>
  <c r="AJ997" i="3"/>
  <c r="AM997" i="3" s="1"/>
  <c r="BI996" i="3"/>
  <c r="BL996" i="3" s="1"/>
  <c r="BG996" i="3"/>
  <c r="BD996" i="3"/>
  <c r="AY996" i="3"/>
  <c r="BB996" i="3" s="1"/>
  <c r="AT996" i="3"/>
  <c r="AW996" i="3" s="1"/>
  <c r="AO996" i="3"/>
  <c r="AR996" i="3" s="1"/>
  <c r="AJ996" i="3"/>
  <c r="AM996" i="3" s="1"/>
  <c r="BI995" i="3"/>
  <c r="BL995" i="3" s="1"/>
  <c r="BD995" i="3"/>
  <c r="BG995" i="3" s="1"/>
  <c r="AY995" i="3"/>
  <c r="BB995" i="3" s="1"/>
  <c r="AW995" i="3"/>
  <c r="AT995" i="3"/>
  <c r="AO995" i="3"/>
  <c r="AR995" i="3" s="1"/>
  <c r="BI994" i="3"/>
  <c r="BL994" i="3" s="1"/>
  <c r="BD994" i="3"/>
  <c r="BG994" i="3" s="1"/>
  <c r="AY994" i="3"/>
  <c r="BB994" i="3" s="1"/>
  <c r="AT994" i="3"/>
  <c r="AW994" i="3" s="1"/>
  <c r="AO994" i="3"/>
  <c r="AR994" i="3" s="1"/>
  <c r="AJ994" i="3"/>
  <c r="AM994" i="3" s="1"/>
  <c r="BI993" i="3"/>
  <c r="BL993" i="3" s="1"/>
  <c r="BD993" i="3"/>
  <c r="BG993" i="3" s="1"/>
  <c r="AY993" i="3"/>
  <c r="BB993" i="3" s="1"/>
  <c r="AT993" i="3"/>
  <c r="AW993" i="3" s="1"/>
  <c r="AO993" i="3"/>
  <c r="AR993" i="3" s="1"/>
  <c r="AJ993" i="3"/>
  <c r="AM993" i="3" s="1"/>
  <c r="BI992" i="3"/>
  <c r="BL992" i="3" s="1"/>
  <c r="BG992" i="3"/>
  <c r="BD992" i="3"/>
  <c r="AY992" i="3"/>
  <c r="BB992" i="3" s="1"/>
  <c r="AT992" i="3"/>
  <c r="AW992" i="3" s="1"/>
  <c r="AO992" i="3"/>
  <c r="AR992" i="3" s="1"/>
  <c r="BI991" i="3"/>
  <c r="BL991" i="3" s="1"/>
  <c r="BD991" i="3"/>
  <c r="BG991" i="3" s="1"/>
  <c r="AY991" i="3"/>
  <c r="BB991" i="3" s="1"/>
  <c r="AW991" i="3"/>
  <c r="AT991" i="3"/>
  <c r="AO991" i="3"/>
  <c r="AR991" i="3" s="1"/>
  <c r="AJ991" i="3"/>
  <c r="AM991" i="3" s="1"/>
  <c r="BI990" i="3"/>
  <c r="BL990" i="3" s="1"/>
  <c r="BD990" i="3"/>
  <c r="BG990" i="3" s="1"/>
  <c r="AY990" i="3"/>
  <c r="BB990" i="3" s="1"/>
  <c r="AT990" i="3"/>
  <c r="AW990" i="3" s="1"/>
  <c r="AO990" i="3"/>
  <c r="AR990" i="3" s="1"/>
  <c r="AJ990" i="3"/>
  <c r="AM990" i="3" s="1"/>
  <c r="BI989" i="3"/>
  <c r="BL989" i="3" s="1"/>
  <c r="BD989" i="3"/>
  <c r="BG989" i="3" s="1"/>
  <c r="AY989" i="3"/>
  <c r="BB989" i="3" s="1"/>
  <c r="AT989" i="3"/>
  <c r="AW989" i="3" s="1"/>
  <c r="AO989" i="3"/>
  <c r="AR989" i="3" s="1"/>
  <c r="BI988" i="3"/>
  <c r="BL988" i="3" s="1"/>
  <c r="BG988" i="3"/>
  <c r="BD988" i="3"/>
  <c r="AY988" i="3"/>
  <c r="BB988" i="3" s="1"/>
  <c r="AT988" i="3"/>
  <c r="AW988" i="3" s="1"/>
  <c r="AO988" i="3"/>
  <c r="AR988" i="3" s="1"/>
  <c r="AJ988" i="3"/>
  <c r="AM988" i="3" s="1"/>
  <c r="BI987" i="3"/>
  <c r="BL987" i="3" s="1"/>
  <c r="BD987" i="3"/>
  <c r="BG987" i="3" s="1"/>
  <c r="AY987" i="3"/>
  <c r="BB987" i="3" s="1"/>
  <c r="AW987" i="3"/>
  <c r="AT987" i="3"/>
  <c r="AO987" i="3"/>
  <c r="AR987" i="3" s="1"/>
  <c r="BI986" i="3"/>
  <c r="BL986" i="3" s="1"/>
  <c r="BD986" i="3"/>
  <c r="BG986" i="3" s="1"/>
  <c r="AY986" i="3"/>
  <c r="BB986" i="3" s="1"/>
  <c r="AT986" i="3"/>
  <c r="AW986" i="3" s="1"/>
  <c r="AO986" i="3"/>
  <c r="AR986" i="3" s="1"/>
  <c r="AJ986" i="3"/>
  <c r="AM986" i="3" s="1"/>
  <c r="BI985" i="3"/>
  <c r="BL985" i="3" s="1"/>
  <c r="BD985" i="3"/>
  <c r="BG985" i="3" s="1"/>
  <c r="AY985" i="3"/>
  <c r="BB985" i="3" s="1"/>
  <c r="AT985" i="3"/>
  <c r="AW985" i="3" s="1"/>
  <c r="AO985" i="3"/>
  <c r="AR985" i="3" s="1"/>
  <c r="BI984" i="3"/>
  <c r="BL984" i="3" s="1"/>
  <c r="BG984" i="3"/>
  <c r="BD984" i="3"/>
  <c r="AY984" i="3"/>
  <c r="BB984" i="3" s="1"/>
  <c r="AT984" i="3"/>
  <c r="AW984" i="3" s="1"/>
  <c r="AO984" i="3"/>
  <c r="AR984" i="3" s="1"/>
  <c r="AJ984" i="3"/>
  <c r="AM984" i="3" s="1"/>
  <c r="BI983" i="3"/>
  <c r="BL983" i="3" s="1"/>
  <c r="BD983" i="3"/>
  <c r="BG983" i="3" s="1"/>
  <c r="AY983" i="3"/>
  <c r="BB983" i="3" s="1"/>
  <c r="AW983" i="3"/>
  <c r="AT983" i="3"/>
  <c r="AO983" i="3"/>
  <c r="AR983" i="3" s="1"/>
  <c r="AJ983" i="3"/>
  <c r="AM983" i="3" s="1"/>
  <c r="BI982" i="3"/>
  <c r="BL982" i="3" s="1"/>
  <c r="BD982" i="3"/>
  <c r="BG982" i="3" s="1"/>
  <c r="AY982" i="3"/>
  <c r="BB982" i="3" s="1"/>
  <c r="AT982" i="3"/>
  <c r="AW982" i="3" s="1"/>
  <c r="AO982" i="3"/>
  <c r="AR982" i="3" s="1"/>
  <c r="BI981" i="3"/>
  <c r="BL981" i="3" s="1"/>
  <c r="BD981" i="3"/>
  <c r="BG981" i="3" s="1"/>
  <c r="AY981" i="3"/>
  <c r="BB981" i="3" s="1"/>
  <c r="AT981" i="3"/>
  <c r="AW981" i="3" s="1"/>
  <c r="AO981" i="3"/>
  <c r="AR981" i="3" s="1"/>
  <c r="AJ981" i="3"/>
  <c r="AM981" i="3" s="1"/>
  <c r="BI980" i="3"/>
  <c r="BL980" i="3" s="1"/>
  <c r="BG980" i="3"/>
  <c r="BD980" i="3"/>
  <c r="AY980" i="3"/>
  <c r="BB980" i="3" s="1"/>
  <c r="AT980" i="3"/>
  <c r="AW980" i="3" s="1"/>
  <c r="AO980" i="3"/>
  <c r="AR980" i="3" s="1"/>
  <c r="AJ980" i="3"/>
  <c r="AM980" i="3" s="1"/>
  <c r="BI979" i="3"/>
  <c r="BL979" i="3" s="1"/>
  <c r="BD979" i="3"/>
  <c r="BG979" i="3" s="1"/>
  <c r="AY979" i="3"/>
  <c r="BB979" i="3" s="1"/>
  <c r="AW979" i="3"/>
  <c r="AT979" i="3"/>
  <c r="AO979" i="3"/>
  <c r="AR979" i="3" s="1"/>
  <c r="BI978" i="3"/>
  <c r="BL978" i="3" s="1"/>
  <c r="BD978" i="3"/>
  <c r="BG978" i="3" s="1"/>
  <c r="AY978" i="3"/>
  <c r="BB978" i="3" s="1"/>
  <c r="AT978" i="3"/>
  <c r="AW978" i="3" s="1"/>
  <c r="AO978" i="3"/>
  <c r="AR978" i="3" s="1"/>
  <c r="AJ978" i="3"/>
  <c r="AM978" i="3" s="1"/>
  <c r="BI977" i="3"/>
  <c r="BL977" i="3" s="1"/>
  <c r="BD977" i="3"/>
  <c r="BG977" i="3" s="1"/>
  <c r="AY977" i="3"/>
  <c r="BB977" i="3" s="1"/>
  <c r="AT977" i="3"/>
  <c r="AW977" i="3" s="1"/>
  <c r="AO977" i="3"/>
  <c r="AR977" i="3" s="1"/>
  <c r="BI976" i="3"/>
  <c r="BL976" i="3" s="1"/>
  <c r="BG976" i="3"/>
  <c r="BD976" i="3"/>
  <c r="AY976" i="3"/>
  <c r="BB976" i="3" s="1"/>
  <c r="AT976" i="3"/>
  <c r="AW976" i="3" s="1"/>
  <c r="AO976" i="3"/>
  <c r="AR976" i="3" s="1"/>
  <c r="BI975" i="3"/>
  <c r="BL975" i="3" s="1"/>
  <c r="BD975" i="3"/>
  <c r="BG975" i="3" s="1"/>
  <c r="AY975" i="3"/>
  <c r="BB975" i="3" s="1"/>
  <c r="AW975" i="3"/>
  <c r="AT975" i="3"/>
  <c r="AO975" i="3"/>
  <c r="AR975" i="3" s="1"/>
  <c r="AJ975" i="3"/>
  <c r="AM975" i="3" s="1"/>
  <c r="BI974" i="3"/>
  <c r="BL974" i="3" s="1"/>
  <c r="BD974" i="3"/>
  <c r="BG974" i="3" s="1"/>
  <c r="AY974" i="3"/>
  <c r="BB974" i="3" s="1"/>
  <c r="AT974" i="3"/>
  <c r="AW974" i="3" s="1"/>
  <c r="AO974" i="3"/>
  <c r="AR974" i="3" s="1"/>
  <c r="BI973" i="3"/>
  <c r="BL973" i="3" s="1"/>
  <c r="BD973" i="3"/>
  <c r="BG973" i="3" s="1"/>
  <c r="AY973" i="3"/>
  <c r="BB973" i="3" s="1"/>
  <c r="AT973" i="3"/>
  <c r="AW973" i="3" s="1"/>
  <c r="AO973" i="3"/>
  <c r="AR973" i="3" s="1"/>
  <c r="BI972" i="3"/>
  <c r="BL972" i="3" s="1"/>
  <c r="BG972" i="3"/>
  <c r="BD972" i="3"/>
  <c r="AY972" i="3"/>
  <c r="BB972" i="3" s="1"/>
  <c r="AT972" i="3"/>
  <c r="AW972" i="3" s="1"/>
  <c r="AO972" i="3"/>
  <c r="AR972" i="3" s="1"/>
  <c r="BI971" i="3"/>
  <c r="BL971" i="3" s="1"/>
  <c r="BD971" i="3"/>
  <c r="BG971" i="3" s="1"/>
  <c r="AY971" i="3"/>
  <c r="BB971" i="3" s="1"/>
  <c r="AT971" i="3"/>
  <c r="AW971" i="3" s="1"/>
  <c r="AO971" i="3"/>
  <c r="AR971" i="3" s="1"/>
  <c r="AJ971" i="3"/>
  <c r="AM971" i="3" s="1"/>
  <c r="BI970" i="3"/>
  <c r="BL970" i="3" s="1"/>
  <c r="BG970" i="3"/>
  <c r="BD970" i="3"/>
  <c r="AY970" i="3"/>
  <c r="BB970" i="3" s="1"/>
  <c r="AT970" i="3"/>
  <c r="AW970" i="3" s="1"/>
  <c r="AO970" i="3"/>
  <c r="AR970" i="3" s="1"/>
  <c r="BI969" i="3"/>
  <c r="BL969" i="3" s="1"/>
  <c r="BD969" i="3"/>
  <c r="BG969" i="3" s="1"/>
  <c r="AY969" i="3"/>
  <c r="BB969" i="3" s="1"/>
  <c r="AT969" i="3"/>
  <c r="AW969" i="3" s="1"/>
  <c r="AO969" i="3"/>
  <c r="AR969" i="3" s="1"/>
  <c r="AJ969" i="3"/>
  <c r="AM969" i="3" s="1"/>
  <c r="BI968" i="3"/>
  <c r="BL968" i="3" s="1"/>
  <c r="BD968" i="3"/>
  <c r="BG968" i="3" s="1"/>
  <c r="AY968" i="3"/>
  <c r="BB968" i="3" s="1"/>
  <c r="AT968" i="3"/>
  <c r="AW968" i="3" s="1"/>
  <c r="AO968" i="3"/>
  <c r="AR968" i="3" s="1"/>
  <c r="BI967" i="3"/>
  <c r="BL967" i="3" s="1"/>
  <c r="BD967" i="3"/>
  <c r="BG967" i="3" s="1"/>
  <c r="AY967" i="3"/>
  <c r="BB967" i="3" s="1"/>
  <c r="AW967" i="3"/>
  <c r="AT967" i="3"/>
  <c r="AO967" i="3"/>
  <c r="AR967" i="3" s="1"/>
  <c r="AJ967" i="3"/>
  <c r="AM967" i="3" s="1"/>
  <c r="BI966" i="3"/>
  <c r="BL966" i="3" s="1"/>
  <c r="BD966" i="3"/>
  <c r="BG966" i="3" s="1"/>
  <c r="AY966" i="3"/>
  <c r="BB966" i="3" s="1"/>
  <c r="AT966" i="3"/>
  <c r="AW966" i="3" s="1"/>
  <c r="AO966" i="3"/>
  <c r="AR966" i="3" s="1"/>
  <c r="BI965" i="3"/>
  <c r="BL965" i="3" s="1"/>
  <c r="BD965" i="3"/>
  <c r="BG965" i="3" s="1"/>
  <c r="AY965" i="3"/>
  <c r="BB965" i="3" s="1"/>
  <c r="AW965" i="3"/>
  <c r="AT965" i="3"/>
  <c r="AO965" i="3"/>
  <c r="AR965" i="3" s="1"/>
  <c r="BI964" i="3"/>
  <c r="BL964" i="3" s="1"/>
  <c r="BD964" i="3"/>
  <c r="BG964" i="3" s="1"/>
  <c r="AY964" i="3"/>
  <c r="BB964" i="3" s="1"/>
  <c r="AT964" i="3"/>
  <c r="AW964" i="3" s="1"/>
  <c r="AO964" i="3"/>
  <c r="AR964" i="3" s="1"/>
  <c r="BI963" i="3"/>
  <c r="BL963" i="3" s="1"/>
  <c r="BD963" i="3"/>
  <c r="BG963" i="3" s="1"/>
  <c r="AY963" i="3"/>
  <c r="BB963" i="3" s="1"/>
  <c r="AT963" i="3"/>
  <c r="AW963" i="3" s="1"/>
  <c r="AO963" i="3"/>
  <c r="AR963" i="3" s="1"/>
  <c r="BI962" i="3"/>
  <c r="BL962" i="3" s="1"/>
  <c r="BD962" i="3"/>
  <c r="BG962" i="3" s="1"/>
  <c r="AY962" i="3"/>
  <c r="BB962" i="3" s="1"/>
  <c r="AT962" i="3"/>
  <c r="AW962" i="3" s="1"/>
  <c r="AO962" i="3"/>
  <c r="AR962" i="3" s="1"/>
  <c r="BI961" i="3"/>
  <c r="BL961" i="3" s="1"/>
  <c r="BD961" i="3"/>
  <c r="BG961" i="3" s="1"/>
  <c r="AY961" i="3"/>
  <c r="BB961" i="3" s="1"/>
  <c r="AT961" i="3"/>
  <c r="AW961" i="3" s="1"/>
  <c r="AO961" i="3"/>
  <c r="AR961" i="3" s="1"/>
  <c r="AJ961" i="3"/>
  <c r="AM961" i="3" s="1"/>
  <c r="BI960" i="3"/>
  <c r="BL960" i="3" s="1"/>
  <c r="BD960" i="3"/>
  <c r="BG960" i="3" s="1"/>
  <c r="AY960" i="3"/>
  <c r="BB960" i="3" s="1"/>
  <c r="AT960" i="3"/>
  <c r="AW960" i="3" s="1"/>
  <c r="AO960" i="3"/>
  <c r="AR960" i="3" s="1"/>
  <c r="BI959" i="3"/>
  <c r="BL959" i="3" s="1"/>
  <c r="BD959" i="3"/>
  <c r="BG959" i="3" s="1"/>
  <c r="AY959" i="3"/>
  <c r="BB959" i="3" s="1"/>
  <c r="AT959" i="3"/>
  <c r="AW959" i="3" s="1"/>
  <c r="AO959" i="3"/>
  <c r="AR959" i="3" s="1"/>
  <c r="AJ959" i="3"/>
  <c r="AM959" i="3" s="1"/>
  <c r="BI958" i="3"/>
  <c r="BL958" i="3" s="1"/>
  <c r="BD958" i="3"/>
  <c r="BG958" i="3" s="1"/>
  <c r="AY958" i="3"/>
  <c r="BB958" i="3" s="1"/>
  <c r="AT958" i="3"/>
  <c r="AW958" i="3" s="1"/>
  <c r="AO958" i="3"/>
  <c r="AR958" i="3" s="1"/>
  <c r="BI957" i="3"/>
  <c r="BL957" i="3" s="1"/>
  <c r="BD957" i="3"/>
  <c r="BG957" i="3" s="1"/>
  <c r="AY957" i="3"/>
  <c r="BB957" i="3" s="1"/>
  <c r="AT957" i="3"/>
  <c r="AW957" i="3" s="1"/>
  <c r="AO957" i="3"/>
  <c r="AR957" i="3" s="1"/>
  <c r="AJ957" i="3"/>
  <c r="AM957" i="3" s="1"/>
  <c r="BI956" i="3"/>
  <c r="BL956" i="3" s="1"/>
  <c r="BG956" i="3"/>
  <c r="BD956" i="3"/>
  <c r="AY956" i="3"/>
  <c r="BB956" i="3" s="1"/>
  <c r="AT956" i="3"/>
  <c r="AW956" i="3" s="1"/>
  <c r="AO956" i="3"/>
  <c r="AR956" i="3" s="1"/>
  <c r="BI955" i="3"/>
  <c r="BL955" i="3" s="1"/>
  <c r="BD955" i="3"/>
  <c r="BG955" i="3" s="1"/>
  <c r="AY955" i="3"/>
  <c r="BB955" i="3" s="1"/>
  <c r="AT955" i="3"/>
  <c r="AW955" i="3" s="1"/>
  <c r="AO955" i="3"/>
  <c r="AR955" i="3" s="1"/>
  <c r="AJ955" i="3"/>
  <c r="AM955" i="3" s="1"/>
  <c r="BI954" i="3"/>
  <c r="BL954" i="3" s="1"/>
  <c r="BG954" i="3"/>
  <c r="BD954" i="3"/>
  <c r="AY954" i="3"/>
  <c r="BB954" i="3" s="1"/>
  <c r="AT954" i="3"/>
  <c r="AW954" i="3" s="1"/>
  <c r="AO954" i="3"/>
  <c r="AR954" i="3" s="1"/>
  <c r="AJ954" i="3"/>
  <c r="AM954" i="3" s="1"/>
  <c r="BI953" i="3"/>
  <c r="BL953" i="3" s="1"/>
  <c r="BD953" i="3"/>
  <c r="BG953" i="3" s="1"/>
  <c r="AY953" i="3"/>
  <c r="BB953" i="3" s="1"/>
  <c r="AT953" i="3"/>
  <c r="AW953" i="3" s="1"/>
  <c r="AO953" i="3"/>
  <c r="AR953" i="3" s="1"/>
  <c r="BI952" i="3"/>
  <c r="BL952" i="3" s="1"/>
  <c r="BD952" i="3"/>
  <c r="BG952" i="3" s="1"/>
  <c r="AY952" i="3"/>
  <c r="BB952" i="3" s="1"/>
  <c r="AT952" i="3"/>
  <c r="AW952" i="3" s="1"/>
  <c r="AO952" i="3"/>
  <c r="AR952" i="3" s="1"/>
  <c r="BI951" i="3"/>
  <c r="BL951" i="3" s="1"/>
  <c r="BD951" i="3"/>
  <c r="BG951" i="3" s="1"/>
  <c r="AY951" i="3"/>
  <c r="BB951" i="3" s="1"/>
  <c r="AT951" i="3"/>
  <c r="AW951" i="3" s="1"/>
  <c r="AO951" i="3"/>
  <c r="AR951" i="3" s="1"/>
  <c r="BI950" i="3"/>
  <c r="BL950" i="3" s="1"/>
  <c r="BD950" i="3"/>
  <c r="BG950" i="3" s="1"/>
  <c r="AY950" i="3"/>
  <c r="BB950" i="3" s="1"/>
  <c r="AT950" i="3"/>
  <c r="AW950" i="3" s="1"/>
  <c r="AO950" i="3"/>
  <c r="AR950" i="3" s="1"/>
  <c r="AJ950" i="3"/>
  <c r="AM950" i="3" s="1"/>
  <c r="BI949" i="3"/>
  <c r="BL949" i="3" s="1"/>
  <c r="BD949" i="3"/>
  <c r="BG949" i="3" s="1"/>
  <c r="AY949" i="3"/>
  <c r="BB949" i="3" s="1"/>
  <c r="AT949" i="3"/>
  <c r="AW949" i="3" s="1"/>
  <c r="AO949" i="3"/>
  <c r="AR949" i="3" s="1"/>
  <c r="BI948" i="3"/>
  <c r="BL948" i="3" s="1"/>
  <c r="BG948" i="3"/>
  <c r="BD948" i="3"/>
  <c r="AY948" i="3"/>
  <c r="BB948" i="3" s="1"/>
  <c r="AT948" i="3"/>
  <c r="AW948" i="3" s="1"/>
  <c r="AO948" i="3"/>
  <c r="AR948" i="3" s="1"/>
  <c r="AJ948" i="3"/>
  <c r="AM948" i="3" s="1"/>
  <c r="BI947" i="3"/>
  <c r="BL947" i="3" s="1"/>
  <c r="BD947" i="3"/>
  <c r="BG947" i="3" s="1"/>
  <c r="AY947" i="3"/>
  <c r="BB947" i="3" s="1"/>
  <c r="AT947" i="3"/>
  <c r="AW947" i="3" s="1"/>
  <c r="AO947" i="3"/>
  <c r="AR947" i="3" s="1"/>
  <c r="AJ947" i="3"/>
  <c r="AM947" i="3" s="1"/>
  <c r="BI946" i="3"/>
  <c r="BL946" i="3" s="1"/>
  <c r="BD946" i="3"/>
  <c r="BG946" i="3" s="1"/>
  <c r="AY946" i="3"/>
  <c r="BB946" i="3" s="1"/>
  <c r="AT946" i="3"/>
  <c r="AW946" i="3" s="1"/>
  <c r="AO946" i="3"/>
  <c r="AR946" i="3" s="1"/>
  <c r="AJ946" i="3"/>
  <c r="AM946" i="3" s="1"/>
  <c r="BI945" i="3"/>
  <c r="BL945" i="3" s="1"/>
  <c r="BD945" i="3"/>
  <c r="BG945" i="3" s="1"/>
  <c r="AY945" i="3"/>
  <c r="BB945" i="3" s="1"/>
  <c r="AT945" i="3"/>
  <c r="AW945" i="3" s="1"/>
  <c r="AO945" i="3"/>
  <c r="AR945" i="3" s="1"/>
  <c r="AJ945" i="3"/>
  <c r="AM945" i="3" s="1"/>
  <c r="BI944" i="3"/>
  <c r="BL944" i="3" s="1"/>
  <c r="BD944" i="3"/>
  <c r="BG944" i="3" s="1"/>
  <c r="AY944" i="3"/>
  <c r="BB944" i="3" s="1"/>
  <c r="AT944" i="3"/>
  <c r="AW944" i="3" s="1"/>
  <c r="AO944" i="3"/>
  <c r="AR944" i="3" s="1"/>
  <c r="AM944" i="3"/>
  <c r="BI943" i="3"/>
  <c r="BL943" i="3" s="1"/>
  <c r="BD943" i="3"/>
  <c r="BG943" i="3" s="1"/>
  <c r="AY943" i="3"/>
  <c r="BB943" i="3" s="1"/>
  <c r="AT943" i="3"/>
  <c r="AW943" i="3" s="1"/>
  <c r="AO943" i="3"/>
  <c r="AR943" i="3" s="1"/>
  <c r="AJ943" i="3"/>
  <c r="AM943" i="3" s="1"/>
  <c r="BI942" i="3"/>
  <c r="BL942" i="3" s="1"/>
  <c r="BD942" i="3"/>
  <c r="BG942" i="3" s="1"/>
  <c r="AY942" i="3"/>
  <c r="BB942" i="3" s="1"/>
  <c r="AT942" i="3"/>
  <c r="AW942" i="3" s="1"/>
  <c r="AO942" i="3"/>
  <c r="AR942" i="3" s="1"/>
  <c r="BI941" i="3"/>
  <c r="BL941" i="3" s="1"/>
  <c r="BD941" i="3"/>
  <c r="BG941" i="3" s="1"/>
  <c r="AY941" i="3"/>
  <c r="BB941" i="3" s="1"/>
  <c r="AT941" i="3"/>
  <c r="AW941" i="3" s="1"/>
  <c r="AO941" i="3"/>
  <c r="AR941" i="3" s="1"/>
  <c r="BI940" i="3"/>
  <c r="BL940" i="3" s="1"/>
  <c r="BD940" i="3"/>
  <c r="BG940" i="3" s="1"/>
  <c r="AY940" i="3"/>
  <c r="BB940" i="3" s="1"/>
  <c r="AT940" i="3"/>
  <c r="AW940" i="3" s="1"/>
  <c r="AO940" i="3"/>
  <c r="AR940" i="3" s="1"/>
  <c r="BI939" i="3"/>
  <c r="BL939" i="3" s="1"/>
  <c r="BD939" i="3"/>
  <c r="BG939" i="3" s="1"/>
  <c r="AY939" i="3"/>
  <c r="BB939" i="3" s="1"/>
  <c r="AT939" i="3"/>
  <c r="AW939" i="3" s="1"/>
  <c r="AO939" i="3"/>
  <c r="AR939" i="3" s="1"/>
  <c r="AJ939" i="3"/>
  <c r="AM939" i="3" s="1"/>
  <c r="BI938" i="3"/>
  <c r="BL938" i="3" s="1"/>
  <c r="BD938" i="3"/>
  <c r="BG938" i="3" s="1"/>
  <c r="AY938" i="3"/>
  <c r="BB938" i="3" s="1"/>
  <c r="AT938" i="3"/>
  <c r="AW938" i="3" s="1"/>
  <c r="AO938" i="3"/>
  <c r="AR938" i="3" s="1"/>
  <c r="BI937" i="3"/>
  <c r="BL937" i="3" s="1"/>
  <c r="BD937" i="3"/>
  <c r="BG937" i="3" s="1"/>
  <c r="AY937" i="3"/>
  <c r="BB937" i="3" s="1"/>
  <c r="AT937" i="3"/>
  <c r="AW937" i="3" s="1"/>
  <c r="AO937" i="3"/>
  <c r="AR937" i="3" s="1"/>
  <c r="AJ937" i="3"/>
  <c r="AM937" i="3" s="1"/>
  <c r="BI936" i="3"/>
  <c r="BL936" i="3" s="1"/>
  <c r="BD936" i="3"/>
  <c r="BG936" i="3" s="1"/>
  <c r="AY936" i="3"/>
  <c r="BB936" i="3" s="1"/>
  <c r="AT936" i="3"/>
  <c r="AW936" i="3" s="1"/>
  <c r="AO936" i="3"/>
  <c r="AR936" i="3" s="1"/>
  <c r="BI935" i="3"/>
  <c r="BL935" i="3" s="1"/>
  <c r="BD935" i="3"/>
  <c r="BG935" i="3" s="1"/>
  <c r="AY935" i="3"/>
  <c r="BB935" i="3" s="1"/>
  <c r="AT935" i="3"/>
  <c r="AW935" i="3" s="1"/>
  <c r="AO935" i="3"/>
  <c r="AR935" i="3" s="1"/>
  <c r="AJ935" i="3"/>
  <c r="AM935" i="3" s="1"/>
  <c r="BI934" i="3"/>
  <c r="BL934" i="3" s="1"/>
  <c r="BD934" i="3"/>
  <c r="BG934" i="3" s="1"/>
  <c r="AY934" i="3"/>
  <c r="BB934" i="3" s="1"/>
  <c r="AT934" i="3"/>
  <c r="AW934" i="3" s="1"/>
  <c r="AO934" i="3"/>
  <c r="AR934" i="3" s="1"/>
  <c r="BI933" i="3"/>
  <c r="BL933" i="3" s="1"/>
  <c r="BD933" i="3"/>
  <c r="BG933" i="3" s="1"/>
  <c r="AY933" i="3"/>
  <c r="BB933" i="3" s="1"/>
  <c r="AT933" i="3"/>
  <c r="AW933" i="3" s="1"/>
  <c r="AO933" i="3"/>
  <c r="AR933" i="3" s="1"/>
  <c r="BI932" i="3"/>
  <c r="BL932" i="3" s="1"/>
  <c r="BD932" i="3"/>
  <c r="BG932" i="3" s="1"/>
  <c r="AY932" i="3"/>
  <c r="BB932" i="3" s="1"/>
  <c r="AT932" i="3"/>
  <c r="AW932" i="3" s="1"/>
  <c r="AO932" i="3"/>
  <c r="AR932" i="3" s="1"/>
  <c r="BI931" i="3"/>
  <c r="BL931" i="3" s="1"/>
  <c r="BD931" i="3"/>
  <c r="BG931" i="3" s="1"/>
  <c r="AY931" i="3"/>
  <c r="BB931" i="3" s="1"/>
  <c r="AT931" i="3"/>
  <c r="AW931" i="3" s="1"/>
  <c r="AO931" i="3"/>
  <c r="AR931" i="3" s="1"/>
  <c r="AJ931" i="3"/>
  <c r="AM931" i="3" s="1"/>
  <c r="BI930" i="3"/>
  <c r="BL930" i="3" s="1"/>
  <c r="BD930" i="3"/>
  <c r="BG930" i="3" s="1"/>
  <c r="AY930" i="3"/>
  <c r="BB930" i="3" s="1"/>
  <c r="AT930" i="3"/>
  <c r="AW930" i="3" s="1"/>
  <c r="AO930" i="3"/>
  <c r="AR930" i="3" s="1"/>
  <c r="BI929" i="3"/>
  <c r="BL929" i="3" s="1"/>
  <c r="BD929" i="3"/>
  <c r="BG929" i="3" s="1"/>
  <c r="AY929" i="3"/>
  <c r="BB929" i="3" s="1"/>
  <c r="AT929" i="3"/>
  <c r="AW929" i="3" s="1"/>
  <c r="AO929" i="3"/>
  <c r="AR929" i="3" s="1"/>
  <c r="AJ929" i="3"/>
  <c r="AM929" i="3" s="1"/>
  <c r="BI928" i="3"/>
  <c r="BL928" i="3" s="1"/>
  <c r="BD928" i="3"/>
  <c r="BG928" i="3" s="1"/>
  <c r="AY928" i="3"/>
  <c r="BB928" i="3" s="1"/>
  <c r="AT928" i="3"/>
  <c r="AW928" i="3" s="1"/>
  <c r="AO928" i="3"/>
  <c r="AR928" i="3" s="1"/>
  <c r="BI927" i="3"/>
  <c r="BL927" i="3" s="1"/>
  <c r="BD927" i="3"/>
  <c r="BG927" i="3" s="1"/>
  <c r="AY927" i="3"/>
  <c r="BB927" i="3" s="1"/>
  <c r="AT927" i="3"/>
  <c r="AW927" i="3" s="1"/>
  <c r="AO927" i="3"/>
  <c r="AR927" i="3" s="1"/>
  <c r="AJ927" i="3"/>
  <c r="AM927" i="3" s="1"/>
  <c r="BI926" i="3"/>
  <c r="BL926" i="3" s="1"/>
  <c r="BD926" i="3"/>
  <c r="BG926" i="3" s="1"/>
  <c r="AY926" i="3"/>
  <c r="BB926" i="3" s="1"/>
  <c r="AT926" i="3"/>
  <c r="AW926" i="3" s="1"/>
  <c r="AO926" i="3"/>
  <c r="AR926" i="3" s="1"/>
  <c r="BI925" i="3"/>
  <c r="BL925" i="3" s="1"/>
  <c r="BD925" i="3"/>
  <c r="BG925" i="3" s="1"/>
  <c r="AY925" i="3"/>
  <c r="BB925" i="3" s="1"/>
  <c r="AT925" i="3"/>
  <c r="AW925" i="3" s="1"/>
  <c r="AO925" i="3"/>
  <c r="AR925" i="3" s="1"/>
  <c r="BI924" i="3"/>
  <c r="BL924" i="3" s="1"/>
  <c r="BD924" i="3"/>
  <c r="BG924" i="3" s="1"/>
  <c r="AY924" i="3"/>
  <c r="BB924" i="3" s="1"/>
  <c r="AT924" i="3"/>
  <c r="AW924" i="3" s="1"/>
  <c r="AO924" i="3"/>
  <c r="AR924" i="3" s="1"/>
  <c r="BI923" i="3"/>
  <c r="BL923" i="3" s="1"/>
  <c r="BD923" i="3"/>
  <c r="BG923" i="3" s="1"/>
  <c r="AY923" i="3"/>
  <c r="BB923" i="3" s="1"/>
  <c r="AT923" i="3"/>
  <c r="AW923" i="3" s="1"/>
  <c r="AO923" i="3"/>
  <c r="AR923" i="3" s="1"/>
  <c r="AJ923" i="3"/>
  <c r="AM923" i="3" s="1"/>
  <c r="BI922" i="3"/>
  <c r="BL922" i="3" s="1"/>
  <c r="BD922" i="3"/>
  <c r="BG922" i="3" s="1"/>
  <c r="AY922" i="3"/>
  <c r="BB922" i="3" s="1"/>
  <c r="AT922" i="3"/>
  <c r="AW922" i="3" s="1"/>
  <c r="AO922" i="3"/>
  <c r="AR922" i="3" s="1"/>
  <c r="BI921" i="3"/>
  <c r="BL921" i="3" s="1"/>
  <c r="BD921" i="3"/>
  <c r="BG921" i="3" s="1"/>
  <c r="AY921" i="3"/>
  <c r="BB921" i="3" s="1"/>
  <c r="AT921" i="3"/>
  <c r="AW921" i="3" s="1"/>
  <c r="AO921" i="3"/>
  <c r="AR921" i="3" s="1"/>
  <c r="AJ921" i="3"/>
  <c r="AM921" i="3" s="1"/>
  <c r="BI920" i="3"/>
  <c r="BL920" i="3" s="1"/>
  <c r="BD920" i="3"/>
  <c r="BG920" i="3" s="1"/>
  <c r="AY920" i="3"/>
  <c r="BB920" i="3" s="1"/>
  <c r="AT920" i="3"/>
  <c r="AW920" i="3" s="1"/>
  <c r="AO920" i="3"/>
  <c r="AR920" i="3" s="1"/>
  <c r="BI919" i="3"/>
  <c r="BL919" i="3" s="1"/>
  <c r="BD919" i="3"/>
  <c r="BG919" i="3" s="1"/>
  <c r="AY919" i="3"/>
  <c r="BB919" i="3" s="1"/>
  <c r="AT919" i="3"/>
  <c r="AW919" i="3" s="1"/>
  <c r="AO919" i="3"/>
  <c r="AR919" i="3" s="1"/>
  <c r="AJ919" i="3"/>
  <c r="AM919" i="3" s="1"/>
  <c r="BI918" i="3"/>
  <c r="BL918" i="3" s="1"/>
  <c r="BD918" i="3"/>
  <c r="BG918" i="3" s="1"/>
  <c r="AY918" i="3"/>
  <c r="BB918" i="3" s="1"/>
  <c r="AT918" i="3"/>
  <c r="AW918" i="3" s="1"/>
  <c r="AO918" i="3"/>
  <c r="AR918" i="3" s="1"/>
  <c r="BI917" i="3"/>
  <c r="BL917" i="3" s="1"/>
  <c r="BD917" i="3"/>
  <c r="BG917" i="3" s="1"/>
  <c r="AY917" i="3"/>
  <c r="BB917" i="3" s="1"/>
  <c r="AT917" i="3"/>
  <c r="AW917" i="3" s="1"/>
  <c r="AO917" i="3"/>
  <c r="AR917" i="3" s="1"/>
  <c r="BI916" i="3"/>
  <c r="BL916" i="3" s="1"/>
  <c r="BD916" i="3"/>
  <c r="BG916" i="3" s="1"/>
  <c r="AY916" i="3"/>
  <c r="BB916" i="3" s="1"/>
  <c r="AT916" i="3"/>
  <c r="AW916" i="3" s="1"/>
  <c r="AO916" i="3"/>
  <c r="AR916" i="3" s="1"/>
  <c r="AJ916" i="3"/>
  <c r="AM916" i="3" s="1"/>
  <c r="BI915" i="3"/>
  <c r="BL915" i="3" s="1"/>
  <c r="BD915" i="3"/>
  <c r="BG915" i="3" s="1"/>
  <c r="AY915" i="3"/>
  <c r="BB915" i="3" s="1"/>
  <c r="AT915" i="3"/>
  <c r="AW915" i="3" s="1"/>
  <c r="AO915" i="3"/>
  <c r="AR915" i="3" s="1"/>
  <c r="BI914" i="3"/>
  <c r="BL914" i="3" s="1"/>
  <c r="BD914" i="3"/>
  <c r="BG914" i="3" s="1"/>
  <c r="AY914" i="3"/>
  <c r="BB914" i="3" s="1"/>
  <c r="AT914" i="3"/>
  <c r="AW914" i="3" s="1"/>
  <c r="AO914" i="3"/>
  <c r="AR914" i="3" s="1"/>
  <c r="AJ914" i="3"/>
  <c r="AM914" i="3" s="1"/>
  <c r="BI913" i="3"/>
  <c r="BL913" i="3" s="1"/>
  <c r="BD913" i="3"/>
  <c r="BG913" i="3" s="1"/>
  <c r="AY913" i="3"/>
  <c r="BB913" i="3" s="1"/>
  <c r="AT913" i="3"/>
  <c r="AW913" i="3" s="1"/>
  <c r="AO913" i="3"/>
  <c r="AR913" i="3" s="1"/>
  <c r="BI912" i="3"/>
  <c r="BL912" i="3" s="1"/>
  <c r="BG912" i="3"/>
  <c r="BD912" i="3"/>
  <c r="AY912" i="3"/>
  <c r="BB912" i="3" s="1"/>
  <c r="AT912" i="3"/>
  <c r="AW912" i="3" s="1"/>
  <c r="AO912" i="3"/>
  <c r="AR912" i="3" s="1"/>
  <c r="AJ912" i="3"/>
  <c r="AM912" i="3" s="1"/>
  <c r="BI911" i="3"/>
  <c r="BL911" i="3" s="1"/>
  <c r="BD911" i="3"/>
  <c r="BG911" i="3" s="1"/>
  <c r="AY911" i="3"/>
  <c r="BB911" i="3" s="1"/>
  <c r="AT911" i="3"/>
  <c r="AW911" i="3" s="1"/>
  <c r="AO911" i="3"/>
  <c r="AR911" i="3" s="1"/>
  <c r="BI910" i="3"/>
  <c r="BL910" i="3" s="1"/>
  <c r="BG910" i="3"/>
  <c r="BD910" i="3"/>
  <c r="AY910" i="3"/>
  <c r="BB910" i="3" s="1"/>
  <c r="AT910" i="3"/>
  <c r="AW910" i="3" s="1"/>
  <c r="AO910" i="3"/>
  <c r="AR910" i="3" s="1"/>
  <c r="AJ910" i="3"/>
  <c r="AM910" i="3" s="1"/>
  <c r="BI909" i="3"/>
  <c r="BL909" i="3" s="1"/>
  <c r="BD909" i="3"/>
  <c r="BG909" i="3" s="1"/>
  <c r="AY909" i="3"/>
  <c r="BB909" i="3" s="1"/>
  <c r="AT909" i="3"/>
  <c r="AW909" i="3" s="1"/>
  <c r="AO909" i="3"/>
  <c r="AR909" i="3" s="1"/>
  <c r="AJ909" i="3"/>
  <c r="AM909" i="3" s="1"/>
  <c r="BI908" i="3"/>
  <c r="BL908" i="3" s="1"/>
  <c r="BD908" i="3"/>
  <c r="BG908" i="3" s="1"/>
  <c r="AY908" i="3"/>
  <c r="BB908" i="3" s="1"/>
  <c r="AT908" i="3"/>
  <c r="AW908" i="3" s="1"/>
  <c r="AO908" i="3"/>
  <c r="AR908" i="3" s="1"/>
  <c r="AJ908" i="3"/>
  <c r="AM908" i="3" s="1"/>
  <c r="BI907" i="3"/>
  <c r="BL907" i="3" s="1"/>
  <c r="BD907" i="3"/>
  <c r="BG907" i="3" s="1"/>
  <c r="AY907" i="3"/>
  <c r="BB907" i="3" s="1"/>
  <c r="AW907" i="3"/>
  <c r="AT907" i="3"/>
  <c r="AO907" i="3"/>
  <c r="AR907" i="3" s="1"/>
  <c r="AJ907" i="3"/>
  <c r="AM907" i="3" s="1"/>
  <c r="BI906" i="3"/>
  <c r="BL906" i="3" s="1"/>
  <c r="BD906" i="3"/>
  <c r="BG906" i="3" s="1"/>
  <c r="AY906" i="3"/>
  <c r="BB906" i="3" s="1"/>
  <c r="AT906" i="3"/>
  <c r="AW906" i="3" s="1"/>
  <c r="AO906" i="3"/>
  <c r="AR906" i="3" s="1"/>
  <c r="BI905" i="3"/>
  <c r="BL905" i="3" s="1"/>
  <c r="BD905" i="3"/>
  <c r="BG905" i="3" s="1"/>
  <c r="AY905" i="3"/>
  <c r="BB905" i="3" s="1"/>
  <c r="AW905" i="3"/>
  <c r="AT905" i="3"/>
  <c r="AO905" i="3"/>
  <c r="AR905" i="3" s="1"/>
  <c r="AJ905" i="3"/>
  <c r="AM905" i="3" s="1"/>
  <c r="BI904" i="3"/>
  <c r="BL904" i="3" s="1"/>
  <c r="BD904" i="3"/>
  <c r="BG904" i="3" s="1"/>
  <c r="AY904" i="3"/>
  <c r="BB904" i="3" s="1"/>
  <c r="AT904" i="3"/>
  <c r="AW904" i="3" s="1"/>
  <c r="AO904" i="3"/>
  <c r="AR904" i="3" s="1"/>
  <c r="BI903" i="3"/>
  <c r="BL903" i="3" s="1"/>
  <c r="BD903" i="3"/>
  <c r="BG903" i="3" s="1"/>
  <c r="AY903" i="3"/>
  <c r="BB903" i="3" s="1"/>
  <c r="AT903" i="3"/>
  <c r="AW903" i="3" s="1"/>
  <c r="AO903" i="3"/>
  <c r="AR903" i="3" s="1"/>
  <c r="AJ903" i="3"/>
  <c r="AM903" i="3" s="1"/>
  <c r="BI902" i="3"/>
  <c r="BL902" i="3" s="1"/>
  <c r="BD902" i="3"/>
  <c r="BG902" i="3" s="1"/>
  <c r="AY902" i="3"/>
  <c r="BB902" i="3" s="1"/>
  <c r="AT902" i="3"/>
  <c r="AW902" i="3" s="1"/>
  <c r="AO902" i="3"/>
  <c r="AR902" i="3" s="1"/>
  <c r="AJ902" i="3"/>
  <c r="AM902" i="3" s="1"/>
  <c r="BI901" i="3"/>
  <c r="BL901" i="3" s="1"/>
  <c r="BD901" i="3"/>
  <c r="BG901" i="3" s="1"/>
  <c r="AY901" i="3"/>
  <c r="BB901" i="3" s="1"/>
  <c r="AT901" i="3"/>
  <c r="AW901" i="3" s="1"/>
  <c r="AO901" i="3"/>
  <c r="AR901" i="3" s="1"/>
  <c r="BI900" i="3"/>
  <c r="BL900" i="3" s="1"/>
  <c r="BD900" i="3"/>
  <c r="BG900" i="3" s="1"/>
  <c r="AY900" i="3"/>
  <c r="BB900" i="3" s="1"/>
  <c r="AT900" i="3"/>
  <c r="AW900" i="3" s="1"/>
  <c r="AO900" i="3"/>
  <c r="AR900" i="3" s="1"/>
  <c r="AJ900" i="3"/>
  <c r="AM900" i="3" s="1"/>
  <c r="BI899" i="3"/>
  <c r="BL899" i="3" s="1"/>
  <c r="BD899" i="3"/>
  <c r="BG899" i="3" s="1"/>
  <c r="AY899" i="3"/>
  <c r="BB899" i="3" s="1"/>
  <c r="AT899" i="3"/>
  <c r="AW899" i="3" s="1"/>
  <c r="AO899" i="3"/>
  <c r="AR899" i="3" s="1"/>
  <c r="AJ899" i="3"/>
  <c r="AM899" i="3" s="1"/>
  <c r="BI898" i="3"/>
  <c r="BL898" i="3" s="1"/>
  <c r="BD898" i="3"/>
  <c r="BG898" i="3" s="1"/>
  <c r="AY898" i="3"/>
  <c r="BB898" i="3" s="1"/>
  <c r="AT898" i="3"/>
  <c r="AW898" i="3" s="1"/>
  <c r="AO898" i="3"/>
  <c r="AR898" i="3" s="1"/>
  <c r="AJ898" i="3"/>
  <c r="AM898" i="3" s="1"/>
  <c r="BI897" i="3"/>
  <c r="BL897" i="3" s="1"/>
  <c r="BD897" i="3"/>
  <c r="BG897" i="3" s="1"/>
  <c r="AY897" i="3"/>
  <c r="BB897" i="3" s="1"/>
  <c r="AT897" i="3"/>
  <c r="AW897" i="3" s="1"/>
  <c r="AO897" i="3"/>
  <c r="AR897" i="3" s="1"/>
  <c r="AJ897" i="3"/>
  <c r="AM897" i="3" s="1"/>
  <c r="BI896" i="3"/>
  <c r="BL896" i="3" s="1"/>
  <c r="BG896" i="3"/>
  <c r="BD896" i="3"/>
  <c r="AY896" i="3"/>
  <c r="BB896" i="3" s="1"/>
  <c r="AT896" i="3"/>
  <c r="AW896" i="3" s="1"/>
  <c r="AO896" i="3"/>
  <c r="AR896" i="3" s="1"/>
  <c r="BI895" i="3"/>
  <c r="BL895" i="3" s="1"/>
  <c r="BD895" i="3"/>
  <c r="BG895" i="3" s="1"/>
  <c r="AY895" i="3"/>
  <c r="BB895" i="3" s="1"/>
  <c r="AT895" i="3"/>
  <c r="AW895" i="3" s="1"/>
  <c r="AO895" i="3"/>
  <c r="AR895" i="3" s="1"/>
  <c r="AJ895" i="3"/>
  <c r="AM895" i="3" s="1"/>
  <c r="BI894" i="3"/>
  <c r="BL894" i="3" s="1"/>
  <c r="BG894" i="3"/>
  <c r="BD894" i="3"/>
  <c r="AY894" i="3"/>
  <c r="BB894" i="3" s="1"/>
  <c r="AT894" i="3"/>
  <c r="AW894" i="3" s="1"/>
  <c r="AO894" i="3"/>
  <c r="AR894" i="3" s="1"/>
  <c r="AJ894" i="3"/>
  <c r="AM894" i="3" s="1"/>
  <c r="BI893" i="3"/>
  <c r="BL893" i="3" s="1"/>
  <c r="BD893" i="3"/>
  <c r="BG893" i="3" s="1"/>
  <c r="AY893" i="3"/>
  <c r="BB893" i="3" s="1"/>
  <c r="AT893" i="3"/>
  <c r="AW893" i="3" s="1"/>
  <c r="AO893" i="3"/>
  <c r="AR893" i="3" s="1"/>
  <c r="BI892" i="3"/>
  <c r="BL892" i="3" s="1"/>
  <c r="BD892" i="3"/>
  <c r="BG892" i="3" s="1"/>
  <c r="AY892" i="3"/>
  <c r="BB892" i="3" s="1"/>
  <c r="AT892" i="3"/>
  <c r="AW892" i="3" s="1"/>
  <c r="AO892" i="3"/>
  <c r="AR892" i="3" s="1"/>
  <c r="AJ892" i="3"/>
  <c r="AM892" i="3" s="1"/>
  <c r="BI891" i="3"/>
  <c r="BL891" i="3" s="1"/>
  <c r="BD891" i="3"/>
  <c r="BG891" i="3" s="1"/>
  <c r="AY891" i="3"/>
  <c r="BB891" i="3" s="1"/>
  <c r="AW891" i="3"/>
  <c r="AT891" i="3"/>
  <c r="AO891" i="3"/>
  <c r="AR891" i="3" s="1"/>
  <c r="BI890" i="3"/>
  <c r="BL890" i="3" s="1"/>
  <c r="BD890" i="3"/>
  <c r="BG890" i="3" s="1"/>
  <c r="AY890" i="3"/>
  <c r="BB890" i="3" s="1"/>
  <c r="AT890" i="3"/>
  <c r="AW890" i="3" s="1"/>
  <c r="AO890" i="3"/>
  <c r="AR890" i="3" s="1"/>
  <c r="AJ890" i="3"/>
  <c r="AM890" i="3" s="1"/>
  <c r="BI889" i="3"/>
  <c r="BL889" i="3" s="1"/>
  <c r="BD889" i="3"/>
  <c r="BG889" i="3" s="1"/>
  <c r="AY889" i="3"/>
  <c r="BB889" i="3" s="1"/>
  <c r="AW889" i="3"/>
  <c r="AT889" i="3"/>
  <c r="AO889" i="3"/>
  <c r="AR889" i="3" s="1"/>
  <c r="AJ889" i="3"/>
  <c r="AM889" i="3" s="1"/>
  <c r="BI888" i="3"/>
  <c r="BL888" i="3" s="1"/>
  <c r="BD888" i="3"/>
  <c r="BG888" i="3" s="1"/>
  <c r="AY888" i="3"/>
  <c r="BB888" i="3" s="1"/>
  <c r="AT888" i="3"/>
  <c r="AW888" i="3" s="1"/>
  <c r="AO888" i="3"/>
  <c r="AR888" i="3" s="1"/>
  <c r="AJ888" i="3"/>
  <c r="AM888" i="3" s="1"/>
  <c r="BI887" i="3"/>
  <c r="BL887" i="3" s="1"/>
  <c r="BD887" i="3"/>
  <c r="BG887" i="3" s="1"/>
  <c r="AY887" i="3"/>
  <c r="BB887" i="3" s="1"/>
  <c r="AT887" i="3"/>
  <c r="AW887" i="3" s="1"/>
  <c r="AO887" i="3"/>
  <c r="AR887" i="3" s="1"/>
  <c r="AJ887" i="3"/>
  <c r="AM887" i="3" s="1"/>
  <c r="BI886" i="3"/>
  <c r="BL886" i="3" s="1"/>
  <c r="BD886" i="3"/>
  <c r="BG886" i="3" s="1"/>
  <c r="AY886" i="3"/>
  <c r="BB886" i="3" s="1"/>
  <c r="AT886" i="3"/>
  <c r="AW886" i="3" s="1"/>
  <c r="AO886" i="3"/>
  <c r="AR886" i="3" s="1"/>
  <c r="AM886" i="3"/>
  <c r="BI885" i="3"/>
  <c r="BL885" i="3" s="1"/>
  <c r="BD885" i="3"/>
  <c r="BG885" i="3" s="1"/>
  <c r="AY885" i="3"/>
  <c r="BB885" i="3" s="1"/>
  <c r="AT885" i="3"/>
  <c r="AW885" i="3" s="1"/>
  <c r="AO885" i="3"/>
  <c r="AR885" i="3" s="1"/>
  <c r="AJ885" i="3"/>
  <c r="AM885" i="3" s="1"/>
  <c r="BI884" i="3"/>
  <c r="BL884" i="3" s="1"/>
  <c r="BD884" i="3"/>
  <c r="BG884" i="3" s="1"/>
  <c r="AY884" i="3"/>
  <c r="BB884" i="3" s="1"/>
  <c r="AT884" i="3"/>
  <c r="AW884" i="3" s="1"/>
  <c r="AO884" i="3"/>
  <c r="AR884" i="3" s="1"/>
  <c r="AJ884" i="3"/>
  <c r="AM884" i="3" s="1"/>
  <c r="BI883" i="3"/>
  <c r="BL883" i="3" s="1"/>
  <c r="BD883" i="3"/>
  <c r="BG883" i="3" s="1"/>
  <c r="AY883" i="3"/>
  <c r="BB883" i="3" s="1"/>
  <c r="AT883" i="3"/>
  <c r="AW883" i="3" s="1"/>
  <c r="AO883" i="3"/>
  <c r="AR883" i="3" s="1"/>
  <c r="AJ883" i="3"/>
  <c r="AM883" i="3" s="1"/>
  <c r="BI882" i="3"/>
  <c r="BL882" i="3" s="1"/>
  <c r="BD882" i="3"/>
  <c r="BG882" i="3" s="1"/>
  <c r="AY882" i="3"/>
  <c r="BB882" i="3" s="1"/>
  <c r="AT882" i="3"/>
  <c r="AW882" i="3" s="1"/>
  <c r="AO882" i="3"/>
  <c r="AR882" i="3" s="1"/>
  <c r="AJ882" i="3"/>
  <c r="AM882" i="3" s="1"/>
  <c r="BI881" i="3"/>
  <c r="BL881" i="3" s="1"/>
  <c r="BD881" i="3"/>
  <c r="BG881" i="3" s="1"/>
  <c r="AY881" i="3"/>
  <c r="BB881" i="3" s="1"/>
  <c r="AT881" i="3"/>
  <c r="AW881" i="3" s="1"/>
  <c r="AO881" i="3"/>
  <c r="AR881" i="3" s="1"/>
  <c r="AJ881" i="3"/>
  <c r="AM881" i="3" s="1"/>
  <c r="BI880" i="3"/>
  <c r="BL880" i="3" s="1"/>
  <c r="BG880" i="3"/>
  <c r="BD880" i="3"/>
  <c r="AY880" i="3"/>
  <c r="BB880" i="3" s="1"/>
  <c r="AT880" i="3"/>
  <c r="AW880" i="3" s="1"/>
  <c r="AO880" i="3"/>
  <c r="AR880" i="3" s="1"/>
  <c r="BI879" i="3"/>
  <c r="BL879" i="3" s="1"/>
  <c r="BD879" i="3"/>
  <c r="BG879" i="3" s="1"/>
  <c r="AY879" i="3"/>
  <c r="BB879" i="3" s="1"/>
  <c r="AT879" i="3"/>
  <c r="AW879" i="3" s="1"/>
  <c r="AO879" i="3"/>
  <c r="AR879" i="3" s="1"/>
  <c r="BI878" i="3"/>
  <c r="BL878" i="3" s="1"/>
  <c r="BD878" i="3"/>
  <c r="BG878" i="3" s="1"/>
  <c r="AY878" i="3"/>
  <c r="BB878" i="3" s="1"/>
  <c r="AT878" i="3"/>
  <c r="AW878" i="3" s="1"/>
  <c r="AO878" i="3"/>
  <c r="AR878" i="3" s="1"/>
  <c r="AJ878" i="3"/>
  <c r="AM878" i="3" s="1"/>
  <c r="BI877" i="3"/>
  <c r="BL877" i="3" s="1"/>
  <c r="BD877" i="3"/>
  <c r="BG877" i="3" s="1"/>
  <c r="AY877" i="3"/>
  <c r="BB877" i="3" s="1"/>
  <c r="AT877" i="3"/>
  <c r="AW877" i="3" s="1"/>
  <c r="AO877" i="3"/>
  <c r="AR877" i="3" s="1"/>
  <c r="BI876" i="3"/>
  <c r="BL876" i="3" s="1"/>
  <c r="BD876" i="3"/>
  <c r="BG876" i="3" s="1"/>
  <c r="AY876" i="3"/>
  <c r="BB876" i="3" s="1"/>
  <c r="AT876" i="3"/>
  <c r="AW876" i="3" s="1"/>
  <c r="AO876" i="3"/>
  <c r="AR876" i="3" s="1"/>
  <c r="AJ876" i="3"/>
  <c r="AM876" i="3" s="1"/>
  <c r="BI875" i="3"/>
  <c r="BL875" i="3" s="1"/>
  <c r="BD875" i="3"/>
  <c r="BG875" i="3" s="1"/>
  <c r="AY875" i="3"/>
  <c r="BB875" i="3" s="1"/>
  <c r="AT875" i="3"/>
  <c r="AW875" i="3" s="1"/>
  <c r="AO875" i="3"/>
  <c r="AR875" i="3" s="1"/>
  <c r="BI874" i="3"/>
  <c r="BL874" i="3" s="1"/>
  <c r="BD874" i="3"/>
  <c r="BG874" i="3" s="1"/>
  <c r="AY874" i="3"/>
  <c r="BB874" i="3" s="1"/>
  <c r="AT874" i="3"/>
  <c r="AW874" i="3" s="1"/>
  <c r="AO874" i="3"/>
  <c r="AR874" i="3" s="1"/>
  <c r="AJ874" i="3"/>
  <c r="AM874" i="3" s="1"/>
  <c r="BI873" i="3"/>
  <c r="BL873" i="3" s="1"/>
  <c r="BD873" i="3"/>
  <c r="BG873" i="3" s="1"/>
  <c r="AY873" i="3"/>
  <c r="BB873" i="3" s="1"/>
  <c r="AW873" i="3"/>
  <c r="AT873" i="3"/>
  <c r="AO873" i="3"/>
  <c r="AR873" i="3" s="1"/>
  <c r="BI872" i="3"/>
  <c r="BL872" i="3" s="1"/>
  <c r="BD872" i="3"/>
  <c r="BG872" i="3" s="1"/>
  <c r="AY872" i="3"/>
  <c r="BB872" i="3" s="1"/>
  <c r="AT872" i="3"/>
  <c r="AW872" i="3" s="1"/>
  <c r="AO872" i="3"/>
  <c r="AR872" i="3" s="1"/>
  <c r="AJ872" i="3"/>
  <c r="AM872" i="3" s="1"/>
  <c r="BI871" i="3"/>
  <c r="BL871" i="3" s="1"/>
  <c r="BD871" i="3"/>
  <c r="BG871" i="3" s="1"/>
  <c r="AY871" i="3"/>
  <c r="BB871" i="3" s="1"/>
  <c r="AT871" i="3"/>
  <c r="AW871" i="3" s="1"/>
  <c r="AO871" i="3"/>
  <c r="AR871" i="3" s="1"/>
  <c r="BI870" i="3"/>
  <c r="BL870" i="3" s="1"/>
  <c r="BD870" i="3"/>
  <c r="BG870" i="3" s="1"/>
  <c r="AY870" i="3"/>
  <c r="BB870" i="3" s="1"/>
  <c r="AT870" i="3"/>
  <c r="AW870" i="3" s="1"/>
  <c r="AO870" i="3"/>
  <c r="AR870" i="3" s="1"/>
  <c r="AJ870" i="3"/>
  <c r="AM870" i="3" s="1"/>
  <c r="BI869" i="3"/>
  <c r="BL869" i="3" s="1"/>
  <c r="BD869" i="3"/>
  <c r="BG869" i="3" s="1"/>
  <c r="AY869" i="3"/>
  <c r="BB869" i="3" s="1"/>
  <c r="AW869" i="3"/>
  <c r="AT869" i="3"/>
  <c r="AO869" i="3"/>
  <c r="AR869" i="3" s="1"/>
  <c r="AJ869" i="3"/>
  <c r="AM869" i="3" s="1"/>
  <c r="BI868" i="3"/>
  <c r="BL868" i="3" s="1"/>
  <c r="BD868" i="3"/>
  <c r="BG868" i="3" s="1"/>
  <c r="AY868" i="3"/>
  <c r="BB868" i="3" s="1"/>
  <c r="AT868" i="3"/>
  <c r="AW868" i="3" s="1"/>
  <c r="AO868" i="3"/>
  <c r="AR868" i="3" s="1"/>
  <c r="BI867" i="3"/>
  <c r="BL867" i="3" s="1"/>
  <c r="BD867" i="3"/>
  <c r="BG867" i="3" s="1"/>
  <c r="AY867" i="3"/>
  <c r="BB867" i="3" s="1"/>
  <c r="AT867" i="3"/>
  <c r="AW867" i="3" s="1"/>
  <c r="AO867" i="3"/>
  <c r="AR867" i="3" s="1"/>
  <c r="BI866" i="3"/>
  <c r="BL866" i="3" s="1"/>
  <c r="BD866" i="3"/>
  <c r="BG866" i="3" s="1"/>
  <c r="AY866" i="3"/>
  <c r="BB866" i="3" s="1"/>
  <c r="AT866" i="3"/>
  <c r="AW866" i="3" s="1"/>
  <c r="AO866" i="3"/>
  <c r="AR866" i="3" s="1"/>
  <c r="BI865" i="3"/>
  <c r="BL865" i="3" s="1"/>
  <c r="BD865" i="3"/>
  <c r="BG865" i="3" s="1"/>
  <c r="AY865" i="3"/>
  <c r="BB865" i="3" s="1"/>
  <c r="AT865" i="3"/>
  <c r="AW865" i="3" s="1"/>
  <c r="AO865" i="3"/>
  <c r="AR865" i="3" s="1"/>
  <c r="AJ865" i="3"/>
  <c r="AM865" i="3" s="1"/>
  <c r="BI864" i="3"/>
  <c r="BL864" i="3" s="1"/>
  <c r="BD864" i="3"/>
  <c r="BG864" i="3" s="1"/>
  <c r="AY864" i="3"/>
  <c r="BB864" i="3" s="1"/>
  <c r="AT864" i="3"/>
  <c r="AW864" i="3" s="1"/>
  <c r="AO864" i="3"/>
  <c r="AR864" i="3" s="1"/>
  <c r="BI863" i="3"/>
  <c r="BL863" i="3" s="1"/>
  <c r="BD863" i="3"/>
  <c r="BG863" i="3" s="1"/>
  <c r="AY863" i="3"/>
  <c r="BB863" i="3" s="1"/>
  <c r="AT863" i="3"/>
  <c r="AW863" i="3" s="1"/>
  <c r="AO863" i="3"/>
  <c r="AR863" i="3" s="1"/>
  <c r="AJ863" i="3"/>
  <c r="AM863" i="3" s="1"/>
  <c r="BI862" i="3"/>
  <c r="BL862" i="3" s="1"/>
  <c r="BD862" i="3"/>
  <c r="BG862" i="3" s="1"/>
  <c r="AY862" i="3"/>
  <c r="BB862" i="3" s="1"/>
  <c r="AT862" i="3"/>
  <c r="AW862" i="3" s="1"/>
  <c r="AO862" i="3"/>
  <c r="AR862" i="3" s="1"/>
  <c r="BI861" i="3"/>
  <c r="BL861" i="3" s="1"/>
  <c r="BD861" i="3"/>
  <c r="BG861" i="3" s="1"/>
  <c r="AY861" i="3"/>
  <c r="BB861" i="3" s="1"/>
  <c r="AW861" i="3"/>
  <c r="AT861" i="3"/>
  <c r="AO861" i="3"/>
  <c r="AR861" i="3" s="1"/>
  <c r="AJ861" i="3"/>
  <c r="AM861" i="3" s="1"/>
  <c r="BI860" i="3"/>
  <c r="BL860" i="3" s="1"/>
  <c r="BD860" i="3"/>
  <c r="BG860" i="3" s="1"/>
  <c r="BB860" i="3"/>
  <c r="AY860" i="3"/>
  <c r="AT860" i="3"/>
  <c r="AW860" i="3" s="1"/>
  <c r="AO860" i="3"/>
  <c r="AR860" i="3" s="1"/>
  <c r="AJ860" i="3"/>
  <c r="AM860" i="3" s="1"/>
  <c r="BI859" i="3"/>
  <c r="BL859" i="3" s="1"/>
  <c r="BD859" i="3"/>
  <c r="BG859" i="3" s="1"/>
  <c r="AY859" i="3"/>
  <c r="BB859" i="3" s="1"/>
  <c r="AT859" i="3"/>
  <c r="AW859" i="3" s="1"/>
  <c r="AO859" i="3"/>
  <c r="AR859" i="3" s="1"/>
  <c r="BI858" i="3"/>
  <c r="BL858" i="3" s="1"/>
  <c r="BD858" i="3"/>
  <c r="BG858" i="3" s="1"/>
  <c r="AY858" i="3"/>
  <c r="BB858" i="3" s="1"/>
  <c r="AT858" i="3"/>
  <c r="AW858" i="3" s="1"/>
  <c r="AO858" i="3"/>
  <c r="AR858" i="3" s="1"/>
  <c r="BL857" i="3"/>
  <c r="BI857" i="3"/>
  <c r="BD857" i="3"/>
  <c r="BG857" i="3" s="1"/>
  <c r="AY857" i="3"/>
  <c r="BB857" i="3" s="1"/>
  <c r="AT857" i="3"/>
  <c r="AW857" i="3" s="1"/>
  <c r="AO857" i="3"/>
  <c r="AR857" i="3" s="1"/>
  <c r="AJ857" i="3"/>
  <c r="AM857" i="3" s="1"/>
  <c r="BI856" i="3"/>
  <c r="BL856" i="3" s="1"/>
  <c r="BD856" i="3"/>
  <c r="BG856" i="3" s="1"/>
  <c r="AY856" i="3"/>
  <c r="BB856" i="3" s="1"/>
  <c r="AT856" i="3"/>
  <c r="AW856" i="3" s="1"/>
  <c r="AO856" i="3"/>
  <c r="AR856" i="3" s="1"/>
  <c r="AJ856" i="3"/>
  <c r="AM856" i="3" s="1"/>
  <c r="BI855" i="3"/>
  <c r="BL855" i="3" s="1"/>
  <c r="BD855" i="3"/>
  <c r="BG855" i="3" s="1"/>
  <c r="AY855" i="3"/>
  <c r="BB855" i="3" s="1"/>
  <c r="AT855" i="3"/>
  <c r="AW855" i="3" s="1"/>
  <c r="AR855" i="3"/>
  <c r="AO855" i="3"/>
  <c r="BI854" i="3"/>
  <c r="BL854" i="3" s="1"/>
  <c r="BD854" i="3"/>
  <c r="BG854" i="3" s="1"/>
  <c r="AY854" i="3"/>
  <c r="BB854" i="3" s="1"/>
  <c r="AT854" i="3"/>
  <c r="AW854" i="3" s="1"/>
  <c r="AO854" i="3"/>
  <c r="AR854" i="3" s="1"/>
  <c r="BI853" i="3"/>
  <c r="BL853" i="3" s="1"/>
  <c r="BD853" i="3"/>
  <c r="BG853" i="3" s="1"/>
  <c r="AY853" i="3"/>
  <c r="BB853" i="3" s="1"/>
  <c r="AT853" i="3"/>
  <c r="AW853" i="3" s="1"/>
  <c r="AO853" i="3"/>
  <c r="AR853" i="3" s="1"/>
  <c r="AJ853" i="3"/>
  <c r="AM853" i="3" s="1"/>
  <c r="BI852" i="3"/>
  <c r="BL852" i="3" s="1"/>
  <c r="BD852" i="3"/>
  <c r="BG852" i="3" s="1"/>
  <c r="BB852" i="3"/>
  <c r="AY852" i="3"/>
  <c r="AT852" i="3"/>
  <c r="AW852" i="3" s="1"/>
  <c r="AO852" i="3"/>
  <c r="AR852" i="3" s="1"/>
  <c r="AJ852" i="3"/>
  <c r="AM852" i="3" s="1"/>
  <c r="BI851" i="3"/>
  <c r="BL851" i="3" s="1"/>
  <c r="BD851" i="3"/>
  <c r="BG851" i="3" s="1"/>
  <c r="AY851" i="3"/>
  <c r="BB851" i="3" s="1"/>
  <c r="AT851" i="3"/>
  <c r="AW851" i="3" s="1"/>
  <c r="AO851" i="3"/>
  <c r="AR851" i="3" s="1"/>
  <c r="BI850" i="3"/>
  <c r="BL850" i="3" s="1"/>
  <c r="BD850" i="3"/>
  <c r="BG850" i="3" s="1"/>
  <c r="AY850" i="3"/>
  <c r="BB850" i="3" s="1"/>
  <c r="AT850" i="3"/>
  <c r="AW850" i="3" s="1"/>
  <c r="AO850" i="3"/>
  <c r="AR850" i="3" s="1"/>
  <c r="AJ850" i="3"/>
  <c r="AM850" i="3" s="1"/>
  <c r="BI849" i="3"/>
  <c r="BL849" i="3" s="1"/>
  <c r="BD849" i="3"/>
  <c r="BG849" i="3" s="1"/>
  <c r="AY849" i="3"/>
  <c r="BB849" i="3" s="1"/>
  <c r="AT849" i="3"/>
  <c r="AW849" i="3" s="1"/>
  <c r="AO849" i="3"/>
  <c r="AR849" i="3" s="1"/>
  <c r="BI848" i="3"/>
  <c r="BL848" i="3" s="1"/>
  <c r="BD848" i="3"/>
  <c r="BG848" i="3" s="1"/>
  <c r="AY848" i="3"/>
  <c r="BB848" i="3" s="1"/>
  <c r="AT848" i="3"/>
  <c r="AW848" i="3" s="1"/>
  <c r="AO848" i="3"/>
  <c r="AR848" i="3" s="1"/>
  <c r="AJ848" i="3"/>
  <c r="AM848" i="3" s="1"/>
  <c r="BI847" i="3"/>
  <c r="BL847" i="3" s="1"/>
  <c r="BD847" i="3"/>
  <c r="BG847" i="3" s="1"/>
  <c r="AY847" i="3"/>
  <c r="BB847" i="3" s="1"/>
  <c r="AT847" i="3"/>
  <c r="AW847" i="3" s="1"/>
  <c r="AO847" i="3"/>
  <c r="AR847" i="3" s="1"/>
  <c r="BI846" i="3"/>
  <c r="BL846" i="3" s="1"/>
  <c r="BD846" i="3"/>
  <c r="BG846" i="3" s="1"/>
  <c r="AY846" i="3"/>
  <c r="BB846" i="3" s="1"/>
  <c r="AT846" i="3"/>
  <c r="AW846" i="3" s="1"/>
  <c r="AO846" i="3"/>
  <c r="AR846" i="3" s="1"/>
  <c r="AJ846" i="3"/>
  <c r="AM846" i="3" s="1"/>
  <c r="BI845" i="3"/>
  <c r="BL845" i="3" s="1"/>
  <c r="BD845" i="3"/>
  <c r="BG845" i="3" s="1"/>
  <c r="AY845" i="3"/>
  <c r="BB845" i="3" s="1"/>
  <c r="AT845" i="3"/>
  <c r="AW845" i="3" s="1"/>
  <c r="AO845" i="3"/>
  <c r="AR845" i="3" s="1"/>
  <c r="BI844" i="3"/>
  <c r="BL844" i="3" s="1"/>
  <c r="BD844" i="3"/>
  <c r="BG844" i="3" s="1"/>
  <c r="AY844" i="3"/>
  <c r="BB844" i="3" s="1"/>
  <c r="AT844" i="3"/>
  <c r="AW844" i="3" s="1"/>
  <c r="AO844" i="3"/>
  <c r="AR844" i="3" s="1"/>
  <c r="AJ844" i="3"/>
  <c r="AM844" i="3" s="1"/>
  <c r="BI843" i="3"/>
  <c r="BL843" i="3" s="1"/>
  <c r="BD843" i="3"/>
  <c r="BG843" i="3" s="1"/>
  <c r="AY843" i="3"/>
  <c r="BB843" i="3" s="1"/>
  <c r="AT843" i="3"/>
  <c r="AW843" i="3" s="1"/>
  <c r="AO843" i="3"/>
  <c r="AR843" i="3" s="1"/>
  <c r="BI842" i="3"/>
  <c r="BL842" i="3" s="1"/>
  <c r="BD842" i="3"/>
  <c r="BG842" i="3" s="1"/>
  <c r="AY842" i="3"/>
  <c r="BB842" i="3" s="1"/>
  <c r="AT842" i="3"/>
  <c r="AW842" i="3" s="1"/>
  <c r="AO842" i="3"/>
  <c r="AR842" i="3" s="1"/>
  <c r="AJ842" i="3"/>
  <c r="AM842" i="3" s="1"/>
  <c r="BI841" i="3"/>
  <c r="BL841" i="3" s="1"/>
  <c r="BD841" i="3"/>
  <c r="BG841" i="3" s="1"/>
  <c r="AY841" i="3"/>
  <c r="BB841" i="3" s="1"/>
  <c r="AT841" i="3"/>
  <c r="AW841" i="3" s="1"/>
  <c r="AO841" i="3"/>
  <c r="AR841" i="3" s="1"/>
  <c r="BI840" i="3"/>
  <c r="BL840" i="3" s="1"/>
  <c r="BD840" i="3"/>
  <c r="BG840" i="3" s="1"/>
  <c r="AY840" i="3"/>
  <c r="BB840" i="3" s="1"/>
  <c r="AT840" i="3"/>
  <c r="AW840" i="3" s="1"/>
  <c r="AO840" i="3"/>
  <c r="AR840" i="3" s="1"/>
  <c r="AJ840" i="3"/>
  <c r="AM840" i="3" s="1"/>
  <c r="BI839" i="3"/>
  <c r="BL839" i="3" s="1"/>
  <c r="BD839" i="3"/>
  <c r="BG839" i="3" s="1"/>
  <c r="AY839" i="3"/>
  <c r="BB839" i="3" s="1"/>
  <c r="AT839" i="3"/>
  <c r="AW839" i="3" s="1"/>
  <c r="AR839" i="3"/>
  <c r="AO839" i="3"/>
  <c r="BI838" i="3"/>
  <c r="BL838" i="3" s="1"/>
  <c r="BD838" i="3"/>
  <c r="BG838" i="3" s="1"/>
  <c r="BB838" i="3"/>
  <c r="AY838" i="3"/>
  <c r="AT838" i="3"/>
  <c r="AW838" i="3" s="1"/>
  <c r="AO838" i="3"/>
  <c r="AR838" i="3" s="1"/>
  <c r="AJ838" i="3"/>
  <c r="AM838" i="3" s="1"/>
  <c r="BL837" i="3"/>
  <c r="BI837" i="3"/>
  <c r="BD837" i="3"/>
  <c r="BG837" i="3" s="1"/>
  <c r="AY837" i="3"/>
  <c r="BB837" i="3" s="1"/>
  <c r="AT837" i="3"/>
  <c r="AW837" i="3" s="1"/>
  <c r="AR837" i="3"/>
  <c r="AO837" i="3"/>
  <c r="AJ837" i="3"/>
  <c r="AM837" i="3" s="1"/>
  <c r="BI836" i="3"/>
  <c r="BL836" i="3" s="1"/>
  <c r="BD836" i="3"/>
  <c r="BG836" i="3" s="1"/>
  <c r="BB836" i="3"/>
  <c r="AY836" i="3"/>
  <c r="AT836" i="3"/>
  <c r="AW836" i="3" s="1"/>
  <c r="AO836" i="3"/>
  <c r="AR836" i="3" s="1"/>
  <c r="AJ836" i="3"/>
  <c r="AM836" i="3" s="1"/>
  <c r="BL835" i="3"/>
  <c r="BI835" i="3"/>
  <c r="BD835" i="3"/>
  <c r="BG835" i="3" s="1"/>
  <c r="AY835" i="3"/>
  <c r="BB835" i="3" s="1"/>
  <c r="AT835" i="3"/>
  <c r="AW835" i="3" s="1"/>
  <c r="AR835" i="3"/>
  <c r="AO835" i="3"/>
  <c r="AJ835" i="3"/>
  <c r="AM835" i="3" s="1"/>
  <c r="BI834" i="3"/>
  <c r="BL834" i="3" s="1"/>
  <c r="BD834" i="3"/>
  <c r="BG834" i="3" s="1"/>
  <c r="BB834" i="3"/>
  <c r="AY834" i="3"/>
  <c r="AT834" i="3"/>
  <c r="AW834" i="3" s="1"/>
  <c r="AO834" i="3"/>
  <c r="AR834" i="3" s="1"/>
  <c r="AJ834" i="3"/>
  <c r="AM834" i="3" s="1"/>
  <c r="BL833" i="3"/>
  <c r="BI833" i="3"/>
  <c r="BD833" i="3"/>
  <c r="BG833" i="3" s="1"/>
  <c r="AY833" i="3"/>
  <c r="BB833" i="3" s="1"/>
  <c r="AT833" i="3"/>
  <c r="AW833" i="3" s="1"/>
  <c r="AR833" i="3"/>
  <c r="AO833" i="3"/>
  <c r="AJ833" i="3"/>
  <c r="AM833" i="3" s="1"/>
  <c r="BI832" i="3"/>
  <c r="BL832" i="3" s="1"/>
  <c r="BD832" i="3"/>
  <c r="BG832" i="3" s="1"/>
  <c r="BB832" i="3"/>
  <c r="AY832" i="3"/>
  <c r="AT832" i="3"/>
  <c r="AW832" i="3" s="1"/>
  <c r="AO832" i="3"/>
  <c r="AR832" i="3" s="1"/>
  <c r="BL831" i="3"/>
  <c r="BI831" i="3"/>
  <c r="BD831" i="3"/>
  <c r="BG831" i="3" s="1"/>
  <c r="AY831" i="3"/>
  <c r="BB831" i="3" s="1"/>
  <c r="AT831" i="3"/>
  <c r="AW831" i="3" s="1"/>
  <c r="AR831" i="3"/>
  <c r="AO831" i="3"/>
  <c r="BI830" i="3"/>
  <c r="BL830" i="3" s="1"/>
  <c r="BD830" i="3"/>
  <c r="BG830" i="3" s="1"/>
  <c r="BB830" i="3"/>
  <c r="AY830" i="3"/>
  <c r="AT830" i="3"/>
  <c r="AW830" i="3" s="1"/>
  <c r="AO830" i="3"/>
  <c r="AR830" i="3" s="1"/>
  <c r="AJ830" i="3"/>
  <c r="AM830" i="3" s="1"/>
  <c r="BL829" i="3"/>
  <c r="BI829" i="3"/>
  <c r="BD829" i="3"/>
  <c r="BG829" i="3" s="1"/>
  <c r="AY829" i="3"/>
  <c r="BB829" i="3" s="1"/>
  <c r="AT829" i="3"/>
  <c r="AW829" i="3" s="1"/>
  <c r="AR829" i="3"/>
  <c r="AO829" i="3"/>
  <c r="AJ829" i="3"/>
  <c r="AM829" i="3" s="1"/>
  <c r="BI828" i="3"/>
  <c r="BL828" i="3" s="1"/>
  <c r="BD828" i="3"/>
  <c r="BG828" i="3" s="1"/>
  <c r="BB828" i="3"/>
  <c r="AY828" i="3"/>
  <c r="AT828" i="3"/>
  <c r="AW828" i="3" s="1"/>
  <c r="AO828" i="3"/>
  <c r="AR828" i="3" s="1"/>
  <c r="BL827" i="3"/>
  <c r="BI827" i="3"/>
  <c r="BD827" i="3"/>
  <c r="BG827" i="3" s="1"/>
  <c r="AY827" i="3"/>
  <c r="BB827" i="3" s="1"/>
  <c r="AT827" i="3"/>
  <c r="AW827" i="3" s="1"/>
  <c r="AR827" i="3"/>
  <c r="AO827" i="3"/>
  <c r="BI826" i="3"/>
  <c r="BL826" i="3" s="1"/>
  <c r="BD826" i="3"/>
  <c r="BG826" i="3" s="1"/>
  <c r="AY826" i="3"/>
  <c r="BB826" i="3" s="1"/>
  <c r="AT826" i="3"/>
  <c r="AW826" i="3" s="1"/>
  <c r="AO826" i="3"/>
  <c r="AR826" i="3" s="1"/>
  <c r="BL825" i="3"/>
  <c r="BI825" i="3"/>
  <c r="BD825" i="3"/>
  <c r="BG825" i="3" s="1"/>
  <c r="AY825" i="3"/>
  <c r="BB825" i="3" s="1"/>
  <c r="AT825" i="3"/>
  <c r="AW825" i="3" s="1"/>
  <c r="AO825" i="3"/>
  <c r="AR825" i="3" s="1"/>
  <c r="BI824" i="3"/>
  <c r="BL824" i="3" s="1"/>
  <c r="BD824" i="3"/>
  <c r="BG824" i="3" s="1"/>
  <c r="BB824" i="3"/>
  <c r="AY824" i="3"/>
  <c r="AT824" i="3"/>
  <c r="AW824" i="3" s="1"/>
  <c r="AO824" i="3"/>
  <c r="AR824" i="3" s="1"/>
  <c r="AJ824" i="3"/>
  <c r="AM824" i="3" s="1"/>
  <c r="BI823" i="3"/>
  <c r="BL823" i="3" s="1"/>
  <c r="BD823" i="3"/>
  <c r="BG823" i="3" s="1"/>
  <c r="AY823" i="3"/>
  <c r="BB823" i="3" s="1"/>
  <c r="AT823" i="3"/>
  <c r="AW823" i="3" s="1"/>
  <c r="AR823" i="3"/>
  <c r="AO823" i="3"/>
  <c r="AJ823" i="3"/>
  <c r="AM823" i="3" s="1"/>
  <c r="BI822" i="3"/>
  <c r="BL822" i="3" s="1"/>
  <c r="BD822" i="3"/>
  <c r="BG822" i="3" s="1"/>
  <c r="AY822" i="3"/>
  <c r="BB822" i="3" s="1"/>
  <c r="AT822" i="3"/>
  <c r="AW822" i="3" s="1"/>
  <c r="AO822" i="3"/>
  <c r="AR822" i="3" s="1"/>
  <c r="BL821" i="3"/>
  <c r="BI821" i="3"/>
  <c r="BD821" i="3"/>
  <c r="BG821" i="3" s="1"/>
  <c r="AY821" i="3"/>
  <c r="BB821" i="3" s="1"/>
  <c r="AT821" i="3"/>
  <c r="AW821" i="3" s="1"/>
  <c r="AO821" i="3"/>
  <c r="AR821" i="3" s="1"/>
  <c r="AJ821" i="3"/>
  <c r="AM821" i="3" s="1"/>
  <c r="BI820" i="3"/>
  <c r="BL820" i="3" s="1"/>
  <c r="BD820" i="3"/>
  <c r="BG820" i="3" s="1"/>
  <c r="BB820" i="3"/>
  <c r="AY820" i="3"/>
  <c r="AT820" i="3"/>
  <c r="AW820" i="3" s="1"/>
  <c r="AO820" i="3"/>
  <c r="AR820" i="3" s="1"/>
  <c r="AJ820" i="3"/>
  <c r="AM820" i="3" s="1"/>
  <c r="BI819" i="3"/>
  <c r="BL819" i="3" s="1"/>
  <c r="BD819" i="3"/>
  <c r="BG819" i="3" s="1"/>
  <c r="AY819" i="3"/>
  <c r="BB819" i="3" s="1"/>
  <c r="AT819" i="3"/>
  <c r="AW819" i="3" s="1"/>
  <c r="AR819" i="3"/>
  <c r="AO819" i="3"/>
  <c r="BI818" i="3"/>
  <c r="BL818" i="3" s="1"/>
  <c r="BD818" i="3"/>
  <c r="BG818" i="3" s="1"/>
  <c r="AY818" i="3"/>
  <c r="BB818" i="3" s="1"/>
  <c r="AT818" i="3"/>
  <c r="AW818" i="3" s="1"/>
  <c r="AO818" i="3"/>
  <c r="AR818" i="3" s="1"/>
  <c r="AJ818" i="3"/>
  <c r="AM818" i="3" s="1"/>
  <c r="BL817" i="3"/>
  <c r="BI817" i="3"/>
  <c r="BD817" i="3"/>
  <c r="BG817" i="3" s="1"/>
  <c r="AY817" i="3"/>
  <c r="BB817" i="3" s="1"/>
  <c r="AT817" i="3"/>
  <c r="AW817" i="3" s="1"/>
  <c r="AO817" i="3"/>
  <c r="AR817" i="3" s="1"/>
  <c r="AJ817" i="3"/>
  <c r="AM817" i="3" s="1"/>
  <c r="BI816" i="3"/>
  <c r="BL816" i="3" s="1"/>
  <c r="BD816" i="3"/>
  <c r="BG816" i="3" s="1"/>
  <c r="BB816" i="3"/>
  <c r="AY816" i="3"/>
  <c r="AT816" i="3"/>
  <c r="AW816" i="3" s="1"/>
  <c r="AO816" i="3"/>
  <c r="AR816" i="3" s="1"/>
  <c r="BI815" i="3"/>
  <c r="BL815" i="3" s="1"/>
  <c r="BD815" i="3"/>
  <c r="BG815" i="3" s="1"/>
  <c r="AY815" i="3"/>
  <c r="BB815" i="3" s="1"/>
  <c r="AT815" i="3"/>
  <c r="AW815" i="3" s="1"/>
  <c r="AR815" i="3"/>
  <c r="AO815" i="3"/>
  <c r="AJ815" i="3"/>
  <c r="AM815" i="3" s="1"/>
  <c r="BI814" i="3"/>
  <c r="BL814" i="3" s="1"/>
  <c r="BD814" i="3"/>
  <c r="BG814" i="3" s="1"/>
  <c r="AY814" i="3"/>
  <c r="BB814" i="3" s="1"/>
  <c r="AT814" i="3"/>
  <c r="AW814" i="3" s="1"/>
  <c r="AO814" i="3"/>
  <c r="AR814" i="3" s="1"/>
  <c r="BL813" i="3"/>
  <c r="BI813" i="3"/>
  <c r="BD813" i="3"/>
  <c r="BG813" i="3" s="1"/>
  <c r="AY813" i="3"/>
  <c r="BB813" i="3" s="1"/>
  <c r="AT813" i="3"/>
  <c r="AW813" i="3" s="1"/>
  <c r="AO813" i="3"/>
  <c r="AR813" i="3" s="1"/>
  <c r="BI812" i="3"/>
  <c r="BL812" i="3" s="1"/>
  <c r="BD812" i="3"/>
  <c r="BG812" i="3" s="1"/>
  <c r="BB812" i="3"/>
  <c r="AY812" i="3"/>
  <c r="AT812" i="3"/>
  <c r="AW812" i="3" s="1"/>
  <c r="AO812" i="3"/>
  <c r="AR812" i="3" s="1"/>
  <c r="AJ812" i="3"/>
  <c r="AM812" i="3" s="1"/>
  <c r="BI811" i="3"/>
  <c r="BL811" i="3" s="1"/>
  <c r="BD811" i="3"/>
  <c r="BG811" i="3" s="1"/>
  <c r="AY811" i="3"/>
  <c r="BB811" i="3" s="1"/>
  <c r="AT811" i="3"/>
  <c r="AW811" i="3" s="1"/>
  <c r="AR811" i="3"/>
  <c r="AO811" i="3"/>
  <c r="BI810" i="3"/>
  <c r="BL810" i="3" s="1"/>
  <c r="BD810" i="3"/>
  <c r="BG810" i="3" s="1"/>
  <c r="AY810" i="3"/>
  <c r="BB810" i="3" s="1"/>
  <c r="AT810" i="3"/>
  <c r="AW810" i="3" s="1"/>
  <c r="AO810" i="3"/>
  <c r="AR810" i="3" s="1"/>
  <c r="BI809" i="3"/>
  <c r="BL809" i="3" s="1"/>
  <c r="BD809" i="3"/>
  <c r="BG809" i="3" s="1"/>
  <c r="AY809" i="3"/>
  <c r="BB809" i="3" s="1"/>
  <c r="AT809" i="3"/>
  <c r="AW809" i="3" s="1"/>
  <c r="AO809" i="3"/>
  <c r="AR809" i="3" s="1"/>
  <c r="AJ809" i="3"/>
  <c r="AM809" i="3" s="1"/>
  <c r="BI808" i="3"/>
  <c r="BL808" i="3" s="1"/>
  <c r="BD808" i="3"/>
  <c r="BG808" i="3" s="1"/>
  <c r="AY808" i="3"/>
  <c r="BB808" i="3" s="1"/>
  <c r="AT808" i="3"/>
  <c r="AW808" i="3" s="1"/>
  <c r="AO808" i="3"/>
  <c r="AR808" i="3" s="1"/>
  <c r="BI807" i="3"/>
  <c r="BL807" i="3" s="1"/>
  <c r="BD807" i="3"/>
  <c r="BG807" i="3" s="1"/>
  <c r="AY807" i="3"/>
  <c r="BB807" i="3" s="1"/>
  <c r="AT807" i="3"/>
  <c r="AW807" i="3" s="1"/>
  <c r="AO807" i="3"/>
  <c r="AR807" i="3" s="1"/>
  <c r="AJ807" i="3"/>
  <c r="AM807" i="3" s="1"/>
  <c r="BI806" i="3"/>
  <c r="BL806" i="3" s="1"/>
  <c r="BD806" i="3"/>
  <c r="BG806" i="3" s="1"/>
  <c r="AY806" i="3"/>
  <c r="BB806" i="3" s="1"/>
  <c r="AT806" i="3"/>
  <c r="AW806" i="3" s="1"/>
  <c r="AO806" i="3"/>
  <c r="AR806" i="3" s="1"/>
  <c r="BI805" i="3"/>
  <c r="BL805" i="3" s="1"/>
  <c r="BD805" i="3"/>
  <c r="BG805" i="3" s="1"/>
  <c r="AY805" i="3"/>
  <c r="BB805" i="3" s="1"/>
  <c r="AT805" i="3"/>
  <c r="AW805" i="3" s="1"/>
  <c r="AO805" i="3"/>
  <c r="AR805" i="3" s="1"/>
  <c r="AJ805" i="3"/>
  <c r="AM805" i="3" s="1"/>
  <c r="BI804" i="3"/>
  <c r="BL804" i="3" s="1"/>
  <c r="BD804" i="3"/>
  <c r="BG804" i="3" s="1"/>
  <c r="AY804" i="3"/>
  <c r="BB804" i="3" s="1"/>
  <c r="AT804" i="3"/>
  <c r="AW804" i="3" s="1"/>
  <c r="AO804" i="3"/>
  <c r="AR804" i="3" s="1"/>
  <c r="BI803" i="3"/>
  <c r="BL803" i="3" s="1"/>
  <c r="BD803" i="3"/>
  <c r="BG803" i="3" s="1"/>
  <c r="AY803" i="3"/>
  <c r="BB803" i="3" s="1"/>
  <c r="AT803" i="3"/>
  <c r="AW803" i="3" s="1"/>
  <c r="AO803" i="3"/>
  <c r="AR803" i="3" s="1"/>
  <c r="BI802" i="3"/>
  <c r="BL802" i="3" s="1"/>
  <c r="BD802" i="3"/>
  <c r="BG802" i="3" s="1"/>
  <c r="AY802" i="3"/>
  <c r="BB802" i="3" s="1"/>
  <c r="AT802" i="3"/>
  <c r="AW802" i="3" s="1"/>
  <c r="AO802" i="3"/>
  <c r="AR802" i="3" s="1"/>
  <c r="BI801" i="3"/>
  <c r="BL801" i="3" s="1"/>
  <c r="BD801" i="3"/>
  <c r="BG801" i="3" s="1"/>
  <c r="AY801" i="3"/>
  <c r="BB801" i="3" s="1"/>
  <c r="AT801" i="3"/>
  <c r="AW801" i="3" s="1"/>
  <c r="AO801" i="3"/>
  <c r="AR801" i="3" s="1"/>
  <c r="AJ801" i="3"/>
  <c r="AM801" i="3" s="1"/>
  <c r="BI800" i="3"/>
  <c r="BL800" i="3" s="1"/>
  <c r="BD800" i="3"/>
  <c r="BG800" i="3" s="1"/>
  <c r="AY800" i="3"/>
  <c r="BB800" i="3" s="1"/>
  <c r="AT800" i="3"/>
  <c r="AW800" i="3" s="1"/>
  <c r="AO800" i="3"/>
  <c r="AR800" i="3" s="1"/>
  <c r="BI799" i="3"/>
  <c r="BL799" i="3" s="1"/>
  <c r="BD799" i="3"/>
  <c r="BG799" i="3" s="1"/>
  <c r="AY799" i="3"/>
  <c r="BB799" i="3" s="1"/>
  <c r="AT799" i="3"/>
  <c r="AW799" i="3" s="1"/>
  <c r="AO799" i="3"/>
  <c r="AR799" i="3" s="1"/>
  <c r="AJ799" i="3"/>
  <c r="AM799" i="3" s="1"/>
  <c r="BI798" i="3"/>
  <c r="BL798" i="3" s="1"/>
  <c r="BD798" i="3"/>
  <c r="BG798" i="3" s="1"/>
  <c r="AY798" i="3"/>
  <c r="BB798" i="3" s="1"/>
  <c r="AT798" i="3"/>
  <c r="AW798" i="3" s="1"/>
  <c r="AO798" i="3"/>
  <c r="AR798" i="3" s="1"/>
  <c r="BI797" i="3"/>
  <c r="BL797" i="3" s="1"/>
  <c r="BD797" i="3"/>
  <c r="BG797" i="3" s="1"/>
  <c r="AY797" i="3"/>
  <c r="BB797" i="3" s="1"/>
  <c r="AT797" i="3"/>
  <c r="AW797" i="3" s="1"/>
  <c r="AO797" i="3"/>
  <c r="AR797" i="3" s="1"/>
  <c r="AJ797" i="3"/>
  <c r="AM797" i="3" s="1"/>
  <c r="BI796" i="3"/>
  <c r="BL796" i="3" s="1"/>
  <c r="BD796" i="3"/>
  <c r="BG796" i="3" s="1"/>
  <c r="AY796" i="3"/>
  <c r="BB796" i="3" s="1"/>
  <c r="AT796" i="3"/>
  <c r="AW796" i="3" s="1"/>
  <c r="AO796" i="3"/>
  <c r="AR796" i="3" s="1"/>
  <c r="BI795" i="3"/>
  <c r="BL795" i="3" s="1"/>
  <c r="BD795" i="3"/>
  <c r="BG795" i="3" s="1"/>
  <c r="AY795" i="3"/>
  <c r="BB795" i="3" s="1"/>
  <c r="AT795" i="3"/>
  <c r="AW795" i="3" s="1"/>
  <c r="AO795" i="3"/>
  <c r="AR795" i="3" s="1"/>
  <c r="BI794" i="3"/>
  <c r="BL794" i="3" s="1"/>
  <c r="BD794" i="3"/>
  <c r="BG794" i="3" s="1"/>
  <c r="AY794" i="3"/>
  <c r="BB794" i="3" s="1"/>
  <c r="AT794" i="3"/>
  <c r="AW794" i="3" s="1"/>
  <c r="AO794" i="3"/>
  <c r="AR794" i="3" s="1"/>
  <c r="BI793" i="3"/>
  <c r="BL793" i="3" s="1"/>
  <c r="BD793" i="3"/>
  <c r="BG793" i="3" s="1"/>
  <c r="AY793" i="3"/>
  <c r="BB793" i="3" s="1"/>
  <c r="AT793" i="3"/>
  <c r="AW793" i="3" s="1"/>
  <c r="AO793" i="3"/>
  <c r="AR793" i="3" s="1"/>
  <c r="AJ793" i="3"/>
  <c r="AM793" i="3" s="1"/>
  <c r="BI792" i="3"/>
  <c r="BL792" i="3" s="1"/>
  <c r="BD792" i="3"/>
  <c r="BG792" i="3" s="1"/>
  <c r="AY792" i="3"/>
  <c r="BB792" i="3" s="1"/>
  <c r="AT792" i="3"/>
  <c r="AW792" i="3" s="1"/>
  <c r="AO792" i="3"/>
  <c r="AR792" i="3" s="1"/>
  <c r="BI791" i="3"/>
  <c r="BL791" i="3" s="1"/>
  <c r="BD791" i="3"/>
  <c r="BG791" i="3" s="1"/>
  <c r="AY791" i="3"/>
  <c r="BB791" i="3" s="1"/>
  <c r="AT791" i="3"/>
  <c r="AW791" i="3" s="1"/>
  <c r="AO791" i="3"/>
  <c r="AR791" i="3" s="1"/>
  <c r="AJ791" i="3"/>
  <c r="AM791" i="3" s="1"/>
  <c r="BI790" i="3"/>
  <c r="BL790" i="3" s="1"/>
  <c r="BD790" i="3"/>
  <c r="BG790" i="3" s="1"/>
  <c r="AY790" i="3"/>
  <c r="BB790" i="3" s="1"/>
  <c r="AT790" i="3"/>
  <c r="AW790" i="3" s="1"/>
  <c r="AO790" i="3"/>
  <c r="AR790" i="3" s="1"/>
  <c r="BI789" i="3"/>
  <c r="BL789" i="3" s="1"/>
  <c r="BD789" i="3"/>
  <c r="BG789" i="3" s="1"/>
  <c r="AY789" i="3"/>
  <c r="BB789" i="3" s="1"/>
  <c r="AT789" i="3"/>
  <c r="AW789" i="3" s="1"/>
  <c r="AO789" i="3"/>
  <c r="AR789" i="3" s="1"/>
  <c r="AJ789" i="3"/>
  <c r="AM789" i="3" s="1"/>
  <c r="BI788" i="3"/>
  <c r="BL788" i="3" s="1"/>
  <c r="BD788" i="3"/>
  <c r="BG788" i="3" s="1"/>
  <c r="AY788" i="3"/>
  <c r="BB788" i="3" s="1"/>
  <c r="AT788" i="3"/>
  <c r="AW788" i="3" s="1"/>
  <c r="AO788" i="3"/>
  <c r="AR788" i="3" s="1"/>
  <c r="BI787" i="3"/>
  <c r="BL787" i="3" s="1"/>
  <c r="BD787" i="3"/>
  <c r="BG787" i="3" s="1"/>
  <c r="AY787" i="3"/>
  <c r="BB787" i="3" s="1"/>
  <c r="AT787" i="3"/>
  <c r="AW787" i="3" s="1"/>
  <c r="AO787" i="3"/>
  <c r="AR787" i="3" s="1"/>
  <c r="BI786" i="3"/>
  <c r="BL786" i="3" s="1"/>
  <c r="BD786" i="3"/>
  <c r="BG786" i="3" s="1"/>
  <c r="AY786" i="3"/>
  <c r="BB786" i="3" s="1"/>
  <c r="AT786" i="3"/>
  <c r="AW786" i="3" s="1"/>
  <c r="AO786" i="3"/>
  <c r="AR786" i="3" s="1"/>
  <c r="BI785" i="3"/>
  <c r="BL785" i="3" s="1"/>
  <c r="BD785" i="3"/>
  <c r="BG785" i="3" s="1"/>
  <c r="AY785" i="3"/>
  <c r="BB785" i="3" s="1"/>
  <c r="AT785" i="3"/>
  <c r="AW785" i="3" s="1"/>
  <c r="AO785" i="3"/>
  <c r="AR785" i="3" s="1"/>
  <c r="AJ785" i="3"/>
  <c r="AM785" i="3" s="1"/>
  <c r="BI784" i="3"/>
  <c r="BL784" i="3" s="1"/>
  <c r="BD784" i="3"/>
  <c r="BG784" i="3" s="1"/>
  <c r="AY784" i="3"/>
  <c r="BB784" i="3" s="1"/>
  <c r="AT784" i="3"/>
  <c r="AW784" i="3" s="1"/>
  <c r="AO784" i="3"/>
  <c r="AR784" i="3" s="1"/>
  <c r="BI783" i="3"/>
  <c r="BL783" i="3" s="1"/>
  <c r="BD783" i="3"/>
  <c r="BG783" i="3" s="1"/>
  <c r="AY783" i="3"/>
  <c r="BB783" i="3" s="1"/>
  <c r="AT783" i="3"/>
  <c r="AW783" i="3" s="1"/>
  <c r="AO783" i="3"/>
  <c r="AR783" i="3" s="1"/>
  <c r="AJ783" i="3"/>
  <c r="AM783" i="3" s="1"/>
  <c r="BI782" i="3"/>
  <c r="BL782" i="3" s="1"/>
  <c r="BD782" i="3"/>
  <c r="BG782" i="3" s="1"/>
  <c r="AY782" i="3"/>
  <c r="BB782" i="3" s="1"/>
  <c r="AT782" i="3"/>
  <c r="AW782" i="3" s="1"/>
  <c r="AO782" i="3"/>
  <c r="AR782" i="3" s="1"/>
  <c r="BI781" i="3"/>
  <c r="BL781" i="3" s="1"/>
  <c r="BD781" i="3"/>
  <c r="BG781" i="3" s="1"/>
  <c r="AY781" i="3"/>
  <c r="BB781" i="3" s="1"/>
  <c r="AT781" i="3"/>
  <c r="AW781" i="3" s="1"/>
  <c r="AO781" i="3"/>
  <c r="AR781" i="3" s="1"/>
  <c r="AJ781" i="3"/>
  <c r="AM781" i="3" s="1"/>
  <c r="BI780" i="3"/>
  <c r="BL780" i="3" s="1"/>
  <c r="BD780" i="3"/>
  <c r="BG780" i="3" s="1"/>
  <c r="AY780" i="3"/>
  <c r="BB780" i="3" s="1"/>
  <c r="AT780" i="3"/>
  <c r="AW780" i="3" s="1"/>
  <c r="AO780" i="3"/>
  <c r="AR780" i="3" s="1"/>
  <c r="BI779" i="3"/>
  <c r="BL779" i="3" s="1"/>
  <c r="BD779" i="3"/>
  <c r="BG779" i="3" s="1"/>
  <c r="AY779" i="3"/>
  <c r="BB779" i="3" s="1"/>
  <c r="AT779" i="3"/>
  <c r="AW779" i="3" s="1"/>
  <c r="AO779" i="3"/>
  <c r="AR779" i="3" s="1"/>
  <c r="BI778" i="3"/>
  <c r="BL778" i="3" s="1"/>
  <c r="BD778" i="3"/>
  <c r="BG778" i="3" s="1"/>
  <c r="AY778" i="3"/>
  <c r="BB778" i="3" s="1"/>
  <c r="AT778" i="3"/>
  <c r="AW778" i="3" s="1"/>
  <c r="AO778" i="3"/>
  <c r="AR778" i="3" s="1"/>
  <c r="BI777" i="3"/>
  <c r="BL777" i="3" s="1"/>
  <c r="BD777" i="3"/>
  <c r="BG777" i="3" s="1"/>
  <c r="AY777" i="3"/>
  <c r="BB777" i="3" s="1"/>
  <c r="AT777" i="3"/>
  <c r="AW777" i="3" s="1"/>
  <c r="AO777" i="3"/>
  <c r="AR777" i="3" s="1"/>
  <c r="AJ777" i="3"/>
  <c r="AM777" i="3" s="1"/>
  <c r="BI776" i="3"/>
  <c r="BL776" i="3" s="1"/>
  <c r="BD776" i="3"/>
  <c r="BG776" i="3" s="1"/>
  <c r="AY776" i="3"/>
  <c r="BB776" i="3" s="1"/>
  <c r="AT776" i="3"/>
  <c r="AW776" i="3" s="1"/>
  <c r="AO776" i="3"/>
  <c r="AR776" i="3" s="1"/>
  <c r="BI775" i="3"/>
  <c r="BL775" i="3" s="1"/>
  <c r="BD775" i="3"/>
  <c r="BG775" i="3" s="1"/>
  <c r="AY775" i="3"/>
  <c r="BB775" i="3" s="1"/>
  <c r="AT775" i="3"/>
  <c r="AW775" i="3" s="1"/>
  <c r="AO775" i="3"/>
  <c r="AR775" i="3" s="1"/>
  <c r="AJ775" i="3"/>
  <c r="AM775" i="3" s="1"/>
  <c r="BI774" i="3"/>
  <c r="BL774" i="3" s="1"/>
  <c r="BD774" i="3"/>
  <c r="BG774" i="3" s="1"/>
  <c r="AY774" i="3"/>
  <c r="BB774" i="3" s="1"/>
  <c r="AT774" i="3"/>
  <c r="AW774" i="3" s="1"/>
  <c r="AO774" i="3"/>
  <c r="AR774" i="3" s="1"/>
  <c r="BI773" i="3"/>
  <c r="BL773" i="3" s="1"/>
  <c r="BD773" i="3"/>
  <c r="BG773" i="3" s="1"/>
  <c r="AY773" i="3"/>
  <c r="BB773" i="3" s="1"/>
  <c r="AT773" i="3"/>
  <c r="AW773" i="3" s="1"/>
  <c r="AO773" i="3"/>
  <c r="AR773" i="3" s="1"/>
  <c r="AJ773" i="3"/>
  <c r="AM773" i="3" s="1"/>
  <c r="BI772" i="3"/>
  <c r="BL772" i="3" s="1"/>
  <c r="BD772" i="3"/>
  <c r="BG772" i="3" s="1"/>
  <c r="AY772" i="3"/>
  <c r="BB772" i="3" s="1"/>
  <c r="AT772" i="3"/>
  <c r="AW772" i="3" s="1"/>
  <c r="AO772" i="3"/>
  <c r="AR772" i="3" s="1"/>
  <c r="BI771" i="3"/>
  <c r="BL771" i="3" s="1"/>
  <c r="BD771" i="3"/>
  <c r="BG771" i="3" s="1"/>
  <c r="AY771" i="3"/>
  <c r="BB771" i="3" s="1"/>
  <c r="AT771" i="3"/>
  <c r="AW771" i="3" s="1"/>
  <c r="AO771" i="3"/>
  <c r="AR771" i="3" s="1"/>
  <c r="BI770" i="3"/>
  <c r="BL770" i="3" s="1"/>
  <c r="BD770" i="3"/>
  <c r="BG770" i="3" s="1"/>
  <c r="AY770" i="3"/>
  <c r="BB770" i="3" s="1"/>
  <c r="AT770" i="3"/>
  <c r="AW770" i="3" s="1"/>
  <c r="AO770" i="3"/>
  <c r="AR770" i="3" s="1"/>
  <c r="BI769" i="3"/>
  <c r="BL769" i="3" s="1"/>
  <c r="BD769" i="3"/>
  <c r="BG769" i="3" s="1"/>
  <c r="AY769" i="3"/>
  <c r="BB769" i="3" s="1"/>
  <c r="AT769" i="3"/>
  <c r="AW769" i="3" s="1"/>
  <c r="AO769" i="3"/>
  <c r="AR769" i="3" s="1"/>
  <c r="AJ769" i="3"/>
  <c r="AM769" i="3" s="1"/>
  <c r="BI768" i="3"/>
  <c r="BL768" i="3" s="1"/>
  <c r="BD768" i="3"/>
  <c r="BG768" i="3" s="1"/>
  <c r="AY768" i="3"/>
  <c r="BB768" i="3" s="1"/>
  <c r="AT768" i="3"/>
  <c r="AW768" i="3" s="1"/>
  <c r="AO768" i="3"/>
  <c r="AR768" i="3" s="1"/>
  <c r="BI767" i="3"/>
  <c r="BL767" i="3" s="1"/>
  <c r="BD767" i="3"/>
  <c r="BG767" i="3" s="1"/>
  <c r="AY767" i="3"/>
  <c r="BB767" i="3" s="1"/>
  <c r="AT767" i="3"/>
  <c r="AW767" i="3" s="1"/>
  <c r="AO767" i="3"/>
  <c r="AR767" i="3" s="1"/>
  <c r="AJ767" i="3"/>
  <c r="AM767" i="3" s="1"/>
  <c r="BI766" i="3"/>
  <c r="BL766" i="3" s="1"/>
  <c r="BD766" i="3"/>
  <c r="BG766" i="3" s="1"/>
  <c r="AY766" i="3"/>
  <c r="BB766" i="3" s="1"/>
  <c r="AT766" i="3"/>
  <c r="AW766" i="3" s="1"/>
  <c r="AO766" i="3"/>
  <c r="AR766" i="3" s="1"/>
  <c r="BI765" i="3"/>
  <c r="BL765" i="3" s="1"/>
  <c r="BD765" i="3"/>
  <c r="BG765" i="3" s="1"/>
  <c r="AY765" i="3"/>
  <c r="BB765" i="3" s="1"/>
  <c r="AT765" i="3"/>
  <c r="AW765" i="3" s="1"/>
  <c r="AO765" i="3"/>
  <c r="AR765" i="3" s="1"/>
  <c r="AJ765" i="3"/>
  <c r="AM765" i="3" s="1"/>
  <c r="BI764" i="3"/>
  <c r="BL764" i="3" s="1"/>
  <c r="BD764" i="3"/>
  <c r="BG764" i="3" s="1"/>
  <c r="AY764" i="3"/>
  <c r="BB764" i="3" s="1"/>
  <c r="AT764" i="3"/>
  <c r="AW764" i="3" s="1"/>
  <c r="AO764" i="3"/>
  <c r="AR764" i="3" s="1"/>
  <c r="BI763" i="3"/>
  <c r="BL763" i="3" s="1"/>
  <c r="BD763" i="3"/>
  <c r="BG763" i="3" s="1"/>
  <c r="AY763" i="3"/>
  <c r="BB763" i="3" s="1"/>
  <c r="AT763" i="3"/>
  <c r="AW763" i="3" s="1"/>
  <c r="AO763" i="3"/>
  <c r="AR763" i="3" s="1"/>
  <c r="BI762" i="3"/>
  <c r="BL762" i="3" s="1"/>
  <c r="BD762" i="3"/>
  <c r="BG762" i="3" s="1"/>
  <c r="AY762" i="3"/>
  <c r="BB762" i="3" s="1"/>
  <c r="AT762" i="3"/>
  <c r="AW762" i="3" s="1"/>
  <c r="AO762" i="3"/>
  <c r="AR762" i="3" s="1"/>
  <c r="BI761" i="3"/>
  <c r="BL761" i="3" s="1"/>
  <c r="BD761" i="3"/>
  <c r="BG761" i="3" s="1"/>
  <c r="AY761" i="3"/>
  <c r="BB761" i="3" s="1"/>
  <c r="AT761" i="3"/>
  <c r="AW761" i="3" s="1"/>
  <c r="AO761" i="3"/>
  <c r="AR761" i="3" s="1"/>
  <c r="AJ761" i="3"/>
  <c r="AM761" i="3" s="1"/>
  <c r="BI760" i="3"/>
  <c r="BL760" i="3" s="1"/>
  <c r="BD760" i="3"/>
  <c r="BG760" i="3" s="1"/>
  <c r="AY760" i="3"/>
  <c r="BB760" i="3" s="1"/>
  <c r="AT760" i="3"/>
  <c r="AW760" i="3" s="1"/>
  <c r="AO760" i="3"/>
  <c r="AR760" i="3" s="1"/>
  <c r="BI759" i="3"/>
  <c r="BL759" i="3" s="1"/>
  <c r="BD759" i="3"/>
  <c r="BG759" i="3" s="1"/>
  <c r="AY759" i="3"/>
  <c r="BB759" i="3" s="1"/>
  <c r="AT759" i="3"/>
  <c r="AW759" i="3" s="1"/>
  <c r="AO759" i="3"/>
  <c r="AR759" i="3" s="1"/>
  <c r="AJ759" i="3"/>
  <c r="AM759" i="3" s="1"/>
  <c r="BI758" i="3"/>
  <c r="BL758" i="3" s="1"/>
  <c r="BD758" i="3"/>
  <c r="BG758" i="3" s="1"/>
  <c r="AY758" i="3"/>
  <c r="BB758" i="3" s="1"/>
  <c r="AT758" i="3"/>
  <c r="AW758" i="3" s="1"/>
  <c r="AO758" i="3"/>
  <c r="AR758" i="3" s="1"/>
  <c r="BI757" i="3"/>
  <c r="BL757" i="3" s="1"/>
  <c r="BD757" i="3"/>
  <c r="BG757" i="3" s="1"/>
  <c r="AY757" i="3"/>
  <c r="BB757" i="3" s="1"/>
  <c r="AW757" i="3"/>
  <c r="AT757" i="3"/>
  <c r="AO757" i="3"/>
  <c r="AR757" i="3" s="1"/>
  <c r="AJ757" i="3"/>
  <c r="AM757" i="3" s="1"/>
  <c r="BI756" i="3"/>
  <c r="BL756" i="3" s="1"/>
  <c r="BG756" i="3"/>
  <c r="BD756" i="3"/>
  <c r="AY756" i="3"/>
  <c r="BB756" i="3" s="1"/>
  <c r="AT756" i="3"/>
  <c r="AW756" i="3" s="1"/>
  <c r="AO756" i="3"/>
  <c r="AR756" i="3" s="1"/>
  <c r="AM756" i="3"/>
  <c r="AJ756" i="3"/>
  <c r="BI755" i="3"/>
  <c r="BL755" i="3" s="1"/>
  <c r="BD755" i="3"/>
  <c r="BG755" i="3" s="1"/>
  <c r="AY755" i="3"/>
  <c r="BB755" i="3" s="1"/>
  <c r="AW755" i="3"/>
  <c r="AT755" i="3"/>
  <c r="AO755" i="3"/>
  <c r="AR755" i="3" s="1"/>
  <c r="AJ755" i="3"/>
  <c r="AM755" i="3" s="1"/>
  <c r="BI754" i="3"/>
  <c r="BL754" i="3" s="1"/>
  <c r="BG754" i="3"/>
  <c r="BD754" i="3"/>
  <c r="AY754" i="3"/>
  <c r="BB754" i="3" s="1"/>
  <c r="AT754" i="3"/>
  <c r="AW754" i="3" s="1"/>
  <c r="AO754" i="3"/>
  <c r="AR754" i="3" s="1"/>
  <c r="AJ754" i="3"/>
  <c r="AM754" i="3" s="1"/>
  <c r="BI753" i="3"/>
  <c r="BL753" i="3" s="1"/>
  <c r="BD753" i="3"/>
  <c r="BG753" i="3" s="1"/>
  <c r="AY753" i="3"/>
  <c r="BB753" i="3" s="1"/>
  <c r="AW753" i="3"/>
  <c r="AT753" i="3"/>
  <c r="AO753" i="3"/>
  <c r="AR753" i="3" s="1"/>
  <c r="AJ753" i="3"/>
  <c r="AM753" i="3" s="1"/>
  <c r="BI752" i="3"/>
  <c r="BL752" i="3" s="1"/>
  <c r="BG752" i="3"/>
  <c r="BD752" i="3"/>
  <c r="AY752" i="3"/>
  <c r="BB752" i="3" s="1"/>
  <c r="AT752" i="3"/>
  <c r="AW752" i="3" s="1"/>
  <c r="AO752" i="3"/>
  <c r="AR752" i="3" s="1"/>
  <c r="AJ752" i="3"/>
  <c r="AM752" i="3" s="1"/>
  <c r="BI751" i="3"/>
  <c r="BL751" i="3" s="1"/>
  <c r="BD751" i="3"/>
  <c r="BG751" i="3" s="1"/>
  <c r="AY751" i="3"/>
  <c r="BB751" i="3" s="1"/>
  <c r="AW751" i="3"/>
  <c r="AT751" i="3"/>
  <c r="AO751" i="3"/>
  <c r="AR751" i="3" s="1"/>
  <c r="BI750" i="3"/>
  <c r="BL750" i="3" s="1"/>
  <c r="BG750" i="3"/>
  <c r="BD750" i="3"/>
  <c r="AY750" i="3"/>
  <c r="BB750" i="3" s="1"/>
  <c r="AT750" i="3"/>
  <c r="AW750" i="3" s="1"/>
  <c r="AO750" i="3"/>
  <c r="AR750" i="3" s="1"/>
  <c r="BI749" i="3"/>
  <c r="BL749" i="3" s="1"/>
  <c r="BD749" i="3"/>
  <c r="BG749" i="3" s="1"/>
  <c r="AY749" i="3"/>
  <c r="BB749" i="3" s="1"/>
  <c r="AW749" i="3"/>
  <c r="AT749" i="3"/>
  <c r="AO749" i="3"/>
  <c r="AR749" i="3" s="1"/>
  <c r="AJ749" i="3"/>
  <c r="AM749" i="3" s="1"/>
  <c r="BI748" i="3"/>
  <c r="BL748" i="3" s="1"/>
  <c r="BG748" i="3"/>
  <c r="BD748" i="3"/>
  <c r="AY748" i="3"/>
  <c r="BB748" i="3" s="1"/>
  <c r="AT748" i="3"/>
  <c r="AW748" i="3" s="1"/>
  <c r="AO748" i="3"/>
  <c r="AR748" i="3" s="1"/>
  <c r="AM748" i="3"/>
  <c r="AJ748" i="3"/>
  <c r="BI747" i="3"/>
  <c r="BL747" i="3" s="1"/>
  <c r="BD747" i="3"/>
  <c r="BG747" i="3" s="1"/>
  <c r="AY747" i="3"/>
  <c r="BB747" i="3" s="1"/>
  <c r="AW747" i="3"/>
  <c r="AT747" i="3"/>
  <c r="AO747" i="3"/>
  <c r="AR747" i="3" s="1"/>
  <c r="AJ747" i="3"/>
  <c r="AM747" i="3" s="1"/>
  <c r="BI746" i="3"/>
  <c r="BL746" i="3" s="1"/>
  <c r="BG746" i="3"/>
  <c r="BD746" i="3"/>
  <c r="AY746" i="3"/>
  <c r="BB746" i="3" s="1"/>
  <c r="AT746" i="3"/>
  <c r="AW746" i="3" s="1"/>
  <c r="AO746" i="3"/>
  <c r="AR746" i="3" s="1"/>
  <c r="AJ746" i="3"/>
  <c r="AM746" i="3" s="1"/>
  <c r="BI745" i="3"/>
  <c r="BL745" i="3" s="1"/>
  <c r="BD745" i="3"/>
  <c r="BG745" i="3" s="1"/>
  <c r="AY745" i="3"/>
  <c r="BB745" i="3" s="1"/>
  <c r="AW745" i="3"/>
  <c r="AT745" i="3"/>
  <c r="AO745" i="3"/>
  <c r="AR745" i="3" s="1"/>
  <c r="AJ745" i="3"/>
  <c r="AM745" i="3" s="1"/>
  <c r="BI744" i="3"/>
  <c r="BL744" i="3" s="1"/>
  <c r="BG744" i="3"/>
  <c r="BD744" i="3"/>
  <c r="AY744" i="3"/>
  <c r="BB744" i="3" s="1"/>
  <c r="AT744" i="3"/>
  <c r="AW744" i="3" s="1"/>
  <c r="AO744" i="3"/>
  <c r="AR744" i="3" s="1"/>
  <c r="AJ744" i="3"/>
  <c r="AM744" i="3" s="1"/>
  <c r="BI743" i="3"/>
  <c r="BL743" i="3" s="1"/>
  <c r="BD743" i="3"/>
  <c r="BG743" i="3" s="1"/>
  <c r="AY743" i="3"/>
  <c r="BB743" i="3" s="1"/>
  <c r="AW743" i="3"/>
  <c r="AT743" i="3"/>
  <c r="AO743" i="3"/>
  <c r="AR743" i="3" s="1"/>
  <c r="BI742" i="3"/>
  <c r="BL742" i="3" s="1"/>
  <c r="BG742" i="3"/>
  <c r="BD742" i="3"/>
  <c r="AY742" i="3"/>
  <c r="BB742" i="3" s="1"/>
  <c r="AT742" i="3"/>
  <c r="AW742" i="3" s="1"/>
  <c r="AO742" i="3"/>
  <c r="AR742" i="3" s="1"/>
  <c r="BI741" i="3"/>
  <c r="BL741" i="3" s="1"/>
  <c r="BD741" i="3"/>
  <c r="BG741" i="3" s="1"/>
  <c r="AY741" i="3"/>
  <c r="BB741" i="3" s="1"/>
  <c r="AW741" i="3"/>
  <c r="AT741" i="3"/>
  <c r="AO741" i="3"/>
  <c r="AR741" i="3" s="1"/>
  <c r="AJ741" i="3"/>
  <c r="AM741" i="3" s="1"/>
  <c r="BI740" i="3"/>
  <c r="BL740" i="3" s="1"/>
  <c r="BG740" i="3"/>
  <c r="BD740" i="3"/>
  <c r="AY740" i="3"/>
  <c r="BB740" i="3" s="1"/>
  <c r="AT740" i="3"/>
  <c r="AW740" i="3" s="1"/>
  <c r="AO740" i="3"/>
  <c r="AR740" i="3" s="1"/>
  <c r="AM740" i="3"/>
  <c r="AJ740" i="3"/>
  <c r="BI739" i="3"/>
  <c r="BL739" i="3" s="1"/>
  <c r="BD739" i="3"/>
  <c r="BG739" i="3" s="1"/>
  <c r="AY739" i="3"/>
  <c r="BB739" i="3" s="1"/>
  <c r="AW739" i="3"/>
  <c r="AT739" i="3"/>
  <c r="AO739" i="3"/>
  <c r="AR739" i="3" s="1"/>
  <c r="AJ739" i="3"/>
  <c r="AM739" i="3" s="1"/>
  <c r="BI738" i="3"/>
  <c r="BL738" i="3" s="1"/>
  <c r="BG738" i="3"/>
  <c r="BD738" i="3"/>
  <c r="AY738" i="3"/>
  <c r="BB738" i="3" s="1"/>
  <c r="AT738" i="3"/>
  <c r="AW738" i="3" s="1"/>
  <c r="AO738" i="3"/>
  <c r="AR738" i="3" s="1"/>
  <c r="AJ738" i="3"/>
  <c r="AM738" i="3" s="1"/>
  <c r="BI737" i="3"/>
  <c r="BL737" i="3" s="1"/>
  <c r="BD737" i="3"/>
  <c r="BG737" i="3" s="1"/>
  <c r="AY737" i="3"/>
  <c r="BB737" i="3" s="1"/>
  <c r="AW737" i="3"/>
  <c r="AT737" i="3"/>
  <c r="AO737" i="3"/>
  <c r="AR737" i="3" s="1"/>
  <c r="AJ737" i="3"/>
  <c r="AM737" i="3" s="1"/>
  <c r="BI736" i="3"/>
  <c r="BL736" i="3" s="1"/>
  <c r="BG736" i="3"/>
  <c r="BD736" i="3"/>
  <c r="AY736" i="3"/>
  <c r="BB736" i="3" s="1"/>
  <c r="AT736" i="3"/>
  <c r="AW736" i="3" s="1"/>
  <c r="AO736" i="3"/>
  <c r="AR736" i="3" s="1"/>
  <c r="AJ736" i="3"/>
  <c r="AM736" i="3" s="1"/>
  <c r="BI735" i="3"/>
  <c r="BL735" i="3" s="1"/>
  <c r="BD735" i="3"/>
  <c r="BG735" i="3" s="1"/>
  <c r="AY735" i="3"/>
  <c r="BB735" i="3" s="1"/>
  <c r="AW735" i="3"/>
  <c r="AT735" i="3"/>
  <c r="AO735" i="3"/>
  <c r="AR735" i="3" s="1"/>
  <c r="BI734" i="3"/>
  <c r="BL734" i="3" s="1"/>
  <c r="BG734" i="3"/>
  <c r="BD734" i="3"/>
  <c r="AY734" i="3"/>
  <c r="BB734" i="3" s="1"/>
  <c r="AT734" i="3"/>
  <c r="AW734" i="3" s="1"/>
  <c r="AO734" i="3"/>
  <c r="AR734" i="3" s="1"/>
  <c r="BI733" i="3"/>
  <c r="BL733" i="3" s="1"/>
  <c r="BD733" i="3"/>
  <c r="BG733" i="3" s="1"/>
  <c r="AY733" i="3"/>
  <c r="BB733" i="3" s="1"/>
  <c r="AW733" i="3"/>
  <c r="AT733" i="3"/>
  <c r="AO733" i="3"/>
  <c r="AR733" i="3" s="1"/>
  <c r="AJ733" i="3"/>
  <c r="AM733" i="3" s="1"/>
  <c r="BI732" i="3"/>
  <c r="BL732" i="3" s="1"/>
  <c r="BG732" i="3"/>
  <c r="BD732" i="3"/>
  <c r="AY732" i="3"/>
  <c r="BB732" i="3" s="1"/>
  <c r="AT732" i="3"/>
  <c r="AW732" i="3" s="1"/>
  <c r="AO732" i="3"/>
  <c r="AR732" i="3" s="1"/>
  <c r="AM732" i="3"/>
  <c r="AJ732" i="3"/>
  <c r="BI731" i="3"/>
  <c r="BL731" i="3" s="1"/>
  <c r="BD731" i="3"/>
  <c r="BG731" i="3" s="1"/>
  <c r="AY731" i="3"/>
  <c r="BB731" i="3" s="1"/>
  <c r="AW731" i="3"/>
  <c r="AT731" i="3"/>
  <c r="AO731" i="3"/>
  <c r="AR731" i="3" s="1"/>
  <c r="AJ731" i="3"/>
  <c r="AM731" i="3" s="1"/>
  <c r="BI730" i="3"/>
  <c r="BL730" i="3" s="1"/>
  <c r="BG730" i="3"/>
  <c r="BD730" i="3"/>
  <c r="AY730" i="3"/>
  <c r="BB730" i="3" s="1"/>
  <c r="AT730" i="3"/>
  <c r="AW730" i="3" s="1"/>
  <c r="AO730" i="3"/>
  <c r="AR730" i="3" s="1"/>
  <c r="AJ730" i="3"/>
  <c r="AM730" i="3" s="1"/>
  <c r="BI729" i="3"/>
  <c r="BL729" i="3" s="1"/>
  <c r="BD729" i="3"/>
  <c r="BG729" i="3" s="1"/>
  <c r="AY729" i="3"/>
  <c r="BB729" i="3" s="1"/>
  <c r="AW729" i="3"/>
  <c r="AT729" i="3"/>
  <c r="AO729" i="3"/>
  <c r="AR729" i="3" s="1"/>
  <c r="AJ729" i="3"/>
  <c r="AM729" i="3" s="1"/>
  <c r="BI728" i="3"/>
  <c r="BL728" i="3" s="1"/>
  <c r="BG728" i="3"/>
  <c r="BD728" i="3"/>
  <c r="AY728" i="3"/>
  <c r="BB728" i="3" s="1"/>
  <c r="AT728" i="3"/>
  <c r="AW728" i="3" s="1"/>
  <c r="AO728" i="3"/>
  <c r="AR728" i="3" s="1"/>
  <c r="AJ728" i="3"/>
  <c r="AM728" i="3" s="1"/>
  <c r="BI727" i="3"/>
  <c r="BL727" i="3" s="1"/>
  <c r="BD727" i="3"/>
  <c r="BG727" i="3" s="1"/>
  <c r="AY727" i="3"/>
  <c r="BB727" i="3" s="1"/>
  <c r="AW727" i="3"/>
  <c r="AT727" i="3"/>
  <c r="AO727" i="3"/>
  <c r="AR727" i="3" s="1"/>
  <c r="BI726" i="3"/>
  <c r="BL726" i="3" s="1"/>
  <c r="BG726" i="3"/>
  <c r="BD726" i="3"/>
  <c r="AY726" i="3"/>
  <c r="BB726" i="3" s="1"/>
  <c r="AT726" i="3"/>
  <c r="AW726" i="3" s="1"/>
  <c r="AO726" i="3"/>
  <c r="AR726" i="3" s="1"/>
  <c r="BI725" i="3"/>
  <c r="BL725" i="3" s="1"/>
  <c r="BD725" i="3"/>
  <c r="BG725" i="3" s="1"/>
  <c r="AY725" i="3"/>
  <c r="BB725" i="3" s="1"/>
  <c r="AW725" i="3"/>
  <c r="AT725" i="3"/>
  <c r="AO725" i="3"/>
  <c r="AR725" i="3" s="1"/>
  <c r="AJ725" i="3"/>
  <c r="AM725" i="3" s="1"/>
  <c r="BI724" i="3"/>
  <c r="BL724" i="3" s="1"/>
  <c r="BG724" i="3"/>
  <c r="BD724" i="3"/>
  <c r="AY724" i="3"/>
  <c r="BB724" i="3" s="1"/>
  <c r="AT724" i="3"/>
  <c r="AW724" i="3" s="1"/>
  <c r="AO724" i="3"/>
  <c r="AR724" i="3" s="1"/>
  <c r="AM724" i="3"/>
  <c r="AJ724" i="3"/>
  <c r="BI723" i="3"/>
  <c r="BL723" i="3" s="1"/>
  <c r="BD723" i="3"/>
  <c r="BG723" i="3" s="1"/>
  <c r="AY723" i="3"/>
  <c r="BB723" i="3" s="1"/>
  <c r="AW723" i="3"/>
  <c r="AT723" i="3"/>
  <c r="AO723" i="3"/>
  <c r="AR723" i="3" s="1"/>
  <c r="AJ723" i="3"/>
  <c r="AM723" i="3" s="1"/>
  <c r="BI722" i="3"/>
  <c r="BL722" i="3" s="1"/>
  <c r="BG722" i="3"/>
  <c r="BD722" i="3"/>
  <c r="AY722" i="3"/>
  <c r="BB722" i="3" s="1"/>
  <c r="AT722" i="3"/>
  <c r="AW722" i="3" s="1"/>
  <c r="AO722" i="3"/>
  <c r="AR722" i="3" s="1"/>
  <c r="AJ722" i="3"/>
  <c r="AM722" i="3" s="1"/>
  <c r="BI721" i="3"/>
  <c r="BL721" i="3" s="1"/>
  <c r="BD721" i="3"/>
  <c r="BG721" i="3" s="1"/>
  <c r="AY721" i="3"/>
  <c r="BB721" i="3" s="1"/>
  <c r="AW721" i="3"/>
  <c r="AT721" i="3"/>
  <c r="AO721" i="3"/>
  <c r="AR721" i="3" s="1"/>
  <c r="AJ721" i="3"/>
  <c r="AM721" i="3" s="1"/>
  <c r="BI720" i="3"/>
  <c r="BL720" i="3" s="1"/>
  <c r="BG720" i="3"/>
  <c r="BD720" i="3"/>
  <c r="AY720" i="3"/>
  <c r="BB720" i="3" s="1"/>
  <c r="AT720" i="3"/>
  <c r="AW720" i="3" s="1"/>
  <c r="AO720" i="3"/>
  <c r="AR720" i="3" s="1"/>
  <c r="AJ720" i="3"/>
  <c r="AM720" i="3" s="1"/>
  <c r="BI719" i="3"/>
  <c r="BL719" i="3" s="1"/>
  <c r="BD719" i="3"/>
  <c r="BG719" i="3" s="1"/>
  <c r="AY719" i="3"/>
  <c r="BB719" i="3" s="1"/>
  <c r="AW719" i="3"/>
  <c r="AT719" i="3"/>
  <c r="AO719" i="3"/>
  <c r="AR719" i="3" s="1"/>
  <c r="BI718" i="3"/>
  <c r="BL718" i="3" s="1"/>
  <c r="BG718" i="3"/>
  <c r="BD718" i="3"/>
  <c r="AY718" i="3"/>
  <c r="BB718" i="3" s="1"/>
  <c r="AT718" i="3"/>
  <c r="AW718" i="3" s="1"/>
  <c r="AO718" i="3"/>
  <c r="AR718" i="3" s="1"/>
  <c r="BI717" i="3"/>
  <c r="BL717" i="3" s="1"/>
  <c r="BD717" i="3"/>
  <c r="BG717" i="3" s="1"/>
  <c r="AY717" i="3"/>
  <c r="BB717" i="3" s="1"/>
  <c r="AW717" i="3"/>
  <c r="AT717" i="3"/>
  <c r="AO717" i="3"/>
  <c r="AR717" i="3" s="1"/>
  <c r="AJ717" i="3"/>
  <c r="AM717" i="3" s="1"/>
  <c r="BI716" i="3"/>
  <c r="BL716" i="3" s="1"/>
  <c r="BG716" i="3"/>
  <c r="BD716" i="3"/>
  <c r="AY716" i="3"/>
  <c r="BB716" i="3" s="1"/>
  <c r="AT716" i="3"/>
  <c r="AW716" i="3" s="1"/>
  <c r="AO716" i="3"/>
  <c r="AR716" i="3" s="1"/>
  <c r="AM716" i="3"/>
  <c r="AJ716" i="3"/>
  <c r="BI715" i="3"/>
  <c r="BL715" i="3" s="1"/>
  <c r="BD715" i="3"/>
  <c r="BG715" i="3" s="1"/>
  <c r="AY715" i="3"/>
  <c r="BB715" i="3" s="1"/>
  <c r="AW715" i="3"/>
  <c r="AT715" i="3"/>
  <c r="AO715" i="3"/>
  <c r="AR715" i="3" s="1"/>
  <c r="AJ715" i="3"/>
  <c r="AM715" i="3" s="1"/>
  <c r="BI714" i="3"/>
  <c r="BL714" i="3" s="1"/>
  <c r="BG714" i="3"/>
  <c r="BD714" i="3"/>
  <c r="AY714" i="3"/>
  <c r="BB714" i="3" s="1"/>
  <c r="AT714" i="3"/>
  <c r="AW714" i="3" s="1"/>
  <c r="AO714" i="3"/>
  <c r="AR714" i="3" s="1"/>
  <c r="AJ714" i="3"/>
  <c r="AM714" i="3" s="1"/>
  <c r="BI713" i="3"/>
  <c r="BL713" i="3" s="1"/>
  <c r="BD713" i="3"/>
  <c r="BG713" i="3" s="1"/>
  <c r="AY713" i="3"/>
  <c r="BB713" i="3" s="1"/>
  <c r="AW713" i="3"/>
  <c r="AT713" i="3"/>
  <c r="AO713" i="3"/>
  <c r="AR713" i="3" s="1"/>
  <c r="AJ713" i="3"/>
  <c r="AM713" i="3" s="1"/>
  <c r="BI712" i="3"/>
  <c r="BL712" i="3" s="1"/>
  <c r="BG712" i="3"/>
  <c r="BD712" i="3"/>
  <c r="AY712" i="3"/>
  <c r="BB712" i="3" s="1"/>
  <c r="AT712" i="3"/>
  <c r="AW712" i="3" s="1"/>
  <c r="AO712" i="3"/>
  <c r="AR712" i="3" s="1"/>
  <c r="AJ712" i="3"/>
  <c r="AM712" i="3" s="1"/>
  <c r="BI711" i="3"/>
  <c r="BL711" i="3" s="1"/>
  <c r="BD711" i="3"/>
  <c r="BG711" i="3" s="1"/>
  <c r="AY711" i="3"/>
  <c r="BB711" i="3" s="1"/>
  <c r="AW711" i="3"/>
  <c r="AT711" i="3"/>
  <c r="AO711" i="3"/>
  <c r="AR711" i="3" s="1"/>
  <c r="BI710" i="3"/>
  <c r="BL710" i="3" s="1"/>
  <c r="BG710" i="3"/>
  <c r="BD710" i="3"/>
  <c r="AY710" i="3"/>
  <c r="BB710" i="3" s="1"/>
  <c r="AT710" i="3"/>
  <c r="AW710" i="3" s="1"/>
  <c r="AO710" i="3"/>
  <c r="AR710" i="3" s="1"/>
  <c r="BI709" i="3"/>
  <c r="BL709" i="3" s="1"/>
  <c r="BD709" i="3"/>
  <c r="BG709" i="3" s="1"/>
  <c r="AY709" i="3"/>
  <c r="BB709" i="3" s="1"/>
  <c r="AW709" i="3"/>
  <c r="AT709" i="3"/>
  <c r="AO709" i="3"/>
  <c r="AR709" i="3" s="1"/>
  <c r="AJ709" i="3"/>
  <c r="AM709" i="3" s="1"/>
  <c r="BI708" i="3"/>
  <c r="BL708" i="3" s="1"/>
  <c r="BG708" i="3"/>
  <c r="BD708" i="3"/>
  <c r="AY708" i="3"/>
  <c r="BB708" i="3" s="1"/>
  <c r="AT708" i="3"/>
  <c r="AW708" i="3" s="1"/>
  <c r="AO708" i="3"/>
  <c r="AR708" i="3" s="1"/>
  <c r="AM708" i="3"/>
  <c r="AJ708" i="3"/>
  <c r="BI707" i="3"/>
  <c r="BL707" i="3" s="1"/>
  <c r="BD707" i="3"/>
  <c r="BG707" i="3" s="1"/>
  <c r="AY707" i="3"/>
  <c r="BB707" i="3" s="1"/>
  <c r="AW707" i="3"/>
  <c r="AT707" i="3"/>
  <c r="AO707" i="3"/>
  <c r="AR707" i="3" s="1"/>
  <c r="AJ707" i="3"/>
  <c r="AM707" i="3" s="1"/>
  <c r="BI706" i="3"/>
  <c r="BL706" i="3" s="1"/>
  <c r="BG706" i="3"/>
  <c r="BD706" i="3"/>
  <c r="AY706" i="3"/>
  <c r="BB706" i="3" s="1"/>
  <c r="AT706" i="3"/>
  <c r="AW706" i="3" s="1"/>
  <c r="AO706" i="3"/>
  <c r="AR706" i="3" s="1"/>
  <c r="AJ706" i="3"/>
  <c r="AM706" i="3" s="1"/>
  <c r="BI705" i="3"/>
  <c r="BL705" i="3" s="1"/>
  <c r="BD705" i="3"/>
  <c r="BG705" i="3" s="1"/>
  <c r="AY705" i="3"/>
  <c r="BB705" i="3" s="1"/>
  <c r="AW705" i="3"/>
  <c r="AT705" i="3"/>
  <c r="AO705" i="3"/>
  <c r="AR705" i="3" s="1"/>
  <c r="AJ705" i="3"/>
  <c r="AM705" i="3" s="1"/>
  <c r="BI704" i="3"/>
  <c r="BL704" i="3" s="1"/>
  <c r="BG704" i="3"/>
  <c r="BD704" i="3"/>
  <c r="AY704" i="3"/>
  <c r="BB704" i="3" s="1"/>
  <c r="AT704" i="3"/>
  <c r="AW704" i="3" s="1"/>
  <c r="AO704" i="3"/>
  <c r="AR704" i="3" s="1"/>
  <c r="AJ704" i="3"/>
  <c r="AM704" i="3" s="1"/>
  <c r="BI703" i="3"/>
  <c r="BL703" i="3" s="1"/>
  <c r="BD703" i="3"/>
  <c r="BG703" i="3" s="1"/>
  <c r="AY703" i="3"/>
  <c r="BB703" i="3" s="1"/>
  <c r="AW703" i="3"/>
  <c r="AT703" i="3"/>
  <c r="AO703" i="3"/>
  <c r="AR703" i="3" s="1"/>
  <c r="BI702" i="3"/>
  <c r="BL702" i="3" s="1"/>
  <c r="BG702" i="3"/>
  <c r="BD702" i="3"/>
  <c r="AY702" i="3"/>
  <c r="BB702" i="3" s="1"/>
  <c r="AT702" i="3"/>
  <c r="AW702" i="3" s="1"/>
  <c r="AO702" i="3"/>
  <c r="AR702" i="3" s="1"/>
  <c r="BI701" i="3"/>
  <c r="BL701" i="3" s="1"/>
  <c r="BD701" i="3"/>
  <c r="BG701" i="3" s="1"/>
  <c r="AY701" i="3"/>
  <c r="BB701" i="3" s="1"/>
  <c r="AW701" i="3"/>
  <c r="AT701" i="3"/>
  <c r="AO701" i="3"/>
  <c r="AR701" i="3" s="1"/>
  <c r="AJ701" i="3"/>
  <c r="AM701" i="3" s="1"/>
  <c r="BI700" i="3"/>
  <c r="BL700" i="3" s="1"/>
  <c r="BD700" i="3"/>
  <c r="BG700" i="3" s="1"/>
  <c r="AY700" i="3"/>
  <c r="BB700" i="3" s="1"/>
  <c r="AT700" i="3"/>
  <c r="AW700" i="3" s="1"/>
  <c r="AO700" i="3"/>
  <c r="AR700" i="3" s="1"/>
  <c r="AJ700" i="3"/>
  <c r="AM700" i="3" s="1"/>
  <c r="BI699" i="3"/>
  <c r="BL699" i="3" s="1"/>
  <c r="BD699" i="3"/>
  <c r="BG699" i="3" s="1"/>
  <c r="AY699" i="3"/>
  <c r="BB699" i="3" s="1"/>
  <c r="AT699" i="3"/>
  <c r="AW699" i="3" s="1"/>
  <c r="AO699" i="3"/>
  <c r="AR699" i="3" s="1"/>
  <c r="AJ699" i="3"/>
  <c r="AM699" i="3" s="1"/>
  <c r="BI698" i="3"/>
  <c r="BL698" i="3" s="1"/>
  <c r="BD698" i="3"/>
  <c r="BG698" i="3" s="1"/>
  <c r="AY698" i="3"/>
  <c r="BB698" i="3" s="1"/>
  <c r="AT698" i="3"/>
  <c r="AW698" i="3" s="1"/>
  <c r="AO698" i="3"/>
  <c r="AR698" i="3" s="1"/>
  <c r="AJ698" i="3"/>
  <c r="AM698" i="3" s="1"/>
  <c r="BI697" i="3"/>
  <c r="BL697" i="3" s="1"/>
  <c r="BD697" i="3"/>
  <c r="BG697" i="3" s="1"/>
  <c r="AY697" i="3"/>
  <c r="BB697" i="3" s="1"/>
  <c r="AT697" i="3"/>
  <c r="AW697" i="3" s="1"/>
  <c r="AO697" i="3"/>
  <c r="AR697" i="3" s="1"/>
  <c r="AJ697" i="3"/>
  <c r="AM697" i="3" s="1"/>
  <c r="BI696" i="3"/>
  <c r="BL696" i="3" s="1"/>
  <c r="BD696" i="3"/>
  <c r="BG696" i="3" s="1"/>
  <c r="AY696" i="3"/>
  <c r="BB696" i="3" s="1"/>
  <c r="AT696" i="3"/>
  <c r="AW696" i="3" s="1"/>
  <c r="AO696" i="3"/>
  <c r="AR696" i="3" s="1"/>
  <c r="AJ696" i="3"/>
  <c r="AM696" i="3" s="1"/>
  <c r="BI695" i="3"/>
  <c r="BL695" i="3" s="1"/>
  <c r="BD695" i="3"/>
  <c r="BG695" i="3" s="1"/>
  <c r="AY695" i="3"/>
  <c r="BB695" i="3" s="1"/>
  <c r="AT695" i="3"/>
  <c r="AW695" i="3" s="1"/>
  <c r="AO695" i="3"/>
  <c r="AR695" i="3" s="1"/>
  <c r="AJ695" i="3"/>
  <c r="AM695" i="3" s="1"/>
  <c r="BI694" i="3"/>
  <c r="BL694" i="3" s="1"/>
  <c r="BD694" i="3"/>
  <c r="BG694" i="3" s="1"/>
  <c r="AY694" i="3"/>
  <c r="BB694" i="3" s="1"/>
  <c r="AT694" i="3"/>
  <c r="AW694" i="3" s="1"/>
  <c r="AO694" i="3"/>
  <c r="AR694" i="3" s="1"/>
  <c r="AJ694" i="3"/>
  <c r="AM694" i="3" s="1"/>
  <c r="BI693" i="3"/>
  <c r="BL693" i="3" s="1"/>
  <c r="BD693" i="3"/>
  <c r="BG693" i="3" s="1"/>
  <c r="AY693" i="3"/>
  <c r="BB693" i="3" s="1"/>
  <c r="AT693" i="3"/>
  <c r="AW693" i="3" s="1"/>
  <c r="AO693" i="3"/>
  <c r="AR693" i="3" s="1"/>
  <c r="AJ693" i="3"/>
  <c r="AM693" i="3" s="1"/>
  <c r="BI692" i="3"/>
  <c r="BL692" i="3" s="1"/>
  <c r="BD692" i="3"/>
  <c r="BG692" i="3" s="1"/>
  <c r="AY692" i="3"/>
  <c r="BB692" i="3" s="1"/>
  <c r="AT692" i="3"/>
  <c r="AW692" i="3" s="1"/>
  <c r="AO692" i="3"/>
  <c r="AR692" i="3" s="1"/>
  <c r="AJ692" i="3"/>
  <c r="AM692" i="3" s="1"/>
  <c r="BI691" i="3"/>
  <c r="BL691" i="3" s="1"/>
  <c r="BD691" i="3"/>
  <c r="BG691" i="3" s="1"/>
  <c r="AY691" i="3"/>
  <c r="BB691" i="3" s="1"/>
  <c r="AT691" i="3"/>
  <c r="AW691" i="3" s="1"/>
  <c r="AO691" i="3"/>
  <c r="AR691" i="3" s="1"/>
  <c r="AJ691" i="3"/>
  <c r="AM691" i="3" s="1"/>
  <c r="BI690" i="3"/>
  <c r="BL690" i="3" s="1"/>
  <c r="BD690" i="3"/>
  <c r="BG690" i="3" s="1"/>
  <c r="AY690" i="3"/>
  <c r="BB690" i="3" s="1"/>
  <c r="AT690" i="3"/>
  <c r="AW690" i="3" s="1"/>
  <c r="AO690" i="3"/>
  <c r="AR690" i="3" s="1"/>
  <c r="AJ690" i="3"/>
  <c r="AM690" i="3" s="1"/>
  <c r="BI689" i="3"/>
  <c r="BL689" i="3" s="1"/>
  <c r="BD689" i="3"/>
  <c r="BG689" i="3" s="1"/>
  <c r="AY689" i="3"/>
  <c r="BB689" i="3" s="1"/>
  <c r="AT689" i="3"/>
  <c r="AW689" i="3" s="1"/>
  <c r="AO689" i="3"/>
  <c r="AR689" i="3" s="1"/>
  <c r="AJ689" i="3"/>
  <c r="AM689" i="3" s="1"/>
  <c r="BI688" i="3"/>
  <c r="BL688" i="3" s="1"/>
  <c r="BD688" i="3"/>
  <c r="BG688" i="3" s="1"/>
  <c r="AY688" i="3"/>
  <c r="BB688" i="3" s="1"/>
  <c r="AT688" i="3"/>
  <c r="AW688" i="3" s="1"/>
  <c r="AO688" i="3"/>
  <c r="AR688" i="3" s="1"/>
  <c r="AJ688" i="3"/>
  <c r="AM688" i="3" s="1"/>
  <c r="BI687" i="3"/>
  <c r="BL687" i="3" s="1"/>
  <c r="BD687" i="3"/>
  <c r="BG687" i="3" s="1"/>
  <c r="AY687" i="3"/>
  <c r="BB687" i="3" s="1"/>
  <c r="AT687" i="3"/>
  <c r="AW687" i="3" s="1"/>
  <c r="AO687" i="3"/>
  <c r="AR687" i="3" s="1"/>
  <c r="AJ687" i="3"/>
  <c r="AM687" i="3" s="1"/>
  <c r="BI686" i="3"/>
  <c r="BL686" i="3" s="1"/>
  <c r="BD686" i="3"/>
  <c r="BG686" i="3" s="1"/>
  <c r="AY686" i="3"/>
  <c r="BB686" i="3" s="1"/>
  <c r="AT686" i="3"/>
  <c r="AW686" i="3" s="1"/>
  <c r="AO686" i="3"/>
  <c r="AR686" i="3" s="1"/>
  <c r="AJ686" i="3"/>
  <c r="AM686" i="3" s="1"/>
  <c r="BI685" i="3"/>
  <c r="BL685" i="3" s="1"/>
  <c r="BD685" i="3"/>
  <c r="BG685" i="3" s="1"/>
  <c r="AY685" i="3"/>
  <c r="BB685" i="3" s="1"/>
  <c r="AT685" i="3"/>
  <c r="AW685" i="3" s="1"/>
  <c r="AO685" i="3"/>
  <c r="AR685" i="3" s="1"/>
  <c r="AJ685" i="3"/>
  <c r="AM685" i="3" s="1"/>
  <c r="BI684" i="3"/>
  <c r="BL684" i="3" s="1"/>
  <c r="BD684" i="3"/>
  <c r="BG684" i="3" s="1"/>
  <c r="AY684" i="3"/>
  <c r="BB684" i="3" s="1"/>
  <c r="AT684" i="3"/>
  <c r="AW684" i="3" s="1"/>
  <c r="AO684" i="3"/>
  <c r="AR684" i="3" s="1"/>
  <c r="AJ684" i="3"/>
  <c r="AM684" i="3" s="1"/>
  <c r="BI683" i="3"/>
  <c r="BL683" i="3" s="1"/>
  <c r="BD683" i="3"/>
  <c r="BG683" i="3" s="1"/>
  <c r="AY683" i="3"/>
  <c r="BB683" i="3" s="1"/>
  <c r="AT683" i="3"/>
  <c r="AW683" i="3" s="1"/>
  <c r="AO683" i="3"/>
  <c r="AR683" i="3" s="1"/>
  <c r="AJ683" i="3"/>
  <c r="AM683" i="3" s="1"/>
  <c r="BI682" i="3"/>
  <c r="BL682" i="3" s="1"/>
  <c r="BD682" i="3"/>
  <c r="BG682" i="3" s="1"/>
  <c r="AY682" i="3"/>
  <c r="BB682" i="3" s="1"/>
  <c r="AT682" i="3"/>
  <c r="AW682" i="3" s="1"/>
  <c r="AO682" i="3"/>
  <c r="AR682" i="3" s="1"/>
  <c r="AJ682" i="3"/>
  <c r="AM682" i="3" s="1"/>
  <c r="BI681" i="3"/>
  <c r="BL681" i="3" s="1"/>
  <c r="BD681" i="3"/>
  <c r="BG681" i="3" s="1"/>
  <c r="AY681" i="3"/>
  <c r="BB681" i="3" s="1"/>
  <c r="AT681" i="3"/>
  <c r="AW681" i="3" s="1"/>
  <c r="AO681" i="3"/>
  <c r="AR681" i="3" s="1"/>
  <c r="AJ681" i="3"/>
  <c r="AM681" i="3" s="1"/>
  <c r="BI680" i="3"/>
  <c r="BL680" i="3" s="1"/>
  <c r="BD680" i="3"/>
  <c r="BG680" i="3" s="1"/>
  <c r="AY680" i="3"/>
  <c r="BB680" i="3" s="1"/>
  <c r="AT680" i="3"/>
  <c r="AW680" i="3" s="1"/>
  <c r="AO680" i="3"/>
  <c r="AR680" i="3" s="1"/>
  <c r="AJ680" i="3"/>
  <c r="AM680" i="3" s="1"/>
  <c r="BI679" i="3"/>
  <c r="BL679" i="3" s="1"/>
  <c r="BD679" i="3"/>
  <c r="BG679" i="3" s="1"/>
  <c r="AY679" i="3"/>
  <c r="BB679" i="3" s="1"/>
  <c r="AT679" i="3"/>
  <c r="AW679" i="3" s="1"/>
  <c r="AO679" i="3"/>
  <c r="AR679" i="3" s="1"/>
  <c r="AJ679" i="3"/>
  <c r="AM679" i="3" s="1"/>
  <c r="BI678" i="3"/>
  <c r="BL678" i="3" s="1"/>
  <c r="BD678" i="3"/>
  <c r="BG678" i="3" s="1"/>
  <c r="AY678" i="3"/>
  <c r="BB678" i="3" s="1"/>
  <c r="AT678" i="3"/>
  <c r="AW678" i="3" s="1"/>
  <c r="AO678" i="3"/>
  <c r="AR678" i="3" s="1"/>
  <c r="AJ678" i="3"/>
  <c r="AM678" i="3" s="1"/>
  <c r="BI677" i="3"/>
  <c r="BL677" i="3" s="1"/>
  <c r="BD677" i="3"/>
  <c r="BG677" i="3" s="1"/>
  <c r="AY677" i="3"/>
  <c r="BB677" i="3" s="1"/>
  <c r="AT677" i="3"/>
  <c r="AW677" i="3" s="1"/>
  <c r="AO677" i="3"/>
  <c r="AR677" i="3" s="1"/>
  <c r="AJ677" i="3"/>
  <c r="AM677" i="3" s="1"/>
  <c r="BI676" i="3"/>
  <c r="BL676" i="3" s="1"/>
  <c r="BD676" i="3"/>
  <c r="BG676" i="3" s="1"/>
  <c r="AY676" i="3"/>
  <c r="BB676" i="3" s="1"/>
  <c r="AT676" i="3"/>
  <c r="AW676" i="3" s="1"/>
  <c r="AO676" i="3"/>
  <c r="AR676" i="3" s="1"/>
  <c r="AJ676" i="3"/>
  <c r="AM676" i="3" s="1"/>
  <c r="BI675" i="3"/>
  <c r="BL675" i="3" s="1"/>
  <c r="BD675" i="3"/>
  <c r="BG675" i="3" s="1"/>
  <c r="AY675" i="3"/>
  <c r="BB675" i="3" s="1"/>
  <c r="AT675" i="3"/>
  <c r="AW675" i="3" s="1"/>
  <c r="AO675" i="3"/>
  <c r="AR675" i="3" s="1"/>
  <c r="AJ675" i="3"/>
  <c r="AM675" i="3" s="1"/>
  <c r="BI674" i="3"/>
  <c r="BL674" i="3" s="1"/>
  <c r="BD674" i="3"/>
  <c r="BG674" i="3" s="1"/>
  <c r="AY674" i="3"/>
  <c r="BB674" i="3" s="1"/>
  <c r="AT674" i="3"/>
  <c r="AW674" i="3" s="1"/>
  <c r="AO674" i="3"/>
  <c r="AR674" i="3" s="1"/>
  <c r="AJ674" i="3"/>
  <c r="AM674" i="3" s="1"/>
  <c r="BI673" i="3"/>
  <c r="BL673" i="3" s="1"/>
  <c r="BD673" i="3"/>
  <c r="BG673" i="3" s="1"/>
  <c r="AY673" i="3"/>
  <c r="BB673" i="3" s="1"/>
  <c r="AT673" i="3"/>
  <c r="AW673" i="3" s="1"/>
  <c r="AO673" i="3"/>
  <c r="AR673" i="3" s="1"/>
  <c r="AJ673" i="3"/>
  <c r="AM673" i="3" s="1"/>
  <c r="BI672" i="3"/>
  <c r="BL672" i="3" s="1"/>
  <c r="BD672" i="3"/>
  <c r="BG672" i="3" s="1"/>
  <c r="AY672" i="3"/>
  <c r="BB672" i="3" s="1"/>
  <c r="AT672" i="3"/>
  <c r="AW672" i="3" s="1"/>
  <c r="AO672" i="3"/>
  <c r="AR672" i="3" s="1"/>
  <c r="AJ672" i="3"/>
  <c r="AM672" i="3" s="1"/>
  <c r="BI671" i="3"/>
  <c r="BL671" i="3" s="1"/>
  <c r="BD671" i="3"/>
  <c r="BG671" i="3" s="1"/>
  <c r="AY671" i="3"/>
  <c r="BB671" i="3" s="1"/>
  <c r="AT671" i="3"/>
  <c r="AW671" i="3" s="1"/>
  <c r="AO671" i="3"/>
  <c r="AR671" i="3" s="1"/>
  <c r="AJ671" i="3"/>
  <c r="AM671" i="3" s="1"/>
  <c r="BI670" i="3"/>
  <c r="BL670" i="3" s="1"/>
  <c r="BD670" i="3"/>
  <c r="BG670" i="3" s="1"/>
  <c r="AY670" i="3"/>
  <c r="BB670" i="3" s="1"/>
  <c r="AT670" i="3"/>
  <c r="AW670" i="3" s="1"/>
  <c r="AO670" i="3"/>
  <c r="AR670" i="3" s="1"/>
  <c r="AJ670" i="3"/>
  <c r="AM670" i="3" s="1"/>
  <c r="BI669" i="3"/>
  <c r="BL669" i="3" s="1"/>
  <c r="BD669" i="3"/>
  <c r="BG669" i="3" s="1"/>
  <c r="AY669" i="3"/>
  <c r="BB669" i="3" s="1"/>
  <c r="AT669" i="3"/>
  <c r="AW669" i="3" s="1"/>
  <c r="AO669" i="3"/>
  <c r="AR669" i="3" s="1"/>
  <c r="AJ669" i="3"/>
  <c r="AM669" i="3" s="1"/>
  <c r="BI668" i="3"/>
  <c r="BL668" i="3" s="1"/>
  <c r="BD668" i="3"/>
  <c r="BG668" i="3" s="1"/>
  <c r="AY668" i="3"/>
  <c r="BB668" i="3" s="1"/>
  <c r="AT668" i="3"/>
  <c r="AW668" i="3" s="1"/>
  <c r="AO668" i="3"/>
  <c r="AR668" i="3" s="1"/>
  <c r="AJ668" i="3"/>
  <c r="AM668" i="3" s="1"/>
  <c r="BI667" i="3"/>
  <c r="BL667" i="3" s="1"/>
  <c r="BD667" i="3"/>
  <c r="BG667" i="3" s="1"/>
  <c r="AY667" i="3"/>
  <c r="BB667" i="3" s="1"/>
  <c r="AT667" i="3"/>
  <c r="AW667" i="3" s="1"/>
  <c r="AO667" i="3"/>
  <c r="AR667" i="3" s="1"/>
  <c r="AJ667" i="3"/>
  <c r="AM667" i="3" s="1"/>
  <c r="BI666" i="3"/>
  <c r="BL666" i="3" s="1"/>
  <c r="BD666" i="3"/>
  <c r="BG666" i="3" s="1"/>
  <c r="AY666" i="3"/>
  <c r="BB666" i="3" s="1"/>
  <c r="AT666" i="3"/>
  <c r="AW666" i="3" s="1"/>
  <c r="AO666" i="3"/>
  <c r="AR666" i="3" s="1"/>
  <c r="AJ666" i="3"/>
  <c r="AM666" i="3" s="1"/>
  <c r="BI665" i="3"/>
  <c r="BL665" i="3" s="1"/>
  <c r="BD665" i="3"/>
  <c r="BG665" i="3" s="1"/>
  <c r="AY665" i="3"/>
  <c r="BB665" i="3" s="1"/>
  <c r="AT665" i="3"/>
  <c r="AW665" i="3" s="1"/>
  <c r="AO665" i="3"/>
  <c r="AR665" i="3" s="1"/>
  <c r="AJ665" i="3"/>
  <c r="AM665" i="3" s="1"/>
  <c r="BI664" i="3"/>
  <c r="BL664" i="3" s="1"/>
  <c r="BD664" i="3"/>
  <c r="BG664" i="3" s="1"/>
  <c r="AY664" i="3"/>
  <c r="BB664" i="3" s="1"/>
  <c r="AT664" i="3"/>
  <c r="AW664" i="3" s="1"/>
  <c r="AO664" i="3"/>
  <c r="AR664" i="3" s="1"/>
  <c r="AJ664" i="3"/>
  <c r="AM664" i="3" s="1"/>
  <c r="BI663" i="3"/>
  <c r="BL663" i="3" s="1"/>
  <c r="BD663" i="3"/>
  <c r="BG663" i="3" s="1"/>
  <c r="AY663" i="3"/>
  <c r="BB663" i="3" s="1"/>
  <c r="AT663" i="3"/>
  <c r="AW663" i="3" s="1"/>
  <c r="AO663" i="3"/>
  <c r="AR663" i="3" s="1"/>
  <c r="BI662" i="3"/>
  <c r="BL662" i="3" s="1"/>
  <c r="BG662" i="3"/>
  <c r="BD662" i="3"/>
  <c r="AY662" i="3"/>
  <c r="BB662" i="3" s="1"/>
  <c r="AT662" i="3"/>
  <c r="AW662" i="3" s="1"/>
  <c r="AO662" i="3"/>
  <c r="AR662" i="3" s="1"/>
  <c r="AJ662" i="3"/>
  <c r="AM662" i="3" s="1"/>
  <c r="BI661" i="3"/>
  <c r="BL661" i="3" s="1"/>
  <c r="BD661" i="3"/>
  <c r="BG661" i="3" s="1"/>
  <c r="AY661" i="3"/>
  <c r="BB661" i="3" s="1"/>
  <c r="AW661" i="3"/>
  <c r="AT661" i="3"/>
  <c r="AO661" i="3"/>
  <c r="AR661" i="3" s="1"/>
  <c r="AJ661" i="3"/>
  <c r="AM661" i="3" s="1"/>
  <c r="BI660" i="3"/>
  <c r="BL660" i="3" s="1"/>
  <c r="BD660" i="3"/>
  <c r="BG660" i="3" s="1"/>
  <c r="AY660" i="3"/>
  <c r="BB660" i="3" s="1"/>
  <c r="AT660" i="3"/>
  <c r="AW660" i="3" s="1"/>
  <c r="AO660" i="3"/>
  <c r="AR660" i="3" s="1"/>
  <c r="AJ660" i="3"/>
  <c r="AM660" i="3" s="1"/>
  <c r="BI659" i="3"/>
  <c r="BL659" i="3" s="1"/>
  <c r="BD659" i="3"/>
  <c r="BG659" i="3" s="1"/>
  <c r="AY659" i="3"/>
  <c r="BB659" i="3" s="1"/>
  <c r="AT659" i="3"/>
  <c r="AW659" i="3" s="1"/>
  <c r="AO659" i="3"/>
  <c r="AR659" i="3" s="1"/>
  <c r="AJ659" i="3"/>
  <c r="AM659" i="3" s="1"/>
  <c r="BI658" i="3"/>
  <c r="BL658" i="3" s="1"/>
  <c r="BG658" i="3"/>
  <c r="BD658" i="3"/>
  <c r="AY658" i="3"/>
  <c r="BB658" i="3" s="1"/>
  <c r="AT658" i="3"/>
  <c r="AW658" i="3" s="1"/>
  <c r="AO658" i="3"/>
  <c r="AR658" i="3" s="1"/>
  <c r="AJ658" i="3"/>
  <c r="AM658" i="3" s="1"/>
  <c r="BI657" i="3"/>
  <c r="BL657" i="3" s="1"/>
  <c r="BD657" i="3"/>
  <c r="BG657" i="3" s="1"/>
  <c r="AY657" i="3"/>
  <c r="BB657" i="3" s="1"/>
  <c r="AW657" i="3"/>
  <c r="AT657" i="3"/>
  <c r="AO657" i="3"/>
  <c r="AR657" i="3" s="1"/>
  <c r="AJ657" i="3"/>
  <c r="AM657" i="3" s="1"/>
  <c r="BI656" i="3"/>
  <c r="BL656" i="3" s="1"/>
  <c r="BD656" i="3"/>
  <c r="BG656" i="3" s="1"/>
  <c r="AY656" i="3"/>
  <c r="BB656" i="3" s="1"/>
  <c r="AT656" i="3"/>
  <c r="AW656" i="3" s="1"/>
  <c r="AO656" i="3"/>
  <c r="AR656" i="3" s="1"/>
  <c r="BI655" i="3"/>
  <c r="BL655" i="3" s="1"/>
  <c r="BD655" i="3"/>
  <c r="BG655" i="3" s="1"/>
  <c r="AY655" i="3"/>
  <c r="BB655" i="3" s="1"/>
  <c r="AT655" i="3"/>
  <c r="AW655" i="3" s="1"/>
  <c r="AO655" i="3"/>
  <c r="AR655" i="3" s="1"/>
  <c r="AM655" i="3"/>
  <c r="AJ655" i="3"/>
  <c r="BI654" i="3"/>
  <c r="BL654" i="3" s="1"/>
  <c r="BD654" i="3"/>
  <c r="BG654" i="3" s="1"/>
  <c r="AY654" i="3"/>
  <c r="BB654" i="3" s="1"/>
  <c r="AT654" i="3"/>
  <c r="AW654" i="3" s="1"/>
  <c r="AO654" i="3"/>
  <c r="AR654" i="3" s="1"/>
  <c r="AJ654" i="3"/>
  <c r="AM654" i="3" s="1"/>
  <c r="BI653" i="3"/>
  <c r="BL653" i="3" s="1"/>
  <c r="BD653" i="3"/>
  <c r="BG653" i="3" s="1"/>
  <c r="AY653" i="3"/>
  <c r="BB653" i="3" s="1"/>
  <c r="AT653" i="3"/>
  <c r="AW653" i="3" s="1"/>
  <c r="AO653" i="3"/>
  <c r="AR653" i="3" s="1"/>
  <c r="BI652" i="3"/>
  <c r="BL652" i="3" s="1"/>
  <c r="BD652" i="3"/>
  <c r="BG652" i="3" s="1"/>
  <c r="AY652" i="3"/>
  <c r="BB652" i="3" s="1"/>
  <c r="AT652" i="3"/>
  <c r="AW652" i="3" s="1"/>
  <c r="AO652" i="3"/>
  <c r="AR652" i="3" s="1"/>
  <c r="AM652" i="3"/>
  <c r="AJ652" i="3"/>
  <c r="BI651" i="3"/>
  <c r="BL651" i="3" s="1"/>
  <c r="BD651" i="3"/>
  <c r="BG651" i="3" s="1"/>
  <c r="AY651" i="3"/>
  <c r="BB651" i="3" s="1"/>
  <c r="AT651" i="3"/>
  <c r="AW651" i="3" s="1"/>
  <c r="AO651" i="3"/>
  <c r="AR651" i="3" s="1"/>
  <c r="AJ651" i="3"/>
  <c r="AM651" i="3" s="1"/>
  <c r="BI650" i="3"/>
  <c r="BL650" i="3" s="1"/>
  <c r="BG650" i="3"/>
  <c r="BD650" i="3"/>
  <c r="AY650" i="3"/>
  <c r="BB650" i="3" s="1"/>
  <c r="AT650" i="3"/>
  <c r="AW650" i="3" s="1"/>
  <c r="AO650" i="3"/>
  <c r="AR650" i="3" s="1"/>
  <c r="BI649" i="3"/>
  <c r="BL649" i="3" s="1"/>
  <c r="BD649" i="3"/>
  <c r="BG649" i="3" s="1"/>
  <c r="AY649" i="3"/>
  <c r="BB649" i="3" s="1"/>
  <c r="AW649" i="3"/>
  <c r="AT649" i="3"/>
  <c r="AO649" i="3"/>
  <c r="AR649" i="3" s="1"/>
  <c r="AJ649" i="3"/>
  <c r="AM649" i="3" s="1"/>
  <c r="BI648" i="3"/>
  <c r="BL648" i="3" s="1"/>
  <c r="BD648" i="3"/>
  <c r="BG648" i="3" s="1"/>
  <c r="AY648" i="3"/>
  <c r="BB648" i="3" s="1"/>
  <c r="AT648" i="3"/>
  <c r="AW648" i="3" s="1"/>
  <c r="AO648" i="3"/>
  <c r="AR648" i="3" s="1"/>
  <c r="AJ648" i="3"/>
  <c r="AM648" i="3" s="1"/>
  <c r="BI647" i="3"/>
  <c r="BL647" i="3" s="1"/>
  <c r="BD647" i="3"/>
  <c r="BG647" i="3" s="1"/>
  <c r="AY647" i="3"/>
  <c r="BB647" i="3" s="1"/>
  <c r="AT647" i="3"/>
  <c r="AW647" i="3" s="1"/>
  <c r="AO647" i="3"/>
  <c r="AR647" i="3" s="1"/>
  <c r="BI646" i="3"/>
  <c r="BL646" i="3" s="1"/>
  <c r="BG646" i="3"/>
  <c r="BD646" i="3"/>
  <c r="AY646" i="3"/>
  <c r="BB646" i="3" s="1"/>
  <c r="AT646" i="3"/>
  <c r="AW646" i="3" s="1"/>
  <c r="AO646" i="3"/>
  <c r="AR646" i="3" s="1"/>
  <c r="AJ646" i="3"/>
  <c r="AM646" i="3" s="1"/>
  <c r="BI645" i="3"/>
  <c r="BL645" i="3" s="1"/>
  <c r="BD645" i="3"/>
  <c r="BG645" i="3" s="1"/>
  <c r="AY645" i="3"/>
  <c r="BB645" i="3" s="1"/>
  <c r="AW645" i="3"/>
  <c r="AT645" i="3"/>
  <c r="AO645" i="3"/>
  <c r="AR645" i="3" s="1"/>
  <c r="AJ645" i="3"/>
  <c r="AM645" i="3" s="1"/>
  <c r="BI644" i="3"/>
  <c r="BL644" i="3" s="1"/>
  <c r="BD644" i="3"/>
  <c r="BG644" i="3" s="1"/>
  <c r="AY644" i="3"/>
  <c r="BB644" i="3" s="1"/>
  <c r="AT644" i="3"/>
  <c r="AW644" i="3" s="1"/>
  <c r="AO644" i="3"/>
  <c r="AR644" i="3" s="1"/>
  <c r="BI643" i="3"/>
  <c r="BL643" i="3" s="1"/>
  <c r="BG643" i="3"/>
  <c r="BD643" i="3"/>
  <c r="AY643" i="3"/>
  <c r="BB643" i="3" s="1"/>
  <c r="AT643" i="3"/>
  <c r="AW643" i="3" s="1"/>
  <c r="AO643" i="3"/>
  <c r="AR643" i="3" s="1"/>
  <c r="AJ643" i="3"/>
  <c r="AM643" i="3" s="1"/>
  <c r="BI642" i="3"/>
  <c r="BL642" i="3" s="1"/>
  <c r="BG642" i="3"/>
  <c r="BD642" i="3"/>
  <c r="AY642" i="3"/>
  <c r="BB642" i="3" s="1"/>
  <c r="AW642" i="3"/>
  <c r="AT642" i="3"/>
  <c r="AO642" i="3"/>
  <c r="AR642" i="3" s="1"/>
  <c r="AJ642" i="3"/>
  <c r="AM642" i="3" s="1"/>
  <c r="BI641" i="3"/>
  <c r="BL641" i="3" s="1"/>
  <c r="BD641" i="3"/>
  <c r="BG641" i="3" s="1"/>
  <c r="AY641" i="3"/>
  <c r="BB641" i="3" s="1"/>
  <c r="AW641" i="3"/>
  <c r="AT641" i="3"/>
  <c r="AO641" i="3"/>
  <c r="AR641" i="3" s="1"/>
  <c r="AJ641" i="3"/>
  <c r="AM641" i="3" s="1"/>
  <c r="BI640" i="3"/>
  <c r="BL640" i="3" s="1"/>
  <c r="BG640" i="3"/>
  <c r="BD640" i="3"/>
  <c r="AY640" i="3"/>
  <c r="BB640" i="3" s="1"/>
  <c r="AT640" i="3"/>
  <c r="AW640" i="3" s="1"/>
  <c r="AO640" i="3"/>
  <c r="AR640" i="3" s="1"/>
  <c r="AJ640" i="3"/>
  <c r="AM640" i="3" s="1"/>
  <c r="BI639" i="3"/>
  <c r="BL639" i="3" s="1"/>
  <c r="BG639" i="3"/>
  <c r="BD639" i="3"/>
  <c r="AY639" i="3"/>
  <c r="BB639" i="3" s="1"/>
  <c r="AT639" i="3"/>
  <c r="AW639" i="3" s="1"/>
  <c r="AO639" i="3"/>
  <c r="AR639" i="3" s="1"/>
  <c r="AJ639" i="3"/>
  <c r="AM639" i="3" s="1"/>
  <c r="BI638" i="3"/>
  <c r="BL638" i="3" s="1"/>
  <c r="BG638" i="3"/>
  <c r="BD638" i="3"/>
  <c r="AY638" i="3"/>
  <c r="BB638" i="3" s="1"/>
  <c r="AT638" i="3"/>
  <c r="AW638" i="3" s="1"/>
  <c r="AO638" i="3"/>
  <c r="AR638" i="3" s="1"/>
  <c r="AJ638" i="3"/>
  <c r="AM638" i="3" s="1"/>
  <c r="BI637" i="3"/>
  <c r="BL637" i="3" s="1"/>
  <c r="BD637" i="3"/>
  <c r="BG637" i="3" s="1"/>
  <c r="AY637" i="3"/>
  <c r="BB637" i="3" s="1"/>
  <c r="AW637" i="3"/>
  <c r="AT637" i="3"/>
  <c r="AO637" i="3"/>
  <c r="AR637" i="3" s="1"/>
  <c r="AJ637" i="3"/>
  <c r="AM637" i="3" s="1"/>
  <c r="BI636" i="3"/>
  <c r="BL636" i="3" s="1"/>
  <c r="BD636" i="3"/>
  <c r="BG636" i="3" s="1"/>
  <c r="AY636" i="3"/>
  <c r="BB636" i="3" s="1"/>
  <c r="AT636" i="3"/>
  <c r="AW636" i="3" s="1"/>
  <c r="AO636" i="3"/>
  <c r="AR636" i="3" s="1"/>
  <c r="AJ636" i="3"/>
  <c r="AM636" i="3" s="1"/>
  <c r="BL635" i="3"/>
  <c r="BI635" i="3"/>
  <c r="BD635" i="3"/>
  <c r="BG635" i="3" s="1"/>
  <c r="AY635" i="3"/>
  <c r="BB635" i="3" s="1"/>
  <c r="AT635" i="3"/>
  <c r="AW635" i="3" s="1"/>
  <c r="AR635" i="3"/>
  <c r="AO635" i="3"/>
  <c r="AJ635" i="3"/>
  <c r="AM635" i="3" s="1"/>
  <c r="BI634" i="3"/>
  <c r="BL634" i="3" s="1"/>
  <c r="BD634" i="3"/>
  <c r="BG634" i="3" s="1"/>
  <c r="BB634" i="3"/>
  <c r="AY634" i="3"/>
  <c r="AT634" i="3"/>
  <c r="AW634" i="3" s="1"/>
  <c r="AO634" i="3"/>
  <c r="AR634" i="3" s="1"/>
  <c r="AJ634" i="3"/>
  <c r="AM634" i="3" s="1"/>
  <c r="BL633" i="3"/>
  <c r="BI633" i="3"/>
  <c r="BD633" i="3"/>
  <c r="BG633" i="3" s="1"/>
  <c r="AY633" i="3"/>
  <c r="BB633" i="3" s="1"/>
  <c r="AT633" i="3"/>
  <c r="AW633" i="3" s="1"/>
  <c r="AR633" i="3"/>
  <c r="AO633" i="3"/>
  <c r="AJ633" i="3"/>
  <c r="AM633" i="3" s="1"/>
  <c r="BI632" i="3"/>
  <c r="BL632" i="3" s="1"/>
  <c r="BD632" i="3"/>
  <c r="BG632" i="3" s="1"/>
  <c r="BB632" i="3"/>
  <c r="AY632" i="3"/>
  <c r="AT632" i="3"/>
  <c r="AW632" i="3" s="1"/>
  <c r="AO632" i="3"/>
  <c r="AR632" i="3" s="1"/>
  <c r="AJ632" i="3"/>
  <c r="AM632" i="3" s="1"/>
  <c r="BL631" i="3"/>
  <c r="BI631" i="3"/>
  <c r="BD631" i="3"/>
  <c r="BG631" i="3" s="1"/>
  <c r="AY631" i="3"/>
  <c r="BB631" i="3" s="1"/>
  <c r="AT631" i="3"/>
  <c r="AW631" i="3" s="1"/>
  <c r="AR631" i="3"/>
  <c r="AO631" i="3"/>
  <c r="AJ631" i="3"/>
  <c r="AM631" i="3" s="1"/>
  <c r="BI630" i="3"/>
  <c r="BL630" i="3" s="1"/>
  <c r="BD630" i="3"/>
  <c r="BG630" i="3" s="1"/>
  <c r="BB630" i="3"/>
  <c r="AY630" i="3"/>
  <c r="AT630" i="3"/>
  <c r="AW630" i="3" s="1"/>
  <c r="AO630" i="3"/>
  <c r="AR630" i="3" s="1"/>
  <c r="BL629" i="3"/>
  <c r="BI629" i="3"/>
  <c r="BD629" i="3"/>
  <c r="BG629" i="3" s="1"/>
  <c r="AY629" i="3"/>
  <c r="BB629" i="3" s="1"/>
  <c r="AT629" i="3"/>
  <c r="AW629" i="3" s="1"/>
  <c r="AR629" i="3"/>
  <c r="AO629" i="3"/>
  <c r="BI628" i="3"/>
  <c r="BL628" i="3" s="1"/>
  <c r="BD628" i="3"/>
  <c r="BG628" i="3" s="1"/>
  <c r="BB628" i="3"/>
  <c r="AY628" i="3"/>
  <c r="AT628" i="3"/>
  <c r="AW628" i="3" s="1"/>
  <c r="AO628" i="3"/>
  <c r="AR628" i="3" s="1"/>
  <c r="AJ628" i="3"/>
  <c r="AM628" i="3" s="1"/>
  <c r="BL627" i="3"/>
  <c r="BI627" i="3"/>
  <c r="BD627" i="3"/>
  <c r="BG627" i="3" s="1"/>
  <c r="AY627" i="3"/>
  <c r="BB627" i="3" s="1"/>
  <c r="AT627" i="3"/>
  <c r="AW627" i="3" s="1"/>
  <c r="AR627" i="3"/>
  <c r="AO627" i="3"/>
  <c r="AJ627" i="3"/>
  <c r="AM627" i="3" s="1"/>
  <c r="BI626" i="3"/>
  <c r="BL626" i="3" s="1"/>
  <c r="BD626" i="3"/>
  <c r="BG626" i="3" s="1"/>
  <c r="BB626" i="3"/>
  <c r="AY626" i="3"/>
  <c r="AT626" i="3"/>
  <c r="AW626" i="3" s="1"/>
  <c r="AO626" i="3"/>
  <c r="AR626" i="3" s="1"/>
  <c r="AJ626" i="3"/>
  <c r="AM626" i="3" s="1"/>
  <c r="BL625" i="3"/>
  <c r="BI625" i="3"/>
  <c r="BD625" i="3"/>
  <c r="BG625" i="3" s="1"/>
  <c r="AY625" i="3"/>
  <c r="BB625" i="3" s="1"/>
  <c r="AT625" i="3"/>
  <c r="AW625" i="3" s="1"/>
  <c r="AR625" i="3"/>
  <c r="AO625" i="3"/>
  <c r="AJ625" i="3"/>
  <c r="AM625" i="3" s="1"/>
  <c r="BI624" i="3"/>
  <c r="BL624" i="3" s="1"/>
  <c r="BD624" i="3"/>
  <c r="BG624" i="3" s="1"/>
  <c r="BB624" i="3"/>
  <c r="AY624" i="3"/>
  <c r="AT624" i="3"/>
  <c r="AW624" i="3" s="1"/>
  <c r="AO624" i="3"/>
  <c r="AR624" i="3" s="1"/>
  <c r="AJ624" i="3"/>
  <c r="AM624" i="3" s="1"/>
  <c r="BL623" i="3"/>
  <c r="BI623" i="3"/>
  <c r="BD623" i="3"/>
  <c r="BG623" i="3" s="1"/>
  <c r="AY623" i="3"/>
  <c r="BB623" i="3" s="1"/>
  <c r="AT623" i="3"/>
  <c r="AW623" i="3" s="1"/>
  <c r="AR623" i="3"/>
  <c r="AO623" i="3"/>
  <c r="AJ623" i="3"/>
  <c r="AM623" i="3" s="1"/>
  <c r="BI622" i="3"/>
  <c r="BL622" i="3" s="1"/>
  <c r="BD622" i="3"/>
  <c r="BG622" i="3" s="1"/>
  <c r="BB622" i="3"/>
  <c r="AY622" i="3"/>
  <c r="AT622" i="3"/>
  <c r="AW622" i="3" s="1"/>
  <c r="AO622" i="3"/>
  <c r="AR622" i="3" s="1"/>
  <c r="BL621" i="3"/>
  <c r="BI621" i="3"/>
  <c r="BD621" i="3"/>
  <c r="BG621" i="3" s="1"/>
  <c r="AY621" i="3"/>
  <c r="BB621" i="3" s="1"/>
  <c r="AT621" i="3"/>
  <c r="AW621" i="3" s="1"/>
  <c r="AR621" i="3"/>
  <c r="AO621" i="3"/>
  <c r="BI620" i="3"/>
  <c r="BL620" i="3" s="1"/>
  <c r="BD620" i="3"/>
  <c r="BG620" i="3" s="1"/>
  <c r="BB620" i="3"/>
  <c r="AY620" i="3"/>
  <c r="AT620" i="3"/>
  <c r="AW620" i="3" s="1"/>
  <c r="AO620" i="3"/>
  <c r="AR620" i="3" s="1"/>
  <c r="AJ620" i="3"/>
  <c r="AM620" i="3" s="1"/>
  <c r="BL619" i="3"/>
  <c r="BI619" i="3"/>
  <c r="BD619" i="3"/>
  <c r="BG619" i="3" s="1"/>
  <c r="AY619" i="3"/>
  <c r="BB619" i="3" s="1"/>
  <c r="AT619" i="3"/>
  <c r="AW619" i="3" s="1"/>
  <c r="AR619" i="3"/>
  <c r="AO619" i="3"/>
  <c r="AJ619" i="3"/>
  <c r="AM619" i="3" s="1"/>
  <c r="BI618" i="3"/>
  <c r="BL618" i="3" s="1"/>
  <c r="BD618" i="3"/>
  <c r="BG618" i="3" s="1"/>
  <c r="BB618" i="3"/>
  <c r="AY618" i="3"/>
  <c r="AT618" i="3"/>
  <c r="AW618" i="3" s="1"/>
  <c r="AO618" i="3"/>
  <c r="AR618" i="3" s="1"/>
  <c r="AJ618" i="3"/>
  <c r="AM618" i="3" s="1"/>
  <c r="BL617" i="3"/>
  <c r="BI617" i="3"/>
  <c r="BD617" i="3"/>
  <c r="BG617" i="3" s="1"/>
  <c r="AY617" i="3"/>
  <c r="BB617" i="3" s="1"/>
  <c r="AT617" i="3"/>
  <c r="AW617" i="3" s="1"/>
  <c r="AR617" i="3"/>
  <c r="AO617" i="3"/>
  <c r="AJ617" i="3"/>
  <c r="AM617" i="3" s="1"/>
  <c r="BI616" i="3"/>
  <c r="BL616" i="3" s="1"/>
  <c r="BD616" i="3"/>
  <c r="BG616" i="3" s="1"/>
  <c r="BB616" i="3"/>
  <c r="AY616" i="3"/>
  <c r="AT616" i="3"/>
  <c r="AW616" i="3" s="1"/>
  <c r="AO616" i="3"/>
  <c r="AR616" i="3" s="1"/>
  <c r="AJ616" i="3"/>
  <c r="AM616" i="3" s="1"/>
  <c r="BL615" i="3"/>
  <c r="BI615" i="3"/>
  <c r="BD615" i="3"/>
  <c r="BG615" i="3" s="1"/>
  <c r="AY615" i="3"/>
  <c r="BB615" i="3" s="1"/>
  <c r="AT615" i="3"/>
  <c r="AW615" i="3" s="1"/>
  <c r="AR615" i="3"/>
  <c r="AO615" i="3"/>
  <c r="AJ615" i="3"/>
  <c r="AM615" i="3" s="1"/>
  <c r="BI614" i="3"/>
  <c r="BL614" i="3" s="1"/>
  <c r="BD614" i="3"/>
  <c r="BG614" i="3" s="1"/>
  <c r="BB614" i="3"/>
  <c r="AY614" i="3"/>
  <c r="AT614" i="3"/>
  <c r="AW614" i="3" s="1"/>
  <c r="AO614" i="3"/>
  <c r="AR614" i="3" s="1"/>
  <c r="BL613" i="3"/>
  <c r="BI613" i="3"/>
  <c r="BD613" i="3"/>
  <c r="BG613" i="3" s="1"/>
  <c r="AY613" i="3"/>
  <c r="BB613" i="3" s="1"/>
  <c r="AT613" i="3"/>
  <c r="AW613" i="3" s="1"/>
  <c r="AR613" i="3"/>
  <c r="AO613" i="3"/>
  <c r="BI612" i="3"/>
  <c r="BL612" i="3" s="1"/>
  <c r="BD612" i="3"/>
  <c r="BG612" i="3" s="1"/>
  <c r="BB612" i="3"/>
  <c r="AY612" i="3"/>
  <c r="AT612" i="3"/>
  <c r="AW612" i="3" s="1"/>
  <c r="AO612" i="3"/>
  <c r="AR612" i="3" s="1"/>
  <c r="AJ612" i="3"/>
  <c r="AM612" i="3" s="1"/>
  <c r="BL611" i="3"/>
  <c r="BI611" i="3"/>
  <c r="BD611" i="3"/>
  <c r="BG611" i="3" s="1"/>
  <c r="AY611" i="3"/>
  <c r="BB611" i="3" s="1"/>
  <c r="AT611" i="3"/>
  <c r="AW611" i="3" s="1"/>
  <c r="AR611" i="3"/>
  <c r="AO611" i="3"/>
  <c r="AJ611" i="3"/>
  <c r="AM611" i="3" s="1"/>
  <c r="BI610" i="3"/>
  <c r="BL610" i="3" s="1"/>
  <c r="BD610" i="3"/>
  <c r="BG610" i="3" s="1"/>
  <c r="BB610" i="3"/>
  <c r="AY610" i="3"/>
  <c r="AT610" i="3"/>
  <c r="AW610" i="3" s="1"/>
  <c r="AO610" i="3"/>
  <c r="AR610" i="3" s="1"/>
  <c r="AJ610" i="3"/>
  <c r="AM610" i="3" s="1"/>
  <c r="BL609" i="3"/>
  <c r="BI609" i="3"/>
  <c r="BG609" i="3"/>
  <c r="BD609" i="3"/>
  <c r="BB609" i="3"/>
  <c r="AY609" i="3"/>
  <c r="AW609" i="3"/>
  <c r="AT609" i="3"/>
  <c r="AR609" i="3"/>
  <c r="AO609" i="3"/>
  <c r="AJ609" i="3"/>
  <c r="AM609" i="3" s="1"/>
  <c r="BL608" i="3"/>
  <c r="BI608" i="3"/>
  <c r="BG608" i="3"/>
  <c r="BD608" i="3"/>
  <c r="BB608" i="3"/>
  <c r="AY608" i="3"/>
  <c r="AW608" i="3"/>
  <c r="AT608" i="3"/>
  <c r="AR608" i="3"/>
  <c r="AO608" i="3"/>
  <c r="AJ608" i="3"/>
  <c r="AM608" i="3" s="1"/>
  <c r="BL607" i="3"/>
  <c r="BI607" i="3"/>
  <c r="BG607" i="3"/>
  <c r="BD607" i="3"/>
  <c r="BB607" i="3"/>
  <c r="AY607" i="3"/>
  <c r="AW607" i="3"/>
  <c r="AT607" i="3"/>
  <c r="AR607" i="3"/>
  <c r="AO607" i="3"/>
  <c r="AJ607" i="3"/>
  <c r="AM607" i="3" s="1"/>
  <c r="BL606" i="3"/>
  <c r="BI606" i="3"/>
  <c r="BG606" i="3"/>
  <c r="BD606" i="3"/>
  <c r="BB606" i="3"/>
  <c r="AY606" i="3"/>
  <c r="AW606" i="3"/>
  <c r="AT606" i="3"/>
  <c r="AR606" i="3"/>
  <c r="AO606" i="3"/>
  <c r="AJ606" i="3"/>
  <c r="AM606" i="3" s="1"/>
  <c r="BL605" i="3"/>
  <c r="BI605" i="3"/>
  <c r="BG605" i="3"/>
  <c r="BD605" i="3"/>
  <c r="BB605" i="3"/>
  <c r="AY605" i="3"/>
  <c r="AW605" i="3"/>
  <c r="AT605" i="3"/>
  <c r="AR605" i="3"/>
  <c r="AO605" i="3"/>
  <c r="AJ605" i="3"/>
  <c r="AM605" i="3" s="1"/>
  <c r="BL604" i="3"/>
  <c r="BI604" i="3"/>
  <c r="BG604" i="3"/>
  <c r="BD604" i="3"/>
  <c r="BB604" i="3"/>
  <c r="AY604" i="3"/>
  <c r="AW604" i="3"/>
  <c r="AT604" i="3"/>
  <c r="AR604" i="3"/>
  <c r="AO604" i="3"/>
  <c r="AJ604" i="3"/>
  <c r="AM604" i="3" s="1"/>
  <c r="BL603" i="3"/>
  <c r="BI603" i="3"/>
  <c r="BG603" i="3"/>
  <c r="BD603" i="3"/>
  <c r="BB603" i="3"/>
  <c r="AY603" i="3"/>
  <c r="AW603" i="3"/>
  <c r="AT603" i="3"/>
  <c r="AR603" i="3"/>
  <c r="AO603" i="3"/>
  <c r="AJ603" i="3"/>
  <c r="AM603" i="3" s="1"/>
  <c r="BL602" i="3"/>
  <c r="BI602" i="3"/>
  <c r="BG602" i="3"/>
  <c r="BD602" i="3"/>
  <c r="BB602" i="3"/>
  <c r="AY602" i="3"/>
  <c r="AW602" i="3"/>
  <c r="AT602" i="3"/>
  <c r="AR602" i="3"/>
  <c r="AO602" i="3"/>
  <c r="AJ602" i="3"/>
  <c r="AM602" i="3" s="1"/>
  <c r="BL601" i="3"/>
  <c r="BI601" i="3"/>
  <c r="BG601" i="3"/>
  <c r="BD601" i="3"/>
  <c r="BB601" i="3"/>
  <c r="AY601" i="3"/>
  <c r="AW601" i="3"/>
  <c r="AT601" i="3"/>
  <c r="AR601" i="3"/>
  <c r="AO601" i="3"/>
  <c r="AJ601" i="3"/>
  <c r="AM601" i="3" s="1"/>
  <c r="BL600" i="3"/>
  <c r="BI600" i="3"/>
  <c r="BG600" i="3"/>
  <c r="BD600" i="3"/>
  <c r="BB600" i="3"/>
  <c r="AY600" i="3"/>
  <c r="AW600" i="3"/>
  <c r="AT600" i="3"/>
  <c r="AR600" i="3"/>
  <c r="AO600" i="3"/>
  <c r="AJ600" i="3"/>
  <c r="AM600" i="3" s="1"/>
  <c r="BL599" i="3"/>
  <c r="BI599" i="3"/>
  <c r="BG599" i="3"/>
  <c r="BD599" i="3"/>
  <c r="BB599" i="3"/>
  <c r="AY599" i="3"/>
  <c r="AW599" i="3"/>
  <c r="AT599" i="3"/>
  <c r="AR599" i="3"/>
  <c r="AO599" i="3"/>
  <c r="AJ599" i="3"/>
  <c r="AM599" i="3" s="1"/>
  <c r="BL598" i="3"/>
  <c r="BI598" i="3"/>
  <c r="BG598" i="3"/>
  <c r="BD598" i="3"/>
  <c r="BB598" i="3"/>
  <c r="AY598" i="3"/>
  <c r="AW598" i="3"/>
  <c r="AT598" i="3"/>
  <c r="AR598" i="3"/>
  <c r="AO598" i="3"/>
  <c r="AJ598" i="3"/>
  <c r="AM598" i="3" s="1"/>
  <c r="BL597" i="3"/>
  <c r="BI597" i="3"/>
  <c r="BG597" i="3"/>
  <c r="BD597" i="3"/>
  <c r="BB597" i="3"/>
  <c r="AY597" i="3"/>
  <c r="AW597" i="3"/>
  <c r="AT597" i="3"/>
  <c r="AR597" i="3"/>
  <c r="AO597" i="3"/>
  <c r="AJ597" i="3"/>
  <c r="AM597" i="3" s="1"/>
  <c r="BL596" i="3"/>
  <c r="BI596" i="3"/>
  <c r="BG596" i="3"/>
  <c r="BD596" i="3"/>
  <c r="BB596" i="3"/>
  <c r="AY596" i="3"/>
  <c r="AW596" i="3"/>
  <c r="AT596" i="3"/>
  <c r="AR596" i="3"/>
  <c r="AO596" i="3"/>
  <c r="AJ596" i="3"/>
  <c r="AM596" i="3" s="1"/>
  <c r="BL595" i="3"/>
  <c r="BI595" i="3"/>
  <c r="BG595" i="3"/>
  <c r="BD595" i="3"/>
  <c r="BB595" i="3"/>
  <c r="AY595" i="3"/>
  <c r="AW595" i="3"/>
  <c r="AT595" i="3"/>
  <c r="AR595" i="3"/>
  <c r="AO595" i="3"/>
  <c r="AJ595" i="3"/>
  <c r="AM595" i="3" s="1"/>
  <c r="BL594" i="3"/>
  <c r="BI594" i="3"/>
  <c r="BG594" i="3"/>
  <c r="BD594" i="3"/>
  <c r="BB594" i="3"/>
  <c r="AY594" i="3"/>
  <c r="AW594" i="3"/>
  <c r="AT594" i="3"/>
  <c r="AR594" i="3"/>
  <c r="AO594" i="3"/>
  <c r="AJ594" i="3"/>
  <c r="AM594" i="3" s="1"/>
  <c r="BL593" i="3"/>
  <c r="BI593" i="3"/>
  <c r="BG593" i="3"/>
  <c r="BD593" i="3"/>
  <c r="BB593" i="3"/>
  <c r="AY593" i="3"/>
  <c r="AW593" i="3"/>
  <c r="AT593" i="3"/>
  <c r="AR593" i="3"/>
  <c r="AO593" i="3"/>
  <c r="AJ593" i="3"/>
  <c r="AM593" i="3" s="1"/>
  <c r="BL592" i="3"/>
  <c r="BI592" i="3"/>
  <c r="BG592" i="3"/>
  <c r="BD592" i="3"/>
  <c r="BB592" i="3"/>
  <c r="AY592" i="3"/>
  <c r="AW592" i="3"/>
  <c r="AT592" i="3"/>
  <c r="AR592" i="3"/>
  <c r="AO592" i="3"/>
  <c r="AJ592" i="3"/>
  <c r="AM592" i="3" s="1"/>
  <c r="BL591" i="3"/>
  <c r="BI591" i="3"/>
  <c r="BG591" i="3"/>
  <c r="BD591" i="3"/>
  <c r="BB591" i="3"/>
  <c r="AY591" i="3"/>
  <c r="AW591" i="3"/>
  <c r="AT591" i="3"/>
  <c r="AR591" i="3"/>
  <c r="AO591" i="3"/>
  <c r="AJ591" i="3"/>
  <c r="AM591" i="3" s="1"/>
  <c r="BL590" i="3"/>
  <c r="BI590" i="3"/>
  <c r="BG590" i="3"/>
  <c r="BD590" i="3"/>
  <c r="BB590" i="3"/>
  <c r="AY590" i="3"/>
  <c r="AW590" i="3"/>
  <c r="AT590" i="3"/>
  <c r="AR590" i="3"/>
  <c r="AO590" i="3"/>
  <c r="AJ590" i="3"/>
  <c r="AM590" i="3" s="1"/>
  <c r="BL589" i="3"/>
  <c r="BI589" i="3"/>
  <c r="BG589" i="3"/>
  <c r="BD589" i="3"/>
  <c r="BB589" i="3"/>
  <c r="AY589" i="3"/>
  <c r="AW589" i="3"/>
  <c r="AT589" i="3"/>
  <c r="AR589" i="3"/>
  <c r="AO589" i="3"/>
  <c r="AJ589" i="3"/>
  <c r="AM589" i="3" s="1"/>
  <c r="BL588" i="3"/>
  <c r="BI588" i="3"/>
  <c r="BG588" i="3"/>
  <c r="BD588" i="3"/>
  <c r="BB588" i="3"/>
  <c r="AY588" i="3"/>
  <c r="AW588" i="3"/>
  <c r="AT588" i="3"/>
  <c r="AR588" i="3"/>
  <c r="AO588" i="3"/>
  <c r="AJ588" i="3"/>
  <c r="AM588" i="3" s="1"/>
  <c r="BL587" i="3"/>
  <c r="BI587" i="3"/>
  <c r="BG587" i="3"/>
  <c r="BD587" i="3"/>
  <c r="BB587" i="3"/>
  <c r="AY587" i="3"/>
  <c r="AW587" i="3"/>
  <c r="AT587" i="3"/>
  <c r="AR587" i="3"/>
  <c r="AO587" i="3"/>
  <c r="AJ587" i="3"/>
  <c r="AM587" i="3" s="1"/>
  <c r="BL586" i="3"/>
  <c r="BI586" i="3"/>
  <c r="BG586" i="3"/>
  <c r="BD586" i="3"/>
  <c r="BB586" i="3"/>
  <c r="AY586" i="3"/>
  <c r="AW586" i="3"/>
  <c r="AT586" i="3"/>
  <c r="AR586" i="3"/>
  <c r="AO586" i="3"/>
  <c r="AJ586" i="3"/>
  <c r="AM586" i="3" s="1"/>
  <c r="BL585" i="3"/>
  <c r="BI585" i="3"/>
  <c r="BG585" i="3"/>
  <c r="BD585" i="3"/>
  <c r="BB585" i="3"/>
  <c r="AY585" i="3"/>
  <c r="AW585" i="3"/>
  <c r="AT585" i="3"/>
  <c r="AR585" i="3"/>
  <c r="AO585" i="3"/>
  <c r="AJ585" i="3"/>
  <c r="AM585" i="3" s="1"/>
  <c r="BL584" i="3"/>
  <c r="BI584" i="3"/>
  <c r="BG584" i="3"/>
  <c r="BD584" i="3"/>
  <c r="BB584" i="3"/>
  <c r="AY584" i="3"/>
  <c r="AW584" i="3"/>
  <c r="AT584" i="3"/>
  <c r="AR584" i="3"/>
  <c r="AO584" i="3"/>
  <c r="AJ584" i="3"/>
  <c r="AM584" i="3" s="1"/>
  <c r="BL583" i="3"/>
  <c r="BI583" i="3"/>
  <c r="BG583" i="3"/>
  <c r="BD583" i="3"/>
  <c r="BB583" i="3"/>
  <c r="AY583" i="3"/>
  <c r="AW583" i="3"/>
  <c r="AT583" i="3"/>
  <c r="AR583" i="3"/>
  <c r="AO583" i="3"/>
  <c r="AJ583" i="3"/>
  <c r="AM583" i="3" s="1"/>
  <c r="BL582" i="3"/>
  <c r="BI582" i="3"/>
  <c r="BG582" i="3"/>
  <c r="BD582" i="3"/>
  <c r="BB582" i="3"/>
  <c r="AY582" i="3"/>
  <c r="AW582" i="3"/>
  <c r="AT582" i="3"/>
  <c r="AR582" i="3"/>
  <c r="AO582" i="3"/>
  <c r="AJ582" i="3"/>
  <c r="AM582" i="3" s="1"/>
  <c r="BL581" i="3"/>
  <c r="BI581" i="3"/>
  <c r="BG581" i="3"/>
  <c r="BD581" i="3"/>
  <c r="BB581" i="3"/>
  <c r="AY581" i="3"/>
  <c r="AW581" i="3"/>
  <c r="AT581" i="3"/>
  <c r="AR581" i="3"/>
  <c r="AO581" i="3"/>
  <c r="AJ581" i="3"/>
  <c r="AM581" i="3" s="1"/>
  <c r="BL580" i="3"/>
  <c r="BI580" i="3"/>
  <c r="BG580" i="3"/>
  <c r="BD580" i="3"/>
  <c r="BB580" i="3"/>
  <c r="AY580" i="3"/>
  <c r="AW580" i="3"/>
  <c r="AT580" i="3"/>
  <c r="AR580" i="3"/>
  <c r="AO580" i="3"/>
  <c r="AJ580" i="3"/>
  <c r="AM580" i="3" s="1"/>
  <c r="BL579" i="3"/>
  <c r="BI579" i="3"/>
  <c r="BG579" i="3"/>
  <c r="BD579" i="3"/>
  <c r="BB579" i="3"/>
  <c r="AY579" i="3"/>
  <c r="AW579" i="3"/>
  <c r="AT579" i="3"/>
  <c r="AR579" i="3"/>
  <c r="AO579" i="3"/>
  <c r="AJ579" i="3"/>
  <c r="AM579" i="3" s="1"/>
  <c r="BL578" i="3"/>
  <c r="BI578" i="3"/>
  <c r="BG578" i="3"/>
  <c r="BD578" i="3"/>
  <c r="BB578" i="3"/>
  <c r="AY578" i="3"/>
  <c r="AW578" i="3"/>
  <c r="AT578" i="3"/>
  <c r="AR578" i="3"/>
  <c r="AO578" i="3"/>
  <c r="AJ578" i="3"/>
  <c r="AM578" i="3" s="1"/>
  <c r="BL577" i="3"/>
  <c r="BI577" i="3"/>
  <c r="BG577" i="3"/>
  <c r="BD577" i="3"/>
  <c r="BB577" i="3"/>
  <c r="AY577" i="3"/>
  <c r="AW577" i="3"/>
  <c r="AT577" i="3"/>
  <c r="AR577" i="3"/>
  <c r="AO577" i="3"/>
  <c r="AJ577" i="3"/>
  <c r="AM577" i="3" s="1"/>
  <c r="BL576" i="3"/>
  <c r="BI576" i="3"/>
  <c r="BG576" i="3"/>
  <c r="BD576" i="3"/>
  <c r="BB576" i="3"/>
  <c r="AY576" i="3"/>
  <c r="AW576" i="3"/>
  <c r="AT576" i="3"/>
  <c r="AR576" i="3"/>
  <c r="AO576" i="3"/>
  <c r="AJ576" i="3"/>
  <c r="AM576" i="3" s="1"/>
  <c r="BL575" i="3"/>
  <c r="BI575" i="3"/>
  <c r="BG575" i="3"/>
  <c r="BD575" i="3"/>
  <c r="BB575" i="3"/>
  <c r="AY575" i="3"/>
  <c r="AW575" i="3"/>
  <c r="AT575" i="3"/>
  <c r="AR575" i="3"/>
  <c r="AO575" i="3"/>
  <c r="AJ575" i="3"/>
  <c r="AM575" i="3" s="1"/>
  <c r="BL574" i="3"/>
  <c r="BI574" i="3"/>
  <c r="BG574" i="3"/>
  <c r="BD574" i="3"/>
  <c r="BB574" i="3"/>
  <c r="AY574" i="3"/>
  <c r="AW574" i="3"/>
  <c r="AT574" i="3"/>
  <c r="AR574" i="3"/>
  <c r="AO574" i="3"/>
  <c r="AJ574" i="3"/>
  <c r="AM574" i="3" s="1"/>
  <c r="BL573" i="3"/>
  <c r="BI573" i="3"/>
  <c r="BG573" i="3"/>
  <c r="BD573" i="3"/>
  <c r="BB573" i="3"/>
  <c r="AY573" i="3"/>
  <c r="AW573" i="3"/>
  <c r="AT573" i="3"/>
  <c r="AR573" i="3"/>
  <c r="AO573" i="3"/>
  <c r="AJ573" i="3"/>
  <c r="AM573" i="3" s="1"/>
  <c r="BL572" i="3"/>
  <c r="BI572" i="3"/>
  <c r="BG572" i="3"/>
  <c r="BD572" i="3"/>
  <c r="BB572" i="3"/>
  <c r="AY572" i="3"/>
  <c r="AW572" i="3"/>
  <c r="AT572" i="3"/>
  <c r="AR572" i="3"/>
  <c r="AO572" i="3"/>
  <c r="AJ572" i="3"/>
  <c r="AM572" i="3" s="1"/>
  <c r="BL571" i="3"/>
  <c r="BI571" i="3"/>
  <c r="BG571" i="3"/>
  <c r="BD571" i="3"/>
  <c r="BB571" i="3"/>
  <c r="AY571" i="3"/>
  <c r="AW571" i="3"/>
  <c r="AT571" i="3"/>
  <c r="AR571" i="3"/>
  <c r="AO571" i="3"/>
  <c r="AJ571" i="3"/>
  <c r="AM571" i="3" s="1"/>
  <c r="BL570" i="3"/>
  <c r="BI570" i="3"/>
  <c r="BG570" i="3"/>
  <c r="BD570" i="3"/>
  <c r="BB570" i="3"/>
  <c r="AY570" i="3"/>
  <c r="AW570" i="3"/>
  <c r="AT570" i="3"/>
  <c r="AR570" i="3"/>
  <c r="AO570" i="3"/>
  <c r="AJ570" i="3"/>
  <c r="AM570" i="3" s="1"/>
  <c r="BL569" i="3"/>
  <c r="BI569" i="3"/>
  <c r="BG569" i="3"/>
  <c r="BD569" i="3"/>
  <c r="BB569" i="3"/>
  <c r="AY569" i="3"/>
  <c r="AW569" i="3"/>
  <c r="AT569" i="3"/>
  <c r="AR569" i="3"/>
  <c r="AO569" i="3"/>
  <c r="AJ569" i="3"/>
  <c r="AM569" i="3" s="1"/>
  <c r="BL568" i="3"/>
  <c r="BI568" i="3"/>
  <c r="BG568" i="3"/>
  <c r="BD568" i="3"/>
  <c r="BB568" i="3"/>
  <c r="AY568" i="3"/>
  <c r="AW568" i="3"/>
  <c r="AT568" i="3"/>
  <c r="AR568" i="3"/>
  <c r="AO568" i="3"/>
  <c r="AJ568" i="3"/>
  <c r="AM568" i="3" s="1"/>
  <c r="BL567" i="3"/>
  <c r="BI567" i="3"/>
  <c r="BG567" i="3"/>
  <c r="BD567" i="3"/>
  <c r="BB567" i="3"/>
  <c r="AY567" i="3"/>
  <c r="AW567" i="3"/>
  <c r="AT567" i="3"/>
  <c r="AR567" i="3"/>
  <c r="AO567" i="3"/>
  <c r="AJ567" i="3"/>
  <c r="AM567" i="3" s="1"/>
  <c r="BL566" i="3"/>
  <c r="BI566" i="3"/>
  <c r="BG566" i="3"/>
  <c r="BD566" i="3"/>
  <c r="BB566" i="3"/>
  <c r="AY566" i="3"/>
  <c r="AW566" i="3"/>
  <c r="AT566" i="3"/>
  <c r="AR566" i="3"/>
  <c r="AO566" i="3"/>
  <c r="AJ566" i="3"/>
  <c r="AM566" i="3" s="1"/>
  <c r="BL565" i="3"/>
  <c r="BI565" i="3"/>
  <c r="BG565" i="3"/>
  <c r="BD565" i="3"/>
  <c r="BB565" i="3"/>
  <c r="AY565" i="3"/>
  <c r="AW565" i="3"/>
  <c r="AT565" i="3"/>
  <c r="AR565" i="3"/>
  <c r="AO565" i="3"/>
  <c r="AJ565" i="3"/>
  <c r="AM565" i="3" s="1"/>
  <c r="BL564" i="3"/>
  <c r="BI564" i="3"/>
  <c r="BG564" i="3"/>
  <c r="BD564" i="3"/>
  <c r="BB564" i="3"/>
  <c r="AY564" i="3"/>
  <c r="AW564" i="3"/>
  <c r="AT564" i="3"/>
  <c r="AR564" i="3"/>
  <c r="AO564" i="3"/>
  <c r="AJ564" i="3"/>
  <c r="AM564" i="3" s="1"/>
  <c r="BL563" i="3"/>
  <c r="BI563" i="3"/>
  <c r="BG563" i="3"/>
  <c r="BD563" i="3"/>
  <c r="BB563" i="3"/>
  <c r="AY563" i="3"/>
  <c r="AW563" i="3"/>
  <c r="AT563" i="3"/>
  <c r="AR563" i="3"/>
  <c r="AO563" i="3"/>
  <c r="AJ563" i="3"/>
  <c r="AM563" i="3" s="1"/>
  <c r="BL562" i="3"/>
  <c r="BI562" i="3"/>
  <c r="BG562" i="3"/>
  <c r="BD562" i="3"/>
  <c r="BB562" i="3"/>
  <c r="AY562" i="3"/>
  <c r="AW562" i="3"/>
  <c r="AT562" i="3"/>
  <c r="AR562" i="3"/>
  <c r="AO562" i="3"/>
  <c r="AJ562" i="3"/>
  <c r="AM562" i="3" s="1"/>
  <c r="BL561" i="3"/>
  <c r="BI561" i="3"/>
  <c r="BG561" i="3"/>
  <c r="BD561" i="3"/>
  <c r="BB561" i="3"/>
  <c r="AY561" i="3"/>
  <c r="AW561" i="3"/>
  <c r="AT561" i="3"/>
  <c r="AR561" i="3"/>
  <c r="AO561" i="3"/>
  <c r="AJ561" i="3"/>
  <c r="AM561" i="3" s="1"/>
  <c r="BL560" i="3"/>
  <c r="BI560" i="3"/>
  <c r="BG560" i="3"/>
  <c r="BD560" i="3"/>
  <c r="BB560" i="3"/>
  <c r="AY560" i="3"/>
  <c r="AW560" i="3"/>
  <c r="AT560" i="3"/>
  <c r="AR560" i="3"/>
  <c r="AO560" i="3"/>
  <c r="AJ560" i="3"/>
  <c r="AM560" i="3" s="1"/>
  <c r="BL559" i="3"/>
  <c r="BI559" i="3"/>
  <c r="BG559" i="3"/>
  <c r="BD559" i="3"/>
  <c r="BB559" i="3"/>
  <c r="AY559" i="3"/>
  <c r="AW559" i="3"/>
  <c r="AT559" i="3"/>
  <c r="AR559" i="3"/>
  <c r="AO559" i="3"/>
  <c r="AJ559" i="3"/>
  <c r="AM559" i="3" s="1"/>
  <c r="BL558" i="3"/>
  <c r="BI558" i="3"/>
  <c r="BG558" i="3"/>
  <c r="BD558" i="3"/>
  <c r="BB558" i="3"/>
  <c r="AY558" i="3"/>
  <c r="AW558" i="3"/>
  <c r="AT558" i="3"/>
  <c r="AR558" i="3"/>
  <c r="AO558" i="3"/>
  <c r="AJ558" i="3"/>
  <c r="AM558" i="3" s="1"/>
  <c r="BL557" i="3"/>
  <c r="BI557" i="3"/>
  <c r="BG557" i="3"/>
  <c r="BD557" i="3"/>
  <c r="BB557" i="3"/>
  <c r="AY557" i="3"/>
  <c r="AW557" i="3"/>
  <c r="AT557" i="3"/>
  <c r="AR557" i="3"/>
  <c r="AO557" i="3"/>
  <c r="AJ557" i="3"/>
  <c r="AM557" i="3" s="1"/>
  <c r="BL556" i="3"/>
  <c r="BI556" i="3"/>
  <c r="BG556" i="3"/>
  <c r="BD556" i="3"/>
  <c r="BB556" i="3"/>
  <c r="AY556" i="3"/>
  <c r="AW556" i="3"/>
  <c r="AT556" i="3"/>
  <c r="AR556" i="3"/>
  <c r="AO556" i="3"/>
  <c r="AJ556" i="3"/>
  <c r="AM556" i="3" s="1"/>
  <c r="BL555" i="3"/>
  <c r="BI555" i="3"/>
  <c r="BG555" i="3"/>
  <c r="BD555" i="3"/>
  <c r="BB555" i="3"/>
  <c r="AY555" i="3"/>
  <c r="AW555" i="3"/>
  <c r="AT555" i="3"/>
  <c r="AR555" i="3"/>
  <c r="AO555" i="3"/>
  <c r="AJ555" i="3"/>
  <c r="AM555" i="3" s="1"/>
  <c r="BL554" i="3"/>
  <c r="BI554" i="3"/>
  <c r="BG554" i="3"/>
  <c r="BD554" i="3"/>
  <c r="BB554" i="3"/>
  <c r="AY554" i="3"/>
  <c r="AW554" i="3"/>
  <c r="AT554" i="3"/>
  <c r="AR554" i="3"/>
  <c r="AO554" i="3"/>
  <c r="AJ554" i="3"/>
  <c r="AM554" i="3" s="1"/>
  <c r="BL553" i="3"/>
  <c r="BI553" i="3"/>
  <c r="BG553" i="3"/>
  <c r="BD553" i="3"/>
  <c r="BB553" i="3"/>
  <c r="AY553" i="3"/>
  <c r="AW553" i="3"/>
  <c r="AT553" i="3"/>
  <c r="AR553" i="3"/>
  <c r="AO553" i="3"/>
  <c r="AJ553" i="3"/>
  <c r="AM553" i="3" s="1"/>
  <c r="BL552" i="3"/>
  <c r="BI552" i="3"/>
  <c r="BG552" i="3"/>
  <c r="BD552" i="3"/>
  <c r="BB552" i="3"/>
  <c r="AY552" i="3"/>
  <c r="AW552" i="3"/>
  <c r="AT552" i="3"/>
  <c r="AR552" i="3"/>
  <c r="AO552" i="3"/>
  <c r="AJ552" i="3"/>
  <c r="AM552" i="3" s="1"/>
  <c r="BL551" i="3"/>
  <c r="BI551" i="3"/>
  <c r="BG551" i="3"/>
  <c r="BD551" i="3"/>
  <c r="BB551" i="3"/>
  <c r="AY551" i="3"/>
  <c r="AW551" i="3"/>
  <c r="AT551" i="3"/>
  <c r="AR551" i="3"/>
  <c r="AO551" i="3"/>
  <c r="AJ551" i="3"/>
  <c r="AM551" i="3" s="1"/>
  <c r="BL550" i="3"/>
  <c r="BI550" i="3"/>
  <c r="BG550" i="3"/>
  <c r="BD550" i="3"/>
  <c r="BB550" i="3"/>
  <c r="AY550" i="3"/>
  <c r="AW550" i="3"/>
  <c r="AT550" i="3"/>
  <c r="AR550" i="3"/>
  <c r="AO550" i="3"/>
  <c r="AJ550" i="3"/>
  <c r="AM550" i="3" s="1"/>
  <c r="BL549" i="3"/>
  <c r="BI549" i="3"/>
  <c r="BG549" i="3"/>
  <c r="BD549" i="3"/>
  <c r="BB549" i="3"/>
  <c r="AY549" i="3"/>
  <c r="AW549" i="3"/>
  <c r="AT549" i="3"/>
  <c r="AR549" i="3"/>
  <c r="AO549" i="3"/>
  <c r="AJ549" i="3"/>
  <c r="AM549" i="3" s="1"/>
  <c r="BL548" i="3"/>
  <c r="BI548" i="3"/>
  <c r="BG548" i="3"/>
  <c r="BD548" i="3"/>
  <c r="BB548" i="3"/>
  <c r="AY548" i="3"/>
  <c r="AW548" i="3"/>
  <c r="AT548" i="3"/>
  <c r="AR548" i="3"/>
  <c r="AO548" i="3"/>
  <c r="AJ548" i="3"/>
  <c r="AM548" i="3" s="1"/>
  <c r="BL547" i="3"/>
  <c r="BI547" i="3"/>
  <c r="BG547" i="3"/>
  <c r="BD547" i="3"/>
  <c r="BB547" i="3"/>
  <c r="AY547" i="3"/>
  <c r="AW547" i="3"/>
  <c r="AT547" i="3"/>
  <c r="AR547" i="3"/>
  <c r="AO547" i="3"/>
  <c r="AJ547" i="3"/>
  <c r="AM547" i="3" s="1"/>
  <c r="BL546" i="3"/>
  <c r="BI546" i="3"/>
  <c r="BG546" i="3"/>
  <c r="BD546" i="3"/>
  <c r="BB546" i="3"/>
  <c r="AY546" i="3"/>
  <c r="AW546" i="3"/>
  <c r="AT546" i="3"/>
  <c r="AR546" i="3"/>
  <c r="AO546" i="3"/>
  <c r="AJ546" i="3"/>
  <c r="AM546" i="3" s="1"/>
  <c r="BL545" i="3"/>
  <c r="BI545" i="3"/>
  <c r="BG545" i="3"/>
  <c r="BD545" i="3"/>
  <c r="BB545" i="3"/>
  <c r="AY545" i="3"/>
  <c r="AW545" i="3"/>
  <c r="AT545" i="3"/>
  <c r="AR545" i="3"/>
  <c r="AO545" i="3"/>
  <c r="AJ545" i="3"/>
  <c r="AM545" i="3" s="1"/>
  <c r="BL544" i="3"/>
  <c r="BI544" i="3"/>
  <c r="BG544" i="3"/>
  <c r="BD544" i="3"/>
  <c r="BB544" i="3"/>
  <c r="AY544" i="3"/>
  <c r="AW544" i="3"/>
  <c r="AT544" i="3"/>
  <c r="AR544" i="3"/>
  <c r="AO544" i="3"/>
  <c r="AJ544" i="3"/>
  <c r="AM544" i="3" s="1"/>
  <c r="BL543" i="3"/>
  <c r="BI543" i="3"/>
  <c r="BG543" i="3"/>
  <c r="BD543" i="3"/>
  <c r="BB543" i="3"/>
  <c r="AY543" i="3"/>
  <c r="AW543" i="3"/>
  <c r="AT543" i="3"/>
  <c r="AR543" i="3"/>
  <c r="AO543" i="3"/>
  <c r="AJ543" i="3"/>
  <c r="AM543" i="3" s="1"/>
  <c r="BL542" i="3"/>
  <c r="BI542" i="3"/>
  <c r="BG542" i="3"/>
  <c r="BD542" i="3"/>
  <c r="BB542" i="3"/>
  <c r="AY542" i="3"/>
  <c r="AW542" i="3"/>
  <c r="AT542" i="3"/>
  <c r="AR542" i="3"/>
  <c r="AO542" i="3"/>
  <c r="AJ542" i="3"/>
  <c r="AM542" i="3" s="1"/>
  <c r="BL541" i="3"/>
  <c r="BI541" i="3"/>
  <c r="BG541" i="3"/>
  <c r="BD541" i="3"/>
  <c r="BB541" i="3"/>
  <c r="AY541" i="3"/>
  <c r="AW541" i="3"/>
  <c r="AT541" i="3"/>
  <c r="AR541" i="3"/>
  <c r="AO541" i="3"/>
  <c r="AJ541" i="3"/>
  <c r="AM541" i="3" s="1"/>
  <c r="BL540" i="3"/>
  <c r="BI540" i="3"/>
  <c r="BG540" i="3"/>
  <c r="BD540" i="3"/>
  <c r="BB540" i="3"/>
  <c r="AY540" i="3"/>
  <c r="AW540" i="3"/>
  <c r="AT540" i="3"/>
  <c r="AR540" i="3"/>
  <c r="AO540" i="3"/>
  <c r="AJ540" i="3"/>
  <c r="AM540" i="3" s="1"/>
  <c r="BL539" i="3"/>
  <c r="BI539" i="3"/>
  <c r="BG539" i="3"/>
  <c r="BD539" i="3"/>
  <c r="BB539" i="3"/>
  <c r="AY539" i="3"/>
  <c r="AW539" i="3"/>
  <c r="AT539" i="3"/>
  <c r="AR539" i="3"/>
  <c r="AO539" i="3"/>
  <c r="AJ539" i="3"/>
  <c r="AM539" i="3" s="1"/>
  <c r="BL538" i="3"/>
  <c r="BI538" i="3"/>
  <c r="BG538" i="3"/>
  <c r="BD538" i="3"/>
  <c r="BB538" i="3"/>
  <c r="AY538" i="3"/>
  <c r="AW538" i="3"/>
  <c r="AT538" i="3"/>
  <c r="AR538" i="3"/>
  <c r="AO538" i="3"/>
  <c r="AJ538" i="3"/>
  <c r="AM538" i="3" s="1"/>
  <c r="BL537" i="3"/>
  <c r="BI537" i="3"/>
  <c r="BG537" i="3"/>
  <c r="BD537" i="3"/>
  <c r="BB537" i="3"/>
  <c r="AY537" i="3"/>
  <c r="AW537" i="3"/>
  <c r="AT537" i="3"/>
  <c r="AR537" i="3"/>
  <c r="AO537" i="3"/>
  <c r="AJ537" i="3"/>
  <c r="AM537" i="3" s="1"/>
  <c r="BL536" i="3"/>
  <c r="BI536" i="3"/>
  <c r="BG536" i="3"/>
  <c r="BD536" i="3"/>
  <c r="BB536" i="3"/>
  <c r="AY536" i="3"/>
  <c r="AW536" i="3"/>
  <c r="AT536" i="3"/>
  <c r="AR536" i="3"/>
  <c r="AO536" i="3"/>
  <c r="AJ536" i="3"/>
  <c r="AM536" i="3" s="1"/>
  <c r="BL535" i="3"/>
  <c r="BI535" i="3"/>
  <c r="BG535" i="3"/>
  <c r="BD535" i="3"/>
  <c r="BB535" i="3"/>
  <c r="AY535" i="3"/>
  <c r="AW535" i="3"/>
  <c r="AT535" i="3"/>
  <c r="AR535" i="3"/>
  <c r="AO535" i="3"/>
  <c r="AJ535" i="3"/>
  <c r="AM535" i="3" s="1"/>
  <c r="BL534" i="3"/>
  <c r="BI534" i="3"/>
  <c r="BG534" i="3"/>
  <c r="BD534" i="3"/>
  <c r="BB534" i="3"/>
  <c r="AY534" i="3"/>
  <c r="AW534" i="3"/>
  <c r="AT534" i="3"/>
  <c r="AR534" i="3"/>
  <c r="AO534" i="3"/>
  <c r="AJ534" i="3"/>
  <c r="AM534" i="3" s="1"/>
  <c r="BL533" i="3"/>
  <c r="BI533" i="3"/>
  <c r="BG533" i="3"/>
  <c r="BD533" i="3"/>
  <c r="BB533" i="3"/>
  <c r="AY533" i="3"/>
  <c r="AW533" i="3"/>
  <c r="AT533" i="3"/>
  <c r="AR533" i="3"/>
  <c r="AO533" i="3"/>
  <c r="AJ533" i="3"/>
  <c r="AM533" i="3" s="1"/>
  <c r="BL532" i="3"/>
  <c r="BI532" i="3"/>
  <c r="BG532" i="3"/>
  <c r="BD532" i="3"/>
  <c r="BB532" i="3"/>
  <c r="AY532" i="3"/>
  <c r="AW532" i="3"/>
  <c r="AT532" i="3"/>
  <c r="AR532" i="3"/>
  <c r="AO532" i="3"/>
  <c r="AJ532" i="3"/>
  <c r="AM532" i="3" s="1"/>
  <c r="BL531" i="3"/>
  <c r="BI531" i="3"/>
  <c r="BG531" i="3"/>
  <c r="BD531" i="3"/>
  <c r="BB531" i="3"/>
  <c r="AY531" i="3"/>
  <c r="AW531" i="3"/>
  <c r="AT531" i="3"/>
  <c r="AR531" i="3"/>
  <c r="AO531" i="3"/>
  <c r="AJ531" i="3"/>
  <c r="AM531" i="3" s="1"/>
  <c r="BL530" i="3"/>
  <c r="BI530" i="3"/>
  <c r="BG530" i="3"/>
  <c r="BD530" i="3"/>
  <c r="BB530" i="3"/>
  <c r="AY530" i="3"/>
  <c r="AW530" i="3"/>
  <c r="AT530" i="3"/>
  <c r="AR530" i="3"/>
  <c r="AO530" i="3"/>
  <c r="AJ530" i="3"/>
  <c r="AM530" i="3" s="1"/>
  <c r="BL529" i="3"/>
  <c r="BI529" i="3"/>
  <c r="BG529" i="3"/>
  <c r="BD529" i="3"/>
  <c r="BB529" i="3"/>
  <c r="AY529" i="3"/>
  <c r="AW529" i="3"/>
  <c r="AT529" i="3"/>
  <c r="AR529" i="3"/>
  <c r="AO529" i="3"/>
  <c r="AJ529" i="3"/>
  <c r="AM529" i="3" s="1"/>
  <c r="BL528" i="3"/>
  <c r="BI528" i="3"/>
  <c r="BG528" i="3"/>
  <c r="BD528" i="3"/>
  <c r="BB528" i="3"/>
  <c r="AY528" i="3"/>
  <c r="AW528" i="3"/>
  <c r="AT528" i="3"/>
  <c r="AR528" i="3"/>
  <c r="AO528" i="3"/>
  <c r="AJ528" i="3"/>
  <c r="AM528" i="3" s="1"/>
  <c r="BL527" i="3"/>
  <c r="BI527" i="3"/>
  <c r="BG527" i="3"/>
  <c r="BD527" i="3"/>
  <c r="BB527" i="3"/>
  <c r="AY527" i="3"/>
  <c r="AW527" i="3"/>
  <c r="AT527" i="3"/>
  <c r="AR527" i="3"/>
  <c r="AO527" i="3"/>
  <c r="AJ527" i="3"/>
  <c r="AM527" i="3" s="1"/>
  <c r="BL526" i="3"/>
  <c r="BI526" i="3"/>
  <c r="BG526" i="3"/>
  <c r="BD526" i="3"/>
  <c r="BB526" i="3"/>
  <c r="AY526" i="3"/>
  <c r="AW526" i="3"/>
  <c r="AT526" i="3"/>
  <c r="AR526" i="3"/>
  <c r="AO526" i="3"/>
  <c r="AJ526" i="3"/>
  <c r="AM526" i="3" s="1"/>
  <c r="BL525" i="3"/>
  <c r="BI525" i="3"/>
  <c r="BG525" i="3"/>
  <c r="BD525" i="3"/>
  <c r="BB525" i="3"/>
  <c r="AY525" i="3"/>
  <c r="AW525" i="3"/>
  <c r="AT525" i="3"/>
  <c r="AR525" i="3"/>
  <c r="AO525" i="3"/>
  <c r="AJ525" i="3"/>
  <c r="AM525" i="3" s="1"/>
  <c r="BL524" i="3"/>
  <c r="BI524" i="3"/>
  <c r="BG524" i="3"/>
  <c r="BD524" i="3"/>
  <c r="BB524" i="3"/>
  <c r="AY524" i="3"/>
  <c r="AW524" i="3"/>
  <c r="AT524" i="3"/>
  <c r="AR524" i="3"/>
  <c r="AO524" i="3"/>
  <c r="AJ524" i="3"/>
  <c r="AM524" i="3" s="1"/>
  <c r="BL523" i="3"/>
  <c r="BI523" i="3"/>
  <c r="BG523" i="3"/>
  <c r="BD523" i="3"/>
  <c r="BB523" i="3"/>
  <c r="AY523" i="3"/>
  <c r="AW523" i="3"/>
  <c r="AT523" i="3"/>
  <c r="AR523" i="3"/>
  <c r="AO523" i="3"/>
  <c r="AJ523" i="3"/>
  <c r="AM523" i="3" s="1"/>
  <c r="BL522" i="3"/>
  <c r="BI522" i="3"/>
  <c r="BG522" i="3"/>
  <c r="BD522" i="3"/>
  <c r="BB522" i="3"/>
  <c r="AY522" i="3"/>
  <c r="AW522" i="3"/>
  <c r="AT522" i="3"/>
  <c r="AR522" i="3"/>
  <c r="AO522" i="3"/>
  <c r="AJ522" i="3"/>
  <c r="AM522" i="3" s="1"/>
  <c r="BL521" i="3"/>
  <c r="BI521" i="3"/>
  <c r="BG521" i="3"/>
  <c r="BD521" i="3"/>
  <c r="BB521" i="3"/>
  <c r="AY521" i="3"/>
  <c r="AW521" i="3"/>
  <c r="AT521" i="3"/>
  <c r="AR521" i="3"/>
  <c r="AO521" i="3"/>
  <c r="AJ521" i="3"/>
  <c r="AM521" i="3" s="1"/>
  <c r="BL520" i="3"/>
  <c r="BI520" i="3"/>
  <c r="BG520" i="3"/>
  <c r="BD520" i="3"/>
  <c r="BB520" i="3"/>
  <c r="AY520" i="3"/>
  <c r="AW520" i="3"/>
  <c r="AT520" i="3"/>
  <c r="AR520" i="3"/>
  <c r="AO520" i="3"/>
  <c r="AJ520" i="3"/>
  <c r="AM520" i="3" s="1"/>
  <c r="BL519" i="3"/>
  <c r="BI519" i="3"/>
  <c r="BG519" i="3"/>
  <c r="BD519" i="3"/>
  <c r="BB519" i="3"/>
  <c r="AY519" i="3"/>
  <c r="AW519" i="3"/>
  <c r="AT519" i="3"/>
  <c r="AR519" i="3"/>
  <c r="AO519" i="3"/>
  <c r="AJ519" i="3"/>
  <c r="AM519" i="3" s="1"/>
  <c r="BL518" i="3"/>
  <c r="BI518" i="3"/>
  <c r="BG518" i="3"/>
  <c r="BD518" i="3"/>
  <c r="BB518" i="3"/>
  <c r="AY518" i="3"/>
  <c r="AW518" i="3"/>
  <c r="AT518" i="3"/>
  <c r="AR518" i="3"/>
  <c r="AO518" i="3"/>
  <c r="AJ518" i="3"/>
  <c r="AM518" i="3" s="1"/>
  <c r="BL517" i="3"/>
  <c r="BI517" i="3"/>
  <c r="BG517" i="3"/>
  <c r="BD517" i="3"/>
  <c r="BB517" i="3"/>
  <c r="AY517" i="3"/>
  <c r="AW517" i="3"/>
  <c r="AT517" i="3"/>
  <c r="AR517" i="3"/>
  <c r="AO517" i="3"/>
  <c r="AJ517" i="3"/>
  <c r="AM517" i="3" s="1"/>
  <c r="BL516" i="3"/>
  <c r="BI516" i="3"/>
  <c r="BG516" i="3"/>
  <c r="BD516" i="3"/>
  <c r="BB516" i="3"/>
  <c r="AY516" i="3"/>
  <c r="AW516" i="3"/>
  <c r="AT516" i="3"/>
  <c r="AR516" i="3"/>
  <c r="AO516" i="3"/>
  <c r="AJ516" i="3"/>
  <c r="AM516" i="3" s="1"/>
  <c r="BL515" i="3"/>
  <c r="BI515" i="3"/>
  <c r="BG515" i="3"/>
  <c r="BD515" i="3"/>
  <c r="BB515" i="3"/>
  <c r="AY515" i="3"/>
  <c r="AW515" i="3"/>
  <c r="AT515" i="3"/>
  <c r="AR515" i="3"/>
  <c r="AO515" i="3"/>
  <c r="AJ515" i="3"/>
  <c r="AM515" i="3" s="1"/>
  <c r="BL514" i="3"/>
  <c r="BI514" i="3"/>
  <c r="BG514" i="3"/>
  <c r="BD514" i="3"/>
  <c r="BB514" i="3"/>
  <c r="AY514" i="3"/>
  <c r="AW514" i="3"/>
  <c r="AT514" i="3"/>
  <c r="AR514" i="3"/>
  <c r="AO514" i="3"/>
  <c r="AJ514" i="3"/>
  <c r="AM514" i="3" s="1"/>
  <c r="BL513" i="3"/>
  <c r="BI513" i="3"/>
  <c r="BG513" i="3"/>
  <c r="BD513" i="3"/>
  <c r="BB513" i="3"/>
  <c r="AY513" i="3"/>
  <c r="AW513" i="3"/>
  <c r="AT513" i="3"/>
  <c r="AR513" i="3"/>
  <c r="AO513" i="3"/>
  <c r="AJ513" i="3"/>
  <c r="AM513" i="3" s="1"/>
  <c r="BL512" i="3"/>
  <c r="BI512" i="3"/>
  <c r="BG512" i="3"/>
  <c r="BD512" i="3"/>
  <c r="BB512" i="3"/>
  <c r="AY512" i="3"/>
  <c r="AW512" i="3"/>
  <c r="AT512" i="3"/>
  <c r="AR512" i="3"/>
  <c r="AO512" i="3"/>
  <c r="AJ512" i="3"/>
  <c r="AM512" i="3" s="1"/>
  <c r="BL511" i="3"/>
  <c r="BI511" i="3"/>
  <c r="BG511" i="3"/>
  <c r="BD511" i="3"/>
  <c r="BB511" i="3"/>
  <c r="AY511" i="3"/>
  <c r="AW511" i="3"/>
  <c r="AT511" i="3"/>
  <c r="AR511" i="3"/>
  <c r="AO511" i="3"/>
  <c r="AJ511" i="3"/>
  <c r="AM511" i="3" s="1"/>
  <c r="BL510" i="3"/>
  <c r="BI510" i="3"/>
  <c r="BG510" i="3"/>
  <c r="BD510" i="3"/>
  <c r="BB510" i="3"/>
  <c r="AY510" i="3"/>
  <c r="AW510" i="3"/>
  <c r="AT510" i="3"/>
  <c r="AR510" i="3"/>
  <c r="AO510" i="3"/>
  <c r="AJ510" i="3"/>
  <c r="AM510" i="3" s="1"/>
  <c r="BL509" i="3"/>
  <c r="BI509" i="3"/>
  <c r="BG509" i="3"/>
  <c r="BD509" i="3"/>
  <c r="BB509" i="3"/>
  <c r="AY509" i="3"/>
  <c r="AW509" i="3"/>
  <c r="AT509" i="3"/>
  <c r="AR509" i="3"/>
  <c r="AO509" i="3"/>
  <c r="AJ509" i="3"/>
  <c r="AM509" i="3" s="1"/>
  <c r="BL508" i="3"/>
  <c r="BI508" i="3"/>
  <c r="BG508" i="3"/>
  <c r="BD508" i="3"/>
  <c r="BB508" i="3"/>
  <c r="AY508" i="3"/>
  <c r="AW508" i="3"/>
  <c r="AT508" i="3"/>
  <c r="AR508" i="3"/>
  <c r="AO508" i="3"/>
  <c r="AJ508" i="3"/>
  <c r="AM508" i="3" s="1"/>
  <c r="BL507" i="3"/>
  <c r="BI507" i="3"/>
  <c r="BG507" i="3"/>
  <c r="BD507" i="3"/>
  <c r="BB507" i="3"/>
  <c r="AY507" i="3"/>
  <c r="AW507" i="3"/>
  <c r="AT507" i="3"/>
  <c r="AR507" i="3"/>
  <c r="AO507" i="3"/>
  <c r="AJ507" i="3"/>
  <c r="AM507" i="3" s="1"/>
  <c r="BL506" i="3"/>
  <c r="BI506" i="3"/>
  <c r="BG506" i="3"/>
  <c r="BD506" i="3"/>
  <c r="BB506" i="3"/>
  <c r="AY506" i="3"/>
  <c r="AW506" i="3"/>
  <c r="AT506" i="3"/>
  <c r="AR506" i="3"/>
  <c r="AO506" i="3"/>
  <c r="AJ506" i="3"/>
  <c r="AM506" i="3" s="1"/>
  <c r="BL505" i="3"/>
  <c r="BI505" i="3"/>
  <c r="BG505" i="3"/>
  <c r="BD505" i="3"/>
  <c r="BB505" i="3"/>
  <c r="AY505" i="3"/>
  <c r="AW505" i="3"/>
  <c r="AT505" i="3"/>
  <c r="AR505" i="3"/>
  <c r="AO505" i="3"/>
  <c r="AJ505" i="3"/>
  <c r="AM505" i="3" s="1"/>
  <c r="BL504" i="3"/>
  <c r="BI504" i="3"/>
  <c r="BG504" i="3"/>
  <c r="BD504" i="3"/>
  <c r="BB504" i="3"/>
  <c r="AY504" i="3"/>
  <c r="AW504" i="3"/>
  <c r="AT504" i="3"/>
  <c r="AR504" i="3"/>
  <c r="AO504" i="3"/>
  <c r="AJ504" i="3"/>
  <c r="AM504" i="3" s="1"/>
  <c r="BL503" i="3"/>
  <c r="BI503" i="3"/>
  <c r="BG503" i="3"/>
  <c r="BD503" i="3"/>
  <c r="BB503" i="3"/>
  <c r="AY503" i="3"/>
  <c r="AW503" i="3"/>
  <c r="AT503" i="3"/>
  <c r="AR503" i="3"/>
  <c r="AO503" i="3"/>
  <c r="AJ503" i="3"/>
  <c r="AM503" i="3" s="1"/>
  <c r="BL502" i="3"/>
  <c r="BI502" i="3"/>
  <c r="BG502" i="3"/>
  <c r="BD502" i="3"/>
  <c r="BB502" i="3"/>
  <c r="AY502" i="3"/>
  <c r="AW502" i="3"/>
  <c r="AT502" i="3"/>
  <c r="AR502" i="3"/>
  <c r="AO502" i="3"/>
  <c r="AJ502" i="3"/>
  <c r="AM502" i="3" s="1"/>
  <c r="BL501" i="3"/>
  <c r="BI501" i="3"/>
  <c r="BG501" i="3"/>
  <c r="BD501" i="3"/>
  <c r="BB501" i="3"/>
  <c r="AY501" i="3"/>
  <c r="AW501" i="3"/>
  <c r="AT501" i="3"/>
  <c r="AR501" i="3"/>
  <c r="AO501" i="3"/>
  <c r="AJ501" i="3"/>
  <c r="AM501" i="3" s="1"/>
  <c r="BL500" i="3"/>
  <c r="BI500" i="3"/>
  <c r="BG500" i="3"/>
  <c r="BD500" i="3"/>
  <c r="BB500" i="3"/>
  <c r="AY500" i="3"/>
  <c r="AW500" i="3"/>
  <c r="AT500" i="3"/>
  <c r="AR500" i="3"/>
  <c r="AO500" i="3"/>
  <c r="AJ500" i="3"/>
  <c r="AM500" i="3" s="1"/>
  <c r="BL499" i="3"/>
  <c r="BI499" i="3"/>
  <c r="BG499" i="3"/>
  <c r="BD499" i="3"/>
  <c r="BB499" i="3"/>
  <c r="AY499" i="3"/>
  <c r="AW499" i="3"/>
  <c r="AT499" i="3"/>
  <c r="AR499" i="3"/>
  <c r="AO499" i="3"/>
  <c r="AJ499" i="3"/>
  <c r="AM499" i="3" s="1"/>
  <c r="BL498" i="3"/>
  <c r="BI498" i="3"/>
  <c r="BG498" i="3"/>
  <c r="BD498" i="3"/>
  <c r="BB498" i="3"/>
  <c r="AY498" i="3"/>
  <c r="AW498" i="3"/>
  <c r="AT498" i="3"/>
  <c r="AR498" i="3"/>
  <c r="AO498" i="3"/>
  <c r="AJ498" i="3"/>
  <c r="AM498" i="3" s="1"/>
  <c r="BL497" i="3"/>
  <c r="BI497" i="3"/>
  <c r="BG497" i="3"/>
  <c r="BD497" i="3"/>
  <c r="BB497" i="3"/>
  <c r="AY497" i="3"/>
  <c r="AW497" i="3"/>
  <c r="AT497" i="3"/>
  <c r="AR497" i="3"/>
  <c r="AO497" i="3"/>
  <c r="AJ497" i="3"/>
  <c r="AM497" i="3" s="1"/>
  <c r="BL496" i="3"/>
  <c r="BI496" i="3"/>
  <c r="BG496" i="3"/>
  <c r="BD496" i="3"/>
  <c r="BB496" i="3"/>
  <c r="AY496" i="3"/>
  <c r="AW496" i="3"/>
  <c r="AT496" i="3"/>
  <c r="AR496" i="3"/>
  <c r="AO496" i="3"/>
  <c r="AJ496" i="3"/>
  <c r="AM496" i="3" s="1"/>
  <c r="BL495" i="3"/>
  <c r="BI495" i="3"/>
  <c r="BG495" i="3"/>
  <c r="BD495" i="3"/>
  <c r="BB495" i="3"/>
  <c r="AY495" i="3"/>
  <c r="AW495" i="3"/>
  <c r="AT495" i="3"/>
  <c r="AR495" i="3"/>
  <c r="AO495" i="3"/>
  <c r="AM495" i="3"/>
  <c r="AJ495" i="3"/>
  <c r="BL494" i="3"/>
  <c r="BI494" i="3"/>
  <c r="BG494" i="3"/>
  <c r="BD494" i="3"/>
  <c r="BB494" i="3"/>
  <c r="AY494" i="3"/>
  <c r="AW494" i="3"/>
  <c r="AT494" i="3"/>
  <c r="AR494" i="3"/>
  <c r="AO494" i="3"/>
  <c r="AM494" i="3"/>
  <c r="AJ494" i="3"/>
  <c r="BL493" i="3"/>
  <c r="BI493" i="3"/>
  <c r="BG493" i="3"/>
  <c r="BD493" i="3"/>
  <c r="BB493" i="3"/>
  <c r="AY493" i="3"/>
  <c r="AW493" i="3"/>
  <c r="AT493" i="3"/>
  <c r="AR493" i="3"/>
  <c r="AO493" i="3"/>
  <c r="AM493" i="3"/>
  <c r="AJ493" i="3"/>
  <c r="BL492" i="3"/>
  <c r="BI492" i="3"/>
  <c r="BG492" i="3"/>
  <c r="BD492" i="3"/>
  <c r="BB492" i="3"/>
  <c r="AY492" i="3"/>
  <c r="AW492" i="3"/>
  <c r="AT492" i="3"/>
  <c r="AR492" i="3"/>
  <c r="AO492" i="3"/>
  <c r="AM492" i="3"/>
  <c r="AJ492" i="3"/>
  <c r="BL491" i="3"/>
  <c r="BI491" i="3"/>
  <c r="BG491" i="3"/>
  <c r="BD491" i="3"/>
  <c r="BB491" i="3"/>
  <c r="AY491" i="3"/>
  <c r="AW491" i="3"/>
  <c r="AT491" i="3"/>
  <c r="AR491" i="3"/>
  <c r="AO491" i="3"/>
  <c r="AM491" i="3"/>
  <c r="AJ491" i="3"/>
  <c r="BL490" i="3"/>
  <c r="BI490" i="3"/>
  <c r="BG490" i="3"/>
  <c r="BD490" i="3"/>
  <c r="BB490" i="3"/>
  <c r="AY490" i="3"/>
  <c r="AW490" i="3"/>
  <c r="AT490" i="3"/>
  <c r="AR490" i="3"/>
  <c r="AO490" i="3"/>
  <c r="AM490" i="3"/>
  <c r="AJ490" i="3"/>
  <c r="BL489" i="3"/>
  <c r="BI489" i="3"/>
  <c r="BG489" i="3"/>
  <c r="BD489" i="3"/>
  <c r="BB489" i="3"/>
  <c r="AY489" i="3"/>
  <c r="AW489" i="3"/>
  <c r="AT489" i="3"/>
  <c r="AR489" i="3"/>
  <c r="AO489" i="3"/>
  <c r="AM489" i="3"/>
  <c r="AJ489" i="3"/>
  <c r="BL488" i="3"/>
  <c r="BI488" i="3"/>
  <c r="BG488" i="3"/>
  <c r="BD488" i="3"/>
  <c r="BB488" i="3"/>
  <c r="AY488" i="3"/>
  <c r="AW488" i="3"/>
  <c r="AT488" i="3"/>
  <c r="AR488" i="3"/>
  <c r="AO488" i="3"/>
  <c r="AM488" i="3"/>
  <c r="AJ488" i="3"/>
  <c r="BL487" i="3"/>
  <c r="BI487" i="3"/>
  <c r="BG487" i="3"/>
  <c r="BD487" i="3"/>
  <c r="BB487" i="3"/>
  <c r="AY487" i="3"/>
  <c r="AW487" i="3"/>
  <c r="AT487" i="3"/>
  <c r="AR487" i="3"/>
  <c r="AO487" i="3"/>
  <c r="AM487" i="3"/>
  <c r="AJ487" i="3"/>
  <c r="BL486" i="3"/>
  <c r="BI486" i="3"/>
  <c r="BG486" i="3"/>
  <c r="BD486" i="3"/>
  <c r="BB486" i="3"/>
  <c r="AY486" i="3"/>
  <c r="AW486" i="3"/>
  <c r="AT486" i="3"/>
  <c r="AR486" i="3"/>
  <c r="AO486" i="3"/>
  <c r="AM486" i="3"/>
  <c r="AJ486" i="3"/>
  <c r="BL485" i="3"/>
  <c r="BI485" i="3"/>
  <c r="BG485" i="3"/>
  <c r="BD485" i="3"/>
  <c r="BB485" i="3"/>
  <c r="AY485" i="3"/>
  <c r="AW485" i="3"/>
  <c r="AT485" i="3"/>
  <c r="AR485" i="3"/>
  <c r="AO485" i="3"/>
  <c r="AM485" i="3"/>
  <c r="AJ485" i="3"/>
  <c r="BL484" i="3"/>
  <c r="BI484" i="3"/>
  <c r="BG484" i="3"/>
  <c r="BD484" i="3"/>
  <c r="BB484" i="3"/>
  <c r="AY484" i="3"/>
  <c r="AW484" i="3"/>
  <c r="AT484" i="3"/>
  <c r="AR484" i="3"/>
  <c r="AO484" i="3"/>
  <c r="AM484" i="3"/>
  <c r="AJ484" i="3"/>
  <c r="BL483" i="3"/>
  <c r="BI483" i="3"/>
  <c r="BG483" i="3"/>
  <c r="BD483" i="3"/>
  <c r="BB483" i="3"/>
  <c r="AY483" i="3"/>
  <c r="AW483" i="3"/>
  <c r="AT483" i="3"/>
  <c r="AR483" i="3"/>
  <c r="AO483" i="3"/>
  <c r="AM483" i="3"/>
  <c r="AJ483" i="3"/>
  <c r="BL482" i="3"/>
  <c r="BI482" i="3"/>
  <c r="BG482" i="3"/>
  <c r="BD482" i="3"/>
  <c r="BB482" i="3"/>
  <c r="AY482" i="3"/>
  <c r="AW482" i="3"/>
  <c r="AT482" i="3"/>
  <c r="AR482" i="3"/>
  <c r="AO482" i="3"/>
  <c r="AM482" i="3"/>
  <c r="AJ482" i="3"/>
  <c r="BL481" i="3"/>
  <c r="BI481" i="3"/>
  <c r="BG481" i="3"/>
  <c r="BD481" i="3"/>
  <c r="BB481" i="3"/>
  <c r="AY481" i="3"/>
  <c r="AW481" i="3"/>
  <c r="AT481" i="3"/>
  <c r="AR481" i="3"/>
  <c r="AO481" i="3"/>
  <c r="AM481" i="3"/>
  <c r="AJ481" i="3"/>
  <c r="BL480" i="3"/>
  <c r="BI480" i="3"/>
  <c r="BG480" i="3"/>
  <c r="BD480" i="3"/>
  <c r="BB480" i="3"/>
  <c r="AY480" i="3"/>
  <c r="AW480" i="3"/>
  <c r="AT480" i="3"/>
  <c r="AR480" i="3"/>
  <c r="AO480" i="3"/>
  <c r="AM480" i="3"/>
  <c r="AJ480" i="3"/>
  <c r="BL479" i="3"/>
  <c r="BI479" i="3"/>
  <c r="BG479" i="3"/>
  <c r="BD479" i="3"/>
  <c r="BB479" i="3"/>
  <c r="AY479" i="3"/>
  <c r="AW479" i="3"/>
  <c r="AT479" i="3"/>
  <c r="AR479" i="3"/>
  <c r="AO479" i="3"/>
  <c r="AM479" i="3"/>
  <c r="AJ479" i="3"/>
  <c r="BL478" i="3"/>
  <c r="BI478" i="3"/>
  <c r="BG478" i="3"/>
  <c r="BD478" i="3"/>
  <c r="BB478" i="3"/>
  <c r="AY478" i="3"/>
  <c r="AW478" i="3"/>
  <c r="AT478" i="3"/>
  <c r="AR478" i="3"/>
  <c r="AO478" i="3"/>
  <c r="AM478" i="3"/>
  <c r="AJ478" i="3"/>
  <c r="BL477" i="3"/>
  <c r="BI477" i="3"/>
  <c r="BG477" i="3"/>
  <c r="BD477" i="3"/>
  <c r="BB477" i="3"/>
  <c r="AY477" i="3"/>
  <c r="AW477" i="3"/>
  <c r="AT477" i="3"/>
  <c r="AR477" i="3"/>
  <c r="AO477" i="3"/>
  <c r="AM477" i="3"/>
  <c r="AJ477" i="3"/>
  <c r="BL476" i="3"/>
  <c r="BI476" i="3"/>
  <c r="BG476" i="3"/>
  <c r="BD476" i="3"/>
  <c r="BB476" i="3"/>
  <c r="AY476" i="3"/>
  <c r="AW476" i="3"/>
  <c r="AT476" i="3"/>
  <c r="AR476" i="3"/>
  <c r="AO476" i="3"/>
  <c r="AM476" i="3"/>
  <c r="AJ476" i="3"/>
  <c r="BL475" i="3"/>
  <c r="BI475" i="3"/>
  <c r="BG475" i="3"/>
  <c r="BD475" i="3"/>
  <c r="BB475" i="3"/>
  <c r="AY475" i="3"/>
  <c r="AW475" i="3"/>
  <c r="AT475" i="3"/>
  <c r="AR475" i="3"/>
  <c r="AO475" i="3"/>
  <c r="AM475" i="3"/>
  <c r="AJ475" i="3"/>
  <c r="BL474" i="3"/>
  <c r="BI474" i="3"/>
  <c r="BG474" i="3"/>
  <c r="BD474" i="3"/>
  <c r="BB474" i="3"/>
  <c r="AY474" i="3"/>
  <c r="AW474" i="3"/>
  <c r="AT474" i="3"/>
  <c r="AR474" i="3"/>
  <c r="AO474" i="3"/>
  <c r="AM474" i="3"/>
  <c r="AJ474" i="3"/>
  <c r="BL473" i="3"/>
  <c r="BI473" i="3"/>
  <c r="BG473" i="3"/>
  <c r="BD473" i="3"/>
  <c r="BB473" i="3"/>
  <c r="AY473" i="3"/>
  <c r="AW473" i="3"/>
  <c r="AT473" i="3"/>
  <c r="AR473" i="3"/>
  <c r="AO473" i="3"/>
  <c r="AM473" i="3"/>
  <c r="AJ473" i="3"/>
  <c r="BL472" i="3"/>
  <c r="BI472" i="3"/>
  <c r="BG472" i="3"/>
  <c r="BD472" i="3"/>
  <c r="BB472" i="3"/>
  <c r="AY472" i="3"/>
  <c r="AW472" i="3"/>
  <c r="AT472" i="3"/>
  <c r="AR472" i="3"/>
  <c r="AO472" i="3"/>
  <c r="AM472" i="3"/>
  <c r="AJ472" i="3"/>
  <c r="BL471" i="3"/>
  <c r="BI471" i="3"/>
  <c r="BG471" i="3"/>
  <c r="BD471" i="3"/>
  <c r="BB471" i="3"/>
  <c r="AY471" i="3"/>
  <c r="AW471" i="3"/>
  <c r="AT471" i="3"/>
  <c r="AR471" i="3"/>
  <c r="AO471" i="3"/>
  <c r="AM471" i="3"/>
  <c r="AJ471" i="3"/>
  <c r="BL470" i="3"/>
  <c r="BI470" i="3"/>
  <c r="BG470" i="3"/>
  <c r="BD470" i="3"/>
  <c r="BB470" i="3"/>
  <c r="AY470" i="3"/>
  <c r="AW470" i="3"/>
  <c r="AT470" i="3"/>
  <c r="AR470" i="3"/>
  <c r="AO470" i="3"/>
  <c r="AM470" i="3"/>
  <c r="AJ470" i="3"/>
  <c r="BL469" i="3"/>
  <c r="BI469" i="3"/>
  <c r="BG469" i="3"/>
  <c r="BD469" i="3"/>
  <c r="BB469" i="3"/>
  <c r="AY469" i="3"/>
  <c r="AW469" i="3"/>
  <c r="AT469" i="3"/>
  <c r="AR469" i="3"/>
  <c r="AO469" i="3"/>
  <c r="AM469" i="3"/>
  <c r="AJ469" i="3"/>
  <c r="BL468" i="3"/>
  <c r="BI468" i="3"/>
  <c r="BG468" i="3"/>
  <c r="BD468" i="3"/>
  <c r="BB468" i="3"/>
  <c r="AY468" i="3"/>
  <c r="AW468" i="3"/>
  <c r="AT468" i="3"/>
  <c r="AR468" i="3"/>
  <c r="AO468" i="3"/>
  <c r="AM468" i="3"/>
  <c r="AJ468" i="3"/>
  <c r="BL467" i="3"/>
  <c r="BI467" i="3"/>
  <c r="BG467" i="3"/>
  <c r="BD467" i="3"/>
  <c r="BB467" i="3"/>
  <c r="AY467" i="3"/>
  <c r="AW467" i="3"/>
  <c r="AT467" i="3"/>
  <c r="AR467" i="3"/>
  <c r="AO467" i="3"/>
  <c r="AM467" i="3"/>
  <c r="AJ467" i="3"/>
  <c r="BL466" i="3"/>
  <c r="BI466" i="3"/>
  <c r="BG466" i="3"/>
  <c r="BD466" i="3"/>
  <c r="BB466" i="3"/>
  <c r="AY466" i="3"/>
  <c r="AW466" i="3"/>
  <c r="AT466" i="3"/>
  <c r="AR466" i="3"/>
  <c r="AO466" i="3"/>
  <c r="AM466" i="3"/>
  <c r="AJ466" i="3"/>
  <c r="BL465" i="3"/>
  <c r="BI465" i="3"/>
  <c r="BG465" i="3"/>
  <c r="BD465" i="3"/>
  <c r="BB465" i="3"/>
  <c r="AY465" i="3"/>
  <c r="AW465" i="3"/>
  <c r="AT465" i="3"/>
  <c r="AR465" i="3"/>
  <c r="AO465" i="3"/>
  <c r="AM465" i="3"/>
  <c r="AJ465" i="3"/>
  <c r="BL464" i="3"/>
  <c r="BI464" i="3"/>
  <c r="BG464" i="3"/>
  <c r="BD464" i="3"/>
  <c r="BB464" i="3"/>
  <c r="AY464" i="3"/>
  <c r="AW464" i="3"/>
  <c r="AT464" i="3"/>
  <c r="AR464" i="3"/>
  <c r="AO464" i="3"/>
  <c r="AM464" i="3"/>
  <c r="AJ464" i="3"/>
  <c r="BL463" i="3"/>
  <c r="BI463" i="3"/>
  <c r="BG463" i="3"/>
  <c r="BD463" i="3"/>
  <c r="BB463" i="3"/>
  <c r="AY463" i="3"/>
  <c r="AW463" i="3"/>
  <c r="AT463" i="3"/>
  <c r="AR463" i="3"/>
  <c r="AO463" i="3"/>
  <c r="AM463" i="3"/>
  <c r="AJ463" i="3"/>
  <c r="BL462" i="3"/>
  <c r="BI462" i="3"/>
  <c r="BG462" i="3"/>
  <c r="BD462" i="3"/>
  <c r="BB462" i="3"/>
  <c r="AY462" i="3"/>
  <c r="AW462" i="3"/>
  <c r="AT462" i="3"/>
  <c r="AR462" i="3"/>
  <c r="AO462" i="3"/>
  <c r="AM462" i="3"/>
  <c r="AJ462" i="3"/>
  <c r="BL461" i="3"/>
  <c r="BI461" i="3"/>
  <c r="BG461" i="3"/>
  <c r="BD461" i="3"/>
  <c r="BB461" i="3"/>
  <c r="AY461" i="3"/>
  <c r="AW461" i="3"/>
  <c r="AT461" i="3"/>
  <c r="AR461" i="3"/>
  <c r="AO461" i="3"/>
  <c r="AM461" i="3"/>
  <c r="AJ461" i="3"/>
  <c r="BL460" i="3"/>
  <c r="BI460" i="3"/>
  <c r="BG460" i="3"/>
  <c r="BD460" i="3"/>
  <c r="BB460" i="3"/>
  <c r="AY460" i="3"/>
  <c r="AW460" i="3"/>
  <c r="AT460" i="3"/>
  <c r="AR460" i="3"/>
  <c r="AO460" i="3"/>
  <c r="AM460" i="3"/>
  <c r="AJ460" i="3"/>
  <c r="BL459" i="3"/>
  <c r="BI459" i="3"/>
  <c r="BG459" i="3"/>
  <c r="BD459" i="3"/>
  <c r="BB459" i="3"/>
  <c r="AY459" i="3"/>
  <c r="AW459" i="3"/>
  <c r="AT459" i="3"/>
  <c r="AR459" i="3"/>
  <c r="AO459" i="3"/>
  <c r="AM459" i="3"/>
  <c r="AJ459" i="3"/>
  <c r="BL458" i="3"/>
  <c r="BI458" i="3"/>
  <c r="BG458" i="3"/>
  <c r="BD458" i="3"/>
  <c r="BB458" i="3"/>
  <c r="AY458" i="3"/>
  <c r="AW458" i="3"/>
  <c r="AT458" i="3"/>
  <c r="AR458" i="3"/>
  <c r="AO458" i="3"/>
  <c r="AM458" i="3"/>
  <c r="AJ458" i="3"/>
  <c r="BL457" i="3"/>
  <c r="BI457" i="3"/>
  <c r="BG457" i="3"/>
  <c r="BD457" i="3"/>
  <c r="BB457" i="3"/>
  <c r="AY457" i="3"/>
  <c r="AW457" i="3"/>
  <c r="AT457" i="3"/>
  <c r="AR457" i="3"/>
  <c r="AO457" i="3"/>
  <c r="AM457" i="3"/>
  <c r="AJ457" i="3"/>
  <c r="BL456" i="3"/>
  <c r="BI456" i="3"/>
  <c r="BG456" i="3"/>
  <c r="BD456" i="3"/>
  <c r="BB456" i="3"/>
  <c r="AY456" i="3"/>
  <c r="AW456" i="3"/>
  <c r="AT456" i="3"/>
  <c r="AR456" i="3"/>
  <c r="AO456" i="3"/>
  <c r="AM456" i="3"/>
  <c r="AJ456" i="3"/>
  <c r="BL455" i="3"/>
  <c r="BI455" i="3"/>
  <c r="BG455" i="3"/>
  <c r="BD455" i="3"/>
  <c r="BB455" i="3"/>
  <c r="AY455" i="3"/>
  <c r="AW455" i="3"/>
  <c r="AT455" i="3"/>
  <c r="AR455" i="3"/>
  <c r="AO455" i="3"/>
  <c r="AM455" i="3"/>
  <c r="AJ455" i="3"/>
  <c r="BL454" i="3"/>
  <c r="BI454" i="3"/>
  <c r="BG454" i="3"/>
  <c r="BD454" i="3"/>
  <c r="BB454" i="3"/>
  <c r="AY454" i="3"/>
  <c r="AW454" i="3"/>
  <c r="AT454" i="3"/>
  <c r="AR454" i="3"/>
  <c r="AO454" i="3"/>
  <c r="AM454" i="3"/>
  <c r="AJ454" i="3"/>
  <c r="BL453" i="3"/>
  <c r="BI453" i="3"/>
  <c r="BG453" i="3"/>
  <c r="BD453" i="3"/>
  <c r="BB453" i="3"/>
  <c r="AY453" i="3"/>
  <c r="AW453" i="3"/>
  <c r="AT453" i="3"/>
  <c r="AR453" i="3"/>
  <c r="AO453" i="3"/>
  <c r="AM453" i="3"/>
  <c r="AJ453" i="3"/>
  <c r="BL452" i="3"/>
  <c r="BI452" i="3"/>
  <c r="BG452" i="3"/>
  <c r="BD452" i="3"/>
  <c r="BB452" i="3"/>
  <c r="AY452" i="3"/>
  <c r="AW452" i="3"/>
  <c r="AT452" i="3"/>
  <c r="AR452" i="3"/>
  <c r="AO452" i="3"/>
  <c r="AM452" i="3"/>
  <c r="AJ452" i="3"/>
  <c r="BL451" i="3"/>
  <c r="BI451" i="3"/>
  <c r="BG451" i="3"/>
  <c r="BD451" i="3"/>
  <c r="BB451" i="3"/>
  <c r="AY451" i="3"/>
  <c r="AW451" i="3"/>
  <c r="AT451" i="3"/>
  <c r="AR451" i="3"/>
  <c r="AO451" i="3"/>
  <c r="AM451" i="3"/>
  <c r="AJ451" i="3"/>
  <c r="BL450" i="3"/>
  <c r="BI450" i="3"/>
  <c r="BG450" i="3"/>
  <c r="BD450" i="3"/>
  <c r="BB450" i="3"/>
  <c r="AY450" i="3"/>
  <c r="AW450" i="3"/>
  <c r="AT450" i="3"/>
  <c r="AR450" i="3"/>
  <c r="AO450" i="3"/>
  <c r="AM450" i="3"/>
  <c r="AJ450" i="3"/>
  <c r="BL449" i="3"/>
  <c r="BI449" i="3"/>
  <c r="BG449" i="3"/>
  <c r="BD449" i="3"/>
  <c r="BB449" i="3"/>
  <c r="AY449" i="3"/>
  <c r="AW449" i="3"/>
  <c r="AT449" i="3"/>
  <c r="AR449" i="3"/>
  <c r="AO449" i="3"/>
  <c r="AM449" i="3"/>
  <c r="AJ449" i="3"/>
  <c r="BL448" i="3"/>
  <c r="BI448" i="3"/>
  <c r="BG448" i="3"/>
  <c r="BD448" i="3"/>
  <c r="BB448" i="3"/>
  <c r="AY448" i="3"/>
  <c r="AW448" i="3"/>
  <c r="AT448" i="3"/>
  <c r="AR448" i="3"/>
  <c r="AO448" i="3"/>
  <c r="AM448" i="3"/>
  <c r="AJ448" i="3"/>
  <c r="BL447" i="3"/>
  <c r="BI447" i="3"/>
  <c r="BG447" i="3"/>
  <c r="BD447" i="3"/>
  <c r="BB447" i="3"/>
  <c r="AY447" i="3"/>
  <c r="AW447" i="3"/>
  <c r="AT447" i="3"/>
  <c r="AR447" i="3"/>
  <c r="AO447" i="3"/>
  <c r="AM447" i="3"/>
  <c r="AJ447" i="3"/>
  <c r="BL446" i="3"/>
  <c r="BI446" i="3"/>
  <c r="BG446" i="3"/>
  <c r="BD446" i="3"/>
  <c r="BB446" i="3"/>
  <c r="AY446" i="3"/>
  <c r="AW446" i="3"/>
  <c r="AT446" i="3"/>
  <c r="AR446" i="3"/>
  <c r="AO446" i="3"/>
  <c r="AM446" i="3"/>
  <c r="AJ446" i="3"/>
  <c r="BL445" i="3"/>
  <c r="BI445" i="3"/>
  <c r="BG445" i="3"/>
  <c r="BD445" i="3"/>
  <c r="BB445" i="3"/>
  <c r="AY445" i="3"/>
  <c r="AW445" i="3"/>
  <c r="AT445" i="3"/>
  <c r="AR445" i="3"/>
  <c r="AO445" i="3"/>
  <c r="AM445" i="3"/>
  <c r="AJ445" i="3"/>
  <c r="BL444" i="3"/>
  <c r="BI444" i="3"/>
  <c r="BG444" i="3"/>
  <c r="BD444" i="3"/>
  <c r="BB444" i="3"/>
  <c r="AY444" i="3"/>
  <c r="AW444" i="3"/>
  <c r="AT444" i="3"/>
  <c r="AR444" i="3"/>
  <c r="AO444" i="3"/>
  <c r="AM444" i="3"/>
  <c r="AJ444" i="3"/>
  <c r="BL443" i="3"/>
  <c r="BI443" i="3"/>
  <c r="BG443" i="3"/>
  <c r="BD443" i="3"/>
  <c r="BB443" i="3"/>
  <c r="AY443" i="3"/>
  <c r="AW443" i="3"/>
  <c r="AT443" i="3"/>
  <c r="AR443" i="3"/>
  <c r="AO443" i="3"/>
  <c r="AM443" i="3"/>
  <c r="AJ443" i="3"/>
  <c r="BL442" i="3"/>
  <c r="BI442" i="3"/>
  <c r="BG442" i="3"/>
  <c r="BD442" i="3"/>
  <c r="BB442" i="3"/>
  <c r="AY442" i="3"/>
  <c r="AW442" i="3"/>
  <c r="AT442" i="3"/>
  <c r="AR442" i="3"/>
  <c r="AO442" i="3"/>
  <c r="AM442" i="3"/>
  <c r="AJ442" i="3"/>
  <c r="BL441" i="3"/>
  <c r="BI441" i="3"/>
  <c r="BG441" i="3"/>
  <c r="BD441" i="3"/>
  <c r="BB441" i="3"/>
  <c r="AY441" i="3"/>
  <c r="AW441" i="3"/>
  <c r="AT441" i="3"/>
  <c r="AR441" i="3"/>
  <c r="AO441" i="3"/>
  <c r="AM441" i="3"/>
  <c r="AJ441" i="3"/>
  <c r="BL440" i="3"/>
  <c r="BI440" i="3"/>
  <c r="BG440" i="3"/>
  <c r="BD440" i="3"/>
  <c r="BB440" i="3"/>
  <c r="AY440" i="3"/>
  <c r="AW440" i="3"/>
  <c r="AT440" i="3"/>
  <c r="AR440" i="3"/>
  <c r="AO440" i="3"/>
  <c r="AM440" i="3"/>
  <c r="AJ440" i="3"/>
  <c r="BL439" i="3"/>
  <c r="BI439" i="3"/>
  <c r="BG439" i="3"/>
  <c r="BD439" i="3"/>
  <c r="BB439" i="3"/>
  <c r="AY439" i="3"/>
  <c r="AW439" i="3"/>
  <c r="AT439" i="3"/>
  <c r="AR439" i="3"/>
  <c r="AO439" i="3"/>
  <c r="AM439" i="3"/>
  <c r="AJ439" i="3"/>
  <c r="BL438" i="3"/>
  <c r="BI438" i="3"/>
  <c r="BG438" i="3"/>
  <c r="BD438" i="3"/>
  <c r="BB438" i="3"/>
  <c r="AY438" i="3"/>
  <c r="AW438" i="3"/>
  <c r="AT438" i="3"/>
  <c r="AR438" i="3"/>
  <c r="AO438" i="3"/>
  <c r="AM438" i="3"/>
  <c r="AJ438" i="3"/>
  <c r="BL437" i="3"/>
  <c r="BI437" i="3"/>
  <c r="BG437" i="3"/>
  <c r="BD437" i="3"/>
  <c r="BB437" i="3"/>
  <c r="AY437" i="3"/>
  <c r="AW437" i="3"/>
  <c r="AT437" i="3"/>
  <c r="AR437" i="3"/>
  <c r="AO437" i="3"/>
  <c r="AM437" i="3"/>
  <c r="AJ437" i="3"/>
  <c r="BL436" i="3"/>
  <c r="BI436" i="3"/>
  <c r="BG436" i="3"/>
  <c r="BD436" i="3"/>
  <c r="BB436" i="3"/>
  <c r="AY436" i="3"/>
  <c r="AW436" i="3"/>
  <c r="AT436" i="3"/>
  <c r="AR436" i="3"/>
  <c r="AO436" i="3"/>
  <c r="AM436" i="3"/>
  <c r="AJ436" i="3"/>
  <c r="BL435" i="3"/>
  <c r="BI435" i="3"/>
  <c r="BG435" i="3"/>
  <c r="BD435" i="3"/>
  <c r="BB435" i="3"/>
  <c r="AY435" i="3"/>
  <c r="AW435" i="3"/>
  <c r="AT435" i="3"/>
  <c r="AR435" i="3"/>
  <c r="AO435" i="3"/>
  <c r="AM435" i="3"/>
  <c r="AJ435" i="3"/>
  <c r="BL434" i="3"/>
  <c r="BI434" i="3"/>
  <c r="BG434" i="3"/>
  <c r="BD434" i="3"/>
  <c r="BB434" i="3"/>
  <c r="AY434" i="3"/>
  <c r="AW434" i="3"/>
  <c r="AT434" i="3"/>
  <c r="AR434" i="3"/>
  <c r="AO434" i="3"/>
  <c r="AM434" i="3"/>
  <c r="AJ434" i="3"/>
  <c r="BL433" i="3"/>
  <c r="BI433" i="3"/>
  <c r="BG433" i="3"/>
  <c r="BD433" i="3"/>
  <c r="BB433" i="3"/>
  <c r="AY433" i="3"/>
  <c r="AW433" i="3"/>
  <c r="AT433" i="3"/>
  <c r="AR433" i="3"/>
  <c r="AO433" i="3"/>
  <c r="AM433" i="3"/>
  <c r="AJ433" i="3"/>
  <c r="BL432" i="3"/>
  <c r="BI432" i="3"/>
  <c r="BG432" i="3"/>
  <c r="BD432" i="3"/>
  <c r="BB432" i="3"/>
  <c r="AY432" i="3"/>
  <c r="AW432" i="3"/>
  <c r="AT432" i="3"/>
  <c r="AR432" i="3"/>
  <c r="AO432" i="3"/>
  <c r="AM432" i="3"/>
  <c r="AJ432" i="3"/>
  <c r="BL431" i="3"/>
  <c r="BI431" i="3"/>
  <c r="BG431" i="3"/>
  <c r="BD431" i="3"/>
  <c r="BB431" i="3"/>
  <c r="AY431" i="3"/>
  <c r="AW431" i="3"/>
  <c r="AT431" i="3"/>
  <c r="AR431" i="3"/>
  <c r="AO431" i="3"/>
  <c r="AM431" i="3"/>
  <c r="AJ431" i="3"/>
  <c r="BL430" i="3"/>
  <c r="BI430" i="3"/>
  <c r="BG430" i="3"/>
  <c r="BD430" i="3"/>
  <c r="BB430" i="3"/>
  <c r="AY430" i="3"/>
  <c r="AW430" i="3"/>
  <c r="AT430" i="3"/>
  <c r="AR430" i="3"/>
  <c r="AO430" i="3"/>
  <c r="AM430" i="3"/>
  <c r="AJ430" i="3"/>
  <c r="BL429" i="3"/>
  <c r="BI429" i="3"/>
  <c r="BG429" i="3"/>
  <c r="BD429" i="3"/>
  <c r="BB429" i="3"/>
  <c r="AY429" i="3"/>
  <c r="AW429" i="3"/>
  <c r="AT429" i="3"/>
  <c r="AR429" i="3"/>
  <c r="AO429" i="3"/>
  <c r="AM429" i="3"/>
  <c r="AJ429" i="3"/>
  <c r="BL428" i="3"/>
  <c r="BI428" i="3"/>
  <c r="BG428" i="3"/>
  <c r="BD428" i="3"/>
  <c r="BB428" i="3"/>
  <c r="AY428" i="3"/>
  <c r="AW428" i="3"/>
  <c r="AT428" i="3"/>
  <c r="AR428" i="3"/>
  <c r="AO428" i="3"/>
  <c r="AM428" i="3"/>
  <c r="AJ428" i="3"/>
  <c r="BL427" i="3"/>
  <c r="BI427" i="3"/>
  <c r="BG427" i="3"/>
  <c r="BD427" i="3"/>
  <c r="BB427" i="3"/>
  <c r="AY427" i="3"/>
  <c r="AW427" i="3"/>
  <c r="AT427" i="3"/>
  <c r="AR427" i="3"/>
  <c r="AO427" i="3"/>
  <c r="AM427" i="3"/>
  <c r="AJ427" i="3"/>
  <c r="BL426" i="3"/>
  <c r="BI426" i="3"/>
  <c r="BG426" i="3"/>
  <c r="BD426" i="3"/>
  <c r="BB426" i="3"/>
  <c r="AY426" i="3"/>
  <c r="AW426" i="3"/>
  <c r="AT426" i="3"/>
  <c r="AR426" i="3"/>
  <c r="AO426" i="3"/>
  <c r="AM426" i="3"/>
  <c r="AJ426" i="3"/>
  <c r="BL425" i="3"/>
  <c r="BI425" i="3"/>
  <c r="BG425" i="3"/>
  <c r="BD425" i="3"/>
  <c r="BB425" i="3"/>
  <c r="AY425" i="3"/>
  <c r="AW425" i="3"/>
  <c r="AT425" i="3"/>
  <c r="AR425" i="3"/>
  <c r="AO425" i="3"/>
  <c r="AM425" i="3"/>
  <c r="AJ425" i="3"/>
  <c r="BL424" i="3"/>
  <c r="BI424" i="3"/>
  <c r="BG424" i="3"/>
  <c r="BD424" i="3"/>
  <c r="BB424" i="3"/>
  <c r="AY424" i="3"/>
  <c r="AW424" i="3"/>
  <c r="AT424" i="3"/>
  <c r="AR424" i="3"/>
  <c r="AO424" i="3"/>
  <c r="AM424" i="3"/>
  <c r="AJ424" i="3"/>
  <c r="BL423" i="3"/>
  <c r="BI423" i="3"/>
  <c r="BG423" i="3"/>
  <c r="BD423" i="3"/>
  <c r="BB423" i="3"/>
  <c r="AY423" i="3"/>
  <c r="AW423" i="3"/>
  <c r="AT423" i="3"/>
  <c r="AR423" i="3"/>
  <c r="AO423" i="3"/>
  <c r="AM423" i="3"/>
  <c r="AJ423" i="3"/>
  <c r="BL422" i="3"/>
  <c r="BI422" i="3"/>
  <c r="BG422" i="3"/>
  <c r="BD422" i="3"/>
  <c r="BB422" i="3"/>
  <c r="AY422" i="3"/>
  <c r="AW422" i="3"/>
  <c r="AT422" i="3"/>
  <c r="AR422" i="3"/>
  <c r="AO422" i="3"/>
  <c r="AM422" i="3"/>
  <c r="AJ422" i="3"/>
  <c r="BL421" i="3"/>
  <c r="BI421" i="3"/>
  <c r="BG421" i="3"/>
  <c r="BD421" i="3"/>
  <c r="BB421" i="3"/>
  <c r="AY421" i="3"/>
  <c r="AW421" i="3"/>
  <c r="AT421" i="3"/>
  <c r="AR421" i="3"/>
  <c r="AO421" i="3"/>
  <c r="AM421" i="3"/>
  <c r="AJ421" i="3"/>
  <c r="BL420" i="3"/>
  <c r="BI420" i="3"/>
  <c r="BG420" i="3"/>
  <c r="BD420" i="3"/>
  <c r="BB420" i="3"/>
  <c r="AY420" i="3"/>
  <c r="AW420" i="3"/>
  <c r="AT420" i="3"/>
  <c r="AR420" i="3"/>
  <c r="AO420" i="3"/>
  <c r="AM420" i="3"/>
  <c r="AJ420" i="3"/>
  <c r="BL419" i="3"/>
  <c r="BI419" i="3"/>
  <c r="BG419" i="3"/>
  <c r="BD419" i="3"/>
  <c r="BB419" i="3"/>
  <c r="AY419" i="3"/>
  <c r="AW419" i="3"/>
  <c r="AT419" i="3"/>
  <c r="AR419" i="3"/>
  <c r="AO419" i="3"/>
  <c r="AM419" i="3"/>
  <c r="AJ419" i="3"/>
  <c r="BL418" i="3"/>
  <c r="BI418" i="3"/>
  <c r="BG418" i="3"/>
  <c r="BD418" i="3"/>
  <c r="BB418" i="3"/>
  <c r="AY418" i="3"/>
  <c r="AW418" i="3"/>
  <c r="AT418" i="3"/>
  <c r="AR418" i="3"/>
  <c r="AO418" i="3"/>
  <c r="AM418" i="3"/>
  <c r="AJ418" i="3"/>
  <c r="BL417" i="3"/>
  <c r="BI417" i="3"/>
  <c r="BG417" i="3"/>
  <c r="BD417" i="3"/>
  <c r="BB417" i="3"/>
  <c r="AY417" i="3"/>
  <c r="AW417" i="3"/>
  <c r="AT417" i="3"/>
  <c r="AR417" i="3"/>
  <c r="AO417" i="3"/>
  <c r="AM417" i="3"/>
  <c r="AJ417" i="3"/>
  <c r="BL416" i="3"/>
  <c r="BI416" i="3"/>
  <c r="BG416" i="3"/>
  <c r="BD416" i="3"/>
  <c r="BB416" i="3"/>
  <c r="AY416" i="3"/>
  <c r="AW416" i="3"/>
  <c r="AT416" i="3"/>
  <c r="AR416" i="3"/>
  <c r="AO416" i="3"/>
  <c r="AM416" i="3"/>
  <c r="AJ416" i="3"/>
  <c r="BL415" i="3"/>
  <c r="BI415" i="3"/>
  <c r="BG415" i="3"/>
  <c r="BD415" i="3"/>
  <c r="BB415" i="3"/>
  <c r="AY415" i="3"/>
  <c r="AW415" i="3"/>
  <c r="AT415" i="3"/>
  <c r="AR415" i="3"/>
  <c r="AO415" i="3"/>
  <c r="AM415" i="3"/>
  <c r="AJ415" i="3"/>
  <c r="BL414" i="3"/>
  <c r="BI414" i="3"/>
  <c r="BG414" i="3"/>
  <c r="BD414" i="3"/>
  <c r="BB414" i="3"/>
  <c r="AY414" i="3"/>
  <c r="AW414" i="3"/>
  <c r="AT414" i="3"/>
  <c r="AR414" i="3"/>
  <c r="AO414" i="3"/>
  <c r="AM414" i="3"/>
  <c r="AJ414" i="3"/>
  <c r="BL413" i="3"/>
  <c r="BI413" i="3"/>
  <c r="BG413" i="3"/>
  <c r="BD413" i="3"/>
  <c r="BB413" i="3"/>
  <c r="AY413" i="3"/>
  <c r="AW413" i="3"/>
  <c r="AT413" i="3"/>
  <c r="AR413" i="3"/>
  <c r="AO413" i="3"/>
  <c r="AM413" i="3"/>
  <c r="AJ413" i="3"/>
  <c r="BL412" i="3"/>
  <c r="BI412" i="3"/>
  <c r="BG412" i="3"/>
  <c r="BD412" i="3"/>
  <c r="BB412" i="3"/>
  <c r="AY412" i="3"/>
  <c r="AW412" i="3"/>
  <c r="AT412" i="3"/>
  <c r="AR412" i="3"/>
  <c r="AO412" i="3"/>
  <c r="AM412" i="3"/>
  <c r="AJ412" i="3"/>
  <c r="BL411" i="3"/>
  <c r="BI411" i="3"/>
  <c r="BG411" i="3"/>
  <c r="BD411" i="3"/>
  <c r="BB411" i="3"/>
  <c r="AY411" i="3"/>
  <c r="AW411" i="3"/>
  <c r="AT411" i="3"/>
  <c r="AR411" i="3"/>
  <c r="AO411" i="3"/>
  <c r="AM411" i="3"/>
  <c r="AJ411" i="3"/>
  <c r="BL410" i="3"/>
  <c r="BI410" i="3"/>
  <c r="BG410" i="3"/>
  <c r="BD410" i="3"/>
  <c r="BB410" i="3"/>
  <c r="AY410" i="3"/>
  <c r="AW410" i="3"/>
  <c r="AT410" i="3"/>
  <c r="AR410" i="3"/>
  <c r="AO410" i="3"/>
  <c r="AM410" i="3"/>
  <c r="AJ410" i="3"/>
  <c r="BL409" i="3"/>
  <c r="BI409" i="3"/>
  <c r="BG409" i="3"/>
  <c r="BD409" i="3"/>
  <c r="BB409" i="3"/>
  <c r="AY409" i="3"/>
  <c r="AW409" i="3"/>
  <c r="AT409" i="3"/>
  <c r="AR409" i="3"/>
  <c r="AO409" i="3"/>
  <c r="AM409" i="3"/>
  <c r="AJ409" i="3"/>
  <c r="BL408" i="3"/>
  <c r="BI408" i="3"/>
  <c r="BG408" i="3"/>
  <c r="BD408" i="3"/>
  <c r="BB408" i="3"/>
  <c r="AY408" i="3"/>
  <c r="AW408" i="3"/>
  <c r="AT408" i="3"/>
  <c r="AR408" i="3"/>
  <c r="AO408" i="3"/>
  <c r="AM408" i="3"/>
  <c r="AJ408" i="3"/>
  <c r="BL407" i="3"/>
  <c r="BI407" i="3"/>
  <c r="BG407" i="3"/>
  <c r="BD407" i="3"/>
  <c r="BB407" i="3"/>
  <c r="AY407" i="3"/>
  <c r="AW407" i="3"/>
  <c r="AT407" i="3"/>
  <c r="AR407" i="3"/>
  <c r="AO407" i="3"/>
  <c r="AM407" i="3"/>
  <c r="AJ407" i="3"/>
  <c r="BL406" i="3"/>
  <c r="BI406" i="3"/>
  <c r="BG406" i="3"/>
  <c r="BD406" i="3"/>
  <c r="BB406" i="3"/>
  <c r="AY406" i="3"/>
  <c r="AW406" i="3"/>
  <c r="AT406" i="3"/>
  <c r="AR406" i="3"/>
  <c r="AO406" i="3"/>
  <c r="AM406" i="3"/>
  <c r="AJ406" i="3"/>
  <c r="BL405" i="3"/>
  <c r="BI405" i="3"/>
  <c r="BG405" i="3"/>
  <c r="BD405" i="3"/>
  <c r="BB405" i="3"/>
  <c r="AY405" i="3"/>
  <c r="AW405" i="3"/>
  <c r="AT405" i="3"/>
  <c r="AR405" i="3"/>
  <c r="AO405" i="3"/>
  <c r="AM405" i="3"/>
  <c r="AJ405" i="3"/>
  <c r="BL404" i="3"/>
  <c r="BI404" i="3"/>
  <c r="BG404" i="3"/>
  <c r="BD404" i="3"/>
  <c r="BB404" i="3"/>
  <c r="AY404" i="3"/>
  <c r="AW404" i="3"/>
  <c r="AT404" i="3"/>
  <c r="AR404" i="3"/>
  <c r="AO404" i="3"/>
  <c r="AM404" i="3"/>
  <c r="AJ404" i="3"/>
  <c r="BL403" i="3"/>
  <c r="BI403" i="3"/>
  <c r="BG403" i="3"/>
  <c r="BD403" i="3"/>
  <c r="BB403" i="3"/>
  <c r="AY403" i="3"/>
  <c r="AW403" i="3"/>
  <c r="AT403" i="3"/>
  <c r="AR403" i="3"/>
  <c r="AO403" i="3"/>
  <c r="AM403" i="3"/>
  <c r="AJ403" i="3"/>
  <c r="BL402" i="3"/>
  <c r="BI402" i="3"/>
  <c r="BG402" i="3"/>
  <c r="BD402" i="3"/>
  <c r="BB402" i="3"/>
  <c r="AY402" i="3"/>
  <c r="AW402" i="3"/>
  <c r="AT402" i="3"/>
  <c r="AR402" i="3"/>
  <c r="AO402" i="3"/>
  <c r="AM402" i="3"/>
  <c r="AJ402" i="3"/>
  <c r="BL401" i="3"/>
  <c r="BI401" i="3"/>
  <c r="BG401" i="3"/>
  <c r="BD401" i="3"/>
  <c r="BB401" i="3"/>
  <c r="AY401" i="3"/>
  <c r="AW401" i="3"/>
  <c r="AT401" i="3"/>
  <c r="AR401" i="3"/>
  <c r="AO401" i="3"/>
  <c r="AM401" i="3"/>
  <c r="AJ401" i="3"/>
  <c r="BL400" i="3"/>
  <c r="BI400" i="3"/>
  <c r="BG400" i="3"/>
  <c r="BD400" i="3"/>
  <c r="BB400" i="3"/>
  <c r="AY400" i="3"/>
  <c r="AW400" i="3"/>
  <c r="AT400" i="3"/>
  <c r="AR400" i="3"/>
  <c r="AO400" i="3"/>
  <c r="AM400" i="3"/>
  <c r="AJ400" i="3"/>
  <c r="BL399" i="3"/>
  <c r="BI399" i="3"/>
  <c r="BG399" i="3"/>
  <c r="BD399" i="3"/>
  <c r="BB399" i="3"/>
  <c r="AY399" i="3"/>
  <c r="AW399" i="3"/>
  <c r="AT399" i="3"/>
  <c r="AR399" i="3"/>
  <c r="AO399" i="3"/>
  <c r="AM399" i="3"/>
  <c r="AJ399" i="3"/>
  <c r="BL398" i="3"/>
  <c r="BI398" i="3"/>
  <c r="BG398" i="3"/>
  <c r="BD398" i="3"/>
  <c r="BB398" i="3"/>
  <c r="AY398" i="3"/>
  <c r="AW398" i="3"/>
  <c r="AT398" i="3"/>
  <c r="AR398" i="3"/>
  <c r="AO398" i="3"/>
  <c r="AM398" i="3"/>
  <c r="AJ398" i="3"/>
  <c r="BL397" i="3"/>
  <c r="BI397" i="3"/>
  <c r="BG397" i="3"/>
  <c r="BD397" i="3"/>
  <c r="BB397" i="3"/>
  <c r="AY397" i="3"/>
  <c r="AW397" i="3"/>
  <c r="AT397" i="3"/>
  <c r="AR397" i="3"/>
  <c r="AO397" i="3"/>
  <c r="AM397" i="3"/>
  <c r="AJ397" i="3"/>
  <c r="BL396" i="3"/>
  <c r="BI396" i="3"/>
  <c r="BG396" i="3"/>
  <c r="BD396" i="3"/>
  <c r="BB396" i="3"/>
  <c r="AY396" i="3"/>
  <c r="AW396" i="3"/>
  <c r="AT396" i="3"/>
  <c r="AR396" i="3"/>
  <c r="AO396" i="3"/>
  <c r="AM396" i="3"/>
  <c r="AJ396" i="3"/>
  <c r="BL395" i="3"/>
  <c r="BI395" i="3"/>
  <c r="BG395" i="3"/>
  <c r="BD395" i="3"/>
  <c r="BB395" i="3"/>
  <c r="AY395" i="3"/>
  <c r="AW395" i="3"/>
  <c r="AT395" i="3"/>
  <c r="AR395" i="3"/>
  <c r="AO395" i="3"/>
  <c r="AM395" i="3"/>
  <c r="AJ395" i="3"/>
  <c r="BL394" i="3"/>
  <c r="BI394" i="3"/>
  <c r="BG394" i="3"/>
  <c r="BD394" i="3"/>
  <c r="BB394" i="3"/>
  <c r="AY394" i="3"/>
  <c r="AW394" i="3"/>
  <c r="AT394" i="3"/>
  <c r="AR394" i="3"/>
  <c r="AO394" i="3"/>
  <c r="AM394" i="3"/>
  <c r="AJ394" i="3"/>
  <c r="BL393" i="3"/>
  <c r="BI393" i="3"/>
  <c r="BG393" i="3"/>
  <c r="BD393" i="3"/>
  <c r="BB393" i="3"/>
  <c r="AY393" i="3"/>
  <c r="AW393" i="3"/>
  <c r="AT393" i="3"/>
  <c r="AR393" i="3"/>
  <c r="AO393" i="3"/>
  <c r="AM393" i="3"/>
  <c r="AJ393" i="3"/>
  <c r="BL392" i="3"/>
  <c r="BI392" i="3"/>
  <c r="BG392" i="3"/>
  <c r="BD392" i="3"/>
  <c r="BB392" i="3"/>
  <c r="AY392" i="3"/>
  <c r="AW392" i="3"/>
  <c r="AT392" i="3"/>
  <c r="AR392" i="3"/>
  <c r="AO392" i="3"/>
  <c r="AM392" i="3"/>
  <c r="AJ392" i="3"/>
  <c r="BL391" i="3"/>
  <c r="BI391" i="3"/>
  <c r="BG391" i="3"/>
  <c r="BD391" i="3"/>
  <c r="BB391" i="3"/>
  <c r="AY391" i="3"/>
  <c r="AW391" i="3"/>
  <c r="AT391" i="3"/>
  <c r="AR391" i="3"/>
  <c r="AO391" i="3"/>
  <c r="AM391" i="3"/>
  <c r="AJ391" i="3"/>
  <c r="BL390" i="3"/>
  <c r="BI390" i="3"/>
  <c r="BG390" i="3"/>
  <c r="BD390" i="3"/>
  <c r="BB390" i="3"/>
  <c r="AY390" i="3"/>
  <c r="AW390" i="3"/>
  <c r="AT390" i="3"/>
  <c r="AR390" i="3"/>
  <c r="AO390" i="3"/>
  <c r="AM390" i="3"/>
  <c r="AJ390" i="3"/>
  <c r="BL389" i="3"/>
  <c r="BI389" i="3"/>
  <c r="BG389" i="3"/>
  <c r="BD389" i="3"/>
  <c r="BB389" i="3"/>
  <c r="AY389" i="3"/>
  <c r="AW389" i="3"/>
  <c r="AT389" i="3"/>
  <c r="AR389" i="3"/>
  <c r="AO389" i="3"/>
  <c r="AM389" i="3"/>
  <c r="AJ389" i="3"/>
  <c r="BL388" i="3"/>
  <c r="BI388" i="3"/>
  <c r="BG388" i="3"/>
  <c r="BD388" i="3"/>
  <c r="BB388" i="3"/>
  <c r="AY388" i="3"/>
  <c r="AW388" i="3"/>
  <c r="AT388" i="3"/>
  <c r="AR388" i="3"/>
  <c r="AO388" i="3"/>
  <c r="AM388" i="3"/>
  <c r="AJ388" i="3"/>
  <c r="BL387" i="3"/>
  <c r="BI387" i="3"/>
  <c r="BG387" i="3"/>
  <c r="BD387" i="3"/>
  <c r="BB387" i="3"/>
  <c r="AY387" i="3"/>
  <c r="AW387" i="3"/>
  <c r="AT387" i="3"/>
  <c r="AR387" i="3"/>
  <c r="AO387" i="3"/>
  <c r="AM387" i="3"/>
  <c r="AJ387" i="3"/>
  <c r="BL386" i="3"/>
  <c r="BI386" i="3"/>
  <c r="BG386" i="3"/>
  <c r="BD386" i="3"/>
  <c r="BB386" i="3"/>
  <c r="AY386" i="3"/>
  <c r="AW386" i="3"/>
  <c r="AT386" i="3"/>
  <c r="AR386" i="3"/>
  <c r="AO386" i="3"/>
  <c r="AM386" i="3"/>
  <c r="AJ386" i="3"/>
  <c r="BL385" i="3"/>
  <c r="BI385" i="3"/>
  <c r="BG385" i="3"/>
  <c r="BD385" i="3"/>
  <c r="BB385" i="3"/>
  <c r="AY385" i="3"/>
  <c r="AW385" i="3"/>
  <c r="AT385" i="3"/>
  <c r="AR385" i="3"/>
  <c r="AO385" i="3"/>
  <c r="AM385" i="3"/>
  <c r="AJ385" i="3"/>
  <c r="BL384" i="3"/>
  <c r="BI384" i="3"/>
  <c r="BG384" i="3"/>
  <c r="BD384" i="3"/>
  <c r="BB384" i="3"/>
  <c r="AY384" i="3"/>
  <c r="AW384" i="3"/>
  <c r="AT384" i="3"/>
  <c r="AR384" i="3"/>
  <c r="AO384" i="3"/>
  <c r="AM384" i="3"/>
  <c r="AJ384" i="3"/>
  <c r="BL383" i="3"/>
  <c r="BI383" i="3"/>
  <c r="BG383" i="3"/>
  <c r="BD383" i="3"/>
  <c r="BB383" i="3"/>
  <c r="AY383" i="3"/>
  <c r="AW383" i="3"/>
  <c r="AT383" i="3"/>
  <c r="AR383" i="3"/>
  <c r="AO383" i="3"/>
  <c r="AM383" i="3"/>
  <c r="AJ383" i="3"/>
  <c r="BL382" i="3"/>
  <c r="BI382" i="3"/>
  <c r="BG382" i="3"/>
  <c r="BD382" i="3"/>
  <c r="BB382" i="3"/>
  <c r="AY382" i="3"/>
  <c r="AW382" i="3"/>
  <c r="AT382" i="3"/>
  <c r="AR382" i="3"/>
  <c r="AO382" i="3"/>
  <c r="AM382" i="3"/>
  <c r="AJ382" i="3"/>
  <c r="BL381" i="3"/>
  <c r="BI381" i="3"/>
  <c r="BG381" i="3"/>
  <c r="BD381" i="3"/>
  <c r="BB381" i="3"/>
  <c r="AY381" i="3"/>
  <c r="AW381" i="3"/>
  <c r="AT381" i="3"/>
  <c r="AR381" i="3"/>
  <c r="AO381" i="3"/>
  <c r="AM381" i="3"/>
  <c r="AJ381" i="3"/>
  <c r="BL380" i="3"/>
  <c r="BI380" i="3"/>
  <c r="BG380" i="3"/>
  <c r="BD380" i="3"/>
  <c r="BB380" i="3"/>
  <c r="AY380" i="3"/>
  <c r="AW380" i="3"/>
  <c r="AT380" i="3"/>
  <c r="AR380" i="3"/>
  <c r="AO380" i="3"/>
  <c r="AM380" i="3"/>
  <c r="AJ380" i="3"/>
  <c r="BL379" i="3"/>
  <c r="BI379" i="3"/>
  <c r="BG379" i="3"/>
  <c r="BD379" i="3"/>
  <c r="BB379" i="3"/>
  <c r="AY379" i="3"/>
  <c r="AW379" i="3"/>
  <c r="AT379" i="3"/>
  <c r="AR379" i="3"/>
  <c r="AO379" i="3"/>
  <c r="AM379" i="3"/>
  <c r="AJ379" i="3"/>
  <c r="BL378" i="3"/>
  <c r="BI378" i="3"/>
  <c r="BG378" i="3"/>
  <c r="BD378" i="3"/>
  <c r="BB378" i="3"/>
  <c r="AY378" i="3"/>
  <c r="AW378" i="3"/>
  <c r="AT378" i="3"/>
  <c r="AR378" i="3"/>
  <c r="AO378" i="3"/>
  <c r="AM378" i="3"/>
  <c r="AJ378" i="3"/>
  <c r="BL377" i="3"/>
  <c r="BI377" i="3"/>
  <c r="BG377" i="3"/>
  <c r="BD377" i="3"/>
  <c r="BB377" i="3"/>
  <c r="AY377" i="3"/>
  <c r="AW377" i="3"/>
  <c r="AT377" i="3"/>
  <c r="AR377" i="3"/>
  <c r="AO377" i="3"/>
  <c r="AM377" i="3"/>
  <c r="AJ377" i="3"/>
  <c r="BL376" i="3"/>
  <c r="BI376" i="3"/>
  <c r="BG376" i="3"/>
  <c r="BD376" i="3"/>
  <c r="BB376" i="3"/>
  <c r="AY376" i="3"/>
  <c r="AW376" i="3"/>
  <c r="AT376" i="3"/>
  <c r="AR376" i="3"/>
  <c r="AO376" i="3"/>
  <c r="AM376" i="3"/>
  <c r="AJ376" i="3"/>
  <c r="BL375" i="3"/>
  <c r="BI375" i="3"/>
  <c r="BG375" i="3"/>
  <c r="BD375" i="3"/>
  <c r="BB375" i="3"/>
  <c r="AY375" i="3"/>
  <c r="AW375" i="3"/>
  <c r="AT375" i="3"/>
  <c r="AR375" i="3"/>
  <c r="AO375" i="3"/>
  <c r="AM375" i="3"/>
  <c r="AJ375" i="3"/>
  <c r="BL374" i="3"/>
  <c r="BI374" i="3"/>
  <c r="BG374" i="3"/>
  <c r="BD374" i="3"/>
  <c r="BB374" i="3"/>
  <c r="AY374" i="3"/>
  <c r="AW374" i="3"/>
  <c r="AT374" i="3"/>
  <c r="AR374" i="3"/>
  <c r="AO374" i="3"/>
  <c r="AM374" i="3"/>
  <c r="AJ374" i="3"/>
  <c r="BL373" i="3"/>
  <c r="BI373" i="3"/>
  <c r="BG373" i="3"/>
  <c r="BD373" i="3"/>
  <c r="BB373" i="3"/>
  <c r="AY373" i="3"/>
  <c r="AW373" i="3"/>
  <c r="AT373" i="3"/>
  <c r="AR373" i="3"/>
  <c r="AO373" i="3"/>
  <c r="AM373" i="3"/>
  <c r="AJ373" i="3"/>
  <c r="BL372" i="3"/>
  <c r="BI372" i="3"/>
  <c r="BG372" i="3"/>
  <c r="BD372" i="3"/>
  <c r="BB372" i="3"/>
  <c r="AY372" i="3"/>
  <c r="AW372" i="3"/>
  <c r="AT372" i="3"/>
  <c r="AR372" i="3"/>
  <c r="AO372" i="3"/>
  <c r="AM372" i="3"/>
  <c r="AJ372" i="3"/>
  <c r="BL371" i="3"/>
  <c r="BI371" i="3"/>
  <c r="BG371" i="3"/>
  <c r="BD371" i="3"/>
  <c r="BB371" i="3"/>
  <c r="AY371" i="3"/>
  <c r="AW371" i="3"/>
  <c r="AT371" i="3"/>
  <c r="AR371" i="3"/>
  <c r="AO371" i="3"/>
  <c r="AM371" i="3"/>
  <c r="AJ371" i="3"/>
  <c r="BL370" i="3"/>
  <c r="BI370" i="3"/>
  <c r="BG370" i="3"/>
  <c r="BD370" i="3"/>
  <c r="BB370" i="3"/>
  <c r="AY370" i="3"/>
  <c r="AW370" i="3"/>
  <c r="AT370" i="3"/>
  <c r="AR370" i="3"/>
  <c r="AO370" i="3"/>
  <c r="AM370" i="3"/>
  <c r="AJ370" i="3"/>
  <c r="BL369" i="3"/>
  <c r="BI369" i="3"/>
  <c r="BG369" i="3"/>
  <c r="BD369" i="3"/>
  <c r="BB369" i="3"/>
  <c r="AY369" i="3"/>
  <c r="AW369" i="3"/>
  <c r="AT369" i="3"/>
  <c r="AR369" i="3"/>
  <c r="AO369" i="3"/>
  <c r="AM369" i="3"/>
  <c r="AJ369" i="3"/>
  <c r="BL368" i="3"/>
  <c r="BI368" i="3"/>
  <c r="BG368" i="3"/>
  <c r="BD368" i="3"/>
  <c r="BB368" i="3"/>
  <c r="AY368" i="3"/>
  <c r="AW368" i="3"/>
  <c r="AT368" i="3"/>
  <c r="AR368" i="3"/>
  <c r="AO368" i="3"/>
  <c r="AM368" i="3"/>
  <c r="AJ368" i="3"/>
  <c r="BL367" i="3"/>
  <c r="BI367" i="3"/>
  <c r="BG367" i="3"/>
  <c r="BD367" i="3"/>
  <c r="BB367" i="3"/>
  <c r="AY367" i="3"/>
  <c r="AW367" i="3"/>
  <c r="AT367" i="3"/>
  <c r="AR367" i="3"/>
  <c r="AO367" i="3"/>
  <c r="AM367" i="3"/>
  <c r="AJ367" i="3"/>
  <c r="BL366" i="3"/>
  <c r="BI366" i="3"/>
  <c r="BG366" i="3"/>
  <c r="BD366" i="3"/>
  <c r="BB366" i="3"/>
  <c r="AY366" i="3"/>
  <c r="AW366" i="3"/>
  <c r="AT366" i="3"/>
  <c r="AR366" i="3"/>
  <c r="AO366" i="3"/>
  <c r="AM366" i="3"/>
  <c r="AJ366" i="3"/>
  <c r="BL365" i="3"/>
  <c r="BI365" i="3"/>
  <c r="BG365" i="3"/>
  <c r="BD365" i="3"/>
  <c r="BB365" i="3"/>
  <c r="AY365" i="3"/>
  <c r="AW365" i="3"/>
  <c r="AT365" i="3"/>
  <c r="AR365" i="3"/>
  <c r="AO365" i="3"/>
  <c r="AM365" i="3"/>
  <c r="AJ365" i="3"/>
  <c r="BL364" i="3"/>
  <c r="BI364" i="3"/>
  <c r="BG364" i="3"/>
  <c r="BD364" i="3"/>
  <c r="BB364" i="3"/>
  <c r="AY364" i="3"/>
  <c r="AW364" i="3"/>
  <c r="AT364" i="3"/>
  <c r="AR364" i="3"/>
  <c r="AO364" i="3"/>
  <c r="AM364" i="3"/>
  <c r="AJ364" i="3"/>
  <c r="BL363" i="3"/>
  <c r="BI363" i="3"/>
  <c r="BG363" i="3"/>
  <c r="BD363" i="3"/>
  <c r="BB363" i="3"/>
  <c r="AY363" i="3"/>
  <c r="AW363" i="3"/>
  <c r="AT363" i="3"/>
  <c r="AR363" i="3"/>
  <c r="AO363" i="3"/>
  <c r="AM363" i="3"/>
  <c r="AJ363" i="3"/>
  <c r="BL362" i="3"/>
  <c r="BI362" i="3"/>
  <c r="BG362" i="3"/>
  <c r="BD362" i="3"/>
  <c r="BB362" i="3"/>
  <c r="AY362" i="3"/>
  <c r="AW362" i="3"/>
  <c r="AT362" i="3"/>
  <c r="AR362" i="3"/>
  <c r="AO362" i="3"/>
  <c r="AM362" i="3"/>
  <c r="AJ362" i="3"/>
  <c r="BL361" i="3"/>
  <c r="BI361" i="3"/>
  <c r="BG361" i="3"/>
  <c r="BD361" i="3"/>
  <c r="BB361" i="3"/>
  <c r="AY361" i="3"/>
  <c r="AW361" i="3"/>
  <c r="AT361" i="3"/>
  <c r="AR361" i="3"/>
  <c r="AO361" i="3"/>
  <c r="AM361" i="3"/>
  <c r="AJ361" i="3"/>
  <c r="BL360" i="3"/>
  <c r="BI360" i="3"/>
  <c r="BG360" i="3"/>
  <c r="BD360" i="3"/>
  <c r="BB360" i="3"/>
  <c r="AY360" i="3"/>
  <c r="AW360" i="3"/>
  <c r="AT360" i="3"/>
  <c r="AR360" i="3"/>
  <c r="AO360" i="3"/>
  <c r="AM360" i="3"/>
  <c r="AJ360" i="3"/>
  <c r="BL359" i="3"/>
  <c r="BI359" i="3"/>
  <c r="BG359" i="3"/>
  <c r="BD359" i="3"/>
  <c r="BB359" i="3"/>
  <c r="AY359" i="3"/>
  <c r="AW359" i="3"/>
  <c r="AT359" i="3"/>
  <c r="AR359" i="3"/>
  <c r="AO359" i="3"/>
  <c r="AM359" i="3"/>
  <c r="AJ359" i="3"/>
  <c r="BL358" i="3"/>
  <c r="BI358" i="3"/>
  <c r="BG358" i="3"/>
  <c r="BD358" i="3"/>
  <c r="BB358" i="3"/>
  <c r="AY358" i="3"/>
  <c r="AW358" i="3"/>
  <c r="AT358" i="3"/>
  <c r="AR358" i="3"/>
  <c r="AO358" i="3"/>
  <c r="AM358" i="3"/>
  <c r="AJ358" i="3"/>
  <c r="BL357" i="3"/>
  <c r="BI357" i="3"/>
  <c r="BG357" i="3"/>
  <c r="BD357" i="3"/>
  <c r="BB357" i="3"/>
  <c r="AY357" i="3"/>
  <c r="AW357" i="3"/>
  <c r="AT357" i="3"/>
  <c r="AR357" i="3"/>
  <c r="AO357" i="3"/>
  <c r="AM357" i="3"/>
  <c r="AJ357" i="3"/>
  <c r="BL356" i="3"/>
  <c r="BI356" i="3"/>
  <c r="BG356" i="3"/>
  <c r="BD356" i="3"/>
  <c r="BB356" i="3"/>
  <c r="AY356" i="3"/>
  <c r="AW356" i="3"/>
  <c r="AT356" i="3"/>
  <c r="AR356" i="3"/>
  <c r="AO356" i="3"/>
  <c r="AM356" i="3"/>
  <c r="AJ356" i="3"/>
  <c r="BL355" i="3"/>
  <c r="BI355" i="3"/>
  <c r="BG355" i="3"/>
  <c r="BD355" i="3"/>
  <c r="BB355" i="3"/>
  <c r="AY355" i="3"/>
  <c r="AW355" i="3"/>
  <c r="AT355" i="3"/>
  <c r="AR355" i="3"/>
  <c r="AO355" i="3"/>
  <c r="AM355" i="3"/>
  <c r="AJ355" i="3"/>
  <c r="BL354" i="3"/>
  <c r="BI354" i="3"/>
  <c r="BG354" i="3"/>
  <c r="BD354" i="3"/>
  <c r="BB354" i="3"/>
  <c r="AY354" i="3"/>
  <c r="AW354" i="3"/>
  <c r="AT354" i="3"/>
  <c r="AR354" i="3"/>
  <c r="AO354" i="3"/>
  <c r="AM354" i="3"/>
  <c r="AJ354" i="3"/>
  <c r="BL353" i="3"/>
  <c r="BI353" i="3"/>
  <c r="BG353" i="3"/>
  <c r="BD353" i="3"/>
  <c r="BB353" i="3"/>
  <c r="AY353" i="3"/>
  <c r="AW353" i="3"/>
  <c r="AT353" i="3"/>
  <c r="AR353" i="3"/>
  <c r="AO353" i="3"/>
  <c r="AM353" i="3"/>
  <c r="AJ353" i="3"/>
  <c r="BL352" i="3"/>
  <c r="BI352" i="3"/>
  <c r="BG352" i="3"/>
  <c r="BD352" i="3"/>
  <c r="BB352" i="3"/>
  <c r="AY352" i="3"/>
  <c r="AW352" i="3"/>
  <c r="AT352" i="3"/>
  <c r="AR352" i="3"/>
  <c r="AO352" i="3"/>
  <c r="AM352" i="3"/>
  <c r="AJ352" i="3"/>
  <c r="BL351" i="3"/>
  <c r="BI351" i="3"/>
  <c r="BG351" i="3"/>
  <c r="BD351" i="3"/>
  <c r="BB351" i="3"/>
  <c r="AY351" i="3"/>
  <c r="AW351" i="3"/>
  <c r="AT351" i="3"/>
  <c r="AR351" i="3"/>
  <c r="AO351" i="3"/>
  <c r="AM351" i="3"/>
  <c r="AJ351" i="3"/>
  <c r="BL350" i="3"/>
  <c r="BI350" i="3"/>
  <c r="BG350" i="3"/>
  <c r="BD350" i="3"/>
  <c r="BB350" i="3"/>
  <c r="AY350" i="3"/>
  <c r="AW350" i="3"/>
  <c r="AT350" i="3"/>
  <c r="AR350" i="3"/>
  <c r="AO350" i="3"/>
  <c r="AM350" i="3"/>
  <c r="AJ350" i="3"/>
  <c r="BL349" i="3"/>
  <c r="BI349" i="3"/>
  <c r="BG349" i="3"/>
  <c r="BD349" i="3"/>
  <c r="BB349" i="3"/>
  <c r="AY349" i="3"/>
  <c r="AW349" i="3"/>
  <c r="AT349" i="3"/>
  <c r="AR349" i="3"/>
  <c r="AO349" i="3"/>
  <c r="AM349" i="3"/>
  <c r="AJ349" i="3"/>
  <c r="BL348" i="3"/>
  <c r="BI348" i="3"/>
  <c r="BG348" i="3"/>
  <c r="BD348" i="3"/>
  <c r="BB348" i="3"/>
  <c r="AY348" i="3"/>
  <c r="AW348" i="3"/>
  <c r="AT348" i="3"/>
  <c r="AR348" i="3"/>
  <c r="AO348" i="3"/>
  <c r="AM348" i="3"/>
  <c r="AJ348" i="3"/>
  <c r="BL347" i="3"/>
  <c r="BI347" i="3"/>
  <c r="BG347" i="3"/>
  <c r="BD347" i="3"/>
  <c r="BB347" i="3"/>
  <c r="AY347" i="3"/>
  <c r="AW347" i="3"/>
  <c r="AT347" i="3"/>
  <c r="AR347" i="3"/>
  <c r="AO347" i="3"/>
  <c r="AM347" i="3"/>
  <c r="AJ347" i="3"/>
  <c r="BL346" i="3"/>
  <c r="BI346" i="3"/>
  <c r="BG346" i="3"/>
  <c r="BD346" i="3"/>
  <c r="BB346" i="3"/>
  <c r="AY346" i="3"/>
  <c r="AW346" i="3"/>
  <c r="AT346" i="3"/>
  <c r="AR346" i="3"/>
  <c r="AO346" i="3"/>
  <c r="AM346" i="3"/>
  <c r="AJ346" i="3"/>
  <c r="BL345" i="3"/>
  <c r="BI345" i="3"/>
  <c r="BG345" i="3"/>
  <c r="BD345" i="3"/>
  <c r="BB345" i="3"/>
  <c r="AY345" i="3"/>
  <c r="AW345" i="3"/>
  <c r="AT345" i="3"/>
  <c r="AR345" i="3"/>
  <c r="AO345" i="3"/>
  <c r="AM345" i="3"/>
  <c r="AJ345" i="3"/>
  <c r="BL344" i="3"/>
  <c r="BI344" i="3"/>
  <c r="BG344" i="3"/>
  <c r="BD344" i="3"/>
  <c r="BB344" i="3"/>
  <c r="AY344" i="3"/>
  <c r="AW344" i="3"/>
  <c r="AT344" i="3"/>
  <c r="AR344" i="3"/>
  <c r="AO344" i="3"/>
  <c r="AM344" i="3"/>
  <c r="AJ344" i="3"/>
  <c r="BL343" i="3"/>
  <c r="BI343" i="3"/>
  <c r="BG343" i="3"/>
  <c r="BD343" i="3"/>
  <c r="BB343" i="3"/>
  <c r="AY343" i="3"/>
  <c r="AW343" i="3"/>
  <c r="AT343" i="3"/>
  <c r="AR343" i="3"/>
  <c r="AO343" i="3"/>
  <c r="AM343" i="3"/>
  <c r="AJ343" i="3"/>
  <c r="BL342" i="3"/>
  <c r="BI342" i="3"/>
  <c r="BG342" i="3"/>
  <c r="BD342" i="3"/>
  <c r="BB342" i="3"/>
  <c r="AY342" i="3"/>
  <c r="AW342" i="3"/>
  <c r="AT342" i="3"/>
  <c r="AR342" i="3"/>
  <c r="AO342" i="3"/>
  <c r="AM342" i="3"/>
  <c r="AJ342" i="3"/>
  <c r="BL341" i="3"/>
  <c r="BI341" i="3"/>
  <c r="BG341" i="3"/>
  <c r="BD341" i="3"/>
  <c r="BB341" i="3"/>
  <c r="AY341" i="3"/>
  <c r="AW341" i="3"/>
  <c r="AT341" i="3"/>
  <c r="AR341" i="3"/>
  <c r="AO341" i="3"/>
  <c r="AM341" i="3"/>
  <c r="AJ341" i="3"/>
  <c r="BL340" i="3"/>
  <c r="BI340" i="3"/>
  <c r="BG340" i="3"/>
  <c r="BD340" i="3"/>
  <c r="BB340" i="3"/>
  <c r="AY340" i="3"/>
  <c r="AW340" i="3"/>
  <c r="AT340" i="3"/>
  <c r="AR340" i="3"/>
  <c r="AO340" i="3"/>
  <c r="AM340" i="3"/>
  <c r="AJ340" i="3"/>
  <c r="BL339" i="3"/>
  <c r="BI339" i="3"/>
  <c r="BG339" i="3"/>
  <c r="BD339" i="3"/>
  <c r="BB339" i="3"/>
  <c r="AY339" i="3"/>
  <c r="AW339" i="3"/>
  <c r="AT339" i="3"/>
  <c r="AR339" i="3"/>
  <c r="AO339" i="3"/>
  <c r="AM339" i="3"/>
  <c r="AJ339" i="3"/>
  <c r="BL338" i="3"/>
  <c r="BI338" i="3"/>
  <c r="BG338" i="3"/>
  <c r="BD338" i="3"/>
  <c r="BB338" i="3"/>
  <c r="AY338" i="3"/>
  <c r="AW338" i="3"/>
  <c r="AT338" i="3"/>
  <c r="AR338" i="3"/>
  <c r="AO338" i="3"/>
  <c r="AM338" i="3"/>
  <c r="AJ338" i="3"/>
  <c r="BL337" i="3"/>
  <c r="BI337" i="3"/>
  <c r="BG337" i="3"/>
  <c r="BD337" i="3"/>
  <c r="BB337" i="3"/>
  <c r="AY337" i="3"/>
  <c r="AW337" i="3"/>
  <c r="AT337" i="3"/>
  <c r="AR337" i="3"/>
  <c r="AO337" i="3"/>
  <c r="AM337" i="3"/>
  <c r="AJ337" i="3"/>
  <c r="BL336" i="3"/>
  <c r="BI336" i="3"/>
  <c r="BG336" i="3"/>
  <c r="BD336" i="3"/>
  <c r="BB336" i="3"/>
  <c r="AY336" i="3"/>
  <c r="AW336" i="3"/>
  <c r="AT336" i="3"/>
  <c r="AR336" i="3"/>
  <c r="AO336" i="3"/>
  <c r="AM336" i="3"/>
  <c r="AJ336" i="3"/>
  <c r="BL335" i="3"/>
  <c r="BI335" i="3"/>
  <c r="BG335" i="3"/>
  <c r="BD335" i="3"/>
  <c r="BB335" i="3"/>
  <c r="AY335" i="3"/>
  <c r="AW335" i="3"/>
  <c r="AT335" i="3"/>
  <c r="AR335" i="3"/>
  <c r="AO335" i="3"/>
  <c r="AM335" i="3"/>
  <c r="AJ335" i="3"/>
  <c r="BL334" i="3"/>
  <c r="BI334" i="3"/>
  <c r="BG334" i="3"/>
  <c r="BD334" i="3"/>
  <c r="BB334" i="3"/>
  <c r="AY334" i="3"/>
  <c r="AW334" i="3"/>
  <c r="AT334" i="3"/>
  <c r="AR334" i="3"/>
  <c r="AO334" i="3"/>
  <c r="AM334" i="3"/>
  <c r="AJ334" i="3"/>
  <c r="BL333" i="3"/>
  <c r="BI333" i="3"/>
  <c r="BG333" i="3"/>
  <c r="BD333" i="3"/>
  <c r="BB333" i="3"/>
  <c r="AY333" i="3"/>
  <c r="AW333" i="3"/>
  <c r="AT333" i="3"/>
  <c r="AR333" i="3"/>
  <c r="AO333" i="3"/>
  <c r="AM333" i="3"/>
  <c r="AJ333" i="3"/>
  <c r="BL332" i="3"/>
  <c r="BI332" i="3"/>
  <c r="BG332" i="3"/>
  <c r="BD332" i="3"/>
  <c r="BB332" i="3"/>
  <c r="AY332" i="3"/>
  <c r="AW332" i="3"/>
  <c r="AT332" i="3"/>
  <c r="AR332" i="3"/>
  <c r="AO332" i="3"/>
  <c r="AM332" i="3"/>
  <c r="AJ332" i="3"/>
  <c r="BL331" i="3"/>
  <c r="BI331" i="3"/>
  <c r="BG331" i="3"/>
  <c r="BD331" i="3"/>
  <c r="BB331" i="3"/>
  <c r="AY331" i="3"/>
  <c r="AW331" i="3"/>
  <c r="AT331" i="3"/>
  <c r="AR331" i="3"/>
  <c r="AO331" i="3"/>
  <c r="AM331" i="3"/>
  <c r="AJ331" i="3"/>
  <c r="BL330" i="3"/>
  <c r="BI330" i="3"/>
  <c r="BG330" i="3"/>
  <c r="BD330" i="3"/>
  <c r="BB330" i="3"/>
  <c r="AY330" i="3"/>
  <c r="AW330" i="3"/>
  <c r="AT330" i="3"/>
  <c r="AR330" i="3"/>
  <c r="AO330" i="3"/>
  <c r="AM330" i="3"/>
  <c r="AJ330" i="3"/>
  <c r="BL329" i="3"/>
  <c r="BI329" i="3"/>
  <c r="BG329" i="3"/>
  <c r="BD329" i="3"/>
  <c r="BB329" i="3"/>
  <c r="AY329" i="3"/>
  <c r="AW329" i="3"/>
  <c r="AT329" i="3"/>
  <c r="AR329" i="3"/>
  <c r="AO329" i="3"/>
  <c r="AM329" i="3"/>
  <c r="AJ329" i="3"/>
  <c r="BL328" i="3"/>
  <c r="BI328" i="3"/>
  <c r="BG328" i="3"/>
  <c r="BD328" i="3"/>
  <c r="BB328" i="3"/>
  <c r="AY328" i="3"/>
  <c r="AW328" i="3"/>
  <c r="AT328" i="3"/>
  <c r="AR328" i="3"/>
  <c r="AO328" i="3"/>
  <c r="AM328" i="3"/>
  <c r="AJ328" i="3"/>
  <c r="BL327" i="3"/>
  <c r="BI327" i="3"/>
  <c r="BG327" i="3"/>
  <c r="BD327" i="3"/>
  <c r="BB327" i="3"/>
  <c r="AY327" i="3"/>
  <c r="AW327" i="3"/>
  <c r="AT327" i="3"/>
  <c r="AR327" i="3"/>
  <c r="AO327" i="3"/>
  <c r="AM327" i="3"/>
  <c r="AJ327" i="3"/>
  <c r="BL326" i="3"/>
  <c r="BI326" i="3"/>
  <c r="BG326" i="3"/>
  <c r="BD326" i="3"/>
  <c r="BB326" i="3"/>
  <c r="AY326" i="3"/>
  <c r="AW326" i="3"/>
  <c r="AT326" i="3"/>
  <c r="AR326" i="3"/>
  <c r="AO326" i="3"/>
  <c r="AM326" i="3"/>
  <c r="AJ326" i="3"/>
  <c r="BL325" i="3"/>
  <c r="BI325" i="3"/>
  <c r="BG325" i="3"/>
  <c r="BD325" i="3"/>
  <c r="BB325" i="3"/>
  <c r="AY325" i="3"/>
  <c r="AW325" i="3"/>
  <c r="AT325" i="3"/>
  <c r="AR325" i="3"/>
  <c r="AO325" i="3"/>
  <c r="AM325" i="3"/>
  <c r="AJ325" i="3"/>
  <c r="BL324" i="3"/>
  <c r="BI324" i="3"/>
  <c r="BG324" i="3"/>
  <c r="BD324" i="3"/>
  <c r="BB324" i="3"/>
  <c r="AY324" i="3"/>
  <c r="AW324" i="3"/>
  <c r="AT324" i="3"/>
  <c r="AR324" i="3"/>
  <c r="AO324" i="3"/>
  <c r="AM324" i="3"/>
  <c r="AJ324" i="3"/>
  <c r="BL323" i="3"/>
  <c r="BI323" i="3"/>
  <c r="BG323" i="3"/>
  <c r="BD323" i="3"/>
  <c r="BB323" i="3"/>
  <c r="AY323" i="3"/>
  <c r="AW323" i="3"/>
  <c r="AT323" i="3"/>
  <c r="AR323" i="3"/>
  <c r="AO323" i="3"/>
  <c r="AM323" i="3"/>
  <c r="AJ323" i="3"/>
  <c r="BL322" i="3"/>
  <c r="BI322" i="3"/>
  <c r="BG322" i="3"/>
  <c r="BD322" i="3"/>
  <c r="BB322" i="3"/>
  <c r="AY322" i="3"/>
  <c r="AW322" i="3"/>
  <c r="AT322" i="3"/>
  <c r="AR322" i="3"/>
  <c r="AO322" i="3"/>
  <c r="AM322" i="3"/>
  <c r="AJ322" i="3"/>
  <c r="BL321" i="3"/>
  <c r="BI321" i="3"/>
  <c r="BG321" i="3"/>
  <c r="BD321" i="3"/>
  <c r="BB321" i="3"/>
  <c r="AY321" i="3"/>
  <c r="AW321" i="3"/>
  <c r="AT321" i="3"/>
  <c r="AR321" i="3"/>
  <c r="AO321" i="3"/>
  <c r="AM321" i="3"/>
  <c r="AJ321" i="3"/>
  <c r="BL320" i="3"/>
  <c r="BI320" i="3"/>
  <c r="BG320" i="3"/>
  <c r="BD320" i="3"/>
  <c r="BB320" i="3"/>
  <c r="AY320" i="3"/>
  <c r="AW320" i="3"/>
  <c r="AT320" i="3"/>
  <c r="AR320" i="3"/>
  <c r="AO320" i="3"/>
  <c r="AM320" i="3"/>
  <c r="AJ320" i="3"/>
  <c r="BL319" i="3"/>
  <c r="BI319" i="3"/>
  <c r="BG319" i="3"/>
  <c r="BD319" i="3"/>
  <c r="BB319" i="3"/>
  <c r="AY319" i="3"/>
  <c r="AW319" i="3"/>
  <c r="AT319" i="3"/>
  <c r="AR319" i="3"/>
  <c r="AO319" i="3"/>
  <c r="AM319" i="3"/>
  <c r="AJ319" i="3"/>
  <c r="BL318" i="3"/>
  <c r="BI318" i="3"/>
  <c r="BG318" i="3"/>
  <c r="BD318" i="3"/>
  <c r="BB318" i="3"/>
  <c r="AY318" i="3"/>
  <c r="AW318" i="3"/>
  <c r="AT318" i="3"/>
  <c r="AR318" i="3"/>
  <c r="AO318" i="3"/>
  <c r="AM318" i="3"/>
  <c r="AJ318" i="3"/>
  <c r="BL317" i="3"/>
  <c r="BI317" i="3"/>
  <c r="BG317" i="3"/>
  <c r="BD317" i="3"/>
  <c r="BB317" i="3"/>
  <c r="AY317" i="3"/>
  <c r="AW317" i="3"/>
  <c r="AT317" i="3"/>
  <c r="AR317" i="3"/>
  <c r="AO317" i="3"/>
  <c r="AM317" i="3"/>
  <c r="AJ317" i="3"/>
  <c r="BL316" i="3"/>
  <c r="BI316" i="3"/>
  <c r="BG316" i="3"/>
  <c r="BD316" i="3"/>
  <c r="BB316" i="3"/>
  <c r="AY316" i="3"/>
  <c r="AW316" i="3"/>
  <c r="AT316" i="3"/>
  <c r="AR316" i="3"/>
  <c r="AO316" i="3"/>
  <c r="AM316" i="3"/>
  <c r="AJ316" i="3"/>
  <c r="BL315" i="3"/>
  <c r="BI315" i="3"/>
  <c r="BG315" i="3"/>
  <c r="BD315" i="3"/>
  <c r="BB315" i="3"/>
  <c r="AY315" i="3"/>
  <c r="AW315" i="3"/>
  <c r="AT315" i="3"/>
  <c r="AR315" i="3"/>
  <c r="AO315" i="3"/>
  <c r="AM315" i="3"/>
  <c r="AJ315" i="3"/>
  <c r="BL314" i="3"/>
  <c r="BI314" i="3"/>
  <c r="BG314" i="3"/>
  <c r="BD314" i="3"/>
  <c r="BB314" i="3"/>
  <c r="AY314" i="3"/>
  <c r="AW314" i="3"/>
  <c r="AT314" i="3"/>
  <c r="AR314" i="3"/>
  <c r="AO314" i="3"/>
  <c r="AM314" i="3"/>
  <c r="AJ314" i="3"/>
  <c r="BL313" i="3"/>
  <c r="BI313" i="3"/>
  <c r="BG313" i="3"/>
  <c r="BD313" i="3"/>
  <c r="BB313" i="3"/>
  <c r="AY313" i="3"/>
  <c r="AW313" i="3"/>
  <c r="AT313" i="3"/>
  <c r="AR313" i="3"/>
  <c r="AO313" i="3"/>
  <c r="AM313" i="3"/>
  <c r="AJ313" i="3"/>
  <c r="BL312" i="3"/>
  <c r="BI312" i="3"/>
  <c r="BG312" i="3"/>
  <c r="BD312" i="3"/>
  <c r="BB312" i="3"/>
  <c r="AY312" i="3"/>
  <c r="AW312" i="3"/>
  <c r="AT312" i="3"/>
  <c r="AR312" i="3"/>
  <c r="AO312" i="3"/>
  <c r="AM312" i="3"/>
  <c r="AJ312" i="3"/>
  <c r="BL311" i="3"/>
  <c r="BI311" i="3"/>
  <c r="BG311" i="3"/>
  <c r="BD311" i="3"/>
  <c r="BB311" i="3"/>
  <c r="AY311" i="3"/>
  <c r="AW311" i="3"/>
  <c r="AT311" i="3"/>
  <c r="AR311" i="3"/>
  <c r="AO311" i="3"/>
  <c r="AM311" i="3"/>
  <c r="AJ311" i="3"/>
  <c r="BL310" i="3"/>
  <c r="BI310" i="3"/>
  <c r="BG310" i="3"/>
  <c r="BD310" i="3"/>
  <c r="BB310" i="3"/>
  <c r="AY310" i="3"/>
  <c r="AW310" i="3"/>
  <c r="AT310" i="3"/>
  <c r="AR310" i="3"/>
  <c r="AO310" i="3"/>
  <c r="AM310" i="3"/>
  <c r="AJ310" i="3"/>
  <c r="BL309" i="3"/>
  <c r="BI309" i="3"/>
  <c r="BG309" i="3"/>
  <c r="BD309" i="3"/>
  <c r="BB309" i="3"/>
  <c r="AY309" i="3"/>
  <c r="AW309" i="3"/>
  <c r="AT309" i="3"/>
  <c r="AR309" i="3"/>
  <c r="AO309" i="3"/>
  <c r="AM309" i="3"/>
  <c r="AJ309" i="3"/>
  <c r="BL308" i="3"/>
  <c r="BI308" i="3"/>
  <c r="BG308" i="3"/>
  <c r="BD308" i="3"/>
  <c r="BB308" i="3"/>
  <c r="AY308" i="3"/>
  <c r="AW308" i="3"/>
  <c r="AT308" i="3"/>
  <c r="AR308" i="3"/>
  <c r="AO308" i="3"/>
  <c r="AM308" i="3"/>
  <c r="AJ308" i="3"/>
  <c r="BL307" i="3"/>
  <c r="BI307" i="3"/>
  <c r="BG307" i="3"/>
  <c r="BD307" i="3"/>
  <c r="BB307" i="3"/>
  <c r="AY307" i="3"/>
  <c r="AW307" i="3"/>
  <c r="AT307" i="3"/>
  <c r="AR307" i="3"/>
  <c r="AO307" i="3"/>
  <c r="AM307" i="3"/>
  <c r="AJ307" i="3"/>
  <c r="BL306" i="3"/>
  <c r="BI306" i="3"/>
  <c r="BG306" i="3"/>
  <c r="BD306" i="3"/>
  <c r="BB306" i="3"/>
  <c r="AY306" i="3"/>
  <c r="AW306" i="3"/>
  <c r="AT306" i="3"/>
  <c r="AR306" i="3"/>
  <c r="AO306" i="3"/>
  <c r="AM306" i="3"/>
  <c r="AJ306" i="3"/>
  <c r="BL305" i="3"/>
  <c r="BI305" i="3"/>
  <c r="BG305" i="3"/>
  <c r="BD305" i="3"/>
  <c r="BB305" i="3"/>
  <c r="AY305" i="3"/>
  <c r="AW305" i="3"/>
  <c r="AT305" i="3"/>
  <c r="AR305" i="3"/>
  <c r="AO305" i="3"/>
  <c r="AM305" i="3"/>
  <c r="AJ305" i="3"/>
  <c r="BL304" i="3"/>
  <c r="BI304" i="3"/>
  <c r="BG304" i="3"/>
  <c r="BD304" i="3"/>
  <c r="BB304" i="3"/>
  <c r="AY304" i="3"/>
  <c r="AW304" i="3"/>
  <c r="AT304" i="3"/>
  <c r="AR304" i="3"/>
  <c r="AO304" i="3"/>
  <c r="AM304" i="3"/>
  <c r="AJ304" i="3"/>
  <c r="BL303" i="3"/>
  <c r="BI303" i="3"/>
  <c r="BG303" i="3"/>
  <c r="BD303" i="3"/>
  <c r="BB303" i="3"/>
  <c r="AY303" i="3"/>
  <c r="AW303" i="3"/>
  <c r="AT303" i="3"/>
  <c r="AR303" i="3"/>
  <c r="AO303" i="3"/>
  <c r="AM303" i="3"/>
  <c r="AJ303" i="3"/>
  <c r="BL302" i="3"/>
  <c r="BI302" i="3"/>
  <c r="BG302" i="3"/>
  <c r="BD302" i="3"/>
  <c r="BB302" i="3"/>
  <c r="AY302" i="3"/>
  <c r="AW302" i="3"/>
  <c r="AT302" i="3"/>
  <c r="AR302" i="3"/>
  <c r="AO302" i="3"/>
  <c r="AM302" i="3"/>
  <c r="AJ302" i="3"/>
  <c r="BL301" i="3"/>
  <c r="BI301" i="3"/>
  <c r="BG301" i="3"/>
  <c r="BD301" i="3"/>
  <c r="BB301" i="3"/>
  <c r="AY301" i="3"/>
  <c r="AW301" i="3"/>
  <c r="AT301" i="3"/>
  <c r="AR301" i="3"/>
  <c r="AO301" i="3"/>
  <c r="AM301" i="3"/>
  <c r="AJ301" i="3"/>
  <c r="BL300" i="3"/>
  <c r="BI300" i="3"/>
  <c r="BG300" i="3"/>
  <c r="BD300" i="3"/>
  <c r="BB300" i="3"/>
  <c r="AY300" i="3"/>
  <c r="AW300" i="3"/>
  <c r="AT300" i="3"/>
  <c r="AR300" i="3"/>
  <c r="AO300" i="3"/>
  <c r="AM300" i="3"/>
  <c r="AJ300" i="3"/>
  <c r="BL299" i="3"/>
  <c r="BI299" i="3"/>
  <c r="BG299" i="3"/>
  <c r="BD299" i="3"/>
  <c r="BB299" i="3"/>
  <c r="AY299" i="3"/>
  <c r="AW299" i="3"/>
  <c r="AT299" i="3"/>
  <c r="AR299" i="3"/>
  <c r="AO299" i="3"/>
  <c r="AM299" i="3"/>
  <c r="AJ299" i="3"/>
  <c r="BL298" i="3"/>
  <c r="BI298" i="3"/>
  <c r="BG298" i="3"/>
  <c r="BD298" i="3"/>
  <c r="BB298" i="3"/>
  <c r="AY298" i="3"/>
  <c r="AW298" i="3"/>
  <c r="AT298" i="3"/>
  <c r="AR298" i="3"/>
  <c r="AO298" i="3"/>
  <c r="AM298" i="3"/>
  <c r="AJ298" i="3"/>
  <c r="BL297" i="3"/>
  <c r="BI297" i="3"/>
  <c r="BG297" i="3"/>
  <c r="BD297" i="3"/>
  <c r="BB297" i="3"/>
  <c r="AY297" i="3"/>
  <c r="AW297" i="3"/>
  <c r="AT297" i="3"/>
  <c r="AR297" i="3"/>
  <c r="AO297" i="3"/>
  <c r="AM297" i="3"/>
  <c r="AJ297" i="3"/>
  <c r="BL296" i="3"/>
  <c r="BI296" i="3"/>
  <c r="BG296" i="3"/>
  <c r="BD296" i="3"/>
  <c r="BB296" i="3"/>
  <c r="AY296" i="3"/>
  <c r="AW296" i="3"/>
  <c r="AT296" i="3"/>
  <c r="AR296" i="3"/>
  <c r="AO296" i="3"/>
  <c r="AM296" i="3"/>
  <c r="AJ296" i="3"/>
  <c r="BL295" i="3"/>
  <c r="BI295" i="3"/>
  <c r="BG295" i="3"/>
  <c r="BD295" i="3"/>
  <c r="BB295" i="3"/>
  <c r="AY295" i="3"/>
  <c r="AW295" i="3"/>
  <c r="AT295" i="3"/>
  <c r="AR295" i="3"/>
  <c r="AO295" i="3"/>
  <c r="AM295" i="3"/>
  <c r="AJ295" i="3"/>
  <c r="BL294" i="3"/>
  <c r="BI294" i="3"/>
  <c r="BG294" i="3"/>
  <c r="BD294" i="3"/>
  <c r="BB294" i="3"/>
  <c r="AY294" i="3"/>
  <c r="AW294" i="3"/>
  <c r="AT294" i="3"/>
  <c r="AR294" i="3"/>
  <c r="AO294" i="3"/>
  <c r="AM294" i="3"/>
  <c r="AJ294" i="3"/>
  <c r="BL293" i="3"/>
  <c r="BI293" i="3"/>
  <c r="BG293" i="3"/>
  <c r="BD293" i="3"/>
  <c r="BB293" i="3"/>
  <c r="AY293" i="3"/>
  <c r="AW293" i="3"/>
  <c r="AT293" i="3"/>
  <c r="AR293" i="3"/>
  <c r="AO293" i="3"/>
  <c r="AM293" i="3"/>
  <c r="AJ293" i="3"/>
  <c r="BL292" i="3"/>
  <c r="BI292" i="3"/>
  <c r="BG292" i="3"/>
  <c r="BD292" i="3"/>
  <c r="BB292" i="3"/>
  <c r="AY292" i="3"/>
  <c r="AW292" i="3"/>
  <c r="AT292" i="3"/>
  <c r="AR292" i="3"/>
  <c r="AO292" i="3"/>
  <c r="AM292" i="3"/>
  <c r="AJ292" i="3"/>
  <c r="BL291" i="3"/>
  <c r="BI291" i="3"/>
  <c r="BG291" i="3"/>
  <c r="BD291" i="3"/>
  <c r="BB291" i="3"/>
  <c r="AY291" i="3"/>
  <c r="AW291" i="3"/>
  <c r="AT291" i="3"/>
  <c r="AR291" i="3"/>
  <c r="AO291" i="3"/>
  <c r="AM291" i="3"/>
  <c r="AJ291" i="3"/>
  <c r="BL290" i="3"/>
  <c r="BI290" i="3"/>
  <c r="BG290" i="3"/>
  <c r="BD290" i="3"/>
  <c r="BB290" i="3"/>
  <c r="AY290" i="3"/>
  <c r="AW290" i="3"/>
  <c r="AT290" i="3"/>
  <c r="AR290" i="3"/>
  <c r="AO290" i="3"/>
  <c r="AM290" i="3"/>
  <c r="AJ290" i="3"/>
  <c r="BL289" i="3"/>
  <c r="BI289" i="3"/>
  <c r="BG289" i="3"/>
  <c r="BD289" i="3"/>
  <c r="BB289" i="3"/>
  <c r="AY289" i="3"/>
  <c r="AW289" i="3"/>
  <c r="AT289" i="3"/>
  <c r="AR289" i="3"/>
  <c r="AO289" i="3"/>
  <c r="AM289" i="3"/>
  <c r="AJ289" i="3"/>
  <c r="BL288" i="3"/>
  <c r="BI288" i="3"/>
  <c r="BG288" i="3"/>
  <c r="BD288" i="3"/>
  <c r="BB288" i="3"/>
  <c r="AY288" i="3"/>
  <c r="AW288" i="3"/>
  <c r="AT288" i="3"/>
  <c r="AR288" i="3"/>
  <c r="AO288" i="3"/>
  <c r="AM288" i="3"/>
  <c r="AJ288" i="3"/>
  <c r="BL287" i="3"/>
  <c r="BI287" i="3"/>
  <c r="BG287" i="3"/>
  <c r="BD287" i="3"/>
  <c r="BB287" i="3"/>
  <c r="AY287" i="3"/>
  <c r="AW287" i="3"/>
  <c r="AT287" i="3"/>
  <c r="AR287" i="3"/>
  <c r="AO287" i="3"/>
  <c r="AM287" i="3"/>
  <c r="AJ287" i="3"/>
  <c r="BL286" i="3"/>
  <c r="BI286" i="3"/>
  <c r="BG286" i="3"/>
  <c r="BD286" i="3"/>
  <c r="BB286" i="3"/>
  <c r="AY286" i="3"/>
  <c r="AW286" i="3"/>
  <c r="AT286" i="3"/>
  <c r="AR286" i="3"/>
  <c r="AO286" i="3"/>
  <c r="AM286" i="3"/>
  <c r="AJ286" i="3"/>
  <c r="BL285" i="3"/>
  <c r="BI285" i="3"/>
  <c r="BG285" i="3"/>
  <c r="BD285" i="3"/>
  <c r="BB285" i="3"/>
  <c r="AY285" i="3"/>
  <c r="AW285" i="3"/>
  <c r="AT285" i="3"/>
  <c r="AR285" i="3"/>
  <c r="AO285" i="3"/>
  <c r="AM285" i="3"/>
  <c r="AJ285" i="3"/>
  <c r="BL284" i="3"/>
  <c r="BI284" i="3"/>
  <c r="BG284" i="3"/>
  <c r="BD284" i="3"/>
  <c r="BB284" i="3"/>
  <c r="AY284" i="3"/>
  <c r="AW284" i="3"/>
  <c r="AT284" i="3"/>
  <c r="AR284" i="3"/>
  <c r="AO284" i="3"/>
  <c r="AM284" i="3"/>
  <c r="AJ284" i="3"/>
  <c r="BL283" i="3"/>
  <c r="BI283" i="3"/>
  <c r="BG283" i="3"/>
  <c r="BD283" i="3"/>
  <c r="BB283" i="3"/>
  <c r="AY283" i="3"/>
  <c r="AW283" i="3"/>
  <c r="AT283" i="3"/>
  <c r="AR283" i="3"/>
  <c r="AO283" i="3"/>
  <c r="AM283" i="3"/>
  <c r="AJ283" i="3"/>
  <c r="BL282" i="3"/>
  <c r="BI282" i="3"/>
  <c r="BG282" i="3"/>
  <c r="BD282" i="3"/>
  <c r="BB282" i="3"/>
  <c r="AY282" i="3"/>
  <c r="AW282" i="3"/>
  <c r="AT282" i="3"/>
  <c r="AR282" i="3"/>
  <c r="AO282" i="3"/>
  <c r="AM282" i="3"/>
  <c r="AJ282" i="3"/>
  <c r="BL281" i="3"/>
  <c r="BI281" i="3"/>
  <c r="BG281" i="3"/>
  <c r="BD281" i="3"/>
  <c r="BB281" i="3"/>
  <c r="AY281" i="3"/>
  <c r="AW281" i="3"/>
  <c r="AT281" i="3"/>
  <c r="AR281" i="3"/>
  <c r="AO281" i="3"/>
  <c r="AM281" i="3"/>
  <c r="AJ281" i="3"/>
  <c r="BL280" i="3"/>
  <c r="BI280" i="3"/>
  <c r="BG280" i="3"/>
  <c r="BD280" i="3"/>
  <c r="BB280" i="3"/>
  <c r="AY280" i="3"/>
  <c r="AW280" i="3"/>
  <c r="AT280" i="3"/>
  <c r="AR280" i="3"/>
  <c r="AO280" i="3"/>
  <c r="AM280" i="3"/>
  <c r="AJ280" i="3"/>
  <c r="BL279" i="3"/>
  <c r="BI279" i="3"/>
  <c r="BG279" i="3"/>
  <c r="BD279" i="3"/>
  <c r="BB279" i="3"/>
  <c r="AY279" i="3"/>
  <c r="AW279" i="3"/>
  <c r="AT279" i="3"/>
  <c r="AR279" i="3"/>
  <c r="AO279" i="3"/>
  <c r="AM279" i="3"/>
  <c r="AJ279" i="3"/>
  <c r="BL278" i="3"/>
  <c r="BI278" i="3"/>
  <c r="BG278" i="3"/>
  <c r="BD278" i="3"/>
  <c r="BB278" i="3"/>
  <c r="AY278" i="3"/>
  <c r="AW278" i="3"/>
  <c r="AT278" i="3"/>
  <c r="AR278" i="3"/>
  <c r="AO278" i="3"/>
  <c r="AM278" i="3"/>
  <c r="AJ278" i="3"/>
  <c r="BL277" i="3"/>
  <c r="BI277" i="3"/>
  <c r="BG277" i="3"/>
  <c r="BD277" i="3"/>
  <c r="BB277" i="3"/>
  <c r="AY277" i="3"/>
  <c r="AW277" i="3"/>
  <c r="AT277" i="3"/>
  <c r="AR277" i="3"/>
  <c r="AO277" i="3"/>
  <c r="AM277" i="3"/>
  <c r="AJ277" i="3"/>
  <c r="BL276" i="3"/>
  <c r="BI276" i="3"/>
  <c r="BG276" i="3"/>
  <c r="BD276" i="3"/>
  <c r="BB276" i="3"/>
  <c r="AY276" i="3"/>
  <c r="AW276" i="3"/>
  <c r="AT276" i="3"/>
  <c r="AR276" i="3"/>
  <c r="AO276" i="3"/>
  <c r="AM276" i="3"/>
  <c r="AJ276" i="3"/>
  <c r="BL275" i="3"/>
  <c r="BI275" i="3"/>
  <c r="BG275" i="3"/>
  <c r="BD275" i="3"/>
  <c r="BB275" i="3"/>
  <c r="AY275" i="3"/>
  <c r="AW275" i="3"/>
  <c r="AT275" i="3"/>
  <c r="AR275" i="3"/>
  <c r="AO275" i="3"/>
  <c r="AM275" i="3"/>
  <c r="AJ275" i="3"/>
  <c r="BL274" i="3"/>
  <c r="BI274" i="3"/>
  <c r="BG274" i="3"/>
  <c r="BD274" i="3"/>
  <c r="BB274" i="3"/>
  <c r="AY274" i="3"/>
  <c r="AW274" i="3"/>
  <c r="AT274" i="3"/>
  <c r="AR274" i="3"/>
  <c r="AO274" i="3"/>
  <c r="AM274" i="3"/>
  <c r="AJ274" i="3"/>
  <c r="BL273" i="3"/>
  <c r="BI273" i="3"/>
  <c r="BG273" i="3"/>
  <c r="BD273" i="3"/>
  <c r="BB273" i="3"/>
  <c r="AY273" i="3"/>
  <c r="AW273" i="3"/>
  <c r="AT273" i="3"/>
  <c r="AR273" i="3"/>
  <c r="AO273" i="3"/>
  <c r="AM273" i="3"/>
  <c r="AJ273" i="3"/>
  <c r="BL272" i="3"/>
  <c r="BI272" i="3"/>
  <c r="BG272" i="3"/>
  <c r="BD272" i="3"/>
  <c r="BB272" i="3"/>
  <c r="AY272" i="3"/>
  <c r="AW272" i="3"/>
  <c r="AT272" i="3"/>
  <c r="AR272" i="3"/>
  <c r="AO272" i="3"/>
  <c r="AM272" i="3"/>
  <c r="AJ272" i="3"/>
  <c r="BL271" i="3"/>
  <c r="BI271" i="3"/>
  <c r="BG271" i="3"/>
  <c r="BD271" i="3"/>
  <c r="BB271" i="3"/>
  <c r="AY271" i="3"/>
  <c r="AW271" i="3"/>
  <c r="AT271" i="3"/>
  <c r="AR271" i="3"/>
  <c r="AO271" i="3"/>
  <c r="AM271" i="3"/>
  <c r="AJ271" i="3"/>
  <c r="BL270" i="3"/>
  <c r="BI270" i="3"/>
  <c r="BG270" i="3"/>
  <c r="BD270" i="3"/>
  <c r="BB270" i="3"/>
  <c r="AY270" i="3"/>
  <c r="AW270" i="3"/>
  <c r="AT270" i="3"/>
  <c r="AR270" i="3"/>
  <c r="AO270" i="3"/>
  <c r="AM270" i="3"/>
  <c r="AJ270" i="3"/>
  <c r="BL269" i="3"/>
  <c r="BI269" i="3"/>
  <c r="BG269" i="3"/>
  <c r="BD269" i="3"/>
  <c r="BB269" i="3"/>
  <c r="AY269" i="3"/>
  <c r="AW269" i="3"/>
  <c r="AT269" i="3"/>
  <c r="AR269" i="3"/>
  <c r="AO269" i="3"/>
  <c r="AM269" i="3"/>
  <c r="AJ269" i="3"/>
  <c r="BL268" i="3"/>
  <c r="BI268" i="3"/>
  <c r="BG268" i="3"/>
  <c r="BD268" i="3"/>
  <c r="BB268" i="3"/>
  <c r="AY268" i="3"/>
  <c r="AW268" i="3"/>
  <c r="AT268" i="3"/>
  <c r="AR268" i="3"/>
  <c r="AO268" i="3"/>
  <c r="AM268" i="3"/>
  <c r="AJ268" i="3"/>
  <c r="BL267" i="3"/>
  <c r="BI267" i="3"/>
  <c r="BG267" i="3"/>
  <c r="BD267" i="3"/>
  <c r="BB267" i="3"/>
  <c r="AY267" i="3"/>
  <c r="AW267" i="3"/>
  <c r="AT267" i="3"/>
  <c r="AR267" i="3"/>
  <c r="AO267" i="3"/>
  <c r="AM267" i="3"/>
  <c r="AJ267" i="3"/>
  <c r="BL266" i="3"/>
  <c r="BI266" i="3"/>
  <c r="BG266" i="3"/>
  <c r="BD266" i="3"/>
  <c r="BB266" i="3"/>
  <c r="AY266" i="3"/>
  <c r="AW266" i="3"/>
  <c r="AT266" i="3"/>
  <c r="AR266" i="3"/>
  <c r="AO266" i="3"/>
  <c r="AM266" i="3"/>
  <c r="AJ266" i="3"/>
  <c r="BL265" i="3"/>
  <c r="BI265" i="3"/>
  <c r="BG265" i="3"/>
  <c r="BD265" i="3"/>
  <c r="BB265" i="3"/>
  <c r="AY265" i="3"/>
  <c r="AW265" i="3"/>
  <c r="AT265" i="3"/>
  <c r="AR265" i="3"/>
  <c r="AO265" i="3"/>
  <c r="AM265" i="3"/>
  <c r="AJ265" i="3"/>
  <c r="BL264" i="3"/>
  <c r="BI264" i="3"/>
  <c r="BG264" i="3"/>
  <c r="BD264" i="3"/>
  <c r="BB264" i="3"/>
  <c r="AY264" i="3"/>
  <c r="AW264" i="3"/>
  <c r="AT264" i="3"/>
  <c r="AR264" i="3"/>
  <c r="AO264" i="3"/>
  <c r="AM264" i="3"/>
  <c r="AJ264" i="3"/>
  <c r="BL263" i="3"/>
  <c r="BI263" i="3"/>
  <c r="BG263" i="3"/>
  <c r="BD263" i="3"/>
  <c r="BB263" i="3"/>
  <c r="AY263" i="3"/>
  <c r="AW263" i="3"/>
  <c r="AT263" i="3"/>
  <c r="AR263" i="3"/>
  <c r="AO263" i="3"/>
  <c r="AM263" i="3"/>
  <c r="AJ263" i="3"/>
  <c r="BL262" i="3"/>
  <c r="BI262" i="3"/>
  <c r="BG262" i="3"/>
  <c r="BD262" i="3"/>
  <c r="BB262" i="3"/>
  <c r="AY262" i="3"/>
  <c r="AW262" i="3"/>
  <c r="AT262" i="3"/>
  <c r="AR262" i="3"/>
  <c r="AO262" i="3"/>
  <c r="AM262" i="3"/>
  <c r="AJ262" i="3"/>
  <c r="BL261" i="3"/>
  <c r="BI261" i="3"/>
  <c r="BG261" i="3"/>
  <c r="BD261" i="3"/>
  <c r="BB261" i="3"/>
  <c r="AY261" i="3"/>
  <c r="AW261" i="3"/>
  <c r="AT261" i="3"/>
  <c r="AR261" i="3"/>
  <c r="AO261" i="3"/>
  <c r="AM261" i="3"/>
  <c r="AJ261" i="3"/>
  <c r="BL260" i="3"/>
  <c r="BI260" i="3"/>
  <c r="BG260" i="3"/>
  <c r="BD260" i="3"/>
  <c r="BB260" i="3"/>
  <c r="AY260" i="3"/>
  <c r="AW260" i="3"/>
  <c r="AT260" i="3"/>
  <c r="AR260" i="3"/>
  <c r="AO260" i="3"/>
  <c r="AM260" i="3"/>
  <c r="AJ260" i="3"/>
  <c r="BL259" i="3"/>
  <c r="BI259" i="3"/>
  <c r="BG259" i="3"/>
  <c r="BD259" i="3"/>
  <c r="BB259" i="3"/>
  <c r="AY259" i="3"/>
  <c r="AW259" i="3"/>
  <c r="AT259" i="3"/>
  <c r="AR259" i="3"/>
  <c r="AO259" i="3"/>
  <c r="AM259" i="3"/>
  <c r="AJ259" i="3"/>
  <c r="BL258" i="3"/>
  <c r="BI258" i="3"/>
  <c r="BG258" i="3"/>
  <c r="BD258" i="3"/>
  <c r="BB258" i="3"/>
  <c r="AY258" i="3"/>
  <c r="AW258" i="3"/>
  <c r="AT258" i="3"/>
  <c r="AR258" i="3"/>
  <c r="AO258" i="3"/>
  <c r="AM258" i="3"/>
  <c r="AJ258" i="3"/>
  <c r="BL257" i="3"/>
  <c r="BI257" i="3"/>
  <c r="BG257" i="3"/>
  <c r="BD257" i="3"/>
  <c r="BB257" i="3"/>
  <c r="AY257" i="3"/>
  <c r="AW257" i="3"/>
  <c r="AT257" i="3"/>
  <c r="AR257" i="3"/>
  <c r="AO257" i="3"/>
  <c r="AM257" i="3"/>
  <c r="AJ257" i="3"/>
  <c r="BL256" i="3"/>
  <c r="BI256" i="3"/>
  <c r="BG256" i="3"/>
  <c r="BD256" i="3"/>
  <c r="BB256" i="3"/>
  <c r="AY256" i="3"/>
  <c r="AW256" i="3"/>
  <c r="AT256" i="3"/>
  <c r="AR256" i="3"/>
  <c r="AO256" i="3"/>
  <c r="AM256" i="3"/>
  <c r="AJ256" i="3"/>
  <c r="BL255" i="3"/>
  <c r="BI255" i="3"/>
  <c r="BG255" i="3"/>
  <c r="BD255" i="3"/>
  <c r="BB255" i="3"/>
  <c r="AY255" i="3"/>
  <c r="AW255" i="3"/>
  <c r="AT255" i="3"/>
  <c r="AR255" i="3"/>
  <c r="AO255" i="3"/>
  <c r="AM255" i="3"/>
  <c r="AJ255" i="3"/>
  <c r="BL254" i="3"/>
  <c r="BI254" i="3"/>
  <c r="BG254" i="3"/>
  <c r="BD254" i="3"/>
  <c r="BB254" i="3"/>
  <c r="AY254" i="3"/>
  <c r="AW254" i="3"/>
  <c r="AT254" i="3"/>
  <c r="AR254" i="3"/>
  <c r="AO254" i="3"/>
  <c r="AM254" i="3"/>
  <c r="AJ254" i="3"/>
  <c r="BL253" i="3"/>
  <c r="BI253" i="3"/>
  <c r="BG253" i="3"/>
  <c r="BD253" i="3"/>
  <c r="BB253" i="3"/>
  <c r="AY253" i="3"/>
  <c r="AW253" i="3"/>
  <c r="AT253" i="3"/>
  <c r="AR253" i="3"/>
  <c r="AO253" i="3"/>
  <c r="AM253" i="3"/>
  <c r="AJ253" i="3"/>
  <c r="BL252" i="3"/>
  <c r="BI252" i="3"/>
  <c r="BG252" i="3"/>
  <c r="BD252" i="3"/>
  <c r="BB252" i="3"/>
  <c r="AY252" i="3"/>
  <c r="AW252" i="3"/>
  <c r="AT252" i="3"/>
  <c r="AR252" i="3"/>
  <c r="AO252" i="3"/>
  <c r="AM252" i="3"/>
  <c r="AJ252" i="3"/>
  <c r="BL251" i="3"/>
  <c r="BI251" i="3"/>
  <c r="BG251" i="3"/>
  <c r="BD251" i="3"/>
  <c r="BB251" i="3"/>
  <c r="AY251" i="3"/>
  <c r="AW251" i="3"/>
  <c r="AT251" i="3"/>
  <c r="AR251" i="3"/>
  <c r="AO251" i="3"/>
  <c r="AM251" i="3"/>
  <c r="AJ251" i="3"/>
  <c r="BL250" i="3"/>
  <c r="BI250" i="3"/>
  <c r="BG250" i="3"/>
  <c r="BD250" i="3"/>
  <c r="BB250" i="3"/>
  <c r="AY250" i="3"/>
  <c r="AW250" i="3"/>
  <c r="AT250" i="3"/>
  <c r="AR250" i="3"/>
  <c r="AO250" i="3"/>
  <c r="AM250" i="3"/>
  <c r="AJ250" i="3"/>
  <c r="BL249" i="3"/>
  <c r="BI249" i="3"/>
  <c r="BG249" i="3"/>
  <c r="BD249" i="3"/>
  <c r="BB249" i="3"/>
  <c r="AY249" i="3"/>
  <c r="AW249" i="3"/>
  <c r="AT249" i="3"/>
  <c r="AR249" i="3"/>
  <c r="AO249" i="3"/>
  <c r="AM249" i="3"/>
  <c r="AJ249" i="3"/>
  <c r="BL248" i="3"/>
  <c r="BI248" i="3"/>
  <c r="BG248" i="3"/>
  <c r="BD248" i="3"/>
  <c r="BB248" i="3"/>
  <c r="AY248" i="3"/>
  <c r="AW248" i="3"/>
  <c r="AT248" i="3"/>
  <c r="AR248" i="3"/>
  <c r="AO248" i="3"/>
  <c r="AM248" i="3"/>
  <c r="AJ248" i="3"/>
  <c r="BL247" i="3"/>
  <c r="BI247" i="3"/>
  <c r="BG247" i="3"/>
  <c r="BD247" i="3"/>
  <c r="BB247" i="3"/>
  <c r="AY247" i="3"/>
  <c r="AW247" i="3"/>
  <c r="AT247" i="3"/>
  <c r="AR247" i="3"/>
  <c r="AO247" i="3"/>
  <c r="AM247" i="3"/>
  <c r="AJ247" i="3"/>
  <c r="BL246" i="3"/>
  <c r="BI246" i="3"/>
  <c r="BG246" i="3"/>
  <c r="BD246" i="3"/>
  <c r="BB246" i="3"/>
  <c r="AY246" i="3"/>
  <c r="AW246" i="3"/>
  <c r="AT246" i="3"/>
  <c r="AR246" i="3"/>
  <c r="AO246" i="3"/>
  <c r="AM246" i="3"/>
  <c r="AJ246" i="3"/>
  <c r="BL245" i="3"/>
  <c r="BI245" i="3"/>
  <c r="BG245" i="3"/>
  <c r="BD245" i="3"/>
  <c r="BB245" i="3"/>
  <c r="AY245" i="3"/>
  <c r="AW245" i="3"/>
  <c r="AT245" i="3"/>
  <c r="AR245" i="3"/>
  <c r="AO245" i="3"/>
  <c r="AM245" i="3"/>
  <c r="AJ245" i="3"/>
  <c r="BL244" i="3"/>
  <c r="BI244" i="3"/>
  <c r="BG244" i="3"/>
  <c r="BD244" i="3"/>
  <c r="BB244" i="3"/>
  <c r="AY244" i="3"/>
  <c r="AW244" i="3"/>
  <c r="AT244" i="3"/>
  <c r="AR244" i="3"/>
  <c r="AO244" i="3"/>
  <c r="AM244" i="3"/>
  <c r="AJ244" i="3"/>
  <c r="BL243" i="3"/>
  <c r="BI243" i="3"/>
  <c r="BG243" i="3"/>
  <c r="BD243" i="3"/>
  <c r="BB243" i="3"/>
  <c r="AY243" i="3"/>
  <c r="AW243" i="3"/>
  <c r="AT243" i="3"/>
  <c r="AR243" i="3"/>
  <c r="AO243" i="3"/>
  <c r="AM243" i="3"/>
  <c r="AJ243" i="3"/>
  <c r="BL242" i="3"/>
  <c r="BI242" i="3"/>
  <c r="BG242" i="3"/>
  <c r="BD242" i="3"/>
  <c r="BB242" i="3"/>
  <c r="AY242" i="3"/>
  <c r="AW242" i="3"/>
  <c r="AT242" i="3"/>
  <c r="AR242" i="3"/>
  <c r="AO242" i="3"/>
  <c r="AM242" i="3"/>
  <c r="AJ242" i="3"/>
  <c r="BL241" i="3"/>
  <c r="BI241" i="3"/>
  <c r="BG241" i="3"/>
  <c r="BD241" i="3"/>
  <c r="BB241" i="3"/>
  <c r="AY241" i="3"/>
  <c r="AW241" i="3"/>
  <c r="AT241" i="3"/>
  <c r="AR241" i="3"/>
  <c r="AO241" i="3"/>
  <c r="AM241" i="3"/>
  <c r="AJ241" i="3"/>
  <c r="BL240" i="3"/>
  <c r="BI240" i="3"/>
  <c r="BG240" i="3"/>
  <c r="BD240" i="3"/>
  <c r="BB240" i="3"/>
  <c r="AY240" i="3"/>
  <c r="AW240" i="3"/>
  <c r="AT240" i="3"/>
  <c r="AR240" i="3"/>
  <c r="AO240" i="3"/>
  <c r="AM240" i="3"/>
  <c r="AJ240" i="3"/>
  <c r="BL239" i="3"/>
  <c r="BI239" i="3"/>
  <c r="BG239" i="3"/>
  <c r="BD239" i="3"/>
  <c r="BB239" i="3"/>
  <c r="AY239" i="3"/>
  <c r="AW239" i="3"/>
  <c r="AT239" i="3"/>
  <c r="AR239" i="3"/>
  <c r="AO239" i="3"/>
  <c r="AM239" i="3"/>
  <c r="AJ239" i="3"/>
  <c r="BL238" i="3"/>
  <c r="BI238" i="3"/>
  <c r="BG238" i="3"/>
  <c r="BD238" i="3"/>
  <c r="BB238" i="3"/>
  <c r="AY238" i="3"/>
  <c r="AW238" i="3"/>
  <c r="AT238" i="3"/>
  <c r="AR238" i="3"/>
  <c r="AO238" i="3"/>
  <c r="AM238" i="3"/>
  <c r="AJ238" i="3"/>
  <c r="BL237" i="3"/>
  <c r="BI237" i="3"/>
  <c r="BG237" i="3"/>
  <c r="BD237" i="3"/>
  <c r="BB237" i="3"/>
  <c r="AY237" i="3"/>
  <c r="AW237" i="3"/>
  <c r="AT237" i="3"/>
  <c r="AR237" i="3"/>
  <c r="AO237" i="3"/>
  <c r="AM237" i="3"/>
  <c r="AJ237" i="3"/>
  <c r="BL236" i="3"/>
  <c r="BI236" i="3"/>
  <c r="BG236" i="3"/>
  <c r="BD236" i="3"/>
  <c r="BB236" i="3"/>
  <c r="AY236" i="3"/>
  <c r="AW236" i="3"/>
  <c r="AT236" i="3"/>
  <c r="AR236" i="3"/>
  <c r="AO236" i="3"/>
  <c r="AM236" i="3"/>
  <c r="AJ236" i="3"/>
  <c r="BL235" i="3"/>
  <c r="BI235" i="3"/>
  <c r="BG235" i="3"/>
  <c r="BD235" i="3"/>
  <c r="BB235" i="3"/>
  <c r="AY235" i="3"/>
  <c r="AW235" i="3"/>
  <c r="AT235" i="3"/>
  <c r="AR235" i="3"/>
  <c r="AO235" i="3"/>
  <c r="AM235" i="3"/>
  <c r="AJ235" i="3"/>
  <c r="BL234" i="3"/>
  <c r="BI234" i="3"/>
  <c r="BG234" i="3"/>
  <c r="BD234" i="3"/>
  <c r="BB234" i="3"/>
  <c r="AY234" i="3"/>
  <c r="AW234" i="3"/>
  <c r="AT234" i="3"/>
  <c r="AR234" i="3"/>
  <c r="AO234" i="3"/>
  <c r="AM234" i="3"/>
  <c r="AJ234" i="3"/>
  <c r="BI233" i="3"/>
  <c r="BL233" i="3" s="1"/>
  <c r="BD233" i="3"/>
  <c r="BG233" i="3" s="1"/>
  <c r="AY233" i="3"/>
  <c r="BB233" i="3" s="1"/>
  <c r="AT233" i="3"/>
  <c r="AW233" i="3" s="1"/>
  <c r="AO233" i="3"/>
  <c r="AR233" i="3" s="1"/>
  <c r="BI232" i="3"/>
  <c r="BL232" i="3" s="1"/>
  <c r="BG232" i="3"/>
  <c r="BD232" i="3"/>
  <c r="AY232" i="3"/>
  <c r="BB232" i="3" s="1"/>
  <c r="AT232" i="3"/>
  <c r="AW232" i="3" s="1"/>
  <c r="AO232" i="3"/>
  <c r="AR232" i="3" s="1"/>
  <c r="AJ232" i="3"/>
  <c r="AM232" i="3" s="1"/>
  <c r="BI231" i="3"/>
  <c r="BL231" i="3" s="1"/>
  <c r="BD231" i="3"/>
  <c r="BG231" i="3" s="1"/>
  <c r="AY231" i="3"/>
  <c r="BB231" i="3" s="1"/>
  <c r="AW231" i="3"/>
  <c r="AT231" i="3"/>
  <c r="AO231" i="3"/>
  <c r="AR231" i="3" s="1"/>
  <c r="AJ231" i="3"/>
  <c r="AM231" i="3" s="1"/>
  <c r="BI230" i="3"/>
  <c r="BL230" i="3" s="1"/>
  <c r="BD230" i="3"/>
  <c r="BG230" i="3" s="1"/>
  <c r="AY230" i="3"/>
  <c r="BB230" i="3" s="1"/>
  <c r="AT230" i="3"/>
  <c r="AW230" i="3" s="1"/>
  <c r="AO230" i="3"/>
  <c r="AR230" i="3" s="1"/>
  <c r="AJ230" i="3"/>
  <c r="AM230" i="3" s="1"/>
  <c r="BI229" i="3"/>
  <c r="BL229" i="3" s="1"/>
  <c r="BD229" i="3"/>
  <c r="BG229" i="3" s="1"/>
  <c r="AY229" i="3"/>
  <c r="BB229" i="3" s="1"/>
  <c r="AT229" i="3"/>
  <c r="AW229" i="3" s="1"/>
  <c r="AO229" i="3"/>
  <c r="AR229" i="3" s="1"/>
  <c r="AJ229" i="3"/>
  <c r="AM229" i="3" s="1"/>
  <c r="BI228" i="3"/>
  <c r="BL228" i="3" s="1"/>
  <c r="BG228" i="3"/>
  <c r="BD228" i="3"/>
  <c r="AY228" i="3"/>
  <c r="BB228" i="3" s="1"/>
  <c r="AT228" i="3"/>
  <c r="AW228" i="3" s="1"/>
  <c r="AO228" i="3"/>
  <c r="AR228" i="3" s="1"/>
  <c r="AJ228" i="3"/>
  <c r="AM228" i="3" s="1"/>
  <c r="BI227" i="3"/>
  <c r="BL227" i="3" s="1"/>
  <c r="BD227" i="3"/>
  <c r="BG227" i="3" s="1"/>
  <c r="AY227" i="3"/>
  <c r="BB227" i="3" s="1"/>
  <c r="AW227" i="3"/>
  <c r="AT227" i="3"/>
  <c r="AO227" i="3"/>
  <c r="AR227" i="3" s="1"/>
  <c r="AJ227" i="3"/>
  <c r="AM227" i="3" s="1"/>
  <c r="AB227" i="3"/>
  <c r="AA227" i="3"/>
  <c r="Z227" i="3"/>
  <c r="Y227" i="3"/>
  <c r="BI226" i="3"/>
  <c r="BL226" i="3" s="1"/>
  <c r="BD226" i="3"/>
  <c r="BG226" i="3" s="1"/>
  <c r="AY226" i="3"/>
  <c r="BB226" i="3" s="1"/>
  <c r="AT226" i="3"/>
  <c r="AW226" i="3" s="1"/>
  <c r="AO226" i="3"/>
  <c r="AR226" i="3" s="1"/>
  <c r="AB226" i="3"/>
  <c r="AA226" i="3"/>
  <c r="Z226" i="3"/>
  <c r="Y226" i="3"/>
  <c r="BI225" i="3"/>
  <c r="BL225" i="3" s="1"/>
  <c r="BD225" i="3"/>
  <c r="BG225" i="3" s="1"/>
  <c r="AY225" i="3"/>
  <c r="BB225" i="3" s="1"/>
  <c r="AT225" i="3"/>
  <c r="AW225" i="3" s="1"/>
  <c r="AO225" i="3"/>
  <c r="AR225" i="3" s="1"/>
  <c r="AJ225" i="3"/>
  <c r="AM225" i="3" s="1"/>
  <c r="AB225" i="3"/>
  <c r="AA225" i="3"/>
  <c r="Z225" i="3"/>
  <c r="Y225" i="3"/>
  <c r="BI224" i="3"/>
  <c r="BL224" i="3" s="1"/>
  <c r="BG224" i="3"/>
  <c r="BD224" i="3"/>
  <c r="AY224" i="3"/>
  <c r="BB224" i="3" s="1"/>
  <c r="AT224" i="3"/>
  <c r="AW224" i="3" s="1"/>
  <c r="AO224" i="3"/>
  <c r="AR224" i="3" s="1"/>
  <c r="AJ224" i="3"/>
  <c r="AM224" i="3" s="1"/>
  <c r="AB224" i="3"/>
  <c r="AA224" i="3"/>
  <c r="Z224" i="3"/>
  <c r="Y224" i="3"/>
  <c r="X224" i="3"/>
  <c r="M224" i="3"/>
  <c r="H224" i="3"/>
  <c r="C224" i="3"/>
  <c r="BI223" i="3"/>
  <c r="BL223" i="3" s="1"/>
  <c r="BD223" i="3"/>
  <c r="BG223" i="3" s="1"/>
  <c r="AY223" i="3"/>
  <c r="BB223" i="3" s="1"/>
  <c r="AW223" i="3"/>
  <c r="AT223" i="3"/>
  <c r="AO223" i="3"/>
  <c r="AR223" i="3" s="1"/>
  <c r="AB223" i="3"/>
  <c r="AA223" i="3"/>
  <c r="Z223" i="3"/>
  <c r="Y223" i="3"/>
  <c r="X223" i="3"/>
  <c r="M223" i="3"/>
  <c r="H223" i="3"/>
  <c r="C223" i="3"/>
  <c r="BI222" i="3"/>
  <c r="BL222" i="3" s="1"/>
  <c r="BD222" i="3"/>
  <c r="BG222" i="3" s="1"/>
  <c r="AY222" i="3"/>
  <c r="BB222" i="3" s="1"/>
  <c r="AT222" i="3"/>
  <c r="AW222" i="3" s="1"/>
  <c r="AO222" i="3"/>
  <c r="AR222" i="3" s="1"/>
  <c r="AJ222" i="3"/>
  <c r="AM222" i="3" s="1"/>
  <c r="AB222" i="3"/>
  <c r="AA222" i="3"/>
  <c r="Z222" i="3"/>
  <c r="Y222" i="3"/>
  <c r="X222" i="3"/>
  <c r="M222" i="3"/>
  <c r="H222" i="3"/>
  <c r="C222" i="3"/>
  <c r="BI221" i="3"/>
  <c r="BL221" i="3" s="1"/>
  <c r="BD221" i="3"/>
  <c r="BG221" i="3" s="1"/>
  <c r="AY221" i="3"/>
  <c r="BB221" i="3" s="1"/>
  <c r="AT221" i="3"/>
  <c r="AW221" i="3" s="1"/>
  <c r="AO221" i="3"/>
  <c r="AR221" i="3" s="1"/>
  <c r="AJ221" i="3"/>
  <c r="AM221" i="3" s="1"/>
  <c r="AB221" i="3"/>
  <c r="AA221" i="3"/>
  <c r="Z221" i="3"/>
  <c r="Y221" i="3"/>
  <c r="X221" i="3"/>
  <c r="M221" i="3"/>
  <c r="H221" i="3"/>
  <c r="C221" i="3"/>
  <c r="BI220" i="3"/>
  <c r="BL220" i="3" s="1"/>
  <c r="BG220" i="3"/>
  <c r="BD220" i="3"/>
  <c r="AY220" i="3"/>
  <c r="BB220" i="3" s="1"/>
  <c r="AT220" i="3"/>
  <c r="AW220" i="3" s="1"/>
  <c r="AO220" i="3"/>
  <c r="AR220" i="3" s="1"/>
  <c r="AB220" i="3"/>
  <c r="AA220" i="3"/>
  <c r="Z220" i="3"/>
  <c r="Y220" i="3"/>
  <c r="X220" i="3"/>
  <c r="M220" i="3"/>
  <c r="H220" i="3"/>
  <c r="C220" i="3"/>
  <c r="BI219" i="3"/>
  <c r="BL219" i="3" s="1"/>
  <c r="BD219" i="3"/>
  <c r="BG219" i="3" s="1"/>
  <c r="AY219" i="3"/>
  <c r="BB219" i="3" s="1"/>
  <c r="AW219" i="3"/>
  <c r="AT219" i="3"/>
  <c r="AO219" i="3"/>
  <c r="AR219" i="3" s="1"/>
  <c r="AJ219" i="3"/>
  <c r="AM219" i="3" s="1"/>
  <c r="AB219" i="3"/>
  <c r="AA219" i="3"/>
  <c r="Z219" i="3"/>
  <c r="Y219" i="3"/>
  <c r="X219" i="3"/>
  <c r="M219" i="3"/>
  <c r="H219" i="3"/>
  <c r="C219" i="3"/>
  <c r="BI218" i="3"/>
  <c r="BL218" i="3" s="1"/>
  <c r="BD218" i="3"/>
  <c r="BG218" i="3" s="1"/>
  <c r="AY218" i="3"/>
  <c r="BB218" i="3" s="1"/>
  <c r="AT218" i="3"/>
  <c r="AW218" i="3" s="1"/>
  <c r="AO218" i="3"/>
  <c r="AR218" i="3" s="1"/>
  <c r="AJ218" i="3"/>
  <c r="AM218" i="3" s="1"/>
  <c r="AB218" i="3"/>
  <c r="AA218" i="3"/>
  <c r="Z218" i="3"/>
  <c r="Y218" i="3"/>
  <c r="X218" i="3"/>
  <c r="M218" i="3"/>
  <c r="H218" i="3"/>
  <c r="C218" i="3"/>
  <c r="BI217" i="3"/>
  <c r="BL217" i="3" s="1"/>
  <c r="BD217" i="3"/>
  <c r="BG217" i="3" s="1"/>
  <c r="AY217" i="3"/>
  <c r="BB217" i="3" s="1"/>
  <c r="AT217" i="3"/>
  <c r="AW217" i="3" s="1"/>
  <c r="AO217" i="3"/>
  <c r="AR217" i="3" s="1"/>
  <c r="AB217" i="3"/>
  <c r="AA217" i="3"/>
  <c r="Z217" i="3"/>
  <c r="Y217" i="3"/>
  <c r="X217" i="3"/>
  <c r="M217" i="3"/>
  <c r="H217" i="3"/>
  <c r="C217" i="3"/>
  <c r="BI216" i="3"/>
  <c r="BL216" i="3" s="1"/>
  <c r="BG216" i="3"/>
  <c r="BD216" i="3"/>
  <c r="AY216" i="3"/>
  <c r="BB216" i="3" s="1"/>
  <c r="AT216" i="3"/>
  <c r="AW216" i="3" s="1"/>
  <c r="AO216" i="3"/>
  <c r="AR216" i="3" s="1"/>
  <c r="AJ216" i="3"/>
  <c r="AM216" i="3" s="1"/>
  <c r="AB216" i="3"/>
  <c r="AA216" i="3"/>
  <c r="Z216" i="3"/>
  <c r="Y216" i="3"/>
  <c r="X216" i="3"/>
  <c r="M216" i="3"/>
  <c r="H216" i="3"/>
  <c r="C216" i="3"/>
  <c r="BI215" i="3"/>
  <c r="BL215" i="3" s="1"/>
  <c r="BD215" i="3"/>
  <c r="BG215" i="3" s="1"/>
  <c r="AY215" i="3"/>
  <c r="BB215" i="3" s="1"/>
  <c r="AW215" i="3"/>
  <c r="AT215" i="3"/>
  <c r="AO215" i="3"/>
  <c r="AR215" i="3" s="1"/>
  <c r="AJ215" i="3"/>
  <c r="AM215" i="3" s="1"/>
  <c r="AB215" i="3"/>
  <c r="AA215" i="3"/>
  <c r="Z215" i="3"/>
  <c r="Y215" i="3"/>
  <c r="X215" i="3"/>
  <c r="M215" i="3"/>
  <c r="H215" i="3"/>
  <c r="C215" i="3"/>
  <c r="BI214" i="3"/>
  <c r="BL214" i="3" s="1"/>
  <c r="BD214" i="3"/>
  <c r="BG214" i="3" s="1"/>
  <c r="AY214" i="3"/>
  <c r="BB214" i="3" s="1"/>
  <c r="AT214" i="3"/>
  <c r="AW214" i="3" s="1"/>
  <c r="AO214" i="3"/>
  <c r="AR214" i="3" s="1"/>
  <c r="AJ214" i="3"/>
  <c r="AM214" i="3" s="1"/>
  <c r="AB214" i="3"/>
  <c r="AA214" i="3"/>
  <c r="Z214" i="3"/>
  <c r="Y214" i="3"/>
  <c r="X214" i="3"/>
  <c r="M214" i="3"/>
  <c r="H214" i="3"/>
  <c r="C214" i="3"/>
  <c r="BI213" i="3"/>
  <c r="BL213" i="3" s="1"/>
  <c r="BD213" i="3"/>
  <c r="BG213" i="3" s="1"/>
  <c r="AY213" i="3"/>
  <c r="BB213" i="3" s="1"/>
  <c r="AT213" i="3"/>
  <c r="AW213" i="3" s="1"/>
  <c r="AO213" i="3"/>
  <c r="AR213" i="3" s="1"/>
  <c r="AJ213" i="3"/>
  <c r="AM213" i="3" s="1"/>
  <c r="AB213" i="3"/>
  <c r="AA213" i="3"/>
  <c r="Z213" i="3"/>
  <c r="Y213" i="3"/>
  <c r="X213" i="3"/>
  <c r="M213" i="3"/>
  <c r="H213" i="3"/>
  <c r="C213" i="3"/>
  <c r="BI212" i="3"/>
  <c r="BL212" i="3" s="1"/>
  <c r="BG212" i="3"/>
  <c r="BD212" i="3"/>
  <c r="AY212" i="3"/>
  <c r="BB212" i="3" s="1"/>
  <c r="AT212" i="3"/>
  <c r="AW212" i="3" s="1"/>
  <c r="AO212" i="3"/>
  <c r="AR212" i="3" s="1"/>
  <c r="AJ212" i="3"/>
  <c r="AM212" i="3" s="1"/>
  <c r="AB212" i="3"/>
  <c r="AA212" i="3"/>
  <c r="Z212" i="3"/>
  <c r="Y212" i="3"/>
  <c r="X212" i="3"/>
  <c r="M212" i="3"/>
  <c r="H212" i="3"/>
  <c r="C212" i="3"/>
  <c r="BI211" i="3"/>
  <c r="BL211" i="3" s="1"/>
  <c r="BD211" i="3"/>
  <c r="BG211" i="3" s="1"/>
  <c r="AY211" i="3"/>
  <c r="BB211" i="3" s="1"/>
  <c r="AW211" i="3"/>
  <c r="AT211" i="3"/>
  <c r="AO211" i="3"/>
  <c r="AR211" i="3" s="1"/>
  <c r="AJ211" i="3"/>
  <c r="AM211" i="3" s="1"/>
  <c r="AB211" i="3"/>
  <c r="AA211" i="3"/>
  <c r="Z211" i="3"/>
  <c r="Y211" i="3"/>
  <c r="X211" i="3"/>
  <c r="M211" i="3"/>
  <c r="H211" i="3"/>
  <c r="C211" i="3"/>
  <c r="BI210" i="3"/>
  <c r="BL210" i="3" s="1"/>
  <c r="BD210" i="3"/>
  <c r="BG210" i="3" s="1"/>
  <c r="AY210" i="3"/>
  <c r="BB210" i="3" s="1"/>
  <c r="AT210" i="3"/>
  <c r="AW210" i="3" s="1"/>
  <c r="AO210" i="3"/>
  <c r="AR210" i="3" s="1"/>
  <c r="AB210" i="3"/>
  <c r="AA210" i="3"/>
  <c r="Z210" i="3"/>
  <c r="Y210" i="3"/>
  <c r="X210" i="3"/>
  <c r="M210" i="3"/>
  <c r="H210" i="3"/>
  <c r="C210" i="3"/>
  <c r="BI209" i="3"/>
  <c r="BL209" i="3" s="1"/>
  <c r="BD209" i="3"/>
  <c r="BG209" i="3" s="1"/>
  <c r="AY209" i="3"/>
  <c r="BB209" i="3" s="1"/>
  <c r="AT209" i="3"/>
  <c r="AW209" i="3" s="1"/>
  <c r="AO209" i="3"/>
  <c r="AR209" i="3" s="1"/>
  <c r="AJ209" i="3"/>
  <c r="AM209" i="3" s="1"/>
  <c r="AB209" i="3"/>
  <c r="AA209" i="3"/>
  <c r="Z209" i="3"/>
  <c r="Y209" i="3"/>
  <c r="X209" i="3"/>
  <c r="M209" i="3"/>
  <c r="H209" i="3"/>
  <c r="C209" i="3"/>
  <c r="BI208" i="3"/>
  <c r="BL208" i="3" s="1"/>
  <c r="BG208" i="3"/>
  <c r="BD208" i="3"/>
  <c r="AY208" i="3"/>
  <c r="BB208" i="3" s="1"/>
  <c r="AT208" i="3"/>
  <c r="AW208" i="3" s="1"/>
  <c r="AO208" i="3"/>
  <c r="AR208" i="3" s="1"/>
  <c r="AJ208" i="3"/>
  <c r="AM208" i="3" s="1"/>
  <c r="AB208" i="3"/>
  <c r="AA208" i="3"/>
  <c r="Z208" i="3"/>
  <c r="Y208" i="3"/>
  <c r="X208" i="3"/>
  <c r="M208" i="3"/>
  <c r="H208" i="3"/>
  <c r="C208" i="3"/>
  <c r="BI207" i="3"/>
  <c r="BL207" i="3" s="1"/>
  <c r="BD207" i="3"/>
  <c r="BG207" i="3" s="1"/>
  <c r="AY207" i="3"/>
  <c r="BB207" i="3" s="1"/>
  <c r="AW207" i="3"/>
  <c r="AT207" i="3"/>
  <c r="AO207" i="3"/>
  <c r="AR207" i="3" s="1"/>
  <c r="AB207" i="3"/>
  <c r="AA207" i="3"/>
  <c r="Z207" i="3"/>
  <c r="Y207" i="3"/>
  <c r="X207" i="3"/>
  <c r="M207" i="3"/>
  <c r="H207" i="3"/>
  <c r="C207" i="3"/>
  <c r="BI206" i="3"/>
  <c r="BL206" i="3" s="1"/>
  <c r="BD206" i="3"/>
  <c r="BG206" i="3" s="1"/>
  <c r="AY206" i="3"/>
  <c r="BB206" i="3" s="1"/>
  <c r="AT206" i="3"/>
  <c r="AW206" i="3" s="1"/>
  <c r="AO206" i="3"/>
  <c r="AR206" i="3" s="1"/>
  <c r="AM206" i="3"/>
  <c r="AJ206" i="3"/>
  <c r="AB206" i="3"/>
  <c r="AA206" i="3"/>
  <c r="Z206" i="3"/>
  <c r="Y206" i="3"/>
  <c r="X206" i="3"/>
  <c r="M206" i="3"/>
  <c r="H206" i="3"/>
  <c r="C206" i="3"/>
  <c r="BI205" i="3"/>
  <c r="BL205" i="3" s="1"/>
  <c r="BD205" i="3"/>
  <c r="BG205" i="3" s="1"/>
  <c r="AY205" i="3"/>
  <c r="BB205" i="3" s="1"/>
  <c r="AT205" i="3"/>
  <c r="AW205" i="3" s="1"/>
  <c r="AO205" i="3"/>
  <c r="AR205" i="3" s="1"/>
  <c r="AJ205" i="3"/>
  <c r="AM205" i="3" s="1"/>
  <c r="AB205" i="3"/>
  <c r="AA205" i="3"/>
  <c r="Z205" i="3"/>
  <c r="Y205" i="3"/>
  <c r="X205" i="3"/>
  <c r="M205" i="3"/>
  <c r="H205" i="3"/>
  <c r="C205" i="3"/>
  <c r="BI204" i="3"/>
  <c r="BL204" i="3" s="1"/>
  <c r="BG204" i="3"/>
  <c r="BD204" i="3"/>
  <c r="AY204" i="3"/>
  <c r="BB204" i="3" s="1"/>
  <c r="AT204" i="3"/>
  <c r="AW204" i="3" s="1"/>
  <c r="AO204" i="3"/>
  <c r="AR204" i="3" s="1"/>
  <c r="AB204" i="3"/>
  <c r="AA204" i="3"/>
  <c r="Z204" i="3"/>
  <c r="Y204" i="3"/>
  <c r="X204" i="3"/>
  <c r="M204" i="3"/>
  <c r="H204" i="3"/>
  <c r="C204" i="3"/>
  <c r="BI203" i="3"/>
  <c r="BL203" i="3" s="1"/>
  <c r="BD203" i="3"/>
  <c r="BG203" i="3" s="1"/>
  <c r="AY203" i="3"/>
  <c r="BB203" i="3" s="1"/>
  <c r="AW203" i="3"/>
  <c r="AT203" i="3"/>
  <c r="AO203" i="3"/>
  <c r="AR203" i="3" s="1"/>
  <c r="AJ203" i="3"/>
  <c r="AM203" i="3" s="1"/>
  <c r="AB203" i="3"/>
  <c r="AA203" i="3"/>
  <c r="Z203" i="3"/>
  <c r="Y203" i="3"/>
  <c r="X203" i="3"/>
  <c r="M203" i="3"/>
  <c r="H203" i="3"/>
  <c r="C203" i="3"/>
  <c r="BI202" i="3"/>
  <c r="BL202" i="3" s="1"/>
  <c r="BD202" i="3"/>
  <c r="BG202" i="3" s="1"/>
  <c r="AY202" i="3"/>
  <c r="BB202" i="3" s="1"/>
  <c r="AT202" i="3"/>
  <c r="AW202" i="3" s="1"/>
  <c r="AO202" i="3"/>
  <c r="AR202" i="3" s="1"/>
  <c r="AM202" i="3"/>
  <c r="AJ202" i="3"/>
  <c r="AB202" i="3"/>
  <c r="AA202" i="3"/>
  <c r="Z202" i="3"/>
  <c r="Y202" i="3"/>
  <c r="X202" i="3"/>
  <c r="M202" i="3"/>
  <c r="H202" i="3"/>
  <c r="C202" i="3"/>
  <c r="BI201" i="3"/>
  <c r="BL201" i="3" s="1"/>
  <c r="BD201" i="3"/>
  <c r="BG201" i="3" s="1"/>
  <c r="AY201" i="3"/>
  <c r="BB201" i="3" s="1"/>
  <c r="AT201" i="3"/>
  <c r="AW201" i="3" s="1"/>
  <c r="AO201" i="3"/>
  <c r="AR201" i="3" s="1"/>
  <c r="AB201" i="3"/>
  <c r="AA201" i="3"/>
  <c r="Z201" i="3"/>
  <c r="Y201" i="3"/>
  <c r="X201" i="3"/>
  <c r="M201" i="3"/>
  <c r="H201" i="3"/>
  <c r="C201" i="3"/>
  <c r="BI200" i="3"/>
  <c r="BL200" i="3" s="1"/>
  <c r="BG200" i="3"/>
  <c r="BD200" i="3"/>
  <c r="AY200" i="3"/>
  <c r="BB200" i="3" s="1"/>
  <c r="AT200" i="3"/>
  <c r="AW200" i="3" s="1"/>
  <c r="AO200" i="3"/>
  <c r="AR200" i="3" s="1"/>
  <c r="AJ200" i="3"/>
  <c r="AM200" i="3" s="1"/>
  <c r="AB200" i="3"/>
  <c r="AA200" i="3"/>
  <c r="Z200" i="3"/>
  <c r="Y200" i="3"/>
  <c r="X200" i="3"/>
  <c r="M200" i="3"/>
  <c r="H200" i="3"/>
  <c r="C200" i="3"/>
  <c r="BI199" i="3"/>
  <c r="BL199" i="3" s="1"/>
  <c r="BD199" i="3"/>
  <c r="BG199" i="3" s="1"/>
  <c r="AY199" i="3"/>
  <c r="BB199" i="3" s="1"/>
  <c r="AW199" i="3"/>
  <c r="AT199" i="3"/>
  <c r="AO199" i="3"/>
  <c r="AR199" i="3" s="1"/>
  <c r="AJ199" i="3"/>
  <c r="AM199" i="3" s="1"/>
  <c r="AB199" i="3"/>
  <c r="AA199" i="3"/>
  <c r="Z199" i="3"/>
  <c r="Y199" i="3"/>
  <c r="X199" i="3"/>
  <c r="M199" i="3"/>
  <c r="H199" i="3"/>
  <c r="C199" i="3"/>
  <c r="BI198" i="3"/>
  <c r="BL198" i="3" s="1"/>
  <c r="BD198" i="3"/>
  <c r="BG198" i="3" s="1"/>
  <c r="AY198" i="3"/>
  <c r="BB198" i="3" s="1"/>
  <c r="AT198" i="3"/>
  <c r="AW198" i="3" s="1"/>
  <c r="AO198" i="3"/>
  <c r="AR198" i="3" s="1"/>
  <c r="AJ198" i="3"/>
  <c r="AM198" i="3" s="1"/>
  <c r="AB198" i="3"/>
  <c r="AA198" i="3"/>
  <c r="Z198" i="3"/>
  <c r="Y198" i="3"/>
  <c r="X198" i="3"/>
  <c r="M198" i="3"/>
  <c r="H198" i="3"/>
  <c r="C198" i="3"/>
  <c r="BI197" i="3"/>
  <c r="BL197" i="3" s="1"/>
  <c r="BD197" i="3"/>
  <c r="BG197" i="3" s="1"/>
  <c r="AY197" i="3"/>
  <c r="BB197" i="3" s="1"/>
  <c r="AT197" i="3"/>
  <c r="AW197" i="3" s="1"/>
  <c r="AO197" i="3"/>
  <c r="AR197" i="3" s="1"/>
  <c r="AJ197" i="3"/>
  <c r="AM197" i="3" s="1"/>
  <c r="AB197" i="3"/>
  <c r="AA197" i="3"/>
  <c r="Z197" i="3"/>
  <c r="Y197" i="3"/>
  <c r="X197" i="3"/>
  <c r="M197" i="3"/>
  <c r="H197" i="3"/>
  <c r="C197" i="3"/>
  <c r="BI196" i="3"/>
  <c r="BL196" i="3" s="1"/>
  <c r="BG196" i="3"/>
  <c r="BD196" i="3"/>
  <c r="AY196" i="3"/>
  <c r="BB196" i="3" s="1"/>
  <c r="AT196" i="3"/>
  <c r="AW196" i="3" s="1"/>
  <c r="AO196" i="3"/>
  <c r="AR196" i="3" s="1"/>
  <c r="AJ196" i="3"/>
  <c r="AM196" i="3" s="1"/>
  <c r="AB196" i="3"/>
  <c r="AA196" i="3"/>
  <c r="Z196" i="3"/>
  <c r="Y196" i="3"/>
  <c r="X196" i="3"/>
  <c r="M196" i="3"/>
  <c r="H196" i="3"/>
  <c r="C196" i="3"/>
  <c r="BI195" i="3"/>
  <c r="BL195" i="3" s="1"/>
  <c r="BD195" i="3"/>
  <c r="BG195" i="3" s="1"/>
  <c r="AY195" i="3"/>
  <c r="BB195" i="3" s="1"/>
  <c r="AW195" i="3"/>
  <c r="AT195" i="3"/>
  <c r="AO195" i="3"/>
  <c r="AR195" i="3" s="1"/>
  <c r="AJ195" i="3"/>
  <c r="AM195" i="3" s="1"/>
  <c r="AB195" i="3"/>
  <c r="AA195" i="3"/>
  <c r="Z195" i="3"/>
  <c r="Y195" i="3"/>
  <c r="X195" i="3"/>
  <c r="M195" i="3"/>
  <c r="H195" i="3"/>
  <c r="C195" i="3"/>
  <c r="BI194" i="3"/>
  <c r="BL194" i="3" s="1"/>
  <c r="BD194" i="3"/>
  <c r="BG194" i="3" s="1"/>
  <c r="AY194" i="3"/>
  <c r="BB194" i="3" s="1"/>
  <c r="AT194" i="3"/>
  <c r="AW194" i="3" s="1"/>
  <c r="AO194" i="3"/>
  <c r="AR194" i="3" s="1"/>
  <c r="AB194" i="3"/>
  <c r="AA194" i="3"/>
  <c r="Z194" i="3"/>
  <c r="Y194" i="3"/>
  <c r="X194" i="3"/>
  <c r="M194" i="3"/>
  <c r="H194" i="3"/>
  <c r="C194" i="3"/>
  <c r="BI193" i="3"/>
  <c r="BL193" i="3" s="1"/>
  <c r="BD193" i="3"/>
  <c r="BG193" i="3" s="1"/>
  <c r="AY193" i="3"/>
  <c r="BB193" i="3" s="1"/>
  <c r="AT193" i="3"/>
  <c r="AW193" i="3" s="1"/>
  <c r="AO193" i="3"/>
  <c r="AR193" i="3" s="1"/>
  <c r="AJ193" i="3"/>
  <c r="AM193" i="3" s="1"/>
  <c r="AB193" i="3"/>
  <c r="AA193" i="3"/>
  <c r="Z193" i="3"/>
  <c r="Y193" i="3"/>
  <c r="X193" i="3"/>
  <c r="M193" i="3"/>
  <c r="H193" i="3"/>
  <c r="C193" i="3"/>
  <c r="BI192" i="3"/>
  <c r="BL192" i="3" s="1"/>
  <c r="BG192" i="3"/>
  <c r="BD192" i="3"/>
  <c r="AY192" i="3"/>
  <c r="BB192" i="3" s="1"/>
  <c r="AT192" i="3"/>
  <c r="AW192" i="3" s="1"/>
  <c r="AO192" i="3"/>
  <c r="AR192" i="3" s="1"/>
  <c r="AJ192" i="3"/>
  <c r="AM192" i="3" s="1"/>
  <c r="AB192" i="3"/>
  <c r="AA192" i="3"/>
  <c r="Z192" i="3"/>
  <c r="Y192" i="3"/>
  <c r="X192" i="3"/>
  <c r="M192" i="3"/>
  <c r="H192" i="3"/>
  <c r="C192" i="3"/>
  <c r="BI191" i="3"/>
  <c r="BL191" i="3" s="1"/>
  <c r="BD191" i="3"/>
  <c r="BG191" i="3" s="1"/>
  <c r="AY191" i="3"/>
  <c r="BB191" i="3" s="1"/>
  <c r="AW191" i="3"/>
  <c r="AT191" i="3"/>
  <c r="AO191" i="3"/>
  <c r="AR191" i="3" s="1"/>
  <c r="AB191" i="3"/>
  <c r="AA191" i="3"/>
  <c r="Z191" i="3"/>
  <c r="Y191" i="3"/>
  <c r="X191" i="3"/>
  <c r="M191" i="3"/>
  <c r="H191" i="3"/>
  <c r="C191" i="3"/>
  <c r="BI190" i="3"/>
  <c r="BL190" i="3" s="1"/>
  <c r="BD190" i="3"/>
  <c r="BG190" i="3" s="1"/>
  <c r="AY190" i="3"/>
  <c r="BB190" i="3" s="1"/>
  <c r="AT190" i="3"/>
  <c r="AW190" i="3" s="1"/>
  <c r="AO190" i="3"/>
  <c r="AR190" i="3" s="1"/>
  <c r="AJ190" i="3"/>
  <c r="AM190" i="3" s="1"/>
  <c r="AB190" i="3"/>
  <c r="AA190" i="3"/>
  <c r="Z190" i="3"/>
  <c r="Y190" i="3"/>
  <c r="X190" i="3"/>
  <c r="M190" i="3"/>
  <c r="H190" i="3"/>
  <c r="C190" i="3"/>
  <c r="BI189" i="3"/>
  <c r="BL189" i="3" s="1"/>
  <c r="BD189" i="3"/>
  <c r="BG189" i="3" s="1"/>
  <c r="AY189" i="3"/>
  <c r="BB189" i="3" s="1"/>
  <c r="AT189" i="3"/>
  <c r="AW189" i="3" s="1"/>
  <c r="AO189" i="3"/>
  <c r="AR189" i="3" s="1"/>
  <c r="AB189" i="3"/>
  <c r="AA189" i="3"/>
  <c r="Z189" i="3"/>
  <c r="Y189" i="3"/>
  <c r="X189" i="3"/>
  <c r="M189" i="3"/>
  <c r="H189" i="3"/>
  <c r="C189" i="3"/>
  <c r="BI188" i="3"/>
  <c r="BL188" i="3" s="1"/>
  <c r="BG188" i="3"/>
  <c r="BD188" i="3"/>
  <c r="AY188" i="3"/>
  <c r="BB188" i="3" s="1"/>
  <c r="AT188" i="3"/>
  <c r="AW188" i="3" s="1"/>
  <c r="AO188" i="3"/>
  <c r="AR188" i="3" s="1"/>
  <c r="AB188" i="3"/>
  <c r="AA188" i="3"/>
  <c r="Z188" i="3"/>
  <c r="Y188" i="3"/>
  <c r="X188" i="3"/>
  <c r="M188" i="3"/>
  <c r="H188" i="3"/>
  <c r="C188" i="3"/>
  <c r="BI187" i="3"/>
  <c r="BL187" i="3" s="1"/>
  <c r="BD187" i="3"/>
  <c r="BG187" i="3" s="1"/>
  <c r="AY187" i="3"/>
  <c r="BB187" i="3" s="1"/>
  <c r="AW187" i="3"/>
  <c r="AT187" i="3"/>
  <c r="AO187" i="3"/>
  <c r="AR187" i="3" s="1"/>
  <c r="AB187" i="3"/>
  <c r="AA187" i="3"/>
  <c r="Z187" i="3"/>
  <c r="Y187" i="3"/>
  <c r="X187" i="3"/>
  <c r="M187" i="3"/>
  <c r="H187" i="3"/>
  <c r="C187" i="3"/>
  <c r="BI186" i="3"/>
  <c r="BL186" i="3" s="1"/>
  <c r="BD186" i="3"/>
  <c r="BG186" i="3" s="1"/>
  <c r="AY186" i="3"/>
  <c r="BB186" i="3" s="1"/>
  <c r="AT186" i="3"/>
  <c r="AW186" i="3" s="1"/>
  <c r="AO186" i="3"/>
  <c r="AR186" i="3" s="1"/>
  <c r="AJ186" i="3"/>
  <c r="AM186" i="3" s="1"/>
  <c r="AB186" i="3"/>
  <c r="AA186" i="3"/>
  <c r="Z186" i="3"/>
  <c r="Y186" i="3"/>
  <c r="X186" i="3"/>
  <c r="M186" i="3"/>
  <c r="H186" i="3"/>
  <c r="C186" i="3"/>
  <c r="BI185" i="3"/>
  <c r="BL185" i="3" s="1"/>
  <c r="BD185" i="3"/>
  <c r="BG185" i="3" s="1"/>
  <c r="AY185" i="3"/>
  <c r="BB185" i="3" s="1"/>
  <c r="AT185" i="3"/>
  <c r="AW185" i="3" s="1"/>
  <c r="AO185" i="3"/>
  <c r="AR185" i="3" s="1"/>
  <c r="AB185" i="3"/>
  <c r="AA185" i="3"/>
  <c r="Z185" i="3"/>
  <c r="Y185" i="3"/>
  <c r="X185" i="3"/>
  <c r="M185" i="3"/>
  <c r="H185" i="3"/>
  <c r="C185" i="3"/>
  <c r="BI184" i="3"/>
  <c r="BL184" i="3" s="1"/>
  <c r="BG184" i="3"/>
  <c r="BD184" i="3"/>
  <c r="AY184" i="3"/>
  <c r="BB184" i="3" s="1"/>
  <c r="AT184" i="3"/>
  <c r="AW184" i="3" s="1"/>
  <c r="AO184" i="3"/>
  <c r="AR184" i="3" s="1"/>
  <c r="AJ184" i="3"/>
  <c r="AM184" i="3" s="1"/>
  <c r="AB184" i="3"/>
  <c r="AA184" i="3"/>
  <c r="Z184" i="3"/>
  <c r="Y184" i="3"/>
  <c r="X184" i="3"/>
  <c r="M184" i="3"/>
  <c r="H184" i="3"/>
  <c r="C184" i="3"/>
  <c r="BI183" i="3"/>
  <c r="BL183" i="3" s="1"/>
  <c r="BD183" i="3"/>
  <c r="BG183" i="3" s="1"/>
  <c r="AY183" i="3"/>
  <c r="BB183" i="3" s="1"/>
  <c r="AW183" i="3"/>
  <c r="AT183" i="3"/>
  <c r="AO183" i="3"/>
  <c r="AR183" i="3" s="1"/>
  <c r="AB183" i="3"/>
  <c r="AA183" i="3"/>
  <c r="Z183" i="3"/>
  <c r="Y183" i="3"/>
  <c r="X183" i="3"/>
  <c r="M183" i="3"/>
  <c r="H183" i="3"/>
  <c r="C183" i="3"/>
  <c r="BI182" i="3"/>
  <c r="BL182" i="3" s="1"/>
  <c r="BD182" i="3"/>
  <c r="BG182" i="3" s="1"/>
  <c r="AY182" i="3"/>
  <c r="BB182" i="3" s="1"/>
  <c r="AT182" i="3"/>
  <c r="AW182" i="3" s="1"/>
  <c r="AO182" i="3"/>
  <c r="AR182" i="3" s="1"/>
  <c r="AB182" i="3"/>
  <c r="AA182" i="3"/>
  <c r="Z182" i="3"/>
  <c r="Y182" i="3"/>
  <c r="X182" i="3"/>
  <c r="M182" i="3"/>
  <c r="H182" i="3"/>
  <c r="C182" i="3"/>
  <c r="BI181" i="3"/>
  <c r="BL181" i="3" s="1"/>
  <c r="BD181" i="3"/>
  <c r="BG181" i="3" s="1"/>
  <c r="AY181" i="3"/>
  <c r="BB181" i="3" s="1"/>
  <c r="AT181" i="3"/>
  <c r="AW181" i="3" s="1"/>
  <c r="AO181" i="3"/>
  <c r="AR181" i="3" s="1"/>
  <c r="AB181" i="3"/>
  <c r="AA181" i="3"/>
  <c r="Z181" i="3"/>
  <c r="Y181" i="3"/>
  <c r="X181" i="3"/>
  <c r="M181" i="3"/>
  <c r="H181" i="3"/>
  <c r="C181" i="3"/>
  <c r="BI180" i="3"/>
  <c r="BL180" i="3" s="1"/>
  <c r="BG180" i="3"/>
  <c r="BD180" i="3"/>
  <c r="AY180" i="3"/>
  <c r="BB180" i="3" s="1"/>
  <c r="AT180" i="3"/>
  <c r="AW180" i="3" s="1"/>
  <c r="AO180" i="3"/>
  <c r="AR180" i="3" s="1"/>
  <c r="AJ180" i="3"/>
  <c r="AM180" i="3" s="1"/>
  <c r="AB180" i="3"/>
  <c r="AA180" i="3"/>
  <c r="Z180" i="3"/>
  <c r="Y180" i="3"/>
  <c r="X180" i="3"/>
  <c r="M180" i="3"/>
  <c r="H180" i="3"/>
  <c r="C180" i="3"/>
  <c r="BI179" i="3"/>
  <c r="BL179" i="3" s="1"/>
  <c r="BD179" i="3"/>
  <c r="BG179" i="3" s="1"/>
  <c r="AY179" i="3"/>
  <c r="BB179" i="3" s="1"/>
  <c r="AW179" i="3"/>
  <c r="AT179" i="3"/>
  <c r="AO179" i="3"/>
  <c r="AR179" i="3" s="1"/>
  <c r="AB179" i="3"/>
  <c r="AA179" i="3"/>
  <c r="Z179" i="3"/>
  <c r="Y179" i="3"/>
  <c r="X179" i="3"/>
  <c r="M179" i="3"/>
  <c r="H179" i="3"/>
  <c r="C179" i="3"/>
  <c r="BI178" i="3"/>
  <c r="BL178" i="3" s="1"/>
  <c r="BD178" i="3"/>
  <c r="BG178" i="3" s="1"/>
  <c r="AY178" i="3"/>
  <c r="BB178" i="3" s="1"/>
  <c r="AT178" i="3"/>
  <c r="AW178" i="3" s="1"/>
  <c r="AO178" i="3"/>
  <c r="AR178" i="3" s="1"/>
  <c r="AB178" i="3"/>
  <c r="AA178" i="3"/>
  <c r="Z178" i="3"/>
  <c r="Y178" i="3"/>
  <c r="X178" i="3"/>
  <c r="M178" i="3"/>
  <c r="H178" i="3"/>
  <c r="C178" i="3"/>
  <c r="BI177" i="3"/>
  <c r="BL177" i="3" s="1"/>
  <c r="BD177" i="3"/>
  <c r="BG177" i="3" s="1"/>
  <c r="AY177" i="3"/>
  <c r="BB177" i="3" s="1"/>
  <c r="AT177" i="3"/>
  <c r="AW177" i="3" s="1"/>
  <c r="AO177" i="3"/>
  <c r="AR177" i="3" s="1"/>
  <c r="AB177" i="3"/>
  <c r="AA177" i="3"/>
  <c r="Z177" i="3"/>
  <c r="Y177" i="3"/>
  <c r="X177" i="3"/>
  <c r="M177" i="3"/>
  <c r="H177" i="3"/>
  <c r="C177" i="3"/>
  <c r="BI176" i="3"/>
  <c r="BL176" i="3" s="1"/>
  <c r="BG176" i="3"/>
  <c r="BD176" i="3"/>
  <c r="AY176" i="3"/>
  <c r="BB176" i="3" s="1"/>
  <c r="AT176" i="3"/>
  <c r="AW176" i="3" s="1"/>
  <c r="AO176" i="3"/>
  <c r="AR176" i="3" s="1"/>
  <c r="AJ176" i="3"/>
  <c r="AM176" i="3" s="1"/>
  <c r="AB176" i="3"/>
  <c r="AA176" i="3"/>
  <c r="Z176" i="3"/>
  <c r="Y176" i="3"/>
  <c r="X176" i="3"/>
  <c r="M176" i="3"/>
  <c r="H176" i="3"/>
  <c r="C176" i="3"/>
  <c r="BI175" i="3"/>
  <c r="BL175" i="3" s="1"/>
  <c r="BD175" i="3"/>
  <c r="BG175" i="3" s="1"/>
  <c r="AY175" i="3"/>
  <c r="BB175" i="3" s="1"/>
  <c r="AW175" i="3"/>
  <c r="AT175" i="3"/>
  <c r="AO175" i="3"/>
  <c r="AR175" i="3" s="1"/>
  <c r="AB175" i="3"/>
  <c r="AA175" i="3"/>
  <c r="Z175" i="3"/>
  <c r="Y175" i="3"/>
  <c r="X175" i="3"/>
  <c r="M175" i="3"/>
  <c r="H175" i="3"/>
  <c r="C175" i="3"/>
  <c r="BI174" i="3"/>
  <c r="BL174" i="3" s="1"/>
  <c r="BD174" i="3"/>
  <c r="BG174" i="3" s="1"/>
  <c r="AY174" i="3"/>
  <c r="BB174" i="3" s="1"/>
  <c r="AT174" i="3"/>
  <c r="AW174" i="3" s="1"/>
  <c r="AO174" i="3"/>
  <c r="AR174" i="3" s="1"/>
  <c r="AB174" i="3"/>
  <c r="AA174" i="3"/>
  <c r="Z174" i="3"/>
  <c r="Y174" i="3"/>
  <c r="X174" i="3"/>
  <c r="M174" i="3"/>
  <c r="H174" i="3"/>
  <c r="C174" i="3"/>
  <c r="BI173" i="3"/>
  <c r="BL173" i="3" s="1"/>
  <c r="BD173" i="3"/>
  <c r="BG173" i="3" s="1"/>
  <c r="AY173" i="3"/>
  <c r="BB173" i="3" s="1"/>
  <c r="AT173" i="3"/>
  <c r="AW173" i="3" s="1"/>
  <c r="AO173" i="3"/>
  <c r="AR173" i="3" s="1"/>
  <c r="AB173" i="3"/>
  <c r="AA173" i="3"/>
  <c r="Z173" i="3"/>
  <c r="Y173" i="3"/>
  <c r="X173" i="3"/>
  <c r="M173" i="3"/>
  <c r="H173" i="3"/>
  <c r="C173" i="3"/>
  <c r="BI172" i="3"/>
  <c r="BL172" i="3" s="1"/>
  <c r="BG172" i="3"/>
  <c r="BD172" i="3"/>
  <c r="AY172" i="3"/>
  <c r="BB172" i="3" s="1"/>
  <c r="AT172" i="3"/>
  <c r="AW172" i="3" s="1"/>
  <c r="AO172" i="3"/>
  <c r="AR172" i="3" s="1"/>
  <c r="AB172" i="3"/>
  <c r="AA172" i="3"/>
  <c r="Z172" i="3"/>
  <c r="Y172" i="3"/>
  <c r="X172" i="3"/>
  <c r="M172" i="3"/>
  <c r="H172" i="3"/>
  <c r="C172" i="3"/>
  <c r="BI171" i="3"/>
  <c r="BL171" i="3" s="1"/>
  <c r="BD171" i="3"/>
  <c r="BG171" i="3" s="1"/>
  <c r="AY171" i="3"/>
  <c r="BB171" i="3" s="1"/>
  <c r="AW171" i="3"/>
  <c r="AT171" i="3"/>
  <c r="AO171" i="3"/>
  <c r="AR171" i="3" s="1"/>
  <c r="AB171" i="3"/>
  <c r="AA171" i="3"/>
  <c r="Z171" i="3"/>
  <c r="Y171" i="3"/>
  <c r="X171" i="3"/>
  <c r="M171" i="3"/>
  <c r="H171" i="3"/>
  <c r="C171" i="3"/>
  <c r="BI170" i="3"/>
  <c r="BL170" i="3" s="1"/>
  <c r="BD170" i="3"/>
  <c r="BG170" i="3" s="1"/>
  <c r="AY170" i="3"/>
  <c r="BB170" i="3" s="1"/>
  <c r="AT170" i="3"/>
  <c r="AW170" i="3" s="1"/>
  <c r="AO170" i="3"/>
  <c r="AR170" i="3" s="1"/>
  <c r="AB170" i="3"/>
  <c r="AA170" i="3"/>
  <c r="Z170" i="3"/>
  <c r="Y170" i="3"/>
  <c r="X170" i="3"/>
  <c r="M170" i="3"/>
  <c r="H170" i="3"/>
  <c r="C170" i="3"/>
  <c r="BI169" i="3"/>
  <c r="BL169" i="3" s="1"/>
  <c r="BD169" i="3"/>
  <c r="BG169" i="3" s="1"/>
  <c r="AY169" i="3"/>
  <c r="BB169" i="3" s="1"/>
  <c r="AT169" i="3"/>
  <c r="AW169" i="3" s="1"/>
  <c r="AO169" i="3"/>
  <c r="AR169" i="3" s="1"/>
  <c r="AB169" i="3"/>
  <c r="AA169" i="3"/>
  <c r="Z169" i="3"/>
  <c r="Y169" i="3"/>
  <c r="X169" i="3"/>
  <c r="M169" i="3"/>
  <c r="H169" i="3"/>
  <c r="C169" i="3"/>
  <c r="BI168" i="3"/>
  <c r="BL168" i="3" s="1"/>
  <c r="BG168" i="3"/>
  <c r="BD168" i="3"/>
  <c r="AY168" i="3"/>
  <c r="BB168" i="3" s="1"/>
  <c r="AT168" i="3"/>
  <c r="AW168" i="3" s="1"/>
  <c r="AO168" i="3"/>
  <c r="AR168" i="3" s="1"/>
  <c r="AJ168" i="3"/>
  <c r="AM168" i="3" s="1"/>
  <c r="AB168" i="3"/>
  <c r="AA168" i="3"/>
  <c r="Z168" i="3"/>
  <c r="Y168" i="3"/>
  <c r="X168" i="3"/>
  <c r="M168" i="3"/>
  <c r="H168" i="3"/>
  <c r="C168" i="3"/>
  <c r="BI167" i="3"/>
  <c r="BL167" i="3" s="1"/>
  <c r="BD167" i="3"/>
  <c r="BG167" i="3" s="1"/>
  <c r="AY167" i="3"/>
  <c r="BB167" i="3" s="1"/>
  <c r="AW167" i="3"/>
  <c r="AT167" i="3"/>
  <c r="AO167" i="3"/>
  <c r="AR167" i="3" s="1"/>
  <c r="AJ167" i="3"/>
  <c r="AM167" i="3" s="1"/>
  <c r="AB167" i="3"/>
  <c r="AA167" i="3"/>
  <c r="Z167" i="3"/>
  <c r="Y167" i="3"/>
  <c r="X167" i="3"/>
  <c r="M167" i="3"/>
  <c r="H167" i="3"/>
  <c r="C167" i="3"/>
  <c r="BI166" i="3"/>
  <c r="BL166" i="3" s="1"/>
  <c r="BD166" i="3"/>
  <c r="BG166" i="3" s="1"/>
  <c r="AY166" i="3"/>
  <c r="BB166" i="3" s="1"/>
  <c r="AT166" i="3"/>
  <c r="AW166" i="3" s="1"/>
  <c r="AO166" i="3"/>
  <c r="AR166" i="3" s="1"/>
  <c r="AJ166" i="3"/>
  <c r="AM166" i="3" s="1"/>
  <c r="AB166" i="3"/>
  <c r="AA166" i="3"/>
  <c r="Z166" i="3"/>
  <c r="Y166" i="3"/>
  <c r="X166" i="3"/>
  <c r="M166" i="3"/>
  <c r="H166" i="3"/>
  <c r="C166" i="3"/>
  <c r="BI165" i="3"/>
  <c r="BL165" i="3" s="1"/>
  <c r="BD165" i="3"/>
  <c r="BG165" i="3" s="1"/>
  <c r="AY165" i="3"/>
  <c r="BB165" i="3" s="1"/>
  <c r="AT165" i="3"/>
  <c r="AW165" i="3" s="1"/>
  <c r="AO165" i="3"/>
  <c r="AR165" i="3" s="1"/>
  <c r="AB165" i="3"/>
  <c r="AA165" i="3"/>
  <c r="Z165" i="3"/>
  <c r="Y165" i="3"/>
  <c r="X165" i="3"/>
  <c r="M165" i="3"/>
  <c r="H165" i="3"/>
  <c r="C165" i="3"/>
  <c r="BI164" i="3"/>
  <c r="BL164" i="3" s="1"/>
  <c r="BG164" i="3"/>
  <c r="BD164" i="3"/>
  <c r="AY164" i="3"/>
  <c r="BB164" i="3" s="1"/>
  <c r="AT164" i="3"/>
  <c r="AW164" i="3" s="1"/>
  <c r="AO164" i="3"/>
  <c r="AR164" i="3" s="1"/>
  <c r="AB164" i="3"/>
  <c r="AA164" i="3"/>
  <c r="Z164" i="3"/>
  <c r="Y164" i="3"/>
  <c r="X164" i="3"/>
  <c r="M164" i="3"/>
  <c r="H164" i="3"/>
  <c r="C164" i="3"/>
  <c r="BI163" i="3"/>
  <c r="BL163" i="3" s="1"/>
  <c r="BD163" i="3"/>
  <c r="BG163" i="3" s="1"/>
  <c r="AY163" i="3"/>
  <c r="BB163" i="3" s="1"/>
  <c r="AW163" i="3"/>
  <c r="AT163" i="3"/>
  <c r="AO163" i="3"/>
  <c r="AR163" i="3" s="1"/>
  <c r="AB163" i="3"/>
  <c r="AA163" i="3"/>
  <c r="Z163" i="3"/>
  <c r="Y163" i="3"/>
  <c r="X163" i="3"/>
  <c r="M163" i="3"/>
  <c r="H163" i="3"/>
  <c r="C163" i="3"/>
  <c r="BI162" i="3"/>
  <c r="BL162" i="3" s="1"/>
  <c r="BD162" i="3"/>
  <c r="BG162" i="3" s="1"/>
  <c r="AY162" i="3"/>
  <c r="BB162" i="3" s="1"/>
  <c r="AT162" i="3"/>
  <c r="AW162" i="3" s="1"/>
  <c r="AO162" i="3"/>
  <c r="AR162" i="3" s="1"/>
  <c r="AB162" i="3"/>
  <c r="AA162" i="3"/>
  <c r="Z162" i="3"/>
  <c r="Y162" i="3"/>
  <c r="X162" i="3"/>
  <c r="M162" i="3"/>
  <c r="H162" i="3"/>
  <c r="C162" i="3"/>
  <c r="BI161" i="3"/>
  <c r="BL161" i="3" s="1"/>
  <c r="BD161" i="3"/>
  <c r="BG161" i="3" s="1"/>
  <c r="AY161" i="3"/>
  <c r="BB161" i="3" s="1"/>
  <c r="AT161" i="3"/>
  <c r="AW161" i="3" s="1"/>
  <c r="AO161" i="3"/>
  <c r="AR161" i="3" s="1"/>
  <c r="AJ161" i="3"/>
  <c r="AM161" i="3" s="1"/>
  <c r="AB161" i="3"/>
  <c r="AA161" i="3"/>
  <c r="Z161" i="3"/>
  <c r="Y161" i="3"/>
  <c r="X161" i="3"/>
  <c r="M161" i="3"/>
  <c r="H161" i="3"/>
  <c r="C161" i="3"/>
  <c r="BI160" i="3"/>
  <c r="BL160" i="3" s="1"/>
  <c r="BG160" i="3"/>
  <c r="BD160" i="3"/>
  <c r="AY160" i="3"/>
  <c r="BB160" i="3" s="1"/>
  <c r="AT160" i="3"/>
  <c r="AW160" i="3" s="1"/>
  <c r="AO160" i="3"/>
  <c r="AR160" i="3" s="1"/>
  <c r="AB160" i="3"/>
  <c r="AA160" i="3"/>
  <c r="Z160" i="3"/>
  <c r="Y160" i="3"/>
  <c r="X160" i="3"/>
  <c r="M160" i="3"/>
  <c r="H160" i="3"/>
  <c r="C160" i="3"/>
  <c r="BI159" i="3"/>
  <c r="BL159" i="3" s="1"/>
  <c r="BD159" i="3"/>
  <c r="BG159" i="3" s="1"/>
  <c r="AY159" i="3"/>
  <c r="BB159" i="3" s="1"/>
  <c r="AW159" i="3"/>
  <c r="AT159" i="3"/>
  <c r="AO159" i="3"/>
  <c r="AR159" i="3" s="1"/>
  <c r="AB159" i="3"/>
  <c r="AA159" i="3"/>
  <c r="Z159" i="3"/>
  <c r="Y159" i="3"/>
  <c r="X159" i="3"/>
  <c r="M159" i="3"/>
  <c r="H159" i="3"/>
  <c r="C159" i="3"/>
  <c r="BI158" i="3"/>
  <c r="BL158" i="3" s="1"/>
  <c r="BD158" i="3"/>
  <c r="BG158" i="3" s="1"/>
  <c r="AY158" i="3"/>
  <c r="BB158" i="3" s="1"/>
  <c r="AT158" i="3"/>
  <c r="AW158" i="3" s="1"/>
  <c r="AO158" i="3"/>
  <c r="AR158" i="3" s="1"/>
  <c r="AB158" i="3"/>
  <c r="AA158" i="3"/>
  <c r="Z158" i="3"/>
  <c r="Y158" i="3"/>
  <c r="X158" i="3"/>
  <c r="M158" i="3"/>
  <c r="H158" i="3"/>
  <c r="C158" i="3"/>
  <c r="BI157" i="3"/>
  <c r="BL157" i="3" s="1"/>
  <c r="BD157" i="3"/>
  <c r="BG157" i="3" s="1"/>
  <c r="AY157" i="3"/>
  <c r="BB157" i="3" s="1"/>
  <c r="AT157" i="3"/>
  <c r="AW157" i="3" s="1"/>
  <c r="AO157" i="3"/>
  <c r="AR157" i="3" s="1"/>
  <c r="AJ157" i="3"/>
  <c r="AM157" i="3" s="1"/>
  <c r="AB157" i="3"/>
  <c r="AA157" i="3"/>
  <c r="Z157" i="3"/>
  <c r="Y157" i="3"/>
  <c r="X157" i="3"/>
  <c r="M157" i="3"/>
  <c r="H157" i="3"/>
  <c r="C157" i="3"/>
  <c r="BI156" i="3"/>
  <c r="BL156" i="3" s="1"/>
  <c r="BG156" i="3"/>
  <c r="BD156" i="3"/>
  <c r="AY156" i="3"/>
  <c r="BB156" i="3" s="1"/>
  <c r="AT156" i="3"/>
  <c r="AW156" i="3" s="1"/>
  <c r="AO156" i="3"/>
  <c r="AR156" i="3" s="1"/>
  <c r="AB156" i="3"/>
  <c r="AA156" i="3"/>
  <c r="Z156" i="3"/>
  <c r="Y156" i="3"/>
  <c r="X156" i="3"/>
  <c r="M156" i="3"/>
  <c r="H156" i="3"/>
  <c r="C156" i="3"/>
  <c r="BI155" i="3"/>
  <c r="BL155" i="3" s="1"/>
  <c r="BD155" i="3"/>
  <c r="BG155" i="3" s="1"/>
  <c r="AY155" i="3"/>
  <c r="BB155" i="3" s="1"/>
  <c r="AW155" i="3"/>
  <c r="AT155" i="3"/>
  <c r="AO155" i="3"/>
  <c r="AR155" i="3" s="1"/>
  <c r="AB155" i="3"/>
  <c r="AA155" i="3"/>
  <c r="Z155" i="3"/>
  <c r="Y155" i="3"/>
  <c r="X155" i="3"/>
  <c r="M155" i="3"/>
  <c r="H155" i="3"/>
  <c r="C155" i="3"/>
  <c r="BI154" i="3"/>
  <c r="BL154" i="3" s="1"/>
  <c r="BD154" i="3"/>
  <c r="BG154" i="3" s="1"/>
  <c r="AY154" i="3"/>
  <c r="BB154" i="3" s="1"/>
  <c r="AT154" i="3"/>
  <c r="AW154" i="3" s="1"/>
  <c r="AO154" i="3"/>
  <c r="AR154" i="3" s="1"/>
  <c r="AB154" i="3"/>
  <c r="AA154" i="3"/>
  <c r="Z154" i="3"/>
  <c r="Y154" i="3"/>
  <c r="X154" i="3"/>
  <c r="M154" i="3"/>
  <c r="H154" i="3"/>
  <c r="C154" i="3"/>
  <c r="BI13" i="3"/>
  <c r="BL13" i="3" s="1"/>
  <c r="BD13" i="3"/>
  <c r="BG13" i="3" s="1"/>
  <c r="AY13" i="3"/>
  <c r="BB13" i="3" s="1"/>
  <c r="AT13" i="3"/>
  <c r="AW13" i="3" s="1"/>
  <c r="AO13" i="3"/>
  <c r="AR13" i="3" s="1"/>
  <c r="AB13" i="3"/>
  <c r="AA13" i="3"/>
  <c r="Z13" i="3"/>
  <c r="Y13" i="3"/>
  <c r="X13" i="3"/>
  <c r="M13" i="3"/>
  <c r="H13" i="3"/>
  <c r="C13" i="3"/>
  <c r="BI12" i="3"/>
  <c r="BL12" i="3" s="1"/>
  <c r="BG12" i="3"/>
  <c r="BD12" i="3"/>
  <c r="AY12" i="3"/>
  <c r="BB12" i="3" s="1"/>
  <c r="AT12" i="3"/>
  <c r="AW12" i="3" s="1"/>
  <c r="AO12" i="3"/>
  <c r="AR12" i="3" s="1"/>
  <c r="AB12" i="3"/>
  <c r="AA12" i="3"/>
  <c r="Z12" i="3"/>
  <c r="Y12" i="3"/>
  <c r="X12" i="3"/>
  <c r="M12" i="3"/>
  <c r="H12" i="3"/>
  <c r="C12" i="3"/>
  <c r="BI11" i="3"/>
  <c r="BL11" i="3" s="1"/>
  <c r="BD11" i="3"/>
  <c r="BG11" i="3" s="1"/>
  <c r="AY11" i="3"/>
  <c r="BB11" i="3" s="1"/>
  <c r="AW11" i="3"/>
  <c r="AT11" i="3"/>
  <c r="AO11" i="3"/>
  <c r="AR11" i="3" s="1"/>
  <c r="AB11" i="3"/>
  <c r="AA11" i="3"/>
  <c r="Z11" i="3"/>
  <c r="Y11" i="3"/>
  <c r="X11" i="3"/>
  <c r="M11" i="3"/>
  <c r="H11" i="3"/>
  <c r="C11" i="3"/>
  <c r="BI10" i="3"/>
  <c r="BL10" i="3" s="1"/>
  <c r="BD10" i="3"/>
  <c r="BG10" i="3" s="1"/>
  <c r="AY10" i="3"/>
  <c r="BB10" i="3" s="1"/>
  <c r="AT10" i="3"/>
  <c r="AW10" i="3" s="1"/>
  <c r="AO10" i="3"/>
  <c r="AR10" i="3" s="1"/>
  <c r="AB10" i="3"/>
  <c r="AA10" i="3"/>
  <c r="Z10" i="3"/>
  <c r="Y10" i="3"/>
  <c r="X10" i="3"/>
  <c r="M10" i="3"/>
  <c r="H10" i="3"/>
  <c r="C10" i="3"/>
  <c r="BI9" i="3"/>
  <c r="BL9" i="3" s="1"/>
  <c r="BD9" i="3"/>
  <c r="BG9" i="3" s="1"/>
  <c r="AY9" i="3"/>
  <c r="BB9" i="3" s="1"/>
  <c r="AT9" i="3"/>
  <c r="AW9" i="3" s="1"/>
  <c r="AO9" i="3"/>
  <c r="AR9" i="3" s="1"/>
  <c r="BI8" i="3"/>
  <c r="BL8" i="3" s="1"/>
  <c r="BD8" i="3"/>
  <c r="BG8" i="3" s="1"/>
  <c r="AY8" i="3"/>
  <c r="BB8" i="3" s="1"/>
  <c r="AT8" i="3"/>
  <c r="AW8" i="3" s="1"/>
  <c r="AO8" i="3"/>
  <c r="AR8" i="3" s="1"/>
  <c r="BI7" i="3"/>
  <c r="BL7" i="3" s="1"/>
  <c r="BD7" i="3"/>
  <c r="BG7" i="3" s="1"/>
  <c r="AY7" i="3"/>
  <c r="BB7" i="3" s="1"/>
  <c r="AT7" i="3"/>
  <c r="AW7" i="3" s="1"/>
  <c r="AO7" i="3"/>
  <c r="AR7" i="3" s="1"/>
  <c r="BI6" i="3"/>
  <c r="BL6" i="3" s="1"/>
  <c r="BD6" i="3"/>
  <c r="BG6" i="3" s="1"/>
  <c r="AY6" i="3"/>
  <c r="BB6" i="3" s="1"/>
  <c r="AT6" i="3"/>
  <c r="AW6" i="3" s="1"/>
  <c r="AO6" i="3"/>
  <c r="AR6" i="3" s="1"/>
  <c r="AF6" i="3"/>
  <c r="BL1" i="3" s="1"/>
  <c r="BI5" i="3"/>
  <c r="BL5" i="3" s="1"/>
  <c r="BD5" i="3"/>
  <c r="BG5" i="3" s="1"/>
  <c r="AY5" i="3"/>
  <c r="BB5" i="3" s="1"/>
  <c r="AT5" i="3"/>
  <c r="AW5" i="3" s="1"/>
  <c r="AO5" i="3"/>
  <c r="AR5" i="3" s="1"/>
  <c r="AF5" i="3"/>
  <c r="BI4" i="3"/>
  <c r="BL4" i="3" s="1"/>
  <c r="BD4" i="3"/>
  <c r="BG4" i="3" s="1"/>
  <c r="BB4" i="3"/>
  <c r="AY4" i="3"/>
  <c r="AT4" i="3"/>
  <c r="AW4" i="3" s="1"/>
  <c r="AO4" i="3"/>
  <c r="AR4" i="3" s="1"/>
  <c r="AF4" i="3"/>
  <c r="BB1" i="3" s="1"/>
  <c r="BI3" i="3"/>
  <c r="BL3" i="3" s="1"/>
  <c r="BD3" i="3"/>
  <c r="BG3" i="3" s="1"/>
  <c r="AY3" i="3"/>
  <c r="BB3" i="3" s="1"/>
  <c r="AT3" i="3"/>
  <c r="AW3" i="3" s="1"/>
  <c r="AO3" i="3"/>
  <c r="AR3" i="3" s="1"/>
  <c r="AF3" i="3"/>
  <c r="AW1" i="3" s="1"/>
  <c r="U3" i="3"/>
  <c r="B3" i="3"/>
  <c r="BI2" i="3"/>
  <c r="BL2" i="3" s="1"/>
  <c r="BD2" i="3"/>
  <c r="BG2" i="3" s="1"/>
  <c r="AY2" i="3"/>
  <c r="BB2" i="3" s="1"/>
  <c r="AW2" i="3"/>
  <c r="AT2" i="3"/>
  <c r="AO2" i="3"/>
  <c r="AR2" i="3" s="1"/>
  <c r="AF2" i="3"/>
  <c r="AR1" i="3" s="1"/>
  <c r="BG1" i="3"/>
  <c r="AF1" i="3"/>
  <c r="AM1" i="3" s="1"/>
  <c r="W865" i="6"/>
  <c r="V865" i="6"/>
  <c r="U865" i="6"/>
  <c r="T865" i="6"/>
  <c r="S865" i="6"/>
  <c r="R865" i="6"/>
  <c r="Q865" i="6"/>
  <c r="P865" i="6"/>
  <c r="O865" i="6"/>
  <c r="N865" i="6"/>
  <c r="M865" i="6"/>
  <c r="L865" i="6"/>
  <c r="W864" i="6"/>
  <c r="V864" i="6"/>
  <c r="U864" i="6"/>
  <c r="T864" i="6"/>
  <c r="S864" i="6"/>
  <c r="R864" i="6"/>
  <c r="Q864" i="6"/>
  <c r="P864" i="6"/>
  <c r="O864" i="6"/>
  <c r="N864" i="6"/>
  <c r="M864" i="6"/>
  <c r="L864" i="6"/>
  <c r="W863" i="6"/>
  <c r="V863" i="6"/>
  <c r="U863" i="6"/>
  <c r="T863" i="6"/>
  <c r="S863" i="6"/>
  <c r="R863" i="6"/>
  <c r="Q863" i="6"/>
  <c r="P863" i="6"/>
  <c r="O863" i="6"/>
  <c r="N863" i="6"/>
  <c r="M863" i="6"/>
  <c r="L863" i="6"/>
  <c r="W862" i="6"/>
  <c r="V862" i="6"/>
  <c r="U862" i="6"/>
  <c r="T862" i="6"/>
  <c r="S862" i="6"/>
  <c r="R862" i="6"/>
  <c r="Q862" i="6"/>
  <c r="P862" i="6"/>
  <c r="O862" i="6"/>
  <c r="N862" i="6"/>
  <c r="M862" i="6"/>
  <c r="L862" i="6"/>
  <c r="W861" i="6"/>
  <c r="V861" i="6"/>
  <c r="U861" i="6"/>
  <c r="T861" i="6"/>
  <c r="S861" i="6"/>
  <c r="R861" i="6"/>
  <c r="Q861" i="6"/>
  <c r="P861" i="6"/>
  <c r="O861" i="6"/>
  <c r="N861" i="6"/>
  <c r="M861" i="6"/>
  <c r="L861" i="6"/>
  <c r="W860" i="6"/>
  <c r="V860" i="6"/>
  <c r="U860" i="6"/>
  <c r="T860" i="6"/>
  <c r="S860" i="6"/>
  <c r="R860" i="6"/>
  <c r="Q860" i="6"/>
  <c r="P860" i="6"/>
  <c r="O860" i="6"/>
  <c r="N860" i="6"/>
  <c r="M860" i="6"/>
  <c r="L860" i="6"/>
  <c r="W859" i="6"/>
  <c r="V859" i="6"/>
  <c r="U859" i="6"/>
  <c r="T859" i="6"/>
  <c r="S859" i="6"/>
  <c r="R859" i="6"/>
  <c r="Q859" i="6"/>
  <c r="P859" i="6"/>
  <c r="O859" i="6"/>
  <c r="N859" i="6"/>
  <c r="M859" i="6"/>
  <c r="L859" i="6"/>
  <c r="W858" i="6"/>
  <c r="V858" i="6"/>
  <c r="U858" i="6"/>
  <c r="T858" i="6"/>
  <c r="S858" i="6"/>
  <c r="R858" i="6"/>
  <c r="Q858" i="6"/>
  <c r="P858" i="6"/>
  <c r="O858" i="6"/>
  <c r="N858" i="6"/>
  <c r="M858" i="6"/>
  <c r="L858" i="6"/>
  <c r="W857" i="6"/>
  <c r="V857" i="6"/>
  <c r="U857" i="6"/>
  <c r="T857" i="6"/>
  <c r="S857" i="6"/>
  <c r="R857" i="6"/>
  <c r="Q857" i="6"/>
  <c r="P857" i="6"/>
  <c r="O857" i="6"/>
  <c r="N857" i="6"/>
  <c r="M857" i="6"/>
  <c r="L857" i="6"/>
  <c r="W856" i="6"/>
  <c r="V856" i="6"/>
  <c r="U856" i="6"/>
  <c r="T856" i="6"/>
  <c r="S856" i="6"/>
  <c r="R856" i="6"/>
  <c r="Q856" i="6"/>
  <c r="P856" i="6"/>
  <c r="O856" i="6"/>
  <c r="N856" i="6"/>
  <c r="M856" i="6"/>
  <c r="L856" i="6"/>
  <c r="W855" i="6"/>
  <c r="V855" i="6"/>
  <c r="U855" i="6"/>
  <c r="T855" i="6"/>
  <c r="S855" i="6"/>
  <c r="R855" i="6"/>
  <c r="Q855" i="6"/>
  <c r="P855" i="6"/>
  <c r="O855" i="6"/>
  <c r="N855" i="6"/>
  <c r="M855" i="6"/>
  <c r="L855" i="6"/>
  <c r="W854" i="6"/>
  <c r="V854" i="6"/>
  <c r="U854" i="6"/>
  <c r="T854" i="6"/>
  <c r="S854" i="6"/>
  <c r="R854" i="6"/>
  <c r="Q854" i="6"/>
  <c r="P854" i="6"/>
  <c r="O854" i="6"/>
  <c r="N854" i="6"/>
  <c r="M854" i="6"/>
  <c r="L854" i="6"/>
  <c r="W853" i="6"/>
  <c r="V853" i="6"/>
  <c r="U853" i="6"/>
  <c r="T853" i="6"/>
  <c r="S853" i="6"/>
  <c r="R853" i="6"/>
  <c r="Q853" i="6"/>
  <c r="P853" i="6"/>
  <c r="O853" i="6"/>
  <c r="N853" i="6"/>
  <c r="M853" i="6"/>
  <c r="L853" i="6"/>
  <c r="W852" i="6"/>
  <c r="V852" i="6"/>
  <c r="U852" i="6"/>
  <c r="T852" i="6"/>
  <c r="S852" i="6"/>
  <c r="R852" i="6"/>
  <c r="Q852" i="6"/>
  <c r="P852" i="6"/>
  <c r="O852" i="6"/>
  <c r="N852" i="6"/>
  <c r="M852" i="6"/>
  <c r="L852" i="6"/>
  <c r="W851" i="6"/>
  <c r="V851" i="6"/>
  <c r="U851" i="6"/>
  <c r="T851" i="6"/>
  <c r="S851" i="6"/>
  <c r="R851" i="6"/>
  <c r="Q851" i="6"/>
  <c r="P851" i="6"/>
  <c r="O851" i="6"/>
  <c r="N851" i="6"/>
  <c r="M851" i="6"/>
  <c r="L851" i="6"/>
  <c r="W850" i="6"/>
  <c r="V850" i="6"/>
  <c r="U850" i="6"/>
  <c r="T850" i="6"/>
  <c r="S850" i="6"/>
  <c r="R850" i="6"/>
  <c r="Q850" i="6"/>
  <c r="P850" i="6"/>
  <c r="O850" i="6"/>
  <c r="N850" i="6"/>
  <c r="M850" i="6"/>
  <c r="L850" i="6"/>
  <c r="W849" i="6"/>
  <c r="V849" i="6"/>
  <c r="U849" i="6"/>
  <c r="T849" i="6"/>
  <c r="S849" i="6"/>
  <c r="R849" i="6"/>
  <c r="Q849" i="6"/>
  <c r="P849" i="6"/>
  <c r="O849" i="6"/>
  <c r="N849" i="6"/>
  <c r="M849" i="6"/>
  <c r="L849" i="6"/>
  <c r="W848" i="6"/>
  <c r="V848" i="6"/>
  <c r="U848" i="6"/>
  <c r="T848" i="6"/>
  <c r="S848" i="6"/>
  <c r="R848" i="6"/>
  <c r="Q848" i="6"/>
  <c r="P848" i="6"/>
  <c r="O848" i="6"/>
  <c r="N848" i="6"/>
  <c r="M848" i="6"/>
  <c r="L848" i="6"/>
  <c r="W847" i="6"/>
  <c r="V847" i="6"/>
  <c r="U847" i="6"/>
  <c r="T847" i="6"/>
  <c r="S847" i="6"/>
  <c r="R847" i="6"/>
  <c r="Q847" i="6"/>
  <c r="P847" i="6"/>
  <c r="O847" i="6"/>
  <c r="N847" i="6"/>
  <c r="M847" i="6"/>
  <c r="L847" i="6"/>
  <c r="W846" i="6"/>
  <c r="V846" i="6"/>
  <c r="U846" i="6"/>
  <c r="T846" i="6"/>
  <c r="S846" i="6"/>
  <c r="R846" i="6"/>
  <c r="Q846" i="6"/>
  <c r="P846" i="6"/>
  <c r="O846" i="6"/>
  <c r="N846" i="6"/>
  <c r="M846" i="6"/>
  <c r="L846" i="6"/>
  <c r="W845" i="6"/>
  <c r="V845" i="6"/>
  <c r="U845" i="6"/>
  <c r="T845" i="6"/>
  <c r="S845" i="6"/>
  <c r="R845" i="6"/>
  <c r="Q845" i="6"/>
  <c r="P845" i="6"/>
  <c r="O845" i="6"/>
  <c r="N845" i="6"/>
  <c r="M845" i="6"/>
  <c r="L845" i="6"/>
  <c r="W844" i="6"/>
  <c r="V844" i="6"/>
  <c r="U844" i="6"/>
  <c r="T844" i="6"/>
  <c r="S844" i="6"/>
  <c r="R844" i="6"/>
  <c r="Q844" i="6"/>
  <c r="P844" i="6"/>
  <c r="O844" i="6"/>
  <c r="N844" i="6"/>
  <c r="M844" i="6"/>
  <c r="L844" i="6"/>
  <c r="W843" i="6"/>
  <c r="V843" i="6"/>
  <c r="U843" i="6"/>
  <c r="T843" i="6"/>
  <c r="S843" i="6"/>
  <c r="R843" i="6"/>
  <c r="Q843" i="6"/>
  <c r="P843" i="6"/>
  <c r="O843" i="6"/>
  <c r="N843" i="6"/>
  <c r="M843" i="6"/>
  <c r="L843" i="6"/>
  <c r="W842" i="6"/>
  <c r="V842" i="6"/>
  <c r="U842" i="6"/>
  <c r="T842" i="6"/>
  <c r="S842" i="6"/>
  <c r="R842" i="6"/>
  <c r="Q842" i="6"/>
  <c r="P842" i="6"/>
  <c r="O842" i="6"/>
  <c r="N842" i="6"/>
  <c r="M842" i="6"/>
  <c r="L842" i="6"/>
  <c r="W841" i="6"/>
  <c r="V841" i="6"/>
  <c r="U841" i="6"/>
  <c r="T841" i="6"/>
  <c r="S841" i="6"/>
  <c r="R841" i="6"/>
  <c r="Q841" i="6"/>
  <c r="P841" i="6"/>
  <c r="O841" i="6"/>
  <c r="N841" i="6"/>
  <c r="M841" i="6"/>
  <c r="L841" i="6"/>
  <c r="W840" i="6"/>
  <c r="V840" i="6"/>
  <c r="U840" i="6"/>
  <c r="T840" i="6"/>
  <c r="S840" i="6"/>
  <c r="R840" i="6"/>
  <c r="Q840" i="6"/>
  <c r="P840" i="6"/>
  <c r="O840" i="6"/>
  <c r="N840" i="6"/>
  <c r="M840" i="6"/>
  <c r="L840" i="6"/>
  <c r="W839" i="6"/>
  <c r="V839" i="6"/>
  <c r="U839" i="6"/>
  <c r="T839" i="6"/>
  <c r="S839" i="6"/>
  <c r="R839" i="6"/>
  <c r="Q839" i="6"/>
  <c r="P839" i="6"/>
  <c r="O839" i="6"/>
  <c r="N839" i="6"/>
  <c r="M839" i="6"/>
  <c r="L839" i="6"/>
  <c r="W838" i="6"/>
  <c r="V838" i="6"/>
  <c r="U838" i="6"/>
  <c r="T838" i="6"/>
  <c r="S838" i="6"/>
  <c r="R838" i="6"/>
  <c r="Q838" i="6"/>
  <c r="P838" i="6"/>
  <c r="O838" i="6"/>
  <c r="N838" i="6"/>
  <c r="M838" i="6"/>
  <c r="L838" i="6"/>
  <c r="W837" i="6"/>
  <c r="V837" i="6"/>
  <c r="U837" i="6"/>
  <c r="T837" i="6"/>
  <c r="S837" i="6"/>
  <c r="R837" i="6"/>
  <c r="Q837" i="6"/>
  <c r="P837" i="6"/>
  <c r="O837" i="6"/>
  <c r="N837" i="6"/>
  <c r="M837" i="6"/>
  <c r="L837" i="6"/>
  <c r="W836" i="6"/>
  <c r="V836" i="6"/>
  <c r="U836" i="6"/>
  <c r="T836" i="6"/>
  <c r="S836" i="6"/>
  <c r="R836" i="6"/>
  <c r="Q836" i="6"/>
  <c r="P836" i="6"/>
  <c r="O836" i="6"/>
  <c r="N836" i="6"/>
  <c r="M836" i="6"/>
  <c r="L836" i="6"/>
  <c r="W835" i="6"/>
  <c r="V835" i="6"/>
  <c r="U835" i="6"/>
  <c r="T835" i="6"/>
  <c r="S835" i="6"/>
  <c r="R835" i="6"/>
  <c r="Q835" i="6"/>
  <c r="P835" i="6"/>
  <c r="O835" i="6"/>
  <c r="N835" i="6"/>
  <c r="M835" i="6"/>
  <c r="L835" i="6"/>
  <c r="W834" i="6"/>
  <c r="V834" i="6"/>
  <c r="U834" i="6"/>
  <c r="T834" i="6"/>
  <c r="S834" i="6"/>
  <c r="R834" i="6"/>
  <c r="Q834" i="6"/>
  <c r="P834" i="6"/>
  <c r="O834" i="6"/>
  <c r="N834" i="6"/>
  <c r="M834" i="6"/>
  <c r="L834" i="6"/>
  <c r="W833" i="6"/>
  <c r="V833" i="6"/>
  <c r="U833" i="6"/>
  <c r="T833" i="6"/>
  <c r="S833" i="6"/>
  <c r="R833" i="6"/>
  <c r="Q833" i="6"/>
  <c r="P833" i="6"/>
  <c r="O833" i="6"/>
  <c r="N833" i="6"/>
  <c r="M833" i="6"/>
  <c r="L833" i="6"/>
  <c r="W832" i="6"/>
  <c r="V832" i="6"/>
  <c r="U832" i="6"/>
  <c r="T832" i="6"/>
  <c r="S832" i="6"/>
  <c r="R832" i="6"/>
  <c r="Q832" i="6"/>
  <c r="P832" i="6"/>
  <c r="O832" i="6"/>
  <c r="N832" i="6"/>
  <c r="M832" i="6"/>
  <c r="L832" i="6"/>
  <c r="W831" i="6"/>
  <c r="V831" i="6"/>
  <c r="U831" i="6"/>
  <c r="T831" i="6"/>
  <c r="S831" i="6"/>
  <c r="R831" i="6"/>
  <c r="Q831" i="6"/>
  <c r="P831" i="6"/>
  <c r="O831" i="6"/>
  <c r="N831" i="6"/>
  <c r="M831" i="6"/>
  <c r="L831" i="6"/>
  <c r="W830" i="6"/>
  <c r="V830" i="6"/>
  <c r="U830" i="6"/>
  <c r="T830" i="6"/>
  <c r="S830" i="6"/>
  <c r="R830" i="6"/>
  <c r="Q830" i="6"/>
  <c r="P830" i="6"/>
  <c r="O830" i="6"/>
  <c r="N830" i="6"/>
  <c r="M830" i="6"/>
  <c r="L830" i="6"/>
  <c r="W829" i="6"/>
  <c r="V829" i="6"/>
  <c r="U829" i="6"/>
  <c r="T829" i="6"/>
  <c r="S829" i="6"/>
  <c r="R829" i="6"/>
  <c r="Q829" i="6"/>
  <c r="P829" i="6"/>
  <c r="O829" i="6"/>
  <c r="N829" i="6"/>
  <c r="M829" i="6"/>
  <c r="L829" i="6"/>
  <c r="W828" i="6"/>
  <c r="V828" i="6"/>
  <c r="U828" i="6"/>
  <c r="T828" i="6"/>
  <c r="S828" i="6"/>
  <c r="R828" i="6"/>
  <c r="Q828" i="6"/>
  <c r="P828" i="6"/>
  <c r="O828" i="6"/>
  <c r="N828" i="6"/>
  <c r="M828" i="6"/>
  <c r="L828" i="6"/>
  <c r="W827" i="6"/>
  <c r="V827" i="6"/>
  <c r="U827" i="6"/>
  <c r="T827" i="6"/>
  <c r="S827" i="6"/>
  <c r="R827" i="6"/>
  <c r="Q827" i="6"/>
  <c r="P827" i="6"/>
  <c r="O827" i="6"/>
  <c r="N827" i="6"/>
  <c r="M827" i="6"/>
  <c r="L827" i="6"/>
  <c r="W826" i="6"/>
  <c r="V826" i="6"/>
  <c r="U826" i="6"/>
  <c r="T826" i="6"/>
  <c r="S826" i="6"/>
  <c r="R826" i="6"/>
  <c r="Q826" i="6"/>
  <c r="P826" i="6"/>
  <c r="O826" i="6"/>
  <c r="N826" i="6"/>
  <c r="M826" i="6"/>
  <c r="L826" i="6"/>
  <c r="W825" i="6"/>
  <c r="V825" i="6"/>
  <c r="U825" i="6"/>
  <c r="T825" i="6"/>
  <c r="S825" i="6"/>
  <c r="R825" i="6"/>
  <c r="Q825" i="6"/>
  <c r="P825" i="6"/>
  <c r="O825" i="6"/>
  <c r="N825" i="6"/>
  <c r="M825" i="6"/>
  <c r="L825" i="6"/>
  <c r="W824" i="6"/>
  <c r="V824" i="6"/>
  <c r="U824" i="6"/>
  <c r="T824" i="6"/>
  <c r="S824" i="6"/>
  <c r="R824" i="6"/>
  <c r="Q824" i="6"/>
  <c r="P824" i="6"/>
  <c r="O824" i="6"/>
  <c r="N824" i="6"/>
  <c r="M824" i="6"/>
  <c r="L824" i="6"/>
  <c r="W823" i="6"/>
  <c r="V823" i="6"/>
  <c r="U823" i="6"/>
  <c r="T823" i="6"/>
  <c r="S823" i="6"/>
  <c r="R823" i="6"/>
  <c r="Q823" i="6"/>
  <c r="P823" i="6"/>
  <c r="O823" i="6"/>
  <c r="N823" i="6"/>
  <c r="M823" i="6"/>
  <c r="L823" i="6"/>
  <c r="W822" i="6"/>
  <c r="V822" i="6"/>
  <c r="U822" i="6"/>
  <c r="T822" i="6"/>
  <c r="S822" i="6"/>
  <c r="R822" i="6"/>
  <c r="Q822" i="6"/>
  <c r="P822" i="6"/>
  <c r="O822" i="6"/>
  <c r="N822" i="6"/>
  <c r="M822" i="6"/>
  <c r="L822" i="6"/>
  <c r="W821" i="6"/>
  <c r="V821" i="6"/>
  <c r="U821" i="6"/>
  <c r="T821" i="6"/>
  <c r="S821" i="6"/>
  <c r="R821" i="6"/>
  <c r="Q821" i="6"/>
  <c r="P821" i="6"/>
  <c r="O821" i="6"/>
  <c r="N821" i="6"/>
  <c r="M821" i="6"/>
  <c r="L821" i="6"/>
  <c r="W820" i="6"/>
  <c r="V820" i="6"/>
  <c r="U820" i="6"/>
  <c r="T820" i="6"/>
  <c r="S820" i="6"/>
  <c r="R820" i="6"/>
  <c r="Q820" i="6"/>
  <c r="P820" i="6"/>
  <c r="O820" i="6"/>
  <c r="N820" i="6"/>
  <c r="M820" i="6"/>
  <c r="L820" i="6"/>
  <c r="W819" i="6"/>
  <c r="V819" i="6"/>
  <c r="U819" i="6"/>
  <c r="T819" i="6"/>
  <c r="S819" i="6"/>
  <c r="R819" i="6"/>
  <c r="Q819" i="6"/>
  <c r="P819" i="6"/>
  <c r="O819" i="6"/>
  <c r="N819" i="6"/>
  <c r="M819" i="6"/>
  <c r="L819" i="6"/>
  <c r="W818" i="6"/>
  <c r="V818" i="6"/>
  <c r="U818" i="6"/>
  <c r="T818" i="6"/>
  <c r="S818" i="6"/>
  <c r="R818" i="6"/>
  <c r="Q818" i="6"/>
  <c r="P818" i="6"/>
  <c r="O818" i="6"/>
  <c r="N818" i="6"/>
  <c r="M818" i="6"/>
  <c r="L818" i="6"/>
  <c r="W817" i="6"/>
  <c r="V817" i="6"/>
  <c r="U817" i="6"/>
  <c r="T817" i="6"/>
  <c r="S817" i="6"/>
  <c r="R817" i="6"/>
  <c r="Q817" i="6"/>
  <c r="P817" i="6"/>
  <c r="O817" i="6"/>
  <c r="N817" i="6"/>
  <c r="M817" i="6"/>
  <c r="L817" i="6"/>
  <c r="W816" i="6"/>
  <c r="V816" i="6"/>
  <c r="U816" i="6"/>
  <c r="T816" i="6"/>
  <c r="S816" i="6"/>
  <c r="R816" i="6"/>
  <c r="Q816" i="6"/>
  <c r="P816" i="6"/>
  <c r="O816" i="6"/>
  <c r="N816" i="6"/>
  <c r="M816" i="6"/>
  <c r="L816" i="6"/>
  <c r="W815" i="6"/>
  <c r="V815" i="6"/>
  <c r="U815" i="6"/>
  <c r="T815" i="6"/>
  <c r="S815" i="6"/>
  <c r="R815" i="6"/>
  <c r="Q815" i="6"/>
  <c r="P815" i="6"/>
  <c r="O815" i="6"/>
  <c r="N815" i="6"/>
  <c r="M815" i="6"/>
  <c r="L815" i="6"/>
  <c r="W814" i="6"/>
  <c r="V814" i="6"/>
  <c r="U814" i="6"/>
  <c r="T814" i="6"/>
  <c r="S814" i="6"/>
  <c r="R814" i="6"/>
  <c r="Q814" i="6"/>
  <c r="P814" i="6"/>
  <c r="O814" i="6"/>
  <c r="N814" i="6"/>
  <c r="M814" i="6"/>
  <c r="L814" i="6"/>
  <c r="W813" i="6"/>
  <c r="V813" i="6"/>
  <c r="U813" i="6"/>
  <c r="T813" i="6"/>
  <c r="S813" i="6"/>
  <c r="R813" i="6"/>
  <c r="Q813" i="6"/>
  <c r="P813" i="6"/>
  <c r="O813" i="6"/>
  <c r="N813" i="6"/>
  <c r="M813" i="6"/>
  <c r="L813" i="6"/>
  <c r="W812" i="6"/>
  <c r="V812" i="6"/>
  <c r="U812" i="6"/>
  <c r="T812" i="6"/>
  <c r="S812" i="6"/>
  <c r="R812" i="6"/>
  <c r="Q812" i="6"/>
  <c r="P812" i="6"/>
  <c r="O812" i="6"/>
  <c r="N812" i="6"/>
  <c r="M812" i="6"/>
  <c r="L812" i="6"/>
  <c r="W811" i="6"/>
  <c r="V811" i="6"/>
  <c r="U811" i="6"/>
  <c r="T811" i="6"/>
  <c r="S811" i="6"/>
  <c r="R811" i="6"/>
  <c r="Q811" i="6"/>
  <c r="P811" i="6"/>
  <c r="O811" i="6"/>
  <c r="N811" i="6"/>
  <c r="M811" i="6"/>
  <c r="L811" i="6"/>
  <c r="W810" i="6"/>
  <c r="V810" i="6"/>
  <c r="U810" i="6"/>
  <c r="T810" i="6"/>
  <c r="S810" i="6"/>
  <c r="R810" i="6"/>
  <c r="Q810" i="6"/>
  <c r="P810" i="6"/>
  <c r="O810" i="6"/>
  <c r="N810" i="6"/>
  <c r="M810" i="6"/>
  <c r="L810" i="6"/>
  <c r="W809" i="6"/>
  <c r="V809" i="6"/>
  <c r="U809" i="6"/>
  <c r="T809" i="6"/>
  <c r="S809" i="6"/>
  <c r="R809" i="6"/>
  <c r="Q809" i="6"/>
  <c r="P809" i="6"/>
  <c r="O809" i="6"/>
  <c r="N809" i="6"/>
  <c r="M809" i="6"/>
  <c r="L809" i="6"/>
  <c r="W808" i="6"/>
  <c r="V808" i="6"/>
  <c r="U808" i="6"/>
  <c r="T808" i="6"/>
  <c r="S808" i="6"/>
  <c r="R808" i="6"/>
  <c r="Q808" i="6"/>
  <c r="P808" i="6"/>
  <c r="O808" i="6"/>
  <c r="N808" i="6"/>
  <c r="M808" i="6"/>
  <c r="L808" i="6"/>
  <c r="W807" i="6"/>
  <c r="V807" i="6"/>
  <c r="U807" i="6"/>
  <c r="T807" i="6"/>
  <c r="S807" i="6"/>
  <c r="R807" i="6"/>
  <c r="Q807" i="6"/>
  <c r="P807" i="6"/>
  <c r="O807" i="6"/>
  <c r="N807" i="6"/>
  <c r="M807" i="6"/>
  <c r="L807" i="6"/>
  <c r="W806" i="6"/>
  <c r="V806" i="6"/>
  <c r="U806" i="6"/>
  <c r="T806" i="6"/>
  <c r="S806" i="6"/>
  <c r="R806" i="6"/>
  <c r="Q806" i="6"/>
  <c r="P806" i="6"/>
  <c r="O806" i="6"/>
  <c r="N806" i="6"/>
  <c r="M806" i="6"/>
  <c r="L806" i="6"/>
  <c r="W805" i="6"/>
  <c r="V805" i="6"/>
  <c r="U805" i="6"/>
  <c r="T805" i="6"/>
  <c r="S805" i="6"/>
  <c r="R805" i="6"/>
  <c r="Q805" i="6"/>
  <c r="P805" i="6"/>
  <c r="O805" i="6"/>
  <c r="N805" i="6"/>
  <c r="M805" i="6"/>
  <c r="L805" i="6"/>
  <c r="W804" i="6"/>
  <c r="V804" i="6"/>
  <c r="U804" i="6"/>
  <c r="T804" i="6"/>
  <c r="S804" i="6"/>
  <c r="R804" i="6"/>
  <c r="Q804" i="6"/>
  <c r="P804" i="6"/>
  <c r="O804" i="6"/>
  <c r="N804" i="6"/>
  <c r="M804" i="6"/>
  <c r="L804" i="6"/>
  <c r="W803" i="6"/>
  <c r="V803" i="6"/>
  <c r="U803" i="6"/>
  <c r="T803" i="6"/>
  <c r="S803" i="6"/>
  <c r="R803" i="6"/>
  <c r="Q803" i="6"/>
  <c r="P803" i="6"/>
  <c r="O803" i="6"/>
  <c r="N803" i="6"/>
  <c r="M803" i="6"/>
  <c r="L803" i="6"/>
  <c r="W802" i="6"/>
  <c r="V802" i="6"/>
  <c r="U802" i="6"/>
  <c r="T802" i="6"/>
  <c r="S802" i="6"/>
  <c r="R802" i="6"/>
  <c r="Q802" i="6"/>
  <c r="P802" i="6"/>
  <c r="O802" i="6"/>
  <c r="N802" i="6"/>
  <c r="M802" i="6"/>
  <c r="L802" i="6"/>
  <c r="W801" i="6"/>
  <c r="V801" i="6"/>
  <c r="U801" i="6"/>
  <c r="T801" i="6"/>
  <c r="S801" i="6"/>
  <c r="R801" i="6"/>
  <c r="Q801" i="6"/>
  <c r="P801" i="6"/>
  <c r="O801" i="6"/>
  <c r="N801" i="6"/>
  <c r="M801" i="6"/>
  <c r="L801" i="6"/>
  <c r="W800" i="6"/>
  <c r="V800" i="6"/>
  <c r="U800" i="6"/>
  <c r="T800" i="6"/>
  <c r="S800" i="6"/>
  <c r="R800" i="6"/>
  <c r="Q800" i="6"/>
  <c r="P800" i="6"/>
  <c r="O800" i="6"/>
  <c r="N800" i="6"/>
  <c r="M800" i="6"/>
  <c r="L800" i="6"/>
  <c r="W799" i="6"/>
  <c r="V799" i="6"/>
  <c r="U799" i="6"/>
  <c r="T799" i="6"/>
  <c r="S799" i="6"/>
  <c r="R799" i="6"/>
  <c r="Q799" i="6"/>
  <c r="P799" i="6"/>
  <c r="O799" i="6"/>
  <c r="N799" i="6"/>
  <c r="M799" i="6"/>
  <c r="L799" i="6"/>
  <c r="W798" i="6"/>
  <c r="V798" i="6"/>
  <c r="U798" i="6"/>
  <c r="T798" i="6"/>
  <c r="S798" i="6"/>
  <c r="R798" i="6"/>
  <c r="Q798" i="6"/>
  <c r="P798" i="6"/>
  <c r="O798" i="6"/>
  <c r="N798" i="6"/>
  <c r="M798" i="6"/>
  <c r="L798" i="6"/>
  <c r="W797" i="6"/>
  <c r="V797" i="6"/>
  <c r="U797" i="6"/>
  <c r="T797" i="6"/>
  <c r="S797" i="6"/>
  <c r="R797" i="6"/>
  <c r="Q797" i="6"/>
  <c r="P797" i="6"/>
  <c r="O797" i="6"/>
  <c r="N797" i="6"/>
  <c r="M797" i="6"/>
  <c r="L797" i="6"/>
  <c r="W796" i="6"/>
  <c r="V796" i="6"/>
  <c r="U796" i="6"/>
  <c r="T796" i="6"/>
  <c r="S796" i="6"/>
  <c r="R796" i="6"/>
  <c r="Q796" i="6"/>
  <c r="P796" i="6"/>
  <c r="O796" i="6"/>
  <c r="N796" i="6"/>
  <c r="M796" i="6"/>
  <c r="L796" i="6"/>
  <c r="W795" i="6"/>
  <c r="V795" i="6"/>
  <c r="U795" i="6"/>
  <c r="T795" i="6"/>
  <c r="S795" i="6"/>
  <c r="R795" i="6"/>
  <c r="Q795" i="6"/>
  <c r="P795" i="6"/>
  <c r="O795" i="6"/>
  <c r="N795" i="6"/>
  <c r="M795" i="6"/>
  <c r="L795" i="6"/>
  <c r="W794" i="6"/>
  <c r="V794" i="6"/>
  <c r="U794" i="6"/>
  <c r="T794" i="6"/>
  <c r="S794" i="6"/>
  <c r="R794" i="6"/>
  <c r="Q794" i="6"/>
  <c r="P794" i="6"/>
  <c r="O794" i="6"/>
  <c r="N794" i="6"/>
  <c r="M794" i="6"/>
  <c r="L794" i="6"/>
  <c r="W793" i="6"/>
  <c r="V793" i="6"/>
  <c r="U793" i="6"/>
  <c r="T793" i="6"/>
  <c r="S793" i="6"/>
  <c r="R793" i="6"/>
  <c r="Q793" i="6"/>
  <c r="P793" i="6"/>
  <c r="O793" i="6"/>
  <c r="N793" i="6"/>
  <c r="M793" i="6"/>
  <c r="L793" i="6"/>
  <c r="W792" i="6"/>
  <c r="V792" i="6"/>
  <c r="U792" i="6"/>
  <c r="T792" i="6"/>
  <c r="S792" i="6"/>
  <c r="R792" i="6"/>
  <c r="Q792" i="6"/>
  <c r="P792" i="6"/>
  <c r="O792" i="6"/>
  <c r="N792" i="6"/>
  <c r="M792" i="6"/>
  <c r="L792" i="6"/>
  <c r="W791" i="6"/>
  <c r="V791" i="6"/>
  <c r="U791" i="6"/>
  <c r="T791" i="6"/>
  <c r="S791" i="6"/>
  <c r="R791" i="6"/>
  <c r="Q791" i="6"/>
  <c r="P791" i="6"/>
  <c r="O791" i="6"/>
  <c r="N791" i="6"/>
  <c r="M791" i="6"/>
  <c r="L791" i="6"/>
  <c r="W790" i="6"/>
  <c r="V790" i="6"/>
  <c r="U790" i="6"/>
  <c r="T790" i="6"/>
  <c r="S790" i="6"/>
  <c r="R790" i="6"/>
  <c r="Q790" i="6"/>
  <c r="P790" i="6"/>
  <c r="O790" i="6"/>
  <c r="N790" i="6"/>
  <c r="M790" i="6"/>
  <c r="L790" i="6"/>
  <c r="W789" i="6"/>
  <c r="V789" i="6"/>
  <c r="U789" i="6"/>
  <c r="T789" i="6"/>
  <c r="S789" i="6"/>
  <c r="R789" i="6"/>
  <c r="Q789" i="6"/>
  <c r="P789" i="6"/>
  <c r="O789" i="6"/>
  <c r="N789" i="6"/>
  <c r="M789" i="6"/>
  <c r="L789" i="6"/>
  <c r="W788" i="6"/>
  <c r="V788" i="6"/>
  <c r="U788" i="6"/>
  <c r="T788" i="6"/>
  <c r="S788" i="6"/>
  <c r="R788" i="6"/>
  <c r="Q788" i="6"/>
  <c r="P788" i="6"/>
  <c r="O788" i="6"/>
  <c r="N788" i="6"/>
  <c r="M788" i="6"/>
  <c r="L788" i="6"/>
  <c r="W787" i="6"/>
  <c r="V787" i="6"/>
  <c r="U787" i="6"/>
  <c r="T787" i="6"/>
  <c r="S787" i="6"/>
  <c r="R787" i="6"/>
  <c r="Q787" i="6"/>
  <c r="P787" i="6"/>
  <c r="O787" i="6"/>
  <c r="N787" i="6"/>
  <c r="M787" i="6"/>
  <c r="L787" i="6"/>
  <c r="W786" i="6"/>
  <c r="V786" i="6"/>
  <c r="U786" i="6"/>
  <c r="T786" i="6"/>
  <c r="S786" i="6"/>
  <c r="R786" i="6"/>
  <c r="Q786" i="6"/>
  <c r="P786" i="6"/>
  <c r="O786" i="6"/>
  <c r="N786" i="6"/>
  <c r="M786" i="6"/>
  <c r="L786" i="6"/>
  <c r="W785" i="6"/>
  <c r="V785" i="6"/>
  <c r="U785" i="6"/>
  <c r="T785" i="6"/>
  <c r="S785" i="6"/>
  <c r="R785" i="6"/>
  <c r="Q785" i="6"/>
  <c r="P785" i="6"/>
  <c r="O785" i="6"/>
  <c r="N785" i="6"/>
  <c r="M785" i="6"/>
  <c r="L785" i="6"/>
  <c r="W784" i="6"/>
  <c r="V784" i="6"/>
  <c r="U784" i="6"/>
  <c r="T784" i="6"/>
  <c r="S784" i="6"/>
  <c r="R784" i="6"/>
  <c r="Q784" i="6"/>
  <c r="P784" i="6"/>
  <c r="O784" i="6"/>
  <c r="N784" i="6"/>
  <c r="M784" i="6"/>
  <c r="L784" i="6"/>
  <c r="W783" i="6"/>
  <c r="V783" i="6"/>
  <c r="U783" i="6"/>
  <c r="T783" i="6"/>
  <c r="S783" i="6"/>
  <c r="R783" i="6"/>
  <c r="Q783" i="6"/>
  <c r="P783" i="6"/>
  <c r="O783" i="6"/>
  <c r="N783" i="6"/>
  <c r="M783" i="6"/>
  <c r="L783" i="6"/>
  <c r="W782" i="6"/>
  <c r="V782" i="6"/>
  <c r="U782" i="6"/>
  <c r="T782" i="6"/>
  <c r="S782" i="6"/>
  <c r="R782" i="6"/>
  <c r="Q782" i="6"/>
  <c r="P782" i="6"/>
  <c r="O782" i="6"/>
  <c r="N782" i="6"/>
  <c r="M782" i="6"/>
  <c r="L782" i="6"/>
  <c r="W781" i="6"/>
  <c r="V781" i="6"/>
  <c r="U781" i="6"/>
  <c r="T781" i="6"/>
  <c r="S781" i="6"/>
  <c r="R781" i="6"/>
  <c r="Q781" i="6"/>
  <c r="P781" i="6"/>
  <c r="O781" i="6"/>
  <c r="N781" i="6"/>
  <c r="M781" i="6"/>
  <c r="L781" i="6"/>
  <c r="W780" i="6"/>
  <c r="V780" i="6"/>
  <c r="U780" i="6"/>
  <c r="T780" i="6"/>
  <c r="S780" i="6"/>
  <c r="R780" i="6"/>
  <c r="Q780" i="6"/>
  <c r="P780" i="6"/>
  <c r="O780" i="6"/>
  <c r="N780" i="6"/>
  <c r="M780" i="6"/>
  <c r="L780" i="6"/>
  <c r="W779" i="6"/>
  <c r="V779" i="6"/>
  <c r="U779" i="6"/>
  <c r="T779" i="6"/>
  <c r="S779" i="6"/>
  <c r="R779" i="6"/>
  <c r="Q779" i="6"/>
  <c r="P779" i="6"/>
  <c r="O779" i="6"/>
  <c r="N779" i="6"/>
  <c r="M779" i="6"/>
  <c r="L779" i="6"/>
  <c r="W778" i="6"/>
  <c r="V778" i="6"/>
  <c r="U778" i="6"/>
  <c r="T778" i="6"/>
  <c r="S778" i="6"/>
  <c r="R778" i="6"/>
  <c r="Q778" i="6"/>
  <c r="P778" i="6"/>
  <c r="O778" i="6"/>
  <c r="N778" i="6"/>
  <c r="M778" i="6"/>
  <c r="L778" i="6"/>
  <c r="W777" i="6"/>
  <c r="V777" i="6"/>
  <c r="U777" i="6"/>
  <c r="T777" i="6"/>
  <c r="S777" i="6"/>
  <c r="R777" i="6"/>
  <c r="Q777" i="6"/>
  <c r="P777" i="6"/>
  <c r="O777" i="6"/>
  <c r="N777" i="6"/>
  <c r="M777" i="6"/>
  <c r="L777" i="6"/>
  <c r="W776" i="6"/>
  <c r="V776" i="6"/>
  <c r="U776" i="6"/>
  <c r="T776" i="6"/>
  <c r="S776" i="6"/>
  <c r="R776" i="6"/>
  <c r="Q776" i="6"/>
  <c r="P776" i="6"/>
  <c r="O776" i="6"/>
  <c r="N776" i="6"/>
  <c r="M776" i="6"/>
  <c r="L776" i="6"/>
  <c r="W775" i="6"/>
  <c r="V775" i="6"/>
  <c r="U775" i="6"/>
  <c r="T775" i="6"/>
  <c r="S775" i="6"/>
  <c r="R775" i="6"/>
  <c r="Q775" i="6"/>
  <c r="P775" i="6"/>
  <c r="O775" i="6"/>
  <c r="N775" i="6"/>
  <c r="M775" i="6"/>
  <c r="L775" i="6"/>
  <c r="W774" i="6"/>
  <c r="V774" i="6"/>
  <c r="U774" i="6"/>
  <c r="T774" i="6"/>
  <c r="S774" i="6"/>
  <c r="R774" i="6"/>
  <c r="Q774" i="6"/>
  <c r="P774" i="6"/>
  <c r="O774" i="6"/>
  <c r="N774" i="6"/>
  <c r="M774" i="6"/>
  <c r="L774" i="6"/>
  <c r="W773" i="6"/>
  <c r="V773" i="6"/>
  <c r="U773" i="6"/>
  <c r="T773" i="6"/>
  <c r="S773" i="6"/>
  <c r="R773" i="6"/>
  <c r="Q773" i="6"/>
  <c r="P773" i="6"/>
  <c r="O773" i="6"/>
  <c r="N773" i="6"/>
  <c r="M773" i="6"/>
  <c r="L773" i="6"/>
  <c r="W772" i="6"/>
  <c r="V772" i="6"/>
  <c r="U772" i="6"/>
  <c r="T772" i="6"/>
  <c r="S772" i="6"/>
  <c r="R772" i="6"/>
  <c r="Q772" i="6"/>
  <c r="P772" i="6"/>
  <c r="O772" i="6"/>
  <c r="N772" i="6"/>
  <c r="M772" i="6"/>
  <c r="L772" i="6"/>
  <c r="W771" i="6"/>
  <c r="V771" i="6"/>
  <c r="U771" i="6"/>
  <c r="T771" i="6"/>
  <c r="S771" i="6"/>
  <c r="R771" i="6"/>
  <c r="Q771" i="6"/>
  <c r="P771" i="6"/>
  <c r="O771" i="6"/>
  <c r="N771" i="6"/>
  <c r="M771" i="6"/>
  <c r="L771" i="6"/>
  <c r="W770" i="6"/>
  <c r="V770" i="6"/>
  <c r="U770" i="6"/>
  <c r="T770" i="6"/>
  <c r="S770" i="6"/>
  <c r="R770" i="6"/>
  <c r="Q770" i="6"/>
  <c r="P770" i="6"/>
  <c r="O770" i="6"/>
  <c r="N770" i="6"/>
  <c r="M770" i="6"/>
  <c r="L770" i="6"/>
  <c r="W769" i="6"/>
  <c r="V769" i="6"/>
  <c r="U769" i="6"/>
  <c r="T769" i="6"/>
  <c r="S769" i="6"/>
  <c r="R769" i="6"/>
  <c r="Q769" i="6"/>
  <c r="P769" i="6"/>
  <c r="O769" i="6"/>
  <c r="N769" i="6"/>
  <c r="M769" i="6"/>
  <c r="L769" i="6"/>
  <c r="W768" i="6"/>
  <c r="V768" i="6"/>
  <c r="U768" i="6"/>
  <c r="T768" i="6"/>
  <c r="S768" i="6"/>
  <c r="R768" i="6"/>
  <c r="Q768" i="6"/>
  <c r="P768" i="6"/>
  <c r="O768" i="6"/>
  <c r="N768" i="6"/>
  <c r="M768" i="6"/>
  <c r="L768" i="6"/>
  <c r="W767" i="6"/>
  <c r="V767" i="6"/>
  <c r="U767" i="6"/>
  <c r="T767" i="6"/>
  <c r="S767" i="6"/>
  <c r="R767" i="6"/>
  <c r="Q767" i="6"/>
  <c r="P767" i="6"/>
  <c r="O767" i="6"/>
  <c r="N767" i="6"/>
  <c r="M767" i="6"/>
  <c r="L767" i="6"/>
  <c r="W766" i="6"/>
  <c r="V766" i="6"/>
  <c r="U766" i="6"/>
  <c r="T766" i="6"/>
  <c r="S766" i="6"/>
  <c r="R766" i="6"/>
  <c r="Q766" i="6"/>
  <c r="P766" i="6"/>
  <c r="O766" i="6"/>
  <c r="N766" i="6"/>
  <c r="M766" i="6"/>
  <c r="L766" i="6"/>
  <c r="W765" i="6"/>
  <c r="V765" i="6"/>
  <c r="U765" i="6"/>
  <c r="T765" i="6"/>
  <c r="S765" i="6"/>
  <c r="R765" i="6"/>
  <c r="Q765" i="6"/>
  <c r="P765" i="6"/>
  <c r="O765" i="6"/>
  <c r="N765" i="6"/>
  <c r="M765" i="6"/>
  <c r="L765" i="6"/>
  <c r="W764" i="6"/>
  <c r="V764" i="6"/>
  <c r="U764" i="6"/>
  <c r="T764" i="6"/>
  <c r="S764" i="6"/>
  <c r="R764" i="6"/>
  <c r="Q764" i="6"/>
  <c r="P764" i="6"/>
  <c r="O764" i="6"/>
  <c r="N764" i="6"/>
  <c r="M764" i="6"/>
  <c r="L764" i="6"/>
  <c r="W763" i="6"/>
  <c r="V763" i="6"/>
  <c r="U763" i="6"/>
  <c r="T763" i="6"/>
  <c r="S763" i="6"/>
  <c r="R763" i="6"/>
  <c r="Q763" i="6"/>
  <c r="P763" i="6"/>
  <c r="O763" i="6"/>
  <c r="N763" i="6"/>
  <c r="M763" i="6"/>
  <c r="L763" i="6"/>
  <c r="W762" i="6"/>
  <c r="V762" i="6"/>
  <c r="U762" i="6"/>
  <c r="T762" i="6"/>
  <c r="S762" i="6"/>
  <c r="R762" i="6"/>
  <c r="Q762" i="6"/>
  <c r="P762" i="6"/>
  <c r="O762" i="6"/>
  <c r="N762" i="6"/>
  <c r="M762" i="6"/>
  <c r="L762" i="6"/>
  <c r="W761" i="6"/>
  <c r="V761" i="6"/>
  <c r="U761" i="6"/>
  <c r="T761" i="6"/>
  <c r="S761" i="6"/>
  <c r="R761" i="6"/>
  <c r="Q761" i="6"/>
  <c r="P761" i="6"/>
  <c r="O761" i="6"/>
  <c r="N761" i="6"/>
  <c r="M761" i="6"/>
  <c r="L761" i="6"/>
  <c r="W760" i="6"/>
  <c r="V760" i="6"/>
  <c r="U760" i="6"/>
  <c r="T760" i="6"/>
  <c r="S760" i="6"/>
  <c r="R760" i="6"/>
  <c r="Q760" i="6"/>
  <c r="P760" i="6"/>
  <c r="O760" i="6"/>
  <c r="N760" i="6"/>
  <c r="M760" i="6"/>
  <c r="L760" i="6"/>
  <c r="W759" i="6"/>
  <c r="V759" i="6"/>
  <c r="U759" i="6"/>
  <c r="T759" i="6"/>
  <c r="S759" i="6"/>
  <c r="R759" i="6"/>
  <c r="Q759" i="6"/>
  <c r="P759" i="6"/>
  <c r="O759" i="6"/>
  <c r="N759" i="6"/>
  <c r="M759" i="6"/>
  <c r="L759" i="6"/>
  <c r="W758" i="6"/>
  <c r="V758" i="6"/>
  <c r="U758" i="6"/>
  <c r="T758" i="6"/>
  <c r="S758" i="6"/>
  <c r="R758" i="6"/>
  <c r="Q758" i="6"/>
  <c r="P758" i="6"/>
  <c r="O758" i="6"/>
  <c r="N758" i="6"/>
  <c r="M758" i="6"/>
  <c r="L758" i="6"/>
  <c r="W757" i="6"/>
  <c r="V757" i="6"/>
  <c r="U757" i="6"/>
  <c r="T757" i="6"/>
  <c r="S757" i="6"/>
  <c r="R757" i="6"/>
  <c r="Q757" i="6"/>
  <c r="P757" i="6"/>
  <c r="O757" i="6"/>
  <c r="N757" i="6"/>
  <c r="M757" i="6"/>
  <c r="L757" i="6"/>
  <c r="W756" i="6"/>
  <c r="V756" i="6"/>
  <c r="U756" i="6"/>
  <c r="T756" i="6"/>
  <c r="S756" i="6"/>
  <c r="R756" i="6"/>
  <c r="Q756" i="6"/>
  <c r="P756" i="6"/>
  <c r="O756" i="6"/>
  <c r="N756" i="6"/>
  <c r="M756" i="6"/>
  <c r="L756" i="6"/>
  <c r="W755" i="6"/>
  <c r="V755" i="6"/>
  <c r="U755" i="6"/>
  <c r="T755" i="6"/>
  <c r="S755" i="6"/>
  <c r="R755" i="6"/>
  <c r="Q755" i="6"/>
  <c r="P755" i="6"/>
  <c r="O755" i="6"/>
  <c r="N755" i="6"/>
  <c r="M755" i="6"/>
  <c r="L755" i="6"/>
  <c r="W754" i="6"/>
  <c r="V754" i="6"/>
  <c r="U754" i="6"/>
  <c r="T754" i="6"/>
  <c r="S754" i="6"/>
  <c r="R754" i="6"/>
  <c r="Q754" i="6"/>
  <c r="P754" i="6"/>
  <c r="O754" i="6"/>
  <c r="N754" i="6"/>
  <c r="M754" i="6"/>
  <c r="L754" i="6"/>
  <c r="W753" i="6"/>
  <c r="V753" i="6"/>
  <c r="U753" i="6"/>
  <c r="T753" i="6"/>
  <c r="S753" i="6"/>
  <c r="R753" i="6"/>
  <c r="Q753" i="6"/>
  <c r="P753" i="6"/>
  <c r="O753" i="6"/>
  <c r="N753" i="6"/>
  <c r="M753" i="6"/>
  <c r="L753" i="6"/>
  <c r="W752" i="6"/>
  <c r="V752" i="6"/>
  <c r="U752" i="6"/>
  <c r="T752" i="6"/>
  <c r="S752" i="6"/>
  <c r="R752" i="6"/>
  <c r="Q752" i="6"/>
  <c r="P752" i="6"/>
  <c r="O752" i="6"/>
  <c r="N752" i="6"/>
  <c r="M752" i="6"/>
  <c r="L752" i="6"/>
  <c r="W751" i="6"/>
  <c r="V751" i="6"/>
  <c r="U751" i="6"/>
  <c r="T751" i="6"/>
  <c r="S751" i="6"/>
  <c r="R751" i="6"/>
  <c r="Q751" i="6"/>
  <c r="P751" i="6"/>
  <c r="O751" i="6"/>
  <c r="N751" i="6"/>
  <c r="M751" i="6"/>
  <c r="L751" i="6"/>
  <c r="W750" i="6"/>
  <c r="V750" i="6"/>
  <c r="U750" i="6"/>
  <c r="T750" i="6"/>
  <c r="S750" i="6"/>
  <c r="R750" i="6"/>
  <c r="Q750" i="6"/>
  <c r="P750" i="6"/>
  <c r="O750" i="6"/>
  <c r="N750" i="6"/>
  <c r="M750" i="6"/>
  <c r="L750" i="6"/>
  <c r="W749" i="6"/>
  <c r="V749" i="6"/>
  <c r="U749" i="6"/>
  <c r="T749" i="6"/>
  <c r="S749" i="6"/>
  <c r="R749" i="6"/>
  <c r="Q749" i="6"/>
  <c r="P749" i="6"/>
  <c r="O749" i="6"/>
  <c r="N749" i="6"/>
  <c r="M749" i="6"/>
  <c r="L749" i="6"/>
  <c r="W748" i="6"/>
  <c r="V748" i="6"/>
  <c r="U748" i="6"/>
  <c r="T748" i="6"/>
  <c r="S748" i="6"/>
  <c r="R748" i="6"/>
  <c r="Q748" i="6"/>
  <c r="P748" i="6"/>
  <c r="O748" i="6"/>
  <c r="N748" i="6"/>
  <c r="M748" i="6"/>
  <c r="L748" i="6"/>
  <c r="W747" i="6"/>
  <c r="V747" i="6"/>
  <c r="U747" i="6"/>
  <c r="T747" i="6"/>
  <c r="S747" i="6"/>
  <c r="R747" i="6"/>
  <c r="Q747" i="6"/>
  <c r="P747" i="6"/>
  <c r="O747" i="6"/>
  <c r="N747" i="6"/>
  <c r="M747" i="6"/>
  <c r="L747" i="6"/>
  <c r="W746" i="6"/>
  <c r="V746" i="6"/>
  <c r="U746" i="6"/>
  <c r="T746" i="6"/>
  <c r="S746" i="6"/>
  <c r="R746" i="6"/>
  <c r="Q746" i="6"/>
  <c r="P746" i="6"/>
  <c r="O746" i="6"/>
  <c r="N746" i="6"/>
  <c r="M746" i="6"/>
  <c r="L746" i="6"/>
  <c r="W745" i="6"/>
  <c r="V745" i="6"/>
  <c r="U745" i="6"/>
  <c r="T745" i="6"/>
  <c r="S745" i="6"/>
  <c r="R745" i="6"/>
  <c r="Q745" i="6"/>
  <c r="P745" i="6"/>
  <c r="O745" i="6"/>
  <c r="N745" i="6"/>
  <c r="M745" i="6"/>
  <c r="L745" i="6"/>
  <c r="W744" i="6"/>
  <c r="V744" i="6"/>
  <c r="U744" i="6"/>
  <c r="T744" i="6"/>
  <c r="S744" i="6"/>
  <c r="R744" i="6"/>
  <c r="Q744" i="6"/>
  <c r="P744" i="6"/>
  <c r="O744" i="6"/>
  <c r="N744" i="6"/>
  <c r="M744" i="6"/>
  <c r="L744" i="6"/>
  <c r="W743" i="6"/>
  <c r="V743" i="6"/>
  <c r="U743" i="6"/>
  <c r="T743" i="6"/>
  <c r="S743" i="6"/>
  <c r="R743" i="6"/>
  <c r="Q743" i="6"/>
  <c r="P743" i="6"/>
  <c r="O743" i="6"/>
  <c r="N743" i="6"/>
  <c r="M743" i="6"/>
  <c r="L743" i="6"/>
  <c r="W742" i="6"/>
  <c r="V742" i="6"/>
  <c r="U742" i="6"/>
  <c r="T742" i="6"/>
  <c r="S742" i="6"/>
  <c r="R742" i="6"/>
  <c r="Q742" i="6"/>
  <c r="P742" i="6"/>
  <c r="O742" i="6"/>
  <c r="N742" i="6"/>
  <c r="M742" i="6"/>
  <c r="L742" i="6"/>
  <c r="W741" i="6"/>
  <c r="V741" i="6"/>
  <c r="U741" i="6"/>
  <c r="T741" i="6"/>
  <c r="S741" i="6"/>
  <c r="R741" i="6"/>
  <c r="Q741" i="6"/>
  <c r="P741" i="6"/>
  <c r="O741" i="6"/>
  <c r="N741" i="6"/>
  <c r="M741" i="6"/>
  <c r="L741" i="6"/>
  <c r="W740" i="6"/>
  <c r="V740" i="6"/>
  <c r="U740" i="6"/>
  <c r="T740" i="6"/>
  <c r="S740" i="6"/>
  <c r="R740" i="6"/>
  <c r="Q740" i="6"/>
  <c r="P740" i="6"/>
  <c r="O740" i="6"/>
  <c r="N740" i="6"/>
  <c r="M740" i="6"/>
  <c r="L740" i="6"/>
  <c r="W739" i="6"/>
  <c r="V739" i="6"/>
  <c r="U739" i="6"/>
  <c r="T739" i="6"/>
  <c r="S739" i="6"/>
  <c r="R739" i="6"/>
  <c r="Q739" i="6"/>
  <c r="P739" i="6"/>
  <c r="O739" i="6"/>
  <c r="N739" i="6"/>
  <c r="M739" i="6"/>
  <c r="L739" i="6"/>
  <c r="W738" i="6"/>
  <c r="V738" i="6"/>
  <c r="U738" i="6"/>
  <c r="T738" i="6"/>
  <c r="S738" i="6"/>
  <c r="R738" i="6"/>
  <c r="Q738" i="6"/>
  <c r="P738" i="6"/>
  <c r="O738" i="6"/>
  <c r="N738" i="6"/>
  <c r="M738" i="6"/>
  <c r="L738" i="6"/>
  <c r="W737" i="6"/>
  <c r="V737" i="6"/>
  <c r="U737" i="6"/>
  <c r="T737" i="6"/>
  <c r="S737" i="6"/>
  <c r="R737" i="6"/>
  <c r="Q737" i="6"/>
  <c r="P737" i="6"/>
  <c r="O737" i="6"/>
  <c r="N737" i="6"/>
  <c r="M737" i="6"/>
  <c r="L737" i="6"/>
  <c r="W736" i="6"/>
  <c r="V736" i="6"/>
  <c r="U736" i="6"/>
  <c r="T736" i="6"/>
  <c r="S736" i="6"/>
  <c r="R736" i="6"/>
  <c r="Q736" i="6"/>
  <c r="P736" i="6"/>
  <c r="O736" i="6"/>
  <c r="N736" i="6"/>
  <c r="M736" i="6"/>
  <c r="L736" i="6"/>
  <c r="W735" i="6"/>
  <c r="V735" i="6"/>
  <c r="U735" i="6"/>
  <c r="T735" i="6"/>
  <c r="S735" i="6"/>
  <c r="R735" i="6"/>
  <c r="Q735" i="6"/>
  <c r="P735" i="6"/>
  <c r="O735" i="6"/>
  <c r="N735" i="6"/>
  <c r="M735" i="6"/>
  <c r="L735" i="6"/>
  <c r="W734" i="6"/>
  <c r="V734" i="6"/>
  <c r="U734" i="6"/>
  <c r="T734" i="6"/>
  <c r="S734" i="6"/>
  <c r="R734" i="6"/>
  <c r="Q734" i="6"/>
  <c r="P734" i="6"/>
  <c r="O734" i="6"/>
  <c r="N734" i="6"/>
  <c r="M734" i="6"/>
  <c r="L734" i="6"/>
  <c r="W733" i="6"/>
  <c r="V733" i="6"/>
  <c r="U733" i="6"/>
  <c r="T733" i="6"/>
  <c r="S733" i="6"/>
  <c r="R733" i="6"/>
  <c r="Q733" i="6"/>
  <c r="P733" i="6"/>
  <c r="O733" i="6"/>
  <c r="N733" i="6"/>
  <c r="M733" i="6"/>
  <c r="L733" i="6"/>
  <c r="W732" i="6"/>
  <c r="V732" i="6"/>
  <c r="U732" i="6"/>
  <c r="T732" i="6"/>
  <c r="S732" i="6"/>
  <c r="R732" i="6"/>
  <c r="Q732" i="6"/>
  <c r="P732" i="6"/>
  <c r="O732" i="6"/>
  <c r="N732" i="6"/>
  <c r="M732" i="6"/>
  <c r="L732" i="6"/>
  <c r="W731" i="6"/>
  <c r="V731" i="6"/>
  <c r="U731" i="6"/>
  <c r="T731" i="6"/>
  <c r="S731" i="6"/>
  <c r="R731" i="6"/>
  <c r="Q731" i="6"/>
  <c r="P731" i="6"/>
  <c r="O731" i="6"/>
  <c r="N731" i="6"/>
  <c r="M731" i="6"/>
  <c r="L731" i="6"/>
  <c r="W730" i="6"/>
  <c r="V730" i="6"/>
  <c r="U730" i="6"/>
  <c r="T730" i="6"/>
  <c r="S730" i="6"/>
  <c r="R730" i="6"/>
  <c r="Q730" i="6"/>
  <c r="P730" i="6"/>
  <c r="O730" i="6"/>
  <c r="N730" i="6"/>
  <c r="M730" i="6"/>
  <c r="L730" i="6"/>
  <c r="W729" i="6"/>
  <c r="V729" i="6"/>
  <c r="U729" i="6"/>
  <c r="T729" i="6"/>
  <c r="S729" i="6"/>
  <c r="R729" i="6"/>
  <c r="Q729" i="6"/>
  <c r="P729" i="6"/>
  <c r="O729" i="6"/>
  <c r="N729" i="6"/>
  <c r="M729" i="6"/>
  <c r="L729" i="6"/>
  <c r="W728" i="6"/>
  <c r="V728" i="6"/>
  <c r="U728" i="6"/>
  <c r="T728" i="6"/>
  <c r="S728" i="6"/>
  <c r="R728" i="6"/>
  <c r="Q728" i="6"/>
  <c r="P728" i="6"/>
  <c r="O728" i="6"/>
  <c r="N728" i="6"/>
  <c r="M728" i="6"/>
  <c r="L728" i="6"/>
  <c r="W727" i="6"/>
  <c r="V727" i="6"/>
  <c r="U727" i="6"/>
  <c r="T727" i="6"/>
  <c r="S727" i="6"/>
  <c r="R727" i="6"/>
  <c r="Q727" i="6"/>
  <c r="P727" i="6"/>
  <c r="O727" i="6"/>
  <c r="N727" i="6"/>
  <c r="M727" i="6"/>
  <c r="L727" i="6"/>
  <c r="W726" i="6"/>
  <c r="V726" i="6"/>
  <c r="U726" i="6"/>
  <c r="T726" i="6"/>
  <c r="S726" i="6"/>
  <c r="R726" i="6"/>
  <c r="Q726" i="6"/>
  <c r="P726" i="6"/>
  <c r="O726" i="6"/>
  <c r="N726" i="6"/>
  <c r="M726" i="6"/>
  <c r="L726" i="6"/>
  <c r="W725" i="6"/>
  <c r="V725" i="6"/>
  <c r="U725" i="6"/>
  <c r="T725" i="6"/>
  <c r="S725" i="6"/>
  <c r="R725" i="6"/>
  <c r="Q725" i="6"/>
  <c r="P725" i="6"/>
  <c r="O725" i="6"/>
  <c r="N725" i="6"/>
  <c r="M725" i="6"/>
  <c r="L725" i="6"/>
  <c r="W724" i="6"/>
  <c r="V724" i="6"/>
  <c r="U724" i="6"/>
  <c r="T724" i="6"/>
  <c r="S724" i="6"/>
  <c r="R724" i="6"/>
  <c r="Q724" i="6"/>
  <c r="P724" i="6"/>
  <c r="O724" i="6"/>
  <c r="N724" i="6"/>
  <c r="M724" i="6"/>
  <c r="L724" i="6"/>
  <c r="W723" i="6"/>
  <c r="V723" i="6"/>
  <c r="U723" i="6"/>
  <c r="T723" i="6"/>
  <c r="S723" i="6"/>
  <c r="R723" i="6"/>
  <c r="Q723" i="6"/>
  <c r="P723" i="6"/>
  <c r="O723" i="6"/>
  <c r="N723" i="6"/>
  <c r="M723" i="6"/>
  <c r="L723" i="6"/>
  <c r="W722" i="6"/>
  <c r="V722" i="6"/>
  <c r="U722" i="6"/>
  <c r="T722" i="6"/>
  <c r="S722" i="6"/>
  <c r="R722" i="6"/>
  <c r="Q722" i="6"/>
  <c r="P722" i="6"/>
  <c r="O722" i="6"/>
  <c r="N722" i="6"/>
  <c r="M722" i="6"/>
  <c r="L722" i="6"/>
  <c r="W721" i="6"/>
  <c r="V721" i="6"/>
  <c r="U721" i="6"/>
  <c r="T721" i="6"/>
  <c r="S721" i="6"/>
  <c r="R721" i="6"/>
  <c r="Q721" i="6"/>
  <c r="P721" i="6"/>
  <c r="O721" i="6"/>
  <c r="N721" i="6"/>
  <c r="M721" i="6"/>
  <c r="L721" i="6"/>
  <c r="W720" i="6"/>
  <c r="V720" i="6"/>
  <c r="U720" i="6"/>
  <c r="T720" i="6"/>
  <c r="S720" i="6"/>
  <c r="R720" i="6"/>
  <c r="Q720" i="6"/>
  <c r="P720" i="6"/>
  <c r="O720" i="6"/>
  <c r="N720" i="6"/>
  <c r="M720" i="6"/>
  <c r="L720" i="6"/>
  <c r="W719" i="6"/>
  <c r="V719" i="6"/>
  <c r="U719" i="6"/>
  <c r="T719" i="6"/>
  <c r="S719" i="6"/>
  <c r="R719" i="6"/>
  <c r="Q719" i="6"/>
  <c r="P719" i="6"/>
  <c r="O719" i="6"/>
  <c r="N719" i="6"/>
  <c r="M719" i="6"/>
  <c r="L719" i="6"/>
  <c r="W718" i="6"/>
  <c r="V718" i="6"/>
  <c r="U718" i="6"/>
  <c r="T718" i="6"/>
  <c r="S718" i="6"/>
  <c r="R718" i="6"/>
  <c r="Q718" i="6"/>
  <c r="P718" i="6"/>
  <c r="O718" i="6"/>
  <c r="N718" i="6"/>
  <c r="M718" i="6"/>
  <c r="L718" i="6"/>
  <c r="W717" i="6"/>
  <c r="V717" i="6"/>
  <c r="U717" i="6"/>
  <c r="T717" i="6"/>
  <c r="S717" i="6"/>
  <c r="R717" i="6"/>
  <c r="Q717" i="6"/>
  <c r="P717" i="6"/>
  <c r="O717" i="6"/>
  <c r="N717" i="6"/>
  <c r="M717" i="6"/>
  <c r="L717" i="6"/>
  <c r="W716" i="6"/>
  <c r="V716" i="6"/>
  <c r="U716" i="6"/>
  <c r="T716" i="6"/>
  <c r="S716" i="6"/>
  <c r="R716" i="6"/>
  <c r="Q716" i="6"/>
  <c r="P716" i="6"/>
  <c r="O716" i="6"/>
  <c r="N716" i="6"/>
  <c r="M716" i="6"/>
  <c r="L716" i="6"/>
  <c r="W715" i="6"/>
  <c r="V715" i="6"/>
  <c r="U715" i="6"/>
  <c r="T715" i="6"/>
  <c r="S715" i="6"/>
  <c r="R715" i="6"/>
  <c r="Q715" i="6"/>
  <c r="P715" i="6"/>
  <c r="O715" i="6"/>
  <c r="N715" i="6"/>
  <c r="M715" i="6"/>
  <c r="L715" i="6"/>
  <c r="W714" i="6"/>
  <c r="V714" i="6"/>
  <c r="U714" i="6"/>
  <c r="T714" i="6"/>
  <c r="S714" i="6"/>
  <c r="R714" i="6"/>
  <c r="Q714" i="6"/>
  <c r="P714" i="6"/>
  <c r="O714" i="6"/>
  <c r="N714" i="6"/>
  <c r="M714" i="6"/>
  <c r="L714" i="6"/>
  <c r="W713" i="6"/>
  <c r="V713" i="6"/>
  <c r="U713" i="6"/>
  <c r="T713" i="6"/>
  <c r="S713" i="6"/>
  <c r="R713" i="6"/>
  <c r="Q713" i="6"/>
  <c r="P713" i="6"/>
  <c r="O713" i="6"/>
  <c r="N713" i="6"/>
  <c r="M713" i="6"/>
  <c r="L713" i="6"/>
  <c r="W712" i="6"/>
  <c r="V712" i="6"/>
  <c r="U712" i="6"/>
  <c r="T712" i="6"/>
  <c r="S712" i="6"/>
  <c r="R712" i="6"/>
  <c r="Q712" i="6"/>
  <c r="P712" i="6"/>
  <c r="O712" i="6"/>
  <c r="N712" i="6"/>
  <c r="M712" i="6"/>
  <c r="L712" i="6"/>
  <c r="W711" i="6"/>
  <c r="V711" i="6"/>
  <c r="U711" i="6"/>
  <c r="T711" i="6"/>
  <c r="S711" i="6"/>
  <c r="R711" i="6"/>
  <c r="Q711" i="6"/>
  <c r="P711" i="6"/>
  <c r="O711" i="6"/>
  <c r="N711" i="6"/>
  <c r="M711" i="6"/>
  <c r="L711" i="6"/>
  <c r="W710" i="6"/>
  <c r="V710" i="6"/>
  <c r="U710" i="6"/>
  <c r="T710" i="6"/>
  <c r="S710" i="6"/>
  <c r="R710" i="6"/>
  <c r="Q710" i="6"/>
  <c r="P710" i="6"/>
  <c r="O710" i="6"/>
  <c r="N710" i="6"/>
  <c r="M710" i="6"/>
  <c r="L710" i="6"/>
  <c r="W709" i="6"/>
  <c r="V709" i="6"/>
  <c r="U709" i="6"/>
  <c r="T709" i="6"/>
  <c r="S709" i="6"/>
  <c r="R709" i="6"/>
  <c r="Q709" i="6"/>
  <c r="P709" i="6"/>
  <c r="O709" i="6"/>
  <c r="N709" i="6"/>
  <c r="M709" i="6"/>
  <c r="L709" i="6"/>
  <c r="W708" i="6"/>
  <c r="V708" i="6"/>
  <c r="U708" i="6"/>
  <c r="T708" i="6"/>
  <c r="S708" i="6"/>
  <c r="R708" i="6"/>
  <c r="Q708" i="6"/>
  <c r="P708" i="6"/>
  <c r="O708" i="6"/>
  <c r="N708" i="6"/>
  <c r="M708" i="6"/>
  <c r="L708" i="6"/>
  <c r="W707" i="6"/>
  <c r="V707" i="6"/>
  <c r="U707" i="6"/>
  <c r="T707" i="6"/>
  <c r="S707" i="6"/>
  <c r="R707" i="6"/>
  <c r="Q707" i="6"/>
  <c r="P707" i="6"/>
  <c r="O707" i="6"/>
  <c r="N707" i="6"/>
  <c r="M707" i="6"/>
  <c r="L707" i="6"/>
  <c r="W706" i="6"/>
  <c r="V706" i="6"/>
  <c r="U706" i="6"/>
  <c r="T706" i="6"/>
  <c r="S706" i="6"/>
  <c r="R706" i="6"/>
  <c r="Q706" i="6"/>
  <c r="P706" i="6"/>
  <c r="O706" i="6"/>
  <c r="N706" i="6"/>
  <c r="M706" i="6"/>
  <c r="L706" i="6"/>
  <c r="W705" i="6"/>
  <c r="V705" i="6"/>
  <c r="U705" i="6"/>
  <c r="T705" i="6"/>
  <c r="S705" i="6"/>
  <c r="R705" i="6"/>
  <c r="Q705" i="6"/>
  <c r="P705" i="6"/>
  <c r="O705" i="6"/>
  <c r="N705" i="6"/>
  <c r="M705" i="6"/>
  <c r="L705" i="6"/>
  <c r="W704" i="6"/>
  <c r="V704" i="6"/>
  <c r="U704" i="6"/>
  <c r="T704" i="6"/>
  <c r="S704" i="6"/>
  <c r="R704" i="6"/>
  <c r="Q704" i="6"/>
  <c r="P704" i="6"/>
  <c r="O704" i="6"/>
  <c r="N704" i="6"/>
  <c r="M704" i="6"/>
  <c r="L704" i="6"/>
  <c r="W703" i="6"/>
  <c r="V703" i="6"/>
  <c r="U703" i="6"/>
  <c r="T703" i="6"/>
  <c r="S703" i="6"/>
  <c r="R703" i="6"/>
  <c r="Q703" i="6"/>
  <c r="P703" i="6"/>
  <c r="O703" i="6"/>
  <c r="N703" i="6"/>
  <c r="M703" i="6"/>
  <c r="L703" i="6"/>
  <c r="W702" i="6"/>
  <c r="V702" i="6"/>
  <c r="U702" i="6"/>
  <c r="T702" i="6"/>
  <c r="S702" i="6"/>
  <c r="R702" i="6"/>
  <c r="Q702" i="6"/>
  <c r="P702" i="6"/>
  <c r="O702" i="6"/>
  <c r="N702" i="6"/>
  <c r="M702" i="6"/>
  <c r="L702" i="6"/>
  <c r="W701" i="6"/>
  <c r="V701" i="6"/>
  <c r="U701" i="6"/>
  <c r="T701" i="6"/>
  <c r="S701" i="6"/>
  <c r="R701" i="6"/>
  <c r="Q701" i="6"/>
  <c r="P701" i="6"/>
  <c r="O701" i="6"/>
  <c r="N701" i="6"/>
  <c r="M701" i="6"/>
  <c r="L701" i="6"/>
  <c r="W700" i="6"/>
  <c r="V700" i="6"/>
  <c r="U700" i="6"/>
  <c r="T700" i="6"/>
  <c r="S700" i="6"/>
  <c r="R700" i="6"/>
  <c r="Q700" i="6"/>
  <c r="P700" i="6"/>
  <c r="O700" i="6"/>
  <c r="N700" i="6"/>
  <c r="M700" i="6"/>
  <c r="L700" i="6"/>
  <c r="W699" i="6"/>
  <c r="V699" i="6"/>
  <c r="U699" i="6"/>
  <c r="T699" i="6"/>
  <c r="S699" i="6"/>
  <c r="R699" i="6"/>
  <c r="Q699" i="6"/>
  <c r="P699" i="6"/>
  <c r="O699" i="6"/>
  <c r="N699" i="6"/>
  <c r="M699" i="6"/>
  <c r="L699" i="6"/>
  <c r="W698" i="6"/>
  <c r="V698" i="6"/>
  <c r="U698" i="6"/>
  <c r="T698" i="6"/>
  <c r="S698" i="6"/>
  <c r="R698" i="6"/>
  <c r="Q698" i="6"/>
  <c r="P698" i="6"/>
  <c r="O698" i="6"/>
  <c r="N698" i="6"/>
  <c r="M698" i="6"/>
  <c r="L698" i="6"/>
  <c r="W697" i="6"/>
  <c r="V697" i="6"/>
  <c r="U697" i="6"/>
  <c r="T697" i="6"/>
  <c r="S697" i="6"/>
  <c r="R697" i="6"/>
  <c r="Q697" i="6"/>
  <c r="P697" i="6"/>
  <c r="O697" i="6"/>
  <c r="N697" i="6"/>
  <c r="M697" i="6"/>
  <c r="L697" i="6"/>
  <c r="W696" i="6"/>
  <c r="V696" i="6"/>
  <c r="U696" i="6"/>
  <c r="T696" i="6"/>
  <c r="S696" i="6"/>
  <c r="R696" i="6"/>
  <c r="Q696" i="6"/>
  <c r="P696" i="6"/>
  <c r="O696" i="6"/>
  <c r="N696" i="6"/>
  <c r="M696" i="6"/>
  <c r="L696" i="6"/>
  <c r="W695" i="6"/>
  <c r="V695" i="6"/>
  <c r="U695" i="6"/>
  <c r="T695" i="6"/>
  <c r="S695" i="6"/>
  <c r="R695" i="6"/>
  <c r="Q695" i="6"/>
  <c r="P695" i="6"/>
  <c r="O695" i="6"/>
  <c r="N695" i="6"/>
  <c r="M695" i="6"/>
  <c r="L695" i="6"/>
  <c r="W694" i="6"/>
  <c r="V694" i="6"/>
  <c r="U694" i="6"/>
  <c r="T694" i="6"/>
  <c r="S694" i="6"/>
  <c r="R694" i="6"/>
  <c r="Q694" i="6"/>
  <c r="P694" i="6"/>
  <c r="O694" i="6"/>
  <c r="N694" i="6"/>
  <c r="M694" i="6"/>
  <c r="L694" i="6"/>
  <c r="W693" i="6"/>
  <c r="V693" i="6"/>
  <c r="U693" i="6"/>
  <c r="T693" i="6"/>
  <c r="S693" i="6"/>
  <c r="R693" i="6"/>
  <c r="Q693" i="6"/>
  <c r="P693" i="6"/>
  <c r="O693" i="6"/>
  <c r="N693" i="6"/>
  <c r="M693" i="6"/>
  <c r="L693" i="6"/>
  <c r="W692" i="6"/>
  <c r="V692" i="6"/>
  <c r="U692" i="6"/>
  <c r="T692" i="6"/>
  <c r="S692" i="6"/>
  <c r="R692" i="6"/>
  <c r="Q692" i="6"/>
  <c r="P692" i="6"/>
  <c r="O692" i="6"/>
  <c r="N692" i="6"/>
  <c r="M692" i="6"/>
  <c r="L692" i="6"/>
  <c r="W691" i="6"/>
  <c r="V691" i="6"/>
  <c r="U691" i="6"/>
  <c r="T691" i="6"/>
  <c r="S691" i="6"/>
  <c r="R691" i="6"/>
  <c r="Q691" i="6"/>
  <c r="P691" i="6"/>
  <c r="O691" i="6"/>
  <c r="N691" i="6"/>
  <c r="M691" i="6"/>
  <c r="L691" i="6"/>
  <c r="W690" i="6"/>
  <c r="V690" i="6"/>
  <c r="U690" i="6"/>
  <c r="T690" i="6"/>
  <c r="S690" i="6"/>
  <c r="R690" i="6"/>
  <c r="Q690" i="6"/>
  <c r="P690" i="6"/>
  <c r="O690" i="6"/>
  <c r="N690" i="6"/>
  <c r="M690" i="6"/>
  <c r="L690" i="6"/>
  <c r="W689" i="6"/>
  <c r="V689" i="6"/>
  <c r="U689" i="6"/>
  <c r="T689" i="6"/>
  <c r="S689" i="6"/>
  <c r="R689" i="6"/>
  <c r="Q689" i="6"/>
  <c r="P689" i="6"/>
  <c r="O689" i="6"/>
  <c r="N689" i="6"/>
  <c r="M689" i="6"/>
  <c r="L689" i="6"/>
  <c r="W688" i="6"/>
  <c r="V688" i="6"/>
  <c r="U688" i="6"/>
  <c r="T688" i="6"/>
  <c r="S688" i="6"/>
  <c r="R688" i="6"/>
  <c r="Q688" i="6"/>
  <c r="P688" i="6"/>
  <c r="O688" i="6"/>
  <c r="N688" i="6"/>
  <c r="M688" i="6"/>
  <c r="L688" i="6"/>
  <c r="W687" i="6"/>
  <c r="V687" i="6"/>
  <c r="U687" i="6"/>
  <c r="T687" i="6"/>
  <c r="S687" i="6"/>
  <c r="R687" i="6"/>
  <c r="Q687" i="6"/>
  <c r="P687" i="6"/>
  <c r="O687" i="6"/>
  <c r="N687" i="6"/>
  <c r="M687" i="6"/>
  <c r="L687" i="6"/>
  <c r="W686" i="6"/>
  <c r="V686" i="6"/>
  <c r="U686" i="6"/>
  <c r="T686" i="6"/>
  <c r="S686" i="6"/>
  <c r="R686" i="6"/>
  <c r="Q686" i="6"/>
  <c r="P686" i="6"/>
  <c r="O686" i="6"/>
  <c r="N686" i="6"/>
  <c r="M686" i="6"/>
  <c r="L686" i="6"/>
  <c r="W685" i="6"/>
  <c r="V685" i="6"/>
  <c r="U685" i="6"/>
  <c r="T685" i="6"/>
  <c r="S685" i="6"/>
  <c r="R685" i="6"/>
  <c r="Q685" i="6"/>
  <c r="P685" i="6"/>
  <c r="O685" i="6"/>
  <c r="N685" i="6"/>
  <c r="M685" i="6"/>
  <c r="L685" i="6"/>
  <c r="W684" i="6"/>
  <c r="V684" i="6"/>
  <c r="U684" i="6"/>
  <c r="T684" i="6"/>
  <c r="S684" i="6"/>
  <c r="R684" i="6"/>
  <c r="Q684" i="6"/>
  <c r="P684" i="6"/>
  <c r="O684" i="6"/>
  <c r="N684" i="6"/>
  <c r="M684" i="6"/>
  <c r="L684" i="6"/>
  <c r="W683" i="6"/>
  <c r="V683" i="6"/>
  <c r="U683" i="6"/>
  <c r="T683" i="6"/>
  <c r="S683" i="6"/>
  <c r="R683" i="6"/>
  <c r="Q683" i="6"/>
  <c r="P683" i="6"/>
  <c r="O683" i="6"/>
  <c r="N683" i="6"/>
  <c r="M683" i="6"/>
  <c r="L683" i="6"/>
  <c r="W682" i="6"/>
  <c r="V682" i="6"/>
  <c r="U682" i="6"/>
  <c r="T682" i="6"/>
  <c r="S682" i="6"/>
  <c r="R682" i="6"/>
  <c r="Q682" i="6"/>
  <c r="P682" i="6"/>
  <c r="O682" i="6"/>
  <c r="N682" i="6"/>
  <c r="M682" i="6"/>
  <c r="L682" i="6"/>
  <c r="W681" i="6"/>
  <c r="V681" i="6"/>
  <c r="U681" i="6"/>
  <c r="T681" i="6"/>
  <c r="S681" i="6"/>
  <c r="R681" i="6"/>
  <c r="Q681" i="6"/>
  <c r="P681" i="6"/>
  <c r="O681" i="6"/>
  <c r="N681" i="6"/>
  <c r="M681" i="6"/>
  <c r="L681" i="6"/>
  <c r="W680" i="6"/>
  <c r="V680" i="6"/>
  <c r="U680" i="6"/>
  <c r="T680" i="6"/>
  <c r="S680" i="6"/>
  <c r="R680" i="6"/>
  <c r="Q680" i="6"/>
  <c r="P680" i="6"/>
  <c r="O680" i="6"/>
  <c r="N680" i="6"/>
  <c r="M680" i="6"/>
  <c r="L680" i="6"/>
  <c r="W679" i="6"/>
  <c r="V679" i="6"/>
  <c r="U679" i="6"/>
  <c r="T679" i="6"/>
  <c r="S679" i="6"/>
  <c r="R679" i="6"/>
  <c r="Q679" i="6"/>
  <c r="P679" i="6"/>
  <c r="O679" i="6"/>
  <c r="N679" i="6"/>
  <c r="M679" i="6"/>
  <c r="L679" i="6"/>
  <c r="W678" i="6"/>
  <c r="V678" i="6"/>
  <c r="U678" i="6"/>
  <c r="T678" i="6"/>
  <c r="S678" i="6"/>
  <c r="R678" i="6"/>
  <c r="Q678" i="6"/>
  <c r="P678" i="6"/>
  <c r="O678" i="6"/>
  <c r="N678" i="6"/>
  <c r="M678" i="6"/>
  <c r="L678" i="6"/>
  <c r="W677" i="6"/>
  <c r="V677" i="6"/>
  <c r="U677" i="6"/>
  <c r="T677" i="6"/>
  <c r="S677" i="6"/>
  <c r="R677" i="6"/>
  <c r="Q677" i="6"/>
  <c r="P677" i="6"/>
  <c r="O677" i="6"/>
  <c r="N677" i="6"/>
  <c r="M677" i="6"/>
  <c r="L677" i="6"/>
  <c r="W676" i="6"/>
  <c r="V676" i="6"/>
  <c r="U676" i="6"/>
  <c r="T676" i="6"/>
  <c r="S676" i="6"/>
  <c r="R676" i="6"/>
  <c r="Q676" i="6"/>
  <c r="P676" i="6"/>
  <c r="O676" i="6"/>
  <c r="N676" i="6"/>
  <c r="M676" i="6"/>
  <c r="L676" i="6"/>
  <c r="W675" i="6"/>
  <c r="V675" i="6"/>
  <c r="U675" i="6"/>
  <c r="T675" i="6"/>
  <c r="S675" i="6"/>
  <c r="R675" i="6"/>
  <c r="Q675" i="6"/>
  <c r="P675" i="6"/>
  <c r="O675" i="6"/>
  <c r="N675" i="6"/>
  <c r="M675" i="6"/>
  <c r="L675" i="6"/>
  <c r="W674" i="6"/>
  <c r="V674" i="6"/>
  <c r="U674" i="6"/>
  <c r="T674" i="6"/>
  <c r="S674" i="6"/>
  <c r="R674" i="6"/>
  <c r="Q674" i="6"/>
  <c r="P674" i="6"/>
  <c r="O674" i="6"/>
  <c r="N674" i="6"/>
  <c r="M674" i="6"/>
  <c r="L674" i="6"/>
  <c r="W673" i="6"/>
  <c r="V673" i="6"/>
  <c r="U673" i="6"/>
  <c r="T673" i="6"/>
  <c r="S673" i="6"/>
  <c r="R673" i="6"/>
  <c r="Q673" i="6"/>
  <c r="P673" i="6"/>
  <c r="O673" i="6"/>
  <c r="N673" i="6"/>
  <c r="M673" i="6"/>
  <c r="L673" i="6"/>
  <c r="W672" i="6"/>
  <c r="V672" i="6"/>
  <c r="U672" i="6"/>
  <c r="T672" i="6"/>
  <c r="S672" i="6"/>
  <c r="R672" i="6"/>
  <c r="Q672" i="6"/>
  <c r="P672" i="6"/>
  <c r="O672" i="6"/>
  <c r="N672" i="6"/>
  <c r="M672" i="6"/>
  <c r="L672" i="6"/>
  <c r="W671" i="6"/>
  <c r="V671" i="6"/>
  <c r="U671" i="6"/>
  <c r="T671" i="6"/>
  <c r="S671" i="6"/>
  <c r="R671" i="6"/>
  <c r="Q671" i="6"/>
  <c r="P671" i="6"/>
  <c r="O671" i="6"/>
  <c r="N671" i="6"/>
  <c r="M671" i="6"/>
  <c r="L671" i="6"/>
  <c r="W670" i="6"/>
  <c r="V670" i="6"/>
  <c r="U670" i="6"/>
  <c r="T670" i="6"/>
  <c r="S670" i="6"/>
  <c r="R670" i="6"/>
  <c r="Q670" i="6"/>
  <c r="P670" i="6"/>
  <c r="O670" i="6"/>
  <c r="N670" i="6"/>
  <c r="M670" i="6"/>
  <c r="L670" i="6"/>
  <c r="W669" i="6"/>
  <c r="V669" i="6"/>
  <c r="U669" i="6"/>
  <c r="T669" i="6"/>
  <c r="S669" i="6"/>
  <c r="R669" i="6"/>
  <c r="Q669" i="6"/>
  <c r="P669" i="6"/>
  <c r="O669" i="6"/>
  <c r="N669" i="6"/>
  <c r="M669" i="6"/>
  <c r="L669" i="6"/>
  <c r="W668" i="6"/>
  <c r="V668" i="6"/>
  <c r="U668" i="6"/>
  <c r="T668" i="6"/>
  <c r="S668" i="6"/>
  <c r="R668" i="6"/>
  <c r="Q668" i="6"/>
  <c r="P668" i="6"/>
  <c r="O668" i="6"/>
  <c r="N668" i="6"/>
  <c r="M668" i="6"/>
  <c r="L668" i="6"/>
  <c r="W667" i="6"/>
  <c r="V667" i="6"/>
  <c r="U667" i="6"/>
  <c r="T667" i="6"/>
  <c r="S667" i="6"/>
  <c r="R667" i="6"/>
  <c r="Q667" i="6"/>
  <c r="P667" i="6"/>
  <c r="O667" i="6"/>
  <c r="N667" i="6"/>
  <c r="M667" i="6"/>
  <c r="L667" i="6"/>
  <c r="W666" i="6"/>
  <c r="V666" i="6"/>
  <c r="U666" i="6"/>
  <c r="T666" i="6"/>
  <c r="S666" i="6"/>
  <c r="R666" i="6"/>
  <c r="Q666" i="6"/>
  <c r="P666" i="6"/>
  <c r="O666" i="6"/>
  <c r="N666" i="6"/>
  <c r="M666" i="6"/>
  <c r="L666" i="6"/>
  <c r="W665" i="6"/>
  <c r="V665" i="6"/>
  <c r="U665" i="6"/>
  <c r="T665" i="6"/>
  <c r="S665" i="6"/>
  <c r="R665" i="6"/>
  <c r="Q665" i="6"/>
  <c r="P665" i="6"/>
  <c r="O665" i="6"/>
  <c r="N665" i="6"/>
  <c r="M665" i="6"/>
  <c r="L665" i="6"/>
  <c r="W664" i="6"/>
  <c r="V664" i="6"/>
  <c r="U664" i="6"/>
  <c r="T664" i="6"/>
  <c r="S664" i="6"/>
  <c r="R664" i="6"/>
  <c r="Q664" i="6"/>
  <c r="P664" i="6"/>
  <c r="O664" i="6"/>
  <c r="N664" i="6"/>
  <c r="M664" i="6"/>
  <c r="L664" i="6"/>
  <c r="W663" i="6"/>
  <c r="V663" i="6"/>
  <c r="U663" i="6"/>
  <c r="T663" i="6"/>
  <c r="S663" i="6"/>
  <c r="R663" i="6"/>
  <c r="Q663" i="6"/>
  <c r="P663" i="6"/>
  <c r="O663" i="6"/>
  <c r="N663" i="6"/>
  <c r="M663" i="6"/>
  <c r="L663" i="6"/>
  <c r="W662" i="6"/>
  <c r="V662" i="6"/>
  <c r="U662" i="6"/>
  <c r="T662" i="6"/>
  <c r="S662" i="6"/>
  <c r="R662" i="6"/>
  <c r="Q662" i="6"/>
  <c r="P662" i="6"/>
  <c r="O662" i="6"/>
  <c r="N662" i="6"/>
  <c r="M662" i="6"/>
  <c r="L662" i="6"/>
  <c r="W661" i="6"/>
  <c r="V661" i="6"/>
  <c r="U661" i="6"/>
  <c r="T661" i="6"/>
  <c r="S661" i="6"/>
  <c r="R661" i="6"/>
  <c r="Q661" i="6"/>
  <c r="P661" i="6"/>
  <c r="O661" i="6"/>
  <c r="N661" i="6"/>
  <c r="M661" i="6"/>
  <c r="L661" i="6"/>
  <c r="W660" i="6"/>
  <c r="V660" i="6"/>
  <c r="U660" i="6"/>
  <c r="T660" i="6"/>
  <c r="S660" i="6"/>
  <c r="R660" i="6"/>
  <c r="Q660" i="6"/>
  <c r="P660" i="6"/>
  <c r="O660" i="6"/>
  <c r="N660" i="6"/>
  <c r="M660" i="6"/>
  <c r="L660" i="6"/>
  <c r="W659" i="6"/>
  <c r="V659" i="6"/>
  <c r="U659" i="6"/>
  <c r="T659" i="6"/>
  <c r="S659" i="6"/>
  <c r="R659" i="6"/>
  <c r="Q659" i="6"/>
  <c r="P659" i="6"/>
  <c r="O659" i="6"/>
  <c r="N659" i="6"/>
  <c r="M659" i="6"/>
  <c r="L659" i="6"/>
  <c r="W658" i="6"/>
  <c r="V658" i="6"/>
  <c r="U658" i="6"/>
  <c r="T658" i="6"/>
  <c r="S658" i="6"/>
  <c r="R658" i="6"/>
  <c r="Q658" i="6"/>
  <c r="P658" i="6"/>
  <c r="O658" i="6"/>
  <c r="N658" i="6"/>
  <c r="M658" i="6"/>
  <c r="L658" i="6"/>
  <c r="W657" i="6"/>
  <c r="V657" i="6"/>
  <c r="U657" i="6"/>
  <c r="T657" i="6"/>
  <c r="S657" i="6"/>
  <c r="R657" i="6"/>
  <c r="Q657" i="6"/>
  <c r="P657" i="6"/>
  <c r="O657" i="6"/>
  <c r="N657" i="6"/>
  <c r="M657" i="6"/>
  <c r="L657" i="6"/>
  <c r="W656" i="6"/>
  <c r="V656" i="6"/>
  <c r="U656" i="6"/>
  <c r="T656" i="6"/>
  <c r="S656" i="6"/>
  <c r="R656" i="6"/>
  <c r="Q656" i="6"/>
  <c r="P656" i="6"/>
  <c r="O656" i="6"/>
  <c r="N656" i="6"/>
  <c r="M656" i="6"/>
  <c r="L656" i="6"/>
  <c r="W655" i="6"/>
  <c r="V655" i="6"/>
  <c r="U655" i="6"/>
  <c r="T655" i="6"/>
  <c r="S655" i="6"/>
  <c r="R655" i="6"/>
  <c r="Q655" i="6"/>
  <c r="P655" i="6"/>
  <c r="O655" i="6"/>
  <c r="N655" i="6"/>
  <c r="M655" i="6"/>
  <c r="L655" i="6"/>
  <c r="W654" i="6"/>
  <c r="V654" i="6"/>
  <c r="U654" i="6"/>
  <c r="T654" i="6"/>
  <c r="S654" i="6"/>
  <c r="R654" i="6"/>
  <c r="Q654" i="6"/>
  <c r="P654" i="6"/>
  <c r="O654" i="6"/>
  <c r="N654" i="6"/>
  <c r="M654" i="6"/>
  <c r="L654" i="6"/>
  <c r="W653" i="6"/>
  <c r="V653" i="6"/>
  <c r="U653" i="6"/>
  <c r="T653" i="6"/>
  <c r="S653" i="6"/>
  <c r="R653" i="6"/>
  <c r="Q653" i="6"/>
  <c r="P653" i="6"/>
  <c r="O653" i="6"/>
  <c r="N653" i="6"/>
  <c r="M653" i="6"/>
  <c r="L653" i="6"/>
  <c r="W652" i="6"/>
  <c r="V652" i="6"/>
  <c r="U652" i="6"/>
  <c r="T652" i="6"/>
  <c r="S652" i="6"/>
  <c r="R652" i="6"/>
  <c r="Q652" i="6"/>
  <c r="P652" i="6"/>
  <c r="O652" i="6"/>
  <c r="N652" i="6"/>
  <c r="M652" i="6"/>
  <c r="L652" i="6"/>
  <c r="W651" i="6"/>
  <c r="V651" i="6"/>
  <c r="U651" i="6"/>
  <c r="T651" i="6"/>
  <c r="S651" i="6"/>
  <c r="R651" i="6"/>
  <c r="Q651" i="6"/>
  <c r="P651" i="6"/>
  <c r="O651" i="6"/>
  <c r="N651" i="6"/>
  <c r="M651" i="6"/>
  <c r="L651" i="6"/>
  <c r="W650" i="6"/>
  <c r="V650" i="6"/>
  <c r="U650" i="6"/>
  <c r="T650" i="6"/>
  <c r="S650" i="6"/>
  <c r="R650" i="6"/>
  <c r="Q650" i="6"/>
  <c r="P650" i="6"/>
  <c r="O650" i="6"/>
  <c r="N650" i="6"/>
  <c r="M650" i="6"/>
  <c r="L650" i="6"/>
  <c r="W649" i="6"/>
  <c r="V649" i="6"/>
  <c r="U649" i="6"/>
  <c r="T649" i="6"/>
  <c r="S649" i="6"/>
  <c r="R649" i="6"/>
  <c r="Q649" i="6"/>
  <c r="P649" i="6"/>
  <c r="O649" i="6"/>
  <c r="N649" i="6"/>
  <c r="M649" i="6"/>
  <c r="L649" i="6"/>
  <c r="W648" i="6"/>
  <c r="V648" i="6"/>
  <c r="U648" i="6"/>
  <c r="T648" i="6"/>
  <c r="S648" i="6"/>
  <c r="R648" i="6"/>
  <c r="Q648" i="6"/>
  <c r="P648" i="6"/>
  <c r="O648" i="6"/>
  <c r="N648" i="6"/>
  <c r="M648" i="6"/>
  <c r="L648" i="6"/>
  <c r="W647" i="6"/>
  <c r="V647" i="6"/>
  <c r="U647" i="6"/>
  <c r="T647" i="6"/>
  <c r="S647" i="6"/>
  <c r="R647" i="6"/>
  <c r="Q647" i="6"/>
  <c r="P647" i="6"/>
  <c r="O647" i="6"/>
  <c r="N647" i="6"/>
  <c r="M647" i="6"/>
  <c r="L647" i="6"/>
  <c r="W646" i="6"/>
  <c r="V646" i="6"/>
  <c r="U646" i="6"/>
  <c r="T646" i="6"/>
  <c r="S646" i="6"/>
  <c r="R646" i="6"/>
  <c r="Q646" i="6"/>
  <c r="P646" i="6"/>
  <c r="O646" i="6"/>
  <c r="N646" i="6"/>
  <c r="M646" i="6"/>
  <c r="L646" i="6"/>
  <c r="W645" i="6"/>
  <c r="V645" i="6"/>
  <c r="U645" i="6"/>
  <c r="T645" i="6"/>
  <c r="S645" i="6"/>
  <c r="R645" i="6"/>
  <c r="Q645" i="6"/>
  <c r="P645" i="6"/>
  <c r="O645" i="6"/>
  <c r="N645" i="6"/>
  <c r="M645" i="6"/>
  <c r="L645" i="6"/>
  <c r="W644" i="6"/>
  <c r="V644" i="6"/>
  <c r="U644" i="6"/>
  <c r="T644" i="6"/>
  <c r="S644" i="6"/>
  <c r="R644" i="6"/>
  <c r="Q644" i="6"/>
  <c r="P644" i="6"/>
  <c r="O644" i="6"/>
  <c r="N644" i="6"/>
  <c r="M644" i="6"/>
  <c r="L644" i="6"/>
  <c r="W643" i="6"/>
  <c r="V643" i="6"/>
  <c r="U643" i="6"/>
  <c r="T643" i="6"/>
  <c r="S643" i="6"/>
  <c r="R643" i="6"/>
  <c r="Q643" i="6"/>
  <c r="P643" i="6"/>
  <c r="O643" i="6"/>
  <c r="N643" i="6"/>
  <c r="M643" i="6"/>
  <c r="L643" i="6"/>
  <c r="W642" i="6"/>
  <c r="V642" i="6"/>
  <c r="U642" i="6"/>
  <c r="T642" i="6"/>
  <c r="S642" i="6"/>
  <c r="R642" i="6"/>
  <c r="Q642" i="6"/>
  <c r="P642" i="6"/>
  <c r="O642" i="6"/>
  <c r="N642" i="6"/>
  <c r="M642" i="6"/>
  <c r="L642" i="6"/>
  <c r="W641" i="6"/>
  <c r="V641" i="6"/>
  <c r="U641" i="6"/>
  <c r="T641" i="6"/>
  <c r="S641" i="6"/>
  <c r="R641" i="6"/>
  <c r="Q641" i="6"/>
  <c r="P641" i="6"/>
  <c r="O641" i="6"/>
  <c r="N641" i="6"/>
  <c r="M641" i="6"/>
  <c r="L641" i="6"/>
  <c r="W640" i="6"/>
  <c r="V640" i="6"/>
  <c r="U640" i="6"/>
  <c r="T640" i="6"/>
  <c r="S640" i="6"/>
  <c r="R640" i="6"/>
  <c r="Q640" i="6"/>
  <c r="P640" i="6"/>
  <c r="O640" i="6"/>
  <c r="N640" i="6"/>
  <c r="M640" i="6"/>
  <c r="L640" i="6"/>
  <c r="W639" i="6"/>
  <c r="V639" i="6"/>
  <c r="U639" i="6"/>
  <c r="T639" i="6"/>
  <c r="S639" i="6"/>
  <c r="R639" i="6"/>
  <c r="Q639" i="6"/>
  <c r="P639" i="6"/>
  <c r="O639" i="6"/>
  <c r="N639" i="6"/>
  <c r="M639" i="6"/>
  <c r="L639" i="6"/>
  <c r="W638" i="6"/>
  <c r="V638" i="6"/>
  <c r="U638" i="6"/>
  <c r="T638" i="6"/>
  <c r="S638" i="6"/>
  <c r="R638" i="6"/>
  <c r="Q638" i="6"/>
  <c r="P638" i="6"/>
  <c r="O638" i="6"/>
  <c r="N638" i="6"/>
  <c r="M638" i="6"/>
  <c r="L638" i="6"/>
  <c r="W637" i="6"/>
  <c r="V637" i="6"/>
  <c r="U637" i="6"/>
  <c r="T637" i="6"/>
  <c r="S637" i="6"/>
  <c r="R637" i="6"/>
  <c r="Q637" i="6"/>
  <c r="P637" i="6"/>
  <c r="O637" i="6"/>
  <c r="N637" i="6"/>
  <c r="M637" i="6"/>
  <c r="L637" i="6"/>
  <c r="W636" i="6"/>
  <c r="V636" i="6"/>
  <c r="U636" i="6"/>
  <c r="T636" i="6"/>
  <c r="S636" i="6"/>
  <c r="R636" i="6"/>
  <c r="Q636" i="6"/>
  <c r="P636" i="6"/>
  <c r="O636" i="6"/>
  <c r="N636" i="6"/>
  <c r="M636" i="6"/>
  <c r="L636" i="6"/>
  <c r="W635" i="6"/>
  <c r="V635" i="6"/>
  <c r="U635" i="6"/>
  <c r="T635" i="6"/>
  <c r="S635" i="6"/>
  <c r="R635" i="6"/>
  <c r="Q635" i="6"/>
  <c r="P635" i="6"/>
  <c r="O635" i="6"/>
  <c r="N635" i="6"/>
  <c r="M635" i="6"/>
  <c r="L635" i="6"/>
  <c r="W634" i="6"/>
  <c r="V634" i="6"/>
  <c r="U634" i="6"/>
  <c r="T634" i="6"/>
  <c r="S634" i="6"/>
  <c r="R634" i="6"/>
  <c r="Q634" i="6"/>
  <c r="P634" i="6"/>
  <c r="O634" i="6"/>
  <c r="N634" i="6"/>
  <c r="M634" i="6"/>
  <c r="L634" i="6"/>
  <c r="W633" i="6"/>
  <c r="V633" i="6"/>
  <c r="U633" i="6"/>
  <c r="T633" i="6"/>
  <c r="S633" i="6"/>
  <c r="R633" i="6"/>
  <c r="Q633" i="6"/>
  <c r="P633" i="6"/>
  <c r="O633" i="6"/>
  <c r="N633" i="6"/>
  <c r="M633" i="6"/>
  <c r="L633" i="6"/>
  <c r="W632" i="6"/>
  <c r="V632" i="6"/>
  <c r="U632" i="6"/>
  <c r="T632" i="6"/>
  <c r="S632" i="6"/>
  <c r="R632" i="6"/>
  <c r="Q632" i="6"/>
  <c r="P632" i="6"/>
  <c r="O632" i="6"/>
  <c r="N632" i="6"/>
  <c r="M632" i="6"/>
  <c r="L632" i="6"/>
  <c r="W631" i="6"/>
  <c r="V631" i="6"/>
  <c r="U631" i="6"/>
  <c r="T631" i="6"/>
  <c r="S631" i="6"/>
  <c r="R631" i="6"/>
  <c r="Q631" i="6"/>
  <c r="P631" i="6"/>
  <c r="O631" i="6"/>
  <c r="N631" i="6"/>
  <c r="M631" i="6"/>
  <c r="L631" i="6"/>
  <c r="W630" i="6"/>
  <c r="V630" i="6"/>
  <c r="U630" i="6"/>
  <c r="T630" i="6"/>
  <c r="S630" i="6"/>
  <c r="R630" i="6"/>
  <c r="Q630" i="6"/>
  <c r="P630" i="6"/>
  <c r="O630" i="6"/>
  <c r="N630" i="6"/>
  <c r="M630" i="6"/>
  <c r="L630" i="6"/>
  <c r="W629" i="6"/>
  <c r="V629" i="6"/>
  <c r="U629" i="6"/>
  <c r="T629" i="6"/>
  <c r="S629" i="6"/>
  <c r="R629" i="6"/>
  <c r="Q629" i="6"/>
  <c r="P629" i="6"/>
  <c r="O629" i="6"/>
  <c r="N629" i="6"/>
  <c r="M629" i="6"/>
  <c r="L629" i="6"/>
  <c r="W628" i="6"/>
  <c r="V628" i="6"/>
  <c r="U628" i="6"/>
  <c r="T628" i="6"/>
  <c r="S628" i="6"/>
  <c r="R628" i="6"/>
  <c r="Q628" i="6"/>
  <c r="P628" i="6"/>
  <c r="O628" i="6"/>
  <c r="N628" i="6"/>
  <c r="M628" i="6"/>
  <c r="L628" i="6"/>
  <c r="W627" i="6"/>
  <c r="V627" i="6"/>
  <c r="U627" i="6"/>
  <c r="T627" i="6"/>
  <c r="S627" i="6"/>
  <c r="R627" i="6"/>
  <c r="Q627" i="6"/>
  <c r="P627" i="6"/>
  <c r="O627" i="6"/>
  <c r="N627" i="6"/>
  <c r="M627" i="6"/>
  <c r="L627" i="6"/>
  <c r="W626" i="6"/>
  <c r="V626" i="6"/>
  <c r="U626" i="6"/>
  <c r="T626" i="6"/>
  <c r="S626" i="6"/>
  <c r="R626" i="6"/>
  <c r="Q626" i="6"/>
  <c r="P626" i="6"/>
  <c r="O626" i="6"/>
  <c r="N626" i="6"/>
  <c r="M626" i="6"/>
  <c r="L626" i="6"/>
  <c r="W625" i="6"/>
  <c r="V625" i="6"/>
  <c r="U625" i="6"/>
  <c r="T625" i="6"/>
  <c r="S625" i="6"/>
  <c r="R625" i="6"/>
  <c r="Q625" i="6"/>
  <c r="P625" i="6"/>
  <c r="O625" i="6"/>
  <c r="N625" i="6"/>
  <c r="M625" i="6"/>
  <c r="L625" i="6"/>
  <c r="W624" i="6"/>
  <c r="V624" i="6"/>
  <c r="U624" i="6"/>
  <c r="T624" i="6"/>
  <c r="S624" i="6"/>
  <c r="R624" i="6"/>
  <c r="Q624" i="6"/>
  <c r="P624" i="6"/>
  <c r="O624" i="6"/>
  <c r="N624" i="6"/>
  <c r="M624" i="6"/>
  <c r="L624" i="6"/>
  <c r="W623" i="6"/>
  <c r="V623" i="6"/>
  <c r="U623" i="6"/>
  <c r="T623" i="6"/>
  <c r="S623" i="6"/>
  <c r="R623" i="6"/>
  <c r="Q623" i="6"/>
  <c r="P623" i="6"/>
  <c r="O623" i="6"/>
  <c r="N623" i="6"/>
  <c r="M623" i="6"/>
  <c r="L623" i="6"/>
  <c r="W622" i="6"/>
  <c r="V622" i="6"/>
  <c r="U622" i="6"/>
  <c r="T622" i="6"/>
  <c r="S622" i="6"/>
  <c r="R622" i="6"/>
  <c r="Q622" i="6"/>
  <c r="P622" i="6"/>
  <c r="O622" i="6"/>
  <c r="N622" i="6"/>
  <c r="M622" i="6"/>
  <c r="L622" i="6"/>
  <c r="W621" i="6"/>
  <c r="V621" i="6"/>
  <c r="U621" i="6"/>
  <c r="T621" i="6"/>
  <c r="S621" i="6"/>
  <c r="R621" i="6"/>
  <c r="Q621" i="6"/>
  <c r="P621" i="6"/>
  <c r="O621" i="6"/>
  <c r="N621" i="6"/>
  <c r="M621" i="6"/>
  <c r="L621" i="6"/>
  <c r="W620" i="6"/>
  <c r="V620" i="6"/>
  <c r="U620" i="6"/>
  <c r="T620" i="6"/>
  <c r="S620" i="6"/>
  <c r="R620" i="6"/>
  <c r="Q620" i="6"/>
  <c r="P620" i="6"/>
  <c r="O620" i="6"/>
  <c r="N620" i="6"/>
  <c r="M620" i="6"/>
  <c r="L620" i="6"/>
  <c r="W619" i="6"/>
  <c r="V619" i="6"/>
  <c r="U619" i="6"/>
  <c r="T619" i="6"/>
  <c r="S619" i="6"/>
  <c r="R619" i="6"/>
  <c r="Q619" i="6"/>
  <c r="P619" i="6"/>
  <c r="O619" i="6"/>
  <c r="N619" i="6"/>
  <c r="M619" i="6"/>
  <c r="L619" i="6"/>
  <c r="W618" i="6"/>
  <c r="V618" i="6"/>
  <c r="U618" i="6"/>
  <c r="T618" i="6"/>
  <c r="S618" i="6"/>
  <c r="R618" i="6"/>
  <c r="Q618" i="6"/>
  <c r="P618" i="6"/>
  <c r="O618" i="6"/>
  <c r="N618" i="6"/>
  <c r="M618" i="6"/>
  <c r="L618" i="6"/>
  <c r="W617" i="6"/>
  <c r="V617" i="6"/>
  <c r="U617" i="6"/>
  <c r="T617" i="6"/>
  <c r="S617" i="6"/>
  <c r="R617" i="6"/>
  <c r="Q617" i="6"/>
  <c r="P617" i="6"/>
  <c r="O617" i="6"/>
  <c r="N617" i="6"/>
  <c r="M617" i="6"/>
  <c r="L617" i="6"/>
  <c r="W616" i="6"/>
  <c r="V616" i="6"/>
  <c r="U616" i="6"/>
  <c r="T616" i="6"/>
  <c r="S616" i="6"/>
  <c r="R616" i="6"/>
  <c r="Q616" i="6"/>
  <c r="P616" i="6"/>
  <c r="O616" i="6"/>
  <c r="N616" i="6"/>
  <c r="M616" i="6"/>
  <c r="L616" i="6"/>
  <c r="W615" i="6"/>
  <c r="V615" i="6"/>
  <c r="U615" i="6"/>
  <c r="T615" i="6"/>
  <c r="S615" i="6"/>
  <c r="R615" i="6"/>
  <c r="Q615" i="6"/>
  <c r="P615" i="6"/>
  <c r="O615" i="6"/>
  <c r="N615" i="6"/>
  <c r="M615" i="6"/>
  <c r="L615" i="6"/>
  <c r="W614" i="6"/>
  <c r="V614" i="6"/>
  <c r="U614" i="6"/>
  <c r="T614" i="6"/>
  <c r="S614" i="6"/>
  <c r="R614" i="6"/>
  <c r="Q614" i="6"/>
  <c r="P614" i="6"/>
  <c r="O614" i="6"/>
  <c r="N614" i="6"/>
  <c r="M614" i="6"/>
  <c r="L614" i="6"/>
  <c r="W613" i="6"/>
  <c r="V613" i="6"/>
  <c r="U613" i="6"/>
  <c r="T613" i="6"/>
  <c r="S613" i="6"/>
  <c r="R613" i="6"/>
  <c r="Q613" i="6"/>
  <c r="P613" i="6"/>
  <c r="O613" i="6"/>
  <c r="N613" i="6"/>
  <c r="M613" i="6"/>
  <c r="L613" i="6"/>
  <c r="W612" i="6"/>
  <c r="V612" i="6"/>
  <c r="U612" i="6"/>
  <c r="T612" i="6"/>
  <c r="S612" i="6"/>
  <c r="R612" i="6"/>
  <c r="Q612" i="6"/>
  <c r="P612" i="6"/>
  <c r="O612" i="6"/>
  <c r="N612" i="6"/>
  <c r="M612" i="6"/>
  <c r="L612" i="6"/>
  <c r="W611" i="6"/>
  <c r="V611" i="6"/>
  <c r="U611" i="6"/>
  <c r="T611" i="6"/>
  <c r="S611" i="6"/>
  <c r="R611" i="6"/>
  <c r="Q611" i="6"/>
  <c r="P611" i="6"/>
  <c r="O611" i="6"/>
  <c r="N611" i="6"/>
  <c r="M611" i="6"/>
  <c r="L611" i="6"/>
  <c r="W610" i="6"/>
  <c r="V610" i="6"/>
  <c r="U610" i="6"/>
  <c r="T610" i="6"/>
  <c r="S610" i="6"/>
  <c r="R610" i="6"/>
  <c r="Q610" i="6"/>
  <c r="P610" i="6"/>
  <c r="O610" i="6"/>
  <c r="N610" i="6"/>
  <c r="M610" i="6"/>
  <c r="L610" i="6"/>
  <c r="W609" i="6"/>
  <c r="V609" i="6"/>
  <c r="U609" i="6"/>
  <c r="T609" i="6"/>
  <c r="S609" i="6"/>
  <c r="R609" i="6"/>
  <c r="Q609" i="6"/>
  <c r="P609" i="6"/>
  <c r="O609" i="6"/>
  <c r="N609" i="6"/>
  <c r="M609" i="6"/>
  <c r="L609" i="6"/>
  <c r="W608" i="6"/>
  <c r="V608" i="6"/>
  <c r="U608" i="6"/>
  <c r="T608" i="6"/>
  <c r="S608" i="6"/>
  <c r="R608" i="6"/>
  <c r="Q608" i="6"/>
  <c r="P608" i="6"/>
  <c r="O608" i="6"/>
  <c r="N608" i="6"/>
  <c r="M608" i="6"/>
  <c r="L608" i="6"/>
  <c r="W607" i="6"/>
  <c r="V607" i="6"/>
  <c r="U607" i="6"/>
  <c r="T607" i="6"/>
  <c r="S607" i="6"/>
  <c r="R607" i="6"/>
  <c r="Q607" i="6"/>
  <c r="P607" i="6"/>
  <c r="O607" i="6"/>
  <c r="N607" i="6"/>
  <c r="M607" i="6"/>
  <c r="L607" i="6"/>
  <c r="W606" i="6"/>
  <c r="V606" i="6"/>
  <c r="U606" i="6"/>
  <c r="T606" i="6"/>
  <c r="S606" i="6"/>
  <c r="R606" i="6"/>
  <c r="Q606" i="6"/>
  <c r="P606" i="6"/>
  <c r="O606" i="6"/>
  <c r="N606" i="6"/>
  <c r="M606" i="6"/>
  <c r="L606" i="6"/>
  <c r="W605" i="6"/>
  <c r="V605" i="6"/>
  <c r="U605" i="6"/>
  <c r="T605" i="6"/>
  <c r="S605" i="6"/>
  <c r="R605" i="6"/>
  <c r="Q605" i="6"/>
  <c r="P605" i="6"/>
  <c r="O605" i="6"/>
  <c r="N605" i="6"/>
  <c r="M605" i="6"/>
  <c r="L605" i="6"/>
  <c r="W604" i="6"/>
  <c r="V604" i="6"/>
  <c r="U604" i="6"/>
  <c r="T604" i="6"/>
  <c r="S604" i="6"/>
  <c r="R604" i="6"/>
  <c r="Q604" i="6"/>
  <c r="P604" i="6"/>
  <c r="O604" i="6"/>
  <c r="N604" i="6"/>
  <c r="M604" i="6"/>
  <c r="L604" i="6"/>
  <c r="W603" i="6"/>
  <c r="V603" i="6"/>
  <c r="U603" i="6"/>
  <c r="T603" i="6"/>
  <c r="S603" i="6"/>
  <c r="R603" i="6"/>
  <c r="Q603" i="6"/>
  <c r="P603" i="6"/>
  <c r="O603" i="6"/>
  <c r="N603" i="6"/>
  <c r="M603" i="6"/>
  <c r="L603" i="6"/>
  <c r="W602" i="6"/>
  <c r="V602" i="6"/>
  <c r="U602" i="6"/>
  <c r="T602" i="6"/>
  <c r="S602" i="6"/>
  <c r="R602" i="6"/>
  <c r="Q602" i="6"/>
  <c r="P602" i="6"/>
  <c r="O602" i="6"/>
  <c r="N602" i="6"/>
  <c r="M602" i="6"/>
  <c r="L602" i="6"/>
  <c r="W601" i="6"/>
  <c r="V601" i="6"/>
  <c r="U601" i="6"/>
  <c r="T601" i="6"/>
  <c r="S601" i="6"/>
  <c r="R601" i="6"/>
  <c r="Q601" i="6"/>
  <c r="P601" i="6"/>
  <c r="O601" i="6"/>
  <c r="N601" i="6"/>
  <c r="M601" i="6"/>
  <c r="L601" i="6"/>
  <c r="W600" i="6"/>
  <c r="V600" i="6"/>
  <c r="U600" i="6"/>
  <c r="T600" i="6"/>
  <c r="S600" i="6"/>
  <c r="R600" i="6"/>
  <c r="Q600" i="6"/>
  <c r="P600" i="6"/>
  <c r="O600" i="6"/>
  <c r="N600" i="6"/>
  <c r="M600" i="6"/>
  <c r="L600" i="6"/>
  <c r="W599" i="6"/>
  <c r="V599" i="6"/>
  <c r="U599" i="6"/>
  <c r="T599" i="6"/>
  <c r="S599" i="6"/>
  <c r="R599" i="6"/>
  <c r="Q599" i="6"/>
  <c r="P599" i="6"/>
  <c r="O599" i="6"/>
  <c r="N599" i="6"/>
  <c r="M599" i="6"/>
  <c r="L599" i="6"/>
  <c r="W598" i="6"/>
  <c r="V598" i="6"/>
  <c r="U598" i="6"/>
  <c r="T598" i="6"/>
  <c r="S598" i="6"/>
  <c r="R598" i="6"/>
  <c r="Q598" i="6"/>
  <c r="P598" i="6"/>
  <c r="O598" i="6"/>
  <c r="N598" i="6"/>
  <c r="M598" i="6"/>
  <c r="L598" i="6"/>
  <c r="W597" i="6"/>
  <c r="V597" i="6"/>
  <c r="U597" i="6"/>
  <c r="T597" i="6"/>
  <c r="S597" i="6"/>
  <c r="R597" i="6"/>
  <c r="Q597" i="6"/>
  <c r="P597" i="6"/>
  <c r="O597" i="6"/>
  <c r="N597" i="6"/>
  <c r="M597" i="6"/>
  <c r="L597" i="6"/>
  <c r="W596" i="6"/>
  <c r="V596" i="6"/>
  <c r="U596" i="6"/>
  <c r="T596" i="6"/>
  <c r="S596" i="6"/>
  <c r="R596" i="6"/>
  <c r="Q596" i="6"/>
  <c r="P596" i="6"/>
  <c r="O596" i="6"/>
  <c r="N596" i="6"/>
  <c r="M596" i="6"/>
  <c r="L596" i="6"/>
  <c r="W595" i="6"/>
  <c r="V595" i="6"/>
  <c r="U595" i="6"/>
  <c r="T595" i="6"/>
  <c r="S595" i="6"/>
  <c r="R595" i="6"/>
  <c r="Q595" i="6"/>
  <c r="P595" i="6"/>
  <c r="O595" i="6"/>
  <c r="N595" i="6"/>
  <c r="M595" i="6"/>
  <c r="L595" i="6"/>
  <c r="W594" i="6"/>
  <c r="V594" i="6"/>
  <c r="U594" i="6"/>
  <c r="T594" i="6"/>
  <c r="S594" i="6"/>
  <c r="R594" i="6"/>
  <c r="Q594" i="6"/>
  <c r="P594" i="6"/>
  <c r="O594" i="6"/>
  <c r="N594" i="6"/>
  <c r="M594" i="6"/>
  <c r="L594" i="6"/>
  <c r="W593" i="6"/>
  <c r="V593" i="6"/>
  <c r="U593" i="6"/>
  <c r="T593" i="6"/>
  <c r="S593" i="6"/>
  <c r="R593" i="6"/>
  <c r="Q593" i="6"/>
  <c r="P593" i="6"/>
  <c r="O593" i="6"/>
  <c r="N593" i="6"/>
  <c r="M593" i="6"/>
  <c r="L593" i="6"/>
  <c r="W592" i="6"/>
  <c r="V592" i="6"/>
  <c r="U592" i="6"/>
  <c r="T592" i="6"/>
  <c r="S592" i="6"/>
  <c r="R592" i="6"/>
  <c r="Q592" i="6"/>
  <c r="P592" i="6"/>
  <c r="O592" i="6"/>
  <c r="N592" i="6"/>
  <c r="M592" i="6"/>
  <c r="L592" i="6"/>
  <c r="W591" i="6"/>
  <c r="V591" i="6"/>
  <c r="U591" i="6"/>
  <c r="T591" i="6"/>
  <c r="S591" i="6"/>
  <c r="R591" i="6"/>
  <c r="Q591" i="6"/>
  <c r="P591" i="6"/>
  <c r="O591" i="6"/>
  <c r="N591" i="6"/>
  <c r="M591" i="6"/>
  <c r="L591" i="6"/>
  <c r="W590" i="6"/>
  <c r="V590" i="6"/>
  <c r="U590" i="6"/>
  <c r="T590" i="6"/>
  <c r="S590" i="6"/>
  <c r="R590" i="6"/>
  <c r="Q590" i="6"/>
  <c r="P590" i="6"/>
  <c r="O590" i="6"/>
  <c r="N590" i="6"/>
  <c r="M590" i="6"/>
  <c r="L590" i="6"/>
  <c r="W589" i="6"/>
  <c r="V589" i="6"/>
  <c r="U589" i="6"/>
  <c r="T589" i="6"/>
  <c r="S589" i="6"/>
  <c r="R589" i="6"/>
  <c r="Q589" i="6"/>
  <c r="P589" i="6"/>
  <c r="O589" i="6"/>
  <c r="N589" i="6"/>
  <c r="M589" i="6"/>
  <c r="L589" i="6"/>
  <c r="W588" i="6"/>
  <c r="V588" i="6"/>
  <c r="U588" i="6"/>
  <c r="T588" i="6"/>
  <c r="S588" i="6"/>
  <c r="R588" i="6"/>
  <c r="Q588" i="6"/>
  <c r="P588" i="6"/>
  <c r="O588" i="6"/>
  <c r="N588" i="6"/>
  <c r="M588" i="6"/>
  <c r="L588" i="6"/>
  <c r="W587" i="6"/>
  <c r="V587" i="6"/>
  <c r="U587" i="6"/>
  <c r="T587" i="6"/>
  <c r="S587" i="6"/>
  <c r="R587" i="6"/>
  <c r="Q587" i="6"/>
  <c r="P587" i="6"/>
  <c r="O587" i="6"/>
  <c r="N587" i="6"/>
  <c r="M587" i="6"/>
  <c r="L587" i="6"/>
  <c r="W586" i="6"/>
  <c r="V586" i="6"/>
  <c r="U586" i="6"/>
  <c r="T586" i="6"/>
  <c r="S586" i="6"/>
  <c r="R586" i="6"/>
  <c r="Q586" i="6"/>
  <c r="P586" i="6"/>
  <c r="O586" i="6"/>
  <c r="N586" i="6"/>
  <c r="M586" i="6"/>
  <c r="L586" i="6"/>
  <c r="W585" i="6"/>
  <c r="V585" i="6"/>
  <c r="U585" i="6"/>
  <c r="T585" i="6"/>
  <c r="S585" i="6"/>
  <c r="R585" i="6"/>
  <c r="Q585" i="6"/>
  <c r="P585" i="6"/>
  <c r="O585" i="6"/>
  <c r="N585" i="6"/>
  <c r="M585" i="6"/>
  <c r="L585" i="6"/>
  <c r="W584" i="6"/>
  <c r="V584" i="6"/>
  <c r="U584" i="6"/>
  <c r="T584" i="6"/>
  <c r="S584" i="6"/>
  <c r="R584" i="6"/>
  <c r="Q584" i="6"/>
  <c r="P584" i="6"/>
  <c r="O584" i="6"/>
  <c r="N584" i="6"/>
  <c r="M584" i="6"/>
  <c r="L584" i="6"/>
  <c r="W583" i="6"/>
  <c r="V583" i="6"/>
  <c r="U583" i="6"/>
  <c r="T583" i="6"/>
  <c r="S583" i="6"/>
  <c r="R583" i="6"/>
  <c r="Q583" i="6"/>
  <c r="P583" i="6"/>
  <c r="O583" i="6"/>
  <c r="N583" i="6"/>
  <c r="M583" i="6"/>
  <c r="L583" i="6"/>
  <c r="W582" i="6"/>
  <c r="V582" i="6"/>
  <c r="U582" i="6"/>
  <c r="T582" i="6"/>
  <c r="S582" i="6"/>
  <c r="R582" i="6"/>
  <c r="Q582" i="6"/>
  <c r="P582" i="6"/>
  <c r="O582" i="6"/>
  <c r="N582" i="6"/>
  <c r="M582" i="6"/>
  <c r="L582" i="6"/>
  <c r="W581" i="6"/>
  <c r="V581" i="6"/>
  <c r="U581" i="6"/>
  <c r="T581" i="6"/>
  <c r="S581" i="6"/>
  <c r="R581" i="6"/>
  <c r="Q581" i="6"/>
  <c r="P581" i="6"/>
  <c r="O581" i="6"/>
  <c r="N581" i="6"/>
  <c r="M581" i="6"/>
  <c r="L581" i="6"/>
  <c r="W580" i="6"/>
  <c r="V580" i="6"/>
  <c r="U580" i="6"/>
  <c r="T580" i="6"/>
  <c r="S580" i="6"/>
  <c r="R580" i="6"/>
  <c r="Q580" i="6"/>
  <c r="P580" i="6"/>
  <c r="O580" i="6"/>
  <c r="N580" i="6"/>
  <c r="M580" i="6"/>
  <c r="L580" i="6"/>
  <c r="W579" i="6"/>
  <c r="V579" i="6"/>
  <c r="U579" i="6"/>
  <c r="T579" i="6"/>
  <c r="S579" i="6"/>
  <c r="R579" i="6"/>
  <c r="Q579" i="6"/>
  <c r="P579" i="6"/>
  <c r="O579" i="6"/>
  <c r="N579" i="6"/>
  <c r="M579" i="6"/>
  <c r="L579" i="6"/>
  <c r="W578" i="6"/>
  <c r="V578" i="6"/>
  <c r="U578" i="6"/>
  <c r="T578" i="6"/>
  <c r="S578" i="6"/>
  <c r="R578" i="6"/>
  <c r="Q578" i="6"/>
  <c r="P578" i="6"/>
  <c r="O578" i="6"/>
  <c r="N578" i="6"/>
  <c r="M578" i="6"/>
  <c r="L578" i="6"/>
  <c r="W577" i="6"/>
  <c r="V577" i="6"/>
  <c r="U577" i="6"/>
  <c r="T577" i="6"/>
  <c r="S577" i="6"/>
  <c r="R577" i="6"/>
  <c r="Q577" i="6"/>
  <c r="P577" i="6"/>
  <c r="O577" i="6"/>
  <c r="N577" i="6"/>
  <c r="M577" i="6"/>
  <c r="L577" i="6"/>
  <c r="W576" i="6"/>
  <c r="V576" i="6"/>
  <c r="U576" i="6"/>
  <c r="T576" i="6"/>
  <c r="S576" i="6"/>
  <c r="R576" i="6"/>
  <c r="Q576" i="6"/>
  <c r="P576" i="6"/>
  <c r="O576" i="6"/>
  <c r="N576" i="6"/>
  <c r="M576" i="6"/>
  <c r="L576" i="6"/>
  <c r="W575" i="6"/>
  <c r="V575" i="6"/>
  <c r="U575" i="6"/>
  <c r="T575" i="6"/>
  <c r="S575" i="6"/>
  <c r="R575" i="6"/>
  <c r="Q575" i="6"/>
  <c r="P575" i="6"/>
  <c r="O575" i="6"/>
  <c r="N575" i="6"/>
  <c r="M575" i="6"/>
  <c r="L575" i="6"/>
  <c r="W574" i="6"/>
  <c r="V574" i="6"/>
  <c r="U574" i="6"/>
  <c r="T574" i="6"/>
  <c r="S574" i="6"/>
  <c r="R574" i="6"/>
  <c r="Q574" i="6"/>
  <c r="P574" i="6"/>
  <c r="O574" i="6"/>
  <c r="N574" i="6"/>
  <c r="M574" i="6"/>
  <c r="L574" i="6"/>
  <c r="W573" i="6"/>
  <c r="V573" i="6"/>
  <c r="U573" i="6"/>
  <c r="T573" i="6"/>
  <c r="S573" i="6"/>
  <c r="R573" i="6"/>
  <c r="Q573" i="6"/>
  <c r="P573" i="6"/>
  <c r="O573" i="6"/>
  <c r="N573" i="6"/>
  <c r="M573" i="6"/>
  <c r="L573" i="6"/>
  <c r="W572" i="6"/>
  <c r="V572" i="6"/>
  <c r="U572" i="6"/>
  <c r="T572" i="6"/>
  <c r="S572" i="6"/>
  <c r="R572" i="6"/>
  <c r="Q572" i="6"/>
  <c r="P572" i="6"/>
  <c r="O572" i="6"/>
  <c r="N572" i="6"/>
  <c r="M572" i="6"/>
  <c r="L572" i="6"/>
  <c r="W571" i="6"/>
  <c r="V571" i="6"/>
  <c r="U571" i="6"/>
  <c r="T571" i="6"/>
  <c r="S571" i="6"/>
  <c r="R571" i="6"/>
  <c r="Q571" i="6"/>
  <c r="P571" i="6"/>
  <c r="O571" i="6"/>
  <c r="N571" i="6"/>
  <c r="M571" i="6"/>
  <c r="L571" i="6"/>
  <c r="W570" i="6"/>
  <c r="V570" i="6"/>
  <c r="U570" i="6"/>
  <c r="T570" i="6"/>
  <c r="S570" i="6"/>
  <c r="R570" i="6"/>
  <c r="Q570" i="6"/>
  <c r="P570" i="6"/>
  <c r="O570" i="6"/>
  <c r="N570" i="6"/>
  <c r="M570" i="6"/>
  <c r="L570" i="6"/>
  <c r="W569" i="6"/>
  <c r="V569" i="6"/>
  <c r="U569" i="6"/>
  <c r="T569" i="6"/>
  <c r="S569" i="6"/>
  <c r="R569" i="6"/>
  <c r="Q569" i="6"/>
  <c r="P569" i="6"/>
  <c r="O569" i="6"/>
  <c r="N569" i="6"/>
  <c r="M569" i="6"/>
  <c r="L569" i="6"/>
  <c r="W568" i="6"/>
  <c r="V568" i="6"/>
  <c r="U568" i="6"/>
  <c r="T568" i="6"/>
  <c r="S568" i="6"/>
  <c r="R568" i="6"/>
  <c r="Q568" i="6"/>
  <c r="P568" i="6"/>
  <c r="O568" i="6"/>
  <c r="N568" i="6"/>
  <c r="M568" i="6"/>
  <c r="L568" i="6"/>
  <c r="W567" i="6"/>
  <c r="V567" i="6"/>
  <c r="U567" i="6"/>
  <c r="T567" i="6"/>
  <c r="S567" i="6"/>
  <c r="R567" i="6"/>
  <c r="Q567" i="6"/>
  <c r="P567" i="6"/>
  <c r="O567" i="6"/>
  <c r="N567" i="6"/>
  <c r="M567" i="6"/>
  <c r="L567" i="6"/>
  <c r="W566" i="6"/>
  <c r="V566" i="6"/>
  <c r="U566" i="6"/>
  <c r="T566" i="6"/>
  <c r="S566" i="6"/>
  <c r="R566" i="6"/>
  <c r="Q566" i="6"/>
  <c r="P566" i="6"/>
  <c r="O566" i="6"/>
  <c r="N566" i="6"/>
  <c r="M566" i="6"/>
  <c r="L566" i="6"/>
  <c r="W565" i="6"/>
  <c r="V565" i="6"/>
  <c r="U565" i="6"/>
  <c r="T565" i="6"/>
  <c r="S565" i="6"/>
  <c r="R565" i="6"/>
  <c r="Q565" i="6"/>
  <c r="P565" i="6"/>
  <c r="O565" i="6"/>
  <c r="N565" i="6"/>
  <c r="M565" i="6"/>
  <c r="L565" i="6"/>
  <c r="W564" i="6"/>
  <c r="V564" i="6"/>
  <c r="U564" i="6"/>
  <c r="T564" i="6"/>
  <c r="S564" i="6"/>
  <c r="R564" i="6"/>
  <c r="Q564" i="6"/>
  <c r="P564" i="6"/>
  <c r="O564" i="6"/>
  <c r="N564" i="6"/>
  <c r="M564" i="6"/>
  <c r="L564" i="6"/>
  <c r="W563" i="6"/>
  <c r="V563" i="6"/>
  <c r="U563" i="6"/>
  <c r="T563" i="6"/>
  <c r="S563" i="6"/>
  <c r="R563" i="6"/>
  <c r="Q563" i="6"/>
  <c r="P563" i="6"/>
  <c r="O563" i="6"/>
  <c r="N563" i="6"/>
  <c r="M563" i="6"/>
  <c r="L563" i="6"/>
  <c r="W562" i="6"/>
  <c r="V562" i="6"/>
  <c r="U562" i="6"/>
  <c r="T562" i="6"/>
  <c r="S562" i="6"/>
  <c r="R562" i="6"/>
  <c r="Q562" i="6"/>
  <c r="P562" i="6"/>
  <c r="O562" i="6"/>
  <c r="N562" i="6"/>
  <c r="M562" i="6"/>
  <c r="L562" i="6"/>
  <c r="W561" i="6"/>
  <c r="V561" i="6"/>
  <c r="U561" i="6"/>
  <c r="T561" i="6"/>
  <c r="S561" i="6"/>
  <c r="R561" i="6"/>
  <c r="Q561" i="6"/>
  <c r="P561" i="6"/>
  <c r="O561" i="6"/>
  <c r="N561" i="6"/>
  <c r="M561" i="6"/>
  <c r="L561" i="6"/>
  <c r="W560" i="6"/>
  <c r="V560" i="6"/>
  <c r="U560" i="6"/>
  <c r="T560" i="6"/>
  <c r="S560" i="6"/>
  <c r="R560" i="6"/>
  <c r="Q560" i="6"/>
  <c r="P560" i="6"/>
  <c r="O560" i="6"/>
  <c r="N560" i="6"/>
  <c r="M560" i="6"/>
  <c r="L560" i="6"/>
  <c r="W559" i="6"/>
  <c r="V559" i="6"/>
  <c r="U559" i="6"/>
  <c r="T559" i="6"/>
  <c r="S559" i="6"/>
  <c r="R559" i="6"/>
  <c r="Q559" i="6"/>
  <c r="P559" i="6"/>
  <c r="O559" i="6"/>
  <c r="N559" i="6"/>
  <c r="M559" i="6"/>
  <c r="L559" i="6"/>
  <c r="W558" i="6"/>
  <c r="V558" i="6"/>
  <c r="U558" i="6"/>
  <c r="T558" i="6"/>
  <c r="S558" i="6"/>
  <c r="R558" i="6"/>
  <c r="Q558" i="6"/>
  <c r="P558" i="6"/>
  <c r="O558" i="6"/>
  <c r="N558" i="6"/>
  <c r="M558" i="6"/>
  <c r="L558" i="6"/>
  <c r="W557" i="6"/>
  <c r="V557" i="6"/>
  <c r="U557" i="6"/>
  <c r="T557" i="6"/>
  <c r="S557" i="6"/>
  <c r="R557" i="6"/>
  <c r="Q557" i="6"/>
  <c r="P557" i="6"/>
  <c r="O557" i="6"/>
  <c r="N557" i="6"/>
  <c r="M557" i="6"/>
  <c r="L557" i="6"/>
  <c r="W556" i="6"/>
  <c r="V556" i="6"/>
  <c r="U556" i="6"/>
  <c r="T556" i="6"/>
  <c r="S556" i="6"/>
  <c r="R556" i="6"/>
  <c r="Q556" i="6"/>
  <c r="P556" i="6"/>
  <c r="O556" i="6"/>
  <c r="N556" i="6"/>
  <c r="M556" i="6"/>
  <c r="L556" i="6"/>
  <c r="W555" i="6"/>
  <c r="V555" i="6"/>
  <c r="U555" i="6"/>
  <c r="T555" i="6"/>
  <c r="S555" i="6"/>
  <c r="R555" i="6"/>
  <c r="Q555" i="6"/>
  <c r="P555" i="6"/>
  <c r="O555" i="6"/>
  <c r="N555" i="6"/>
  <c r="M555" i="6"/>
  <c r="L555" i="6"/>
  <c r="W554" i="6"/>
  <c r="V554" i="6"/>
  <c r="U554" i="6"/>
  <c r="T554" i="6"/>
  <c r="S554" i="6"/>
  <c r="R554" i="6"/>
  <c r="Q554" i="6"/>
  <c r="P554" i="6"/>
  <c r="O554" i="6"/>
  <c r="N554" i="6"/>
  <c r="M554" i="6"/>
  <c r="L554" i="6"/>
  <c r="W553" i="6"/>
  <c r="V553" i="6"/>
  <c r="U553" i="6"/>
  <c r="T553" i="6"/>
  <c r="S553" i="6"/>
  <c r="R553" i="6"/>
  <c r="Q553" i="6"/>
  <c r="P553" i="6"/>
  <c r="O553" i="6"/>
  <c r="N553" i="6"/>
  <c r="M553" i="6"/>
  <c r="L553" i="6"/>
  <c r="W552" i="6"/>
  <c r="V552" i="6"/>
  <c r="U552" i="6"/>
  <c r="T552" i="6"/>
  <c r="S552" i="6"/>
  <c r="R552" i="6"/>
  <c r="Q552" i="6"/>
  <c r="P552" i="6"/>
  <c r="O552" i="6"/>
  <c r="N552" i="6"/>
  <c r="M552" i="6"/>
  <c r="L552" i="6"/>
  <c r="W551" i="6"/>
  <c r="V551" i="6"/>
  <c r="U551" i="6"/>
  <c r="T551" i="6"/>
  <c r="S551" i="6"/>
  <c r="R551" i="6"/>
  <c r="Q551" i="6"/>
  <c r="P551" i="6"/>
  <c r="O551" i="6"/>
  <c r="N551" i="6"/>
  <c r="M551" i="6"/>
  <c r="L551" i="6"/>
  <c r="W550" i="6"/>
  <c r="V550" i="6"/>
  <c r="U550" i="6"/>
  <c r="T550" i="6"/>
  <c r="S550" i="6"/>
  <c r="R550" i="6"/>
  <c r="Q550" i="6"/>
  <c r="P550" i="6"/>
  <c r="O550" i="6"/>
  <c r="N550" i="6"/>
  <c r="M550" i="6"/>
  <c r="L550" i="6"/>
  <c r="W549" i="6"/>
  <c r="V549" i="6"/>
  <c r="U549" i="6"/>
  <c r="T549" i="6"/>
  <c r="S549" i="6"/>
  <c r="R549" i="6"/>
  <c r="Q549" i="6"/>
  <c r="P549" i="6"/>
  <c r="O549" i="6"/>
  <c r="N549" i="6"/>
  <c r="M549" i="6"/>
  <c r="L549" i="6"/>
  <c r="W548" i="6"/>
  <c r="V548" i="6"/>
  <c r="U548" i="6"/>
  <c r="T548" i="6"/>
  <c r="S548" i="6"/>
  <c r="R548" i="6"/>
  <c r="Q548" i="6"/>
  <c r="P548" i="6"/>
  <c r="O548" i="6"/>
  <c r="N548" i="6"/>
  <c r="M548" i="6"/>
  <c r="L548" i="6"/>
  <c r="W547" i="6"/>
  <c r="V547" i="6"/>
  <c r="U547" i="6"/>
  <c r="T547" i="6"/>
  <c r="S547" i="6"/>
  <c r="R547" i="6"/>
  <c r="Q547" i="6"/>
  <c r="P547" i="6"/>
  <c r="O547" i="6"/>
  <c r="N547" i="6"/>
  <c r="M547" i="6"/>
  <c r="L547" i="6"/>
  <c r="W546" i="6"/>
  <c r="V546" i="6"/>
  <c r="U546" i="6"/>
  <c r="T546" i="6"/>
  <c r="S546" i="6"/>
  <c r="R546" i="6"/>
  <c r="Q546" i="6"/>
  <c r="P546" i="6"/>
  <c r="O546" i="6"/>
  <c r="N546" i="6"/>
  <c r="M546" i="6"/>
  <c r="L546" i="6"/>
  <c r="W545" i="6"/>
  <c r="V545" i="6"/>
  <c r="U545" i="6"/>
  <c r="T545" i="6"/>
  <c r="S545" i="6"/>
  <c r="R545" i="6"/>
  <c r="Q545" i="6"/>
  <c r="P545" i="6"/>
  <c r="O545" i="6"/>
  <c r="N545" i="6"/>
  <c r="M545" i="6"/>
  <c r="L545" i="6"/>
  <c r="W544" i="6"/>
  <c r="V544" i="6"/>
  <c r="U544" i="6"/>
  <c r="T544" i="6"/>
  <c r="S544" i="6"/>
  <c r="R544" i="6"/>
  <c r="Q544" i="6"/>
  <c r="P544" i="6"/>
  <c r="O544" i="6"/>
  <c r="N544" i="6"/>
  <c r="M544" i="6"/>
  <c r="L544" i="6"/>
  <c r="W543" i="6"/>
  <c r="V543" i="6"/>
  <c r="U543" i="6"/>
  <c r="T543" i="6"/>
  <c r="S543" i="6"/>
  <c r="R543" i="6"/>
  <c r="Q543" i="6"/>
  <c r="P543" i="6"/>
  <c r="O543" i="6"/>
  <c r="N543" i="6"/>
  <c r="M543" i="6"/>
  <c r="L543" i="6"/>
  <c r="W542" i="6"/>
  <c r="V542" i="6"/>
  <c r="U542" i="6"/>
  <c r="T542" i="6"/>
  <c r="S542" i="6"/>
  <c r="R542" i="6"/>
  <c r="Q542" i="6"/>
  <c r="P542" i="6"/>
  <c r="O542" i="6"/>
  <c r="N542" i="6"/>
  <c r="M542" i="6"/>
  <c r="L542" i="6"/>
  <c r="W541" i="6"/>
  <c r="V541" i="6"/>
  <c r="U541" i="6"/>
  <c r="T541" i="6"/>
  <c r="S541" i="6"/>
  <c r="R541" i="6"/>
  <c r="Q541" i="6"/>
  <c r="P541" i="6"/>
  <c r="O541" i="6"/>
  <c r="N541" i="6"/>
  <c r="M541" i="6"/>
  <c r="L541" i="6"/>
  <c r="W540" i="6"/>
  <c r="V540" i="6"/>
  <c r="U540" i="6"/>
  <c r="T540" i="6"/>
  <c r="S540" i="6"/>
  <c r="R540" i="6"/>
  <c r="Q540" i="6"/>
  <c r="P540" i="6"/>
  <c r="O540" i="6"/>
  <c r="N540" i="6"/>
  <c r="M540" i="6"/>
  <c r="L540" i="6"/>
  <c r="W539" i="6"/>
  <c r="V539" i="6"/>
  <c r="U539" i="6"/>
  <c r="T539" i="6"/>
  <c r="S539" i="6"/>
  <c r="R539" i="6"/>
  <c r="Q539" i="6"/>
  <c r="P539" i="6"/>
  <c r="O539" i="6"/>
  <c r="N539" i="6"/>
  <c r="M539" i="6"/>
  <c r="L539" i="6"/>
  <c r="W538" i="6"/>
  <c r="V538" i="6"/>
  <c r="U538" i="6"/>
  <c r="T538" i="6"/>
  <c r="S538" i="6"/>
  <c r="R538" i="6"/>
  <c r="Q538" i="6"/>
  <c r="P538" i="6"/>
  <c r="O538" i="6"/>
  <c r="N538" i="6"/>
  <c r="M538" i="6"/>
  <c r="L538" i="6"/>
  <c r="W537" i="6"/>
  <c r="V537" i="6"/>
  <c r="U537" i="6"/>
  <c r="T537" i="6"/>
  <c r="S537" i="6"/>
  <c r="R537" i="6"/>
  <c r="Q537" i="6"/>
  <c r="P537" i="6"/>
  <c r="O537" i="6"/>
  <c r="N537" i="6"/>
  <c r="M537" i="6"/>
  <c r="L537" i="6"/>
  <c r="W536" i="6"/>
  <c r="V536" i="6"/>
  <c r="U536" i="6"/>
  <c r="T536" i="6"/>
  <c r="S536" i="6"/>
  <c r="R536" i="6"/>
  <c r="Q536" i="6"/>
  <c r="P536" i="6"/>
  <c r="O536" i="6"/>
  <c r="N536" i="6"/>
  <c r="M536" i="6"/>
  <c r="L536" i="6"/>
  <c r="W535" i="6"/>
  <c r="V535" i="6"/>
  <c r="U535" i="6"/>
  <c r="T535" i="6"/>
  <c r="S535" i="6"/>
  <c r="R535" i="6"/>
  <c r="Q535" i="6"/>
  <c r="P535" i="6"/>
  <c r="O535" i="6"/>
  <c r="N535" i="6"/>
  <c r="M535" i="6"/>
  <c r="L535" i="6"/>
  <c r="W534" i="6"/>
  <c r="V534" i="6"/>
  <c r="U534" i="6"/>
  <c r="T534" i="6"/>
  <c r="S534" i="6"/>
  <c r="R534" i="6"/>
  <c r="Q534" i="6"/>
  <c r="P534" i="6"/>
  <c r="O534" i="6"/>
  <c r="N534" i="6"/>
  <c r="M534" i="6"/>
  <c r="L534" i="6"/>
  <c r="W533" i="6"/>
  <c r="V533" i="6"/>
  <c r="U533" i="6"/>
  <c r="T533" i="6"/>
  <c r="S533" i="6"/>
  <c r="R533" i="6"/>
  <c r="Q533" i="6"/>
  <c r="P533" i="6"/>
  <c r="O533" i="6"/>
  <c r="N533" i="6"/>
  <c r="M533" i="6"/>
  <c r="L533" i="6"/>
  <c r="W532" i="6"/>
  <c r="V532" i="6"/>
  <c r="U532" i="6"/>
  <c r="T532" i="6"/>
  <c r="S532" i="6"/>
  <c r="R532" i="6"/>
  <c r="Q532" i="6"/>
  <c r="P532" i="6"/>
  <c r="O532" i="6"/>
  <c r="N532" i="6"/>
  <c r="M532" i="6"/>
  <c r="L532" i="6"/>
  <c r="W531" i="6"/>
  <c r="V531" i="6"/>
  <c r="U531" i="6"/>
  <c r="T531" i="6"/>
  <c r="S531" i="6"/>
  <c r="R531" i="6"/>
  <c r="Q531" i="6"/>
  <c r="P531" i="6"/>
  <c r="O531" i="6"/>
  <c r="N531" i="6"/>
  <c r="M531" i="6"/>
  <c r="L531" i="6"/>
  <c r="W530" i="6"/>
  <c r="V530" i="6"/>
  <c r="U530" i="6"/>
  <c r="T530" i="6"/>
  <c r="S530" i="6"/>
  <c r="R530" i="6"/>
  <c r="Q530" i="6"/>
  <c r="P530" i="6"/>
  <c r="O530" i="6"/>
  <c r="N530" i="6"/>
  <c r="M530" i="6"/>
  <c r="L530" i="6"/>
  <c r="W529" i="6"/>
  <c r="V529" i="6"/>
  <c r="U529" i="6"/>
  <c r="T529" i="6"/>
  <c r="S529" i="6"/>
  <c r="R529" i="6"/>
  <c r="Q529" i="6"/>
  <c r="P529" i="6"/>
  <c r="O529" i="6"/>
  <c r="N529" i="6"/>
  <c r="M529" i="6"/>
  <c r="L529" i="6"/>
  <c r="W528" i="6"/>
  <c r="V528" i="6"/>
  <c r="U528" i="6"/>
  <c r="T528" i="6"/>
  <c r="S528" i="6"/>
  <c r="R528" i="6"/>
  <c r="Q528" i="6"/>
  <c r="P528" i="6"/>
  <c r="O528" i="6"/>
  <c r="N528" i="6"/>
  <c r="M528" i="6"/>
  <c r="L528" i="6"/>
  <c r="W527" i="6"/>
  <c r="V527" i="6"/>
  <c r="U527" i="6"/>
  <c r="T527" i="6"/>
  <c r="S527" i="6"/>
  <c r="R527" i="6"/>
  <c r="Q527" i="6"/>
  <c r="P527" i="6"/>
  <c r="O527" i="6"/>
  <c r="N527" i="6"/>
  <c r="M527" i="6"/>
  <c r="L527" i="6"/>
  <c r="W526" i="6"/>
  <c r="V526" i="6"/>
  <c r="U526" i="6"/>
  <c r="T526" i="6"/>
  <c r="S526" i="6"/>
  <c r="R526" i="6"/>
  <c r="Q526" i="6"/>
  <c r="P526" i="6"/>
  <c r="O526" i="6"/>
  <c r="N526" i="6"/>
  <c r="M526" i="6"/>
  <c r="L526" i="6"/>
  <c r="W525" i="6"/>
  <c r="V525" i="6"/>
  <c r="U525" i="6"/>
  <c r="T525" i="6"/>
  <c r="S525" i="6"/>
  <c r="R525" i="6"/>
  <c r="Q525" i="6"/>
  <c r="P525" i="6"/>
  <c r="O525" i="6"/>
  <c r="N525" i="6"/>
  <c r="M525" i="6"/>
  <c r="L525" i="6"/>
  <c r="W524" i="6"/>
  <c r="V524" i="6"/>
  <c r="U524" i="6"/>
  <c r="T524" i="6"/>
  <c r="S524" i="6"/>
  <c r="R524" i="6"/>
  <c r="Q524" i="6"/>
  <c r="P524" i="6"/>
  <c r="O524" i="6"/>
  <c r="N524" i="6"/>
  <c r="M524" i="6"/>
  <c r="L524" i="6"/>
  <c r="W523" i="6"/>
  <c r="V523" i="6"/>
  <c r="U523" i="6"/>
  <c r="T523" i="6"/>
  <c r="S523" i="6"/>
  <c r="R523" i="6"/>
  <c r="Q523" i="6"/>
  <c r="P523" i="6"/>
  <c r="O523" i="6"/>
  <c r="N523" i="6"/>
  <c r="M523" i="6"/>
  <c r="L523" i="6"/>
  <c r="W522" i="6"/>
  <c r="V522" i="6"/>
  <c r="U522" i="6"/>
  <c r="T522" i="6"/>
  <c r="S522" i="6"/>
  <c r="R522" i="6"/>
  <c r="Q522" i="6"/>
  <c r="P522" i="6"/>
  <c r="O522" i="6"/>
  <c r="N522" i="6"/>
  <c r="M522" i="6"/>
  <c r="L522" i="6"/>
  <c r="W521" i="6"/>
  <c r="V521" i="6"/>
  <c r="U521" i="6"/>
  <c r="T521" i="6"/>
  <c r="S521" i="6"/>
  <c r="R521" i="6"/>
  <c r="Q521" i="6"/>
  <c r="P521" i="6"/>
  <c r="O521" i="6"/>
  <c r="N521" i="6"/>
  <c r="M521" i="6"/>
  <c r="L521" i="6"/>
  <c r="W520" i="6"/>
  <c r="V520" i="6"/>
  <c r="U520" i="6"/>
  <c r="T520" i="6"/>
  <c r="S520" i="6"/>
  <c r="R520" i="6"/>
  <c r="Q520" i="6"/>
  <c r="P520" i="6"/>
  <c r="O520" i="6"/>
  <c r="N520" i="6"/>
  <c r="M520" i="6"/>
  <c r="L520" i="6"/>
  <c r="W519" i="6"/>
  <c r="V519" i="6"/>
  <c r="U519" i="6"/>
  <c r="T519" i="6"/>
  <c r="S519" i="6"/>
  <c r="R519" i="6"/>
  <c r="Q519" i="6"/>
  <c r="P519" i="6"/>
  <c r="O519" i="6"/>
  <c r="N519" i="6"/>
  <c r="M519" i="6"/>
  <c r="L519" i="6"/>
  <c r="W518" i="6"/>
  <c r="V518" i="6"/>
  <c r="U518" i="6"/>
  <c r="T518" i="6"/>
  <c r="S518" i="6"/>
  <c r="R518" i="6"/>
  <c r="Q518" i="6"/>
  <c r="P518" i="6"/>
  <c r="O518" i="6"/>
  <c r="N518" i="6"/>
  <c r="M518" i="6"/>
  <c r="L518" i="6"/>
  <c r="W517" i="6"/>
  <c r="V517" i="6"/>
  <c r="U517" i="6"/>
  <c r="T517" i="6"/>
  <c r="S517" i="6"/>
  <c r="R517" i="6"/>
  <c r="Q517" i="6"/>
  <c r="P517" i="6"/>
  <c r="O517" i="6"/>
  <c r="N517" i="6"/>
  <c r="M517" i="6"/>
  <c r="L517" i="6"/>
  <c r="W516" i="6"/>
  <c r="V516" i="6"/>
  <c r="U516" i="6"/>
  <c r="T516" i="6"/>
  <c r="S516" i="6"/>
  <c r="R516" i="6"/>
  <c r="Q516" i="6"/>
  <c r="P516" i="6"/>
  <c r="O516" i="6"/>
  <c r="N516" i="6"/>
  <c r="M516" i="6"/>
  <c r="L516" i="6"/>
  <c r="W515" i="6"/>
  <c r="V515" i="6"/>
  <c r="U515" i="6"/>
  <c r="T515" i="6"/>
  <c r="S515" i="6"/>
  <c r="R515" i="6"/>
  <c r="Q515" i="6"/>
  <c r="P515" i="6"/>
  <c r="O515" i="6"/>
  <c r="N515" i="6"/>
  <c r="M515" i="6"/>
  <c r="L515" i="6"/>
  <c r="W514" i="6"/>
  <c r="V514" i="6"/>
  <c r="U514" i="6"/>
  <c r="T514" i="6"/>
  <c r="S514" i="6"/>
  <c r="R514" i="6"/>
  <c r="Q514" i="6"/>
  <c r="P514" i="6"/>
  <c r="O514" i="6"/>
  <c r="N514" i="6"/>
  <c r="M514" i="6"/>
  <c r="L514" i="6"/>
  <c r="W513" i="6"/>
  <c r="V513" i="6"/>
  <c r="U513" i="6"/>
  <c r="T513" i="6"/>
  <c r="S513" i="6"/>
  <c r="R513" i="6"/>
  <c r="Q513" i="6"/>
  <c r="P513" i="6"/>
  <c r="O513" i="6"/>
  <c r="N513" i="6"/>
  <c r="M513" i="6"/>
  <c r="L513" i="6"/>
  <c r="W512" i="6"/>
  <c r="V512" i="6"/>
  <c r="U512" i="6"/>
  <c r="T512" i="6"/>
  <c r="S512" i="6"/>
  <c r="R512" i="6"/>
  <c r="Q512" i="6"/>
  <c r="P512" i="6"/>
  <c r="O512" i="6"/>
  <c r="N512" i="6"/>
  <c r="M512" i="6"/>
  <c r="L512" i="6"/>
  <c r="W511" i="6"/>
  <c r="V511" i="6"/>
  <c r="U511" i="6"/>
  <c r="T511" i="6"/>
  <c r="S511" i="6"/>
  <c r="R511" i="6"/>
  <c r="Q511" i="6"/>
  <c r="P511" i="6"/>
  <c r="O511" i="6"/>
  <c r="N511" i="6"/>
  <c r="M511" i="6"/>
  <c r="L511" i="6"/>
  <c r="W510" i="6"/>
  <c r="V510" i="6"/>
  <c r="U510" i="6"/>
  <c r="T510" i="6"/>
  <c r="S510" i="6"/>
  <c r="R510" i="6"/>
  <c r="Q510" i="6"/>
  <c r="P510" i="6"/>
  <c r="O510" i="6"/>
  <c r="N510" i="6"/>
  <c r="M510" i="6"/>
  <c r="L510" i="6"/>
  <c r="W509" i="6"/>
  <c r="V509" i="6"/>
  <c r="U509" i="6"/>
  <c r="T509" i="6"/>
  <c r="S509" i="6"/>
  <c r="R509" i="6"/>
  <c r="Q509" i="6"/>
  <c r="P509" i="6"/>
  <c r="O509" i="6"/>
  <c r="N509" i="6"/>
  <c r="M509" i="6"/>
  <c r="L509" i="6"/>
  <c r="W508" i="6"/>
  <c r="V508" i="6"/>
  <c r="U508" i="6"/>
  <c r="T508" i="6"/>
  <c r="S508" i="6"/>
  <c r="R508" i="6"/>
  <c r="Q508" i="6"/>
  <c r="P508" i="6"/>
  <c r="O508" i="6"/>
  <c r="N508" i="6"/>
  <c r="M508" i="6"/>
  <c r="L508" i="6"/>
  <c r="W507" i="6"/>
  <c r="V507" i="6"/>
  <c r="U507" i="6"/>
  <c r="T507" i="6"/>
  <c r="S507" i="6"/>
  <c r="R507" i="6"/>
  <c r="Q507" i="6"/>
  <c r="P507" i="6"/>
  <c r="O507" i="6"/>
  <c r="N507" i="6"/>
  <c r="M507" i="6"/>
  <c r="L507" i="6"/>
  <c r="W506" i="6"/>
  <c r="V506" i="6"/>
  <c r="U506" i="6"/>
  <c r="T506" i="6"/>
  <c r="S506" i="6"/>
  <c r="R506" i="6"/>
  <c r="Q506" i="6"/>
  <c r="P506" i="6"/>
  <c r="O506" i="6"/>
  <c r="N506" i="6"/>
  <c r="M506" i="6"/>
  <c r="L506" i="6"/>
  <c r="W505" i="6"/>
  <c r="V505" i="6"/>
  <c r="U505" i="6"/>
  <c r="T505" i="6"/>
  <c r="S505" i="6"/>
  <c r="R505" i="6"/>
  <c r="Q505" i="6"/>
  <c r="P505" i="6"/>
  <c r="O505" i="6"/>
  <c r="N505" i="6"/>
  <c r="M505" i="6"/>
  <c r="L505" i="6"/>
  <c r="W504" i="6"/>
  <c r="V504" i="6"/>
  <c r="U504" i="6"/>
  <c r="T504" i="6"/>
  <c r="S504" i="6"/>
  <c r="R504" i="6"/>
  <c r="Q504" i="6"/>
  <c r="P504" i="6"/>
  <c r="O504" i="6"/>
  <c r="N504" i="6"/>
  <c r="M504" i="6"/>
  <c r="L504" i="6"/>
  <c r="W503" i="6"/>
  <c r="V503" i="6"/>
  <c r="U503" i="6"/>
  <c r="T503" i="6"/>
  <c r="S503" i="6"/>
  <c r="R503" i="6"/>
  <c r="Q503" i="6"/>
  <c r="P503" i="6"/>
  <c r="O503" i="6"/>
  <c r="N503" i="6"/>
  <c r="M503" i="6"/>
  <c r="L503" i="6"/>
  <c r="W502" i="6"/>
  <c r="V502" i="6"/>
  <c r="U502" i="6"/>
  <c r="T502" i="6"/>
  <c r="S502" i="6"/>
  <c r="R502" i="6"/>
  <c r="Q502" i="6"/>
  <c r="P502" i="6"/>
  <c r="O502" i="6"/>
  <c r="N502" i="6"/>
  <c r="M502" i="6"/>
  <c r="L502" i="6"/>
  <c r="W501" i="6"/>
  <c r="V501" i="6"/>
  <c r="U501" i="6"/>
  <c r="T501" i="6"/>
  <c r="S501" i="6"/>
  <c r="R501" i="6"/>
  <c r="Q501" i="6"/>
  <c r="P501" i="6"/>
  <c r="O501" i="6"/>
  <c r="N501" i="6"/>
  <c r="M501" i="6"/>
  <c r="L501" i="6"/>
  <c r="W500" i="6"/>
  <c r="V500" i="6"/>
  <c r="U500" i="6"/>
  <c r="T500" i="6"/>
  <c r="S500" i="6"/>
  <c r="R500" i="6"/>
  <c r="Q500" i="6"/>
  <c r="P500" i="6"/>
  <c r="O500" i="6"/>
  <c r="N500" i="6"/>
  <c r="M500" i="6"/>
  <c r="L500" i="6"/>
  <c r="W499" i="6"/>
  <c r="V499" i="6"/>
  <c r="U499" i="6"/>
  <c r="T499" i="6"/>
  <c r="S499" i="6"/>
  <c r="R499" i="6"/>
  <c r="Q499" i="6"/>
  <c r="P499" i="6"/>
  <c r="O499" i="6"/>
  <c r="N499" i="6"/>
  <c r="M499" i="6"/>
  <c r="L499" i="6"/>
  <c r="W498" i="6"/>
  <c r="V498" i="6"/>
  <c r="U498" i="6"/>
  <c r="T498" i="6"/>
  <c r="S498" i="6"/>
  <c r="R498" i="6"/>
  <c r="Q498" i="6"/>
  <c r="P498" i="6"/>
  <c r="O498" i="6"/>
  <c r="N498" i="6"/>
  <c r="M498" i="6"/>
  <c r="L498" i="6"/>
  <c r="W497" i="6"/>
  <c r="V497" i="6"/>
  <c r="U497" i="6"/>
  <c r="T497" i="6"/>
  <c r="S497" i="6"/>
  <c r="R497" i="6"/>
  <c r="Q497" i="6"/>
  <c r="P497" i="6"/>
  <c r="O497" i="6"/>
  <c r="N497" i="6"/>
  <c r="M497" i="6"/>
  <c r="L497" i="6"/>
  <c r="W496" i="6"/>
  <c r="V496" i="6"/>
  <c r="U496" i="6"/>
  <c r="T496" i="6"/>
  <c r="S496" i="6"/>
  <c r="R496" i="6"/>
  <c r="Q496" i="6"/>
  <c r="P496" i="6"/>
  <c r="O496" i="6"/>
  <c r="N496" i="6"/>
  <c r="M496" i="6"/>
  <c r="L496" i="6"/>
  <c r="W495" i="6"/>
  <c r="V495" i="6"/>
  <c r="U495" i="6"/>
  <c r="T495" i="6"/>
  <c r="S495" i="6"/>
  <c r="R495" i="6"/>
  <c r="Q495" i="6"/>
  <c r="P495" i="6"/>
  <c r="O495" i="6"/>
  <c r="N495" i="6"/>
  <c r="M495" i="6"/>
  <c r="L495" i="6"/>
  <c r="W494" i="6"/>
  <c r="V494" i="6"/>
  <c r="U494" i="6"/>
  <c r="T494" i="6"/>
  <c r="S494" i="6"/>
  <c r="R494" i="6"/>
  <c r="Q494" i="6"/>
  <c r="P494" i="6"/>
  <c r="O494" i="6"/>
  <c r="N494" i="6"/>
  <c r="M494" i="6"/>
  <c r="L494" i="6"/>
  <c r="W493" i="6"/>
  <c r="V493" i="6"/>
  <c r="U493" i="6"/>
  <c r="T493" i="6"/>
  <c r="S493" i="6"/>
  <c r="R493" i="6"/>
  <c r="Q493" i="6"/>
  <c r="P493" i="6"/>
  <c r="O493" i="6"/>
  <c r="N493" i="6"/>
  <c r="M493" i="6"/>
  <c r="L493" i="6"/>
  <c r="W492" i="6"/>
  <c r="V492" i="6"/>
  <c r="U492" i="6"/>
  <c r="T492" i="6"/>
  <c r="S492" i="6"/>
  <c r="R492" i="6"/>
  <c r="Q492" i="6"/>
  <c r="P492" i="6"/>
  <c r="O492" i="6"/>
  <c r="N492" i="6"/>
  <c r="M492" i="6"/>
  <c r="L492" i="6"/>
  <c r="W491" i="6"/>
  <c r="V491" i="6"/>
  <c r="U491" i="6"/>
  <c r="T491" i="6"/>
  <c r="S491" i="6"/>
  <c r="R491" i="6"/>
  <c r="Q491" i="6"/>
  <c r="P491" i="6"/>
  <c r="O491" i="6"/>
  <c r="N491" i="6"/>
  <c r="M491" i="6"/>
  <c r="L491" i="6"/>
  <c r="W490" i="6"/>
  <c r="V490" i="6"/>
  <c r="U490" i="6"/>
  <c r="T490" i="6"/>
  <c r="S490" i="6"/>
  <c r="R490" i="6"/>
  <c r="Q490" i="6"/>
  <c r="P490" i="6"/>
  <c r="O490" i="6"/>
  <c r="N490" i="6"/>
  <c r="M490" i="6"/>
  <c r="L490" i="6"/>
  <c r="W489" i="6"/>
  <c r="V489" i="6"/>
  <c r="U489" i="6"/>
  <c r="T489" i="6"/>
  <c r="S489" i="6"/>
  <c r="R489" i="6"/>
  <c r="Q489" i="6"/>
  <c r="P489" i="6"/>
  <c r="O489" i="6"/>
  <c r="N489" i="6"/>
  <c r="M489" i="6"/>
  <c r="L489" i="6"/>
  <c r="W488" i="6"/>
  <c r="V488" i="6"/>
  <c r="U488" i="6"/>
  <c r="T488" i="6"/>
  <c r="S488" i="6"/>
  <c r="R488" i="6"/>
  <c r="Q488" i="6"/>
  <c r="P488" i="6"/>
  <c r="O488" i="6"/>
  <c r="N488" i="6"/>
  <c r="M488" i="6"/>
  <c r="L488" i="6"/>
  <c r="W487" i="6"/>
  <c r="V487" i="6"/>
  <c r="U487" i="6"/>
  <c r="T487" i="6"/>
  <c r="S487" i="6"/>
  <c r="R487" i="6"/>
  <c r="Q487" i="6"/>
  <c r="P487" i="6"/>
  <c r="O487" i="6"/>
  <c r="N487" i="6"/>
  <c r="M487" i="6"/>
  <c r="L487" i="6"/>
  <c r="W486" i="6"/>
  <c r="V486" i="6"/>
  <c r="U486" i="6"/>
  <c r="T486" i="6"/>
  <c r="S486" i="6"/>
  <c r="R486" i="6"/>
  <c r="Q486" i="6"/>
  <c r="P486" i="6"/>
  <c r="O486" i="6"/>
  <c r="N486" i="6"/>
  <c r="M486" i="6"/>
  <c r="L486" i="6"/>
  <c r="W485" i="6"/>
  <c r="V485" i="6"/>
  <c r="U485" i="6"/>
  <c r="T485" i="6"/>
  <c r="S485" i="6"/>
  <c r="R485" i="6"/>
  <c r="Q485" i="6"/>
  <c r="P485" i="6"/>
  <c r="O485" i="6"/>
  <c r="N485" i="6"/>
  <c r="M485" i="6"/>
  <c r="L485" i="6"/>
  <c r="W484" i="6"/>
  <c r="V484" i="6"/>
  <c r="U484" i="6"/>
  <c r="T484" i="6"/>
  <c r="S484" i="6"/>
  <c r="R484" i="6"/>
  <c r="Q484" i="6"/>
  <c r="P484" i="6"/>
  <c r="O484" i="6"/>
  <c r="N484" i="6"/>
  <c r="M484" i="6"/>
  <c r="L484" i="6"/>
  <c r="W483" i="6"/>
  <c r="V483" i="6"/>
  <c r="U483" i="6"/>
  <c r="T483" i="6"/>
  <c r="S483" i="6"/>
  <c r="R483" i="6"/>
  <c r="Q483" i="6"/>
  <c r="P483" i="6"/>
  <c r="O483" i="6"/>
  <c r="N483" i="6"/>
  <c r="M483" i="6"/>
  <c r="L483" i="6"/>
  <c r="W482" i="6"/>
  <c r="V482" i="6"/>
  <c r="U482" i="6"/>
  <c r="T482" i="6"/>
  <c r="S482" i="6"/>
  <c r="R482" i="6"/>
  <c r="Q482" i="6"/>
  <c r="P482" i="6"/>
  <c r="O482" i="6"/>
  <c r="N482" i="6"/>
  <c r="M482" i="6"/>
  <c r="L482" i="6"/>
  <c r="W481" i="6"/>
  <c r="V481" i="6"/>
  <c r="U481" i="6"/>
  <c r="T481" i="6"/>
  <c r="S481" i="6"/>
  <c r="R481" i="6"/>
  <c r="Q481" i="6"/>
  <c r="P481" i="6"/>
  <c r="O481" i="6"/>
  <c r="N481" i="6"/>
  <c r="M481" i="6"/>
  <c r="L481" i="6"/>
  <c r="W480" i="6"/>
  <c r="V480" i="6"/>
  <c r="U480" i="6"/>
  <c r="T480" i="6"/>
  <c r="S480" i="6"/>
  <c r="R480" i="6"/>
  <c r="Q480" i="6"/>
  <c r="P480" i="6"/>
  <c r="O480" i="6"/>
  <c r="N480" i="6"/>
  <c r="M480" i="6"/>
  <c r="L480" i="6"/>
  <c r="W479" i="6"/>
  <c r="V479" i="6"/>
  <c r="U479" i="6"/>
  <c r="T479" i="6"/>
  <c r="S479" i="6"/>
  <c r="R479" i="6"/>
  <c r="Q479" i="6"/>
  <c r="P479" i="6"/>
  <c r="O479" i="6"/>
  <c r="N479" i="6"/>
  <c r="M479" i="6"/>
  <c r="L479" i="6"/>
  <c r="W478" i="6"/>
  <c r="V478" i="6"/>
  <c r="U478" i="6"/>
  <c r="T478" i="6"/>
  <c r="S478" i="6"/>
  <c r="R478" i="6"/>
  <c r="Q478" i="6"/>
  <c r="P478" i="6"/>
  <c r="O478" i="6"/>
  <c r="N478" i="6"/>
  <c r="M478" i="6"/>
  <c r="L478" i="6"/>
  <c r="W477" i="6"/>
  <c r="V477" i="6"/>
  <c r="U477" i="6"/>
  <c r="T477" i="6"/>
  <c r="S477" i="6"/>
  <c r="R477" i="6"/>
  <c r="Q477" i="6"/>
  <c r="P477" i="6"/>
  <c r="O477" i="6"/>
  <c r="N477" i="6"/>
  <c r="M477" i="6"/>
  <c r="L477" i="6"/>
  <c r="W476" i="6"/>
  <c r="V476" i="6"/>
  <c r="U476" i="6"/>
  <c r="T476" i="6"/>
  <c r="S476" i="6"/>
  <c r="R476" i="6"/>
  <c r="Q476" i="6"/>
  <c r="P476" i="6"/>
  <c r="O476" i="6"/>
  <c r="N476" i="6"/>
  <c r="M476" i="6"/>
  <c r="L476" i="6"/>
  <c r="W475" i="6"/>
  <c r="V475" i="6"/>
  <c r="U475" i="6"/>
  <c r="T475" i="6"/>
  <c r="S475" i="6"/>
  <c r="R475" i="6"/>
  <c r="Q475" i="6"/>
  <c r="P475" i="6"/>
  <c r="O475" i="6"/>
  <c r="N475" i="6"/>
  <c r="M475" i="6"/>
  <c r="L475" i="6"/>
  <c r="W474" i="6"/>
  <c r="V474" i="6"/>
  <c r="U474" i="6"/>
  <c r="T474" i="6"/>
  <c r="S474" i="6"/>
  <c r="R474" i="6"/>
  <c r="Q474" i="6"/>
  <c r="P474" i="6"/>
  <c r="O474" i="6"/>
  <c r="N474" i="6"/>
  <c r="M474" i="6"/>
  <c r="L474" i="6"/>
  <c r="W473" i="6"/>
  <c r="V473" i="6"/>
  <c r="U473" i="6"/>
  <c r="T473" i="6"/>
  <c r="S473" i="6"/>
  <c r="R473" i="6"/>
  <c r="Q473" i="6"/>
  <c r="P473" i="6"/>
  <c r="O473" i="6"/>
  <c r="N473" i="6"/>
  <c r="M473" i="6"/>
  <c r="L473" i="6"/>
  <c r="W472" i="6"/>
  <c r="V472" i="6"/>
  <c r="U472" i="6"/>
  <c r="T472" i="6"/>
  <c r="S472" i="6"/>
  <c r="R472" i="6"/>
  <c r="Q472" i="6"/>
  <c r="P472" i="6"/>
  <c r="O472" i="6"/>
  <c r="N472" i="6"/>
  <c r="M472" i="6"/>
  <c r="L472" i="6"/>
  <c r="W471" i="6"/>
  <c r="V471" i="6"/>
  <c r="U471" i="6"/>
  <c r="T471" i="6"/>
  <c r="S471" i="6"/>
  <c r="R471" i="6"/>
  <c r="Q471" i="6"/>
  <c r="P471" i="6"/>
  <c r="O471" i="6"/>
  <c r="N471" i="6"/>
  <c r="M471" i="6"/>
  <c r="L471" i="6"/>
  <c r="W470" i="6"/>
  <c r="V470" i="6"/>
  <c r="U470" i="6"/>
  <c r="T470" i="6"/>
  <c r="S470" i="6"/>
  <c r="R470" i="6"/>
  <c r="Q470" i="6"/>
  <c r="P470" i="6"/>
  <c r="O470" i="6"/>
  <c r="N470" i="6"/>
  <c r="M470" i="6"/>
  <c r="L470" i="6"/>
  <c r="W469" i="6"/>
  <c r="V469" i="6"/>
  <c r="U469" i="6"/>
  <c r="T469" i="6"/>
  <c r="S469" i="6"/>
  <c r="R469" i="6"/>
  <c r="Q469" i="6"/>
  <c r="P469" i="6"/>
  <c r="O469" i="6"/>
  <c r="N469" i="6"/>
  <c r="M469" i="6"/>
  <c r="L469" i="6"/>
  <c r="W468" i="6"/>
  <c r="V468" i="6"/>
  <c r="U468" i="6"/>
  <c r="T468" i="6"/>
  <c r="S468" i="6"/>
  <c r="R468" i="6"/>
  <c r="Q468" i="6"/>
  <c r="P468" i="6"/>
  <c r="O468" i="6"/>
  <c r="N468" i="6"/>
  <c r="M468" i="6"/>
  <c r="L468" i="6"/>
  <c r="W467" i="6"/>
  <c r="V467" i="6"/>
  <c r="U467" i="6"/>
  <c r="T467" i="6"/>
  <c r="S467" i="6"/>
  <c r="R467" i="6"/>
  <c r="Q467" i="6"/>
  <c r="P467" i="6"/>
  <c r="O467" i="6"/>
  <c r="N467" i="6"/>
  <c r="M467" i="6"/>
  <c r="L467" i="6"/>
  <c r="W466" i="6"/>
  <c r="V466" i="6"/>
  <c r="U466" i="6"/>
  <c r="T466" i="6"/>
  <c r="S466" i="6"/>
  <c r="R466" i="6"/>
  <c r="Q466" i="6"/>
  <c r="P466" i="6"/>
  <c r="O466" i="6"/>
  <c r="N466" i="6"/>
  <c r="M466" i="6"/>
  <c r="L466" i="6"/>
  <c r="W465" i="6"/>
  <c r="V465" i="6"/>
  <c r="U465" i="6"/>
  <c r="T465" i="6"/>
  <c r="S465" i="6"/>
  <c r="R465" i="6"/>
  <c r="Q465" i="6"/>
  <c r="P465" i="6"/>
  <c r="O465" i="6"/>
  <c r="N465" i="6"/>
  <c r="M465" i="6"/>
  <c r="L465" i="6"/>
  <c r="W464" i="6"/>
  <c r="V464" i="6"/>
  <c r="U464" i="6"/>
  <c r="T464" i="6"/>
  <c r="S464" i="6"/>
  <c r="R464" i="6"/>
  <c r="Q464" i="6"/>
  <c r="P464" i="6"/>
  <c r="O464" i="6"/>
  <c r="N464" i="6"/>
  <c r="M464" i="6"/>
  <c r="L464" i="6"/>
  <c r="W463" i="6"/>
  <c r="V463" i="6"/>
  <c r="U463" i="6"/>
  <c r="T463" i="6"/>
  <c r="S463" i="6"/>
  <c r="R463" i="6"/>
  <c r="Q463" i="6"/>
  <c r="P463" i="6"/>
  <c r="O463" i="6"/>
  <c r="N463" i="6"/>
  <c r="M463" i="6"/>
  <c r="L463" i="6"/>
  <c r="W462" i="6"/>
  <c r="V462" i="6"/>
  <c r="U462" i="6"/>
  <c r="T462" i="6"/>
  <c r="S462" i="6"/>
  <c r="R462" i="6"/>
  <c r="Q462" i="6"/>
  <c r="P462" i="6"/>
  <c r="O462" i="6"/>
  <c r="N462" i="6"/>
  <c r="M462" i="6"/>
  <c r="L462" i="6"/>
  <c r="W461" i="6"/>
  <c r="V461" i="6"/>
  <c r="U461" i="6"/>
  <c r="T461" i="6"/>
  <c r="S461" i="6"/>
  <c r="R461" i="6"/>
  <c r="Q461" i="6"/>
  <c r="P461" i="6"/>
  <c r="O461" i="6"/>
  <c r="N461" i="6"/>
  <c r="M461" i="6"/>
  <c r="L461" i="6"/>
  <c r="W460" i="6"/>
  <c r="V460" i="6"/>
  <c r="U460" i="6"/>
  <c r="T460" i="6"/>
  <c r="S460" i="6"/>
  <c r="R460" i="6"/>
  <c r="Q460" i="6"/>
  <c r="P460" i="6"/>
  <c r="O460" i="6"/>
  <c r="N460" i="6"/>
  <c r="M460" i="6"/>
  <c r="L460" i="6"/>
  <c r="W459" i="6"/>
  <c r="V459" i="6"/>
  <c r="U459" i="6"/>
  <c r="T459" i="6"/>
  <c r="S459" i="6"/>
  <c r="R459" i="6"/>
  <c r="Q459" i="6"/>
  <c r="P459" i="6"/>
  <c r="O459" i="6"/>
  <c r="N459" i="6"/>
  <c r="M459" i="6"/>
  <c r="L459" i="6"/>
  <c r="W458" i="6"/>
  <c r="V458" i="6"/>
  <c r="U458" i="6"/>
  <c r="T458" i="6"/>
  <c r="S458" i="6"/>
  <c r="R458" i="6"/>
  <c r="Q458" i="6"/>
  <c r="P458" i="6"/>
  <c r="O458" i="6"/>
  <c r="N458" i="6"/>
  <c r="M458" i="6"/>
  <c r="L458" i="6"/>
  <c r="W457" i="6"/>
  <c r="V457" i="6"/>
  <c r="U457" i="6"/>
  <c r="T457" i="6"/>
  <c r="S457" i="6"/>
  <c r="R457" i="6"/>
  <c r="Q457" i="6"/>
  <c r="P457" i="6"/>
  <c r="O457" i="6"/>
  <c r="N457" i="6"/>
  <c r="M457" i="6"/>
  <c r="L457" i="6"/>
  <c r="W456" i="6"/>
  <c r="V456" i="6"/>
  <c r="U456" i="6"/>
  <c r="T456" i="6"/>
  <c r="S456" i="6"/>
  <c r="R456" i="6"/>
  <c r="Q456" i="6"/>
  <c r="P456" i="6"/>
  <c r="O456" i="6"/>
  <c r="N456" i="6"/>
  <c r="M456" i="6"/>
  <c r="L456" i="6"/>
  <c r="W455" i="6"/>
  <c r="V455" i="6"/>
  <c r="U455" i="6"/>
  <c r="T455" i="6"/>
  <c r="S455" i="6"/>
  <c r="R455" i="6"/>
  <c r="Q455" i="6"/>
  <c r="P455" i="6"/>
  <c r="O455" i="6"/>
  <c r="N455" i="6"/>
  <c r="M455" i="6"/>
  <c r="L455" i="6"/>
  <c r="W454" i="6"/>
  <c r="V454" i="6"/>
  <c r="U454" i="6"/>
  <c r="T454" i="6"/>
  <c r="S454" i="6"/>
  <c r="R454" i="6"/>
  <c r="Q454" i="6"/>
  <c r="P454" i="6"/>
  <c r="O454" i="6"/>
  <c r="N454" i="6"/>
  <c r="M454" i="6"/>
  <c r="L454" i="6"/>
  <c r="W453" i="6"/>
  <c r="V453" i="6"/>
  <c r="U453" i="6"/>
  <c r="T453" i="6"/>
  <c r="S453" i="6"/>
  <c r="R453" i="6"/>
  <c r="Q453" i="6"/>
  <c r="P453" i="6"/>
  <c r="O453" i="6"/>
  <c r="N453" i="6"/>
  <c r="M453" i="6"/>
  <c r="L453" i="6"/>
  <c r="W452" i="6"/>
  <c r="V452" i="6"/>
  <c r="U452" i="6"/>
  <c r="T452" i="6"/>
  <c r="S452" i="6"/>
  <c r="R452" i="6"/>
  <c r="Q452" i="6"/>
  <c r="P452" i="6"/>
  <c r="O452" i="6"/>
  <c r="N452" i="6"/>
  <c r="M452" i="6"/>
  <c r="L452" i="6"/>
  <c r="W451" i="6"/>
  <c r="V451" i="6"/>
  <c r="U451" i="6"/>
  <c r="T451" i="6"/>
  <c r="S451" i="6"/>
  <c r="R451" i="6"/>
  <c r="Q451" i="6"/>
  <c r="P451" i="6"/>
  <c r="O451" i="6"/>
  <c r="N451" i="6"/>
  <c r="M451" i="6"/>
  <c r="L451" i="6"/>
  <c r="W450" i="6"/>
  <c r="V450" i="6"/>
  <c r="U450" i="6"/>
  <c r="T450" i="6"/>
  <c r="S450" i="6"/>
  <c r="R450" i="6"/>
  <c r="Q450" i="6"/>
  <c r="P450" i="6"/>
  <c r="O450" i="6"/>
  <c r="N450" i="6"/>
  <c r="M450" i="6"/>
  <c r="L450" i="6"/>
  <c r="W449" i="6"/>
  <c r="V449" i="6"/>
  <c r="U449" i="6"/>
  <c r="T449" i="6"/>
  <c r="S449" i="6"/>
  <c r="R449" i="6"/>
  <c r="Q449" i="6"/>
  <c r="P449" i="6"/>
  <c r="O449" i="6"/>
  <c r="N449" i="6"/>
  <c r="M449" i="6"/>
  <c r="L449" i="6"/>
  <c r="W448" i="6"/>
  <c r="V448" i="6"/>
  <c r="U448" i="6"/>
  <c r="T448" i="6"/>
  <c r="S448" i="6"/>
  <c r="R448" i="6"/>
  <c r="Q448" i="6"/>
  <c r="P448" i="6"/>
  <c r="O448" i="6"/>
  <c r="N448" i="6"/>
  <c r="M448" i="6"/>
  <c r="L448" i="6"/>
  <c r="W447" i="6"/>
  <c r="V447" i="6"/>
  <c r="U447" i="6"/>
  <c r="T447" i="6"/>
  <c r="S447" i="6"/>
  <c r="R447" i="6"/>
  <c r="Q447" i="6"/>
  <c r="P447" i="6"/>
  <c r="O447" i="6"/>
  <c r="N447" i="6"/>
  <c r="M447" i="6"/>
  <c r="L447" i="6"/>
  <c r="W446" i="6"/>
  <c r="V446" i="6"/>
  <c r="U446" i="6"/>
  <c r="T446" i="6"/>
  <c r="S446" i="6"/>
  <c r="R446" i="6"/>
  <c r="Q446" i="6"/>
  <c r="P446" i="6"/>
  <c r="O446" i="6"/>
  <c r="N446" i="6"/>
  <c r="M446" i="6"/>
  <c r="L446" i="6"/>
  <c r="W445" i="6"/>
  <c r="V445" i="6"/>
  <c r="U445" i="6"/>
  <c r="T445" i="6"/>
  <c r="S445" i="6"/>
  <c r="R445" i="6"/>
  <c r="Q445" i="6"/>
  <c r="P445" i="6"/>
  <c r="O445" i="6"/>
  <c r="N445" i="6"/>
  <c r="M445" i="6"/>
  <c r="L445" i="6"/>
  <c r="W444" i="6"/>
  <c r="V444" i="6"/>
  <c r="U444" i="6"/>
  <c r="T444" i="6"/>
  <c r="S444" i="6"/>
  <c r="R444" i="6"/>
  <c r="Q444" i="6"/>
  <c r="P444" i="6"/>
  <c r="O444" i="6"/>
  <c r="N444" i="6"/>
  <c r="M444" i="6"/>
  <c r="L444" i="6"/>
  <c r="W443" i="6"/>
  <c r="V443" i="6"/>
  <c r="U443" i="6"/>
  <c r="T443" i="6"/>
  <c r="S443" i="6"/>
  <c r="R443" i="6"/>
  <c r="Q443" i="6"/>
  <c r="P443" i="6"/>
  <c r="O443" i="6"/>
  <c r="N443" i="6"/>
  <c r="M443" i="6"/>
  <c r="L443" i="6"/>
  <c r="W442" i="6"/>
  <c r="V442" i="6"/>
  <c r="U442" i="6"/>
  <c r="T442" i="6"/>
  <c r="S442" i="6"/>
  <c r="R442" i="6"/>
  <c r="Q442" i="6"/>
  <c r="P442" i="6"/>
  <c r="O442" i="6"/>
  <c r="N442" i="6"/>
  <c r="M442" i="6"/>
  <c r="L442" i="6"/>
  <c r="W441" i="6"/>
  <c r="V441" i="6"/>
  <c r="U441" i="6"/>
  <c r="T441" i="6"/>
  <c r="S441" i="6"/>
  <c r="R441" i="6"/>
  <c r="Q441" i="6"/>
  <c r="P441" i="6"/>
  <c r="O441" i="6"/>
  <c r="N441" i="6"/>
  <c r="M441" i="6"/>
  <c r="L441" i="6"/>
  <c r="W440" i="6"/>
  <c r="V440" i="6"/>
  <c r="U440" i="6"/>
  <c r="T440" i="6"/>
  <c r="S440" i="6"/>
  <c r="R440" i="6"/>
  <c r="Q440" i="6"/>
  <c r="P440" i="6"/>
  <c r="O440" i="6"/>
  <c r="N440" i="6"/>
  <c r="M440" i="6"/>
  <c r="L440" i="6"/>
  <c r="W439" i="6"/>
  <c r="V439" i="6"/>
  <c r="U439" i="6"/>
  <c r="T439" i="6"/>
  <c r="S439" i="6"/>
  <c r="R439" i="6"/>
  <c r="Q439" i="6"/>
  <c r="P439" i="6"/>
  <c r="O439" i="6"/>
  <c r="N439" i="6"/>
  <c r="M439" i="6"/>
  <c r="L439" i="6"/>
  <c r="W438" i="6"/>
  <c r="V438" i="6"/>
  <c r="U438" i="6"/>
  <c r="T438" i="6"/>
  <c r="S438" i="6"/>
  <c r="R438" i="6"/>
  <c r="Q438" i="6"/>
  <c r="P438" i="6"/>
  <c r="O438" i="6"/>
  <c r="N438" i="6"/>
  <c r="M438" i="6"/>
  <c r="L438" i="6"/>
  <c r="W437" i="6"/>
  <c r="V437" i="6"/>
  <c r="U437" i="6"/>
  <c r="T437" i="6"/>
  <c r="S437" i="6"/>
  <c r="R437" i="6"/>
  <c r="Q437" i="6"/>
  <c r="P437" i="6"/>
  <c r="O437" i="6"/>
  <c r="N437" i="6"/>
  <c r="M437" i="6"/>
  <c r="L437" i="6"/>
  <c r="W436" i="6"/>
  <c r="V436" i="6"/>
  <c r="U436" i="6"/>
  <c r="T436" i="6"/>
  <c r="S436" i="6"/>
  <c r="R436" i="6"/>
  <c r="Q436" i="6"/>
  <c r="P436" i="6"/>
  <c r="O436" i="6"/>
  <c r="N436" i="6"/>
  <c r="M436" i="6"/>
  <c r="L436" i="6"/>
  <c r="W435" i="6"/>
  <c r="V435" i="6"/>
  <c r="U435" i="6"/>
  <c r="T435" i="6"/>
  <c r="S435" i="6"/>
  <c r="R435" i="6"/>
  <c r="Q435" i="6"/>
  <c r="P435" i="6"/>
  <c r="O435" i="6"/>
  <c r="N435" i="6"/>
  <c r="M435" i="6"/>
  <c r="L435" i="6"/>
  <c r="W434" i="6"/>
  <c r="V434" i="6"/>
  <c r="U434" i="6"/>
  <c r="T434" i="6"/>
  <c r="S434" i="6"/>
  <c r="R434" i="6"/>
  <c r="Q434" i="6"/>
  <c r="P434" i="6"/>
  <c r="O434" i="6"/>
  <c r="N434" i="6"/>
  <c r="M434" i="6"/>
  <c r="L434" i="6"/>
  <c r="W433" i="6"/>
  <c r="V433" i="6"/>
  <c r="U433" i="6"/>
  <c r="T433" i="6"/>
  <c r="S433" i="6"/>
  <c r="R433" i="6"/>
  <c r="Q433" i="6"/>
  <c r="P433" i="6"/>
  <c r="O433" i="6"/>
  <c r="N433" i="6"/>
  <c r="M433" i="6"/>
  <c r="L433" i="6"/>
  <c r="W432" i="6"/>
  <c r="V432" i="6"/>
  <c r="U432" i="6"/>
  <c r="T432" i="6"/>
  <c r="S432" i="6"/>
  <c r="R432" i="6"/>
  <c r="Q432" i="6"/>
  <c r="P432" i="6"/>
  <c r="O432" i="6"/>
  <c r="N432" i="6"/>
  <c r="M432" i="6"/>
  <c r="L432" i="6"/>
  <c r="W431" i="6"/>
  <c r="V431" i="6"/>
  <c r="U431" i="6"/>
  <c r="T431" i="6"/>
  <c r="S431" i="6"/>
  <c r="R431" i="6"/>
  <c r="Q431" i="6"/>
  <c r="P431" i="6"/>
  <c r="O431" i="6"/>
  <c r="N431" i="6"/>
  <c r="M431" i="6"/>
  <c r="L431" i="6"/>
  <c r="W430" i="6"/>
  <c r="V430" i="6"/>
  <c r="U430" i="6"/>
  <c r="T430" i="6"/>
  <c r="S430" i="6"/>
  <c r="R430" i="6"/>
  <c r="Q430" i="6"/>
  <c r="P430" i="6"/>
  <c r="O430" i="6"/>
  <c r="N430" i="6"/>
  <c r="M430" i="6"/>
  <c r="L430" i="6"/>
  <c r="W429" i="6"/>
  <c r="V429" i="6"/>
  <c r="U429" i="6"/>
  <c r="T429" i="6"/>
  <c r="S429" i="6"/>
  <c r="R429" i="6"/>
  <c r="Q429" i="6"/>
  <c r="P429" i="6"/>
  <c r="O429" i="6"/>
  <c r="N429" i="6"/>
  <c r="M429" i="6"/>
  <c r="L429" i="6"/>
  <c r="W428" i="6"/>
  <c r="V428" i="6"/>
  <c r="U428" i="6"/>
  <c r="T428" i="6"/>
  <c r="S428" i="6"/>
  <c r="R428" i="6"/>
  <c r="Q428" i="6"/>
  <c r="P428" i="6"/>
  <c r="O428" i="6"/>
  <c r="N428" i="6"/>
  <c r="M428" i="6"/>
  <c r="L428" i="6"/>
  <c r="W427" i="6"/>
  <c r="V427" i="6"/>
  <c r="U427" i="6"/>
  <c r="T427" i="6"/>
  <c r="S427" i="6"/>
  <c r="R427" i="6"/>
  <c r="Q427" i="6"/>
  <c r="P427" i="6"/>
  <c r="O427" i="6"/>
  <c r="N427" i="6"/>
  <c r="M427" i="6"/>
  <c r="L427" i="6"/>
  <c r="W426" i="6"/>
  <c r="V426" i="6"/>
  <c r="U426" i="6"/>
  <c r="T426" i="6"/>
  <c r="S426" i="6"/>
  <c r="R426" i="6"/>
  <c r="Q426" i="6"/>
  <c r="P426" i="6"/>
  <c r="O426" i="6"/>
  <c r="N426" i="6"/>
  <c r="M426" i="6"/>
  <c r="L426" i="6"/>
  <c r="W425" i="6"/>
  <c r="V425" i="6"/>
  <c r="U425" i="6"/>
  <c r="T425" i="6"/>
  <c r="S425" i="6"/>
  <c r="R425" i="6"/>
  <c r="Q425" i="6"/>
  <c r="P425" i="6"/>
  <c r="O425" i="6"/>
  <c r="N425" i="6"/>
  <c r="M425" i="6"/>
  <c r="L425" i="6"/>
  <c r="W424" i="6"/>
  <c r="V424" i="6"/>
  <c r="U424" i="6"/>
  <c r="T424" i="6"/>
  <c r="S424" i="6"/>
  <c r="R424" i="6"/>
  <c r="Q424" i="6"/>
  <c r="P424" i="6"/>
  <c r="O424" i="6"/>
  <c r="N424" i="6"/>
  <c r="M424" i="6"/>
  <c r="L424" i="6"/>
  <c r="W423" i="6"/>
  <c r="V423" i="6"/>
  <c r="U423" i="6"/>
  <c r="T423" i="6"/>
  <c r="S423" i="6"/>
  <c r="R423" i="6"/>
  <c r="Q423" i="6"/>
  <c r="P423" i="6"/>
  <c r="O423" i="6"/>
  <c r="N423" i="6"/>
  <c r="M423" i="6"/>
  <c r="L423" i="6"/>
  <c r="W422" i="6"/>
  <c r="V422" i="6"/>
  <c r="U422" i="6"/>
  <c r="T422" i="6"/>
  <c r="S422" i="6"/>
  <c r="R422" i="6"/>
  <c r="Q422" i="6"/>
  <c r="P422" i="6"/>
  <c r="O422" i="6"/>
  <c r="N422" i="6"/>
  <c r="M422" i="6"/>
  <c r="L422" i="6"/>
  <c r="W421" i="6"/>
  <c r="V421" i="6"/>
  <c r="U421" i="6"/>
  <c r="T421" i="6"/>
  <c r="S421" i="6"/>
  <c r="R421" i="6"/>
  <c r="Q421" i="6"/>
  <c r="P421" i="6"/>
  <c r="O421" i="6"/>
  <c r="N421" i="6"/>
  <c r="M421" i="6"/>
  <c r="L421" i="6"/>
  <c r="W420" i="6"/>
  <c r="V420" i="6"/>
  <c r="U420" i="6"/>
  <c r="T420" i="6"/>
  <c r="S420" i="6"/>
  <c r="R420" i="6"/>
  <c r="Q420" i="6"/>
  <c r="P420" i="6"/>
  <c r="O420" i="6"/>
  <c r="N420" i="6"/>
  <c r="M420" i="6"/>
  <c r="L420" i="6"/>
  <c r="W419" i="6"/>
  <c r="V419" i="6"/>
  <c r="U419" i="6"/>
  <c r="T419" i="6"/>
  <c r="S419" i="6"/>
  <c r="R419" i="6"/>
  <c r="Q419" i="6"/>
  <c r="P419" i="6"/>
  <c r="O419" i="6"/>
  <c r="N419" i="6"/>
  <c r="M419" i="6"/>
  <c r="L419" i="6"/>
  <c r="W418" i="6"/>
  <c r="V418" i="6"/>
  <c r="U418" i="6"/>
  <c r="T418" i="6"/>
  <c r="S418" i="6"/>
  <c r="R418" i="6"/>
  <c r="Q418" i="6"/>
  <c r="P418" i="6"/>
  <c r="O418" i="6"/>
  <c r="N418" i="6"/>
  <c r="M418" i="6"/>
  <c r="L418" i="6"/>
  <c r="W417" i="6"/>
  <c r="V417" i="6"/>
  <c r="U417" i="6"/>
  <c r="T417" i="6"/>
  <c r="S417" i="6"/>
  <c r="R417" i="6"/>
  <c r="Q417" i="6"/>
  <c r="P417" i="6"/>
  <c r="O417" i="6"/>
  <c r="N417" i="6"/>
  <c r="M417" i="6"/>
  <c r="L417" i="6"/>
  <c r="W416" i="6"/>
  <c r="V416" i="6"/>
  <c r="U416" i="6"/>
  <c r="T416" i="6"/>
  <c r="S416" i="6"/>
  <c r="R416" i="6"/>
  <c r="Q416" i="6"/>
  <c r="P416" i="6"/>
  <c r="O416" i="6"/>
  <c r="N416" i="6"/>
  <c r="M416" i="6"/>
  <c r="L416" i="6"/>
  <c r="W415" i="6"/>
  <c r="V415" i="6"/>
  <c r="U415" i="6"/>
  <c r="T415" i="6"/>
  <c r="S415" i="6"/>
  <c r="R415" i="6"/>
  <c r="Q415" i="6"/>
  <c r="P415" i="6"/>
  <c r="O415" i="6"/>
  <c r="N415" i="6"/>
  <c r="M415" i="6"/>
  <c r="L415" i="6"/>
  <c r="W414" i="6"/>
  <c r="V414" i="6"/>
  <c r="U414" i="6"/>
  <c r="T414" i="6"/>
  <c r="S414" i="6"/>
  <c r="R414" i="6"/>
  <c r="Q414" i="6"/>
  <c r="P414" i="6"/>
  <c r="O414" i="6"/>
  <c r="N414" i="6"/>
  <c r="M414" i="6"/>
  <c r="L414" i="6"/>
  <c r="W413" i="6"/>
  <c r="V413" i="6"/>
  <c r="U413" i="6"/>
  <c r="T413" i="6"/>
  <c r="S413" i="6"/>
  <c r="R413" i="6"/>
  <c r="Q413" i="6"/>
  <c r="P413" i="6"/>
  <c r="O413" i="6"/>
  <c r="N413" i="6"/>
  <c r="M413" i="6"/>
  <c r="L413" i="6"/>
  <c r="W412" i="6"/>
  <c r="V412" i="6"/>
  <c r="U412" i="6"/>
  <c r="T412" i="6"/>
  <c r="S412" i="6"/>
  <c r="R412" i="6"/>
  <c r="Q412" i="6"/>
  <c r="P412" i="6"/>
  <c r="O412" i="6"/>
  <c r="N412" i="6"/>
  <c r="M412" i="6"/>
  <c r="L412" i="6"/>
  <c r="W411" i="6"/>
  <c r="V411" i="6"/>
  <c r="U411" i="6"/>
  <c r="T411" i="6"/>
  <c r="S411" i="6"/>
  <c r="R411" i="6"/>
  <c r="Q411" i="6"/>
  <c r="P411" i="6"/>
  <c r="O411" i="6"/>
  <c r="N411" i="6"/>
  <c r="M411" i="6"/>
  <c r="L411" i="6"/>
  <c r="W410" i="6"/>
  <c r="V410" i="6"/>
  <c r="U410" i="6"/>
  <c r="T410" i="6"/>
  <c r="S410" i="6"/>
  <c r="R410" i="6"/>
  <c r="Q410" i="6"/>
  <c r="P410" i="6"/>
  <c r="O410" i="6"/>
  <c r="N410" i="6"/>
  <c r="M410" i="6"/>
  <c r="L410" i="6"/>
  <c r="W409" i="6"/>
  <c r="V409" i="6"/>
  <c r="U409" i="6"/>
  <c r="T409" i="6"/>
  <c r="S409" i="6"/>
  <c r="R409" i="6"/>
  <c r="Q409" i="6"/>
  <c r="P409" i="6"/>
  <c r="O409" i="6"/>
  <c r="N409" i="6"/>
  <c r="M409" i="6"/>
  <c r="L409" i="6"/>
  <c r="W408" i="6"/>
  <c r="V408" i="6"/>
  <c r="U408" i="6"/>
  <c r="T408" i="6"/>
  <c r="S408" i="6"/>
  <c r="R408" i="6"/>
  <c r="Q408" i="6"/>
  <c r="P408" i="6"/>
  <c r="O408" i="6"/>
  <c r="N408" i="6"/>
  <c r="M408" i="6"/>
  <c r="L408" i="6"/>
  <c r="W407" i="6"/>
  <c r="V407" i="6"/>
  <c r="U407" i="6"/>
  <c r="T407" i="6"/>
  <c r="S407" i="6"/>
  <c r="R407" i="6"/>
  <c r="Q407" i="6"/>
  <c r="P407" i="6"/>
  <c r="O407" i="6"/>
  <c r="N407" i="6"/>
  <c r="M407" i="6"/>
  <c r="L407" i="6"/>
  <c r="W406" i="6"/>
  <c r="V406" i="6"/>
  <c r="U406" i="6"/>
  <c r="T406" i="6"/>
  <c r="S406" i="6"/>
  <c r="R406" i="6"/>
  <c r="Q406" i="6"/>
  <c r="P406" i="6"/>
  <c r="O406" i="6"/>
  <c r="N406" i="6"/>
  <c r="M406" i="6"/>
  <c r="L406" i="6"/>
  <c r="W405" i="6"/>
  <c r="V405" i="6"/>
  <c r="U405" i="6"/>
  <c r="T405" i="6"/>
  <c r="S405" i="6"/>
  <c r="R405" i="6"/>
  <c r="Q405" i="6"/>
  <c r="P405" i="6"/>
  <c r="O405" i="6"/>
  <c r="N405" i="6"/>
  <c r="M405" i="6"/>
  <c r="L405" i="6"/>
  <c r="W404" i="6"/>
  <c r="V404" i="6"/>
  <c r="U404" i="6"/>
  <c r="T404" i="6"/>
  <c r="S404" i="6"/>
  <c r="R404" i="6"/>
  <c r="Q404" i="6"/>
  <c r="P404" i="6"/>
  <c r="O404" i="6"/>
  <c r="N404" i="6"/>
  <c r="M404" i="6"/>
  <c r="L404" i="6"/>
  <c r="W403" i="6"/>
  <c r="V403" i="6"/>
  <c r="U403" i="6"/>
  <c r="T403" i="6"/>
  <c r="S403" i="6"/>
  <c r="R403" i="6"/>
  <c r="Q403" i="6"/>
  <c r="P403" i="6"/>
  <c r="O403" i="6"/>
  <c r="N403" i="6"/>
  <c r="M403" i="6"/>
  <c r="L403" i="6"/>
  <c r="W402" i="6"/>
  <c r="V402" i="6"/>
  <c r="U402" i="6"/>
  <c r="T402" i="6"/>
  <c r="S402" i="6"/>
  <c r="R402" i="6"/>
  <c r="Q402" i="6"/>
  <c r="P402" i="6"/>
  <c r="O402" i="6"/>
  <c r="N402" i="6"/>
  <c r="M402" i="6"/>
  <c r="L402" i="6"/>
  <c r="W401" i="6"/>
  <c r="V401" i="6"/>
  <c r="U401" i="6"/>
  <c r="T401" i="6"/>
  <c r="S401" i="6"/>
  <c r="R401" i="6"/>
  <c r="Q401" i="6"/>
  <c r="P401" i="6"/>
  <c r="O401" i="6"/>
  <c r="N401" i="6"/>
  <c r="M401" i="6"/>
  <c r="L401" i="6"/>
  <c r="W400" i="6"/>
  <c r="V400" i="6"/>
  <c r="U400" i="6"/>
  <c r="T400" i="6"/>
  <c r="S400" i="6"/>
  <c r="R400" i="6"/>
  <c r="Q400" i="6"/>
  <c r="P400" i="6"/>
  <c r="O400" i="6"/>
  <c r="N400" i="6"/>
  <c r="M400" i="6"/>
  <c r="L400" i="6"/>
  <c r="W399" i="6"/>
  <c r="V399" i="6"/>
  <c r="U399" i="6"/>
  <c r="T399" i="6"/>
  <c r="S399" i="6"/>
  <c r="R399" i="6"/>
  <c r="Q399" i="6"/>
  <c r="P399" i="6"/>
  <c r="O399" i="6"/>
  <c r="N399" i="6"/>
  <c r="M399" i="6"/>
  <c r="L399" i="6"/>
  <c r="W398" i="6"/>
  <c r="V398" i="6"/>
  <c r="U398" i="6"/>
  <c r="T398" i="6"/>
  <c r="S398" i="6"/>
  <c r="R398" i="6"/>
  <c r="Q398" i="6"/>
  <c r="P398" i="6"/>
  <c r="O398" i="6"/>
  <c r="N398" i="6"/>
  <c r="M398" i="6"/>
  <c r="L398" i="6"/>
  <c r="W397" i="6"/>
  <c r="V397" i="6"/>
  <c r="U397" i="6"/>
  <c r="T397" i="6"/>
  <c r="S397" i="6"/>
  <c r="R397" i="6"/>
  <c r="Q397" i="6"/>
  <c r="P397" i="6"/>
  <c r="O397" i="6"/>
  <c r="N397" i="6"/>
  <c r="M397" i="6"/>
  <c r="L397" i="6"/>
  <c r="W396" i="6"/>
  <c r="V396" i="6"/>
  <c r="U396" i="6"/>
  <c r="T396" i="6"/>
  <c r="S396" i="6"/>
  <c r="R396" i="6"/>
  <c r="Q396" i="6"/>
  <c r="P396" i="6"/>
  <c r="O396" i="6"/>
  <c r="N396" i="6"/>
  <c r="M396" i="6"/>
  <c r="L396" i="6"/>
  <c r="W395" i="6"/>
  <c r="V395" i="6"/>
  <c r="U395" i="6"/>
  <c r="T395" i="6"/>
  <c r="S395" i="6"/>
  <c r="R395" i="6"/>
  <c r="Q395" i="6"/>
  <c r="P395" i="6"/>
  <c r="O395" i="6"/>
  <c r="N395" i="6"/>
  <c r="M395" i="6"/>
  <c r="L395" i="6"/>
  <c r="W394" i="6"/>
  <c r="V394" i="6"/>
  <c r="U394" i="6"/>
  <c r="T394" i="6"/>
  <c r="S394" i="6"/>
  <c r="R394" i="6"/>
  <c r="Q394" i="6"/>
  <c r="P394" i="6"/>
  <c r="O394" i="6"/>
  <c r="N394" i="6"/>
  <c r="M394" i="6"/>
  <c r="L394" i="6"/>
  <c r="W393" i="6"/>
  <c r="V393" i="6"/>
  <c r="U393" i="6"/>
  <c r="T393" i="6"/>
  <c r="S393" i="6"/>
  <c r="R393" i="6"/>
  <c r="Q393" i="6"/>
  <c r="P393" i="6"/>
  <c r="O393" i="6"/>
  <c r="N393" i="6"/>
  <c r="M393" i="6"/>
  <c r="L393" i="6"/>
  <c r="W392" i="6"/>
  <c r="V392" i="6"/>
  <c r="U392" i="6"/>
  <c r="T392" i="6"/>
  <c r="S392" i="6"/>
  <c r="R392" i="6"/>
  <c r="Q392" i="6"/>
  <c r="P392" i="6"/>
  <c r="O392" i="6"/>
  <c r="N392" i="6"/>
  <c r="M392" i="6"/>
  <c r="L392" i="6"/>
  <c r="W391" i="6"/>
  <c r="V391" i="6"/>
  <c r="U391" i="6"/>
  <c r="T391" i="6"/>
  <c r="S391" i="6"/>
  <c r="R391" i="6"/>
  <c r="Q391" i="6"/>
  <c r="P391" i="6"/>
  <c r="O391" i="6"/>
  <c r="N391" i="6"/>
  <c r="M391" i="6"/>
  <c r="L391" i="6"/>
  <c r="W390" i="6"/>
  <c r="V390" i="6"/>
  <c r="U390" i="6"/>
  <c r="T390" i="6"/>
  <c r="S390" i="6"/>
  <c r="R390" i="6"/>
  <c r="Q390" i="6"/>
  <c r="P390" i="6"/>
  <c r="O390" i="6"/>
  <c r="N390" i="6"/>
  <c r="M390" i="6"/>
  <c r="L390" i="6"/>
  <c r="W389" i="6"/>
  <c r="V389" i="6"/>
  <c r="U389" i="6"/>
  <c r="T389" i="6"/>
  <c r="S389" i="6"/>
  <c r="R389" i="6"/>
  <c r="Q389" i="6"/>
  <c r="P389" i="6"/>
  <c r="O389" i="6"/>
  <c r="N389" i="6"/>
  <c r="M389" i="6"/>
  <c r="L389" i="6"/>
  <c r="W388" i="6"/>
  <c r="V388" i="6"/>
  <c r="U388" i="6"/>
  <c r="T388" i="6"/>
  <c r="S388" i="6"/>
  <c r="R388" i="6"/>
  <c r="Q388" i="6"/>
  <c r="P388" i="6"/>
  <c r="O388" i="6"/>
  <c r="N388" i="6"/>
  <c r="M388" i="6"/>
  <c r="L388" i="6"/>
  <c r="W387" i="6"/>
  <c r="V387" i="6"/>
  <c r="U387" i="6"/>
  <c r="T387" i="6"/>
  <c r="S387" i="6"/>
  <c r="R387" i="6"/>
  <c r="Q387" i="6"/>
  <c r="P387" i="6"/>
  <c r="O387" i="6"/>
  <c r="N387" i="6"/>
  <c r="M387" i="6"/>
  <c r="L387" i="6"/>
  <c r="W386" i="6"/>
  <c r="V386" i="6"/>
  <c r="U386" i="6"/>
  <c r="T386" i="6"/>
  <c r="S386" i="6"/>
  <c r="R386" i="6"/>
  <c r="Q386" i="6"/>
  <c r="P386" i="6"/>
  <c r="O386" i="6"/>
  <c r="N386" i="6"/>
  <c r="M386" i="6"/>
  <c r="L386" i="6"/>
  <c r="W385" i="6"/>
  <c r="V385" i="6"/>
  <c r="U385" i="6"/>
  <c r="T385" i="6"/>
  <c r="S385" i="6"/>
  <c r="R385" i="6"/>
  <c r="Q385" i="6"/>
  <c r="P385" i="6"/>
  <c r="O385" i="6"/>
  <c r="N385" i="6"/>
  <c r="M385" i="6"/>
  <c r="L385" i="6"/>
  <c r="W384" i="6"/>
  <c r="V384" i="6"/>
  <c r="U384" i="6"/>
  <c r="T384" i="6"/>
  <c r="S384" i="6"/>
  <c r="R384" i="6"/>
  <c r="Q384" i="6"/>
  <c r="P384" i="6"/>
  <c r="O384" i="6"/>
  <c r="N384" i="6"/>
  <c r="M384" i="6"/>
  <c r="L384" i="6"/>
  <c r="W383" i="6"/>
  <c r="V383" i="6"/>
  <c r="U383" i="6"/>
  <c r="T383" i="6"/>
  <c r="S383" i="6"/>
  <c r="R383" i="6"/>
  <c r="Q383" i="6"/>
  <c r="P383" i="6"/>
  <c r="O383" i="6"/>
  <c r="N383" i="6"/>
  <c r="M383" i="6"/>
  <c r="L383" i="6"/>
  <c r="W382" i="6"/>
  <c r="V382" i="6"/>
  <c r="U382" i="6"/>
  <c r="T382" i="6"/>
  <c r="S382" i="6"/>
  <c r="R382" i="6"/>
  <c r="Q382" i="6"/>
  <c r="P382" i="6"/>
  <c r="O382" i="6"/>
  <c r="N382" i="6"/>
  <c r="M382" i="6"/>
  <c r="L382" i="6"/>
  <c r="W381" i="6"/>
  <c r="V381" i="6"/>
  <c r="U381" i="6"/>
  <c r="T381" i="6"/>
  <c r="S381" i="6"/>
  <c r="R381" i="6"/>
  <c r="Q381" i="6"/>
  <c r="P381" i="6"/>
  <c r="O381" i="6"/>
  <c r="N381" i="6"/>
  <c r="M381" i="6"/>
  <c r="L381" i="6"/>
  <c r="W380" i="6"/>
  <c r="V380" i="6"/>
  <c r="U380" i="6"/>
  <c r="T380" i="6"/>
  <c r="S380" i="6"/>
  <c r="R380" i="6"/>
  <c r="Q380" i="6"/>
  <c r="P380" i="6"/>
  <c r="O380" i="6"/>
  <c r="N380" i="6"/>
  <c r="M380" i="6"/>
  <c r="L380" i="6"/>
  <c r="W379" i="6"/>
  <c r="V379" i="6"/>
  <c r="U379" i="6"/>
  <c r="T379" i="6"/>
  <c r="S379" i="6"/>
  <c r="R379" i="6"/>
  <c r="Q379" i="6"/>
  <c r="P379" i="6"/>
  <c r="O379" i="6"/>
  <c r="N379" i="6"/>
  <c r="M379" i="6"/>
  <c r="L379" i="6"/>
  <c r="W378" i="6"/>
  <c r="V378" i="6"/>
  <c r="U378" i="6"/>
  <c r="T378" i="6"/>
  <c r="S378" i="6"/>
  <c r="R378" i="6"/>
  <c r="Q378" i="6"/>
  <c r="P378" i="6"/>
  <c r="O378" i="6"/>
  <c r="N378" i="6"/>
  <c r="M378" i="6"/>
  <c r="L378" i="6"/>
  <c r="W377" i="6"/>
  <c r="V377" i="6"/>
  <c r="U377" i="6"/>
  <c r="T377" i="6"/>
  <c r="S377" i="6"/>
  <c r="R377" i="6"/>
  <c r="Q377" i="6"/>
  <c r="P377" i="6"/>
  <c r="O377" i="6"/>
  <c r="N377" i="6"/>
  <c r="M377" i="6"/>
  <c r="L377" i="6"/>
  <c r="W376" i="6"/>
  <c r="V376" i="6"/>
  <c r="U376" i="6"/>
  <c r="T376" i="6"/>
  <c r="S376" i="6"/>
  <c r="R376" i="6"/>
  <c r="Q376" i="6"/>
  <c r="P376" i="6"/>
  <c r="O376" i="6"/>
  <c r="N376" i="6"/>
  <c r="M376" i="6"/>
  <c r="L376" i="6"/>
  <c r="W375" i="6"/>
  <c r="V375" i="6"/>
  <c r="U375" i="6"/>
  <c r="T375" i="6"/>
  <c r="S375" i="6"/>
  <c r="R375" i="6"/>
  <c r="Q375" i="6"/>
  <c r="P375" i="6"/>
  <c r="O375" i="6"/>
  <c r="N375" i="6"/>
  <c r="M375" i="6"/>
  <c r="L375" i="6"/>
  <c r="W374" i="6"/>
  <c r="V374" i="6"/>
  <c r="U374" i="6"/>
  <c r="T374" i="6"/>
  <c r="S374" i="6"/>
  <c r="R374" i="6"/>
  <c r="Q374" i="6"/>
  <c r="P374" i="6"/>
  <c r="O374" i="6"/>
  <c r="N374" i="6"/>
  <c r="M374" i="6"/>
  <c r="L374" i="6"/>
  <c r="W373" i="6"/>
  <c r="V373" i="6"/>
  <c r="U373" i="6"/>
  <c r="T373" i="6"/>
  <c r="S373" i="6"/>
  <c r="R373" i="6"/>
  <c r="Q373" i="6"/>
  <c r="P373" i="6"/>
  <c r="O373" i="6"/>
  <c r="N373" i="6"/>
  <c r="M373" i="6"/>
  <c r="L373" i="6"/>
  <c r="W372" i="6"/>
  <c r="V372" i="6"/>
  <c r="U372" i="6"/>
  <c r="T372" i="6"/>
  <c r="S372" i="6"/>
  <c r="R372" i="6"/>
  <c r="Q372" i="6"/>
  <c r="P372" i="6"/>
  <c r="O372" i="6"/>
  <c r="N372" i="6"/>
  <c r="M372" i="6"/>
  <c r="L372" i="6"/>
  <c r="W371" i="6"/>
  <c r="V371" i="6"/>
  <c r="U371" i="6"/>
  <c r="T371" i="6"/>
  <c r="S371" i="6"/>
  <c r="R371" i="6"/>
  <c r="Q371" i="6"/>
  <c r="P371" i="6"/>
  <c r="O371" i="6"/>
  <c r="N371" i="6"/>
  <c r="M371" i="6"/>
  <c r="L371" i="6"/>
  <c r="W370" i="6"/>
  <c r="V370" i="6"/>
  <c r="U370" i="6"/>
  <c r="T370" i="6"/>
  <c r="S370" i="6"/>
  <c r="R370" i="6"/>
  <c r="Q370" i="6"/>
  <c r="P370" i="6"/>
  <c r="O370" i="6"/>
  <c r="N370" i="6"/>
  <c r="M370" i="6"/>
  <c r="L370" i="6"/>
  <c r="W369" i="6"/>
  <c r="V369" i="6"/>
  <c r="U369" i="6"/>
  <c r="T369" i="6"/>
  <c r="S369" i="6"/>
  <c r="R369" i="6"/>
  <c r="Q369" i="6"/>
  <c r="P369" i="6"/>
  <c r="O369" i="6"/>
  <c r="N369" i="6"/>
  <c r="M369" i="6"/>
  <c r="L369" i="6"/>
  <c r="W368" i="6"/>
  <c r="V368" i="6"/>
  <c r="U368" i="6"/>
  <c r="T368" i="6"/>
  <c r="S368" i="6"/>
  <c r="R368" i="6"/>
  <c r="Q368" i="6"/>
  <c r="P368" i="6"/>
  <c r="O368" i="6"/>
  <c r="N368" i="6"/>
  <c r="M368" i="6"/>
  <c r="L368" i="6"/>
  <c r="W367" i="6"/>
  <c r="V367" i="6"/>
  <c r="U367" i="6"/>
  <c r="T367" i="6"/>
  <c r="S367" i="6"/>
  <c r="R367" i="6"/>
  <c r="Q367" i="6"/>
  <c r="P367" i="6"/>
  <c r="O367" i="6"/>
  <c r="N367" i="6"/>
  <c r="M367" i="6"/>
  <c r="L367" i="6"/>
  <c r="W366" i="6"/>
  <c r="V366" i="6"/>
  <c r="U366" i="6"/>
  <c r="T366" i="6"/>
  <c r="S366" i="6"/>
  <c r="R366" i="6"/>
  <c r="Q366" i="6"/>
  <c r="P366" i="6"/>
  <c r="O366" i="6"/>
  <c r="N366" i="6"/>
  <c r="M366" i="6"/>
  <c r="L366" i="6"/>
  <c r="W365" i="6"/>
  <c r="V365" i="6"/>
  <c r="U365" i="6"/>
  <c r="T365" i="6"/>
  <c r="S365" i="6"/>
  <c r="R365" i="6"/>
  <c r="Q365" i="6"/>
  <c r="P365" i="6"/>
  <c r="O365" i="6"/>
  <c r="N365" i="6"/>
  <c r="M365" i="6"/>
  <c r="L365" i="6"/>
  <c r="W364" i="6"/>
  <c r="V364" i="6"/>
  <c r="U364" i="6"/>
  <c r="T364" i="6"/>
  <c r="S364" i="6"/>
  <c r="R364" i="6"/>
  <c r="Q364" i="6"/>
  <c r="P364" i="6"/>
  <c r="O364" i="6"/>
  <c r="N364" i="6"/>
  <c r="M364" i="6"/>
  <c r="L364" i="6"/>
  <c r="W363" i="6"/>
  <c r="V363" i="6"/>
  <c r="U363" i="6"/>
  <c r="T363" i="6"/>
  <c r="S363" i="6"/>
  <c r="R363" i="6"/>
  <c r="Q363" i="6"/>
  <c r="P363" i="6"/>
  <c r="O363" i="6"/>
  <c r="N363" i="6"/>
  <c r="M363" i="6"/>
  <c r="L363" i="6"/>
  <c r="W362" i="6"/>
  <c r="V362" i="6"/>
  <c r="U362" i="6"/>
  <c r="T362" i="6"/>
  <c r="S362" i="6"/>
  <c r="R362" i="6"/>
  <c r="Q362" i="6"/>
  <c r="P362" i="6"/>
  <c r="O362" i="6"/>
  <c r="N362" i="6"/>
  <c r="M362" i="6"/>
  <c r="L362" i="6"/>
  <c r="W361" i="6"/>
  <c r="V361" i="6"/>
  <c r="U361" i="6"/>
  <c r="T361" i="6"/>
  <c r="S361" i="6"/>
  <c r="R361" i="6"/>
  <c r="Q361" i="6"/>
  <c r="P361" i="6"/>
  <c r="O361" i="6"/>
  <c r="N361" i="6"/>
  <c r="M361" i="6"/>
  <c r="L361" i="6"/>
  <c r="W360" i="6"/>
  <c r="V360" i="6"/>
  <c r="U360" i="6"/>
  <c r="T360" i="6"/>
  <c r="S360" i="6"/>
  <c r="R360" i="6"/>
  <c r="Q360" i="6"/>
  <c r="P360" i="6"/>
  <c r="O360" i="6"/>
  <c r="N360" i="6"/>
  <c r="M360" i="6"/>
  <c r="L360" i="6"/>
  <c r="W359" i="6"/>
  <c r="V359" i="6"/>
  <c r="U359" i="6"/>
  <c r="T359" i="6"/>
  <c r="S359" i="6"/>
  <c r="R359" i="6"/>
  <c r="Q359" i="6"/>
  <c r="P359" i="6"/>
  <c r="O359" i="6"/>
  <c r="N359" i="6"/>
  <c r="M359" i="6"/>
  <c r="L359" i="6"/>
  <c r="W358" i="6"/>
  <c r="V358" i="6"/>
  <c r="U358" i="6"/>
  <c r="T358" i="6"/>
  <c r="S358" i="6"/>
  <c r="R358" i="6"/>
  <c r="Q358" i="6"/>
  <c r="P358" i="6"/>
  <c r="O358" i="6"/>
  <c r="N358" i="6"/>
  <c r="M358" i="6"/>
  <c r="L358" i="6"/>
  <c r="W357" i="6"/>
  <c r="V357" i="6"/>
  <c r="U357" i="6"/>
  <c r="T357" i="6"/>
  <c r="S357" i="6"/>
  <c r="R357" i="6"/>
  <c r="Q357" i="6"/>
  <c r="P357" i="6"/>
  <c r="O357" i="6"/>
  <c r="N357" i="6"/>
  <c r="M357" i="6"/>
  <c r="L357" i="6"/>
  <c r="W356" i="6"/>
  <c r="V356" i="6"/>
  <c r="U356" i="6"/>
  <c r="T356" i="6"/>
  <c r="S356" i="6"/>
  <c r="R356" i="6"/>
  <c r="Q356" i="6"/>
  <c r="P356" i="6"/>
  <c r="O356" i="6"/>
  <c r="N356" i="6"/>
  <c r="M356" i="6"/>
  <c r="L356" i="6"/>
  <c r="W355" i="6"/>
  <c r="V355" i="6"/>
  <c r="U355" i="6"/>
  <c r="T355" i="6"/>
  <c r="S355" i="6"/>
  <c r="R355" i="6"/>
  <c r="Q355" i="6"/>
  <c r="P355" i="6"/>
  <c r="O355" i="6"/>
  <c r="N355" i="6"/>
  <c r="M355" i="6"/>
  <c r="L355" i="6"/>
  <c r="W354" i="6"/>
  <c r="V354" i="6"/>
  <c r="U354" i="6"/>
  <c r="T354" i="6"/>
  <c r="S354" i="6"/>
  <c r="R354" i="6"/>
  <c r="Q354" i="6"/>
  <c r="P354" i="6"/>
  <c r="O354" i="6"/>
  <c r="N354" i="6"/>
  <c r="M354" i="6"/>
  <c r="L354" i="6"/>
  <c r="W353" i="6"/>
  <c r="V353" i="6"/>
  <c r="U353" i="6"/>
  <c r="T353" i="6"/>
  <c r="S353" i="6"/>
  <c r="R353" i="6"/>
  <c r="Q353" i="6"/>
  <c r="P353" i="6"/>
  <c r="O353" i="6"/>
  <c r="N353" i="6"/>
  <c r="M353" i="6"/>
  <c r="L353" i="6"/>
  <c r="W352" i="6"/>
  <c r="V352" i="6"/>
  <c r="U352" i="6"/>
  <c r="T352" i="6"/>
  <c r="S352" i="6"/>
  <c r="R352" i="6"/>
  <c r="Q352" i="6"/>
  <c r="P352" i="6"/>
  <c r="O352" i="6"/>
  <c r="N352" i="6"/>
  <c r="M352" i="6"/>
  <c r="L352" i="6"/>
  <c r="W351" i="6"/>
  <c r="V351" i="6"/>
  <c r="U351" i="6"/>
  <c r="T351" i="6"/>
  <c r="S351" i="6"/>
  <c r="R351" i="6"/>
  <c r="Q351" i="6"/>
  <c r="P351" i="6"/>
  <c r="O351" i="6"/>
  <c r="N351" i="6"/>
  <c r="M351" i="6"/>
  <c r="L351" i="6"/>
  <c r="W350" i="6"/>
  <c r="V350" i="6"/>
  <c r="U350" i="6"/>
  <c r="T350" i="6"/>
  <c r="S350" i="6"/>
  <c r="R350" i="6"/>
  <c r="Q350" i="6"/>
  <c r="P350" i="6"/>
  <c r="O350" i="6"/>
  <c r="N350" i="6"/>
  <c r="M350" i="6"/>
  <c r="L350" i="6"/>
  <c r="W349" i="6"/>
  <c r="V349" i="6"/>
  <c r="U349" i="6"/>
  <c r="T349" i="6"/>
  <c r="S349" i="6"/>
  <c r="R349" i="6"/>
  <c r="Q349" i="6"/>
  <c r="P349" i="6"/>
  <c r="O349" i="6"/>
  <c r="N349" i="6"/>
  <c r="M349" i="6"/>
  <c r="L349" i="6"/>
  <c r="W348" i="6"/>
  <c r="V348" i="6"/>
  <c r="U348" i="6"/>
  <c r="T348" i="6"/>
  <c r="S348" i="6"/>
  <c r="R348" i="6"/>
  <c r="Q348" i="6"/>
  <c r="P348" i="6"/>
  <c r="O348" i="6"/>
  <c r="N348" i="6"/>
  <c r="M348" i="6"/>
  <c r="L348" i="6"/>
  <c r="W347" i="6"/>
  <c r="V347" i="6"/>
  <c r="U347" i="6"/>
  <c r="T347" i="6"/>
  <c r="S347" i="6"/>
  <c r="R347" i="6"/>
  <c r="Q347" i="6"/>
  <c r="P347" i="6"/>
  <c r="O347" i="6"/>
  <c r="N347" i="6"/>
  <c r="M347" i="6"/>
  <c r="L347" i="6"/>
  <c r="W346" i="6"/>
  <c r="V346" i="6"/>
  <c r="U346" i="6"/>
  <c r="T346" i="6"/>
  <c r="S346" i="6"/>
  <c r="R346" i="6"/>
  <c r="Q346" i="6"/>
  <c r="P346" i="6"/>
  <c r="O346" i="6"/>
  <c r="N346" i="6"/>
  <c r="M346" i="6"/>
  <c r="L346" i="6"/>
  <c r="W345" i="6"/>
  <c r="V345" i="6"/>
  <c r="U345" i="6"/>
  <c r="T345" i="6"/>
  <c r="S345" i="6"/>
  <c r="R345" i="6"/>
  <c r="Q345" i="6"/>
  <c r="P345" i="6"/>
  <c r="O345" i="6"/>
  <c r="N345" i="6"/>
  <c r="M345" i="6"/>
  <c r="L345" i="6"/>
  <c r="W344" i="6"/>
  <c r="V344" i="6"/>
  <c r="U344" i="6"/>
  <c r="T344" i="6"/>
  <c r="S344" i="6"/>
  <c r="R344" i="6"/>
  <c r="Q344" i="6"/>
  <c r="P344" i="6"/>
  <c r="O344" i="6"/>
  <c r="N344" i="6"/>
  <c r="M344" i="6"/>
  <c r="L344" i="6"/>
  <c r="W343" i="6"/>
  <c r="V343" i="6"/>
  <c r="U343" i="6"/>
  <c r="T343" i="6"/>
  <c r="S343" i="6"/>
  <c r="R343" i="6"/>
  <c r="Q343" i="6"/>
  <c r="P343" i="6"/>
  <c r="O343" i="6"/>
  <c r="N343" i="6"/>
  <c r="M343" i="6"/>
  <c r="L343" i="6"/>
  <c r="W342" i="6"/>
  <c r="V342" i="6"/>
  <c r="U342" i="6"/>
  <c r="T342" i="6"/>
  <c r="S342" i="6"/>
  <c r="R342" i="6"/>
  <c r="Q342" i="6"/>
  <c r="P342" i="6"/>
  <c r="O342" i="6"/>
  <c r="N342" i="6"/>
  <c r="M342" i="6"/>
  <c r="L342" i="6"/>
  <c r="W341" i="6"/>
  <c r="V341" i="6"/>
  <c r="U341" i="6"/>
  <c r="T341" i="6"/>
  <c r="S341" i="6"/>
  <c r="R341" i="6"/>
  <c r="Q341" i="6"/>
  <c r="P341" i="6"/>
  <c r="O341" i="6"/>
  <c r="N341" i="6"/>
  <c r="M341" i="6"/>
  <c r="L341" i="6"/>
  <c r="W340" i="6"/>
  <c r="V340" i="6"/>
  <c r="U340" i="6"/>
  <c r="T340" i="6"/>
  <c r="S340" i="6"/>
  <c r="R340" i="6"/>
  <c r="Q340" i="6"/>
  <c r="P340" i="6"/>
  <c r="O340" i="6"/>
  <c r="N340" i="6"/>
  <c r="M340" i="6"/>
  <c r="L340" i="6"/>
  <c r="W339" i="6"/>
  <c r="V339" i="6"/>
  <c r="U339" i="6"/>
  <c r="T339" i="6"/>
  <c r="S339" i="6"/>
  <c r="R339" i="6"/>
  <c r="Q339" i="6"/>
  <c r="P339" i="6"/>
  <c r="O339" i="6"/>
  <c r="N339" i="6"/>
  <c r="M339" i="6"/>
  <c r="L339" i="6"/>
  <c r="W338" i="6"/>
  <c r="V338" i="6"/>
  <c r="U338" i="6"/>
  <c r="T338" i="6"/>
  <c r="S338" i="6"/>
  <c r="R338" i="6"/>
  <c r="Q338" i="6"/>
  <c r="P338" i="6"/>
  <c r="O338" i="6"/>
  <c r="N338" i="6"/>
  <c r="M338" i="6"/>
  <c r="L338" i="6"/>
  <c r="W337" i="6"/>
  <c r="V337" i="6"/>
  <c r="U337" i="6"/>
  <c r="T337" i="6"/>
  <c r="S337" i="6"/>
  <c r="R337" i="6"/>
  <c r="Q337" i="6"/>
  <c r="P337" i="6"/>
  <c r="O337" i="6"/>
  <c r="N337" i="6"/>
  <c r="M337" i="6"/>
  <c r="L337" i="6"/>
  <c r="W336" i="6"/>
  <c r="V336" i="6"/>
  <c r="U336" i="6"/>
  <c r="T336" i="6"/>
  <c r="S336" i="6"/>
  <c r="R336" i="6"/>
  <c r="Q336" i="6"/>
  <c r="P336" i="6"/>
  <c r="O336" i="6"/>
  <c r="N336" i="6"/>
  <c r="M336" i="6"/>
  <c r="L336" i="6"/>
  <c r="W335" i="6"/>
  <c r="V335" i="6"/>
  <c r="U335" i="6"/>
  <c r="T335" i="6"/>
  <c r="S335" i="6"/>
  <c r="R335" i="6"/>
  <c r="Q335" i="6"/>
  <c r="P335" i="6"/>
  <c r="O335" i="6"/>
  <c r="N335" i="6"/>
  <c r="M335" i="6"/>
  <c r="L335" i="6"/>
  <c r="W334" i="6"/>
  <c r="V334" i="6"/>
  <c r="U334" i="6"/>
  <c r="T334" i="6"/>
  <c r="S334" i="6"/>
  <c r="R334" i="6"/>
  <c r="Q334" i="6"/>
  <c r="P334" i="6"/>
  <c r="O334" i="6"/>
  <c r="N334" i="6"/>
  <c r="M334" i="6"/>
  <c r="L334" i="6"/>
  <c r="W333" i="6"/>
  <c r="V333" i="6"/>
  <c r="U333" i="6"/>
  <c r="T333" i="6"/>
  <c r="S333" i="6"/>
  <c r="R333" i="6"/>
  <c r="Q333" i="6"/>
  <c r="P333" i="6"/>
  <c r="O333" i="6"/>
  <c r="N333" i="6"/>
  <c r="M333" i="6"/>
  <c r="L333" i="6"/>
  <c r="W332" i="6"/>
  <c r="V332" i="6"/>
  <c r="U332" i="6"/>
  <c r="T332" i="6"/>
  <c r="S332" i="6"/>
  <c r="R332" i="6"/>
  <c r="Q332" i="6"/>
  <c r="P332" i="6"/>
  <c r="O332" i="6"/>
  <c r="N332" i="6"/>
  <c r="M332" i="6"/>
  <c r="L332" i="6"/>
  <c r="W331" i="6"/>
  <c r="V331" i="6"/>
  <c r="U331" i="6"/>
  <c r="T331" i="6"/>
  <c r="S331" i="6"/>
  <c r="R331" i="6"/>
  <c r="Q331" i="6"/>
  <c r="P331" i="6"/>
  <c r="O331" i="6"/>
  <c r="N331" i="6"/>
  <c r="M331" i="6"/>
  <c r="L331" i="6"/>
  <c r="W330" i="6"/>
  <c r="V330" i="6"/>
  <c r="U330" i="6"/>
  <c r="T330" i="6"/>
  <c r="S330" i="6"/>
  <c r="R330" i="6"/>
  <c r="Q330" i="6"/>
  <c r="P330" i="6"/>
  <c r="O330" i="6"/>
  <c r="N330" i="6"/>
  <c r="M330" i="6"/>
  <c r="L330" i="6"/>
  <c r="W329" i="6"/>
  <c r="V329" i="6"/>
  <c r="U329" i="6"/>
  <c r="T329" i="6"/>
  <c r="S329" i="6"/>
  <c r="R329" i="6"/>
  <c r="Q329" i="6"/>
  <c r="P329" i="6"/>
  <c r="O329" i="6"/>
  <c r="N329" i="6"/>
  <c r="M329" i="6"/>
  <c r="L329" i="6"/>
  <c r="W328" i="6"/>
  <c r="V328" i="6"/>
  <c r="U328" i="6"/>
  <c r="T328" i="6"/>
  <c r="S328" i="6"/>
  <c r="R328" i="6"/>
  <c r="Q328" i="6"/>
  <c r="P328" i="6"/>
  <c r="O328" i="6"/>
  <c r="N328" i="6"/>
  <c r="M328" i="6"/>
  <c r="L328" i="6"/>
  <c r="W327" i="6"/>
  <c r="V327" i="6"/>
  <c r="U327" i="6"/>
  <c r="T327" i="6"/>
  <c r="S327" i="6"/>
  <c r="R327" i="6"/>
  <c r="Q327" i="6"/>
  <c r="P327" i="6"/>
  <c r="O327" i="6"/>
  <c r="N327" i="6"/>
  <c r="M327" i="6"/>
  <c r="L327" i="6"/>
  <c r="W326" i="6"/>
  <c r="V326" i="6"/>
  <c r="U326" i="6"/>
  <c r="T326" i="6"/>
  <c r="S326" i="6"/>
  <c r="R326" i="6"/>
  <c r="Q326" i="6"/>
  <c r="P326" i="6"/>
  <c r="O326" i="6"/>
  <c r="N326" i="6"/>
  <c r="M326" i="6"/>
  <c r="L326" i="6"/>
  <c r="W325" i="6"/>
  <c r="V325" i="6"/>
  <c r="U325" i="6"/>
  <c r="T325" i="6"/>
  <c r="S325" i="6"/>
  <c r="R325" i="6"/>
  <c r="Q325" i="6"/>
  <c r="P325" i="6"/>
  <c r="O325" i="6"/>
  <c r="N325" i="6"/>
  <c r="M325" i="6"/>
  <c r="L325" i="6"/>
  <c r="W324" i="6"/>
  <c r="V324" i="6"/>
  <c r="U324" i="6"/>
  <c r="T324" i="6"/>
  <c r="S324" i="6"/>
  <c r="R324" i="6"/>
  <c r="Q324" i="6"/>
  <c r="P324" i="6"/>
  <c r="O324" i="6"/>
  <c r="N324" i="6"/>
  <c r="M324" i="6"/>
  <c r="L324" i="6"/>
  <c r="W323" i="6"/>
  <c r="V323" i="6"/>
  <c r="U323" i="6"/>
  <c r="T323" i="6"/>
  <c r="S323" i="6"/>
  <c r="R323" i="6"/>
  <c r="Q323" i="6"/>
  <c r="P323" i="6"/>
  <c r="O323" i="6"/>
  <c r="N323" i="6"/>
  <c r="M323" i="6"/>
  <c r="L323" i="6"/>
  <c r="W322" i="6"/>
  <c r="V322" i="6"/>
  <c r="U322" i="6"/>
  <c r="T322" i="6"/>
  <c r="S322" i="6"/>
  <c r="R322" i="6"/>
  <c r="Q322" i="6"/>
  <c r="P322" i="6"/>
  <c r="O322" i="6"/>
  <c r="N322" i="6"/>
  <c r="M322" i="6"/>
  <c r="L322" i="6"/>
  <c r="W321" i="6"/>
  <c r="V321" i="6"/>
  <c r="U321" i="6"/>
  <c r="T321" i="6"/>
  <c r="S321" i="6"/>
  <c r="R321" i="6"/>
  <c r="Q321" i="6"/>
  <c r="P321" i="6"/>
  <c r="O321" i="6"/>
  <c r="N321" i="6"/>
  <c r="M321" i="6"/>
  <c r="L321" i="6"/>
  <c r="W320" i="6"/>
  <c r="V320" i="6"/>
  <c r="U320" i="6"/>
  <c r="T320" i="6"/>
  <c r="S320" i="6"/>
  <c r="R320" i="6"/>
  <c r="Q320" i="6"/>
  <c r="P320" i="6"/>
  <c r="O320" i="6"/>
  <c r="N320" i="6"/>
  <c r="M320" i="6"/>
  <c r="L320" i="6"/>
  <c r="W319" i="6"/>
  <c r="V319" i="6"/>
  <c r="U319" i="6"/>
  <c r="T319" i="6"/>
  <c r="S319" i="6"/>
  <c r="R319" i="6"/>
  <c r="Q319" i="6"/>
  <c r="P319" i="6"/>
  <c r="O319" i="6"/>
  <c r="N319" i="6"/>
  <c r="M319" i="6"/>
  <c r="L319" i="6"/>
  <c r="W318" i="6"/>
  <c r="V318" i="6"/>
  <c r="U318" i="6"/>
  <c r="T318" i="6"/>
  <c r="S318" i="6"/>
  <c r="R318" i="6"/>
  <c r="Q318" i="6"/>
  <c r="P318" i="6"/>
  <c r="O318" i="6"/>
  <c r="N318" i="6"/>
  <c r="M318" i="6"/>
  <c r="L318" i="6"/>
  <c r="W317" i="6"/>
  <c r="V317" i="6"/>
  <c r="U317" i="6"/>
  <c r="T317" i="6"/>
  <c r="S317" i="6"/>
  <c r="R317" i="6"/>
  <c r="Q317" i="6"/>
  <c r="P317" i="6"/>
  <c r="O317" i="6"/>
  <c r="N317" i="6"/>
  <c r="M317" i="6"/>
  <c r="L317" i="6"/>
  <c r="W316" i="6"/>
  <c r="V316" i="6"/>
  <c r="U316" i="6"/>
  <c r="T316" i="6"/>
  <c r="S316" i="6"/>
  <c r="R316" i="6"/>
  <c r="Q316" i="6"/>
  <c r="P316" i="6"/>
  <c r="O316" i="6"/>
  <c r="N316" i="6"/>
  <c r="M316" i="6"/>
  <c r="L316" i="6"/>
  <c r="W315" i="6"/>
  <c r="V315" i="6"/>
  <c r="U315" i="6"/>
  <c r="T315" i="6"/>
  <c r="S315" i="6"/>
  <c r="R315" i="6"/>
  <c r="Q315" i="6"/>
  <c r="P315" i="6"/>
  <c r="O315" i="6"/>
  <c r="N315" i="6"/>
  <c r="M315" i="6"/>
  <c r="L315" i="6"/>
  <c r="W314" i="6"/>
  <c r="V314" i="6"/>
  <c r="U314" i="6"/>
  <c r="T314" i="6"/>
  <c r="S314" i="6"/>
  <c r="R314" i="6"/>
  <c r="Q314" i="6"/>
  <c r="P314" i="6"/>
  <c r="O314" i="6"/>
  <c r="N314" i="6"/>
  <c r="M314" i="6"/>
  <c r="L314" i="6"/>
  <c r="W313" i="6"/>
  <c r="V313" i="6"/>
  <c r="U313" i="6"/>
  <c r="T313" i="6"/>
  <c r="S313" i="6"/>
  <c r="R313" i="6"/>
  <c r="Q313" i="6"/>
  <c r="P313" i="6"/>
  <c r="O313" i="6"/>
  <c r="N313" i="6"/>
  <c r="M313" i="6"/>
  <c r="L313" i="6"/>
  <c r="W312" i="6"/>
  <c r="V312" i="6"/>
  <c r="U312" i="6"/>
  <c r="T312" i="6"/>
  <c r="S312" i="6"/>
  <c r="R312" i="6"/>
  <c r="Q312" i="6"/>
  <c r="P312" i="6"/>
  <c r="O312" i="6"/>
  <c r="N312" i="6"/>
  <c r="M312" i="6"/>
  <c r="L312" i="6"/>
  <c r="W311" i="6"/>
  <c r="V311" i="6"/>
  <c r="U311" i="6"/>
  <c r="T311" i="6"/>
  <c r="S311" i="6"/>
  <c r="R311" i="6"/>
  <c r="Q311" i="6"/>
  <c r="P311" i="6"/>
  <c r="O311" i="6"/>
  <c r="N311" i="6"/>
  <c r="M311" i="6"/>
  <c r="L311" i="6"/>
  <c r="W310" i="6"/>
  <c r="V310" i="6"/>
  <c r="U310" i="6"/>
  <c r="T310" i="6"/>
  <c r="S310" i="6"/>
  <c r="R310" i="6"/>
  <c r="Q310" i="6"/>
  <c r="P310" i="6"/>
  <c r="O310" i="6"/>
  <c r="N310" i="6"/>
  <c r="M310" i="6"/>
  <c r="L310" i="6"/>
  <c r="W309" i="6"/>
  <c r="V309" i="6"/>
  <c r="U309" i="6"/>
  <c r="T309" i="6"/>
  <c r="S309" i="6"/>
  <c r="R309" i="6"/>
  <c r="Q309" i="6"/>
  <c r="P309" i="6"/>
  <c r="O309" i="6"/>
  <c r="N309" i="6"/>
  <c r="M309" i="6"/>
  <c r="L309" i="6"/>
  <c r="W308" i="6"/>
  <c r="V308" i="6"/>
  <c r="U308" i="6"/>
  <c r="T308" i="6"/>
  <c r="S308" i="6"/>
  <c r="R308" i="6"/>
  <c r="Q308" i="6"/>
  <c r="P308" i="6"/>
  <c r="O308" i="6"/>
  <c r="N308" i="6"/>
  <c r="M308" i="6"/>
  <c r="L308" i="6"/>
  <c r="W307" i="6"/>
  <c r="V307" i="6"/>
  <c r="U307" i="6"/>
  <c r="T307" i="6"/>
  <c r="S307" i="6"/>
  <c r="R307" i="6"/>
  <c r="Q307" i="6"/>
  <c r="P307" i="6"/>
  <c r="O307" i="6"/>
  <c r="N307" i="6"/>
  <c r="M307" i="6"/>
  <c r="L307" i="6"/>
  <c r="W306" i="6"/>
  <c r="V306" i="6"/>
  <c r="U306" i="6"/>
  <c r="T306" i="6"/>
  <c r="S306" i="6"/>
  <c r="R306" i="6"/>
  <c r="Q306" i="6"/>
  <c r="P306" i="6"/>
  <c r="O306" i="6"/>
  <c r="N306" i="6"/>
  <c r="M306" i="6"/>
  <c r="L306" i="6"/>
  <c r="W305" i="6"/>
  <c r="V305" i="6"/>
  <c r="U305" i="6"/>
  <c r="T305" i="6"/>
  <c r="S305" i="6"/>
  <c r="R305" i="6"/>
  <c r="Q305" i="6"/>
  <c r="P305" i="6"/>
  <c r="O305" i="6"/>
  <c r="N305" i="6"/>
  <c r="M305" i="6"/>
  <c r="L305" i="6"/>
  <c r="W304" i="6"/>
  <c r="V304" i="6"/>
  <c r="U304" i="6"/>
  <c r="T304" i="6"/>
  <c r="S304" i="6"/>
  <c r="R304" i="6"/>
  <c r="Q304" i="6"/>
  <c r="P304" i="6"/>
  <c r="O304" i="6"/>
  <c r="N304" i="6"/>
  <c r="M304" i="6"/>
  <c r="L304" i="6"/>
  <c r="W303" i="6"/>
  <c r="V303" i="6"/>
  <c r="U303" i="6"/>
  <c r="T303" i="6"/>
  <c r="S303" i="6"/>
  <c r="R303" i="6"/>
  <c r="Q303" i="6"/>
  <c r="P303" i="6"/>
  <c r="O303" i="6"/>
  <c r="N303" i="6"/>
  <c r="M303" i="6"/>
  <c r="L303" i="6"/>
  <c r="W302" i="6"/>
  <c r="V302" i="6"/>
  <c r="U302" i="6"/>
  <c r="T302" i="6"/>
  <c r="S302" i="6"/>
  <c r="R302" i="6"/>
  <c r="Q302" i="6"/>
  <c r="P302" i="6"/>
  <c r="O302" i="6"/>
  <c r="N302" i="6"/>
  <c r="M302" i="6"/>
  <c r="L302" i="6"/>
  <c r="W301" i="6"/>
  <c r="V301" i="6"/>
  <c r="U301" i="6"/>
  <c r="T301" i="6"/>
  <c r="S301" i="6"/>
  <c r="R301" i="6"/>
  <c r="Q301" i="6"/>
  <c r="P301" i="6"/>
  <c r="O301" i="6"/>
  <c r="N301" i="6"/>
  <c r="M301" i="6"/>
  <c r="L301" i="6"/>
  <c r="W300" i="6"/>
  <c r="V300" i="6"/>
  <c r="U300" i="6"/>
  <c r="T300" i="6"/>
  <c r="S300" i="6"/>
  <c r="R300" i="6"/>
  <c r="Q300" i="6"/>
  <c r="P300" i="6"/>
  <c r="O300" i="6"/>
  <c r="N300" i="6"/>
  <c r="M300" i="6"/>
  <c r="L300" i="6"/>
  <c r="W299" i="6"/>
  <c r="V299" i="6"/>
  <c r="U299" i="6"/>
  <c r="T299" i="6"/>
  <c r="S299" i="6"/>
  <c r="R299" i="6"/>
  <c r="Q299" i="6"/>
  <c r="P299" i="6"/>
  <c r="O299" i="6"/>
  <c r="N299" i="6"/>
  <c r="M299" i="6"/>
  <c r="L299" i="6"/>
  <c r="W298" i="6"/>
  <c r="V298" i="6"/>
  <c r="U298" i="6"/>
  <c r="T298" i="6"/>
  <c r="S298" i="6"/>
  <c r="R298" i="6"/>
  <c r="Q298" i="6"/>
  <c r="P298" i="6"/>
  <c r="O298" i="6"/>
  <c r="N298" i="6"/>
  <c r="M298" i="6"/>
  <c r="L298" i="6"/>
  <c r="W297" i="6"/>
  <c r="V297" i="6"/>
  <c r="U297" i="6"/>
  <c r="T297" i="6"/>
  <c r="S297" i="6"/>
  <c r="R297" i="6"/>
  <c r="Q297" i="6"/>
  <c r="P297" i="6"/>
  <c r="O297" i="6"/>
  <c r="N297" i="6"/>
  <c r="M297" i="6"/>
  <c r="L297" i="6"/>
  <c r="W296" i="6"/>
  <c r="V296" i="6"/>
  <c r="U296" i="6"/>
  <c r="T296" i="6"/>
  <c r="S296" i="6"/>
  <c r="R296" i="6"/>
  <c r="Q296" i="6"/>
  <c r="P296" i="6"/>
  <c r="O296" i="6"/>
  <c r="N296" i="6"/>
  <c r="M296" i="6"/>
  <c r="L296" i="6"/>
  <c r="W295" i="6"/>
  <c r="V295" i="6"/>
  <c r="U295" i="6"/>
  <c r="T295" i="6"/>
  <c r="S295" i="6"/>
  <c r="R295" i="6"/>
  <c r="Q295" i="6"/>
  <c r="P295" i="6"/>
  <c r="O295" i="6"/>
  <c r="N295" i="6"/>
  <c r="M295" i="6"/>
  <c r="L295" i="6"/>
  <c r="W294" i="6"/>
  <c r="V294" i="6"/>
  <c r="U294" i="6"/>
  <c r="T294" i="6"/>
  <c r="S294" i="6"/>
  <c r="R294" i="6"/>
  <c r="Q294" i="6"/>
  <c r="P294" i="6"/>
  <c r="O294" i="6"/>
  <c r="N294" i="6"/>
  <c r="M294" i="6"/>
  <c r="L294" i="6"/>
  <c r="W293" i="6"/>
  <c r="V293" i="6"/>
  <c r="U293" i="6"/>
  <c r="T293" i="6"/>
  <c r="S293" i="6"/>
  <c r="R293" i="6"/>
  <c r="Q293" i="6"/>
  <c r="P293" i="6"/>
  <c r="O293" i="6"/>
  <c r="N293" i="6"/>
  <c r="M293" i="6"/>
  <c r="L293" i="6"/>
  <c r="W292" i="6"/>
  <c r="V292" i="6"/>
  <c r="U292" i="6"/>
  <c r="T292" i="6"/>
  <c r="S292" i="6"/>
  <c r="R292" i="6"/>
  <c r="Q292" i="6"/>
  <c r="P292" i="6"/>
  <c r="O292" i="6"/>
  <c r="N292" i="6"/>
  <c r="M292" i="6"/>
  <c r="L292" i="6"/>
  <c r="W291" i="6"/>
  <c r="V291" i="6"/>
  <c r="U291" i="6"/>
  <c r="T291" i="6"/>
  <c r="S291" i="6"/>
  <c r="R291" i="6"/>
  <c r="Q291" i="6"/>
  <c r="P291" i="6"/>
  <c r="O291" i="6"/>
  <c r="N291" i="6"/>
  <c r="M291" i="6"/>
  <c r="L291" i="6"/>
  <c r="W290" i="6"/>
  <c r="V290" i="6"/>
  <c r="U290" i="6"/>
  <c r="T290" i="6"/>
  <c r="S290" i="6"/>
  <c r="R290" i="6"/>
  <c r="Q290" i="6"/>
  <c r="P290" i="6"/>
  <c r="O290" i="6"/>
  <c r="N290" i="6"/>
  <c r="M290" i="6"/>
  <c r="L290" i="6"/>
  <c r="W289" i="6"/>
  <c r="V289" i="6"/>
  <c r="U289" i="6"/>
  <c r="T289" i="6"/>
  <c r="S289" i="6"/>
  <c r="R289" i="6"/>
  <c r="Q289" i="6"/>
  <c r="P289" i="6"/>
  <c r="O289" i="6"/>
  <c r="N289" i="6"/>
  <c r="M289" i="6"/>
  <c r="L289" i="6"/>
  <c r="W288" i="6"/>
  <c r="V288" i="6"/>
  <c r="U288" i="6"/>
  <c r="T288" i="6"/>
  <c r="S288" i="6"/>
  <c r="R288" i="6"/>
  <c r="Q288" i="6"/>
  <c r="P288" i="6"/>
  <c r="O288" i="6"/>
  <c r="N288" i="6"/>
  <c r="M288" i="6"/>
  <c r="L288" i="6"/>
  <c r="W287" i="6"/>
  <c r="V287" i="6"/>
  <c r="U287" i="6"/>
  <c r="T287" i="6"/>
  <c r="S287" i="6"/>
  <c r="R287" i="6"/>
  <c r="Q287" i="6"/>
  <c r="P287" i="6"/>
  <c r="O287" i="6"/>
  <c r="N287" i="6"/>
  <c r="M287" i="6"/>
  <c r="L287" i="6"/>
  <c r="W286" i="6"/>
  <c r="V286" i="6"/>
  <c r="U286" i="6"/>
  <c r="T286" i="6"/>
  <c r="S286" i="6"/>
  <c r="R286" i="6"/>
  <c r="Q286" i="6"/>
  <c r="P286" i="6"/>
  <c r="O286" i="6"/>
  <c r="N286" i="6"/>
  <c r="M286" i="6"/>
  <c r="L286" i="6"/>
  <c r="W285" i="6"/>
  <c r="V285" i="6"/>
  <c r="U285" i="6"/>
  <c r="T285" i="6"/>
  <c r="S285" i="6"/>
  <c r="R285" i="6"/>
  <c r="Q285" i="6"/>
  <c r="P285" i="6"/>
  <c r="O285" i="6"/>
  <c r="N285" i="6"/>
  <c r="M285" i="6"/>
  <c r="L285" i="6"/>
  <c r="W284" i="6"/>
  <c r="V284" i="6"/>
  <c r="U284" i="6"/>
  <c r="T284" i="6"/>
  <c r="S284" i="6"/>
  <c r="R284" i="6"/>
  <c r="Q284" i="6"/>
  <c r="P284" i="6"/>
  <c r="O284" i="6"/>
  <c r="N284" i="6"/>
  <c r="M284" i="6"/>
  <c r="L284" i="6"/>
  <c r="W283" i="6"/>
  <c r="V283" i="6"/>
  <c r="U283" i="6"/>
  <c r="T283" i="6"/>
  <c r="S283" i="6"/>
  <c r="R283" i="6"/>
  <c r="Q283" i="6"/>
  <c r="P283" i="6"/>
  <c r="O283" i="6"/>
  <c r="N283" i="6"/>
  <c r="M283" i="6"/>
  <c r="L283" i="6"/>
  <c r="W282" i="6"/>
  <c r="V282" i="6"/>
  <c r="U282" i="6"/>
  <c r="T282" i="6"/>
  <c r="S282" i="6"/>
  <c r="R282" i="6"/>
  <c r="Q282" i="6"/>
  <c r="P282" i="6"/>
  <c r="O282" i="6"/>
  <c r="N282" i="6"/>
  <c r="M282" i="6"/>
  <c r="L282" i="6"/>
  <c r="W281" i="6"/>
  <c r="V281" i="6"/>
  <c r="U281" i="6"/>
  <c r="T281" i="6"/>
  <c r="S281" i="6"/>
  <c r="R281" i="6"/>
  <c r="Q281" i="6"/>
  <c r="P281" i="6"/>
  <c r="O281" i="6"/>
  <c r="N281" i="6"/>
  <c r="M281" i="6"/>
  <c r="L281" i="6"/>
  <c r="W280" i="6"/>
  <c r="V280" i="6"/>
  <c r="U280" i="6"/>
  <c r="T280" i="6"/>
  <c r="S280" i="6"/>
  <c r="R280" i="6"/>
  <c r="Q280" i="6"/>
  <c r="P280" i="6"/>
  <c r="O280" i="6"/>
  <c r="N280" i="6"/>
  <c r="M280" i="6"/>
  <c r="L280" i="6"/>
  <c r="W279" i="6"/>
  <c r="V279" i="6"/>
  <c r="U279" i="6"/>
  <c r="T279" i="6"/>
  <c r="S279" i="6"/>
  <c r="R279" i="6"/>
  <c r="Q279" i="6"/>
  <c r="P279" i="6"/>
  <c r="O279" i="6"/>
  <c r="N279" i="6"/>
  <c r="M279" i="6"/>
  <c r="L279" i="6"/>
  <c r="W278" i="6"/>
  <c r="V278" i="6"/>
  <c r="U278" i="6"/>
  <c r="T278" i="6"/>
  <c r="S278" i="6"/>
  <c r="R278" i="6"/>
  <c r="Q278" i="6"/>
  <c r="P278" i="6"/>
  <c r="O278" i="6"/>
  <c r="N278" i="6"/>
  <c r="M278" i="6"/>
  <c r="L278" i="6"/>
  <c r="W277" i="6"/>
  <c r="V277" i="6"/>
  <c r="U277" i="6"/>
  <c r="T277" i="6"/>
  <c r="S277" i="6"/>
  <c r="R277" i="6"/>
  <c r="Q277" i="6"/>
  <c r="P277" i="6"/>
  <c r="O277" i="6"/>
  <c r="N277" i="6"/>
  <c r="M277" i="6"/>
  <c r="L277" i="6"/>
  <c r="W276" i="6"/>
  <c r="V276" i="6"/>
  <c r="U276" i="6"/>
  <c r="T276" i="6"/>
  <c r="S276" i="6"/>
  <c r="R276" i="6"/>
  <c r="Q276" i="6"/>
  <c r="P276" i="6"/>
  <c r="O276" i="6"/>
  <c r="N276" i="6"/>
  <c r="M276" i="6"/>
  <c r="L276" i="6"/>
  <c r="W275" i="6"/>
  <c r="V275" i="6"/>
  <c r="U275" i="6"/>
  <c r="T275" i="6"/>
  <c r="S275" i="6"/>
  <c r="R275" i="6"/>
  <c r="Q275" i="6"/>
  <c r="P275" i="6"/>
  <c r="O275" i="6"/>
  <c r="N275" i="6"/>
  <c r="M275" i="6"/>
  <c r="L275" i="6"/>
  <c r="W274" i="6"/>
  <c r="V274" i="6"/>
  <c r="U274" i="6"/>
  <c r="T274" i="6"/>
  <c r="S274" i="6"/>
  <c r="R274" i="6"/>
  <c r="Q274" i="6"/>
  <c r="P274" i="6"/>
  <c r="O274" i="6"/>
  <c r="N274" i="6"/>
  <c r="M274" i="6"/>
  <c r="L274" i="6"/>
  <c r="W273" i="6"/>
  <c r="V273" i="6"/>
  <c r="U273" i="6"/>
  <c r="T273" i="6"/>
  <c r="S273" i="6"/>
  <c r="R273" i="6"/>
  <c r="Q273" i="6"/>
  <c r="P273" i="6"/>
  <c r="O273" i="6"/>
  <c r="N273" i="6"/>
  <c r="M273" i="6"/>
  <c r="L273" i="6"/>
  <c r="W272" i="6"/>
  <c r="V272" i="6"/>
  <c r="U272" i="6"/>
  <c r="T272" i="6"/>
  <c r="S272" i="6"/>
  <c r="R272" i="6"/>
  <c r="Q272" i="6"/>
  <c r="P272" i="6"/>
  <c r="O272" i="6"/>
  <c r="N272" i="6"/>
  <c r="M272" i="6"/>
  <c r="L272" i="6"/>
  <c r="W271" i="6"/>
  <c r="V271" i="6"/>
  <c r="U271" i="6"/>
  <c r="T271" i="6"/>
  <c r="S271" i="6"/>
  <c r="R271" i="6"/>
  <c r="Q271" i="6"/>
  <c r="P271" i="6"/>
  <c r="O271" i="6"/>
  <c r="N271" i="6"/>
  <c r="M271" i="6"/>
  <c r="L271" i="6"/>
  <c r="W270" i="6"/>
  <c r="V270" i="6"/>
  <c r="U270" i="6"/>
  <c r="T270" i="6"/>
  <c r="S270" i="6"/>
  <c r="R270" i="6"/>
  <c r="Q270" i="6"/>
  <c r="P270" i="6"/>
  <c r="O270" i="6"/>
  <c r="N270" i="6"/>
  <c r="M270" i="6"/>
  <c r="L270" i="6"/>
  <c r="W269" i="6"/>
  <c r="V269" i="6"/>
  <c r="U269" i="6"/>
  <c r="T269" i="6"/>
  <c r="S269" i="6"/>
  <c r="R269" i="6"/>
  <c r="Q269" i="6"/>
  <c r="P269" i="6"/>
  <c r="O269" i="6"/>
  <c r="N269" i="6"/>
  <c r="M269" i="6"/>
  <c r="L269" i="6"/>
  <c r="W268" i="6"/>
  <c r="V268" i="6"/>
  <c r="U268" i="6"/>
  <c r="T268" i="6"/>
  <c r="S268" i="6"/>
  <c r="R268" i="6"/>
  <c r="Q268" i="6"/>
  <c r="P268" i="6"/>
  <c r="O268" i="6"/>
  <c r="N268" i="6"/>
  <c r="M268" i="6"/>
  <c r="L268" i="6"/>
  <c r="W267" i="6"/>
  <c r="V267" i="6"/>
  <c r="U267" i="6"/>
  <c r="T267" i="6"/>
  <c r="S267" i="6"/>
  <c r="R267" i="6"/>
  <c r="Q267" i="6"/>
  <c r="P267" i="6"/>
  <c r="O267" i="6"/>
  <c r="N267" i="6"/>
  <c r="M267" i="6"/>
  <c r="L267" i="6"/>
  <c r="W266" i="6"/>
  <c r="V266" i="6"/>
  <c r="U266" i="6"/>
  <c r="T266" i="6"/>
  <c r="S266" i="6"/>
  <c r="R266" i="6"/>
  <c r="Q266" i="6"/>
  <c r="P266" i="6"/>
  <c r="O266" i="6"/>
  <c r="N266" i="6"/>
  <c r="M266" i="6"/>
  <c r="L266" i="6"/>
  <c r="W265" i="6"/>
  <c r="V265" i="6"/>
  <c r="U265" i="6"/>
  <c r="T265" i="6"/>
  <c r="S265" i="6"/>
  <c r="R265" i="6"/>
  <c r="Q265" i="6"/>
  <c r="P265" i="6"/>
  <c r="O265" i="6"/>
  <c r="N265" i="6"/>
  <c r="M265" i="6"/>
  <c r="L265" i="6"/>
  <c r="W264" i="6"/>
  <c r="V264" i="6"/>
  <c r="U264" i="6"/>
  <c r="T264" i="6"/>
  <c r="S264" i="6"/>
  <c r="R264" i="6"/>
  <c r="Q264" i="6"/>
  <c r="P264" i="6"/>
  <c r="O264" i="6"/>
  <c r="N264" i="6"/>
  <c r="M264" i="6"/>
  <c r="L264" i="6"/>
  <c r="W263" i="6"/>
  <c r="V263" i="6"/>
  <c r="U263" i="6"/>
  <c r="T263" i="6"/>
  <c r="S263" i="6"/>
  <c r="R263" i="6"/>
  <c r="Q263" i="6"/>
  <c r="P263" i="6"/>
  <c r="O263" i="6"/>
  <c r="N263" i="6"/>
  <c r="M263" i="6"/>
  <c r="L263" i="6"/>
  <c r="W262" i="6"/>
  <c r="V262" i="6"/>
  <c r="U262" i="6"/>
  <c r="T262" i="6"/>
  <c r="S262" i="6"/>
  <c r="R262" i="6"/>
  <c r="Q262" i="6"/>
  <c r="P262" i="6"/>
  <c r="O262" i="6"/>
  <c r="N262" i="6"/>
  <c r="M262" i="6"/>
  <c r="L262" i="6"/>
  <c r="W261" i="6"/>
  <c r="V261" i="6"/>
  <c r="U261" i="6"/>
  <c r="T261" i="6"/>
  <c r="S261" i="6"/>
  <c r="R261" i="6"/>
  <c r="Q261" i="6"/>
  <c r="P261" i="6"/>
  <c r="O261" i="6"/>
  <c r="N261" i="6"/>
  <c r="M261" i="6"/>
  <c r="L261" i="6"/>
  <c r="W260" i="6"/>
  <c r="V260" i="6"/>
  <c r="U260" i="6"/>
  <c r="T260" i="6"/>
  <c r="S260" i="6"/>
  <c r="R260" i="6"/>
  <c r="Q260" i="6"/>
  <c r="P260" i="6"/>
  <c r="O260" i="6"/>
  <c r="N260" i="6"/>
  <c r="M260" i="6"/>
  <c r="L260" i="6"/>
  <c r="W259" i="6"/>
  <c r="V259" i="6"/>
  <c r="U259" i="6"/>
  <c r="T259" i="6"/>
  <c r="S259" i="6"/>
  <c r="R259" i="6"/>
  <c r="Q259" i="6"/>
  <c r="P259" i="6"/>
  <c r="O259" i="6"/>
  <c r="N259" i="6"/>
  <c r="M259" i="6"/>
  <c r="L259" i="6"/>
  <c r="W258" i="6"/>
  <c r="V258" i="6"/>
  <c r="U258" i="6"/>
  <c r="T258" i="6"/>
  <c r="S258" i="6"/>
  <c r="R258" i="6"/>
  <c r="Q258" i="6"/>
  <c r="P258" i="6"/>
  <c r="O258" i="6"/>
  <c r="N258" i="6"/>
  <c r="M258" i="6"/>
  <c r="L258" i="6"/>
  <c r="W257" i="6"/>
  <c r="V257" i="6"/>
  <c r="U257" i="6"/>
  <c r="T257" i="6"/>
  <c r="S257" i="6"/>
  <c r="R257" i="6"/>
  <c r="Q257" i="6"/>
  <c r="P257" i="6"/>
  <c r="O257" i="6"/>
  <c r="N257" i="6"/>
  <c r="M257" i="6"/>
  <c r="L257" i="6"/>
  <c r="W256" i="6"/>
  <c r="V256" i="6"/>
  <c r="U256" i="6"/>
  <c r="T256" i="6"/>
  <c r="S256" i="6"/>
  <c r="R256" i="6"/>
  <c r="Q256" i="6"/>
  <c r="P256" i="6"/>
  <c r="O256" i="6"/>
  <c r="N256" i="6"/>
  <c r="M256" i="6"/>
  <c r="L256" i="6"/>
  <c r="W255" i="6"/>
  <c r="V255" i="6"/>
  <c r="U255" i="6"/>
  <c r="T255" i="6"/>
  <c r="S255" i="6"/>
  <c r="R255" i="6"/>
  <c r="Q255" i="6"/>
  <c r="P255" i="6"/>
  <c r="O255" i="6"/>
  <c r="N255" i="6"/>
  <c r="M255" i="6"/>
  <c r="L255" i="6"/>
  <c r="W254" i="6"/>
  <c r="V254" i="6"/>
  <c r="U254" i="6"/>
  <c r="T254" i="6"/>
  <c r="S254" i="6"/>
  <c r="R254" i="6"/>
  <c r="Q254" i="6"/>
  <c r="P254" i="6"/>
  <c r="O254" i="6"/>
  <c r="N254" i="6"/>
  <c r="M254" i="6"/>
  <c r="L254" i="6"/>
  <c r="W253" i="6"/>
  <c r="V253" i="6"/>
  <c r="U253" i="6"/>
  <c r="T253" i="6"/>
  <c r="S253" i="6"/>
  <c r="R253" i="6"/>
  <c r="Q253" i="6"/>
  <c r="P253" i="6"/>
  <c r="O253" i="6"/>
  <c r="N253" i="6"/>
  <c r="M253" i="6"/>
  <c r="L253" i="6"/>
  <c r="W252" i="6"/>
  <c r="V252" i="6"/>
  <c r="U252" i="6"/>
  <c r="T252" i="6"/>
  <c r="S252" i="6"/>
  <c r="R252" i="6"/>
  <c r="Q252" i="6"/>
  <c r="P252" i="6"/>
  <c r="O252" i="6"/>
  <c r="N252" i="6"/>
  <c r="M252" i="6"/>
  <c r="L252" i="6"/>
  <c r="W251" i="6"/>
  <c r="V251" i="6"/>
  <c r="U251" i="6"/>
  <c r="T251" i="6"/>
  <c r="S251" i="6"/>
  <c r="R251" i="6"/>
  <c r="Q251" i="6"/>
  <c r="P251" i="6"/>
  <c r="O251" i="6"/>
  <c r="N251" i="6"/>
  <c r="M251" i="6"/>
  <c r="L251" i="6"/>
  <c r="W250" i="6"/>
  <c r="V250" i="6"/>
  <c r="U250" i="6"/>
  <c r="T250" i="6"/>
  <c r="S250" i="6"/>
  <c r="R250" i="6"/>
  <c r="Q250" i="6"/>
  <c r="P250" i="6"/>
  <c r="O250" i="6"/>
  <c r="N250" i="6"/>
  <c r="M250" i="6"/>
  <c r="L250" i="6"/>
  <c r="W249" i="6"/>
  <c r="V249" i="6"/>
  <c r="U249" i="6"/>
  <c r="T249" i="6"/>
  <c r="S249" i="6"/>
  <c r="R249" i="6"/>
  <c r="Q249" i="6"/>
  <c r="P249" i="6"/>
  <c r="O249" i="6"/>
  <c r="N249" i="6"/>
  <c r="M249" i="6"/>
  <c r="L249" i="6"/>
  <c r="W248" i="6"/>
  <c r="V248" i="6"/>
  <c r="U248" i="6"/>
  <c r="T248" i="6"/>
  <c r="S248" i="6"/>
  <c r="R248" i="6"/>
  <c r="Q248" i="6"/>
  <c r="P248" i="6"/>
  <c r="O248" i="6"/>
  <c r="N248" i="6"/>
  <c r="M248" i="6"/>
  <c r="L248" i="6"/>
  <c r="W247" i="6"/>
  <c r="V247" i="6"/>
  <c r="U247" i="6"/>
  <c r="T247" i="6"/>
  <c r="S247" i="6"/>
  <c r="R247" i="6"/>
  <c r="Q247" i="6"/>
  <c r="P247" i="6"/>
  <c r="O247" i="6"/>
  <c r="N247" i="6"/>
  <c r="M247" i="6"/>
  <c r="L247" i="6"/>
  <c r="W246" i="6"/>
  <c r="V246" i="6"/>
  <c r="U246" i="6"/>
  <c r="T246" i="6"/>
  <c r="S246" i="6"/>
  <c r="R246" i="6"/>
  <c r="Q246" i="6"/>
  <c r="P246" i="6"/>
  <c r="O246" i="6"/>
  <c r="N246" i="6"/>
  <c r="M246" i="6"/>
  <c r="L246" i="6"/>
  <c r="W245" i="6"/>
  <c r="V245" i="6"/>
  <c r="U245" i="6"/>
  <c r="T245" i="6"/>
  <c r="S245" i="6"/>
  <c r="R245" i="6"/>
  <c r="Q245" i="6"/>
  <c r="P245" i="6"/>
  <c r="O245" i="6"/>
  <c r="N245" i="6"/>
  <c r="M245" i="6"/>
  <c r="L245" i="6"/>
  <c r="W244" i="6"/>
  <c r="V244" i="6"/>
  <c r="U244" i="6"/>
  <c r="T244" i="6"/>
  <c r="S244" i="6"/>
  <c r="R244" i="6"/>
  <c r="Q244" i="6"/>
  <c r="P244" i="6"/>
  <c r="O244" i="6"/>
  <c r="N244" i="6"/>
  <c r="M244" i="6"/>
  <c r="L244" i="6"/>
  <c r="W243" i="6"/>
  <c r="V243" i="6"/>
  <c r="U243" i="6"/>
  <c r="T243" i="6"/>
  <c r="S243" i="6"/>
  <c r="R243" i="6"/>
  <c r="Q243" i="6"/>
  <c r="P243" i="6"/>
  <c r="O243" i="6"/>
  <c r="N243" i="6"/>
  <c r="M243" i="6"/>
  <c r="L243" i="6"/>
  <c r="W242" i="6"/>
  <c r="V242" i="6"/>
  <c r="U242" i="6"/>
  <c r="T242" i="6"/>
  <c r="S242" i="6"/>
  <c r="R242" i="6"/>
  <c r="Q242" i="6"/>
  <c r="P242" i="6"/>
  <c r="O242" i="6"/>
  <c r="N242" i="6"/>
  <c r="M242" i="6"/>
  <c r="L242" i="6"/>
  <c r="W241" i="6"/>
  <c r="V241" i="6"/>
  <c r="U241" i="6"/>
  <c r="T241" i="6"/>
  <c r="S241" i="6"/>
  <c r="R241" i="6"/>
  <c r="Q241" i="6"/>
  <c r="P241" i="6"/>
  <c r="O241" i="6"/>
  <c r="N241" i="6"/>
  <c r="M241" i="6"/>
  <c r="L241" i="6"/>
  <c r="W240" i="6"/>
  <c r="V240" i="6"/>
  <c r="U240" i="6"/>
  <c r="T240" i="6"/>
  <c r="S240" i="6"/>
  <c r="R240" i="6"/>
  <c r="Q240" i="6"/>
  <c r="P240" i="6"/>
  <c r="O240" i="6"/>
  <c r="N240" i="6"/>
  <c r="M240" i="6"/>
  <c r="L240" i="6"/>
  <c r="W239" i="6"/>
  <c r="V239" i="6"/>
  <c r="U239" i="6"/>
  <c r="T239" i="6"/>
  <c r="S239" i="6"/>
  <c r="R239" i="6"/>
  <c r="Q239" i="6"/>
  <c r="P239" i="6"/>
  <c r="O239" i="6"/>
  <c r="N239" i="6"/>
  <c r="M239" i="6"/>
  <c r="L239" i="6"/>
  <c r="W238" i="6"/>
  <c r="V238" i="6"/>
  <c r="U238" i="6"/>
  <c r="T238" i="6"/>
  <c r="S238" i="6"/>
  <c r="R238" i="6"/>
  <c r="Q238" i="6"/>
  <c r="P238" i="6"/>
  <c r="O238" i="6"/>
  <c r="N238" i="6"/>
  <c r="M238" i="6"/>
  <c r="L238" i="6"/>
  <c r="W237" i="6"/>
  <c r="V237" i="6"/>
  <c r="U237" i="6"/>
  <c r="T237" i="6"/>
  <c r="S237" i="6"/>
  <c r="R237" i="6"/>
  <c r="Q237" i="6"/>
  <c r="P237" i="6"/>
  <c r="O237" i="6"/>
  <c r="N237" i="6"/>
  <c r="M237" i="6"/>
  <c r="L237" i="6"/>
  <c r="W236" i="6"/>
  <c r="V236" i="6"/>
  <c r="U236" i="6"/>
  <c r="T236" i="6"/>
  <c r="S236" i="6"/>
  <c r="R236" i="6"/>
  <c r="Q236" i="6"/>
  <c r="P236" i="6"/>
  <c r="O236" i="6"/>
  <c r="N236" i="6"/>
  <c r="M236" i="6"/>
  <c r="L236" i="6"/>
  <c r="W235" i="6"/>
  <c r="V235" i="6"/>
  <c r="U235" i="6"/>
  <c r="T235" i="6"/>
  <c r="S235" i="6"/>
  <c r="R235" i="6"/>
  <c r="Q235" i="6"/>
  <c r="P235" i="6"/>
  <c r="O235" i="6"/>
  <c r="N235" i="6"/>
  <c r="M235" i="6"/>
  <c r="L235" i="6"/>
  <c r="W234" i="6"/>
  <c r="V234" i="6"/>
  <c r="U234" i="6"/>
  <c r="T234" i="6"/>
  <c r="S234" i="6"/>
  <c r="R234" i="6"/>
  <c r="Q234" i="6"/>
  <c r="P234" i="6"/>
  <c r="O234" i="6"/>
  <c r="N234" i="6"/>
  <c r="M234" i="6"/>
  <c r="L234" i="6"/>
  <c r="W233" i="6"/>
  <c r="V233" i="6"/>
  <c r="U233" i="6"/>
  <c r="T233" i="6"/>
  <c r="S233" i="6"/>
  <c r="R233" i="6"/>
  <c r="Q233" i="6"/>
  <c r="P233" i="6"/>
  <c r="O233" i="6"/>
  <c r="N233" i="6"/>
  <c r="M233" i="6"/>
  <c r="L233" i="6"/>
  <c r="W232" i="6"/>
  <c r="V232" i="6"/>
  <c r="U232" i="6"/>
  <c r="T232" i="6"/>
  <c r="S232" i="6"/>
  <c r="R232" i="6"/>
  <c r="Q232" i="6"/>
  <c r="P232" i="6"/>
  <c r="O232" i="6"/>
  <c r="N232" i="6"/>
  <c r="M232" i="6"/>
  <c r="L232" i="6"/>
  <c r="W231" i="6"/>
  <c r="V231" i="6"/>
  <c r="U231" i="6"/>
  <c r="T231" i="6"/>
  <c r="S231" i="6"/>
  <c r="R231" i="6"/>
  <c r="Q231" i="6"/>
  <c r="P231" i="6"/>
  <c r="O231" i="6"/>
  <c r="N231" i="6"/>
  <c r="M231" i="6"/>
  <c r="L231" i="6"/>
  <c r="W230" i="6"/>
  <c r="V230" i="6"/>
  <c r="U230" i="6"/>
  <c r="T230" i="6"/>
  <c r="S230" i="6"/>
  <c r="R230" i="6"/>
  <c r="Q230" i="6"/>
  <c r="P230" i="6"/>
  <c r="O230" i="6"/>
  <c r="N230" i="6"/>
  <c r="M230" i="6"/>
  <c r="L230" i="6"/>
  <c r="W229" i="6"/>
  <c r="V229" i="6"/>
  <c r="U229" i="6"/>
  <c r="T229" i="6"/>
  <c r="S229" i="6"/>
  <c r="R229" i="6"/>
  <c r="Q229" i="6"/>
  <c r="P229" i="6"/>
  <c r="O229" i="6"/>
  <c r="N229" i="6"/>
  <c r="M229" i="6"/>
  <c r="L229" i="6"/>
  <c r="W228" i="6"/>
  <c r="V228" i="6"/>
  <c r="U228" i="6"/>
  <c r="T228" i="6"/>
  <c r="S228" i="6"/>
  <c r="R228" i="6"/>
  <c r="Q228" i="6"/>
  <c r="P228" i="6"/>
  <c r="O228" i="6"/>
  <c r="N228" i="6"/>
  <c r="M228" i="6"/>
  <c r="L228" i="6"/>
  <c r="W227" i="6"/>
  <c r="V227" i="6"/>
  <c r="U227" i="6"/>
  <c r="T227" i="6"/>
  <c r="S227" i="6"/>
  <c r="R227" i="6"/>
  <c r="Q227" i="6"/>
  <c r="P227" i="6"/>
  <c r="O227" i="6"/>
  <c r="N227" i="6"/>
  <c r="M227" i="6"/>
  <c r="L227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W225" i="6"/>
  <c r="V225" i="6"/>
  <c r="U225" i="6"/>
  <c r="T225" i="6"/>
  <c r="S225" i="6"/>
  <c r="R225" i="6"/>
  <c r="Q225" i="6"/>
  <c r="P225" i="6"/>
  <c r="O225" i="6"/>
  <c r="N225" i="6"/>
  <c r="M225" i="6"/>
  <c r="L225" i="6"/>
  <c r="W224" i="6"/>
  <c r="V224" i="6"/>
  <c r="U224" i="6"/>
  <c r="T224" i="6"/>
  <c r="S224" i="6"/>
  <c r="R224" i="6"/>
  <c r="Q224" i="6"/>
  <c r="P224" i="6"/>
  <c r="O224" i="6"/>
  <c r="N224" i="6"/>
  <c r="M224" i="6"/>
  <c r="L224" i="6"/>
  <c r="W223" i="6"/>
  <c r="V223" i="6"/>
  <c r="U223" i="6"/>
  <c r="T223" i="6"/>
  <c r="S223" i="6"/>
  <c r="R223" i="6"/>
  <c r="Q223" i="6"/>
  <c r="P223" i="6"/>
  <c r="O223" i="6"/>
  <c r="N223" i="6"/>
  <c r="M223" i="6"/>
  <c r="L223" i="6"/>
  <c r="W222" i="6"/>
  <c r="V222" i="6"/>
  <c r="U222" i="6"/>
  <c r="T222" i="6"/>
  <c r="S222" i="6"/>
  <c r="R222" i="6"/>
  <c r="Q222" i="6"/>
  <c r="P222" i="6"/>
  <c r="O222" i="6"/>
  <c r="N222" i="6"/>
  <c r="M222" i="6"/>
  <c r="L222" i="6"/>
  <c r="W221" i="6"/>
  <c r="V221" i="6"/>
  <c r="U221" i="6"/>
  <c r="T221" i="6"/>
  <c r="S221" i="6"/>
  <c r="R221" i="6"/>
  <c r="Q221" i="6"/>
  <c r="P221" i="6"/>
  <c r="O221" i="6"/>
  <c r="N221" i="6"/>
  <c r="M221" i="6"/>
  <c r="L221" i="6"/>
  <c r="W220" i="6"/>
  <c r="V220" i="6"/>
  <c r="U220" i="6"/>
  <c r="T220" i="6"/>
  <c r="S220" i="6"/>
  <c r="R220" i="6"/>
  <c r="Q220" i="6"/>
  <c r="P220" i="6"/>
  <c r="O220" i="6"/>
  <c r="N220" i="6"/>
  <c r="M220" i="6"/>
  <c r="L220" i="6"/>
  <c r="W219" i="6"/>
  <c r="V219" i="6"/>
  <c r="U219" i="6"/>
  <c r="T219" i="6"/>
  <c r="S219" i="6"/>
  <c r="R219" i="6"/>
  <c r="Q219" i="6"/>
  <c r="P219" i="6"/>
  <c r="O219" i="6"/>
  <c r="N219" i="6"/>
  <c r="M219" i="6"/>
  <c r="L219" i="6"/>
  <c r="W218" i="6"/>
  <c r="V218" i="6"/>
  <c r="U218" i="6"/>
  <c r="T218" i="6"/>
  <c r="S218" i="6"/>
  <c r="R218" i="6"/>
  <c r="Q218" i="6"/>
  <c r="P218" i="6"/>
  <c r="O218" i="6"/>
  <c r="N218" i="6"/>
  <c r="M218" i="6"/>
  <c r="L218" i="6"/>
  <c r="W217" i="6"/>
  <c r="V217" i="6"/>
  <c r="U217" i="6"/>
  <c r="T217" i="6"/>
  <c r="S217" i="6"/>
  <c r="R217" i="6"/>
  <c r="Q217" i="6"/>
  <c r="P217" i="6"/>
  <c r="O217" i="6"/>
  <c r="N217" i="6"/>
  <c r="M217" i="6"/>
  <c r="L217" i="6"/>
  <c r="W216" i="6"/>
  <c r="V216" i="6"/>
  <c r="U216" i="6"/>
  <c r="T216" i="6"/>
  <c r="S216" i="6"/>
  <c r="R216" i="6"/>
  <c r="Q216" i="6"/>
  <c r="P216" i="6"/>
  <c r="O216" i="6"/>
  <c r="N216" i="6"/>
  <c r="M216" i="6"/>
  <c r="L216" i="6"/>
  <c r="W215" i="6"/>
  <c r="V215" i="6"/>
  <c r="U215" i="6"/>
  <c r="T215" i="6"/>
  <c r="S215" i="6"/>
  <c r="R215" i="6"/>
  <c r="Q215" i="6"/>
  <c r="P215" i="6"/>
  <c r="O215" i="6"/>
  <c r="N215" i="6"/>
  <c r="M215" i="6"/>
  <c r="L215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W213" i="6"/>
  <c r="V213" i="6"/>
  <c r="U213" i="6"/>
  <c r="T213" i="6"/>
  <c r="S213" i="6"/>
  <c r="R213" i="6"/>
  <c r="Q213" i="6"/>
  <c r="P213" i="6"/>
  <c r="O213" i="6"/>
  <c r="N213" i="6"/>
  <c r="M213" i="6"/>
  <c r="L213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W210" i="6"/>
  <c r="V210" i="6"/>
  <c r="U210" i="6"/>
  <c r="T210" i="6"/>
  <c r="S210" i="6"/>
  <c r="R210" i="6"/>
  <c r="Q210" i="6"/>
  <c r="P210" i="6"/>
  <c r="O210" i="6"/>
  <c r="N210" i="6"/>
  <c r="M210" i="6"/>
  <c r="L210" i="6"/>
  <c r="W209" i="6"/>
  <c r="V209" i="6"/>
  <c r="U209" i="6"/>
  <c r="T209" i="6"/>
  <c r="S209" i="6"/>
  <c r="R209" i="6"/>
  <c r="Q209" i="6"/>
  <c r="P209" i="6"/>
  <c r="O209" i="6"/>
  <c r="N209" i="6"/>
  <c r="M209" i="6"/>
  <c r="L209" i="6"/>
  <c r="W208" i="6"/>
  <c r="V208" i="6"/>
  <c r="U208" i="6"/>
  <c r="T208" i="6"/>
  <c r="S208" i="6"/>
  <c r="R208" i="6"/>
  <c r="Q208" i="6"/>
  <c r="P208" i="6"/>
  <c r="O208" i="6"/>
  <c r="N208" i="6"/>
  <c r="M208" i="6"/>
  <c r="L208" i="6"/>
  <c r="W207" i="6"/>
  <c r="V207" i="6"/>
  <c r="U207" i="6"/>
  <c r="T207" i="6"/>
  <c r="S207" i="6"/>
  <c r="R207" i="6"/>
  <c r="Q207" i="6"/>
  <c r="P207" i="6"/>
  <c r="O207" i="6"/>
  <c r="N207" i="6"/>
  <c r="M207" i="6"/>
  <c r="L207" i="6"/>
  <c r="W206" i="6"/>
  <c r="V206" i="6"/>
  <c r="U206" i="6"/>
  <c r="T206" i="6"/>
  <c r="S206" i="6"/>
  <c r="R206" i="6"/>
  <c r="Q206" i="6"/>
  <c r="P206" i="6"/>
  <c r="O206" i="6"/>
  <c r="N206" i="6"/>
  <c r="M206" i="6"/>
  <c r="L206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W204" i="6"/>
  <c r="V204" i="6"/>
  <c r="U204" i="6"/>
  <c r="T204" i="6"/>
  <c r="S204" i="6"/>
  <c r="R204" i="6"/>
  <c r="Q204" i="6"/>
  <c r="P204" i="6"/>
  <c r="O204" i="6"/>
  <c r="N204" i="6"/>
  <c r="M204" i="6"/>
  <c r="L204" i="6"/>
  <c r="W203" i="6"/>
  <c r="V203" i="6"/>
  <c r="U203" i="6"/>
  <c r="T203" i="6"/>
  <c r="S203" i="6"/>
  <c r="R203" i="6"/>
  <c r="Q203" i="6"/>
  <c r="P203" i="6"/>
  <c r="O203" i="6"/>
  <c r="N203" i="6"/>
  <c r="M203" i="6"/>
  <c r="L203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W201" i="6"/>
  <c r="V201" i="6"/>
  <c r="U201" i="6"/>
  <c r="T201" i="6"/>
  <c r="S201" i="6"/>
  <c r="R201" i="6"/>
  <c r="Q201" i="6"/>
  <c r="P201" i="6"/>
  <c r="O201" i="6"/>
  <c r="N201" i="6"/>
  <c r="M201" i="6"/>
  <c r="L201" i="6"/>
  <c r="W200" i="6"/>
  <c r="V200" i="6"/>
  <c r="U200" i="6"/>
  <c r="T200" i="6"/>
  <c r="S200" i="6"/>
  <c r="R200" i="6"/>
  <c r="Q200" i="6"/>
  <c r="P200" i="6"/>
  <c r="O200" i="6"/>
  <c r="N200" i="6"/>
  <c r="M200" i="6"/>
  <c r="L200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W198" i="6"/>
  <c r="V198" i="6"/>
  <c r="U198" i="6"/>
  <c r="T198" i="6"/>
  <c r="S198" i="6"/>
  <c r="R198" i="6"/>
  <c r="Q198" i="6"/>
  <c r="P198" i="6"/>
  <c r="O198" i="6"/>
  <c r="N198" i="6"/>
  <c r="M198" i="6"/>
  <c r="L198" i="6"/>
  <c r="W197" i="6"/>
  <c r="V197" i="6"/>
  <c r="U197" i="6"/>
  <c r="T197" i="6"/>
  <c r="S197" i="6"/>
  <c r="R197" i="6"/>
  <c r="Q197" i="6"/>
  <c r="P197" i="6"/>
  <c r="O197" i="6"/>
  <c r="N197" i="6"/>
  <c r="M197" i="6"/>
  <c r="L197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W195" i="6"/>
  <c r="V195" i="6"/>
  <c r="U195" i="6"/>
  <c r="T195" i="6"/>
  <c r="S195" i="6"/>
  <c r="R195" i="6"/>
  <c r="Q195" i="6"/>
  <c r="P195" i="6"/>
  <c r="O195" i="6"/>
  <c r="N195" i="6"/>
  <c r="M195" i="6"/>
  <c r="L195" i="6"/>
  <c r="W194" i="6"/>
  <c r="V194" i="6"/>
  <c r="U194" i="6"/>
  <c r="T194" i="6"/>
  <c r="S194" i="6"/>
  <c r="R194" i="6"/>
  <c r="Q194" i="6"/>
  <c r="P194" i="6"/>
  <c r="O194" i="6"/>
  <c r="N194" i="6"/>
  <c r="M194" i="6"/>
  <c r="L194" i="6"/>
  <c r="W193" i="6"/>
  <c r="V193" i="6"/>
  <c r="U193" i="6"/>
  <c r="T193" i="6"/>
  <c r="S193" i="6"/>
  <c r="R193" i="6"/>
  <c r="Q193" i="6"/>
  <c r="P193" i="6"/>
  <c r="O193" i="6"/>
  <c r="N193" i="6"/>
  <c r="M193" i="6"/>
  <c r="L193" i="6"/>
  <c r="W192" i="6"/>
  <c r="V192" i="6"/>
  <c r="U192" i="6"/>
  <c r="T192" i="6"/>
  <c r="S192" i="6"/>
  <c r="R192" i="6"/>
  <c r="Q192" i="6"/>
  <c r="P192" i="6"/>
  <c r="O192" i="6"/>
  <c r="N192" i="6"/>
  <c r="M192" i="6"/>
  <c r="L192" i="6"/>
  <c r="W191" i="6"/>
  <c r="V191" i="6"/>
  <c r="U191" i="6"/>
  <c r="T191" i="6"/>
  <c r="S191" i="6"/>
  <c r="R191" i="6"/>
  <c r="Q191" i="6"/>
  <c r="P191" i="6"/>
  <c r="O191" i="6"/>
  <c r="N191" i="6"/>
  <c r="M191" i="6"/>
  <c r="L191" i="6"/>
  <c r="W190" i="6"/>
  <c r="V190" i="6"/>
  <c r="U190" i="6"/>
  <c r="T190" i="6"/>
  <c r="S190" i="6"/>
  <c r="R190" i="6"/>
  <c r="Q190" i="6"/>
  <c r="P190" i="6"/>
  <c r="O190" i="6"/>
  <c r="N190" i="6"/>
  <c r="M190" i="6"/>
  <c r="L190" i="6"/>
  <c r="W189" i="6"/>
  <c r="V189" i="6"/>
  <c r="U189" i="6"/>
  <c r="T189" i="6"/>
  <c r="S189" i="6"/>
  <c r="R189" i="6"/>
  <c r="Q189" i="6"/>
  <c r="P189" i="6"/>
  <c r="O189" i="6"/>
  <c r="N189" i="6"/>
  <c r="M189" i="6"/>
  <c r="L189" i="6"/>
  <c r="W188" i="6"/>
  <c r="V188" i="6"/>
  <c r="U188" i="6"/>
  <c r="T188" i="6"/>
  <c r="S188" i="6"/>
  <c r="R188" i="6"/>
  <c r="Q188" i="6"/>
  <c r="P188" i="6"/>
  <c r="O188" i="6"/>
  <c r="N188" i="6"/>
  <c r="M188" i="6"/>
  <c r="L188" i="6"/>
  <c r="W187" i="6"/>
  <c r="V187" i="6"/>
  <c r="U187" i="6"/>
  <c r="T187" i="6"/>
  <c r="S187" i="6"/>
  <c r="R187" i="6"/>
  <c r="Q187" i="6"/>
  <c r="P187" i="6"/>
  <c r="O187" i="6"/>
  <c r="N187" i="6"/>
  <c r="M187" i="6"/>
  <c r="L187" i="6"/>
  <c r="W186" i="6"/>
  <c r="V186" i="6"/>
  <c r="U186" i="6"/>
  <c r="T186" i="6"/>
  <c r="S186" i="6"/>
  <c r="R186" i="6"/>
  <c r="Q186" i="6"/>
  <c r="P186" i="6"/>
  <c r="O186" i="6"/>
  <c r="N186" i="6"/>
  <c r="M186" i="6"/>
  <c r="L186" i="6"/>
  <c r="W185" i="6"/>
  <c r="V185" i="6"/>
  <c r="U185" i="6"/>
  <c r="T185" i="6"/>
  <c r="S185" i="6"/>
  <c r="R185" i="6"/>
  <c r="Q185" i="6"/>
  <c r="P185" i="6"/>
  <c r="O185" i="6"/>
  <c r="N185" i="6"/>
  <c r="M185" i="6"/>
  <c r="L185" i="6"/>
  <c r="W184" i="6"/>
  <c r="V184" i="6"/>
  <c r="U184" i="6"/>
  <c r="T184" i="6"/>
  <c r="S184" i="6"/>
  <c r="R184" i="6"/>
  <c r="Q184" i="6"/>
  <c r="P184" i="6"/>
  <c r="O184" i="6"/>
  <c r="N184" i="6"/>
  <c r="M184" i="6"/>
  <c r="L184" i="6"/>
  <c r="W183" i="6"/>
  <c r="V183" i="6"/>
  <c r="U183" i="6"/>
  <c r="T183" i="6"/>
  <c r="S183" i="6"/>
  <c r="R183" i="6"/>
  <c r="Q183" i="6"/>
  <c r="P183" i="6"/>
  <c r="O183" i="6"/>
  <c r="N183" i="6"/>
  <c r="M183" i="6"/>
  <c r="L183" i="6"/>
  <c r="W182" i="6"/>
  <c r="V182" i="6"/>
  <c r="U182" i="6"/>
  <c r="T182" i="6"/>
  <c r="S182" i="6"/>
  <c r="R182" i="6"/>
  <c r="Q182" i="6"/>
  <c r="P182" i="6"/>
  <c r="O182" i="6"/>
  <c r="N182" i="6"/>
  <c r="M182" i="6"/>
  <c r="L182" i="6"/>
  <c r="W181" i="6"/>
  <c r="V181" i="6"/>
  <c r="U181" i="6"/>
  <c r="T181" i="6"/>
  <c r="S181" i="6"/>
  <c r="R181" i="6"/>
  <c r="Q181" i="6"/>
  <c r="P181" i="6"/>
  <c r="O181" i="6"/>
  <c r="N181" i="6"/>
  <c r="M181" i="6"/>
  <c r="L181" i="6"/>
  <c r="W180" i="6"/>
  <c r="V180" i="6"/>
  <c r="U180" i="6"/>
  <c r="T180" i="6"/>
  <c r="S180" i="6"/>
  <c r="R180" i="6"/>
  <c r="Q180" i="6"/>
  <c r="P180" i="6"/>
  <c r="O180" i="6"/>
  <c r="N180" i="6"/>
  <c r="M180" i="6"/>
  <c r="L180" i="6"/>
  <c r="W179" i="6"/>
  <c r="V179" i="6"/>
  <c r="U179" i="6"/>
  <c r="T179" i="6"/>
  <c r="S179" i="6"/>
  <c r="R179" i="6"/>
  <c r="Q179" i="6"/>
  <c r="P179" i="6"/>
  <c r="O179" i="6"/>
  <c r="N179" i="6"/>
  <c r="M179" i="6"/>
  <c r="L179" i="6"/>
  <c r="W178" i="6"/>
  <c r="V178" i="6"/>
  <c r="U178" i="6"/>
  <c r="T178" i="6"/>
  <c r="S178" i="6"/>
  <c r="R178" i="6"/>
  <c r="Q178" i="6"/>
  <c r="P178" i="6"/>
  <c r="O178" i="6"/>
  <c r="N178" i="6"/>
  <c r="M178" i="6"/>
  <c r="L178" i="6"/>
  <c r="W177" i="6"/>
  <c r="V177" i="6"/>
  <c r="U177" i="6"/>
  <c r="T177" i="6"/>
  <c r="S177" i="6"/>
  <c r="R177" i="6"/>
  <c r="Q177" i="6"/>
  <c r="P177" i="6"/>
  <c r="O177" i="6"/>
  <c r="N177" i="6"/>
  <c r="M177" i="6"/>
  <c r="L177" i="6"/>
  <c r="W176" i="6"/>
  <c r="V176" i="6"/>
  <c r="U176" i="6"/>
  <c r="T176" i="6"/>
  <c r="S176" i="6"/>
  <c r="R176" i="6"/>
  <c r="Q176" i="6"/>
  <c r="P176" i="6"/>
  <c r="O176" i="6"/>
  <c r="N176" i="6"/>
  <c r="M176" i="6"/>
  <c r="L176" i="6"/>
  <c r="W175" i="6"/>
  <c r="V175" i="6"/>
  <c r="U175" i="6"/>
  <c r="T175" i="6"/>
  <c r="S175" i="6"/>
  <c r="R175" i="6"/>
  <c r="Q175" i="6"/>
  <c r="P175" i="6"/>
  <c r="O175" i="6"/>
  <c r="N175" i="6"/>
  <c r="M175" i="6"/>
  <c r="L175" i="6"/>
  <c r="W174" i="6"/>
  <c r="V174" i="6"/>
  <c r="U174" i="6"/>
  <c r="T174" i="6"/>
  <c r="S174" i="6"/>
  <c r="R174" i="6"/>
  <c r="Q174" i="6"/>
  <c r="P174" i="6"/>
  <c r="O174" i="6"/>
  <c r="N174" i="6"/>
  <c r="M174" i="6"/>
  <c r="L174" i="6"/>
  <c r="W173" i="6"/>
  <c r="V173" i="6"/>
  <c r="U173" i="6"/>
  <c r="T173" i="6"/>
  <c r="S173" i="6"/>
  <c r="R173" i="6"/>
  <c r="Q173" i="6"/>
  <c r="P173" i="6"/>
  <c r="O173" i="6"/>
  <c r="N173" i="6"/>
  <c r="M173" i="6"/>
  <c r="L173" i="6"/>
  <c r="W172" i="6"/>
  <c r="V172" i="6"/>
  <c r="U172" i="6"/>
  <c r="T172" i="6"/>
  <c r="S172" i="6"/>
  <c r="R172" i="6"/>
  <c r="Q172" i="6"/>
  <c r="P172" i="6"/>
  <c r="O172" i="6"/>
  <c r="N172" i="6"/>
  <c r="M172" i="6"/>
  <c r="L172" i="6"/>
  <c r="W171" i="6"/>
  <c r="V171" i="6"/>
  <c r="U171" i="6"/>
  <c r="T171" i="6"/>
  <c r="S171" i="6"/>
  <c r="R171" i="6"/>
  <c r="Q171" i="6"/>
  <c r="P171" i="6"/>
  <c r="O171" i="6"/>
  <c r="N171" i="6"/>
  <c r="M171" i="6"/>
  <c r="L171" i="6"/>
  <c r="W170" i="6"/>
  <c r="V170" i="6"/>
  <c r="U170" i="6"/>
  <c r="T170" i="6"/>
  <c r="S170" i="6"/>
  <c r="R170" i="6"/>
  <c r="Q170" i="6"/>
  <c r="P170" i="6"/>
  <c r="O170" i="6"/>
  <c r="N170" i="6"/>
  <c r="M170" i="6"/>
  <c r="L170" i="6"/>
  <c r="W169" i="6"/>
  <c r="V169" i="6"/>
  <c r="U169" i="6"/>
  <c r="T169" i="6"/>
  <c r="S169" i="6"/>
  <c r="R169" i="6"/>
  <c r="Q169" i="6"/>
  <c r="P169" i="6"/>
  <c r="O169" i="6"/>
  <c r="N169" i="6"/>
  <c r="M169" i="6"/>
  <c r="L169" i="6"/>
  <c r="W168" i="6"/>
  <c r="V168" i="6"/>
  <c r="U168" i="6"/>
  <c r="T168" i="6"/>
  <c r="S168" i="6"/>
  <c r="R168" i="6"/>
  <c r="Q168" i="6"/>
  <c r="P168" i="6"/>
  <c r="O168" i="6"/>
  <c r="N168" i="6"/>
  <c r="M168" i="6"/>
  <c r="L168" i="6"/>
  <c r="W167" i="6"/>
  <c r="V167" i="6"/>
  <c r="U167" i="6"/>
  <c r="T167" i="6"/>
  <c r="S167" i="6"/>
  <c r="R167" i="6"/>
  <c r="Q167" i="6"/>
  <c r="P167" i="6"/>
  <c r="O167" i="6"/>
  <c r="N167" i="6"/>
  <c r="M167" i="6"/>
  <c r="L167" i="6"/>
  <c r="W166" i="6"/>
  <c r="V166" i="6"/>
  <c r="U166" i="6"/>
  <c r="T166" i="6"/>
  <c r="S166" i="6"/>
  <c r="R166" i="6"/>
  <c r="Q166" i="6"/>
  <c r="P166" i="6"/>
  <c r="O166" i="6"/>
  <c r="N166" i="6"/>
  <c r="M166" i="6"/>
  <c r="L166" i="6"/>
  <c r="W165" i="6"/>
  <c r="V165" i="6"/>
  <c r="U165" i="6"/>
  <c r="T165" i="6"/>
  <c r="S165" i="6"/>
  <c r="R165" i="6"/>
  <c r="Q165" i="6"/>
  <c r="P165" i="6"/>
  <c r="O165" i="6"/>
  <c r="N165" i="6"/>
  <c r="M165" i="6"/>
  <c r="L165" i="6"/>
  <c r="W164" i="6"/>
  <c r="V164" i="6"/>
  <c r="U164" i="6"/>
  <c r="T164" i="6"/>
  <c r="S164" i="6"/>
  <c r="R164" i="6"/>
  <c r="Q164" i="6"/>
  <c r="P164" i="6"/>
  <c r="O164" i="6"/>
  <c r="N164" i="6"/>
  <c r="M164" i="6"/>
  <c r="L164" i="6"/>
  <c r="W163" i="6"/>
  <c r="V163" i="6"/>
  <c r="U163" i="6"/>
  <c r="T163" i="6"/>
  <c r="S163" i="6"/>
  <c r="R163" i="6"/>
  <c r="Q163" i="6"/>
  <c r="P163" i="6"/>
  <c r="O163" i="6"/>
  <c r="N163" i="6"/>
  <c r="M163" i="6"/>
  <c r="L163" i="6"/>
  <c r="W162" i="6"/>
  <c r="V162" i="6"/>
  <c r="U162" i="6"/>
  <c r="T162" i="6"/>
  <c r="S162" i="6"/>
  <c r="R162" i="6"/>
  <c r="Q162" i="6"/>
  <c r="P162" i="6"/>
  <c r="O162" i="6"/>
  <c r="N162" i="6"/>
  <c r="M162" i="6"/>
  <c r="L162" i="6"/>
  <c r="W161" i="6"/>
  <c r="V161" i="6"/>
  <c r="U161" i="6"/>
  <c r="T161" i="6"/>
  <c r="S161" i="6"/>
  <c r="R161" i="6"/>
  <c r="Q161" i="6"/>
  <c r="P161" i="6"/>
  <c r="O161" i="6"/>
  <c r="N161" i="6"/>
  <c r="M161" i="6"/>
  <c r="L161" i="6"/>
  <c r="W160" i="6"/>
  <c r="V160" i="6"/>
  <c r="U160" i="6"/>
  <c r="T160" i="6"/>
  <c r="S160" i="6"/>
  <c r="R160" i="6"/>
  <c r="Q160" i="6"/>
  <c r="P160" i="6"/>
  <c r="O160" i="6"/>
  <c r="N160" i="6"/>
  <c r="M160" i="6"/>
  <c r="L160" i="6"/>
  <c r="W159" i="6"/>
  <c r="V159" i="6"/>
  <c r="U159" i="6"/>
  <c r="T159" i="6"/>
  <c r="S159" i="6"/>
  <c r="R159" i="6"/>
  <c r="Q159" i="6"/>
  <c r="P159" i="6"/>
  <c r="O159" i="6"/>
  <c r="N159" i="6"/>
  <c r="M159" i="6"/>
  <c r="L159" i="6"/>
  <c r="W158" i="6"/>
  <c r="V158" i="6"/>
  <c r="U158" i="6"/>
  <c r="T158" i="6"/>
  <c r="S158" i="6"/>
  <c r="R158" i="6"/>
  <c r="Q158" i="6"/>
  <c r="P158" i="6"/>
  <c r="O158" i="6"/>
  <c r="N158" i="6"/>
  <c r="M158" i="6"/>
  <c r="L158" i="6"/>
  <c r="W157" i="6"/>
  <c r="V157" i="6"/>
  <c r="U157" i="6"/>
  <c r="T157" i="6"/>
  <c r="S157" i="6"/>
  <c r="R157" i="6"/>
  <c r="Q157" i="6"/>
  <c r="P157" i="6"/>
  <c r="O157" i="6"/>
  <c r="N157" i="6"/>
  <c r="M157" i="6"/>
  <c r="L157" i="6"/>
  <c r="W156" i="6"/>
  <c r="V156" i="6"/>
  <c r="U156" i="6"/>
  <c r="T156" i="6"/>
  <c r="S156" i="6"/>
  <c r="R156" i="6"/>
  <c r="Q156" i="6"/>
  <c r="P156" i="6"/>
  <c r="O156" i="6"/>
  <c r="N156" i="6"/>
  <c r="M156" i="6"/>
  <c r="L156" i="6"/>
  <c r="W155" i="6"/>
  <c r="V155" i="6"/>
  <c r="U155" i="6"/>
  <c r="T155" i="6"/>
  <c r="S155" i="6"/>
  <c r="R155" i="6"/>
  <c r="Q155" i="6"/>
  <c r="P155" i="6"/>
  <c r="O155" i="6"/>
  <c r="N155" i="6"/>
  <c r="M155" i="6"/>
  <c r="L155" i="6"/>
  <c r="W154" i="6"/>
  <c r="V154" i="6"/>
  <c r="U154" i="6"/>
  <c r="T154" i="6"/>
  <c r="S154" i="6"/>
  <c r="R154" i="6"/>
  <c r="Q154" i="6"/>
  <c r="P154" i="6"/>
  <c r="O154" i="6"/>
  <c r="N154" i="6"/>
  <c r="M154" i="6"/>
  <c r="L154" i="6"/>
  <c r="W153" i="6"/>
  <c r="V153" i="6"/>
  <c r="U153" i="6"/>
  <c r="T153" i="6"/>
  <c r="S153" i="6"/>
  <c r="R153" i="6"/>
  <c r="Q153" i="6"/>
  <c r="P153" i="6"/>
  <c r="O153" i="6"/>
  <c r="N153" i="6"/>
  <c r="M153" i="6"/>
  <c r="L153" i="6"/>
  <c r="W152" i="6"/>
  <c r="V152" i="6"/>
  <c r="U152" i="6"/>
  <c r="T152" i="6"/>
  <c r="S152" i="6"/>
  <c r="R152" i="6"/>
  <c r="Q152" i="6"/>
  <c r="P152" i="6"/>
  <c r="O152" i="6"/>
  <c r="N152" i="6"/>
  <c r="M152" i="6"/>
  <c r="L152" i="6"/>
  <c r="W151" i="6"/>
  <c r="V151" i="6"/>
  <c r="U151" i="6"/>
  <c r="T151" i="6"/>
  <c r="S151" i="6"/>
  <c r="R151" i="6"/>
  <c r="Q151" i="6"/>
  <c r="P151" i="6"/>
  <c r="O151" i="6"/>
  <c r="N151" i="6"/>
  <c r="M151" i="6"/>
  <c r="L151" i="6"/>
  <c r="W150" i="6"/>
  <c r="V150" i="6"/>
  <c r="U150" i="6"/>
  <c r="T150" i="6"/>
  <c r="S150" i="6"/>
  <c r="R150" i="6"/>
  <c r="Q150" i="6"/>
  <c r="P150" i="6"/>
  <c r="O150" i="6"/>
  <c r="N150" i="6"/>
  <c r="M150" i="6"/>
  <c r="L150" i="6"/>
  <c r="W149" i="6"/>
  <c r="V149" i="6"/>
  <c r="U149" i="6"/>
  <c r="T149" i="6"/>
  <c r="S149" i="6"/>
  <c r="R149" i="6"/>
  <c r="Q149" i="6"/>
  <c r="P149" i="6"/>
  <c r="O149" i="6"/>
  <c r="N149" i="6"/>
  <c r="M149" i="6"/>
  <c r="L149" i="6"/>
  <c r="W148" i="6"/>
  <c r="V148" i="6"/>
  <c r="U148" i="6"/>
  <c r="T148" i="6"/>
  <c r="S148" i="6"/>
  <c r="R148" i="6"/>
  <c r="Q148" i="6"/>
  <c r="P148" i="6"/>
  <c r="O148" i="6"/>
  <c r="N148" i="6"/>
  <c r="M148" i="6"/>
  <c r="L148" i="6"/>
  <c r="W147" i="6"/>
  <c r="V147" i="6"/>
  <c r="U147" i="6"/>
  <c r="T147" i="6"/>
  <c r="S147" i="6"/>
  <c r="R147" i="6"/>
  <c r="Q147" i="6"/>
  <c r="P147" i="6"/>
  <c r="O147" i="6"/>
  <c r="N147" i="6"/>
  <c r="M147" i="6"/>
  <c r="L147" i="6"/>
  <c r="W146" i="6"/>
  <c r="V146" i="6"/>
  <c r="U146" i="6"/>
  <c r="T146" i="6"/>
  <c r="S146" i="6"/>
  <c r="R146" i="6"/>
  <c r="Q146" i="6"/>
  <c r="P146" i="6"/>
  <c r="O146" i="6"/>
  <c r="N146" i="6"/>
  <c r="M146" i="6"/>
  <c r="L146" i="6"/>
  <c r="W145" i="6"/>
  <c r="V145" i="6"/>
  <c r="U145" i="6"/>
  <c r="T145" i="6"/>
  <c r="S145" i="6"/>
  <c r="R145" i="6"/>
  <c r="Q145" i="6"/>
  <c r="P145" i="6"/>
  <c r="O145" i="6"/>
  <c r="N145" i="6"/>
  <c r="M145" i="6"/>
  <c r="L145" i="6"/>
  <c r="W144" i="6"/>
  <c r="V144" i="6"/>
  <c r="U144" i="6"/>
  <c r="T144" i="6"/>
  <c r="S144" i="6"/>
  <c r="R144" i="6"/>
  <c r="Q144" i="6"/>
  <c r="P144" i="6"/>
  <c r="O144" i="6"/>
  <c r="N144" i="6"/>
  <c r="M144" i="6"/>
  <c r="L144" i="6"/>
  <c r="W143" i="6"/>
  <c r="V143" i="6"/>
  <c r="U143" i="6"/>
  <c r="T143" i="6"/>
  <c r="S143" i="6"/>
  <c r="R143" i="6"/>
  <c r="Q143" i="6"/>
  <c r="P143" i="6"/>
  <c r="O143" i="6"/>
  <c r="N143" i="6"/>
  <c r="M143" i="6"/>
  <c r="L143" i="6"/>
  <c r="W142" i="6"/>
  <c r="V142" i="6"/>
  <c r="U142" i="6"/>
  <c r="T142" i="6"/>
  <c r="S142" i="6"/>
  <c r="R142" i="6"/>
  <c r="Q142" i="6"/>
  <c r="P142" i="6"/>
  <c r="O142" i="6"/>
  <c r="N142" i="6"/>
  <c r="M142" i="6"/>
  <c r="L142" i="6"/>
  <c r="W141" i="6"/>
  <c r="V141" i="6"/>
  <c r="U141" i="6"/>
  <c r="T141" i="6"/>
  <c r="S141" i="6"/>
  <c r="R141" i="6"/>
  <c r="Q141" i="6"/>
  <c r="P141" i="6"/>
  <c r="O141" i="6"/>
  <c r="N141" i="6"/>
  <c r="M141" i="6"/>
  <c r="L141" i="6"/>
  <c r="W140" i="6"/>
  <c r="V140" i="6"/>
  <c r="U140" i="6"/>
  <c r="T140" i="6"/>
  <c r="S140" i="6"/>
  <c r="R140" i="6"/>
  <c r="Q140" i="6"/>
  <c r="P140" i="6"/>
  <c r="O140" i="6"/>
  <c r="N140" i="6"/>
  <c r="M140" i="6"/>
  <c r="L140" i="6"/>
  <c r="W139" i="6"/>
  <c r="V139" i="6"/>
  <c r="U139" i="6"/>
  <c r="T139" i="6"/>
  <c r="S139" i="6"/>
  <c r="R139" i="6"/>
  <c r="Q139" i="6"/>
  <c r="P139" i="6"/>
  <c r="O139" i="6"/>
  <c r="N139" i="6"/>
  <c r="M139" i="6"/>
  <c r="L139" i="6"/>
  <c r="W138" i="6"/>
  <c r="V138" i="6"/>
  <c r="U138" i="6"/>
  <c r="T138" i="6"/>
  <c r="S138" i="6"/>
  <c r="R138" i="6"/>
  <c r="Q138" i="6"/>
  <c r="P138" i="6"/>
  <c r="O138" i="6"/>
  <c r="N138" i="6"/>
  <c r="M138" i="6"/>
  <c r="L138" i="6"/>
  <c r="W137" i="6"/>
  <c r="V137" i="6"/>
  <c r="U137" i="6"/>
  <c r="T137" i="6"/>
  <c r="S137" i="6"/>
  <c r="R137" i="6"/>
  <c r="Q137" i="6"/>
  <c r="P137" i="6"/>
  <c r="O137" i="6"/>
  <c r="N137" i="6"/>
  <c r="M137" i="6"/>
  <c r="L137" i="6"/>
  <c r="W136" i="6"/>
  <c r="V136" i="6"/>
  <c r="U136" i="6"/>
  <c r="T136" i="6"/>
  <c r="S136" i="6"/>
  <c r="R136" i="6"/>
  <c r="Q136" i="6"/>
  <c r="P136" i="6"/>
  <c r="O136" i="6"/>
  <c r="N136" i="6"/>
  <c r="M136" i="6"/>
  <c r="L136" i="6"/>
  <c r="W135" i="6"/>
  <c r="V135" i="6"/>
  <c r="U135" i="6"/>
  <c r="T135" i="6"/>
  <c r="S135" i="6"/>
  <c r="R135" i="6"/>
  <c r="Q135" i="6"/>
  <c r="P135" i="6"/>
  <c r="O135" i="6"/>
  <c r="N135" i="6"/>
  <c r="M135" i="6"/>
  <c r="L135" i="6"/>
  <c r="W134" i="6"/>
  <c r="V134" i="6"/>
  <c r="U134" i="6"/>
  <c r="T134" i="6"/>
  <c r="S134" i="6"/>
  <c r="R134" i="6"/>
  <c r="Q134" i="6"/>
  <c r="P134" i="6"/>
  <c r="O134" i="6"/>
  <c r="N134" i="6"/>
  <c r="M134" i="6"/>
  <c r="L134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W132" i="6"/>
  <c r="V132" i="6"/>
  <c r="U132" i="6"/>
  <c r="T132" i="6"/>
  <c r="S132" i="6"/>
  <c r="R132" i="6"/>
  <c r="Q132" i="6"/>
  <c r="P132" i="6"/>
  <c r="O132" i="6"/>
  <c r="N132" i="6"/>
  <c r="M132" i="6"/>
  <c r="L132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W120" i="6"/>
  <c r="V120" i="6"/>
  <c r="U120" i="6"/>
  <c r="T120" i="6"/>
  <c r="S120" i="6"/>
  <c r="R120" i="6"/>
  <c r="Q120" i="6"/>
  <c r="P120" i="6"/>
  <c r="O120" i="6"/>
  <c r="N120" i="6"/>
  <c r="M120" i="6"/>
  <c r="L120" i="6"/>
  <c r="W119" i="6"/>
  <c r="V119" i="6"/>
  <c r="U119" i="6"/>
  <c r="T119" i="6"/>
  <c r="S119" i="6"/>
  <c r="R119" i="6"/>
  <c r="Q119" i="6"/>
  <c r="P119" i="6"/>
  <c r="O119" i="6"/>
  <c r="N119" i="6"/>
  <c r="M119" i="6"/>
  <c r="L119" i="6"/>
  <c r="W118" i="6"/>
  <c r="V118" i="6"/>
  <c r="U118" i="6"/>
  <c r="T118" i="6"/>
  <c r="S118" i="6"/>
  <c r="R118" i="6"/>
  <c r="Q118" i="6"/>
  <c r="P118" i="6"/>
  <c r="O118" i="6"/>
  <c r="N118" i="6"/>
  <c r="M118" i="6"/>
  <c r="L118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W99" i="6"/>
  <c r="V99" i="6"/>
  <c r="U99" i="6"/>
  <c r="T99" i="6"/>
  <c r="S99" i="6"/>
  <c r="R99" i="6"/>
  <c r="Q99" i="6"/>
  <c r="P99" i="6"/>
  <c r="O99" i="6"/>
  <c r="N99" i="6"/>
  <c r="M99" i="6"/>
  <c r="L99" i="6"/>
  <c r="W98" i="6"/>
  <c r="V98" i="6"/>
  <c r="U98" i="6"/>
  <c r="T98" i="6"/>
  <c r="S98" i="6"/>
  <c r="R98" i="6"/>
  <c r="Q98" i="6"/>
  <c r="P98" i="6"/>
  <c r="O98" i="6"/>
  <c r="N98" i="6"/>
  <c r="M98" i="6"/>
  <c r="L98" i="6"/>
  <c r="W97" i="6"/>
  <c r="V97" i="6"/>
  <c r="U97" i="6"/>
  <c r="T97" i="6"/>
  <c r="S97" i="6"/>
  <c r="R97" i="6"/>
  <c r="Q97" i="6"/>
  <c r="P97" i="6"/>
  <c r="O97" i="6"/>
  <c r="N97" i="6"/>
  <c r="M97" i="6"/>
  <c r="L97" i="6"/>
  <c r="W96" i="6"/>
  <c r="V96" i="6"/>
  <c r="U96" i="6"/>
  <c r="T96" i="6"/>
  <c r="S96" i="6"/>
  <c r="R96" i="6"/>
  <c r="Q96" i="6"/>
  <c r="P96" i="6"/>
  <c r="O96" i="6"/>
  <c r="N96" i="6"/>
  <c r="M96" i="6"/>
  <c r="L96" i="6"/>
  <c r="W95" i="6"/>
  <c r="V95" i="6"/>
  <c r="U95" i="6"/>
  <c r="T95" i="6"/>
  <c r="S95" i="6"/>
  <c r="R95" i="6"/>
  <c r="Q95" i="6"/>
  <c r="P95" i="6"/>
  <c r="O95" i="6"/>
  <c r="N95" i="6"/>
  <c r="M95" i="6"/>
  <c r="L95" i="6"/>
  <c r="W94" i="6"/>
  <c r="V94" i="6"/>
  <c r="U94" i="6"/>
  <c r="T94" i="6"/>
  <c r="S94" i="6"/>
  <c r="R94" i="6"/>
  <c r="Q94" i="6"/>
  <c r="P94" i="6"/>
  <c r="O94" i="6"/>
  <c r="N94" i="6"/>
  <c r="M94" i="6"/>
  <c r="L94" i="6"/>
  <c r="W93" i="6"/>
  <c r="V93" i="6"/>
  <c r="U93" i="6"/>
  <c r="T93" i="6"/>
  <c r="S93" i="6"/>
  <c r="R93" i="6"/>
  <c r="Q93" i="6"/>
  <c r="P93" i="6"/>
  <c r="O93" i="6"/>
  <c r="N93" i="6"/>
  <c r="M93" i="6"/>
  <c r="L93" i="6"/>
  <c r="W92" i="6"/>
  <c r="V92" i="6"/>
  <c r="U92" i="6"/>
  <c r="T92" i="6"/>
  <c r="S92" i="6"/>
  <c r="R92" i="6"/>
  <c r="Q92" i="6"/>
  <c r="P92" i="6"/>
  <c r="O92" i="6"/>
  <c r="N92" i="6"/>
  <c r="M92" i="6"/>
  <c r="L92" i="6"/>
  <c r="W91" i="6"/>
  <c r="V91" i="6"/>
  <c r="U91" i="6"/>
  <c r="T91" i="6"/>
  <c r="S91" i="6"/>
  <c r="R91" i="6"/>
  <c r="Q91" i="6"/>
  <c r="P91" i="6"/>
  <c r="O91" i="6"/>
  <c r="N91" i="6"/>
  <c r="M91" i="6"/>
  <c r="L91" i="6"/>
  <c r="W90" i="6"/>
  <c r="V90" i="6"/>
  <c r="U90" i="6"/>
  <c r="T90" i="6"/>
  <c r="S90" i="6"/>
  <c r="R90" i="6"/>
  <c r="Q90" i="6"/>
  <c r="P90" i="6"/>
  <c r="O90" i="6"/>
  <c r="N90" i="6"/>
  <c r="M90" i="6"/>
  <c r="L90" i="6"/>
  <c r="W89" i="6"/>
  <c r="V89" i="6"/>
  <c r="U89" i="6"/>
  <c r="T89" i="6"/>
  <c r="S89" i="6"/>
  <c r="R89" i="6"/>
  <c r="Q89" i="6"/>
  <c r="P89" i="6"/>
  <c r="O89" i="6"/>
  <c r="N89" i="6"/>
  <c r="M89" i="6"/>
  <c r="L89" i="6"/>
  <c r="W88" i="6"/>
  <c r="V88" i="6"/>
  <c r="U88" i="6"/>
  <c r="T88" i="6"/>
  <c r="S88" i="6"/>
  <c r="R88" i="6"/>
  <c r="Q88" i="6"/>
  <c r="P88" i="6"/>
  <c r="O88" i="6"/>
  <c r="N88" i="6"/>
  <c r="M88" i="6"/>
  <c r="L88" i="6"/>
  <c r="W87" i="6"/>
  <c r="V87" i="6"/>
  <c r="U87" i="6"/>
  <c r="T87" i="6"/>
  <c r="S87" i="6"/>
  <c r="R87" i="6"/>
  <c r="Q87" i="6"/>
  <c r="P87" i="6"/>
  <c r="O87" i="6"/>
  <c r="N87" i="6"/>
  <c r="M87" i="6"/>
  <c r="L87" i="6"/>
  <c r="W86" i="6"/>
  <c r="V86" i="6"/>
  <c r="U86" i="6"/>
  <c r="T86" i="6"/>
  <c r="S86" i="6"/>
  <c r="R86" i="6"/>
  <c r="Q86" i="6"/>
  <c r="P86" i="6"/>
  <c r="O86" i="6"/>
  <c r="N86" i="6"/>
  <c r="M86" i="6"/>
  <c r="L86" i="6"/>
  <c r="W85" i="6"/>
  <c r="V85" i="6"/>
  <c r="U85" i="6"/>
  <c r="T85" i="6"/>
  <c r="S85" i="6"/>
  <c r="R85" i="6"/>
  <c r="Q85" i="6"/>
  <c r="P85" i="6"/>
  <c r="O85" i="6"/>
  <c r="N85" i="6"/>
  <c r="M85" i="6"/>
  <c r="L85" i="6"/>
  <c r="W84" i="6"/>
  <c r="V84" i="6"/>
  <c r="U84" i="6"/>
  <c r="T84" i="6"/>
  <c r="S84" i="6"/>
  <c r="R84" i="6"/>
  <c r="Q84" i="6"/>
  <c r="P84" i="6"/>
  <c r="O84" i="6"/>
  <c r="N84" i="6"/>
  <c r="M84" i="6"/>
  <c r="L84" i="6"/>
  <c r="W83" i="6"/>
  <c r="V83" i="6"/>
  <c r="U83" i="6"/>
  <c r="T83" i="6"/>
  <c r="S83" i="6"/>
  <c r="R83" i="6"/>
  <c r="Q83" i="6"/>
  <c r="P83" i="6"/>
  <c r="O83" i="6"/>
  <c r="N83" i="6"/>
  <c r="M83" i="6"/>
  <c r="L83" i="6"/>
  <c r="W82" i="6"/>
  <c r="V82" i="6"/>
  <c r="U82" i="6"/>
  <c r="T82" i="6"/>
  <c r="S82" i="6"/>
  <c r="R82" i="6"/>
  <c r="Q82" i="6"/>
  <c r="P82" i="6"/>
  <c r="O82" i="6"/>
  <c r="N82" i="6"/>
  <c r="M82" i="6"/>
  <c r="L82" i="6"/>
  <c r="W81" i="6"/>
  <c r="V81" i="6"/>
  <c r="U81" i="6"/>
  <c r="T81" i="6"/>
  <c r="S81" i="6"/>
  <c r="R81" i="6"/>
  <c r="Q81" i="6"/>
  <c r="P81" i="6"/>
  <c r="O81" i="6"/>
  <c r="N81" i="6"/>
  <c r="M81" i="6"/>
  <c r="L81" i="6"/>
  <c r="W80" i="6"/>
  <c r="V80" i="6"/>
  <c r="U80" i="6"/>
  <c r="T80" i="6"/>
  <c r="S80" i="6"/>
  <c r="R80" i="6"/>
  <c r="Q80" i="6"/>
  <c r="P80" i="6"/>
  <c r="O80" i="6"/>
  <c r="N80" i="6"/>
  <c r="M80" i="6"/>
  <c r="L80" i="6"/>
  <c r="W79" i="6"/>
  <c r="V79" i="6"/>
  <c r="U79" i="6"/>
  <c r="T79" i="6"/>
  <c r="S79" i="6"/>
  <c r="R79" i="6"/>
  <c r="Q79" i="6"/>
  <c r="P79" i="6"/>
  <c r="O79" i="6"/>
  <c r="N79" i="6"/>
  <c r="M79" i="6"/>
  <c r="L79" i="6"/>
  <c r="W78" i="6"/>
  <c r="V78" i="6"/>
  <c r="U78" i="6"/>
  <c r="T78" i="6"/>
  <c r="S78" i="6"/>
  <c r="R78" i="6"/>
  <c r="Q78" i="6"/>
  <c r="P78" i="6"/>
  <c r="O78" i="6"/>
  <c r="N78" i="6"/>
  <c r="M78" i="6"/>
  <c r="L78" i="6"/>
  <c r="W77" i="6"/>
  <c r="V77" i="6"/>
  <c r="U77" i="6"/>
  <c r="T77" i="6"/>
  <c r="S77" i="6"/>
  <c r="R77" i="6"/>
  <c r="Q77" i="6"/>
  <c r="P77" i="6"/>
  <c r="O77" i="6"/>
  <c r="N77" i="6"/>
  <c r="M77" i="6"/>
  <c r="L77" i="6"/>
  <c r="W76" i="6"/>
  <c r="V76" i="6"/>
  <c r="U76" i="6"/>
  <c r="T76" i="6"/>
  <c r="S76" i="6"/>
  <c r="R76" i="6"/>
  <c r="Q76" i="6"/>
  <c r="P76" i="6"/>
  <c r="O76" i="6"/>
  <c r="N76" i="6"/>
  <c r="M76" i="6"/>
  <c r="L76" i="6"/>
  <c r="W75" i="6"/>
  <c r="V75" i="6"/>
  <c r="U75" i="6"/>
  <c r="T75" i="6"/>
  <c r="S75" i="6"/>
  <c r="R75" i="6"/>
  <c r="Q75" i="6"/>
  <c r="P75" i="6"/>
  <c r="O75" i="6"/>
  <c r="N75" i="6"/>
  <c r="M75" i="6"/>
  <c r="L75" i="6"/>
  <c r="W74" i="6"/>
  <c r="V74" i="6"/>
  <c r="U74" i="6"/>
  <c r="T74" i="6"/>
  <c r="S74" i="6"/>
  <c r="R74" i="6"/>
  <c r="Q74" i="6"/>
  <c r="P74" i="6"/>
  <c r="O74" i="6"/>
  <c r="N74" i="6"/>
  <c r="M74" i="6"/>
  <c r="L74" i="6"/>
  <c r="W73" i="6"/>
  <c r="V73" i="6"/>
  <c r="U73" i="6"/>
  <c r="T73" i="6"/>
  <c r="S73" i="6"/>
  <c r="R73" i="6"/>
  <c r="Q73" i="6"/>
  <c r="P73" i="6"/>
  <c r="O73" i="6"/>
  <c r="N73" i="6"/>
  <c r="M73" i="6"/>
  <c r="L73" i="6"/>
  <c r="W72" i="6"/>
  <c r="V72" i="6"/>
  <c r="U72" i="6"/>
  <c r="T72" i="6"/>
  <c r="S72" i="6"/>
  <c r="R72" i="6"/>
  <c r="Q72" i="6"/>
  <c r="P72" i="6"/>
  <c r="O72" i="6"/>
  <c r="N72" i="6"/>
  <c r="M72" i="6"/>
  <c r="L72" i="6"/>
  <c r="W71" i="6"/>
  <c r="V71" i="6"/>
  <c r="U71" i="6"/>
  <c r="T71" i="6"/>
  <c r="S71" i="6"/>
  <c r="R71" i="6"/>
  <c r="Q71" i="6"/>
  <c r="P71" i="6"/>
  <c r="O71" i="6"/>
  <c r="N71" i="6"/>
  <c r="M71" i="6"/>
  <c r="L71" i="6"/>
  <c r="W70" i="6"/>
  <c r="V70" i="6"/>
  <c r="U70" i="6"/>
  <c r="T70" i="6"/>
  <c r="S70" i="6"/>
  <c r="R70" i="6"/>
  <c r="Q70" i="6"/>
  <c r="P70" i="6"/>
  <c r="O70" i="6"/>
  <c r="N70" i="6"/>
  <c r="M70" i="6"/>
  <c r="L70" i="6"/>
  <c r="W69" i="6"/>
  <c r="V69" i="6"/>
  <c r="U69" i="6"/>
  <c r="T69" i="6"/>
  <c r="S69" i="6"/>
  <c r="R69" i="6"/>
  <c r="Q69" i="6"/>
  <c r="P69" i="6"/>
  <c r="O69" i="6"/>
  <c r="N69" i="6"/>
  <c r="M69" i="6"/>
  <c r="L69" i="6"/>
  <c r="W68" i="6"/>
  <c r="V68" i="6"/>
  <c r="U68" i="6"/>
  <c r="T68" i="6"/>
  <c r="S68" i="6"/>
  <c r="R68" i="6"/>
  <c r="Q68" i="6"/>
  <c r="P68" i="6"/>
  <c r="O68" i="6"/>
  <c r="N68" i="6"/>
  <c r="M68" i="6"/>
  <c r="L68" i="6"/>
  <c r="W67" i="6"/>
  <c r="V67" i="6"/>
  <c r="U67" i="6"/>
  <c r="T67" i="6"/>
  <c r="S67" i="6"/>
  <c r="R67" i="6"/>
  <c r="Q67" i="6"/>
  <c r="P67" i="6"/>
  <c r="O67" i="6"/>
  <c r="N67" i="6"/>
  <c r="M67" i="6"/>
  <c r="L67" i="6"/>
  <c r="W66" i="6"/>
  <c r="V66" i="6"/>
  <c r="U66" i="6"/>
  <c r="T66" i="6"/>
  <c r="S66" i="6"/>
  <c r="R66" i="6"/>
  <c r="Q66" i="6"/>
  <c r="P66" i="6"/>
  <c r="O66" i="6"/>
  <c r="N66" i="6"/>
  <c r="M66" i="6"/>
  <c r="L66" i="6"/>
  <c r="W65" i="6"/>
  <c r="V65" i="6"/>
  <c r="U65" i="6"/>
  <c r="T65" i="6"/>
  <c r="S65" i="6"/>
  <c r="R65" i="6"/>
  <c r="Q65" i="6"/>
  <c r="P65" i="6"/>
  <c r="O65" i="6"/>
  <c r="N65" i="6"/>
  <c r="M65" i="6"/>
  <c r="L65" i="6"/>
  <c r="W64" i="6"/>
  <c r="V64" i="6"/>
  <c r="U64" i="6"/>
  <c r="T64" i="6"/>
  <c r="S64" i="6"/>
  <c r="R64" i="6"/>
  <c r="Q64" i="6"/>
  <c r="P64" i="6"/>
  <c r="O64" i="6"/>
  <c r="N64" i="6"/>
  <c r="M64" i="6"/>
  <c r="L64" i="6"/>
  <c r="W63" i="6"/>
  <c r="V63" i="6"/>
  <c r="U63" i="6"/>
  <c r="T63" i="6"/>
  <c r="S63" i="6"/>
  <c r="R63" i="6"/>
  <c r="Q63" i="6"/>
  <c r="P63" i="6"/>
  <c r="O63" i="6"/>
  <c r="N63" i="6"/>
  <c r="M63" i="6"/>
  <c r="L63" i="6"/>
  <c r="W62" i="6"/>
  <c r="V62" i="6"/>
  <c r="U62" i="6"/>
  <c r="T62" i="6"/>
  <c r="S62" i="6"/>
  <c r="R62" i="6"/>
  <c r="Q62" i="6"/>
  <c r="P62" i="6"/>
  <c r="O62" i="6"/>
  <c r="N62" i="6"/>
  <c r="M62" i="6"/>
  <c r="L62" i="6"/>
  <c r="W61" i="6"/>
  <c r="V61" i="6"/>
  <c r="U61" i="6"/>
  <c r="T61" i="6"/>
  <c r="S61" i="6"/>
  <c r="R61" i="6"/>
  <c r="Q61" i="6"/>
  <c r="P61" i="6"/>
  <c r="O61" i="6"/>
  <c r="N61" i="6"/>
  <c r="M61" i="6"/>
  <c r="L61" i="6"/>
  <c r="W60" i="6"/>
  <c r="V60" i="6"/>
  <c r="U60" i="6"/>
  <c r="T60" i="6"/>
  <c r="S60" i="6"/>
  <c r="R60" i="6"/>
  <c r="Q60" i="6"/>
  <c r="P60" i="6"/>
  <c r="O60" i="6"/>
  <c r="N60" i="6"/>
  <c r="M60" i="6"/>
  <c r="L60" i="6"/>
  <c r="W59" i="6"/>
  <c r="V59" i="6"/>
  <c r="U59" i="6"/>
  <c r="T59" i="6"/>
  <c r="S59" i="6"/>
  <c r="R59" i="6"/>
  <c r="Q59" i="6"/>
  <c r="P59" i="6"/>
  <c r="O59" i="6"/>
  <c r="N59" i="6"/>
  <c r="M59" i="6"/>
  <c r="L59" i="6"/>
  <c r="W58" i="6"/>
  <c r="V58" i="6"/>
  <c r="U58" i="6"/>
  <c r="T58" i="6"/>
  <c r="S58" i="6"/>
  <c r="R58" i="6"/>
  <c r="Q58" i="6"/>
  <c r="P58" i="6"/>
  <c r="O58" i="6"/>
  <c r="N58" i="6"/>
  <c r="M58" i="6"/>
  <c r="L58" i="6"/>
  <c r="W57" i="6"/>
  <c r="V57" i="6"/>
  <c r="U57" i="6"/>
  <c r="T57" i="6"/>
  <c r="S57" i="6"/>
  <c r="R57" i="6"/>
  <c r="Q57" i="6"/>
  <c r="P57" i="6"/>
  <c r="O57" i="6"/>
  <c r="N57" i="6"/>
  <c r="M57" i="6"/>
  <c r="L57" i="6"/>
  <c r="W56" i="6"/>
  <c r="V56" i="6"/>
  <c r="U56" i="6"/>
  <c r="T56" i="6"/>
  <c r="S56" i="6"/>
  <c r="R56" i="6"/>
  <c r="Q56" i="6"/>
  <c r="P56" i="6"/>
  <c r="O56" i="6"/>
  <c r="N56" i="6"/>
  <c r="M56" i="6"/>
  <c r="L56" i="6"/>
  <c r="W55" i="6"/>
  <c r="V55" i="6"/>
  <c r="U55" i="6"/>
  <c r="T55" i="6"/>
  <c r="S55" i="6"/>
  <c r="R55" i="6"/>
  <c r="Q55" i="6"/>
  <c r="P55" i="6"/>
  <c r="O55" i="6"/>
  <c r="N55" i="6"/>
  <c r="M55" i="6"/>
  <c r="L55" i="6"/>
  <c r="W54" i="6"/>
  <c r="V54" i="6"/>
  <c r="U54" i="6"/>
  <c r="T54" i="6"/>
  <c r="S54" i="6"/>
  <c r="R54" i="6"/>
  <c r="Q54" i="6"/>
  <c r="P54" i="6"/>
  <c r="O54" i="6"/>
  <c r="N54" i="6"/>
  <c r="M54" i="6"/>
  <c r="L54" i="6"/>
  <c r="W53" i="6"/>
  <c r="V53" i="6"/>
  <c r="U53" i="6"/>
  <c r="T53" i="6"/>
  <c r="S53" i="6"/>
  <c r="R53" i="6"/>
  <c r="Q53" i="6"/>
  <c r="P53" i="6"/>
  <c r="O53" i="6"/>
  <c r="N53" i="6"/>
  <c r="M53" i="6"/>
  <c r="L53" i="6"/>
  <c r="W52" i="6"/>
  <c r="V52" i="6"/>
  <c r="U52" i="6"/>
  <c r="T52" i="6"/>
  <c r="S52" i="6"/>
  <c r="R52" i="6"/>
  <c r="Q52" i="6"/>
  <c r="P52" i="6"/>
  <c r="O52" i="6"/>
  <c r="N52" i="6"/>
  <c r="M52" i="6"/>
  <c r="L52" i="6"/>
  <c r="W51" i="6"/>
  <c r="V51" i="6"/>
  <c r="U51" i="6"/>
  <c r="T51" i="6"/>
  <c r="S51" i="6"/>
  <c r="R51" i="6"/>
  <c r="Q51" i="6"/>
  <c r="P51" i="6"/>
  <c r="O51" i="6"/>
  <c r="N51" i="6"/>
  <c r="M51" i="6"/>
  <c r="L51" i="6"/>
  <c r="W50" i="6"/>
  <c r="V50" i="6"/>
  <c r="U50" i="6"/>
  <c r="T50" i="6"/>
  <c r="S50" i="6"/>
  <c r="R50" i="6"/>
  <c r="Q50" i="6"/>
  <c r="P50" i="6"/>
  <c r="O50" i="6"/>
  <c r="N50" i="6"/>
  <c r="M50" i="6"/>
  <c r="L50" i="6"/>
  <c r="F50" i="6"/>
  <c r="W49" i="6"/>
  <c r="V49" i="6"/>
  <c r="U49" i="6"/>
  <c r="T49" i="6"/>
  <c r="S49" i="6"/>
  <c r="R49" i="6"/>
  <c r="Q49" i="6"/>
  <c r="P49" i="6"/>
  <c r="O49" i="6"/>
  <c r="N49" i="6"/>
  <c r="M49" i="6"/>
  <c r="L49" i="6"/>
  <c r="W48" i="6"/>
  <c r="V48" i="6"/>
  <c r="U48" i="6"/>
  <c r="T48" i="6"/>
  <c r="S48" i="6"/>
  <c r="R48" i="6"/>
  <c r="Q48" i="6"/>
  <c r="P48" i="6"/>
  <c r="O48" i="6"/>
  <c r="N48" i="6"/>
  <c r="M48" i="6"/>
  <c r="L48" i="6"/>
  <c r="W47" i="6"/>
  <c r="V47" i="6"/>
  <c r="U47" i="6"/>
  <c r="T47" i="6"/>
  <c r="S47" i="6"/>
  <c r="R47" i="6"/>
  <c r="Q47" i="6"/>
  <c r="P47" i="6"/>
  <c r="O47" i="6"/>
  <c r="N47" i="6"/>
  <c r="M47" i="6"/>
  <c r="L47" i="6"/>
  <c r="W46" i="6"/>
  <c r="V46" i="6"/>
  <c r="U46" i="6"/>
  <c r="T46" i="6"/>
  <c r="S46" i="6"/>
  <c r="R46" i="6"/>
  <c r="Q46" i="6"/>
  <c r="P46" i="6"/>
  <c r="O46" i="6"/>
  <c r="N46" i="6"/>
  <c r="M46" i="6"/>
  <c r="L46" i="6"/>
  <c r="W45" i="6"/>
  <c r="V45" i="6"/>
  <c r="U45" i="6"/>
  <c r="T45" i="6"/>
  <c r="S45" i="6"/>
  <c r="R45" i="6"/>
  <c r="Q45" i="6"/>
  <c r="P45" i="6"/>
  <c r="O45" i="6"/>
  <c r="N45" i="6"/>
  <c r="M45" i="6"/>
  <c r="L45" i="6"/>
  <c r="W44" i="6"/>
  <c r="V44" i="6"/>
  <c r="U44" i="6"/>
  <c r="T44" i="6"/>
  <c r="S44" i="6"/>
  <c r="R44" i="6"/>
  <c r="Q44" i="6"/>
  <c r="P44" i="6"/>
  <c r="O44" i="6"/>
  <c r="N44" i="6"/>
  <c r="M44" i="6"/>
  <c r="L44" i="6"/>
  <c r="W43" i="6"/>
  <c r="V43" i="6"/>
  <c r="U43" i="6"/>
  <c r="T43" i="6"/>
  <c r="S43" i="6"/>
  <c r="R43" i="6"/>
  <c r="Q43" i="6"/>
  <c r="P43" i="6"/>
  <c r="O43" i="6"/>
  <c r="N43" i="6"/>
  <c r="M43" i="6"/>
  <c r="L43" i="6"/>
  <c r="F43" i="6"/>
  <c r="W42" i="6"/>
  <c r="V42" i="6"/>
  <c r="U42" i="6"/>
  <c r="T42" i="6"/>
  <c r="S42" i="6"/>
  <c r="R42" i="6"/>
  <c r="Q42" i="6"/>
  <c r="P42" i="6"/>
  <c r="O42" i="6"/>
  <c r="N42" i="6"/>
  <c r="M42" i="6"/>
  <c r="L42" i="6"/>
  <c r="W41" i="6"/>
  <c r="V41" i="6"/>
  <c r="U41" i="6"/>
  <c r="T41" i="6"/>
  <c r="S41" i="6"/>
  <c r="R41" i="6"/>
  <c r="Q41" i="6"/>
  <c r="P41" i="6"/>
  <c r="O41" i="6"/>
  <c r="N41" i="6"/>
  <c r="M41" i="6"/>
  <c r="L41" i="6"/>
  <c r="W40" i="6"/>
  <c r="V40" i="6"/>
  <c r="U40" i="6"/>
  <c r="T40" i="6"/>
  <c r="S40" i="6"/>
  <c r="R40" i="6"/>
  <c r="Q40" i="6"/>
  <c r="P40" i="6"/>
  <c r="O40" i="6"/>
  <c r="N40" i="6"/>
  <c r="M40" i="6"/>
  <c r="L40" i="6"/>
  <c r="W39" i="6"/>
  <c r="V39" i="6"/>
  <c r="U39" i="6"/>
  <c r="T39" i="6"/>
  <c r="S39" i="6"/>
  <c r="R39" i="6"/>
  <c r="Q39" i="6"/>
  <c r="P39" i="6"/>
  <c r="O39" i="6"/>
  <c r="N39" i="6"/>
  <c r="M39" i="6"/>
  <c r="L39" i="6"/>
  <c r="W38" i="6"/>
  <c r="V38" i="6"/>
  <c r="U38" i="6"/>
  <c r="T38" i="6"/>
  <c r="S38" i="6"/>
  <c r="R38" i="6"/>
  <c r="Q38" i="6"/>
  <c r="P38" i="6"/>
  <c r="O38" i="6"/>
  <c r="N38" i="6"/>
  <c r="M38" i="6"/>
  <c r="L38" i="6"/>
  <c r="W37" i="6"/>
  <c r="V37" i="6"/>
  <c r="U37" i="6"/>
  <c r="T37" i="6"/>
  <c r="S37" i="6"/>
  <c r="R37" i="6"/>
  <c r="Q37" i="6"/>
  <c r="P37" i="6"/>
  <c r="O37" i="6"/>
  <c r="N37" i="6"/>
  <c r="M37" i="6"/>
  <c r="L37" i="6"/>
  <c r="W36" i="6"/>
  <c r="V36" i="6"/>
  <c r="U36" i="6"/>
  <c r="T36" i="6"/>
  <c r="S36" i="6"/>
  <c r="R36" i="6"/>
  <c r="Q36" i="6"/>
  <c r="P36" i="6"/>
  <c r="O36" i="6"/>
  <c r="N36" i="6"/>
  <c r="M36" i="6"/>
  <c r="L36" i="6"/>
  <c r="F36" i="6"/>
  <c r="W35" i="6"/>
  <c r="V35" i="6"/>
  <c r="U35" i="6"/>
  <c r="T35" i="6"/>
  <c r="S35" i="6"/>
  <c r="R35" i="6"/>
  <c r="Q35" i="6"/>
  <c r="P35" i="6"/>
  <c r="O35" i="6"/>
  <c r="N35" i="6"/>
  <c r="M35" i="6"/>
  <c r="L35" i="6"/>
  <c r="W34" i="6"/>
  <c r="V34" i="6"/>
  <c r="U34" i="6"/>
  <c r="T34" i="6"/>
  <c r="S34" i="6"/>
  <c r="R34" i="6"/>
  <c r="Q34" i="6"/>
  <c r="P34" i="6"/>
  <c r="O34" i="6"/>
  <c r="N34" i="6"/>
  <c r="M34" i="6"/>
  <c r="L34" i="6"/>
  <c r="W33" i="6"/>
  <c r="V33" i="6"/>
  <c r="U33" i="6"/>
  <c r="T33" i="6"/>
  <c r="S33" i="6"/>
  <c r="R33" i="6"/>
  <c r="Q33" i="6"/>
  <c r="P33" i="6"/>
  <c r="O33" i="6"/>
  <c r="N33" i="6"/>
  <c r="M33" i="6"/>
  <c r="L33" i="6"/>
  <c r="W32" i="6"/>
  <c r="V32" i="6"/>
  <c r="U32" i="6"/>
  <c r="T32" i="6"/>
  <c r="S32" i="6"/>
  <c r="R32" i="6"/>
  <c r="Q32" i="6"/>
  <c r="P32" i="6"/>
  <c r="O32" i="6"/>
  <c r="N32" i="6"/>
  <c r="M32" i="6"/>
  <c r="L32" i="6"/>
  <c r="W31" i="6"/>
  <c r="V31" i="6"/>
  <c r="U31" i="6"/>
  <c r="T31" i="6"/>
  <c r="S31" i="6"/>
  <c r="R31" i="6"/>
  <c r="Q31" i="6"/>
  <c r="P31" i="6"/>
  <c r="O31" i="6"/>
  <c r="N31" i="6"/>
  <c r="M31" i="6"/>
  <c r="L31" i="6"/>
  <c r="W30" i="6"/>
  <c r="V30" i="6"/>
  <c r="U30" i="6"/>
  <c r="T30" i="6"/>
  <c r="S30" i="6"/>
  <c r="R30" i="6"/>
  <c r="Q30" i="6"/>
  <c r="P30" i="6"/>
  <c r="O30" i="6"/>
  <c r="N30" i="6"/>
  <c r="M30" i="6"/>
  <c r="L30" i="6"/>
  <c r="W29" i="6"/>
  <c r="V29" i="6"/>
  <c r="U29" i="6"/>
  <c r="T29" i="6"/>
  <c r="S29" i="6"/>
  <c r="R29" i="6"/>
  <c r="Q29" i="6"/>
  <c r="P29" i="6"/>
  <c r="O29" i="6"/>
  <c r="N29" i="6"/>
  <c r="M29" i="6"/>
  <c r="L29" i="6"/>
  <c r="F29" i="6"/>
  <c r="W28" i="6"/>
  <c r="V28" i="6"/>
  <c r="U28" i="6"/>
  <c r="T28" i="6"/>
  <c r="S28" i="6"/>
  <c r="R28" i="6"/>
  <c r="Q28" i="6"/>
  <c r="P28" i="6"/>
  <c r="O28" i="6"/>
  <c r="N28" i="6"/>
  <c r="M28" i="6"/>
  <c r="L28" i="6"/>
  <c r="W27" i="6"/>
  <c r="V27" i="6"/>
  <c r="U27" i="6"/>
  <c r="T27" i="6"/>
  <c r="S27" i="6"/>
  <c r="R27" i="6"/>
  <c r="Q27" i="6"/>
  <c r="P27" i="6"/>
  <c r="O27" i="6"/>
  <c r="N27" i="6"/>
  <c r="M27" i="6"/>
  <c r="L27" i="6"/>
  <c r="W26" i="6"/>
  <c r="V26" i="6"/>
  <c r="U26" i="6"/>
  <c r="T26" i="6"/>
  <c r="S26" i="6"/>
  <c r="R26" i="6"/>
  <c r="Q26" i="6"/>
  <c r="P26" i="6"/>
  <c r="O26" i="6"/>
  <c r="N26" i="6"/>
  <c r="M26" i="6"/>
  <c r="L26" i="6"/>
  <c r="W25" i="6"/>
  <c r="V25" i="6"/>
  <c r="U25" i="6"/>
  <c r="T25" i="6"/>
  <c r="S25" i="6"/>
  <c r="R25" i="6"/>
  <c r="Q25" i="6"/>
  <c r="P25" i="6"/>
  <c r="O25" i="6"/>
  <c r="N25" i="6"/>
  <c r="M25" i="6"/>
  <c r="L25" i="6"/>
  <c r="W24" i="6"/>
  <c r="V24" i="6"/>
  <c r="U24" i="6"/>
  <c r="T24" i="6"/>
  <c r="S24" i="6"/>
  <c r="R24" i="6"/>
  <c r="Q24" i="6"/>
  <c r="P24" i="6"/>
  <c r="O24" i="6"/>
  <c r="N24" i="6"/>
  <c r="M24" i="6"/>
  <c r="L24" i="6"/>
  <c r="W23" i="6"/>
  <c r="V23" i="6"/>
  <c r="U23" i="6"/>
  <c r="T23" i="6"/>
  <c r="S23" i="6"/>
  <c r="R23" i="6"/>
  <c r="Q23" i="6"/>
  <c r="P23" i="6"/>
  <c r="O23" i="6"/>
  <c r="N23" i="6"/>
  <c r="M23" i="6"/>
  <c r="L23" i="6"/>
  <c r="W22" i="6"/>
  <c r="V22" i="6"/>
  <c r="U22" i="6"/>
  <c r="T22" i="6"/>
  <c r="S22" i="6"/>
  <c r="R22" i="6"/>
  <c r="Q22" i="6"/>
  <c r="P22" i="6"/>
  <c r="O22" i="6"/>
  <c r="N22" i="6"/>
  <c r="M22" i="6"/>
  <c r="L22" i="6"/>
  <c r="F22" i="6"/>
  <c r="W21" i="6"/>
  <c r="V21" i="6"/>
  <c r="U21" i="6"/>
  <c r="T21" i="6"/>
  <c r="S21" i="6"/>
  <c r="R21" i="6"/>
  <c r="Q21" i="6"/>
  <c r="P21" i="6"/>
  <c r="O21" i="6"/>
  <c r="N21" i="6"/>
  <c r="M21" i="6"/>
  <c r="L21" i="6"/>
  <c r="W20" i="6"/>
  <c r="V20" i="6"/>
  <c r="U20" i="6"/>
  <c r="T20" i="6"/>
  <c r="S20" i="6"/>
  <c r="R20" i="6"/>
  <c r="Q20" i="6"/>
  <c r="P20" i="6"/>
  <c r="O20" i="6"/>
  <c r="N20" i="6"/>
  <c r="M20" i="6"/>
  <c r="L20" i="6"/>
  <c r="W19" i="6"/>
  <c r="V19" i="6"/>
  <c r="U19" i="6"/>
  <c r="T19" i="6"/>
  <c r="S19" i="6"/>
  <c r="R19" i="6"/>
  <c r="Q19" i="6"/>
  <c r="P19" i="6"/>
  <c r="O19" i="6"/>
  <c r="N19" i="6"/>
  <c r="M19" i="6"/>
  <c r="L19" i="6"/>
  <c r="W18" i="6"/>
  <c r="V18" i="6"/>
  <c r="U18" i="6"/>
  <c r="T18" i="6"/>
  <c r="S18" i="6"/>
  <c r="R18" i="6"/>
  <c r="Q18" i="6"/>
  <c r="P18" i="6"/>
  <c r="O18" i="6"/>
  <c r="N18" i="6"/>
  <c r="M18" i="6"/>
  <c r="L18" i="6"/>
  <c r="W17" i="6"/>
  <c r="V17" i="6"/>
  <c r="U17" i="6"/>
  <c r="T17" i="6"/>
  <c r="S17" i="6"/>
  <c r="R17" i="6"/>
  <c r="Q17" i="6"/>
  <c r="P17" i="6"/>
  <c r="O17" i="6"/>
  <c r="N17" i="6"/>
  <c r="M17" i="6"/>
  <c r="L17" i="6"/>
  <c r="W16" i="6"/>
  <c r="V16" i="6"/>
  <c r="U16" i="6"/>
  <c r="T16" i="6"/>
  <c r="S16" i="6"/>
  <c r="R16" i="6"/>
  <c r="Q16" i="6"/>
  <c r="P16" i="6"/>
  <c r="O16" i="6"/>
  <c r="N16" i="6"/>
  <c r="M16" i="6"/>
  <c r="L16" i="6"/>
  <c r="W15" i="6"/>
  <c r="V15" i="6"/>
  <c r="U15" i="6"/>
  <c r="T15" i="6"/>
  <c r="S15" i="6"/>
  <c r="R15" i="6"/>
  <c r="Q15" i="6"/>
  <c r="P15" i="6"/>
  <c r="O15" i="6"/>
  <c r="N15" i="6"/>
  <c r="M15" i="6"/>
  <c r="L15" i="6"/>
  <c r="F15" i="6"/>
  <c r="W14" i="6"/>
  <c r="V14" i="6"/>
  <c r="U14" i="6"/>
  <c r="T14" i="6"/>
  <c r="S14" i="6"/>
  <c r="R14" i="6"/>
  <c r="Q14" i="6"/>
  <c r="P14" i="6"/>
  <c r="O14" i="6"/>
  <c r="N14" i="6"/>
  <c r="M14" i="6"/>
  <c r="L14" i="6"/>
  <c r="W13" i="6"/>
  <c r="V13" i="6"/>
  <c r="U13" i="6"/>
  <c r="T13" i="6"/>
  <c r="S13" i="6"/>
  <c r="R13" i="6"/>
  <c r="Q13" i="6"/>
  <c r="P13" i="6"/>
  <c r="O13" i="6"/>
  <c r="N13" i="6"/>
  <c r="M13" i="6"/>
  <c r="L13" i="6"/>
  <c r="W12" i="6"/>
  <c r="V12" i="6"/>
  <c r="U12" i="6"/>
  <c r="T12" i="6"/>
  <c r="S12" i="6"/>
  <c r="R12" i="6"/>
  <c r="Q12" i="6"/>
  <c r="P12" i="6"/>
  <c r="O12" i="6"/>
  <c r="N12" i="6"/>
  <c r="M12" i="6"/>
  <c r="L12" i="6"/>
  <c r="W11" i="6"/>
  <c r="V11" i="6"/>
  <c r="U11" i="6"/>
  <c r="T11" i="6"/>
  <c r="S11" i="6"/>
  <c r="R11" i="6"/>
  <c r="Q11" i="6"/>
  <c r="P11" i="6"/>
  <c r="O11" i="6"/>
  <c r="N11" i="6"/>
  <c r="M11" i="6"/>
  <c r="L11" i="6"/>
  <c r="W10" i="6"/>
  <c r="V10" i="6"/>
  <c r="U10" i="6"/>
  <c r="T10" i="6"/>
  <c r="S10" i="6"/>
  <c r="R10" i="6"/>
  <c r="Q10" i="6"/>
  <c r="P10" i="6"/>
  <c r="O10" i="6"/>
  <c r="N10" i="6"/>
  <c r="M10" i="6"/>
  <c r="L10" i="6"/>
  <c r="W9" i="6"/>
  <c r="V9" i="6"/>
  <c r="U9" i="6"/>
  <c r="T9" i="6"/>
  <c r="S9" i="6"/>
  <c r="R9" i="6"/>
  <c r="Q9" i="6"/>
  <c r="P9" i="6"/>
  <c r="O9" i="6"/>
  <c r="N9" i="6"/>
  <c r="M9" i="6"/>
  <c r="L9" i="6"/>
  <c r="W8" i="6"/>
  <c r="V8" i="6"/>
  <c r="U8" i="6"/>
  <c r="T8" i="6"/>
  <c r="S8" i="6"/>
  <c r="R8" i="6"/>
  <c r="Q8" i="6"/>
  <c r="P8" i="6"/>
  <c r="O8" i="6"/>
  <c r="N8" i="6"/>
  <c r="M8" i="6"/>
  <c r="L8" i="6"/>
  <c r="W7" i="6"/>
  <c r="V7" i="6"/>
  <c r="U7" i="6"/>
  <c r="T7" i="6"/>
  <c r="S7" i="6"/>
  <c r="R7" i="6"/>
  <c r="Q7" i="6"/>
  <c r="P7" i="6"/>
  <c r="O7" i="6"/>
  <c r="N7" i="6"/>
  <c r="M7" i="6"/>
  <c r="L7" i="6"/>
  <c r="W6" i="6"/>
  <c r="V6" i="6"/>
  <c r="U6" i="6"/>
  <c r="T6" i="6"/>
  <c r="S6" i="6"/>
  <c r="R6" i="6"/>
  <c r="Q6" i="6"/>
  <c r="P6" i="6"/>
  <c r="O6" i="6"/>
  <c r="N6" i="6"/>
  <c r="M6" i="6"/>
  <c r="L6" i="6"/>
  <c r="W5" i="6"/>
  <c r="V5" i="6"/>
  <c r="U5" i="6"/>
  <c r="T5" i="6"/>
  <c r="S5" i="6"/>
  <c r="R5" i="6"/>
  <c r="Q5" i="6"/>
  <c r="P5" i="6"/>
  <c r="O5" i="6"/>
  <c r="N5" i="6"/>
  <c r="M5" i="6"/>
  <c r="L5" i="6"/>
  <c r="W4" i="6"/>
  <c r="V4" i="6"/>
  <c r="U4" i="6"/>
  <c r="T4" i="6"/>
  <c r="S4" i="6"/>
  <c r="R4" i="6"/>
  <c r="Q4" i="6"/>
  <c r="P4" i="6"/>
  <c r="O4" i="6"/>
  <c r="N4" i="6"/>
  <c r="M4" i="6"/>
  <c r="L4" i="6"/>
  <c r="W3" i="6"/>
  <c r="V3" i="6"/>
  <c r="U3" i="6"/>
  <c r="T3" i="6"/>
  <c r="S3" i="6"/>
  <c r="R3" i="6"/>
  <c r="Q3" i="6"/>
  <c r="P3" i="6"/>
  <c r="O3" i="6"/>
  <c r="N3" i="6"/>
  <c r="M3" i="6"/>
  <c r="L3" i="6"/>
  <c r="E3" i="6"/>
  <c r="B3" i="6"/>
  <c r="W2" i="6"/>
  <c r="V2" i="6"/>
  <c r="U2" i="6"/>
  <c r="T2" i="6"/>
  <c r="S2" i="6"/>
  <c r="R2" i="6"/>
  <c r="Q2" i="6"/>
  <c r="P2" i="6"/>
  <c r="O2" i="6"/>
  <c r="N2" i="6"/>
  <c r="M2" i="6"/>
  <c r="L2" i="6"/>
  <c r="W865" i="2"/>
  <c r="V865" i="2"/>
  <c r="U865" i="2"/>
  <c r="T865" i="2"/>
  <c r="S865" i="2"/>
  <c r="R865" i="2"/>
  <c r="Q865" i="2"/>
  <c r="P865" i="2"/>
  <c r="O865" i="2"/>
  <c r="N865" i="2"/>
  <c r="M865" i="2"/>
  <c r="L865" i="2"/>
  <c r="AJ1005" i="3" s="1"/>
  <c r="AM1005" i="3" s="1"/>
  <c r="W864" i="2"/>
  <c r="V864" i="2"/>
  <c r="U864" i="2"/>
  <c r="T864" i="2"/>
  <c r="S864" i="2"/>
  <c r="R864" i="2"/>
  <c r="Q864" i="2"/>
  <c r="P864" i="2"/>
  <c r="O864" i="2"/>
  <c r="N864" i="2"/>
  <c r="M864" i="2"/>
  <c r="L864" i="2"/>
  <c r="W863" i="2"/>
  <c r="V863" i="2"/>
  <c r="U863" i="2"/>
  <c r="T863" i="2"/>
  <c r="S863" i="2"/>
  <c r="R863" i="2"/>
  <c r="Q863" i="2"/>
  <c r="P863" i="2"/>
  <c r="O863" i="2"/>
  <c r="N863" i="2"/>
  <c r="M863" i="2"/>
  <c r="L863" i="2"/>
  <c r="W862" i="2"/>
  <c r="V862" i="2"/>
  <c r="U862" i="2"/>
  <c r="T862" i="2"/>
  <c r="S862" i="2"/>
  <c r="R862" i="2"/>
  <c r="Q862" i="2"/>
  <c r="P862" i="2"/>
  <c r="O862" i="2"/>
  <c r="N862" i="2"/>
  <c r="M862" i="2"/>
  <c r="L862" i="2"/>
  <c r="W861" i="2"/>
  <c r="V861" i="2"/>
  <c r="U861" i="2"/>
  <c r="T861" i="2"/>
  <c r="S861" i="2"/>
  <c r="R861" i="2"/>
  <c r="Q861" i="2"/>
  <c r="P861" i="2"/>
  <c r="O861" i="2"/>
  <c r="N861" i="2"/>
  <c r="M861" i="2"/>
  <c r="L861" i="2"/>
  <c r="W860" i="2"/>
  <c r="V860" i="2"/>
  <c r="U860" i="2"/>
  <c r="T860" i="2"/>
  <c r="S860" i="2"/>
  <c r="R860" i="2"/>
  <c r="Q860" i="2"/>
  <c r="P860" i="2"/>
  <c r="O860" i="2"/>
  <c r="N860" i="2"/>
  <c r="M860" i="2"/>
  <c r="L860" i="2"/>
  <c r="AJ1000" i="3" s="1"/>
  <c r="AM1000" i="3" s="1"/>
  <c r="W859" i="2"/>
  <c r="V859" i="2"/>
  <c r="U859" i="2"/>
  <c r="T859" i="2"/>
  <c r="S859" i="2"/>
  <c r="R859" i="2"/>
  <c r="Q859" i="2"/>
  <c r="P859" i="2"/>
  <c r="O859" i="2"/>
  <c r="N859" i="2"/>
  <c r="M859" i="2"/>
  <c r="L859" i="2"/>
  <c r="W858" i="2"/>
  <c r="V858" i="2"/>
  <c r="U858" i="2"/>
  <c r="T858" i="2"/>
  <c r="S858" i="2"/>
  <c r="R858" i="2"/>
  <c r="Q858" i="2"/>
  <c r="P858" i="2"/>
  <c r="O858" i="2"/>
  <c r="N858" i="2"/>
  <c r="M858" i="2"/>
  <c r="L858" i="2"/>
  <c r="AJ998" i="3" s="1"/>
  <c r="W857" i="2"/>
  <c r="V857" i="2"/>
  <c r="U857" i="2"/>
  <c r="T857" i="2"/>
  <c r="S857" i="2"/>
  <c r="R857" i="2"/>
  <c r="Q857" i="2"/>
  <c r="P857" i="2"/>
  <c r="O857" i="2"/>
  <c r="N857" i="2"/>
  <c r="M857" i="2"/>
  <c r="L857" i="2"/>
  <c r="W856" i="2"/>
  <c r="V856" i="2"/>
  <c r="U856" i="2"/>
  <c r="T856" i="2"/>
  <c r="S856" i="2"/>
  <c r="R856" i="2"/>
  <c r="Q856" i="2"/>
  <c r="P856" i="2"/>
  <c r="O856" i="2"/>
  <c r="N856" i="2"/>
  <c r="M856" i="2"/>
  <c r="L856" i="2"/>
  <c r="W855" i="2"/>
  <c r="V855" i="2"/>
  <c r="U855" i="2"/>
  <c r="T855" i="2"/>
  <c r="S855" i="2"/>
  <c r="R855" i="2"/>
  <c r="Q855" i="2"/>
  <c r="P855" i="2"/>
  <c r="O855" i="2"/>
  <c r="N855" i="2"/>
  <c r="M855" i="2"/>
  <c r="L855" i="2"/>
  <c r="AJ995" i="3" s="1"/>
  <c r="AM995" i="3" s="1"/>
  <c r="W854" i="2"/>
  <c r="V854" i="2"/>
  <c r="U854" i="2"/>
  <c r="T854" i="2"/>
  <c r="S854" i="2"/>
  <c r="R854" i="2"/>
  <c r="Q854" i="2"/>
  <c r="P854" i="2"/>
  <c r="O854" i="2"/>
  <c r="N854" i="2"/>
  <c r="M854" i="2"/>
  <c r="L854" i="2"/>
  <c r="W853" i="2"/>
  <c r="V853" i="2"/>
  <c r="U853" i="2"/>
  <c r="T853" i="2"/>
  <c r="S853" i="2"/>
  <c r="R853" i="2"/>
  <c r="Q853" i="2"/>
  <c r="P853" i="2"/>
  <c r="O853" i="2"/>
  <c r="N853" i="2"/>
  <c r="M853" i="2"/>
  <c r="L853" i="2"/>
  <c r="W852" i="2"/>
  <c r="V852" i="2"/>
  <c r="U852" i="2"/>
  <c r="T852" i="2"/>
  <c r="S852" i="2"/>
  <c r="R852" i="2"/>
  <c r="Q852" i="2"/>
  <c r="P852" i="2"/>
  <c r="O852" i="2"/>
  <c r="N852" i="2"/>
  <c r="M852" i="2"/>
  <c r="L852" i="2"/>
  <c r="AJ992" i="3" s="1"/>
  <c r="AM992" i="3" s="1"/>
  <c r="W851" i="2"/>
  <c r="V851" i="2"/>
  <c r="U851" i="2"/>
  <c r="T851" i="2"/>
  <c r="S851" i="2"/>
  <c r="R851" i="2"/>
  <c r="Q851" i="2"/>
  <c r="P851" i="2"/>
  <c r="O851" i="2"/>
  <c r="N851" i="2"/>
  <c r="M851" i="2"/>
  <c r="L851" i="2"/>
  <c r="W850" i="2"/>
  <c r="V850" i="2"/>
  <c r="U850" i="2"/>
  <c r="T850" i="2"/>
  <c r="S850" i="2"/>
  <c r="R850" i="2"/>
  <c r="Q850" i="2"/>
  <c r="P850" i="2"/>
  <c r="O850" i="2"/>
  <c r="N850" i="2"/>
  <c r="M850" i="2"/>
  <c r="L850" i="2"/>
  <c r="W849" i="2"/>
  <c r="V849" i="2"/>
  <c r="U849" i="2"/>
  <c r="T849" i="2"/>
  <c r="S849" i="2"/>
  <c r="R849" i="2"/>
  <c r="Q849" i="2"/>
  <c r="P849" i="2"/>
  <c r="O849" i="2"/>
  <c r="N849" i="2"/>
  <c r="M849" i="2"/>
  <c r="L849" i="2"/>
  <c r="AJ989" i="3" s="1"/>
  <c r="AM989" i="3" s="1"/>
  <c r="W848" i="2"/>
  <c r="V848" i="2"/>
  <c r="U848" i="2"/>
  <c r="T848" i="2"/>
  <c r="S848" i="2"/>
  <c r="R848" i="2"/>
  <c r="Q848" i="2"/>
  <c r="P848" i="2"/>
  <c r="O848" i="2"/>
  <c r="N848" i="2"/>
  <c r="M848" i="2"/>
  <c r="L848" i="2"/>
  <c r="W847" i="2"/>
  <c r="V847" i="2"/>
  <c r="U847" i="2"/>
  <c r="T847" i="2"/>
  <c r="S847" i="2"/>
  <c r="R847" i="2"/>
  <c r="Q847" i="2"/>
  <c r="P847" i="2"/>
  <c r="O847" i="2"/>
  <c r="N847" i="2"/>
  <c r="M847" i="2"/>
  <c r="L847" i="2"/>
  <c r="AJ987" i="3" s="1"/>
  <c r="AM987" i="3" s="1"/>
  <c r="W846" i="2"/>
  <c r="V846" i="2"/>
  <c r="U846" i="2"/>
  <c r="T846" i="2"/>
  <c r="S846" i="2"/>
  <c r="R846" i="2"/>
  <c r="Q846" i="2"/>
  <c r="P846" i="2"/>
  <c r="O846" i="2"/>
  <c r="N846" i="2"/>
  <c r="M846" i="2"/>
  <c r="L846" i="2"/>
  <c r="W845" i="2"/>
  <c r="V845" i="2"/>
  <c r="U845" i="2"/>
  <c r="T845" i="2"/>
  <c r="S845" i="2"/>
  <c r="R845" i="2"/>
  <c r="Q845" i="2"/>
  <c r="P845" i="2"/>
  <c r="O845" i="2"/>
  <c r="N845" i="2"/>
  <c r="M845" i="2"/>
  <c r="L845" i="2"/>
  <c r="AJ985" i="3" s="1"/>
  <c r="AM985" i="3" s="1"/>
  <c r="W844" i="2"/>
  <c r="V844" i="2"/>
  <c r="U844" i="2"/>
  <c r="T844" i="2"/>
  <c r="S844" i="2"/>
  <c r="R844" i="2"/>
  <c r="Q844" i="2"/>
  <c r="P844" i="2"/>
  <c r="O844" i="2"/>
  <c r="N844" i="2"/>
  <c r="M844" i="2"/>
  <c r="L844" i="2"/>
  <c r="W843" i="2"/>
  <c r="V843" i="2"/>
  <c r="U843" i="2"/>
  <c r="T843" i="2"/>
  <c r="S843" i="2"/>
  <c r="R843" i="2"/>
  <c r="Q843" i="2"/>
  <c r="P843" i="2"/>
  <c r="O843" i="2"/>
  <c r="N843" i="2"/>
  <c r="M843" i="2"/>
  <c r="L843" i="2"/>
  <c r="W842" i="2"/>
  <c r="V842" i="2"/>
  <c r="U842" i="2"/>
  <c r="T842" i="2"/>
  <c r="S842" i="2"/>
  <c r="R842" i="2"/>
  <c r="Q842" i="2"/>
  <c r="P842" i="2"/>
  <c r="O842" i="2"/>
  <c r="N842" i="2"/>
  <c r="M842" i="2"/>
  <c r="L842" i="2"/>
  <c r="AJ982" i="3" s="1"/>
  <c r="AM982" i="3" s="1"/>
  <c r="W841" i="2"/>
  <c r="V841" i="2"/>
  <c r="U841" i="2"/>
  <c r="T841" i="2"/>
  <c r="S841" i="2"/>
  <c r="R841" i="2"/>
  <c r="Q841" i="2"/>
  <c r="P841" i="2"/>
  <c r="O841" i="2"/>
  <c r="N841" i="2"/>
  <c r="M841" i="2"/>
  <c r="L841" i="2"/>
  <c r="W840" i="2"/>
  <c r="V840" i="2"/>
  <c r="U840" i="2"/>
  <c r="T840" i="2"/>
  <c r="S840" i="2"/>
  <c r="R840" i="2"/>
  <c r="Q840" i="2"/>
  <c r="P840" i="2"/>
  <c r="O840" i="2"/>
  <c r="N840" i="2"/>
  <c r="M840" i="2"/>
  <c r="L840" i="2"/>
  <c r="W839" i="2"/>
  <c r="V839" i="2"/>
  <c r="U839" i="2"/>
  <c r="T839" i="2"/>
  <c r="S839" i="2"/>
  <c r="R839" i="2"/>
  <c r="Q839" i="2"/>
  <c r="P839" i="2"/>
  <c r="O839" i="2"/>
  <c r="N839" i="2"/>
  <c r="M839" i="2"/>
  <c r="L839" i="2"/>
  <c r="AJ979" i="3" s="1"/>
  <c r="AM979" i="3" s="1"/>
  <c r="W838" i="2"/>
  <c r="V838" i="2"/>
  <c r="U838" i="2"/>
  <c r="T838" i="2"/>
  <c r="S838" i="2"/>
  <c r="R838" i="2"/>
  <c r="Q838" i="2"/>
  <c r="P838" i="2"/>
  <c r="O838" i="2"/>
  <c r="N838" i="2"/>
  <c r="M838" i="2"/>
  <c r="L838" i="2"/>
  <c r="W837" i="2"/>
  <c r="V837" i="2"/>
  <c r="U837" i="2"/>
  <c r="T837" i="2"/>
  <c r="S837" i="2"/>
  <c r="R837" i="2"/>
  <c r="Q837" i="2"/>
  <c r="P837" i="2"/>
  <c r="O837" i="2"/>
  <c r="N837" i="2"/>
  <c r="M837" i="2"/>
  <c r="L837" i="2"/>
  <c r="AJ977" i="3" s="1"/>
  <c r="AM977" i="3" s="1"/>
  <c r="W836" i="2"/>
  <c r="V836" i="2"/>
  <c r="U836" i="2"/>
  <c r="T836" i="2"/>
  <c r="S836" i="2"/>
  <c r="R836" i="2"/>
  <c r="Q836" i="2"/>
  <c r="P836" i="2"/>
  <c r="O836" i="2"/>
  <c r="N836" i="2"/>
  <c r="M836" i="2"/>
  <c r="L836" i="2"/>
  <c r="AJ976" i="3" s="1"/>
  <c r="AM976" i="3" s="1"/>
  <c r="W835" i="2"/>
  <c r="V835" i="2"/>
  <c r="U835" i="2"/>
  <c r="T835" i="2"/>
  <c r="S835" i="2"/>
  <c r="R835" i="2"/>
  <c r="Q835" i="2"/>
  <c r="P835" i="2"/>
  <c r="O835" i="2"/>
  <c r="N835" i="2"/>
  <c r="M835" i="2"/>
  <c r="L835" i="2"/>
  <c r="W834" i="2"/>
  <c r="V834" i="2"/>
  <c r="U834" i="2"/>
  <c r="T834" i="2"/>
  <c r="S834" i="2"/>
  <c r="R834" i="2"/>
  <c r="Q834" i="2"/>
  <c r="P834" i="2"/>
  <c r="O834" i="2"/>
  <c r="N834" i="2"/>
  <c r="M834" i="2"/>
  <c r="L834" i="2"/>
  <c r="AJ974" i="3" s="1"/>
  <c r="AM974" i="3" s="1"/>
  <c r="W833" i="2"/>
  <c r="V833" i="2"/>
  <c r="U833" i="2"/>
  <c r="T833" i="2"/>
  <c r="S833" i="2"/>
  <c r="R833" i="2"/>
  <c r="Q833" i="2"/>
  <c r="P833" i="2"/>
  <c r="O833" i="2"/>
  <c r="N833" i="2"/>
  <c r="M833" i="2"/>
  <c r="L833" i="2"/>
  <c r="AJ973" i="3" s="1"/>
  <c r="AM973" i="3" s="1"/>
  <c r="W832" i="2"/>
  <c r="V832" i="2"/>
  <c r="U832" i="2"/>
  <c r="T832" i="2"/>
  <c r="S832" i="2"/>
  <c r="R832" i="2"/>
  <c r="Q832" i="2"/>
  <c r="P832" i="2"/>
  <c r="O832" i="2"/>
  <c r="N832" i="2"/>
  <c r="M832" i="2"/>
  <c r="L832" i="2"/>
  <c r="AJ972" i="3" s="1"/>
  <c r="AM972" i="3" s="1"/>
  <c r="W831" i="2"/>
  <c r="V831" i="2"/>
  <c r="U831" i="2"/>
  <c r="T831" i="2"/>
  <c r="S831" i="2"/>
  <c r="R831" i="2"/>
  <c r="Q831" i="2"/>
  <c r="P831" i="2"/>
  <c r="O831" i="2"/>
  <c r="N831" i="2"/>
  <c r="M831" i="2"/>
  <c r="L831" i="2"/>
  <c r="W830" i="2"/>
  <c r="V830" i="2"/>
  <c r="U830" i="2"/>
  <c r="T830" i="2"/>
  <c r="S830" i="2"/>
  <c r="R830" i="2"/>
  <c r="Q830" i="2"/>
  <c r="P830" i="2"/>
  <c r="O830" i="2"/>
  <c r="N830" i="2"/>
  <c r="M830" i="2"/>
  <c r="L830" i="2"/>
  <c r="AJ970" i="3" s="1"/>
  <c r="AM970" i="3" s="1"/>
  <c r="W829" i="2"/>
  <c r="V829" i="2"/>
  <c r="U829" i="2"/>
  <c r="T829" i="2"/>
  <c r="S829" i="2"/>
  <c r="R829" i="2"/>
  <c r="Q829" i="2"/>
  <c r="P829" i="2"/>
  <c r="O829" i="2"/>
  <c r="N829" i="2"/>
  <c r="M829" i="2"/>
  <c r="L829" i="2"/>
  <c r="W828" i="2"/>
  <c r="V828" i="2"/>
  <c r="U828" i="2"/>
  <c r="T828" i="2"/>
  <c r="S828" i="2"/>
  <c r="R828" i="2"/>
  <c r="Q828" i="2"/>
  <c r="P828" i="2"/>
  <c r="O828" i="2"/>
  <c r="N828" i="2"/>
  <c r="M828" i="2"/>
  <c r="L828" i="2"/>
  <c r="AJ968" i="3" s="1"/>
  <c r="AM968" i="3" s="1"/>
  <c r="W827" i="2"/>
  <c r="V827" i="2"/>
  <c r="U827" i="2"/>
  <c r="T827" i="2"/>
  <c r="S827" i="2"/>
  <c r="R827" i="2"/>
  <c r="Q827" i="2"/>
  <c r="P827" i="2"/>
  <c r="O827" i="2"/>
  <c r="N827" i="2"/>
  <c r="M827" i="2"/>
  <c r="L827" i="2"/>
  <c r="W826" i="2"/>
  <c r="V826" i="2"/>
  <c r="U826" i="2"/>
  <c r="T826" i="2"/>
  <c r="S826" i="2"/>
  <c r="R826" i="2"/>
  <c r="Q826" i="2"/>
  <c r="P826" i="2"/>
  <c r="O826" i="2"/>
  <c r="N826" i="2"/>
  <c r="M826" i="2"/>
  <c r="L826" i="2"/>
  <c r="AJ966" i="3" s="1"/>
  <c r="AM966" i="3" s="1"/>
  <c r="W825" i="2"/>
  <c r="V825" i="2"/>
  <c r="U825" i="2"/>
  <c r="T825" i="2"/>
  <c r="S825" i="2"/>
  <c r="R825" i="2"/>
  <c r="Q825" i="2"/>
  <c r="P825" i="2"/>
  <c r="O825" i="2"/>
  <c r="N825" i="2"/>
  <c r="M825" i="2"/>
  <c r="L825" i="2"/>
  <c r="AJ965" i="3" s="1"/>
  <c r="AM965" i="3" s="1"/>
  <c r="W824" i="2"/>
  <c r="V824" i="2"/>
  <c r="U824" i="2"/>
  <c r="T824" i="2"/>
  <c r="S824" i="2"/>
  <c r="R824" i="2"/>
  <c r="Q824" i="2"/>
  <c r="P824" i="2"/>
  <c r="O824" i="2"/>
  <c r="N824" i="2"/>
  <c r="M824" i="2"/>
  <c r="L824" i="2"/>
  <c r="AJ964" i="3" s="1"/>
  <c r="AM964" i="3" s="1"/>
  <c r="W823" i="2"/>
  <c r="V823" i="2"/>
  <c r="U823" i="2"/>
  <c r="T823" i="2"/>
  <c r="S823" i="2"/>
  <c r="R823" i="2"/>
  <c r="Q823" i="2"/>
  <c r="P823" i="2"/>
  <c r="O823" i="2"/>
  <c r="N823" i="2"/>
  <c r="M823" i="2"/>
  <c r="L823" i="2"/>
  <c r="AJ963" i="3" s="1"/>
  <c r="AM963" i="3" s="1"/>
  <c r="W822" i="2"/>
  <c r="V822" i="2"/>
  <c r="U822" i="2"/>
  <c r="T822" i="2"/>
  <c r="S822" i="2"/>
  <c r="R822" i="2"/>
  <c r="Q822" i="2"/>
  <c r="P822" i="2"/>
  <c r="O822" i="2"/>
  <c r="N822" i="2"/>
  <c r="M822" i="2"/>
  <c r="L822" i="2"/>
  <c r="AJ962" i="3" s="1"/>
  <c r="AM962" i="3" s="1"/>
  <c r="W821" i="2"/>
  <c r="V821" i="2"/>
  <c r="U821" i="2"/>
  <c r="T821" i="2"/>
  <c r="S821" i="2"/>
  <c r="R821" i="2"/>
  <c r="Q821" i="2"/>
  <c r="P821" i="2"/>
  <c r="O821" i="2"/>
  <c r="N821" i="2"/>
  <c r="M821" i="2"/>
  <c r="L821" i="2"/>
  <c r="W820" i="2"/>
  <c r="V820" i="2"/>
  <c r="U820" i="2"/>
  <c r="T820" i="2"/>
  <c r="S820" i="2"/>
  <c r="R820" i="2"/>
  <c r="Q820" i="2"/>
  <c r="P820" i="2"/>
  <c r="O820" i="2"/>
  <c r="N820" i="2"/>
  <c r="M820" i="2"/>
  <c r="L820" i="2"/>
  <c r="AJ960" i="3" s="1"/>
  <c r="AM960" i="3" s="1"/>
  <c r="W819" i="2"/>
  <c r="V819" i="2"/>
  <c r="U819" i="2"/>
  <c r="T819" i="2"/>
  <c r="S819" i="2"/>
  <c r="R819" i="2"/>
  <c r="Q819" i="2"/>
  <c r="P819" i="2"/>
  <c r="O819" i="2"/>
  <c r="N819" i="2"/>
  <c r="M819" i="2"/>
  <c r="L819" i="2"/>
  <c r="W818" i="2"/>
  <c r="V818" i="2"/>
  <c r="U818" i="2"/>
  <c r="T818" i="2"/>
  <c r="S818" i="2"/>
  <c r="R818" i="2"/>
  <c r="Q818" i="2"/>
  <c r="P818" i="2"/>
  <c r="O818" i="2"/>
  <c r="N818" i="2"/>
  <c r="M818" i="2"/>
  <c r="L818" i="2"/>
  <c r="AJ958" i="3" s="1"/>
  <c r="AM958" i="3" s="1"/>
  <c r="W817" i="2"/>
  <c r="V817" i="2"/>
  <c r="U817" i="2"/>
  <c r="T817" i="2"/>
  <c r="S817" i="2"/>
  <c r="R817" i="2"/>
  <c r="Q817" i="2"/>
  <c r="P817" i="2"/>
  <c r="O817" i="2"/>
  <c r="N817" i="2"/>
  <c r="M817" i="2"/>
  <c r="L817" i="2"/>
  <c r="W816" i="2"/>
  <c r="V816" i="2"/>
  <c r="U816" i="2"/>
  <c r="T816" i="2"/>
  <c r="S816" i="2"/>
  <c r="R816" i="2"/>
  <c r="Q816" i="2"/>
  <c r="P816" i="2"/>
  <c r="O816" i="2"/>
  <c r="N816" i="2"/>
  <c r="M816" i="2"/>
  <c r="L816" i="2"/>
  <c r="AJ956" i="3" s="1"/>
  <c r="AM956" i="3" s="1"/>
  <c r="W815" i="2"/>
  <c r="V815" i="2"/>
  <c r="U815" i="2"/>
  <c r="T815" i="2"/>
  <c r="S815" i="2"/>
  <c r="R815" i="2"/>
  <c r="Q815" i="2"/>
  <c r="P815" i="2"/>
  <c r="O815" i="2"/>
  <c r="N815" i="2"/>
  <c r="M815" i="2"/>
  <c r="L815" i="2"/>
  <c r="W814" i="2"/>
  <c r="V814" i="2"/>
  <c r="U814" i="2"/>
  <c r="T814" i="2"/>
  <c r="S814" i="2"/>
  <c r="R814" i="2"/>
  <c r="Q814" i="2"/>
  <c r="P814" i="2"/>
  <c r="O814" i="2"/>
  <c r="N814" i="2"/>
  <c r="M814" i="2"/>
  <c r="L814" i="2"/>
  <c r="W813" i="2"/>
  <c r="V813" i="2"/>
  <c r="U813" i="2"/>
  <c r="T813" i="2"/>
  <c r="S813" i="2"/>
  <c r="R813" i="2"/>
  <c r="Q813" i="2"/>
  <c r="P813" i="2"/>
  <c r="O813" i="2"/>
  <c r="N813" i="2"/>
  <c r="M813" i="2"/>
  <c r="L813" i="2"/>
  <c r="AJ953" i="3" s="1"/>
  <c r="AM953" i="3" s="1"/>
  <c r="W812" i="2"/>
  <c r="V812" i="2"/>
  <c r="U812" i="2"/>
  <c r="T812" i="2"/>
  <c r="S812" i="2"/>
  <c r="R812" i="2"/>
  <c r="Q812" i="2"/>
  <c r="P812" i="2"/>
  <c r="O812" i="2"/>
  <c r="N812" i="2"/>
  <c r="M812" i="2"/>
  <c r="L812" i="2"/>
  <c r="AJ952" i="3" s="1"/>
  <c r="AM952" i="3" s="1"/>
  <c r="W811" i="2"/>
  <c r="V811" i="2"/>
  <c r="U811" i="2"/>
  <c r="T811" i="2"/>
  <c r="S811" i="2"/>
  <c r="R811" i="2"/>
  <c r="Q811" i="2"/>
  <c r="P811" i="2"/>
  <c r="O811" i="2"/>
  <c r="N811" i="2"/>
  <c r="M811" i="2"/>
  <c r="L811" i="2"/>
  <c r="AJ951" i="3" s="1"/>
  <c r="AM951" i="3" s="1"/>
  <c r="W810" i="2"/>
  <c r="V810" i="2"/>
  <c r="U810" i="2"/>
  <c r="T810" i="2"/>
  <c r="S810" i="2"/>
  <c r="R810" i="2"/>
  <c r="Q810" i="2"/>
  <c r="P810" i="2"/>
  <c r="O810" i="2"/>
  <c r="N810" i="2"/>
  <c r="M810" i="2"/>
  <c r="L810" i="2"/>
  <c r="W809" i="2"/>
  <c r="V809" i="2"/>
  <c r="U809" i="2"/>
  <c r="T809" i="2"/>
  <c r="S809" i="2"/>
  <c r="R809" i="2"/>
  <c r="Q809" i="2"/>
  <c r="P809" i="2"/>
  <c r="O809" i="2"/>
  <c r="N809" i="2"/>
  <c r="M809" i="2"/>
  <c r="L809" i="2"/>
  <c r="AJ949" i="3" s="1"/>
  <c r="AM949" i="3" s="1"/>
  <c r="W808" i="2"/>
  <c r="V808" i="2"/>
  <c r="U808" i="2"/>
  <c r="T808" i="2"/>
  <c r="S808" i="2"/>
  <c r="R808" i="2"/>
  <c r="Q808" i="2"/>
  <c r="P808" i="2"/>
  <c r="O808" i="2"/>
  <c r="N808" i="2"/>
  <c r="M808" i="2"/>
  <c r="L808" i="2"/>
  <c r="W807" i="2"/>
  <c r="V807" i="2"/>
  <c r="U807" i="2"/>
  <c r="T807" i="2"/>
  <c r="S807" i="2"/>
  <c r="R807" i="2"/>
  <c r="Q807" i="2"/>
  <c r="P807" i="2"/>
  <c r="O807" i="2"/>
  <c r="N807" i="2"/>
  <c r="M807" i="2"/>
  <c r="L807" i="2"/>
  <c r="W806" i="2"/>
  <c r="V806" i="2"/>
  <c r="U806" i="2"/>
  <c r="T806" i="2"/>
  <c r="S806" i="2"/>
  <c r="R806" i="2"/>
  <c r="Q806" i="2"/>
  <c r="P806" i="2"/>
  <c r="O806" i="2"/>
  <c r="N806" i="2"/>
  <c r="M806" i="2"/>
  <c r="L806" i="2"/>
  <c r="W805" i="2"/>
  <c r="V805" i="2"/>
  <c r="U805" i="2"/>
  <c r="T805" i="2"/>
  <c r="S805" i="2"/>
  <c r="R805" i="2"/>
  <c r="Q805" i="2"/>
  <c r="P805" i="2"/>
  <c r="O805" i="2"/>
  <c r="N805" i="2"/>
  <c r="M805" i="2"/>
  <c r="L805" i="2"/>
  <c r="W804" i="2"/>
  <c r="V804" i="2"/>
  <c r="U804" i="2"/>
  <c r="T804" i="2"/>
  <c r="S804" i="2"/>
  <c r="R804" i="2"/>
  <c r="Q804" i="2"/>
  <c r="P804" i="2"/>
  <c r="O804" i="2"/>
  <c r="N804" i="2"/>
  <c r="M804" i="2"/>
  <c r="L804" i="2"/>
  <c r="AJ944" i="3" s="1"/>
  <c r="W803" i="2"/>
  <c r="V803" i="2"/>
  <c r="U803" i="2"/>
  <c r="T803" i="2"/>
  <c r="S803" i="2"/>
  <c r="R803" i="2"/>
  <c r="Q803" i="2"/>
  <c r="P803" i="2"/>
  <c r="O803" i="2"/>
  <c r="N803" i="2"/>
  <c r="M803" i="2"/>
  <c r="L803" i="2"/>
  <c r="W802" i="2"/>
  <c r="V802" i="2"/>
  <c r="U802" i="2"/>
  <c r="T802" i="2"/>
  <c r="S802" i="2"/>
  <c r="R802" i="2"/>
  <c r="Q802" i="2"/>
  <c r="P802" i="2"/>
  <c r="O802" i="2"/>
  <c r="N802" i="2"/>
  <c r="M802" i="2"/>
  <c r="L802" i="2"/>
  <c r="AJ942" i="3" s="1"/>
  <c r="AM942" i="3" s="1"/>
  <c r="W801" i="2"/>
  <c r="V801" i="2"/>
  <c r="U801" i="2"/>
  <c r="T801" i="2"/>
  <c r="S801" i="2"/>
  <c r="R801" i="2"/>
  <c r="Q801" i="2"/>
  <c r="P801" i="2"/>
  <c r="O801" i="2"/>
  <c r="N801" i="2"/>
  <c r="M801" i="2"/>
  <c r="L801" i="2"/>
  <c r="AJ941" i="3" s="1"/>
  <c r="AM941" i="3" s="1"/>
  <c r="W800" i="2"/>
  <c r="V800" i="2"/>
  <c r="U800" i="2"/>
  <c r="T800" i="2"/>
  <c r="S800" i="2"/>
  <c r="R800" i="2"/>
  <c r="Q800" i="2"/>
  <c r="P800" i="2"/>
  <c r="O800" i="2"/>
  <c r="N800" i="2"/>
  <c r="M800" i="2"/>
  <c r="L800" i="2"/>
  <c r="AJ940" i="3" s="1"/>
  <c r="AM940" i="3" s="1"/>
  <c r="W799" i="2"/>
  <c r="V799" i="2"/>
  <c r="U799" i="2"/>
  <c r="T799" i="2"/>
  <c r="S799" i="2"/>
  <c r="R799" i="2"/>
  <c r="Q799" i="2"/>
  <c r="P799" i="2"/>
  <c r="O799" i="2"/>
  <c r="N799" i="2"/>
  <c r="M799" i="2"/>
  <c r="L799" i="2"/>
  <c r="W798" i="2"/>
  <c r="V798" i="2"/>
  <c r="U798" i="2"/>
  <c r="T798" i="2"/>
  <c r="S798" i="2"/>
  <c r="R798" i="2"/>
  <c r="Q798" i="2"/>
  <c r="P798" i="2"/>
  <c r="O798" i="2"/>
  <c r="N798" i="2"/>
  <c r="M798" i="2"/>
  <c r="L798" i="2"/>
  <c r="AJ938" i="3" s="1"/>
  <c r="AM938" i="3" s="1"/>
  <c r="W797" i="2"/>
  <c r="V797" i="2"/>
  <c r="U797" i="2"/>
  <c r="T797" i="2"/>
  <c r="S797" i="2"/>
  <c r="R797" i="2"/>
  <c r="Q797" i="2"/>
  <c r="P797" i="2"/>
  <c r="O797" i="2"/>
  <c r="N797" i="2"/>
  <c r="M797" i="2"/>
  <c r="L797" i="2"/>
  <c r="W796" i="2"/>
  <c r="V796" i="2"/>
  <c r="U796" i="2"/>
  <c r="T796" i="2"/>
  <c r="S796" i="2"/>
  <c r="R796" i="2"/>
  <c r="Q796" i="2"/>
  <c r="P796" i="2"/>
  <c r="O796" i="2"/>
  <c r="N796" i="2"/>
  <c r="M796" i="2"/>
  <c r="L796" i="2"/>
  <c r="AJ936" i="3" s="1"/>
  <c r="AM936" i="3" s="1"/>
  <c r="W795" i="2"/>
  <c r="V795" i="2"/>
  <c r="U795" i="2"/>
  <c r="T795" i="2"/>
  <c r="S795" i="2"/>
  <c r="R795" i="2"/>
  <c r="Q795" i="2"/>
  <c r="P795" i="2"/>
  <c r="O795" i="2"/>
  <c r="N795" i="2"/>
  <c r="M795" i="2"/>
  <c r="L795" i="2"/>
  <c r="W794" i="2"/>
  <c r="V794" i="2"/>
  <c r="U794" i="2"/>
  <c r="T794" i="2"/>
  <c r="S794" i="2"/>
  <c r="R794" i="2"/>
  <c r="Q794" i="2"/>
  <c r="P794" i="2"/>
  <c r="O794" i="2"/>
  <c r="N794" i="2"/>
  <c r="M794" i="2"/>
  <c r="L794" i="2"/>
  <c r="AJ934" i="3" s="1"/>
  <c r="AM934" i="3" s="1"/>
  <c r="W793" i="2"/>
  <c r="V793" i="2"/>
  <c r="U793" i="2"/>
  <c r="T793" i="2"/>
  <c r="S793" i="2"/>
  <c r="R793" i="2"/>
  <c r="Q793" i="2"/>
  <c r="P793" i="2"/>
  <c r="O793" i="2"/>
  <c r="N793" i="2"/>
  <c r="M793" i="2"/>
  <c r="L793" i="2"/>
  <c r="AJ933" i="3" s="1"/>
  <c r="AM933" i="3" s="1"/>
  <c r="W792" i="2"/>
  <c r="V792" i="2"/>
  <c r="U792" i="2"/>
  <c r="T792" i="2"/>
  <c r="S792" i="2"/>
  <c r="R792" i="2"/>
  <c r="Q792" i="2"/>
  <c r="P792" i="2"/>
  <c r="O792" i="2"/>
  <c r="N792" i="2"/>
  <c r="M792" i="2"/>
  <c r="L792" i="2"/>
  <c r="AJ932" i="3" s="1"/>
  <c r="AM932" i="3" s="1"/>
  <c r="W791" i="2"/>
  <c r="V791" i="2"/>
  <c r="U791" i="2"/>
  <c r="T791" i="2"/>
  <c r="S791" i="2"/>
  <c r="R791" i="2"/>
  <c r="Q791" i="2"/>
  <c r="P791" i="2"/>
  <c r="O791" i="2"/>
  <c r="N791" i="2"/>
  <c r="M791" i="2"/>
  <c r="L791" i="2"/>
  <c r="W790" i="2"/>
  <c r="V790" i="2"/>
  <c r="U790" i="2"/>
  <c r="T790" i="2"/>
  <c r="S790" i="2"/>
  <c r="R790" i="2"/>
  <c r="Q790" i="2"/>
  <c r="P790" i="2"/>
  <c r="O790" i="2"/>
  <c r="N790" i="2"/>
  <c r="M790" i="2"/>
  <c r="L790" i="2"/>
  <c r="AJ930" i="3" s="1"/>
  <c r="AM930" i="3" s="1"/>
  <c r="W789" i="2"/>
  <c r="V789" i="2"/>
  <c r="U789" i="2"/>
  <c r="T789" i="2"/>
  <c r="S789" i="2"/>
  <c r="R789" i="2"/>
  <c r="Q789" i="2"/>
  <c r="P789" i="2"/>
  <c r="O789" i="2"/>
  <c r="N789" i="2"/>
  <c r="M789" i="2"/>
  <c r="L789" i="2"/>
  <c r="W788" i="2"/>
  <c r="V788" i="2"/>
  <c r="U788" i="2"/>
  <c r="T788" i="2"/>
  <c r="S788" i="2"/>
  <c r="R788" i="2"/>
  <c r="Q788" i="2"/>
  <c r="P788" i="2"/>
  <c r="O788" i="2"/>
  <c r="N788" i="2"/>
  <c r="M788" i="2"/>
  <c r="L788" i="2"/>
  <c r="AJ928" i="3" s="1"/>
  <c r="AM928" i="3" s="1"/>
  <c r="W787" i="2"/>
  <c r="V787" i="2"/>
  <c r="U787" i="2"/>
  <c r="T787" i="2"/>
  <c r="S787" i="2"/>
  <c r="R787" i="2"/>
  <c r="Q787" i="2"/>
  <c r="P787" i="2"/>
  <c r="O787" i="2"/>
  <c r="N787" i="2"/>
  <c r="M787" i="2"/>
  <c r="L787" i="2"/>
  <c r="W786" i="2"/>
  <c r="V786" i="2"/>
  <c r="U786" i="2"/>
  <c r="T786" i="2"/>
  <c r="S786" i="2"/>
  <c r="R786" i="2"/>
  <c r="Q786" i="2"/>
  <c r="P786" i="2"/>
  <c r="O786" i="2"/>
  <c r="N786" i="2"/>
  <c r="M786" i="2"/>
  <c r="L786" i="2"/>
  <c r="AJ926" i="3" s="1"/>
  <c r="AM926" i="3" s="1"/>
  <c r="W785" i="2"/>
  <c r="V785" i="2"/>
  <c r="U785" i="2"/>
  <c r="T785" i="2"/>
  <c r="S785" i="2"/>
  <c r="R785" i="2"/>
  <c r="Q785" i="2"/>
  <c r="P785" i="2"/>
  <c r="O785" i="2"/>
  <c r="N785" i="2"/>
  <c r="M785" i="2"/>
  <c r="L785" i="2"/>
  <c r="AJ925" i="3" s="1"/>
  <c r="AM925" i="3" s="1"/>
  <c r="W784" i="2"/>
  <c r="V784" i="2"/>
  <c r="U784" i="2"/>
  <c r="T784" i="2"/>
  <c r="S784" i="2"/>
  <c r="R784" i="2"/>
  <c r="Q784" i="2"/>
  <c r="P784" i="2"/>
  <c r="O784" i="2"/>
  <c r="N784" i="2"/>
  <c r="M784" i="2"/>
  <c r="L784" i="2"/>
  <c r="AJ924" i="3" s="1"/>
  <c r="AM924" i="3" s="1"/>
  <c r="W783" i="2"/>
  <c r="V783" i="2"/>
  <c r="U783" i="2"/>
  <c r="T783" i="2"/>
  <c r="S783" i="2"/>
  <c r="R783" i="2"/>
  <c r="Q783" i="2"/>
  <c r="P783" i="2"/>
  <c r="O783" i="2"/>
  <c r="N783" i="2"/>
  <c r="M783" i="2"/>
  <c r="L783" i="2"/>
  <c r="W782" i="2"/>
  <c r="V782" i="2"/>
  <c r="U782" i="2"/>
  <c r="T782" i="2"/>
  <c r="S782" i="2"/>
  <c r="R782" i="2"/>
  <c r="Q782" i="2"/>
  <c r="P782" i="2"/>
  <c r="O782" i="2"/>
  <c r="N782" i="2"/>
  <c r="M782" i="2"/>
  <c r="L782" i="2"/>
  <c r="AJ922" i="3" s="1"/>
  <c r="AM922" i="3" s="1"/>
  <c r="W781" i="2"/>
  <c r="V781" i="2"/>
  <c r="U781" i="2"/>
  <c r="T781" i="2"/>
  <c r="S781" i="2"/>
  <c r="R781" i="2"/>
  <c r="Q781" i="2"/>
  <c r="P781" i="2"/>
  <c r="O781" i="2"/>
  <c r="N781" i="2"/>
  <c r="M781" i="2"/>
  <c r="L781" i="2"/>
  <c r="W780" i="2"/>
  <c r="V780" i="2"/>
  <c r="U780" i="2"/>
  <c r="T780" i="2"/>
  <c r="S780" i="2"/>
  <c r="R780" i="2"/>
  <c r="Q780" i="2"/>
  <c r="P780" i="2"/>
  <c r="O780" i="2"/>
  <c r="N780" i="2"/>
  <c r="M780" i="2"/>
  <c r="L780" i="2"/>
  <c r="AJ920" i="3" s="1"/>
  <c r="AM920" i="3" s="1"/>
  <c r="W779" i="2"/>
  <c r="V779" i="2"/>
  <c r="U779" i="2"/>
  <c r="T779" i="2"/>
  <c r="S779" i="2"/>
  <c r="R779" i="2"/>
  <c r="Q779" i="2"/>
  <c r="P779" i="2"/>
  <c r="O779" i="2"/>
  <c r="N779" i="2"/>
  <c r="M779" i="2"/>
  <c r="L779" i="2"/>
  <c r="W778" i="2"/>
  <c r="V778" i="2"/>
  <c r="U778" i="2"/>
  <c r="T778" i="2"/>
  <c r="S778" i="2"/>
  <c r="R778" i="2"/>
  <c r="Q778" i="2"/>
  <c r="P778" i="2"/>
  <c r="O778" i="2"/>
  <c r="N778" i="2"/>
  <c r="M778" i="2"/>
  <c r="L778" i="2"/>
  <c r="AJ918" i="3" s="1"/>
  <c r="AM918" i="3" s="1"/>
  <c r="W777" i="2"/>
  <c r="V777" i="2"/>
  <c r="U777" i="2"/>
  <c r="T777" i="2"/>
  <c r="S777" i="2"/>
  <c r="R777" i="2"/>
  <c r="Q777" i="2"/>
  <c r="P777" i="2"/>
  <c r="O777" i="2"/>
  <c r="N777" i="2"/>
  <c r="M777" i="2"/>
  <c r="L777" i="2"/>
  <c r="AJ917" i="3" s="1"/>
  <c r="AM917" i="3" s="1"/>
  <c r="W776" i="2"/>
  <c r="V776" i="2"/>
  <c r="U776" i="2"/>
  <c r="T776" i="2"/>
  <c r="S776" i="2"/>
  <c r="R776" i="2"/>
  <c r="Q776" i="2"/>
  <c r="P776" i="2"/>
  <c r="O776" i="2"/>
  <c r="N776" i="2"/>
  <c r="M776" i="2"/>
  <c r="L776" i="2"/>
  <c r="W775" i="2"/>
  <c r="V775" i="2"/>
  <c r="U775" i="2"/>
  <c r="T775" i="2"/>
  <c r="S775" i="2"/>
  <c r="R775" i="2"/>
  <c r="Q775" i="2"/>
  <c r="P775" i="2"/>
  <c r="O775" i="2"/>
  <c r="N775" i="2"/>
  <c r="M775" i="2"/>
  <c r="L775" i="2"/>
  <c r="AJ915" i="3" s="1"/>
  <c r="AM915" i="3" s="1"/>
  <c r="W774" i="2"/>
  <c r="V774" i="2"/>
  <c r="U774" i="2"/>
  <c r="T774" i="2"/>
  <c r="S774" i="2"/>
  <c r="R774" i="2"/>
  <c r="Q774" i="2"/>
  <c r="P774" i="2"/>
  <c r="O774" i="2"/>
  <c r="N774" i="2"/>
  <c r="M774" i="2"/>
  <c r="L774" i="2"/>
  <c r="W773" i="2"/>
  <c r="V773" i="2"/>
  <c r="U773" i="2"/>
  <c r="T773" i="2"/>
  <c r="S773" i="2"/>
  <c r="R773" i="2"/>
  <c r="Q773" i="2"/>
  <c r="P773" i="2"/>
  <c r="O773" i="2"/>
  <c r="N773" i="2"/>
  <c r="M773" i="2"/>
  <c r="L773" i="2"/>
  <c r="AJ913" i="3" s="1"/>
  <c r="AM913" i="3" s="1"/>
  <c r="W772" i="2"/>
  <c r="V772" i="2"/>
  <c r="U772" i="2"/>
  <c r="T772" i="2"/>
  <c r="S772" i="2"/>
  <c r="R772" i="2"/>
  <c r="Q772" i="2"/>
  <c r="P772" i="2"/>
  <c r="O772" i="2"/>
  <c r="N772" i="2"/>
  <c r="M772" i="2"/>
  <c r="L772" i="2"/>
  <c r="W771" i="2"/>
  <c r="V771" i="2"/>
  <c r="U771" i="2"/>
  <c r="T771" i="2"/>
  <c r="S771" i="2"/>
  <c r="R771" i="2"/>
  <c r="Q771" i="2"/>
  <c r="P771" i="2"/>
  <c r="O771" i="2"/>
  <c r="N771" i="2"/>
  <c r="M771" i="2"/>
  <c r="L771" i="2"/>
  <c r="AJ911" i="3" s="1"/>
  <c r="AM911" i="3" s="1"/>
  <c r="W770" i="2"/>
  <c r="V770" i="2"/>
  <c r="U770" i="2"/>
  <c r="T770" i="2"/>
  <c r="S770" i="2"/>
  <c r="R770" i="2"/>
  <c r="Q770" i="2"/>
  <c r="P770" i="2"/>
  <c r="O770" i="2"/>
  <c r="N770" i="2"/>
  <c r="M770" i="2"/>
  <c r="L770" i="2"/>
  <c r="W769" i="2"/>
  <c r="V769" i="2"/>
  <c r="U769" i="2"/>
  <c r="T769" i="2"/>
  <c r="S769" i="2"/>
  <c r="R769" i="2"/>
  <c r="Q769" i="2"/>
  <c r="P769" i="2"/>
  <c r="O769" i="2"/>
  <c r="N769" i="2"/>
  <c r="M769" i="2"/>
  <c r="L769" i="2"/>
  <c r="W768" i="2"/>
  <c r="V768" i="2"/>
  <c r="U768" i="2"/>
  <c r="T768" i="2"/>
  <c r="S768" i="2"/>
  <c r="R768" i="2"/>
  <c r="Q768" i="2"/>
  <c r="P768" i="2"/>
  <c r="O768" i="2"/>
  <c r="N768" i="2"/>
  <c r="M768" i="2"/>
  <c r="L768" i="2"/>
  <c r="W767" i="2"/>
  <c r="V767" i="2"/>
  <c r="U767" i="2"/>
  <c r="T767" i="2"/>
  <c r="S767" i="2"/>
  <c r="R767" i="2"/>
  <c r="Q767" i="2"/>
  <c r="P767" i="2"/>
  <c r="O767" i="2"/>
  <c r="N767" i="2"/>
  <c r="M767" i="2"/>
  <c r="L767" i="2"/>
  <c r="W766" i="2"/>
  <c r="V766" i="2"/>
  <c r="U766" i="2"/>
  <c r="T766" i="2"/>
  <c r="S766" i="2"/>
  <c r="R766" i="2"/>
  <c r="Q766" i="2"/>
  <c r="P766" i="2"/>
  <c r="O766" i="2"/>
  <c r="N766" i="2"/>
  <c r="M766" i="2"/>
  <c r="L766" i="2"/>
  <c r="AJ906" i="3" s="1"/>
  <c r="AM906" i="3" s="1"/>
  <c r="W765" i="2"/>
  <c r="V765" i="2"/>
  <c r="U765" i="2"/>
  <c r="T765" i="2"/>
  <c r="S765" i="2"/>
  <c r="R765" i="2"/>
  <c r="Q765" i="2"/>
  <c r="P765" i="2"/>
  <c r="O765" i="2"/>
  <c r="N765" i="2"/>
  <c r="M765" i="2"/>
  <c r="L765" i="2"/>
  <c r="W764" i="2"/>
  <c r="V764" i="2"/>
  <c r="U764" i="2"/>
  <c r="T764" i="2"/>
  <c r="S764" i="2"/>
  <c r="R764" i="2"/>
  <c r="Q764" i="2"/>
  <c r="P764" i="2"/>
  <c r="O764" i="2"/>
  <c r="N764" i="2"/>
  <c r="M764" i="2"/>
  <c r="L764" i="2"/>
  <c r="AJ904" i="3" s="1"/>
  <c r="AM904" i="3" s="1"/>
  <c r="W763" i="2"/>
  <c r="V763" i="2"/>
  <c r="U763" i="2"/>
  <c r="T763" i="2"/>
  <c r="S763" i="2"/>
  <c r="R763" i="2"/>
  <c r="Q763" i="2"/>
  <c r="P763" i="2"/>
  <c r="O763" i="2"/>
  <c r="N763" i="2"/>
  <c r="M763" i="2"/>
  <c r="L763" i="2"/>
  <c r="W762" i="2"/>
  <c r="V762" i="2"/>
  <c r="U762" i="2"/>
  <c r="T762" i="2"/>
  <c r="S762" i="2"/>
  <c r="R762" i="2"/>
  <c r="Q762" i="2"/>
  <c r="P762" i="2"/>
  <c r="O762" i="2"/>
  <c r="N762" i="2"/>
  <c r="M762" i="2"/>
  <c r="L762" i="2"/>
  <c r="W761" i="2"/>
  <c r="V761" i="2"/>
  <c r="U761" i="2"/>
  <c r="T761" i="2"/>
  <c r="S761" i="2"/>
  <c r="R761" i="2"/>
  <c r="Q761" i="2"/>
  <c r="P761" i="2"/>
  <c r="O761" i="2"/>
  <c r="N761" i="2"/>
  <c r="M761" i="2"/>
  <c r="L761" i="2"/>
  <c r="AJ901" i="3" s="1"/>
  <c r="AM901" i="3" s="1"/>
  <c r="W760" i="2"/>
  <c r="V760" i="2"/>
  <c r="U760" i="2"/>
  <c r="T760" i="2"/>
  <c r="S760" i="2"/>
  <c r="R760" i="2"/>
  <c r="Q760" i="2"/>
  <c r="P760" i="2"/>
  <c r="O760" i="2"/>
  <c r="N760" i="2"/>
  <c r="M760" i="2"/>
  <c r="L760" i="2"/>
  <c r="W759" i="2"/>
  <c r="V759" i="2"/>
  <c r="U759" i="2"/>
  <c r="T759" i="2"/>
  <c r="S759" i="2"/>
  <c r="R759" i="2"/>
  <c r="Q759" i="2"/>
  <c r="P759" i="2"/>
  <c r="O759" i="2"/>
  <c r="N759" i="2"/>
  <c r="M759" i="2"/>
  <c r="L759" i="2"/>
  <c r="W758" i="2"/>
  <c r="V758" i="2"/>
  <c r="U758" i="2"/>
  <c r="T758" i="2"/>
  <c r="S758" i="2"/>
  <c r="R758" i="2"/>
  <c r="Q758" i="2"/>
  <c r="P758" i="2"/>
  <c r="O758" i="2"/>
  <c r="N758" i="2"/>
  <c r="M758" i="2"/>
  <c r="L758" i="2"/>
  <c r="W757" i="2"/>
  <c r="V757" i="2"/>
  <c r="U757" i="2"/>
  <c r="T757" i="2"/>
  <c r="S757" i="2"/>
  <c r="R757" i="2"/>
  <c r="Q757" i="2"/>
  <c r="P757" i="2"/>
  <c r="O757" i="2"/>
  <c r="N757" i="2"/>
  <c r="M757" i="2"/>
  <c r="L757" i="2"/>
  <c r="W756" i="2"/>
  <c r="V756" i="2"/>
  <c r="U756" i="2"/>
  <c r="T756" i="2"/>
  <c r="S756" i="2"/>
  <c r="R756" i="2"/>
  <c r="Q756" i="2"/>
  <c r="P756" i="2"/>
  <c r="O756" i="2"/>
  <c r="N756" i="2"/>
  <c r="M756" i="2"/>
  <c r="L756" i="2"/>
  <c r="AJ896" i="3" s="1"/>
  <c r="AM896" i="3" s="1"/>
  <c r="W755" i="2"/>
  <c r="V755" i="2"/>
  <c r="U755" i="2"/>
  <c r="T755" i="2"/>
  <c r="S755" i="2"/>
  <c r="R755" i="2"/>
  <c r="Q755" i="2"/>
  <c r="P755" i="2"/>
  <c r="O755" i="2"/>
  <c r="N755" i="2"/>
  <c r="M755" i="2"/>
  <c r="L755" i="2"/>
  <c r="W754" i="2"/>
  <c r="V754" i="2"/>
  <c r="U754" i="2"/>
  <c r="T754" i="2"/>
  <c r="S754" i="2"/>
  <c r="R754" i="2"/>
  <c r="Q754" i="2"/>
  <c r="P754" i="2"/>
  <c r="O754" i="2"/>
  <c r="N754" i="2"/>
  <c r="M754" i="2"/>
  <c r="L754" i="2"/>
  <c r="W753" i="2"/>
  <c r="V753" i="2"/>
  <c r="U753" i="2"/>
  <c r="T753" i="2"/>
  <c r="S753" i="2"/>
  <c r="R753" i="2"/>
  <c r="Q753" i="2"/>
  <c r="P753" i="2"/>
  <c r="O753" i="2"/>
  <c r="N753" i="2"/>
  <c r="M753" i="2"/>
  <c r="L753" i="2"/>
  <c r="AJ893" i="3" s="1"/>
  <c r="AM893" i="3" s="1"/>
  <c r="W752" i="2"/>
  <c r="V752" i="2"/>
  <c r="U752" i="2"/>
  <c r="T752" i="2"/>
  <c r="S752" i="2"/>
  <c r="R752" i="2"/>
  <c r="Q752" i="2"/>
  <c r="P752" i="2"/>
  <c r="O752" i="2"/>
  <c r="N752" i="2"/>
  <c r="M752" i="2"/>
  <c r="L752" i="2"/>
  <c r="W751" i="2"/>
  <c r="V751" i="2"/>
  <c r="U751" i="2"/>
  <c r="T751" i="2"/>
  <c r="S751" i="2"/>
  <c r="R751" i="2"/>
  <c r="Q751" i="2"/>
  <c r="P751" i="2"/>
  <c r="O751" i="2"/>
  <c r="N751" i="2"/>
  <c r="M751" i="2"/>
  <c r="L751" i="2"/>
  <c r="AJ891" i="3" s="1"/>
  <c r="AM891" i="3" s="1"/>
  <c r="W750" i="2"/>
  <c r="V750" i="2"/>
  <c r="U750" i="2"/>
  <c r="T750" i="2"/>
  <c r="S750" i="2"/>
  <c r="R750" i="2"/>
  <c r="Q750" i="2"/>
  <c r="P750" i="2"/>
  <c r="O750" i="2"/>
  <c r="N750" i="2"/>
  <c r="M750" i="2"/>
  <c r="L750" i="2"/>
  <c r="W749" i="2"/>
  <c r="V749" i="2"/>
  <c r="U749" i="2"/>
  <c r="T749" i="2"/>
  <c r="S749" i="2"/>
  <c r="R749" i="2"/>
  <c r="Q749" i="2"/>
  <c r="P749" i="2"/>
  <c r="O749" i="2"/>
  <c r="N749" i="2"/>
  <c r="M749" i="2"/>
  <c r="L749" i="2"/>
  <c r="W748" i="2"/>
  <c r="V748" i="2"/>
  <c r="U748" i="2"/>
  <c r="T748" i="2"/>
  <c r="S748" i="2"/>
  <c r="R748" i="2"/>
  <c r="Q748" i="2"/>
  <c r="P748" i="2"/>
  <c r="O748" i="2"/>
  <c r="N748" i="2"/>
  <c r="M748" i="2"/>
  <c r="L748" i="2"/>
  <c r="W747" i="2"/>
  <c r="V747" i="2"/>
  <c r="U747" i="2"/>
  <c r="T747" i="2"/>
  <c r="S747" i="2"/>
  <c r="R747" i="2"/>
  <c r="Q747" i="2"/>
  <c r="P747" i="2"/>
  <c r="O747" i="2"/>
  <c r="N747" i="2"/>
  <c r="M747" i="2"/>
  <c r="L747" i="2"/>
  <c r="W746" i="2"/>
  <c r="V746" i="2"/>
  <c r="U746" i="2"/>
  <c r="T746" i="2"/>
  <c r="S746" i="2"/>
  <c r="R746" i="2"/>
  <c r="Q746" i="2"/>
  <c r="P746" i="2"/>
  <c r="O746" i="2"/>
  <c r="N746" i="2"/>
  <c r="M746" i="2"/>
  <c r="L746" i="2"/>
  <c r="AJ886" i="3" s="1"/>
  <c r="W745" i="2"/>
  <c r="V745" i="2"/>
  <c r="U745" i="2"/>
  <c r="T745" i="2"/>
  <c r="S745" i="2"/>
  <c r="R745" i="2"/>
  <c r="Q745" i="2"/>
  <c r="P745" i="2"/>
  <c r="O745" i="2"/>
  <c r="N745" i="2"/>
  <c r="M745" i="2"/>
  <c r="L745" i="2"/>
  <c r="W744" i="2"/>
  <c r="V744" i="2"/>
  <c r="U744" i="2"/>
  <c r="T744" i="2"/>
  <c r="S744" i="2"/>
  <c r="R744" i="2"/>
  <c r="Q744" i="2"/>
  <c r="P744" i="2"/>
  <c r="O744" i="2"/>
  <c r="N744" i="2"/>
  <c r="M744" i="2"/>
  <c r="L744" i="2"/>
  <c r="W743" i="2"/>
  <c r="V743" i="2"/>
  <c r="U743" i="2"/>
  <c r="T743" i="2"/>
  <c r="S743" i="2"/>
  <c r="R743" i="2"/>
  <c r="Q743" i="2"/>
  <c r="P743" i="2"/>
  <c r="O743" i="2"/>
  <c r="N743" i="2"/>
  <c r="M743" i="2"/>
  <c r="L743" i="2"/>
  <c r="W742" i="2"/>
  <c r="V742" i="2"/>
  <c r="U742" i="2"/>
  <c r="T742" i="2"/>
  <c r="S742" i="2"/>
  <c r="R742" i="2"/>
  <c r="Q742" i="2"/>
  <c r="P742" i="2"/>
  <c r="O742" i="2"/>
  <c r="N742" i="2"/>
  <c r="M742" i="2"/>
  <c r="L742" i="2"/>
  <c r="W741" i="2"/>
  <c r="V741" i="2"/>
  <c r="U741" i="2"/>
  <c r="T741" i="2"/>
  <c r="S741" i="2"/>
  <c r="R741" i="2"/>
  <c r="Q741" i="2"/>
  <c r="P741" i="2"/>
  <c r="O741" i="2"/>
  <c r="N741" i="2"/>
  <c r="M741" i="2"/>
  <c r="L741" i="2"/>
  <c r="W740" i="2"/>
  <c r="V740" i="2"/>
  <c r="U740" i="2"/>
  <c r="T740" i="2"/>
  <c r="S740" i="2"/>
  <c r="R740" i="2"/>
  <c r="Q740" i="2"/>
  <c r="P740" i="2"/>
  <c r="O740" i="2"/>
  <c r="N740" i="2"/>
  <c r="M740" i="2"/>
  <c r="L740" i="2"/>
  <c r="AJ880" i="3" s="1"/>
  <c r="AM880" i="3" s="1"/>
  <c r="W739" i="2"/>
  <c r="V739" i="2"/>
  <c r="U739" i="2"/>
  <c r="T739" i="2"/>
  <c r="S739" i="2"/>
  <c r="R739" i="2"/>
  <c r="Q739" i="2"/>
  <c r="P739" i="2"/>
  <c r="O739" i="2"/>
  <c r="N739" i="2"/>
  <c r="M739" i="2"/>
  <c r="L739" i="2"/>
  <c r="AJ879" i="3" s="1"/>
  <c r="AM879" i="3" s="1"/>
  <c r="W738" i="2"/>
  <c r="V738" i="2"/>
  <c r="U738" i="2"/>
  <c r="T738" i="2"/>
  <c r="S738" i="2"/>
  <c r="R738" i="2"/>
  <c r="Q738" i="2"/>
  <c r="P738" i="2"/>
  <c r="O738" i="2"/>
  <c r="N738" i="2"/>
  <c r="M738" i="2"/>
  <c r="L738" i="2"/>
  <c r="W737" i="2"/>
  <c r="V737" i="2"/>
  <c r="U737" i="2"/>
  <c r="T737" i="2"/>
  <c r="S737" i="2"/>
  <c r="R737" i="2"/>
  <c r="Q737" i="2"/>
  <c r="P737" i="2"/>
  <c r="O737" i="2"/>
  <c r="N737" i="2"/>
  <c r="M737" i="2"/>
  <c r="L737" i="2"/>
  <c r="AJ877" i="3" s="1"/>
  <c r="AM877" i="3" s="1"/>
  <c r="W736" i="2"/>
  <c r="V736" i="2"/>
  <c r="U736" i="2"/>
  <c r="T736" i="2"/>
  <c r="S736" i="2"/>
  <c r="R736" i="2"/>
  <c r="Q736" i="2"/>
  <c r="P736" i="2"/>
  <c r="O736" i="2"/>
  <c r="N736" i="2"/>
  <c r="M736" i="2"/>
  <c r="L736" i="2"/>
  <c r="W735" i="2"/>
  <c r="V735" i="2"/>
  <c r="U735" i="2"/>
  <c r="T735" i="2"/>
  <c r="S735" i="2"/>
  <c r="R735" i="2"/>
  <c r="Q735" i="2"/>
  <c r="P735" i="2"/>
  <c r="O735" i="2"/>
  <c r="N735" i="2"/>
  <c r="M735" i="2"/>
  <c r="L735" i="2"/>
  <c r="AJ875" i="3" s="1"/>
  <c r="AM875" i="3" s="1"/>
  <c r="W734" i="2"/>
  <c r="V734" i="2"/>
  <c r="U734" i="2"/>
  <c r="T734" i="2"/>
  <c r="S734" i="2"/>
  <c r="R734" i="2"/>
  <c r="Q734" i="2"/>
  <c r="P734" i="2"/>
  <c r="O734" i="2"/>
  <c r="N734" i="2"/>
  <c r="M734" i="2"/>
  <c r="L734" i="2"/>
  <c r="W733" i="2"/>
  <c r="V733" i="2"/>
  <c r="U733" i="2"/>
  <c r="T733" i="2"/>
  <c r="S733" i="2"/>
  <c r="R733" i="2"/>
  <c r="Q733" i="2"/>
  <c r="P733" i="2"/>
  <c r="O733" i="2"/>
  <c r="N733" i="2"/>
  <c r="M733" i="2"/>
  <c r="L733" i="2"/>
  <c r="AJ873" i="3" s="1"/>
  <c r="AM873" i="3" s="1"/>
  <c r="W732" i="2"/>
  <c r="V732" i="2"/>
  <c r="U732" i="2"/>
  <c r="T732" i="2"/>
  <c r="S732" i="2"/>
  <c r="R732" i="2"/>
  <c r="Q732" i="2"/>
  <c r="P732" i="2"/>
  <c r="O732" i="2"/>
  <c r="N732" i="2"/>
  <c r="M732" i="2"/>
  <c r="L732" i="2"/>
  <c r="W731" i="2"/>
  <c r="V731" i="2"/>
  <c r="U731" i="2"/>
  <c r="T731" i="2"/>
  <c r="S731" i="2"/>
  <c r="R731" i="2"/>
  <c r="Q731" i="2"/>
  <c r="P731" i="2"/>
  <c r="O731" i="2"/>
  <c r="N731" i="2"/>
  <c r="M731" i="2"/>
  <c r="L731" i="2"/>
  <c r="AJ871" i="3" s="1"/>
  <c r="AM871" i="3" s="1"/>
  <c r="W730" i="2"/>
  <c r="V730" i="2"/>
  <c r="U730" i="2"/>
  <c r="T730" i="2"/>
  <c r="S730" i="2"/>
  <c r="R730" i="2"/>
  <c r="Q730" i="2"/>
  <c r="P730" i="2"/>
  <c r="O730" i="2"/>
  <c r="N730" i="2"/>
  <c r="M730" i="2"/>
  <c r="L730" i="2"/>
  <c r="W729" i="2"/>
  <c r="V729" i="2"/>
  <c r="U729" i="2"/>
  <c r="T729" i="2"/>
  <c r="S729" i="2"/>
  <c r="R729" i="2"/>
  <c r="Q729" i="2"/>
  <c r="P729" i="2"/>
  <c r="O729" i="2"/>
  <c r="N729" i="2"/>
  <c r="M729" i="2"/>
  <c r="L729" i="2"/>
  <c r="W728" i="2"/>
  <c r="V728" i="2"/>
  <c r="U728" i="2"/>
  <c r="T728" i="2"/>
  <c r="S728" i="2"/>
  <c r="R728" i="2"/>
  <c r="Q728" i="2"/>
  <c r="P728" i="2"/>
  <c r="O728" i="2"/>
  <c r="N728" i="2"/>
  <c r="M728" i="2"/>
  <c r="L728" i="2"/>
  <c r="AJ868" i="3" s="1"/>
  <c r="AM868" i="3" s="1"/>
  <c r="W727" i="2"/>
  <c r="V727" i="2"/>
  <c r="U727" i="2"/>
  <c r="T727" i="2"/>
  <c r="S727" i="2"/>
  <c r="R727" i="2"/>
  <c r="Q727" i="2"/>
  <c r="P727" i="2"/>
  <c r="O727" i="2"/>
  <c r="N727" i="2"/>
  <c r="M727" i="2"/>
  <c r="L727" i="2"/>
  <c r="AJ867" i="3" s="1"/>
  <c r="AM867" i="3" s="1"/>
  <c r="W726" i="2"/>
  <c r="V726" i="2"/>
  <c r="U726" i="2"/>
  <c r="T726" i="2"/>
  <c r="S726" i="2"/>
  <c r="R726" i="2"/>
  <c r="Q726" i="2"/>
  <c r="P726" i="2"/>
  <c r="O726" i="2"/>
  <c r="N726" i="2"/>
  <c r="M726" i="2"/>
  <c r="L726" i="2"/>
  <c r="AJ866" i="3" s="1"/>
  <c r="AM866" i="3" s="1"/>
  <c r="W725" i="2"/>
  <c r="V725" i="2"/>
  <c r="U725" i="2"/>
  <c r="T725" i="2"/>
  <c r="S725" i="2"/>
  <c r="R725" i="2"/>
  <c r="Q725" i="2"/>
  <c r="P725" i="2"/>
  <c r="O725" i="2"/>
  <c r="N725" i="2"/>
  <c r="M725" i="2"/>
  <c r="L725" i="2"/>
  <c r="W724" i="2"/>
  <c r="V724" i="2"/>
  <c r="U724" i="2"/>
  <c r="T724" i="2"/>
  <c r="S724" i="2"/>
  <c r="R724" i="2"/>
  <c r="Q724" i="2"/>
  <c r="P724" i="2"/>
  <c r="O724" i="2"/>
  <c r="N724" i="2"/>
  <c r="M724" i="2"/>
  <c r="L724" i="2"/>
  <c r="AJ864" i="3" s="1"/>
  <c r="AM864" i="3" s="1"/>
  <c r="W723" i="2"/>
  <c r="V723" i="2"/>
  <c r="U723" i="2"/>
  <c r="T723" i="2"/>
  <c r="S723" i="2"/>
  <c r="R723" i="2"/>
  <c r="Q723" i="2"/>
  <c r="P723" i="2"/>
  <c r="O723" i="2"/>
  <c r="N723" i="2"/>
  <c r="M723" i="2"/>
  <c r="L723" i="2"/>
  <c r="W722" i="2"/>
  <c r="V722" i="2"/>
  <c r="U722" i="2"/>
  <c r="T722" i="2"/>
  <c r="S722" i="2"/>
  <c r="R722" i="2"/>
  <c r="Q722" i="2"/>
  <c r="P722" i="2"/>
  <c r="O722" i="2"/>
  <c r="N722" i="2"/>
  <c r="M722" i="2"/>
  <c r="L722" i="2"/>
  <c r="AJ862" i="3" s="1"/>
  <c r="AM862" i="3" s="1"/>
  <c r="W721" i="2"/>
  <c r="V721" i="2"/>
  <c r="U721" i="2"/>
  <c r="T721" i="2"/>
  <c r="S721" i="2"/>
  <c r="R721" i="2"/>
  <c r="Q721" i="2"/>
  <c r="P721" i="2"/>
  <c r="O721" i="2"/>
  <c r="N721" i="2"/>
  <c r="M721" i="2"/>
  <c r="L721" i="2"/>
  <c r="W720" i="2"/>
  <c r="V720" i="2"/>
  <c r="U720" i="2"/>
  <c r="T720" i="2"/>
  <c r="S720" i="2"/>
  <c r="R720" i="2"/>
  <c r="Q720" i="2"/>
  <c r="P720" i="2"/>
  <c r="O720" i="2"/>
  <c r="N720" i="2"/>
  <c r="M720" i="2"/>
  <c r="L720" i="2"/>
  <c r="W719" i="2"/>
  <c r="V719" i="2"/>
  <c r="U719" i="2"/>
  <c r="T719" i="2"/>
  <c r="S719" i="2"/>
  <c r="R719" i="2"/>
  <c r="Q719" i="2"/>
  <c r="P719" i="2"/>
  <c r="O719" i="2"/>
  <c r="N719" i="2"/>
  <c r="M719" i="2"/>
  <c r="L719" i="2"/>
  <c r="AJ859" i="3" s="1"/>
  <c r="AM859" i="3" s="1"/>
  <c r="W718" i="2"/>
  <c r="V718" i="2"/>
  <c r="U718" i="2"/>
  <c r="T718" i="2"/>
  <c r="S718" i="2"/>
  <c r="R718" i="2"/>
  <c r="Q718" i="2"/>
  <c r="P718" i="2"/>
  <c r="O718" i="2"/>
  <c r="N718" i="2"/>
  <c r="M718" i="2"/>
  <c r="L718" i="2"/>
  <c r="AJ858" i="3" s="1"/>
  <c r="AM858" i="3" s="1"/>
  <c r="W717" i="2"/>
  <c r="V717" i="2"/>
  <c r="U717" i="2"/>
  <c r="T717" i="2"/>
  <c r="S717" i="2"/>
  <c r="R717" i="2"/>
  <c r="Q717" i="2"/>
  <c r="P717" i="2"/>
  <c r="O717" i="2"/>
  <c r="N717" i="2"/>
  <c r="M717" i="2"/>
  <c r="L717" i="2"/>
  <c r="W716" i="2"/>
  <c r="V716" i="2"/>
  <c r="U716" i="2"/>
  <c r="T716" i="2"/>
  <c r="S716" i="2"/>
  <c r="R716" i="2"/>
  <c r="Q716" i="2"/>
  <c r="P716" i="2"/>
  <c r="O716" i="2"/>
  <c r="N716" i="2"/>
  <c r="M716" i="2"/>
  <c r="L716" i="2"/>
  <c r="W715" i="2"/>
  <c r="V715" i="2"/>
  <c r="U715" i="2"/>
  <c r="T715" i="2"/>
  <c r="S715" i="2"/>
  <c r="R715" i="2"/>
  <c r="Q715" i="2"/>
  <c r="P715" i="2"/>
  <c r="O715" i="2"/>
  <c r="N715" i="2"/>
  <c r="M715" i="2"/>
  <c r="L715" i="2"/>
  <c r="AJ855" i="3" s="1"/>
  <c r="AM855" i="3" s="1"/>
  <c r="W714" i="2"/>
  <c r="V714" i="2"/>
  <c r="U714" i="2"/>
  <c r="T714" i="2"/>
  <c r="S714" i="2"/>
  <c r="R714" i="2"/>
  <c r="Q714" i="2"/>
  <c r="P714" i="2"/>
  <c r="O714" i="2"/>
  <c r="N714" i="2"/>
  <c r="M714" i="2"/>
  <c r="L714" i="2"/>
  <c r="AJ854" i="3" s="1"/>
  <c r="AM854" i="3" s="1"/>
  <c r="W713" i="2"/>
  <c r="V713" i="2"/>
  <c r="U713" i="2"/>
  <c r="T713" i="2"/>
  <c r="S713" i="2"/>
  <c r="R713" i="2"/>
  <c r="Q713" i="2"/>
  <c r="P713" i="2"/>
  <c r="O713" i="2"/>
  <c r="N713" i="2"/>
  <c r="M713" i="2"/>
  <c r="L713" i="2"/>
  <c r="W712" i="2"/>
  <c r="V712" i="2"/>
  <c r="U712" i="2"/>
  <c r="T712" i="2"/>
  <c r="S712" i="2"/>
  <c r="R712" i="2"/>
  <c r="Q712" i="2"/>
  <c r="P712" i="2"/>
  <c r="O712" i="2"/>
  <c r="N712" i="2"/>
  <c r="M712" i="2"/>
  <c r="L712" i="2"/>
  <c r="W711" i="2"/>
  <c r="V711" i="2"/>
  <c r="U711" i="2"/>
  <c r="T711" i="2"/>
  <c r="S711" i="2"/>
  <c r="R711" i="2"/>
  <c r="Q711" i="2"/>
  <c r="P711" i="2"/>
  <c r="O711" i="2"/>
  <c r="N711" i="2"/>
  <c r="M711" i="2"/>
  <c r="L711" i="2"/>
  <c r="AJ851" i="3" s="1"/>
  <c r="AM851" i="3" s="1"/>
  <c r="W710" i="2"/>
  <c r="V710" i="2"/>
  <c r="U710" i="2"/>
  <c r="T710" i="2"/>
  <c r="S710" i="2"/>
  <c r="R710" i="2"/>
  <c r="Q710" i="2"/>
  <c r="P710" i="2"/>
  <c r="O710" i="2"/>
  <c r="N710" i="2"/>
  <c r="M710" i="2"/>
  <c r="L710" i="2"/>
  <c r="W709" i="2"/>
  <c r="V709" i="2"/>
  <c r="U709" i="2"/>
  <c r="T709" i="2"/>
  <c r="S709" i="2"/>
  <c r="R709" i="2"/>
  <c r="Q709" i="2"/>
  <c r="P709" i="2"/>
  <c r="O709" i="2"/>
  <c r="N709" i="2"/>
  <c r="M709" i="2"/>
  <c r="L709" i="2"/>
  <c r="AJ849" i="3" s="1"/>
  <c r="AM849" i="3" s="1"/>
  <c r="W708" i="2"/>
  <c r="V708" i="2"/>
  <c r="U708" i="2"/>
  <c r="T708" i="2"/>
  <c r="S708" i="2"/>
  <c r="R708" i="2"/>
  <c r="Q708" i="2"/>
  <c r="P708" i="2"/>
  <c r="O708" i="2"/>
  <c r="N708" i="2"/>
  <c r="M708" i="2"/>
  <c r="L708" i="2"/>
  <c r="W707" i="2"/>
  <c r="V707" i="2"/>
  <c r="U707" i="2"/>
  <c r="T707" i="2"/>
  <c r="S707" i="2"/>
  <c r="R707" i="2"/>
  <c r="Q707" i="2"/>
  <c r="P707" i="2"/>
  <c r="O707" i="2"/>
  <c r="N707" i="2"/>
  <c r="M707" i="2"/>
  <c r="L707" i="2"/>
  <c r="AJ847" i="3" s="1"/>
  <c r="AM847" i="3" s="1"/>
  <c r="W706" i="2"/>
  <c r="V706" i="2"/>
  <c r="U706" i="2"/>
  <c r="T706" i="2"/>
  <c r="S706" i="2"/>
  <c r="R706" i="2"/>
  <c r="Q706" i="2"/>
  <c r="P706" i="2"/>
  <c r="O706" i="2"/>
  <c r="N706" i="2"/>
  <c r="M706" i="2"/>
  <c r="L706" i="2"/>
  <c r="W705" i="2"/>
  <c r="V705" i="2"/>
  <c r="U705" i="2"/>
  <c r="T705" i="2"/>
  <c r="S705" i="2"/>
  <c r="R705" i="2"/>
  <c r="Q705" i="2"/>
  <c r="P705" i="2"/>
  <c r="O705" i="2"/>
  <c r="N705" i="2"/>
  <c r="M705" i="2"/>
  <c r="L705" i="2"/>
  <c r="AJ845" i="3" s="1"/>
  <c r="AM845" i="3" s="1"/>
  <c r="W704" i="2"/>
  <c r="V704" i="2"/>
  <c r="U704" i="2"/>
  <c r="T704" i="2"/>
  <c r="S704" i="2"/>
  <c r="R704" i="2"/>
  <c r="Q704" i="2"/>
  <c r="P704" i="2"/>
  <c r="O704" i="2"/>
  <c r="N704" i="2"/>
  <c r="M704" i="2"/>
  <c r="L704" i="2"/>
  <c r="W703" i="2"/>
  <c r="V703" i="2"/>
  <c r="U703" i="2"/>
  <c r="T703" i="2"/>
  <c r="S703" i="2"/>
  <c r="R703" i="2"/>
  <c r="Q703" i="2"/>
  <c r="P703" i="2"/>
  <c r="O703" i="2"/>
  <c r="N703" i="2"/>
  <c r="M703" i="2"/>
  <c r="L703" i="2"/>
  <c r="AJ843" i="3" s="1"/>
  <c r="AM843" i="3" s="1"/>
  <c r="W702" i="2"/>
  <c r="V702" i="2"/>
  <c r="U702" i="2"/>
  <c r="T702" i="2"/>
  <c r="S702" i="2"/>
  <c r="R702" i="2"/>
  <c r="Q702" i="2"/>
  <c r="P702" i="2"/>
  <c r="O702" i="2"/>
  <c r="N702" i="2"/>
  <c r="M702" i="2"/>
  <c r="L702" i="2"/>
  <c r="W701" i="2"/>
  <c r="V701" i="2"/>
  <c r="U701" i="2"/>
  <c r="T701" i="2"/>
  <c r="S701" i="2"/>
  <c r="R701" i="2"/>
  <c r="Q701" i="2"/>
  <c r="P701" i="2"/>
  <c r="O701" i="2"/>
  <c r="N701" i="2"/>
  <c r="M701" i="2"/>
  <c r="L701" i="2"/>
  <c r="AJ841" i="3" s="1"/>
  <c r="AM841" i="3" s="1"/>
  <c r="W700" i="2"/>
  <c r="V700" i="2"/>
  <c r="U700" i="2"/>
  <c r="T700" i="2"/>
  <c r="S700" i="2"/>
  <c r="R700" i="2"/>
  <c r="Q700" i="2"/>
  <c r="P700" i="2"/>
  <c r="O700" i="2"/>
  <c r="N700" i="2"/>
  <c r="M700" i="2"/>
  <c r="L700" i="2"/>
  <c r="W699" i="2"/>
  <c r="V699" i="2"/>
  <c r="U699" i="2"/>
  <c r="T699" i="2"/>
  <c r="S699" i="2"/>
  <c r="R699" i="2"/>
  <c r="Q699" i="2"/>
  <c r="P699" i="2"/>
  <c r="O699" i="2"/>
  <c r="N699" i="2"/>
  <c r="M699" i="2"/>
  <c r="L699" i="2"/>
  <c r="AJ839" i="3" s="1"/>
  <c r="AM839" i="3" s="1"/>
  <c r="W698" i="2"/>
  <c r="V698" i="2"/>
  <c r="U698" i="2"/>
  <c r="T698" i="2"/>
  <c r="S698" i="2"/>
  <c r="R698" i="2"/>
  <c r="Q698" i="2"/>
  <c r="P698" i="2"/>
  <c r="O698" i="2"/>
  <c r="N698" i="2"/>
  <c r="M698" i="2"/>
  <c r="L698" i="2"/>
  <c r="W697" i="2"/>
  <c r="V697" i="2"/>
  <c r="U697" i="2"/>
  <c r="T697" i="2"/>
  <c r="S697" i="2"/>
  <c r="R697" i="2"/>
  <c r="Q697" i="2"/>
  <c r="P697" i="2"/>
  <c r="O697" i="2"/>
  <c r="N697" i="2"/>
  <c r="M697" i="2"/>
  <c r="L697" i="2"/>
  <c r="W696" i="2"/>
  <c r="V696" i="2"/>
  <c r="U696" i="2"/>
  <c r="T696" i="2"/>
  <c r="S696" i="2"/>
  <c r="R696" i="2"/>
  <c r="Q696" i="2"/>
  <c r="P696" i="2"/>
  <c r="O696" i="2"/>
  <c r="N696" i="2"/>
  <c r="M696" i="2"/>
  <c r="L696" i="2"/>
  <c r="W695" i="2"/>
  <c r="V695" i="2"/>
  <c r="U695" i="2"/>
  <c r="T695" i="2"/>
  <c r="S695" i="2"/>
  <c r="R695" i="2"/>
  <c r="Q695" i="2"/>
  <c r="P695" i="2"/>
  <c r="O695" i="2"/>
  <c r="N695" i="2"/>
  <c r="M695" i="2"/>
  <c r="L695" i="2"/>
  <c r="W694" i="2"/>
  <c r="V694" i="2"/>
  <c r="U694" i="2"/>
  <c r="T694" i="2"/>
  <c r="S694" i="2"/>
  <c r="R694" i="2"/>
  <c r="Q694" i="2"/>
  <c r="P694" i="2"/>
  <c r="O694" i="2"/>
  <c r="N694" i="2"/>
  <c r="M694" i="2"/>
  <c r="L694" i="2"/>
  <c r="W693" i="2"/>
  <c r="V693" i="2"/>
  <c r="U693" i="2"/>
  <c r="T693" i="2"/>
  <c r="S693" i="2"/>
  <c r="R693" i="2"/>
  <c r="Q693" i="2"/>
  <c r="P693" i="2"/>
  <c r="O693" i="2"/>
  <c r="N693" i="2"/>
  <c r="M693" i="2"/>
  <c r="L693" i="2"/>
  <c r="W692" i="2"/>
  <c r="V692" i="2"/>
  <c r="U692" i="2"/>
  <c r="T692" i="2"/>
  <c r="S692" i="2"/>
  <c r="R692" i="2"/>
  <c r="Q692" i="2"/>
  <c r="P692" i="2"/>
  <c r="O692" i="2"/>
  <c r="N692" i="2"/>
  <c r="M692" i="2"/>
  <c r="L692" i="2"/>
  <c r="AJ832" i="3" s="1"/>
  <c r="AM832" i="3" s="1"/>
  <c r="W691" i="2"/>
  <c r="V691" i="2"/>
  <c r="U691" i="2"/>
  <c r="T691" i="2"/>
  <c r="S691" i="2"/>
  <c r="R691" i="2"/>
  <c r="Q691" i="2"/>
  <c r="P691" i="2"/>
  <c r="O691" i="2"/>
  <c r="N691" i="2"/>
  <c r="M691" i="2"/>
  <c r="L691" i="2"/>
  <c r="AJ831" i="3" s="1"/>
  <c r="AM831" i="3" s="1"/>
  <c r="W690" i="2"/>
  <c r="V690" i="2"/>
  <c r="U690" i="2"/>
  <c r="T690" i="2"/>
  <c r="S690" i="2"/>
  <c r="R690" i="2"/>
  <c r="Q690" i="2"/>
  <c r="P690" i="2"/>
  <c r="O690" i="2"/>
  <c r="N690" i="2"/>
  <c r="M690" i="2"/>
  <c r="L690" i="2"/>
  <c r="W689" i="2"/>
  <c r="V689" i="2"/>
  <c r="U689" i="2"/>
  <c r="T689" i="2"/>
  <c r="S689" i="2"/>
  <c r="R689" i="2"/>
  <c r="Q689" i="2"/>
  <c r="P689" i="2"/>
  <c r="O689" i="2"/>
  <c r="N689" i="2"/>
  <c r="M689" i="2"/>
  <c r="L689" i="2"/>
  <c r="W688" i="2"/>
  <c r="V688" i="2"/>
  <c r="U688" i="2"/>
  <c r="T688" i="2"/>
  <c r="S688" i="2"/>
  <c r="R688" i="2"/>
  <c r="Q688" i="2"/>
  <c r="P688" i="2"/>
  <c r="O688" i="2"/>
  <c r="N688" i="2"/>
  <c r="M688" i="2"/>
  <c r="L688" i="2"/>
  <c r="AJ828" i="3" s="1"/>
  <c r="AM828" i="3" s="1"/>
  <c r="W687" i="2"/>
  <c r="V687" i="2"/>
  <c r="U687" i="2"/>
  <c r="T687" i="2"/>
  <c r="S687" i="2"/>
  <c r="R687" i="2"/>
  <c r="Q687" i="2"/>
  <c r="P687" i="2"/>
  <c r="O687" i="2"/>
  <c r="N687" i="2"/>
  <c r="M687" i="2"/>
  <c r="L687" i="2"/>
  <c r="AJ827" i="3" s="1"/>
  <c r="AM827" i="3" s="1"/>
  <c r="W686" i="2"/>
  <c r="V686" i="2"/>
  <c r="U686" i="2"/>
  <c r="T686" i="2"/>
  <c r="S686" i="2"/>
  <c r="R686" i="2"/>
  <c r="Q686" i="2"/>
  <c r="P686" i="2"/>
  <c r="O686" i="2"/>
  <c r="N686" i="2"/>
  <c r="M686" i="2"/>
  <c r="L686" i="2"/>
  <c r="AJ826" i="3" s="1"/>
  <c r="AM826" i="3" s="1"/>
  <c r="W685" i="2"/>
  <c r="V685" i="2"/>
  <c r="U685" i="2"/>
  <c r="T685" i="2"/>
  <c r="S685" i="2"/>
  <c r="R685" i="2"/>
  <c r="Q685" i="2"/>
  <c r="P685" i="2"/>
  <c r="O685" i="2"/>
  <c r="N685" i="2"/>
  <c r="M685" i="2"/>
  <c r="L685" i="2"/>
  <c r="AJ825" i="3" s="1"/>
  <c r="AM825" i="3" s="1"/>
  <c r="W684" i="2"/>
  <c r="V684" i="2"/>
  <c r="U684" i="2"/>
  <c r="T684" i="2"/>
  <c r="S684" i="2"/>
  <c r="R684" i="2"/>
  <c r="Q684" i="2"/>
  <c r="P684" i="2"/>
  <c r="O684" i="2"/>
  <c r="N684" i="2"/>
  <c r="M684" i="2"/>
  <c r="L684" i="2"/>
  <c r="W683" i="2"/>
  <c r="V683" i="2"/>
  <c r="U683" i="2"/>
  <c r="T683" i="2"/>
  <c r="S683" i="2"/>
  <c r="R683" i="2"/>
  <c r="Q683" i="2"/>
  <c r="P683" i="2"/>
  <c r="O683" i="2"/>
  <c r="N683" i="2"/>
  <c r="M683" i="2"/>
  <c r="L683" i="2"/>
  <c r="W682" i="2"/>
  <c r="V682" i="2"/>
  <c r="U682" i="2"/>
  <c r="T682" i="2"/>
  <c r="S682" i="2"/>
  <c r="R682" i="2"/>
  <c r="Q682" i="2"/>
  <c r="P682" i="2"/>
  <c r="O682" i="2"/>
  <c r="N682" i="2"/>
  <c r="M682" i="2"/>
  <c r="L682" i="2"/>
  <c r="AJ822" i="3" s="1"/>
  <c r="AM822" i="3" s="1"/>
  <c r="W681" i="2"/>
  <c r="V681" i="2"/>
  <c r="U681" i="2"/>
  <c r="T681" i="2"/>
  <c r="S681" i="2"/>
  <c r="R681" i="2"/>
  <c r="Q681" i="2"/>
  <c r="P681" i="2"/>
  <c r="O681" i="2"/>
  <c r="N681" i="2"/>
  <c r="M681" i="2"/>
  <c r="L681" i="2"/>
  <c r="W680" i="2"/>
  <c r="V680" i="2"/>
  <c r="U680" i="2"/>
  <c r="T680" i="2"/>
  <c r="S680" i="2"/>
  <c r="R680" i="2"/>
  <c r="Q680" i="2"/>
  <c r="P680" i="2"/>
  <c r="O680" i="2"/>
  <c r="N680" i="2"/>
  <c r="M680" i="2"/>
  <c r="L680" i="2"/>
  <c r="W679" i="2"/>
  <c r="V679" i="2"/>
  <c r="U679" i="2"/>
  <c r="T679" i="2"/>
  <c r="S679" i="2"/>
  <c r="R679" i="2"/>
  <c r="Q679" i="2"/>
  <c r="P679" i="2"/>
  <c r="O679" i="2"/>
  <c r="N679" i="2"/>
  <c r="M679" i="2"/>
  <c r="L679" i="2"/>
  <c r="AJ819" i="3" s="1"/>
  <c r="AM819" i="3" s="1"/>
  <c r="W678" i="2"/>
  <c r="V678" i="2"/>
  <c r="U678" i="2"/>
  <c r="T678" i="2"/>
  <c r="S678" i="2"/>
  <c r="R678" i="2"/>
  <c r="Q678" i="2"/>
  <c r="P678" i="2"/>
  <c r="O678" i="2"/>
  <c r="N678" i="2"/>
  <c r="M678" i="2"/>
  <c r="L678" i="2"/>
  <c r="W677" i="2"/>
  <c r="V677" i="2"/>
  <c r="U677" i="2"/>
  <c r="T677" i="2"/>
  <c r="S677" i="2"/>
  <c r="R677" i="2"/>
  <c r="Q677" i="2"/>
  <c r="P677" i="2"/>
  <c r="O677" i="2"/>
  <c r="N677" i="2"/>
  <c r="M677" i="2"/>
  <c r="L677" i="2"/>
  <c r="W676" i="2"/>
  <c r="V676" i="2"/>
  <c r="U676" i="2"/>
  <c r="T676" i="2"/>
  <c r="S676" i="2"/>
  <c r="R676" i="2"/>
  <c r="Q676" i="2"/>
  <c r="P676" i="2"/>
  <c r="O676" i="2"/>
  <c r="N676" i="2"/>
  <c r="M676" i="2"/>
  <c r="L676" i="2"/>
  <c r="AJ816" i="3" s="1"/>
  <c r="AM816" i="3" s="1"/>
  <c r="W675" i="2"/>
  <c r="V675" i="2"/>
  <c r="U675" i="2"/>
  <c r="T675" i="2"/>
  <c r="S675" i="2"/>
  <c r="R675" i="2"/>
  <c r="Q675" i="2"/>
  <c r="P675" i="2"/>
  <c r="O675" i="2"/>
  <c r="N675" i="2"/>
  <c r="M675" i="2"/>
  <c r="L675" i="2"/>
  <c r="W674" i="2"/>
  <c r="V674" i="2"/>
  <c r="U674" i="2"/>
  <c r="T674" i="2"/>
  <c r="S674" i="2"/>
  <c r="R674" i="2"/>
  <c r="Q674" i="2"/>
  <c r="P674" i="2"/>
  <c r="O674" i="2"/>
  <c r="N674" i="2"/>
  <c r="M674" i="2"/>
  <c r="L674" i="2"/>
  <c r="AJ814" i="3" s="1"/>
  <c r="AM814" i="3" s="1"/>
  <c r="W673" i="2"/>
  <c r="V673" i="2"/>
  <c r="U673" i="2"/>
  <c r="T673" i="2"/>
  <c r="S673" i="2"/>
  <c r="R673" i="2"/>
  <c r="Q673" i="2"/>
  <c r="P673" i="2"/>
  <c r="O673" i="2"/>
  <c r="N673" i="2"/>
  <c r="M673" i="2"/>
  <c r="L673" i="2"/>
  <c r="AJ813" i="3" s="1"/>
  <c r="AM813" i="3" s="1"/>
  <c r="W672" i="2"/>
  <c r="V672" i="2"/>
  <c r="U672" i="2"/>
  <c r="T672" i="2"/>
  <c r="S672" i="2"/>
  <c r="R672" i="2"/>
  <c r="Q672" i="2"/>
  <c r="P672" i="2"/>
  <c r="O672" i="2"/>
  <c r="N672" i="2"/>
  <c r="M672" i="2"/>
  <c r="L672" i="2"/>
  <c r="W671" i="2"/>
  <c r="V671" i="2"/>
  <c r="U671" i="2"/>
  <c r="T671" i="2"/>
  <c r="S671" i="2"/>
  <c r="R671" i="2"/>
  <c r="Q671" i="2"/>
  <c r="P671" i="2"/>
  <c r="O671" i="2"/>
  <c r="N671" i="2"/>
  <c r="M671" i="2"/>
  <c r="L671" i="2"/>
  <c r="AJ811" i="3" s="1"/>
  <c r="AM811" i="3" s="1"/>
  <c r="W670" i="2"/>
  <c r="V670" i="2"/>
  <c r="U670" i="2"/>
  <c r="T670" i="2"/>
  <c r="S670" i="2"/>
  <c r="R670" i="2"/>
  <c r="Q670" i="2"/>
  <c r="P670" i="2"/>
  <c r="O670" i="2"/>
  <c r="N670" i="2"/>
  <c r="M670" i="2"/>
  <c r="L670" i="2"/>
  <c r="AJ810" i="3" s="1"/>
  <c r="AM810" i="3" s="1"/>
  <c r="W669" i="2"/>
  <c r="V669" i="2"/>
  <c r="U669" i="2"/>
  <c r="T669" i="2"/>
  <c r="S669" i="2"/>
  <c r="R669" i="2"/>
  <c r="Q669" i="2"/>
  <c r="P669" i="2"/>
  <c r="O669" i="2"/>
  <c r="N669" i="2"/>
  <c r="M669" i="2"/>
  <c r="L669" i="2"/>
  <c r="W668" i="2"/>
  <c r="V668" i="2"/>
  <c r="U668" i="2"/>
  <c r="T668" i="2"/>
  <c r="S668" i="2"/>
  <c r="R668" i="2"/>
  <c r="Q668" i="2"/>
  <c r="P668" i="2"/>
  <c r="O668" i="2"/>
  <c r="N668" i="2"/>
  <c r="M668" i="2"/>
  <c r="L668" i="2"/>
  <c r="AJ808" i="3" s="1"/>
  <c r="AM808" i="3" s="1"/>
  <c r="W667" i="2"/>
  <c r="V667" i="2"/>
  <c r="U667" i="2"/>
  <c r="T667" i="2"/>
  <c r="S667" i="2"/>
  <c r="R667" i="2"/>
  <c r="Q667" i="2"/>
  <c r="P667" i="2"/>
  <c r="O667" i="2"/>
  <c r="N667" i="2"/>
  <c r="M667" i="2"/>
  <c r="L667" i="2"/>
  <c r="W666" i="2"/>
  <c r="V666" i="2"/>
  <c r="U666" i="2"/>
  <c r="T666" i="2"/>
  <c r="S666" i="2"/>
  <c r="R666" i="2"/>
  <c r="Q666" i="2"/>
  <c r="P666" i="2"/>
  <c r="O666" i="2"/>
  <c r="N666" i="2"/>
  <c r="M666" i="2"/>
  <c r="L666" i="2"/>
  <c r="AJ806" i="3" s="1"/>
  <c r="AM806" i="3" s="1"/>
  <c r="W665" i="2"/>
  <c r="V665" i="2"/>
  <c r="U665" i="2"/>
  <c r="T665" i="2"/>
  <c r="S665" i="2"/>
  <c r="R665" i="2"/>
  <c r="Q665" i="2"/>
  <c r="P665" i="2"/>
  <c r="O665" i="2"/>
  <c r="N665" i="2"/>
  <c r="M665" i="2"/>
  <c r="L665" i="2"/>
  <c r="W664" i="2"/>
  <c r="V664" i="2"/>
  <c r="U664" i="2"/>
  <c r="T664" i="2"/>
  <c r="S664" i="2"/>
  <c r="R664" i="2"/>
  <c r="Q664" i="2"/>
  <c r="P664" i="2"/>
  <c r="O664" i="2"/>
  <c r="N664" i="2"/>
  <c r="M664" i="2"/>
  <c r="L664" i="2"/>
  <c r="AJ804" i="3" s="1"/>
  <c r="AM804" i="3" s="1"/>
  <c r="W663" i="2"/>
  <c r="V663" i="2"/>
  <c r="U663" i="2"/>
  <c r="T663" i="2"/>
  <c r="S663" i="2"/>
  <c r="R663" i="2"/>
  <c r="Q663" i="2"/>
  <c r="P663" i="2"/>
  <c r="O663" i="2"/>
  <c r="N663" i="2"/>
  <c r="M663" i="2"/>
  <c r="L663" i="2"/>
  <c r="AJ803" i="3" s="1"/>
  <c r="AM803" i="3" s="1"/>
  <c r="W662" i="2"/>
  <c r="V662" i="2"/>
  <c r="U662" i="2"/>
  <c r="T662" i="2"/>
  <c r="S662" i="2"/>
  <c r="R662" i="2"/>
  <c r="Q662" i="2"/>
  <c r="P662" i="2"/>
  <c r="O662" i="2"/>
  <c r="N662" i="2"/>
  <c r="M662" i="2"/>
  <c r="L662" i="2"/>
  <c r="AJ802" i="3" s="1"/>
  <c r="AM802" i="3" s="1"/>
  <c r="W661" i="2"/>
  <c r="V661" i="2"/>
  <c r="U661" i="2"/>
  <c r="T661" i="2"/>
  <c r="S661" i="2"/>
  <c r="R661" i="2"/>
  <c r="Q661" i="2"/>
  <c r="P661" i="2"/>
  <c r="O661" i="2"/>
  <c r="N661" i="2"/>
  <c r="M661" i="2"/>
  <c r="L661" i="2"/>
  <c r="W660" i="2"/>
  <c r="V660" i="2"/>
  <c r="U660" i="2"/>
  <c r="T660" i="2"/>
  <c r="S660" i="2"/>
  <c r="R660" i="2"/>
  <c r="Q660" i="2"/>
  <c r="P660" i="2"/>
  <c r="O660" i="2"/>
  <c r="N660" i="2"/>
  <c r="M660" i="2"/>
  <c r="L660" i="2"/>
  <c r="AJ800" i="3" s="1"/>
  <c r="AM800" i="3" s="1"/>
  <c r="W659" i="2"/>
  <c r="V659" i="2"/>
  <c r="U659" i="2"/>
  <c r="T659" i="2"/>
  <c r="S659" i="2"/>
  <c r="R659" i="2"/>
  <c r="Q659" i="2"/>
  <c r="P659" i="2"/>
  <c r="O659" i="2"/>
  <c r="N659" i="2"/>
  <c r="M659" i="2"/>
  <c r="L659" i="2"/>
  <c r="W658" i="2"/>
  <c r="V658" i="2"/>
  <c r="U658" i="2"/>
  <c r="T658" i="2"/>
  <c r="S658" i="2"/>
  <c r="R658" i="2"/>
  <c r="Q658" i="2"/>
  <c r="P658" i="2"/>
  <c r="O658" i="2"/>
  <c r="N658" i="2"/>
  <c r="M658" i="2"/>
  <c r="L658" i="2"/>
  <c r="AJ798" i="3" s="1"/>
  <c r="AM798" i="3" s="1"/>
  <c r="W657" i="2"/>
  <c r="V657" i="2"/>
  <c r="U657" i="2"/>
  <c r="T657" i="2"/>
  <c r="S657" i="2"/>
  <c r="R657" i="2"/>
  <c r="Q657" i="2"/>
  <c r="P657" i="2"/>
  <c r="O657" i="2"/>
  <c r="N657" i="2"/>
  <c r="M657" i="2"/>
  <c r="L657" i="2"/>
  <c r="W656" i="2"/>
  <c r="V656" i="2"/>
  <c r="U656" i="2"/>
  <c r="T656" i="2"/>
  <c r="S656" i="2"/>
  <c r="R656" i="2"/>
  <c r="Q656" i="2"/>
  <c r="P656" i="2"/>
  <c r="O656" i="2"/>
  <c r="N656" i="2"/>
  <c r="M656" i="2"/>
  <c r="L656" i="2"/>
  <c r="AJ796" i="3" s="1"/>
  <c r="AM796" i="3" s="1"/>
  <c r="W655" i="2"/>
  <c r="V655" i="2"/>
  <c r="U655" i="2"/>
  <c r="T655" i="2"/>
  <c r="S655" i="2"/>
  <c r="R655" i="2"/>
  <c r="Q655" i="2"/>
  <c r="P655" i="2"/>
  <c r="O655" i="2"/>
  <c r="N655" i="2"/>
  <c r="M655" i="2"/>
  <c r="L655" i="2"/>
  <c r="AJ795" i="3" s="1"/>
  <c r="AM795" i="3" s="1"/>
  <c r="W654" i="2"/>
  <c r="V654" i="2"/>
  <c r="U654" i="2"/>
  <c r="T654" i="2"/>
  <c r="S654" i="2"/>
  <c r="R654" i="2"/>
  <c r="Q654" i="2"/>
  <c r="P654" i="2"/>
  <c r="O654" i="2"/>
  <c r="N654" i="2"/>
  <c r="M654" i="2"/>
  <c r="L654" i="2"/>
  <c r="AJ794" i="3" s="1"/>
  <c r="AM794" i="3" s="1"/>
  <c r="W653" i="2"/>
  <c r="V653" i="2"/>
  <c r="U653" i="2"/>
  <c r="T653" i="2"/>
  <c r="S653" i="2"/>
  <c r="R653" i="2"/>
  <c r="Q653" i="2"/>
  <c r="P653" i="2"/>
  <c r="O653" i="2"/>
  <c r="N653" i="2"/>
  <c r="M653" i="2"/>
  <c r="L653" i="2"/>
  <c r="W652" i="2"/>
  <c r="V652" i="2"/>
  <c r="U652" i="2"/>
  <c r="T652" i="2"/>
  <c r="S652" i="2"/>
  <c r="R652" i="2"/>
  <c r="Q652" i="2"/>
  <c r="P652" i="2"/>
  <c r="O652" i="2"/>
  <c r="N652" i="2"/>
  <c r="M652" i="2"/>
  <c r="L652" i="2"/>
  <c r="AJ792" i="3" s="1"/>
  <c r="AM792" i="3" s="1"/>
  <c r="W651" i="2"/>
  <c r="V651" i="2"/>
  <c r="U651" i="2"/>
  <c r="T651" i="2"/>
  <c r="S651" i="2"/>
  <c r="R651" i="2"/>
  <c r="Q651" i="2"/>
  <c r="P651" i="2"/>
  <c r="O651" i="2"/>
  <c r="N651" i="2"/>
  <c r="M651" i="2"/>
  <c r="L651" i="2"/>
  <c r="W650" i="2"/>
  <c r="V650" i="2"/>
  <c r="U650" i="2"/>
  <c r="T650" i="2"/>
  <c r="S650" i="2"/>
  <c r="R650" i="2"/>
  <c r="Q650" i="2"/>
  <c r="P650" i="2"/>
  <c r="O650" i="2"/>
  <c r="N650" i="2"/>
  <c r="M650" i="2"/>
  <c r="L650" i="2"/>
  <c r="AJ790" i="3" s="1"/>
  <c r="AM790" i="3" s="1"/>
  <c r="W649" i="2"/>
  <c r="V649" i="2"/>
  <c r="U649" i="2"/>
  <c r="T649" i="2"/>
  <c r="S649" i="2"/>
  <c r="R649" i="2"/>
  <c r="Q649" i="2"/>
  <c r="P649" i="2"/>
  <c r="O649" i="2"/>
  <c r="N649" i="2"/>
  <c r="M649" i="2"/>
  <c r="L649" i="2"/>
  <c r="W648" i="2"/>
  <c r="V648" i="2"/>
  <c r="U648" i="2"/>
  <c r="T648" i="2"/>
  <c r="S648" i="2"/>
  <c r="R648" i="2"/>
  <c r="Q648" i="2"/>
  <c r="P648" i="2"/>
  <c r="O648" i="2"/>
  <c r="N648" i="2"/>
  <c r="M648" i="2"/>
  <c r="L648" i="2"/>
  <c r="AJ788" i="3" s="1"/>
  <c r="AM788" i="3" s="1"/>
  <c r="W647" i="2"/>
  <c r="V647" i="2"/>
  <c r="U647" i="2"/>
  <c r="T647" i="2"/>
  <c r="S647" i="2"/>
  <c r="R647" i="2"/>
  <c r="Q647" i="2"/>
  <c r="P647" i="2"/>
  <c r="O647" i="2"/>
  <c r="N647" i="2"/>
  <c r="M647" i="2"/>
  <c r="L647" i="2"/>
  <c r="AJ787" i="3" s="1"/>
  <c r="AM787" i="3" s="1"/>
  <c r="W646" i="2"/>
  <c r="V646" i="2"/>
  <c r="U646" i="2"/>
  <c r="T646" i="2"/>
  <c r="S646" i="2"/>
  <c r="R646" i="2"/>
  <c r="Q646" i="2"/>
  <c r="P646" i="2"/>
  <c r="O646" i="2"/>
  <c r="N646" i="2"/>
  <c r="M646" i="2"/>
  <c r="L646" i="2"/>
  <c r="AJ786" i="3" s="1"/>
  <c r="AM786" i="3" s="1"/>
  <c r="W645" i="2"/>
  <c r="V645" i="2"/>
  <c r="U645" i="2"/>
  <c r="T645" i="2"/>
  <c r="S645" i="2"/>
  <c r="R645" i="2"/>
  <c r="Q645" i="2"/>
  <c r="P645" i="2"/>
  <c r="O645" i="2"/>
  <c r="N645" i="2"/>
  <c r="M645" i="2"/>
  <c r="L645" i="2"/>
  <c r="W644" i="2"/>
  <c r="V644" i="2"/>
  <c r="U644" i="2"/>
  <c r="T644" i="2"/>
  <c r="S644" i="2"/>
  <c r="R644" i="2"/>
  <c r="Q644" i="2"/>
  <c r="P644" i="2"/>
  <c r="O644" i="2"/>
  <c r="N644" i="2"/>
  <c r="M644" i="2"/>
  <c r="L644" i="2"/>
  <c r="AJ784" i="3" s="1"/>
  <c r="AM784" i="3" s="1"/>
  <c r="W643" i="2"/>
  <c r="V643" i="2"/>
  <c r="U643" i="2"/>
  <c r="T643" i="2"/>
  <c r="S643" i="2"/>
  <c r="R643" i="2"/>
  <c r="Q643" i="2"/>
  <c r="P643" i="2"/>
  <c r="O643" i="2"/>
  <c r="N643" i="2"/>
  <c r="M643" i="2"/>
  <c r="L643" i="2"/>
  <c r="W642" i="2"/>
  <c r="V642" i="2"/>
  <c r="U642" i="2"/>
  <c r="T642" i="2"/>
  <c r="S642" i="2"/>
  <c r="R642" i="2"/>
  <c r="Q642" i="2"/>
  <c r="P642" i="2"/>
  <c r="O642" i="2"/>
  <c r="N642" i="2"/>
  <c r="M642" i="2"/>
  <c r="L642" i="2"/>
  <c r="AJ782" i="3" s="1"/>
  <c r="AM782" i="3" s="1"/>
  <c r="W641" i="2"/>
  <c r="V641" i="2"/>
  <c r="U641" i="2"/>
  <c r="T641" i="2"/>
  <c r="S641" i="2"/>
  <c r="R641" i="2"/>
  <c r="Q641" i="2"/>
  <c r="P641" i="2"/>
  <c r="O641" i="2"/>
  <c r="N641" i="2"/>
  <c r="M641" i="2"/>
  <c r="L641" i="2"/>
  <c r="W640" i="2"/>
  <c r="V640" i="2"/>
  <c r="U640" i="2"/>
  <c r="T640" i="2"/>
  <c r="S640" i="2"/>
  <c r="R640" i="2"/>
  <c r="Q640" i="2"/>
  <c r="P640" i="2"/>
  <c r="O640" i="2"/>
  <c r="N640" i="2"/>
  <c r="M640" i="2"/>
  <c r="L640" i="2"/>
  <c r="AJ780" i="3" s="1"/>
  <c r="AM780" i="3" s="1"/>
  <c r="W639" i="2"/>
  <c r="V639" i="2"/>
  <c r="U639" i="2"/>
  <c r="T639" i="2"/>
  <c r="S639" i="2"/>
  <c r="R639" i="2"/>
  <c r="Q639" i="2"/>
  <c r="P639" i="2"/>
  <c r="O639" i="2"/>
  <c r="N639" i="2"/>
  <c r="M639" i="2"/>
  <c r="L639" i="2"/>
  <c r="AJ779" i="3" s="1"/>
  <c r="AM779" i="3" s="1"/>
  <c r="W638" i="2"/>
  <c r="V638" i="2"/>
  <c r="U638" i="2"/>
  <c r="T638" i="2"/>
  <c r="S638" i="2"/>
  <c r="R638" i="2"/>
  <c r="Q638" i="2"/>
  <c r="P638" i="2"/>
  <c r="O638" i="2"/>
  <c r="N638" i="2"/>
  <c r="M638" i="2"/>
  <c r="L638" i="2"/>
  <c r="AJ778" i="3" s="1"/>
  <c r="AM778" i="3" s="1"/>
  <c r="W637" i="2"/>
  <c r="V637" i="2"/>
  <c r="U637" i="2"/>
  <c r="T637" i="2"/>
  <c r="S637" i="2"/>
  <c r="R637" i="2"/>
  <c r="Q637" i="2"/>
  <c r="P637" i="2"/>
  <c r="O637" i="2"/>
  <c r="N637" i="2"/>
  <c r="M637" i="2"/>
  <c r="L637" i="2"/>
  <c r="W636" i="2"/>
  <c r="V636" i="2"/>
  <c r="U636" i="2"/>
  <c r="T636" i="2"/>
  <c r="S636" i="2"/>
  <c r="R636" i="2"/>
  <c r="Q636" i="2"/>
  <c r="P636" i="2"/>
  <c r="O636" i="2"/>
  <c r="N636" i="2"/>
  <c r="M636" i="2"/>
  <c r="L636" i="2"/>
  <c r="AJ776" i="3" s="1"/>
  <c r="AM776" i="3" s="1"/>
  <c r="W635" i="2"/>
  <c r="V635" i="2"/>
  <c r="U635" i="2"/>
  <c r="T635" i="2"/>
  <c r="S635" i="2"/>
  <c r="R635" i="2"/>
  <c r="Q635" i="2"/>
  <c r="P635" i="2"/>
  <c r="O635" i="2"/>
  <c r="N635" i="2"/>
  <c r="M635" i="2"/>
  <c r="L635" i="2"/>
  <c r="W634" i="2"/>
  <c r="V634" i="2"/>
  <c r="U634" i="2"/>
  <c r="T634" i="2"/>
  <c r="S634" i="2"/>
  <c r="R634" i="2"/>
  <c r="Q634" i="2"/>
  <c r="P634" i="2"/>
  <c r="O634" i="2"/>
  <c r="N634" i="2"/>
  <c r="M634" i="2"/>
  <c r="L634" i="2"/>
  <c r="AJ774" i="3" s="1"/>
  <c r="AM774" i="3" s="1"/>
  <c r="W633" i="2"/>
  <c r="V633" i="2"/>
  <c r="U633" i="2"/>
  <c r="T633" i="2"/>
  <c r="S633" i="2"/>
  <c r="R633" i="2"/>
  <c r="Q633" i="2"/>
  <c r="P633" i="2"/>
  <c r="O633" i="2"/>
  <c r="N633" i="2"/>
  <c r="M633" i="2"/>
  <c r="L633" i="2"/>
  <c r="W632" i="2"/>
  <c r="V632" i="2"/>
  <c r="U632" i="2"/>
  <c r="T632" i="2"/>
  <c r="S632" i="2"/>
  <c r="R632" i="2"/>
  <c r="Q632" i="2"/>
  <c r="P632" i="2"/>
  <c r="O632" i="2"/>
  <c r="N632" i="2"/>
  <c r="M632" i="2"/>
  <c r="L632" i="2"/>
  <c r="AJ772" i="3" s="1"/>
  <c r="AM772" i="3" s="1"/>
  <c r="W631" i="2"/>
  <c r="V631" i="2"/>
  <c r="U631" i="2"/>
  <c r="T631" i="2"/>
  <c r="S631" i="2"/>
  <c r="R631" i="2"/>
  <c r="Q631" i="2"/>
  <c r="P631" i="2"/>
  <c r="O631" i="2"/>
  <c r="N631" i="2"/>
  <c r="M631" i="2"/>
  <c r="L631" i="2"/>
  <c r="AJ771" i="3" s="1"/>
  <c r="AM771" i="3" s="1"/>
  <c r="W630" i="2"/>
  <c r="V630" i="2"/>
  <c r="U630" i="2"/>
  <c r="T630" i="2"/>
  <c r="S630" i="2"/>
  <c r="R630" i="2"/>
  <c r="Q630" i="2"/>
  <c r="P630" i="2"/>
  <c r="O630" i="2"/>
  <c r="N630" i="2"/>
  <c r="M630" i="2"/>
  <c r="L630" i="2"/>
  <c r="AJ770" i="3" s="1"/>
  <c r="AM770" i="3" s="1"/>
  <c r="W629" i="2"/>
  <c r="V629" i="2"/>
  <c r="U629" i="2"/>
  <c r="T629" i="2"/>
  <c r="S629" i="2"/>
  <c r="R629" i="2"/>
  <c r="Q629" i="2"/>
  <c r="P629" i="2"/>
  <c r="O629" i="2"/>
  <c r="N629" i="2"/>
  <c r="M629" i="2"/>
  <c r="L629" i="2"/>
  <c r="W628" i="2"/>
  <c r="V628" i="2"/>
  <c r="U628" i="2"/>
  <c r="T628" i="2"/>
  <c r="S628" i="2"/>
  <c r="R628" i="2"/>
  <c r="Q628" i="2"/>
  <c r="P628" i="2"/>
  <c r="O628" i="2"/>
  <c r="N628" i="2"/>
  <c r="M628" i="2"/>
  <c r="L628" i="2"/>
  <c r="AJ768" i="3" s="1"/>
  <c r="AM768" i="3" s="1"/>
  <c r="W627" i="2"/>
  <c r="V627" i="2"/>
  <c r="U627" i="2"/>
  <c r="T627" i="2"/>
  <c r="S627" i="2"/>
  <c r="R627" i="2"/>
  <c r="Q627" i="2"/>
  <c r="P627" i="2"/>
  <c r="O627" i="2"/>
  <c r="N627" i="2"/>
  <c r="M627" i="2"/>
  <c r="L627" i="2"/>
  <c r="W626" i="2"/>
  <c r="V626" i="2"/>
  <c r="U626" i="2"/>
  <c r="T626" i="2"/>
  <c r="S626" i="2"/>
  <c r="R626" i="2"/>
  <c r="Q626" i="2"/>
  <c r="P626" i="2"/>
  <c r="O626" i="2"/>
  <c r="N626" i="2"/>
  <c r="M626" i="2"/>
  <c r="L626" i="2"/>
  <c r="AJ766" i="3" s="1"/>
  <c r="AM766" i="3" s="1"/>
  <c r="W625" i="2"/>
  <c r="V625" i="2"/>
  <c r="U625" i="2"/>
  <c r="T625" i="2"/>
  <c r="S625" i="2"/>
  <c r="R625" i="2"/>
  <c r="Q625" i="2"/>
  <c r="P625" i="2"/>
  <c r="O625" i="2"/>
  <c r="N625" i="2"/>
  <c r="M625" i="2"/>
  <c r="L625" i="2"/>
  <c r="W624" i="2"/>
  <c r="V624" i="2"/>
  <c r="U624" i="2"/>
  <c r="T624" i="2"/>
  <c r="S624" i="2"/>
  <c r="R624" i="2"/>
  <c r="Q624" i="2"/>
  <c r="P624" i="2"/>
  <c r="O624" i="2"/>
  <c r="N624" i="2"/>
  <c r="M624" i="2"/>
  <c r="L624" i="2"/>
  <c r="AJ764" i="3" s="1"/>
  <c r="AM764" i="3" s="1"/>
  <c r="W623" i="2"/>
  <c r="V623" i="2"/>
  <c r="U623" i="2"/>
  <c r="T623" i="2"/>
  <c r="S623" i="2"/>
  <c r="R623" i="2"/>
  <c r="Q623" i="2"/>
  <c r="P623" i="2"/>
  <c r="O623" i="2"/>
  <c r="N623" i="2"/>
  <c r="M623" i="2"/>
  <c r="L623" i="2"/>
  <c r="AJ763" i="3" s="1"/>
  <c r="AM763" i="3" s="1"/>
  <c r="W622" i="2"/>
  <c r="V622" i="2"/>
  <c r="U622" i="2"/>
  <c r="T622" i="2"/>
  <c r="S622" i="2"/>
  <c r="R622" i="2"/>
  <c r="Q622" i="2"/>
  <c r="P622" i="2"/>
  <c r="O622" i="2"/>
  <c r="N622" i="2"/>
  <c r="M622" i="2"/>
  <c r="L622" i="2"/>
  <c r="AJ762" i="3" s="1"/>
  <c r="AM762" i="3" s="1"/>
  <c r="W621" i="2"/>
  <c r="V621" i="2"/>
  <c r="U621" i="2"/>
  <c r="T621" i="2"/>
  <c r="S621" i="2"/>
  <c r="R621" i="2"/>
  <c r="Q621" i="2"/>
  <c r="P621" i="2"/>
  <c r="O621" i="2"/>
  <c r="N621" i="2"/>
  <c r="M621" i="2"/>
  <c r="L621" i="2"/>
  <c r="W620" i="2"/>
  <c r="V620" i="2"/>
  <c r="U620" i="2"/>
  <c r="T620" i="2"/>
  <c r="S620" i="2"/>
  <c r="R620" i="2"/>
  <c r="Q620" i="2"/>
  <c r="P620" i="2"/>
  <c r="O620" i="2"/>
  <c r="N620" i="2"/>
  <c r="M620" i="2"/>
  <c r="L620" i="2"/>
  <c r="AJ760" i="3" s="1"/>
  <c r="AM760" i="3" s="1"/>
  <c r="W619" i="2"/>
  <c r="V619" i="2"/>
  <c r="U619" i="2"/>
  <c r="T619" i="2"/>
  <c r="S619" i="2"/>
  <c r="R619" i="2"/>
  <c r="Q619" i="2"/>
  <c r="P619" i="2"/>
  <c r="O619" i="2"/>
  <c r="N619" i="2"/>
  <c r="M619" i="2"/>
  <c r="L619" i="2"/>
  <c r="W618" i="2"/>
  <c r="V618" i="2"/>
  <c r="U618" i="2"/>
  <c r="T618" i="2"/>
  <c r="S618" i="2"/>
  <c r="R618" i="2"/>
  <c r="Q618" i="2"/>
  <c r="P618" i="2"/>
  <c r="O618" i="2"/>
  <c r="N618" i="2"/>
  <c r="M618" i="2"/>
  <c r="L618" i="2"/>
  <c r="AJ758" i="3" s="1"/>
  <c r="AM758" i="3" s="1"/>
  <c r="W617" i="2"/>
  <c r="V617" i="2"/>
  <c r="U617" i="2"/>
  <c r="T617" i="2"/>
  <c r="S617" i="2"/>
  <c r="R617" i="2"/>
  <c r="Q617" i="2"/>
  <c r="P617" i="2"/>
  <c r="O617" i="2"/>
  <c r="N617" i="2"/>
  <c r="M617" i="2"/>
  <c r="L617" i="2"/>
  <c r="W616" i="2"/>
  <c r="V616" i="2"/>
  <c r="U616" i="2"/>
  <c r="T616" i="2"/>
  <c r="S616" i="2"/>
  <c r="R616" i="2"/>
  <c r="Q616" i="2"/>
  <c r="P616" i="2"/>
  <c r="O616" i="2"/>
  <c r="N616" i="2"/>
  <c r="M616" i="2"/>
  <c r="L616" i="2"/>
  <c r="W615" i="2"/>
  <c r="V615" i="2"/>
  <c r="U615" i="2"/>
  <c r="T615" i="2"/>
  <c r="S615" i="2"/>
  <c r="R615" i="2"/>
  <c r="Q615" i="2"/>
  <c r="P615" i="2"/>
  <c r="O615" i="2"/>
  <c r="N615" i="2"/>
  <c r="M615" i="2"/>
  <c r="L615" i="2"/>
  <c r="W614" i="2"/>
  <c r="V614" i="2"/>
  <c r="U614" i="2"/>
  <c r="T614" i="2"/>
  <c r="S614" i="2"/>
  <c r="R614" i="2"/>
  <c r="Q614" i="2"/>
  <c r="P614" i="2"/>
  <c r="O614" i="2"/>
  <c r="N614" i="2"/>
  <c r="M614" i="2"/>
  <c r="L614" i="2"/>
  <c r="W613" i="2"/>
  <c r="V613" i="2"/>
  <c r="U613" i="2"/>
  <c r="T613" i="2"/>
  <c r="S613" i="2"/>
  <c r="R613" i="2"/>
  <c r="Q613" i="2"/>
  <c r="P613" i="2"/>
  <c r="O613" i="2"/>
  <c r="N613" i="2"/>
  <c r="M613" i="2"/>
  <c r="L613" i="2"/>
  <c r="W612" i="2"/>
  <c r="V612" i="2"/>
  <c r="U612" i="2"/>
  <c r="T612" i="2"/>
  <c r="S612" i="2"/>
  <c r="R612" i="2"/>
  <c r="Q612" i="2"/>
  <c r="P612" i="2"/>
  <c r="O612" i="2"/>
  <c r="N612" i="2"/>
  <c r="M612" i="2"/>
  <c r="L612" i="2"/>
  <c r="W611" i="2"/>
  <c r="V611" i="2"/>
  <c r="U611" i="2"/>
  <c r="T611" i="2"/>
  <c r="S611" i="2"/>
  <c r="R611" i="2"/>
  <c r="Q611" i="2"/>
  <c r="P611" i="2"/>
  <c r="O611" i="2"/>
  <c r="N611" i="2"/>
  <c r="M611" i="2"/>
  <c r="L611" i="2"/>
  <c r="AJ751" i="3" s="1"/>
  <c r="AM751" i="3" s="1"/>
  <c r="W610" i="2"/>
  <c r="V610" i="2"/>
  <c r="U610" i="2"/>
  <c r="T610" i="2"/>
  <c r="S610" i="2"/>
  <c r="R610" i="2"/>
  <c r="Q610" i="2"/>
  <c r="P610" i="2"/>
  <c r="O610" i="2"/>
  <c r="N610" i="2"/>
  <c r="M610" i="2"/>
  <c r="L610" i="2"/>
  <c r="AJ750" i="3" s="1"/>
  <c r="AM750" i="3" s="1"/>
  <c r="W609" i="2"/>
  <c r="V609" i="2"/>
  <c r="U609" i="2"/>
  <c r="T609" i="2"/>
  <c r="S609" i="2"/>
  <c r="R609" i="2"/>
  <c r="Q609" i="2"/>
  <c r="P609" i="2"/>
  <c r="O609" i="2"/>
  <c r="N609" i="2"/>
  <c r="M609" i="2"/>
  <c r="L609" i="2"/>
  <c r="W608" i="2"/>
  <c r="V608" i="2"/>
  <c r="U608" i="2"/>
  <c r="T608" i="2"/>
  <c r="S608" i="2"/>
  <c r="R608" i="2"/>
  <c r="Q608" i="2"/>
  <c r="P608" i="2"/>
  <c r="O608" i="2"/>
  <c r="N608" i="2"/>
  <c r="M608" i="2"/>
  <c r="L608" i="2"/>
  <c r="W607" i="2"/>
  <c r="V607" i="2"/>
  <c r="U607" i="2"/>
  <c r="T607" i="2"/>
  <c r="S607" i="2"/>
  <c r="R607" i="2"/>
  <c r="Q607" i="2"/>
  <c r="P607" i="2"/>
  <c r="O607" i="2"/>
  <c r="N607" i="2"/>
  <c r="M607" i="2"/>
  <c r="L607" i="2"/>
  <c r="W606" i="2"/>
  <c r="V606" i="2"/>
  <c r="U606" i="2"/>
  <c r="T606" i="2"/>
  <c r="S606" i="2"/>
  <c r="R606" i="2"/>
  <c r="Q606" i="2"/>
  <c r="P606" i="2"/>
  <c r="O606" i="2"/>
  <c r="N606" i="2"/>
  <c r="M606" i="2"/>
  <c r="L606" i="2"/>
  <c r="W605" i="2"/>
  <c r="V605" i="2"/>
  <c r="U605" i="2"/>
  <c r="T605" i="2"/>
  <c r="S605" i="2"/>
  <c r="R605" i="2"/>
  <c r="Q605" i="2"/>
  <c r="P605" i="2"/>
  <c r="O605" i="2"/>
  <c r="N605" i="2"/>
  <c r="M605" i="2"/>
  <c r="L605" i="2"/>
  <c r="W604" i="2"/>
  <c r="V604" i="2"/>
  <c r="U604" i="2"/>
  <c r="T604" i="2"/>
  <c r="S604" i="2"/>
  <c r="R604" i="2"/>
  <c r="Q604" i="2"/>
  <c r="P604" i="2"/>
  <c r="O604" i="2"/>
  <c r="N604" i="2"/>
  <c r="M604" i="2"/>
  <c r="L604" i="2"/>
  <c r="W603" i="2"/>
  <c r="V603" i="2"/>
  <c r="U603" i="2"/>
  <c r="T603" i="2"/>
  <c r="S603" i="2"/>
  <c r="R603" i="2"/>
  <c r="Q603" i="2"/>
  <c r="P603" i="2"/>
  <c r="O603" i="2"/>
  <c r="N603" i="2"/>
  <c r="M603" i="2"/>
  <c r="L603" i="2"/>
  <c r="AJ743" i="3" s="1"/>
  <c r="AM743" i="3" s="1"/>
  <c r="W602" i="2"/>
  <c r="V602" i="2"/>
  <c r="U602" i="2"/>
  <c r="T602" i="2"/>
  <c r="S602" i="2"/>
  <c r="R602" i="2"/>
  <c r="Q602" i="2"/>
  <c r="P602" i="2"/>
  <c r="O602" i="2"/>
  <c r="N602" i="2"/>
  <c r="M602" i="2"/>
  <c r="L602" i="2"/>
  <c r="AJ742" i="3" s="1"/>
  <c r="AM742" i="3" s="1"/>
  <c r="W601" i="2"/>
  <c r="V601" i="2"/>
  <c r="U601" i="2"/>
  <c r="T601" i="2"/>
  <c r="S601" i="2"/>
  <c r="R601" i="2"/>
  <c r="Q601" i="2"/>
  <c r="P601" i="2"/>
  <c r="O601" i="2"/>
  <c r="N601" i="2"/>
  <c r="M601" i="2"/>
  <c r="L601" i="2"/>
  <c r="W600" i="2"/>
  <c r="V600" i="2"/>
  <c r="U600" i="2"/>
  <c r="T600" i="2"/>
  <c r="S600" i="2"/>
  <c r="R600" i="2"/>
  <c r="Q600" i="2"/>
  <c r="P600" i="2"/>
  <c r="O600" i="2"/>
  <c r="N600" i="2"/>
  <c r="M600" i="2"/>
  <c r="L600" i="2"/>
  <c r="W599" i="2"/>
  <c r="V599" i="2"/>
  <c r="U599" i="2"/>
  <c r="T599" i="2"/>
  <c r="S599" i="2"/>
  <c r="R599" i="2"/>
  <c r="Q599" i="2"/>
  <c r="P599" i="2"/>
  <c r="O599" i="2"/>
  <c r="N599" i="2"/>
  <c r="M599" i="2"/>
  <c r="L599" i="2"/>
  <c r="W598" i="2"/>
  <c r="V598" i="2"/>
  <c r="U598" i="2"/>
  <c r="T598" i="2"/>
  <c r="S598" i="2"/>
  <c r="R598" i="2"/>
  <c r="Q598" i="2"/>
  <c r="P598" i="2"/>
  <c r="O598" i="2"/>
  <c r="N598" i="2"/>
  <c r="M598" i="2"/>
  <c r="L598" i="2"/>
  <c r="W597" i="2"/>
  <c r="V597" i="2"/>
  <c r="U597" i="2"/>
  <c r="T597" i="2"/>
  <c r="S597" i="2"/>
  <c r="R597" i="2"/>
  <c r="Q597" i="2"/>
  <c r="P597" i="2"/>
  <c r="O597" i="2"/>
  <c r="N597" i="2"/>
  <c r="M597" i="2"/>
  <c r="L597" i="2"/>
  <c r="W596" i="2"/>
  <c r="V596" i="2"/>
  <c r="U596" i="2"/>
  <c r="T596" i="2"/>
  <c r="S596" i="2"/>
  <c r="R596" i="2"/>
  <c r="Q596" i="2"/>
  <c r="P596" i="2"/>
  <c r="O596" i="2"/>
  <c r="N596" i="2"/>
  <c r="M596" i="2"/>
  <c r="L596" i="2"/>
  <c r="W595" i="2"/>
  <c r="V595" i="2"/>
  <c r="U595" i="2"/>
  <c r="T595" i="2"/>
  <c r="S595" i="2"/>
  <c r="R595" i="2"/>
  <c r="Q595" i="2"/>
  <c r="P595" i="2"/>
  <c r="O595" i="2"/>
  <c r="N595" i="2"/>
  <c r="M595" i="2"/>
  <c r="L595" i="2"/>
  <c r="AJ735" i="3" s="1"/>
  <c r="AM735" i="3" s="1"/>
  <c r="W594" i="2"/>
  <c r="V594" i="2"/>
  <c r="U594" i="2"/>
  <c r="T594" i="2"/>
  <c r="S594" i="2"/>
  <c r="R594" i="2"/>
  <c r="Q594" i="2"/>
  <c r="P594" i="2"/>
  <c r="O594" i="2"/>
  <c r="N594" i="2"/>
  <c r="M594" i="2"/>
  <c r="L594" i="2"/>
  <c r="AJ734" i="3" s="1"/>
  <c r="AM734" i="3" s="1"/>
  <c r="W593" i="2"/>
  <c r="V593" i="2"/>
  <c r="U593" i="2"/>
  <c r="T593" i="2"/>
  <c r="S593" i="2"/>
  <c r="R593" i="2"/>
  <c r="Q593" i="2"/>
  <c r="P593" i="2"/>
  <c r="O593" i="2"/>
  <c r="N593" i="2"/>
  <c r="M593" i="2"/>
  <c r="L593" i="2"/>
  <c r="W592" i="2"/>
  <c r="V592" i="2"/>
  <c r="U592" i="2"/>
  <c r="T592" i="2"/>
  <c r="S592" i="2"/>
  <c r="R592" i="2"/>
  <c r="Q592" i="2"/>
  <c r="P592" i="2"/>
  <c r="O592" i="2"/>
  <c r="N592" i="2"/>
  <c r="M592" i="2"/>
  <c r="L592" i="2"/>
  <c r="W591" i="2"/>
  <c r="V591" i="2"/>
  <c r="U591" i="2"/>
  <c r="T591" i="2"/>
  <c r="S591" i="2"/>
  <c r="R591" i="2"/>
  <c r="Q591" i="2"/>
  <c r="P591" i="2"/>
  <c r="O591" i="2"/>
  <c r="N591" i="2"/>
  <c r="M591" i="2"/>
  <c r="L591" i="2"/>
  <c r="W590" i="2"/>
  <c r="V590" i="2"/>
  <c r="U590" i="2"/>
  <c r="T590" i="2"/>
  <c r="S590" i="2"/>
  <c r="R590" i="2"/>
  <c r="Q590" i="2"/>
  <c r="P590" i="2"/>
  <c r="O590" i="2"/>
  <c r="N590" i="2"/>
  <c r="M590" i="2"/>
  <c r="L590" i="2"/>
  <c r="W589" i="2"/>
  <c r="V589" i="2"/>
  <c r="U589" i="2"/>
  <c r="T589" i="2"/>
  <c r="S589" i="2"/>
  <c r="R589" i="2"/>
  <c r="Q589" i="2"/>
  <c r="P589" i="2"/>
  <c r="O589" i="2"/>
  <c r="N589" i="2"/>
  <c r="M589" i="2"/>
  <c r="L589" i="2"/>
  <c r="W588" i="2"/>
  <c r="V588" i="2"/>
  <c r="U588" i="2"/>
  <c r="T588" i="2"/>
  <c r="S588" i="2"/>
  <c r="R588" i="2"/>
  <c r="Q588" i="2"/>
  <c r="P588" i="2"/>
  <c r="O588" i="2"/>
  <c r="N588" i="2"/>
  <c r="M588" i="2"/>
  <c r="L588" i="2"/>
  <c r="W587" i="2"/>
  <c r="V587" i="2"/>
  <c r="U587" i="2"/>
  <c r="T587" i="2"/>
  <c r="S587" i="2"/>
  <c r="R587" i="2"/>
  <c r="Q587" i="2"/>
  <c r="P587" i="2"/>
  <c r="O587" i="2"/>
  <c r="N587" i="2"/>
  <c r="M587" i="2"/>
  <c r="L587" i="2"/>
  <c r="AJ727" i="3" s="1"/>
  <c r="AM727" i="3" s="1"/>
  <c r="W586" i="2"/>
  <c r="V586" i="2"/>
  <c r="U586" i="2"/>
  <c r="T586" i="2"/>
  <c r="S586" i="2"/>
  <c r="R586" i="2"/>
  <c r="Q586" i="2"/>
  <c r="P586" i="2"/>
  <c r="O586" i="2"/>
  <c r="N586" i="2"/>
  <c r="M586" i="2"/>
  <c r="L586" i="2"/>
  <c r="AJ726" i="3" s="1"/>
  <c r="AM726" i="3" s="1"/>
  <c r="W585" i="2"/>
  <c r="V585" i="2"/>
  <c r="U585" i="2"/>
  <c r="T585" i="2"/>
  <c r="S585" i="2"/>
  <c r="R585" i="2"/>
  <c r="Q585" i="2"/>
  <c r="P585" i="2"/>
  <c r="O585" i="2"/>
  <c r="N585" i="2"/>
  <c r="M585" i="2"/>
  <c r="L585" i="2"/>
  <c r="W584" i="2"/>
  <c r="V584" i="2"/>
  <c r="U584" i="2"/>
  <c r="T584" i="2"/>
  <c r="S584" i="2"/>
  <c r="R584" i="2"/>
  <c r="Q584" i="2"/>
  <c r="P584" i="2"/>
  <c r="O584" i="2"/>
  <c r="N584" i="2"/>
  <c r="M584" i="2"/>
  <c r="L584" i="2"/>
  <c r="W583" i="2"/>
  <c r="V583" i="2"/>
  <c r="U583" i="2"/>
  <c r="T583" i="2"/>
  <c r="S583" i="2"/>
  <c r="R583" i="2"/>
  <c r="Q583" i="2"/>
  <c r="P583" i="2"/>
  <c r="O583" i="2"/>
  <c r="N583" i="2"/>
  <c r="M583" i="2"/>
  <c r="L583" i="2"/>
  <c r="W582" i="2"/>
  <c r="V582" i="2"/>
  <c r="U582" i="2"/>
  <c r="T582" i="2"/>
  <c r="S582" i="2"/>
  <c r="R582" i="2"/>
  <c r="Q582" i="2"/>
  <c r="P582" i="2"/>
  <c r="O582" i="2"/>
  <c r="N582" i="2"/>
  <c r="M582" i="2"/>
  <c r="L582" i="2"/>
  <c r="W581" i="2"/>
  <c r="V581" i="2"/>
  <c r="U581" i="2"/>
  <c r="T581" i="2"/>
  <c r="S581" i="2"/>
  <c r="R581" i="2"/>
  <c r="Q581" i="2"/>
  <c r="P581" i="2"/>
  <c r="O581" i="2"/>
  <c r="N581" i="2"/>
  <c r="M581" i="2"/>
  <c r="L581" i="2"/>
  <c r="W580" i="2"/>
  <c r="V580" i="2"/>
  <c r="U580" i="2"/>
  <c r="T580" i="2"/>
  <c r="S580" i="2"/>
  <c r="R580" i="2"/>
  <c r="Q580" i="2"/>
  <c r="P580" i="2"/>
  <c r="O580" i="2"/>
  <c r="N580" i="2"/>
  <c r="M580" i="2"/>
  <c r="L580" i="2"/>
  <c r="W579" i="2"/>
  <c r="V579" i="2"/>
  <c r="U579" i="2"/>
  <c r="T579" i="2"/>
  <c r="S579" i="2"/>
  <c r="R579" i="2"/>
  <c r="Q579" i="2"/>
  <c r="P579" i="2"/>
  <c r="O579" i="2"/>
  <c r="N579" i="2"/>
  <c r="M579" i="2"/>
  <c r="L579" i="2"/>
  <c r="AJ719" i="3" s="1"/>
  <c r="AM719" i="3" s="1"/>
  <c r="W578" i="2"/>
  <c r="V578" i="2"/>
  <c r="U578" i="2"/>
  <c r="T578" i="2"/>
  <c r="S578" i="2"/>
  <c r="R578" i="2"/>
  <c r="Q578" i="2"/>
  <c r="P578" i="2"/>
  <c r="O578" i="2"/>
  <c r="N578" i="2"/>
  <c r="M578" i="2"/>
  <c r="L578" i="2"/>
  <c r="AJ718" i="3" s="1"/>
  <c r="AM718" i="3" s="1"/>
  <c r="W577" i="2"/>
  <c r="V577" i="2"/>
  <c r="U577" i="2"/>
  <c r="T577" i="2"/>
  <c r="S577" i="2"/>
  <c r="R577" i="2"/>
  <c r="Q577" i="2"/>
  <c r="P577" i="2"/>
  <c r="O577" i="2"/>
  <c r="N577" i="2"/>
  <c r="M577" i="2"/>
  <c r="L577" i="2"/>
  <c r="W576" i="2"/>
  <c r="V576" i="2"/>
  <c r="U576" i="2"/>
  <c r="T576" i="2"/>
  <c r="S576" i="2"/>
  <c r="R576" i="2"/>
  <c r="Q576" i="2"/>
  <c r="P576" i="2"/>
  <c r="O576" i="2"/>
  <c r="N576" i="2"/>
  <c r="M576" i="2"/>
  <c r="L576" i="2"/>
  <c r="W575" i="2"/>
  <c r="V575" i="2"/>
  <c r="U575" i="2"/>
  <c r="T575" i="2"/>
  <c r="S575" i="2"/>
  <c r="R575" i="2"/>
  <c r="Q575" i="2"/>
  <c r="P575" i="2"/>
  <c r="O575" i="2"/>
  <c r="N575" i="2"/>
  <c r="M575" i="2"/>
  <c r="L575" i="2"/>
  <c r="W574" i="2"/>
  <c r="V574" i="2"/>
  <c r="U574" i="2"/>
  <c r="T574" i="2"/>
  <c r="S574" i="2"/>
  <c r="R574" i="2"/>
  <c r="Q574" i="2"/>
  <c r="P574" i="2"/>
  <c r="O574" i="2"/>
  <c r="N574" i="2"/>
  <c r="M574" i="2"/>
  <c r="L574" i="2"/>
  <c r="W573" i="2"/>
  <c r="V573" i="2"/>
  <c r="U573" i="2"/>
  <c r="T573" i="2"/>
  <c r="S573" i="2"/>
  <c r="R573" i="2"/>
  <c r="Q573" i="2"/>
  <c r="P573" i="2"/>
  <c r="O573" i="2"/>
  <c r="N573" i="2"/>
  <c r="M573" i="2"/>
  <c r="L573" i="2"/>
  <c r="W572" i="2"/>
  <c r="V572" i="2"/>
  <c r="U572" i="2"/>
  <c r="T572" i="2"/>
  <c r="S572" i="2"/>
  <c r="R572" i="2"/>
  <c r="Q572" i="2"/>
  <c r="P572" i="2"/>
  <c r="O572" i="2"/>
  <c r="N572" i="2"/>
  <c r="M572" i="2"/>
  <c r="L572" i="2"/>
  <c r="W571" i="2"/>
  <c r="V571" i="2"/>
  <c r="U571" i="2"/>
  <c r="T571" i="2"/>
  <c r="S571" i="2"/>
  <c r="R571" i="2"/>
  <c r="Q571" i="2"/>
  <c r="P571" i="2"/>
  <c r="O571" i="2"/>
  <c r="N571" i="2"/>
  <c r="M571" i="2"/>
  <c r="L571" i="2"/>
  <c r="AJ711" i="3" s="1"/>
  <c r="AM711" i="3" s="1"/>
  <c r="W570" i="2"/>
  <c r="V570" i="2"/>
  <c r="U570" i="2"/>
  <c r="T570" i="2"/>
  <c r="S570" i="2"/>
  <c r="R570" i="2"/>
  <c r="Q570" i="2"/>
  <c r="P570" i="2"/>
  <c r="O570" i="2"/>
  <c r="N570" i="2"/>
  <c r="M570" i="2"/>
  <c r="L570" i="2"/>
  <c r="AJ710" i="3" s="1"/>
  <c r="AM710" i="3" s="1"/>
  <c r="W569" i="2"/>
  <c r="V569" i="2"/>
  <c r="U569" i="2"/>
  <c r="T569" i="2"/>
  <c r="S569" i="2"/>
  <c r="R569" i="2"/>
  <c r="Q569" i="2"/>
  <c r="P569" i="2"/>
  <c r="O569" i="2"/>
  <c r="N569" i="2"/>
  <c r="M569" i="2"/>
  <c r="L569" i="2"/>
  <c r="W568" i="2"/>
  <c r="V568" i="2"/>
  <c r="U568" i="2"/>
  <c r="T568" i="2"/>
  <c r="S568" i="2"/>
  <c r="R568" i="2"/>
  <c r="Q568" i="2"/>
  <c r="P568" i="2"/>
  <c r="O568" i="2"/>
  <c r="N568" i="2"/>
  <c r="M568" i="2"/>
  <c r="L568" i="2"/>
  <c r="W567" i="2"/>
  <c r="V567" i="2"/>
  <c r="U567" i="2"/>
  <c r="T567" i="2"/>
  <c r="S567" i="2"/>
  <c r="R567" i="2"/>
  <c r="Q567" i="2"/>
  <c r="P567" i="2"/>
  <c r="O567" i="2"/>
  <c r="N567" i="2"/>
  <c r="M567" i="2"/>
  <c r="L567" i="2"/>
  <c r="W566" i="2"/>
  <c r="V566" i="2"/>
  <c r="U566" i="2"/>
  <c r="T566" i="2"/>
  <c r="S566" i="2"/>
  <c r="R566" i="2"/>
  <c r="Q566" i="2"/>
  <c r="P566" i="2"/>
  <c r="O566" i="2"/>
  <c r="N566" i="2"/>
  <c r="M566" i="2"/>
  <c r="L566" i="2"/>
  <c r="W565" i="2"/>
  <c r="V565" i="2"/>
  <c r="U565" i="2"/>
  <c r="T565" i="2"/>
  <c r="S565" i="2"/>
  <c r="R565" i="2"/>
  <c r="Q565" i="2"/>
  <c r="P565" i="2"/>
  <c r="O565" i="2"/>
  <c r="N565" i="2"/>
  <c r="M565" i="2"/>
  <c r="L565" i="2"/>
  <c r="W564" i="2"/>
  <c r="V564" i="2"/>
  <c r="U564" i="2"/>
  <c r="T564" i="2"/>
  <c r="S564" i="2"/>
  <c r="R564" i="2"/>
  <c r="Q564" i="2"/>
  <c r="P564" i="2"/>
  <c r="O564" i="2"/>
  <c r="N564" i="2"/>
  <c r="M564" i="2"/>
  <c r="L564" i="2"/>
  <c r="W563" i="2"/>
  <c r="V563" i="2"/>
  <c r="U563" i="2"/>
  <c r="T563" i="2"/>
  <c r="S563" i="2"/>
  <c r="R563" i="2"/>
  <c r="Q563" i="2"/>
  <c r="P563" i="2"/>
  <c r="O563" i="2"/>
  <c r="N563" i="2"/>
  <c r="M563" i="2"/>
  <c r="L563" i="2"/>
  <c r="AJ703" i="3" s="1"/>
  <c r="AM703" i="3" s="1"/>
  <c r="W562" i="2"/>
  <c r="V562" i="2"/>
  <c r="U562" i="2"/>
  <c r="T562" i="2"/>
  <c r="S562" i="2"/>
  <c r="R562" i="2"/>
  <c r="Q562" i="2"/>
  <c r="P562" i="2"/>
  <c r="O562" i="2"/>
  <c r="N562" i="2"/>
  <c r="M562" i="2"/>
  <c r="L562" i="2"/>
  <c r="AJ702" i="3" s="1"/>
  <c r="AM702" i="3" s="1"/>
  <c r="W561" i="2"/>
  <c r="V561" i="2"/>
  <c r="U561" i="2"/>
  <c r="T561" i="2"/>
  <c r="S561" i="2"/>
  <c r="R561" i="2"/>
  <c r="Q561" i="2"/>
  <c r="P561" i="2"/>
  <c r="O561" i="2"/>
  <c r="N561" i="2"/>
  <c r="M561" i="2"/>
  <c r="L561" i="2"/>
  <c r="W560" i="2"/>
  <c r="V560" i="2"/>
  <c r="U560" i="2"/>
  <c r="T560" i="2"/>
  <c r="S560" i="2"/>
  <c r="R560" i="2"/>
  <c r="Q560" i="2"/>
  <c r="P560" i="2"/>
  <c r="O560" i="2"/>
  <c r="N560" i="2"/>
  <c r="M560" i="2"/>
  <c r="L560" i="2"/>
  <c r="W559" i="2"/>
  <c r="V559" i="2"/>
  <c r="U559" i="2"/>
  <c r="T559" i="2"/>
  <c r="S559" i="2"/>
  <c r="R559" i="2"/>
  <c r="Q559" i="2"/>
  <c r="P559" i="2"/>
  <c r="O559" i="2"/>
  <c r="N559" i="2"/>
  <c r="M559" i="2"/>
  <c r="L559" i="2"/>
  <c r="W558" i="2"/>
  <c r="V558" i="2"/>
  <c r="U558" i="2"/>
  <c r="T558" i="2"/>
  <c r="S558" i="2"/>
  <c r="R558" i="2"/>
  <c r="Q558" i="2"/>
  <c r="P558" i="2"/>
  <c r="O558" i="2"/>
  <c r="N558" i="2"/>
  <c r="M558" i="2"/>
  <c r="L558" i="2"/>
  <c r="W557" i="2"/>
  <c r="V557" i="2"/>
  <c r="U557" i="2"/>
  <c r="T557" i="2"/>
  <c r="S557" i="2"/>
  <c r="R557" i="2"/>
  <c r="Q557" i="2"/>
  <c r="P557" i="2"/>
  <c r="O557" i="2"/>
  <c r="N557" i="2"/>
  <c r="M557" i="2"/>
  <c r="L557" i="2"/>
  <c r="W556" i="2"/>
  <c r="V556" i="2"/>
  <c r="U556" i="2"/>
  <c r="T556" i="2"/>
  <c r="S556" i="2"/>
  <c r="R556" i="2"/>
  <c r="Q556" i="2"/>
  <c r="P556" i="2"/>
  <c r="O556" i="2"/>
  <c r="N556" i="2"/>
  <c r="M556" i="2"/>
  <c r="L556" i="2"/>
  <c r="W555" i="2"/>
  <c r="V555" i="2"/>
  <c r="U555" i="2"/>
  <c r="T555" i="2"/>
  <c r="S555" i="2"/>
  <c r="R555" i="2"/>
  <c r="Q555" i="2"/>
  <c r="P555" i="2"/>
  <c r="O555" i="2"/>
  <c r="N555" i="2"/>
  <c r="M555" i="2"/>
  <c r="L555" i="2"/>
  <c r="W554" i="2"/>
  <c r="V554" i="2"/>
  <c r="U554" i="2"/>
  <c r="T554" i="2"/>
  <c r="S554" i="2"/>
  <c r="R554" i="2"/>
  <c r="Q554" i="2"/>
  <c r="P554" i="2"/>
  <c r="O554" i="2"/>
  <c r="N554" i="2"/>
  <c r="M554" i="2"/>
  <c r="L554" i="2"/>
  <c r="W553" i="2"/>
  <c r="V553" i="2"/>
  <c r="U553" i="2"/>
  <c r="T553" i="2"/>
  <c r="S553" i="2"/>
  <c r="R553" i="2"/>
  <c r="Q553" i="2"/>
  <c r="P553" i="2"/>
  <c r="O553" i="2"/>
  <c r="N553" i="2"/>
  <c r="M553" i="2"/>
  <c r="L553" i="2"/>
  <c r="W552" i="2"/>
  <c r="V552" i="2"/>
  <c r="U552" i="2"/>
  <c r="T552" i="2"/>
  <c r="S552" i="2"/>
  <c r="R552" i="2"/>
  <c r="Q552" i="2"/>
  <c r="P552" i="2"/>
  <c r="O552" i="2"/>
  <c r="N552" i="2"/>
  <c r="M552" i="2"/>
  <c r="L552" i="2"/>
  <c r="W551" i="2"/>
  <c r="V551" i="2"/>
  <c r="U551" i="2"/>
  <c r="T551" i="2"/>
  <c r="S551" i="2"/>
  <c r="R551" i="2"/>
  <c r="Q551" i="2"/>
  <c r="P551" i="2"/>
  <c r="O551" i="2"/>
  <c r="N551" i="2"/>
  <c r="M551" i="2"/>
  <c r="L551" i="2"/>
  <c r="W550" i="2"/>
  <c r="V550" i="2"/>
  <c r="U550" i="2"/>
  <c r="T550" i="2"/>
  <c r="S550" i="2"/>
  <c r="R550" i="2"/>
  <c r="Q550" i="2"/>
  <c r="P550" i="2"/>
  <c r="O550" i="2"/>
  <c r="N550" i="2"/>
  <c r="M550" i="2"/>
  <c r="L550" i="2"/>
  <c r="W549" i="2"/>
  <c r="V549" i="2"/>
  <c r="U549" i="2"/>
  <c r="T549" i="2"/>
  <c r="S549" i="2"/>
  <c r="R549" i="2"/>
  <c r="Q549" i="2"/>
  <c r="P549" i="2"/>
  <c r="O549" i="2"/>
  <c r="N549" i="2"/>
  <c r="M549" i="2"/>
  <c r="L549" i="2"/>
  <c r="W548" i="2"/>
  <c r="V548" i="2"/>
  <c r="U548" i="2"/>
  <c r="T548" i="2"/>
  <c r="S548" i="2"/>
  <c r="R548" i="2"/>
  <c r="Q548" i="2"/>
  <c r="P548" i="2"/>
  <c r="O548" i="2"/>
  <c r="N548" i="2"/>
  <c r="M548" i="2"/>
  <c r="L548" i="2"/>
  <c r="W547" i="2"/>
  <c r="V547" i="2"/>
  <c r="U547" i="2"/>
  <c r="T547" i="2"/>
  <c r="S547" i="2"/>
  <c r="R547" i="2"/>
  <c r="Q547" i="2"/>
  <c r="P547" i="2"/>
  <c r="O547" i="2"/>
  <c r="N547" i="2"/>
  <c r="M547" i="2"/>
  <c r="L547" i="2"/>
  <c r="W546" i="2"/>
  <c r="V546" i="2"/>
  <c r="U546" i="2"/>
  <c r="T546" i="2"/>
  <c r="S546" i="2"/>
  <c r="R546" i="2"/>
  <c r="Q546" i="2"/>
  <c r="P546" i="2"/>
  <c r="O546" i="2"/>
  <c r="N546" i="2"/>
  <c r="M546" i="2"/>
  <c r="L546" i="2"/>
  <c r="W545" i="2"/>
  <c r="V545" i="2"/>
  <c r="U545" i="2"/>
  <c r="T545" i="2"/>
  <c r="S545" i="2"/>
  <c r="R545" i="2"/>
  <c r="Q545" i="2"/>
  <c r="P545" i="2"/>
  <c r="O545" i="2"/>
  <c r="N545" i="2"/>
  <c r="M545" i="2"/>
  <c r="L545" i="2"/>
  <c r="W544" i="2"/>
  <c r="V544" i="2"/>
  <c r="U544" i="2"/>
  <c r="T544" i="2"/>
  <c r="S544" i="2"/>
  <c r="R544" i="2"/>
  <c r="Q544" i="2"/>
  <c r="P544" i="2"/>
  <c r="O544" i="2"/>
  <c r="N544" i="2"/>
  <c r="M544" i="2"/>
  <c r="L544" i="2"/>
  <c r="W543" i="2"/>
  <c r="V543" i="2"/>
  <c r="U543" i="2"/>
  <c r="T543" i="2"/>
  <c r="S543" i="2"/>
  <c r="R543" i="2"/>
  <c r="Q543" i="2"/>
  <c r="P543" i="2"/>
  <c r="O543" i="2"/>
  <c r="N543" i="2"/>
  <c r="M543" i="2"/>
  <c r="L543" i="2"/>
  <c r="W542" i="2"/>
  <c r="V542" i="2"/>
  <c r="U542" i="2"/>
  <c r="T542" i="2"/>
  <c r="S542" i="2"/>
  <c r="R542" i="2"/>
  <c r="Q542" i="2"/>
  <c r="P542" i="2"/>
  <c r="O542" i="2"/>
  <c r="N542" i="2"/>
  <c r="M542" i="2"/>
  <c r="L542" i="2"/>
  <c r="W541" i="2"/>
  <c r="V541" i="2"/>
  <c r="U541" i="2"/>
  <c r="T541" i="2"/>
  <c r="S541" i="2"/>
  <c r="R541" i="2"/>
  <c r="Q541" i="2"/>
  <c r="P541" i="2"/>
  <c r="O541" i="2"/>
  <c r="N541" i="2"/>
  <c r="M541" i="2"/>
  <c r="L541" i="2"/>
  <c r="W540" i="2"/>
  <c r="V540" i="2"/>
  <c r="U540" i="2"/>
  <c r="T540" i="2"/>
  <c r="S540" i="2"/>
  <c r="R540" i="2"/>
  <c r="Q540" i="2"/>
  <c r="P540" i="2"/>
  <c r="O540" i="2"/>
  <c r="N540" i="2"/>
  <c r="M540" i="2"/>
  <c r="L540" i="2"/>
  <c r="W539" i="2"/>
  <c r="V539" i="2"/>
  <c r="U539" i="2"/>
  <c r="T539" i="2"/>
  <c r="S539" i="2"/>
  <c r="R539" i="2"/>
  <c r="Q539" i="2"/>
  <c r="P539" i="2"/>
  <c r="O539" i="2"/>
  <c r="N539" i="2"/>
  <c r="M539" i="2"/>
  <c r="L539" i="2"/>
  <c r="W538" i="2"/>
  <c r="V538" i="2"/>
  <c r="U538" i="2"/>
  <c r="T538" i="2"/>
  <c r="S538" i="2"/>
  <c r="R538" i="2"/>
  <c r="Q538" i="2"/>
  <c r="P538" i="2"/>
  <c r="O538" i="2"/>
  <c r="N538" i="2"/>
  <c r="M538" i="2"/>
  <c r="L538" i="2"/>
  <c r="W537" i="2"/>
  <c r="V537" i="2"/>
  <c r="U537" i="2"/>
  <c r="T537" i="2"/>
  <c r="S537" i="2"/>
  <c r="R537" i="2"/>
  <c r="Q537" i="2"/>
  <c r="P537" i="2"/>
  <c r="O537" i="2"/>
  <c r="N537" i="2"/>
  <c r="M537" i="2"/>
  <c r="L537" i="2"/>
  <c r="W536" i="2"/>
  <c r="V536" i="2"/>
  <c r="U536" i="2"/>
  <c r="T536" i="2"/>
  <c r="S536" i="2"/>
  <c r="R536" i="2"/>
  <c r="Q536" i="2"/>
  <c r="P536" i="2"/>
  <c r="O536" i="2"/>
  <c r="N536" i="2"/>
  <c r="M536" i="2"/>
  <c r="L536" i="2"/>
  <c r="W535" i="2"/>
  <c r="V535" i="2"/>
  <c r="U535" i="2"/>
  <c r="T535" i="2"/>
  <c r="S535" i="2"/>
  <c r="R535" i="2"/>
  <c r="Q535" i="2"/>
  <c r="P535" i="2"/>
  <c r="O535" i="2"/>
  <c r="N535" i="2"/>
  <c r="M535" i="2"/>
  <c r="L535" i="2"/>
  <c r="W534" i="2"/>
  <c r="V534" i="2"/>
  <c r="U534" i="2"/>
  <c r="T534" i="2"/>
  <c r="S534" i="2"/>
  <c r="R534" i="2"/>
  <c r="Q534" i="2"/>
  <c r="P534" i="2"/>
  <c r="O534" i="2"/>
  <c r="N534" i="2"/>
  <c r="M534" i="2"/>
  <c r="L534" i="2"/>
  <c r="W533" i="2"/>
  <c r="V533" i="2"/>
  <c r="U533" i="2"/>
  <c r="T533" i="2"/>
  <c r="S533" i="2"/>
  <c r="R533" i="2"/>
  <c r="Q533" i="2"/>
  <c r="P533" i="2"/>
  <c r="O533" i="2"/>
  <c r="N533" i="2"/>
  <c r="M533" i="2"/>
  <c r="L533" i="2"/>
  <c r="W532" i="2"/>
  <c r="V532" i="2"/>
  <c r="U532" i="2"/>
  <c r="T532" i="2"/>
  <c r="S532" i="2"/>
  <c r="R532" i="2"/>
  <c r="Q532" i="2"/>
  <c r="P532" i="2"/>
  <c r="O532" i="2"/>
  <c r="N532" i="2"/>
  <c r="M532" i="2"/>
  <c r="L532" i="2"/>
  <c r="W531" i="2"/>
  <c r="V531" i="2"/>
  <c r="U531" i="2"/>
  <c r="T531" i="2"/>
  <c r="S531" i="2"/>
  <c r="R531" i="2"/>
  <c r="Q531" i="2"/>
  <c r="P531" i="2"/>
  <c r="O531" i="2"/>
  <c r="N531" i="2"/>
  <c r="M531" i="2"/>
  <c r="L531" i="2"/>
  <c r="W530" i="2"/>
  <c r="V530" i="2"/>
  <c r="U530" i="2"/>
  <c r="T530" i="2"/>
  <c r="S530" i="2"/>
  <c r="R530" i="2"/>
  <c r="Q530" i="2"/>
  <c r="P530" i="2"/>
  <c r="O530" i="2"/>
  <c r="N530" i="2"/>
  <c r="M530" i="2"/>
  <c r="L530" i="2"/>
  <c r="W529" i="2"/>
  <c r="V529" i="2"/>
  <c r="U529" i="2"/>
  <c r="T529" i="2"/>
  <c r="S529" i="2"/>
  <c r="R529" i="2"/>
  <c r="Q529" i="2"/>
  <c r="P529" i="2"/>
  <c r="O529" i="2"/>
  <c r="N529" i="2"/>
  <c r="M529" i="2"/>
  <c r="L529" i="2"/>
  <c r="W528" i="2"/>
  <c r="V528" i="2"/>
  <c r="U528" i="2"/>
  <c r="T528" i="2"/>
  <c r="S528" i="2"/>
  <c r="R528" i="2"/>
  <c r="Q528" i="2"/>
  <c r="P528" i="2"/>
  <c r="O528" i="2"/>
  <c r="N528" i="2"/>
  <c r="M528" i="2"/>
  <c r="L528" i="2"/>
  <c r="W527" i="2"/>
  <c r="V527" i="2"/>
  <c r="U527" i="2"/>
  <c r="T527" i="2"/>
  <c r="S527" i="2"/>
  <c r="R527" i="2"/>
  <c r="Q527" i="2"/>
  <c r="P527" i="2"/>
  <c r="O527" i="2"/>
  <c r="N527" i="2"/>
  <c r="M527" i="2"/>
  <c r="L527" i="2"/>
  <c r="W526" i="2"/>
  <c r="V526" i="2"/>
  <c r="U526" i="2"/>
  <c r="T526" i="2"/>
  <c r="S526" i="2"/>
  <c r="R526" i="2"/>
  <c r="Q526" i="2"/>
  <c r="P526" i="2"/>
  <c r="O526" i="2"/>
  <c r="N526" i="2"/>
  <c r="M526" i="2"/>
  <c r="L526" i="2"/>
  <c r="W525" i="2"/>
  <c r="V525" i="2"/>
  <c r="U525" i="2"/>
  <c r="T525" i="2"/>
  <c r="S525" i="2"/>
  <c r="R525" i="2"/>
  <c r="Q525" i="2"/>
  <c r="P525" i="2"/>
  <c r="O525" i="2"/>
  <c r="N525" i="2"/>
  <c r="M525" i="2"/>
  <c r="L525" i="2"/>
  <c r="W524" i="2"/>
  <c r="V524" i="2"/>
  <c r="U524" i="2"/>
  <c r="T524" i="2"/>
  <c r="S524" i="2"/>
  <c r="R524" i="2"/>
  <c r="Q524" i="2"/>
  <c r="P524" i="2"/>
  <c r="O524" i="2"/>
  <c r="N524" i="2"/>
  <c r="M524" i="2"/>
  <c r="L524" i="2"/>
  <c r="W523" i="2"/>
  <c r="V523" i="2"/>
  <c r="U523" i="2"/>
  <c r="T523" i="2"/>
  <c r="S523" i="2"/>
  <c r="R523" i="2"/>
  <c r="Q523" i="2"/>
  <c r="P523" i="2"/>
  <c r="O523" i="2"/>
  <c r="N523" i="2"/>
  <c r="M523" i="2"/>
  <c r="L523" i="2"/>
  <c r="AJ663" i="3" s="1"/>
  <c r="AM663" i="3" s="1"/>
  <c r="W522" i="2"/>
  <c r="V522" i="2"/>
  <c r="U522" i="2"/>
  <c r="T522" i="2"/>
  <c r="S522" i="2"/>
  <c r="R522" i="2"/>
  <c r="Q522" i="2"/>
  <c r="P522" i="2"/>
  <c r="O522" i="2"/>
  <c r="N522" i="2"/>
  <c r="M522" i="2"/>
  <c r="L522" i="2"/>
  <c r="W521" i="2"/>
  <c r="V521" i="2"/>
  <c r="U521" i="2"/>
  <c r="T521" i="2"/>
  <c r="S521" i="2"/>
  <c r="R521" i="2"/>
  <c r="Q521" i="2"/>
  <c r="P521" i="2"/>
  <c r="O521" i="2"/>
  <c r="N521" i="2"/>
  <c r="M521" i="2"/>
  <c r="L521" i="2"/>
  <c r="W520" i="2"/>
  <c r="V520" i="2"/>
  <c r="U520" i="2"/>
  <c r="T520" i="2"/>
  <c r="S520" i="2"/>
  <c r="R520" i="2"/>
  <c r="Q520" i="2"/>
  <c r="P520" i="2"/>
  <c r="O520" i="2"/>
  <c r="N520" i="2"/>
  <c r="M520" i="2"/>
  <c r="L520" i="2"/>
  <c r="W519" i="2"/>
  <c r="V519" i="2"/>
  <c r="U519" i="2"/>
  <c r="T519" i="2"/>
  <c r="S519" i="2"/>
  <c r="R519" i="2"/>
  <c r="Q519" i="2"/>
  <c r="P519" i="2"/>
  <c r="O519" i="2"/>
  <c r="N519" i="2"/>
  <c r="M519" i="2"/>
  <c r="L519" i="2"/>
  <c r="W518" i="2"/>
  <c r="V518" i="2"/>
  <c r="U518" i="2"/>
  <c r="T518" i="2"/>
  <c r="S518" i="2"/>
  <c r="R518" i="2"/>
  <c r="Q518" i="2"/>
  <c r="P518" i="2"/>
  <c r="O518" i="2"/>
  <c r="N518" i="2"/>
  <c r="M518" i="2"/>
  <c r="L518" i="2"/>
  <c r="W517" i="2"/>
  <c r="V517" i="2"/>
  <c r="U517" i="2"/>
  <c r="T517" i="2"/>
  <c r="S517" i="2"/>
  <c r="R517" i="2"/>
  <c r="Q517" i="2"/>
  <c r="P517" i="2"/>
  <c r="O517" i="2"/>
  <c r="N517" i="2"/>
  <c r="M517" i="2"/>
  <c r="L517" i="2"/>
  <c r="W516" i="2"/>
  <c r="V516" i="2"/>
  <c r="U516" i="2"/>
  <c r="T516" i="2"/>
  <c r="S516" i="2"/>
  <c r="R516" i="2"/>
  <c r="Q516" i="2"/>
  <c r="P516" i="2"/>
  <c r="O516" i="2"/>
  <c r="N516" i="2"/>
  <c r="M516" i="2"/>
  <c r="L516" i="2"/>
  <c r="AJ656" i="3" s="1"/>
  <c r="AM656" i="3" s="1"/>
  <c r="W515" i="2"/>
  <c r="V515" i="2"/>
  <c r="U515" i="2"/>
  <c r="T515" i="2"/>
  <c r="S515" i="2"/>
  <c r="R515" i="2"/>
  <c r="Q515" i="2"/>
  <c r="P515" i="2"/>
  <c r="O515" i="2"/>
  <c r="N515" i="2"/>
  <c r="M515" i="2"/>
  <c r="L515" i="2"/>
  <c r="W514" i="2"/>
  <c r="V514" i="2"/>
  <c r="U514" i="2"/>
  <c r="T514" i="2"/>
  <c r="S514" i="2"/>
  <c r="R514" i="2"/>
  <c r="Q514" i="2"/>
  <c r="P514" i="2"/>
  <c r="O514" i="2"/>
  <c r="N514" i="2"/>
  <c r="M514" i="2"/>
  <c r="L514" i="2"/>
  <c r="W513" i="2"/>
  <c r="V513" i="2"/>
  <c r="U513" i="2"/>
  <c r="T513" i="2"/>
  <c r="S513" i="2"/>
  <c r="R513" i="2"/>
  <c r="Q513" i="2"/>
  <c r="P513" i="2"/>
  <c r="O513" i="2"/>
  <c r="N513" i="2"/>
  <c r="M513" i="2"/>
  <c r="L513" i="2"/>
  <c r="AJ653" i="3" s="1"/>
  <c r="AM653" i="3" s="1"/>
  <c r="W512" i="2"/>
  <c r="V512" i="2"/>
  <c r="U512" i="2"/>
  <c r="T512" i="2"/>
  <c r="S512" i="2"/>
  <c r="R512" i="2"/>
  <c r="Q512" i="2"/>
  <c r="P512" i="2"/>
  <c r="O512" i="2"/>
  <c r="N512" i="2"/>
  <c r="M512" i="2"/>
  <c r="L512" i="2"/>
  <c r="W511" i="2"/>
  <c r="V511" i="2"/>
  <c r="U511" i="2"/>
  <c r="T511" i="2"/>
  <c r="S511" i="2"/>
  <c r="R511" i="2"/>
  <c r="Q511" i="2"/>
  <c r="P511" i="2"/>
  <c r="O511" i="2"/>
  <c r="N511" i="2"/>
  <c r="M511" i="2"/>
  <c r="L511" i="2"/>
  <c r="W510" i="2"/>
  <c r="V510" i="2"/>
  <c r="U510" i="2"/>
  <c r="T510" i="2"/>
  <c r="S510" i="2"/>
  <c r="R510" i="2"/>
  <c r="Q510" i="2"/>
  <c r="P510" i="2"/>
  <c r="O510" i="2"/>
  <c r="N510" i="2"/>
  <c r="M510" i="2"/>
  <c r="L510" i="2"/>
  <c r="AJ650" i="3" s="1"/>
  <c r="AM650" i="3" s="1"/>
  <c r="W509" i="2"/>
  <c r="V509" i="2"/>
  <c r="U509" i="2"/>
  <c r="T509" i="2"/>
  <c r="S509" i="2"/>
  <c r="R509" i="2"/>
  <c r="Q509" i="2"/>
  <c r="P509" i="2"/>
  <c r="O509" i="2"/>
  <c r="N509" i="2"/>
  <c r="M509" i="2"/>
  <c r="L509" i="2"/>
  <c r="W508" i="2"/>
  <c r="V508" i="2"/>
  <c r="U508" i="2"/>
  <c r="T508" i="2"/>
  <c r="S508" i="2"/>
  <c r="R508" i="2"/>
  <c r="Q508" i="2"/>
  <c r="P508" i="2"/>
  <c r="O508" i="2"/>
  <c r="N508" i="2"/>
  <c r="M508" i="2"/>
  <c r="L508" i="2"/>
  <c r="W507" i="2"/>
  <c r="V507" i="2"/>
  <c r="U507" i="2"/>
  <c r="T507" i="2"/>
  <c r="S507" i="2"/>
  <c r="R507" i="2"/>
  <c r="Q507" i="2"/>
  <c r="P507" i="2"/>
  <c r="O507" i="2"/>
  <c r="N507" i="2"/>
  <c r="M507" i="2"/>
  <c r="L507" i="2"/>
  <c r="AJ647" i="3" s="1"/>
  <c r="AM647" i="3" s="1"/>
  <c r="W506" i="2"/>
  <c r="V506" i="2"/>
  <c r="U506" i="2"/>
  <c r="T506" i="2"/>
  <c r="S506" i="2"/>
  <c r="R506" i="2"/>
  <c r="Q506" i="2"/>
  <c r="P506" i="2"/>
  <c r="O506" i="2"/>
  <c r="N506" i="2"/>
  <c r="M506" i="2"/>
  <c r="L506" i="2"/>
  <c r="W505" i="2"/>
  <c r="V505" i="2"/>
  <c r="U505" i="2"/>
  <c r="T505" i="2"/>
  <c r="S505" i="2"/>
  <c r="R505" i="2"/>
  <c r="Q505" i="2"/>
  <c r="P505" i="2"/>
  <c r="O505" i="2"/>
  <c r="N505" i="2"/>
  <c r="M505" i="2"/>
  <c r="L505" i="2"/>
  <c r="W504" i="2"/>
  <c r="V504" i="2"/>
  <c r="U504" i="2"/>
  <c r="T504" i="2"/>
  <c r="S504" i="2"/>
  <c r="R504" i="2"/>
  <c r="Q504" i="2"/>
  <c r="P504" i="2"/>
  <c r="O504" i="2"/>
  <c r="N504" i="2"/>
  <c r="M504" i="2"/>
  <c r="L504" i="2"/>
  <c r="AJ644" i="3" s="1"/>
  <c r="AM644" i="3" s="1"/>
  <c r="W503" i="2"/>
  <c r="V503" i="2"/>
  <c r="U503" i="2"/>
  <c r="T503" i="2"/>
  <c r="S503" i="2"/>
  <c r="R503" i="2"/>
  <c r="Q503" i="2"/>
  <c r="P503" i="2"/>
  <c r="O503" i="2"/>
  <c r="N503" i="2"/>
  <c r="M503" i="2"/>
  <c r="L503" i="2"/>
  <c r="W502" i="2"/>
  <c r="V502" i="2"/>
  <c r="U502" i="2"/>
  <c r="T502" i="2"/>
  <c r="S502" i="2"/>
  <c r="R502" i="2"/>
  <c r="Q502" i="2"/>
  <c r="P502" i="2"/>
  <c r="O502" i="2"/>
  <c r="N502" i="2"/>
  <c r="M502" i="2"/>
  <c r="L502" i="2"/>
  <c r="W501" i="2"/>
  <c r="V501" i="2"/>
  <c r="U501" i="2"/>
  <c r="T501" i="2"/>
  <c r="S501" i="2"/>
  <c r="R501" i="2"/>
  <c r="Q501" i="2"/>
  <c r="P501" i="2"/>
  <c r="O501" i="2"/>
  <c r="N501" i="2"/>
  <c r="M501" i="2"/>
  <c r="L501" i="2"/>
  <c r="W500" i="2"/>
  <c r="V500" i="2"/>
  <c r="U500" i="2"/>
  <c r="T500" i="2"/>
  <c r="S500" i="2"/>
  <c r="R500" i="2"/>
  <c r="Q500" i="2"/>
  <c r="P500" i="2"/>
  <c r="O500" i="2"/>
  <c r="N500" i="2"/>
  <c r="M500" i="2"/>
  <c r="L500" i="2"/>
  <c r="W499" i="2"/>
  <c r="V499" i="2"/>
  <c r="U499" i="2"/>
  <c r="T499" i="2"/>
  <c r="S499" i="2"/>
  <c r="R499" i="2"/>
  <c r="Q499" i="2"/>
  <c r="P499" i="2"/>
  <c r="O499" i="2"/>
  <c r="N499" i="2"/>
  <c r="M499" i="2"/>
  <c r="L499" i="2"/>
  <c r="W498" i="2"/>
  <c r="V498" i="2"/>
  <c r="U498" i="2"/>
  <c r="T498" i="2"/>
  <c r="S498" i="2"/>
  <c r="R498" i="2"/>
  <c r="Q498" i="2"/>
  <c r="P498" i="2"/>
  <c r="O498" i="2"/>
  <c r="N498" i="2"/>
  <c r="M498" i="2"/>
  <c r="L498" i="2"/>
  <c r="W497" i="2"/>
  <c r="V497" i="2"/>
  <c r="U497" i="2"/>
  <c r="T497" i="2"/>
  <c r="S497" i="2"/>
  <c r="R497" i="2"/>
  <c r="Q497" i="2"/>
  <c r="P497" i="2"/>
  <c r="O497" i="2"/>
  <c r="N497" i="2"/>
  <c r="M497" i="2"/>
  <c r="L497" i="2"/>
  <c r="W496" i="2"/>
  <c r="V496" i="2"/>
  <c r="U496" i="2"/>
  <c r="T496" i="2"/>
  <c r="S496" i="2"/>
  <c r="R496" i="2"/>
  <c r="Q496" i="2"/>
  <c r="P496" i="2"/>
  <c r="O496" i="2"/>
  <c r="N496" i="2"/>
  <c r="M496" i="2"/>
  <c r="L496" i="2"/>
  <c r="W495" i="2"/>
  <c r="V495" i="2"/>
  <c r="U495" i="2"/>
  <c r="T495" i="2"/>
  <c r="S495" i="2"/>
  <c r="R495" i="2"/>
  <c r="Q495" i="2"/>
  <c r="P495" i="2"/>
  <c r="O495" i="2"/>
  <c r="N495" i="2"/>
  <c r="M495" i="2"/>
  <c r="L495" i="2"/>
  <c r="W494" i="2"/>
  <c r="V494" i="2"/>
  <c r="U494" i="2"/>
  <c r="T494" i="2"/>
  <c r="S494" i="2"/>
  <c r="R494" i="2"/>
  <c r="Q494" i="2"/>
  <c r="P494" i="2"/>
  <c r="O494" i="2"/>
  <c r="N494" i="2"/>
  <c r="M494" i="2"/>
  <c r="L494" i="2"/>
  <c r="W493" i="2"/>
  <c r="V493" i="2"/>
  <c r="U493" i="2"/>
  <c r="T493" i="2"/>
  <c r="S493" i="2"/>
  <c r="R493" i="2"/>
  <c r="Q493" i="2"/>
  <c r="P493" i="2"/>
  <c r="O493" i="2"/>
  <c r="N493" i="2"/>
  <c r="M493" i="2"/>
  <c r="L493" i="2"/>
  <c r="W492" i="2"/>
  <c r="V492" i="2"/>
  <c r="U492" i="2"/>
  <c r="T492" i="2"/>
  <c r="S492" i="2"/>
  <c r="R492" i="2"/>
  <c r="Q492" i="2"/>
  <c r="P492" i="2"/>
  <c r="O492" i="2"/>
  <c r="N492" i="2"/>
  <c r="M492" i="2"/>
  <c r="L492" i="2"/>
  <c r="W491" i="2"/>
  <c r="V491" i="2"/>
  <c r="U491" i="2"/>
  <c r="T491" i="2"/>
  <c r="S491" i="2"/>
  <c r="R491" i="2"/>
  <c r="Q491" i="2"/>
  <c r="P491" i="2"/>
  <c r="O491" i="2"/>
  <c r="N491" i="2"/>
  <c r="M491" i="2"/>
  <c r="L491" i="2"/>
  <c r="W490" i="2"/>
  <c r="V490" i="2"/>
  <c r="U490" i="2"/>
  <c r="T490" i="2"/>
  <c r="S490" i="2"/>
  <c r="R490" i="2"/>
  <c r="Q490" i="2"/>
  <c r="P490" i="2"/>
  <c r="O490" i="2"/>
  <c r="N490" i="2"/>
  <c r="M490" i="2"/>
  <c r="L490" i="2"/>
  <c r="AJ630" i="3" s="1"/>
  <c r="AM630" i="3" s="1"/>
  <c r="W489" i="2"/>
  <c r="V489" i="2"/>
  <c r="U489" i="2"/>
  <c r="T489" i="2"/>
  <c r="S489" i="2"/>
  <c r="R489" i="2"/>
  <c r="Q489" i="2"/>
  <c r="P489" i="2"/>
  <c r="O489" i="2"/>
  <c r="N489" i="2"/>
  <c r="M489" i="2"/>
  <c r="L489" i="2"/>
  <c r="AJ629" i="3" s="1"/>
  <c r="AM629" i="3" s="1"/>
  <c r="W488" i="2"/>
  <c r="V488" i="2"/>
  <c r="U488" i="2"/>
  <c r="T488" i="2"/>
  <c r="S488" i="2"/>
  <c r="R488" i="2"/>
  <c r="Q488" i="2"/>
  <c r="P488" i="2"/>
  <c r="O488" i="2"/>
  <c r="N488" i="2"/>
  <c r="M488" i="2"/>
  <c r="L488" i="2"/>
  <c r="W487" i="2"/>
  <c r="V487" i="2"/>
  <c r="U487" i="2"/>
  <c r="T487" i="2"/>
  <c r="S487" i="2"/>
  <c r="R487" i="2"/>
  <c r="Q487" i="2"/>
  <c r="P487" i="2"/>
  <c r="O487" i="2"/>
  <c r="N487" i="2"/>
  <c r="M487" i="2"/>
  <c r="L487" i="2"/>
  <c r="W486" i="2"/>
  <c r="V486" i="2"/>
  <c r="U486" i="2"/>
  <c r="T486" i="2"/>
  <c r="S486" i="2"/>
  <c r="R486" i="2"/>
  <c r="Q486" i="2"/>
  <c r="P486" i="2"/>
  <c r="O486" i="2"/>
  <c r="N486" i="2"/>
  <c r="M486" i="2"/>
  <c r="L486" i="2"/>
  <c r="W485" i="2"/>
  <c r="V485" i="2"/>
  <c r="U485" i="2"/>
  <c r="T485" i="2"/>
  <c r="S485" i="2"/>
  <c r="R485" i="2"/>
  <c r="Q485" i="2"/>
  <c r="P485" i="2"/>
  <c r="O485" i="2"/>
  <c r="N485" i="2"/>
  <c r="M485" i="2"/>
  <c r="L485" i="2"/>
  <c r="W484" i="2"/>
  <c r="V484" i="2"/>
  <c r="U484" i="2"/>
  <c r="T484" i="2"/>
  <c r="S484" i="2"/>
  <c r="R484" i="2"/>
  <c r="Q484" i="2"/>
  <c r="P484" i="2"/>
  <c r="O484" i="2"/>
  <c r="N484" i="2"/>
  <c r="M484" i="2"/>
  <c r="L484" i="2"/>
  <c r="W483" i="2"/>
  <c r="V483" i="2"/>
  <c r="U483" i="2"/>
  <c r="T483" i="2"/>
  <c r="S483" i="2"/>
  <c r="R483" i="2"/>
  <c r="Q483" i="2"/>
  <c r="P483" i="2"/>
  <c r="O483" i="2"/>
  <c r="N483" i="2"/>
  <c r="M483" i="2"/>
  <c r="L483" i="2"/>
  <c r="W482" i="2"/>
  <c r="V482" i="2"/>
  <c r="U482" i="2"/>
  <c r="T482" i="2"/>
  <c r="S482" i="2"/>
  <c r="R482" i="2"/>
  <c r="Q482" i="2"/>
  <c r="P482" i="2"/>
  <c r="O482" i="2"/>
  <c r="N482" i="2"/>
  <c r="M482" i="2"/>
  <c r="L482" i="2"/>
  <c r="AJ622" i="3" s="1"/>
  <c r="AM622" i="3" s="1"/>
  <c r="W481" i="2"/>
  <c r="V481" i="2"/>
  <c r="U481" i="2"/>
  <c r="T481" i="2"/>
  <c r="S481" i="2"/>
  <c r="R481" i="2"/>
  <c r="Q481" i="2"/>
  <c r="P481" i="2"/>
  <c r="O481" i="2"/>
  <c r="N481" i="2"/>
  <c r="M481" i="2"/>
  <c r="L481" i="2"/>
  <c r="AJ621" i="3" s="1"/>
  <c r="AM621" i="3" s="1"/>
  <c r="W480" i="2"/>
  <c r="V480" i="2"/>
  <c r="U480" i="2"/>
  <c r="T480" i="2"/>
  <c r="S480" i="2"/>
  <c r="R480" i="2"/>
  <c r="Q480" i="2"/>
  <c r="P480" i="2"/>
  <c r="O480" i="2"/>
  <c r="N480" i="2"/>
  <c r="M480" i="2"/>
  <c r="L480" i="2"/>
  <c r="W479" i="2"/>
  <c r="V479" i="2"/>
  <c r="U479" i="2"/>
  <c r="T479" i="2"/>
  <c r="S479" i="2"/>
  <c r="R479" i="2"/>
  <c r="Q479" i="2"/>
  <c r="P479" i="2"/>
  <c r="O479" i="2"/>
  <c r="N479" i="2"/>
  <c r="M479" i="2"/>
  <c r="L479" i="2"/>
  <c r="W478" i="2"/>
  <c r="V478" i="2"/>
  <c r="U478" i="2"/>
  <c r="T478" i="2"/>
  <c r="S478" i="2"/>
  <c r="R478" i="2"/>
  <c r="Q478" i="2"/>
  <c r="P478" i="2"/>
  <c r="O478" i="2"/>
  <c r="N478" i="2"/>
  <c r="M478" i="2"/>
  <c r="L478" i="2"/>
  <c r="W477" i="2"/>
  <c r="V477" i="2"/>
  <c r="U477" i="2"/>
  <c r="T477" i="2"/>
  <c r="S477" i="2"/>
  <c r="R477" i="2"/>
  <c r="Q477" i="2"/>
  <c r="P477" i="2"/>
  <c r="O477" i="2"/>
  <c r="N477" i="2"/>
  <c r="M477" i="2"/>
  <c r="L477" i="2"/>
  <c r="W476" i="2"/>
  <c r="V476" i="2"/>
  <c r="U476" i="2"/>
  <c r="T476" i="2"/>
  <c r="S476" i="2"/>
  <c r="R476" i="2"/>
  <c r="Q476" i="2"/>
  <c r="P476" i="2"/>
  <c r="O476" i="2"/>
  <c r="N476" i="2"/>
  <c r="M476" i="2"/>
  <c r="L476" i="2"/>
  <c r="W475" i="2"/>
  <c r="V475" i="2"/>
  <c r="U475" i="2"/>
  <c r="T475" i="2"/>
  <c r="S475" i="2"/>
  <c r="R475" i="2"/>
  <c r="Q475" i="2"/>
  <c r="P475" i="2"/>
  <c r="O475" i="2"/>
  <c r="N475" i="2"/>
  <c r="M475" i="2"/>
  <c r="L475" i="2"/>
  <c r="W474" i="2"/>
  <c r="V474" i="2"/>
  <c r="U474" i="2"/>
  <c r="T474" i="2"/>
  <c r="S474" i="2"/>
  <c r="R474" i="2"/>
  <c r="Q474" i="2"/>
  <c r="P474" i="2"/>
  <c r="O474" i="2"/>
  <c r="N474" i="2"/>
  <c r="M474" i="2"/>
  <c r="L474" i="2"/>
  <c r="AJ614" i="3" s="1"/>
  <c r="AM614" i="3" s="1"/>
  <c r="W473" i="2"/>
  <c r="V473" i="2"/>
  <c r="U473" i="2"/>
  <c r="T473" i="2"/>
  <c r="S473" i="2"/>
  <c r="R473" i="2"/>
  <c r="Q473" i="2"/>
  <c r="P473" i="2"/>
  <c r="O473" i="2"/>
  <c r="N473" i="2"/>
  <c r="M473" i="2"/>
  <c r="L473" i="2"/>
  <c r="AJ613" i="3" s="1"/>
  <c r="AM613" i="3" s="1"/>
  <c r="W472" i="2"/>
  <c r="V472" i="2"/>
  <c r="U472" i="2"/>
  <c r="T472" i="2"/>
  <c r="S472" i="2"/>
  <c r="R472" i="2"/>
  <c r="Q472" i="2"/>
  <c r="P472" i="2"/>
  <c r="O472" i="2"/>
  <c r="N472" i="2"/>
  <c r="M472" i="2"/>
  <c r="L472" i="2"/>
  <c r="W471" i="2"/>
  <c r="V471" i="2"/>
  <c r="U471" i="2"/>
  <c r="T471" i="2"/>
  <c r="S471" i="2"/>
  <c r="R471" i="2"/>
  <c r="Q471" i="2"/>
  <c r="P471" i="2"/>
  <c r="O471" i="2"/>
  <c r="N471" i="2"/>
  <c r="M471" i="2"/>
  <c r="L471" i="2"/>
  <c r="W470" i="2"/>
  <c r="V470" i="2"/>
  <c r="U470" i="2"/>
  <c r="T470" i="2"/>
  <c r="S470" i="2"/>
  <c r="R470" i="2"/>
  <c r="Q470" i="2"/>
  <c r="P470" i="2"/>
  <c r="O470" i="2"/>
  <c r="N470" i="2"/>
  <c r="M470" i="2"/>
  <c r="L470" i="2"/>
  <c r="W469" i="2"/>
  <c r="V469" i="2"/>
  <c r="U469" i="2"/>
  <c r="T469" i="2"/>
  <c r="S469" i="2"/>
  <c r="R469" i="2"/>
  <c r="Q469" i="2"/>
  <c r="P469" i="2"/>
  <c r="O469" i="2"/>
  <c r="N469" i="2"/>
  <c r="M469" i="2"/>
  <c r="L469" i="2"/>
  <c r="W468" i="2"/>
  <c r="V468" i="2"/>
  <c r="U468" i="2"/>
  <c r="T468" i="2"/>
  <c r="S468" i="2"/>
  <c r="R468" i="2"/>
  <c r="Q468" i="2"/>
  <c r="P468" i="2"/>
  <c r="O468" i="2"/>
  <c r="N468" i="2"/>
  <c r="M468" i="2"/>
  <c r="L468" i="2"/>
  <c r="W467" i="2"/>
  <c r="V467" i="2"/>
  <c r="U467" i="2"/>
  <c r="T467" i="2"/>
  <c r="S467" i="2"/>
  <c r="R467" i="2"/>
  <c r="Q467" i="2"/>
  <c r="P467" i="2"/>
  <c r="O467" i="2"/>
  <c r="N467" i="2"/>
  <c r="M467" i="2"/>
  <c r="L467" i="2"/>
  <c r="W466" i="2"/>
  <c r="V466" i="2"/>
  <c r="U466" i="2"/>
  <c r="T466" i="2"/>
  <c r="S466" i="2"/>
  <c r="R466" i="2"/>
  <c r="Q466" i="2"/>
  <c r="P466" i="2"/>
  <c r="O466" i="2"/>
  <c r="N466" i="2"/>
  <c r="M466" i="2"/>
  <c r="L466" i="2"/>
  <c r="W465" i="2"/>
  <c r="V465" i="2"/>
  <c r="U465" i="2"/>
  <c r="T465" i="2"/>
  <c r="S465" i="2"/>
  <c r="R465" i="2"/>
  <c r="Q465" i="2"/>
  <c r="P465" i="2"/>
  <c r="O465" i="2"/>
  <c r="N465" i="2"/>
  <c r="M465" i="2"/>
  <c r="L465" i="2"/>
  <c r="W464" i="2"/>
  <c r="V464" i="2"/>
  <c r="U464" i="2"/>
  <c r="T464" i="2"/>
  <c r="S464" i="2"/>
  <c r="R464" i="2"/>
  <c r="Q464" i="2"/>
  <c r="P464" i="2"/>
  <c r="O464" i="2"/>
  <c r="N464" i="2"/>
  <c r="M464" i="2"/>
  <c r="L464" i="2"/>
  <c r="W463" i="2"/>
  <c r="V463" i="2"/>
  <c r="U463" i="2"/>
  <c r="T463" i="2"/>
  <c r="S463" i="2"/>
  <c r="R463" i="2"/>
  <c r="Q463" i="2"/>
  <c r="P463" i="2"/>
  <c r="O463" i="2"/>
  <c r="N463" i="2"/>
  <c r="M463" i="2"/>
  <c r="L463" i="2"/>
  <c r="W462" i="2"/>
  <c r="V462" i="2"/>
  <c r="U462" i="2"/>
  <c r="T462" i="2"/>
  <c r="S462" i="2"/>
  <c r="R462" i="2"/>
  <c r="Q462" i="2"/>
  <c r="P462" i="2"/>
  <c r="O462" i="2"/>
  <c r="N462" i="2"/>
  <c r="M462" i="2"/>
  <c r="L462" i="2"/>
  <c r="W461" i="2"/>
  <c r="V461" i="2"/>
  <c r="U461" i="2"/>
  <c r="T461" i="2"/>
  <c r="S461" i="2"/>
  <c r="R461" i="2"/>
  <c r="Q461" i="2"/>
  <c r="P461" i="2"/>
  <c r="O461" i="2"/>
  <c r="N461" i="2"/>
  <c r="M461" i="2"/>
  <c r="L461" i="2"/>
  <c r="W460" i="2"/>
  <c r="V460" i="2"/>
  <c r="U460" i="2"/>
  <c r="T460" i="2"/>
  <c r="S460" i="2"/>
  <c r="R460" i="2"/>
  <c r="Q460" i="2"/>
  <c r="P460" i="2"/>
  <c r="O460" i="2"/>
  <c r="N460" i="2"/>
  <c r="M460" i="2"/>
  <c r="L460" i="2"/>
  <c r="W459" i="2"/>
  <c r="V459" i="2"/>
  <c r="U459" i="2"/>
  <c r="T459" i="2"/>
  <c r="S459" i="2"/>
  <c r="R459" i="2"/>
  <c r="Q459" i="2"/>
  <c r="P459" i="2"/>
  <c r="O459" i="2"/>
  <c r="N459" i="2"/>
  <c r="M459" i="2"/>
  <c r="L459" i="2"/>
  <c r="W458" i="2"/>
  <c r="V458" i="2"/>
  <c r="U458" i="2"/>
  <c r="T458" i="2"/>
  <c r="S458" i="2"/>
  <c r="R458" i="2"/>
  <c r="Q458" i="2"/>
  <c r="P458" i="2"/>
  <c r="O458" i="2"/>
  <c r="N458" i="2"/>
  <c r="M458" i="2"/>
  <c r="L458" i="2"/>
  <c r="W457" i="2"/>
  <c r="V457" i="2"/>
  <c r="U457" i="2"/>
  <c r="T457" i="2"/>
  <c r="S457" i="2"/>
  <c r="R457" i="2"/>
  <c r="Q457" i="2"/>
  <c r="P457" i="2"/>
  <c r="O457" i="2"/>
  <c r="N457" i="2"/>
  <c r="M457" i="2"/>
  <c r="L457" i="2"/>
  <c r="W456" i="2"/>
  <c r="V456" i="2"/>
  <c r="U456" i="2"/>
  <c r="T456" i="2"/>
  <c r="S456" i="2"/>
  <c r="R456" i="2"/>
  <c r="Q456" i="2"/>
  <c r="P456" i="2"/>
  <c r="O456" i="2"/>
  <c r="N456" i="2"/>
  <c r="M456" i="2"/>
  <c r="L456" i="2"/>
  <c r="W455" i="2"/>
  <c r="V455" i="2"/>
  <c r="U455" i="2"/>
  <c r="T455" i="2"/>
  <c r="S455" i="2"/>
  <c r="R455" i="2"/>
  <c r="Q455" i="2"/>
  <c r="P455" i="2"/>
  <c r="O455" i="2"/>
  <c r="N455" i="2"/>
  <c r="M455" i="2"/>
  <c r="L455" i="2"/>
  <c r="W454" i="2"/>
  <c r="V454" i="2"/>
  <c r="U454" i="2"/>
  <c r="T454" i="2"/>
  <c r="S454" i="2"/>
  <c r="R454" i="2"/>
  <c r="Q454" i="2"/>
  <c r="P454" i="2"/>
  <c r="O454" i="2"/>
  <c r="N454" i="2"/>
  <c r="M454" i="2"/>
  <c r="L454" i="2"/>
  <c r="W453" i="2"/>
  <c r="V453" i="2"/>
  <c r="U453" i="2"/>
  <c r="T453" i="2"/>
  <c r="S453" i="2"/>
  <c r="R453" i="2"/>
  <c r="Q453" i="2"/>
  <c r="P453" i="2"/>
  <c r="O453" i="2"/>
  <c r="N453" i="2"/>
  <c r="M453" i="2"/>
  <c r="L453" i="2"/>
  <c r="W452" i="2"/>
  <c r="V452" i="2"/>
  <c r="U452" i="2"/>
  <c r="T452" i="2"/>
  <c r="S452" i="2"/>
  <c r="R452" i="2"/>
  <c r="Q452" i="2"/>
  <c r="P452" i="2"/>
  <c r="O452" i="2"/>
  <c r="N452" i="2"/>
  <c r="M452" i="2"/>
  <c r="L452" i="2"/>
  <c r="W451" i="2"/>
  <c r="V451" i="2"/>
  <c r="U451" i="2"/>
  <c r="T451" i="2"/>
  <c r="S451" i="2"/>
  <c r="R451" i="2"/>
  <c r="Q451" i="2"/>
  <c r="P451" i="2"/>
  <c r="O451" i="2"/>
  <c r="N451" i="2"/>
  <c r="M451" i="2"/>
  <c r="L451" i="2"/>
  <c r="W450" i="2"/>
  <c r="V450" i="2"/>
  <c r="U450" i="2"/>
  <c r="T450" i="2"/>
  <c r="S450" i="2"/>
  <c r="R450" i="2"/>
  <c r="Q450" i="2"/>
  <c r="P450" i="2"/>
  <c r="O450" i="2"/>
  <c r="N450" i="2"/>
  <c r="M450" i="2"/>
  <c r="L450" i="2"/>
  <c r="W449" i="2"/>
  <c r="V449" i="2"/>
  <c r="U449" i="2"/>
  <c r="T449" i="2"/>
  <c r="S449" i="2"/>
  <c r="R449" i="2"/>
  <c r="Q449" i="2"/>
  <c r="P449" i="2"/>
  <c r="O449" i="2"/>
  <c r="N449" i="2"/>
  <c r="M449" i="2"/>
  <c r="L449" i="2"/>
  <c r="W448" i="2"/>
  <c r="V448" i="2"/>
  <c r="U448" i="2"/>
  <c r="T448" i="2"/>
  <c r="S448" i="2"/>
  <c r="R448" i="2"/>
  <c r="Q448" i="2"/>
  <c r="P448" i="2"/>
  <c r="O448" i="2"/>
  <c r="N448" i="2"/>
  <c r="M448" i="2"/>
  <c r="L448" i="2"/>
  <c r="W447" i="2"/>
  <c r="V447" i="2"/>
  <c r="U447" i="2"/>
  <c r="T447" i="2"/>
  <c r="S447" i="2"/>
  <c r="R447" i="2"/>
  <c r="Q447" i="2"/>
  <c r="P447" i="2"/>
  <c r="O447" i="2"/>
  <c r="N447" i="2"/>
  <c r="M447" i="2"/>
  <c r="L447" i="2"/>
  <c r="W446" i="2"/>
  <c r="V446" i="2"/>
  <c r="U446" i="2"/>
  <c r="T446" i="2"/>
  <c r="S446" i="2"/>
  <c r="R446" i="2"/>
  <c r="Q446" i="2"/>
  <c r="P446" i="2"/>
  <c r="O446" i="2"/>
  <c r="N446" i="2"/>
  <c r="M446" i="2"/>
  <c r="L446" i="2"/>
  <c r="W445" i="2"/>
  <c r="V445" i="2"/>
  <c r="U445" i="2"/>
  <c r="T445" i="2"/>
  <c r="S445" i="2"/>
  <c r="R445" i="2"/>
  <c r="Q445" i="2"/>
  <c r="P445" i="2"/>
  <c r="O445" i="2"/>
  <c r="N445" i="2"/>
  <c r="M445" i="2"/>
  <c r="L445" i="2"/>
  <c r="W444" i="2"/>
  <c r="V444" i="2"/>
  <c r="U444" i="2"/>
  <c r="T444" i="2"/>
  <c r="S444" i="2"/>
  <c r="R444" i="2"/>
  <c r="Q444" i="2"/>
  <c r="P444" i="2"/>
  <c r="O444" i="2"/>
  <c r="N444" i="2"/>
  <c r="M444" i="2"/>
  <c r="L444" i="2"/>
  <c r="W443" i="2"/>
  <c r="V443" i="2"/>
  <c r="U443" i="2"/>
  <c r="T443" i="2"/>
  <c r="S443" i="2"/>
  <c r="R443" i="2"/>
  <c r="Q443" i="2"/>
  <c r="P443" i="2"/>
  <c r="O443" i="2"/>
  <c r="N443" i="2"/>
  <c r="M443" i="2"/>
  <c r="L443" i="2"/>
  <c r="W442" i="2"/>
  <c r="V442" i="2"/>
  <c r="U442" i="2"/>
  <c r="T442" i="2"/>
  <c r="S442" i="2"/>
  <c r="R442" i="2"/>
  <c r="Q442" i="2"/>
  <c r="P442" i="2"/>
  <c r="O442" i="2"/>
  <c r="N442" i="2"/>
  <c r="M442" i="2"/>
  <c r="L442" i="2"/>
  <c r="W441" i="2"/>
  <c r="V441" i="2"/>
  <c r="U441" i="2"/>
  <c r="T441" i="2"/>
  <c r="S441" i="2"/>
  <c r="R441" i="2"/>
  <c r="Q441" i="2"/>
  <c r="P441" i="2"/>
  <c r="O441" i="2"/>
  <c r="N441" i="2"/>
  <c r="M441" i="2"/>
  <c r="L441" i="2"/>
  <c r="W440" i="2"/>
  <c r="V440" i="2"/>
  <c r="U440" i="2"/>
  <c r="T440" i="2"/>
  <c r="S440" i="2"/>
  <c r="R440" i="2"/>
  <c r="Q440" i="2"/>
  <c r="P440" i="2"/>
  <c r="O440" i="2"/>
  <c r="N440" i="2"/>
  <c r="M440" i="2"/>
  <c r="L440" i="2"/>
  <c r="W439" i="2"/>
  <c r="V439" i="2"/>
  <c r="U439" i="2"/>
  <c r="T439" i="2"/>
  <c r="S439" i="2"/>
  <c r="R439" i="2"/>
  <c r="Q439" i="2"/>
  <c r="P439" i="2"/>
  <c r="O439" i="2"/>
  <c r="N439" i="2"/>
  <c r="M439" i="2"/>
  <c r="L439" i="2"/>
  <c r="W438" i="2"/>
  <c r="V438" i="2"/>
  <c r="U438" i="2"/>
  <c r="T438" i="2"/>
  <c r="S438" i="2"/>
  <c r="R438" i="2"/>
  <c r="Q438" i="2"/>
  <c r="P438" i="2"/>
  <c r="O438" i="2"/>
  <c r="N438" i="2"/>
  <c r="M438" i="2"/>
  <c r="L438" i="2"/>
  <c r="W437" i="2"/>
  <c r="V437" i="2"/>
  <c r="U437" i="2"/>
  <c r="T437" i="2"/>
  <c r="S437" i="2"/>
  <c r="R437" i="2"/>
  <c r="Q437" i="2"/>
  <c r="P437" i="2"/>
  <c r="O437" i="2"/>
  <c r="N437" i="2"/>
  <c r="M437" i="2"/>
  <c r="L437" i="2"/>
  <c r="W436" i="2"/>
  <c r="V436" i="2"/>
  <c r="U436" i="2"/>
  <c r="T436" i="2"/>
  <c r="S436" i="2"/>
  <c r="R436" i="2"/>
  <c r="Q436" i="2"/>
  <c r="P436" i="2"/>
  <c r="O436" i="2"/>
  <c r="N436" i="2"/>
  <c r="M436" i="2"/>
  <c r="L436" i="2"/>
  <c r="W435" i="2"/>
  <c r="V435" i="2"/>
  <c r="U435" i="2"/>
  <c r="T435" i="2"/>
  <c r="S435" i="2"/>
  <c r="R435" i="2"/>
  <c r="Q435" i="2"/>
  <c r="P435" i="2"/>
  <c r="O435" i="2"/>
  <c r="N435" i="2"/>
  <c r="M435" i="2"/>
  <c r="L435" i="2"/>
  <c r="W434" i="2"/>
  <c r="V434" i="2"/>
  <c r="U434" i="2"/>
  <c r="T434" i="2"/>
  <c r="S434" i="2"/>
  <c r="R434" i="2"/>
  <c r="Q434" i="2"/>
  <c r="P434" i="2"/>
  <c r="O434" i="2"/>
  <c r="N434" i="2"/>
  <c r="M434" i="2"/>
  <c r="L434" i="2"/>
  <c r="W433" i="2"/>
  <c r="V433" i="2"/>
  <c r="U433" i="2"/>
  <c r="T433" i="2"/>
  <c r="S433" i="2"/>
  <c r="R433" i="2"/>
  <c r="Q433" i="2"/>
  <c r="P433" i="2"/>
  <c r="O433" i="2"/>
  <c r="N433" i="2"/>
  <c r="M433" i="2"/>
  <c r="L433" i="2"/>
  <c r="W432" i="2"/>
  <c r="V432" i="2"/>
  <c r="U432" i="2"/>
  <c r="T432" i="2"/>
  <c r="S432" i="2"/>
  <c r="R432" i="2"/>
  <c r="Q432" i="2"/>
  <c r="P432" i="2"/>
  <c r="O432" i="2"/>
  <c r="N432" i="2"/>
  <c r="M432" i="2"/>
  <c r="L432" i="2"/>
  <c r="W431" i="2"/>
  <c r="V431" i="2"/>
  <c r="U431" i="2"/>
  <c r="T431" i="2"/>
  <c r="S431" i="2"/>
  <c r="R431" i="2"/>
  <c r="Q431" i="2"/>
  <c r="P431" i="2"/>
  <c r="O431" i="2"/>
  <c r="N431" i="2"/>
  <c r="M431" i="2"/>
  <c r="L431" i="2"/>
  <c r="W430" i="2"/>
  <c r="V430" i="2"/>
  <c r="U430" i="2"/>
  <c r="T430" i="2"/>
  <c r="S430" i="2"/>
  <c r="R430" i="2"/>
  <c r="Q430" i="2"/>
  <c r="P430" i="2"/>
  <c r="O430" i="2"/>
  <c r="N430" i="2"/>
  <c r="M430" i="2"/>
  <c r="L430" i="2"/>
  <c r="W429" i="2"/>
  <c r="V429" i="2"/>
  <c r="U429" i="2"/>
  <c r="T429" i="2"/>
  <c r="S429" i="2"/>
  <c r="R429" i="2"/>
  <c r="Q429" i="2"/>
  <c r="P429" i="2"/>
  <c r="O429" i="2"/>
  <c r="N429" i="2"/>
  <c r="M429" i="2"/>
  <c r="L429" i="2"/>
  <c r="W428" i="2"/>
  <c r="V428" i="2"/>
  <c r="U428" i="2"/>
  <c r="T428" i="2"/>
  <c r="S428" i="2"/>
  <c r="R428" i="2"/>
  <c r="Q428" i="2"/>
  <c r="P428" i="2"/>
  <c r="O428" i="2"/>
  <c r="N428" i="2"/>
  <c r="M428" i="2"/>
  <c r="L428" i="2"/>
  <c r="W427" i="2"/>
  <c r="V427" i="2"/>
  <c r="U427" i="2"/>
  <c r="T427" i="2"/>
  <c r="S427" i="2"/>
  <c r="R427" i="2"/>
  <c r="Q427" i="2"/>
  <c r="P427" i="2"/>
  <c r="O427" i="2"/>
  <c r="N427" i="2"/>
  <c r="M427" i="2"/>
  <c r="L427" i="2"/>
  <c r="W426" i="2"/>
  <c r="V426" i="2"/>
  <c r="U426" i="2"/>
  <c r="T426" i="2"/>
  <c r="S426" i="2"/>
  <c r="R426" i="2"/>
  <c r="Q426" i="2"/>
  <c r="P426" i="2"/>
  <c r="O426" i="2"/>
  <c r="N426" i="2"/>
  <c r="M426" i="2"/>
  <c r="L426" i="2"/>
  <c r="W425" i="2"/>
  <c r="V425" i="2"/>
  <c r="U425" i="2"/>
  <c r="T425" i="2"/>
  <c r="S425" i="2"/>
  <c r="R425" i="2"/>
  <c r="Q425" i="2"/>
  <c r="P425" i="2"/>
  <c r="O425" i="2"/>
  <c r="N425" i="2"/>
  <c r="M425" i="2"/>
  <c r="L425" i="2"/>
  <c r="W424" i="2"/>
  <c r="V424" i="2"/>
  <c r="U424" i="2"/>
  <c r="T424" i="2"/>
  <c r="S424" i="2"/>
  <c r="R424" i="2"/>
  <c r="Q424" i="2"/>
  <c r="P424" i="2"/>
  <c r="O424" i="2"/>
  <c r="N424" i="2"/>
  <c r="M424" i="2"/>
  <c r="L424" i="2"/>
  <c r="W423" i="2"/>
  <c r="V423" i="2"/>
  <c r="U423" i="2"/>
  <c r="T423" i="2"/>
  <c r="S423" i="2"/>
  <c r="R423" i="2"/>
  <c r="Q423" i="2"/>
  <c r="P423" i="2"/>
  <c r="O423" i="2"/>
  <c r="N423" i="2"/>
  <c r="M423" i="2"/>
  <c r="L423" i="2"/>
  <c r="W422" i="2"/>
  <c r="V422" i="2"/>
  <c r="U422" i="2"/>
  <c r="T422" i="2"/>
  <c r="S422" i="2"/>
  <c r="R422" i="2"/>
  <c r="Q422" i="2"/>
  <c r="P422" i="2"/>
  <c r="O422" i="2"/>
  <c r="N422" i="2"/>
  <c r="M422" i="2"/>
  <c r="L422" i="2"/>
  <c r="W421" i="2"/>
  <c r="V421" i="2"/>
  <c r="U421" i="2"/>
  <c r="T421" i="2"/>
  <c r="S421" i="2"/>
  <c r="R421" i="2"/>
  <c r="Q421" i="2"/>
  <c r="P421" i="2"/>
  <c r="O421" i="2"/>
  <c r="N421" i="2"/>
  <c r="M421" i="2"/>
  <c r="L421" i="2"/>
  <c r="W420" i="2"/>
  <c r="V420" i="2"/>
  <c r="U420" i="2"/>
  <c r="T420" i="2"/>
  <c r="S420" i="2"/>
  <c r="R420" i="2"/>
  <c r="Q420" i="2"/>
  <c r="P420" i="2"/>
  <c r="O420" i="2"/>
  <c r="N420" i="2"/>
  <c r="M420" i="2"/>
  <c r="L420" i="2"/>
  <c r="W419" i="2"/>
  <c r="V419" i="2"/>
  <c r="U419" i="2"/>
  <c r="T419" i="2"/>
  <c r="S419" i="2"/>
  <c r="R419" i="2"/>
  <c r="Q419" i="2"/>
  <c r="P419" i="2"/>
  <c r="O419" i="2"/>
  <c r="N419" i="2"/>
  <c r="M419" i="2"/>
  <c r="L419" i="2"/>
  <c r="W418" i="2"/>
  <c r="V418" i="2"/>
  <c r="U418" i="2"/>
  <c r="T418" i="2"/>
  <c r="S418" i="2"/>
  <c r="R418" i="2"/>
  <c r="Q418" i="2"/>
  <c r="P418" i="2"/>
  <c r="O418" i="2"/>
  <c r="N418" i="2"/>
  <c r="M418" i="2"/>
  <c r="L418" i="2"/>
  <c r="W417" i="2"/>
  <c r="V417" i="2"/>
  <c r="U417" i="2"/>
  <c r="T417" i="2"/>
  <c r="S417" i="2"/>
  <c r="R417" i="2"/>
  <c r="Q417" i="2"/>
  <c r="P417" i="2"/>
  <c r="O417" i="2"/>
  <c r="N417" i="2"/>
  <c r="M417" i="2"/>
  <c r="L417" i="2"/>
  <c r="W416" i="2"/>
  <c r="V416" i="2"/>
  <c r="U416" i="2"/>
  <c r="T416" i="2"/>
  <c r="S416" i="2"/>
  <c r="R416" i="2"/>
  <c r="Q416" i="2"/>
  <c r="P416" i="2"/>
  <c r="O416" i="2"/>
  <c r="N416" i="2"/>
  <c r="M416" i="2"/>
  <c r="L416" i="2"/>
  <c r="W415" i="2"/>
  <c r="V415" i="2"/>
  <c r="U415" i="2"/>
  <c r="T415" i="2"/>
  <c r="S415" i="2"/>
  <c r="R415" i="2"/>
  <c r="Q415" i="2"/>
  <c r="P415" i="2"/>
  <c r="O415" i="2"/>
  <c r="N415" i="2"/>
  <c r="M415" i="2"/>
  <c r="L415" i="2"/>
  <c r="W414" i="2"/>
  <c r="V414" i="2"/>
  <c r="U414" i="2"/>
  <c r="T414" i="2"/>
  <c r="S414" i="2"/>
  <c r="R414" i="2"/>
  <c r="Q414" i="2"/>
  <c r="P414" i="2"/>
  <c r="O414" i="2"/>
  <c r="N414" i="2"/>
  <c r="M414" i="2"/>
  <c r="L414" i="2"/>
  <c r="W413" i="2"/>
  <c r="V413" i="2"/>
  <c r="U413" i="2"/>
  <c r="T413" i="2"/>
  <c r="S413" i="2"/>
  <c r="R413" i="2"/>
  <c r="Q413" i="2"/>
  <c r="P413" i="2"/>
  <c r="O413" i="2"/>
  <c r="N413" i="2"/>
  <c r="M413" i="2"/>
  <c r="L413" i="2"/>
  <c r="W412" i="2"/>
  <c r="V412" i="2"/>
  <c r="U412" i="2"/>
  <c r="T412" i="2"/>
  <c r="S412" i="2"/>
  <c r="R412" i="2"/>
  <c r="Q412" i="2"/>
  <c r="P412" i="2"/>
  <c r="O412" i="2"/>
  <c r="N412" i="2"/>
  <c r="M412" i="2"/>
  <c r="L412" i="2"/>
  <c r="W411" i="2"/>
  <c r="V411" i="2"/>
  <c r="U411" i="2"/>
  <c r="T411" i="2"/>
  <c r="S411" i="2"/>
  <c r="R411" i="2"/>
  <c r="Q411" i="2"/>
  <c r="P411" i="2"/>
  <c r="O411" i="2"/>
  <c r="N411" i="2"/>
  <c r="M411" i="2"/>
  <c r="L411" i="2"/>
  <c r="W410" i="2"/>
  <c r="V410" i="2"/>
  <c r="U410" i="2"/>
  <c r="T410" i="2"/>
  <c r="S410" i="2"/>
  <c r="R410" i="2"/>
  <c r="Q410" i="2"/>
  <c r="P410" i="2"/>
  <c r="O410" i="2"/>
  <c r="N410" i="2"/>
  <c r="M410" i="2"/>
  <c r="L410" i="2"/>
  <c r="W409" i="2"/>
  <c r="V409" i="2"/>
  <c r="U409" i="2"/>
  <c r="T409" i="2"/>
  <c r="S409" i="2"/>
  <c r="R409" i="2"/>
  <c r="Q409" i="2"/>
  <c r="P409" i="2"/>
  <c r="O409" i="2"/>
  <c r="N409" i="2"/>
  <c r="M409" i="2"/>
  <c r="L409" i="2"/>
  <c r="W408" i="2"/>
  <c r="V408" i="2"/>
  <c r="U408" i="2"/>
  <c r="T408" i="2"/>
  <c r="S408" i="2"/>
  <c r="R408" i="2"/>
  <c r="Q408" i="2"/>
  <c r="P408" i="2"/>
  <c r="O408" i="2"/>
  <c r="N408" i="2"/>
  <c r="M408" i="2"/>
  <c r="L408" i="2"/>
  <c r="W407" i="2"/>
  <c r="V407" i="2"/>
  <c r="U407" i="2"/>
  <c r="T407" i="2"/>
  <c r="S407" i="2"/>
  <c r="R407" i="2"/>
  <c r="Q407" i="2"/>
  <c r="P407" i="2"/>
  <c r="O407" i="2"/>
  <c r="N407" i="2"/>
  <c r="M407" i="2"/>
  <c r="L407" i="2"/>
  <c r="W406" i="2"/>
  <c r="V406" i="2"/>
  <c r="U406" i="2"/>
  <c r="T406" i="2"/>
  <c r="S406" i="2"/>
  <c r="R406" i="2"/>
  <c r="Q406" i="2"/>
  <c r="P406" i="2"/>
  <c r="O406" i="2"/>
  <c r="N406" i="2"/>
  <c r="M406" i="2"/>
  <c r="L406" i="2"/>
  <c r="W405" i="2"/>
  <c r="V405" i="2"/>
  <c r="U405" i="2"/>
  <c r="T405" i="2"/>
  <c r="S405" i="2"/>
  <c r="R405" i="2"/>
  <c r="Q405" i="2"/>
  <c r="P405" i="2"/>
  <c r="O405" i="2"/>
  <c r="N405" i="2"/>
  <c r="M405" i="2"/>
  <c r="L405" i="2"/>
  <c r="W404" i="2"/>
  <c r="V404" i="2"/>
  <c r="U404" i="2"/>
  <c r="T404" i="2"/>
  <c r="S404" i="2"/>
  <c r="R404" i="2"/>
  <c r="Q404" i="2"/>
  <c r="P404" i="2"/>
  <c r="O404" i="2"/>
  <c r="N404" i="2"/>
  <c r="M404" i="2"/>
  <c r="L404" i="2"/>
  <c r="W403" i="2"/>
  <c r="V403" i="2"/>
  <c r="U403" i="2"/>
  <c r="T403" i="2"/>
  <c r="S403" i="2"/>
  <c r="R403" i="2"/>
  <c r="Q403" i="2"/>
  <c r="P403" i="2"/>
  <c r="O403" i="2"/>
  <c r="N403" i="2"/>
  <c r="M403" i="2"/>
  <c r="L403" i="2"/>
  <c r="W402" i="2"/>
  <c r="V402" i="2"/>
  <c r="U402" i="2"/>
  <c r="T402" i="2"/>
  <c r="S402" i="2"/>
  <c r="R402" i="2"/>
  <c r="Q402" i="2"/>
  <c r="P402" i="2"/>
  <c r="O402" i="2"/>
  <c r="N402" i="2"/>
  <c r="M402" i="2"/>
  <c r="L402" i="2"/>
  <c r="W401" i="2"/>
  <c r="V401" i="2"/>
  <c r="U401" i="2"/>
  <c r="T401" i="2"/>
  <c r="S401" i="2"/>
  <c r="R401" i="2"/>
  <c r="Q401" i="2"/>
  <c r="P401" i="2"/>
  <c r="O401" i="2"/>
  <c r="N401" i="2"/>
  <c r="M401" i="2"/>
  <c r="L401" i="2"/>
  <c r="W400" i="2"/>
  <c r="V400" i="2"/>
  <c r="U400" i="2"/>
  <c r="T400" i="2"/>
  <c r="S400" i="2"/>
  <c r="R400" i="2"/>
  <c r="Q400" i="2"/>
  <c r="P400" i="2"/>
  <c r="O400" i="2"/>
  <c r="N400" i="2"/>
  <c r="M400" i="2"/>
  <c r="L400" i="2"/>
  <c r="W399" i="2"/>
  <c r="V399" i="2"/>
  <c r="U399" i="2"/>
  <c r="T399" i="2"/>
  <c r="S399" i="2"/>
  <c r="R399" i="2"/>
  <c r="Q399" i="2"/>
  <c r="P399" i="2"/>
  <c r="O399" i="2"/>
  <c r="N399" i="2"/>
  <c r="M399" i="2"/>
  <c r="L399" i="2"/>
  <c r="W398" i="2"/>
  <c r="V398" i="2"/>
  <c r="U398" i="2"/>
  <c r="T398" i="2"/>
  <c r="S398" i="2"/>
  <c r="R398" i="2"/>
  <c r="Q398" i="2"/>
  <c r="P398" i="2"/>
  <c r="O398" i="2"/>
  <c r="N398" i="2"/>
  <c r="M398" i="2"/>
  <c r="L398" i="2"/>
  <c r="W397" i="2"/>
  <c r="V397" i="2"/>
  <c r="U397" i="2"/>
  <c r="T397" i="2"/>
  <c r="S397" i="2"/>
  <c r="R397" i="2"/>
  <c r="Q397" i="2"/>
  <c r="P397" i="2"/>
  <c r="O397" i="2"/>
  <c r="N397" i="2"/>
  <c r="M397" i="2"/>
  <c r="L397" i="2"/>
  <c r="W396" i="2"/>
  <c r="V396" i="2"/>
  <c r="U396" i="2"/>
  <c r="T396" i="2"/>
  <c r="S396" i="2"/>
  <c r="R396" i="2"/>
  <c r="Q396" i="2"/>
  <c r="P396" i="2"/>
  <c r="O396" i="2"/>
  <c r="N396" i="2"/>
  <c r="M396" i="2"/>
  <c r="L396" i="2"/>
  <c r="W395" i="2"/>
  <c r="V395" i="2"/>
  <c r="U395" i="2"/>
  <c r="T395" i="2"/>
  <c r="S395" i="2"/>
  <c r="R395" i="2"/>
  <c r="Q395" i="2"/>
  <c r="P395" i="2"/>
  <c r="O395" i="2"/>
  <c r="N395" i="2"/>
  <c r="M395" i="2"/>
  <c r="L395" i="2"/>
  <c r="W394" i="2"/>
  <c r="V394" i="2"/>
  <c r="U394" i="2"/>
  <c r="T394" i="2"/>
  <c r="S394" i="2"/>
  <c r="R394" i="2"/>
  <c r="Q394" i="2"/>
  <c r="P394" i="2"/>
  <c r="O394" i="2"/>
  <c r="N394" i="2"/>
  <c r="M394" i="2"/>
  <c r="L394" i="2"/>
  <c r="W393" i="2"/>
  <c r="V393" i="2"/>
  <c r="U393" i="2"/>
  <c r="T393" i="2"/>
  <c r="S393" i="2"/>
  <c r="R393" i="2"/>
  <c r="Q393" i="2"/>
  <c r="P393" i="2"/>
  <c r="O393" i="2"/>
  <c r="N393" i="2"/>
  <c r="M393" i="2"/>
  <c r="L393" i="2"/>
  <c r="W392" i="2"/>
  <c r="V392" i="2"/>
  <c r="U392" i="2"/>
  <c r="T392" i="2"/>
  <c r="S392" i="2"/>
  <c r="R392" i="2"/>
  <c r="Q392" i="2"/>
  <c r="P392" i="2"/>
  <c r="O392" i="2"/>
  <c r="N392" i="2"/>
  <c r="M392" i="2"/>
  <c r="L392" i="2"/>
  <c r="W391" i="2"/>
  <c r="V391" i="2"/>
  <c r="U391" i="2"/>
  <c r="T391" i="2"/>
  <c r="S391" i="2"/>
  <c r="R391" i="2"/>
  <c r="Q391" i="2"/>
  <c r="P391" i="2"/>
  <c r="O391" i="2"/>
  <c r="N391" i="2"/>
  <c r="M391" i="2"/>
  <c r="L391" i="2"/>
  <c r="W390" i="2"/>
  <c r="V390" i="2"/>
  <c r="U390" i="2"/>
  <c r="T390" i="2"/>
  <c r="S390" i="2"/>
  <c r="R390" i="2"/>
  <c r="Q390" i="2"/>
  <c r="P390" i="2"/>
  <c r="O390" i="2"/>
  <c r="N390" i="2"/>
  <c r="M390" i="2"/>
  <c r="L390" i="2"/>
  <c r="W389" i="2"/>
  <c r="V389" i="2"/>
  <c r="U389" i="2"/>
  <c r="T389" i="2"/>
  <c r="S389" i="2"/>
  <c r="R389" i="2"/>
  <c r="Q389" i="2"/>
  <c r="P389" i="2"/>
  <c r="O389" i="2"/>
  <c r="N389" i="2"/>
  <c r="M389" i="2"/>
  <c r="L389" i="2"/>
  <c r="W388" i="2"/>
  <c r="V388" i="2"/>
  <c r="U388" i="2"/>
  <c r="T388" i="2"/>
  <c r="S388" i="2"/>
  <c r="R388" i="2"/>
  <c r="Q388" i="2"/>
  <c r="P388" i="2"/>
  <c r="O388" i="2"/>
  <c r="N388" i="2"/>
  <c r="M388" i="2"/>
  <c r="L388" i="2"/>
  <c r="W387" i="2"/>
  <c r="V387" i="2"/>
  <c r="U387" i="2"/>
  <c r="T387" i="2"/>
  <c r="S387" i="2"/>
  <c r="R387" i="2"/>
  <c r="Q387" i="2"/>
  <c r="P387" i="2"/>
  <c r="O387" i="2"/>
  <c r="N387" i="2"/>
  <c r="M387" i="2"/>
  <c r="L387" i="2"/>
  <c r="W386" i="2"/>
  <c r="V386" i="2"/>
  <c r="U386" i="2"/>
  <c r="T386" i="2"/>
  <c r="S386" i="2"/>
  <c r="R386" i="2"/>
  <c r="Q386" i="2"/>
  <c r="P386" i="2"/>
  <c r="O386" i="2"/>
  <c r="N386" i="2"/>
  <c r="M386" i="2"/>
  <c r="L386" i="2"/>
  <c r="W385" i="2"/>
  <c r="V385" i="2"/>
  <c r="U385" i="2"/>
  <c r="T385" i="2"/>
  <c r="S385" i="2"/>
  <c r="R385" i="2"/>
  <c r="Q385" i="2"/>
  <c r="P385" i="2"/>
  <c r="O385" i="2"/>
  <c r="N385" i="2"/>
  <c r="M385" i="2"/>
  <c r="L385" i="2"/>
  <c r="W384" i="2"/>
  <c r="V384" i="2"/>
  <c r="U384" i="2"/>
  <c r="T384" i="2"/>
  <c r="S384" i="2"/>
  <c r="R384" i="2"/>
  <c r="Q384" i="2"/>
  <c r="P384" i="2"/>
  <c r="O384" i="2"/>
  <c r="N384" i="2"/>
  <c r="M384" i="2"/>
  <c r="L384" i="2"/>
  <c r="W383" i="2"/>
  <c r="V383" i="2"/>
  <c r="U383" i="2"/>
  <c r="T383" i="2"/>
  <c r="S383" i="2"/>
  <c r="R383" i="2"/>
  <c r="Q383" i="2"/>
  <c r="P383" i="2"/>
  <c r="O383" i="2"/>
  <c r="N383" i="2"/>
  <c r="M383" i="2"/>
  <c r="L383" i="2"/>
  <c r="W382" i="2"/>
  <c r="V382" i="2"/>
  <c r="U382" i="2"/>
  <c r="T382" i="2"/>
  <c r="S382" i="2"/>
  <c r="R382" i="2"/>
  <c r="Q382" i="2"/>
  <c r="P382" i="2"/>
  <c r="O382" i="2"/>
  <c r="N382" i="2"/>
  <c r="M382" i="2"/>
  <c r="L382" i="2"/>
  <c r="W381" i="2"/>
  <c r="V381" i="2"/>
  <c r="U381" i="2"/>
  <c r="T381" i="2"/>
  <c r="S381" i="2"/>
  <c r="R381" i="2"/>
  <c r="Q381" i="2"/>
  <c r="P381" i="2"/>
  <c r="O381" i="2"/>
  <c r="N381" i="2"/>
  <c r="M381" i="2"/>
  <c r="L381" i="2"/>
  <c r="W380" i="2"/>
  <c r="V380" i="2"/>
  <c r="U380" i="2"/>
  <c r="T380" i="2"/>
  <c r="S380" i="2"/>
  <c r="R380" i="2"/>
  <c r="Q380" i="2"/>
  <c r="P380" i="2"/>
  <c r="O380" i="2"/>
  <c r="N380" i="2"/>
  <c r="M380" i="2"/>
  <c r="L380" i="2"/>
  <c r="W379" i="2"/>
  <c r="V379" i="2"/>
  <c r="U379" i="2"/>
  <c r="T379" i="2"/>
  <c r="S379" i="2"/>
  <c r="R379" i="2"/>
  <c r="Q379" i="2"/>
  <c r="P379" i="2"/>
  <c r="O379" i="2"/>
  <c r="N379" i="2"/>
  <c r="M379" i="2"/>
  <c r="L379" i="2"/>
  <c r="W378" i="2"/>
  <c r="V378" i="2"/>
  <c r="U378" i="2"/>
  <c r="T378" i="2"/>
  <c r="S378" i="2"/>
  <c r="R378" i="2"/>
  <c r="Q378" i="2"/>
  <c r="P378" i="2"/>
  <c r="O378" i="2"/>
  <c r="N378" i="2"/>
  <c r="M378" i="2"/>
  <c r="L378" i="2"/>
  <c r="W377" i="2"/>
  <c r="V377" i="2"/>
  <c r="U377" i="2"/>
  <c r="T377" i="2"/>
  <c r="S377" i="2"/>
  <c r="R377" i="2"/>
  <c r="Q377" i="2"/>
  <c r="P377" i="2"/>
  <c r="O377" i="2"/>
  <c r="N377" i="2"/>
  <c r="M377" i="2"/>
  <c r="L377" i="2"/>
  <c r="W376" i="2"/>
  <c r="V376" i="2"/>
  <c r="U376" i="2"/>
  <c r="T376" i="2"/>
  <c r="S376" i="2"/>
  <c r="R376" i="2"/>
  <c r="Q376" i="2"/>
  <c r="P376" i="2"/>
  <c r="O376" i="2"/>
  <c r="N376" i="2"/>
  <c r="M376" i="2"/>
  <c r="L376" i="2"/>
  <c r="W375" i="2"/>
  <c r="V375" i="2"/>
  <c r="U375" i="2"/>
  <c r="T375" i="2"/>
  <c r="S375" i="2"/>
  <c r="R375" i="2"/>
  <c r="Q375" i="2"/>
  <c r="P375" i="2"/>
  <c r="O375" i="2"/>
  <c r="N375" i="2"/>
  <c r="M375" i="2"/>
  <c r="L375" i="2"/>
  <c r="W374" i="2"/>
  <c r="V374" i="2"/>
  <c r="U374" i="2"/>
  <c r="T374" i="2"/>
  <c r="S374" i="2"/>
  <c r="R374" i="2"/>
  <c r="Q374" i="2"/>
  <c r="P374" i="2"/>
  <c r="O374" i="2"/>
  <c r="N374" i="2"/>
  <c r="M374" i="2"/>
  <c r="L374" i="2"/>
  <c r="W373" i="2"/>
  <c r="V373" i="2"/>
  <c r="U373" i="2"/>
  <c r="T373" i="2"/>
  <c r="S373" i="2"/>
  <c r="R373" i="2"/>
  <c r="Q373" i="2"/>
  <c r="P373" i="2"/>
  <c r="O373" i="2"/>
  <c r="N373" i="2"/>
  <c r="M373" i="2"/>
  <c r="L373" i="2"/>
  <c r="W372" i="2"/>
  <c r="V372" i="2"/>
  <c r="U372" i="2"/>
  <c r="T372" i="2"/>
  <c r="S372" i="2"/>
  <c r="R372" i="2"/>
  <c r="Q372" i="2"/>
  <c r="P372" i="2"/>
  <c r="O372" i="2"/>
  <c r="N372" i="2"/>
  <c r="M372" i="2"/>
  <c r="L372" i="2"/>
  <c r="W371" i="2"/>
  <c r="V371" i="2"/>
  <c r="U371" i="2"/>
  <c r="T371" i="2"/>
  <c r="S371" i="2"/>
  <c r="R371" i="2"/>
  <c r="Q371" i="2"/>
  <c r="P371" i="2"/>
  <c r="O371" i="2"/>
  <c r="N371" i="2"/>
  <c r="M371" i="2"/>
  <c r="L371" i="2"/>
  <c r="W370" i="2"/>
  <c r="V370" i="2"/>
  <c r="U370" i="2"/>
  <c r="T370" i="2"/>
  <c r="S370" i="2"/>
  <c r="R370" i="2"/>
  <c r="Q370" i="2"/>
  <c r="P370" i="2"/>
  <c r="O370" i="2"/>
  <c r="N370" i="2"/>
  <c r="M370" i="2"/>
  <c r="L370" i="2"/>
  <c r="W369" i="2"/>
  <c r="V369" i="2"/>
  <c r="U369" i="2"/>
  <c r="T369" i="2"/>
  <c r="S369" i="2"/>
  <c r="R369" i="2"/>
  <c r="Q369" i="2"/>
  <c r="P369" i="2"/>
  <c r="O369" i="2"/>
  <c r="N369" i="2"/>
  <c r="M369" i="2"/>
  <c r="L369" i="2"/>
  <c r="W368" i="2"/>
  <c r="V368" i="2"/>
  <c r="U368" i="2"/>
  <c r="T368" i="2"/>
  <c r="S368" i="2"/>
  <c r="R368" i="2"/>
  <c r="Q368" i="2"/>
  <c r="P368" i="2"/>
  <c r="O368" i="2"/>
  <c r="N368" i="2"/>
  <c r="M368" i="2"/>
  <c r="L368" i="2"/>
  <c r="W367" i="2"/>
  <c r="V367" i="2"/>
  <c r="U367" i="2"/>
  <c r="T367" i="2"/>
  <c r="S367" i="2"/>
  <c r="R367" i="2"/>
  <c r="Q367" i="2"/>
  <c r="P367" i="2"/>
  <c r="O367" i="2"/>
  <c r="N367" i="2"/>
  <c r="M367" i="2"/>
  <c r="L367" i="2"/>
  <c r="W366" i="2"/>
  <c r="V366" i="2"/>
  <c r="U366" i="2"/>
  <c r="T366" i="2"/>
  <c r="S366" i="2"/>
  <c r="R366" i="2"/>
  <c r="Q366" i="2"/>
  <c r="P366" i="2"/>
  <c r="O366" i="2"/>
  <c r="N366" i="2"/>
  <c r="M366" i="2"/>
  <c r="L366" i="2"/>
  <c r="W365" i="2"/>
  <c r="V365" i="2"/>
  <c r="U365" i="2"/>
  <c r="T365" i="2"/>
  <c r="S365" i="2"/>
  <c r="R365" i="2"/>
  <c r="Q365" i="2"/>
  <c r="P365" i="2"/>
  <c r="O365" i="2"/>
  <c r="N365" i="2"/>
  <c r="M365" i="2"/>
  <c r="L365" i="2"/>
  <c r="W364" i="2"/>
  <c r="V364" i="2"/>
  <c r="U364" i="2"/>
  <c r="T364" i="2"/>
  <c r="S364" i="2"/>
  <c r="R364" i="2"/>
  <c r="Q364" i="2"/>
  <c r="P364" i="2"/>
  <c r="O364" i="2"/>
  <c r="N364" i="2"/>
  <c r="M364" i="2"/>
  <c r="L364" i="2"/>
  <c r="W363" i="2"/>
  <c r="V363" i="2"/>
  <c r="U363" i="2"/>
  <c r="T363" i="2"/>
  <c r="S363" i="2"/>
  <c r="R363" i="2"/>
  <c r="Q363" i="2"/>
  <c r="P363" i="2"/>
  <c r="O363" i="2"/>
  <c r="N363" i="2"/>
  <c r="M363" i="2"/>
  <c r="L363" i="2"/>
  <c r="W362" i="2"/>
  <c r="V362" i="2"/>
  <c r="U362" i="2"/>
  <c r="T362" i="2"/>
  <c r="S362" i="2"/>
  <c r="R362" i="2"/>
  <c r="Q362" i="2"/>
  <c r="P362" i="2"/>
  <c r="O362" i="2"/>
  <c r="N362" i="2"/>
  <c r="M362" i="2"/>
  <c r="L362" i="2"/>
  <c r="W361" i="2"/>
  <c r="V361" i="2"/>
  <c r="U361" i="2"/>
  <c r="T361" i="2"/>
  <c r="S361" i="2"/>
  <c r="R361" i="2"/>
  <c r="Q361" i="2"/>
  <c r="P361" i="2"/>
  <c r="O361" i="2"/>
  <c r="N361" i="2"/>
  <c r="M361" i="2"/>
  <c r="L361" i="2"/>
  <c r="W360" i="2"/>
  <c r="V360" i="2"/>
  <c r="U360" i="2"/>
  <c r="T360" i="2"/>
  <c r="S360" i="2"/>
  <c r="R360" i="2"/>
  <c r="Q360" i="2"/>
  <c r="P360" i="2"/>
  <c r="O360" i="2"/>
  <c r="N360" i="2"/>
  <c r="M360" i="2"/>
  <c r="L360" i="2"/>
  <c r="W359" i="2"/>
  <c r="V359" i="2"/>
  <c r="U359" i="2"/>
  <c r="T359" i="2"/>
  <c r="S359" i="2"/>
  <c r="R359" i="2"/>
  <c r="Q359" i="2"/>
  <c r="P359" i="2"/>
  <c r="O359" i="2"/>
  <c r="N359" i="2"/>
  <c r="M359" i="2"/>
  <c r="L359" i="2"/>
  <c r="W358" i="2"/>
  <c r="V358" i="2"/>
  <c r="U358" i="2"/>
  <c r="T358" i="2"/>
  <c r="S358" i="2"/>
  <c r="R358" i="2"/>
  <c r="Q358" i="2"/>
  <c r="P358" i="2"/>
  <c r="O358" i="2"/>
  <c r="N358" i="2"/>
  <c r="M358" i="2"/>
  <c r="L358" i="2"/>
  <c r="W357" i="2"/>
  <c r="V357" i="2"/>
  <c r="U357" i="2"/>
  <c r="T357" i="2"/>
  <c r="S357" i="2"/>
  <c r="R357" i="2"/>
  <c r="Q357" i="2"/>
  <c r="P357" i="2"/>
  <c r="O357" i="2"/>
  <c r="N357" i="2"/>
  <c r="M357" i="2"/>
  <c r="L357" i="2"/>
  <c r="W356" i="2"/>
  <c r="V356" i="2"/>
  <c r="U356" i="2"/>
  <c r="T356" i="2"/>
  <c r="S356" i="2"/>
  <c r="R356" i="2"/>
  <c r="Q356" i="2"/>
  <c r="P356" i="2"/>
  <c r="O356" i="2"/>
  <c r="N356" i="2"/>
  <c r="M356" i="2"/>
  <c r="L356" i="2"/>
  <c r="W355" i="2"/>
  <c r="V355" i="2"/>
  <c r="U355" i="2"/>
  <c r="T355" i="2"/>
  <c r="S355" i="2"/>
  <c r="R355" i="2"/>
  <c r="Q355" i="2"/>
  <c r="P355" i="2"/>
  <c r="O355" i="2"/>
  <c r="N355" i="2"/>
  <c r="M355" i="2"/>
  <c r="L355" i="2"/>
  <c r="W354" i="2"/>
  <c r="V354" i="2"/>
  <c r="U354" i="2"/>
  <c r="T354" i="2"/>
  <c r="S354" i="2"/>
  <c r="R354" i="2"/>
  <c r="Q354" i="2"/>
  <c r="P354" i="2"/>
  <c r="O354" i="2"/>
  <c r="N354" i="2"/>
  <c r="M354" i="2"/>
  <c r="L354" i="2"/>
  <c r="W353" i="2"/>
  <c r="V353" i="2"/>
  <c r="U353" i="2"/>
  <c r="T353" i="2"/>
  <c r="S353" i="2"/>
  <c r="R353" i="2"/>
  <c r="Q353" i="2"/>
  <c r="P353" i="2"/>
  <c r="O353" i="2"/>
  <c r="N353" i="2"/>
  <c r="M353" i="2"/>
  <c r="L353" i="2"/>
  <c r="W352" i="2"/>
  <c r="V352" i="2"/>
  <c r="U352" i="2"/>
  <c r="T352" i="2"/>
  <c r="S352" i="2"/>
  <c r="R352" i="2"/>
  <c r="Q352" i="2"/>
  <c r="P352" i="2"/>
  <c r="O352" i="2"/>
  <c r="N352" i="2"/>
  <c r="M352" i="2"/>
  <c r="L352" i="2"/>
  <c r="W351" i="2"/>
  <c r="V351" i="2"/>
  <c r="U351" i="2"/>
  <c r="T351" i="2"/>
  <c r="S351" i="2"/>
  <c r="R351" i="2"/>
  <c r="Q351" i="2"/>
  <c r="P351" i="2"/>
  <c r="O351" i="2"/>
  <c r="N351" i="2"/>
  <c r="M351" i="2"/>
  <c r="L351" i="2"/>
  <c r="W350" i="2"/>
  <c r="V350" i="2"/>
  <c r="U350" i="2"/>
  <c r="T350" i="2"/>
  <c r="S350" i="2"/>
  <c r="R350" i="2"/>
  <c r="Q350" i="2"/>
  <c r="P350" i="2"/>
  <c r="O350" i="2"/>
  <c r="N350" i="2"/>
  <c r="M350" i="2"/>
  <c r="L350" i="2"/>
  <c r="W349" i="2"/>
  <c r="V349" i="2"/>
  <c r="U349" i="2"/>
  <c r="T349" i="2"/>
  <c r="S349" i="2"/>
  <c r="R349" i="2"/>
  <c r="Q349" i="2"/>
  <c r="P349" i="2"/>
  <c r="O349" i="2"/>
  <c r="N349" i="2"/>
  <c r="M349" i="2"/>
  <c r="L349" i="2"/>
  <c r="W348" i="2"/>
  <c r="V348" i="2"/>
  <c r="U348" i="2"/>
  <c r="T348" i="2"/>
  <c r="S348" i="2"/>
  <c r="R348" i="2"/>
  <c r="Q348" i="2"/>
  <c r="P348" i="2"/>
  <c r="O348" i="2"/>
  <c r="N348" i="2"/>
  <c r="M348" i="2"/>
  <c r="L348" i="2"/>
  <c r="W347" i="2"/>
  <c r="V347" i="2"/>
  <c r="U347" i="2"/>
  <c r="T347" i="2"/>
  <c r="S347" i="2"/>
  <c r="R347" i="2"/>
  <c r="Q347" i="2"/>
  <c r="P347" i="2"/>
  <c r="O347" i="2"/>
  <c r="N347" i="2"/>
  <c r="M347" i="2"/>
  <c r="L347" i="2"/>
  <c r="W346" i="2"/>
  <c r="V346" i="2"/>
  <c r="U346" i="2"/>
  <c r="T346" i="2"/>
  <c r="S346" i="2"/>
  <c r="R346" i="2"/>
  <c r="Q346" i="2"/>
  <c r="P346" i="2"/>
  <c r="O346" i="2"/>
  <c r="N346" i="2"/>
  <c r="M346" i="2"/>
  <c r="L346" i="2"/>
  <c r="W345" i="2"/>
  <c r="V345" i="2"/>
  <c r="U345" i="2"/>
  <c r="T345" i="2"/>
  <c r="S345" i="2"/>
  <c r="R345" i="2"/>
  <c r="Q345" i="2"/>
  <c r="P345" i="2"/>
  <c r="O345" i="2"/>
  <c r="N345" i="2"/>
  <c r="M345" i="2"/>
  <c r="L345" i="2"/>
  <c r="W344" i="2"/>
  <c r="V344" i="2"/>
  <c r="U344" i="2"/>
  <c r="T344" i="2"/>
  <c r="S344" i="2"/>
  <c r="R344" i="2"/>
  <c r="Q344" i="2"/>
  <c r="P344" i="2"/>
  <c r="O344" i="2"/>
  <c r="N344" i="2"/>
  <c r="M344" i="2"/>
  <c r="L344" i="2"/>
  <c r="W343" i="2"/>
  <c r="V343" i="2"/>
  <c r="U343" i="2"/>
  <c r="T343" i="2"/>
  <c r="S343" i="2"/>
  <c r="R343" i="2"/>
  <c r="Q343" i="2"/>
  <c r="P343" i="2"/>
  <c r="O343" i="2"/>
  <c r="N343" i="2"/>
  <c r="M343" i="2"/>
  <c r="L343" i="2"/>
  <c r="W342" i="2"/>
  <c r="V342" i="2"/>
  <c r="U342" i="2"/>
  <c r="T342" i="2"/>
  <c r="S342" i="2"/>
  <c r="R342" i="2"/>
  <c r="Q342" i="2"/>
  <c r="P342" i="2"/>
  <c r="O342" i="2"/>
  <c r="N342" i="2"/>
  <c r="M342" i="2"/>
  <c r="L342" i="2"/>
  <c r="W341" i="2"/>
  <c r="V341" i="2"/>
  <c r="U341" i="2"/>
  <c r="T341" i="2"/>
  <c r="S341" i="2"/>
  <c r="R341" i="2"/>
  <c r="Q341" i="2"/>
  <c r="P341" i="2"/>
  <c r="O341" i="2"/>
  <c r="N341" i="2"/>
  <c r="M341" i="2"/>
  <c r="L341" i="2"/>
  <c r="W340" i="2"/>
  <c r="V340" i="2"/>
  <c r="U340" i="2"/>
  <c r="T340" i="2"/>
  <c r="S340" i="2"/>
  <c r="R340" i="2"/>
  <c r="Q340" i="2"/>
  <c r="P340" i="2"/>
  <c r="O340" i="2"/>
  <c r="N340" i="2"/>
  <c r="M340" i="2"/>
  <c r="L340" i="2"/>
  <c r="W339" i="2"/>
  <c r="V339" i="2"/>
  <c r="U339" i="2"/>
  <c r="T339" i="2"/>
  <c r="S339" i="2"/>
  <c r="R339" i="2"/>
  <c r="Q339" i="2"/>
  <c r="P339" i="2"/>
  <c r="O339" i="2"/>
  <c r="N339" i="2"/>
  <c r="M339" i="2"/>
  <c r="L339" i="2"/>
  <c r="W338" i="2"/>
  <c r="V338" i="2"/>
  <c r="U338" i="2"/>
  <c r="T338" i="2"/>
  <c r="S338" i="2"/>
  <c r="R338" i="2"/>
  <c r="Q338" i="2"/>
  <c r="P338" i="2"/>
  <c r="O338" i="2"/>
  <c r="N338" i="2"/>
  <c r="M338" i="2"/>
  <c r="L338" i="2"/>
  <c r="W337" i="2"/>
  <c r="V337" i="2"/>
  <c r="U337" i="2"/>
  <c r="T337" i="2"/>
  <c r="S337" i="2"/>
  <c r="R337" i="2"/>
  <c r="Q337" i="2"/>
  <c r="P337" i="2"/>
  <c r="O337" i="2"/>
  <c r="N337" i="2"/>
  <c r="M337" i="2"/>
  <c r="L337" i="2"/>
  <c r="W336" i="2"/>
  <c r="V336" i="2"/>
  <c r="U336" i="2"/>
  <c r="T336" i="2"/>
  <c r="S336" i="2"/>
  <c r="R336" i="2"/>
  <c r="Q336" i="2"/>
  <c r="P336" i="2"/>
  <c r="O336" i="2"/>
  <c r="N336" i="2"/>
  <c r="M336" i="2"/>
  <c r="L336" i="2"/>
  <c r="W335" i="2"/>
  <c r="V335" i="2"/>
  <c r="U335" i="2"/>
  <c r="T335" i="2"/>
  <c r="S335" i="2"/>
  <c r="R335" i="2"/>
  <c r="Q335" i="2"/>
  <c r="P335" i="2"/>
  <c r="O335" i="2"/>
  <c r="N335" i="2"/>
  <c r="M335" i="2"/>
  <c r="L335" i="2"/>
  <c r="W334" i="2"/>
  <c r="V334" i="2"/>
  <c r="U334" i="2"/>
  <c r="T334" i="2"/>
  <c r="S334" i="2"/>
  <c r="R334" i="2"/>
  <c r="Q334" i="2"/>
  <c r="P334" i="2"/>
  <c r="O334" i="2"/>
  <c r="N334" i="2"/>
  <c r="M334" i="2"/>
  <c r="L334" i="2"/>
  <c r="W333" i="2"/>
  <c r="V333" i="2"/>
  <c r="U333" i="2"/>
  <c r="T333" i="2"/>
  <c r="S333" i="2"/>
  <c r="R333" i="2"/>
  <c r="Q333" i="2"/>
  <c r="P333" i="2"/>
  <c r="O333" i="2"/>
  <c r="N333" i="2"/>
  <c r="M333" i="2"/>
  <c r="L333" i="2"/>
  <c r="W332" i="2"/>
  <c r="V332" i="2"/>
  <c r="U332" i="2"/>
  <c r="T332" i="2"/>
  <c r="S332" i="2"/>
  <c r="R332" i="2"/>
  <c r="Q332" i="2"/>
  <c r="P332" i="2"/>
  <c r="O332" i="2"/>
  <c r="N332" i="2"/>
  <c r="M332" i="2"/>
  <c r="L332" i="2"/>
  <c r="W331" i="2"/>
  <c r="V331" i="2"/>
  <c r="U331" i="2"/>
  <c r="T331" i="2"/>
  <c r="S331" i="2"/>
  <c r="R331" i="2"/>
  <c r="Q331" i="2"/>
  <c r="P331" i="2"/>
  <c r="O331" i="2"/>
  <c r="N331" i="2"/>
  <c r="M331" i="2"/>
  <c r="L331" i="2"/>
  <c r="W330" i="2"/>
  <c r="V330" i="2"/>
  <c r="U330" i="2"/>
  <c r="T330" i="2"/>
  <c r="S330" i="2"/>
  <c r="R330" i="2"/>
  <c r="Q330" i="2"/>
  <c r="P330" i="2"/>
  <c r="O330" i="2"/>
  <c r="N330" i="2"/>
  <c r="M330" i="2"/>
  <c r="L330" i="2"/>
  <c r="W329" i="2"/>
  <c r="V329" i="2"/>
  <c r="U329" i="2"/>
  <c r="T329" i="2"/>
  <c r="S329" i="2"/>
  <c r="R329" i="2"/>
  <c r="Q329" i="2"/>
  <c r="P329" i="2"/>
  <c r="O329" i="2"/>
  <c r="N329" i="2"/>
  <c r="M329" i="2"/>
  <c r="L329" i="2"/>
  <c r="W328" i="2"/>
  <c r="V328" i="2"/>
  <c r="U328" i="2"/>
  <c r="T328" i="2"/>
  <c r="S328" i="2"/>
  <c r="R328" i="2"/>
  <c r="Q328" i="2"/>
  <c r="P328" i="2"/>
  <c r="O328" i="2"/>
  <c r="N328" i="2"/>
  <c r="M328" i="2"/>
  <c r="L328" i="2"/>
  <c r="W327" i="2"/>
  <c r="V327" i="2"/>
  <c r="U327" i="2"/>
  <c r="T327" i="2"/>
  <c r="S327" i="2"/>
  <c r="R327" i="2"/>
  <c r="Q327" i="2"/>
  <c r="P327" i="2"/>
  <c r="O327" i="2"/>
  <c r="N327" i="2"/>
  <c r="M327" i="2"/>
  <c r="L327" i="2"/>
  <c r="W326" i="2"/>
  <c r="V326" i="2"/>
  <c r="U326" i="2"/>
  <c r="T326" i="2"/>
  <c r="S326" i="2"/>
  <c r="R326" i="2"/>
  <c r="Q326" i="2"/>
  <c r="P326" i="2"/>
  <c r="O326" i="2"/>
  <c r="N326" i="2"/>
  <c r="M326" i="2"/>
  <c r="L326" i="2"/>
  <c r="W325" i="2"/>
  <c r="V325" i="2"/>
  <c r="U325" i="2"/>
  <c r="T325" i="2"/>
  <c r="S325" i="2"/>
  <c r="R325" i="2"/>
  <c r="Q325" i="2"/>
  <c r="P325" i="2"/>
  <c r="O325" i="2"/>
  <c r="N325" i="2"/>
  <c r="M325" i="2"/>
  <c r="L325" i="2"/>
  <c r="W324" i="2"/>
  <c r="V324" i="2"/>
  <c r="U324" i="2"/>
  <c r="T324" i="2"/>
  <c r="S324" i="2"/>
  <c r="R324" i="2"/>
  <c r="Q324" i="2"/>
  <c r="P324" i="2"/>
  <c r="O324" i="2"/>
  <c r="N324" i="2"/>
  <c r="M324" i="2"/>
  <c r="L324" i="2"/>
  <c r="W323" i="2"/>
  <c r="V323" i="2"/>
  <c r="U323" i="2"/>
  <c r="T323" i="2"/>
  <c r="S323" i="2"/>
  <c r="R323" i="2"/>
  <c r="Q323" i="2"/>
  <c r="P323" i="2"/>
  <c r="O323" i="2"/>
  <c r="N323" i="2"/>
  <c r="M323" i="2"/>
  <c r="L323" i="2"/>
  <c r="W322" i="2"/>
  <c r="V322" i="2"/>
  <c r="U322" i="2"/>
  <c r="T322" i="2"/>
  <c r="S322" i="2"/>
  <c r="R322" i="2"/>
  <c r="Q322" i="2"/>
  <c r="P322" i="2"/>
  <c r="O322" i="2"/>
  <c r="N322" i="2"/>
  <c r="M322" i="2"/>
  <c r="L322" i="2"/>
  <c r="W321" i="2"/>
  <c r="V321" i="2"/>
  <c r="U321" i="2"/>
  <c r="T321" i="2"/>
  <c r="S321" i="2"/>
  <c r="R321" i="2"/>
  <c r="Q321" i="2"/>
  <c r="P321" i="2"/>
  <c r="O321" i="2"/>
  <c r="N321" i="2"/>
  <c r="M321" i="2"/>
  <c r="L321" i="2"/>
  <c r="W320" i="2"/>
  <c r="V320" i="2"/>
  <c r="U320" i="2"/>
  <c r="T320" i="2"/>
  <c r="S320" i="2"/>
  <c r="R320" i="2"/>
  <c r="Q320" i="2"/>
  <c r="P320" i="2"/>
  <c r="O320" i="2"/>
  <c r="N320" i="2"/>
  <c r="M320" i="2"/>
  <c r="L320" i="2"/>
  <c r="W319" i="2"/>
  <c r="V319" i="2"/>
  <c r="U319" i="2"/>
  <c r="T319" i="2"/>
  <c r="S319" i="2"/>
  <c r="R319" i="2"/>
  <c r="Q319" i="2"/>
  <c r="P319" i="2"/>
  <c r="O319" i="2"/>
  <c r="N319" i="2"/>
  <c r="M319" i="2"/>
  <c r="L319" i="2"/>
  <c r="W318" i="2"/>
  <c r="V318" i="2"/>
  <c r="U318" i="2"/>
  <c r="T318" i="2"/>
  <c r="S318" i="2"/>
  <c r="R318" i="2"/>
  <c r="Q318" i="2"/>
  <c r="P318" i="2"/>
  <c r="O318" i="2"/>
  <c r="N318" i="2"/>
  <c r="M318" i="2"/>
  <c r="L318" i="2"/>
  <c r="W317" i="2"/>
  <c r="V317" i="2"/>
  <c r="U317" i="2"/>
  <c r="T317" i="2"/>
  <c r="S317" i="2"/>
  <c r="R317" i="2"/>
  <c r="Q317" i="2"/>
  <c r="P317" i="2"/>
  <c r="O317" i="2"/>
  <c r="N317" i="2"/>
  <c r="M317" i="2"/>
  <c r="L317" i="2"/>
  <c r="W316" i="2"/>
  <c r="V316" i="2"/>
  <c r="U316" i="2"/>
  <c r="T316" i="2"/>
  <c r="S316" i="2"/>
  <c r="R316" i="2"/>
  <c r="Q316" i="2"/>
  <c r="P316" i="2"/>
  <c r="O316" i="2"/>
  <c r="N316" i="2"/>
  <c r="M316" i="2"/>
  <c r="L316" i="2"/>
  <c r="W315" i="2"/>
  <c r="V315" i="2"/>
  <c r="U315" i="2"/>
  <c r="T315" i="2"/>
  <c r="S315" i="2"/>
  <c r="R315" i="2"/>
  <c r="Q315" i="2"/>
  <c r="P315" i="2"/>
  <c r="O315" i="2"/>
  <c r="N315" i="2"/>
  <c r="M315" i="2"/>
  <c r="L315" i="2"/>
  <c r="W314" i="2"/>
  <c r="V314" i="2"/>
  <c r="U314" i="2"/>
  <c r="T314" i="2"/>
  <c r="S314" i="2"/>
  <c r="R314" i="2"/>
  <c r="Q314" i="2"/>
  <c r="P314" i="2"/>
  <c r="O314" i="2"/>
  <c r="N314" i="2"/>
  <c r="M314" i="2"/>
  <c r="L314" i="2"/>
  <c r="W313" i="2"/>
  <c r="V313" i="2"/>
  <c r="U313" i="2"/>
  <c r="T313" i="2"/>
  <c r="S313" i="2"/>
  <c r="R313" i="2"/>
  <c r="Q313" i="2"/>
  <c r="P313" i="2"/>
  <c r="O313" i="2"/>
  <c r="N313" i="2"/>
  <c r="M313" i="2"/>
  <c r="L313" i="2"/>
  <c r="W312" i="2"/>
  <c r="V312" i="2"/>
  <c r="U312" i="2"/>
  <c r="T312" i="2"/>
  <c r="S312" i="2"/>
  <c r="R312" i="2"/>
  <c r="Q312" i="2"/>
  <c r="P312" i="2"/>
  <c r="O312" i="2"/>
  <c r="N312" i="2"/>
  <c r="M312" i="2"/>
  <c r="L312" i="2"/>
  <c r="W311" i="2"/>
  <c r="V311" i="2"/>
  <c r="U311" i="2"/>
  <c r="T311" i="2"/>
  <c r="S311" i="2"/>
  <c r="R311" i="2"/>
  <c r="Q311" i="2"/>
  <c r="P311" i="2"/>
  <c r="O311" i="2"/>
  <c r="N311" i="2"/>
  <c r="M311" i="2"/>
  <c r="L311" i="2"/>
  <c r="W310" i="2"/>
  <c r="V310" i="2"/>
  <c r="U310" i="2"/>
  <c r="T310" i="2"/>
  <c r="S310" i="2"/>
  <c r="R310" i="2"/>
  <c r="Q310" i="2"/>
  <c r="P310" i="2"/>
  <c r="O310" i="2"/>
  <c r="N310" i="2"/>
  <c r="M310" i="2"/>
  <c r="L310" i="2"/>
  <c r="W309" i="2"/>
  <c r="V309" i="2"/>
  <c r="U309" i="2"/>
  <c r="T309" i="2"/>
  <c r="S309" i="2"/>
  <c r="R309" i="2"/>
  <c r="Q309" i="2"/>
  <c r="P309" i="2"/>
  <c r="O309" i="2"/>
  <c r="N309" i="2"/>
  <c r="M309" i="2"/>
  <c r="L309" i="2"/>
  <c r="W308" i="2"/>
  <c r="V308" i="2"/>
  <c r="U308" i="2"/>
  <c r="T308" i="2"/>
  <c r="S308" i="2"/>
  <c r="R308" i="2"/>
  <c r="Q308" i="2"/>
  <c r="P308" i="2"/>
  <c r="O308" i="2"/>
  <c r="N308" i="2"/>
  <c r="M308" i="2"/>
  <c r="L308" i="2"/>
  <c r="W307" i="2"/>
  <c r="V307" i="2"/>
  <c r="U307" i="2"/>
  <c r="T307" i="2"/>
  <c r="S307" i="2"/>
  <c r="R307" i="2"/>
  <c r="Q307" i="2"/>
  <c r="P307" i="2"/>
  <c r="O307" i="2"/>
  <c r="N307" i="2"/>
  <c r="M307" i="2"/>
  <c r="L307" i="2"/>
  <c r="W306" i="2"/>
  <c r="V306" i="2"/>
  <c r="U306" i="2"/>
  <c r="T306" i="2"/>
  <c r="S306" i="2"/>
  <c r="R306" i="2"/>
  <c r="Q306" i="2"/>
  <c r="P306" i="2"/>
  <c r="O306" i="2"/>
  <c r="N306" i="2"/>
  <c r="M306" i="2"/>
  <c r="L306" i="2"/>
  <c r="W305" i="2"/>
  <c r="V305" i="2"/>
  <c r="U305" i="2"/>
  <c r="T305" i="2"/>
  <c r="S305" i="2"/>
  <c r="R305" i="2"/>
  <c r="Q305" i="2"/>
  <c r="P305" i="2"/>
  <c r="O305" i="2"/>
  <c r="N305" i="2"/>
  <c r="M305" i="2"/>
  <c r="L305" i="2"/>
  <c r="W304" i="2"/>
  <c r="V304" i="2"/>
  <c r="U304" i="2"/>
  <c r="T304" i="2"/>
  <c r="S304" i="2"/>
  <c r="R304" i="2"/>
  <c r="Q304" i="2"/>
  <c r="P304" i="2"/>
  <c r="O304" i="2"/>
  <c r="N304" i="2"/>
  <c r="M304" i="2"/>
  <c r="L304" i="2"/>
  <c r="W303" i="2"/>
  <c r="V303" i="2"/>
  <c r="U303" i="2"/>
  <c r="T303" i="2"/>
  <c r="S303" i="2"/>
  <c r="R303" i="2"/>
  <c r="Q303" i="2"/>
  <c r="P303" i="2"/>
  <c r="O303" i="2"/>
  <c r="N303" i="2"/>
  <c r="M303" i="2"/>
  <c r="L303" i="2"/>
  <c r="W302" i="2"/>
  <c r="V302" i="2"/>
  <c r="U302" i="2"/>
  <c r="T302" i="2"/>
  <c r="S302" i="2"/>
  <c r="R302" i="2"/>
  <c r="Q302" i="2"/>
  <c r="P302" i="2"/>
  <c r="O302" i="2"/>
  <c r="N302" i="2"/>
  <c r="M302" i="2"/>
  <c r="L302" i="2"/>
  <c r="W301" i="2"/>
  <c r="V301" i="2"/>
  <c r="U301" i="2"/>
  <c r="T301" i="2"/>
  <c r="S301" i="2"/>
  <c r="R301" i="2"/>
  <c r="Q301" i="2"/>
  <c r="P301" i="2"/>
  <c r="O301" i="2"/>
  <c r="N301" i="2"/>
  <c r="M301" i="2"/>
  <c r="L301" i="2"/>
  <c r="W300" i="2"/>
  <c r="V300" i="2"/>
  <c r="U300" i="2"/>
  <c r="T300" i="2"/>
  <c r="S300" i="2"/>
  <c r="R300" i="2"/>
  <c r="Q300" i="2"/>
  <c r="P300" i="2"/>
  <c r="O300" i="2"/>
  <c r="N300" i="2"/>
  <c r="M300" i="2"/>
  <c r="L300" i="2"/>
  <c r="W299" i="2"/>
  <c r="V299" i="2"/>
  <c r="U299" i="2"/>
  <c r="T299" i="2"/>
  <c r="S299" i="2"/>
  <c r="R299" i="2"/>
  <c r="Q299" i="2"/>
  <c r="P299" i="2"/>
  <c r="O299" i="2"/>
  <c r="N299" i="2"/>
  <c r="M299" i="2"/>
  <c r="L299" i="2"/>
  <c r="W298" i="2"/>
  <c r="V298" i="2"/>
  <c r="U298" i="2"/>
  <c r="T298" i="2"/>
  <c r="S298" i="2"/>
  <c r="R298" i="2"/>
  <c r="Q298" i="2"/>
  <c r="P298" i="2"/>
  <c r="O298" i="2"/>
  <c r="N298" i="2"/>
  <c r="M298" i="2"/>
  <c r="L298" i="2"/>
  <c r="W297" i="2"/>
  <c r="V297" i="2"/>
  <c r="U297" i="2"/>
  <c r="T297" i="2"/>
  <c r="S297" i="2"/>
  <c r="R297" i="2"/>
  <c r="Q297" i="2"/>
  <c r="P297" i="2"/>
  <c r="O297" i="2"/>
  <c r="N297" i="2"/>
  <c r="M297" i="2"/>
  <c r="L297" i="2"/>
  <c r="W296" i="2"/>
  <c r="V296" i="2"/>
  <c r="U296" i="2"/>
  <c r="T296" i="2"/>
  <c r="S296" i="2"/>
  <c r="R296" i="2"/>
  <c r="Q296" i="2"/>
  <c r="P296" i="2"/>
  <c r="O296" i="2"/>
  <c r="N296" i="2"/>
  <c r="M296" i="2"/>
  <c r="L296" i="2"/>
  <c r="W295" i="2"/>
  <c r="V295" i="2"/>
  <c r="U295" i="2"/>
  <c r="T295" i="2"/>
  <c r="S295" i="2"/>
  <c r="R295" i="2"/>
  <c r="Q295" i="2"/>
  <c r="P295" i="2"/>
  <c r="O295" i="2"/>
  <c r="N295" i="2"/>
  <c r="M295" i="2"/>
  <c r="L295" i="2"/>
  <c r="W294" i="2"/>
  <c r="V294" i="2"/>
  <c r="U294" i="2"/>
  <c r="T294" i="2"/>
  <c r="S294" i="2"/>
  <c r="R294" i="2"/>
  <c r="Q294" i="2"/>
  <c r="P294" i="2"/>
  <c r="O294" i="2"/>
  <c r="N294" i="2"/>
  <c r="M294" i="2"/>
  <c r="L294" i="2"/>
  <c r="W293" i="2"/>
  <c r="V293" i="2"/>
  <c r="U293" i="2"/>
  <c r="T293" i="2"/>
  <c r="S293" i="2"/>
  <c r="R293" i="2"/>
  <c r="Q293" i="2"/>
  <c r="P293" i="2"/>
  <c r="O293" i="2"/>
  <c r="N293" i="2"/>
  <c r="M293" i="2"/>
  <c r="L293" i="2"/>
  <c r="W292" i="2"/>
  <c r="V292" i="2"/>
  <c r="U292" i="2"/>
  <c r="T292" i="2"/>
  <c r="S292" i="2"/>
  <c r="R292" i="2"/>
  <c r="Q292" i="2"/>
  <c r="P292" i="2"/>
  <c r="O292" i="2"/>
  <c r="N292" i="2"/>
  <c r="M292" i="2"/>
  <c r="L292" i="2"/>
  <c r="W291" i="2"/>
  <c r="V291" i="2"/>
  <c r="U291" i="2"/>
  <c r="T291" i="2"/>
  <c r="S291" i="2"/>
  <c r="R291" i="2"/>
  <c r="Q291" i="2"/>
  <c r="P291" i="2"/>
  <c r="O291" i="2"/>
  <c r="N291" i="2"/>
  <c r="M291" i="2"/>
  <c r="L291" i="2"/>
  <c r="W290" i="2"/>
  <c r="V290" i="2"/>
  <c r="U290" i="2"/>
  <c r="T290" i="2"/>
  <c r="S290" i="2"/>
  <c r="R290" i="2"/>
  <c r="Q290" i="2"/>
  <c r="P290" i="2"/>
  <c r="O290" i="2"/>
  <c r="N290" i="2"/>
  <c r="M290" i="2"/>
  <c r="L290" i="2"/>
  <c r="W289" i="2"/>
  <c r="V289" i="2"/>
  <c r="U289" i="2"/>
  <c r="T289" i="2"/>
  <c r="S289" i="2"/>
  <c r="R289" i="2"/>
  <c r="Q289" i="2"/>
  <c r="P289" i="2"/>
  <c r="O289" i="2"/>
  <c r="N289" i="2"/>
  <c r="M289" i="2"/>
  <c r="L289" i="2"/>
  <c r="W288" i="2"/>
  <c r="V288" i="2"/>
  <c r="U288" i="2"/>
  <c r="T288" i="2"/>
  <c r="S288" i="2"/>
  <c r="R288" i="2"/>
  <c r="Q288" i="2"/>
  <c r="P288" i="2"/>
  <c r="O288" i="2"/>
  <c r="N288" i="2"/>
  <c r="M288" i="2"/>
  <c r="L288" i="2"/>
  <c r="W287" i="2"/>
  <c r="V287" i="2"/>
  <c r="U287" i="2"/>
  <c r="T287" i="2"/>
  <c r="S287" i="2"/>
  <c r="R287" i="2"/>
  <c r="Q287" i="2"/>
  <c r="P287" i="2"/>
  <c r="O287" i="2"/>
  <c r="N287" i="2"/>
  <c r="M287" i="2"/>
  <c r="L287" i="2"/>
  <c r="W286" i="2"/>
  <c r="V286" i="2"/>
  <c r="U286" i="2"/>
  <c r="T286" i="2"/>
  <c r="S286" i="2"/>
  <c r="R286" i="2"/>
  <c r="Q286" i="2"/>
  <c r="P286" i="2"/>
  <c r="O286" i="2"/>
  <c r="N286" i="2"/>
  <c r="M286" i="2"/>
  <c r="L286" i="2"/>
  <c r="W285" i="2"/>
  <c r="V285" i="2"/>
  <c r="U285" i="2"/>
  <c r="T285" i="2"/>
  <c r="S285" i="2"/>
  <c r="R285" i="2"/>
  <c r="Q285" i="2"/>
  <c r="P285" i="2"/>
  <c r="O285" i="2"/>
  <c r="N285" i="2"/>
  <c r="M285" i="2"/>
  <c r="L285" i="2"/>
  <c r="W284" i="2"/>
  <c r="V284" i="2"/>
  <c r="U284" i="2"/>
  <c r="T284" i="2"/>
  <c r="S284" i="2"/>
  <c r="R284" i="2"/>
  <c r="Q284" i="2"/>
  <c r="P284" i="2"/>
  <c r="O284" i="2"/>
  <c r="N284" i="2"/>
  <c r="M284" i="2"/>
  <c r="L284" i="2"/>
  <c r="W283" i="2"/>
  <c r="V283" i="2"/>
  <c r="U283" i="2"/>
  <c r="T283" i="2"/>
  <c r="S283" i="2"/>
  <c r="R283" i="2"/>
  <c r="Q283" i="2"/>
  <c r="P283" i="2"/>
  <c r="O283" i="2"/>
  <c r="N283" i="2"/>
  <c r="M283" i="2"/>
  <c r="L283" i="2"/>
  <c r="W282" i="2"/>
  <c r="V282" i="2"/>
  <c r="U282" i="2"/>
  <c r="T282" i="2"/>
  <c r="S282" i="2"/>
  <c r="R282" i="2"/>
  <c r="Q282" i="2"/>
  <c r="P282" i="2"/>
  <c r="O282" i="2"/>
  <c r="N282" i="2"/>
  <c r="M282" i="2"/>
  <c r="L282" i="2"/>
  <c r="W281" i="2"/>
  <c r="V281" i="2"/>
  <c r="U281" i="2"/>
  <c r="T281" i="2"/>
  <c r="S281" i="2"/>
  <c r="R281" i="2"/>
  <c r="Q281" i="2"/>
  <c r="P281" i="2"/>
  <c r="O281" i="2"/>
  <c r="N281" i="2"/>
  <c r="M281" i="2"/>
  <c r="L281" i="2"/>
  <c r="W280" i="2"/>
  <c r="V280" i="2"/>
  <c r="U280" i="2"/>
  <c r="T280" i="2"/>
  <c r="S280" i="2"/>
  <c r="R280" i="2"/>
  <c r="Q280" i="2"/>
  <c r="P280" i="2"/>
  <c r="O280" i="2"/>
  <c r="N280" i="2"/>
  <c r="M280" i="2"/>
  <c r="L280" i="2"/>
  <c r="W279" i="2"/>
  <c r="V279" i="2"/>
  <c r="U279" i="2"/>
  <c r="T279" i="2"/>
  <c r="S279" i="2"/>
  <c r="R279" i="2"/>
  <c r="Q279" i="2"/>
  <c r="P279" i="2"/>
  <c r="O279" i="2"/>
  <c r="N279" i="2"/>
  <c r="M279" i="2"/>
  <c r="L279" i="2"/>
  <c r="W278" i="2"/>
  <c r="V278" i="2"/>
  <c r="U278" i="2"/>
  <c r="T278" i="2"/>
  <c r="S278" i="2"/>
  <c r="R278" i="2"/>
  <c r="Q278" i="2"/>
  <c r="P278" i="2"/>
  <c r="O278" i="2"/>
  <c r="N278" i="2"/>
  <c r="M278" i="2"/>
  <c r="L278" i="2"/>
  <c r="W277" i="2"/>
  <c r="V277" i="2"/>
  <c r="U277" i="2"/>
  <c r="T277" i="2"/>
  <c r="S277" i="2"/>
  <c r="R277" i="2"/>
  <c r="Q277" i="2"/>
  <c r="P277" i="2"/>
  <c r="O277" i="2"/>
  <c r="N277" i="2"/>
  <c r="M277" i="2"/>
  <c r="L277" i="2"/>
  <c r="W276" i="2"/>
  <c r="V276" i="2"/>
  <c r="U276" i="2"/>
  <c r="T276" i="2"/>
  <c r="S276" i="2"/>
  <c r="R276" i="2"/>
  <c r="Q276" i="2"/>
  <c r="P276" i="2"/>
  <c r="O276" i="2"/>
  <c r="N276" i="2"/>
  <c r="M276" i="2"/>
  <c r="L276" i="2"/>
  <c r="W275" i="2"/>
  <c r="V275" i="2"/>
  <c r="U275" i="2"/>
  <c r="T275" i="2"/>
  <c r="S275" i="2"/>
  <c r="R275" i="2"/>
  <c r="Q275" i="2"/>
  <c r="P275" i="2"/>
  <c r="O275" i="2"/>
  <c r="N275" i="2"/>
  <c r="M275" i="2"/>
  <c r="L275" i="2"/>
  <c r="W274" i="2"/>
  <c r="V274" i="2"/>
  <c r="U274" i="2"/>
  <c r="T274" i="2"/>
  <c r="S274" i="2"/>
  <c r="R274" i="2"/>
  <c r="Q274" i="2"/>
  <c r="P274" i="2"/>
  <c r="O274" i="2"/>
  <c r="N274" i="2"/>
  <c r="M274" i="2"/>
  <c r="L274" i="2"/>
  <c r="W273" i="2"/>
  <c r="V273" i="2"/>
  <c r="U273" i="2"/>
  <c r="T273" i="2"/>
  <c r="S273" i="2"/>
  <c r="R273" i="2"/>
  <c r="Q273" i="2"/>
  <c r="P273" i="2"/>
  <c r="O273" i="2"/>
  <c r="N273" i="2"/>
  <c r="M273" i="2"/>
  <c r="L273" i="2"/>
  <c r="W272" i="2"/>
  <c r="V272" i="2"/>
  <c r="U272" i="2"/>
  <c r="T272" i="2"/>
  <c r="S272" i="2"/>
  <c r="R272" i="2"/>
  <c r="Q272" i="2"/>
  <c r="P272" i="2"/>
  <c r="O272" i="2"/>
  <c r="N272" i="2"/>
  <c r="M272" i="2"/>
  <c r="L272" i="2"/>
  <c r="W271" i="2"/>
  <c r="V271" i="2"/>
  <c r="U271" i="2"/>
  <c r="T271" i="2"/>
  <c r="S271" i="2"/>
  <c r="R271" i="2"/>
  <c r="Q271" i="2"/>
  <c r="P271" i="2"/>
  <c r="O271" i="2"/>
  <c r="N271" i="2"/>
  <c r="M271" i="2"/>
  <c r="L271" i="2"/>
  <c r="W270" i="2"/>
  <c r="V270" i="2"/>
  <c r="U270" i="2"/>
  <c r="T270" i="2"/>
  <c r="S270" i="2"/>
  <c r="R270" i="2"/>
  <c r="Q270" i="2"/>
  <c r="P270" i="2"/>
  <c r="O270" i="2"/>
  <c r="N270" i="2"/>
  <c r="M270" i="2"/>
  <c r="L270" i="2"/>
  <c r="W269" i="2"/>
  <c r="V269" i="2"/>
  <c r="U269" i="2"/>
  <c r="T269" i="2"/>
  <c r="S269" i="2"/>
  <c r="R269" i="2"/>
  <c r="Q269" i="2"/>
  <c r="P269" i="2"/>
  <c r="O269" i="2"/>
  <c r="N269" i="2"/>
  <c r="M269" i="2"/>
  <c r="L269" i="2"/>
  <c r="W268" i="2"/>
  <c r="V268" i="2"/>
  <c r="U268" i="2"/>
  <c r="T268" i="2"/>
  <c r="S268" i="2"/>
  <c r="R268" i="2"/>
  <c r="Q268" i="2"/>
  <c r="P268" i="2"/>
  <c r="O268" i="2"/>
  <c r="N268" i="2"/>
  <c r="M268" i="2"/>
  <c r="L268" i="2"/>
  <c r="W267" i="2"/>
  <c r="V267" i="2"/>
  <c r="U267" i="2"/>
  <c r="T267" i="2"/>
  <c r="S267" i="2"/>
  <c r="R267" i="2"/>
  <c r="Q267" i="2"/>
  <c r="P267" i="2"/>
  <c r="O267" i="2"/>
  <c r="N267" i="2"/>
  <c r="M267" i="2"/>
  <c r="L267" i="2"/>
  <c r="W266" i="2"/>
  <c r="V266" i="2"/>
  <c r="U266" i="2"/>
  <c r="T266" i="2"/>
  <c r="S266" i="2"/>
  <c r="R266" i="2"/>
  <c r="Q266" i="2"/>
  <c r="P266" i="2"/>
  <c r="O266" i="2"/>
  <c r="N266" i="2"/>
  <c r="M266" i="2"/>
  <c r="L266" i="2"/>
  <c r="W265" i="2"/>
  <c r="V265" i="2"/>
  <c r="U265" i="2"/>
  <c r="T265" i="2"/>
  <c r="S265" i="2"/>
  <c r="R265" i="2"/>
  <c r="Q265" i="2"/>
  <c r="P265" i="2"/>
  <c r="O265" i="2"/>
  <c r="N265" i="2"/>
  <c r="M265" i="2"/>
  <c r="L265" i="2"/>
  <c r="W264" i="2"/>
  <c r="V264" i="2"/>
  <c r="U264" i="2"/>
  <c r="T264" i="2"/>
  <c r="S264" i="2"/>
  <c r="R264" i="2"/>
  <c r="Q264" i="2"/>
  <c r="P264" i="2"/>
  <c r="O264" i="2"/>
  <c r="N264" i="2"/>
  <c r="M264" i="2"/>
  <c r="L264" i="2"/>
  <c r="W263" i="2"/>
  <c r="V263" i="2"/>
  <c r="U263" i="2"/>
  <c r="T263" i="2"/>
  <c r="S263" i="2"/>
  <c r="R263" i="2"/>
  <c r="Q263" i="2"/>
  <c r="P263" i="2"/>
  <c r="O263" i="2"/>
  <c r="N263" i="2"/>
  <c r="M263" i="2"/>
  <c r="L263" i="2"/>
  <c r="W262" i="2"/>
  <c r="V262" i="2"/>
  <c r="U262" i="2"/>
  <c r="T262" i="2"/>
  <c r="S262" i="2"/>
  <c r="R262" i="2"/>
  <c r="Q262" i="2"/>
  <c r="P262" i="2"/>
  <c r="O262" i="2"/>
  <c r="N262" i="2"/>
  <c r="M262" i="2"/>
  <c r="L262" i="2"/>
  <c r="W261" i="2"/>
  <c r="V261" i="2"/>
  <c r="U261" i="2"/>
  <c r="T261" i="2"/>
  <c r="S261" i="2"/>
  <c r="R261" i="2"/>
  <c r="Q261" i="2"/>
  <c r="P261" i="2"/>
  <c r="O261" i="2"/>
  <c r="N261" i="2"/>
  <c r="M261" i="2"/>
  <c r="L261" i="2"/>
  <c r="W260" i="2"/>
  <c r="V260" i="2"/>
  <c r="U260" i="2"/>
  <c r="T260" i="2"/>
  <c r="S260" i="2"/>
  <c r="R260" i="2"/>
  <c r="Q260" i="2"/>
  <c r="P260" i="2"/>
  <c r="O260" i="2"/>
  <c r="N260" i="2"/>
  <c r="M260" i="2"/>
  <c r="L260" i="2"/>
  <c r="W259" i="2"/>
  <c r="V259" i="2"/>
  <c r="U259" i="2"/>
  <c r="T259" i="2"/>
  <c r="S259" i="2"/>
  <c r="R259" i="2"/>
  <c r="Q259" i="2"/>
  <c r="P259" i="2"/>
  <c r="O259" i="2"/>
  <c r="N259" i="2"/>
  <c r="M259" i="2"/>
  <c r="L259" i="2"/>
  <c r="W258" i="2"/>
  <c r="V258" i="2"/>
  <c r="U258" i="2"/>
  <c r="T258" i="2"/>
  <c r="S258" i="2"/>
  <c r="R258" i="2"/>
  <c r="Q258" i="2"/>
  <c r="P258" i="2"/>
  <c r="O258" i="2"/>
  <c r="N258" i="2"/>
  <c r="M258" i="2"/>
  <c r="L258" i="2"/>
  <c r="W257" i="2"/>
  <c r="V257" i="2"/>
  <c r="U257" i="2"/>
  <c r="T257" i="2"/>
  <c r="S257" i="2"/>
  <c r="R257" i="2"/>
  <c r="Q257" i="2"/>
  <c r="P257" i="2"/>
  <c r="O257" i="2"/>
  <c r="N257" i="2"/>
  <c r="M257" i="2"/>
  <c r="L257" i="2"/>
  <c r="W256" i="2"/>
  <c r="V256" i="2"/>
  <c r="U256" i="2"/>
  <c r="T256" i="2"/>
  <c r="S256" i="2"/>
  <c r="R256" i="2"/>
  <c r="Q256" i="2"/>
  <c r="P256" i="2"/>
  <c r="O256" i="2"/>
  <c r="N256" i="2"/>
  <c r="M256" i="2"/>
  <c r="L256" i="2"/>
  <c r="W255" i="2"/>
  <c r="V255" i="2"/>
  <c r="U255" i="2"/>
  <c r="T255" i="2"/>
  <c r="S255" i="2"/>
  <c r="R255" i="2"/>
  <c r="Q255" i="2"/>
  <c r="P255" i="2"/>
  <c r="O255" i="2"/>
  <c r="N255" i="2"/>
  <c r="M255" i="2"/>
  <c r="L255" i="2"/>
  <c r="W254" i="2"/>
  <c r="V254" i="2"/>
  <c r="U254" i="2"/>
  <c r="T254" i="2"/>
  <c r="S254" i="2"/>
  <c r="R254" i="2"/>
  <c r="Q254" i="2"/>
  <c r="P254" i="2"/>
  <c r="O254" i="2"/>
  <c r="N254" i="2"/>
  <c r="M254" i="2"/>
  <c r="L254" i="2"/>
  <c r="W253" i="2"/>
  <c r="V253" i="2"/>
  <c r="U253" i="2"/>
  <c r="T253" i="2"/>
  <c r="S253" i="2"/>
  <c r="R253" i="2"/>
  <c r="Q253" i="2"/>
  <c r="P253" i="2"/>
  <c r="O253" i="2"/>
  <c r="N253" i="2"/>
  <c r="M253" i="2"/>
  <c r="L253" i="2"/>
  <c r="W252" i="2"/>
  <c r="V252" i="2"/>
  <c r="U252" i="2"/>
  <c r="T252" i="2"/>
  <c r="S252" i="2"/>
  <c r="R252" i="2"/>
  <c r="Q252" i="2"/>
  <c r="P252" i="2"/>
  <c r="O252" i="2"/>
  <c r="N252" i="2"/>
  <c r="M252" i="2"/>
  <c r="L252" i="2"/>
  <c r="W251" i="2"/>
  <c r="V251" i="2"/>
  <c r="U251" i="2"/>
  <c r="T251" i="2"/>
  <c r="S251" i="2"/>
  <c r="R251" i="2"/>
  <c r="Q251" i="2"/>
  <c r="P251" i="2"/>
  <c r="O251" i="2"/>
  <c r="N251" i="2"/>
  <c r="M251" i="2"/>
  <c r="L251" i="2"/>
  <c r="W250" i="2"/>
  <c r="V250" i="2"/>
  <c r="U250" i="2"/>
  <c r="T250" i="2"/>
  <c r="S250" i="2"/>
  <c r="R250" i="2"/>
  <c r="Q250" i="2"/>
  <c r="P250" i="2"/>
  <c r="O250" i="2"/>
  <c r="N250" i="2"/>
  <c r="M250" i="2"/>
  <c r="L250" i="2"/>
  <c r="W249" i="2"/>
  <c r="V249" i="2"/>
  <c r="U249" i="2"/>
  <c r="T249" i="2"/>
  <c r="S249" i="2"/>
  <c r="R249" i="2"/>
  <c r="Q249" i="2"/>
  <c r="P249" i="2"/>
  <c r="O249" i="2"/>
  <c r="N249" i="2"/>
  <c r="M249" i="2"/>
  <c r="L249" i="2"/>
  <c r="W248" i="2"/>
  <c r="V248" i="2"/>
  <c r="U248" i="2"/>
  <c r="T248" i="2"/>
  <c r="S248" i="2"/>
  <c r="R248" i="2"/>
  <c r="Q248" i="2"/>
  <c r="P248" i="2"/>
  <c r="O248" i="2"/>
  <c r="N248" i="2"/>
  <c r="M248" i="2"/>
  <c r="L248" i="2"/>
  <c r="W247" i="2"/>
  <c r="V247" i="2"/>
  <c r="U247" i="2"/>
  <c r="T247" i="2"/>
  <c r="S247" i="2"/>
  <c r="R247" i="2"/>
  <c r="Q247" i="2"/>
  <c r="P247" i="2"/>
  <c r="O247" i="2"/>
  <c r="N247" i="2"/>
  <c r="M247" i="2"/>
  <c r="L247" i="2"/>
  <c r="W246" i="2"/>
  <c r="V246" i="2"/>
  <c r="U246" i="2"/>
  <c r="T246" i="2"/>
  <c r="S246" i="2"/>
  <c r="R246" i="2"/>
  <c r="Q246" i="2"/>
  <c r="P246" i="2"/>
  <c r="O246" i="2"/>
  <c r="N246" i="2"/>
  <c r="M246" i="2"/>
  <c r="L246" i="2"/>
  <c r="W245" i="2"/>
  <c r="V245" i="2"/>
  <c r="U245" i="2"/>
  <c r="T245" i="2"/>
  <c r="S245" i="2"/>
  <c r="R245" i="2"/>
  <c r="Q245" i="2"/>
  <c r="P245" i="2"/>
  <c r="O245" i="2"/>
  <c r="N245" i="2"/>
  <c r="M245" i="2"/>
  <c r="L245" i="2"/>
  <c r="W244" i="2"/>
  <c r="V244" i="2"/>
  <c r="U244" i="2"/>
  <c r="T244" i="2"/>
  <c r="S244" i="2"/>
  <c r="R244" i="2"/>
  <c r="Q244" i="2"/>
  <c r="P244" i="2"/>
  <c r="O244" i="2"/>
  <c r="N244" i="2"/>
  <c r="M244" i="2"/>
  <c r="L244" i="2"/>
  <c r="W243" i="2"/>
  <c r="V243" i="2"/>
  <c r="U243" i="2"/>
  <c r="T243" i="2"/>
  <c r="S243" i="2"/>
  <c r="R243" i="2"/>
  <c r="Q243" i="2"/>
  <c r="P243" i="2"/>
  <c r="O243" i="2"/>
  <c r="N243" i="2"/>
  <c r="M243" i="2"/>
  <c r="L243" i="2"/>
  <c r="W242" i="2"/>
  <c r="V242" i="2"/>
  <c r="U242" i="2"/>
  <c r="T242" i="2"/>
  <c r="S242" i="2"/>
  <c r="R242" i="2"/>
  <c r="Q242" i="2"/>
  <c r="P242" i="2"/>
  <c r="O242" i="2"/>
  <c r="N242" i="2"/>
  <c r="M242" i="2"/>
  <c r="L242" i="2"/>
  <c r="W241" i="2"/>
  <c r="V241" i="2"/>
  <c r="U241" i="2"/>
  <c r="T241" i="2"/>
  <c r="S241" i="2"/>
  <c r="R241" i="2"/>
  <c r="Q241" i="2"/>
  <c r="P241" i="2"/>
  <c r="O241" i="2"/>
  <c r="N241" i="2"/>
  <c r="M241" i="2"/>
  <c r="L241" i="2"/>
  <c r="W240" i="2"/>
  <c r="V240" i="2"/>
  <c r="U240" i="2"/>
  <c r="T240" i="2"/>
  <c r="S240" i="2"/>
  <c r="R240" i="2"/>
  <c r="Q240" i="2"/>
  <c r="P240" i="2"/>
  <c r="O240" i="2"/>
  <c r="N240" i="2"/>
  <c r="M240" i="2"/>
  <c r="L240" i="2"/>
  <c r="W239" i="2"/>
  <c r="V239" i="2"/>
  <c r="U239" i="2"/>
  <c r="T239" i="2"/>
  <c r="S239" i="2"/>
  <c r="R239" i="2"/>
  <c r="Q239" i="2"/>
  <c r="P239" i="2"/>
  <c r="O239" i="2"/>
  <c r="N239" i="2"/>
  <c r="M239" i="2"/>
  <c r="L239" i="2"/>
  <c r="W238" i="2"/>
  <c r="V238" i="2"/>
  <c r="U238" i="2"/>
  <c r="T238" i="2"/>
  <c r="S238" i="2"/>
  <c r="R238" i="2"/>
  <c r="Q238" i="2"/>
  <c r="P238" i="2"/>
  <c r="O238" i="2"/>
  <c r="N238" i="2"/>
  <c r="M238" i="2"/>
  <c r="L238" i="2"/>
  <c r="W237" i="2"/>
  <c r="V237" i="2"/>
  <c r="U237" i="2"/>
  <c r="T237" i="2"/>
  <c r="S237" i="2"/>
  <c r="R237" i="2"/>
  <c r="Q237" i="2"/>
  <c r="P237" i="2"/>
  <c r="O237" i="2"/>
  <c r="N237" i="2"/>
  <c r="M237" i="2"/>
  <c r="L237" i="2"/>
  <c r="W236" i="2"/>
  <c r="V236" i="2"/>
  <c r="U236" i="2"/>
  <c r="T236" i="2"/>
  <c r="S236" i="2"/>
  <c r="R236" i="2"/>
  <c r="Q236" i="2"/>
  <c r="P236" i="2"/>
  <c r="O236" i="2"/>
  <c r="N236" i="2"/>
  <c r="M236" i="2"/>
  <c r="L236" i="2"/>
  <c r="W235" i="2"/>
  <c r="V235" i="2"/>
  <c r="U235" i="2"/>
  <c r="T235" i="2"/>
  <c r="S235" i="2"/>
  <c r="R235" i="2"/>
  <c r="Q235" i="2"/>
  <c r="P235" i="2"/>
  <c r="O235" i="2"/>
  <c r="N235" i="2"/>
  <c r="M235" i="2"/>
  <c r="L235" i="2"/>
  <c r="W234" i="2"/>
  <c r="V234" i="2"/>
  <c r="U234" i="2"/>
  <c r="T234" i="2"/>
  <c r="S234" i="2"/>
  <c r="R234" i="2"/>
  <c r="Q234" i="2"/>
  <c r="P234" i="2"/>
  <c r="O234" i="2"/>
  <c r="N234" i="2"/>
  <c r="M234" i="2"/>
  <c r="L234" i="2"/>
  <c r="W233" i="2"/>
  <c r="V233" i="2"/>
  <c r="U233" i="2"/>
  <c r="T233" i="2"/>
  <c r="S233" i="2"/>
  <c r="R233" i="2"/>
  <c r="Q233" i="2"/>
  <c r="P233" i="2"/>
  <c r="O233" i="2"/>
  <c r="N233" i="2"/>
  <c r="M233" i="2"/>
  <c r="L233" i="2"/>
  <c r="W232" i="2"/>
  <c r="V232" i="2"/>
  <c r="U232" i="2"/>
  <c r="T232" i="2"/>
  <c r="S232" i="2"/>
  <c r="R232" i="2"/>
  <c r="Q232" i="2"/>
  <c r="P232" i="2"/>
  <c r="O232" i="2"/>
  <c r="N232" i="2"/>
  <c r="M232" i="2"/>
  <c r="L232" i="2"/>
  <c r="W231" i="2"/>
  <c r="V231" i="2"/>
  <c r="U231" i="2"/>
  <c r="T231" i="2"/>
  <c r="S231" i="2"/>
  <c r="R231" i="2"/>
  <c r="Q231" i="2"/>
  <c r="P231" i="2"/>
  <c r="O231" i="2"/>
  <c r="N231" i="2"/>
  <c r="M231" i="2"/>
  <c r="L231" i="2"/>
  <c r="W230" i="2"/>
  <c r="V230" i="2"/>
  <c r="U230" i="2"/>
  <c r="T230" i="2"/>
  <c r="S230" i="2"/>
  <c r="R230" i="2"/>
  <c r="Q230" i="2"/>
  <c r="P230" i="2"/>
  <c r="O230" i="2"/>
  <c r="N230" i="2"/>
  <c r="M230" i="2"/>
  <c r="L230" i="2"/>
  <c r="W229" i="2"/>
  <c r="V229" i="2"/>
  <c r="U229" i="2"/>
  <c r="T229" i="2"/>
  <c r="S229" i="2"/>
  <c r="R229" i="2"/>
  <c r="Q229" i="2"/>
  <c r="P229" i="2"/>
  <c r="O229" i="2"/>
  <c r="N229" i="2"/>
  <c r="M229" i="2"/>
  <c r="L229" i="2"/>
  <c r="W228" i="2"/>
  <c r="V228" i="2"/>
  <c r="U228" i="2"/>
  <c r="T228" i="2"/>
  <c r="S228" i="2"/>
  <c r="R228" i="2"/>
  <c r="Q228" i="2"/>
  <c r="P228" i="2"/>
  <c r="O228" i="2"/>
  <c r="N228" i="2"/>
  <c r="M228" i="2"/>
  <c r="L228" i="2"/>
  <c r="W227" i="2"/>
  <c r="V227" i="2"/>
  <c r="U227" i="2"/>
  <c r="T227" i="2"/>
  <c r="S227" i="2"/>
  <c r="R227" i="2"/>
  <c r="Q227" i="2"/>
  <c r="P227" i="2"/>
  <c r="O227" i="2"/>
  <c r="N227" i="2"/>
  <c r="M227" i="2"/>
  <c r="L227" i="2"/>
  <c r="W226" i="2"/>
  <c r="V226" i="2"/>
  <c r="U226" i="2"/>
  <c r="T226" i="2"/>
  <c r="S226" i="2"/>
  <c r="R226" i="2"/>
  <c r="Q226" i="2"/>
  <c r="P226" i="2"/>
  <c r="O226" i="2"/>
  <c r="N226" i="2"/>
  <c r="M226" i="2"/>
  <c r="L226" i="2"/>
  <c r="W225" i="2"/>
  <c r="V225" i="2"/>
  <c r="U225" i="2"/>
  <c r="T225" i="2"/>
  <c r="S225" i="2"/>
  <c r="R225" i="2"/>
  <c r="Q225" i="2"/>
  <c r="P225" i="2"/>
  <c r="O225" i="2"/>
  <c r="N225" i="2"/>
  <c r="M225" i="2"/>
  <c r="L225" i="2"/>
  <c r="W224" i="2"/>
  <c r="V224" i="2"/>
  <c r="U224" i="2"/>
  <c r="T224" i="2"/>
  <c r="S224" i="2"/>
  <c r="R224" i="2"/>
  <c r="Q224" i="2"/>
  <c r="P224" i="2"/>
  <c r="O224" i="2"/>
  <c r="N224" i="2"/>
  <c r="M224" i="2"/>
  <c r="L224" i="2"/>
  <c r="W223" i="2"/>
  <c r="V223" i="2"/>
  <c r="U223" i="2"/>
  <c r="T223" i="2"/>
  <c r="S223" i="2"/>
  <c r="R223" i="2"/>
  <c r="Q223" i="2"/>
  <c r="P223" i="2"/>
  <c r="O223" i="2"/>
  <c r="N223" i="2"/>
  <c r="M223" i="2"/>
  <c r="L223" i="2"/>
  <c r="W222" i="2"/>
  <c r="V222" i="2"/>
  <c r="U222" i="2"/>
  <c r="T222" i="2"/>
  <c r="S222" i="2"/>
  <c r="R222" i="2"/>
  <c r="Q222" i="2"/>
  <c r="P222" i="2"/>
  <c r="O222" i="2"/>
  <c r="N222" i="2"/>
  <c r="M222" i="2"/>
  <c r="L222" i="2"/>
  <c r="W221" i="2"/>
  <c r="V221" i="2"/>
  <c r="U221" i="2"/>
  <c r="T221" i="2"/>
  <c r="S221" i="2"/>
  <c r="R221" i="2"/>
  <c r="Q221" i="2"/>
  <c r="P221" i="2"/>
  <c r="O221" i="2"/>
  <c r="N221" i="2"/>
  <c r="M221" i="2"/>
  <c r="L221" i="2"/>
  <c r="W220" i="2"/>
  <c r="V220" i="2"/>
  <c r="U220" i="2"/>
  <c r="T220" i="2"/>
  <c r="S220" i="2"/>
  <c r="R220" i="2"/>
  <c r="Q220" i="2"/>
  <c r="P220" i="2"/>
  <c r="O220" i="2"/>
  <c r="N220" i="2"/>
  <c r="M220" i="2"/>
  <c r="L220" i="2"/>
  <c r="W219" i="2"/>
  <c r="V219" i="2"/>
  <c r="U219" i="2"/>
  <c r="T219" i="2"/>
  <c r="S219" i="2"/>
  <c r="R219" i="2"/>
  <c r="Q219" i="2"/>
  <c r="P219" i="2"/>
  <c r="O219" i="2"/>
  <c r="N219" i="2"/>
  <c r="M219" i="2"/>
  <c r="L219" i="2"/>
  <c r="W218" i="2"/>
  <c r="V218" i="2"/>
  <c r="U218" i="2"/>
  <c r="T218" i="2"/>
  <c r="S218" i="2"/>
  <c r="R218" i="2"/>
  <c r="Q218" i="2"/>
  <c r="P218" i="2"/>
  <c r="O218" i="2"/>
  <c r="N218" i="2"/>
  <c r="M218" i="2"/>
  <c r="L218" i="2"/>
  <c r="W217" i="2"/>
  <c r="V217" i="2"/>
  <c r="U217" i="2"/>
  <c r="T217" i="2"/>
  <c r="S217" i="2"/>
  <c r="R217" i="2"/>
  <c r="Q217" i="2"/>
  <c r="P217" i="2"/>
  <c r="O217" i="2"/>
  <c r="N217" i="2"/>
  <c r="M217" i="2"/>
  <c r="L217" i="2"/>
  <c r="W216" i="2"/>
  <c r="V216" i="2"/>
  <c r="U216" i="2"/>
  <c r="T216" i="2"/>
  <c r="S216" i="2"/>
  <c r="R216" i="2"/>
  <c r="Q216" i="2"/>
  <c r="P216" i="2"/>
  <c r="O216" i="2"/>
  <c r="N216" i="2"/>
  <c r="M216" i="2"/>
  <c r="L216" i="2"/>
  <c r="W215" i="2"/>
  <c r="V215" i="2"/>
  <c r="U215" i="2"/>
  <c r="T215" i="2"/>
  <c r="S215" i="2"/>
  <c r="R215" i="2"/>
  <c r="Q215" i="2"/>
  <c r="P215" i="2"/>
  <c r="O215" i="2"/>
  <c r="N215" i="2"/>
  <c r="M215" i="2"/>
  <c r="L215" i="2"/>
  <c r="W214" i="2"/>
  <c r="V214" i="2"/>
  <c r="U214" i="2"/>
  <c r="T214" i="2"/>
  <c r="S214" i="2"/>
  <c r="R214" i="2"/>
  <c r="Q214" i="2"/>
  <c r="P214" i="2"/>
  <c r="O214" i="2"/>
  <c r="N214" i="2"/>
  <c r="M214" i="2"/>
  <c r="L214" i="2"/>
  <c r="W213" i="2"/>
  <c r="V213" i="2"/>
  <c r="U213" i="2"/>
  <c r="T213" i="2"/>
  <c r="S213" i="2"/>
  <c r="R213" i="2"/>
  <c r="Q213" i="2"/>
  <c r="P213" i="2"/>
  <c r="O213" i="2"/>
  <c r="N213" i="2"/>
  <c r="M213" i="2"/>
  <c r="L213" i="2"/>
  <c r="W212" i="2"/>
  <c r="V212" i="2"/>
  <c r="U212" i="2"/>
  <c r="T212" i="2"/>
  <c r="S212" i="2"/>
  <c r="R212" i="2"/>
  <c r="Q212" i="2"/>
  <c r="P212" i="2"/>
  <c r="O212" i="2"/>
  <c r="N212" i="2"/>
  <c r="M212" i="2"/>
  <c r="L212" i="2"/>
  <c r="W211" i="2"/>
  <c r="V211" i="2"/>
  <c r="U211" i="2"/>
  <c r="T211" i="2"/>
  <c r="S211" i="2"/>
  <c r="R211" i="2"/>
  <c r="Q211" i="2"/>
  <c r="P211" i="2"/>
  <c r="O211" i="2"/>
  <c r="N211" i="2"/>
  <c r="M211" i="2"/>
  <c r="L211" i="2"/>
  <c r="W210" i="2"/>
  <c r="V210" i="2"/>
  <c r="U210" i="2"/>
  <c r="T210" i="2"/>
  <c r="S210" i="2"/>
  <c r="R210" i="2"/>
  <c r="Q210" i="2"/>
  <c r="P210" i="2"/>
  <c r="O210" i="2"/>
  <c r="N210" i="2"/>
  <c r="M210" i="2"/>
  <c r="L210" i="2"/>
  <c r="W209" i="2"/>
  <c r="V209" i="2"/>
  <c r="U209" i="2"/>
  <c r="T209" i="2"/>
  <c r="S209" i="2"/>
  <c r="R209" i="2"/>
  <c r="Q209" i="2"/>
  <c r="P209" i="2"/>
  <c r="O209" i="2"/>
  <c r="N209" i="2"/>
  <c r="M209" i="2"/>
  <c r="L209" i="2"/>
  <c r="W208" i="2"/>
  <c r="V208" i="2"/>
  <c r="U208" i="2"/>
  <c r="T208" i="2"/>
  <c r="S208" i="2"/>
  <c r="R208" i="2"/>
  <c r="Q208" i="2"/>
  <c r="P208" i="2"/>
  <c r="O208" i="2"/>
  <c r="N208" i="2"/>
  <c r="M208" i="2"/>
  <c r="L208" i="2"/>
  <c r="W207" i="2"/>
  <c r="V207" i="2"/>
  <c r="U207" i="2"/>
  <c r="T207" i="2"/>
  <c r="S207" i="2"/>
  <c r="R207" i="2"/>
  <c r="Q207" i="2"/>
  <c r="P207" i="2"/>
  <c r="O207" i="2"/>
  <c r="N207" i="2"/>
  <c r="M207" i="2"/>
  <c r="L207" i="2"/>
  <c r="W206" i="2"/>
  <c r="V206" i="2"/>
  <c r="U206" i="2"/>
  <c r="T206" i="2"/>
  <c r="S206" i="2"/>
  <c r="R206" i="2"/>
  <c r="Q206" i="2"/>
  <c r="P206" i="2"/>
  <c r="O206" i="2"/>
  <c r="N206" i="2"/>
  <c r="M206" i="2"/>
  <c r="L206" i="2"/>
  <c r="W205" i="2"/>
  <c r="V205" i="2"/>
  <c r="U205" i="2"/>
  <c r="T205" i="2"/>
  <c r="S205" i="2"/>
  <c r="R205" i="2"/>
  <c r="Q205" i="2"/>
  <c r="P205" i="2"/>
  <c r="O205" i="2"/>
  <c r="N205" i="2"/>
  <c r="M205" i="2"/>
  <c r="L205" i="2"/>
  <c r="W204" i="2"/>
  <c r="V204" i="2"/>
  <c r="U204" i="2"/>
  <c r="T204" i="2"/>
  <c r="S204" i="2"/>
  <c r="R204" i="2"/>
  <c r="Q204" i="2"/>
  <c r="P204" i="2"/>
  <c r="O204" i="2"/>
  <c r="N204" i="2"/>
  <c r="M204" i="2"/>
  <c r="L204" i="2"/>
  <c r="W203" i="2"/>
  <c r="V203" i="2"/>
  <c r="U203" i="2"/>
  <c r="T203" i="2"/>
  <c r="S203" i="2"/>
  <c r="R203" i="2"/>
  <c r="Q203" i="2"/>
  <c r="P203" i="2"/>
  <c r="O203" i="2"/>
  <c r="N203" i="2"/>
  <c r="M203" i="2"/>
  <c r="L203" i="2"/>
  <c r="W202" i="2"/>
  <c r="V202" i="2"/>
  <c r="U202" i="2"/>
  <c r="T202" i="2"/>
  <c r="S202" i="2"/>
  <c r="R202" i="2"/>
  <c r="Q202" i="2"/>
  <c r="P202" i="2"/>
  <c r="O202" i="2"/>
  <c r="N202" i="2"/>
  <c r="M202" i="2"/>
  <c r="L202" i="2"/>
  <c r="W201" i="2"/>
  <c r="V201" i="2"/>
  <c r="U201" i="2"/>
  <c r="T201" i="2"/>
  <c r="S201" i="2"/>
  <c r="R201" i="2"/>
  <c r="Q201" i="2"/>
  <c r="P201" i="2"/>
  <c r="O201" i="2"/>
  <c r="N201" i="2"/>
  <c r="M201" i="2"/>
  <c r="L201" i="2"/>
  <c r="W200" i="2"/>
  <c r="V200" i="2"/>
  <c r="U200" i="2"/>
  <c r="T200" i="2"/>
  <c r="S200" i="2"/>
  <c r="R200" i="2"/>
  <c r="Q200" i="2"/>
  <c r="P200" i="2"/>
  <c r="O200" i="2"/>
  <c r="N200" i="2"/>
  <c r="M200" i="2"/>
  <c r="L200" i="2"/>
  <c r="W199" i="2"/>
  <c r="V199" i="2"/>
  <c r="U199" i="2"/>
  <c r="T199" i="2"/>
  <c r="S199" i="2"/>
  <c r="R199" i="2"/>
  <c r="Q199" i="2"/>
  <c r="P199" i="2"/>
  <c r="O199" i="2"/>
  <c r="N199" i="2"/>
  <c r="M199" i="2"/>
  <c r="L199" i="2"/>
  <c r="W198" i="2"/>
  <c r="V198" i="2"/>
  <c r="U198" i="2"/>
  <c r="T198" i="2"/>
  <c r="S198" i="2"/>
  <c r="R198" i="2"/>
  <c r="Q198" i="2"/>
  <c r="P198" i="2"/>
  <c r="O198" i="2"/>
  <c r="N198" i="2"/>
  <c r="M198" i="2"/>
  <c r="L198" i="2"/>
  <c r="W197" i="2"/>
  <c r="V197" i="2"/>
  <c r="U197" i="2"/>
  <c r="T197" i="2"/>
  <c r="S197" i="2"/>
  <c r="R197" i="2"/>
  <c r="Q197" i="2"/>
  <c r="P197" i="2"/>
  <c r="O197" i="2"/>
  <c r="N197" i="2"/>
  <c r="M197" i="2"/>
  <c r="L197" i="2"/>
  <c r="W196" i="2"/>
  <c r="V196" i="2"/>
  <c r="U196" i="2"/>
  <c r="T196" i="2"/>
  <c r="S196" i="2"/>
  <c r="R196" i="2"/>
  <c r="Q196" i="2"/>
  <c r="P196" i="2"/>
  <c r="O196" i="2"/>
  <c r="N196" i="2"/>
  <c r="M196" i="2"/>
  <c r="L196" i="2"/>
  <c r="W195" i="2"/>
  <c r="V195" i="2"/>
  <c r="U195" i="2"/>
  <c r="T195" i="2"/>
  <c r="S195" i="2"/>
  <c r="R195" i="2"/>
  <c r="Q195" i="2"/>
  <c r="P195" i="2"/>
  <c r="O195" i="2"/>
  <c r="N195" i="2"/>
  <c r="M195" i="2"/>
  <c r="L195" i="2"/>
  <c r="W194" i="2"/>
  <c r="V194" i="2"/>
  <c r="U194" i="2"/>
  <c r="T194" i="2"/>
  <c r="S194" i="2"/>
  <c r="R194" i="2"/>
  <c r="Q194" i="2"/>
  <c r="P194" i="2"/>
  <c r="O194" i="2"/>
  <c r="N194" i="2"/>
  <c r="M194" i="2"/>
  <c r="L194" i="2"/>
  <c r="W193" i="2"/>
  <c r="V193" i="2"/>
  <c r="U193" i="2"/>
  <c r="T193" i="2"/>
  <c r="S193" i="2"/>
  <c r="R193" i="2"/>
  <c r="Q193" i="2"/>
  <c r="P193" i="2"/>
  <c r="O193" i="2"/>
  <c r="N193" i="2"/>
  <c r="M193" i="2"/>
  <c r="L193" i="2"/>
  <c r="W192" i="2"/>
  <c r="V192" i="2"/>
  <c r="U192" i="2"/>
  <c r="T192" i="2"/>
  <c r="S192" i="2"/>
  <c r="R192" i="2"/>
  <c r="Q192" i="2"/>
  <c r="P192" i="2"/>
  <c r="O192" i="2"/>
  <c r="N192" i="2"/>
  <c r="M192" i="2"/>
  <c r="L192" i="2"/>
  <c r="W191" i="2"/>
  <c r="V191" i="2"/>
  <c r="U191" i="2"/>
  <c r="T191" i="2"/>
  <c r="S191" i="2"/>
  <c r="R191" i="2"/>
  <c r="Q191" i="2"/>
  <c r="P191" i="2"/>
  <c r="O191" i="2"/>
  <c r="N191" i="2"/>
  <c r="M191" i="2"/>
  <c r="L191" i="2"/>
  <c r="W190" i="2"/>
  <c r="V190" i="2"/>
  <c r="U190" i="2"/>
  <c r="T190" i="2"/>
  <c r="S190" i="2"/>
  <c r="R190" i="2"/>
  <c r="Q190" i="2"/>
  <c r="P190" i="2"/>
  <c r="O190" i="2"/>
  <c r="N190" i="2"/>
  <c r="M190" i="2"/>
  <c r="L190" i="2"/>
  <c r="W189" i="2"/>
  <c r="V189" i="2"/>
  <c r="U189" i="2"/>
  <c r="T189" i="2"/>
  <c r="S189" i="2"/>
  <c r="R189" i="2"/>
  <c r="Q189" i="2"/>
  <c r="P189" i="2"/>
  <c r="O189" i="2"/>
  <c r="N189" i="2"/>
  <c r="M189" i="2"/>
  <c r="L189" i="2"/>
  <c r="W188" i="2"/>
  <c r="V188" i="2"/>
  <c r="U188" i="2"/>
  <c r="T188" i="2"/>
  <c r="S188" i="2"/>
  <c r="R188" i="2"/>
  <c r="Q188" i="2"/>
  <c r="P188" i="2"/>
  <c r="O188" i="2"/>
  <c r="N188" i="2"/>
  <c r="M188" i="2"/>
  <c r="L188" i="2"/>
  <c r="W187" i="2"/>
  <c r="V187" i="2"/>
  <c r="U187" i="2"/>
  <c r="T187" i="2"/>
  <c r="S187" i="2"/>
  <c r="R187" i="2"/>
  <c r="Q187" i="2"/>
  <c r="P187" i="2"/>
  <c r="O187" i="2"/>
  <c r="N187" i="2"/>
  <c r="M187" i="2"/>
  <c r="L187" i="2"/>
  <c r="W186" i="2"/>
  <c r="V186" i="2"/>
  <c r="U186" i="2"/>
  <c r="T186" i="2"/>
  <c r="S186" i="2"/>
  <c r="R186" i="2"/>
  <c r="Q186" i="2"/>
  <c r="P186" i="2"/>
  <c r="O186" i="2"/>
  <c r="N186" i="2"/>
  <c r="M186" i="2"/>
  <c r="L186" i="2"/>
  <c r="W185" i="2"/>
  <c r="V185" i="2"/>
  <c r="U185" i="2"/>
  <c r="T185" i="2"/>
  <c r="S185" i="2"/>
  <c r="R185" i="2"/>
  <c r="Q185" i="2"/>
  <c r="P185" i="2"/>
  <c r="O185" i="2"/>
  <c r="N185" i="2"/>
  <c r="M185" i="2"/>
  <c r="L185" i="2"/>
  <c r="W184" i="2"/>
  <c r="V184" i="2"/>
  <c r="U184" i="2"/>
  <c r="T184" i="2"/>
  <c r="S184" i="2"/>
  <c r="R184" i="2"/>
  <c r="Q184" i="2"/>
  <c r="P184" i="2"/>
  <c r="O184" i="2"/>
  <c r="N184" i="2"/>
  <c r="M184" i="2"/>
  <c r="L184" i="2"/>
  <c r="W183" i="2"/>
  <c r="V183" i="2"/>
  <c r="U183" i="2"/>
  <c r="T183" i="2"/>
  <c r="S183" i="2"/>
  <c r="R183" i="2"/>
  <c r="Q183" i="2"/>
  <c r="P183" i="2"/>
  <c r="O183" i="2"/>
  <c r="N183" i="2"/>
  <c r="M183" i="2"/>
  <c r="L183" i="2"/>
  <c r="W182" i="2"/>
  <c r="V182" i="2"/>
  <c r="U182" i="2"/>
  <c r="T182" i="2"/>
  <c r="S182" i="2"/>
  <c r="R182" i="2"/>
  <c r="Q182" i="2"/>
  <c r="P182" i="2"/>
  <c r="O182" i="2"/>
  <c r="N182" i="2"/>
  <c r="M182" i="2"/>
  <c r="L182" i="2"/>
  <c r="W181" i="2"/>
  <c r="V181" i="2"/>
  <c r="U181" i="2"/>
  <c r="T181" i="2"/>
  <c r="S181" i="2"/>
  <c r="R181" i="2"/>
  <c r="Q181" i="2"/>
  <c r="P181" i="2"/>
  <c r="O181" i="2"/>
  <c r="N181" i="2"/>
  <c r="M181" i="2"/>
  <c r="L181" i="2"/>
  <c r="W180" i="2"/>
  <c r="V180" i="2"/>
  <c r="U180" i="2"/>
  <c r="T180" i="2"/>
  <c r="S180" i="2"/>
  <c r="R180" i="2"/>
  <c r="Q180" i="2"/>
  <c r="P180" i="2"/>
  <c r="O180" i="2"/>
  <c r="N180" i="2"/>
  <c r="M180" i="2"/>
  <c r="L180" i="2"/>
  <c r="W179" i="2"/>
  <c r="V179" i="2"/>
  <c r="U179" i="2"/>
  <c r="T179" i="2"/>
  <c r="S179" i="2"/>
  <c r="R179" i="2"/>
  <c r="Q179" i="2"/>
  <c r="P179" i="2"/>
  <c r="O179" i="2"/>
  <c r="N179" i="2"/>
  <c r="M179" i="2"/>
  <c r="L179" i="2"/>
  <c r="W178" i="2"/>
  <c r="V178" i="2"/>
  <c r="U178" i="2"/>
  <c r="T178" i="2"/>
  <c r="S178" i="2"/>
  <c r="R178" i="2"/>
  <c r="Q178" i="2"/>
  <c r="P178" i="2"/>
  <c r="O178" i="2"/>
  <c r="N178" i="2"/>
  <c r="M178" i="2"/>
  <c r="L178" i="2"/>
  <c r="W177" i="2"/>
  <c r="V177" i="2"/>
  <c r="U177" i="2"/>
  <c r="T177" i="2"/>
  <c r="S177" i="2"/>
  <c r="R177" i="2"/>
  <c r="Q177" i="2"/>
  <c r="P177" i="2"/>
  <c r="O177" i="2"/>
  <c r="N177" i="2"/>
  <c r="M177" i="2"/>
  <c r="L177" i="2"/>
  <c r="W176" i="2"/>
  <c r="V176" i="2"/>
  <c r="U176" i="2"/>
  <c r="T176" i="2"/>
  <c r="S176" i="2"/>
  <c r="R176" i="2"/>
  <c r="Q176" i="2"/>
  <c r="P176" i="2"/>
  <c r="O176" i="2"/>
  <c r="N176" i="2"/>
  <c r="M176" i="2"/>
  <c r="L176" i="2"/>
  <c r="W175" i="2"/>
  <c r="V175" i="2"/>
  <c r="U175" i="2"/>
  <c r="T175" i="2"/>
  <c r="S175" i="2"/>
  <c r="R175" i="2"/>
  <c r="Q175" i="2"/>
  <c r="P175" i="2"/>
  <c r="O175" i="2"/>
  <c r="N175" i="2"/>
  <c r="M175" i="2"/>
  <c r="L175" i="2"/>
  <c r="W174" i="2"/>
  <c r="V174" i="2"/>
  <c r="U174" i="2"/>
  <c r="T174" i="2"/>
  <c r="S174" i="2"/>
  <c r="R174" i="2"/>
  <c r="Q174" i="2"/>
  <c r="P174" i="2"/>
  <c r="O174" i="2"/>
  <c r="N174" i="2"/>
  <c r="M174" i="2"/>
  <c r="L174" i="2"/>
  <c r="W173" i="2"/>
  <c r="V173" i="2"/>
  <c r="U173" i="2"/>
  <c r="T173" i="2"/>
  <c r="S173" i="2"/>
  <c r="R173" i="2"/>
  <c r="Q173" i="2"/>
  <c r="P173" i="2"/>
  <c r="O173" i="2"/>
  <c r="N173" i="2"/>
  <c r="M173" i="2"/>
  <c r="L173" i="2"/>
  <c r="W172" i="2"/>
  <c r="V172" i="2"/>
  <c r="U172" i="2"/>
  <c r="T172" i="2"/>
  <c r="S172" i="2"/>
  <c r="R172" i="2"/>
  <c r="Q172" i="2"/>
  <c r="P172" i="2"/>
  <c r="O172" i="2"/>
  <c r="N172" i="2"/>
  <c r="M172" i="2"/>
  <c r="L172" i="2"/>
  <c r="W171" i="2"/>
  <c r="V171" i="2"/>
  <c r="U171" i="2"/>
  <c r="T171" i="2"/>
  <c r="S171" i="2"/>
  <c r="R171" i="2"/>
  <c r="Q171" i="2"/>
  <c r="P171" i="2"/>
  <c r="O171" i="2"/>
  <c r="N171" i="2"/>
  <c r="M171" i="2"/>
  <c r="L171" i="2"/>
  <c r="W170" i="2"/>
  <c r="V170" i="2"/>
  <c r="U170" i="2"/>
  <c r="T170" i="2"/>
  <c r="S170" i="2"/>
  <c r="R170" i="2"/>
  <c r="Q170" i="2"/>
  <c r="P170" i="2"/>
  <c r="O170" i="2"/>
  <c r="N170" i="2"/>
  <c r="M170" i="2"/>
  <c r="L170" i="2"/>
  <c r="W169" i="2"/>
  <c r="V169" i="2"/>
  <c r="U169" i="2"/>
  <c r="T169" i="2"/>
  <c r="S169" i="2"/>
  <c r="R169" i="2"/>
  <c r="Q169" i="2"/>
  <c r="P169" i="2"/>
  <c r="O169" i="2"/>
  <c r="N169" i="2"/>
  <c r="M169" i="2"/>
  <c r="L169" i="2"/>
  <c r="W168" i="2"/>
  <c r="V168" i="2"/>
  <c r="U168" i="2"/>
  <c r="T168" i="2"/>
  <c r="S168" i="2"/>
  <c r="R168" i="2"/>
  <c r="Q168" i="2"/>
  <c r="P168" i="2"/>
  <c r="O168" i="2"/>
  <c r="N168" i="2"/>
  <c r="M168" i="2"/>
  <c r="L168" i="2"/>
  <c r="W167" i="2"/>
  <c r="V167" i="2"/>
  <c r="U167" i="2"/>
  <c r="T167" i="2"/>
  <c r="S167" i="2"/>
  <c r="R167" i="2"/>
  <c r="Q167" i="2"/>
  <c r="P167" i="2"/>
  <c r="O167" i="2"/>
  <c r="N167" i="2"/>
  <c r="M167" i="2"/>
  <c r="L167" i="2"/>
  <c r="W166" i="2"/>
  <c r="V166" i="2"/>
  <c r="U166" i="2"/>
  <c r="T166" i="2"/>
  <c r="S166" i="2"/>
  <c r="R166" i="2"/>
  <c r="Q166" i="2"/>
  <c r="P166" i="2"/>
  <c r="O166" i="2"/>
  <c r="N166" i="2"/>
  <c r="M166" i="2"/>
  <c r="L166" i="2"/>
  <c r="W165" i="2"/>
  <c r="V165" i="2"/>
  <c r="U165" i="2"/>
  <c r="T165" i="2"/>
  <c r="S165" i="2"/>
  <c r="R165" i="2"/>
  <c r="Q165" i="2"/>
  <c r="P165" i="2"/>
  <c r="O165" i="2"/>
  <c r="N165" i="2"/>
  <c r="M165" i="2"/>
  <c r="L165" i="2"/>
  <c r="W164" i="2"/>
  <c r="V164" i="2"/>
  <c r="U164" i="2"/>
  <c r="T164" i="2"/>
  <c r="S164" i="2"/>
  <c r="R164" i="2"/>
  <c r="Q164" i="2"/>
  <c r="P164" i="2"/>
  <c r="O164" i="2"/>
  <c r="N164" i="2"/>
  <c r="M164" i="2"/>
  <c r="L164" i="2"/>
  <c r="W163" i="2"/>
  <c r="V163" i="2"/>
  <c r="U163" i="2"/>
  <c r="T163" i="2"/>
  <c r="S163" i="2"/>
  <c r="R163" i="2"/>
  <c r="Q163" i="2"/>
  <c r="P163" i="2"/>
  <c r="O163" i="2"/>
  <c r="N163" i="2"/>
  <c r="M163" i="2"/>
  <c r="L163" i="2"/>
  <c r="W162" i="2"/>
  <c r="V162" i="2"/>
  <c r="U162" i="2"/>
  <c r="T162" i="2"/>
  <c r="S162" i="2"/>
  <c r="R162" i="2"/>
  <c r="Q162" i="2"/>
  <c r="P162" i="2"/>
  <c r="O162" i="2"/>
  <c r="N162" i="2"/>
  <c r="M162" i="2"/>
  <c r="L162" i="2"/>
  <c r="W161" i="2"/>
  <c r="V161" i="2"/>
  <c r="U161" i="2"/>
  <c r="T161" i="2"/>
  <c r="S161" i="2"/>
  <c r="R161" i="2"/>
  <c r="Q161" i="2"/>
  <c r="P161" i="2"/>
  <c r="O161" i="2"/>
  <c r="N161" i="2"/>
  <c r="M161" i="2"/>
  <c r="L161" i="2"/>
  <c r="W160" i="2"/>
  <c r="V160" i="2"/>
  <c r="U160" i="2"/>
  <c r="T160" i="2"/>
  <c r="S160" i="2"/>
  <c r="R160" i="2"/>
  <c r="Q160" i="2"/>
  <c r="P160" i="2"/>
  <c r="O160" i="2"/>
  <c r="N160" i="2"/>
  <c r="M160" i="2"/>
  <c r="L160" i="2"/>
  <c r="W159" i="2"/>
  <c r="V159" i="2"/>
  <c r="U159" i="2"/>
  <c r="T159" i="2"/>
  <c r="S159" i="2"/>
  <c r="R159" i="2"/>
  <c r="Q159" i="2"/>
  <c r="P159" i="2"/>
  <c r="O159" i="2"/>
  <c r="N159" i="2"/>
  <c r="M159" i="2"/>
  <c r="L159" i="2"/>
  <c r="W158" i="2"/>
  <c r="V158" i="2"/>
  <c r="U158" i="2"/>
  <c r="T158" i="2"/>
  <c r="S158" i="2"/>
  <c r="R158" i="2"/>
  <c r="Q158" i="2"/>
  <c r="P158" i="2"/>
  <c r="O158" i="2"/>
  <c r="N158" i="2"/>
  <c r="M158" i="2"/>
  <c r="L158" i="2"/>
  <c r="W157" i="2"/>
  <c r="V157" i="2"/>
  <c r="U157" i="2"/>
  <c r="T157" i="2"/>
  <c r="S157" i="2"/>
  <c r="R157" i="2"/>
  <c r="Q157" i="2"/>
  <c r="P157" i="2"/>
  <c r="O157" i="2"/>
  <c r="N157" i="2"/>
  <c r="M157" i="2"/>
  <c r="L157" i="2"/>
  <c r="W156" i="2"/>
  <c r="V156" i="2"/>
  <c r="U156" i="2"/>
  <c r="T156" i="2"/>
  <c r="S156" i="2"/>
  <c r="R156" i="2"/>
  <c r="Q156" i="2"/>
  <c r="P156" i="2"/>
  <c r="O156" i="2"/>
  <c r="N156" i="2"/>
  <c r="M156" i="2"/>
  <c r="L156" i="2"/>
  <c r="W155" i="2"/>
  <c r="V155" i="2"/>
  <c r="U155" i="2"/>
  <c r="T155" i="2"/>
  <c r="S155" i="2"/>
  <c r="R155" i="2"/>
  <c r="Q155" i="2"/>
  <c r="P155" i="2"/>
  <c r="O155" i="2"/>
  <c r="N155" i="2"/>
  <c r="M155" i="2"/>
  <c r="L155" i="2"/>
  <c r="W154" i="2"/>
  <c r="V154" i="2"/>
  <c r="U154" i="2"/>
  <c r="T154" i="2"/>
  <c r="S154" i="2"/>
  <c r="R154" i="2"/>
  <c r="Q154" i="2"/>
  <c r="P154" i="2"/>
  <c r="O154" i="2"/>
  <c r="N154" i="2"/>
  <c r="M154" i="2"/>
  <c r="L154" i="2"/>
  <c r="W153" i="2"/>
  <c r="V153" i="2"/>
  <c r="U153" i="2"/>
  <c r="T153" i="2"/>
  <c r="S153" i="2"/>
  <c r="R153" i="2"/>
  <c r="Q153" i="2"/>
  <c r="P153" i="2"/>
  <c r="O153" i="2"/>
  <c r="N153" i="2"/>
  <c r="M153" i="2"/>
  <c r="L153" i="2"/>
  <c r="W152" i="2"/>
  <c r="V152" i="2"/>
  <c r="U152" i="2"/>
  <c r="T152" i="2"/>
  <c r="S152" i="2"/>
  <c r="R152" i="2"/>
  <c r="Q152" i="2"/>
  <c r="P152" i="2"/>
  <c r="O152" i="2"/>
  <c r="N152" i="2"/>
  <c r="M152" i="2"/>
  <c r="L152" i="2"/>
  <c r="W151" i="2"/>
  <c r="V151" i="2"/>
  <c r="U151" i="2"/>
  <c r="T151" i="2"/>
  <c r="S151" i="2"/>
  <c r="R151" i="2"/>
  <c r="Q151" i="2"/>
  <c r="P151" i="2"/>
  <c r="O151" i="2"/>
  <c r="N151" i="2"/>
  <c r="M151" i="2"/>
  <c r="L151" i="2"/>
  <c r="W150" i="2"/>
  <c r="V150" i="2"/>
  <c r="U150" i="2"/>
  <c r="T150" i="2"/>
  <c r="S150" i="2"/>
  <c r="R150" i="2"/>
  <c r="Q150" i="2"/>
  <c r="P150" i="2"/>
  <c r="O150" i="2"/>
  <c r="N150" i="2"/>
  <c r="M150" i="2"/>
  <c r="L150" i="2"/>
  <c r="W149" i="2"/>
  <c r="V149" i="2"/>
  <c r="U149" i="2"/>
  <c r="T149" i="2"/>
  <c r="S149" i="2"/>
  <c r="R149" i="2"/>
  <c r="Q149" i="2"/>
  <c r="P149" i="2"/>
  <c r="O149" i="2"/>
  <c r="N149" i="2"/>
  <c r="M149" i="2"/>
  <c r="L149" i="2"/>
  <c r="W148" i="2"/>
  <c r="V148" i="2"/>
  <c r="U148" i="2"/>
  <c r="T148" i="2"/>
  <c r="S148" i="2"/>
  <c r="R148" i="2"/>
  <c r="Q148" i="2"/>
  <c r="P148" i="2"/>
  <c r="O148" i="2"/>
  <c r="N148" i="2"/>
  <c r="M148" i="2"/>
  <c r="L148" i="2"/>
  <c r="W147" i="2"/>
  <c r="V147" i="2"/>
  <c r="U147" i="2"/>
  <c r="T147" i="2"/>
  <c r="S147" i="2"/>
  <c r="R147" i="2"/>
  <c r="Q147" i="2"/>
  <c r="P147" i="2"/>
  <c r="O147" i="2"/>
  <c r="N147" i="2"/>
  <c r="M147" i="2"/>
  <c r="L147" i="2"/>
  <c r="W146" i="2"/>
  <c r="V146" i="2"/>
  <c r="U146" i="2"/>
  <c r="T146" i="2"/>
  <c r="S146" i="2"/>
  <c r="R146" i="2"/>
  <c r="Q146" i="2"/>
  <c r="P146" i="2"/>
  <c r="O146" i="2"/>
  <c r="N146" i="2"/>
  <c r="M146" i="2"/>
  <c r="L146" i="2"/>
  <c r="W145" i="2"/>
  <c r="V145" i="2"/>
  <c r="U145" i="2"/>
  <c r="T145" i="2"/>
  <c r="S145" i="2"/>
  <c r="R145" i="2"/>
  <c r="Q145" i="2"/>
  <c r="P145" i="2"/>
  <c r="O145" i="2"/>
  <c r="N145" i="2"/>
  <c r="M145" i="2"/>
  <c r="L145" i="2"/>
  <c r="W144" i="2"/>
  <c r="V144" i="2"/>
  <c r="U144" i="2"/>
  <c r="T144" i="2"/>
  <c r="S144" i="2"/>
  <c r="R144" i="2"/>
  <c r="Q144" i="2"/>
  <c r="P144" i="2"/>
  <c r="O144" i="2"/>
  <c r="N144" i="2"/>
  <c r="M144" i="2"/>
  <c r="L144" i="2"/>
  <c r="W143" i="2"/>
  <c r="V143" i="2"/>
  <c r="U143" i="2"/>
  <c r="T143" i="2"/>
  <c r="S143" i="2"/>
  <c r="R143" i="2"/>
  <c r="Q143" i="2"/>
  <c r="P143" i="2"/>
  <c r="O143" i="2"/>
  <c r="N143" i="2"/>
  <c r="M143" i="2"/>
  <c r="L143" i="2"/>
  <c r="W142" i="2"/>
  <c r="V142" i="2"/>
  <c r="U142" i="2"/>
  <c r="T142" i="2"/>
  <c r="S142" i="2"/>
  <c r="R142" i="2"/>
  <c r="Q142" i="2"/>
  <c r="P142" i="2"/>
  <c r="O142" i="2"/>
  <c r="N142" i="2"/>
  <c r="M142" i="2"/>
  <c r="L142" i="2"/>
  <c r="W141" i="2"/>
  <c r="V141" i="2"/>
  <c r="U141" i="2"/>
  <c r="T141" i="2"/>
  <c r="S141" i="2"/>
  <c r="R141" i="2"/>
  <c r="Q141" i="2"/>
  <c r="P141" i="2"/>
  <c r="O141" i="2"/>
  <c r="N141" i="2"/>
  <c r="M141" i="2"/>
  <c r="L141" i="2"/>
  <c r="W140" i="2"/>
  <c r="V140" i="2"/>
  <c r="U140" i="2"/>
  <c r="T140" i="2"/>
  <c r="S140" i="2"/>
  <c r="R140" i="2"/>
  <c r="Q140" i="2"/>
  <c r="P140" i="2"/>
  <c r="O140" i="2"/>
  <c r="N140" i="2"/>
  <c r="M140" i="2"/>
  <c r="L140" i="2"/>
  <c r="W139" i="2"/>
  <c r="V139" i="2"/>
  <c r="U139" i="2"/>
  <c r="T139" i="2"/>
  <c r="S139" i="2"/>
  <c r="R139" i="2"/>
  <c r="Q139" i="2"/>
  <c r="P139" i="2"/>
  <c r="O139" i="2"/>
  <c r="N139" i="2"/>
  <c r="M139" i="2"/>
  <c r="L139" i="2"/>
  <c r="W138" i="2"/>
  <c r="V138" i="2"/>
  <c r="U138" i="2"/>
  <c r="T138" i="2"/>
  <c r="S138" i="2"/>
  <c r="R138" i="2"/>
  <c r="Q138" i="2"/>
  <c r="P138" i="2"/>
  <c r="O138" i="2"/>
  <c r="N138" i="2"/>
  <c r="M138" i="2"/>
  <c r="L138" i="2"/>
  <c r="W137" i="2"/>
  <c r="V137" i="2"/>
  <c r="U137" i="2"/>
  <c r="T137" i="2"/>
  <c r="S137" i="2"/>
  <c r="R137" i="2"/>
  <c r="Q137" i="2"/>
  <c r="P137" i="2"/>
  <c r="O137" i="2"/>
  <c r="N137" i="2"/>
  <c r="M137" i="2"/>
  <c r="L137" i="2"/>
  <c r="W136" i="2"/>
  <c r="V136" i="2"/>
  <c r="U136" i="2"/>
  <c r="T136" i="2"/>
  <c r="S136" i="2"/>
  <c r="R136" i="2"/>
  <c r="Q136" i="2"/>
  <c r="P136" i="2"/>
  <c r="O136" i="2"/>
  <c r="N136" i="2"/>
  <c r="M136" i="2"/>
  <c r="L136" i="2"/>
  <c r="W135" i="2"/>
  <c r="V135" i="2"/>
  <c r="U135" i="2"/>
  <c r="T135" i="2"/>
  <c r="S135" i="2"/>
  <c r="R135" i="2"/>
  <c r="Q135" i="2"/>
  <c r="P135" i="2"/>
  <c r="O135" i="2"/>
  <c r="N135" i="2"/>
  <c r="M135" i="2"/>
  <c r="L135" i="2"/>
  <c r="W134" i="2"/>
  <c r="V134" i="2"/>
  <c r="U134" i="2"/>
  <c r="T134" i="2"/>
  <c r="S134" i="2"/>
  <c r="R134" i="2"/>
  <c r="Q134" i="2"/>
  <c r="P134" i="2"/>
  <c r="O134" i="2"/>
  <c r="N134" i="2"/>
  <c r="M134" i="2"/>
  <c r="L134" i="2"/>
  <c r="W133" i="2"/>
  <c r="V133" i="2"/>
  <c r="U133" i="2"/>
  <c r="T133" i="2"/>
  <c r="S133" i="2"/>
  <c r="R133" i="2"/>
  <c r="Q133" i="2"/>
  <c r="P133" i="2"/>
  <c r="O133" i="2"/>
  <c r="N133" i="2"/>
  <c r="M133" i="2"/>
  <c r="L133" i="2"/>
  <c r="W132" i="2"/>
  <c r="V132" i="2"/>
  <c r="U132" i="2"/>
  <c r="T132" i="2"/>
  <c r="S132" i="2"/>
  <c r="R132" i="2"/>
  <c r="Q132" i="2"/>
  <c r="P132" i="2"/>
  <c r="O132" i="2"/>
  <c r="N132" i="2"/>
  <c r="M132" i="2"/>
  <c r="L132" i="2"/>
  <c r="W131" i="2"/>
  <c r="V131" i="2"/>
  <c r="U131" i="2"/>
  <c r="T131" i="2"/>
  <c r="S131" i="2"/>
  <c r="R131" i="2"/>
  <c r="Q131" i="2"/>
  <c r="P131" i="2"/>
  <c r="O131" i="2"/>
  <c r="N131" i="2"/>
  <c r="M131" i="2"/>
  <c r="L131" i="2"/>
  <c r="W130" i="2"/>
  <c r="V130" i="2"/>
  <c r="U130" i="2"/>
  <c r="T130" i="2"/>
  <c r="S130" i="2"/>
  <c r="R130" i="2"/>
  <c r="Q130" i="2"/>
  <c r="P130" i="2"/>
  <c r="O130" i="2"/>
  <c r="N130" i="2"/>
  <c r="M130" i="2"/>
  <c r="L130" i="2"/>
  <c r="W129" i="2"/>
  <c r="V129" i="2"/>
  <c r="U129" i="2"/>
  <c r="T129" i="2"/>
  <c r="S129" i="2"/>
  <c r="R129" i="2"/>
  <c r="Q129" i="2"/>
  <c r="P129" i="2"/>
  <c r="O129" i="2"/>
  <c r="N129" i="2"/>
  <c r="M129" i="2"/>
  <c r="L129" i="2"/>
  <c r="W128" i="2"/>
  <c r="V128" i="2"/>
  <c r="U128" i="2"/>
  <c r="T128" i="2"/>
  <c r="S128" i="2"/>
  <c r="R128" i="2"/>
  <c r="Q128" i="2"/>
  <c r="P128" i="2"/>
  <c r="O128" i="2"/>
  <c r="N128" i="2"/>
  <c r="M128" i="2"/>
  <c r="L128" i="2"/>
  <c r="W127" i="2"/>
  <c r="V127" i="2"/>
  <c r="U127" i="2"/>
  <c r="T127" i="2"/>
  <c r="S127" i="2"/>
  <c r="R127" i="2"/>
  <c r="Q127" i="2"/>
  <c r="P127" i="2"/>
  <c r="O127" i="2"/>
  <c r="N127" i="2"/>
  <c r="M127" i="2"/>
  <c r="L127" i="2"/>
  <c r="W126" i="2"/>
  <c r="V126" i="2"/>
  <c r="U126" i="2"/>
  <c r="T126" i="2"/>
  <c r="S126" i="2"/>
  <c r="R126" i="2"/>
  <c r="Q126" i="2"/>
  <c r="P126" i="2"/>
  <c r="O126" i="2"/>
  <c r="N126" i="2"/>
  <c r="M126" i="2"/>
  <c r="L126" i="2"/>
  <c r="W125" i="2"/>
  <c r="V125" i="2"/>
  <c r="U125" i="2"/>
  <c r="T125" i="2"/>
  <c r="S125" i="2"/>
  <c r="R125" i="2"/>
  <c r="Q125" i="2"/>
  <c r="P125" i="2"/>
  <c r="O125" i="2"/>
  <c r="N125" i="2"/>
  <c r="M125" i="2"/>
  <c r="L125" i="2"/>
  <c r="W124" i="2"/>
  <c r="V124" i="2"/>
  <c r="U124" i="2"/>
  <c r="T124" i="2"/>
  <c r="S124" i="2"/>
  <c r="R124" i="2"/>
  <c r="Q124" i="2"/>
  <c r="P124" i="2"/>
  <c r="O124" i="2"/>
  <c r="N124" i="2"/>
  <c r="M124" i="2"/>
  <c r="L124" i="2"/>
  <c r="W123" i="2"/>
  <c r="V123" i="2"/>
  <c r="U123" i="2"/>
  <c r="T123" i="2"/>
  <c r="S123" i="2"/>
  <c r="R123" i="2"/>
  <c r="Q123" i="2"/>
  <c r="P123" i="2"/>
  <c r="O123" i="2"/>
  <c r="N123" i="2"/>
  <c r="M123" i="2"/>
  <c r="L123" i="2"/>
  <c r="W122" i="2"/>
  <c r="V122" i="2"/>
  <c r="U122" i="2"/>
  <c r="T122" i="2"/>
  <c r="S122" i="2"/>
  <c r="R122" i="2"/>
  <c r="Q122" i="2"/>
  <c r="P122" i="2"/>
  <c r="O122" i="2"/>
  <c r="N122" i="2"/>
  <c r="M122" i="2"/>
  <c r="L122" i="2"/>
  <c r="W121" i="2"/>
  <c r="V121" i="2"/>
  <c r="U121" i="2"/>
  <c r="T121" i="2"/>
  <c r="S121" i="2"/>
  <c r="R121" i="2"/>
  <c r="Q121" i="2"/>
  <c r="P121" i="2"/>
  <c r="O121" i="2"/>
  <c r="N121" i="2"/>
  <c r="M121" i="2"/>
  <c r="L121" i="2"/>
  <c r="W120" i="2"/>
  <c r="V120" i="2"/>
  <c r="U120" i="2"/>
  <c r="T120" i="2"/>
  <c r="S120" i="2"/>
  <c r="R120" i="2"/>
  <c r="Q120" i="2"/>
  <c r="P120" i="2"/>
  <c r="O120" i="2"/>
  <c r="N120" i="2"/>
  <c r="M120" i="2"/>
  <c r="L120" i="2"/>
  <c r="W119" i="2"/>
  <c r="V119" i="2"/>
  <c r="U119" i="2"/>
  <c r="T119" i="2"/>
  <c r="S119" i="2"/>
  <c r="R119" i="2"/>
  <c r="Q119" i="2"/>
  <c r="P119" i="2"/>
  <c r="O119" i="2"/>
  <c r="N119" i="2"/>
  <c r="M119" i="2"/>
  <c r="L119" i="2"/>
  <c r="W118" i="2"/>
  <c r="V118" i="2"/>
  <c r="U118" i="2"/>
  <c r="T118" i="2"/>
  <c r="S118" i="2"/>
  <c r="R118" i="2"/>
  <c r="Q118" i="2"/>
  <c r="P118" i="2"/>
  <c r="O118" i="2"/>
  <c r="N118" i="2"/>
  <c r="M118" i="2"/>
  <c r="L118" i="2"/>
  <c r="W117" i="2"/>
  <c r="V117" i="2"/>
  <c r="U117" i="2"/>
  <c r="T117" i="2"/>
  <c r="S117" i="2"/>
  <c r="R117" i="2"/>
  <c r="Q117" i="2"/>
  <c r="P117" i="2"/>
  <c r="O117" i="2"/>
  <c r="N117" i="2"/>
  <c r="M117" i="2"/>
  <c r="L117" i="2"/>
  <c r="W116" i="2"/>
  <c r="V116" i="2"/>
  <c r="U116" i="2"/>
  <c r="T116" i="2"/>
  <c r="S116" i="2"/>
  <c r="R116" i="2"/>
  <c r="Q116" i="2"/>
  <c r="P116" i="2"/>
  <c r="O116" i="2"/>
  <c r="N116" i="2"/>
  <c r="M116" i="2"/>
  <c r="L116" i="2"/>
  <c r="W115" i="2"/>
  <c r="V115" i="2"/>
  <c r="U115" i="2"/>
  <c r="T115" i="2"/>
  <c r="S115" i="2"/>
  <c r="R115" i="2"/>
  <c r="Q115" i="2"/>
  <c r="P115" i="2"/>
  <c r="O115" i="2"/>
  <c r="N115" i="2"/>
  <c r="M115" i="2"/>
  <c r="L115" i="2"/>
  <c r="W114" i="2"/>
  <c r="V114" i="2"/>
  <c r="U114" i="2"/>
  <c r="T114" i="2"/>
  <c r="S114" i="2"/>
  <c r="R114" i="2"/>
  <c r="Q114" i="2"/>
  <c r="P114" i="2"/>
  <c r="O114" i="2"/>
  <c r="N114" i="2"/>
  <c r="M114" i="2"/>
  <c r="L114" i="2"/>
  <c r="W113" i="2"/>
  <c r="V113" i="2"/>
  <c r="U113" i="2"/>
  <c r="T113" i="2"/>
  <c r="S113" i="2"/>
  <c r="R113" i="2"/>
  <c r="Q113" i="2"/>
  <c r="P113" i="2"/>
  <c r="O113" i="2"/>
  <c r="N113" i="2"/>
  <c r="M113" i="2"/>
  <c r="L113" i="2"/>
  <c r="W112" i="2"/>
  <c r="V112" i="2"/>
  <c r="U112" i="2"/>
  <c r="T112" i="2"/>
  <c r="S112" i="2"/>
  <c r="R112" i="2"/>
  <c r="Q112" i="2"/>
  <c r="P112" i="2"/>
  <c r="O112" i="2"/>
  <c r="N112" i="2"/>
  <c r="M112" i="2"/>
  <c r="L112" i="2"/>
  <c r="W111" i="2"/>
  <c r="V111" i="2"/>
  <c r="U111" i="2"/>
  <c r="T111" i="2"/>
  <c r="S111" i="2"/>
  <c r="R111" i="2"/>
  <c r="Q111" i="2"/>
  <c r="P111" i="2"/>
  <c r="O111" i="2"/>
  <c r="N111" i="2"/>
  <c r="M111" i="2"/>
  <c r="L111" i="2"/>
  <c r="W110" i="2"/>
  <c r="V110" i="2"/>
  <c r="U110" i="2"/>
  <c r="T110" i="2"/>
  <c r="S110" i="2"/>
  <c r="R110" i="2"/>
  <c r="Q110" i="2"/>
  <c r="P110" i="2"/>
  <c r="O110" i="2"/>
  <c r="N110" i="2"/>
  <c r="M110" i="2"/>
  <c r="L110" i="2"/>
  <c r="W109" i="2"/>
  <c r="V109" i="2"/>
  <c r="U109" i="2"/>
  <c r="T109" i="2"/>
  <c r="S109" i="2"/>
  <c r="R109" i="2"/>
  <c r="Q109" i="2"/>
  <c r="P109" i="2"/>
  <c r="O109" i="2"/>
  <c r="N109" i="2"/>
  <c r="M109" i="2"/>
  <c r="L109" i="2"/>
  <c r="W108" i="2"/>
  <c r="V108" i="2"/>
  <c r="U108" i="2"/>
  <c r="T108" i="2"/>
  <c r="S108" i="2"/>
  <c r="R108" i="2"/>
  <c r="Q108" i="2"/>
  <c r="P108" i="2"/>
  <c r="O108" i="2"/>
  <c r="N108" i="2"/>
  <c r="M108" i="2"/>
  <c r="L108" i="2"/>
  <c r="W107" i="2"/>
  <c r="V107" i="2"/>
  <c r="U107" i="2"/>
  <c r="T107" i="2"/>
  <c r="S107" i="2"/>
  <c r="R107" i="2"/>
  <c r="Q107" i="2"/>
  <c r="P107" i="2"/>
  <c r="O107" i="2"/>
  <c r="N107" i="2"/>
  <c r="M107" i="2"/>
  <c r="L107" i="2"/>
  <c r="W106" i="2"/>
  <c r="V106" i="2"/>
  <c r="U106" i="2"/>
  <c r="T106" i="2"/>
  <c r="S106" i="2"/>
  <c r="R106" i="2"/>
  <c r="Q106" i="2"/>
  <c r="P106" i="2"/>
  <c r="O106" i="2"/>
  <c r="N106" i="2"/>
  <c r="M106" i="2"/>
  <c r="L106" i="2"/>
  <c r="W105" i="2"/>
  <c r="V105" i="2"/>
  <c r="U105" i="2"/>
  <c r="T105" i="2"/>
  <c r="S105" i="2"/>
  <c r="R105" i="2"/>
  <c r="Q105" i="2"/>
  <c r="P105" i="2"/>
  <c r="O105" i="2"/>
  <c r="N105" i="2"/>
  <c r="M105" i="2"/>
  <c r="L105" i="2"/>
  <c r="W104" i="2"/>
  <c r="V104" i="2"/>
  <c r="U104" i="2"/>
  <c r="T104" i="2"/>
  <c r="S104" i="2"/>
  <c r="R104" i="2"/>
  <c r="Q104" i="2"/>
  <c r="P104" i="2"/>
  <c r="O104" i="2"/>
  <c r="N104" i="2"/>
  <c r="M104" i="2"/>
  <c r="L104" i="2"/>
  <c r="W103" i="2"/>
  <c r="V103" i="2"/>
  <c r="U103" i="2"/>
  <c r="T103" i="2"/>
  <c r="S103" i="2"/>
  <c r="R103" i="2"/>
  <c r="Q103" i="2"/>
  <c r="P103" i="2"/>
  <c r="O103" i="2"/>
  <c r="N103" i="2"/>
  <c r="M103" i="2"/>
  <c r="L103" i="2"/>
  <c r="W102" i="2"/>
  <c r="V102" i="2"/>
  <c r="U102" i="2"/>
  <c r="T102" i="2"/>
  <c r="S102" i="2"/>
  <c r="R102" i="2"/>
  <c r="Q102" i="2"/>
  <c r="P102" i="2"/>
  <c r="O102" i="2"/>
  <c r="N102" i="2"/>
  <c r="M102" i="2"/>
  <c r="L102" i="2"/>
  <c r="W101" i="2"/>
  <c r="V101" i="2"/>
  <c r="U101" i="2"/>
  <c r="T101" i="2"/>
  <c r="S101" i="2"/>
  <c r="R101" i="2"/>
  <c r="Q101" i="2"/>
  <c r="P101" i="2"/>
  <c r="O101" i="2"/>
  <c r="N101" i="2"/>
  <c r="M101" i="2"/>
  <c r="L101" i="2"/>
  <c r="W100" i="2"/>
  <c r="V100" i="2"/>
  <c r="U100" i="2"/>
  <c r="T100" i="2"/>
  <c r="S100" i="2"/>
  <c r="R100" i="2"/>
  <c r="Q100" i="2"/>
  <c r="P100" i="2"/>
  <c r="O100" i="2"/>
  <c r="N100" i="2"/>
  <c r="M100" i="2"/>
  <c r="L100" i="2"/>
  <c r="W99" i="2"/>
  <c r="V99" i="2"/>
  <c r="U99" i="2"/>
  <c r="T99" i="2"/>
  <c r="S99" i="2"/>
  <c r="R99" i="2"/>
  <c r="Q99" i="2"/>
  <c r="P99" i="2"/>
  <c r="O99" i="2"/>
  <c r="N99" i="2"/>
  <c r="M99" i="2"/>
  <c r="L99" i="2"/>
  <c r="W98" i="2"/>
  <c r="V98" i="2"/>
  <c r="U98" i="2"/>
  <c r="T98" i="2"/>
  <c r="S98" i="2"/>
  <c r="R98" i="2"/>
  <c r="Q98" i="2"/>
  <c r="P98" i="2"/>
  <c r="O98" i="2"/>
  <c r="N98" i="2"/>
  <c r="M98" i="2"/>
  <c r="L98" i="2"/>
  <c r="W97" i="2"/>
  <c r="V97" i="2"/>
  <c r="U97" i="2"/>
  <c r="T97" i="2"/>
  <c r="S97" i="2"/>
  <c r="R97" i="2"/>
  <c r="Q97" i="2"/>
  <c r="P97" i="2"/>
  <c r="O97" i="2"/>
  <c r="N97" i="2"/>
  <c r="M97" i="2"/>
  <c r="L97" i="2"/>
  <c r="W96" i="2"/>
  <c r="V96" i="2"/>
  <c r="U96" i="2"/>
  <c r="T96" i="2"/>
  <c r="S96" i="2"/>
  <c r="R96" i="2"/>
  <c r="Q96" i="2"/>
  <c r="P96" i="2"/>
  <c r="O96" i="2"/>
  <c r="N96" i="2"/>
  <c r="M96" i="2"/>
  <c r="L96" i="2"/>
  <c r="W95" i="2"/>
  <c r="V95" i="2"/>
  <c r="U95" i="2"/>
  <c r="T95" i="2"/>
  <c r="S95" i="2"/>
  <c r="R95" i="2"/>
  <c r="Q95" i="2"/>
  <c r="P95" i="2"/>
  <c r="O95" i="2"/>
  <c r="N95" i="2"/>
  <c r="M95" i="2"/>
  <c r="L95" i="2"/>
  <c r="W94" i="2"/>
  <c r="V94" i="2"/>
  <c r="U94" i="2"/>
  <c r="T94" i="2"/>
  <c r="S94" i="2"/>
  <c r="R94" i="2"/>
  <c r="Q94" i="2"/>
  <c r="P94" i="2"/>
  <c r="O94" i="2"/>
  <c r="N94" i="2"/>
  <c r="M94" i="2"/>
  <c r="L94" i="2"/>
  <c r="W93" i="2"/>
  <c r="V93" i="2"/>
  <c r="U93" i="2"/>
  <c r="T93" i="2"/>
  <c r="S93" i="2"/>
  <c r="R93" i="2"/>
  <c r="Q93" i="2"/>
  <c r="P93" i="2"/>
  <c r="O93" i="2"/>
  <c r="N93" i="2"/>
  <c r="M93" i="2"/>
  <c r="L93" i="2"/>
  <c r="AJ233" i="3" s="1"/>
  <c r="AM233" i="3" s="1"/>
  <c r="W92" i="2"/>
  <c r="V92" i="2"/>
  <c r="U92" i="2"/>
  <c r="T92" i="2"/>
  <c r="S92" i="2"/>
  <c r="R92" i="2"/>
  <c r="Q92" i="2"/>
  <c r="P92" i="2"/>
  <c r="O92" i="2"/>
  <c r="N92" i="2"/>
  <c r="M92" i="2"/>
  <c r="L92" i="2"/>
  <c r="W91" i="2"/>
  <c r="V91" i="2"/>
  <c r="U91" i="2"/>
  <c r="T91" i="2"/>
  <c r="S91" i="2"/>
  <c r="R91" i="2"/>
  <c r="Q91" i="2"/>
  <c r="P91" i="2"/>
  <c r="O91" i="2"/>
  <c r="N91" i="2"/>
  <c r="M91" i="2"/>
  <c r="L91" i="2"/>
  <c r="W90" i="2"/>
  <c r="V90" i="2"/>
  <c r="U90" i="2"/>
  <c r="T90" i="2"/>
  <c r="S90" i="2"/>
  <c r="R90" i="2"/>
  <c r="Q90" i="2"/>
  <c r="P90" i="2"/>
  <c r="O90" i="2"/>
  <c r="N90" i="2"/>
  <c r="M90" i="2"/>
  <c r="L90" i="2"/>
  <c r="W89" i="2"/>
  <c r="V89" i="2"/>
  <c r="U89" i="2"/>
  <c r="T89" i="2"/>
  <c r="S89" i="2"/>
  <c r="R89" i="2"/>
  <c r="Q89" i="2"/>
  <c r="P89" i="2"/>
  <c r="O89" i="2"/>
  <c r="N89" i="2"/>
  <c r="M89" i="2"/>
  <c r="L89" i="2"/>
  <c r="W88" i="2"/>
  <c r="V88" i="2"/>
  <c r="U88" i="2"/>
  <c r="T88" i="2"/>
  <c r="S88" i="2"/>
  <c r="R88" i="2"/>
  <c r="Q88" i="2"/>
  <c r="P88" i="2"/>
  <c r="O88" i="2"/>
  <c r="N88" i="2"/>
  <c r="M88" i="2"/>
  <c r="L88" i="2"/>
  <c r="W87" i="2"/>
  <c r="V87" i="2"/>
  <c r="U87" i="2"/>
  <c r="T87" i="2"/>
  <c r="S87" i="2"/>
  <c r="R87" i="2"/>
  <c r="Q87" i="2"/>
  <c r="P87" i="2"/>
  <c r="O87" i="2"/>
  <c r="N87" i="2"/>
  <c r="M87" i="2"/>
  <c r="L87" i="2"/>
  <c r="W86" i="2"/>
  <c r="V86" i="2"/>
  <c r="U86" i="2"/>
  <c r="T86" i="2"/>
  <c r="S86" i="2"/>
  <c r="R86" i="2"/>
  <c r="Q86" i="2"/>
  <c r="P86" i="2"/>
  <c r="O86" i="2"/>
  <c r="N86" i="2"/>
  <c r="M86" i="2"/>
  <c r="L86" i="2"/>
  <c r="AJ226" i="3" s="1"/>
  <c r="AM226" i="3" s="1"/>
  <c r="W85" i="2"/>
  <c r="V85" i="2"/>
  <c r="U85" i="2"/>
  <c r="T85" i="2"/>
  <c r="S85" i="2"/>
  <c r="R85" i="2"/>
  <c r="Q85" i="2"/>
  <c r="P85" i="2"/>
  <c r="O85" i="2"/>
  <c r="N85" i="2"/>
  <c r="M85" i="2"/>
  <c r="L85" i="2"/>
  <c r="W84" i="2"/>
  <c r="V84" i="2"/>
  <c r="U84" i="2"/>
  <c r="T84" i="2"/>
  <c r="S84" i="2"/>
  <c r="R84" i="2"/>
  <c r="Q84" i="2"/>
  <c r="P84" i="2"/>
  <c r="O84" i="2"/>
  <c r="N84" i="2"/>
  <c r="M84" i="2"/>
  <c r="L84" i="2"/>
  <c r="W83" i="2"/>
  <c r="V83" i="2"/>
  <c r="U83" i="2"/>
  <c r="T83" i="2"/>
  <c r="S83" i="2"/>
  <c r="R83" i="2"/>
  <c r="Q83" i="2"/>
  <c r="P83" i="2"/>
  <c r="O83" i="2"/>
  <c r="N83" i="2"/>
  <c r="M83" i="2"/>
  <c r="L83" i="2"/>
  <c r="AJ223" i="3" s="1"/>
  <c r="AM223" i="3" s="1"/>
  <c r="W82" i="2"/>
  <c r="V82" i="2"/>
  <c r="U82" i="2"/>
  <c r="T82" i="2"/>
  <c r="S82" i="2"/>
  <c r="R82" i="2"/>
  <c r="Q82" i="2"/>
  <c r="P82" i="2"/>
  <c r="O82" i="2"/>
  <c r="N82" i="2"/>
  <c r="M82" i="2"/>
  <c r="L82" i="2"/>
  <c r="W81" i="2"/>
  <c r="V81" i="2"/>
  <c r="U81" i="2"/>
  <c r="T81" i="2"/>
  <c r="S81" i="2"/>
  <c r="R81" i="2"/>
  <c r="Q81" i="2"/>
  <c r="P81" i="2"/>
  <c r="O81" i="2"/>
  <c r="N81" i="2"/>
  <c r="M81" i="2"/>
  <c r="L81" i="2"/>
  <c r="W80" i="2"/>
  <c r="V80" i="2"/>
  <c r="U80" i="2"/>
  <c r="T80" i="2"/>
  <c r="S80" i="2"/>
  <c r="R80" i="2"/>
  <c r="Q80" i="2"/>
  <c r="P80" i="2"/>
  <c r="O80" i="2"/>
  <c r="N80" i="2"/>
  <c r="M80" i="2"/>
  <c r="L80" i="2"/>
  <c r="AJ220" i="3" s="1"/>
  <c r="AM220" i="3" s="1"/>
  <c r="W79" i="2"/>
  <c r="V79" i="2"/>
  <c r="U79" i="2"/>
  <c r="T79" i="2"/>
  <c r="S79" i="2"/>
  <c r="R79" i="2"/>
  <c r="Q79" i="2"/>
  <c r="P79" i="2"/>
  <c r="O79" i="2"/>
  <c r="N79" i="2"/>
  <c r="M79" i="2"/>
  <c r="L79" i="2"/>
  <c r="W78" i="2"/>
  <c r="V78" i="2"/>
  <c r="U78" i="2"/>
  <c r="T78" i="2"/>
  <c r="S78" i="2"/>
  <c r="R78" i="2"/>
  <c r="Q78" i="2"/>
  <c r="P78" i="2"/>
  <c r="O78" i="2"/>
  <c r="N78" i="2"/>
  <c r="M78" i="2"/>
  <c r="L78" i="2"/>
  <c r="W77" i="2"/>
  <c r="V77" i="2"/>
  <c r="U77" i="2"/>
  <c r="T77" i="2"/>
  <c r="S77" i="2"/>
  <c r="R77" i="2"/>
  <c r="Q77" i="2"/>
  <c r="P77" i="2"/>
  <c r="O77" i="2"/>
  <c r="N77" i="2"/>
  <c r="M77" i="2"/>
  <c r="L77" i="2"/>
  <c r="AJ217" i="3" s="1"/>
  <c r="AM217" i="3" s="1"/>
  <c r="W76" i="2"/>
  <c r="V76" i="2"/>
  <c r="U76" i="2"/>
  <c r="T76" i="2"/>
  <c r="S76" i="2"/>
  <c r="R76" i="2"/>
  <c r="Q76" i="2"/>
  <c r="P76" i="2"/>
  <c r="O76" i="2"/>
  <c r="N76" i="2"/>
  <c r="M76" i="2"/>
  <c r="L76" i="2"/>
  <c r="W75" i="2"/>
  <c r="V75" i="2"/>
  <c r="U75" i="2"/>
  <c r="T75" i="2"/>
  <c r="S75" i="2"/>
  <c r="R75" i="2"/>
  <c r="Q75" i="2"/>
  <c r="P75" i="2"/>
  <c r="O75" i="2"/>
  <c r="N75" i="2"/>
  <c r="M75" i="2"/>
  <c r="L75" i="2"/>
  <c r="W74" i="2"/>
  <c r="V74" i="2"/>
  <c r="U74" i="2"/>
  <c r="T74" i="2"/>
  <c r="S74" i="2"/>
  <c r="R74" i="2"/>
  <c r="Q74" i="2"/>
  <c r="P74" i="2"/>
  <c r="O74" i="2"/>
  <c r="N74" i="2"/>
  <c r="M74" i="2"/>
  <c r="L74" i="2"/>
  <c r="W73" i="2"/>
  <c r="V73" i="2"/>
  <c r="U73" i="2"/>
  <c r="T73" i="2"/>
  <c r="S73" i="2"/>
  <c r="R73" i="2"/>
  <c r="Q73" i="2"/>
  <c r="P73" i="2"/>
  <c r="O73" i="2"/>
  <c r="N73" i="2"/>
  <c r="M73" i="2"/>
  <c r="L73" i="2"/>
  <c r="W72" i="2"/>
  <c r="V72" i="2"/>
  <c r="U72" i="2"/>
  <c r="T72" i="2"/>
  <c r="S72" i="2"/>
  <c r="R72" i="2"/>
  <c r="Q72" i="2"/>
  <c r="P72" i="2"/>
  <c r="O72" i="2"/>
  <c r="N72" i="2"/>
  <c r="M72" i="2"/>
  <c r="L72" i="2"/>
  <c r="W71" i="2"/>
  <c r="V71" i="2"/>
  <c r="U71" i="2"/>
  <c r="T71" i="2"/>
  <c r="S71" i="2"/>
  <c r="R71" i="2"/>
  <c r="Q71" i="2"/>
  <c r="P71" i="2"/>
  <c r="O71" i="2"/>
  <c r="N71" i="2"/>
  <c r="M71" i="2"/>
  <c r="L71" i="2"/>
  <c r="W70" i="2"/>
  <c r="V70" i="2"/>
  <c r="U70" i="2"/>
  <c r="T70" i="2"/>
  <c r="S70" i="2"/>
  <c r="R70" i="2"/>
  <c r="Q70" i="2"/>
  <c r="P70" i="2"/>
  <c r="O70" i="2"/>
  <c r="N70" i="2"/>
  <c r="M70" i="2"/>
  <c r="L70" i="2"/>
  <c r="AJ210" i="3" s="1"/>
  <c r="AM210" i="3" s="1"/>
  <c r="W69" i="2"/>
  <c r="V69" i="2"/>
  <c r="U69" i="2"/>
  <c r="T69" i="2"/>
  <c r="S69" i="2"/>
  <c r="R69" i="2"/>
  <c r="Q69" i="2"/>
  <c r="P69" i="2"/>
  <c r="O69" i="2"/>
  <c r="N69" i="2"/>
  <c r="M69" i="2"/>
  <c r="L69" i="2"/>
  <c r="W68" i="2"/>
  <c r="V68" i="2"/>
  <c r="U68" i="2"/>
  <c r="T68" i="2"/>
  <c r="S68" i="2"/>
  <c r="R68" i="2"/>
  <c r="Q68" i="2"/>
  <c r="P68" i="2"/>
  <c r="O68" i="2"/>
  <c r="N68" i="2"/>
  <c r="M68" i="2"/>
  <c r="L68" i="2"/>
  <c r="W67" i="2"/>
  <c r="V67" i="2"/>
  <c r="U67" i="2"/>
  <c r="T67" i="2"/>
  <c r="S67" i="2"/>
  <c r="R67" i="2"/>
  <c r="Q67" i="2"/>
  <c r="P67" i="2"/>
  <c r="O67" i="2"/>
  <c r="N67" i="2"/>
  <c r="M67" i="2"/>
  <c r="L67" i="2"/>
  <c r="AJ207" i="3" s="1"/>
  <c r="AM207" i="3" s="1"/>
  <c r="W66" i="2"/>
  <c r="V66" i="2"/>
  <c r="U66" i="2"/>
  <c r="T66" i="2"/>
  <c r="S66" i="2"/>
  <c r="R66" i="2"/>
  <c r="Q66" i="2"/>
  <c r="P66" i="2"/>
  <c r="O66" i="2"/>
  <c r="N66" i="2"/>
  <c r="M66" i="2"/>
  <c r="L66" i="2"/>
  <c r="W65" i="2"/>
  <c r="V65" i="2"/>
  <c r="U65" i="2"/>
  <c r="T65" i="2"/>
  <c r="S65" i="2"/>
  <c r="R65" i="2"/>
  <c r="Q65" i="2"/>
  <c r="P65" i="2"/>
  <c r="O65" i="2"/>
  <c r="N65" i="2"/>
  <c r="M65" i="2"/>
  <c r="L65" i="2"/>
  <c r="W64" i="2"/>
  <c r="V64" i="2"/>
  <c r="U64" i="2"/>
  <c r="T64" i="2"/>
  <c r="S64" i="2"/>
  <c r="R64" i="2"/>
  <c r="Q64" i="2"/>
  <c r="P64" i="2"/>
  <c r="O64" i="2"/>
  <c r="N64" i="2"/>
  <c r="M64" i="2"/>
  <c r="L64" i="2"/>
  <c r="AJ204" i="3" s="1"/>
  <c r="AM204" i="3" s="1"/>
  <c r="W63" i="2"/>
  <c r="V63" i="2"/>
  <c r="U63" i="2"/>
  <c r="T63" i="2"/>
  <c r="S63" i="2"/>
  <c r="R63" i="2"/>
  <c r="Q63" i="2"/>
  <c r="P63" i="2"/>
  <c r="O63" i="2"/>
  <c r="N63" i="2"/>
  <c r="M63" i="2"/>
  <c r="L63" i="2"/>
  <c r="W62" i="2"/>
  <c r="V62" i="2"/>
  <c r="U62" i="2"/>
  <c r="T62" i="2"/>
  <c r="S62" i="2"/>
  <c r="R62" i="2"/>
  <c r="Q62" i="2"/>
  <c r="P62" i="2"/>
  <c r="O62" i="2"/>
  <c r="N62" i="2"/>
  <c r="M62" i="2"/>
  <c r="L62" i="2"/>
  <c r="W61" i="2"/>
  <c r="V61" i="2"/>
  <c r="U61" i="2"/>
  <c r="T61" i="2"/>
  <c r="S61" i="2"/>
  <c r="R61" i="2"/>
  <c r="Q61" i="2"/>
  <c r="P61" i="2"/>
  <c r="O61" i="2"/>
  <c r="N61" i="2"/>
  <c r="M61" i="2"/>
  <c r="L61" i="2"/>
  <c r="AJ201" i="3" s="1"/>
  <c r="AM201" i="3" s="1"/>
  <c r="W60" i="2"/>
  <c r="V60" i="2"/>
  <c r="U60" i="2"/>
  <c r="T60" i="2"/>
  <c r="S60" i="2"/>
  <c r="R60" i="2"/>
  <c r="Q60" i="2"/>
  <c r="P60" i="2"/>
  <c r="O60" i="2"/>
  <c r="N60" i="2"/>
  <c r="M60" i="2"/>
  <c r="L60" i="2"/>
  <c r="W59" i="2"/>
  <c r="V59" i="2"/>
  <c r="U59" i="2"/>
  <c r="T59" i="2"/>
  <c r="S59" i="2"/>
  <c r="R59" i="2"/>
  <c r="Q59" i="2"/>
  <c r="P59" i="2"/>
  <c r="O59" i="2"/>
  <c r="N59" i="2"/>
  <c r="M59" i="2"/>
  <c r="L59" i="2"/>
  <c r="W58" i="2"/>
  <c r="V58" i="2"/>
  <c r="U58" i="2"/>
  <c r="T58" i="2"/>
  <c r="S58" i="2"/>
  <c r="R58" i="2"/>
  <c r="Q58" i="2"/>
  <c r="P58" i="2"/>
  <c r="O58" i="2"/>
  <c r="N58" i="2"/>
  <c r="M58" i="2"/>
  <c r="L58" i="2"/>
  <c r="W57" i="2"/>
  <c r="V57" i="2"/>
  <c r="U57" i="2"/>
  <c r="T57" i="2"/>
  <c r="S57" i="2"/>
  <c r="R57" i="2"/>
  <c r="Q57" i="2"/>
  <c r="P57" i="2"/>
  <c r="O57" i="2"/>
  <c r="N57" i="2"/>
  <c r="M57" i="2"/>
  <c r="L57" i="2"/>
  <c r="W56" i="2"/>
  <c r="V56" i="2"/>
  <c r="U56" i="2"/>
  <c r="T56" i="2"/>
  <c r="S56" i="2"/>
  <c r="R56" i="2"/>
  <c r="Q56" i="2"/>
  <c r="P56" i="2"/>
  <c r="O56" i="2"/>
  <c r="N56" i="2"/>
  <c r="M56" i="2"/>
  <c r="L56" i="2"/>
  <c r="W55" i="2"/>
  <c r="V55" i="2"/>
  <c r="U55" i="2"/>
  <c r="T55" i="2"/>
  <c r="S55" i="2"/>
  <c r="R55" i="2"/>
  <c r="Q55" i="2"/>
  <c r="P55" i="2"/>
  <c r="O55" i="2"/>
  <c r="N55" i="2"/>
  <c r="M55" i="2"/>
  <c r="L55" i="2"/>
  <c r="W54" i="2"/>
  <c r="V54" i="2"/>
  <c r="U54" i="2"/>
  <c r="T54" i="2"/>
  <c r="S54" i="2"/>
  <c r="R54" i="2"/>
  <c r="Q54" i="2"/>
  <c r="P54" i="2"/>
  <c r="O54" i="2"/>
  <c r="N54" i="2"/>
  <c r="M54" i="2"/>
  <c r="L54" i="2"/>
  <c r="AJ194" i="3" s="1"/>
  <c r="AM194" i="3" s="1"/>
  <c r="W53" i="2"/>
  <c r="V53" i="2"/>
  <c r="U53" i="2"/>
  <c r="T53" i="2"/>
  <c r="S53" i="2"/>
  <c r="R53" i="2"/>
  <c r="Q53" i="2"/>
  <c r="P53" i="2"/>
  <c r="O53" i="2"/>
  <c r="N53" i="2"/>
  <c r="M53" i="2"/>
  <c r="L53" i="2"/>
  <c r="W52" i="2"/>
  <c r="V52" i="2"/>
  <c r="U52" i="2"/>
  <c r="T52" i="2"/>
  <c r="S52" i="2"/>
  <c r="R52" i="2"/>
  <c r="Q52" i="2"/>
  <c r="P52" i="2"/>
  <c r="O52" i="2"/>
  <c r="N52" i="2"/>
  <c r="M52" i="2"/>
  <c r="L52" i="2"/>
  <c r="W51" i="2"/>
  <c r="V51" i="2"/>
  <c r="U51" i="2"/>
  <c r="T51" i="2"/>
  <c r="S51" i="2"/>
  <c r="R51" i="2"/>
  <c r="Q51" i="2"/>
  <c r="P51" i="2"/>
  <c r="O51" i="2"/>
  <c r="N51" i="2"/>
  <c r="M51" i="2"/>
  <c r="L51" i="2"/>
  <c r="AJ191" i="3" s="1"/>
  <c r="AM191" i="3" s="1"/>
  <c r="W50" i="2"/>
  <c r="V50" i="2"/>
  <c r="U50" i="2"/>
  <c r="T50" i="2"/>
  <c r="S50" i="2"/>
  <c r="R50" i="2"/>
  <c r="Q50" i="2"/>
  <c r="P50" i="2"/>
  <c r="O50" i="2"/>
  <c r="N50" i="2"/>
  <c r="M50" i="2"/>
  <c r="L50" i="2"/>
  <c r="F50" i="2"/>
  <c r="W49" i="2"/>
  <c r="V49" i="2"/>
  <c r="U49" i="2"/>
  <c r="T49" i="2"/>
  <c r="S49" i="2"/>
  <c r="R49" i="2"/>
  <c r="Q49" i="2"/>
  <c r="P49" i="2"/>
  <c r="O49" i="2"/>
  <c r="N49" i="2"/>
  <c r="L49" i="2"/>
  <c r="M49" i="2" s="1"/>
  <c r="W48" i="2"/>
  <c r="V48" i="2"/>
  <c r="U48" i="2"/>
  <c r="T48" i="2"/>
  <c r="S48" i="2"/>
  <c r="R48" i="2"/>
  <c r="Q48" i="2"/>
  <c r="P48" i="2"/>
  <c r="O48" i="2"/>
  <c r="N48" i="2"/>
  <c r="L48" i="2"/>
  <c r="W47" i="2"/>
  <c r="V47" i="2"/>
  <c r="U47" i="2"/>
  <c r="T47" i="2"/>
  <c r="S47" i="2"/>
  <c r="R47" i="2"/>
  <c r="Q47" i="2"/>
  <c r="P47" i="2"/>
  <c r="O47" i="2"/>
  <c r="N47" i="2"/>
  <c r="L47" i="2"/>
  <c r="M47" i="2" s="1"/>
  <c r="W46" i="2"/>
  <c r="V46" i="2"/>
  <c r="U46" i="2"/>
  <c r="T46" i="2"/>
  <c r="S46" i="2"/>
  <c r="R46" i="2"/>
  <c r="Q46" i="2"/>
  <c r="P46" i="2"/>
  <c r="O46" i="2"/>
  <c r="N46" i="2"/>
  <c r="L46" i="2"/>
  <c r="M46" i="2" s="1"/>
  <c r="W45" i="2"/>
  <c r="V45" i="2"/>
  <c r="U45" i="2"/>
  <c r="T45" i="2"/>
  <c r="S45" i="2"/>
  <c r="R45" i="2"/>
  <c r="Q45" i="2"/>
  <c r="P45" i="2"/>
  <c r="O45" i="2"/>
  <c r="N45" i="2"/>
  <c r="L45" i="2"/>
  <c r="W44" i="2"/>
  <c r="V44" i="2"/>
  <c r="U44" i="2"/>
  <c r="T44" i="2"/>
  <c r="S44" i="2"/>
  <c r="R44" i="2"/>
  <c r="Q44" i="2"/>
  <c r="P44" i="2"/>
  <c r="O44" i="2"/>
  <c r="N44" i="2"/>
  <c r="L44" i="2"/>
  <c r="M44" i="2" s="1"/>
  <c r="W43" i="2"/>
  <c r="V43" i="2"/>
  <c r="U43" i="2"/>
  <c r="T43" i="2"/>
  <c r="S43" i="2"/>
  <c r="R43" i="2"/>
  <c r="Q43" i="2"/>
  <c r="P43" i="2"/>
  <c r="O43" i="2"/>
  <c r="N43" i="2"/>
  <c r="L43" i="2"/>
  <c r="M43" i="2" s="1"/>
  <c r="F43" i="2"/>
  <c r="W42" i="2"/>
  <c r="V42" i="2"/>
  <c r="U42" i="2"/>
  <c r="T42" i="2"/>
  <c r="S42" i="2"/>
  <c r="R42" i="2"/>
  <c r="Q42" i="2"/>
  <c r="P42" i="2"/>
  <c r="O42" i="2"/>
  <c r="N42" i="2"/>
  <c r="M42" i="2"/>
  <c r="L42" i="2"/>
  <c r="AJ182" i="3" s="1"/>
  <c r="AM182" i="3" s="1"/>
  <c r="W41" i="2"/>
  <c r="V41" i="2"/>
  <c r="U41" i="2"/>
  <c r="T41" i="2"/>
  <c r="S41" i="2"/>
  <c r="R41" i="2"/>
  <c r="Q41" i="2"/>
  <c r="P41" i="2"/>
  <c r="O41" i="2"/>
  <c r="N41" i="2"/>
  <c r="M41" i="2"/>
  <c r="L41" i="2"/>
  <c r="AJ181" i="3" s="1"/>
  <c r="AM181" i="3" s="1"/>
  <c r="W40" i="2"/>
  <c r="V40" i="2"/>
  <c r="U40" i="2"/>
  <c r="T40" i="2"/>
  <c r="S40" i="2"/>
  <c r="R40" i="2"/>
  <c r="Q40" i="2"/>
  <c r="P40" i="2"/>
  <c r="O40" i="2"/>
  <c r="N40" i="2"/>
  <c r="M40" i="2"/>
  <c r="L40" i="2"/>
  <c r="W39" i="2"/>
  <c r="V39" i="2"/>
  <c r="U39" i="2"/>
  <c r="T39" i="2"/>
  <c r="S39" i="2"/>
  <c r="R39" i="2"/>
  <c r="Q39" i="2"/>
  <c r="P39" i="2"/>
  <c r="O39" i="2"/>
  <c r="N39" i="2"/>
  <c r="M39" i="2"/>
  <c r="L39" i="2"/>
  <c r="AJ179" i="3" s="1"/>
  <c r="AM179" i="3" s="1"/>
  <c r="W38" i="2"/>
  <c r="V38" i="2"/>
  <c r="U38" i="2"/>
  <c r="T38" i="2"/>
  <c r="S38" i="2"/>
  <c r="R38" i="2"/>
  <c r="Q38" i="2"/>
  <c r="P38" i="2"/>
  <c r="O38" i="2"/>
  <c r="N38" i="2"/>
  <c r="M38" i="2"/>
  <c r="L38" i="2"/>
  <c r="AJ178" i="3" s="1"/>
  <c r="AM178" i="3" s="1"/>
  <c r="W37" i="2"/>
  <c r="V37" i="2"/>
  <c r="U37" i="2"/>
  <c r="T37" i="2"/>
  <c r="S37" i="2"/>
  <c r="R37" i="2"/>
  <c r="Q37" i="2"/>
  <c r="P37" i="2"/>
  <c r="O37" i="2"/>
  <c r="N37" i="2"/>
  <c r="M37" i="2"/>
  <c r="L37" i="2"/>
  <c r="AJ177" i="3" s="1"/>
  <c r="AM177" i="3" s="1"/>
  <c r="W36" i="2"/>
  <c r="V36" i="2"/>
  <c r="U36" i="2"/>
  <c r="T36" i="2"/>
  <c r="S36" i="2"/>
  <c r="R36" i="2"/>
  <c r="Q36" i="2"/>
  <c r="P36" i="2"/>
  <c r="O36" i="2"/>
  <c r="N36" i="2"/>
  <c r="M36" i="2"/>
  <c r="L36" i="2"/>
  <c r="F36" i="2"/>
  <c r="W35" i="2"/>
  <c r="V35" i="2"/>
  <c r="U35" i="2"/>
  <c r="T35" i="2"/>
  <c r="S35" i="2"/>
  <c r="R35" i="2"/>
  <c r="Q35" i="2"/>
  <c r="P35" i="2"/>
  <c r="O35" i="2"/>
  <c r="N35" i="2"/>
  <c r="L35" i="2"/>
  <c r="AJ175" i="3" s="1"/>
  <c r="AM175" i="3" s="1"/>
  <c r="W34" i="2"/>
  <c r="V34" i="2"/>
  <c r="U34" i="2"/>
  <c r="T34" i="2"/>
  <c r="S34" i="2"/>
  <c r="R34" i="2"/>
  <c r="Q34" i="2"/>
  <c r="P34" i="2"/>
  <c r="O34" i="2"/>
  <c r="N34" i="2"/>
  <c r="L34" i="2"/>
  <c r="AJ174" i="3" s="1"/>
  <c r="AM174" i="3" s="1"/>
  <c r="W33" i="2"/>
  <c r="V33" i="2"/>
  <c r="U33" i="2"/>
  <c r="T33" i="2"/>
  <c r="S33" i="2"/>
  <c r="R33" i="2"/>
  <c r="Q33" i="2"/>
  <c r="P33" i="2"/>
  <c r="O33" i="2"/>
  <c r="N33" i="2"/>
  <c r="L33" i="2"/>
  <c r="AJ173" i="3" s="1"/>
  <c r="AM173" i="3" s="1"/>
  <c r="W32" i="2"/>
  <c r="V32" i="2"/>
  <c r="U32" i="2"/>
  <c r="T32" i="2"/>
  <c r="S32" i="2"/>
  <c r="R32" i="2"/>
  <c r="Q32" i="2"/>
  <c r="P32" i="2"/>
  <c r="O32" i="2"/>
  <c r="N32" i="2"/>
  <c r="L32" i="2"/>
  <c r="AJ172" i="3" s="1"/>
  <c r="AM172" i="3" s="1"/>
  <c r="W31" i="2"/>
  <c r="V31" i="2"/>
  <c r="U31" i="2"/>
  <c r="T31" i="2"/>
  <c r="S31" i="2"/>
  <c r="R31" i="2"/>
  <c r="Q31" i="2"/>
  <c r="P31" i="2"/>
  <c r="O31" i="2"/>
  <c r="N31" i="2"/>
  <c r="L31" i="2"/>
  <c r="M31" i="2" s="1"/>
  <c r="W30" i="2"/>
  <c r="V30" i="2"/>
  <c r="U30" i="2"/>
  <c r="T30" i="2"/>
  <c r="S30" i="2"/>
  <c r="R30" i="2"/>
  <c r="Q30" i="2"/>
  <c r="P30" i="2"/>
  <c r="O30" i="2"/>
  <c r="N30" i="2"/>
  <c r="L30" i="2"/>
  <c r="AJ170" i="3" s="1"/>
  <c r="AM170" i="3" s="1"/>
  <c r="W29" i="2"/>
  <c r="V29" i="2"/>
  <c r="U29" i="2"/>
  <c r="T29" i="2"/>
  <c r="S29" i="2"/>
  <c r="R29" i="2"/>
  <c r="Q29" i="2"/>
  <c r="P29" i="2"/>
  <c r="O29" i="2"/>
  <c r="N29" i="2"/>
  <c r="L29" i="2"/>
  <c r="AJ169" i="3" s="1"/>
  <c r="AM169" i="3" s="1"/>
  <c r="F29" i="2"/>
  <c r="W28" i="2"/>
  <c r="V28" i="2"/>
  <c r="U28" i="2"/>
  <c r="T28" i="2"/>
  <c r="S28" i="2"/>
  <c r="R28" i="2"/>
  <c r="Q28" i="2"/>
  <c r="P28" i="2"/>
  <c r="O28" i="2"/>
  <c r="N28" i="2"/>
  <c r="M28" i="2"/>
  <c r="L28" i="2"/>
  <c r="W27" i="2"/>
  <c r="V27" i="2"/>
  <c r="U27" i="2"/>
  <c r="T27" i="2"/>
  <c r="S27" i="2"/>
  <c r="R27" i="2"/>
  <c r="Q27" i="2"/>
  <c r="P27" i="2"/>
  <c r="O27" i="2"/>
  <c r="N27" i="2"/>
  <c r="M27" i="2"/>
  <c r="L27" i="2"/>
  <c r="W26" i="2"/>
  <c r="V26" i="2"/>
  <c r="U26" i="2"/>
  <c r="T26" i="2"/>
  <c r="S26" i="2"/>
  <c r="R26" i="2"/>
  <c r="Q26" i="2"/>
  <c r="P26" i="2"/>
  <c r="O26" i="2"/>
  <c r="N26" i="2"/>
  <c r="M26" i="2"/>
  <c r="L26" i="2"/>
  <c r="W25" i="2"/>
  <c r="V25" i="2"/>
  <c r="U25" i="2"/>
  <c r="T25" i="2"/>
  <c r="S25" i="2"/>
  <c r="R25" i="2"/>
  <c r="Q25" i="2"/>
  <c r="P25" i="2"/>
  <c r="O25" i="2"/>
  <c r="N25" i="2"/>
  <c r="M25" i="2"/>
  <c r="AJ165" i="3" s="1"/>
  <c r="AM165" i="3" s="1"/>
  <c r="L25" i="2"/>
  <c r="W24" i="2"/>
  <c r="V24" i="2"/>
  <c r="U24" i="2"/>
  <c r="T24" i="2"/>
  <c r="S24" i="2"/>
  <c r="R24" i="2"/>
  <c r="Q24" i="2"/>
  <c r="P24" i="2"/>
  <c r="O24" i="2"/>
  <c r="N24" i="2"/>
  <c r="M24" i="2"/>
  <c r="AJ164" i="3" s="1"/>
  <c r="AM164" i="3" s="1"/>
  <c r="L24" i="2"/>
  <c r="W23" i="2"/>
  <c r="V23" i="2"/>
  <c r="U23" i="2"/>
  <c r="T23" i="2"/>
  <c r="S23" i="2"/>
  <c r="R23" i="2"/>
  <c r="Q23" i="2"/>
  <c r="P23" i="2"/>
  <c r="O23" i="2"/>
  <c r="N23" i="2"/>
  <c r="M23" i="2"/>
  <c r="AJ163" i="3" s="1"/>
  <c r="AM163" i="3" s="1"/>
  <c r="L23" i="2"/>
  <c r="W22" i="2"/>
  <c r="V22" i="2"/>
  <c r="U22" i="2"/>
  <c r="T22" i="2"/>
  <c r="S22" i="2"/>
  <c r="R22" i="2"/>
  <c r="Q22" i="2"/>
  <c r="P22" i="2"/>
  <c r="O22" i="2"/>
  <c r="N22" i="2"/>
  <c r="M22" i="2"/>
  <c r="L22" i="2"/>
  <c r="F22" i="2"/>
  <c r="W21" i="2"/>
  <c r="V21" i="2"/>
  <c r="U21" i="2"/>
  <c r="T21" i="2"/>
  <c r="S21" i="2"/>
  <c r="R21" i="2"/>
  <c r="Q21" i="2"/>
  <c r="P21" i="2"/>
  <c r="O21" i="2"/>
  <c r="N21" i="2"/>
  <c r="L21" i="2"/>
  <c r="M21" i="2" s="1"/>
  <c r="W20" i="2"/>
  <c r="V20" i="2"/>
  <c r="U20" i="2"/>
  <c r="T20" i="2"/>
  <c r="S20" i="2"/>
  <c r="R20" i="2"/>
  <c r="Q20" i="2"/>
  <c r="P20" i="2"/>
  <c r="O20" i="2"/>
  <c r="N20" i="2"/>
  <c r="L20" i="2"/>
  <c r="M20" i="2" s="1"/>
  <c r="W19" i="2"/>
  <c r="V19" i="2"/>
  <c r="U19" i="2"/>
  <c r="T19" i="2"/>
  <c r="S19" i="2"/>
  <c r="R19" i="2"/>
  <c r="Q19" i="2"/>
  <c r="P19" i="2"/>
  <c r="O19" i="2"/>
  <c r="N19" i="2"/>
  <c r="L19" i="2"/>
  <c r="W18" i="2"/>
  <c r="V18" i="2"/>
  <c r="U18" i="2"/>
  <c r="T18" i="2"/>
  <c r="S18" i="2"/>
  <c r="R18" i="2"/>
  <c r="Q18" i="2"/>
  <c r="P18" i="2"/>
  <c r="O18" i="2"/>
  <c r="N18" i="2"/>
  <c r="L18" i="2"/>
  <c r="M18" i="2" s="1"/>
  <c r="W17" i="2"/>
  <c r="V17" i="2"/>
  <c r="U17" i="2"/>
  <c r="T17" i="2"/>
  <c r="S17" i="2"/>
  <c r="R17" i="2"/>
  <c r="Q17" i="2"/>
  <c r="P17" i="2"/>
  <c r="O17" i="2"/>
  <c r="N17" i="2"/>
  <c r="L17" i="2"/>
  <c r="M17" i="2" s="1"/>
  <c r="W16" i="2"/>
  <c r="V16" i="2"/>
  <c r="U16" i="2"/>
  <c r="T16" i="2"/>
  <c r="S16" i="2"/>
  <c r="R16" i="2"/>
  <c r="Q16" i="2"/>
  <c r="P16" i="2"/>
  <c r="O16" i="2"/>
  <c r="N16" i="2"/>
  <c r="L16" i="2"/>
  <c r="W15" i="2"/>
  <c r="V15" i="2"/>
  <c r="U15" i="2"/>
  <c r="T15" i="2"/>
  <c r="S15" i="2"/>
  <c r="R15" i="2"/>
  <c r="Q15" i="2"/>
  <c r="P15" i="2"/>
  <c r="O15" i="2"/>
  <c r="N15" i="2"/>
  <c r="L15" i="2"/>
  <c r="M15" i="2" s="1"/>
  <c r="F15" i="2"/>
  <c r="W14" i="2"/>
  <c r="V14" i="2"/>
  <c r="U14" i="2"/>
  <c r="T14" i="2"/>
  <c r="S14" i="2"/>
  <c r="R14" i="2"/>
  <c r="Q14" i="2"/>
  <c r="P14" i="2"/>
  <c r="O14" i="2"/>
  <c r="N14" i="2"/>
  <c r="L14" i="2"/>
  <c r="W13" i="2"/>
  <c r="V13" i="2"/>
  <c r="U13" i="2"/>
  <c r="T13" i="2"/>
  <c r="S13" i="2"/>
  <c r="R13" i="2"/>
  <c r="Q13" i="2"/>
  <c r="P13" i="2"/>
  <c r="O13" i="2"/>
  <c r="N13" i="2"/>
  <c r="L13" i="2"/>
  <c r="W12" i="2"/>
  <c r="V12" i="2"/>
  <c r="U12" i="2"/>
  <c r="T12" i="2"/>
  <c r="S12" i="2"/>
  <c r="R12" i="2"/>
  <c r="Q12" i="2"/>
  <c r="P12" i="2"/>
  <c r="O12" i="2"/>
  <c r="N12" i="2"/>
  <c r="L12" i="2"/>
  <c r="W11" i="2"/>
  <c r="V11" i="2"/>
  <c r="U11" i="2"/>
  <c r="T11" i="2"/>
  <c r="S11" i="2"/>
  <c r="R11" i="2"/>
  <c r="Q11" i="2"/>
  <c r="P11" i="2"/>
  <c r="O11" i="2"/>
  <c r="N11" i="2"/>
  <c r="L11" i="2"/>
  <c r="W10" i="2"/>
  <c r="V10" i="2"/>
  <c r="U10" i="2"/>
  <c r="T10" i="2"/>
  <c r="S10" i="2"/>
  <c r="R10" i="2"/>
  <c r="Q10" i="2"/>
  <c r="P10" i="2"/>
  <c r="O10" i="2"/>
  <c r="N10" i="2"/>
  <c r="L10" i="2"/>
  <c r="W9" i="2"/>
  <c r="V9" i="2"/>
  <c r="U9" i="2"/>
  <c r="T9" i="2"/>
  <c r="S9" i="2"/>
  <c r="R9" i="2"/>
  <c r="Q9" i="2"/>
  <c r="P9" i="2"/>
  <c r="O9" i="2"/>
  <c r="N9" i="2"/>
  <c r="L9" i="2"/>
  <c r="W8" i="2"/>
  <c r="V8" i="2"/>
  <c r="U8" i="2"/>
  <c r="T8" i="2"/>
  <c r="S8" i="2"/>
  <c r="R8" i="2"/>
  <c r="Q8" i="2"/>
  <c r="P8" i="2"/>
  <c r="O8" i="2"/>
  <c r="N8" i="2"/>
  <c r="L8" i="2"/>
  <c r="W7" i="2"/>
  <c r="V7" i="2"/>
  <c r="U7" i="2"/>
  <c r="T7" i="2"/>
  <c r="S7" i="2"/>
  <c r="R7" i="2"/>
  <c r="Q7" i="2"/>
  <c r="P7" i="2"/>
  <c r="O7" i="2"/>
  <c r="N7" i="2"/>
  <c r="L7" i="2"/>
  <c r="M7" i="2" s="1"/>
  <c r="W6" i="2"/>
  <c r="V6" i="2"/>
  <c r="U6" i="2"/>
  <c r="T6" i="2"/>
  <c r="S6" i="2"/>
  <c r="R6" i="2"/>
  <c r="Q6" i="2"/>
  <c r="P6" i="2"/>
  <c r="O6" i="2"/>
  <c r="N6" i="2"/>
  <c r="L6" i="2"/>
  <c r="W5" i="2"/>
  <c r="V5" i="2"/>
  <c r="U5" i="2"/>
  <c r="T5" i="2"/>
  <c r="S5" i="2"/>
  <c r="R5" i="2"/>
  <c r="Q5" i="2"/>
  <c r="P5" i="2"/>
  <c r="O5" i="2"/>
  <c r="N5" i="2"/>
  <c r="L5" i="2"/>
  <c r="M5" i="2" s="1"/>
  <c r="W4" i="2"/>
  <c r="V4" i="2"/>
  <c r="U4" i="2"/>
  <c r="T4" i="2"/>
  <c r="S4" i="2"/>
  <c r="R4" i="2"/>
  <c r="Q4" i="2"/>
  <c r="P4" i="2"/>
  <c r="O4" i="2"/>
  <c r="N4" i="2"/>
  <c r="L4" i="2"/>
  <c r="W3" i="2"/>
  <c r="V3" i="2"/>
  <c r="U3" i="2"/>
  <c r="T3" i="2"/>
  <c r="S3" i="2"/>
  <c r="R3" i="2"/>
  <c r="Q3" i="2"/>
  <c r="P3" i="2"/>
  <c r="O3" i="2"/>
  <c r="N3" i="2"/>
  <c r="L3" i="2"/>
  <c r="E3" i="2"/>
  <c r="B3" i="2"/>
  <c r="W2" i="2"/>
  <c r="V2" i="2"/>
  <c r="U2" i="2"/>
  <c r="T2" i="2"/>
  <c r="S2" i="2"/>
  <c r="R2" i="2"/>
  <c r="Q2" i="2"/>
  <c r="P2" i="2"/>
  <c r="O2" i="2"/>
  <c r="N2" i="2"/>
  <c r="M2" i="2"/>
  <c r="AJ2" i="3" s="1"/>
  <c r="AM2" i="3" s="1"/>
  <c r="L2" i="2"/>
  <c r="W182" i="5"/>
  <c r="S182" i="5"/>
  <c r="U182" i="5" s="1"/>
  <c r="R182" i="5"/>
  <c r="W181" i="5"/>
  <c r="S181" i="5"/>
  <c r="U181" i="5" s="1"/>
  <c r="R181" i="5"/>
  <c r="W180" i="5"/>
  <c r="S180" i="5"/>
  <c r="U180" i="5" s="1"/>
  <c r="R180" i="5"/>
  <c r="W179" i="5"/>
  <c r="S179" i="5"/>
  <c r="U179" i="5" s="1"/>
  <c r="R179" i="5"/>
  <c r="W178" i="5"/>
  <c r="S178" i="5"/>
  <c r="U178" i="5" s="1"/>
  <c r="R178" i="5"/>
  <c r="W177" i="5"/>
  <c r="S177" i="5"/>
  <c r="U177" i="5" s="1"/>
  <c r="R177" i="5"/>
  <c r="W176" i="5"/>
  <c r="S176" i="5"/>
  <c r="U176" i="5" s="1"/>
  <c r="R176" i="5"/>
  <c r="W175" i="5"/>
  <c r="S175" i="5"/>
  <c r="U175" i="5" s="1"/>
  <c r="R175" i="5"/>
  <c r="W174" i="5"/>
  <c r="S174" i="5"/>
  <c r="U174" i="5" s="1"/>
  <c r="R174" i="5"/>
  <c r="W173" i="5"/>
  <c r="S173" i="5"/>
  <c r="U173" i="5" s="1"/>
  <c r="R173" i="5"/>
  <c r="W172" i="5"/>
  <c r="S172" i="5"/>
  <c r="U172" i="5" s="1"/>
  <c r="R172" i="5"/>
  <c r="W171" i="5"/>
  <c r="S171" i="5"/>
  <c r="U171" i="5" s="1"/>
  <c r="R171" i="5"/>
  <c r="W170" i="5"/>
  <c r="S170" i="5"/>
  <c r="U170" i="5" s="1"/>
  <c r="R170" i="5"/>
  <c r="W169" i="5"/>
  <c r="S169" i="5"/>
  <c r="U169" i="5" s="1"/>
  <c r="R169" i="5"/>
  <c r="W168" i="5"/>
  <c r="S168" i="5"/>
  <c r="U168" i="5" s="1"/>
  <c r="R168" i="5"/>
  <c r="W167" i="5"/>
  <c r="S167" i="5"/>
  <c r="U167" i="5" s="1"/>
  <c r="R167" i="5"/>
  <c r="W166" i="5"/>
  <c r="S166" i="5"/>
  <c r="U166" i="5" s="1"/>
  <c r="R166" i="5"/>
  <c r="W165" i="5"/>
  <c r="S165" i="5"/>
  <c r="U165" i="5" s="1"/>
  <c r="R165" i="5"/>
  <c r="W164" i="5"/>
  <c r="S164" i="5"/>
  <c r="U164" i="5" s="1"/>
  <c r="R164" i="5"/>
  <c r="W163" i="5"/>
  <c r="S163" i="5"/>
  <c r="U163" i="5" s="1"/>
  <c r="R163" i="5"/>
  <c r="W162" i="5"/>
  <c r="S162" i="5"/>
  <c r="U162" i="5" s="1"/>
  <c r="R162" i="5"/>
  <c r="W161" i="5"/>
  <c r="S161" i="5"/>
  <c r="U161" i="5" s="1"/>
  <c r="R161" i="5"/>
  <c r="W160" i="5"/>
  <c r="S160" i="5"/>
  <c r="U160" i="5" s="1"/>
  <c r="R160" i="5"/>
  <c r="W159" i="5"/>
  <c r="S159" i="5"/>
  <c r="U159" i="5" s="1"/>
  <c r="R159" i="5"/>
  <c r="W158" i="5"/>
  <c r="S158" i="5"/>
  <c r="U158" i="5" s="1"/>
  <c r="R158" i="5"/>
  <c r="W157" i="5"/>
  <c r="S157" i="5"/>
  <c r="U157" i="5" s="1"/>
  <c r="R157" i="5"/>
  <c r="W156" i="5"/>
  <c r="S156" i="5"/>
  <c r="U156" i="5" s="1"/>
  <c r="R156" i="5"/>
  <c r="W155" i="5"/>
  <c r="S155" i="5"/>
  <c r="U155" i="5" s="1"/>
  <c r="R155" i="5"/>
  <c r="W154" i="5"/>
  <c r="S154" i="5"/>
  <c r="U154" i="5" s="1"/>
  <c r="R154" i="5"/>
  <c r="W153" i="5"/>
  <c r="S153" i="5"/>
  <c r="U153" i="5" s="1"/>
  <c r="R153" i="5"/>
  <c r="W152" i="5"/>
  <c r="S152" i="5"/>
  <c r="U152" i="5" s="1"/>
  <c r="R152" i="5"/>
  <c r="W151" i="5"/>
  <c r="S151" i="5"/>
  <c r="U151" i="5" s="1"/>
  <c r="R151" i="5"/>
  <c r="W150" i="5"/>
  <c r="S150" i="5"/>
  <c r="U150" i="5" s="1"/>
  <c r="R150" i="5"/>
  <c r="W149" i="5"/>
  <c r="S149" i="5"/>
  <c r="U149" i="5" s="1"/>
  <c r="R149" i="5"/>
  <c r="W148" i="5"/>
  <c r="S148" i="5"/>
  <c r="U148" i="5" s="1"/>
  <c r="R148" i="5"/>
  <c r="W147" i="5"/>
  <c r="S147" i="5"/>
  <c r="U147" i="5" s="1"/>
  <c r="R147" i="5"/>
  <c r="W146" i="5"/>
  <c r="S146" i="5"/>
  <c r="U146" i="5" s="1"/>
  <c r="R146" i="5"/>
  <c r="W145" i="5"/>
  <c r="S145" i="5"/>
  <c r="U145" i="5" s="1"/>
  <c r="R145" i="5"/>
  <c r="W144" i="5"/>
  <c r="S144" i="5"/>
  <c r="U144" i="5" s="1"/>
  <c r="R144" i="5"/>
  <c r="W143" i="5"/>
  <c r="S143" i="5"/>
  <c r="U143" i="5" s="1"/>
  <c r="R143" i="5"/>
  <c r="W142" i="5"/>
  <c r="S142" i="5"/>
  <c r="U142" i="5" s="1"/>
  <c r="R142" i="5"/>
  <c r="W141" i="5"/>
  <c r="S141" i="5"/>
  <c r="U141" i="5" s="1"/>
  <c r="R141" i="5"/>
  <c r="W140" i="5"/>
  <c r="S140" i="5"/>
  <c r="U140" i="5" s="1"/>
  <c r="R140" i="5"/>
  <c r="W139" i="5"/>
  <c r="S139" i="5"/>
  <c r="U139" i="5" s="1"/>
  <c r="R139" i="5"/>
  <c r="W138" i="5"/>
  <c r="S138" i="5"/>
  <c r="U138" i="5" s="1"/>
  <c r="R138" i="5"/>
  <c r="W137" i="5"/>
  <c r="S137" i="5"/>
  <c r="U137" i="5" s="1"/>
  <c r="R137" i="5"/>
  <c r="W136" i="5"/>
  <c r="S136" i="5"/>
  <c r="U136" i="5" s="1"/>
  <c r="R136" i="5"/>
  <c r="W135" i="5"/>
  <c r="S135" i="5"/>
  <c r="U135" i="5" s="1"/>
  <c r="R135" i="5"/>
  <c r="W134" i="5"/>
  <c r="S134" i="5"/>
  <c r="U134" i="5" s="1"/>
  <c r="R134" i="5"/>
  <c r="W133" i="5"/>
  <c r="S133" i="5"/>
  <c r="U133" i="5" s="1"/>
  <c r="R133" i="5"/>
  <c r="W132" i="5"/>
  <c r="S132" i="5"/>
  <c r="U132" i="5" s="1"/>
  <c r="R132" i="5"/>
  <c r="W131" i="5"/>
  <c r="S131" i="5"/>
  <c r="U131" i="5" s="1"/>
  <c r="R131" i="5"/>
  <c r="W130" i="5"/>
  <c r="S130" i="5"/>
  <c r="U130" i="5" s="1"/>
  <c r="R130" i="5"/>
  <c r="W129" i="5"/>
  <c r="S129" i="5"/>
  <c r="U129" i="5" s="1"/>
  <c r="R129" i="5"/>
  <c r="W128" i="5"/>
  <c r="S128" i="5"/>
  <c r="U128" i="5" s="1"/>
  <c r="R128" i="5"/>
  <c r="W127" i="5"/>
  <c r="S127" i="5"/>
  <c r="U127" i="5" s="1"/>
  <c r="R127" i="5"/>
  <c r="W126" i="5"/>
  <c r="S126" i="5"/>
  <c r="U126" i="5" s="1"/>
  <c r="R126" i="5"/>
  <c r="W125" i="5"/>
  <c r="S125" i="5"/>
  <c r="U125" i="5" s="1"/>
  <c r="R125" i="5"/>
  <c r="W124" i="5"/>
  <c r="S124" i="5"/>
  <c r="U124" i="5" s="1"/>
  <c r="R124" i="5"/>
  <c r="W123" i="5"/>
  <c r="S123" i="5"/>
  <c r="U123" i="5" s="1"/>
  <c r="R123" i="5"/>
  <c r="W122" i="5"/>
  <c r="S122" i="5"/>
  <c r="U122" i="5" s="1"/>
  <c r="R122" i="5"/>
  <c r="W121" i="5"/>
  <c r="S121" i="5"/>
  <c r="U121" i="5" s="1"/>
  <c r="R121" i="5"/>
  <c r="W120" i="5"/>
  <c r="S120" i="5"/>
  <c r="U120" i="5" s="1"/>
  <c r="R120" i="5"/>
  <c r="W119" i="5"/>
  <c r="S119" i="5"/>
  <c r="U119" i="5" s="1"/>
  <c r="R119" i="5"/>
  <c r="W118" i="5"/>
  <c r="S118" i="5"/>
  <c r="U118" i="5" s="1"/>
  <c r="R118" i="5"/>
  <c r="W117" i="5"/>
  <c r="S117" i="5"/>
  <c r="U117" i="5" s="1"/>
  <c r="R117" i="5"/>
  <c r="W116" i="5"/>
  <c r="S116" i="5"/>
  <c r="U116" i="5" s="1"/>
  <c r="R116" i="5"/>
  <c r="W115" i="5"/>
  <c r="S115" i="5"/>
  <c r="U115" i="5" s="1"/>
  <c r="R115" i="5"/>
  <c r="W114" i="5"/>
  <c r="S114" i="5"/>
  <c r="U114" i="5" s="1"/>
  <c r="R114" i="5"/>
  <c r="W113" i="5"/>
  <c r="S113" i="5"/>
  <c r="U113" i="5" s="1"/>
  <c r="R113" i="5"/>
  <c r="W112" i="5"/>
  <c r="S112" i="5"/>
  <c r="U112" i="5" s="1"/>
  <c r="R112" i="5"/>
  <c r="W111" i="5"/>
  <c r="S111" i="5"/>
  <c r="U111" i="5" s="1"/>
  <c r="R111" i="5"/>
  <c r="S110" i="5"/>
  <c r="U110" i="5" s="1"/>
  <c r="R110" i="5"/>
  <c r="W109" i="5"/>
  <c r="S109" i="5"/>
  <c r="U109" i="5" s="1"/>
  <c r="R109" i="5"/>
  <c r="W108" i="5"/>
  <c r="S108" i="5"/>
  <c r="U108" i="5" s="1"/>
  <c r="R108" i="5"/>
  <c r="W107" i="5"/>
  <c r="S107" i="5"/>
  <c r="U107" i="5" s="1"/>
  <c r="R107" i="5"/>
  <c r="W106" i="5"/>
  <c r="S106" i="5"/>
  <c r="U106" i="5" s="1"/>
  <c r="R106" i="5"/>
  <c r="W105" i="5"/>
  <c r="S105" i="5"/>
  <c r="U105" i="5" s="1"/>
  <c r="R105" i="5"/>
  <c r="W104" i="5"/>
  <c r="S104" i="5"/>
  <c r="U104" i="5" s="1"/>
  <c r="R104" i="5"/>
  <c r="W103" i="5"/>
  <c r="S103" i="5"/>
  <c r="U103" i="5" s="1"/>
  <c r="R103" i="5"/>
  <c r="W102" i="5"/>
  <c r="S102" i="5"/>
  <c r="U102" i="5" s="1"/>
  <c r="R102" i="5"/>
  <c r="W101" i="5"/>
  <c r="S101" i="5"/>
  <c r="U101" i="5" s="1"/>
  <c r="R101" i="5"/>
  <c r="W100" i="5"/>
  <c r="S100" i="5"/>
  <c r="U100" i="5" s="1"/>
  <c r="R100" i="5"/>
  <c r="W99" i="5"/>
  <c r="S99" i="5"/>
  <c r="U99" i="5" s="1"/>
  <c r="R99" i="5"/>
  <c r="W98" i="5"/>
  <c r="S98" i="5"/>
  <c r="U98" i="5" s="1"/>
  <c r="R98" i="5"/>
  <c r="W97" i="5"/>
  <c r="S97" i="5"/>
  <c r="U97" i="5" s="1"/>
  <c r="R97" i="5"/>
  <c r="W96" i="5"/>
  <c r="S96" i="5"/>
  <c r="U96" i="5" s="1"/>
  <c r="R96" i="5"/>
  <c r="W95" i="5"/>
  <c r="S95" i="5"/>
  <c r="U95" i="5" s="1"/>
  <c r="R95" i="5"/>
  <c r="W94" i="5"/>
  <c r="S94" i="5"/>
  <c r="U94" i="5" s="1"/>
  <c r="R94" i="5"/>
  <c r="W93" i="5"/>
  <c r="S93" i="5"/>
  <c r="U93" i="5" s="1"/>
  <c r="R93" i="5"/>
  <c r="W92" i="5"/>
  <c r="S92" i="5"/>
  <c r="U92" i="5" s="1"/>
  <c r="R92" i="5"/>
  <c r="W91" i="5"/>
  <c r="S91" i="5"/>
  <c r="U91" i="5" s="1"/>
  <c r="R91" i="5"/>
  <c r="W90" i="5"/>
  <c r="S90" i="5"/>
  <c r="U90" i="5" s="1"/>
  <c r="R90" i="5"/>
  <c r="W89" i="5"/>
  <c r="S89" i="5"/>
  <c r="U89" i="5" s="1"/>
  <c r="R89" i="5"/>
  <c r="W88" i="5"/>
  <c r="S88" i="5"/>
  <c r="U88" i="5" s="1"/>
  <c r="R88" i="5"/>
  <c r="W87" i="5"/>
  <c r="S87" i="5"/>
  <c r="U87" i="5" s="1"/>
  <c r="R87" i="5"/>
  <c r="W86" i="5"/>
  <c r="S86" i="5"/>
  <c r="U86" i="5" s="1"/>
  <c r="R86" i="5"/>
  <c r="W85" i="5"/>
  <c r="S85" i="5"/>
  <c r="U85" i="5" s="1"/>
  <c r="R85" i="5"/>
  <c r="W84" i="5"/>
  <c r="S84" i="5"/>
  <c r="U84" i="5" s="1"/>
  <c r="R84" i="5"/>
  <c r="W83" i="5"/>
  <c r="S83" i="5"/>
  <c r="U83" i="5" s="1"/>
  <c r="R83" i="5"/>
  <c r="S82" i="5"/>
  <c r="R82" i="5"/>
  <c r="W81" i="5"/>
  <c r="S81" i="5"/>
  <c r="U81" i="5" s="1"/>
  <c r="R81" i="5"/>
  <c r="W80" i="5"/>
  <c r="S80" i="5"/>
  <c r="U80" i="5" s="1"/>
  <c r="R80" i="5"/>
  <c r="W79" i="5"/>
  <c r="S79" i="5"/>
  <c r="U79" i="5" s="1"/>
  <c r="R79" i="5"/>
  <c r="W78" i="5"/>
  <c r="S78" i="5"/>
  <c r="U78" i="5" s="1"/>
  <c r="R78" i="5"/>
  <c r="W77" i="5"/>
  <c r="S77" i="5"/>
  <c r="U77" i="5" s="1"/>
  <c r="R77" i="5"/>
  <c r="W76" i="5"/>
  <c r="S76" i="5"/>
  <c r="U76" i="5" s="1"/>
  <c r="R76" i="5"/>
  <c r="W75" i="5"/>
  <c r="S75" i="5"/>
  <c r="U75" i="5" s="1"/>
  <c r="R75" i="5"/>
  <c r="W74" i="5"/>
  <c r="S74" i="5"/>
  <c r="U74" i="5" s="1"/>
  <c r="R74" i="5"/>
  <c r="W73" i="5"/>
  <c r="S73" i="5"/>
  <c r="U73" i="5" s="1"/>
  <c r="R73" i="5"/>
  <c r="W72" i="5"/>
  <c r="S72" i="5"/>
  <c r="U72" i="5" s="1"/>
  <c r="R72" i="5"/>
  <c r="W71" i="5"/>
  <c r="S71" i="5"/>
  <c r="U71" i="5" s="1"/>
  <c r="R71" i="5"/>
  <c r="W70" i="5"/>
  <c r="S70" i="5"/>
  <c r="U70" i="5" s="1"/>
  <c r="R70" i="5"/>
  <c r="W69" i="5"/>
  <c r="S69" i="5"/>
  <c r="U69" i="5" s="1"/>
  <c r="R69" i="5"/>
  <c r="W68" i="5"/>
  <c r="S68" i="5"/>
  <c r="U68" i="5" s="1"/>
  <c r="R68" i="5"/>
  <c r="W67" i="5"/>
  <c r="S67" i="5"/>
  <c r="U67" i="5" s="1"/>
  <c r="R67" i="5"/>
  <c r="C67" i="5"/>
  <c r="W66" i="5"/>
  <c r="S66" i="5"/>
  <c r="U66" i="5" s="1"/>
  <c r="R66" i="5"/>
  <c r="C66" i="5"/>
  <c r="W65" i="5"/>
  <c r="S65" i="5"/>
  <c r="U65" i="5" s="1"/>
  <c r="R65" i="5"/>
  <c r="W64" i="5"/>
  <c r="S64" i="5"/>
  <c r="U64" i="5" s="1"/>
  <c r="R64" i="5"/>
  <c r="W63" i="5"/>
  <c r="S63" i="5"/>
  <c r="U63" i="5" s="1"/>
  <c r="R63" i="5"/>
  <c r="W62" i="5"/>
  <c r="S62" i="5"/>
  <c r="U62" i="5" s="1"/>
  <c r="R62" i="5"/>
  <c r="C62" i="5"/>
  <c r="W61" i="5"/>
  <c r="S61" i="5"/>
  <c r="U61" i="5" s="1"/>
  <c r="R61" i="5"/>
  <c r="W60" i="5"/>
  <c r="S60" i="5"/>
  <c r="U60" i="5" s="1"/>
  <c r="R60" i="5"/>
  <c r="W59" i="5"/>
  <c r="S59" i="5"/>
  <c r="U59" i="5" s="1"/>
  <c r="R59" i="5"/>
  <c r="W58" i="5"/>
  <c r="S58" i="5"/>
  <c r="U58" i="5" s="1"/>
  <c r="R58" i="5"/>
  <c r="W57" i="5"/>
  <c r="S57" i="5"/>
  <c r="U57" i="5" s="1"/>
  <c r="R57" i="5"/>
  <c r="B57" i="5"/>
  <c r="B52" i="5" s="1"/>
  <c r="W56" i="5"/>
  <c r="S56" i="5"/>
  <c r="U56" i="5" s="1"/>
  <c r="R56" i="5"/>
  <c r="C56" i="5"/>
  <c r="W55" i="5"/>
  <c r="S55" i="5"/>
  <c r="U55" i="5" s="1"/>
  <c r="R55" i="5"/>
  <c r="W54" i="5"/>
  <c r="S54" i="5"/>
  <c r="U54" i="5" s="1"/>
  <c r="R54" i="5"/>
  <c r="W53" i="5"/>
  <c r="S53" i="5"/>
  <c r="U53" i="5" s="1"/>
  <c r="R53" i="5"/>
  <c r="D53" i="5"/>
  <c r="W52" i="5"/>
  <c r="S52" i="5"/>
  <c r="U52" i="5" s="1"/>
  <c r="R52" i="5"/>
  <c r="W51" i="5"/>
  <c r="S51" i="5"/>
  <c r="U51" i="5" s="1"/>
  <c r="R51" i="5"/>
  <c r="W50" i="5"/>
  <c r="S50" i="5"/>
  <c r="U50" i="5" s="1"/>
  <c r="R50" i="5"/>
  <c r="E50" i="5"/>
  <c r="W49" i="5"/>
  <c r="S49" i="5"/>
  <c r="U49" i="5" s="1"/>
  <c r="R49" i="5"/>
  <c r="W48" i="5"/>
  <c r="S48" i="5"/>
  <c r="U48" i="5" s="1"/>
  <c r="R48" i="5"/>
  <c r="W47" i="5"/>
  <c r="S47" i="5"/>
  <c r="U47" i="5" s="1"/>
  <c r="R47" i="5"/>
  <c r="D47" i="5"/>
  <c r="W46" i="5"/>
  <c r="S46" i="5"/>
  <c r="U46" i="5" s="1"/>
  <c r="R46" i="5"/>
  <c r="W45" i="5"/>
  <c r="S45" i="5"/>
  <c r="U45" i="5" s="1"/>
  <c r="R45" i="5"/>
  <c r="W44" i="5"/>
  <c r="S44" i="5"/>
  <c r="U44" i="5" s="1"/>
  <c r="R44" i="5"/>
  <c r="A44" i="5"/>
  <c r="W43" i="5"/>
  <c r="S43" i="5"/>
  <c r="U43" i="5" s="1"/>
  <c r="R43" i="5"/>
  <c r="J43" i="5"/>
  <c r="E43" i="5"/>
  <c r="W42" i="5"/>
  <c r="S42" i="5"/>
  <c r="U42" i="5" s="1"/>
  <c r="R42" i="5"/>
  <c r="J42" i="5"/>
  <c r="W41" i="5"/>
  <c r="S41" i="5"/>
  <c r="U41" i="5" s="1"/>
  <c r="R41" i="5"/>
  <c r="J41" i="5"/>
  <c r="W40" i="5"/>
  <c r="S40" i="5"/>
  <c r="U40" i="5" s="1"/>
  <c r="R40" i="5"/>
  <c r="J40" i="5"/>
  <c r="W39" i="5"/>
  <c r="S39" i="5"/>
  <c r="U39" i="5" s="1"/>
  <c r="R39" i="5"/>
  <c r="J39" i="5"/>
  <c r="W38" i="5"/>
  <c r="S38" i="5"/>
  <c r="U38" i="5" s="1"/>
  <c r="R38" i="5"/>
  <c r="O38" i="5"/>
  <c r="N38" i="5"/>
  <c r="J38" i="5"/>
  <c r="W37" i="5"/>
  <c r="S37" i="5"/>
  <c r="U37" i="5" s="1"/>
  <c r="R37" i="5"/>
  <c r="O37" i="5"/>
  <c r="N37" i="5"/>
  <c r="J37" i="5"/>
  <c r="W36" i="5"/>
  <c r="S36" i="5"/>
  <c r="U36" i="5" s="1"/>
  <c r="R36" i="5"/>
  <c r="O36" i="5"/>
  <c r="N36" i="5"/>
  <c r="J36" i="5"/>
  <c r="W35" i="5"/>
  <c r="S35" i="5"/>
  <c r="U35" i="5" s="1"/>
  <c r="R35" i="5"/>
  <c r="O35" i="5"/>
  <c r="N35" i="5"/>
  <c r="J35" i="5"/>
  <c r="W34" i="5"/>
  <c r="S34" i="5"/>
  <c r="U34" i="5" s="1"/>
  <c r="R34" i="5"/>
  <c r="O34" i="5"/>
  <c r="N34" i="5"/>
  <c r="J34" i="5"/>
  <c r="W33" i="5"/>
  <c r="S33" i="5"/>
  <c r="U33" i="5" s="1"/>
  <c r="R33" i="5"/>
  <c r="O33" i="5"/>
  <c r="N33" i="5"/>
  <c r="J33" i="5"/>
  <c r="W32" i="5"/>
  <c r="S32" i="5"/>
  <c r="U32" i="5" s="1"/>
  <c r="R32" i="5"/>
  <c r="J32" i="5"/>
  <c r="O32" i="5" s="1"/>
  <c r="W31" i="5"/>
  <c r="S31" i="5"/>
  <c r="U31" i="5" s="1"/>
  <c r="R31" i="5"/>
  <c r="W30" i="5"/>
  <c r="S30" i="5"/>
  <c r="U30" i="5" s="1"/>
  <c r="R30" i="5"/>
  <c r="O30" i="5"/>
  <c r="N30" i="5"/>
  <c r="W29" i="5"/>
  <c r="S29" i="5"/>
  <c r="U29" i="5" s="1"/>
  <c r="R29" i="5"/>
  <c r="O29" i="5"/>
  <c r="N29" i="5"/>
  <c r="W28" i="5"/>
  <c r="S28" i="5"/>
  <c r="U28" i="5" s="1"/>
  <c r="R28" i="5"/>
  <c r="O28" i="5"/>
  <c r="N28" i="5"/>
  <c r="W27" i="5"/>
  <c r="S27" i="5"/>
  <c r="U27" i="5" s="1"/>
  <c r="R27" i="5"/>
  <c r="O27" i="5"/>
  <c r="N27" i="5"/>
  <c r="W26" i="5"/>
  <c r="S26" i="5"/>
  <c r="U26" i="5" s="1"/>
  <c r="R26" i="5"/>
  <c r="O26" i="5"/>
  <c r="N26" i="5"/>
  <c r="W25" i="5"/>
  <c r="S25" i="5"/>
  <c r="U25" i="5" s="1"/>
  <c r="R25" i="5"/>
  <c r="O25" i="5"/>
  <c r="N25" i="5"/>
  <c r="W24" i="5"/>
  <c r="S24" i="5"/>
  <c r="U24" i="5" s="1"/>
  <c r="R24" i="5"/>
  <c r="O24" i="5"/>
  <c r="N24" i="5"/>
  <c r="W23" i="5"/>
  <c r="S23" i="5"/>
  <c r="U23" i="5" s="1"/>
  <c r="R23" i="5"/>
  <c r="N23" i="5"/>
  <c r="M23" i="5"/>
  <c r="O23" i="5" s="1"/>
  <c r="W22" i="5"/>
  <c r="S22" i="5"/>
  <c r="U22" i="5" s="1"/>
  <c r="R22" i="5"/>
  <c r="N22" i="5"/>
  <c r="M22" i="5"/>
  <c r="O22" i="5" s="1"/>
  <c r="W21" i="5"/>
  <c r="S21" i="5"/>
  <c r="U21" i="5" s="1"/>
  <c r="R21" i="5"/>
  <c r="N21" i="5"/>
  <c r="M21" i="5"/>
  <c r="O21" i="5" s="1"/>
  <c r="W20" i="5"/>
  <c r="S20" i="5"/>
  <c r="U20" i="5" s="1"/>
  <c r="R20" i="5"/>
  <c r="N20" i="5"/>
  <c r="M20" i="5"/>
  <c r="O20" i="5" s="1"/>
  <c r="W19" i="5"/>
  <c r="S19" i="5"/>
  <c r="U19" i="5" s="1"/>
  <c r="R19" i="5"/>
  <c r="N19" i="5"/>
  <c r="M19" i="5"/>
  <c r="O19" i="5" s="1"/>
  <c r="W18" i="5"/>
  <c r="S18" i="5"/>
  <c r="U18" i="5" s="1"/>
  <c r="R18" i="5"/>
  <c r="N18" i="5"/>
  <c r="M18" i="5"/>
  <c r="O18" i="5" s="1"/>
  <c r="W17" i="5"/>
  <c r="S17" i="5"/>
  <c r="U17" i="5" s="1"/>
  <c r="R17" i="5"/>
  <c r="N17" i="5"/>
  <c r="M17" i="5"/>
  <c r="O17" i="5" s="1"/>
  <c r="W16" i="5"/>
  <c r="S16" i="5"/>
  <c r="U16" i="5" s="1"/>
  <c r="R16" i="5"/>
  <c r="N16" i="5"/>
  <c r="M16" i="5"/>
  <c r="O16" i="5" s="1"/>
  <c r="W82" i="5" s="1"/>
  <c r="W15" i="5"/>
  <c r="S15" i="5"/>
  <c r="U15" i="5" s="1"/>
  <c r="R15" i="5"/>
  <c r="W14" i="5"/>
  <c r="S14" i="5"/>
  <c r="U14" i="5" s="1"/>
  <c r="R14" i="5"/>
  <c r="W13" i="5"/>
  <c r="S13" i="5"/>
  <c r="U13" i="5" s="1"/>
  <c r="R13" i="5"/>
  <c r="W12" i="5"/>
  <c r="S12" i="5"/>
  <c r="U12" i="5" s="1"/>
  <c r="R12" i="5"/>
  <c r="C12" i="5"/>
  <c r="W11" i="5"/>
  <c r="S11" i="5"/>
  <c r="U11" i="5" s="1"/>
  <c r="R11" i="5"/>
  <c r="C11" i="5"/>
  <c r="W10" i="5"/>
  <c r="S10" i="5"/>
  <c r="U10" i="5" s="1"/>
  <c r="R10" i="5"/>
  <c r="W9" i="5"/>
  <c r="S9" i="5"/>
  <c r="U9" i="5" s="1"/>
  <c r="R9" i="5"/>
  <c r="W8" i="5"/>
  <c r="S8" i="5"/>
  <c r="U8" i="5" s="1"/>
  <c r="R8" i="5"/>
  <c r="W7" i="5"/>
  <c r="S7" i="5"/>
  <c r="U7" i="5" s="1"/>
  <c r="R7" i="5"/>
  <c r="W6" i="5"/>
  <c r="S6" i="5"/>
  <c r="U6" i="5" s="1"/>
  <c r="R6" i="5"/>
  <c r="W5" i="5"/>
  <c r="S5" i="5"/>
  <c r="U5" i="5" s="1"/>
  <c r="R5" i="5"/>
  <c r="W4" i="5"/>
  <c r="S4" i="5"/>
  <c r="U4" i="5" s="1"/>
  <c r="R4" i="5"/>
  <c r="W3" i="5"/>
  <c r="S3" i="5"/>
  <c r="U3" i="5" s="1"/>
  <c r="R3" i="5"/>
  <c r="W2" i="5"/>
  <c r="S2" i="5"/>
  <c r="R2" i="5"/>
  <c r="O1" i="5"/>
  <c r="AJ154" i="3" l="1"/>
  <c r="AM154" i="3" s="1"/>
  <c r="AJ4" i="3"/>
  <c r="AM4" i="3" s="1"/>
  <c r="AJ148" i="3"/>
  <c r="AM148" i="3" s="1"/>
  <c r="AJ150" i="3"/>
  <c r="AM150" i="3" s="1"/>
  <c r="AJ152" i="3"/>
  <c r="AM152" i="3" s="1"/>
  <c r="M16" i="2"/>
  <c r="AJ156" i="3" s="1"/>
  <c r="AM156" i="3" s="1"/>
  <c r="AJ185" i="3"/>
  <c r="AM185" i="3" s="1"/>
  <c r="M45" i="2"/>
  <c r="AJ158" i="3"/>
  <c r="AM158" i="3" s="1"/>
  <c r="AJ171" i="3"/>
  <c r="AM171" i="3" s="1"/>
  <c r="AJ189" i="3"/>
  <c r="AM189" i="3" s="1"/>
  <c r="M3" i="2"/>
  <c r="AJ3" i="3" s="1"/>
  <c r="AM3" i="3" s="1"/>
  <c r="M4" i="2"/>
  <c r="AJ144" i="3" s="1"/>
  <c r="AM144" i="3" s="1"/>
  <c r="M6" i="2"/>
  <c r="AJ146" i="3" s="1"/>
  <c r="AM146" i="3" s="1"/>
  <c r="M8" i="2"/>
  <c r="M9" i="2"/>
  <c r="AJ9" i="3" s="1"/>
  <c r="AM9" i="3" s="1"/>
  <c r="M10" i="2"/>
  <c r="M11" i="2"/>
  <c r="AJ151" i="3" s="1"/>
  <c r="AM151" i="3" s="1"/>
  <c r="M12" i="2"/>
  <c r="M13" i="2"/>
  <c r="AJ153" i="3" s="1"/>
  <c r="AM153" i="3" s="1"/>
  <c r="M14" i="2"/>
  <c r="AJ159" i="3"/>
  <c r="AM159" i="3" s="1"/>
  <c r="M19" i="2"/>
  <c r="M29" i="2"/>
  <c r="M30" i="2"/>
  <c r="M32" i="2"/>
  <c r="M33" i="2"/>
  <c r="M34" i="2"/>
  <c r="M35" i="2"/>
  <c r="AJ188" i="3"/>
  <c r="AM188" i="3" s="1"/>
  <c r="M48" i="2"/>
  <c r="AJ6" i="3"/>
  <c r="AM6" i="3" s="1"/>
  <c r="AJ8" i="3"/>
  <c r="AM8" i="3" s="1"/>
  <c r="AJ10" i="3"/>
  <c r="AM10" i="3" s="1"/>
  <c r="AJ155" i="3"/>
  <c r="AM155" i="3" s="1"/>
  <c r="AJ160" i="3"/>
  <c r="AM160" i="3" s="1"/>
  <c r="AJ183" i="3"/>
  <c r="AM183" i="3" s="1"/>
  <c r="AJ143" i="3"/>
  <c r="AM143" i="3" s="1"/>
  <c r="AJ145" i="3"/>
  <c r="AM145" i="3" s="1"/>
  <c r="AJ5" i="3"/>
  <c r="AM5" i="3" s="1"/>
  <c r="AJ147" i="3"/>
  <c r="AM147" i="3" s="1"/>
  <c r="AJ12" i="3"/>
  <c r="AM12" i="3" s="1"/>
  <c r="AJ162" i="3"/>
  <c r="AM162" i="3" s="1"/>
  <c r="AJ7" i="3"/>
  <c r="AM7" i="3" s="1"/>
  <c r="AJ11" i="3"/>
  <c r="AM11" i="3" s="1"/>
  <c r="AJ187" i="3"/>
  <c r="AM187" i="3" s="1"/>
  <c r="AJ142" i="3"/>
  <c r="AM142" i="3" s="1"/>
  <c r="N32" i="5"/>
  <c r="J31" i="5"/>
  <c r="W110" i="5"/>
  <c r="Z20" i="5" s="1"/>
  <c r="T2" i="5"/>
  <c r="T3" i="5" s="1"/>
  <c r="T4" i="5" s="1"/>
  <c r="T5" i="5" s="1"/>
  <c r="T6" i="5" s="1"/>
  <c r="P34" i="5"/>
  <c r="P38" i="5"/>
  <c r="P27" i="5"/>
  <c r="P30" i="5"/>
  <c r="P25" i="5"/>
  <c r="P17" i="5"/>
  <c r="P21" i="5"/>
  <c r="P28" i="5"/>
  <c r="P31" i="5"/>
  <c r="M2" i="5"/>
  <c r="P18" i="5"/>
  <c r="P19" i="5"/>
  <c r="P20" i="5"/>
  <c r="P24" i="5"/>
  <c r="P29" i="5"/>
  <c r="P35" i="5"/>
  <c r="P36" i="5"/>
  <c r="P37" i="5"/>
  <c r="P22" i="5"/>
  <c r="P23" i="5"/>
  <c r="P26" i="5"/>
  <c r="P32" i="5"/>
  <c r="P33" i="5"/>
  <c r="M3" i="5"/>
  <c r="M1" i="5"/>
  <c r="U2" i="5"/>
  <c r="Z11" i="5"/>
  <c r="Z29" i="5"/>
  <c r="Y9" i="3"/>
  <c r="D6" i="3" s="1"/>
  <c r="AB9" i="3"/>
  <c r="G5" i="3" s="1"/>
  <c r="Z9" i="3"/>
  <c r="I6" i="3" s="1"/>
  <c r="AJ13" i="3" l="1"/>
  <c r="AM13" i="3" s="1"/>
  <c r="AJ149" i="3"/>
  <c r="AM149" i="3" s="1"/>
  <c r="Z25" i="5"/>
  <c r="Z16" i="5"/>
  <c r="O31" i="5"/>
  <c r="N31" i="5"/>
  <c r="Z17" i="5"/>
  <c r="Z36" i="5"/>
  <c r="Z19" i="5"/>
  <c r="Z8" i="5"/>
  <c r="Z15" i="5"/>
  <c r="Z31" i="5"/>
  <c r="Z30" i="5"/>
  <c r="Z26" i="5"/>
  <c r="Z21" i="5"/>
  <c r="Z37" i="5"/>
  <c r="Z18" i="5"/>
  <c r="Z14" i="5"/>
  <c r="Z24" i="5"/>
  <c r="Z35" i="5"/>
  <c r="Z34" i="5"/>
  <c r="Z22" i="5"/>
  <c r="Z28" i="5"/>
  <c r="Z12" i="5"/>
  <c r="Z13" i="5"/>
  <c r="Z27" i="5"/>
  <c r="Z23" i="5"/>
  <c r="Z9" i="5"/>
  <c r="Z10" i="5"/>
  <c r="Z33" i="5"/>
  <c r="Z32" i="5"/>
  <c r="X2" i="5"/>
  <c r="AA8" i="5" s="1"/>
  <c r="AI8" i="5" s="1"/>
  <c r="X5" i="5"/>
  <c r="AD8" i="5" s="1"/>
  <c r="X4" i="5"/>
  <c r="AC8" i="5" s="1"/>
  <c r="X3" i="5"/>
  <c r="AB8" i="5" s="1"/>
  <c r="T7" i="5"/>
  <c r="X6" i="5"/>
  <c r="AE8" i="5" s="1"/>
  <c r="T8" i="5" l="1"/>
  <c r="X7" i="5"/>
  <c r="AF8" i="5" s="1"/>
  <c r="AJ8" i="5" s="1"/>
  <c r="AH8" i="5" l="1"/>
  <c r="T9" i="5"/>
  <c r="X8" i="5"/>
  <c r="AA9" i="5" s="1"/>
  <c r="AK8" i="5"/>
  <c r="AG8" i="5" l="1"/>
  <c r="AI9" i="5"/>
  <c r="T10" i="5"/>
  <c r="X9" i="5"/>
  <c r="AB9" i="5" s="1"/>
  <c r="X10" i="5" l="1"/>
  <c r="AC9" i="5" s="1"/>
  <c r="T11" i="5"/>
  <c r="T12" i="5" l="1"/>
  <c r="X11" i="5"/>
  <c r="AD9" i="5" s="1"/>
  <c r="T13" i="5" l="1"/>
  <c r="X12" i="5"/>
  <c r="AE9" i="5" s="1"/>
  <c r="X13" i="5" l="1"/>
  <c r="AF9" i="5" s="1"/>
  <c r="T14" i="5"/>
  <c r="T15" i="5" l="1"/>
  <c r="X14" i="5"/>
  <c r="AA10" i="5" s="1"/>
  <c r="AJ9" i="5"/>
  <c r="AH9" i="5"/>
  <c r="AK9" i="5"/>
  <c r="AG9" i="5" l="1"/>
  <c r="AI10" i="5"/>
  <c r="T16" i="5"/>
  <c r="X15" i="5"/>
  <c r="AB10" i="5" s="1"/>
  <c r="T17" i="5" l="1"/>
  <c r="X16" i="5"/>
  <c r="AC10" i="5" s="1"/>
  <c r="X17" i="5" l="1"/>
  <c r="AD10" i="5" s="1"/>
  <c r="T18" i="5"/>
  <c r="T19" i="5" l="1"/>
  <c r="X18" i="5"/>
  <c r="AE10" i="5" s="1"/>
  <c r="T20" i="5" l="1"/>
  <c r="X19" i="5"/>
  <c r="AF10" i="5" s="1"/>
  <c r="AJ10" i="5" l="1"/>
  <c r="AH10" i="5"/>
  <c r="T21" i="5"/>
  <c r="X20" i="5"/>
  <c r="AA11" i="5" s="1"/>
  <c r="AK10" i="5"/>
  <c r="AI11" i="5" l="1"/>
  <c r="X21" i="5"/>
  <c r="AB11" i="5" s="1"/>
  <c r="T22" i="5"/>
  <c r="AG10" i="5"/>
  <c r="T23" i="5" l="1"/>
  <c r="X22" i="5"/>
  <c r="AC11" i="5" s="1"/>
  <c r="T24" i="5" l="1"/>
  <c r="X23" i="5"/>
  <c r="AD11" i="5" s="1"/>
  <c r="T25" i="5" l="1"/>
  <c r="X24" i="5"/>
  <c r="AE11" i="5" s="1"/>
  <c r="T26" i="5" l="1"/>
  <c r="X25" i="5"/>
  <c r="AF11" i="5" s="1"/>
  <c r="AJ11" i="5" l="1"/>
  <c r="AK11" i="5"/>
  <c r="T27" i="5"/>
  <c r="X26" i="5"/>
  <c r="AA12" i="5" s="1"/>
  <c r="AH11" i="5"/>
  <c r="AG11" i="5" l="1"/>
  <c r="AI12" i="5"/>
  <c r="T28" i="5"/>
  <c r="X27" i="5"/>
  <c r="AB12" i="5" s="1"/>
  <c r="T29" i="5" l="1"/>
  <c r="X28" i="5"/>
  <c r="AC12" i="5" s="1"/>
  <c r="T30" i="5" l="1"/>
  <c r="X29" i="5"/>
  <c r="AD12" i="5" s="1"/>
  <c r="T31" i="5" l="1"/>
  <c r="X30" i="5"/>
  <c r="AE12" i="5" s="1"/>
  <c r="T32" i="5" l="1"/>
  <c r="X31" i="5"/>
  <c r="AF12" i="5" s="1"/>
  <c r="AJ12" i="5" l="1"/>
  <c r="AH12" i="5"/>
  <c r="AK12" i="5"/>
  <c r="T33" i="5"/>
  <c r="X32" i="5"/>
  <c r="AA13" i="5" s="1"/>
  <c r="T34" i="5" l="1"/>
  <c r="X33" i="5"/>
  <c r="AB13" i="5" s="1"/>
  <c r="AG12" i="5"/>
  <c r="AI13" i="5"/>
  <c r="AI4" i="5" s="1"/>
  <c r="B37" i="5" l="1"/>
  <c r="T35" i="5"/>
  <c r="X34" i="5"/>
  <c r="AC13" i="5" s="1"/>
  <c r="T36" i="5" l="1"/>
  <c r="X35" i="5"/>
  <c r="AD13" i="5" s="1"/>
  <c r="C37" i="5"/>
  <c r="D37" i="5"/>
  <c r="T37" i="5" l="1"/>
  <c r="X36" i="5"/>
  <c r="AE13" i="5" s="1"/>
  <c r="T38" i="5" l="1"/>
  <c r="X37" i="5"/>
  <c r="AF13" i="5" s="1"/>
  <c r="AJ13" i="5" l="1"/>
  <c r="AK13" i="5"/>
  <c r="T39" i="5"/>
  <c r="X38" i="5"/>
  <c r="AA14" i="5" s="1"/>
  <c r="AH13" i="5"/>
  <c r="AG13" i="5" l="1"/>
  <c r="AI14" i="5"/>
  <c r="T40" i="5"/>
  <c r="X39" i="5"/>
  <c r="AB14" i="5" s="1"/>
  <c r="T41" i="5" l="1"/>
  <c r="X40" i="5"/>
  <c r="AC14" i="5" s="1"/>
  <c r="T42" i="5" l="1"/>
  <c r="X41" i="5"/>
  <c r="AD14" i="5" s="1"/>
  <c r="T43" i="5" l="1"/>
  <c r="X42" i="5"/>
  <c r="AE14" i="5" s="1"/>
  <c r="T44" i="5" l="1"/>
  <c r="X43" i="5"/>
  <c r="AF14" i="5" s="1"/>
  <c r="AJ14" i="5" l="1"/>
  <c r="AK14" i="5"/>
  <c r="T45" i="5"/>
  <c r="X44" i="5"/>
  <c r="AA15" i="5" s="1"/>
  <c r="AH14" i="5"/>
  <c r="AG14" i="5" l="1"/>
  <c r="B13" i="5" s="1"/>
  <c r="C13" i="5" s="1"/>
  <c r="AI15" i="5"/>
  <c r="T46" i="5"/>
  <c r="X45" i="5"/>
  <c r="AB15" i="5" s="1"/>
  <c r="D13" i="5" l="1"/>
  <c r="T47" i="5"/>
  <c r="X46" i="5"/>
  <c r="AC15" i="5" s="1"/>
  <c r="T48" i="5" l="1"/>
  <c r="X47" i="5"/>
  <c r="AD15" i="5" s="1"/>
  <c r="T49" i="5" l="1"/>
  <c r="X48" i="5"/>
  <c r="AE15" i="5" s="1"/>
  <c r="T50" i="5" l="1"/>
  <c r="X49" i="5"/>
  <c r="AF15" i="5" s="1"/>
  <c r="AJ15" i="5" l="1"/>
  <c r="AH15" i="5"/>
  <c r="T51" i="5"/>
  <c r="X50" i="5"/>
  <c r="AA16" i="5" s="1"/>
  <c r="AK15" i="5"/>
  <c r="AI16" i="5" l="1"/>
  <c r="T52" i="5"/>
  <c r="X51" i="5"/>
  <c r="AB16" i="5" s="1"/>
  <c r="AG15" i="5"/>
  <c r="B14" i="5" s="1"/>
  <c r="T53" i="5" l="1"/>
  <c r="X52" i="5"/>
  <c r="AC16" i="5" s="1"/>
  <c r="D14" i="5"/>
  <c r="C14" i="5"/>
  <c r="T54" i="5" l="1"/>
  <c r="X53" i="5"/>
  <c r="AD16" i="5" s="1"/>
  <c r="T55" i="5" l="1"/>
  <c r="X54" i="5"/>
  <c r="AE16" i="5" s="1"/>
  <c r="T56" i="5" l="1"/>
  <c r="X55" i="5"/>
  <c r="AF16" i="5" s="1"/>
  <c r="AJ16" i="5" l="1"/>
  <c r="AK16" i="5"/>
  <c r="AH16" i="5"/>
  <c r="T57" i="5"/>
  <c r="X56" i="5"/>
  <c r="AA17" i="5" s="1"/>
  <c r="AG16" i="5" l="1"/>
  <c r="B15" i="5" s="1"/>
  <c r="C15" i="5" s="1"/>
  <c r="T58" i="5"/>
  <c r="X57" i="5"/>
  <c r="AB17" i="5" s="1"/>
  <c r="AI17" i="5"/>
  <c r="D15" i="5" l="1"/>
  <c r="T59" i="5"/>
  <c r="X58" i="5"/>
  <c r="AC17" i="5" s="1"/>
  <c r="T60" i="5" l="1"/>
  <c r="X59" i="5"/>
  <c r="AD17" i="5" s="1"/>
  <c r="T61" i="5" l="1"/>
  <c r="X60" i="5"/>
  <c r="AE17" i="5" s="1"/>
  <c r="T62" i="5" l="1"/>
  <c r="X61" i="5"/>
  <c r="AF17" i="5" s="1"/>
  <c r="AJ17" i="5" l="1"/>
  <c r="AH17" i="5"/>
  <c r="T63" i="5"/>
  <c r="X62" i="5"/>
  <c r="AA18" i="5" s="1"/>
  <c r="AK17" i="5"/>
  <c r="AI18" i="5" l="1"/>
  <c r="T64" i="5"/>
  <c r="X63" i="5"/>
  <c r="AB18" i="5" s="1"/>
  <c r="AG17" i="5"/>
  <c r="B16" i="5" s="1"/>
  <c r="T65" i="5" l="1"/>
  <c r="X64" i="5"/>
  <c r="AC18" i="5" s="1"/>
  <c r="D16" i="5"/>
  <c r="C16" i="5"/>
  <c r="T66" i="5" l="1"/>
  <c r="X65" i="5"/>
  <c r="AD18" i="5" s="1"/>
  <c r="T67" i="5" l="1"/>
  <c r="X66" i="5"/>
  <c r="AE18" i="5" s="1"/>
  <c r="T68" i="5" l="1"/>
  <c r="X67" i="5"/>
  <c r="AF18" i="5" s="1"/>
  <c r="AJ18" i="5" l="1"/>
  <c r="AK18" i="5"/>
  <c r="AH18" i="5"/>
  <c r="T69" i="5"/>
  <c r="X68" i="5"/>
  <c r="AA19" i="5" s="1"/>
  <c r="AG18" i="5" l="1"/>
  <c r="B17" i="5" s="1"/>
  <c r="T70" i="5"/>
  <c r="X69" i="5"/>
  <c r="AB19" i="5" s="1"/>
  <c r="AI19" i="5"/>
  <c r="T71" i="5" l="1"/>
  <c r="X70" i="5"/>
  <c r="AC19" i="5" s="1"/>
  <c r="C17" i="5"/>
  <c r="D17" i="5"/>
  <c r="T72" i="5" l="1"/>
  <c r="X71" i="5"/>
  <c r="AD19" i="5" s="1"/>
  <c r="T73" i="5" l="1"/>
  <c r="X72" i="5"/>
  <c r="AE19" i="5" s="1"/>
  <c r="T74" i="5" l="1"/>
  <c r="X73" i="5"/>
  <c r="AF19" i="5" s="1"/>
  <c r="AJ19" i="5" l="1"/>
  <c r="AH19" i="5"/>
  <c r="AK19" i="5"/>
  <c r="T75" i="5"/>
  <c r="X74" i="5"/>
  <c r="AA20" i="5" s="1"/>
  <c r="AI20" i="5" l="1"/>
  <c r="T76" i="5"/>
  <c r="X75" i="5"/>
  <c r="AB20" i="5" s="1"/>
  <c r="AG19" i="5"/>
  <c r="B18" i="5" s="1"/>
  <c r="D18" i="5" l="1"/>
  <c r="C18" i="5"/>
  <c r="T77" i="5"/>
  <c r="X76" i="5"/>
  <c r="AC20" i="5" s="1"/>
  <c r="T78" i="5" l="1"/>
  <c r="X77" i="5"/>
  <c r="AD20" i="5" s="1"/>
  <c r="T79" i="5" l="1"/>
  <c r="X78" i="5"/>
  <c r="AE20" i="5" s="1"/>
  <c r="T80" i="5" l="1"/>
  <c r="X79" i="5"/>
  <c r="AF20" i="5" s="1"/>
  <c r="AJ20" i="5" l="1"/>
  <c r="AK20" i="5"/>
  <c r="AH20" i="5"/>
  <c r="T81" i="5"/>
  <c r="X80" i="5"/>
  <c r="AA21" i="5" s="1"/>
  <c r="AG20" i="5" l="1"/>
  <c r="B19" i="5" s="1"/>
  <c r="C19" i="5" s="1"/>
  <c r="AI21" i="5"/>
  <c r="T82" i="5"/>
  <c r="U82" i="5" s="1"/>
  <c r="X81" i="5"/>
  <c r="AB21" i="5" s="1"/>
  <c r="P16" i="5" l="1"/>
  <c r="H13" i="5" s="1"/>
  <c r="U1" i="5"/>
  <c r="D19" i="5"/>
  <c r="T83" i="5"/>
  <c r="X82" i="5"/>
  <c r="AC21" i="5" s="1"/>
  <c r="T84" i="5" l="1"/>
  <c r="X83" i="5"/>
  <c r="AD21" i="5" s="1"/>
  <c r="T85" i="5" l="1"/>
  <c r="X84" i="5"/>
  <c r="AE21" i="5" s="1"/>
  <c r="T86" i="5" l="1"/>
  <c r="X85" i="5"/>
  <c r="AF21" i="5" s="1"/>
  <c r="AJ21" i="5" l="1"/>
  <c r="AK21" i="5"/>
  <c r="AH21" i="5"/>
  <c r="T87" i="5"/>
  <c r="X86" i="5"/>
  <c r="AA22" i="5" s="1"/>
  <c r="AG21" i="5" l="1"/>
  <c r="B20" i="5" s="1"/>
  <c r="D20" i="5" s="1"/>
  <c r="T88" i="5"/>
  <c r="X87" i="5"/>
  <c r="AB22" i="5" s="1"/>
  <c r="AI22" i="5"/>
  <c r="C20" i="5" l="1"/>
  <c r="T89" i="5"/>
  <c r="X88" i="5"/>
  <c r="AC22" i="5" s="1"/>
  <c r="T90" i="5" l="1"/>
  <c r="X89" i="5"/>
  <c r="AD22" i="5" s="1"/>
  <c r="T91" i="5" l="1"/>
  <c r="X90" i="5"/>
  <c r="AE22" i="5" s="1"/>
  <c r="T92" i="5" l="1"/>
  <c r="X91" i="5"/>
  <c r="AF22" i="5" s="1"/>
  <c r="AJ22" i="5" l="1"/>
  <c r="AH22" i="5"/>
  <c r="T93" i="5"/>
  <c r="X92" i="5"/>
  <c r="AA23" i="5" s="1"/>
  <c r="AK22" i="5"/>
  <c r="AI23" i="5" l="1"/>
  <c r="T94" i="5"/>
  <c r="X93" i="5"/>
  <c r="AB23" i="5" s="1"/>
  <c r="AG22" i="5"/>
  <c r="B21" i="5" s="1"/>
  <c r="C21" i="5" l="1"/>
  <c r="D21" i="5"/>
  <c r="T95" i="5"/>
  <c r="X94" i="5"/>
  <c r="AC23" i="5" s="1"/>
  <c r="T96" i="5" l="1"/>
  <c r="X95" i="5"/>
  <c r="AD23" i="5" s="1"/>
  <c r="T97" i="5" l="1"/>
  <c r="X96" i="5"/>
  <c r="AE23" i="5" s="1"/>
  <c r="T98" i="5" l="1"/>
  <c r="X97" i="5"/>
  <c r="AF23" i="5" s="1"/>
  <c r="AJ23" i="5" l="1"/>
  <c r="AH23" i="5"/>
  <c r="T99" i="5"/>
  <c r="X98" i="5"/>
  <c r="AA24" i="5" s="1"/>
  <c r="AK23" i="5"/>
  <c r="AI24" i="5" l="1"/>
  <c r="T100" i="5"/>
  <c r="X99" i="5"/>
  <c r="AB24" i="5" s="1"/>
  <c r="AG23" i="5"/>
  <c r="B22" i="5" s="1"/>
  <c r="D22" i="5" l="1"/>
  <c r="C22" i="5"/>
  <c r="T101" i="5"/>
  <c r="X100" i="5"/>
  <c r="AC24" i="5" s="1"/>
  <c r="T102" i="5" l="1"/>
  <c r="X101" i="5"/>
  <c r="AD24" i="5" s="1"/>
  <c r="T103" i="5" l="1"/>
  <c r="X102" i="5"/>
  <c r="AE24" i="5" s="1"/>
  <c r="T104" i="5" l="1"/>
  <c r="X103" i="5"/>
  <c r="AF24" i="5" s="1"/>
  <c r="T105" i="5" l="1"/>
  <c r="X104" i="5"/>
  <c r="AA25" i="5" s="1"/>
  <c r="AJ24" i="5"/>
  <c r="AH24" i="5"/>
  <c r="AK24" i="5"/>
  <c r="AG24" i="5" l="1"/>
  <c r="B23" i="5" s="1"/>
  <c r="C23" i="5" s="1"/>
  <c r="AI25" i="5"/>
  <c r="T106" i="5"/>
  <c r="X105" i="5"/>
  <c r="AB25" i="5" s="1"/>
  <c r="D23" i="5" l="1"/>
  <c r="T107" i="5"/>
  <c r="X106" i="5"/>
  <c r="AC25" i="5" s="1"/>
  <c r="T108" i="5" l="1"/>
  <c r="X107" i="5"/>
  <c r="AD25" i="5" s="1"/>
  <c r="T109" i="5" l="1"/>
  <c r="X108" i="5"/>
  <c r="AE25" i="5" s="1"/>
  <c r="T110" i="5" l="1"/>
  <c r="X109" i="5"/>
  <c r="AF25" i="5" s="1"/>
  <c r="AJ25" i="5" l="1"/>
  <c r="AH25" i="5"/>
  <c r="T111" i="5"/>
  <c r="X110" i="5"/>
  <c r="AA26" i="5" s="1"/>
  <c r="AK25" i="5"/>
  <c r="AI26" i="5" l="1"/>
  <c r="T112" i="5"/>
  <c r="X111" i="5"/>
  <c r="AB26" i="5" s="1"/>
  <c r="AG25" i="5"/>
  <c r="B24" i="5" s="1"/>
  <c r="D24" i="5" l="1"/>
  <c r="C24" i="5"/>
  <c r="T113" i="5"/>
  <c r="X112" i="5"/>
  <c r="AC26" i="5" s="1"/>
  <c r="T114" i="5" l="1"/>
  <c r="X113" i="5"/>
  <c r="AD26" i="5" s="1"/>
  <c r="T115" i="5" l="1"/>
  <c r="X114" i="5"/>
  <c r="AE26" i="5" s="1"/>
  <c r="T116" i="5" l="1"/>
  <c r="X115" i="5"/>
  <c r="AF26" i="5" s="1"/>
  <c r="AJ26" i="5" l="1"/>
  <c r="AH26" i="5"/>
  <c r="AK26" i="5"/>
  <c r="T117" i="5"/>
  <c r="X116" i="5"/>
  <c r="AA27" i="5" s="1"/>
  <c r="AI27" i="5" l="1"/>
  <c r="T118" i="5"/>
  <c r="X117" i="5"/>
  <c r="AB27" i="5" s="1"/>
  <c r="AG26" i="5"/>
  <c r="B25" i="5" s="1"/>
  <c r="T119" i="5" l="1"/>
  <c r="X118" i="5"/>
  <c r="AC27" i="5" s="1"/>
  <c r="D25" i="5"/>
  <c r="C25" i="5"/>
  <c r="T120" i="5" l="1"/>
  <c r="X119" i="5"/>
  <c r="AD27" i="5" s="1"/>
  <c r="T121" i="5" l="1"/>
  <c r="X120" i="5"/>
  <c r="AE27" i="5" s="1"/>
  <c r="T122" i="5" l="1"/>
  <c r="X121" i="5"/>
  <c r="AF27" i="5" s="1"/>
  <c r="AH27" i="5" s="1"/>
  <c r="AJ27" i="5" l="1"/>
  <c r="AK27" i="5"/>
  <c r="AG27" i="5" s="1"/>
  <c r="B26" i="5" s="1"/>
  <c r="T123" i="5"/>
  <c r="X122" i="5"/>
  <c r="AA28" i="5" s="1"/>
  <c r="AI28" i="5" l="1"/>
  <c r="T124" i="5"/>
  <c r="X123" i="5"/>
  <c r="AB28" i="5" s="1"/>
  <c r="D26" i="5"/>
  <c r="C26" i="5"/>
  <c r="T125" i="5" l="1"/>
  <c r="X124" i="5"/>
  <c r="AC28" i="5" s="1"/>
  <c r="T126" i="5" l="1"/>
  <c r="X125" i="5"/>
  <c r="AD28" i="5" s="1"/>
  <c r="T127" i="5" l="1"/>
  <c r="X126" i="5"/>
  <c r="AE28" i="5" s="1"/>
  <c r="T128" i="5" l="1"/>
  <c r="X127" i="5"/>
  <c r="AF28" i="5" s="1"/>
  <c r="AJ28" i="5" l="1"/>
  <c r="AH28" i="5"/>
  <c r="T129" i="5"/>
  <c r="X128" i="5"/>
  <c r="AA29" i="5" s="1"/>
  <c r="AK28" i="5"/>
  <c r="AG28" i="5" l="1"/>
  <c r="B27" i="5" s="1"/>
  <c r="C27" i="5" s="1"/>
  <c r="AI29" i="5"/>
  <c r="T130" i="5"/>
  <c r="X129" i="5"/>
  <c r="AB29" i="5" s="1"/>
  <c r="D27" i="5" l="1"/>
  <c r="T131" i="5"/>
  <c r="X130" i="5"/>
  <c r="AC29" i="5" s="1"/>
  <c r="T132" i="5" l="1"/>
  <c r="X131" i="5"/>
  <c r="AD29" i="5" s="1"/>
  <c r="T133" i="5" l="1"/>
  <c r="X132" i="5"/>
  <c r="AE29" i="5" s="1"/>
  <c r="T134" i="5" l="1"/>
  <c r="X133" i="5"/>
  <c r="AF29" i="5" s="1"/>
  <c r="AJ29" i="5" l="1"/>
  <c r="AK29" i="5"/>
  <c r="T135" i="5"/>
  <c r="X134" i="5"/>
  <c r="AA30" i="5" s="1"/>
  <c r="AH29" i="5"/>
  <c r="AG29" i="5" l="1"/>
  <c r="B28" i="5" s="1"/>
  <c r="C28" i="5" s="1"/>
  <c r="AI30" i="5"/>
  <c r="T136" i="5"/>
  <c r="X135" i="5"/>
  <c r="AB30" i="5" s="1"/>
  <c r="D28" i="5" l="1"/>
  <c r="T137" i="5"/>
  <c r="X136" i="5"/>
  <c r="AC30" i="5" s="1"/>
  <c r="T138" i="5" l="1"/>
  <c r="X137" i="5"/>
  <c r="AD30" i="5" s="1"/>
  <c r="T139" i="5" l="1"/>
  <c r="X138" i="5"/>
  <c r="AE30" i="5" s="1"/>
  <c r="T140" i="5" l="1"/>
  <c r="X139" i="5"/>
  <c r="AF30" i="5" s="1"/>
  <c r="AJ30" i="5" l="1"/>
  <c r="AH30" i="5"/>
  <c r="T141" i="5"/>
  <c r="X140" i="5"/>
  <c r="AA31" i="5" s="1"/>
  <c r="AK30" i="5"/>
  <c r="AI31" i="5" l="1"/>
  <c r="T142" i="5"/>
  <c r="X141" i="5"/>
  <c r="AB31" i="5" s="1"/>
  <c r="AG30" i="5"/>
  <c r="B29" i="5" s="1"/>
  <c r="T143" i="5" l="1"/>
  <c r="X142" i="5"/>
  <c r="AC31" i="5" s="1"/>
  <c r="D29" i="5"/>
  <c r="C29" i="5"/>
  <c r="T144" i="5" l="1"/>
  <c r="X143" i="5"/>
  <c r="AD31" i="5" s="1"/>
  <c r="T145" i="5" l="1"/>
  <c r="X144" i="5"/>
  <c r="AE31" i="5" s="1"/>
  <c r="T146" i="5" l="1"/>
  <c r="X145" i="5"/>
  <c r="AF31" i="5" s="1"/>
  <c r="AJ31" i="5" l="1"/>
  <c r="AH31" i="5"/>
  <c r="AK31" i="5"/>
  <c r="T147" i="5"/>
  <c r="X146" i="5"/>
  <c r="AA32" i="5" s="1"/>
  <c r="T148" i="5" l="1"/>
  <c r="X147" i="5"/>
  <c r="AB32" i="5" s="1"/>
  <c r="AG31" i="5"/>
  <c r="B30" i="5" s="1"/>
  <c r="AI32" i="5"/>
  <c r="D30" i="5" l="1"/>
  <c r="C30" i="5"/>
  <c r="T149" i="5"/>
  <c r="X148" i="5"/>
  <c r="AC32" i="5" s="1"/>
  <c r="T150" i="5" l="1"/>
  <c r="X149" i="5"/>
  <c r="AD32" i="5" s="1"/>
  <c r="T151" i="5" l="1"/>
  <c r="X150" i="5"/>
  <c r="AE32" i="5" s="1"/>
  <c r="T152" i="5" l="1"/>
  <c r="X151" i="5"/>
  <c r="AF32" i="5" s="1"/>
  <c r="AJ32" i="5" l="1"/>
  <c r="AK32" i="5"/>
  <c r="AH32" i="5"/>
  <c r="T153" i="5"/>
  <c r="X152" i="5"/>
  <c r="AA33" i="5" s="1"/>
  <c r="AG32" i="5" l="1"/>
  <c r="B31" i="5" s="1"/>
  <c r="C31" i="5" s="1"/>
  <c r="T154" i="5"/>
  <c r="X153" i="5"/>
  <c r="AB33" i="5" s="1"/>
  <c r="AI33" i="5"/>
  <c r="D31" i="5" l="1"/>
  <c r="T155" i="5"/>
  <c r="X154" i="5"/>
  <c r="AC33" i="5" s="1"/>
  <c r="T156" i="5" l="1"/>
  <c r="X155" i="5"/>
  <c r="AD33" i="5" s="1"/>
  <c r="T157" i="5" l="1"/>
  <c r="X156" i="5"/>
  <c r="AE33" i="5" s="1"/>
  <c r="T158" i="5" l="1"/>
  <c r="X157" i="5"/>
  <c r="AF33" i="5" s="1"/>
  <c r="T159" i="5" l="1"/>
  <c r="X158" i="5"/>
  <c r="AA34" i="5" s="1"/>
  <c r="AJ33" i="5"/>
  <c r="AH33" i="5"/>
  <c r="AK33" i="5"/>
  <c r="AI34" i="5" l="1"/>
  <c r="AG33" i="5"/>
  <c r="B32" i="5" s="1"/>
  <c r="T160" i="5"/>
  <c r="X159" i="5"/>
  <c r="AB34" i="5" s="1"/>
  <c r="D32" i="5" l="1"/>
  <c r="C32" i="5"/>
  <c r="T161" i="5"/>
  <c r="X160" i="5"/>
  <c r="AC34" i="5" s="1"/>
  <c r="T162" i="5" l="1"/>
  <c r="X161" i="5"/>
  <c r="AD34" i="5" s="1"/>
  <c r="T163" i="5" l="1"/>
  <c r="X162" i="5"/>
  <c r="AE34" i="5" s="1"/>
  <c r="T164" i="5" l="1"/>
  <c r="X163" i="5"/>
  <c r="AF34" i="5" s="1"/>
  <c r="T165" i="5" l="1"/>
  <c r="X164" i="5"/>
  <c r="AA35" i="5" s="1"/>
  <c r="AJ34" i="5"/>
  <c r="AK34" i="5"/>
  <c r="AH34" i="5"/>
  <c r="AG34" i="5" l="1"/>
  <c r="B33" i="5" s="1"/>
  <c r="D33" i="5" s="1"/>
  <c r="AI35" i="5"/>
  <c r="T166" i="5"/>
  <c r="X165" i="5"/>
  <c r="AB35" i="5" s="1"/>
  <c r="C33" i="5" l="1"/>
  <c r="T167" i="5"/>
  <c r="X166" i="5"/>
  <c r="AC35" i="5" s="1"/>
  <c r="T168" i="5" l="1"/>
  <c r="X167" i="5"/>
  <c r="AD35" i="5" s="1"/>
  <c r="T169" i="5" l="1"/>
  <c r="X168" i="5"/>
  <c r="AE35" i="5" s="1"/>
  <c r="T170" i="5" l="1"/>
  <c r="X169" i="5"/>
  <c r="AF35" i="5" s="1"/>
  <c r="AJ35" i="5" l="1"/>
  <c r="AK35" i="5"/>
  <c r="AH35" i="5"/>
  <c r="T171" i="5"/>
  <c r="X170" i="5"/>
  <c r="AA36" i="5" s="1"/>
  <c r="AG35" i="5" l="1"/>
  <c r="B34" i="5" s="1"/>
  <c r="D34" i="5" s="1"/>
  <c r="T172" i="5"/>
  <c r="X171" i="5"/>
  <c r="AB36" i="5" s="1"/>
  <c r="AI36" i="5"/>
  <c r="C34" i="5" l="1"/>
  <c r="T173" i="5"/>
  <c r="X172" i="5"/>
  <c r="AC36" i="5" s="1"/>
  <c r="T174" i="5" l="1"/>
  <c r="X173" i="5"/>
  <c r="AD36" i="5" s="1"/>
  <c r="T175" i="5" l="1"/>
  <c r="X174" i="5"/>
  <c r="AE36" i="5" s="1"/>
  <c r="T176" i="5" l="1"/>
  <c r="X175" i="5"/>
  <c r="AF36" i="5" s="1"/>
  <c r="AJ36" i="5" l="1"/>
  <c r="AH36" i="5"/>
  <c r="T177" i="5"/>
  <c r="X176" i="5"/>
  <c r="AA37" i="5" s="1"/>
  <c r="AK36" i="5"/>
  <c r="AG36" i="5" l="1"/>
  <c r="B35" i="5" s="1"/>
  <c r="D35" i="5" s="1"/>
  <c r="AI37" i="5"/>
  <c r="T178" i="5"/>
  <c r="X177" i="5"/>
  <c r="AB37" i="5" s="1"/>
  <c r="C35" i="5" l="1"/>
  <c r="T179" i="5"/>
  <c r="X178" i="5"/>
  <c r="AC37" i="5" s="1"/>
  <c r="T180" i="5" l="1"/>
  <c r="X179" i="5"/>
  <c r="AD37" i="5" s="1"/>
  <c r="T181" i="5" l="1"/>
  <c r="X180" i="5"/>
  <c r="AE37" i="5" s="1"/>
  <c r="T182" i="5" l="1"/>
  <c r="X182" i="5" s="1"/>
  <c r="X181" i="5"/>
  <c r="AF37" i="5" s="1"/>
  <c r="AJ37" i="5" l="1"/>
  <c r="AK37" i="5"/>
  <c r="AH37" i="5"/>
  <c r="AG37" i="5" l="1"/>
  <c r="B36" i="5" s="1"/>
  <c r="D36" i="5" s="1"/>
  <c r="C36" i="5" l="1"/>
</calcChain>
</file>

<file path=xl/comments1.xml><?xml version="1.0" encoding="utf-8"?>
<comments xmlns="http://schemas.openxmlformats.org/spreadsheetml/2006/main">
  <authors>
    <author>kboccio</author>
  </authors>
  <commentList>
    <comment ref="D41" authorId="0" shapeId="0">
      <text>
        <r>
          <rPr>
            <b/>
            <sz val="9"/>
            <color indexed="81"/>
            <rFont val="Tahoma"/>
            <family val="2"/>
          </rPr>
          <t>FOR STANDARD FLOORS, USE WHOLE NUMBERS.  
"12TH" = BAD
"12" = GOOD
IF THIS IS A SPECIAL FLOOR, USE THE FLOOR SUMMARY FOR FURTHER ELABORATION.</t>
        </r>
      </text>
    </comment>
  </commentList>
</comments>
</file>

<file path=xl/comments2.xml><?xml version="1.0" encoding="utf-8"?>
<comments xmlns="http://schemas.openxmlformats.org/spreadsheetml/2006/main">
  <authors>
    <author>Kris Boccio</author>
  </authors>
  <commentList>
    <comment ref="D7" authorId="0" shapeId="0">
      <text>
        <r>
          <rPr>
            <b/>
            <sz val="9"/>
            <color indexed="81"/>
            <rFont val="Tahoma"/>
            <family val="2"/>
          </rPr>
          <t xml:space="preserve">Suite Standards but not limited to:
</t>
        </r>
        <r>
          <rPr>
            <sz val="9"/>
            <color indexed="81"/>
            <rFont val="Tahoma"/>
            <family val="2"/>
          </rPr>
          <t>Numeric = Suite (0-10000)
Alpha = Suite (A-ZZ)
Alpha-Numeric = Suite (A1-ZZ10000)
Numeric-Alpha = Suite (1A-1000AA)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Number of Cables serving this Building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 xml:space="preserve">Carrier POP: </t>
        </r>
        <r>
          <rPr>
            <sz val="9"/>
            <color indexed="81"/>
            <rFont val="Tahoma"/>
            <family val="2"/>
          </rPr>
          <t>Carrier Point-of-presence is a location in a building, operated by the carrier, separate from colocation facilities and data centers that houses equipment used to provide telecom or Bandwidth Infrastructure services</t>
        </r>
        <r>
          <rPr>
            <b/>
            <sz val="9"/>
            <color indexed="81"/>
            <rFont val="Tahoma"/>
            <family val="2"/>
          </rPr>
          <t xml:space="preserve">
Zayo POP: </t>
        </r>
        <r>
          <rPr>
            <sz val="9"/>
            <color indexed="81"/>
            <rFont val="Tahoma"/>
            <family val="2"/>
          </rPr>
          <t>A Location that is operated by Zayo, that contains a Zayo point of presence that is an access or demarcation point or interface point between communications entities. Put another way, a physical room, not a cage within a room, that is owned or leased by Zayo</t>
        </r>
        <r>
          <rPr>
            <b/>
            <sz val="9"/>
            <color indexed="81"/>
            <rFont val="Tahoma"/>
            <family val="2"/>
          </rPr>
          <t xml:space="preserve">
ILEC Central Office: </t>
        </r>
        <r>
          <rPr>
            <sz val="9"/>
            <color indexed="81"/>
            <rFont val="Tahoma"/>
            <family val="2"/>
          </rPr>
          <t>ILEC Central Office or ILEC Local Switching/Serving Office. A facility used to house telecommunications equipment (e.g., switching equipment), usually operated by the ILEC</t>
        </r>
        <r>
          <rPr>
            <b/>
            <sz val="9"/>
            <color indexed="81"/>
            <rFont val="Tahoma"/>
            <family val="2"/>
          </rPr>
          <t xml:space="preserve">
Building Operated MMR: </t>
        </r>
        <r>
          <rPr>
            <sz val="9"/>
            <color indexed="81"/>
            <rFont val="Tahoma"/>
            <family val="2"/>
          </rPr>
          <t>A Location that is a Meet Me Room that is operated by the Building Owner. Only applicable if the Building Owner is not a traditional Data Center operator like Equinix, Telx, DRT, Sungard, etc. An example of a Building Operated MMR would be 910 15th St/Fl-3/Ste-350/Rm-MMR</t>
        </r>
        <r>
          <rPr>
            <b/>
            <sz val="9"/>
            <color indexed="81"/>
            <rFont val="Tahoma"/>
            <family val="2"/>
          </rPr>
          <t xml:space="preserve">
Private Data Center: </t>
        </r>
        <r>
          <rPr>
            <sz val="9"/>
            <color indexed="81"/>
            <rFont val="Tahoma"/>
            <family val="2"/>
          </rPr>
          <t>Facility where a single private entity houses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Neutral Data Center: </t>
        </r>
        <r>
          <rPr>
            <sz val="9"/>
            <color indexed="81"/>
            <rFont val="Tahoma"/>
            <family val="2"/>
          </rPr>
          <t>Colocation facility where various public and private entities collocate or house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Office/Enterprise: </t>
        </r>
        <r>
          <rPr>
            <sz val="9"/>
            <color indexed="81"/>
            <rFont val="Tahoma"/>
            <family val="2"/>
          </rPr>
          <t>A Location that houses enterprise companies not in the telecom space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>Can we serve multiple customers from this Location or can we only serve a single customer? Put another way, does the fiber terminate in a Customer Suite that would prevent Zayo from serving other Customers?</t>
        </r>
      </text>
    </comment>
    <comment ref="C17" authorId="0" shapeId="0">
      <text>
        <r>
          <rPr>
            <sz val="9"/>
            <color indexed="81"/>
            <rFont val="Tahoma"/>
            <family val="2"/>
          </rPr>
          <t>Who to call from the building (or property mgmt co) with access requests.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
The Primary Building Access Contact's email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The Primary Building Access Contact's Phone number</t>
        </r>
      </text>
    </comment>
  </commentList>
</comments>
</file>

<file path=xl/sharedStrings.xml><?xml version="1.0" encoding="utf-8"?>
<sst xmlns="http://schemas.openxmlformats.org/spreadsheetml/2006/main" count="909" uniqueCount="160">
  <si>
    <t>City, State:</t>
  </si>
  <si>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</si>
  <si>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</si>
  <si>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</si>
  <si>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</si>
  <si>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</si>
  <si>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</si>
  <si>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</si>
  <si>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</si>
  <si>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</si>
  <si>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</si>
  <si>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</si>
  <si>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</si>
  <si>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</si>
  <si>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</si>
  <si>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OSP PM</t>
  </si>
  <si>
    <t>MP</t>
  </si>
  <si>
    <t>CABLE</t>
  </si>
  <si>
    <t>FDP PANEL ID</t>
  </si>
  <si>
    <t>SIZE (INCHES)</t>
  </si>
  <si>
    <t>WEST</t>
  </si>
  <si>
    <t>VER</t>
  </si>
  <si>
    <t>Floor Elevation</t>
  </si>
  <si>
    <t>SOUTH</t>
  </si>
  <si>
    <t>EAST</t>
  </si>
  <si>
    <t>NORTHEAST</t>
  </si>
  <si>
    <t>NORTHWEST</t>
  </si>
  <si>
    <t>SOUTHEAST</t>
  </si>
  <si>
    <t>SOUTHWEST</t>
  </si>
  <si>
    <t>Sub Floor / Parking</t>
  </si>
  <si>
    <t>NORTH</t>
  </si>
  <si>
    <t>Building CLLI Code</t>
  </si>
  <si>
    <t>Floor CLLI Output</t>
  </si>
  <si>
    <t>CABLE NAME</t>
  </si>
  <si>
    <t>DESCRIPTION</t>
  </si>
  <si>
    <t>EXIT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</si>
  <si>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</si>
  <si>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</si>
  <si>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</si>
  <si>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</si>
  <si>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</si>
  <si>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</si>
  <si>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</si>
  <si>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</si>
  <si>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</si>
  <si>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</si>
  <si>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</si>
  <si>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</si>
  <si>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</si>
  <si>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</si>
  <si>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</si>
  <si>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</si>
  <si>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</si>
  <si>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</si>
  <si>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</si>
  <si>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</si>
  <si>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</si>
  <si>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</si>
  <si>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</si>
  <si>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</si>
  <si>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</si>
  <si>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</si>
  <si>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</si>
  <si>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</si>
  <si>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</si>
  <si>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[B] CDL-1</t>
  </si>
  <si>
    <t>24 - AW</t>
  </si>
  <si>
    <t>CABLE B Shit</t>
  </si>
  <si>
    <t>CABLEC</t>
  </si>
  <si>
    <t>TERM?</t>
  </si>
  <si>
    <t>TERM</t>
  </si>
  <si>
    <t>SPLICE</t>
  </si>
  <si>
    <t>ENTER SEP DATA HERE</t>
  </si>
  <si>
    <t>Fibers</t>
  </si>
  <si>
    <t>From</t>
  </si>
  <si>
    <t>To</t>
  </si>
  <si>
    <t>← AUTO</t>
  </si>
  <si>
    <t>PENDING</t>
  </si>
  <si>
    <t>SPLICED</t>
  </si>
  <si>
    <t>BREAK</t>
  </si>
  <si>
    <t/>
  </si>
  <si>
    <t># of Fibers</t>
  </si>
  <si>
    <t>SPLICE ENGINEERING PACKAGE - FDP</t>
  </si>
  <si>
    <t>OSP Cables in FDP</t>
  </si>
  <si>
    <t>POPULATE EXIT FIELD →</t>
  </si>
  <si>
    <t>← POPULATE EXIT FIELD</t>
  </si>
  <si>
    <t>NOTES</t>
  </si>
  <si>
    <t>Ports</t>
  </si>
  <si>
    <t>Panel (MP)</t>
  </si>
  <si>
    <t>Select Checkbox!</t>
  </si>
  <si>
    <t>G</t>
  </si>
  <si>
    <t>H</t>
  </si>
  <si>
    <t>I</t>
  </si>
  <si>
    <t>J</t>
  </si>
  <si>
    <t>K</t>
  </si>
  <si>
    <t>L</t>
  </si>
  <si>
    <t>ALTERNATE COVER PICTURE</t>
  </si>
  <si>
    <t>Paste Picture within Orange boundary.  Entire space within Orange Boundary will be displayed on the Cover</t>
  </si>
  <si>
    <t>IN ORDER TO IMPORT CUSTOM IMAGE.  PASTE YOUR PICTURE INTO THE "PICS" TAB.  THEN DRAG IMAGE BELOW ONTO THE COVER PAGE</t>
  </si>
  <si>
    <t>Custom Picture</t>
  </si>
  <si>
    <t>ALTERNATE SHELF NAME</t>
  </si>
  <si>
    <t>UNKNOWN</t>
  </si>
  <si>
    <t>IF YOU ARE SEEING THIS TAB THEN YOU NEED TO ENABLE MACROS ON YOUR EXCEL APPLICATION.  PLEASE FOLLOW THE STEPS BELOW THEN REOPEN THIS DOCUMENT.</t>
  </si>
  <si>
    <t>STEP 2</t>
  </si>
  <si>
    <t>STEP 1</t>
  </si>
  <si>
    <t>STEP 3</t>
  </si>
  <si>
    <t>STEP 4</t>
  </si>
  <si>
    <t>Validation</t>
  </si>
  <si>
    <t>Y/N</t>
  </si>
  <si>
    <t>Location Type</t>
  </si>
  <si>
    <t>Yes</t>
  </si>
  <si>
    <t>Carrier POP</t>
  </si>
  <si>
    <t>No</t>
  </si>
  <si>
    <t>ILEC Central Office</t>
  </si>
  <si>
    <t>Building Operated MMR</t>
  </si>
  <si>
    <t>Private Data Center</t>
  </si>
  <si>
    <t>Neutral Data Center</t>
  </si>
  <si>
    <t>Office/Enterprise</t>
  </si>
  <si>
    <t>LOCATION DATA</t>
  </si>
  <si>
    <t>SERVICE CAPABILITY</t>
  </si>
  <si>
    <t>CONTACT INFORMATION</t>
  </si>
  <si>
    <t>Can serve multiple tenants at Location?</t>
  </si>
  <si>
    <t>SPLICE POINT #</t>
  </si>
  <si>
    <t>RELEASE #</t>
  </si>
  <si>
    <t>Site Survey</t>
  </si>
  <si>
    <t>Suite:</t>
  </si>
  <si>
    <t>Location Type:</t>
  </si>
  <si>
    <t>Building Landlord:</t>
  </si>
  <si>
    <t>Building Management Company:</t>
  </si>
  <si>
    <t>Primary Building Access Contact:</t>
  </si>
  <si>
    <t>Primary Building Access Email:</t>
  </si>
  <si>
    <t>Primary Building Access Phone Number:</t>
  </si>
  <si>
    <t>Floor (Cover Page):</t>
  </si>
  <si>
    <t>Room (Cover Page):</t>
  </si>
  <si>
    <t>Release Date</t>
  </si>
  <si>
    <t>Fiber Engineer</t>
  </si>
  <si>
    <t>Address</t>
  </si>
  <si>
    <t>Floor Number</t>
  </si>
  <si>
    <t>Building Name \ Code</t>
  </si>
  <si>
    <t>Zayo POP</t>
  </si>
  <si>
    <t>Building Entrance</t>
  </si>
  <si>
    <t>Linear (Single Entrance)</t>
  </si>
  <si>
    <t>Diverse (More than one entrance)</t>
  </si>
  <si>
    <t>FIBER COUNT</t>
  </si>
  <si>
    <t>Customer</t>
  </si>
  <si>
    <t>Notes</t>
  </si>
  <si>
    <t>Project ID</t>
  </si>
  <si>
    <t>Date Assigned</t>
  </si>
  <si>
    <t>Room/Cage</t>
  </si>
  <si>
    <t>CUSTOMER TABLE (FIBER BY USER)</t>
  </si>
  <si>
    <t>SEP TEMPLATE VERSION 6.1</t>
  </si>
  <si>
    <t>101536</t>
  </si>
  <si>
    <t>6542 humphreys blved</t>
  </si>
  <si>
    <t>Memphis, TN</t>
  </si>
  <si>
    <t>VZW</t>
  </si>
  <si>
    <t>1</t>
  </si>
  <si>
    <t>72</t>
  </si>
  <si>
    <t>1-8</t>
  </si>
  <si>
    <t>ISO: 0152752</t>
  </si>
  <si>
    <t>460-092: ZAYO-ENT-S-1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</si>
</sst>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6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u/>
      <sz val="8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u/>
      <sz val="8"/>
      <color theme="0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b/>
      <sz val="10"/>
      <color theme="9" tint="-0.249977111117893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sz val="10"/>
      <color theme="9" tint="-0.249977111117893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b/>
      <sz val="9"/>
      <color indexed="81"/>
      <name val="Tahoma"/>
      <family val="2"/>
    </font>
    <font>
      <sz val="1"/>
      <color theme="0" tint="-0.34998626667073579"/>
      <name val="Arial"/>
      <family val="2"/>
    </font>
    <font>
      <b/>
      <sz val="10"/>
      <color theme="0" tint="-0.499984740745262"/>
      <name val="Arial"/>
      <family val="2"/>
    </font>
    <font>
      <b/>
      <u/>
      <sz val="20"/>
      <name val="Calibri"/>
      <family val="2"/>
      <scheme val="minor"/>
    </font>
    <font>
      <u/>
      <sz val="20"/>
      <name val="Calibri"/>
      <family val="2"/>
      <scheme val="minor"/>
    </font>
    <font>
      <b/>
      <sz val="22"/>
      <color theme="9" tint="0.39997558519241921"/>
      <name val="Arial"/>
      <family val="2"/>
    </font>
    <font>
      <b/>
      <sz val="14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name val="Calibri"/>
      <family val="2"/>
    </font>
    <font>
      <sz val="10"/>
      <color theme="0" tint="-0.249977111117893"/>
      <name val="Arial"/>
      <family val="2"/>
    </font>
    <font>
      <sz val="10"/>
      <name val="MS Sans Serif"/>
      <family val="2"/>
    </font>
    <font>
      <b/>
      <sz val="18"/>
      <color rgb="FFFF0000"/>
      <name val="Calibri"/>
      <family val="2"/>
      <scheme val="minor"/>
    </font>
    <font>
      <b/>
      <sz val="12"/>
      <name val="Calibri"/>
      <family val="2"/>
    </font>
    <font>
      <b/>
      <sz val="12"/>
      <color rgb="FFFFFF00"/>
      <name val="Calibri"/>
      <family val="2"/>
    </font>
    <font>
      <sz val="12"/>
      <name val="Calibri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5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0.79998168889431442"/>
        <bgColor indexed="64"/>
      </patternFill>
    </fill>
    <fill>
      <gradientFill degree="180">
        <stop position="0">
          <color theme="0" tint="-0.1490218817712943"/>
        </stop>
        <stop position="1">
          <color theme="9" tint="0.80001220740379042"/>
        </stop>
      </gradientFill>
    </fill>
    <fill>
      <gradientFill>
        <stop position="0">
          <color theme="9" tint="0.59999389629810485"/>
        </stop>
        <stop position="1">
          <color theme="0" tint="-0.49803155613879818"/>
        </stop>
      </gradientFill>
    </fill>
    <fill>
      <gradientFill degree="90">
        <stop position="0">
          <color theme="9" tint="0.59999389629810485"/>
        </stop>
        <stop position="1">
          <color theme="0" tint="-0.49803155613879818"/>
        </stop>
      </gradientFill>
    </fill>
    <fill>
      <gradientFill type="path">
        <stop position="0">
          <color theme="9" tint="0.59999389629810485"/>
        </stop>
        <stop position="1">
          <color theme="0" tint="-0.49803155613879818"/>
        </stop>
      </gradientFill>
    </fill>
    <fill>
      <patternFill patternType="solid">
        <fgColor theme="9" tint="0.39997558519241921"/>
        <bgColor indexed="64"/>
      </patternFill>
    </fill>
  </fills>
  <borders count="111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ck">
        <color theme="3" tint="-0.24994659260841701"/>
      </top>
      <bottom style="thin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/>
      <bottom/>
      <diagonal/>
    </border>
    <border>
      <left style="medium">
        <color indexed="64"/>
      </left>
      <right/>
      <top style="thin">
        <color rgb="FF00B0F0"/>
      </top>
      <bottom style="medium">
        <color indexed="64"/>
      </bottom>
      <diagonal/>
    </border>
    <border>
      <left/>
      <right/>
      <top style="thin">
        <color rgb="FF00B0F0"/>
      </top>
      <bottom style="medium">
        <color indexed="64"/>
      </bottom>
      <diagonal/>
    </border>
    <border>
      <left/>
      <right style="medium">
        <color indexed="64"/>
      </right>
      <top style="thin">
        <color rgb="FF00B0F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34998626667073579"/>
      </left>
      <right style="medium">
        <color theme="9"/>
      </right>
      <top style="thick">
        <color indexed="64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ck">
        <color indexed="64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medium">
        <color indexed="64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</borders>
  <cellStyleXfs count="4">
    <xf numFmtId="0" fontId="0" fillId="0" borderId="0"/>
    <xf numFmtId="0" fontId="2" fillId="0" borderId="0"/>
    <xf numFmtId="0" fontId="52" fillId="0" borderId="0"/>
    <xf numFmtId="0" fontId="1" fillId="0" borderId="0"/>
  </cellStyleXfs>
  <cellXfs count="638">
    <xf numFmtId="0" fontId="0" fillId="0" borderId="0" xfId="0"/>
    <xf numFmtId="0" fontId="9" fillId="0" borderId="37" xfId="0" applyFont="1" applyBorder="1" applyAlignment="1" applyProtection="1">
      <alignment horizontal="center"/>
      <protection locked="0"/>
    </xf>
    <xf numFmtId="0" fontId="0" fillId="10" borderId="0" xfId="0" applyFill="1"/>
    <xf numFmtId="0" fontId="6" fillId="0" borderId="6" xfId="0" applyFont="1" applyBorder="1" applyAlignment="1" applyProtection="1">
      <alignment horizontal="center" vertical="center" shrinkToFit="1"/>
      <protection locked="0"/>
    </xf>
    <xf numFmtId="0" fontId="25" fillId="0" borderId="23" xfId="0" applyFont="1" applyBorder="1" applyAlignment="1" applyProtection="1">
      <alignment horizontal="center" vertical="center" shrinkToFit="1"/>
      <protection locked="0"/>
    </xf>
    <xf numFmtId="0" fontId="6" fillId="0" borderId="61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62" xfId="0" applyNumberFormat="1" applyBorder="1" applyAlignment="1" applyProtection="1">
      <alignment horizontal="center"/>
    </xf>
    <xf numFmtId="0" fontId="7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7" fillId="0" borderId="6" xfId="0" applyNumberFormat="1" applyFont="1" applyBorder="1" applyAlignment="1" applyProtection="1">
      <alignment horizontal="center"/>
    </xf>
    <xf numFmtId="49" fontId="2" fillId="0" borderId="39" xfId="0" applyNumberFormat="1" applyFont="1" applyBorder="1" applyAlignment="1" applyProtection="1">
      <alignment horizontal="center"/>
      <protection locked="0"/>
    </xf>
    <xf numFmtId="0" fontId="2" fillId="0" borderId="38" xfId="0" applyFont="1" applyBorder="1" applyAlignment="1" applyProtection="1">
      <protection locked="0"/>
    </xf>
    <xf numFmtId="49" fontId="2" fillId="0" borderId="38" xfId="0" applyNumberFormat="1" applyFont="1" applyBorder="1" applyAlignment="1" applyProtection="1">
      <alignment horizontal="center"/>
      <protection locked="0"/>
    </xf>
    <xf numFmtId="0" fontId="9" fillId="0" borderId="39" xfId="0" applyFont="1" applyBorder="1" applyAlignment="1" applyProtection="1">
      <alignment horizontal="center"/>
      <protection locked="0"/>
    </xf>
    <xf numFmtId="0" fontId="8" fillId="0" borderId="0" xfId="0" applyNumberFormat="1" applyFont="1" applyBorder="1" applyAlignment="1" applyProtection="1">
      <alignment horizontal="center"/>
    </xf>
    <xf numFmtId="0" fontId="21" fillId="21" borderId="0" xfId="0" applyFont="1" applyFill="1"/>
    <xf numFmtId="0" fontId="20" fillId="21" borderId="0" xfId="0" applyFont="1" applyFill="1"/>
    <xf numFmtId="0" fontId="9" fillId="21" borderId="0" xfId="0" applyFont="1" applyFill="1"/>
    <xf numFmtId="0" fontId="0" fillId="21" borderId="0" xfId="0" applyFill="1"/>
    <xf numFmtId="0" fontId="21" fillId="21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21" fillId="11" borderId="0" xfId="0" applyFont="1" applyFill="1" applyProtection="1"/>
    <xf numFmtId="0" fontId="0" fillId="10" borderId="0" xfId="0" applyFill="1" applyProtection="1"/>
    <xf numFmtId="0" fontId="21" fillId="21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5" fillId="0" borderId="0" xfId="0" applyFont="1" applyBorder="1" applyAlignment="1" applyProtection="1">
      <alignment horizontal="left" vertical="center"/>
    </xf>
    <xf numFmtId="0" fontId="0" fillId="11" borderId="0" xfId="0" applyFill="1" applyProtection="1"/>
    <xf numFmtId="0" fontId="0" fillId="10" borderId="0" xfId="0" applyFill="1" applyAlignment="1" applyProtection="1">
      <alignment horizontal="center"/>
    </xf>
    <xf numFmtId="0" fontId="0" fillId="10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21" fillId="21" borderId="0" xfId="0" applyNumberFormat="1" applyFont="1" applyFill="1" applyProtection="1"/>
    <xf numFmtId="0" fontId="20" fillId="0" borderId="25" xfId="0" applyFont="1" applyBorder="1" applyProtection="1"/>
    <xf numFmtId="0" fontId="0" fillId="5" borderId="22" xfId="0" applyFill="1" applyBorder="1" applyProtection="1"/>
    <xf numFmtId="0" fontId="0" fillId="5" borderId="23" xfId="0" applyFill="1" applyBorder="1" applyAlignment="1" applyProtection="1">
      <alignment horizontal="center"/>
    </xf>
    <xf numFmtId="0" fontId="0" fillId="5" borderId="23" xfId="0" applyFill="1" applyBorder="1" applyProtection="1"/>
    <xf numFmtId="0" fontId="0" fillId="5" borderId="24" xfId="0" applyFill="1" applyBorder="1" applyProtection="1"/>
    <xf numFmtId="0" fontId="19" fillId="5" borderId="13" xfId="0" applyFont="1" applyFill="1" applyBorder="1" applyAlignment="1" applyProtection="1">
      <alignment horizontal="right"/>
    </xf>
    <xf numFmtId="0" fontId="0" fillId="5" borderId="0" xfId="0" applyFill="1" applyBorder="1" applyProtection="1"/>
    <xf numFmtId="0" fontId="0" fillId="5" borderId="25" xfId="0" applyFill="1" applyBorder="1" applyProtection="1"/>
    <xf numFmtId="0" fontId="19" fillId="5" borderId="13" xfId="0" applyFont="1" applyFill="1" applyBorder="1" applyProtection="1"/>
    <xf numFmtId="0" fontId="18" fillId="7" borderId="27" xfId="0" applyFont="1" applyFill="1" applyBorder="1" applyProtection="1"/>
    <xf numFmtId="0" fontId="18" fillId="7" borderId="28" xfId="0" applyFont="1" applyFill="1" applyBorder="1" applyAlignment="1" applyProtection="1">
      <alignment horizontal="center"/>
    </xf>
    <xf numFmtId="0" fontId="18" fillId="7" borderId="40" xfId="0" applyFont="1" applyFill="1" applyBorder="1" applyAlignment="1" applyProtection="1">
      <alignment horizontal="center"/>
    </xf>
    <xf numFmtId="0" fontId="18" fillId="7" borderId="29" xfId="0" applyFont="1" applyFill="1" applyBorder="1" applyProtection="1"/>
    <xf numFmtId="0" fontId="0" fillId="10" borderId="0" xfId="0" applyFill="1" applyBorder="1" applyProtection="1"/>
    <xf numFmtId="0" fontId="0" fillId="9" borderId="58" xfId="0" applyFill="1" applyBorder="1" applyProtection="1"/>
    <xf numFmtId="0" fontId="0" fillId="9" borderId="59" xfId="0" applyFill="1" applyBorder="1" applyProtection="1"/>
    <xf numFmtId="0" fontId="0" fillId="9" borderId="60" xfId="0" applyFill="1" applyBorder="1" applyProtection="1"/>
    <xf numFmtId="0" fontId="7" fillId="4" borderId="20" xfId="0" applyFont="1" applyFill="1" applyBorder="1" applyProtection="1"/>
    <xf numFmtId="0" fontId="3" fillId="10" borderId="0" xfId="0" applyFont="1" applyFill="1" applyBorder="1" applyProtection="1"/>
    <xf numFmtId="49" fontId="0" fillId="10" borderId="0" xfId="0" applyNumberFormat="1" applyFill="1" applyBorder="1" applyAlignment="1" applyProtection="1">
      <alignment horizontal="center" vertical="center" wrapText="1"/>
    </xf>
    <xf numFmtId="0" fontId="7" fillId="4" borderId="21" xfId="0" applyFont="1" applyFill="1" applyBorder="1" applyProtection="1"/>
    <xf numFmtId="0" fontId="0" fillId="4" borderId="19" xfId="0" applyFill="1" applyBorder="1" applyProtection="1"/>
    <xf numFmtId="0" fontId="20" fillId="3" borderId="13" xfId="0" applyFont="1" applyFill="1" applyBorder="1" applyProtection="1"/>
    <xf numFmtId="0" fontId="22" fillId="10" borderId="0" xfId="0" applyFont="1" applyFill="1" applyProtection="1"/>
    <xf numFmtId="0" fontId="7" fillId="4" borderId="19" xfId="0" applyFont="1" applyFill="1" applyBorder="1" applyProtection="1"/>
    <xf numFmtId="0" fontId="22" fillId="10" borderId="0" xfId="0" applyFont="1" applyFill="1" applyBorder="1" applyProtection="1"/>
    <xf numFmtId="0" fontId="7" fillId="4" borderId="20" xfId="0" applyFont="1" applyFill="1" applyBorder="1" applyAlignment="1" applyProtection="1">
      <alignment horizontal="left" vertical="center"/>
    </xf>
    <xf numFmtId="49" fontId="0" fillId="10" borderId="0" xfId="0" applyNumberFormat="1" applyFill="1" applyProtection="1"/>
    <xf numFmtId="0" fontId="3" fillId="10" borderId="0" xfId="0" applyFont="1" applyFill="1" applyBorder="1" applyAlignment="1" applyProtection="1"/>
    <xf numFmtId="0" fontId="7" fillId="4" borderId="55" xfId="0" applyFont="1" applyFill="1" applyBorder="1" applyAlignment="1" applyProtection="1"/>
    <xf numFmtId="0" fontId="7" fillId="4" borderId="9" xfId="0" applyFont="1" applyFill="1" applyBorder="1" applyAlignment="1" applyProtection="1"/>
    <xf numFmtId="164" fontId="0" fillId="0" borderId="44" xfId="0" applyNumberFormat="1" applyBorder="1" applyAlignment="1" applyProtection="1">
      <alignment horizontal="center" vertical="center"/>
    </xf>
    <xf numFmtId="164" fontId="0" fillId="0" borderId="0" xfId="0" applyNumberForma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center" vertical="center"/>
    </xf>
    <xf numFmtId="0" fontId="4" fillId="0" borderId="0" xfId="0" applyNumberFormat="1" applyFont="1" applyBorder="1" applyAlignment="1" applyProtection="1">
      <alignment horizontal="center" vertical="center"/>
    </xf>
    <xf numFmtId="0" fontId="0" fillId="0" borderId="35" xfId="0" applyBorder="1" applyProtection="1"/>
    <xf numFmtId="0" fontId="0" fillId="0" borderId="5" xfId="0" applyBorder="1" applyProtection="1"/>
    <xf numFmtId="0" fontId="0" fillId="0" borderId="36" xfId="0" applyBorder="1" applyProtection="1"/>
    <xf numFmtId="0" fontId="9" fillId="12" borderId="0" xfId="0" applyFont="1" applyFill="1" applyProtection="1"/>
    <xf numFmtId="0" fontId="9" fillId="13" borderId="0" xfId="0" applyFont="1" applyFill="1" applyProtection="1"/>
    <xf numFmtId="0" fontId="21" fillId="10" borderId="0" xfId="0" applyFont="1" applyFill="1" applyProtection="1"/>
    <xf numFmtId="0" fontId="0" fillId="0" borderId="0" xfId="0" applyProtection="1"/>
    <xf numFmtId="0" fontId="34" fillId="11" borderId="0" xfId="0" applyFont="1" applyFill="1" applyAlignment="1" applyProtection="1">
      <alignment horizontal="right"/>
    </xf>
    <xf numFmtId="0" fontId="23" fillId="0" borderId="41" xfId="0" applyFont="1" applyBorder="1" applyAlignment="1" applyProtection="1">
      <alignment horizontal="center"/>
      <protection locked="0"/>
    </xf>
    <xf numFmtId="0" fontId="3" fillId="0" borderId="41" xfId="0" applyFont="1" applyBorder="1" applyAlignment="1" applyProtection="1">
      <protection locked="0"/>
    </xf>
    <xf numFmtId="0" fontId="0" fillId="0" borderId="63" xfId="0" applyBorder="1" applyProtection="1"/>
    <xf numFmtId="0" fontId="0" fillId="0" borderId="64" xfId="0" applyBorder="1" applyProtection="1"/>
    <xf numFmtId="0" fontId="0" fillId="0" borderId="65" xfId="0" applyBorder="1" applyProtection="1"/>
    <xf numFmtId="0" fontId="2" fillId="0" borderId="66" xfId="0" applyFont="1" applyBorder="1" applyProtection="1"/>
    <xf numFmtId="0" fontId="15" fillId="4" borderId="61" xfId="0" applyFont="1" applyFill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10" fillId="0" borderId="1" xfId="0" applyFont="1" applyBorder="1" applyProtection="1"/>
    <xf numFmtId="0" fontId="10" fillId="0" borderId="0" xfId="0" applyFont="1" applyProtection="1"/>
    <xf numFmtId="0" fontId="0" fillId="0" borderId="66" xfId="0" applyBorder="1" applyProtection="1"/>
    <xf numFmtId="0" fontId="0" fillId="0" borderId="1" xfId="0" applyBorder="1" applyProtection="1"/>
    <xf numFmtId="0" fontId="3" fillId="0" borderId="0" xfId="0" applyFont="1" applyBorder="1" applyProtection="1"/>
    <xf numFmtId="0" fontId="27" fillId="16" borderId="6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wrapText="1"/>
    </xf>
    <xf numFmtId="0" fontId="27" fillId="16" borderId="61" xfId="0" applyFont="1" applyFill="1" applyBorder="1" applyProtection="1"/>
    <xf numFmtId="0" fontId="27" fillId="16" borderId="51" xfId="0" applyFont="1" applyFill="1" applyBorder="1" applyAlignment="1" applyProtection="1">
      <alignment vertical="center" wrapText="1"/>
    </xf>
    <xf numFmtId="0" fontId="27" fillId="16" borderId="61" xfId="0" applyFont="1" applyFill="1" applyBorder="1" applyAlignment="1" applyProtection="1">
      <alignment horizontal="center" vertical="center" wrapText="1"/>
    </xf>
    <xf numFmtId="0" fontId="13" fillId="17" borderId="61" xfId="0" applyFont="1" applyFill="1" applyBorder="1" applyAlignment="1" applyProtection="1">
      <alignment horizontal="center" vertical="center" shrinkToFit="1"/>
    </xf>
    <xf numFmtId="0" fontId="13" fillId="18" borderId="61" xfId="0" applyFont="1" applyFill="1" applyBorder="1" applyAlignment="1" applyProtection="1">
      <alignment horizontal="center" vertical="center" shrinkToFit="1"/>
    </xf>
    <xf numFmtId="0" fontId="31" fillId="3" borderId="34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3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3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4" fillId="3" borderId="6" xfId="0" applyFont="1" applyFill="1" applyBorder="1" applyAlignment="1" applyProtection="1">
      <alignment horizontal="center" vertical="center" shrinkToFit="1"/>
      <protection locked="0"/>
    </xf>
    <xf numFmtId="0" fontId="14" fillId="3" borderId="7" xfId="0" applyFont="1" applyFill="1" applyBorder="1" applyAlignment="1" applyProtection="1">
      <alignment horizontal="center" vertical="center"/>
      <protection locked="0"/>
    </xf>
    <xf numFmtId="0" fontId="30" fillId="3" borderId="35" xfId="0" applyFont="1" applyFill="1" applyBorder="1" applyAlignment="1" applyProtection="1">
      <alignment horizontal="center" vertical="center" shrinkToFit="1"/>
      <protection locked="0"/>
    </xf>
    <xf numFmtId="0" fontId="28" fillId="3" borderId="49" xfId="0" applyFont="1" applyFill="1" applyBorder="1" applyAlignment="1" applyProtection="1">
      <alignment horizontal="center" vertical="center" shrinkToFit="1"/>
      <protection locked="0"/>
    </xf>
    <xf numFmtId="0" fontId="29" fillId="3" borderId="67" xfId="0" applyFont="1" applyFill="1" applyBorder="1" applyAlignment="1" applyProtection="1">
      <alignment horizontal="center" vertical="center" shrinkToFit="1"/>
      <protection locked="0"/>
    </xf>
    <xf numFmtId="0" fontId="18" fillId="8" borderId="57" xfId="0" applyFont="1" applyFill="1" applyBorder="1" applyAlignment="1" applyProtection="1">
      <alignment horizontal="center" shrinkToFit="1"/>
    </xf>
    <xf numFmtId="0" fontId="17" fillId="4" borderId="21" xfId="0" applyFont="1" applyFill="1" applyBorder="1" applyProtection="1"/>
    <xf numFmtId="0" fontId="32" fillId="4" borderId="26" xfId="0" applyFont="1" applyFill="1" applyBorder="1" applyProtection="1"/>
    <xf numFmtId="0" fontId="13" fillId="0" borderId="10" xfId="0" applyFont="1" applyFill="1" applyBorder="1" applyProtection="1"/>
    <xf numFmtId="0" fontId="13" fillId="0" borderId="0" xfId="0" applyFont="1" applyFill="1" applyBorder="1" applyAlignment="1" applyProtection="1">
      <alignment horizontal="right"/>
    </xf>
    <xf numFmtId="0" fontId="0" fillId="7" borderId="30" xfId="0" applyFill="1" applyBorder="1" applyProtection="1"/>
    <xf numFmtId="0" fontId="0" fillId="7" borderId="12" xfId="0" applyFill="1" applyBorder="1" applyProtection="1"/>
    <xf numFmtId="0" fontId="0" fillId="7" borderId="31" xfId="0" applyFill="1" applyBorder="1" applyProtection="1"/>
    <xf numFmtId="0" fontId="0" fillId="7" borderId="32" xfId="0" applyFill="1" applyBorder="1" applyProtection="1"/>
    <xf numFmtId="0" fontId="0" fillId="7" borderId="18" xfId="0" applyFill="1" applyBorder="1" applyProtection="1"/>
    <xf numFmtId="0" fontId="0" fillId="7" borderId="33" xfId="0" applyFill="1" applyBorder="1" applyProtection="1"/>
    <xf numFmtId="0" fontId="36" fillId="15" borderId="62" xfId="0" applyNumberFormat="1" applyFont="1" applyFill="1" applyBorder="1" applyAlignment="1" applyProtection="1">
      <alignment horizontal="center"/>
    </xf>
    <xf numFmtId="0" fontId="36" fillId="15" borderId="0" xfId="0" applyNumberFormat="1" applyFont="1" applyFill="1" applyBorder="1" applyAlignment="1" applyProtection="1">
      <alignment horizontal="center"/>
    </xf>
    <xf numFmtId="0" fontId="7" fillId="0" borderId="49" xfId="0" applyNumberFormat="1" applyFont="1" applyBorder="1" applyAlignment="1" applyProtection="1">
      <alignment horizontal="center"/>
    </xf>
    <xf numFmtId="0" fontId="7" fillId="0" borderId="52" xfId="0" applyNumberFormat="1" applyFont="1" applyBorder="1" applyAlignment="1" applyProtection="1"/>
    <xf numFmtId="0" fontId="2" fillId="0" borderId="0" xfId="0" applyNumberFormat="1" applyFont="1" applyBorder="1" applyProtection="1"/>
    <xf numFmtId="0" fontId="2" fillId="2" borderId="16" xfId="0" applyNumberFormat="1" applyFont="1" applyFill="1" applyBorder="1" applyAlignment="1" applyProtection="1">
      <alignment horizontal="center"/>
    </xf>
    <xf numFmtId="0" fontId="8" fillId="0" borderId="5" xfId="0" applyNumberFormat="1" applyFont="1" applyBorder="1" applyAlignment="1" applyProtection="1"/>
    <xf numFmtId="0" fontId="33" fillId="0" borderId="0" xfId="0" applyNumberFormat="1" applyFont="1" applyBorder="1" applyProtection="1"/>
    <xf numFmtId="0" fontId="8" fillId="0" borderId="0" xfId="0" applyNumberFormat="1" applyFont="1" applyBorder="1" applyAlignment="1" applyProtection="1"/>
    <xf numFmtId="0" fontId="40" fillId="0" borderId="5" xfId="0" applyNumberFormat="1" applyFont="1" applyBorder="1" applyAlignment="1" applyProtection="1">
      <alignment horizontal="center"/>
    </xf>
    <xf numFmtId="0" fontId="2" fillId="2" borderId="18" xfId="0" applyNumberFormat="1" applyFont="1" applyFill="1" applyBorder="1" applyAlignment="1" applyProtection="1">
      <alignment horizontal="center"/>
    </xf>
    <xf numFmtId="0" fontId="7" fillId="0" borderId="74" xfId="0" applyNumberFormat="1" applyFont="1" applyBorder="1" applyAlignment="1" applyProtection="1">
      <alignment horizontal="center"/>
    </xf>
    <xf numFmtId="0" fontId="7" fillId="15" borderId="74" xfId="0" applyNumberFormat="1" applyFont="1" applyFill="1" applyBorder="1" applyAlignment="1" applyProtection="1">
      <alignment horizontal="center"/>
    </xf>
    <xf numFmtId="0" fontId="7" fillId="15" borderId="3" xfId="0" applyNumberFormat="1" applyFont="1" applyFill="1" applyBorder="1" applyAlignment="1" applyProtection="1">
      <alignment horizontal="center"/>
    </xf>
    <xf numFmtId="0" fontId="2" fillId="15" borderId="80" xfId="0" applyNumberFormat="1" applyFont="1" applyFill="1" applyBorder="1" applyAlignment="1" applyProtection="1">
      <alignment horizontal="center"/>
    </xf>
    <xf numFmtId="0" fontId="2" fillId="15" borderId="81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2" fillId="0" borderId="23" xfId="0" applyNumberFormat="1" applyFont="1" applyBorder="1" applyProtection="1">
      <protection locked="0"/>
    </xf>
    <xf numFmtId="0" fontId="33" fillId="0" borderId="23" xfId="0" applyNumberFormat="1" applyFont="1" applyBorder="1" applyProtection="1">
      <protection locked="0"/>
    </xf>
    <xf numFmtId="0" fontId="20" fillId="0" borderId="0" xfId="0" applyNumberFormat="1" applyFont="1" applyBorder="1" applyProtection="1">
      <protection locked="0"/>
    </xf>
    <xf numFmtId="0" fontId="20" fillId="0" borderId="0" xfId="0" applyNumberFormat="1" applyFont="1" applyFill="1" applyBorder="1" applyProtection="1">
      <protection locked="0"/>
    </xf>
    <xf numFmtId="0" fontId="20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8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2" fillId="2" borderId="49" xfId="0" applyNumberFormat="1" applyFont="1" applyFill="1" applyBorder="1" applyAlignment="1" applyProtection="1">
      <alignment horizontal="center" shrinkToFit="1"/>
      <protection locked="0"/>
    </xf>
    <xf numFmtId="0" fontId="2" fillId="2" borderId="14" xfId="0" applyNumberFormat="1" applyFont="1" applyFill="1" applyBorder="1" applyAlignment="1" applyProtection="1">
      <alignment horizontal="center" shrinkToFit="1"/>
      <protection locked="0"/>
    </xf>
    <xf numFmtId="0" fontId="2" fillId="0" borderId="14" xfId="0" applyNumberFormat="1" applyFont="1" applyFill="1" applyBorder="1" applyAlignment="1" applyProtection="1">
      <alignment horizontal="center"/>
      <protection locked="0"/>
    </xf>
    <xf numFmtId="167" fontId="2" fillId="0" borderId="14" xfId="0" applyNumberFormat="1" applyFont="1" applyFill="1" applyBorder="1" applyAlignment="1" applyProtection="1">
      <alignment horizontal="center"/>
      <protection locked="0"/>
    </xf>
    <xf numFmtId="49" fontId="2" fillId="0" borderId="14" xfId="0" applyNumberFormat="1" applyFont="1" applyFill="1" applyBorder="1" applyAlignment="1" applyProtection="1">
      <alignment horizontal="center"/>
      <protection locked="0"/>
    </xf>
    <xf numFmtId="0" fontId="2" fillId="2" borderId="8" xfId="0" applyNumberFormat="1" applyFont="1" applyFill="1" applyBorder="1" applyAlignment="1" applyProtection="1">
      <alignment horizontal="center" shrinkToFit="1"/>
      <protection locked="0"/>
    </xf>
    <xf numFmtId="0" fontId="2" fillId="0" borderId="8" xfId="0" applyNumberFormat="1" applyFont="1" applyFill="1" applyBorder="1" applyAlignment="1" applyProtection="1">
      <alignment horizontal="center"/>
      <protection locked="0"/>
    </xf>
    <xf numFmtId="167" fontId="2" fillId="0" borderId="8" xfId="0" applyNumberFormat="1" applyFont="1" applyFill="1" applyBorder="1" applyAlignment="1" applyProtection="1">
      <alignment horizontal="center"/>
      <protection locked="0"/>
    </xf>
    <xf numFmtId="49" fontId="2" fillId="0" borderId="8" xfId="0" applyNumberFormat="1" applyFont="1" applyFill="1" applyBorder="1" applyAlignment="1" applyProtection="1">
      <alignment horizontal="center"/>
      <protection locked="0"/>
    </xf>
    <xf numFmtId="0" fontId="2" fillId="2" borderId="79" xfId="0" applyNumberFormat="1" applyFont="1" applyFill="1" applyBorder="1" applyAlignment="1" applyProtection="1">
      <alignment horizontal="center" shrinkToFit="1"/>
      <protection locked="0"/>
    </xf>
    <xf numFmtId="167" fontId="2" fillId="0" borderId="8" xfId="0" applyNumberFormat="1" applyFont="1" applyBorder="1" applyAlignment="1" applyProtection="1">
      <alignment horizontal="center"/>
      <protection locked="0"/>
    </xf>
    <xf numFmtId="49" fontId="2" fillId="0" borderId="8" xfId="0" applyNumberFormat="1" applyFont="1" applyBorder="1" applyAlignment="1" applyProtection="1">
      <alignment horizontal="center"/>
      <protection locked="0"/>
    </xf>
    <xf numFmtId="0" fontId="2" fillId="0" borderId="8" xfId="0" applyNumberFormat="1" applyFont="1" applyBorder="1" applyAlignment="1" applyProtection="1">
      <alignment horizontal="center"/>
      <protection locked="0"/>
    </xf>
    <xf numFmtId="0" fontId="2" fillId="0" borderId="79" xfId="0" applyNumberFormat="1" applyFont="1" applyBorder="1" applyAlignment="1" applyProtection="1">
      <alignment horizontal="center" shrinkToFit="1"/>
      <protection locked="0"/>
    </xf>
    <xf numFmtId="0" fontId="2" fillId="0" borderId="8" xfId="0" applyNumberFormat="1" applyFont="1" applyBorder="1" applyAlignment="1" applyProtection="1">
      <alignment horizontal="center" shrinkToFit="1"/>
      <protection locked="0"/>
    </xf>
    <xf numFmtId="0" fontId="2" fillId="0" borderId="0" xfId="0" applyNumberFormat="1" applyFont="1" applyProtection="1">
      <protection locked="0"/>
    </xf>
    <xf numFmtId="0" fontId="33" fillId="0" borderId="0" xfId="0" applyNumberFormat="1" applyFont="1" applyProtection="1">
      <protection locked="0"/>
    </xf>
    <xf numFmtId="0" fontId="20" fillId="19" borderId="0" xfId="0" applyNumberFormat="1" applyFont="1" applyFill="1" applyBorder="1" applyProtection="1">
      <protection locked="0"/>
    </xf>
    <xf numFmtId="0" fontId="2" fillId="0" borderId="86" xfId="0" applyNumberFormat="1" applyFont="1" applyBorder="1" applyAlignment="1" applyProtection="1">
      <alignment horizontal="center" shrinkToFit="1"/>
      <protection locked="0"/>
    </xf>
    <xf numFmtId="0" fontId="2" fillId="15" borderId="87" xfId="0" applyNumberFormat="1" applyFont="1" applyFill="1" applyBorder="1" applyAlignment="1" applyProtection="1">
      <alignment horizontal="center"/>
    </xf>
    <xf numFmtId="0" fontId="2" fillId="0" borderId="93" xfId="0" applyNumberFormat="1" applyFont="1" applyBorder="1" applyAlignment="1" applyProtection="1">
      <alignment horizontal="center"/>
      <protection locked="0"/>
    </xf>
    <xf numFmtId="0" fontId="2" fillId="0" borderId="93" xfId="0" applyNumberFormat="1" applyFont="1" applyBorder="1" applyAlignment="1" applyProtection="1">
      <alignment horizontal="center" shrinkToFit="1"/>
      <protection locked="0"/>
    </xf>
    <xf numFmtId="167" fontId="2" fillId="0" borderId="93" xfId="0" applyNumberFormat="1" applyFont="1" applyBorder="1" applyAlignment="1" applyProtection="1">
      <alignment horizontal="center"/>
      <protection locked="0"/>
    </xf>
    <xf numFmtId="49" fontId="2" fillId="0" borderId="93" xfId="0" applyNumberFormat="1" applyFont="1" applyBorder="1" applyAlignment="1" applyProtection="1">
      <alignment horizontal="center"/>
      <protection locked="0"/>
    </xf>
    <xf numFmtId="0" fontId="0" fillId="21" borderId="0" xfId="0" applyNumberFormat="1" applyFill="1" applyProtection="1">
      <protection locked="0"/>
    </xf>
    <xf numFmtId="0" fontId="0" fillId="21" borderId="0" xfId="0" applyFill="1" applyProtection="1"/>
    <xf numFmtId="0" fontId="34" fillId="21" borderId="0" xfId="0" applyFont="1" applyFill="1" applyProtection="1"/>
    <xf numFmtId="0" fontId="34" fillId="21" borderId="0" xfId="0" applyFont="1" applyFill="1" applyBorder="1" applyProtection="1"/>
    <xf numFmtId="0" fontId="0" fillId="21" borderId="0" xfId="0" applyFill="1" applyBorder="1" applyProtection="1"/>
    <xf numFmtId="0" fontId="0" fillId="21" borderId="0" xfId="0" applyFill="1" applyBorder="1" applyAlignment="1" applyProtection="1">
      <alignment vertical="center" shrinkToFit="1"/>
    </xf>
    <xf numFmtId="0" fontId="0" fillId="21" borderId="0" xfId="0" applyFill="1" applyBorder="1" applyAlignment="1" applyProtection="1">
      <alignment vertical="center" wrapText="1" shrinkToFit="1"/>
    </xf>
    <xf numFmtId="0" fontId="2" fillId="21" borderId="0" xfId="0" applyNumberFormat="1" applyFont="1" applyFill="1" applyProtection="1">
      <protection locked="0"/>
    </xf>
    <xf numFmtId="0" fontId="33" fillId="21" borderId="0" xfId="0" applyNumberFormat="1" applyFont="1" applyFill="1" applyProtection="1">
      <protection locked="0"/>
    </xf>
    <xf numFmtId="0" fontId="0" fillId="21" borderId="0" xfId="0" applyNumberFormat="1" applyFill="1" applyBorder="1" applyProtection="1">
      <protection locked="0"/>
    </xf>
    <xf numFmtId="0" fontId="2" fillId="21" borderId="0" xfId="0" applyNumberFormat="1" applyFont="1" applyFill="1" applyBorder="1" applyProtection="1">
      <protection locked="0"/>
    </xf>
    <xf numFmtId="0" fontId="33" fillId="21" borderId="0" xfId="0" applyNumberFormat="1" applyFont="1" applyFill="1" applyBorder="1" applyProtection="1">
      <protection locked="0"/>
    </xf>
    <xf numFmtId="0" fontId="20" fillId="21" borderId="0" xfId="0" applyNumberFormat="1" applyFont="1" applyFill="1" applyBorder="1" applyProtection="1">
      <protection locked="0"/>
    </xf>
    <xf numFmtId="0" fontId="0" fillId="21" borderId="23" xfId="0" applyNumberFormat="1" applyFill="1" applyBorder="1" applyProtection="1">
      <protection locked="0"/>
    </xf>
    <xf numFmtId="0" fontId="2" fillId="21" borderId="23" xfId="0" applyNumberFormat="1" applyFont="1" applyFill="1" applyBorder="1" applyProtection="1">
      <protection locked="0"/>
    </xf>
    <xf numFmtId="0" fontId="33" fillId="21" borderId="23" xfId="0" applyNumberFormat="1" applyFont="1" applyFill="1" applyBorder="1" applyProtection="1">
      <protection locked="0"/>
    </xf>
    <xf numFmtId="0" fontId="20" fillId="21" borderId="23" xfId="0" applyNumberFormat="1" applyFont="1" applyFill="1" applyBorder="1" applyProtection="1">
      <protection locked="0"/>
    </xf>
    <xf numFmtId="0" fontId="39" fillId="0" borderId="24" xfId="0" applyNumberFormat="1" applyFont="1" applyBorder="1" applyAlignment="1" applyProtection="1">
      <alignment horizontal="left"/>
      <protection locked="0"/>
    </xf>
    <xf numFmtId="0" fontId="39" fillId="0" borderId="25" xfId="0" applyNumberFormat="1" applyFont="1" applyBorder="1" applyAlignment="1" applyProtection="1">
      <alignment horizontal="left"/>
      <protection locked="0"/>
    </xf>
    <xf numFmtId="0" fontId="39" fillId="21" borderId="23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Alignment="1" applyProtection="1">
      <alignment horizontal="left"/>
      <protection locked="0"/>
    </xf>
    <xf numFmtId="0" fontId="39" fillId="0" borderId="0" xfId="0" applyNumberFormat="1" applyFont="1" applyAlignment="1" applyProtection="1">
      <alignment horizontal="left"/>
      <protection locked="0"/>
    </xf>
    <xf numFmtId="0" fontId="2" fillId="2" borderId="48" xfId="0" applyNumberFormat="1" applyFont="1" applyFill="1" applyBorder="1" applyAlignment="1" applyProtection="1">
      <alignment horizontal="center"/>
    </xf>
    <xf numFmtId="0" fontId="23" fillId="0" borderId="41" xfId="0" applyFont="1" applyBorder="1" applyAlignment="1" applyProtection="1">
      <alignment horizontal="center"/>
    </xf>
    <xf numFmtId="0" fontId="9" fillId="0" borderId="94" xfId="0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49" fontId="2" fillId="0" borderId="95" xfId="0" applyNumberFormat="1" applyFont="1" applyBorder="1" applyAlignment="1" applyProtection="1">
      <alignment horizontal="center"/>
      <protection locked="0"/>
    </xf>
    <xf numFmtId="49" fontId="2" fillId="0" borderId="30" xfId="0" applyNumberFormat="1" applyFont="1" applyBorder="1" applyAlignment="1" applyProtection="1">
      <alignment horizontal="center"/>
      <protection locked="0"/>
    </xf>
    <xf numFmtId="0" fontId="0" fillId="10" borderId="23" xfId="0" applyFill="1" applyBorder="1" applyProtection="1"/>
    <xf numFmtId="49" fontId="7" fillId="0" borderId="68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Fill="1" applyBorder="1" applyAlignment="1" applyProtection="1">
      <alignment vertical="top"/>
    </xf>
    <xf numFmtId="49" fontId="8" fillId="0" borderId="5" xfId="0" applyNumberFormat="1" applyFont="1" applyBorder="1" applyAlignment="1" applyProtection="1"/>
    <xf numFmtId="49" fontId="0" fillId="0" borderId="0" xfId="0" applyNumberFormat="1" applyBorder="1" applyProtection="1">
      <protection locked="0"/>
    </xf>
    <xf numFmtId="49" fontId="0" fillId="21" borderId="23" xfId="0" applyNumberFormat="1" applyFill="1" applyBorder="1" applyProtection="1">
      <protection locked="0"/>
    </xf>
    <xf numFmtId="49" fontId="0" fillId="21" borderId="0" xfId="0" applyNumberFormat="1" applyFill="1" applyBorder="1" applyProtection="1">
      <protection locked="0"/>
    </xf>
    <xf numFmtId="49" fontId="0" fillId="21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7" fillId="0" borderId="69" xfId="0" applyNumberFormat="1" applyFont="1" applyBorder="1" applyAlignment="1" applyProtection="1">
      <alignment horizontal="center"/>
    </xf>
    <xf numFmtId="0" fontId="7" fillId="0" borderId="70" xfId="0" applyNumberFormat="1" applyFont="1" applyBorder="1" applyAlignment="1" applyProtection="1">
      <alignment horizontal="center"/>
    </xf>
    <xf numFmtId="0" fontId="0" fillId="22" borderId="13" xfId="0" applyNumberFormat="1" applyFill="1" applyBorder="1" applyProtection="1">
      <protection locked="0"/>
    </xf>
    <xf numFmtId="0" fontId="0" fillId="22" borderId="13" xfId="0" applyNumberFormat="1" applyFill="1" applyBorder="1" applyAlignment="1" applyProtection="1">
      <alignment horizontal="center"/>
      <protection locked="0"/>
    </xf>
    <xf numFmtId="0" fontId="33" fillId="23" borderId="62" xfId="0" applyNumberFormat="1" applyFont="1" applyFill="1" applyBorder="1" applyAlignment="1" applyProtection="1">
      <alignment horizontal="center"/>
    </xf>
    <xf numFmtId="0" fontId="33" fillId="23" borderId="74" xfId="0" applyNumberFormat="1" applyFont="1" applyFill="1" applyBorder="1" applyAlignment="1" applyProtection="1">
      <alignment horizontal="center"/>
    </xf>
    <xf numFmtId="0" fontId="33" fillId="23" borderId="7" xfId="0" applyNumberFormat="1" applyFont="1" applyFill="1" applyBorder="1" applyAlignment="1" applyProtection="1">
      <alignment horizontal="center"/>
    </xf>
    <xf numFmtId="0" fontId="43" fillId="24" borderId="25" xfId="0" applyNumberFormat="1" applyFont="1" applyFill="1" applyBorder="1" applyAlignment="1" applyProtection="1">
      <alignment horizontal="left"/>
      <protection locked="0"/>
    </xf>
    <xf numFmtId="0" fontId="43" fillId="24" borderId="73" xfId="0" applyNumberFormat="1" applyFont="1" applyFill="1" applyBorder="1" applyAlignment="1" applyProtection="1">
      <alignment horizontal="left"/>
    </xf>
    <xf numFmtId="0" fontId="43" fillId="24" borderId="62" xfId="0" applyNumberFormat="1" applyFont="1" applyFill="1" applyBorder="1" applyAlignment="1" applyProtection="1">
      <alignment horizontal="left"/>
    </xf>
    <xf numFmtId="0" fontId="2" fillId="10" borderId="0" xfId="0" applyFont="1" applyFill="1" applyProtection="1"/>
    <xf numFmtId="0" fontId="0" fillId="25" borderId="62" xfId="0" applyNumberFormat="1" applyFill="1" applyBorder="1" applyAlignment="1" applyProtection="1">
      <alignment horizontal="center"/>
    </xf>
    <xf numFmtId="49" fontId="0" fillId="25" borderId="62" xfId="0" applyNumberFormat="1" applyFill="1" applyBorder="1" applyAlignment="1" applyProtection="1">
      <alignment horizontal="center"/>
    </xf>
    <xf numFmtId="49" fontId="2" fillId="2" borderId="97" xfId="0" applyNumberFormat="1" applyFont="1" applyFill="1" applyBorder="1" applyAlignment="1" applyProtection="1">
      <alignment horizontal="center"/>
      <protection locked="0"/>
    </xf>
    <xf numFmtId="49" fontId="2" fillId="2" borderId="99" xfId="0" applyNumberFormat="1" applyFont="1" applyFill="1" applyBorder="1" applyAlignment="1" applyProtection="1">
      <alignment horizontal="center"/>
      <protection locked="0"/>
    </xf>
    <xf numFmtId="49" fontId="2" fillId="0" borderId="99" xfId="0" applyNumberFormat="1" applyFont="1" applyBorder="1" applyAlignment="1" applyProtection="1">
      <alignment horizontal="center"/>
      <protection locked="0"/>
    </xf>
    <xf numFmtId="49" fontId="2" fillId="0" borderId="101" xfId="0" applyNumberFormat="1" applyFont="1" applyBorder="1" applyAlignment="1" applyProtection="1">
      <alignment horizontal="center"/>
      <protection locked="0"/>
    </xf>
    <xf numFmtId="0" fontId="32" fillId="25" borderId="74" xfId="0" applyNumberFormat="1" applyFont="1" applyFill="1" applyBorder="1" applyAlignment="1" applyProtection="1">
      <alignment horizontal="center"/>
    </xf>
    <xf numFmtId="49" fontId="32" fillId="25" borderId="74" xfId="0" applyNumberFormat="1" applyFont="1" applyFill="1" applyBorder="1" applyAlignment="1" applyProtection="1">
      <alignment horizontal="center"/>
    </xf>
    <xf numFmtId="0" fontId="2" fillId="0" borderId="63" xfId="1" applyBorder="1" applyProtection="1"/>
    <xf numFmtId="0" fontId="2" fillId="0" borderId="64" xfId="1" applyBorder="1" applyProtection="1"/>
    <xf numFmtId="0" fontId="2" fillId="0" borderId="65" xfId="1" applyBorder="1" applyProtection="1"/>
    <xf numFmtId="0" fontId="34" fillId="21" borderId="0" xfId="1" applyFont="1" applyFill="1" applyProtection="1"/>
    <xf numFmtId="0" fontId="34" fillId="21" borderId="0" xfId="1" applyFont="1" applyFill="1" applyBorder="1" applyProtection="1"/>
    <xf numFmtId="0" fontId="2" fillId="0" borderId="0" xfId="1" applyProtection="1"/>
    <xf numFmtId="0" fontId="2" fillId="0" borderId="66" xfId="1" applyFont="1" applyBorder="1" applyProtection="1"/>
    <xf numFmtId="0" fontId="15" fillId="4" borderId="61" xfId="1" applyFont="1" applyFill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2" fillId="0" borderId="1" xfId="1" applyFont="1" applyBorder="1" applyProtection="1"/>
    <xf numFmtId="0" fontId="2" fillId="0" borderId="0" xfId="1" applyFont="1" applyProtection="1"/>
    <xf numFmtId="0" fontId="2" fillId="0" borderId="66" xfId="1" applyBorder="1" applyProtection="1"/>
    <xf numFmtId="0" fontId="2" fillId="0" borderId="0" xfId="1" applyBorder="1" applyProtection="1"/>
    <xf numFmtId="0" fontId="2" fillId="0" borderId="1" xfId="1" applyBorder="1" applyProtection="1"/>
    <xf numFmtId="0" fontId="3" fillId="0" borderId="0" xfId="1" applyFont="1" applyBorder="1" applyProtection="1"/>
    <xf numFmtId="0" fontId="27" fillId="16" borderId="6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wrapText="1"/>
    </xf>
    <xf numFmtId="0" fontId="6" fillId="0" borderId="6" xfId="1" applyFont="1" applyBorder="1" applyAlignment="1" applyProtection="1">
      <alignment horizontal="center" vertical="center" shrinkToFit="1"/>
      <protection locked="0"/>
    </xf>
    <xf numFmtId="0" fontId="25" fillId="0" borderId="23" xfId="1" applyFont="1" applyBorder="1" applyAlignment="1" applyProtection="1">
      <alignment horizontal="center" vertical="center" shrinkToFit="1"/>
      <protection locked="0"/>
    </xf>
    <xf numFmtId="0" fontId="27" fillId="16" borderId="61" xfId="1" applyFont="1" applyFill="1" applyBorder="1" applyProtection="1"/>
    <xf numFmtId="0" fontId="27" fillId="16" borderId="51" xfId="1" applyFont="1" applyFill="1" applyBorder="1" applyAlignment="1" applyProtection="1">
      <alignment vertical="center" wrapText="1"/>
    </xf>
    <xf numFmtId="0" fontId="27" fillId="16" borderId="61" xfId="1" applyFont="1" applyFill="1" applyBorder="1" applyAlignment="1" applyProtection="1">
      <alignment horizontal="center" vertical="center" wrapText="1"/>
    </xf>
    <xf numFmtId="0" fontId="14" fillId="3" borderId="6" xfId="1" applyFont="1" applyFill="1" applyBorder="1" applyAlignment="1" applyProtection="1">
      <alignment horizontal="center" vertical="center" shrinkToFit="1"/>
      <protection locked="0"/>
    </xf>
    <xf numFmtId="0" fontId="13" fillId="17" borderId="61" xfId="1" applyFont="1" applyFill="1" applyBorder="1" applyAlignment="1" applyProtection="1">
      <alignment horizontal="center" vertical="center" shrinkToFit="1"/>
    </xf>
    <xf numFmtId="0" fontId="13" fillId="18" borderId="61" xfId="1" applyFont="1" applyFill="1" applyBorder="1" applyAlignment="1" applyProtection="1">
      <alignment horizontal="center" vertical="center" shrinkToFit="1"/>
    </xf>
    <xf numFmtId="0" fontId="28" fillId="3" borderId="49" xfId="1" applyFont="1" applyFill="1" applyBorder="1" applyAlignment="1" applyProtection="1">
      <alignment horizontal="center" vertical="center" shrinkToFit="1"/>
      <protection locked="0"/>
    </xf>
    <xf numFmtId="0" fontId="29" fillId="3" borderId="67" xfId="1" applyFont="1" applyFill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/>
      <protection locked="0"/>
    </xf>
    <xf numFmtId="0" fontId="30" fillId="3" borderId="35" xfId="1" applyFont="1" applyFill="1" applyBorder="1" applyAlignment="1" applyProtection="1">
      <alignment horizontal="center" vertical="center" shrinkToFit="1"/>
      <protection locked="0"/>
    </xf>
    <xf numFmtId="0" fontId="31" fillId="3" borderId="34" xfId="1" applyFont="1" applyFill="1" applyBorder="1" applyAlignment="1" applyProtection="1">
      <alignment horizontal="center" vertical="center" shrinkToFit="1"/>
    </xf>
    <xf numFmtId="0" fontId="2" fillId="3" borderId="0" xfId="1" applyFill="1" applyBorder="1" applyProtection="1"/>
    <xf numFmtId="0" fontId="3" fillId="3" borderId="0" xfId="1" applyFont="1" applyFill="1" applyBorder="1" applyProtection="1"/>
    <xf numFmtId="0" fontId="6" fillId="0" borderId="61" xfId="1" applyFont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 shrinkToFit="1"/>
      <protection locked="0"/>
    </xf>
    <xf numFmtId="0" fontId="2" fillId="0" borderId="0" xfId="1" applyBorder="1" applyAlignment="1" applyProtection="1">
      <alignment vertical="center" shrinkToFit="1"/>
    </xf>
    <xf numFmtId="0" fontId="2" fillId="0" borderId="0" xfId="1" applyBorder="1" applyAlignment="1" applyProtection="1">
      <alignment vertical="center" wrapText="1" shrinkToFit="1"/>
    </xf>
    <xf numFmtId="0" fontId="2" fillId="0" borderId="0" xfId="1" applyBorder="1" applyAlignment="1" applyProtection="1">
      <alignment vertical="center" wrapText="1"/>
    </xf>
    <xf numFmtId="0" fontId="2" fillId="0" borderId="2" xfId="1" applyBorder="1" applyProtection="1"/>
    <xf numFmtId="0" fontId="3" fillId="0" borderId="3" xfId="1" applyFont="1" applyBorder="1" applyProtection="1"/>
    <xf numFmtId="0" fontId="2" fillId="0" borderId="3" xfId="1" applyBorder="1" applyProtection="1"/>
    <xf numFmtId="0" fontId="2" fillId="0" borderId="4" xfId="1" applyBorder="1" applyProtection="1"/>
    <xf numFmtId="0" fontId="2" fillId="21" borderId="0" xfId="1" applyFill="1" applyBorder="1" applyProtection="1"/>
    <xf numFmtId="0" fontId="2" fillId="21" borderId="0" xfId="1" applyFill="1" applyBorder="1" applyAlignment="1" applyProtection="1">
      <alignment vertical="center" shrinkToFit="1"/>
    </xf>
    <xf numFmtId="0" fontId="2" fillId="21" borderId="0" xfId="1" applyFill="1" applyBorder="1" applyAlignment="1" applyProtection="1">
      <alignment vertical="center" wrapText="1" shrinkToFit="1"/>
    </xf>
    <xf numFmtId="0" fontId="2" fillId="21" borderId="0" xfId="1" applyFill="1" applyProtection="1"/>
    <xf numFmtId="49" fontId="2" fillId="2" borderId="17" xfId="0" applyNumberFormat="1" applyFont="1" applyFill="1" applyBorder="1" applyAlignment="1" applyProtection="1">
      <alignment horizontal="center"/>
      <protection locked="0"/>
    </xf>
    <xf numFmtId="49" fontId="2" fillId="2" borderId="15" xfId="0" applyNumberFormat="1" applyFont="1" applyFill="1" applyBorder="1" applyAlignment="1" applyProtection="1">
      <alignment horizontal="center"/>
      <protection locked="0"/>
    </xf>
    <xf numFmtId="49" fontId="2" fillId="0" borderId="15" xfId="0" applyNumberFormat="1" applyFont="1" applyBorder="1" applyAlignment="1" applyProtection="1">
      <alignment horizontal="center"/>
      <protection locked="0"/>
    </xf>
    <xf numFmtId="49" fontId="2" fillId="0" borderId="88" xfId="0" applyNumberFormat="1" applyFont="1" applyBorder="1" applyAlignment="1" applyProtection="1">
      <alignment horizontal="center"/>
      <protection locked="0"/>
    </xf>
    <xf numFmtId="49" fontId="2" fillId="2" borderId="49" xfId="0" applyNumberFormat="1" applyFont="1" applyFill="1" applyBorder="1" applyAlignment="1" applyProtection="1">
      <alignment horizontal="center"/>
      <protection locked="0"/>
    </xf>
    <xf numFmtId="49" fontId="2" fillId="2" borderId="79" xfId="0" applyNumberFormat="1" applyFont="1" applyFill="1" applyBorder="1" applyAlignment="1" applyProtection="1">
      <alignment horizontal="center"/>
      <protection locked="0"/>
    </xf>
    <xf numFmtId="49" fontId="2" fillId="0" borderId="79" xfId="0" applyNumberFormat="1" applyFont="1" applyBorder="1" applyAlignment="1" applyProtection="1">
      <alignment horizontal="center"/>
      <protection locked="0"/>
    </xf>
    <xf numFmtId="49" fontId="2" fillId="0" borderId="86" xfId="0" applyNumberFormat="1" applyFont="1" applyBorder="1" applyAlignment="1" applyProtection="1">
      <alignment horizontal="center"/>
      <protection locked="0"/>
    </xf>
    <xf numFmtId="49" fontId="2" fillId="2" borderId="96" xfId="0" applyNumberFormat="1" applyFont="1" applyFill="1" applyBorder="1" applyAlignment="1" applyProtection="1">
      <alignment horizontal="center"/>
      <protection locked="0"/>
    </xf>
    <xf numFmtId="49" fontId="2" fillId="2" borderId="98" xfId="0" applyNumberFormat="1" applyFont="1" applyFill="1" applyBorder="1" applyAlignment="1" applyProtection="1">
      <alignment horizontal="center"/>
      <protection locked="0"/>
    </xf>
    <xf numFmtId="49" fontId="2" fillId="0" borderId="98" xfId="0" applyNumberFormat="1" applyFont="1" applyBorder="1" applyAlignment="1" applyProtection="1">
      <alignment horizontal="center"/>
      <protection locked="0"/>
    </xf>
    <xf numFmtId="49" fontId="2" fillId="0" borderId="100" xfId="0" applyNumberFormat="1" applyFont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/>
    <xf numFmtId="0" fontId="7" fillId="4" borderId="20" xfId="0" applyFont="1" applyFill="1" applyBorder="1" applyAlignment="1" applyProtection="1"/>
    <xf numFmtId="0" fontId="2" fillId="10" borderId="0" xfId="0" applyNumberFormat="1" applyFont="1" applyFill="1" applyBorder="1" applyAlignment="1" applyProtection="1">
      <alignment vertical="center" wrapText="1"/>
    </xf>
    <xf numFmtId="0" fontId="0" fillId="10" borderId="0" xfId="0" applyNumberFormat="1" applyFill="1" applyBorder="1" applyAlignment="1" applyProtection="1">
      <alignment vertical="center" wrapText="1"/>
    </xf>
    <xf numFmtId="0" fontId="21" fillId="10" borderId="0" xfId="0" applyFont="1" applyFill="1" applyBorder="1" applyProtection="1"/>
    <xf numFmtId="0" fontId="21" fillId="10" borderId="0" xfId="0" applyNumberFormat="1" applyFont="1" applyFill="1" applyBorder="1" applyAlignment="1" applyProtection="1">
      <alignment vertical="center" wrapText="1"/>
    </xf>
    <xf numFmtId="0" fontId="44" fillId="10" borderId="0" xfId="0" applyFont="1" applyFill="1" applyProtection="1"/>
    <xf numFmtId="0" fontId="0" fillId="7" borderId="0" xfId="0" applyFill="1"/>
    <xf numFmtId="0" fontId="49" fillId="16" borderId="0" xfId="0" applyFont="1" applyFill="1" applyAlignment="1">
      <alignment horizontal="center" vertical="center" wrapText="1"/>
    </xf>
    <xf numFmtId="0" fontId="47" fillId="10" borderId="0" xfId="0" applyFont="1" applyFill="1" applyAlignment="1">
      <alignment horizontal="center"/>
    </xf>
    <xf numFmtId="49" fontId="12" fillId="0" borderId="68" xfId="0" applyNumberFormat="1" applyFont="1" applyFill="1" applyBorder="1" applyAlignment="1" applyProtection="1">
      <alignment horizontal="center" vertical="center"/>
      <protection locked="0"/>
    </xf>
    <xf numFmtId="0" fontId="51" fillId="10" borderId="0" xfId="0" applyFont="1" applyFill="1" applyProtection="1"/>
    <xf numFmtId="0" fontId="36" fillId="3" borderId="102" xfId="0" applyNumberFormat="1" applyFont="1" applyFill="1" applyBorder="1" applyProtection="1">
      <protection locked="0"/>
    </xf>
    <xf numFmtId="0" fontId="36" fillId="3" borderId="38" xfId="0" applyNumberFormat="1" applyFont="1" applyFill="1" applyBorder="1" applyProtection="1">
      <protection locked="0"/>
    </xf>
    <xf numFmtId="0" fontId="52" fillId="20" borderId="0" xfId="2" applyFill="1"/>
    <xf numFmtId="1" fontId="2" fillId="2" borderId="75" xfId="0" applyNumberFormat="1" applyFont="1" applyFill="1" applyBorder="1" applyAlignment="1" applyProtection="1">
      <alignment horizontal="right"/>
      <protection locked="0"/>
    </xf>
    <xf numFmtId="1" fontId="2" fillId="2" borderId="71" xfId="0" applyNumberFormat="1" applyFont="1" applyFill="1" applyBorder="1" applyAlignment="1" applyProtection="1">
      <alignment horizontal="right"/>
      <protection locked="0"/>
    </xf>
    <xf numFmtId="1" fontId="2" fillId="2" borderId="89" xfId="0" applyNumberFormat="1" applyFont="1" applyFill="1" applyBorder="1" applyAlignment="1" applyProtection="1">
      <alignment horizontal="right"/>
      <protection locked="0"/>
    </xf>
    <xf numFmtId="1" fontId="2" fillId="2" borderId="82" xfId="0" applyNumberFormat="1" applyFont="1" applyFill="1" applyBorder="1" applyAlignment="1" applyProtection="1">
      <alignment horizontal="left"/>
      <protection locked="0"/>
    </xf>
    <xf numFmtId="1" fontId="2" fillId="2" borderId="83" xfId="0" applyNumberFormat="1" applyFont="1" applyFill="1" applyBorder="1" applyAlignment="1" applyProtection="1">
      <alignment horizontal="left"/>
      <protection locked="0"/>
    </xf>
    <xf numFmtId="1" fontId="2" fillId="2" borderId="90" xfId="0" applyNumberFormat="1" applyFont="1" applyFill="1" applyBorder="1" applyAlignment="1" applyProtection="1">
      <alignment horizontal="left"/>
      <protection locked="0"/>
    </xf>
    <xf numFmtId="1" fontId="2" fillId="2" borderId="85" xfId="0" applyNumberFormat="1" applyFont="1" applyFill="1" applyBorder="1" applyAlignment="1" applyProtection="1">
      <alignment horizontal="right"/>
      <protection locked="0"/>
    </xf>
    <xf numFmtId="1" fontId="2" fillId="2" borderId="84" xfId="0" applyNumberFormat="1" applyFont="1" applyFill="1" applyBorder="1" applyAlignment="1" applyProtection="1">
      <alignment horizontal="right"/>
      <protection locked="0"/>
    </xf>
    <xf numFmtId="1" fontId="2" fillId="2" borderId="91" xfId="0" applyNumberFormat="1" applyFont="1" applyFill="1" applyBorder="1" applyAlignment="1" applyProtection="1">
      <alignment horizontal="right"/>
      <protection locked="0"/>
    </xf>
    <xf numFmtId="1" fontId="2" fillId="2" borderId="76" xfId="0" applyNumberFormat="1" applyFont="1" applyFill="1" applyBorder="1" applyAlignment="1" applyProtection="1">
      <alignment horizontal="left"/>
      <protection locked="0"/>
    </xf>
    <xf numFmtId="1" fontId="2" fillId="2" borderId="72" xfId="0" applyNumberFormat="1" applyFont="1" applyFill="1" applyBorder="1" applyAlignment="1" applyProtection="1">
      <alignment horizontal="left"/>
      <protection locked="0"/>
    </xf>
    <xf numFmtId="1" fontId="2" fillId="2" borderId="92" xfId="0" applyNumberFormat="1" applyFont="1" applyFill="1" applyBorder="1" applyAlignment="1" applyProtection="1">
      <alignment horizontal="left"/>
      <protection locked="0"/>
    </xf>
    <xf numFmtId="0" fontId="1" fillId="0" borderId="0" xfId="3"/>
    <xf numFmtId="0" fontId="1" fillId="3" borderId="0" xfId="3" applyFill="1"/>
    <xf numFmtId="0" fontId="1" fillId="3" borderId="22" xfId="3" applyFill="1" applyBorder="1"/>
    <xf numFmtId="0" fontId="1" fillId="3" borderId="23" xfId="3" applyFill="1" applyBorder="1"/>
    <xf numFmtId="0" fontId="1" fillId="3" borderId="24" xfId="3" applyFill="1" applyBorder="1"/>
    <xf numFmtId="0" fontId="1" fillId="3" borderId="13" xfId="3" applyFill="1" applyBorder="1"/>
    <xf numFmtId="0" fontId="1" fillId="3" borderId="0" xfId="3" applyFill="1" applyBorder="1"/>
    <xf numFmtId="0" fontId="1" fillId="3" borderId="25" xfId="3" applyFill="1" applyBorder="1"/>
    <xf numFmtId="0" fontId="1" fillId="3" borderId="35" xfId="3" applyFill="1" applyBorder="1"/>
    <xf numFmtId="0" fontId="1" fillId="3" borderId="36" xfId="3" applyFill="1" applyBorder="1"/>
    <xf numFmtId="0" fontId="1" fillId="10" borderId="0" xfId="3" applyFill="1"/>
    <xf numFmtId="0" fontId="60" fillId="10" borderId="0" xfId="3" applyFont="1" applyFill="1"/>
    <xf numFmtId="0" fontId="61" fillId="10" borderId="0" xfId="3" applyFont="1" applyFill="1"/>
    <xf numFmtId="49" fontId="63" fillId="3" borderId="7" xfId="3" applyNumberFormat="1" applyFont="1" applyFill="1" applyBorder="1" applyAlignment="1">
      <alignment horizontal="center" vertical="center"/>
    </xf>
    <xf numFmtId="49" fontId="64" fillId="3" borderId="7" xfId="3" applyNumberFormat="1" applyFont="1" applyFill="1" applyBorder="1" applyAlignment="1">
      <alignment horizontal="center" vertical="center"/>
    </xf>
    <xf numFmtId="0" fontId="59" fillId="4" borderId="104" xfId="3" applyFont="1" applyFill="1" applyBorder="1" applyAlignment="1">
      <alignment horizontal="center" vertical="center"/>
    </xf>
    <xf numFmtId="0" fontId="65" fillId="3" borderId="0" xfId="3" applyFont="1" applyFill="1" applyBorder="1" applyAlignment="1">
      <alignment horizontal="center" vertical="center"/>
    </xf>
    <xf numFmtId="2" fontId="7" fillId="6" borderId="56" xfId="0" applyNumberFormat="1" applyFont="1" applyFill="1" applyBorder="1" applyAlignment="1" applyProtection="1">
      <alignment horizontal="center"/>
    </xf>
    <xf numFmtId="0" fontId="1" fillId="3" borderId="62" xfId="3" applyFill="1" applyBorder="1"/>
    <xf numFmtId="0" fontId="1" fillId="3" borderId="5" xfId="3" applyFill="1" applyBorder="1"/>
    <xf numFmtId="0" fontId="59" fillId="3" borderId="23" xfId="3" applyFont="1" applyFill="1" applyBorder="1"/>
    <xf numFmtId="0" fontId="1" fillId="27" borderId="0" xfId="3" applyFill="1" applyBorder="1"/>
    <xf numFmtId="0" fontId="1" fillId="27" borderId="0" xfId="3" applyFill="1"/>
    <xf numFmtId="0" fontId="1" fillId="28" borderId="0" xfId="3" applyFill="1"/>
    <xf numFmtId="0" fontId="1" fillId="29" borderId="0" xfId="3" applyFill="1"/>
    <xf numFmtId="0" fontId="66" fillId="4" borderId="37" xfId="3" applyFont="1" applyFill="1" applyBorder="1"/>
    <xf numFmtId="0" fontId="66" fillId="4" borderId="79" xfId="3" applyFont="1" applyFill="1" applyBorder="1"/>
    <xf numFmtId="0" fontId="66" fillId="4" borderId="38" xfId="3" applyFont="1" applyFill="1" applyBorder="1"/>
    <xf numFmtId="0" fontId="66" fillId="4" borderId="15" xfId="3" applyFont="1" applyFill="1" applyBorder="1"/>
    <xf numFmtId="0" fontId="66" fillId="15" borderId="35" xfId="3" applyFont="1" applyFill="1" applyBorder="1" applyAlignment="1">
      <alignment horizontal="center" vertical="center"/>
    </xf>
    <xf numFmtId="0" fontId="66" fillId="15" borderId="108" xfId="3" applyFont="1" applyFill="1" applyBorder="1" applyAlignment="1">
      <alignment horizontal="center" vertical="center"/>
    </xf>
    <xf numFmtId="0" fontId="66" fillId="0" borderId="36" xfId="3" applyFont="1" applyBorder="1" applyAlignment="1" applyProtection="1">
      <alignment horizontal="center" vertical="center"/>
      <protection locked="0"/>
    </xf>
    <xf numFmtId="0" fontId="66" fillId="4" borderId="37" xfId="3" applyFont="1" applyFill="1" applyBorder="1" applyAlignment="1">
      <alignment vertical="center"/>
    </xf>
    <xf numFmtId="0" fontId="68" fillId="4" borderId="103" xfId="3" applyFont="1" applyFill="1" applyBorder="1"/>
    <xf numFmtId="0" fontId="68" fillId="4" borderId="103" xfId="3" applyFont="1" applyFill="1" applyBorder="1" applyAlignment="1">
      <alignment vertical="center"/>
    </xf>
    <xf numFmtId="0" fontId="21" fillId="10" borderId="0" xfId="0" applyFont="1" applyFill="1" applyProtection="1">
      <protection locked="0"/>
    </xf>
    <xf numFmtId="165" fontId="21" fillId="10" borderId="0" xfId="0" applyNumberFormat="1" applyFont="1" applyFill="1" applyProtection="1">
      <protection locked="0"/>
    </xf>
    <xf numFmtId="166" fontId="21" fillId="10" borderId="0" xfId="0" applyNumberFormat="1" applyFont="1" applyFill="1" applyProtection="1">
      <protection locked="0"/>
    </xf>
    <xf numFmtId="0" fontId="2" fillId="0" borderId="22" xfId="1" applyNumberFormat="1" applyBorder="1" applyProtection="1">
      <protection locked="0"/>
    </xf>
    <xf numFmtId="0" fontId="2" fillId="0" borderId="23" xfId="1" applyNumberFormat="1" applyBorder="1" applyProtection="1">
      <protection locked="0"/>
    </xf>
    <xf numFmtId="0" fontId="2" fillId="0" borderId="23" xfId="1" applyNumberFormat="1" applyFont="1" applyBorder="1" applyProtection="1">
      <protection locked="0"/>
    </xf>
    <xf numFmtId="49" fontId="2" fillId="0" borderId="23" xfId="1" applyNumberFormat="1" applyBorder="1" applyProtection="1">
      <protection locked="0"/>
    </xf>
    <xf numFmtId="0" fontId="33" fillId="0" borderId="23" xfId="1" applyNumberFormat="1" applyFont="1" applyBorder="1" applyProtection="1">
      <protection locked="0"/>
    </xf>
    <xf numFmtId="0" fontId="39" fillId="0" borderId="24" xfId="1" applyNumberFormat="1" applyFont="1" applyBorder="1" applyAlignment="1" applyProtection="1">
      <alignment horizontal="left"/>
      <protection locked="0"/>
    </xf>
    <xf numFmtId="0" fontId="20" fillId="0" borderId="0" xfId="1" applyNumberFormat="1" applyFont="1" applyBorder="1" applyProtection="1">
      <protection locked="0"/>
    </xf>
    <xf numFmtId="0" fontId="20" fillId="0" borderId="0" xfId="1" applyNumberFormat="1" applyFont="1" applyFill="1" applyBorder="1" applyProtection="1">
      <protection locked="0"/>
    </xf>
    <xf numFmtId="0" fontId="2" fillId="21" borderId="0" xfId="1" applyNumberFormat="1" applyFill="1" applyProtection="1">
      <protection locked="0"/>
    </xf>
    <xf numFmtId="0" fontId="2" fillId="0" borderId="13" xfId="1" applyNumberFormat="1" applyBorder="1" applyProtection="1">
      <protection locked="0"/>
    </xf>
    <xf numFmtId="0" fontId="38" fillId="0" borderId="0" xfId="1" applyNumberFormat="1" applyFont="1" applyBorder="1" applyProtection="1">
      <protection locked="0"/>
    </xf>
    <xf numFmtId="0" fontId="2" fillId="0" borderId="0" xfId="1" applyNumberFormat="1" applyBorder="1" applyProtection="1">
      <protection locked="0"/>
    </xf>
    <xf numFmtId="0" fontId="2" fillId="0" borderId="0" xfId="1" applyNumberFormat="1" applyFont="1" applyBorder="1" applyProtection="1">
      <protection locked="0"/>
    </xf>
    <xf numFmtId="49" fontId="2" fillId="0" borderId="0" xfId="1" applyNumberFormat="1" applyFont="1" applyBorder="1" applyProtection="1">
      <protection locked="0"/>
    </xf>
    <xf numFmtId="0" fontId="33" fillId="0" borderId="0" xfId="1" applyNumberFormat="1" applyFont="1" applyBorder="1" applyProtection="1">
      <protection locked="0"/>
    </xf>
    <xf numFmtId="0" fontId="7" fillId="4" borderId="61" xfId="1" applyNumberFormat="1" applyFont="1" applyFill="1" applyBorder="1" applyAlignment="1" applyProtection="1">
      <alignment horizontal="center"/>
    </xf>
    <xf numFmtId="0" fontId="39" fillId="0" borderId="25" xfId="1" applyNumberFormat="1" applyFont="1" applyBorder="1" applyAlignment="1" applyProtection="1">
      <alignment horizontal="left"/>
      <protection locked="0"/>
    </xf>
    <xf numFmtId="0" fontId="2" fillId="0" borderId="0" xfId="1" applyNumberFormat="1" applyBorder="1" applyProtection="1"/>
    <xf numFmtId="0" fontId="2" fillId="0" borderId="0" xfId="1" applyNumberFormat="1" applyFont="1" applyBorder="1" applyProtection="1"/>
    <xf numFmtId="49" fontId="2" fillId="0" borderId="0" xfId="1" applyNumberFormat="1" applyFont="1" applyFill="1" applyBorder="1" applyAlignment="1" applyProtection="1">
      <alignment vertical="top"/>
    </xf>
    <xf numFmtId="0" fontId="33" fillId="0" borderId="0" xfId="1" applyNumberFormat="1" applyFont="1" applyBorder="1" applyProtection="1"/>
    <xf numFmtId="0" fontId="8" fillId="0" borderId="0" xfId="1" applyNumberFormat="1" applyFont="1" applyBorder="1" applyAlignment="1" applyProtection="1">
      <alignment horizontal="center"/>
    </xf>
    <xf numFmtId="0" fontId="40" fillId="0" borderId="5" xfId="1" applyNumberFormat="1" applyFont="1" applyBorder="1" applyAlignment="1" applyProtection="1">
      <alignment horizontal="center"/>
    </xf>
    <xf numFmtId="0" fontId="8" fillId="0" borderId="5" xfId="1" applyNumberFormat="1" applyFont="1" applyBorder="1" applyAlignment="1" applyProtection="1"/>
    <xf numFmtId="49" fontId="8" fillId="0" borderId="5" xfId="1" applyNumberFormat="1" applyFont="1" applyBorder="1" applyAlignment="1" applyProtection="1"/>
    <xf numFmtId="0" fontId="8" fillId="0" borderId="0" xfId="1" applyNumberFormat="1" applyFont="1" applyBorder="1" applyAlignment="1" applyProtection="1"/>
    <xf numFmtId="0" fontId="2" fillId="22" borderId="13" xfId="1" applyNumberFormat="1" applyFill="1" applyBorder="1" applyProtection="1">
      <protection locked="0"/>
    </xf>
    <xf numFmtId="0" fontId="33" fillId="23" borderId="62" xfId="1" applyNumberFormat="1" applyFont="1" applyFill="1" applyBorder="1" applyAlignment="1" applyProtection="1">
      <alignment horizontal="center"/>
    </xf>
    <xf numFmtId="0" fontId="2" fillId="22" borderId="13" xfId="1" applyNumberFormat="1" applyFill="1" applyBorder="1" applyAlignment="1" applyProtection="1">
      <alignment horizontal="center"/>
      <protection locked="0"/>
    </xf>
    <xf numFmtId="0" fontId="2" fillId="0" borderId="62" xfId="1" applyNumberFormat="1" applyBorder="1" applyAlignment="1" applyProtection="1">
      <alignment horizontal="center"/>
    </xf>
    <xf numFmtId="0" fontId="36" fillId="15" borderId="62" xfId="1" applyNumberFormat="1" applyFont="1" applyFill="1" applyBorder="1" applyAlignment="1" applyProtection="1">
      <alignment horizontal="center"/>
    </xf>
    <xf numFmtId="0" fontId="7" fillId="0" borderId="49" xfId="1" applyNumberFormat="1" applyFont="1" applyBorder="1" applyAlignment="1" applyProtection="1">
      <alignment horizontal="center"/>
    </xf>
    <xf numFmtId="0" fontId="7" fillId="0" borderId="69" xfId="1" applyNumberFormat="1" applyFont="1" applyBorder="1" applyAlignment="1" applyProtection="1">
      <alignment horizontal="center"/>
    </xf>
    <xf numFmtId="0" fontId="7" fillId="0" borderId="52" xfId="1" applyNumberFormat="1" applyFont="1" applyBorder="1" applyAlignment="1" applyProtection="1"/>
    <xf numFmtId="0" fontId="7" fillId="0" borderId="70" xfId="1" applyNumberFormat="1" applyFont="1" applyBorder="1" applyAlignment="1" applyProtection="1">
      <alignment horizontal="center"/>
    </xf>
    <xf numFmtId="0" fontId="36" fillId="15" borderId="0" xfId="1" applyNumberFormat="1" applyFont="1" applyFill="1" applyBorder="1" applyAlignment="1" applyProtection="1">
      <alignment horizontal="center"/>
    </xf>
    <xf numFmtId="0" fontId="2" fillId="25" borderId="62" xfId="1" applyNumberFormat="1" applyFill="1" applyBorder="1" applyAlignment="1" applyProtection="1">
      <alignment horizontal="center"/>
    </xf>
    <xf numFmtId="49" fontId="2" fillId="25" borderId="62" xfId="1" applyNumberFormat="1" applyFill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/>
    </xf>
    <xf numFmtId="0" fontId="7" fillId="0" borderId="74" xfId="1" applyNumberFormat="1" applyFont="1" applyBorder="1" applyAlignment="1" applyProtection="1">
      <alignment horizontal="center"/>
    </xf>
    <xf numFmtId="0" fontId="7" fillId="15" borderId="74" xfId="1" applyNumberFormat="1" applyFont="1" applyFill="1" applyBorder="1" applyAlignment="1" applyProtection="1">
      <alignment horizontal="center"/>
    </xf>
    <xf numFmtId="0" fontId="7" fillId="15" borderId="3" xfId="1" applyNumberFormat="1" applyFont="1" applyFill="1" applyBorder="1" applyAlignment="1" applyProtection="1">
      <alignment horizontal="center"/>
    </xf>
    <xf numFmtId="0" fontId="32" fillId="25" borderId="74" xfId="1" applyNumberFormat="1" applyFont="1" applyFill="1" applyBorder="1" applyAlignment="1" applyProtection="1">
      <alignment horizontal="center"/>
    </xf>
    <xf numFmtId="49" fontId="32" fillId="25" borderId="74" xfId="1" applyNumberFormat="1" applyFont="1" applyFill="1" applyBorder="1" applyAlignment="1" applyProtection="1">
      <alignment horizontal="center"/>
    </xf>
    <xf numFmtId="0" fontId="33" fillId="23" borderId="74" xfId="1" applyNumberFormat="1" applyFont="1" applyFill="1" applyBorder="1" applyAlignment="1" applyProtection="1">
      <alignment horizontal="center"/>
    </xf>
    <xf numFmtId="0" fontId="2" fillId="2" borderId="49" xfId="1" applyNumberFormat="1" applyFont="1" applyFill="1" applyBorder="1" applyAlignment="1" applyProtection="1">
      <alignment horizontal="center" shrinkToFit="1"/>
      <protection locked="0"/>
    </xf>
    <xf numFmtId="0" fontId="2" fillId="15" borderId="80" xfId="1" applyNumberFormat="1" applyFont="1" applyFill="1" applyBorder="1" applyAlignment="1" applyProtection="1">
      <alignment horizontal="center"/>
    </xf>
    <xf numFmtId="49" fontId="2" fillId="2" borderId="17" xfId="1" applyNumberFormat="1" applyFont="1" applyFill="1" applyBorder="1" applyAlignment="1" applyProtection="1">
      <alignment horizontal="center"/>
      <protection locked="0"/>
    </xf>
    <xf numFmtId="1" fontId="2" fillId="2" borderId="75" xfId="1" applyNumberFormat="1" applyFont="1" applyFill="1" applyBorder="1" applyAlignment="1" applyProtection="1">
      <alignment horizontal="right"/>
      <protection locked="0"/>
    </xf>
    <xf numFmtId="0" fontId="2" fillId="2" borderId="18" xfId="1" applyNumberFormat="1" applyFont="1" applyFill="1" applyBorder="1" applyAlignment="1" applyProtection="1">
      <alignment horizontal="center"/>
    </xf>
    <xf numFmtId="1" fontId="2" fillId="2" borderId="82" xfId="1" applyNumberFormat="1" applyFont="1" applyFill="1" applyBorder="1" applyAlignment="1" applyProtection="1">
      <alignment horizontal="left"/>
      <protection locked="0"/>
    </xf>
    <xf numFmtId="0" fontId="2" fillId="15" borderId="81" xfId="1" applyNumberFormat="1" applyFont="1" applyFill="1" applyBorder="1" applyAlignment="1" applyProtection="1">
      <alignment horizontal="center"/>
    </xf>
    <xf numFmtId="49" fontId="2" fillId="2" borderId="96" xfId="1" applyNumberFormat="1" applyFont="1" applyFill="1" applyBorder="1" applyAlignment="1" applyProtection="1">
      <alignment horizontal="center"/>
      <protection locked="0"/>
    </xf>
    <xf numFmtId="49" fontId="2" fillId="2" borderId="97" xfId="1" applyNumberFormat="1" applyFont="1" applyFill="1" applyBorder="1" applyAlignment="1" applyProtection="1">
      <alignment horizontal="center"/>
      <protection locked="0"/>
    </xf>
    <xf numFmtId="167" fontId="2" fillId="0" borderId="14" xfId="1" applyNumberFormat="1" applyFont="1" applyFill="1" applyBorder="1" applyAlignment="1" applyProtection="1">
      <alignment horizontal="center"/>
      <protection locked="0"/>
    </xf>
    <xf numFmtId="49" fontId="2" fillId="0" borderId="14" xfId="1" applyNumberFormat="1" applyFont="1" applyFill="1" applyBorder="1" applyAlignment="1" applyProtection="1">
      <alignment horizontal="center"/>
      <protection locked="0"/>
    </xf>
    <xf numFmtId="0" fontId="36" fillId="3" borderId="102" xfId="1" applyNumberFormat="1" applyFont="1" applyFill="1" applyBorder="1" applyProtection="1">
      <protection locked="0"/>
    </xf>
    <xf numFmtId="49" fontId="2" fillId="2" borderId="15" xfId="1" applyNumberFormat="1" applyFont="1" applyFill="1" applyBorder="1" applyAlignment="1" applyProtection="1">
      <alignment horizontal="center"/>
      <protection locked="0"/>
    </xf>
    <xf numFmtId="1" fontId="2" fillId="2" borderId="71" xfId="1" applyNumberFormat="1" applyFont="1" applyFill="1" applyBorder="1" applyAlignment="1" applyProtection="1">
      <alignment horizontal="right"/>
      <protection locked="0"/>
    </xf>
    <xf numFmtId="0" fontId="2" fillId="2" borderId="16" xfId="1" applyNumberFormat="1" applyFont="1" applyFill="1" applyBorder="1" applyAlignment="1" applyProtection="1">
      <alignment horizontal="center"/>
    </xf>
    <xf numFmtId="1" fontId="2" fillId="2" borderId="83" xfId="1" applyNumberFormat="1" applyFont="1" applyFill="1" applyBorder="1" applyAlignment="1" applyProtection="1">
      <alignment horizontal="left"/>
      <protection locked="0"/>
    </xf>
    <xf numFmtId="49" fontId="2" fillId="2" borderId="98" xfId="1" applyNumberFormat="1" applyFont="1" applyFill="1" applyBorder="1" applyAlignment="1" applyProtection="1">
      <alignment horizontal="center"/>
      <protection locked="0"/>
    </xf>
    <xf numFmtId="49" fontId="2" fillId="2" borderId="99" xfId="1" applyNumberFormat="1" applyFont="1" applyFill="1" applyBorder="1" applyAlignment="1" applyProtection="1">
      <alignment horizontal="center"/>
      <protection locked="0"/>
    </xf>
    <xf numFmtId="0" fontId="36" fillId="3" borderId="38" xfId="1" applyNumberFormat="1" applyFont="1" applyFill="1" applyBorder="1" applyProtection="1">
      <protection locked="0"/>
    </xf>
    <xf numFmtId="49" fontId="2" fillId="0" borderId="8" xfId="1" applyNumberFormat="1" applyFont="1" applyFill="1" applyBorder="1" applyAlignment="1" applyProtection="1">
      <alignment horizontal="center"/>
      <protection locked="0"/>
    </xf>
    <xf numFmtId="0" fontId="2" fillId="2" borderId="79" xfId="1" applyNumberFormat="1" applyFont="1" applyFill="1" applyBorder="1" applyAlignment="1" applyProtection="1">
      <alignment horizontal="center" shrinkToFit="1"/>
      <protection locked="0"/>
    </xf>
    <xf numFmtId="49" fontId="2" fillId="0" borderId="8" xfId="1" applyNumberFormat="1" applyFont="1" applyBorder="1" applyAlignment="1" applyProtection="1">
      <alignment horizontal="center"/>
      <protection locked="0"/>
    </xf>
    <xf numFmtId="0" fontId="2" fillId="0" borderId="79" xfId="1" applyNumberFormat="1" applyFont="1" applyBorder="1" applyAlignment="1" applyProtection="1">
      <alignment horizontal="center" shrinkToFit="1"/>
      <protection locked="0"/>
    </xf>
    <xf numFmtId="49" fontId="2" fillId="0" borderId="15" xfId="1" applyNumberFormat="1" applyFont="1" applyBorder="1" applyAlignment="1" applyProtection="1">
      <alignment horizontal="center"/>
      <protection locked="0"/>
    </xf>
    <xf numFmtId="49" fontId="2" fillId="0" borderId="98" xfId="1" applyNumberFormat="1" applyFont="1" applyBorder="1" applyAlignment="1" applyProtection="1">
      <alignment horizontal="center"/>
      <protection locked="0"/>
    </xf>
    <xf numFmtId="49" fontId="2" fillId="0" borderId="99" xfId="1" applyNumberFormat="1" applyFont="1" applyBorder="1" applyAlignment="1" applyProtection="1">
      <alignment horizontal="center"/>
      <protection locked="0"/>
    </xf>
    <xf numFmtId="0" fontId="2" fillId="0" borderId="86" xfId="1" applyNumberFormat="1" applyFont="1" applyBorder="1" applyAlignment="1" applyProtection="1">
      <alignment horizontal="center" shrinkToFit="1"/>
      <protection locked="0"/>
    </xf>
    <xf numFmtId="0" fontId="2" fillId="15" borderId="87" xfId="1" applyNumberFormat="1" applyFont="1" applyFill="1" applyBorder="1" applyAlignment="1" applyProtection="1">
      <alignment horizontal="center"/>
    </xf>
    <xf numFmtId="49" fontId="2" fillId="0" borderId="88" xfId="1" applyNumberFormat="1" applyFont="1" applyBorder="1" applyAlignment="1" applyProtection="1">
      <alignment horizontal="center"/>
      <protection locked="0"/>
    </xf>
    <xf numFmtId="1" fontId="2" fillId="2" borderId="89" xfId="1" applyNumberFormat="1" applyFont="1" applyFill="1" applyBorder="1" applyAlignment="1" applyProtection="1">
      <alignment horizontal="right"/>
      <protection locked="0"/>
    </xf>
    <xf numFmtId="0" fontId="2" fillId="2" borderId="48" xfId="1" applyNumberFormat="1" applyFont="1" applyFill="1" applyBorder="1" applyAlignment="1" applyProtection="1">
      <alignment horizontal="center"/>
    </xf>
    <xf numFmtId="1" fontId="2" fillId="2" borderId="90" xfId="1" applyNumberFormat="1" applyFont="1" applyFill="1" applyBorder="1" applyAlignment="1" applyProtection="1">
      <alignment horizontal="left"/>
      <protection locked="0"/>
    </xf>
    <xf numFmtId="49" fontId="2" fillId="0" borderId="100" xfId="1" applyNumberFormat="1" applyFont="1" applyBorder="1" applyAlignment="1" applyProtection="1">
      <alignment horizontal="center"/>
      <protection locked="0"/>
    </xf>
    <xf numFmtId="49" fontId="2" fillId="0" borderId="101" xfId="1" applyNumberFormat="1" applyFont="1" applyBorder="1" applyAlignment="1" applyProtection="1">
      <alignment horizontal="center"/>
      <protection locked="0"/>
    </xf>
    <xf numFmtId="49" fontId="2" fillId="0" borderId="93" xfId="1" applyNumberFormat="1" applyFont="1" applyBorder="1" applyAlignment="1" applyProtection="1">
      <alignment horizontal="center"/>
      <protection locked="0"/>
    </xf>
    <xf numFmtId="49" fontId="2" fillId="0" borderId="0" xfId="1" applyNumberFormat="1" applyBorder="1" applyProtection="1">
      <protection locked="0"/>
    </xf>
    <xf numFmtId="0" fontId="2" fillId="21" borderId="0" xfId="1" applyNumberFormat="1" applyFill="1" applyBorder="1" applyProtection="1">
      <protection locked="0"/>
    </xf>
    <xf numFmtId="0" fontId="2" fillId="21" borderId="23" xfId="1" applyNumberFormat="1" applyFill="1" applyBorder="1" applyProtection="1">
      <protection locked="0"/>
    </xf>
    <xf numFmtId="0" fontId="2" fillId="21" borderId="23" xfId="1" applyNumberFormat="1" applyFont="1" applyFill="1" applyBorder="1" applyProtection="1">
      <protection locked="0"/>
    </xf>
    <xf numFmtId="49" fontId="2" fillId="21" borderId="23" xfId="1" applyNumberFormat="1" applyFill="1" applyBorder="1" applyProtection="1">
      <protection locked="0"/>
    </xf>
    <xf numFmtId="0" fontId="33" fillId="21" borderId="23" xfId="1" applyNumberFormat="1" applyFont="1" applyFill="1" applyBorder="1" applyProtection="1">
      <protection locked="0"/>
    </xf>
    <xf numFmtId="0" fontId="39" fillId="21" borderId="23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Border="1" applyProtection="1">
      <protection locked="0"/>
    </xf>
    <xf numFmtId="49" fontId="2" fillId="21" borderId="0" xfId="1" applyNumberFormat="1" applyFill="1" applyBorder="1" applyProtection="1">
      <protection locked="0"/>
    </xf>
    <xf numFmtId="0" fontId="33" fillId="21" borderId="0" xfId="1" applyNumberFormat="1" applyFont="1" applyFill="1" applyBorder="1" applyProtection="1">
      <protection locked="0"/>
    </xf>
    <xf numFmtId="0" fontId="39" fillId="21" borderId="0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Protection="1">
      <protection locked="0"/>
    </xf>
    <xf numFmtId="49" fontId="2" fillId="21" borderId="0" xfId="1" applyNumberFormat="1" applyFill="1" applyProtection="1">
      <protection locked="0"/>
    </xf>
    <xf numFmtId="0" fontId="33" fillId="21" borderId="0" xfId="1" applyNumberFormat="1" applyFont="1" applyFill="1" applyProtection="1">
      <protection locked="0"/>
    </xf>
    <xf numFmtId="0" fontId="39" fillId="21" borderId="0" xfId="1" applyNumberFormat="1" applyFont="1" applyFill="1" applyAlignment="1" applyProtection="1">
      <alignment horizontal="left"/>
      <protection locked="0"/>
    </xf>
    <xf numFmtId="0" fontId="2" fillId="0" borderId="0" xfId="1" applyNumberFormat="1" applyFont="1" applyProtection="1">
      <protection locked="0"/>
    </xf>
    <xf numFmtId="0" fontId="2" fillId="0" borderId="0" xfId="1" applyNumberFormat="1" applyFont="1" applyFill="1" applyBorder="1" applyProtection="1">
      <protection locked="0"/>
    </xf>
    <xf numFmtId="0" fontId="2" fillId="0" borderId="0" xfId="1" applyNumberFormat="1" applyProtection="1">
      <protection locked="0"/>
    </xf>
    <xf numFmtId="49" fontId="2" fillId="0" borderId="0" xfId="1" applyNumberFormat="1" applyProtection="1">
      <protection locked="0"/>
    </xf>
    <xf numFmtId="0" fontId="33" fillId="0" borderId="0" xfId="1" applyNumberFormat="1" applyFont="1" applyProtection="1">
      <protection locked="0"/>
    </xf>
    <xf numFmtId="0" fontId="39" fillId="0" borderId="0" xfId="1" applyNumberFormat="1" applyFont="1" applyAlignment="1" applyProtection="1">
      <alignment horizontal="left"/>
      <protection locked="0"/>
    </xf>
    <xf numFmtId="0" fontId="2" fillId="0" borderId="23" xfId="1" applyNumberFormat="1" applyBorder="1" applyAlignment="1" applyProtection="1">
      <alignment horizontal="left"/>
      <protection locked="0"/>
    </xf>
    <xf numFmtId="0" fontId="2" fillId="0" borderId="0" xfId="1" applyNumberFormat="1" applyBorder="1" applyAlignment="1" applyProtection="1">
      <alignment horizontal="left"/>
      <protection locked="0"/>
    </xf>
    <xf numFmtId="0" fontId="55" fillId="3" borderId="5" xfId="1" applyNumberFormat="1" applyFont="1" applyFill="1" applyBorder="1" applyAlignment="1" applyProtection="1">
      <alignment horizontal="left" wrapText="1"/>
    </xf>
    <xf numFmtId="1" fontId="2" fillId="2" borderId="16" xfId="1" applyNumberFormat="1" applyFont="1" applyFill="1" applyBorder="1" applyAlignment="1" applyProtection="1">
      <alignment horizontal="left"/>
      <protection locked="0"/>
    </xf>
    <xf numFmtId="1" fontId="2" fillId="2" borderId="18" xfId="1" applyNumberFormat="1" applyFont="1" applyFill="1" applyBorder="1" applyAlignment="1" applyProtection="1">
      <alignment horizontal="left"/>
      <protection locked="0"/>
    </xf>
    <xf numFmtId="1" fontId="2" fillId="2" borderId="48" xfId="1" applyNumberFormat="1" applyFont="1" applyFill="1" applyBorder="1" applyAlignment="1" applyProtection="1">
      <alignment horizontal="left"/>
      <protection locked="0"/>
    </xf>
    <xf numFmtId="0" fontId="2" fillId="21" borderId="23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Alignment="1" applyProtection="1">
      <alignment horizontal="left"/>
      <protection locked="0"/>
    </xf>
    <xf numFmtId="0" fontId="2" fillId="0" borderId="0" xfId="1" applyNumberFormat="1" applyAlignment="1" applyProtection="1">
      <alignment horizontal="left"/>
      <protection locked="0"/>
    </xf>
    <xf numFmtId="0" fontId="7" fillId="4" borderId="21" xfId="0" applyFont="1" applyFill="1" applyBorder="1" applyAlignment="1" applyProtection="1"/>
    <xf numFmtId="164" fontId="2" fillId="0" borderId="9" xfId="0" applyNumberFormat="1" applyFont="1" applyBorder="1" applyAlignment="1" applyProtection="1">
      <alignment horizontal="center" vertical="center"/>
      <protection locked="0"/>
    </xf>
    <xf numFmtId="0" fontId="53" fillId="20" borderId="0" xfId="2" applyFont="1" applyFill="1" applyAlignment="1">
      <alignment horizontal="left" wrapText="1"/>
    </xf>
    <xf numFmtId="0" fontId="53" fillId="20" borderId="0" xfId="2" applyFont="1" applyFill="1" applyAlignment="1">
      <alignment horizontal="center"/>
    </xf>
    <xf numFmtId="49" fontId="2" fillId="3" borderId="47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45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54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37" fillId="10" borderId="18" xfId="0" applyFont="1" applyFill="1" applyBorder="1" applyAlignment="1" applyProtection="1">
      <alignment horizontal="center"/>
    </xf>
    <xf numFmtId="0" fontId="13" fillId="0" borderId="1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37" fillId="10" borderId="0" xfId="0" applyFont="1" applyFill="1" applyAlignment="1">
      <alignment horizontal="center" wrapText="1"/>
    </xf>
    <xf numFmtId="0" fontId="16" fillId="15" borderId="42" xfId="0" applyNumberFormat="1" applyFont="1" applyFill="1" applyBorder="1" applyAlignment="1" applyProtection="1">
      <alignment horizontal="center" vertical="center"/>
    </xf>
    <xf numFmtId="0" fontId="16" fillId="15" borderId="43" xfId="0" applyNumberFormat="1" applyFont="1" applyFill="1" applyBorder="1" applyAlignment="1" applyProtection="1">
      <alignment horizontal="center" vertical="center"/>
    </xf>
    <xf numFmtId="0" fontId="16" fillId="15" borderId="44" xfId="0" applyNumberFormat="1" applyFont="1" applyFill="1" applyBorder="1" applyAlignment="1" applyProtection="1">
      <alignment horizontal="center" vertical="center"/>
    </xf>
    <xf numFmtId="0" fontId="16" fillId="15" borderId="45" xfId="0" applyNumberFormat="1" applyFont="1" applyFill="1" applyBorder="1" applyAlignment="1" applyProtection="1">
      <alignment horizontal="center" vertical="center"/>
    </xf>
    <xf numFmtId="0" fontId="45" fillId="0" borderId="13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46" fillId="0" borderId="25" xfId="0" applyFont="1" applyBorder="1" applyAlignment="1" applyProtection="1">
      <alignment horizontal="center"/>
    </xf>
    <xf numFmtId="0" fontId="35" fillId="10" borderId="0" xfId="0" applyFont="1" applyFill="1" applyBorder="1" applyAlignment="1" applyProtection="1">
      <alignment horizontal="center" vertical="center" wrapText="1"/>
    </xf>
    <xf numFmtId="0" fontId="35" fillId="10" borderId="5" xfId="0" applyFont="1" applyFill="1" applyBorder="1" applyAlignment="1" applyProtection="1">
      <alignment horizontal="center" vertical="center" wrapText="1"/>
    </xf>
    <xf numFmtId="0" fontId="2" fillId="3" borderId="41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7" fillId="14" borderId="44" xfId="0" applyFont="1" applyFill="1" applyBorder="1" applyAlignment="1" applyProtection="1">
      <alignment horizontal="center"/>
    </xf>
    <xf numFmtId="0" fontId="7" fillId="14" borderId="45" xfId="0" applyFont="1" applyFill="1" applyBorder="1" applyAlignment="1" applyProtection="1">
      <alignment horizontal="center"/>
    </xf>
    <xf numFmtId="49" fontId="2" fillId="3" borderId="42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43" xfId="0" applyNumberFormat="1" applyFill="1" applyBorder="1" applyAlignment="1" applyProtection="1">
      <alignment horizontal="center" vertical="center" wrapText="1"/>
      <protection locked="0"/>
    </xf>
    <xf numFmtId="49" fontId="0" fillId="3" borderId="44" xfId="0" applyNumberFormat="1" applyFill="1" applyBorder="1" applyAlignment="1" applyProtection="1">
      <alignment horizontal="center" vertical="center" wrapText="1"/>
      <protection locked="0"/>
    </xf>
    <xf numFmtId="49" fontId="0" fillId="3" borderId="45" xfId="0" applyNumberFormat="1" applyFill="1" applyBorder="1" applyAlignment="1" applyProtection="1">
      <alignment horizontal="center" vertical="center" wrapText="1"/>
      <protection locked="0"/>
    </xf>
    <xf numFmtId="0" fontId="2" fillId="3" borderId="46" xfId="0" applyFont="1" applyFill="1" applyBorder="1" applyAlignment="1" applyProtection="1">
      <alignment horizontal="center" vertical="center" wrapText="1"/>
    </xf>
    <xf numFmtId="0" fontId="0" fillId="3" borderId="47" xfId="0" applyFill="1" applyBorder="1" applyAlignment="1" applyProtection="1">
      <alignment horizontal="center" vertical="center" wrapText="1"/>
    </xf>
    <xf numFmtId="0" fontId="0" fillId="3" borderId="44" xfId="0" applyFill="1" applyBorder="1" applyAlignment="1" applyProtection="1">
      <alignment horizontal="center" vertical="center" wrapText="1"/>
    </xf>
    <xf numFmtId="0" fontId="0" fillId="3" borderId="45" xfId="0" applyFill="1" applyBorder="1" applyAlignment="1" applyProtection="1">
      <alignment horizontal="center" vertical="center" wrapText="1"/>
    </xf>
    <xf numFmtId="49" fontId="2" fillId="3" borderId="54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54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2" fillId="3" borderId="41" xfId="0" applyNumberFormat="1" applyFont="1" applyFill="1" applyBorder="1" applyAlignment="1" applyProtection="1">
      <alignment horizontal="center" vertical="center" shrinkToFit="1"/>
      <protection locked="0"/>
    </xf>
    <xf numFmtId="49" fontId="7" fillId="15" borderId="41" xfId="0" applyNumberFormat="1" applyFont="1" applyFill="1" applyBorder="1" applyAlignment="1" applyProtection="1">
      <alignment horizontal="center" vertical="center" shrinkToFit="1"/>
    </xf>
    <xf numFmtId="0" fontId="7" fillId="15" borderId="9" xfId="0" applyNumberFormat="1" applyFont="1" applyFill="1" applyBorder="1" applyAlignment="1" applyProtection="1">
      <alignment horizontal="center" vertical="center" shrinkToFit="1"/>
    </xf>
    <xf numFmtId="0" fontId="11" fillId="0" borderId="42" xfId="0" applyFont="1" applyBorder="1" applyAlignment="1" applyProtection="1">
      <alignment horizontal="center"/>
    </xf>
    <xf numFmtId="0" fontId="15" fillId="4" borderId="51" xfId="0" applyFont="1" applyFill="1" applyBorder="1" applyAlignment="1" applyProtection="1">
      <alignment horizontal="center"/>
    </xf>
    <xf numFmtId="0" fontId="15" fillId="4" borderId="53" xfId="0" applyFont="1" applyFill="1" applyBorder="1" applyAlignment="1" applyProtection="1">
      <alignment horizontal="center"/>
    </xf>
    <xf numFmtId="0" fontId="15" fillId="2" borderId="22" xfId="0" applyFont="1" applyFill="1" applyBorder="1" applyAlignment="1" applyProtection="1">
      <alignment horizontal="center" vertical="center" wrapText="1" shrinkToFit="1"/>
      <protection locked="0"/>
    </xf>
    <xf numFmtId="0" fontId="15" fillId="2" borderId="23" xfId="0" applyFont="1" applyFill="1" applyBorder="1" applyAlignment="1" applyProtection="1">
      <alignment horizontal="center" vertical="center" wrapText="1" shrinkToFit="1"/>
      <protection locked="0"/>
    </xf>
    <xf numFmtId="0" fontId="15" fillId="2" borderId="24" xfId="0" applyFont="1" applyFill="1" applyBorder="1" applyAlignment="1" applyProtection="1">
      <alignment horizontal="center" vertical="center" wrapText="1" shrinkToFit="1"/>
      <protection locked="0"/>
    </xf>
    <xf numFmtId="0" fontId="27" fillId="16" borderId="5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shrinkToFit="1"/>
    </xf>
    <xf numFmtId="0" fontId="27" fillId="16" borderId="53" xfId="0" applyFont="1" applyFill="1" applyBorder="1" applyAlignment="1" applyProtection="1">
      <alignment horizontal="left" vertical="center" shrinkToFit="1"/>
    </xf>
    <xf numFmtId="49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center" vertical="center"/>
    </xf>
    <xf numFmtId="0" fontId="50" fillId="0" borderId="0" xfId="0" applyFont="1" applyBorder="1" applyAlignment="1" applyProtection="1">
      <alignment horizontal="center"/>
    </xf>
    <xf numFmtId="49" fontId="24" fillId="0" borderId="22" xfId="0" applyNumberFormat="1" applyFont="1" applyBorder="1" applyAlignment="1" applyProtection="1">
      <alignment horizontal="center" vertical="center"/>
    </xf>
    <xf numFmtId="49" fontId="24" fillId="0" borderId="24" xfId="0" applyNumberFormat="1" applyFont="1" applyBorder="1" applyAlignment="1" applyProtection="1">
      <alignment horizontal="center" vertical="center"/>
    </xf>
    <xf numFmtId="49" fontId="24" fillId="0" borderId="35" xfId="0" applyNumberFormat="1" applyFont="1" applyBorder="1" applyAlignment="1" applyProtection="1">
      <alignment horizontal="center" vertical="center"/>
    </xf>
    <xf numFmtId="49" fontId="24" fillId="0" borderId="36" xfId="0" applyNumberFormat="1" applyFont="1" applyBorder="1" applyAlignment="1" applyProtection="1">
      <alignment horizontal="center" vertical="center"/>
    </xf>
    <xf numFmtId="0" fontId="6" fillId="3" borderId="6" xfId="0" applyFont="1" applyFill="1" applyBorder="1" applyAlignment="1" applyProtection="1">
      <alignment horizontal="center" vertical="center"/>
      <protection locked="0"/>
    </xf>
    <xf numFmtId="0" fontId="6" fillId="3" borderId="62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0" fontId="27" fillId="16" borderId="51" xfId="0" applyFont="1" applyFill="1" applyBorder="1" applyAlignment="1" applyProtection="1">
      <alignment horizontal="center" vertical="center" wrapText="1"/>
    </xf>
    <xf numFmtId="0" fontId="27" fillId="16" borderId="53" xfId="0" applyFont="1" applyFill="1" applyBorder="1" applyAlignment="1" applyProtection="1">
      <alignment horizontal="center" vertical="center" wrapText="1"/>
    </xf>
    <xf numFmtId="0" fontId="26" fillId="3" borderId="6" xfId="0" applyFont="1" applyFill="1" applyBorder="1" applyAlignment="1" applyProtection="1">
      <alignment horizontal="center" vertical="center" shrinkToFit="1"/>
      <protection locked="0"/>
    </xf>
    <xf numFmtId="0" fontId="26" fillId="3" borderId="62" xfId="0" applyFont="1" applyFill="1" applyBorder="1" applyAlignment="1" applyProtection="1">
      <alignment horizontal="center" vertical="center" shrinkToFit="1"/>
      <protection locked="0"/>
    </xf>
    <xf numFmtId="0" fontId="26" fillId="3" borderId="7" xfId="0" applyFont="1" applyFill="1" applyBorder="1" applyAlignment="1" applyProtection="1">
      <alignment horizontal="center" vertical="center" shrinkToFit="1"/>
      <protection locked="0"/>
    </xf>
    <xf numFmtId="0" fontId="27" fillId="16" borderId="51" xfId="1" applyFont="1" applyFill="1" applyBorder="1" applyAlignment="1" applyProtection="1">
      <alignment horizontal="center" vertical="center" wrapText="1"/>
    </xf>
    <xf numFmtId="0" fontId="27" fillId="16" borderId="53" xfId="1" applyFont="1" applyFill="1" applyBorder="1" applyAlignment="1" applyProtection="1">
      <alignment horizontal="center" vertical="center" wrapText="1"/>
    </xf>
    <xf numFmtId="0" fontId="6" fillId="3" borderId="6" xfId="1" applyFont="1" applyFill="1" applyBorder="1" applyAlignment="1" applyProtection="1">
      <alignment horizontal="center" vertical="center"/>
      <protection locked="0"/>
    </xf>
    <xf numFmtId="0" fontId="6" fillId="3" borderId="62" xfId="1" applyFont="1" applyFill="1" applyBorder="1" applyAlignment="1" applyProtection="1">
      <alignment horizontal="center" vertical="center"/>
      <protection locked="0"/>
    </xf>
    <xf numFmtId="0" fontId="6" fillId="3" borderId="7" xfId="1" applyFont="1" applyFill="1" applyBorder="1" applyAlignment="1" applyProtection="1">
      <alignment horizontal="center" vertical="center"/>
      <protection locked="0"/>
    </xf>
    <xf numFmtId="0" fontId="26" fillId="3" borderId="6" xfId="1" applyFont="1" applyFill="1" applyBorder="1" applyAlignment="1" applyProtection="1">
      <alignment horizontal="center" vertical="center" shrinkToFit="1"/>
      <protection locked="0"/>
    </xf>
    <xf numFmtId="0" fontId="26" fillId="3" borderId="62" xfId="1" applyFont="1" applyFill="1" applyBorder="1" applyAlignment="1" applyProtection="1">
      <alignment horizontal="center" vertical="center" shrinkToFit="1"/>
      <protection locked="0"/>
    </xf>
    <xf numFmtId="0" fontId="26" fillId="3" borderId="7" xfId="1" applyFont="1" applyFill="1" applyBorder="1" applyAlignment="1" applyProtection="1">
      <alignment horizontal="center" vertical="center" shrinkToFit="1"/>
      <protection locked="0"/>
    </xf>
    <xf numFmtId="0" fontId="15" fillId="2" borderId="22" xfId="1" applyFont="1" applyFill="1" applyBorder="1" applyAlignment="1" applyProtection="1">
      <alignment horizontal="center" vertical="center" wrapText="1" shrinkToFit="1"/>
      <protection locked="0"/>
    </xf>
    <xf numFmtId="0" fontId="15" fillId="2" borderId="23" xfId="1" applyFont="1" applyFill="1" applyBorder="1" applyAlignment="1" applyProtection="1">
      <alignment horizontal="center" vertical="center" wrapText="1" shrinkToFit="1"/>
      <protection locked="0"/>
    </xf>
    <xf numFmtId="0" fontId="15" fillId="2" borderId="24" xfId="1" applyFont="1" applyFill="1" applyBorder="1" applyAlignment="1" applyProtection="1">
      <alignment horizontal="center" vertical="center" wrapText="1" shrinkToFit="1"/>
      <protection locked="0"/>
    </xf>
    <xf numFmtId="0" fontId="27" fillId="16" borderId="5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shrinkToFit="1"/>
    </xf>
    <xf numFmtId="0" fontId="27" fillId="16" borderId="53" xfId="1" applyFont="1" applyFill="1" applyBorder="1" applyAlignment="1" applyProtection="1">
      <alignment horizontal="left" vertical="center" shrinkToFit="1"/>
    </xf>
    <xf numFmtId="0" fontId="15" fillId="4" borderId="51" xfId="1" applyFont="1" applyFill="1" applyBorder="1" applyAlignment="1" applyProtection="1">
      <alignment horizontal="center"/>
    </xf>
    <xf numFmtId="0" fontId="15" fillId="4" borderId="53" xfId="1" applyFont="1" applyFill="1" applyBorder="1" applyAlignment="1" applyProtection="1">
      <alignment horizontal="center"/>
    </xf>
    <xf numFmtId="49" fontId="12" fillId="0" borderId="6" xfId="1" applyNumberFormat="1" applyFont="1" applyBorder="1" applyAlignment="1" applyProtection="1">
      <alignment horizontal="center" vertical="center"/>
    </xf>
    <xf numFmtId="0" fontId="12" fillId="0" borderId="7" xfId="1" applyNumberFormat="1" applyFont="1" applyBorder="1" applyAlignment="1" applyProtection="1">
      <alignment horizontal="center" vertical="center"/>
    </xf>
    <xf numFmtId="49" fontId="24" fillId="0" borderId="22" xfId="1" applyNumberFormat="1" applyFont="1" applyBorder="1" applyAlignment="1" applyProtection="1">
      <alignment horizontal="center" vertical="center"/>
    </xf>
    <xf numFmtId="49" fontId="24" fillId="0" borderId="24" xfId="1" applyNumberFormat="1" applyFont="1" applyBorder="1" applyAlignment="1" applyProtection="1">
      <alignment horizontal="center" vertical="center"/>
    </xf>
    <xf numFmtId="49" fontId="24" fillId="0" borderId="35" xfId="1" applyNumberFormat="1" applyFont="1" applyBorder="1" applyAlignment="1" applyProtection="1">
      <alignment horizontal="center" vertical="center"/>
    </xf>
    <xf numFmtId="49" fontId="24" fillId="0" borderId="36" xfId="1" applyNumberFormat="1" applyFont="1" applyBorder="1" applyAlignment="1" applyProtection="1">
      <alignment horizontal="center" vertical="center"/>
    </xf>
    <xf numFmtId="0" fontId="50" fillId="0" borderId="0" xfId="1" applyFont="1" applyBorder="1" applyAlignment="1" applyProtection="1">
      <alignment horizontal="center"/>
    </xf>
    <xf numFmtId="0" fontId="7" fillId="3" borderId="6" xfId="0" applyNumberFormat="1" applyFont="1" applyFill="1" applyBorder="1" applyAlignment="1" applyProtection="1">
      <alignment horizontal="center"/>
      <protection locked="0"/>
    </xf>
    <xf numFmtId="0" fontId="7" fillId="3" borderId="74" xfId="0" applyNumberFormat="1" applyFont="1" applyFill="1" applyBorder="1" applyAlignment="1" applyProtection="1">
      <alignment horizontal="center"/>
      <protection locked="0"/>
    </xf>
    <xf numFmtId="0" fontId="24" fillId="4" borderId="51" xfId="0" applyNumberFormat="1" applyFont="1" applyFill="1" applyBorder="1" applyAlignment="1" applyProtection="1">
      <alignment horizontal="center" vertical="center"/>
    </xf>
    <xf numFmtId="0" fontId="24" fillId="4" borderId="52" xfId="0" applyNumberFormat="1" applyFont="1" applyFill="1" applyBorder="1" applyAlignment="1" applyProtection="1">
      <alignment horizontal="center" vertical="center"/>
    </xf>
    <xf numFmtId="0" fontId="24" fillId="4" borderId="53" xfId="0" applyNumberFormat="1" applyFont="1" applyFill="1" applyBorder="1" applyAlignment="1" applyProtection="1">
      <alignment horizontal="center" vertical="center"/>
    </xf>
    <xf numFmtId="0" fontId="24" fillId="4" borderId="23" xfId="0" applyNumberFormat="1" applyFont="1" applyFill="1" applyBorder="1" applyAlignment="1" applyProtection="1">
      <alignment horizontal="center" vertical="center"/>
    </xf>
    <xf numFmtId="0" fontId="7" fillId="4" borderId="51" xfId="0" applyNumberFormat="1" applyFont="1" applyFill="1" applyBorder="1" applyAlignment="1" applyProtection="1">
      <alignment horizontal="center"/>
    </xf>
    <xf numFmtId="0" fontId="7" fillId="4" borderId="53" xfId="0" applyNumberFormat="1" applyFont="1" applyFill="1" applyBorder="1" applyAlignment="1" applyProtection="1">
      <alignment horizontal="center"/>
    </xf>
    <xf numFmtId="0" fontId="12" fillId="0" borderId="13" xfId="0" applyNumberFormat="1" applyFont="1" applyBorder="1" applyAlignment="1" applyProtection="1">
      <alignment horizontal="center" vertical="center"/>
    </xf>
    <xf numFmtId="0" fontId="12" fillId="0" borderId="25" xfId="0" applyNumberFormat="1" applyFont="1" applyBorder="1" applyAlignment="1" applyProtection="1">
      <alignment horizontal="center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2" fillId="0" borderId="36" xfId="0" applyNumberFormat="1" applyFont="1" applyBorder="1" applyAlignment="1" applyProtection="1">
      <alignment horizontal="center" vertical="center"/>
    </xf>
    <xf numFmtId="0" fontId="7" fillId="0" borderId="77" xfId="0" applyNumberFormat="1" applyFont="1" applyBorder="1" applyAlignment="1" applyProtection="1">
      <alignment horizontal="center"/>
    </xf>
    <xf numFmtId="0" fontId="7" fillId="0" borderId="3" xfId="0" applyNumberFormat="1" applyFont="1" applyBorder="1" applyAlignment="1" applyProtection="1">
      <alignment horizontal="center"/>
    </xf>
    <xf numFmtId="0" fontId="7" fillId="0" borderId="78" xfId="0" applyNumberFormat="1" applyFont="1" applyBorder="1" applyAlignment="1" applyProtection="1">
      <alignment horizontal="center"/>
    </xf>
    <xf numFmtId="0" fontId="7" fillId="4" borderId="52" xfId="0" applyNumberFormat="1" applyFont="1" applyFill="1" applyBorder="1" applyAlignment="1" applyProtection="1">
      <alignment horizontal="center"/>
    </xf>
    <xf numFmtId="0" fontId="41" fillId="0" borderId="13" xfId="0" applyNumberFormat="1" applyFont="1" applyBorder="1" applyAlignment="1" applyProtection="1">
      <alignment horizontal="center" vertical="center"/>
    </xf>
    <xf numFmtId="0" fontId="41" fillId="0" borderId="0" xfId="0" applyNumberFormat="1" applyFont="1" applyBorder="1" applyAlignment="1" applyProtection="1">
      <alignment horizontal="center" vertical="center"/>
    </xf>
    <xf numFmtId="0" fontId="41" fillId="0" borderId="25" xfId="0" applyNumberFormat="1" applyFont="1" applyBorder="1" applyAlignment="1" applyProtection="1">
      <alignment horizontal="center" vertical="center"/>
    </xf>
    <xf numFmtId="0" fontId="41" fillId="0" borderId="35" xfId="0" applyNumberFormat="1" applyFont="1" applyBorder="1" applyAlignment="1" applyProtection="1">
      <alignment horizontal="center" vertical="center"/>
    </xf>
    <xf numFmtId="0" fontId="41" fillId="0" borderId="5" xfId="0" applyNumberFormat="1" applyFont="1" applyBorder="1" applyAlignment="1" applyProtection="1">
      <alignment horizontal="center" vertical="center"/>
    </xf>
    <xf numFmtId="0" fontId="41" fillId="0" borderId="36" xfId="0" applyNumberFormat="1" applyFont="1" applyBorder="1" applyAlignment="1" applyProtection="1">
      <alignment horizontal="center" vertical="center"/>
    </xf>
    <xf numFmtId="0" fontId="54" fillId="0" borderId="0" xfId="0" applyNumberFormat="1" applyFont="1" applyBorder="1" applyAlignment="1" applyProtection="1">
      <alignment horizontal="center"/>
    </xf>
    <xf numFmtId="0" fontId="56" fillId="0" borderId="5" xfId="0" applyNumberFormat="1" applyFont="1" applyBorder="1" applyAlignment="1" applyProtection="1">
      <alignment horizontal="center"/>
    </xf>
    <xf numFmtId="0" fontId="55" fillId="3" borderId="5" xfId="0" applyNumberFormat="1" applyFont="1" applyFill="1" applyBorder="1" applyAlignment="1" applyProtection="1">
      <alignment horizontal="center" wrapText="1"/>
    </xf>
    <xf numFmtId="0" fontId="43" fillId="23" borderId="62" xfId="1" applyNumberFormat="1" applyFont="1" applyFill="1" applyBorder="1" applyAlignment="1" applyProtection="1">
      <alignment horizontal="center"/>
      <protection locked="0"/>
    </xf>
    <xf numFmtId="0" fontId="7" fillId="0" borderId="22" xfId="1" applyNumberFormat="1" applyFont="1" applyBorder="1" applyAlignment="1" applyProtection="1">
      <alignment horizontal="center"/>
    </xf>
    <xf numFmtId="0" fontId="7" fillId="0" borderId="77" xfId="1" applyNumberFormat="1" applyFont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 wrapText="1"/>
    </xf>
    <xf numFmtId="0" fontId="7" fillId="0" borderId="74" xfId="1" applyNumberFormat="1" applyFont="1" applyBorder="1" applyAlignment="1" applyProtection="1">
      <alignment horizontal="center" wrapText="1"/>
    </xf>
    <xf numFmtId="0" fontId="7" fillId="3" borderId="6" xfId="1" applyNumberFormat="1" applyFont="1" applyFill="1" applyBorder="1" applyAlignment="1" applyProtection="1">
      <alignment horizontal="center"/>
      <protection locked="0"/>
    </xf>
    <xf numFmtId="0" fontId="7" fillId="3" borderId="74" xfId="1" applyNumberFormat="1" applyFont="1" applyFill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/>
    </xf>
    <xf numFmtId="0" fontId="7" fillId="0" borderId="78" xfId="1" applyNumberFormat="1" applyFont="1" applyBorder="1" applyAlignment="1" applyProtection="1">
      <alignment horizontal="center"/>
    </xf>
    <xf numFmtId="0" fontId="33" fillId="23" borderId="110" xfId="1" applyNumberFormat="1" applyFont="1" applyFill="1" applyBorder="1" applyAlignment="1" applyProtection="1">
      <alignment horizontal="center"/>
    </xf>
    <xf numFmtId="0" fontId="33" fillId="23" borderId="62" xfId="1" applyNumberFormat="1" applyFont="1" applyFill="1" applyBorder="1" applyAlignment="1" applyProtection="1">
      <alignment horizontal="center"/>
    </xf>
    <xf numFmtId="0" fontId="33" fillId="23" borderId="7" xfId="1" applyNumberFormat="1" applyFont="1" applyFill="1" applyBorder="1" applyAlignment="1" applyProtection="1">
      <alignment horizontal="center"/>
    </xf>
    <xf numFmtId="0" fontId="24" fillId="30" borderId="51" xfId="1" applyNumberFormat="1" applyFont="1" applyFill="1" applyBorder="1" applyAlignment="1" applyProtection="1">
      <alignment horizontal="center" vertical="center"/>
    </xf>
    <xf numFmtId="0" fontId="24" fillId="30" borderId="52" xfId="1" applyNumberFormat="1" applyFont="1" applyFill="1" applyBorder="1" applyAlignment="1" applyProtection="1">
      <alignment horizontal="center" vertical="center"/>
    </xf>
    <xf numFmtId="0" fontId="24" fillId="30" borderId="23" xfId="1" applyNumberFormat="1" applyFont="1" applyFill="1" applyBorder="1" applyAlignment="1" applyProtection="1">
      <alignment horizontal="center" vertical="center"/>
    </xf>
    <xf numFmtId="0" fontId="24" fillId="30" borderId="53" xfId="1" applyNumberFormat="1" applyFont="1" applyFill="1" applyBorder="1" applyAlignment="1" applyProtection="1">
      <alignment horizontal="center" vertical="center"/>
    </xf>
    <xf numFmtId="0" fontId="7" fillId="4" borderId="51" xfId="1" applyNumberFormat="1" applyFont="1" applyFill="1" applyBorder="1" applyAlignment="1" applyProtection="1">
      <alignment horizontal="center"/>
    </xf>
    <xf numFmtId="0" fontId="7" fillId="4" borderId="53" xfId="1" applyNumberFormat="1" applyFont="1" applyFill="1" applyBorder="1" applyAlignment="1" applyProtection="1">
      <alignment horizontal="center"/>
    </xf>
    <xf numFmtId="49" fontId="12" fillId="0" borderId="13" xfId="1" applyNumberFormat="1" applyFont="1" applyBorder="1" applyAlignment="1" applyProtection="1">
      <alignment horizontal="center" vertical="center"/>
    </xf>
    <xf numFmtId="0" fontId="12" fillId="0" borderId="25" xfId="1" applyNumberFormat="1" applyFont="1" applyBorder="1" applyAlignment="1" applyProtection="1">
      <alignment horizontal="center" vertical="center"/>
    </xf>
    <xf numFmtId="0" fontId="12" fillId="0" borderId="35" xfId="1" applyNumberFormat="1" applyFont="1" applyBorder="1" applyAlignment="1" applyProtection="1">
      <alignment horizontal="center" vertical="center"/>
    </xf>
    <xf numFmtId="0" fontId="12" fillId="0" borderId="36" xfId="1" applyNumberFormat="1" applyFont="1" applyBorder="1" applyAlignment="1" applyProtection="1">
      <alignment horizontal="center" vertical="center"/>
    </xf>
    <xf numFmtId="49" fontId="41" fillId="0" borderId="6" xfId="1" applyNumberFormat="1" applyFont="1" applyBorder="1" applyAlignment="1" applyProtection="1">
      <alignment horizontal="center" vertical="center"/>
    </xf>
    <xf numFmtId="0" fontId="41" fillId="0" borderId="7" xfId="1" applyNumberFormat="1" applyFont="1" applyBorder="1" applyAlignment="1" applyProtection="1">
      <alignment horizontal="center" vertical="center"/>
    </xf>
    <xf numFmtId="0" fontId="54" fillId="0" borderId="0" xfId="1" applyNumberFormat="1" applyFont="1" applyBorder="1" applyAlignment="1" applyProtection="1">
      <alignment horizontal="center"/>
    </xf>
    <xf numFmtId="0" fontId="56" fillId="0" borderId="5" xfId="1" applyNumberFormat="1" applyFont="1" applyBorder="1" applyAlignment="1" applyProtection="1">
      <alignment horizontal="center"/>
    </xf>
    <xf numFmtId="0" fontId="61" fillId="10" borderId="0" xfId="3" applyFont="1" applyFill="1" applyAlignment="1">
      <alignment horizontal="center"/>
    </xf>
    <xf numFmtId="0" fontId="67" fillId="0" borderId="39" xfId="3" applyFont="1" applyBorder="1" applyAlignment="1" applyProtection="1">
      <alignment horizontal="left" vertical="center"/>
      <protection locked="0"/>
    </xf>
    <xf numFmtId="0" fontId="67" fillId="0" borderId="15" xfId="3" applyFont="1" applyBorder="1" applyAlignment="1" applyProtection="1">
      <alignment horizontal="left" vertical="center"/>
      <protection locked="0"/>
    </xf>
    <xf numFmtId="0" fontId="67" fillId="0" borderId="38" xfId="3" applyFont="1" applyBorder="1" applyAlignment="1" applyProtection="1">
      <alignment horizontal="left" vertical="center"/>
      <protection locked="0"/>
    </xf>
    <xf numFmtId="0" fontId="67" fillId="0" borderId="26" xfId="3" applyFont="1" applyBorder="1" applyAlignment="1" applyProtection="1">
      <alignment horizontal="left" vertical="center"/>
      <protection locked="0"/>
    </xf>
    <xf numFmtId="0" fontId="67" fillId="3" borderId="30" xfId="3" applyFont="1" applyFill="1" applyBorder="1" applyAlignment="1" applyProtection="1">
      <alignment horizontal="left" vertical="top" wrapText="1"/>
      <protection locked="0"/>
    </xf>
    <xf numFmtId="0" fontId="67" fillId="3" borderId="12" xfId="3" applyFont="1" applyFill="1" applyBorder="1" applyAlignment="1" applyProtection="1">
      <alignment horizontal="left" vertical="top" wrapText="1"/>
      <protection locked="0"/>
    </xf>
    <xf numFmtId="0" fontId="67" fillId="3" borderId="31" xfId="3" applyFont="1" applyFill="1" applyBorder="1" applyAlignment="1" applyProtection="1">
      <alignment horizontal="left" vertical="top" wrapText="1"/>
      <protection locked="0"/>
    </xf>
    <xf numFmtId="0" fontId="67" fillId="3" borderId="10" xfId="3" applyFont="1" applyFill="1" applyBorder="1" applyAlignment="1" applyProtection="1">
      <alignment horizontal="left" vertical="top" wrapText="1"/>
      <protection locked="0"/>
    </xf>
    <xf numFmtId="0" fontId="67" fillId="3" borderId="0" xfId="3" applyFont="1" applyFill="1" applyBorder="1" applyAlignment="1" applyProtection="1">
      <alignment horizontal="left" vertical="top" wrapText="1"/>
      <protection locked="0"/>
    </xf>
    <xf numFmtId="0" fontId="67" fillId="3" borderId="11" xfId="3" applyFont="1" applyFill="1" applyBorder="1" applyAlignment="1" applyProtection="1">
      <alignment horizontal="left" vertical="top" wrapText="1"/>
      <protection locked="0"/>
    </xf>
    <xf numFmtId="0" fontId="67" fillId="3" borderId="32" xfId="3" applyFont="1" applyFill="1" applyBorder="1" applyAlignment="1" applyProtection="1">
      <alignment horizontal="left" vertical="top" wrapText="1"/>
      <protection locked="0"/>
    </xf>
    <xf numFmtId="0" fontId="67" fillId="3" borderId="18" xfId="3" applyFont="1" applyFill="1" applyBorder="1" applyAlignment="1" applyProtection="1">
      <alignment horizontal="left" vertical="top" wrapText="1"/>
      <protection locked="0"/>
    </xf>
    <xf numFmtId="0" fontId="67" fillId="3" borderId="33" xfId="3" applyFont="1" applyFill="1" applyBorder="1" applyAlignment="1" applyProtection="1">
      <alignment horizontal="left" vertical="top" wrapText="1"/>
      <protection locked="0"/>
    </xf>
    <xf numFmtId="0" fontId="67" fillId="0" borderId="107" xfId="3" applyFont="1" applyBorder="1" applyAlignment="1" applyProtection="1">
      <alignment horizontal="left" vertical="center"/>
      <protection locked="0"/>
    </xf>
    <xf numFmtId="0" fontId="67" fillId="0" borderId="34" xfId="3" applyFont="1" applyBorder="1" applyAlignment="1" applyProtection="1">
      <alignment horizontal="left" vertical="center"/>
      <protection locked="0"/>
    </xf>
    <xf numFmtId="0" fontId="62" fillId="0" borderId="39" xfId="3" applyFont="1" applyBorder="1" applyAlignment="1" applyProtection="1">
      <alignment horizontal="left"/>
      <protection locked="0"/>
    </xf>
    <xf numFmtId="0" fontId="62" fillId="0" borderId="15" xfId="3" applyFont="1" applyBorder="1" applyAlignment="1" applyProtection="1">
      <alignment horizontal="left"/>
      <protection locked="0"/>
    </xf>
    <xf numFmtId="0" fontId="58" fillId="26" borderId="105" xfId="3" applyFont="1" applyFill="1" applyBorder="1" applyAlignment="1">
      <alignment horizontal="left"/>
    </xf>
    <xf numFmtId="0" fontId="58" fillId="26" borderId="50" xfId="3" applyFont="1" applyFill="1" applyBorder="1" applyAlignment="1">
      <alignment horizontal="left"/>
    </xf>
    <xf numFmtId="0" fontId="58" fillId="26" borderId="106" xfId="3" applyFont="1" applyFill="1" applyBorder="1" applyAlignment="1">
      <alignment horizontal="left"/>
    </xf>
    <xf numFmtId="0" fontId="58" fillId="26" borderId="105" xfId="3" applyFont="1" applyFill="1" applyBorder="1" applyAlignment="1">
      <alignment horizontal="left" vertical="center"/>
    </xf>
    <xf numFmtId="0" fontId="58" fillId="26" borderId="50" xfId="3" applyFont="1" applyFill="1" applyBorder="1" applyAlignment="1">
      <alignment horizontal="left" vertical="center"/>
    </xf>
    <xf numFmtId="0" fontId="58" fillId="26" borderId="106" xfId="3" applyFont="1" applyFill="1" applyBorder="1" applyAlignment="1">
      <alignment horizontal="left" vertical="center"/>
    </xf>
    <xf numFmtId="0" fontId="62" fillId="3" borderId="109" xfId="3" applyFont="1" applyFill="1" applyBorder="1" applyAlignment="1" applyProtection="1">
      <alignment horizontal="left"/>
      <protection locked="0"/>
    </xf>
    <xf numFmtId="0" fontId="62" fillId="3" borderId="88" xfId="3" applyFont="1" applyFill="1" applyBorder="1" applyAlignment="1" applyProtection="1">
      <alignment horizontal="left"/>
      <protection locked="0"/>
    </xf>
    <xf numFmtId="0" fontId="48" fillId="10" borderId="0" xfId="0" applyFont="1" applyFill="1" applyAlignment="1">
      <alignment horizontal="center" wrapText="1"/>
    </xf>
  </cellXfs>
  <cellStyles count="4">
    <cellStyle name="Normal" xfId="0" builtinId="0"/>
    <cellStyle name="Normal 2" xfId="1"/>
    <cellStyle name="Normal 3" xfId="2"/>
    <cellStyle name="Normal 4" xfId="3"/>
  </cellStyles>
  <dxfs count="61">
    <dxf>
      <font>
        <b/>
        <i val="0"/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bottom style="thin">
          <color theme="0"/>
        </bottom>
      </border>
    </dxf>
    <dxf>
      <font>
        <color theme="0"/>
      </font>
      <fill>
        <patternFill>
          <bgColor theme="0"/>
        </patternFill>
      </fill>
      <border>
        <right/>
        <top/>
        <bottom/>
      </border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0"/>
        </patternFill>
      </fill>
      <border>
        <bottom style="thin">
          <color theme="0"/>
        </bottom>
      </border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patternFill>
          <bgColor theme="3" tint="-0.24994659260841701"/>
        </patternFill>
      </fill>
    </dxf>
    <dxf>
      <fill>
        <patternFill>
          <bgColor theme="3" tint="-0.24994659260841701"/>
        </patternFill>
      </fill>
      <border>
        <top style="thin">
          <color theme="0"/>
        </top>
      </border>
    </dxf>
    <dxf>
      <fill>
        <patternFill>
          <bgColor theme="3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gradientFill degree="90">
          <stop position="0">
            <color theme="9" tint="0.40000610370189521"/>
          </stop>
          <stop position="1">
            <color theme="9" tint="-0.49803155613879818"/>
          </stop>
        </gradientFill>
      </fill>
      <border>
        <top style="thin">
          <color theme="9" tint="-0.24994659260841701"/>
        </top>
      </border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FCFC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3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7</xdr:row>
      <xdr:rowOff>9525</xdr:rowOff>
    </xdr:from>
    <xdr:to>
      <xdr:col>7</xdr:col>
      <xdr:colOff>589975</xdr:colOff>
      <xdr:row>39</xdr:row>
      <xdr:rowOff>142211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175" y="1276350"/>
          <a:ext cx="4600000" cy="5314286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381000" dist="38100" dir="342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9</xdr:col>
      <xdr:colOff>447675</xdr:colOff>
      <xdr:row>6</xdr:row>
      <xdr:rowOff>0</xdr:rowOff>
    </xdr:from>
    <xdr:to>
      <xdr:col>22</xdr:col>
      <xdr:colOff>370495</xdr:colOff>
      <xdr:row>44</xdr:row>
      <xdr:rowOff>8755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34075" y="110490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47</xdr:row>
      <xdr:rowOff>104775</xdr:rowOff>
    </xdr:from>
    <xdr:to>
      <xdr:col>13</xdr:col>
      <xdr:colOff>599010</xdr:colOff>
      <xdr:row>56</xdr:row>
      <xdr:rowOff>123641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848600"/>
          <a:ext cx="8523810" cy="1476191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62</xdr:row>
      <xdr:rowOff>19050</xdr:rowOff>
    </xdr:from>
    <xdr:to>
      <xdr:col>12</xdr:col>
      <xdr:colOff>532420</xdr:colOff>
      <xdr:row>100</xdr:row>
      <xdr:rowOff>27805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019175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1533525</xdr:colOff>
          <xdr:row>10</xdr:row>
          <xdr:rowOff>114300</xdr:rowOff>
        </xdr:from>
        <xdr:to>
          <xdr:col>4</xdr:col>
          <xdr:colOff>1390650</xdr:colOff>
          <xdr:row>12</xdr:row>
          <xdr:rowOff>95250</xdr:rowOff>
        </xdr:to>
        <xdr:sp macro="" textlink="">
          <xdr:nvSpPr>
            <xdr:cNvPr id="8193" name="Toggle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8195" name="ComboBox1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55</xdr:row>
          <xdr:rowOff>0</xdr:rowOff>
        </xdr:from>
        <xdr:to>
          <xdr:col>2</xdr:col>
          <xdr:colOff>1581150</xdr:colOff>
          <xdr:row>56</xdr:row>
          <xdr:rowOff>123825</xdr:rowOff>
        </xdr:to>
        <xdr:sp macro="" textlink="">
          <xdr:nvSpPr>
            <xdr:cNvPr id="8197" name="CheckBox2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53</xdr:row>
          <xdr:rowOff>57150</xdr:rowOff>
        </xdr:from>
        <xdr:to>
          <xdr:col>2</xdr:col>
          <xdr:colOff>1581150</xdr:colOff>
          <xdr:row>55</xdr:row>
          <xdr:rowOff>9525</xdr:rowOff>
        </xdr:to>
        <xdr:sp macro="" textlink="">
          <xdr:nvSpPr>
            <xdr:cNvPr id="8198" name="CheckBox1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152400</xdr:rowOff>
        </xdr:from>
        <xdr:to>
          <xdr:col>2</xdr:col>
          <xdr:colOff>0</xdr:colOff>
          <xdr:row>54</xdr:row>
          <xdr:rowOff>142875</xdr:rowOff>
        </xdr:to>
        <xdr:sp macro="" textlink="">
          <xdr:nvSpPr>
            <xdr:cNvPr id="8199" name="ComboBox2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470646</xdr:colOff>
          <xdr:row>15</xdr:row>
          <xdr:rowOff>2</xdr:rowOff>
        </xdr:from>
        <xdr:to>
          <xdr:col>59</xdr:col>
          <xdr:colOff>123267</xdr:colOff>
          <xdr:row>43</xdr:row>
          <xdr:rowOff>67237</xdr:rowOff>
        </xdr:to>
        <xdr:pic>
          <xdr:nvPicPr>
            <xdr:cNvPr id="2" name="Picture 1" descr="!!SEP 360"/>
            <xdr:cNvPicPr>
              <a:picLocks noChangeAspect="1"/>
              <a:extLst>
                <a:ext uri="{84589F7E-364E-4C9E-8A38-B11213B215E9}">
                  <a14:cameraTool cellRange="Coverpic" spid="_x0000_s8400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671175" y="2554943"/>
              <a:ext cx="6308915" cy="4527176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24</xdr:row>
          <xdr:rowOff>9525</xdr:rowOff>
        </xdr:from>
        <xdr:to>
          <xdr:col>12</xdr:col>
          <xdr:colOff>2238375</xdr:colOff>
          <xdr:row>43</xdr:row>
          <xdr:rowOff>66675</xdr:rowOff>
        </xdr:to>
        <xdr:sp macro="" textlink="">
          <xdr:nvSpPr>
            <xdr:cNvPr id="8341" name="TextBox1" hidden="1">
              <a:extLst>
                <a:ext uri="{63B3BB69-23CF-44E3-9099-C40C66FF867C}">
                  <a14:compatExt spid="_x0000_s8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0</xdr:row>
          <xdr:rowOff>142875</xdr:rowOff>
        </xdr:from>
        <xdr:to>
          <xdr:col>28</xdr:col>
          <xdr:colOff>19050</xdr:colOff>
          <xdr:row>3</xdr:row>
          <xdr:rowOff>142875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552450</xdr:colOff>
      <xdr:row>1</xdr:row>
      <xdr:rowOff>6350</xdr:rowOff>
    </xdr:from>
    <xdr:to>
      <xdr:col>13</xdr:col>
      <xdr:colOff>76200</xdr:colOff>
      <xdr:row>4</xdr:row>
      <xdr:rowOff>123009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02350" y="184150"/>
          <a:ext cx="1720850" cy="6246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4</xdr:row>
          <xdr:rowOff>190500</xdr:rowOff>
        </xdr:from>
        <xdr:to>
          <xdr:col>14</xdr:col>
          <xdr:colOff>485775</xdr:colOff>
          <xdr:row>5</xdr:row>
          <xdr:rowOff>266700</xdr:rowOff>
        </xdr:to>
        <xdr:sp macro="" textlink="">
          <xdr:nvSpPr>
            <xdr:cNvPr id="11268" name="CommandButton3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862853</xdr:colOff>
      <xdr:row>0</xdr:row>
      <xdr:rowOff>140821</xdr:rowOff>
    </xdr:from>
    <xdr:to>
      <xdr:col>8</xdr:col>
      <xdr:colOff>2585197</xdr:colOff>
      <xdr:row>4</xdr:row>
      <xdr:rowOff>89392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871882" y="140821"/>
          <a:ext cx="1722344" cy="59851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4</xdr:col>
          <xdr:colOff>409575</xdr:colOff>
          <xdr:row>2</xdr:row>
          <xdr:rowOff>123825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4</xdr:col>
          <xdr:colOff>409575</xdr:colOff>
          <xdr:row>4</xdr:row>
          <xdr:rowOff>133350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219076</xdr:colOff>
      <xdr:row>1</xdr:row>
      <xdr:rowOff>19051</xdr:rowOff>
    </xdr:from>
    <xdr:to>
      <xdr:col>2</xdr:col>
      <xdr:colOff>1838326</xdr:colOff>
      <xdr:row>2</xdr:row>
      <xdr:rowOff>411696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43151" y="266701"/>
          <a:ext cx="1619250" cy="59267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lockhart/Documents/Standards%20and%20Guides/CS%20Standards%20Documents/Splice-00000%20Term%20SEP%20Template%20v5.2%20locked%20(KL%20Modified%20v%201.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boccio/zz%20old%20comp/Stuff/Excel%20Projects/Ashlys%20Recipies%20Revise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boccio/Excel%20Projects/CRF/!CRF%20Template%20v2.4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boccio/AppData/Roaming/Microsoft/Excel/Splice-00000%20OSP%20Template%20v1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 - Location Info"/>
      <sheetName val="Cable Info"/>
      <sheetName val="Cable Info (2)"/>
      <sheetName val="Splice Table"/>
      <sheetName val="Customer Table"/>
      <sheetName val="Site Survey"/>
      <sheetName val="Pics"/>
    </sheetNames>
    <sheetDataSet>
      <sheetData sheetId="0" refreshError="1"/>
      <sheetData sheetId="1">
        <row r="8">
          <cell r="J8" t="str">
            <v>00000</v>
          </cell>
        </row>
      </sheetData>
      <sheetData sheetId="2">
        <row r="11">
          <cell r="B11" t="str">
            <v>A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B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C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D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E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F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3">
        <row r="11">
          <cell r="B11" t="str">
            <v>G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H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I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J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K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L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4" refreshError="1"/>
      <sheetData sheetId="5"/>
      <sheetData sheetId="6" refreshError="1"/>
      <sheetData sheetId="7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sheet"/>
      <sheetName val="Cable Route Form"/>
    </sheetNames>
    <sheetDataSet>
      <sheetData sheetId="0"/>
      <sheetData sheetId="1">
        <row r="4">
          <cell r="P4" t="str">
            <v>Manufacturer Name</v>
          </cell>
        </row>
        <row r="5">
          <cell r="P5" t="str">
            <v>OFS</v>
          </cell>
        </row>
        <row r="6">
          <cell r="P6" t="str">
            <v>Corning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</sheetNames>
    <sheetDataSet>
      <sheetData sheetId="0">
        <row r="8">
          <cell r="J8" t="str">
            <v>00000</v>
          </cell>
        </row>
        <row r="10">
          <cell r="J10" t="str">
            <v>1.0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4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Relationship Id="rId9" Type="http://schemas.openxmlformats.org/officeDocument/2006/relationships/image" Target="../media/image17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V61"/>
  <sheetViews>
    <sheetView workbookViewId="0">
      <selection activeCell="F46" sqref="F46"/>
    </sheetView>
  </sheetViews>
  <sheetFormatPr defaultRowHeight="12.75" x14ac:dyDescent="0.2"/>
  <cols>
    <col min="1" max="1" width="9.140625" style="310" customWidth="1"/>
    <col min="2" max="16384" width="9.140625" style="310"/>
  </cols>
  <sheetData>
    <row r="1" spans="1:22" ht="23.25" customHeight="1" x14ac:dyDescent="0.2">
      <c r="A1" s="474" t="s">
        <v>102</v>
      </c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  <c r="R1" s="474"/>
      <c r="S1" s="474"/>
      <c r="T1" s="474"/>
      <c r="U1" s="474"/>
      <c r="V1" s="474"/>
    </row>
    <row r="2" spans="1:22" x14ac:dyDescent="0.2">
      <c r="A2" s="474"/>
      <c r="B2" s="474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  <c r="R2" s="474"/>
      <c r="S2" s="474"/>
      <c r="T2" s="474"/>
      <c r="U2" s="474"/>
      <c r="V2" s="474"/>
    </row>
    <row r="3" spans="1:22" x14ac:dyDescent="0.2">
      <c r="A3" s="474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  <c r="R3" s="474"/>
      <c r="S3" s="474"/>
      <c r="T3" s="474"/>
      <c r="U3" s="474"/>
      <c r="V3" s="474"/>
    </row>
    <row r="4" spans="1:22" x14ac:dyDescent="0.2">
      <c r="K4" s="475" t="s">
        <v>103</v>
      </c>
      <c r="L4" s="475"/>
    </row>
    <row r="5" spans="1:22" x14ac:dyDescent="0.2">
      <c r="A5" s="475" t="s">
        <v>104</v>
      </c>
      <c r="B5" s="475"/>
      <c r="K5" s="475"/>
      <c r="L5" s="475"/>
    </row>
    <row r="6" spans="1:22" x14ac:dyDescent="0.2">
      <c r="A6" s="475"/>
      <c r="B6" s="475"/>
    </row>
    <row r="45" spans="1:2" x14ac:dyDescent="0.2">
      <c r="A45" s="475" t="s">
        <v>105</v>
      </c>
      <c r="B45" s="475"/>
    </row>
    <row r="46" spans="1:2" x14ac:dyDescent="0.2">
      <c r="A46" s="475"/>
      <c r="B46" s="475"/>
    </row>
    <row r="60" spans="1:2" x14ac:dyDescent="0.2">
      <c r="A60" s="475" t="s">
        <v>106</v>
      </c>
      <c r="B60" s="475"/>
    </row>
    <row r="61" spans="1:2" x14ac:dyDescent="0.2">
      <c r="A61" s="475"/>
      <c r="B61" s="475"/>
    </row>
  </sheetData>
  <mergeCells count="5">
    <mergeCell ref="A1:V3"/>
    <mergeCell ref="K4:L5"/>
    <mergeCell ref="A5:B6"/>
    <mergeCell ref="A45:B46"/>
    <mergeCell ref="A60:B6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opLeftCell="A13" zoomScale="85" zoomScaleNormal="85" workbookViewId="0">
      <selection activeCell="K16" sqref="K16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2" customWidth="1"/>
    <col min="8" max="8" width="6.42578125" customWidth="1"/>
    <col min="9" max="9" width="8.28515625" customWidth="1"/>
    <col min="10" max="10" width="23.85546875" customWidth="1"/>
    <col min="11" max="11" width="15" customWidth="1"/>
    <col min="12" max="12" width="13.42578125" customWidth="1"/>
    <col min="13" max="13" width="33.85546875" customWidth="1"/>
    <col min="14" max="14" width="9.140625" style="20"/>
    <col min="15" max="15" width="0" style="16" hidden="1" customWidth="1"/>
    <col min="16" max="16" width="11.140625" style="16" hidden="1" customWidth="1"/>
    <col min="17" max="44" width="0" style="16" hidden="1" customWidth="1"/>
    <col min="45" max="45" width="0" style="17" hidden="1" customWidth="1"/>
    <col min="46" max="46" width="0" style="18" hidden="1" customWidth="1"/>
    <col min="47" max="49" width="0" style="19" hidden="1" customWidth="1"/>
    <col min="50" max="95" width="9.140625" style="2"/>
  </cols>
  <sheetData>
    <row r="1" spans="1:59" x14ac:dyDescent="0.2">
      <c r="A1" s="21"/>
      <c r="B1" s="22"/>
      <c r="C1" s="22"/>
      <c r="D1" s="22"/>
      <c r="E1" s="22"/>
      <c r="F1" s="23"/>
      <c r="G1" s="24">
        <v>1</v>
      </c>
      <c r="H1" s="307" t="s">
        <v>150</v>
      </c>
      <c r="I1" s="25"/>
      <c r="J1" s="25"/>
      <c r="K1" s="25"/>
      <c r="L1" s="25"/>
      <c r="M1" s="78">
        <f>COUNTIF(M16:M23,"NEED CLLI CODE!")</f>
        <v>0</v>
      </c>
      <c r="N1" s="37" t="s">
        <v>70</v>
      </c>
      <c r="O1" s="26" t="e">
        <f>MODE(H16:H25)</f>
        <v>#N/A</v>
      </c>
      <c r="P1" s="26"/>
      <c r="Q1" s="26"/>
      <c r="R1" s="26"/>
      <c r="S1" s="26"/>
      <c r="T1" s="26">
        <v>0</v>
      </c>
      <c r="U1" s="26">
        <f>COUNTIF(U2:U182,"DUPLICATE")</f>
        <v>0</v>
      </c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</row>
    <row r="2" spans="1:59" x14ac:dyDescent="0.2">
      <c r="A2" s="27"/>
      <c r="B2" s="28"/>
      <c r="C2" s="28"/>
      <c r="D2" s="28"/>
      <c r="E2" s="28"/>
      <c r="F2" s="29"/>
      <c r="G2" s="24">
        <v>0</v>
      </c>
      <c r="H2" s="25"/>
      <c r="I2" s="25"/>
      <c r="J2" s="25"/>
      <c r="K2" s="25"/>
      <c r="L2" s="25"/>
      <c r="M2" s="78">
        <f>COUNTIF(M16:M23,"NEED FLOOR DESCRIPTION!")</f>
        <v>0</v>
      </c>
      <c r="N2" s="37" t="s">
        <v>71</v>
      </c>
      <c r="O2" s="26"/>
      <c r="P2" s="26"/>
      <c r="Q2" s="26">
        <v>180</v>
      </c>
      <c r="R2" s="26">
        <f>COUNTIF($H$16:$H$38,Q2)</f>
        <v>0</v>
      </c>
      <c r="S2" s="26">
        <f>IFERROR(VLOOKUP(Q2,$H$16:$M$38,5,FALSE)*2,0)</f>
        <v>0</v>
      </c>
      <c r="T2" s="26">
        <f>IFERROR(IF(T1&gt;1,T1-1,IF(S2&gt;0,S2,IF(R2=0,0,"ERROR"))),0)</f>
        <v>0</v>
      </c>
      <c r="U2" s="26" t="str">
        <f t="shared" ref="U2:U65" si="0">IF(S2=0,"",IF(T1=1,"",IF(S2&lt;&gt;T2,"DUPLICATE","")))</f>
        <v/>
      </c>
      <c r="V2" s="26">
        <v>180</v>
      </c>
      <c r="W2" s="26">
        <f t="shared" ref="W2:W33" si="1">IFERROR(VLOOKUP(Q2,$H$16:$O$38,8,FALSE),0)</f>
        <v>0</v>
      </c>
      <c r="X2" s="26" t="str">
        <f>IFERROR(IF(W2&gt;1,0,IF(T2&gt;0,(IF(T1&lt;2,Q2,IF(T1=(T2+1),X1,""))),"")),"")</f>
        <v/>
      </c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</row>
    <row r="3" spans="1:59" x14ac:dyDescent="0.2">
      <c r="A3" s="27"/>
      <c r="B3" s="28"/>
      <c r="C3" s="28"/>
      <c r="D3" s="30"/>
      <c r="E3" s="30"/>
      <c r="F3" s="29"/>
      <c r="G3" s="31"/>
      <c r="H3" s="25"/>
      <c r="I3" s="32"/>
      <c r="J3" s="32"/>
      <c r="K3" s="32"/>
      <c r="L3" s="32"/>
      <c r="M3" s="78">
        <f>COUNTIF(M16:M23,"NEED RACK OR WALL DESCRIPTION!")</f>
        <v>0</v>
      </c>
      <c r="N3" s="37"/>
      <c r="O3" s="26"/>
      <c r="P3" s="26"/>
      <c r="Q3" s="26">
        <v>179</v>
      </c>
      <c r="R3" s="26">
        <f t="shared" ref="R3:R66" si="2">COUNTIF($H$16:$H$38,Q3)</f>
        <v>0</v>
      </c>
      <c r="S3" s="26">
        <f t="shared" ref="S3:S66" si="3">IFERROR(VLOOKUP(Q3,$H$16:$M$38,5,FALSE)*2,0)</f>
        <v>0</v>
      </c>
      <c r="T3" s="26">
        <f t="shared" ref="T3:T66" si="4">IFERROR(IF(T2&gt;1,T2-1,IF(S3&gt;0,S3,IF(R3=0,0,"ERROR"))),0)</f>
        <v>0</v>
      </c>
      <c r="U3" s="26" t="str">
        <f t="shared" si="0"/>
        <v/>
      </c>
      <c r="V3" s="26">
        <v>180</v>
      </c>
      <c r="W3" s="26">
        <f t="shared" si="1"/>
        <v>0</v>
      </c>
      <c r="X3" s="26" t="str">
        <f t="shared" ref="X3:X66" si="5">IFERROR(IF(W3&gt;1,0,IF(T3&gt;0,(IF(T2&lt;2,Q3,IF(T2=(T3+1),X2,""))),"")),"")</f>
        <v/>
      </c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</row>
    <row r="4" spans="1:59" x14ac:dyDescent="0.2">
      <c r="A4" s="27"/>
      <c r="B4" s="28"/>
      <c r="C4" s="28"/>
      <c r="D4" s="30"/>
      <c r="E4" s="30"/>
      <c r="F4" s="29"/>
      <c r="G4" s="31"/>
      <c r="H4" s="32"/>
      <c r="I4" s="32"/>
      <c r="J4" s="32"/>
      <c r="K4" s="32"/>
      <c r="L4" s="32"/>
      <c r="M4" s="25"/>
      <c r="N4" s="37"/>
      <c r="O4" s="26"/>
      <c r="P4" s="26"/>
      <c r="Q4" s="26">
        <v>178</v>
      </c>
      <c r="R4" s="26">
        <f t="shared" si="2"/>
        <v>0</v>
      </c>
      <c r="S4" s="26">
        <f t="shared" si="3"/>
        <v>0</v>
      </c>
      <c r="T4" s="26">
        <f t="shared" si="4"/>
        <v>0</v>
      </c>
      <c r="U4" s="26" t="str">
        <f t="shared" si="0"/>
        <v/>
      </c>
      <c r="V4" s="26">
        <v>180</v>
      </c>
      <c r="W4" s="26">
        <f t="shared" si="1"/>
        <v>0</v>
      </c>
      <c r="X4" s="26" t="str">
        <f t="shared" si="5"/>
        <v/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>
        <f>SUM(AI8:AI13)</f>
        <v>0</v>
      </c>
      <c r="AJ4" s="26"/>
      <c r="AK4" s="26"/>
    </row>
    <row r="5" spans="1:59" ht="15.75" x14ac:dyDescent="0.25">
      <c r="A5" s="27"/>
      <c r="B5" s="28"/>
      <c r="C5" s="28"/>
      <c r="D5" s="30"/>
      <c r="E5" s="30"/>
      <c r="F5" s="29"/>
      <c r="G5" s="31"/>
      <c r="H5" s="480" t="s">
        <v>72</v>
      </c>
      <c r="I5" s="480"/>
      <c r="J5" s="480"/>
      <c r="K5" s="33"/>
      <c r="L5" s="33"/>
      <c r="M5" s="25"/>
      <c r="N5" s="37"/>
      <c r="O5" s="26"/>
      <c r="P5" s="26"/>
      <c r="Q5" s="26">
        <v>177</v>
      </c>
      <c r="R5" s="26">
        <f t="shared" si="2"/>
        <v>0</v>
      </c>
      <c r="S5" s="26">
        <f t="shared" si="3"/>
        <v>0</v>
      </c>
      <c r="T5" s="26">
        <f t="shared" si="4"/>
        <v>0</v>
      </c>
      <c r="U5" s="26" t="str">
        <f t="shared" si="0"/>
        <v/>
      </c>
      <c r="V5" s="26">
        <v>180</v>
      </c>
      <c r="W5" s="26">
        <f t="shared" si="1"/>
        <v>0</v>
      </c>
      <c r="X5" s="26" t="str">
        <f t="shared" si="5"/>
        <v/>
      </c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59" x14ac:dyDescent="0.2">
      <c r="A6" s="27"/>
      <c r="B6" s="28"/>
      <c r="C6" s="28"/>
      <c r="D6" s="30"/>
      <c r="E6" s="30"/>
      <c r="F6" s="29"/>
      <c r="G6" s="31"/>
      <c r="H6" s="121"/>
      <c r="I6" s="122"/>
      <c r="J6" s="123"/>
      <c r="K6" s="25"/>
      <c r="L6" s="25"/>
      <c r="M6" s="25"/>
      <c r="N6" s="37"/>
      <c r="O6" s="26"/>
      <c r="P6" s="26"/>
      <c r="Q6" s="26">
        <v>176</v>
      </c>
      <c r="R6" s="26">
        <f t="shared" si="2"/>
        <v>0</v>
      </c>
      <c r="S6" s="26">
        <f t="shared" si="3"/>
        <v>0</v>
      </c>
      <c r="T6" s="26">
        <f t="shared" si="4"/>
        <v>0</v>
      </c>
      <c r="U6" s="26" t="str">
        <f t="shared" si="0"/>
        <v/>
      </c>
      <c r="V6" s="26">
        <v>180</v>
      </c>
      <c r="W6" s="26">
        <f t="shared" si="1"/>
        <v>0</v>
      </c>
      <c r="X6" s="26" t="str">
        <f t="shared" si="5"/>
        <v/>
      </c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</row>
    <row r="7" spans="1:59" ht="9" customHeight="1" x14ac:dyDescent="0.2">
      <c r="A7" s="27"/>
      <c r="B7" s="28"/>
      <c r="C7" s="28"/>
      <c r="D7" s="28"/>
      <c r="E7" s="28"/>
      <c r="F7" s="29"/>
      <c r="G7" s="31"/>
      <c r="H7" s="34"/>
      <c r="I7" s="35"/>
      <c r="J7" s="36"/>
      <c r="K7" s="25"/>
      <c r="L7" s="25"/>
      <c r="M7" s="25"/>
      <c r="N7" s="37"/>
      <c r="O7" s="26"/>
      <c r="P7" s="26"/>
      <c r="Q7" s="26">
        <v>175</v>
      </c>
      <c r="R7" s="26">
        <f t="shared" si="2"/>
        <v>0</v>
      </c>
      <c r="S7" s="26">
        <f t="shared" si="3"/>
        <v>0</v>
      </c>
      <c r="T7" s="26">
        <f t="shared" si="4"/>
        <v>0</v>
      </c>
      <c r="U7" s="26" t="str">
        <f t="shared" si="0"/>
        <v/>
      </c>
      <c r="V7" s="26">
        <v>180</v>
      </c>
      <c r="W7" s="26">
        <f t="shared" si="1"/>
        <v>0</v>
      </c>
      <c r="X7" s="26" t="str">
        <f t="shared" si="5"/>
        <v/>
      </c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59" ht="21.75" customHeight="1" x14ac:dyDescent="0.4">
      <c r="A8" s="488" t="s">
        <v>82</v>
      </c>
      <c r="B8" s="489"/>
      <c r="C8" s="489"/>
      <c r="D8" s="489"/>
      <c r="E8" s="489"/>
      <c r="F8" s="490"/>
      <c r="G8" s="31"/>
      <c r="H8" s="119"/>
      <c r="I8" s="120" t="s">
        <v>8</v>
      </c>
      <c r="J8" s="306" t="s">
        <v>151</v>
      </c>
      <c r="K8" s="25"/>
      <c r="L8" s="230"/>
      <c r="M8" s="25"/>
      <c r="N8" s="37"/>
      <c r="O8" s="26"/>
      <c r="P8" s="26"/>
      <c r="Q8" s="26">
        <v>174</v>
      </c>
      <c r="R8" s="26">
        <f t="shared" si="2"/>
        <v>0</v>
      </c>
      <c r="S8" s="26">
        <f t="shared" si="3"/>
        <v>0</v>
      </c>
      <c r="T8" s="26">
        <f t="shared" si="4"/>
        <v>0</v>
      </c>
      <c r="U8" s="26" t="str">
        <f t="shared" si="0"/>
        <v/>
      </c>
      <c r="V8" s="26">
        <v>174</v>
      </c>
      <c r="W8" s="26">
        <f t="shared" si="1"/>
        <v>0</v>
      </c>
      <c r="X8" s="26" t="str">
        <f t="shared" si="5"/>
        <v/>
      </c>
      <c r="Y8" s="26">
        <v>180</v>
      </c>
      <c r="Z8" s="26">
        <f>COUNTIF(W:W,Y8)</f>
        <v>0</v>
      </c>
      <c r="AA8" s="26" t="str">
        <f t="shared" ref="AA8:AA37" si="6">VLOOKUP(Y8,Q:X,8,FALSE)</f>
        <v/>
      </c>
      <c r="AB8" s="26" t="str">
        <f t="shared" ref="AB8:AB37" si="7">VLOOKUP(Y8-1,Q:X,8,FALSE)</f>
        <v/>
      </c>
      <c r="AC8" s="26" t="str">
        <f t="shared" ref="AC8:AC37" si="8">VLOOKUP(Y8-2,Q:X,8,FALSE)</f>
        <v/>
      </c>
      <c r="AD8" s="26" t="str">
        <f t="shared" ref="AD8:AD37" si="9">VLOOKUP(Y8-3,Q:X,8,FALSE)</f>
        <v/>
      </c>
      <c r="AE8" s="26" t="str">
        <f t="shared" ref="AE8:AE37" si="10">VLOOKUP(Y8-4,Q:X,8,FALSE)</f>
        <v/>
      </c>
      <c r="AF8" s="26" t="str">
        <f t="shared" ref="AF8:AF37" si="11">VLOOKUP(Y8-5,Q:X,8,FALSE)</f>
        <v/>
      </c>
      <c r="AG8" s="37">
        <f t="shared" ref="AG8:AG37" si="12">IF(AK8=5,(IF(AA8="",0,AA8)),IF(AH8=0,(IF(AH7=0,0,IF(AG7=AH7,0,(IF(AH7&lt;&gt;AJ7,AJ7,MODE(AA8:AF8)))))),(MODE(AA8:AF8))))</f>
        <v>0</v>
      </c>
      <c r="AH8" s="26">
        <f>IFERROR(AVERAGE(AA8:AF8),0)</f>
        <v>0</v>
      </c>
      <c r="AI8" s="26" t="str">
        <f>AA8</f>
        <v/>
      </c>
      <c r="AJ8" s="26" t="str">
        <f>AF8</f>
        <v/>
      </c>
      <c r="AK8" s="26">
        <f>COUNTBLANK(AA8:AF8)</f>
        <v>6</v>
      </c>
    </row>
    <row r="9" spans="1:59" x14ac:dyDescent="0.2">
      <c r="A9" s="27"/>
      <c r="B9" s="28"/>
      <c r="C9" s="28"/>
      <c r="D9" s="28"/>
      <c r="E9" s="28"/>
      <c r="F9" s="29"/>
      <c r="G9" s="31"/>
      <c r="H9" s="34"/>
      <c r="I9" s="35"/>
      <c r="J9" s="36"/>
      <c r="K9" s="25"/>
      <c r="L9" s="25"/>
      <c r="M9" s="25"/>
      <c r="N9" s="37"/>
      <c r="O9" s="26"/>
      <c r="P9" s="26"/>
      <c r="Q9" s="26">
        <v>173</v>
      </c>
      <c r="R9" s="26">
        <f t="shared" si="2"/>
        <v>0</v>
      </c>
      <c r="S9" s="26">
        <f t="shared" si="3"/>
        <v>0</v>
      </c>
      <c r="T9" s="26">
        <f t="shared" si="4"/>
        <v>0</v>
      </c>
      <c r="U9" s="26" t="str">
        <f t="shared" si="0"/>
        <v/>
      </c>
      <c r="V9" s="26">
        <v>174</v>
      </c>
      <c r="W9" s="26">
        <f t="shared" si="1"/>
        <v>0</v>
      </c>
      <c r="X9" s="26" t="str">
        <f t="shared" si="5"/>
        <v/>
      </c>
      <c r="Y9" s="26">
        <v>174</v>
      </c>
      <c r="Z9" s="26">
        <f t="shared" ref="Z9:Z37" si="13">COUNTIF(W:W,Y9)</f>
        <v>0</v>
      </c>
      <c r="AA9" s="26" t="str">
        <f t="shared" si="6"/>
        <v/>
      </c>
      <c r="AB9" s="26" t="str">
        <f t="shared" si="7"/>
        <v/>
      </c>
      <c r="AC9" s="26" t="str">
        <f t="shared" si="8"/>
        <v/>
      </c>
      <c r="AD9" s="26" t="str">
        <f t="shared" si="9"/>
        <v/>
      </c>
      <c r="AE9" s="26" t="str">
        <f t="shared" si="10"/>
        <v/>
      </c>
      <c r="AF9" s="26" t="str">
        <f t="shared" si="11"/>
        <v/>
      </c>
      <c r="AG9" s="37">
        <f t="shared" si="12"/>
        <v>0</v>
      </c>
      <c r="AH9" s="26">
        <f t="shared" ref="AH9:AH37" si="14">IFERROR(AVERAGE(AA9:AF9),0)</f>
        <v>0</v>
      </c>
      <c r="AI9" s="26" t="str">
        <f t="shared" ref="AI9:AI37" si="15">AA9</f>
        <v/>
      </c>
      <c r="AJ9" s="26" t="str">
        <f t="shared" ref="AJ9:AJ37" si="16">AF9</f>
        <v/>
      </c>
      <c r="AK9" s="26">
        <f t="shared" ref="AK9:AK37" si="17">COUNTBLANK(AA9:AF9)</f>
        <v>6</v>
      </c>
    </row>
    <row r="10" spans="1:59" ht="15.75" thickBot="1" x14ac:dyDescent="0.3">
      <c r="A10" s="27"/>
      <c r="B10" s="28"/>
      <c r="C10" s="28"/>
      <c r="D10" s="28"/>
      <c r="E10" s="28"/>
      <c r="F10" s="38"/>
      <c r="G10" s="31"/>
      <c r="H10" s="481" t="s">
        <v>9</v>
      </c>
      <c r="I10" s="482"/>
      <c r="J10" s="210" t="s">
        <v>11</v>
      </c>
      <c r="K10" s="25"/>
      <c r="L10" s="25"/>
      <c r="M10" s="25"/>
      <c r="N10" s="37"/>
      <c r="O10" s="26"/>
      <c r="P10" s="26"/>
      <c r="Q10" s="26">
        <v>172</v>
      </c>
      <c r="R10" s="26">
        <f t="shared" si="2"/>
        <v>0</v>
      </c>
      <c r="S10" s="26">
        <f t="shared" si="3"/>
        <v>0</v>
      </c>
      <c r="T10" s="26">
        <f t="shared" si="4"/>
        <v>0</v>
      </c>
      <c r="U10" s="26" t="str">
        <f t="shared" si="0"/>
        <v/>
      </c>
      <c r="V10" s="26">
        <v>174</v>
      </c>
      <c r="W10" s="26">
        <f t="shared" si="1"/>
        <v>0</v>
      </c>
      <c r="X10" s="26" t="str">
        <f t="shared" si="5"/>
        <v/>
      </c>
      <c r="Y10" s="26">
        <v>168</v>
      </c>
      <c r="Z10" s="26">
        <f t="shared" si="13"/>
        <v>0</v>
      </c>
      <c r="AA10" s="26" t="str">
        <f t="shared" si="6"/>
        <v/>
      </c>
      <c r="AB10" s="26" t="str">
        <f t="shared" si="7"/>
        <v/>
      </c>
      <c r="AC10" s="26" t="str">
        <f t="shared" si="8"/>
        <v/>
      </c>
      <c r="AD10" s="26" t="str">
        <f t="shared" si="9"/>
        <v/>
      </c>
      <c r="AE10" s="26" t="str">
        <f t="shared" si="10"/>
        <v/>
      </c>
      <c r="AF10" s="26" t="str">
        <f t="shared" si="11"/>
        <v/>
      </c>
      <c r="AG10" s="37">
        <f t="shared" si="12"/>
        <v>0</v>
      </c>
      <c r="AH10" s="26">
        <f t="shared" si="14"/>
        <v>0</v>
      </c>
      <c r="AI10" s="26" t="str">
        <f t="shared" si="15"/>
        <v/>
      </c>
      <c r="AJ10" s="26" t="str">
        <f t="shared" si="16"/>
        <v/>
      </c>
      <c r="AK10" s="26">
        <f t="shared" si="17"/>
        <v>6</v>
      </c>
    </row>
    <row r="11" spans="1:59" ht="13.5" thickBot="1" x14ac:dyDescent="0.25">
      <c r="A11" s="27"/>
      <c r="B11" s="39"/>
      <c r="C11" s="40" t="str">
        <f>IF(F11=1,"WALL FACE DIRECTION:","")</f>
        <v/>
      </c>
      <c r="D11" s="41"/>
      <c r="E11" s="42"/>
      <c r="F11" s="38">
        <v>0</v>
      </c>
      <c r="G11" s="31"/>
      <c r="H11" s="34"/>
      <c r="I11" s="35"/>
      <c r="J11" s="36"/>
      <c r="K11" s="25"/>
      <c r="L11" s="25"/>
      <c r="M11" s="25"/>
      <c r="N11" s="37"/>
      <c r="O11" s="26"/>
      <c r="P11" s="26"/>
      <c r="Q11" s="26">
        <v>171</v>
      </c>
      <c r="R11" s="26">
        <f t="shared" si="2"/>
        <v>0</v>
      </c>
      <c r="S11" s="26">
        <f t="shared" si="3"/>
        <v>0</v>
      </c>
      <c r="T11" s="26">
        <f t="shared" si="4"/>
        <v>0</v>
      </c>
      <c r="U11" s="26" t="str">
        <f t="shared" si="0"/>
        <v/>
      </c>
      <c r="V11" s="26">
        <v>174</v>
      </c>
      <c r="W11" s="26">
        <f t="shared" si="1"/>
        <v>0</v>
      </c>
      <c r="X11" s="26" t="str">
        <f t="shared" si="5"/>
        <v/>
      </c>
      <c r="Y11" s="26">
        <v>162</v>
      </c>
      <c r="Z11" s="26">
        <f t="shared" si="13"/>
        <v>0</v>
      </c>
      <c r="AA11" s="26" t="str">
        <f t="shared" si="6"/>
        <v/>
      </c>
      <c r="AB11" s="26" t="str">
        <f t="shared" si="7"/>
        <v/>
      </c>
      <c r="AC11" s="26" t="str">
        <f t="shared" si="8"/>
        <v/>
      </c>
      <c r="AD11" s="26" t="str">
        <f t="shared" si="9"/>
        <v/>
      </c>
      <c r="AE11" s="26" t="str">
        <f t="shared" si="10"/>
        <v/>
      </c>
      <c r="AF11" s="26" t="str">
        <f t="shared" si="11"/>
        <v/>
      </c>
      <c r="AG11" s="37">
        <f t="shared" si="12"/>
        <v>0</v>
      </c>
      <c r="AH11" s="26">
        <f t="shared" si="14"/>
        <v>0</v>
      </c>
      <c r="AI11" s="26" t="str">
        <f t="shared" si="15"/>
        <v/>
      </c>
      <c r="AJ11" s="26" t="str">
        <f t="shared" si="16"/>
        <v/>
      </c>
      <c r="AK11" s="26">
        <f t="shared" si="17"/>
        <v>6</v>
      </c>
    </row>
    <row r="12" spans="1:59" ht="13.5" customHeight="1" thickTop="1" x14ac:dyDescent="0.2">
      <c r="A12" s="27"/>
      <c r="B12" s="43"/>
      <c r="C12" s="340" t="str">
        <f>IF(E44="","",IF(F11=1,C61,E44))</f>
        <v>VZW</v>
      </c>
      <c r="D12" s="44"/>
      <c r="E12" s="45"/>
      <c r="F12" s="29"/>
      <c r="G12" s="31"/>
      <c r="H12" s="124"/>
      <c r="I12" s="125"/>
      <c r="J12" s="126"/>
      <c r="K12" s="25"/>
      <c r="L12" s="25"/>
      <c r="M12" s="25"/>
      <c r="N12" s="37"/>
      <c r="O12" s="26"/>
      <c r="P12" s="26"/>
      <c r="Q12" s="26">
        <v>170</v>
      </c>
      <c r="R12" s="26">
        <f t="shared" si="2"/>
        <v>0</v>
      </c>
      <c r="S12" s="26">
        <f t="shared" si="3"/>
        <v>0</v>
      </c>
      <c r="T12" s="26">
        <f t="shared" si="4"/>
        <v>0</v>
      </c>
      <c r="U12" s="26" t="str">
        <f t="shared" si="0"/>
        <v/>
      </c>
      <c r="V12" s="26">
        <v>174</v>
      </c>
      <c r="W12" s="26">
        <f t="shared" si="1"/>
        <v>0</v>
      </c>
      <c r="X12" s="26" t="str">
        <f t="shared" si="5"/>
        <v/>
      </c>
      <c r="Y12" s="26">
        <v>156</v>
      </c>
      <c r="Z12" s="26">
        <f t="shared" si="13"/>
        <v>0</v>
      </c>
      <c r="AA12" s="26" t="str">
        <f t="shared" si="6"/>
        <v/>
      </c>
      <c r="AB12" s="26" t="str">
        <f t="shared" si="7"/>
        <v/>
      </c>
      <c r="AC12" s="26" t="str">
        <f t="shared" si="8"/>
        <v/>
      </c>
      <c r="AD12" s="26" t="str">
        <f t="shared" si="9"/>
        <v/>
      </c>
      <c r="AE12" s="26" t="str">
        <f t="shared" si="10"/>
        <v/>
      </c>
      <c r="AF12" s="26" t="str">
        <f t="shared" si="11"/>
        <v/>
      </c>
      <c r="AG12" s="37">
        <f t="shared" si="12"/>
        <v>0</v>
      </c>
      <c r="AH12" s="26">
        <f t="shared" si="14"/>
        <v>0</v>
      </c>
      <c r="AI12" s="26" t="str">
        <f t="shared" si="15"/>
        <v/>
      </c>
      <c r="AJ12" s="26" t="str">
        <f t="shared" si="16"/>
        <v/>
      </c>
      <c r="AK12" s="26">
        <f t="shared" si="17"/>
        <v>6</v>
      </c>
      <c r="AX12" s="483" t="s">
        <v>98</v>
      </c>
      <c r="AY12" s="483"/>
      <c r="AZ12" s="483"/>
      <c r="BA12" s="483"/>
      <c r="BB12" s="483"/>
      <c r="BC12" s="483"/>
      <c r="BD12" s="483"/>
      <c r="BE12" s="483"/>
      <c r="BF12" s="483"/>
      <c r="BG12" s="483"/>
    </row>
    <row r="13" spans="1:59" ht="12.75" customHeight="1" x14ac:dyDescent="0.2">
      <c r="A13" s="27"/>
      <c r="B13" s="46">
        <f>IF($AI$4&gt;0,(IF(AG8&gt;0,AG8,0)),IF(AG14&gt;0,AG14,IF($F$11=1,1,0)))</f>
        <v>0</v>
      </c>
      <c r="C13" s="116" t="str">
        <f t="shared" ref="C13:C37" si="18">IFERROR(IF(B13=0,"",IF(B13=B12,"",VLOOKUP(B13,$H$16:$N$38,7,FALSE))),"")</f>
        <v/>
      </c>
      <c r="D13" s="44" t="str">
        <f t="shared" ref="D13:D37" si="19">IFERROR(IF(B13=0,"",IF(B13=B12,"",VLOOKUP(B13,$H$16:$N$38,6,FALSE))),"")</f>
        <v/>
      </c>
      <c r="E13" s="45"/>
      <c r="F13" s="29"/>
      <c r="G13" s="31"/>
      <c r="H13" s="491" t="str">
        <f>IF(COUNTIF(P16:P25,"DUPLICATE")&gt;0,"MP OVERLAP.  ADJUST MP TABLE!!! (LOWER MP AFFECTED BY OVER LAP)","ALL DATA MUST BE POPULATED BEFORE PANEL ID IS PRODUCED IN SHELF TABLE")</f>
        <v>ALL DATA MUST BE POPULATED BEFORE PANEL ID IS PRODUCED IN SHELF TABLE</v>
      </c>
      <c r="I13" s="491"/>
      <c r="J13" s="491"/>
      <c r="K13" s="491"/>
      <c r="L13" s="491"/>
      <c r="M13" s="491"/>
      <c r="N13" s="37"/>
      <c r="O13" s="26"/>
      <c r="P13" s="26"/>
      <c r="Q13" s="26">
        <v>169</v>
      </c>
      <c r="R13" s="26">
        <f t="shared" si="2"/>
        <v>0</v>
      </c>
      <c r="S13" s="26">
        <f t="shared" si="3"/>
        <v>0</v>
      </c>
      <c r="T13" s="26">
        <f t="shared" si="4"/>
        <v>0</v>
      </c>
      <c r="U13" s="26" t="str">
        <f t="shared" si="0"/>
        <v/>
      </c>
      <c r="V13" s="26">
        <v>174</v>
      </c>
      <c r="W13" s="26">
        <f t="shared" si="1"/>
        <v>0</v>
      </c>
      <c r="X13" s="26" t="str">
        <f t="shared" si="5"/>
        <v/>
      </c>
      <c r="Y13" s="26">
        <v>150</v>
      </c>
      <c r="Z13" s="26">
        <f t="shared" si="13"/>
        <v>0</v>
      </c>
      <c r="AA13" s="26" t="str">
        <f t="shared" si="6"/>
        <v/>
      </c>
      <c r="AB13" s="26" t="str">
        <f t="shared" si="7"/>
        <v/>
      </c>
      <c r="AC13" s="26" t="str">
        <f t="shared" si="8"/>
        <v/>
      </c>
      <c r="AD13" s="26" t="str">
        <f t="shared" si="9"/>
        <v/>
      </c>
      <c r="AE13" s="26" t="str">
        <f t="shared" si="10"/>
        <v/>
      </c>
      <c r="AF13" s="26" t="str">
        <f t="shared" si="11"/>
        <v/>
      </c>
      <c r="AG13" s="37">
        <f t="shared" si="12"/>
        <v>0</v>
      </c>
      <c r="AH13" s="26">
        <f t="shared" si="14"/>
        <v>0</v>
      </c>
      <c r="AI13" s="26" t="str">
        <f t="shared" si="15"/>
        <v/>
      </c>
      <c r="AJ13" s="26" t="str">
        <f t="shared" si="16"/>
        <v/>
      </c>
      <c r="AK13" s="26">
        <f t="shared" si="17"/>
        <v>6</v>
      </c>
      <c r="AX13" s="483"/>
      <c r="AY13" s="483"/>
      <c r="AZ13" s="483"/>
      <c r="BA13" s="483"/>
      <c r="BB13" s="483"/>
      <c r="BC13" s="483"/>
      <c r="BD13" s="483"/>
      <c r="BE13" s="483"/>
      <c r="BF13" s="483"/>
      <c r="BG13" s="483"/>
    </row>
    <row r="14" spans="1:59" ht="13.5" customHeight="1" thickBot="1" x14ac:dyDescent="0.25">
      <c r="A14" s="27"/>
      <c r="B14" s="46">
        <f t="shared" ref="B14:B37" si="20">IF($AI$4&gt;0,(IF(AG9&gt;0,AG9,0)),IF(AG15&gt;0,AG15,IF($F$11=1,1,0)))</f>
        <v>0</v>
      </c>
      <c r="C14" s="116" t="str">
        <f t="shared" si="18"/>
        <v/>
      </c>
      <c r="D14" s="44" t="str">
        <f t="shared" si="19"/>
        <v/>
      </c>
      <c r="E14" s="45"/>
      <c r="F14" s="29"/>
      <c r="G14" s="31"/>
      <c r="H14" s="492"/>
      <c r="I14" s="492"/>
      <c r="J14" s="492"/>
      <c r="K14" s="492"/>
      <c r="L14" s="492"/>
      <c r="M14" s="492"/>
      <c r="N14" s="37"/>
      <c r="O14" s="26"/>
      <c r="P14" s="26"/>
      <c r="Q14" s="26">
        <v>168</v>
      </c>
      <c r="R14" s="26">
        <f t="shared" si="2"/>
        <v>0</v>
      </c>
      <c r="S14" s="26">
        <f t="shared" si="3"/>
        <v>0</v>
      </c>
      <c r="T14" s="26">
        <f t="shared" si="4"/>
        <v>0</v>
      </c>
      <c r="U14" s="26" t="str">
        <f t="shared" si="0"/>
        <v/>
      </c>
      <c r="V14" s="26">
        <v>168</v>
      </c>
      <c r="W14" s="26">
        <f t="shared" si="1"/>
        <v>0</v>
      </c>
      <c r="X14" s="26" t="str">
        <f t="shared" si="5"/>
        <v/>
      </c>
      <c r="Y14" s="26">
        <v>144</v>
      </c>
      <c r="Z14" s="26">
        <f t="shared" si="13"/>
        <v>0</v>
      </c>
      <c r="AA14" s="26" t="str">
        <f t="shared" si="6"/>
        <v/>
      </c>
      <c r="AB14" s="26" t="str">
        <f t="shared" si="7"/>
        <v/>
      </c>
      <c r="AC14" s="26" t="str">
        <f t="shared" si="8"/>
        <v/>
      </c>
      <c r="AD14" s="26" t="str">
        <f t="shared" si="9"/>
        <v/>
      </c>
      <c r="AE14" s="26" t="str">
        <f t="shared" si="10"/>
        <v/>
      </c>
      <c r="AF14" s="26" t="str">
        <f t="shared" si="11"/>
        <v/>
      </c>
      <c r="AG14" s="37">
        <f>IF(AK14=5,(IF(AA14="",0,AA14)),IF(AH14=0,(IF(AH13=0,0,IF(AG13=AH13,0,(IF(AH13&lt;&gt;AJ13,AJ13,MODE(AA14:AF14)))))),(MODE(AA14:AF14))))</f>
        <v>0</v>
      </c>
      <c r="AH14" s="26">
        <f t="shared" si="14"/>
        <v>0</v>
      </c>
      <c r="AI14" s="26" t="str">
        <f t="shared" si="15"/>
        <v/>
      </c>
      <c r="AJ14" s="26" t="str">
        <f t="shared" si="16"/>
        <v/>
      </c>
      <c r="AK14" s="26">
        <f t="shared" si="17"/>
        <v>6</v>
      </c>
      <c r="AX14" s="483"/>
      <c r="AY14" s="483"/>
      <c r="AZ14" s="483"/>
      <c r="BA14" s="483"/>
      <c r="BB14" s="483"/>
      <c r="BC14" s="483"/>
      <c r="BD14" s="483"/>
      <c r="BE14" s="483"/>
      <c r="BF14" s="483"/>
      <c r="BG14" s="483"/>
    </row>
    <row r="15" spans="1:59" x14ac:dyDescent="0.2">
      <c r="A15" s="27"/>
      <c r="B15" s="46">
        <f t="shared" si="20"/>
        <v>0</v>
      </c>
      <c r="C15" s="116" t="str">
        <f t="shared" si="18"/>
        <v/>
      </c>
      <c r="D15" s="44" t="str">
        <f t="shared" si="19"/>
        <v/>
      </c>
      <c r="E15" s="45"/>
      <c r="F15" s="29"/>
      <c r="G15" s="80"/>
      <c r="H15" s="47" t="s">
        <v>16</v>
      </c>
      <c r="I15" s="48" t="s">
        <v>69</v>
      </c>
      <c r="J15" s="49" t="s">
        <v>100</v>
      </c>
      <c r="K15" s="49" t="s">
        <v>17</v>
      </c>
      <c r="L15" s="48" t="s">
        <v>19</v>
      </c>
      <c r="M15" s="50" t="s">
        <v>18</v>
      </c>
      <c r="N15" s="37"/>
      <c r="O15" s="26"/>
      <c r="P15" s="26"/>
      <c r="Q15" s="26">
        <v>167</v>
      </c>
      <c r="R15" s="26">
        <f t="shared" si="2"/>
        <v>0</v>
      </c>
      <c r="S15" s="26">
        <f t="shared" si="3"/>
        <v>0</v>
      </c>
      <c r="T15" s="26">
        <f t="shared" si="4"/>
        <v>0</v>
      </c>
      <c r="U15" s="26" t="str">
        <f t="shared" si="0"/>
        <v/>
      </c>
      <c r="V15" s="26">
        <v>168</v>
      </c>
      <c r="W15" s="26">
        <f t="shared" si="1"/>
        <v>0</v>
      </c>
      <c r="X15" s="26" t="str">
        <f t="shared" si="5"/>
        <v/>
      </c>
      <c r="Y15" s="26">
        <v>138</v>
      </c>
      <c r="Z15" s="26">
        <f t="shared" si="13"/>
        <v>0</v>
      </c>
      <c r="AA15" s="26" t="str">
        <f t="shared" si="6"/>
        <v/>
      </c>
      <c r="AB15" s="26" t="str">
        <f t="shared" si="7"/>
        <v/>
      </c>
      <c r="AC15" s="26" t="str">
        <f t="shared" si="8"/>
        <v/>
      </c>
      <c r="AD15" s="26" t="str">
        <f t="shared" si="9"/>
        <v/>
      </c>
      <c r="AE15" s="26" t="str">
        <f t="shared" si="10"/>
        <v/>
      </c>
      <c r="AF15" s="26" t="str">
        <f t="shared" si="11"/>
        <v/>
      </c>
      <c r="AG15" s="37">
        <f t="shared" si="12"/>
        <v>0</v>
      </c>
      <c r="AH15" s="26">
        <f t="shared" si="14"/>
        <v>0</v>
      </c>
      <c r="AI15" s="26" t="str">
        <f t="shared" si="15"/>
        <v/>
      </c>
      <c r="AJ15" s="26" t="str">
        <f t="shared" si="16"/>
        <v/>
      </c>
      <c r="AK15" s="26">
        <f t="shared" si="17"/>
        <v>6</v>
      </c>
    </row>
    <row r="16" spans="1:59" x14ac:dyDescent="0.2">
      <c r="A16" s="27"/>
      <c r="B16" s="46">
        <f t="shared" si="20"/>
        <v>0</v>
      </c>
      <c r="C16" s="116" t="str">
        <f t="shared" si="18"/>
        <v/>
      </c>
      <c r="D16" s="44" t="str">
        <f t="shared" si="19"/>
        <v/>
      </c>
      <c r="E16" s="45"/>
      <c r="F16" s="29"/>
      <c r="G16" s="80"/>
      <c r="H16" s="1">
        <v>72</v>
      </c>
      <c r="I16" s="14" t="s">
        <v>70</v>
      </c>
      <c r="J16" s="12"/>
      <c r="K16" s="13"/>
      <c r="L16" s="11"/>
      <c r="M16" s="118" t="str">
        <f>IF(H16="","",IF(L16="","",IF(I16="","",IF($B$44="","NEED CLLI CODE!",IF($D$41="","NEED FLOOR DESCRIPTION!",IF($E$44="",IF($C$61="","NEED RACK OR WALL DESCRIPTION!",CONCATENATE($B$44,$B$57,"_",$C$62,"_",H16)),IF($C$61="",CONCATENATE($B$44,$B$57,"_",$E$44,"_",H16),CONCATENATE($B$44,$B$57,"_",$C$62,"_",H16))))))))</f>
        <v/>
      </c>
      <c r="N16" s="37" t="str">
        <f>CONCATENATE(J16,"  ",K16)</f>
        <v xml:space="preserve">  </v>
      </c>
      <c r="O16" s="26">
        <f>COUNTBLANK(H16:M16)</f>
        <v>4</v>
      </c>
      <c r="P16" s="26" t="str">
        <f>IF(COUNTIF($H$16:$H$25,H16)&gt;1,"DUPLICATE",VLOOKUP(H16,$Q$1:$U$182,5,FALSE))</f>
        <v/>
      </c>
      <c r="Q16" s="26">
        <v>166</v>
      </c>
      <c r="R16" s="26">
        <f t="shared" si="2"/>
        <v>0</v>
      </c>
      <c r="S16" s="26">
        <f t="shared" si="3"/>
        <v>0</v>
      </c>
      <c r="T16" s="26">
        <f t="shared" si="4"/>
        <v>0</v>
      </c>
      <c r="U16" s="26" t="str">
        <f t="shared" si="0"/>
        <v/>
      </c>
      <c r="V16" s="26">
        <v>168</v>
      </c>
      <c r="W16" s="26">
        <f t="shared" si="1"/>
        <v>0</v>
      </c>
      <c r="X16" s="26" t="str">
        <f t="shared" si="5"/>
        <v/>
      </c>
      <c r="Y16" s="26">
        <v>132</v>
      </c>
      <c r="Z16" s="26">
        <f t="shared" si="13"/>
        <v>0</v>
      </c>
      <c r="AA16" s="26" t="str">
        <f t="shared" si="6"/>
        <v/>
      </c>
      <c r="AB16" s="26" t="str">
        <f t="shared" si="7"/>
        <v/>
      </c>
      <c r="AC16" s="26" t="str">
        <f t="shared" si="8"/>
        <v/>
      </c>
      <c r="AD16" s="26" t="str">
        <f t="shared" si="9"/>
        <v/>
      </c>
      <c r="AE16" s="26" t="str">
        <f t="shared" si="10"/>
        <v/>
      </c>
      <c r="AF16" s="26" t="str">
        <f t="shared" si="11"/>
        <v/>
      </c>
      <c r="AG16" s="37">
        <f t="shared" si="12"/>
        <v>0</v>
      </c>
      <c r="AH16" s="26">
        <f t="shared" si="14"/>
        <v>0</v>
      </c>
      <c r="AI16" s="26" t="str">
        <f t="shared" si="15"/>
        <v/>
      </c>
      <c r="AJ16" s="26" t="str">
        <f t="shared" si="16"/>
        <v/>
      </c>
      <c r="AK16" s="26">
        <f t="shared" si="17"/>
        <v>6</v>
      </c>
    </row>
    <row r="17" spans="1:37" x14ac:dyDescent="0.2">
      <c r="A17" s="27"/>
      <c r="B17" s="46">
        <f t="shared" si="20"/>
        <v>0</v>
      </c>
      <c r="C17" s="116" t="str">
        <f t="shared" si="18"/>
        <v/>
      </c>
      <c r="D17" s="44" t="str">
        <f t="shared" si="19"/>
        <v/>
      </c>
      <c r="E17" s="45"/>
      <c r="F17" s="29"/>
      <c r="G17" s="80"/>
      <c r="H17" s="1"/>
      <c r="I17" s="14"/>
      <c r="J17" s="12"/>
      <c r="K17" s="13"/>
      <c r="L17" s="11"/>
      <c r="M17" s="118" t="str">
        <f t="shared" ref="M17:M23" si="21">IF(H17="","",IF(L17="","",IF(I17="","",IF($B$44="","NEED CLLI CODE!",IF($D$41="","NEED FLOOR DESCRIPTION!",IF($E$44="",IF($C$61="","NEED RACK OR WALL DESCRIPTION!",CONCATENATE($B$44,$B$57,"_",$C$62,"_",H17)),IF($C$61="",CONCATENATE($B$44,$B$57,"_",$E$44,"_",H17),CONCATENATE($B$44,$B$57,"_",$C$62,"_",H17))))))))</f>
        <v/>
      </c>
      <c r="N17" s="37" t="str">
        <f t="shared" ref="N17:N38" si="22">CONCATENATE(J17,"  ",K17)</f>
        <v xml:space="preserve">  </v>
      </c>
      <c r="O17" s="26">
        <f t="shared" ref="O17:O38" si="23">COUNTBLANK(H17:M17)</f>
        <v>6</v>
      </c>
      <c r="P17" s="26" t="str">
        <f t="shared" ref="P17:P25" si="24">IF(COUNTIF($H$16:$H$25,H17)&gt;1,"DUPLICATE",VLOOKUP(H17,$Q$1:$U$182,5,FALSE))</f>
        <v/>
      </c>
      <c r="Q17" s="26">
        <v>165</v>
      </c>
      <c r="R17" s="26">
        <f t="shared" si="2"/>
        <v>0</v>
      </c>
      <c r="S17" s="26">
        <f t="shared" si="3"/>
        <v>0</v>
      </c>
      <c r="T17" s="26">
        <f t="shared" si="4"/>
        <v>0</v>
      </c>
      <c r="U17" s="26" t="str">
        <f t="shared" si="0"/>
        <v/>
      </c>
      <c r="V17" s="26">
        <v>168</v>
      </c>
      <c r="W17" s="26">
        <f t="shared" si="1"/>
        <v>0</v>
      </c>
      <c r="X17" s="26" t="str">
        <f t="shared" si="5"/>
        <v/>
      </c>
      <c r="Y17" s="26">
        <v>126</v>
      </c>
      <c r="Z17" s="26">
        <f t="shared" si="13"/>
        <v>0</v>
      </c>
      <c r="AA17" s="26" t="str">
        <f t="shared" si="6"/>
        <v/>
      </c>
      <c r="AB17" s="26" t="str">
        <f t="shared" si="7"/>
        <v/>
      </c>
      <c r="AC17" s="26" t="str">
        <f t="shared" si="8"/>
        <v/>
      </c>
      <c r="AD17" s="26" t="str">
        <f t="shared" si="9"/>
        <v/>
      </c>
      <c r="AE17" s="26" t="str">
        <f t="shared" si="10"/>
        <v/>
      </c>
      <c r="AF17" s="26" t="str">
        <f t="shared" si="11"/>
        <v/>
      </c>
      <c r="AG17" s="37">
        <f t="shared" si="12"/>
        <v>0</v>
      </c>
      <c r="AH17" s="26">
        <f t="shared" si="14"/>
        <v>0</v>
      </c>
      <c r="AI17" s="26" t="str">
        <f t="shared" si="15"/>
        <v/>
      </c>
      <c r="AJ17" s="26" t="str">
        <f t="shared" si="16"/>
        <v/>
      </c>
      <c r="AK17" s="26">
        <f t="shared" si="17"/>
        <v>6</v>
      </c>
    </row>
    <row r="18" spans="1:37" x14ac:dyDescent="0.2">
      <c r="A18" s="27"/>
      <c r="B18" s="46">
        <f t="shared" si="20"/>
        <v>0</v>
      </c>
      <c r="C18" s="116" t="str">
        <f t="shared" si="18"/>
        <v/>
      </c>
      <c r="D18" s="44" t="str">
        <f t="shared" si="19"/>
        <v/>
      </c>
      <c r="E18" s="45"/>
      <c r="F18" s="29"/>
      <c r="G18" s="80"/>
      <c r="H18" s="1"/>
      <c r="I18" s="14"/>
      <c r="J18" s="12"/>
      <c r="K18" s="13"/>
      <c r="L18" s="11"/>
      <c r="M18" s="118" t="str">
        <f t="shared" si="21"/>
        <v/>
      </c>
      <c r="N18" s="37" t="str">
        <f t="shared" si="22"/>
        <v xml:space="preserve">  </v>
      </c>
      <c r="O18" s="26">
        <f t="shared" si="23"/>
        <v>6</v>
      </c>
      <c r="P18" s="26" t="str">
        <f t="shared" si="24"/>
        <v/>
      </c>
      <c r="Q18" s="26">
        <v>164</v>
      </c>
      <c r="R18" s="26">
        <f t="shared" si="2"/>
        <v>0</v>
      </c>
      <c r="S18" s="26">
        <f t="shared" si="3"/>
        <v>0</v>
      </c>
      <c r="T18" s="26">
        <f t="shared" si="4"/>
        <v>0</v>
      </c>
      <c r="U18" s="26" t="str">
        <f t="shared" si="0"/>
        <v/>
      </c>
      <c r="V18" s="26">
        <v>168</v>
      </c>
      <c r="W18" s="26">
        <f t="shared" si="1"/>
        <v>0</v>
      </c>
      <c r="X18" s="26" t="str">
        <f t="shared" si="5"/>
        <v/>
      </c>
      <c r="Y18" s="26">
        <v>120</v>
      </c>
      <c r="Z18" s="26">
        <f t="shared" si="13"/>
        <v>0</v>
      </c>
      <c r="AA18" s="26" t="str">
        <f t="shared" si="6"/>
        <v/>
      </c>
      <c r="AB18" s="26" t="str">
        <f t="shared" si="7"/>
        <v/>
      </c>
      <c r="AC18" s="26" t="str">
        <f t="shared" si="8"/>
        <v/>
      </c>
      <c r="AD18" s="26" t="str">
        <f t="shared" si="9"/>
        <v/>
      </c>
      <c r="AE18" s="26" t="str">
        <f t="shared" si="10"/>
        <v/>
      </c>
      <c r="AF18" s="26" t="str">
        <f t="shared" si="11"/>
        <v/>
      </c>
      <c r="AG18" s="37">
        <f t="shared" si="12"/>
        <v>0</v>
      </c>
      <c r="AH18" s="26">
        <f t="shared" si="14"/>
        <v>0</v>
      </c>
      <c r="AI18" s="26" t="str">
        <f t="shared" si="15"/>
        <v/>
      </c>
      <c r="AJ18" s="26" t="str">
        <f t="shared" si="16"/>
        <v/>
      </c>
      <c r="AK18" s="26">
        <f t="shared" si="17"/>
        <v>6</v>
      </c>
    </row>
    <row r="19" spans="1:37" x14ac:dyDescent="0.2">
      <c r="A19" s="27"/>
      <c r="B19" s="46">
        <f t="shared" si="20"/>
        <v>0</v>
      </c>
      <c r="C19" s="116" t="str">
        <f t="shared" si="18"/>
        <v/>
      </c>
      <c r="D19" s="44" t="str">
        <f t="shared" si="19"/>
        <v/>
      </c>
      <c r="E19" s="45"/>
      <c r="F19" s="29"/>
      <c r="G19" s="80"/>
      <c r="H19" s="1"/>
      <c r="I19" s="14"/>
      <c r="J19" s="12"/>
      <c r="K19" s="13"/>
      <c r="L19" s="11"/>
      <c r="M19" s="118" t="str">
        <f t="shared" si="21"/>
        <v/>
      </c>
      <c r="N19" s="37" t="str">
        <f t="shared" si="22"/>
        <v xml:space="preserve">  </v>
      </c>
      <c r="O19" s="26">
        <f t="shared" si="23"/>
        <v>6</v>
      </c>
      <c r="P19" s="26" t="str">
        <f t="shared" si="24"/>
        <v/>
      </c>
      <c r="Q19" s="26">
        <v>163</v>
      </c>
      <c r="R19" s="26">
        <f t="shared" si="2"/>
        <v>0</v>
      </c>
      <c r="S19" s="26">
        <f t="shared" si="3"/>
        <v>0</v>
      </c>
      <c r="T19" s="26">
        <f t="shared" si="4"/>
        <v>0</v>
      </c>
      <c r="U19" s="26" t="str">
        <f t="shared" si="0"/>
        <v/>
      </c>
      <c r="V19" s="26">
        <v>168</v>
      </c>
      <c r="W19" s="26">
        <f t="shared" si="1"/>
        <v>0</v>
      </c>
      <c r="X19" s="26" t="str">
        <f t="shared" si="5"/>
        <v/>
      </c>
      <c r="Y19" s="26">
        <v>114</v>
      </c>
      <c r="Z19" s="26">
        <f t="shared" si="13"/>
        <v>0</v>
      </c>
      <c r="AA19" s="26" t="str">
        <f t="shared" si="6"/>
        <v/>
      </c>
      <c r="AB19" s="26" t="str">
        <f t="shared" si="7"/>
        <v/>
      </c>
      <c r="AC19" s="26" t="str">
        <f t="shared" si="8"/>
        <v/>
      </c>
      <c r="AD19" s="26" t="str">
        <f t="shared" si="9"/>
        <v/>
      </c>
      <c r="AE19" s="26" t="str">
        <f t="shared" si="10"/>
        <v/>
      </c>
      <c r="AF19" s="26" t="str">
        <f t="shared" si="11"/>
        <v/>
      </c>
      <c r="AG19" s="37">
        <f t="shared" si="12"/>
        <v>0</v>
      </c>
      <c r="AH19" s="26">
        <f t="shared" si="14"/>
        <v>0</v>
      </c>
      <c r="AI19" s="26" t="str">
        <f t="shared" si="15"/>
        <v/>
      </c>
      <c r="AJ19" s="26" t="str">
        <f t="shared" si="16"/>
        <v/>
      </c>
      <c r="AK19" s="26">
        <f t="shared" si="17"/>
        <v>6</v>
      </c>
    </row>
    <row r="20" spans="1:37" x14ac:dyDescent="0.2">
      <c r="A20" s="27"/>
      <c r="B20" s="46">
        <f t="shared" si="20"/>
        <v>0</v>
      </c>
      <c r="C20" s="116" t="str">
        <f t="shared" si="18"/>
        <v/>
      </c>
      <c r="D20" s="44" t="str">
        <f t="shared" si="19"/>
        <v/>
      </c>
      <c r="E20" s="45"/>
      <c r="F20" s="29"/>
      <c r="G20" s="80"/>
      <c r="H20" s="1"/>
      <c r="I20" s="14"/>
      <c r="J20" s="12" t="s">
        <v>80</v>
      </c>
      <c r="K20" s="13"/>
      <c r="L20" s="11"/>
      <c r="M20" s="118" t="str">
        <f t="shared" si="21"/>
        <v/>
      </c>
      <c r="N20" s="37" t="str">
        <f t="shared" si="22"/>
        <v xml:space="preserve">  </v>
      </c>
      <c r="O20" s="26">
        <f t="shared" si="23"/>
        <v>6</v>
      </c>
      <c r="P20" s="26" t="str">
        <f t="shared" si="24"/>
        <v/>
      </c>
      <c r="Q20" s="26">
        <v>162</v>
      </c>
      <c r="R20" s="26">
        <f t="shared" si="2"/>
        <v>0</v>
      </c>
      <c r="S20" s="26">
        <f t="shared" si="3"/>
        <v>0</v>
      </c>
      <c r="T20" s="26">
        <f t="shared" si="4"/>
        <v>0</v>
      </c>
      <c r="U20" s="26" t="str">
        <f t="shared" si="0"/>
        <v/>
      </c>
      <c r="V20" s="26">
        <v>162</v>
      </c>
      <c r="W20" s="26">
        <f t="shared" si="1"/>
        <v>0</v>
      </c>
      <c r="X20" s="26" t="str">
        <f t="shared" si="5"/>
        <v/>
      </c>
      <c r="Y20" s="26">
        <v>108</v>
      </c>
      <c r="Z20" s="26">
        <f t="shared" si="13"/>
        <v>0</v>
      </c>
      <c r="AA20" s="26" t="str">
        <f t="shared" si="6"/>
        <v/>
      </c>
      <c r="AB20" s="26" t="str">
        <f t="shared" si="7"/>
        <v/>
      </c>
      <c r="AC20" s="26" t="str">
        <f t="shared" si="8"/>
        <v/>
      </c>
      <c r="AD20" s="26" t="str">
        <f t="shared" si="9"/>
        <v/>
      </c>
      <c r="AE20" s="26" t="str">
        <f t="shared" si="10"/>
        <v/>
      </c>
      <c r="AF20" s="26" t="str">
        <f t="shared" si="11"/>
        <v/>
      </c>
      <c r="AG20" s="37">
        <f t="shared" si="12"/>
        <v>0</v>
      </c>
      <c r="AH20" s="26">
        <f t="shared" si="14"/>
        <v>0</v>
      </c>
      <c r="AI20" s="26" t="str">
        <f t="shared" si="15"/>
        <v/>
      </c>
      <c r="AJ20" s="26" t="str">
        <f t="shared" si="16"/>
        <v/>
      </c>
      <c r="AK20" s="26">
        <f t="shared" si="17"/>
        <v>6</v>
      </c>
    </row>
    <row r="21" spans="1:37" x14ac:dyDescent="0.2">
      <c r="A21" s="27"/>
      <c r="B21" s="46">
        <f t="shared" si="20"/>
        <v>0</v>
      </c>
      <c r="C21" s="116" t="str">
        <f t="shared" si="18"/>
        <v/>
      </c>
      <c r="D21" s="44" t="str">
        <f t="shared" si="19"/>
        <v/>
      </c>
      <c r="E21" s="45"/>
      <c r="F21" s="29"/>
      <c r="G21" s="80"/>
      <c r="H21" s="1"/>
      <c r="I21" s="14"/>
      <c r="J21" s="12" t="s">
        <v>80</v>
      </c>
      <c r="K21" s="13"/>
      <c r="L21" s="11"/>
      <c r="M21" s="118" t="str">
        <f t="shared" si="21"/>
        <v/>
      </c>
      <c r="N21" s="37" t="str">
        <f t="shared" si="22"/>
        <v xml:space="preserve">  </v>
      </c>
      <c r="O21" s="26">
        <f t="shared" si="23"/>
        <v>6</v>
      </c>
      <c r="P21" s="26" t="str">
        <f t="shared" si="24"/>
        <v/>
      </c>
      <c r="Q21" s="26">
        <v>161</v>
      </c>
      <c r="R21" s="26">
        <f t="shared" si="2"/>
        <v>0</v>
      </c>
      <c r="S21" s="26">
        <f t="shared" si="3"/>
        <v>0</v>
      </c>
      <c r="T21" s="26">
        <f t="shared" si="4"/>
        <v>0</v>
      </c>
      <c r="U21" s="26" t="str">
        <f t="shared" si="0"/>
        <v/>
      </c>
      <c r="V21" s="26">
        <v>162</v>
      </c>
      <c r="W21" s="26">
        <f t="shared" si="1"/>
        <v>0</v>
      </c>
      <c r="X21" s="26" t="str">
        <f t="shared" si="5"/>
        <v/>
      </c>
      <c r="Y21" s="26">
        <v>102</v>
      </c>
      <c r="Z21" s="26">
        <f t="shared" si="13"/>
        <v>0</v>
      </c>
      <c r="AA21" s="26" t="str">
        <f t="shared" si="6"/>
        <v/>
      </c>
      <c r="AB21" s="26" t="str">
        <f t="shared" si="7"/>
        <v/>
      </c>
      <c r="AC21" s="26" t="str">
        <f t="shared" si="8"/>
        <v/>
      </c>
      <c r="AD21" s="26" t="str">
        <f t="shared" si="9"/>
        <v/>
      </c>
      <c r="AE21" s="26" t="str">
        <f t="shared" si="10"/>
        <v/>
      </c>
      <c r="AF21" s="26" t="str">
        <f t="shared" si="11"/>
        <v/>
      </c>
      <c r="AG21" s="37">
        <f t="shared" si="12"/>
        <v>0</v>
      </c>
      <c r="AH21" s="26">
        <f t="shared" si="14"/>
        <v>0</v>
      </c>
      <c r="AI21" s="26" t="str">
        <f t="shared" si="15"/>
        <v/>
      </c>
      <c r="AJ21" s="26" t="str">
        <f t="shared" si="16"/>
        <v/>
      </c>
      <c r="AK21" s="26">
        <f t="shared" si="17"/>
        <v>6</v>
      </c>
    </row>
    <row r="22" spans="1:37" x14ac:dyDescent="0.2">
      <c r="A22" s="27"/>
      <c r="B22" s="46">
        <f t="shared" si="20"/>
        <v>0</v>
      </c>
      <c r="C22" s="116" t="str">
        <f t="shared" si="18"/>
        <v/>
      </c>
      <c r="D22" s="44" t="str">
        <f t="shared" si="19"/>
        <v/>
      </c>
      <c r="E22" s="45"/>
      <c r="F22" s="29"/>
      <c r="G22" s="80"/>
      <c r="H22" s="1"/>
      <c r="I22" s="14"/>
      <c r="J22" s="12" t="s">
        <v>80</v>
      </c>
      <c r="K22" s="13"/>
      <c r="L22" s="11"/>
      <c r="M22" s="118" t="str">
        <f t="shared" si="21"/>
        <v/>
      </c>
      <c r="N22" s="37" t="str">
        <f t="shared" si="22"/>
        <v xml:space="preserve">  </v>
      </c>
      <c r="O22" s="26">
        <f t="shared" si="23"/>
        <v>6</v>
      </c>
      <c r="P22" s="26" t="str">
        <f t="shared" si="24"/>
        <v/>
      </c>
      <c r="Q22" s="26">
        <v>160</v>
      </c>
      <c r="R22" s="26">
        <f t="shared" si="2"/>
        <v>0</v>
      </c>
      <c r="S22" s="26">
        <f t="shared" si="3"/>
        <v>0</v>
      </c>
      <c r="T22" s="26">
        <f t="shared" si="4"/>
        <v>0</v>
      </c>
      <c r="U22" s="26" t="str">
        <f t="shared" si="0"/>
        <v/>
      </c>
      <c r="V22" s="26">
        <v>162</v>
      </c>
      <c r="W22" s="26">
        <f t="shared" si="1"/>
        <v>0</v>
      </c>
      <c r="X22" s="26" t="str">
        <f t="shared" si="5"/>
        <v/>
      </c>
      <c r="Y22" s="26">
        <v>96</v>
      </c>
      <c r="Z22" s="26">
        <f t="shared" si="13"/>
        <v>0</v>
      </c>
      <c r="AA22" s="26" t="str">
        <f t="shared" si="6"/>
        <v/>
      </c>
      <c r="AB22" s="26" t="str">
        <f t="shared" si="7"/>
        <v/>
      </c>
      <c r="AC22" s="26" t="str">
        <f t="shared" si="8"/>
        <v/>
      </c>
      <c r="AD22" s="26" t="str">
        <f t="shared" si="9"/>
        <v/>
      </c>
      <c r="AE22" s="26" t="str">
        <f t="shared" si="10"/>
        <v/>
      </c>
      <c r="AF22" s="26" t="str">
        <f t="shared" si="11"/>
        <v/>
      </c>
      <c r="AG22" s="37">
        <f t="shared" si="12"/>
        <v>0</v>
      </c>
      <c r="AH22" s="26">
        <f t="shared" si="14"/>
        <v>0</v>
      </c>
      <c r="AI22" s="26" t="str">
        <f t="shared" si="15"/>
        <v/>
      </c>
      <c r="AJ22" s="26" t="str">
        <f t="shared" si="16"/>
        <v/>
      </c>
      <c r="AK22" s="26">
        <f t="shared" si="17"/>
        <v>6</v>
      </c>
    </row>
    <row r="23" spans="1:37" ht="13.5" thickBot="1" x14ac:dyDescent="0.25">
      <c r="A23" s="27"/>
      <c r="B23" s="46">
        <f t="shared" si="20"/>
        <v>0</v>
      </c>
      <c r="C23" s="116" t="str">
        <f t="shared" si="18"/>
        <v/>
      </c>
      <c r="D23" s="44" t="str">
        <f t="shared" si="19"/>
        <v/>
      </c>
      <c r="E23" s="45"/>
      <c r="F23" s="29"/>
      <c r="G23" s="80"/>
      <c r="H23" s="205"/>
      <c r="I23" s="206"/>
      <c r="J23" s="12" t="s">
        <v>80</v>
      </c>
      <c r="K23" s="207"/>
      <c r="L23" s="208"/>
      <c r="M23" s="118" t="str">
        <f t="shared" si="21"/>
        <v/>
      </c>
      <c r="N23" s="37" t="str">
        <f t="shared" si="22"/>
        <v xml:space="preserve">  </v>
      </c>
      <c r="O23" s="26">
        <f t="shared" si="23"/>
        <v>6</v>
      </c>
      <c r="P23" s="26" t="str">
        <f t="shared" si="24"/>
        <v/>
      </c>
      <c r="Q23" s="26">
        <v>159</v>
      </c>
      <c r="R23" s="26">
        <f t="shared" si="2"/>
        <v>0</v>
      </c>
      <c r="S23" s="26">
        <f t="shared" si="3"/>
        <v>0</v>
      </c>
      <c r="T23" s="26">
        <f t="shared" si="4"/>
        <v>0</v>
      </c>
      <c r="U23" s="26" t="str">
        <f t="shared" si="0"/>
        <v/>
      </c>
      <c r="V23" s="26">
        <v>162</v>
      </c>
      <c r="W23" s="26">
        <f t="shared" si="1"/>
        <v>0</v>
      </c>
      <c r="X23" s="26" t="str">
        <f t="shared" si="5"/>
        <v/>
      </c>
      <c r="Y23" s="26">
        <v>90</v>
      </c>
      <c r="Z23" s="26">
        <f t="shared" si="13"/>
        <v>0</v>
      </c>
      <c r="AA23" s="26" t="str">
        <f t="shared" si="6"/>
        <v/>
      </c>
      <c r="AB23" s="26" t="str">
        <f t="shared" si="7"/>
        <v/>
      </c>
      <c r="AC23" s="26" t="str">
        <f t="shared" si="8"/>
        <v/>
      </c>
      <c r="AD23" s="26" t="str">
        <f t="shared" si="9"/>
        <v/>
      </c>
      <c r="AE23" s="26" t="str">
        <f t="shared" si="10"/>
        <v/>
      </c>
      <c r="AF23" s="26" t="str">
        <f t="shared" si="11"/>
        <v/>
      </c>
      <c r="AG23" s="37">
        <f t="shared" si="12"/>
        <v>0</v>
      </c>
      <c r="AH23" s="26">
        <f t="shared" si="14"/>
        <v>0</v>
      </c>
      <c r="AI23" s="26" t="str">
        <f t="shared" si="15"/>
        <v/>
      </c>
      <c r="AJ23" s="26" t="str">
        <f t="shared" si="16"/>
        <v/>
      </c>
      <c r="AK23" s="26">
        <f t="shared" si="17"/>
        <v>6</v>
      </c>
    </row>
    <row r="24" spans="1:37" x14ac:dyDescent="0.2">
      <c r="A24" s="27"/>
      <c r="B24" s="46">
        <f t="shared" si="20"/>
        <v>0</v>
      </c>
      <c r="C24" s="116" t="str">
        <f t="shared" si="18"/>
        <v/>
      </c>
      <c r="D24" s="44" t="str">
        <f t="shared" si="19"/>
        <v/>
      </c>
      <c r="E24" s="45"/>
      <c r="F24" s="29"/>
      <c r="G24" s="80"/>
      <c r="H24" s="209"/>
      <c r="I24" s="209"/>
      <c r="J24" s="209"/>
      <c r="K24" s="209"/>
      <c r="L24" s="209"/>
      <c r="M24" s="209"/>
      <c r="N24" s="37" t="str">
        <f t="shared" si="22"/>
        <v xml:space="preserve">  </v>
      </c>
      <c r="O24" s="26">
        <f t="shared" si="23"/>
        <v>6</v>
      </c>
      <c r="P24" s="26" t="str">
        <f t="shared" si="24"/>
        <v/>
      </c>
      <c r="Q24" s="26">
        <v>158</v>
      </c>
      <c r="R24" s="26">
        <f t="shared" si="2"/>
        <v>0</v>
      </c>
      <c r="S24" s="26">
        <f t="shared" si="3"/>
        <v>0</v>
      </c>
      <c r="T24" s="26">
        <f t="shared" si="4"/>
        <v>0</v>
      </c>
      <c r="U24" s="26" t="str">
        <f t="shared" si="0"/>
        <v/>
      </c>
      <c r="V24" s="26">
        <v>162</v>
      </c>
      <c r="W24" s="26">
        <f t="shared" si="1"/>
        <v>0</v>
      </c>
      <c r="X24" s="26" t="str">
        <f t="shared" si="5"/>
        <v/>
      </c>
      <c r="Y24" s="26">
        <v>84</v>
      </c>
      <c r="Z24" s="26">
        <f t="shared" si="13"/>
        <v>0</v>
      </c>
      <c r="AA24" s="26" t="str">
        <f t="shared" si="6"/>
        <v/>
      </c>
      <c r="AB24" s="26" t="str">
        <f t="shared" si="7"/>
        <v/>
      </c>
      <c r="AC24" s="26" t="str">
        <f t="shared" si="8"/>
        <v/>
      </c>
      <c r="AD24" s="26" t="str">
        <f t="shared" si="9"/>
        <v/>
      </c>
      <c r="AE24" s="26" t="str">
        <f t="shared" si="10"/>
        <v/>
      </c>
      <c r="AF24" s="26" t="str">
        <f t="shared" si="11"/>
        <v/>
      </c>
      <c r="AG24" s="37">
        <f t="shared" si="12"/>
        <v>0</v>
      </c>
      <c r="AH24" s="26">
        <f t="shared" si="14"/>
        <v>0</v>
      </c>
      <c r="AI24" s="26" t="str">
        <f t="shared" si="15"/>
        <v/>
      </c>
      <c r="AJ24" s="26" t="str">
        <f t="shared" si="16"/>
        <v/>
      </c>
      <c r="AK24" s="26">
        <f t="shared" si="17"/>
        <v>6</v>
      </c>
    </row>
    <row r="25" spans="1:37" x14ac:dyDescent="0.2">
      <c r="A25" s="27"/>
      <c r="B25" s="46">
        <f t="shared" si="20"/>
        <v>0</v>
      </c>
      <c r="C25" s="116" t="str">
        <f t="shared" si="18"/>
        <v/>
      </c>
      <c r="D25" s="44" t="str">
        <f t="shared" si="19"/>
        <v/>
      </c>
      <c r="E25" s="45"/>
      <c r="F25" s="29"/>
      <c r="G25" s="80"/>
      <c r="H25" s="51"/>
      <c r="I25" s="51"/>
      <c r="J25" s="51"/>
      <c r="K25" s="51"/>
      <c r="L25" s="51"/>
      <c r="M25" s="51"/>
      <c r="N25" s="37" t="str">
        <f t="shared" si="22"/>
        <v xml:space="preserve">  </v>
      </c>
      <c r="O25" s="26">
        <f t="shared" si="23"/>
        <v>6</v>
      </c>
      <c r="P25" s="26" t="str">
        <f t="shared" si="24"/>
        <v/>
      </c>
      <c r="Q25" s="26">
        <v>157</v>
      </c>
      <c r="R25" s="26">
        <f t="shared" si="2"/>
        <v>0</v>
      </c>
      <c r="S25" s="26">
        <f t="shared" si="3"/>
        <v>0</v>
      </c>
      <c r="T25" s="26">
        <f t="shared" si="4"/>
        <v>0</v>
      </c>
      <c r="U25" s="26" t="str">
        <f t="shared" si="0"/>
        <v/>
      </c>
      <c r="V25" s="26">
        <v>162</v>
      </c>
      <c r="W25" s="26">
        <f t="shared" si="1"/>
        <v>0</v>
      </c>
      <c r="X25" s="26" t="str">
        <f t="shared" si="5"/>
        <v/>
      </c>
      <c r="Y25" s="26">
        <v>78</v>
      </c>
      <c r="Z25" s="26">
        <f t="shared" si="13"/>
        <v>0</v>
      </c>
      <c r="AA25" s="26" t="str">
        <f t="shared" si="6"/>
        <v/>
      </c>
      <c r="AB25" s="26" t="str">
        <f t="shared" si="7"/>
        <v/>
      </c>
      <c r="AC25" s="26" t="str">
        <f t="shared" si="8"/>
        <v/>
      </c>
      <c r="AD25" s="26" t="str">
        <f t="shared" si="9"/>
        <v/>
      </c>
      <c r="AE25" s="26" t="str">
        <f t="shared" si="10"/>
        <v/>
      </c>
      <c r="AF25" s="26" t="str">
        <f t="shared" si="11"/>
        <v/>
      </c>
      <c r="AG25" s="37">
        <f t="shared" si="12"/>
        <v>0</v>
      </c>
      <c r="AH25" s="26">
        <f t="shared" si="14"/>
        <v>0</v>
      </c>
      <c r="AI25" s="26" t="str">
        <f t="shared" si="15"/>
        <v/>
      </c>
      <c r="AJ25" s="26" t="str">
        <f t="shared" si="16"/>
        <v/>
      </c>
      <c r="AK25" s="26">
        <f t="shared" si="17"/>
        <v>6</v>
      </c>
    </row>
    <row r="26" spans="1:37" x14ac:dyDescent="0.2">
      <c r="A26" s="27"/>
      <c r="B26" s="46">
        <f t="shared" si="20"/>
        <v>0</v>
      </c>
      <c r="C26" s="116" t="str">
        <f t="shared" si="18"/>
        <v/>
      </c>
      <c r="D26" s="44" t="str">
        <f t="shared" si="19"/>
        <v/>
      </c>
      <c r="E26" s="45"/>
      <c r="F26" s="29"/>
      <c r="G26" s="31"/>
      <c r="H26" s="51"/>
      <c r="I26" s="51"/>
      <c r="J26" s="51"/>
      <c r="K26" s="51"/>
      <c r="L26" s="51"/>
      <c r="M26" s="51"/>
      <c r="N26" s="37" t="str">
        <f t="shared" si="22"/>
        <v xml:space="preserve">  </v>
      </c>
      <c r="O26" s="26">
        <f t="shared" si="23"/>
        <v>6</v>
      </c>
      <c r="P26" s="26" t="str">
        <f t="shared" ref="P26:P38" si="25">VLOOKUP(H26,$Q$1:$U$182,5,FALSE)</f>
        <v/>
      </c>
      <c r="Q26" s="26">
        <v>156</v>
      </c>
      <c r="R26" s="26">
        <f t="shared" si="2"/>
        <v>0</v>
      </c>
      <c r="S26" s="26">
        <f t="shared" si="3"/>
        <v>0</v>
      </c>
      <c r="T26" s="26">
        <f t="shared" si="4"/>
        <v>0</v>
      </c>
      <c r="U26" s="26" t="str">
        <f t="shared" si="0"/>
        <v/>
      </c>
      <c r="V26" s="26">
        <v>156</v>
      </c>
      <c r="W26" s="26">
        <f t="shared" si="1"/>
        <v>0</v>
      </c>
      <c r="X26" s="26" t="str">
        <f t="shared" si="5"/>
        <v/>
      </c>
      <c r="Y26" s="26">
        <v>72</v>
      </c>
      <c r="Z26" s="26">
        <f t="shared" si="13"/>
        <v>0</v>
      </c>
      <c r="AA26" s="26">
        <f t="shared" si="6"/>
        <v>0</v>
      </c>
      <c r="AB26" s="26" t="str">
        <f t="shared" si="7"/>
        <v/>
      </c>
      <c r="AC26" s="26" t="str">
        <f t="shared" si="8"/>
        <v/>
      </c>
      <c r="AD26" s="26" t="str">
        <f t="shared" si="9"/>
        <v/>
      </c>
      <c r="AE26" s="26" t="str">
        <f t="shared" si="10"/>
        <v/>
      </c>
      <c r="AF26" s="26" t="str">
        <f t="shared" si="11"/>
        <v/>
      </c>
      <c r="AG26" s="37">
        <f t="shared" si="12"/>
        <v>0</v>
      </c>
      <c r="AH26" s="26">
        <f t="shared" si="14"/>
        <v>0</v>
      </c>
      <c r="AI26" s="26">
        <f t="shared" si="15"/>
        <v>0</v>
      </c>
      <c r="AJ26" s="26" t="str">
        <f t="shared" si="16"/>
        <v/>
      </c>
      <c r="AK26" s="26">
        <f t="shared" si="17"/>
        <v>5</v>
      </c>
    </row>
    <row r="27" spans="1:37" x14ac:dyDescent="0.2">
      <c r="A27" s="27"/>
      <c r="B27" s="46">
        <f t="shared" si="20"/>
        <v>0</v>
      </c>
      <c r="C27" s="116" t="str">
        <f t="shared" si="18"/>
        <v/>
      </c>
      <c r="D27" s="44" t="str">
        <f t="shared" si="19"/>
        <v/>
      </c>
      <c r="E27" s="45"/>
      <c r="F27" s="29"/>
      <c r="G27" s="31"/>
      <c r="H27" s="51"/>
      <c r="I27" s="51"/>
      <c r="J27" s="51"/>
      <c r="K27" s="51"/>
      <c r="L27" s="51"/>
      <c r="M27" s="51"/>
      <c r="N27" s="37" t="str">
        <f t="shared" si="22"/>
        <v xml:space="preserve">  </v>
      </c>
      <c r="O27" s="26">
        <f t="shared" si="23"/>
        <v>6</v>
      </c>
      <c r="P27" s="26" t="str">
        <f t="shared" si="25"/>
        <v/>
      </c>
      <c r="Q27" s="26">
        <v>155</v>
      </c>
      <c r="R27" s="26">
        <f t="shared" si="2"/>
        <v>0</v>
      </c>
      <c r="S27" s="26">
        <f t="shared" si="3"/>
        <v>0</v>
      </c>
      <c r="T27" s="26">
        <f t="shared" si="4"/>
        <v>0</v>
      </c>
      <c r="U27" s="26" t="str">
        <f t="shared" si="0"/>
        <v/>
      </c>
      <c r="V27" s="26">
        <v>156</v>
      </c>
      <c r="W27" s="26">
        <f t="shared" si="1"/>
        <v>0</v>
      </c>
      <c r="X27" s="26" t="str">
        <f t="shared" si="5"/>
        <v/>
      </c>
      <c r="Y27" s="26">
        <v>66</v>
      </c>
      <c r="Z27" s="26">
        <f t="shared" si="13"/>
        <v>0</v>
      </c>
      <c r="AA27" s="26" t="str">
        <f t="shared" si="6"/>
        <v/>
      </c>
      <c r="AB27" s="26" t="str">
        <f t="shared" si="7"/>
        <v/>
      </c>
      <c r="AC27" s="26" t="str">
        <f t="shared" si="8"/>
        <v/>
      </c>
      <c r="AD27" s="26" t="str">
        <f t="shared" si="9"/>
        <v/>
      </c>
      <c r="AE27" s="26" t="str">
        <f t="shared" si="10"/>
        <v/>
      </c>
      <c r="AF27" s="26" t="str">
        <f t="shared" si="11"/>
        <v/>
      </c>
      <c r="AG27" s="37">
        <f t="shared" si="12"/>
        <v>0</v>
      </c>
      <c r="AH27" s="26">
        <f t="shared" si="14"/>
        <v>0</v>
      </c>
      <c r="AI27" s="26" t="str">
        <f t="shared" si="15"/>
        <v/>
      </c>
      <c r="AJ27" s="26" t="str">
        <f t="shared" si="16"/>
        <v/>
      </c>
      <c r="AK27" s="26">
        <f t="shared" si="17"/>
        <v>6</v>
      </c>
    </row>
    <row r="28" spans="1:37" x14ac:dyDescent="0.2">
      <c r="A28" s="27"/>
      <c r="B28" s="46">
        <f t="shared" si="20"/>
        <v>0</v>
      </c>
      <c r="C28" s="116" t="str">
        <f t="shared" si="18"/>
        <v/>
      </c>
      <c r="D28" s="44" t="str">
        <f t="shared" si="19"/>
        <v/>
      </c>
      <c r="E28" s="45"/>
      <c r="F28" s="29"/>
      <c r="G28" s="31"/>
      <c r="H28" s="51"/>
      <c r="I28" s="51"/>
      <c r="J28" s="51"/>
      <c r="K28" s="51"/>
      <c r="L28" s="51"/>
      <c r="M28" s="51"/>
      <c r="N28" s="37" t="str">
        <f t="shared" si="22"/>
        <v xml:space="preserve">  </v>
      </c>
      <c r="O28" s="26">
        <f t="shared" si="23"/>
        <v>6</v>
      </c>
      <c r="P28" s="26" t="str">
        <f t="shared" si="25"/>
        <v/>
      </c>
      <c r="Q28" s="26">
        <v>154</v>
      </c>
      <c r="R28" s="26">
        <f t="shared" si="2"/>
        <v>0</v>
      </c>
      <c r="S28" s="26">
        <f t="shared" si="3"/>
        <v>0</v>
      </c>
      <c r="T28" s="26">
        <f t="shared" si="4"/>
        <v>0</v>
      </c>
      <c r="U28" s="26" t="str">
        <f t="shared" si="0"/>
        <v/>
      </c>
      <c r="V28" s="26">
        <v>156</v>
      </c>
      <c r="W28" s="26">
        <f t="shared" si="1"/>
        <v>0</v>
      </c>
      <c r="X28" s="26" t="str">
        <f t="shared" si="5"/>
        <v/>
      </c>
      <c r="Y28" s="26">
        <v>60</v>
      </c>
      <c r="Z28" s="26">
        <f t="shared" si="13"/>
        <v>0</v>
      </c>
      <c r="AA28" s="26" t="str">
        <f t="shared" si="6"/>
        <v/>
      </c>
      <c r="AB28" s="26" t="str">
        <f t="shared" si="7"/>
        <v/>
      </c>
      <c r="AC28" s="26" t="str">
        <f t="shared" si="8"/>
        <v/>
      </c>
      <c r="AD28" s="26" t="str">
        <f t="shared" si="9"/>
        <v/>
      </c>
      <c r="AE28" s="26" t="str">
        <f t="shared" si="10"/>
        <v/>
      </c>
      <c r="AF28" s="26" t="str">
        <f t="shared" si="11"/>
        <v/>
      </c>
      <c r="AG28" s="37">
        <f t="shared" si="12"/>
        <v>0</v>
      </c>
      <c r="AH28" s="26">
        <f t="shared" si="14"/>
        <v>0</v>
      </c>
      <c r="AI28" s="26" t="str">
        <f t="shared" si="15"/>
        <v/>
      </c>
      <c r="AJ28" s="26" t="str">
        <f t="shared" si="16"/>
        <v/>
      </c>
      <c r="AK28" s="26">
        <f t="shared" si="17"/>
        <v>6</v>
      </c>
    </row>
    <row r="29" spans="1:37" x14ac:dyDescent="0.2">
      <c r="A29" s="27"/>
      <c r="B29" s="46">
        <f t="shared" si="20"/>
        <v>0</v>
      </c>
      <c r="C29" s="116" t="str">
        <f t="shared" si="18"/>
        <v/>
      </c>
      <c r="D29" s="44" t="str">
        <f t="shared" si="19"/>
        <v/>
      </c>
      <c r="E29" s="45"/>
      <c r="F29" s="29"/>
      <c r="G29" s="31"/>
      <c r="H29" s="51"/>
      <c r="I29" s="51"/>
      <c r="J29" s="51"/>
      <c r="K29" s="51"/>
      <c r="L29" s="51"/>
      <c r="M29" s="51"/>
      <c r="N29" s="37" t="str">
        <f t="shared" si="22"/>
        <v xml:space="preserve">  </v>
      </c>
      <c r="O29" s="26">
        <f t="shared" si="23"/>
        <v>6</v>
      </c>
      <c r="P29" s="26" t="str">
        <f t="shared" si="25"/>
        <v/>
      </c>
      <c r="Q29" s="26">
        <v>153</v>
      </c>
      <c r="R29" s="26">
        <f t="shared" si="2"/>
        <v>0</v>
      </c>
      <c r="S29" s="26">
        <f t="shared" si="3"/>
        <v>0</v>
      </c>
      <c r="T29" s="26">
        <f t="shared" si="4"/>
        <v>0</v>
      </c>
      <c r="U29" s="26" t="str">
        <f t="shared" si="0"/>
        <v/>
      </c>
      <c r="V29" s="26">
        <v>156</v>
      </c>
      <c r="W29" s="26">
        <f t="shared" si="1"/>
        <v>0</v>
      </c>
      <c r="X29" s="26" t="str">
        <f t="shared" si="5"/>
        <v/>
      </c>
      <c r="Y29" s="26">
        <v>54</v>
      </c>
      <c r="Z29" s="26">
        <f t="shared" si="13"/>
        <v>0</v>
      </c>
      <c r="AA29" s="26" t="str">
        <f t="shared" si="6"/>
        <v/>
      </c>
      <c r="AB29" s="26" t="str">
        <f t="shared" si="7"/>
        <v/>
      </c>
      <c r="AC29" s="26" t="str">
        <f t="shared" si="8"/>
        <v/>
      </c>
      <c r="AD29" s="26" t="str">
        <f t="shared" si="9"/>
        <v/>
      </c>
      <c r="AE29" s="26" t="str">
        <f t="shared" si="10"/>
        <v/>
      </c>
      <c r="AF29" s="26" t="str">
        <f t="shared" si="11"/>
        <v/>
      </c>
      <c r="AG29" s="37">
        <f t="shared" si="12"/>
        <v>0</v>
      </c>
      <c r="AH29" s="26">
        <f t="shared" si="14"/>
        <v>0</v>
      </c>
      <c r="AI29" s="26" t="str">
        <f t="shared" si="15"/>
        <v/>
      </c>
      <c r="AJ29" s="26" t="str">
        <f t="shared" si="16"/>
        <v/>
      </c>
      <c r="AK29" s="26">
        <f t="shared" si="17"/>
        <v>6</v>
      </c>
    </row>
    <row r="30" spans="1:37" x14ac:dyDescent="0.2">
      <c r="A30" s="27"/>
      <c r="B30" s="46">
        <f t="shared" si="20"/>
        <v>0</v>
      </c>
      <c r="C30" s="116" t="str">
        <f t="shared" si="18"/>
        <v/>
      </c>
      <c r="D30" s="44" t="str">
        <f t="shared" si="19"/>
        <v/>
      </c>
      <c r="E30" s="45"/>
      <c r="F30" s="29"/>
      <c r="G30" s="31"/>
      <c r="H30" s="51"/>
      <c r="I30" s="51"/>
      <c r="J30" s="51"/>
      <c r="K30" s="51"/>
      <c r="L30" s="51"/>
      <c r="M30" s="51"/>
      <c r="N30" s="37" t="str">
        <f t="shared" si="22"/>
        <v xml:space="preserve">  </v>
      </c>
      <c r="O30" s="26">
        <f t="shared" si="23"/>
        <v>6</v>
      </c>
      <c r="P30" s="26" t="str">
        <f t="shared" si="25"/>
        <v/>
      </c>
      <c r="Q30" s="26">
        <v>152</v>
      </c>
      <c r="R30" s="26">
        <f t="shared" si="2"/>
        <v>0</v>
      </c>
      <c r="S30" s="26">
        <f t="shared" si="3"/>
        <v>0</v>
      </c>
      <c r="T30" s="26">
        <f t="shared" si="4"/>
        <v>0</v>
      </c>
      <c r="U30" s="26" t="str">
        <f t="shared" si="0"/>
        <v/>
      </c>
      <c r="V30" s="26">
        <v>156</v>
      </c>
      <c r="W30" s="26">
        <f t="shared" si="1"/>
        <v>0</v>
      </c>
      <c r="X30" s="26" t="str">
        <f t="shared" si="5"/>
        <v/>
      </c>
      <c r="Y30" s="26">
        <v>48</v>
      </c>
      <c r="Z30" s="26">
        <f t="shared" si="13"/>
        <v>0</v>
      </c>
      <c r="AA30" s="26" t="str">
        <f t="shared" si="6"/>
        <v/>
      </c>
      <c r="AB30" s="26" t="str">
        <f t="shared" si="7"/>
        <v/>
      </c>
      <c r="AC30" s="26" t="str">
        <f t="shared" si="8"/>
        <v/>
      </c>
      <c r="AD30" s="26" t="str">
        <f t="shared" si="9"/>
        <v/>
      </c>
      <c r="AE30" s="26" t="str">
        <f t="shared" si="10"/>
        <v/>
      </c>
      <c r="AF30" s="26" t="str">
        <f t="shared" si="11"/>
        <v/>
      </c>
      <c r="AG30" s="37">
        <f t="shared" si="12"/>
        <v>0</v>
      </c>
      <c r="AH30" s="26">
        <f t="shared" si="14"/>
        <v>0</v>
      </c>
      <c r="AI30" s="26" t="str">
        <f t="shared" si="15"/>
        <v/>
      </c>
      <c r="AJ30" s="26" t="str">
        <f t="shared" si="16"/>
        <v/>
      </c>
      <c r="AK30" s="26">
        <f t="shared" si="17"/>
        <v>6</v>
      </c>
    </row>
    <row r="31" spans="1:37" x14ac:dyDescent="0.2">
      <c r="A31" s="27"/>
      <c r="B31" s="46">
        <f t="shared" si="20"/>
        <v>0</v>
      </c>
      <c r="C31" s="116" t="str">
        <f t="shared" si="18"/>
        <v/>
      </c>
      <c r="D31" s="44" t="str">
        <f t="shared" si="19"/>
        <v/>
      </c>
      <c r="E31" s="45"/>
      <c r="F31" s="29"/>
      <c r="G31" s="31"/>
      <c r="H31" s="51"/>
      <c r="I31" s="51"/>
      <c r="J31" s="300" t="str">
        <f>IF(SUM(H32:K44)=0,"Populate Cable Info Tab","")</f>
        <v>Populate Cable Info Tab</v>
      </c>
      <c r="K31" s="51"/>
      <c r="L31" s="51"/>
      <c r="M31" s="51"/>
      <c r="N31" s="37" t="str">
        <f t="shared" si="22"/>
        <v xml:space="preserve">Populate Cable Info Tab  </v>
      </c>
      <c r="O31" s="26">
        <f t="shared" si="23"/>
        <v>5</v>
      </c>
      <c r="P31" s="26" t="str">
        <f t="shared" si="25"/>
        <v/>
      </c>
      <c r="Q31" s="26">
        <v>151</v>
      </c>
      <c r="R31" s="26">
        <f t="shared" si="2"/>
        <v>0</v>
      </c>
      <c r="S31" s="26">
        <f t="shared" si="3"/>
        <v>0</v>
      </c>
      <c r="T31" s="26">
        <f t="shared" si="4"/>
        <v>0</v>
      </c>
      <c r="U31" s="26" t="str">
        <f t="shared" si="0"/>
        <v/>
      </c>
      <c r="V31" s="26">
        <v>156</v>
      </c>
      <c r="W31" s="26">
        <f t="shared" si="1"/>
        <v>0</v>
      </c>
      <c r="X31" s="26" t="str">
        <f t="shared" si="5"/>
        <v/>
      </c>
      <c r="Y31" s="26">
        <v>42</v>
      </c>
      <c r="Z31" s="26">
        <f t="shared" si="13"/>
        <v>0</v>
      </c>
      <c r="AA31" s="26" t="str">
        <f t="shared" si="6"/>
        <v/>
      </c>
      <c r="AB31" s="26" t="str">
        <f t="shared" si="7"/>
        <v/>
      </c>
      <c r="AC31" s="26" t="str">
        <f t="shared" si="8"/>
        <v/>
      </c>
      <c r="AD31" s="26" t="str">
        <f t="shared" si="9"/>
        <v/>
      </c>
      <c r="AE31" s="26" t="str">
        <f t="shared" si="10"/>
        <v/>
      </c>
      <c r="AF31" s="26" t="str">
        <f t="shared" si="11"/>
        <v/>
      </c>
      <c r="AG31" s="37">
        <f t="shared" si="12"/>
        <v>0</v>
      </c>
      <c r="AH31" s="26">
        <f t="shared" si="14"/>
        <v>0</v>
      </c>
      <c r="AI31" s="26" t="str">
        <f t="shared" si="15"/>
        <v/>
      </c>
      <c r="AJ31" s="26" t="str">
        <f t="shared" si="16"/>
        <v/>
      </c>
      <c r="AK31" s="26">
        <f t="shared" si="17"/>
        <v>6</v>
      </c>
    </row>
    <row r="32" spans="1:37" x14ac:dyDescent="0.2">
      <c r="A32" s="27"/>
      <c r="B32" s="46">
        <f t="shared" si="20"/>
        <v>0</v>
      </c>
      <c r="C32" s="116" t="str">
        <f t="shared" si="18"/>
        <v/>
      </c>
      <c r="D32" s="44" t="str">
        <f t="shared" si="19"/>
        <v/>
      </c>
      <c r="E32" s="45"/>
      <c r="F32" s="29"/>
      <c r="G32" s="31"/>
      <c r="H32" s="51"/>
      <c r="I32" s="51"/>
      <c r="J32" s="300" t="str">
        <f>IF('Cable Info'!C11="","",'Cable Info'!C11)</f>
        <v>460-092: ZAYO-ENT-S-1</v>
      </c>
      <c r="K32" s="51"/>
      <c r="L32" s="51"/>
      <c r="M32" s="51"/>
      <c r="N32" s="37" t="str">
        <f t="shared" si="22"/>
        <v xml:space="preserve">460-092: ZAYO-ENT-S-1  </v>
      </c>
      <c r="O32" s="26">
        <f t="shared" si="23"/>
        <v>5</v>
      </c>
      <c r="P32" s="26" t="str">
        <f t="shared" si="25"/>
        <v/>
      </c>
      <c r="Q32" s="26">
        <v>150</v>
      </c>
      <c r="R32" s="26">
        <f t="shared" si="2"/>
        <v>0</v>
      </c>
      <c r="S32" s="26">
        <f t="shared" si="3"/>
        <v>0</v>
      </c>
      <c r="T32" s="26">
        <f t="shared" si="4"/>
        <v>0</v>
      </c>
      <c r="U32" s="26" t="str">
        <f t="shared" si="0"/>
        <v/>
      </c>
      <c r="V32" s="26">
        <v>150</v>
      </c>
      <c r="W32" s="26">
        <f t="shared" si="1"/>
        <v>0</v>
      </c>
      <c r="X32" s="26" t="str">
        <f t="shared" si="5"/>
        <v/>
      </c>
      <c r="Y32" s="26">
        <v>36</v>
      </c>
      <c r="Z32" s="26">
        <f t="shared" si="13"/>
        <v>0</v>
      </c>
      <c r="AA32" s="26" t="str">
        <f t="shared" si="6"/>
        <v/>
      </c>
      <c r="AB32" s="26" t="str">
        <f t="shared" si="7"/>
        <v/>
      </c>
      <c r="AC32" s="26" t="str">
        <f t="shared" si="8"/>
        <v/>
      </c>
      <c r="AD32" s="26" t="str">
        <f t="shared" si="9"/>
        <v/>
      </c>
      <c r="AE32" s="26" t="str">
        <f t="shared" si="10"/>
        <v/>
      </c>
      <c r="AF32" s="26" t="str">
        <f t="shared" si="11"/>
        <v/>
      </c>
      <c r="AG32" s="37">
        <f t="shared" si="12"/>
        <v>0</v>
      </c>
      <c r="AH32" s="26">
        <f t="shared" si="14"/>
        <v>0</v>
      </c>
      <c r="AI32" s="26" t="str">
        <f t="shared" si="15"/>
        <v/>
      </c>
      <c r="AJ32" s="26" t="str">
        <f t="shared" si="16"/>
        <v/>
      </c>
      <c r="AK32" s="26">
        <f t="shared" si="17"/>
        <v>6</v>
      </c>
    </row>
    <row r="33" spans="1:37" x14ac:dyDescent="0.2">
      <c r="A33" s="27"/>
      <c r="B33" s="46">
        <f t="shared" si="20"/>
        <v>0</v>
      </c>
      <c r="C33" s="116" t="str">
        <f t="shared" si="18"/>
        <v/>
      </c>
      <c r="D33" s="44" t="str">
        <f t="shared" si="19"/>
        <v/>
      </c>
      <c r="E33" s="45"/>
      <c r="F33" s="29"/>
      <c r="G33" s="31"/>
      <c r="H33" s="51"/>
      <c r="I33" s="51"/>
      <c r="J33" s="300" t="str">
        <f>IF('Cable Info'!C18="","",'Cable Info'!C18)</f>
        <v/>
      </c>
      <c r="K33" s="51"/>
      <c r="L33" s="51"/>
      <c r="M33" s="51"/>
      <c r="N33" s="37" t="str">
        <f t="shared" si="22"/>
        <v xml:space="preserve">  </v>
      </c>
      <c r="O33" s="26">
        <f t="shared" si="23"/>
        <v>6</v>
      </c>
      <c r="P33" s="26" t="str">
        <f t="shared" si="25"/>
        <v/>
      </c>
      <c r="Q33" s="26">
        <v>149</v>
      </c>
      <c r="R33" s="26">
        <f t="shared" si="2"/>
        <v>0</v>
      </c>
      <c r="S33" s="26">
        <f t="shared" si="3"/>
        <v>0</v>
      </c>
      <c r="T33" s="26">
        <f t="shared" si="4"/>
        <v>0</v>
      </c>
      <c r="U33" s="26" t="str">
        <f t="shared" si="0"/>
        <v/>
      </c>
      <c r="V33" s="26">
        <v>150</v>
      </c>
      <c r="W33" s="26">
        <f t="shared" si="1"/>
        <v>0</v>
      </c>
      <c r="X33" s="26" t="str">
        <f t="shared" si="5"/>
        <v/>
      </c>
      <c r="Y33" s="26">
        <v>30</v>
      </c>
      <c r="Z33" s="26">
        <f t="shared" si="13"/>
        <v>0</v>
      </c>
      <c r="AA33" s="26" t="str">
        <f t="shared" si="6"/>
        <v/>
      </c>
      <c r="AB33" s="26" t="str">
        <f t="shared" si="7"/>
        <v/>
      </c>
      <c r="AC33" s="26" t="str">
        <f t="shared" si="8"/>
        <v/>
      </c>
      <c r="AD33" s="26" t="str">
        <f t="shared" si="9"/>
        <v/>
      </c>
      <c r="AE33" s="26" t="str">
        <f t="shared" si="10"/>
        <v/>
      </c>
      <c r="AF33" s="26" t="str">
        <f t="shared" si="11"/>
        <v/>
      </c>
      <c r="AG33" s="37">
        <f t="shared" si="12"/>
        <v>0</v>
      </c>
      <c r="AH33" s="26">
        <f t="shared" si="14"/>
        <v>0</v>
      </c>
      <c r="AI33" s="26" t="str">
        <f t="shared" si="15"/>
        <v/>
      </c>
      <c r="AJ33" s="26" t="str">
        <f t="shared" si="16"/>
        <v/>
      </c>
      <c r="AK33" s="26">
        <f t="shared" si="17"/>
        <v>6</v>
      </c>
    </row>
    <row r="34" spans="1:37" x14ac:dyDescent="0.2">
      <c r="A34" s="27"/>
      <c r="B34" s="46">
        <f t="shared" si="20"/>
        <v>0</v>
      </c>
      <c r="C34" s="116" t="str">
        <f t="shared" si="18"/>
        <v/>
      </c>
      <c r="D34" s="44" t="str">
        <f t="shared" si="19"/>
        <v/>
      </c>
      <c r="E34" s="45"/>
      <c r="F34" s="29"/>
      <c r="G34" s="31"/>
      <c r="H34" s="51"/>
      <c r="I34" s="51"/>
      <c r="J34" s="300" t="str">
        <f>IF('Cable Info'!C25="","",'Cable Info'!C25)</f>
        <v/>
      </c>
      <c r="K34" s="51"/>
      <c r="L34" s="51"/>
      <c r="M34" s="51"/>
      <c r="N34" s="37" t="str">
        <f t="shared" si="22"/>
        <v xml:space="preserve">  </v>
      </c>
      <c r="O34" s="26">
        <f t="shared" si="23"/>
        <v>6</v>
      </c>
      <c r="P34" s="26" t="str">
        <f t="shared" si="25"/>
        <v/>
      </c>
      <c r="Q34" s="26">
        <v>148</v>
      </c>
      <c r="R34" s="26">
        <f t="shared" si="2"/>
        <v>0</v>
      </c>
      <c r="S34" s="26">
        <f t="shared" si="3"/>
        <v>0</v>
      </c>
      <c r="T34" s="26">
        <f t="shared" si="4"/>
        <v>0</v>
      </c>
      <c r="U34" s="26" t="str">
        <f t="shared" si="0"/>
        <v/>
      </c>
      <c r="V34" s="26">
        <v>150</v>
      </c>
      <c r="W34" s="26">
        <f t="shared" ref="W34:W65" si="26">IFERROR(VLOOKUP(Q34,$H$16:$O$38,8,FALSE),0)</f>
        <v>0</v>
      </c>
      <c r="X34" s="26" t="str">
        <f t="shared" si="5"/>
        <v/>
      </c>
      <c r="Y34" s="26">
        <v>24</v>
      </c>
      <c r="Z34" s="26">
        <f t="shared" si="13"/>
        <v>0</v>
      </c>
      <c r="AA34" s="26" t="str">
        <f t="shared" si="6"/>
        <v/>
      </c>
      <c r="AB34" s="26" t="str">
        <f t="shared" si="7"/>
        <v/>
      </c>
      <c r="AC34" s="26" t="str">
        <f t="shared" si="8"/>
        <v/>
      </c>
      <c r="AD34" s="26" t="str">
        <f t="shared" si="9"/>
        <v/>
      </c>
      <c r="AE34" s="26" t="str">
        <f t="shared" si="10"/>
        <v/>
      </c>
      <c r="AF34" s="26" t="str">
        <f t="shared" si="11"/>
        <v/>
      </c>
      <c r="AG34" s="37">
        <f t="shared" si="12"/>
        <v>0</v>
      </c>
      <c r="AH34" s="26">
        <f t="shared" si="14"/>
        <v>0</v>
      </c>
      <c r="AI34" s="26" t="str">
        <f t="shared" si="15"/>
        <v/>
      </c>
      <c r="AJ34" s="26" t="str">
        <f t="shared" si="16"/>
        <v/>
      </c>
      <c r="AK34" s="26">
        <f t="shared" si="17"/>
        <v>6</v>
      </c>
    </row>
    <row r="35" spans="1:37" x14ac:dyDescent="0.2">
      <c r="A35" s="27"/>
      <c r="B35" s="46">
        <f t="shared" si="20"/>
        <v>0</v>
      </c>
      <c r="C35" s="116" t="str">
        <f t="shared" si="18"/>
        <v/>
      </c>
      <c r="D35" s="44" t="str">
        <f t="shared" si="19"/>
        <v/>
      </c>
      <c r="E35" s="45"/>
      <c r="F35" s="29"/>
      <c r="G35" s="31"/>
      <c r="H35" s="51"/>
      <c r="I35" s="51"/>
      <c r="J35" s="300" t="str">
        <f>IF('Cable Info'!C32="","",'Cable Info'!C32)</f>
        <v/>
      </c>
      <c r="K35" s="51"/>
      <c r="L35" s="51"/>
      <c r="M35" s="51"/>
      <c r="N35" s="37" t="str">
        <f t="shared" si="22"/>
        <v xml:space="preserve">  </v>
      </c>
      <c r="O35" s="26">
        <f t="shared" si="23"/>
        <v>6</v>
      </c>
      <c r="P35" s="26" t="str">
        <f t="shared" si="25"/>
        <v/>
      </c>
      <c r="Q35" s="26">
        <v>147</v>
      </c>
      <c r="R35" s="26">
        <f t="shared" si="2"/>
        <v>0</v>
      </c>
      <c r="S35" s="26">
        <f t="shared" si="3"/>
        <v>0</v>
      </c>
      <c r="T35" s="26">
        <f t="shared" si="4"/>
        <v>0</v>
      </c>
      <c r="U35" s="26" t="str">
        <f t="shared" si="0"/>
        <v/>
      </c>
      <c r="V35" s="26">
        <v>150</v>
      </c>
      <c r="W35" s="26">
        <f t="shared" si="26"/>
        <v>0</v>
      </c>
      <c r="X35" s="26" t="str">
        <f t="shared" si="5"/>
        <v/>
      </c>
      <c r="Y35" s="26">
        <v>18</v>
      </c>
      <c r="Z35" s="26">
        <f t="shared" si="13"/>
        <v>0</v>
      </c>
      <c r="AA35" s="26" t="str">
        <f t="shared" si="6"/>
        <v/>
      </c>
      <c r="AB35" s="26" t="str">
        <f t="shared" si="7"/>
        <v/>
      </c>
      <c r="AC35" s="26" t="str">
        <f t="shared" si="8"/>
        <v/>
      </c>
      <c r="AD35" s="26" t="str">
        <f t="shared" si="9"/>
        <v/>
      </c>
      <c r="AE35" s="26" t="str">
        <f t="shared" si="10"/>
        <v/>
      </c>
      <c r="AF35" s="26" t="str">
        <f t="shared" si="11"/>
        <v/>
      </c>
      <c r="AG35" s="37">
        <f t="shared" si="12"/>
        <v>0</v>
      </c>
      <c r="AH35" s="26">
        <f t="shared" si="14"/>
        <v>0</v>
      </c>
      <c r="AI35" s="26" t="str">
        <f t="shared" si="15"/>
        <v/>
      </c>
      <c r="AJ35" s="26" t="str">
        <f t="shared" si="16"/>
        <v/>
      </c>
      <c r="AK35" s="26">
        <f t="shared" si="17"/>
        <v>6</v>
      </c>
    </row>
    <row r="36" spans="1:37" x14ac:dyDescent="0.2">
      <c r="A36" s="27"/>
      <c r="B36" s="46">
        <f t="shared" si="20"/>
        <v>0</v>
      </c>
      <c r="C36" s="116" t="str">
        <f t="shared" si="18"/>
        <v/>
      </c>
      <c r="D36" s="44" t="str">
        <f t="shared" si="19"/>
        <v/>
      </c>
      <c r="E36" s="45"/>
      <c r="F36" s="29"/>
      <c r="G36" s="31"/>
      <c r="H36" s="51"/>
      <c r="I36" s="51"/>
      <c r="J36" s="300" t="str">
        <f>IF('Cable Info'!C39="","",'Cable Info'!C39)</f>
        <v/>
      </c>
      <c r="K36" s="51"/>
      <c r="L36" s="51"/>
      <c r="M36" s="51"/>
      <c r="N36" s="37" t="str">
        <f t="shared" si="22"/>
        <v xml:space="preserve">  </v>
      </c>
      <c r="O36" s="26">
        <f t="shared" si="23"/>
        <v>6</v>
      </c>
      <c r="P36" s="26" t="str">
        <f t="shared" si="25"/>
        <v/>
      </c>
      <c r="Q36" s="26">
        <v>146</v>
      </c>
      <c r="R36" s="26">
        <f t="shared" si="2"/>
        <v>0</v>
      </c>
      <c r="S36" s="26">
        <f t="shared" si="3"/>
        <v>0</v>
      </c>
      <c r="T36" s="26">
        <f t="shared" si="4"/>
        <v>0</v>
      </c>
      <c r="U36" s="26" t="str">
        <f t="shared" si="0"/>
        <v/>
      </c>
      <c r="V36" s="26">
        <v>150</v>
      </c>
      <c r="W36" s="26">
        <f t="shared" si="26"/>
        <v>0</v>
      </c>
      <c r="X36" s="26" t="str">
        <f t="shared" si="5"/>
        <v/>
      </c>
      <c r="Y36" s="26">
        <v>12</v>
      </c>
      <c r="Z36" s="26">
        <f t="shared" si="13"/>
        <v>0</v>
      </c>
      <c r="AA36" s="26" t="str">
        <f t="shared" si="6"/>
        <v/>
      </c>
      <c r="AB36" s="26" t="str">
        <f t="shared" si="7"/>
        <v/>
      </c>
      <c r="AC36" s="26" t="str">
        <f t="shared" si="8"/>
        <v/>
      </c>
      <c r="AD36" s="26" t="str">
        <f t="shared" si="9"/>
        <v/>
      </c>
      <c r="AE36" s="26" t="str">
        <f t="shared" si="10"/>
        <v/>
      </c>
      <c r="AF36" s="26" t="str">
        <f t="shared" si="11"/>
        <v/>
      </c>
      <c r="AG36" s="37">
        <f t="shared" si="12"/>
        <v>0</v>
      </c>
      <c r="AH36" s="26">
        <f t="shared" si="14"/>
        <v>0</v>
      </c>
      <c r="AI36" s="26" t="str">
        <f t="shared" si="15"/>
        <v/>
      </c>
      <c r="AJ36" s="26" t="str">
        <f t="shared" si="16"/>
        <v/>
      </c>
      <c r="AK36" s="26">
        <f t="shared" si="17"/>
        <v>6</v>
      </c>
    </row>
    <row r="37" spans="1:37" x14ac:dyDescent="0.2">
      <c r="A37" s="27"/>
      <c r="B37" s="46">
        <f t="shared" si="20"/>
        <v>0</v>
      </c>
      <c r="C37" s="116" t="str">
        <f t="shared" si="18"/>
        <v/>
      </c>
      <c r="D37" s="44" t="str">
        <f t="shared" si="19"/>
        <v/>
      </c>
      <c r="E37" s="45"/>
      <c r="F37" s="29"/>
      <c r="G37" s="31"/>
      <c r="H37" s="51"/>
      <c r="I37" s="51"/>
      <c r="J37" s="300" t="str">
        <f>IF('Cable Info'!C46="","",'Cable Info'!C46)</f>
        <v/>
      </c>
      <c r="K37" s="51"/>
      <c r="L37" s="51"/>
      <c r="M37" s="51"/>
      <c r="N37" s="37" t="str">
        <f t="shared" si="22"/>
        <v xml:space="preserve">  </v>
      </c>
      <c r="O37" s="26">
        <f t="shared" si="23"/>
        <v>6</v>
      </c>
      <c r="P37" s="26" t="str">
        <f t="shared" si="25"/>
        <v/>
      </c>
      <c r="Q37" s="26">
        <v>145</v>
      </c>
      <c r="R37" s="26">
        <f t="shared" si="2"/>
        <v>0</v>
      </c>
      <c r="S37" s="26">
        <f t="shared" si="3"/>
        <v>0</v>
      </c>
      <c r="T37" s="26">
        <f t="shared" si="4"/>
        <v>0</v>
      </c>
      <c r="U37" s="26" t="str">
        <f t="shared" si="0"/>
        <v/>
      </c>
      <c r="V37" s="26">
        <v>150</v>
      </c>
      <c r="W37" s="26">
        <f t="shared" si="26"/>
        <v>0</v>
      </c>
      <c r="X37" s="26" t="str">
        <f t="shared" si="5"/>
        <v/>
      </c>
      <c r="Y37" s="26">
        <v>6</v>
      </c>
      <c r="Z37" s="26">
        <f t="shared" si="13"/>
        <v>0</v>
      </c>
      <c r="AA37" s="26" t="str">
        <f t="shared" si="6"/>
        <v/>
      </c>
      <c r="AB37" s="26" t="str">
        <f t="shared" si="7"/>
        <v/>
      </c>
      <c r="AC37" s="26" t="str">
        <f t="shared" si="8"/>
        <v/>
      </c>
      <c r="AD37" s="26" t="str">
        <f t="shared" si="9"/>
        <v/>
      </c>
      <c r="AE37" s="26" t="str">
        <f t="shared" si="10"/>
        <v/>
      </c>
      <c r="AF37" s="26" t="str">
        <f t="shared" si="11"/>
        <v/>
      </c>
      <c r="AG37" s="37">
        <f t="shared" si="12"/>
        <v>0</v>
      </c>
      <c r="AH37" s="26">
        <f t="shared" si="14"/>
        <v>0</v>
      </c>
      <c r="AI37" s="26" t="str">
        <f t="shared" si="15"/>
        <v/>
      </c>
      <c r="AJ37" s="26" t="str">
        <f t="shared" si="16"/>
        <v/>
      </c>
      <c r="AK37" s="26">
        <f t="shared" si="17"/>
        <v>6</v>
      </c>
    </row>
    <row r="38" spans="1:37" ht="13.5" thickBot="1" x14ac:dyDescent="0.25">
      <c r="A38" s="27"/>
      <c r="B38" s="52" t="s">
        <v>12</v>
      </c>
      <c r="C38" s="53"/>
      <c r="D38" s="53"/>
      <c r="E38" s="54"/>
      <c r="F38" s="29"/>
      <c r="G38" s="31"/>
      <c r="H38" s="51"/>
      <c r="I38" s="51"/>
      <c r="J38" s="300" t="str">
        <f>IF('Cable Info (2)'!C11="","",'Cable Info (2)'!C11)</f>
        <v/>
      </c>
      <c r="K38" s="51"/>
      <c r="L38" s="51"/>
      <c r="M38" s="51"/>
      <c r="N38" s="37" t="str">
        <f t="shared" si="22"/>
        <v xml:space="preserve">  </v>
      </c>
      <c r="O38" s="26">
        <f t="shared" si="23"/>
        <v>6</v>
      </c>
      <c r="P38" s="26" t="str">
        <f t="shared" si="25"/>
        <v/>
      </c>
      <c r="Q38" s="26">
        <v>144</v>
      </c>
      <c r="R38" s="26">
        <f t="shared" si="2"/>
        <v>0</v>
      </c>
      <c r="S38" s="26">
        <f t="shared" si="3"/>
        <v>0</v>
      </c>
      <c r="T38" s="26">
        <f t="shared" si="4"/>
        <v>0</v>
      </c>
      <c r="U38" s="26" t="str">
        <f t="shared" si="0"/>
        <v/>
      </c>
      <c r="V38" s="26">
        <v>144</v>
      </c>
      <c r="W38" s="26">
        <f t="shared" si="26"/>
        <v>0</v>
      </c>
      <c r="X38" s="26" t="str">
        <f t="shared" si="5"/>
        <v/>
      </c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ht="13.5" thickBot="1" x14ac:dyDescent="0.25">
      <c r="A39" s="27"/>
      <c r="B39" s="28" t="s">
        <v>12</v>
      </c>
      <c r="C39" s="28"/>
      <c r="D39" s="28"/>
      <c r="E39" s="28"/>
      <c r="F39" s="29"/>
      <c r="G39" s="31"/>
      <c r="H39" s="51"/>
      <c r="I39" s="51"/>
      <c r="J39" s="300" t="str">
        <f>IF('Cable Info (2)'!C18="","",'Cable Info (2)'!C18)</f>
        <v/>
      </c>
      <c r="K39" s="51"/>
      <c r="L39" s="51"/>
      <c r="M39" s="51"/>
      <c r="N39" s="37"/>
      <c r="O39" s="26"/>
      <c r="P39" s="26"/>
      <c r="Q39" s="26">
        <v>143</v>
      </c>
      <c r="R39" s="26">
        <f t="shared" si="2"/>
        <v>0</v>
      </c>
      <c r="S39" s="26">
        <f t="shared" si="3"/>
        <v>0</v>
      </c>
      <c r="T39" s="26">
        <f t="shared" si="4"/>
        <v>0</v>
      </c>
      <c r="U39" s="26" t="str">
        <f t="shared" si="0"/>
        <v/>
      </c>
      <c r="V39" s="26">
        <v>144</v>
      </c>
      <c r="W39" s="26">
        <f t="shared" si="26"/>
        <v>0</v>
      </c>
      <c r="X39" s="26" t="str">
        <f t="shared" si="5"/>
        <v/>
      </c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ht="13.5" thickTop="1" x14ac:dyDescent="0.2">
      <c r="A40" s="27"/>
      <c r="B40" s="55" t="s">
        <v>136</v>
      </c>
      <c r="C40" s="55" t="s">
        <v>0</v>
      </c>
      <c r="D40" s="55" t="s">
        <v>137</v>
      </c>
      <c r="E40" s="55" t="s">
        <v>148</v>
      </c>
      <c r="F40" s="29"/>
      <c r="G40" s="31"/>
      <c r="H40" s="56"/>
      <c r="I40" s="51"/>
      <c r="J40" s="300" t="str">
        <f>IF('Cable Info (2)'!C25="","",'Cable Info (2)'!C25)</f>
        <v/>
      </c>
      <c r="K40" s="51"/>
      <c r="L40" s="51"/>
      <c r="M40" s="51"/>
      <c r="N40" s="37"/>
      <c r="O40" s="26"/>
      <c r="P40" s="26"/>
      <c r="Q40" s="26">
        <v>142</v>
      </c>
      <c r="R40" s="26">
        <f t="shared" si="2"/>
        <v>0</v>
      </c>
      <c r="S40" s="26">
        <f t="shared" si="3"/>
        <v>0</v>
      </c>
      <c r="T40" s="26">
        <f t="shared" si="4"/>
        <v>0</v>
      </c>
      <c r="U40" s="26" t="str">
        <f t="shared" si="0"/>
        <v/>
      </c>
      <c r="V40" s="26">
        <v>144</v>
      </c>
      <c r="W40" s="26">
        <f t="shared" si="26"/>
        <v>0</v>
      </c>
      <c r="X40" s="26" t="str">
        <f t="shared" si="5"/>
        <v/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ht="12.75" customHeight="1" x14ac:dyDescent="0.2">
      <c r="A41" s="27"/>
      <c r="B41" s="493" t="s">
        <v>152</v>
      </c>
      <c r="C41" s="493" t="s">
        <v>153</v>
      </c>
      <c r="D41" s="493">
        <v>1</v>
      </c>
      <c r="E41" s="493"/>
      <c r="F41" s="29"/>
      <c r="G41" s="31"/>
      <c r="H41" s="298"/>
      <c r="I41" s="299"/>
      <c r="J41" s="301" t="str">
        <f>IF('Cable Info (2)'!C32="","",'Cable Info (2)'!C32)</f>
        <v/>
      </c>
      <c r="K41" s="299"/>
      <c r="L41" s="57"/>
      <c r="M41" s="51"/>
      <c r="N41" s="37"/>
      <c r="O41" s="26"/>
      <c r="P41" s="26"/>
      <c r="Q41" s="26">
        <v>141</v>
      </c>
      <c r="R41" s="26">
        <f t="shared" si="2"/>
        <v>0</v>
      </c>
      <c r="S41" s="26">
        <f t="shared" si="3"/>
        <v>0</v>
      </c>
      <c r="T41" s="26">
        <f t="shared" si="4"/>
        <v>0</v>
      </c>
      <c r="U41" s="26" t="str">
        <f t="shared" si="0"/>
        <v/>
      </c>
      <c r="V41" s="26">
        <v>144</v>
      </c>
      <c r="W41" s="26">
        <f t="shared" si="26"/>
        <v>0</v>
      </c>
      <c r="X41" s="26" t="str">
        <f t="shared" si="5"/>
        <v/>
      </c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ht="13.5" thickBot="1" x14ac:dyDescent="0.25">
      <c r="A42" s="27"/>
      <c r="B42" s="494"/>
      <c r="C42" s="494"/>
      <c r="D42" s="494"/>
      <c r="E42" s="495"/>
      <c r="F42" s="29"/>
      <c r="G42" s="31"/>
      <c r="H42" s="299"/>
      <c r="I42" s="299"/>
      <c r="J42" s="301" t="str">
        <f>IF('Cable Info (2)'!C39="","",'Cable Info (2)'!C39)</f>
        <v/>
      </c>
      <c r="K42" s="299"/>
      <c r="L42" s="57"/>
      <c r="M42" s="51"/>
      <c r="N42" s="37"/>
      <c r="O42" s="26"/>
      <c r="P42" s="26"/>
      <c r="Q42" s="26">
        <v>140</v>
      </c>
      <c r="R42" s="26">
        <f t="shared" si="2"/>
        <v>0</v>
      </c>
      <c r="S42" s="26">
        <f t="shared" si="3"/>
        <v>0</v>
      </c>
      <c r="T42" s="26">
        <f t="shared" si="4"/>
        <v>0</v>
      </c>
      <c r="U42" s="26" t="str">
        <f t="shared" si="0"/>
        <v/>
      </c>
      <c r="V42" s="26">
        <v>144</v>
      </c>
      <c r="W42" s="26">
        <f t="shared" si="26"/>
        <v>0</v>
      </c>
      <c r="X42" s="26" t="str">
        <f t="shared" si="5"/>
        <v/>
      </c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</row>
    <row r="43" spans="1:37" ht="13.5" thickTop="1" x14ac:dyDescent="0.2">
      <c r="A43" s="27"/>
      <c r="B43" s="58" t="s">
        <v>31</v>
      </c>
      <c r="C43" s="59"/>
      <c r="D43" s="297" t="s">
        <v>138</v>
      </c>
      <c r="E43" s="296" t="str">
        <f>IF(F11=1,"Wall Direction","Rack \ Enclosure")</f>
        <v>Rack \ Enclosure</v>
      </c>
      <c r="F43" s="29"/>
      <c r="G43" s="31"/>
      <c r="H43" s="51"/>
      <c r="I43" s="51"/>
      <c r="J43" s="300" t="str">
        <f>IF('Cable Info (2)'!C46="","",'Cable Info (2)'!C46)</f>
        <v/>
      </c>
      <c r="K43" s="51"/>
      <c r="L43" s="51"/>
      <c r="M43" s="51"/>
      <c r="N43" s="37"/>
      <c r="O43" s="26"/>
      <c r="P43" s="26"/>
      <c r="Q43" s="26">
        <v>139</v>
      </c>
      <c r="R43" s="26">
        <f t="shared" si="2"/>
        <v>0</v>
      </c>
      <c r="S43" s="26">
        <f t="shared" si="3"/>
        <v>0</v>
      </c>
      <c r="T43" s="26">
        <f t="shared" si="4"/>
        <v>0</v>
      </c>
      <c r="U43" s="26" t="str">
        <f t="shared" si="0"/>
        <v/>
      </c>
      <c r="V43" s="26">
        <v>144</v>
      </c>
      <c r="W43" s="26">
        <f t="shared" si="26"/>
        <v>0</v>
      </c>
      <c r="X43" s="26" t="str">
        <f t="shared" si="5"/>
        <v/>
      </c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 x14ac:dyDescent="0.2">
      <c r="A44" s="60">
        <f>LEN(B44)</f>
        <v>0</v>
      </c>
      <c r="B44" s="498"/>
      <c r="C44" s="499"/>
      <c r="D44" s="478"/>
      <c r="E44" s="476" t="s">
        <v>154</v>
      </c>
      <c r="F44" s="29"/>
      <c r="G44" s="31"/>
      <c r="H44" s="51"/>
      <c r="I44" s="51"/>
      <c r="J44" s="300"/>
      <c r="K44" s="51"/>
      <c r="L44" s="51"/>
      <c r="M44" s="51"/>
      <c r="N44" s="37"/>
      <c r="O44" s="26"/>
      <c r="P44" s="26"/>
      <c r="Q44" s="26">
        <v>138</v>
      </c>
      <c r="R44" s="26">
        <f t="shared" si="2"/>
        <v>0</v>
      </c>
      <c r="S44" s="26">
        <f t="shared" si="3"/>
        <v>0</v>
      </c>
      <c r="T44" s="26">
        <f t="shared" si="4"/>
        <v>0</v>
      </c>
      <c r="U44" s="26" t="str">
        <f t="shared" si="0"/>
        <v/>
      </c>
      <c r="V44" s="26">
        <v>138</v>
      </c>
      <c r="W44" s="26">
        <f t="shared" si="26"/>
        <v>0</v>
      </c>
      <c r="X44" s="26" t="str">
        <f t="shared" si="5"/>
        <v/>
      </c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</row>
    <row r="45" spans="1:37" ht="13.5" thickBot="1" x14ac:dyDescent="0.25">
      <c r="A45" s="27"/>
      <c r="B45" s="500"/>
      <c r="C45" s="501"/>
      <c r="D45" s="479"/>
      <c r="E45" s="477"/>
      <c r="F45" s="29"/>
      <c r="G45" s="31"/>
      <c r="H45" s="61"/>
      <c r="I45" s="61"/>
      <c r="J45" s="302"/>
      <c r="K45" s="61"/>
      <c r="L45" s="25"/>
      <c r="M45" s="25"/>
      <c r="N45" s="37"/>
      <c r="O45" s="26"/>
      <c r="P45" s="26"/>
      <c r="Q45" s="26">
        <v>137</v>
      </c>
      <c r="R45" s="26">
        <f t="shared" si="2"/>
        <v>0</v>
      </c>
      <c r="S45" s="26">
        <f t="shared" si="3"/>
        <v>0</v>
      </c>
      <c r="T45" s="26">
        <f t="shared" si="4"/>
        <v>0</v>
      </c>
      <c r="U45" s="26" t="str">
        <f t="shared" si="0"/>
        <v/>
      </c>
      <c r="V45" s="26">
        <v>138</v>
      </c>
      <c r="W45" s="26">
        <f t="shared" si="26"/>
        <v>0</v>
      </c>
      <c r="X45" s="26" t="str">
        <f t="shared" si="5"/>
        <v/>
      </c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</row>
    <row r="46" spans="1:37" ht="13.5" thickTop="1" x14ac:dyDescent="0.2">
      <c r="A46" s="27"/>
      <c r="B46" s="58" t="s">
        <v>1</v>
      </c>
      <c r="C46" s="62"/>
      <c r="D46" s="58" t="s">
        <v>83</v>
      </c>
      <c r="E46" s="62"/>
      <c r="F46" s="29"/>
      <c r="G46" s="31"/>
      <c r="H46" s="63"/>
      <c r="I46" s="61"/>
      <c r="J46" s="302"/>
      <c r="K46" s="61"/>
      <c r="L46" s="25"/>
      <c r="M46" s="25"/>
      <c r="N46" s="37"/>
      <c r="O46" s="26"/>
      <c r="P46" s="26"/>
      <c r="Q46" s="26">
        <v>136</v>
      </c>
      <c r="R46" s="26">
        <f t="shared" si="2"/>
        <v>0</v>
      </c>
      <c r="S46" s="26">
        <f t="shared" si="3"/>
        <v>0</v>
      </c>
      <c r="T46" s="26">
        <f t="shared" si="4"/>
        <v>0</v>
      </c>
      <c r="U46" s="26" t="str">
        <f t="shared" si="0"/>
        <v/>
      </c>
      <c r="V46" s="26">
        <v>138</v>
      </c>
      <c r="W46" s="26">
        <f t="shared" si="26"/>
        <v>0</v>
      </c>
      <c r="X46" s="26" t="str">
        <f t="shared" si="5"/>
        <v/>
      </c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 x14ac:dyDescent="0.2">
      <c r="A47" s="27"/>
      <c r="B47" s="498"/>
      <c r="C47" s="499"/>
      <c r="D47" s="502" t="str">
        <f>CONCATENATE('Cable Info'!C11,"  ",'Cable Info'!C18,"   ",'Cable Info'!C25,"  ",'Cable Info'!C32,"   ",'Cable Info'!C39,"   ",'Cable Info'!C46)</f>
        <v xml:space="preserve">460-092: ZAYO-ENT-S-1             </v>
      </c>
      <c r="E47" s="503"/>
      <c r="F47" s="29"/>
      <c r="G47" s="31"/>
      <c r="H47" s="25"/>
      <c r="I47" s="25"/>
      <c r="J47" s="78"/>
      <c r="K47" s="25"/>
      <c r="L47" s="25"/>
      <c r="M47" s="25"/>
      <c r="N47" s="37"/>
      <c r="O47" s="26"/>
      <c r="P47" s="26"/>
      <c r="Q47" s="26">
        <v>135</v>
      </c>
      <c r="R47" s="26">
        <f t="shared" si="2"/>
        <v>0</v>
      </c>
      <c r="S47" s="26">
        <f t="shared" si="3"/>
        <v>0</v>
      </c>
      <c r="T47" s="26">
        <f t="shared" si="4"/>
        <v>0</v>
      </c>
      <c r="U47" s="26" t="str">
        <f t="shared" si="0"/>
        <v/>
      </c>
      <c r="V47" s="26">
        <v>138</v>
      </c>
      <c r="W47" s="26">
        <f t="shared" si="26"/>
        <v>0</v>
      </c>
      <c r="X47" s="26" t="str">
        <f t="shared" si="5"/>
        <v/>
      </c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</row>
    <row r="48" spans="1:37" ht="13.5" thickBot="1" x14ac:dyDescent="0.25">
      <c r="A48" s="27"/>
      <c r="B48" s="500"/>
      <c r="C48" s="501"/>
      <c r="D48" s="504"/>
      <c r="E48" s="505"/>
      <c r="F48" s="29"/>
      <c r="G48" s="31"/>
      <c r="H48" s="25"/>
      <c r="I48" s="25"/>
      <c r="J48" s="78"/>
      <c r="K48" s="25"/>
      <c r="L48" s="25"/>
      <c r="M48" s="25"/>
      <c r="N48" s="37"/>
      <c r="O48" s="26"/>
      <c r="P48" s="26"/>
      <c r="Q48" s="26">
        <v>134</v>
      </c>
      <c r="R48" s="26">
        <f t="shared" si="2"/>
        <v>0</v>
      </c>
      <c r="S48" s="26">
        <f t="shared" si="3"/>
        <v>0</v>
      </c>
      <c r="T48" s="26">
        <f t="shared" si="4"/>
        <v>0</v>
      </c>
      <c r="U48" s="26" t="str">
        <f t="shared" si="0"/>
        <v/>
      </c>
      <c r="V48" s="26">
        <v>138</v>
      </c>
      <c r="W48" s="26">
        <f t="shared" si="26"/>
        <v>0</v>
      </c>
      <c r="X48" s="26" t="str">
        <f t="shared" si="5"/>
        <v/>
      </c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</row>
    <row r="49" spans="1:49" ht="13.5" thickTop="1" x14ac:dyDescent="0.2">
      <c r="A49" s="27"/>
      <c r="B49" s="64" t="s">
        <v>135</v>
      </c>
      <c r="C49" s="64" t="s">
        <v>134</v>
      </c>
      <c r="D49" s="64" t="s">
        <v>15</v>
      </c>
      <c r="E49" s="64" t="s">
        <v>9</v>
      </c>
      <c r="F49" s="29"/>
      <c r="G49" s="31"/>
      <c r="H49" s="25"/>
      <c r="I49" s="25"/>
      <c r="J49" s="25"/>
      <c r="K49" s="25"/>
      <c r="L49" s="25"/>
      <c r="M49" s="25"/>
      <c r="N49" s="37"/>
      <c r="O49" s="26"/>
      <c r="P49" s="26"/>
      <c r="Q49" s="26">
        <v>133</v>
      </c>
      <c r="R49" s="26">
        <f t="shared" si="2"/>
        <v>0</v>
      </c>
      <c r="S49" s="26">
        <f t="shared" si="3"/>
        <v>0</v>
      </c>
      <c r="T49" s="26">
        <f t="shared" si="4"/>
        <v>0</v>
      </c>
      <c r="U49" s="26" t="str">
        <f t="shared" si="0"/>
        <v/>
      </c>
      <c r="V49" s="26">
        <v>138</v>
      </c>
      <c r="W49" s="26">
        <f t="shared" si="26"/>
        <v>0</v>
      </c>
      <c r="X49" s="26" t="str">
        <f t="shared" si="5"/>
        <v/>
      </c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49" x14ac:dyDescent="0.2">
      <c r="A50" s="27"/>
      <c r="B50" s="506"/>
      <c r="C50" s="508"/>
      <c r="D50" s="510"/>
      <c r="E50" s="511" t="str">
        <f>J10</f>
        <v>1.0</v>
      </c>
      <c r="F50" s="29"/>
      <c r="G50" s="31"/>
      <c r="H50" s="25"/>
      <c r="I50" s="25"/>
      <c r="J50" s="25"/>
      <c r="K50" s="25"/>
      <c r="L50" s="25"/>
      <c r="M50" s="25"/>
      <c r="N50" s="37"/>
      <c r="O50" s="26"/>
      <c r="P50" s="26"/>
      <c r="Q50" s="26">
        <v>132</v>
      </c>
      <c r="R50" s="26">
        <f t="shared" si="2"/>
        <v>0</v>
      </c>
      <c r="S50" s="26">
        <f t="shared" si="3"/>
        <v>0</v>
      </c>
      <c r="T50" s="26">
        <f t="shared" si="4"/>
        <v>0</v>
      </c>
      <c r="U50" s="26" t="str">
        <f t="shared" si="0"/>
        <v/>
      </c>
      <c r="V50" s="26">
        <v>132</v>
      </c>
      <c r="W50" s="26">
        <f t="shared" si="26"/>
        <v>0</v>
      </c>
      <c r="X50" s="26" t="str">
        <f t="shared" si="5"/>
        <v/>
      </c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</row>
    <row r="51" spans="1:49" ht="13.5" thickBot="1" x14ac:dyDescent="0.25">
      <c r="A51" s="27"/>
      <c r="B51" s="507"/>
      <c r="C51" s="509"/>
      <c r="D51" s="507"/>
      <c r="E51" s="512"/>
      <c r="F51" s="29"/>
      <c r="G51" s="31"/>
      <c r="H51" s="65"/>
      <c r="I51" s="25"/>
      <c r="J51" s="25"/>
      <c r="K51" s="25"/>
      <c r="L51" s="25"/>
      <c r="M51" s="25"/>
      <c r="N51" s="37"/>
      <c r="O51" s="26"/>
      <c r="P51" s="26"/>
      <c r="Q51" s="26">
        <v>131</v>
      </c>
      <c r="R51" s="26">
        <f t="shared" si="2"/>
        <v>0</v>
      </c>
      <c r="S51" s="26">
        <f t="shared" si="3"/>
        <v>0</v>
      </c>
      <c r="T51" s="26">
        <f t="shared" si="4"/>
        <v>0</v>
      </c>
      <c r="U51" s="26" t="str">
        <f t="shared" si="0"/>
        <v/>
      </c>
      <c r="V51" s="26">
        <v>132</v>
      </c>
      <c r="W51" s="26">
        <f t="shared" si="26"/>
        <v>0</v>
      </c>
      <c r="X51" s="26" t="str">
        <f t="shared" si="5"/>
        <v/>
      </c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</row>
    <row r="52" spans="1:49" ht="14.25" thickTop="1" thickBot="1" x14ac:dyDescent="0.25">
      <c r="A52" s="27"/>
      <c r="B52" s="496" t="str">
        <f>IF(C54=1,IF(B57=FALSE,"FLOOR SUMMARY NEEDED!","FLOOR SUMMARY"),"")</f>
        <v/>
      </c>
      <c r="C52" s="497"/>
      <c r="D52" s="117" t="s">
        <v>8</v>
      </c>
      <c r="E52" s="59"/>
      <c r="F52" s="29"/>
      <c r="G52" s="31"/>
      <c r="H52" s="25"/>
      <c r="I52" s="66"/>
      <c r="J52" s="25"/>
      <c r="K52" s="25"/>
      <c r="L52" s="25"/>
      <c r="M52" s="25"/>
      <c r="N52" s="37"/>
      <c r="O52" s="26"/>
      <c r="P52" s="26"/>
      <c r="Q52" s="26">
        <v>130</v>
      </c>
      <c r="R52" s="26">
        <f t="shared" si="2"/>
        <v>0</v>
      </c>
      <c r="S52" s="26">
        <f t="shared" si="3"/>
        <v>0</v>
      </c>
      <c r="T52" s="26">
        <f t="shared" si="4"/>
        <v>0</v>
      </c>
      <c r="U52" s="26" t="str">
        <f t="shared" si="0"/>
        <v/>
      </c>
      <c r="V52" s="26">
        <v>132</v>
      </c>
      <c r="W52" s="26">
        <f t="shared" si="26"/>
        <v>0</v>
      </c>
      <c r="X52" s="26" t="str">
        <f t="shared" si="5"/>
        <v/>
      </c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</row>
    <row r="53" spans="1:49" ht="13.5" customHeight="1" thickTop="1" thickBot="1" x14ac:dyDescent="0.25">
      <c r="A53" s="27"/>
      <c r="B53" s="67" t="s">
        <v>22</v>
      </c>
      <c r="C53" s="68" t="s">
        <v>29</v>
      </c>
      <c r="D53" s="484" t="str">
        <f>J8</f>
        <v>101536</v>
      </c>
      <c r="E53" s="485"/>
      <c r="F53" s="29"/>
      <c r="G53" s="31"/>
      <c r="H53" s="25"/>
      <c r="I53" s="25"/>
      <c r="J53" s="25"/>
      <c r="K53" s="25"/>
      <c r="L53" s="25"/>
      <c r="M53" s="25"/>
      <c r="N53" s="37"/>
      <c r="O53" s="26"/>
      <c r="P53" s="26"/>
      <c r="Q53" s="26">
        <v>129</v>
      </c>
      <c r="R53" s="26">
        <f t="shared" si="2"/>
        <v>0</v>
      </c>
      <c r="S53" s="26">
        <f t="shared" si="3"/>
        <v>0</v>
      </c>
      <c r="T53" s="26">
        <f t="shared" si="4"/>
        <v>0</v>
      </c>
      <c r="U53" s="26" t="str">
        <f t="shared" si="0"/>
        <v/>
      </c>
      <c r="V53" s="26">
        <v>132</v>
      </c>
      <c r="W53" s="26">
        <f t="shared" si="26"/>
        <v>0</v>
      </c>
      <c r="X53" s="26" t="str">
        <f t="shared" si="5"/>
        <v/>
      </c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</row>
    <row r="54" spans="1:49" ht="13.5" customHeight="1" thickTop="1" x14ac:dyDescent="0.2">
      <c r="A54" s="27"/>
      <c r="B54" s="513"/>
      <c r="C54" s="81">
        <v>0</v>
      </c>
      <c r="D54" s="484"/>
      <c r="E54" s="485"/>
      <c r="F54" s="29"/>
      <c r="G54" s="31"/>
      <c r="H54" s="25"/>
      <c r="I54" s="25"/>
      <c r="J54" s="25"/>
      <c r="K54" s="25"/>
      <c r="L54" s="25"/>
      <c r="M54" s="25"/>
      <c r="N54" s="37"/>
      <c r="O54" s="26"/>
      <c r="P54" s="26"/>
      <c r="Q54" s="26">
        <v>128</v>
      </c>
      <c r="R54" s="26">
        <f t="shared" si="2"/>
        <v>0</v>
      </c>
      <c r="S54" s="26">
        <f t="shared" si="3"/>
        <v>0</v>
      </c>
      <c r="T54" s="26">
        <f t="shared" si="4"/>
        <v>0</v>
      </c>
      <c r="U54" s="26" t="str">
        <f t="shared" si="0"/>
        <v/>
      </c>
      <c r="V54" s="26">
        <v>132</v>
      </c>
      <c r="W54" s="26">
        <f t="shared" si="26"/>
        <v>0</v>
      </c>
      <c r="X54" s="26" t="str">
        <f t="shared" si="5"/>
        <v/>
      </c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49" ht="13.5" customHeight="1" thickBot="1" x14ac:dyDescent="0.25">
      <c r="A55" s="27"/>
      <c r="B55" s="513"/>
      <c r="C55" s="82"/>
      <c r="D55" s="484"/>
      <c r="E55" s="485"/>
      <c r="F55" s="29"/>
      <c r="G55" s="31"/>
      <c r="H55" s="25"/>
      <c r="I55" s="25"/>
      <c r="J55" s="25"/>
      <c r="K55" s="25"/>
      <c r="L55" s="25"/>
      <c r="M55" s="25"/>
      <c r="N55" s="37"/>
      <c r="O55" s="26"/>
      <c r="P55" s="26"/>
      <c r="Q55" s="26">
        <v>127</v>
      </c>
      <c r="R55" s="26">
        <f t="shared" si="2"/>
        <v>0</v>
      </c>
      <c r="S55" s="26">
        <f t="shared" si="3"/>
        <v>0</v>
      </c>
      <c r="T55" s="26">
        <f t="shared" si="4"/>
        <v>0</v>
      </c>
      <c r="U55" s="26" t="str">
        <f t="shared" si="0"/>
        <v/>
      </c>
      <c r="V55" s="26">
        <v>132</v>
      </c>
      <c r="W55" s="26">
        <f t="shared" si="26"/>
        <v>0</v>
      </c>
      <c r="X55" s="26" t="str">
        <f t="shared" si="5"/>
        <v/>
      </c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49" ht="13.5" customHeight="1" thickTop="1" x14ac:dyDescent="0.2">
      <c r="A56" s="27"/>
      <c r="B56" s="472" t="s">
        <v>32</v>
      </c>
      <c r="C56" s="204">
        <f>IF(C64=FALSE,IF(C65=FALSE,1,0),0)</f>
        <v>1</v>
      </c>
      <c r="D56" s="484"/>
      <c r="E56" s="485"/>
      <c r="F56" s="29"/>
      <c r="G56" s="31"/>
      <c r="H56" s="25"/>
      <c r="I56" s="25"/>
      <c r="J56" s="25"/>
      <c r="K56" s="25"/>
      <c r="L56" s="25"/>
      <c r="M56" s="25"/>
      <c r="N56" s="37"/>
      <c r="O56" s="26"/>
      <c r="P56" s="26"/>
      <c r="Q56" s="26">
        <v>126</v>
      </c>
      <c r="R56" s="26">
        <f t="shared" si="2"/>
        <v>0</v>
      </c>
      <c r="S56" s="26">
        <f t="shared" si="3"/>
        <v>0</v>
      </c>
      <c r="T56" s="26">
        <f t="shared" si="4"/>
        <v>0</v>
      </c>
      <c r="U56" s="26" t="str">
        <f t="shared" si="0"/>
        <v/>
      </c>
      <c r="V56" s="26">
        <v>126</v>
      </c>
      <c r="W56" s="26">
        <f t="shared" si="26"/>
        <v>0</v>
      </c>
      <c r="X56" s="26" t="str">
        <f t="shared" si="5"/>
        <v/>
      </c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49" ht="13.5" customHeight="1" thickBot="1" x14ac:dyDescent="0.25">
      <c r="A57" s="27"/>
      <c r="B57" s="69" t="str">
        <f>IF(D41="","",IF(C54=1,IF(C63="",FALSE,IF(C64=TRUE,CONCATENATE("B","0",C66*(-1)),IF(C65=TRUE,IF(LEFT(C66,1)="-",CONCATENATE("PB",C67),CONCATENATE("P",C66))))),IF(LEN(D41)=1,CONCATENATE("00",D41),IF(LEN(D41)=2,CONCATENATE("0",D41),D41))))</f>
        <v>001</v>
      </c>
      <c r="C57" s="473"/>
      <c r="D57" s="486"/>
      <c r="E57" s="487"/>
      <c r="F57" s="29"/>
      <c r="G57" s="31"/>
      <c r="H57" s="25"/>
      <c r="I57" s="25"/>
      <c r="J57" s="25"/>
      <c r="K57" s="25"/>
      <c r="L57" s="25"/>
      <c r="M57" s="25"/>
      <c r="N57" s="37"/>
      <c r="O57" s="26"/>
      <c r="P57" s="26"/>
      <c r="Q57" s="26">
        <v>125</v>
      </c>
      <c r="R57" s="26">
        <f t="shared" si="2"/>
        <v>0</v>
      </c>
      <c r="S57" s="26">
        <f t="shared" si="3"/>
        <v>0</v>
      </c>
      <c r="T57" s="26">
        <f t="shared" si="4"/>
        <v>0</v>
      </c>
      <c r="U57" s="26" t="str">
        <f t="shared" si="0"/>
        <v/>
      </c>
      <c r="V57" s="26">
        <v>126</v>
      </c>
      <c r="W57" s="26">
        <f t="shared" si="26"/>
        <v>0</v>
      </c>
      <c r="X57" s="26" t="str">
        <f t="shared" si="5"/>
        <v/>
      </c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</row>
    <row r="58" spans="1:49" ht="13.5" customHeight="1" thickTop="1" x14ac:dyDescent="0.2">
      <c r="A58" s="27"/>
      <c r="B58" s="70"/>
      <c r="C58" s="71"/>
      <c r="D58" s="72"/>
      <c r="E58" s="72"/>
      <c r="F58" s="29"/>
      <c r="G58" s="31"/>
      <c r="H58" s="25"/>
      <c r="I58" s="25"/>
      <c r="J58" s="25"/>
      <c r="K58" s="25"/>
      <c r="L58" s="25"/>
      <c r="M58" s="25"/>
      <c r="N58" s="37"/>
      <c r="O58" s="26"/>
      <c r="P58" s="26"/>
      <c r="Q58" s="26">
        <v>124</v>
      </c>
      <c r="R58" s="26">
        <f t="shared" si="2"/>
        <v>0</v>
      </c>
      <c r="S58" s="26">
        <f t="shared" si="3"/>
        <v>0</v>
      </c>
      <c r="T58" s="26">
        <f t="shared" si="4"/>
        <v>0</v>
      </c>
      <c r="U58" s="26" t="str">
        <f t="shared" si="0"/>
        <v/>
      </c>
      <c r="V58" s="26">
        <v>126</v>
      </c>
      <c r="W58" s="26">
        <f t="shared" si="26"/>
        <v>0</v>
      </c>
      <c r="X58" s="26" t="str">
        <f t="shared" si="5"/>
        <v/>
      </c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49" ht="13.5" thickBot="1" x14ac:dyDescent="0.25">
      <c r="A59" s="73"/>
      <c r="B59" s="74"/>
      <c r="C59" s="74"/>
      <c r="D59" s="74"/>
      <c r="E59" s="74"/>
      <c r="F59" s="75"/>
      <c r="G59" s="31"/>
      <c r="H59" s="25"/>
      <c r="I59" s="25"/>
      <c r="J59" s="25"/>
      <c r="K59" s="25"/>
      <c r="L59" s="25"/>
      <c r="M59" s="25"/>
      <c r="N59" s="37"/>
      <c r="O59" s="26"/>
      <c r="P59" s="26"/>
      <c r="Q59" s="26">
        <v>123</v>
      </c>
      <c r="R59" s="26">
        <f t="shared" si="2"/>
        <v>0</v>
      </c>
      <c r="S59" s="26">
        <f t="shared" si="3"/>
        <v>0</v>
      </c>
      <c r="T59" s="26">
        <f t="shared" si="4"/>
        <v>0</v>
      </c>
      <c r="U59" s="26" t="str">
        <f t="shared" si="0"/>
        <v/>
      </c>
      <c r="V59" s="26">
        <v>126</v>
      </c>
      <c r="W59" s="26">
        <f t="shared" si="26"/>
        <v>0</v>
      </c>
      <c r="X59" s="26" t="str">
        <f t="shared" si="5"/>
        <v/>
      </c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</row>
    <row r="60" spans="1:49" s="2" customFormat="1" x14ac:dyDescent="0.2">
      <c r="A60" s="76"/>
      <c r="B60" s="76"/>
      <c r="C60" s="76"/>
      <c r="D60" s="76"/>
      <c r="E60" s="76"/>
      <c r="F60" s="76"/>
      <c r="G60" s="77"/>
      <c r="H60" s="25"/>
      <c r="I60" s="25"/>
      <c r="J60" s="25"/>
      <c r="K60" s="25"/>
      <c r="L60" s="25"/>
      <c r="M60" s="25"/>
      <c r="N60" s="37"/>
      <c r="O60" s="26"/>
      <c r="P60" s="26"/>
      <c r="Q60" s="26">
        <v>122</v>
      </c>
      <c r="R60" s="26">
        <f t="shared" si="2"/>
        <v>0</v>
      </c>
      <c r="S60" s="26">
        <f t="shared" si="3"/>
        <v>0</v>
      </c>
      <c r="T60" s="26">
        <f t="shared" si="4"/>
        <v>0</v>
      </c>
      <c r="U60" s="26" t="str">
        <f t="shared" si="0"/>
        <v/>
      </c>
      <c r="V60" s="26">
        <v>126</v>
      </c>
      <c r="W60" s="26">
        <f t="shared" si="26"/>
        <v>0</v>
      </c>
      <c r="X60" s="26" t="str">
        <f t="shared" si="5"/>
        <v/>
      </c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16"/>
      <c r="AM60" s="16"/>
      <c r="AN60" s="16"/>
      <c r="AO60" s="16"/>
      <c r="AP60" s="16"/>
      <c r="AQ60" s="16"/>
      <c r="AR60" s="16"/>
      <c r="AS60" s="17"/>
      <c r="AT60" s="18"/>
      <c r="AU60" s="19"/>
      <c r="AV60" s="19"/>
      <c r="AW60" s="19"/>
    </row>
    <row r="61" spans="1:49" s="2" customFormat="1" x14ac:dyDescent="0.2">
      <c r="A61" s="78"/>
      <c r="B61" s="358">
        <v>10</v>
      </c>
      <c r="C61" s="358"/>
      <c r="D61" s="78" t="s">
        <v>30</v>
      </c>
      <c r="E61" s="78"/>
      <c r="F61" s="78"/>
      <c r="G61" s="78"/>
      <c r="H61" s="25"/>
      <c r="I61" s="25"/>
      <c r="J61" s="25"/>
      <c r="K61" s="25"/>
      <c r="L61" s="25"/>
      <c r="M61" s="25"/>
      <c r="N61" s="37"/>
      <c r="O61" s="26"/>
      <c r="P61" s="26"/>
      <c r="Q61" s="26">
        <v>121</v>
      </c>
      <c r="R61" s="26">
        <f t="shared" si="2"/>
        <v>0</v>
      </c>
      <c r="S61" s="26">
        <f t="shared" si="3"/>
        <v>0</v>
      </c>
      <c r="T61" s="26">
        <f t="shared" si="4"/>
        <v>0</v>
      </c>
      <c r="U61" s="26" t="str">
        <f t="shared" si="0"/>
        <v/>
      </c>
      <c r="V61" s="26">
        <v>126</v>
      </c>
      <c r="W61" s="26">
        <f t="shared" si="26"/>
        <v>0</v>
      </c>
      <c r="X61" s="26" t="str">
        <f t="shared" si="5"/>
        <v/>
      </c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16"/>
      <c r="AM61" s="16"/>
      <c r="AN61" s="16"/>
      <c r="AO61" s="16"/>
      <c r="AP61" s="16"/>
      <c r="AQ61" s="16"/>
      <c r="AR61" s="16"/>
      <c r="AS61" s="17"/>
      <c r="AT61" s="18"/>
      <c r="AU61" s="19"/>
      <c r="AV61" s="19"/>
      <c r="AW61" s="19"/>
    </row>
    <row r="62" spans="1:49" s="2" customFormat="1" x14ac:dyDescent="0.2">
      <c r="A62" s="78"/>
      <c r="B62" s="78">
        <v>9</v>
      </c>
      <c r="C62" s="358" t="str">
        <f>IF(C61="","",CONCATENATE("WALL",C61))</f>
        <v/>
      </c>
      <c r="D62" s="78" t="s">
        <v>23</v>
      </c>
      <c r="E62" s="78"/>
      <c r="F62" s="78"/>
      <c r="G62" s="78"/>
      <c r="H62" s="25"/>
      <c r="I62" s="25"/>
      <c r="J62" s="25"/>
      <c r="K62" s="25"/>
      <c r="L62" s="25"/>
      <c r="M62" s="25"/>
      <c r="N62" s="37"/>
      <c r="O62" s="26"/>
      <c r="P62" s="26"/>
      <c r="Q62" s="26">
        <v>120</v>
      </c>
      <c r="R62" s="26">
        <f t="shared" si="2"/>
        <v>0</v>
      </c>
      <c r="S62" s="26">
        <f t="shared" si="3"/>
        <v>0</v>
      </c>
      <c r="T62" s="26">
        <f t="shared" si="4"/>
        <v>0</v>
      </c>
      <c r="U62" s="26" t="str">
        <f t="shared" si="0"/>
        <v/>
      </c>
      <c r="V62" s="26">
        <v>120</v>
      </c>
      <c r="W62" s="26">
        <f t="shared" si="26"/>
        <v>0</v>
      </c>
      <c r="X62" s="26" t="str">
        <f t="shared" si="5"/>
        <v/>
      </c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16"/>
      <c r="AM62" s="16"/>
      <c r="AN62" s="16"/>
      <c r="AO62" s="16"/>
      <c r="AP62" s="16"/>
      <c r="AQ62" s="16"/>
      <c r="AR62" s="16"/>
      <c r="AS62" s="17"/>
      <c r="AT62" s="18"/>
      <c r="AU62" s="19"/>
      <c r="AV62" s="19"/>
      <c r="AW62" s="19"/>
    </row>
    <row r="63" spans="1:49" s="2" customFormat="1" x14ac:dyDescent="0.2">
      <c r="A63" s="78"/>
      <c r="B63" s="358">
        <v>8</v>
      </c>
      <c r="C63" s="359" t="s">
        <v>89</v>
      </c>
      <c r="D63" s="78" t="s">
        <v>24</v>
      </c>
      <c r="E63" s="78"/>
      <c r="F63" s="78"/>
      <c r="G63" s="78"/>
      <c r="H63" s="25"/>
      <c r="I63" s="25"/>
      <c r="J63" s="25"/>
      <c r="K63" s="25"/>
      <c r="L63" s="25"/>
      <c r="M63" s="25"/>
      <c r="N63" s="37"/>
      <c r="O63" s="26"/>
      <c r="P63" s="26"/>
      <c r="Q63" s="26">
        <v>119</v>
      </c>
      <c r="R63" s="26">
        <f t="shared" si="2"/>
        <v>0</v>
      </c>
      <c r="S63" s="26">
        <f t="shared" si="3"/>
        <v>0</v>
      </c>
      <c r="T63" s="26">
        <f t="shared" si="4"/>
        <v>0</v>
      </c>
      <c r="U63" s="26" t="str">
        <f t="shared" si="0"/>
        <v/>
      </c>
      <c r="V63" s="26">
        <v>120</v>
      </c>
      <c r="W63" s="26">
        <f t="shared" si="26"/>
        <v>0</v>
      </c>
      <c r="X63" s="26" t="str">
        <f t="shared" si="5"/>
        <v/>
      </c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16"/>
      <c r="AM63" s="16"/>
      <c r="AN63" s="16"/>
      <c r="AO63" s="16"/>
      <c r="AP63" s="16"/>
      <c r="AQ63" s="16"/>
      <c r="AR63" s="16"/>
      <c r="AS63" s="17"/>
      <c r="AT63" s="18"/>
      <c r="AU63" s="19"/>
      <c r="AV63" s="19"/>
      <c r="AW63" s="19"/>
    </row>
    <row r="64" spans="1:49" s="2" customFormat="1" x14ac:dyDescent="0.2">
      <c r="A64" s="78"/>
      <c r="B64" s="78">
        <v>7</v>
      </c>
      <c r="C64" s="358" t="b">
        <v>0</v>
      </c>
      <c r="D64" s="78" t="s">
        <v>20</v>
      </c>
      <c r="E64" s="78"/>
      <c r="F64" s="78"/>
      <c r="G64" s="78"/>
      <c r="H64" s="25"/>
      <c r="I64" s="25"/>
      <c r="J64" s="25"/>
      <c r="K64" s="25"/>
      <c r="L64" s="25"/>
      <c r="M64" s="25"/>
      <c r="N64" s="37"/>
      <c r="O64" s="26"/>
      <c r="P64" s="26"/>
      <c r="Q64" s="26">
        <v>118</v>
      </c>
      <c r="R64" s="26">
        <f t="shared" si="2"/>
        <v>0</v>
      </c>
      <c r="S64" s="26">
        <f t="shared" si="3"/>
        <v>0</v>
      </c>
      <c r="T64" s="26">
        <f t="shared" si="4"/>
        <v>0</v>
      </c>
      <c r="U64" s="26" t="str">
        <f t="shared" si="0"/>
        <v/>
      </c>
      <c r="V64" s="26">
        <v>120</v>
      </c>
      <c r="W64" s="26">
        <f t="shared" si="26"/>
        <v>0</v>
      </c>
      <c r="X64" s="26" t="str">
        <f t="shared" si="5"/>
        <v/>
      </c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16"/>
      <c r="AM64" s="16"/>
      <c r="AN64" s="16"/>
      <c r="AO64" s="16"/>
      <c r="AP64" s="16"/>
      <c r="AQ64" s="16"/>
      <c r="AR64" s="16"/>
      <c r="AS64" s="17"/>
      <c r="AT64" s="18"/>
      <c r="AU64" s="19"/>
      <c r="AV64" s="19"/>
      <c r="AW64" s="19"/>
    </row>
    <row r="65" spans="1:49" s="2" customFormat="1" x14ac:dyDescent="0.2">
      <c r="A65" s="78"/>
      <c r="B65" s="78">
        <v>6</v>
      </c>
      <c r="C65" s="358" t="b">
        <v>0</v>
      </c>
      <c r="D65" s="78" t="s">
        <v>25</v>
      </c>
      <c r="E65" s="78"/>
      <c r="F65" s="78"/>
      <c r="G65" s="78"/>
      <c r="H65" s="25"/>
      <c r="I65" s="25"/>
      <c r="J65" s="25"/>
      <c r="K65" s="25"/>
      <c r="L65" s="25"/>
      <c r="M65" s="25"/>
      <c r="N65" s="37"/>
      <c r="O65" s="26"/>
      <c r="P65" s="26"/>
      <c r="Q65" s="26">
        <v>117</v>
      </c>
      <c r="R65" s="26">
        <f t="shared" si="2"/>
        <v>0</v>
      </c>
      <c r="S65" s="26">
        <f t="shared" si="3"/>
        <v>0</v>
      </c>
      <c r="T65" s="26">
        <f t="shared" si="4"/>
        <v>0</v>
      </c>
      <c r="U65" s="26" t="str">
        <f t="shared" si="0"/>
        <v/>
      </c>
      <c r="V65" s="26">
        <v>120</v>
      </c>
      <c r="W65" s="26">
        <f t="shared" si="26"/>
        <v>0</v>
      </c>
      <c r="X65" s="26" t="str">
        <f t="shared" si="5"/>
        <v/>
      </c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16"/>
      <c r="AM65" s="16"/>
      <c r="AN65" s="16"/>
      <c r="AO65" s="16"/>
      <c r="AP65" s="16"/>
      <c r="AQ65" s="16"/>
      <c r="AR65" s="16"/>
      <c r="AS65" s="17"/>
      <c r="AT65" s="18"/>
      <c r="AU65" s="19"/>
      <c r="AV65" s="19"/>
      <c r="AW65" s="19"/>
    </row>
    <row r="66" spans="1:49" s="2" customFormat="1" x14ac:dyDescent="0.2">
      <c r="A66" s="78"/>
      <c r="B66" s="78">
        <v>5</v>
      </c>
      <c r="C66" s="360" t="str">
        <f>IF(C63&lt;0,CONCATENATE("0",C63),IF(LEN(C63)=2,C63,CONCATENATE("0",C63)))</f>
        <v>0Select Checkbox!</v>
      </c>
      <c r="D66" s="78" t="s">
        <v>26</v>
      </c>
      <c r="E66" s="78"/>
      <c r="F66" s="78"/>
      <c r="G66" s="78"/>
      <c r="H66" s="25"/>
      <c r="I66" s="25"/>
      <c r="J66" s="25"/>
      <c r="K66" s="25"/>
      <c r="L66" s="25"/>
      <c r="M66" s="25"/>
      <c r="N66" s="37"/>
      <c r="O66" s="26"/>
      <c r="P66" s="26"/>
      <c r="Q66" s="26">
        <v>116</v>
      </c>
      <c r="R66" s="26">
        <f t="shared" si="2"/>
        <v>0</v>
      </c>
      <c r="S66" s="26">
        <f t="shared" si="3"/>
        <v>0</v>
      </c>
      <c r="T66" s="26">
        <f t="shared" si="4"/>
        <v>0</v>
      </c>
      <c r="U66" s="26" t="str">
        <f t="shared" ref="U66:U129" si="27">IF(S66=0,"",IF(T65=1,"",IF(S66&lt;&gt;T66,"DUPLICATE","")))</f>
        <v/>
      </c>
      <c r="V66" s="26">
        <v>120</v>
      </c>
      <c r="W66" s="26">
        <f t="shared" ref="W66:W97" si="28">IFERROR(VLOOKUP(Q66,$H$16:$O$38,8,FALSE),0)</f>
        <v>0</v>
      </c>
      <c r="X66" s="26" t="str">
        <f t="shared" si="5"/>
        <v/>
      </c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16"/>
      <c r="AM66" s="16"/>
      <c r="AN66" s="16"/>
      <c r="AO66" s="16"/>
      <c r="AP66" s="16"/>
      <c r="AQ66" s="16"/>
      <c r="AR66" s="16"/>
      <c r="AS66" s="17"/>
      <c r="AT66" s="18"/>
      <c r="AU66" s="19"/>
      <c r="AV66" s="19"/>
      <c r="AW66" s="19"/>
    </row>
    <row r="67" spans="1:49" s="2" customFormat="1" x14ac:dyDescent="0.2">
      <c r="A67" s="78"/>
      <c r="B67" s="78">
        <v>4</v>
      </c>
      <c r="C67" s="78" t="e">
        <f>C66*(-1)</f>
        <v>#VALUE!</v>
      </c>
      <c r="D67" s="78" t="s">
        <v>27</v>
      </c>
      <c r="E67" s="78"/>
      <c r="F67" s="78"/>
      <c r="G67" s="78"/>
      <c r="H67" s="25"/>
      <c r="I67" s="25"/>
      <c r="J67" s="25"/>
      <c r="K67" s="25"/>
      <c r="L67" s="25"/>
      <c r="M67" s="25"/>
      <c r="N67" s="37"/>
      <c r="O67" s="26"/>
      <c r="P67" s="26"/>
      <c r="Q67" s="26">
        <v>115</v>
      </c>
      <c r="R67" s="26">
        <f t="shared" ref="R67:R130" si="29">COUNTIF($H$16:$H$38,Q67)</f>
        <v>0</v>
      </c>
      <c r="S67" s="26">
        <f t="shared" ref="S67:S130" si="30">IFERROR(VLOOKUP(Q67,$H$16:$M$38,5,FALSE)*2,0)</f>
        <v>0</v>
      </c>
      <c r="T67" s="26">
        <f t="shared" ref="T67:T130" si="31">IFERROR(IF(T66&gt;1,T66-1,IF(S67&gt;0,S67,IF(R67=0,0,"ERROR"))),0)</f>
        <v>0</v>
      </c>
      <c r="U67" s="26" t="str">
        <f t="shared" si="27"/>
        <v/>
      </c>
      <c r="V67" s="26">
        <v>120</v>
      </c>
      <c r="W67" s="26">
        <f t="shared" si="28"/>
        <v>0</v>
      </c>
      <c r="X67" s="26" t="str">
        <f t="shared" ref="X67:X130" si="32">IFERROR(IF(W67&gt;1,0,IF(T67&gt;0,(IF(T66&lt;2,Q67,IF(T66=(T67+1),X66,""))),"")),"")</f>
        <v/>
      </c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16"/>
      <c r="AM67" s="16"/>
      <c r="AN67" s="16"/>
      <c r="AO67" s="16"/>
      <c r="AP67" s="16"/>
      <c r="AQ67" s="16"/>
      <c r="AR67" s="16"/>
      <c r="AS67" s="17"/>
      <c r="AT67" s="18"/>
      <c r="AU67" s="19"/>
      <c r="AV67" s="19"/>
      <c r="AW67" s="19"/>
    </row>
    <row r="68" spans="1:49" s="2" customFormat="1" x14ac:dyDescent="0.2">
      <c r="A68" s="78"/>
      <c r="B68" s="78">
        <v>3</v>
      </c>
      <c r="C68" s="78"/>
      <c r="D68" s="78" t="s">
        <v>28</v>
      </c>
      <c r="E68" s="78"/>
      <c r="F68" s="78"/>
      <c r="G68" s="78"/>
      <c r="H68" s="25"/>
      <c r="I68" s="25"/>
      <c r="J68" s="25"/>
      <c r="K68" s="25"/>
      <c r="L68" s="25"/>
      <c r="M68" s="25"/>
      <c r="N68" s="37"/>
      <c r="O68" s="26"/>
      <c r="P68" s="26"/>
      <c r="Q68" s="26">
        <v>114</v>
      </c>
      <c r="R68" s="26">
        <f t="shared" si="29"/>
        <v>0</v>
      </c>
      <c r="S68" s="26">
        <f t="shared" si="30"/>
        <v>0</v>
      </c>
      <c r="T68" s="26">
        <f t="shared" si="31"/>
        <v>0</v>
      </c>
      <c r="U68" s="26" t="str">
        <f t="shared" si="27"/>
        <v/>
      </c>
      <c r="V68" s="26">
        <v>114</v>
      </c>
      <c r="W68" s="26">
        <f t="shared" si="28"/>
        <v>0</v>
      </c>
      <c r="X68" s="26" t="str">
        <f t="shared" si="32"/>
        <v/>
      </c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16"/>
      <c r="AM68" s="16"/>
      <c r="AN68" s="16"/>
      <c r="AO68" s="16"/>
      <c r="AP68" s="16"/>
      <c r="AQ68" s="16"/>
      <c r="AR68" s="16"/>
      <c r="AS68" s="17"/>
      <c r="AT68" s="18"/>
      <c r="AU68" s="19"/>
      <c r="AV68" s="19"/>
      <c r="AW68" s="19"/>
    </row>
    <row r="69" spans="1:49" s="2" customFormat="1" x14ac:dyDescent="0.2">
      <c r="A69" s="78"/>
      <c r="B69" s="78">
        <v>2</v>
      </c>
      <c r="C69" s="78"/>
      <c r="D69" s="78" t="s">
        <v>101</v>
      </c>
      <c r="E69" s="78"/>
      <c r="F69" s="78"/>
      <c r="G69" s="78"/>
      <c r="H69" s="25"/>
      <c r="I69" s="25"/>
      <c r="J69" s="25"/>
      <c r="K69" s="25"/>
      <c r="L69" s="25"/>
      <c r="M69" s="25"/>
      <c r="N69" s="37"/>
      <c r="O69" s="26"/>
      <c r="P69" s="26"/>
      <c r="Q69" s="26">
        <v>113</v>
      </c>
      <c r="R69" s="26">
        <f t="shared" si="29"/>
        <v>0</v>
      </c>
      <c r="S69" s="26">
        <f t="shared" si="30"/>
        <v>0</v>
      </c>
      <c r="T69" s="26">
        <f t="shared" si="31"/>
        <v>0</v>
      </c>
      <c r="U69" s="26" t="str">
        <f t="shared" si="27"/>
        <v/>
      </c>
      <c r="V69" s="26">
        <v>114</v>
      </c>
      <c r="W69" s="26">
        <f t="shared" si="28"/>
        <v>0</v>
      </c>
      <c r="X69" s="26" t="str">
        <f t="shared" si="32"/>
        <v/>
      </c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16"/>
      <c r="AM69" s="16"/>
      <c r="AN69" s="16"/>
      <c r="AO69" s="16"/>
      <c r="AP69" s="16"/>
      <c r="AQ69" s="16"/>
      <c r="AR69" s="16"/>
      <c r="AS69" s="17"/>
      <c r="AT69" s="18"/>
      <c r="AU69" s="19"/>
      <c r="AV69" s="19"/>
      <c r="AW69" s="19"/>
    </row>
    <row r="70" spans="1:49" s="2" customFormat="1" x14ac:dyDescent="0.2">
      <c r="A70" s="78"/>
      <c r="B70" s="78">
        <v>1</v>
      </c>
      <c r="C70" s="78"/>
      <c r="D70" s="78"/>
      <c r="E70" s="78"/>
      <c r="F70" s="78"/>
      <c r="G70" s="78"/>
      <c r="H70" s="25"/>
      <c r="I70" s="25"/>
      <c r="J70" s="25"/>
      <c r="K70" s="25"/>
      <c r="L70" s="25"/>
      <c r="M70" s="25"/>
      <c r="N70" s="37"/>
      <c r="O70" s="26"/>
      <c r="P70" s="26"/>
      <c r="Q70" s="26">
        <v>112</v>
      </c>
      <c r="R70" s="26">
        <f t="shared" si="29"/>
        <v>0</v>
      </c>
      <c r="S70" s="26">
        <f t="shared" si="30"/>
        <v>0</v>
      </c>
      <c r="T70" s="26">
        <f t="shared" si="31"/>
        <v>0</v>
      </c>
      <c r="U70" s="26" t="str">
        <f t="shared" si="27"/>
        <v/>
      </c>
      <c r="V70" s="26">
        <v>114</v>
      </c>
      <c r="W70" s="26">
        <f t="shared" si="28"/>
        <v>0</v>
      </c>
      <c r="X70" s="26" t="str">
        <f t="shared" si="32"/>
        <v/>
      </c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16"/>
      <c r="AM70" s="16"/>
      <c r="AN70" s="16"/>
      <c r="AO70" s="16"/>
      <c r="AP70" s="16"/>
      <c r="AQ70" s="16"/>
      <c r="AR70" s="16"/>
      <c r="AS70" s="17"/>
      <c r="AT70" s="18"/>
      <c r="AU70" s="19"/>
      <c r="AV70" s="19"/>
      <c r="AW70" s="19"/>
    </row>
    <row r="71" spans="1:49" s="2" customFormat="1" x14ac:dyDescent="0.2">
      <c r="A71" s="78"/>
      <c r="B71" s="78">
        <v>0</v>
      </c>
      <c r="C71" s="78"/>
      <c r="D71" s="78"/>
      <c r="E71" s="78"/>
      <c r="F71" s="78"/>
      <c r="G71" s="78"/>
      <c r="H71" s="25"/>
      <c r="I71" s="25"/>
      <c r="J71" s="25"/>
      <c r="K71" s="25"/>
      <c r="L71" s="25"/>
      <c r="M71" s="25"/>
      <c r="N71" s="37"/>
      <c r="O71" s="26"/>
      <c r="P71" s="26"/>
      <c r="Q71" s="26">
        <v>111</v>
      </c>
      <c r="R71" s="26">
        <f t="shared" si="29"/>
        <v>0</v>
      </c>
      <c r="S71" s="26">
        <f t="shared" si="30"/>
        <v>0</v>
      </c>
      <c r="T71" s="26">
        <f t="shared" si="31"/>
        <v>0</v>
      </c>
      <c r="U71" s="26" t="str">
        <f t="shared" si="27"/>
        <v/>
      </c>
      <c r="V71" s="26">
        <v>114</v>
      </c>
      <c r="W71" s="26">
        <f t="shared" si="28"/>
        <v>0</v>
      </c>
      <c r="X71" s="26" t="str">
        <f t="shared" si="32"/>
        <v/>
      </c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16"/>
      <c r="AM71" s="16"/>
      <c r="AN71" s="16"/>
      <c r="AO71" s="16"/>
      <c r="AP71" s="16"/>
      <c r="AQ71" s="16"/>
      <c r="AR71" s="16"/>
      <c r="AS71" s="17"/>
      <c r="AT71" s="18"/>
      <c r="AU71" s="19"/>
      <c r="AV71" s="19"/>
      <c r="AW71" s="19"/>
    </row>
    <row r="72" spans="1:49" s="2" customFormat="1" x14ac:dyDescent="0.2">
      <c r="A72" s="78"/>
      <c r="B72" s="78">
        <v>-1</v>
      </c>
      <c r="C72" s="78"/>
      <c r="D72" s="78"/>
      <c r="E72" s="78"/>
      <c r="F72" s="78"/>
      <c r="G72" s="78"/>
      <c r="H72" s="25"/>
      <c r="I72" s="25"/>
      <c r="J72" s="25"/>
      <c r="K72" s="25"/>
      <c r="L72" s="25"/>
      <c r="M72" s="25"/>
      <c r="N72" s="37"/>
      <c r="O72" s="26"/>
      <c r="P72" s="26"/>
      <c r="Q72" s="26">
        <v>110</v>
      </c>
      <c r="R72" s="26">
        <f t="shared" si="29"/>
        <v>0</v>
      </c>
      <c r="S72" s="26">
        <f t="shared" si="30"/>
        <v>0</v>
      </c>
      <c r="T72" s="26">
        <f t="shared" si="31"/>
        <v>0</v>
      </c>
      <c r="U72" s="26" t="str">
        <f t="shared" si="27"/>
        <v/>
      </c>
      <c r="V72" s="26">
        <v>114</v>
      </c>
      <c r="W72" s="26">
        <f t="shared" si="28"/>
        <v>0</v>
      </c>
      <c r="X72" s="26" t="str">
        <f t="shared" si="32"/>
        <v/>
      </c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16"/>
      <c r="AM72" s="16"/>
      <c r="AN72" s="16"/>
      <c r="AO72" s="16"/>
      <c r="AP72" s="16"/>
      <c r="AQ72" s="16"/>
      <c r="AR72" s="16"/>
      <c r="AS72" s="17"/>
      <c r="AT72" s="18"/>
      <c r="AU72" s="19"/>
      <c r="AV72" s="19"/>
      <c r="AW72" s="19"/>
    </row>
    <row r="73" spans="1:49" s="2" customFormat="1" x14ac:dyDescent="0.2">
      <c r="A73" s="78"/>
      <c r="B73" s="78">
        <v>-2</v>
      </c>
      <c r="C73" s="78"/>
      <c r="D73" s="78"/>
      <c r="E73" s="78"/>
      <c r="F73" s="78"/>
      <c r="G73" s="78"/>
      <c r="H73" s="25"/>
      <c r="I73" s="25"/>
      <c r="J73" s="25"/>
      <c r="K73" s="25"/>
      <c r="L73" s="25"/>
      <c r="M73" s="25"/>
      <c r="N73" s="37"/>
      <c r="O73" s="26"/>
      <c r="P73" s="26"/>
      <c r="Q73" s="26">
        <v>109</v>
      </c>
      <c r="R73" s="26">
        <f t="shared" si="29"/>
        <v>0</v>
      </c>
      <c r="S73" s="26">
        <f t="shared" si="30"/>
        <v>0</v>
      </c>
      <c r="T73" s="26">
        <f t="shared" si="31"/>
        <v>0</v>
      </c>
      <c r="U73" s="26" t="str">
        <f t="shared" si="27"/>
        <v/>
      </c>
      <c r="V73" s="26">
        <v>114</v>
      </c>
      <c r="W73" s="26">
        <f t="shared" si="28"/>
        <v>0</v>
      </c>
      <c r="X73" s="26" t="str">
        <f t="shared" si="32"/>
        <v/>
      </c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16"/>
      <c r="AM73" s="16"/>
      <c r="AN73" s="16"/>
      <c r="AO73" s="16"/>
      <c r="AP73" s="16"/>
      <c r="AQ73" s="16"/>
      <c r="AR73" s="16"/>
      <c r="AS73" s="17"/>
      <c r="AT73" s="18"/>
      <c r="AU73" s="19"/>
      <c r="AV73" s="19"/>
      <c r="AW73" s="19"/>
    </row>
    <row r="74" spans="1:49" s="2" customFormat="1" x14ac:dyDescent="0.2">
      <c r="A74" s="78"/>
      <c r="B74" s="78">
        <v>-3</v>
      </c>
      <c r="C74" s="78"/>
      <c r="D74" s="78"/>
      <c r="E74" s="78"/>
      <c r="F74" s="78"/>
      <c r="G74" s="78"/>
      <c r="H74" s="25"/>
      <c r="I74" s="25"/>
      <c r="J74" s="25"/>
      <c r="K74" s="25"/>
      <c r="L74" s="25"/>
      <c r="M74" s="25"/>
      <c r="N74" s="37"/>
      <c r="O74" s="26"/>
      <c r="P74" s="26"/>
      <c r="Q74" s="26">
        <v>108</v>
      </c>
      <c r="R74" s="26">
        <f t="shared" si="29"/>
        <v>0</v>
      </c>
      <c r="S74" s="26">
        <f t="shared" si="30"/>
        <v>0</v>
      </c>
      <c r="T74" s="26">
        <f t="shared" si="31"/>
        <v>0</v>
      </c>
      <c r="U74" s="26" t="str">
        <f t="shared" si="27"/>
        <v/>
      </c>
      <c r="V74" s="26">
        <v>108</v>
      </c>
      <c r="W74" s="26">
        <f t="shared" si="28"/>
        <v>0</v>
      </c>
      <c r="X74" s="26" t="str">
        <f t="shared" si="32"/>
        <v/>
      </c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16"/>
      <c r="AM74" s="16"/>
      <c r="AN74" s="16"/>
      <c r="AO74" s="16"/>
      <c r="AP74" s="16"/>
      <c r="AQ74" s="16"/>
      <c r="AR74" s="16"/>
      <c r="AS74" s="17"/>
      <c r="AT74" s="18"/>
      <c r="AU74" s="19"/>
      <c r="AV74" s="19"/>
      <c r="AW74" s="19"/>
    </row>
    <row r="75" spans="1:49" s="2" customFormat="1" x14ac:dyDescent="0.2">
      <c r="A75" s="78"/>
      <c r="B75" s="78">
        <v>-4</v>
      </c>
      <c r="C75" s="78"/>
      <c r="D75" s="78"/>
      <c r="E75" s="78"/>
      <c r="F75" s="78"/>
      <c r="G75" s="78"/>
      <c r="H75" s="25"/>
      <c r="I75" s="25"/>
      <c r="J75" s="25"/>
      <c r="K75" s="25"/>
      <c r="L75" s="25"/>
      <c r="M75" s="25"/>
      <c r="N75" s="37"/>
      <c r="O75" s="26"/>
      <c r="P75" s="26"/>
      <c r="Q75" s="26">
        <v>107</v>
      </c>
      <c r="R75" s="26">
        <f t="shared" si="29"/>
        <v>0</v>
      </c>
      <c r="S75" s="26">
        <f t="shared" si="30"/>
        <v>0</v>
      </c>
      <c r="T75" s="26">
        <f t="shared" si="31"/>
        <v>0</v>
      </c>
      <c r="U75" s="26" t="str">
        <f t="shared" si="27"/>
        <v/>
      </c>
      <c r="V75" s="26">
        <v>108</v>
      </c>
      <c r="W75" s="26">
        <f t="shared" si="28"/>
        <v>0</v>
      </c>
      <c r="X75" s="26" t="str">
        <f t="shared" si="32"/>
        <v/>
      </c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16"/>
      <c r="AM75" s="16"/>
      <c r="AN75" s="16"/>
      <c r="AO75" s="16"/>
      <c r="AP75" s="16"/>
      <c r="AQ75" s="16"/>
      <c r="AR75" s="16"/>
      <c r="AS75" s="17"/>
      <c r="AT75" s="18"/>
      <c r="AU75" s="19"/>
      <c r="AV75" s="19"/>
      <c r="AW75" s="19"/>
    </row>
    <row r="76" spans="1:49" s="2" customFormat="1" x14ac:dyDescent="0.2">
      <c r="A76" s="78"/>
      <c r="B76" s="78">
        <v>-5</v>
      </c>
      <c r="C76" s="78"/>
      <c r="D76" s="78"/>
      <c r="E76" s="78"/>
      <c r="F76" s="78"/>
      <c r="G76" s="78"/>
      <c r="H76" s="25"/>
      <c r="I76" s="25"/>
      <c r="J76" s="25"/>
      <c r="K76" s="25"/>
      <c r="L76" s="25"/>
      <c r="M76" s="25"/>
      <c r="N76" s="37"/>
      <c r="O76" s="26"/>
      <c r="P76" s="26"/>
      <c r="Q76" s="26">
        <v>106</v>
      </c>
      <c r="R76" s="26">
        <f t="shared" si="29"/>
        <v>0</v>
      </c>
      <c r="S76" s="26">
        <f t="shared" si="30"/>
        <v>0</v>
      </c>
      <c r="T76" s="26">
        <f t="shared" si="31"/>
        <v>0</v>
      </c>
      <c r="U76" s="26" t="str">
        <f t="shared" si="27"/>
        <v/>
      </c>
      <c r="V76" s="26">
        <v>108</v>
      </c>
      <c r="W76" s="26">
        <f t="shared" si="28"/>
        <v>0</v>
      </c>
      <c r="X76" s="26" t="str">
        <f t="shared" si="32"/>
        <v/>
      </c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16"/>
      <c r="AM76" s="16"/>
      <c r="AN76" s="16"/>
      <c r="AO76" s="16"/>
      <c r="AP76" s="16"/>
      <c r="AQ76" s="16"/>
      <c r="AR76" s="16"/>
      <c r="AS76" s="17"/>
      <c r="AT76" s="18"/>
      <c r="AU76" s="19"/>
      <c r="AV76" s="19"/>
      <c r="AW76" s="19"/>
    </row>
    <row r="77" spans="1:49" s="2" customFormat="1" x14ac:dyDescent="0.2">
      <c r="A77" s="78"/>
      <c r="B77" s="78"/>
      <c r="C77" s="78"/>
      <c r="D77" s="78"/>
      <c r="E77" s="78"/>
      <c r="F77" s="78"/>
      <c r="G77" s="25"/>
      <c r="H77" s="25"/>
      <c r="I77" s="25"/>
      <c r="J77" s="25"/>
      <c r="K77" s="25"/>
      <c r="L77" s="25"/>
      <c r="M77" s="25"/>
      <c r="N77" s="37"/>
      <c r="O77" s="26"/>
      <c r="P77" s="26"/>
      <c r="Q77" s="26">
        <v>105</v>
      </c>
      <c r="R77" s="26">
        <f t="shared" si="29"/>
        <v>0</v>
      </c>
      <c r="S77" s="26">
        <f t="shared" si="30"/>
        <v>0</v>
      </c>
      <c r="T77" s="26">
        <f t="shared" si="31"/>
        <v>0</v>
      </c>
      <c r="U77" s="26" t="str">
        <f t="shared" si="27"/>
        <v/>
      </c>
      <c r="V77" s="26">
        <v>108</v>
      </c>
      <c r="W77" s="26">
        <f t="shared" si="28"/>
        <v>0</v>
      </c>
      <c r="X77" s="26" t="str">
        <f t="shared" si="32"/>
        <v/>
      </c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16"/>
      <c r="AM77" s="16"/>
      <c r="AN77" s="16"/>
      <c r="AO77" s="16"/>
      <c r="AP77" s="16"/>
      <c r="AQ77" s="16"/>
      <c r="AR77" s="16"/>
      <c r="AS77" s="17"/>
      <c r="AT77" s="18"/>
      <c r="AU77" s="19"/>
      <c r="AV77" s="19"/>
      <c r="AW77" s="19"/>
    </row>
    <row r="78" spans="1:49" s="2" customFormat="1" x14ac:dyDescent="0.2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37"/>
      <c r="O78" s="26"/>
      <c r="P78" s="26"/>
      <c r="Q78" s="26">
        <v>104</v>
      </c>
      <c r="R78" s="26">
        <f t="shared" si="29"/>
        <v>0</v>
      </c>
      <c r="S78" s="26">
        <f t="shared" si="30"/>
        <v>0</v>
      </c>
      <c r="T78" s="26">
        <f t="shared" si="31"/>
        <v>0</v>
      </c>
      <c r="U78" s="26" t="str">
        <f t="shared" si="27"/>
        <v/>
      </c>
      <c r="V78" s="26">
        <v>108</v>
      </c>
      <c r="W78" s="26">
        <f t="shared" si="28"/>
        <v>0</v>
      </c>
      <c r="X78" s="26" t="str">
        <f t="shared" si="32"/>
        <v/>
      </c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16"/>
      <c r="AM78" s="16"/>
      <c r="AN78" s="16"/>
      <c r="AO78" s="16"/>
      <c r="AP78" s="16"/>
      <c r="AQ78" s="16"/>
      <c r="AR78" s="16"/>
      <c r="AS78" s="17"/>
      <c r="AT78" s="18"/>
      <c r="AU78" s="19"/>
      <c r="AV78" s="19"/>
      <c r="AW78" s="19"/>
    </row>
    <row r="79" spans="1:49" s="2" customFormat="1" x14ac:dyDescent="0.2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37"/>
      <c r="O79" s="26"/>
      <c r="P79" s="26"/>
      <c r="Q79" s="26">
        <v>103</v>
      </c>
      <c r="R79" s="26">
        <f t="shared" si="29"/>
        <v>0</v>
      </c>
      <c r="S79" s="26">
        <f t="shared" si="30"/>
        <v>0</v>
      </c>
      <c r="T79" s="26">
        <f t="shared" si="31"/>
        <v>0</v>
      </c>
      <c r="U79" s="26" t="str">
        <f t="shared" si="27"/>
        <v/>
      </c>
      <c r="V79" s="26">
        <v>108</v>
      </c>
      <c r="W79" s="26">
        <f t="shared" si="28"/>
        <v>0</v>
      </c>
      <c r="X79" s="26" t="str">
        <f t="shared" si="32"/>
        <v/>
      </c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16"/>
      <c r="AM79" s="16"/>
      <c r="AN79" s="16"/>
      <c r="AO79" s="16"/>
      <c r="AP79" s="16"/>
      <c r="AQ79" s="16"/>
      <c r="AR79" s="16"/>
      <c r="AS79" s="17"/>
      <c r="AT79" s="18"/>
      <c r="AU79" s="19"/>
      <c r="AV79" s="19"/>
      <c r="AW79" s="19"/>
    </row>
    <row r="80" spans="1:49" s="2" customFormat="1" x14ac:dyDescent="0.2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37"/>
      <c r="O80" s="26"/>
      <c r="P80" s="26"/>
      <c r="Q80" s="26">
        <v>102</v>
      </c>
      <c r="R80" s="26">
        <f t="shared" si="29"/>
        <v>0</v>
      </c>
      <c r="S80" s="26">
        <f t="shared" si="30"/>
        <v>0</v>
      </c>
      <c r="T80" s="26">
        <f t="shared" si="31"/>
        <v>0</v>
      </c>
      <c r="U80" s="26" t="str">
        <f t="shared" si="27"/>
        <v/>
      </c>
      <c r="V80" s="26">
        <v>102</v>
      </c>
      <c r="W80" s="26">
        <f t="shared" si="28"/>
        <v>0</v>
      </c>
      <c r="X80" s="26" t="str">
        <f t="shared" si="32"/>
        <v/>
      </c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16"/>
      <c r="AM80" s="16"/>
      <c r="AN80" s="16"/>
      <c r="AO80" s="16"/>
      <c r="AP80" s="16"/>
      <c r="AQ80" s="16"/>
      <c r="AR80" s="16"/>
      <c r="AS80" s="17"/>
      <c r="AT80" s="18"/>
      <c r="AU80" s="19"/>
      <c r="AV80" s="19"/>
      <c r="AW80" s="19"/>
    </row>
    <row r="81" spans="1:49" s="2" customFormat="1" x14ac:dyDescent="0.2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37"/>
      <c r="O81" s="26"/>
      <c r="P81" s="26"/>
      <c r="Q81" s="26">
        <v>101</v>
      </c>
      <c r="R81" s="26">
        <f t="shared" si="29"/>
        <v>0</v>
      </c>
      <c r="S81" s="26">
        <f t="shared" si="30"/>
        <v>0</v>
      </c>
      <c r="T81" s="26">
        <f t="shared" si="31"/>
        <v>0</v>
      </c>
      <c r="U81" s="26" t="str">
        <f t="shared" si="27"/>
        <v/>
      </c>
      <c r="V81" s="26">
        <v>102</v>
      </c>
      <c r="W81" s="26">
        <f t="shared" si="28"/>
        <v>0</v>
      </c>
      <c r="X81" s="26" t="str">
        <f t="shared" si="32"/>
        <v/>
      </c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16"/>
      <c r="AM81" s="16"/>
      <c r="AN81" s="16"/>
      <c r="AO81" s="16"/>
      <c r="AP81" s="16"/>
      <c r="AQ81" s="16"/>
      <c r="AR81" s="16"/>
      <c r="AS81" s="17"/>
      <c r="AT81" s="18"/>
      <c r="AU81" s="19"/>
      <c r="AV81" s="19"/>
      <c r="AW81" s="19"/>
    </row>
    <row r="82" spans="1:49" s="2" customFormat="1" x14ac:dyDescent="0.2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37"/>
      <c r="O82" s="26"/>
      <c r="P82" s="26"/>
      <c r="Q82" s="26">
        <v>100</v>
      </c>
      <c r="R82" s="26">
        <f t="shared" si="29"/>
        <v>0</v>
      </c>
      <c r="S82" s="26">
        <f t="shared" si="30"/>
        <v>0</v>
      </c>
      <c r="T82" s="26">
        <f t="shared" si="31"/>
        <v>0</v>
      </c>
      <c r="U82" s="26" t="str">
        <f t="shared" si="27"/>
        <v/>
      </c>
      <c r="V82" s="26">
        <v>102</v>
      </c>
      <c r="W82" s="26">
        <f t="shared" si="28"/>
        <v>0</v>
      </c>
      <c r="X82" s="26" t="str">
        <f t="shared" si="32"/>
        <v/>
      </c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16"/>
      <c r="AM82" s="16"/>
      <c r="AN82" s="16"/>
      <c r="AO82" s="16"/>
      <c r="AP82" s="16"/>
      <c r="AQ82" s="16"/>
      <c r="AR82" s="16"/>
      <c r="AS82" s="17"/>
      <c r="AT82" s="18"/>
      <c r="AU82" s="19"/>
      <c r="AV82" s="19"/>
      <c r="AW82" s="19"/>
    </row>
    <row r="83" spans="1:49" s="2" customFormat="1" x14ac:dyDescent="0.2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37"/>
      <c r="O83" s="26"/>
      <c r="P83" s="26"/>
      <c r="Q83" s="26">
        <v>99</v>
      </c>
      <c r="R83" s="26">
        <f t="shared" si="29"/>
        <v>0</v>
      </c>
      <c r="S83" s="26">
        <f t="shared" si="30"/>
        <v>0</v>
      </c>
      <c r="T83" s="26">
        <f t="shared" si="31"/>
        <v>0</v>
      </c>
      <c r="U83" s="26" t="str">
        <f t="shared" si="27"/>
        <v/>
      </c>
      <c r="V83" s="26">
        <v>102</v>
      </c>
      <c r="W83" s="26">
        <f t="shared" si="28"/>
        <v>0</v>
      </c>
      <c r="X83" s="26" t="str">
        <f t="shared" si="32"/>
        <v/>
      </c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16"/>
      <c r="AM83" s="16"/>
      <c r="AN83" s="16"/>
      <c r="AO83" s="16"/>
      <c r="AP83" s="16"/>
      <c r="AQ83" s="16"/>
      <c r="AR83" s="16"/>
      <c r="AS83" s="17"/>
      <c r="AT83" s="18"/>
      <c r="AU83" s="19"/>
      <c r="AV83" s="19"/>
      <c r="AW83" s="19"/>
    </row>
    <row r="84" spans="1:49" s="2" customFormat="1" x14ac:dyDescent="0.2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37"/>
      <c r="O84" s="26"/>
      <c r="P84" s="26"/>
      <c r="Q84" s="26">
        <v>98</v>
      </c>
      <c r="R84" s="26">
        <f t="shared" si="29"/>
        <v>0</v>
      </c>
      <c r="S84" s="26">
        <f t="shared" si="30"/>
        <v>0</v>
      </c>
      <c r="T84" s="26">
        <f t="shared" si="31"/>
        <v>0</v>
      </c>
      <c r="U84" s="26" t="str">
        <f t="shared" si="27"/>
        <v/>
      </c>
      <c r="V84" s="26">
        <v>102</v>
      </c>
      <c r="W84" s="26">
        <f t="shared" si="28"/>
        <v>0</v>
      </c>
      <c r="X84" s="26" t="str">
        <f t="shared" si="32"/>
        <v/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16"/>
      <c r="AM84" s="16"/>
      <c r="AN84" s="16"/>
      <c r="AO84" s="16"/>
      <c r="AP84" s="16"/>
      <c r="AQ84" s="16"/>
      <c r="AR84" s="16"/>
      <c r="AS84" s="17"/>
      <c r="AT84" s="18"/>
      <c r="AU84" s="19"/>
      <c r="AV84" s="19"/>
      <c r="AW84" s="19"/>
    </row>
    <row r="85" spans="1:49" s="2" customFormat="1" x14ac:dyDescent="0.2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37"/>
      <c r="O85" s="26"/>
      <c r="P85" s="26"/>
      <c r="Q85" s="26">
        <v>97</v>
      </c>
      <c r="R85" s="26">
        <f t="shared" si="29"/>
        <v>0</v>
      </c>
      <c r="S85" s="26">
        <f t="shared" si="30"/>
        <v>0</v>
      </c>
      <c r="T85" s="26">
        <f t="shared" si="31"/>
        <v>0</v>
      </c>
      <c r="U85" s="26" t="str">
        <f t="shared" si="27"/>
        <v/>
      </c>
      <c r="V85" s="26">
        <v>102</v>
      </c>
      <c r="W85" s="26">
        <f t="shared" si="28"/>
        <v>0</v>
      </c>
      <c r="X85" s="26" t="str">
        <f t="shared" si="32"/>
        <v/>
      </c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16"/>
      <c r="AM85" s="16"/>
      <c r="AN85" s="16"/>
      <c r="AO85" s="16"/>
      <c r="AP85" s="16"/>
      <c r="AQ85" s="16"/>
      <c r="AR85" s="16"/>
      <c r="AS85" s="17"/>
      <c r="AT85" s="18"/>
      <c r="AU85" s="19"/>
      <c r="AV85" s="19"/>
      <c r="AW85" s="19"/>
    </row>
    <row r="86" spans="1:49" s="2" customFormat="1" x14ac:dyDescent="0.2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37"/>
      <c r="O86" s="26"/>
      <c r="P86" s="26"/>
      <c r="Q86" s="26">
        <v>96</v>
      </c>
      <c r="R86" s="26">
        <f t="shared" si="29"/>
        <v>0</v>
      </c>
      <c r="S86" s="26">
        <f t="shared" si="30"/>
        <v>0</v>
      </c>
      <c r="T86" s="26">
        <f t="shared" si="31"/>
        <v>0</v>
      </c>
      <c r="U86" s="26" t="str">
        <f t="shared" si="27"/>
        <v/>
      </c>
      <c r="V86" s="26">
        <v>96</v>
      </c>
      <c r="W86" s="26">
        <f t="shared" si="28"/>
        <v>0</v>
      </c>
      <c r="X86" s="26" t="str">
        <f t="shared" si="32"/>
        <v/>
      </c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16"/>
      <c r="AM86" s="16"/>
      <c r="AN86" s="16"/>
      <c r="AO86" s="16"/>
      <c r="AP86" s="16"/>
      <c r="AQ86" s="16"/>
      <c r="AR86" s="16"/>
      <c r="AS86" s="17"/>
      <c r="AT86" s="18"/>
      <c r="AU86" s="19"/>
      <c r="AV86" s="19"/>
      <c r="AW86" s="19"/>
    </row>
    <row r="87" spans="1:49" s="2" customFormat="1" x14ac:dyDescent="0.2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37"/>
      <c r="O87" s="26"/>
      <c r="P87" s="26"/>
      <c r="Q87" s="26">
        <v>95</v>
      </c>
      <c r="R87" s="26">
        <f t="shared" si="29"/>
        <v>0</v>
      </c>
      <c r="S87" s="26">
        <f t="shared" si="30"/>
        <v>0</v>
      </c>
      <c r="T87" s="26">
        <f t="shared" si="31"/>
        <v>0</v>
      </c>
      <c r="U87" s="26" t="str">
        <f t="shared" si="27"/>
        <v/>
      </c>
      <c r="V87" s="26">
        <v>96</v>
      </c>
      <c r="W87" s="26">
        <f t="shared" si="28"/>
        <v>0</v>
      </c>
      <c r="X87" s="26" t="str">
        <f t="shared" si="32"/>
        <v/>
      </c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16"/>
      <c r="AM87" s="16"/>
      <c r="AN87" s="16"/>
      <c r="AO87" s="16"/>
      <c r="AP87" s="16"/>
      <c r="AQ87" s="16"/>
      <c r="AR87" s="16"/>
      <c r="AS87" s="17"/>
      <c r="AT87" s="18"/>
      <c r="AU87" s="19"/>
      <c r="AV87" s="19"/>
      <c r="AW87" s="19"/>
    </row>
    <row r="88" spans="1:49" s="2" customFormat="1" x14ac:dyDescent="0.2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37"/>
      <c r="O88" s="26"/>
      <c r="P88" s="26"/>
      <c r="Q88" s="26">
        <v>94</v>
      </c>
      <c r="R88" s="26">
        <f t="shared" si="29"/>
        <v>0</v>
      </c>
      <c r="S88" s="26">
        <f t="shared" si="30"/>
        <v>0</v>
      </c>
      <c r="T88" s="26">
        <f t="shared" si="31"/>
        <v>0</v>
      </c>
      <c r="U88" s="26" t="str">
        <f t="shared" si="27"/>
        <v/>
      </c>
      <c r="V88" s="26">
        <v>96</v>
      </c>
      <c r="W88" s="26">
        <f t="shared" si="28"/>
        <v>0</v>
      </c>
      <c r="X88" s="26" t="str">
        <f t="shared" si="32"/>
        <v/>
      </c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16"/>
      <c r="AM88" s="16"/>
      <c r="AN88" s="16"/>
      <c r="AO88" s="16"/>
      <c r="AP88" s="16"/>
      <c r="AQ88" s="16"/>
      <c r="AR88" s="16"/>
      <c r="AS88" s="17"/>
      <c r="AT88" s="18"/>
      <c r="AU88" s="19"/>
      <c r="AV88" s="19"/>
      <c r="AW88" s="19"/>
    </row>
    <row r="89" spans="1:49" s="2" customFormat="1" x14ac:dyDescent="0.2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37"/>
      <c r="O89" s="26"/>
      <c r="P89" s="26"/>
      <c r="Q89" s="26">
        <v>93</v>
      </c>
      <c r="R89" s="26">
        <f t="shared" si="29"/>
        <v>0</v>
      </c>
      <c r="S89" s="26">
        <f t="shared" si="30"/>
        <v>0</v>
      </c>
      <c r="T89" s="26">
        <f t="shared" si="31"/>
        <v>0</v>
      </c>
      <c r="U89" s="26" t="str">
        <f t="shared" si="27"/>
        <v/>
      </c>
      <c r="V89" s="26">
        <v>96</v>
      </c>
      <c r="W89" s="26">
        <f t="shared" si="28"/>
        <v>0</v>
      </c>
      <c r="X89" s="26" t="str">
        <f t="shared" si="32"/>
        <v/>
      </c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16"/>
      <c r="AM89" s="16"/>
      <c r="AN89" s="16"/>
      <c r="AO89" s="16"/>
      <c r="AP89" s="16"/>
      <c r="AQ89" s="16"/>
      <c r="AR89" s="16"/>
      <c r="AS89" s="17"/>
      <c r="AT89" s="18"/>
      <c r="AU89" s="19"/>
      <c r="AV89" s="19"/>
      <c r="AW89" s="19"/>
    </row>
    <row r="90" spans="1:49" s="2" customFormat="1" x14ac:dyDescent="0.2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37"/>
      <c r="O90" s="26"/>
      <c r="P90" s="26"/>
      <c r="Q90" s="26">
        <v>92</v>
      </c>
      <c r="R90" s="26">
        <f t="shared" si="29"/>
        <v>0</v>
      </c>
      <c r="S90" s="26">
        <f t="shared" si="30"/>
        <v>0</v>
      </c>
      <c r="T90" s="26">
        <f t="shared" si="31"/>
        <v>0</v>
      </c>
      <c r="U90" s="26" t="str">
        <f t="shared" si="27"/>
        <v/>
      </c>
      <c r="V90" s="26">
        <v>96</v>
      </c>
      <c r="W90" s="26">
        <f t="shared" si="28"/>
        <v>0</v>
      </c>
      <c r="X90" s="26" t="str">
        <f t="shared" si="32"/>
        <v/>
      </c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16"/>
      <c r="AM90" s="16"/>
      <c r="AN90" s="16"/>
      <c r="AO90" s="16"/>
      <c r="AP90" s="16"/>
      <c r="AQ90" s="16"/>
      <c r="AR90" s="16"/>
      <c r="AS90" s="17"/>
      <c r="AT90" s="18"/>
      <c r="AU90" s="19"/>
      <c r="AV90" s="19"/>
      <c r="AW90" s="19"/>
    </row>
    <row r="91" spans="1:49" s="2" customFormat="1" x14ac:dyDescent="0.2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37"/>
      <c r="O91" s="26"/>
      <c r="P91" s="26"/>
      <c r="Q91" s="26">
        <v>91</v>
      </c>
      <c r="R91" s="26">
        <f t="shared" si="29"/>
        <v>0</v>
      </c>
      <c r="S91" s="26">
        <f t="shared" si="30"/>
        <v>0</v>
      </c>
      <c r="T91" s="26">
        <f t="shared" si="31"/>
        <v>0</v>
      </c>
      <c r="U91" s="26" t="str">
        <f t="shared" si="27"/>
        <v/>
      </c>
      <c r="V91" s="26">
        <v>96</v>
      </c>
      <c r="W91" s="26">
        <f t="shared" si="28"/>
        <v>0</v>
      </c>
      <c r="X91" s="26" t="str">
        <f t="shared" si="32"/>
        <v/>
      </c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16"/>
      <c r="AM91" s="16"/>
      <c r="AN91" s="16"/>
      <c r="AO91" s="16"/>
      <c r="AP91" s="16"/>
      <c r="AQ91" s="16"/>
      <c r="AR91" s="16"/>
      <c r="AS91" s="17"/>
      <c r="AT91" s="18"/>
      <c r="AU91" s="19"/>
      <c r="AV91" s="19"/>
      <c r="AW91" s="19"/>
    </row>
    <row r="92" spans="1:49" s="2" customFormat="1" x14ac:dyDescent="0.2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37"/>
      <c r="O92" s="26"/>
      <c r="P92" s="26"/>
      <c r="Q92" s="26">
        <v>90</v>
      </c>
      <c r="R92" s="26">
        <f t="shared" si="29"/>
        <v>0</v>
      </c>
      <c r="S92" s="26">
        <f t="shared" si="30"/>
        <v>0</v>
      </c>
      <c r="T92" s="26">
        <f t="shared" si="31"/>
        <v>0</v>
      </c>
      <c r="U92" s="26" t="str">
        <f t="shared" si="27"/>
        <v/>
      </c>
      <c r="V92" s="26">
        <v>90</v>
      </c>
      <c r="W92" s="26">
        <f t="shared" si="28"/>
        <v>0</v>
      </c>
      <c r="X92" s="26" t="str">
        <f t="shared" si="32"/>
        <v/>
      </c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16"/>
      <c r="AM92" s="16"/>
      <c r="AN92" s="16"/>
      <c r="AO92" s="16"/>
      <c r="AP92" s="16"/>
      <c r="AQ92" s="16"/>
      <c r="AR92" s="16"/>
      <c r="AS92" s="17"/>
      <c r="AT92" s="18"/>
      <c r="AU92" s="19"/>
      <c r="AV92" s="19"/>
      <c r="AW92" s="19"/>
    </row>
    <row r="93" spans="1:49" s="2" customFormat="1" x14ac:dyDescent="0.2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37"/>
      <c r="O93" s="26"/>
      <c r="P93" s="26"/>
      <c r="Q93" s="26">
        <v>89</v>
      </c>
      <c r="R93" s="26">
        <f t="shared" si="29"/>
        <v>0</v>
      </c>
      <c r="S93" s="26">
        <f t="shared" si="30"/>
        <v>0</v>
      </c>
      <c r="T93" s="26">
        <f t="shared" si="31"/>
        <v>0</v>
      </c>
      <c r="U93" s="26" t="str">
        <f t="shared" si="27"/>
        <v/>
      </c>
      <c r="V93" s="26">
        <v>90</v>
      </c>
      <c r="W93" s="26">
        <f t="shared" si="28"/>
        <v>0</v>
      </c>
      <c r="X93" s="26" t="str">
        <f t="shared" si="32"/>
        <v/>
      </c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16"/>
      <c r="AM93" s="16"/>
      <c r="AN93" s="16"/>
      <c r="AO93" s="16"/>
      <c r="AP93" s="16"/>
      <c r="AQ93" s="16"/>
      <c r="AR93" s="16"/>
      <c r="AS93" s="17"/>
      <c r="AT93" s="18"/>
      <c r="AU93" s="19"/>
      <c r="AV93" s="19"/>
      <c r="AW93" s="19"/>
    </row>
    <row r="94" spans="1:49" s="2" customFormat="1" x14ac:dyDescent="0.2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37"/>
      <c r="O94" s="26"/>
      <c r="P94" s="26"/>
      <c r="Q94" s="26">
        <v>88</v>
      </c>
      <c r="R94" s="26">
        <f t="shared" si="29"/>
        <v>0</v>
      </c>
      <c r="S94" s="26">
        <f t="shared" si="30"/>
        <v>0</v>
      </c>
      <c r="T94" s="26">
        <f t="shared" si="31"/>
        <v>0</v>
      </c>
      <c r="U94" s="26" t="str">
        <f t="shared" si="27"/>
        <v/>
      </c>
      <c r="V94" s="26">
        <v>90</v>
      </c>
      <c r="W94" s="26">
        <f t="shared" si="28"/>
        <v>0</v>
      </c>
      <c r="X94" s="26" t="str">
        <f t="shared" si="32"/>
        <v/>
      </c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16"/>
      <c r="AM94" s="16"/>
      <c r="AN94" s="16"/>
      <c r="AO94" s="16"/>
      <c r="AP94" s="16"/>
      <c r="AQ94" s="16"/>
      <c r="AR94" s="16"/>
      <c r="AS94" s="17"/>
      <c r="AT94" s="18"/>
      <c r="AU94" s="19"/>
      <c r="AV94" s="19"/>
      <c r="AW94" s="19"/>
    </row>
    <row r="95" spans="1:49" s="2" customFormat="1" x14ac:dyDescent="0.2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37"/>
      <c r="O95" s="26"/>
      <c r="P95" s="26"/>
      <c r="Q95" s="26">
        <v>87</v>
      </c>
      <c r="R95" s="26">
        <f t="shared" si="29"/>
        <v>0</v>
      </c>
      <c r="S95" s="26">
        <f t="shared" si="30"/>
        <v>0</v>
      </c>
      <c r="T95" s="26">
        <f t="shared" si="31"/>
        <v>0</v>
      </c>
      <c r="U95" s="26" t="str">
        <f t="shared" si="27"/>
        <v/>
      </c>
      <c r="V95" s="26">
        <v>90</v>
      </c>
      <c r="W95" s="26">
        <f t="shared" si="28"/>
        <v>0</v>
      </c>
      <c r="X95" s="26" t="str">
        <f t="shared" si="32"/>
        <v/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16"/>
      <c r="AM95" s="16"/>
      <c r="AN95" s="16"/>
      <c r="AO95" s="16"/>
      <c r="AP95" s="16"/>
      <c r="AQ95" s="16"/>
      <c r="AR95" s="16"/>
      <c r="AS95" s="17"/>
      <c r="AT95" s="18"/>
      <c r="AU95" s="19"/>
      <c r="AV95" s="19"/>
      <c r="AW95" s="19"/>
    </row>
    <row r="96" spans="1:49" s="2" customFormat="1" x14ac:dyDescent="0.2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37"/>
      <c r="O96" s="26"/>
      <c r="P96" s="26"/>
      <c r="Q96" s="26">
        <v>86</v>
      </c>
      <c r="R96" s="26">
        <f t="shared" si="29"/>
        <v>0</v>
      </c>
      <c r="S96" s="26">
        <f t="shared" si="30"/>
        <v>0</v>
      </c>
      <c r="T96" s="26">
        <f t="shared" si="31"/>
        <v>0</v>
      </c>
      <c r="U96" s="26" t="str">
        <f t="shared" si="27"/>
        <v/>
      </c>
      <c r="V96" s="26">
        <v>90</v>
      </c>
      <c r="W96" s="26">
        <f t="shared" si="28"/>
        <v>0</v>
      </c>
      <c r="X96" s="26" t="str">
        <f t="shared" si="32"/>
        <v/>
      </c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16"/>
      <c r="AM96" s="16"/>
      <c r="AN96" s="16"/>
      <c r="AO96" s="16"/>
      <c r="AP96" s="16"/>
      <c r="AQ96" s="16"/>
      <c r="AR96" s="16"/>
      <c r="AS96" s="17"/>
      <c r="AT96" s="18"/>
      <c r="AU96" s="19"/>
      <c r="AV96" s="19"/>
      <c r="AW96" s="19"/>
    </row>
    <row r="97" spans="1:49" s="2" customFormat="1" x14ac:dyDescent="0.2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37"/>
      <c r="O97" s="26"/>
      <c r="P97" s="26"/>
      <c r="Q97" s="26">
        <v>85</v>
      </c>
      <c r="R97" s="26">
        <f t="shared" si="29"/>
        <v>0</v>
      </c>
      <c r="S97" s="26">
        <f t="shared" si="30"/>
        <v>0</v>
      </c>
      <c r="T97" s="26">
        <f t="shared" si="31"/>
        <v>0</v>
      </c>
      <c r="U97" s="26" t="str">
        <f t="shared" si="27"/>
        <v/>
      </c>
      <c r="V97" s="26">
        <v>90</v>
      </c>
      <c r="W97" s="26">
        <f t="shared" si="28"/>
        <v>0</v>
      </c>
      <c r="X97" s="26" t="str">
        <f t="shared" si="32"/>
        <v/>
      </c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16"/>
      <c r="AM97" s="16"/>
      <c r="AN97" s="16"/>
      <c r="AO97" s="16"/>
      <c r="AP97" s="16"/>
      <c r="AQ97" s="16"/>
      <c r="AR97" s="16"/>
      <c r="AS97" s="17"/>
      <c r="AT97" s="18"/>
      <c r="AU97" s="19"/>
      <c r="AV97" s="19"/>
      <c r="AW97" s="19"/>
    </row>
    <row r="98" spans="1:49" s="2" customFormat="1" x14ac:dyDescent="0.2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37"/>
      <c r="O98" s="26"/>
      <c r="P98" s="26"/>
      <c r="Q98" s="26">
        <v>84</v>
      </c>
      <c r="R98" s="26">
        <f t="shared" si="29"/>
        <v>0</v>
      </c>
      <c r="S98" s="26">
        <f t="shared" si="30"/>
        <v>0</v>
      </c>
      <c r="T98" s="26">
        <f t="shared" si="31"/>
        <v>0</v>
      </c>
      <c r="U98" s="26" t="str">
        <f t="shared" si="27"/>
        <v/>
      </c>
      <c r="V98" s="26">
        <v>84</v>
      </c>
      <c r="W98" s="26">
        <f t="shared" ref="W98:W129" si="33">IFERROR(VLOOKUP(Q98,$H$16:$O$38,8,FALSE),0)</f>
        <v>0</v>
      </c>
      <c r="X98" s="26" t="str">
        <f t="shared" si="32"/>
        <v/>
      </c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16"/>
      <c r="AM98" s="16"/>
      <c r="AN98" s="16"/>
      <c r="AO98" s="16"/>
      <c r="AP98" s="16"/>
      <c r="AQ98" s="16"/>
      <c r="AR98" s="16"/>
      <c r="AS98" s="17"/>
      <c r="AT98" s="18"/>
      <c r="AU98" s="19"/>
      <c r="AV98" s="19"/>
      <c r="AW98" s="19"/>
    </row>
    <row r="99" spans="1:49" s="2" customFormat="1" x14ac:dyDescent="0.2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37"/>
      <c r="O99" s="26"/>
      <c r="P99" s="26"/>
      <c r="Q99" s="26">
        <v>83</v>
      </c>
      <c r="R99" s="26">
        <f t="shared" si="29"/>
        <v>0</v>
      </c>
      <c r="S99" s="26">
        <f t="shared" si="30"/>
        <v>0</v>
      </c>
      <c r="T99" s="26">
        <f t="shared" si="31"/>
        <v>0</v>
      </c>
      <c r="U99" s="26" t="str">
        <f t="shared" si="27"/>
        <v/>
      </c>
      <c r="V99" s="26">
        <v>84</v>
      </c>
      <c r="W99" s="26">
        <f t="shared" si="33"/>
        <v>0</v>
      </c>
      <c r="X99" s="26" t="str">
        <f t="shared" si="32"/>
        <v/>
      </c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16"/>
      <c r="AM99" s="16"/>
      <c r="AN99" s="16"/>
      <c r="AO99" s="16"/>
      <c r="AP99" s="16"/>
      <c r="AQ99" s="16"/>
      <c r="AR99" s="16"/>
      <c r="AS99" s="17"/>
      <c r="AT99" s="18"/>
      <c r="AU99" s="19"/>
      <c r="AV99" s="19"/>
      <c r="AW99" s="19"/>
    </row>
    <row r="100" spans="1:49" s="2" customFormat="1" x14ac:dyDescent="0.2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37"/>
      <c r="O100" s="26"/>
      <c r="P100" s="26"/>
      <c r="Q100" s="26">
        <v>82</v>
      </c>
      <c r="R100" s="26">
        <f t="shared" si="29"/>
        <v>0</v>
      </c>
      <c r="S100" s="26">
        <f t="shared" si="30"/>
        <v>0</v>
      </c>
      <c r="T100" s="26">
        <f t="shared" si="31"/>
        <v>0</v>
      </c>
      <c r="U100" s="26" t="str">
        <f t="shared" si="27"/>
        <v/>
      </c>
      <c r="V100" s="26">
        <v>84</v>
      </c>
      <c r="W100" s="26">
        <f t="shared" si="33"/>
        <v>0</v>
      </c>
      <c r="X100" s="26" t="str">
        <f t="shared" si="32"/>
        <v/>
      </c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16"/>
      <c r="AM100" s="16"/>
      <c r="AN100" s="16"/>
      <c r="AO100" s="16"/>
      <c r="AP100" s="16"/>
      <c r="AQ100" s="16"/>
      <c r="AR100" s="16"/>
      <c r="AS100" s="17"/>
      <c r="AT100" s="18"/>
      <c r="AU100" s="19"/>
      <c r="AV100" s="19"/>
      <c r="AW100" s="19"/>
    </row>
    <row r="101" spans="1:49" s="2" customFormat="1" x14ac:dyDescent="0.2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37"/>
      <c r="O101" s="26"/>
      <c r="P101" s="26"/>
      <c r="Q101" s="26">
        <v>81</v>
      </c>
      <c r="R101" s="26">
        <f t="shared" si="29"/>
        <v>0</v>
      </c>
      <c r="S101" s="26">
        <f t="shared" si="30"/>
        <v>0</v>
      </c>
      <c r="T101" s="26">
        <f t="shared" si="31"/>
        <v>0</v>
      </c>
      <c r="U101" s="26" t="str">
        <f t="shared" si="27"/>
        <v/>
      </c>
      <c r="V101" s="26">
        <v>84</v>
      </c>
      <c r="W101" s="26">
        <f t="shared" si="33"/>
        <v>0</v>
      </c>
      <c r="X101" s="26" t="str">
        <f t="shared" si="32"/>
        <v/>
      </c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16"/>
      <c r="AM101" s="16"/>
      <c r="AN101" s="16"/>
      <c r="AO101" s="16"/>
      <c r="AP101" s="16"/>
      <c r="AQ101" s="16"/>
      <c r="AR101" s="16"/>
      <c r="AS101" s="17"/>
      <c r="AT101" s="18"/>
      <c r="AU101" s="19"/>
      <c r="AV101" s="19"/>
      <c r="AW101" s="19"/>
    </row>
    <row r="102" spans="1:49" s="2" customFormat="1" x14ac:dyDescent="0.2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37"/>
      <c r="O102" s="26"/>
      <c r="P102" s="26"/>
      <c r="Q102" s="26">
        <v>80</v>
      </c>
      <c r="R102" s="26">
        <f t="shared" si="29"/>
        <v>0</v>
      </c>
      <c r="S102" s="26">
        <f t="shared" si="30"/>
        <v>0</v>
      </c>
      <c r="T102" s="26">
        <f t="shared" si="31"/>
        <v>0</v>
      </c>
      <c r="U102" s="26" t="str">
        <f t="shared" si="27"/>
        <v/>
      </c>
      <c r="V102" s="26">
        <v>84</v>
      </c>
      <c r="W102" s="26">
        <f t="shared" si="33"/>
        <v>0</v>
      </c>
      <c r="X102" s="26" t="str">
        <f t="shared" si="32"/>
        <v/>
      </c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16"/>
      <c r="AM102" s="16"/>
      <c r="AN102" s="16"/>
      <c r="AO102" s="16"/>
      <c r="AP102" s="16"/>
      <c r="AQ102" s="16"/>
      <c r="AR102" s="16"/>
      <c r="AS102" s="17"/>
      <c r="AT102" s="18"/>
      <c r="AU102" s="19"/>
      <c r="AV102" s="19"/>
      <c r="AW102" s="19"/>
    </row>
    <row r="103" spans="1:49" s="2" customFormat="1" x14ac:dyDescent="0.2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37"/>
      <c r="O103" s="26"/>
      <c r="P103" s="26"/>
      <c r="Q103" s="26">
        <v>79</v>
      </c>
      <c r="R103" s="26">
        <f t="shared" si="29"/>
        <v>0</v>
      </c>
      <c r="S103" s="26">
        <f t="shared" si="30"/>
        <v>0</v>
      </c>
      <c r="T103" s="26">
        <f t="shared" si="31"/>
        <v>0</v>
      </c>
      <c r="U103" s="26" t="str">
        <f t="shared" si="27"/>
        <v/>
      </c>
      <c r="V103" s="26">
        <v>84</v>
      </c>
      <c r="W103" s="26">
        <f t="shared" si="33"/>
        <v>0</v>
      </c>
      <c r="X103" s="26" t="str">
        <f t="shared" si="32"/>
        <v/>
      </c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16"/>
      <c r="AM103" s="16"/>
      <c r="AN103" s="16"/>
      <c r="AO103" s="16"/>
      <c r="AP103" s="16"/>
      <c r="AQ103" s="16"/>
      <c r="AR103" s="16"/>
      <c r="AS103" s="17"/>
      <c r="AT103" s="18"/>
      <c r="AU103" s="19"/>
      <c r="AV103" s="19"/>
      <c r="AW103" s="19"/>
    </row>
    <row r="104" spans="1:49" s="2" customFormat="1" x14ac:dyDescent="0.2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37"/>
      <c r="O104" s="26"/>
      <c r="P104" s="26"/>
      <c r="Q104" s="26">
        <v>78</v>
      </c>
      <c r="R104" s="26">
        <f t="shared" si="29"/>
        <v>0</v>
      </c>
      <c r="S104" s="26">
        <f t="shared" si="30"/>
        <v>0</v>
      </c>
      <c r="T104" s="26">
        <f t="shared" si="31"/>
        <v>0</v>
      </c>
      <c r="U104" s="26" t="str">
        <f t="shared" si="27"/>
        <v/>
      </c>
      <c r="V104" s="26">
        <v>78</v>
      </c>
      <c r="W104" s="26">
        <f t="shared" si="33"/>
        <v>0</v>
      </c>
      <c r="X104" s="26" t="str">
        <f t="shared" si="32"/>
        <v/>
      </c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16"/>
      <c r="AM104" s="16"/>
      <c r="AN104" s="16"/>
      <c r="AO104" s="16"/>
      <c r="AP104" s="16"/>
      <c r="AQ104" s="16"/>
      <c r="AR104" s="16"/>
      <c r="AS104" s="17"/>
      <c r="AT104" s="18"/>
      <c r="AU104" s="19"/>
      <c r="AV104" s="19"/>
      <c r="AW104" s="19"/>
    </row>
    <row r="105" spans="1:49" s="2" customFormat="1" x14ac:dyDescent="0.2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37"/>
      <c r="O105" s="26"/>
      <c r="P105" s="26"/>
      <c r="Q105" s="26">
        <v>77</v>
      </c>
      <c r="R105" s="26">
        <f t="shared" si="29"/>
        <v>0</v>
      </c>
      <c r="S105" s="26">
        <f t="shared" si="30"/>
        <v>0</v>
      </c>
      <c r="T105" s="26">
        <f t="shared" si="31"/>
        <v>0</v>
      </c>
      <c r="U105" s="26" t="str">
        <f t="shared" si="27"/>
        <v/>
      </c>
      <c r="V105" s="26">
        <v>78</v>
      </c>
      <c r="W105" s="26">
        <f t="shared" si="33"/>
        <v>0</v>
      </c>
      <c r="X105" s="26" t="str">
        <f t="shared" si="32"/>
        <v/>
      </c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16"/>
      <c r="AM105" s="16"/>
      <c r="AN105" s="16"/>
      <c r="AO105" s="16"/>
      <c r="AP105" s="16"/>
      <c r="AQ105" s="16"/>
      <c r="AR105" s="16"/>
      <c r="AS105" s="17"/>
      <c r="AT105" s="18"/>
      <c r="AU105" s="19"/>
      <c r="AV105" s="19"/>
      <c r="AW105" s="19"/>
    </row>
    <row r="106" spans="1:49" s="2" customFormat="1" x14ac:dyDescent="0.2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37"/>
      <c r="O106" s="26"/>
      <c r="P106" s="26"/>
      <c r="Q106" s="26">
        <v>76</v>
      </c>
      <c r="R106" s="26">
        <f t="shared" si="29"/>
        <v>0</v>
      </c>
      <c r="S106" s="26">
        <f t="shared" si="30"/>
        <v>0</v>
      </c>
      <c r="T106" s="26">
        <f t="shared" si="31"/>
        <v>0</v>
      </c>
      <c r="U106" s="26" t="str">
        <f t="shared" si="27"/>
        <v/>
      </c>
      <c r="V106" s="26">
        <v>78</v>
      </c>
      <c r="W106" s="26">
        <f t="shared" si="33"/>
        <v>0</v>
      </c>
      <c r="X106" s="26" t="str">
        <f t="shared" si="32"/>
        <v/>
      </c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16"/>
      <c r="AM106" s="16"/>
      <c r="AN106" s="16"/>
      <c r="AO106" s="16"/>
      <c r="AP106" s="16"/>
      <c r="AQ106" s="16"/>
      <c r="AR106" s="16"/>
      <c r="AS106" s="17"/>
      <c r="AT106" s="18"/>
      <c r="AU106" s="19"/>
      <c r="AV106" s="19"/>
      <c r="AW106" s="19"/>
    </row>
    <row r="107" spans="1:49" s="2" customFormat="1" x14ac:dyDescent="0.2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37"/>
      <c r="O107" s="26"/>
      <c r="P107" s="26"/>
      <c r="Q107" s="26">
        <v>75</v>
      </c>
      <c r="R107" s="26">
        <f t="shared" si="29"/>
        <v>0</v>
      </c>
      <c r="S107" s="26">
        <f t="shared" si="30"/>
        <v>0</v>
      </c>
      <c r="T107" s="26">
        <f t="shared" si="31"/>
        <v>0</v>
      </c>
      <c r="U107" s="26" t="str">
        <f t="shared" si="27"/>
        <v/>
      </c>
      <c r="V107" s="26">
        <v>78</v>
      </c>
      <c r="W107" s="26">
        <f t="shared" si="33"/>
        <v>0</v>
      </c>
      <c r="X107" s="26" t="str">
        <f t="shared" si="32"/>
        <v/>
      </c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16"/>
      <c r="AM107" s="16"/>
      <c r="AN107" s="16"/>
      <c r="AO107" s="16"/>
      <c r="AP107" s="16"/>
      <c r="AQ107" s="16"/>
      <c r="AR107" s="16"/>
      <c r="AS107" s="17"/>
      <c r="AT107" s="18"/>
      <c r="AU107" s="19"/>
      <c r="AV107" s="19"/>
      <c r="AW107" s="19"/>
    </row>
    <row r="108" spans="1:49" s="2" customFormat="1" x14ac:dyDescent="0.2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37"/>
      <c r="O108" s="26"/>
      <c r="P108" s="26"/>
      <c r="Q108" s="26">
        <v>74</v>
      </c>
      <c r="R108" s="26">
        <f t="shared" si="29"/>
        <v>0</v>
      </c>
      <c r="S108" s="26">
        <f t="shared" si="30"/>
        <v>0</v>
      </c>
      <c r="T108" s="26">
        <f t="shared" si="31"/>
        <v>0</v>
      </c>
      <c r="U108" s="26" t="str">
        <f t="shared" si="27"/>
        <v/>
      </c>
      <c r="V108" s="26">
        <v>78</v>
      </c>
      <c r="W108" s="26">
        <f t="shared" si="33"/>
        <v>0</v>
      </c>
      <c r="X108" s="26" t="str">
        <f t="shared" si="32"/>
        <v/>
      </c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16"/>
      <c r="AM108" s="16"/>
      <c r="AN108" s="16"/>
      <c r="AO108" s="16"/>
      <c r="AP108" s="16"/>
      <c r="AQ108" s="16"/>
      <c r="AR108" s="16"/>
      <c r="AS108" s="17"/>
      <c r="AT108" s="18"/>
      <c r="AU108" s="19"/>
      <c r="AV108" s="19"/>
      <c r="AW108" s="19"/>
    </row>
    <row r="109" spans="1:49" s="2" customFormat="1" x14ac:dyDescent="0.2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37"/>
      <c r="O109" s="26"/>
      <c r="P109" s="26"/>
      <c r="Q109" s="26">
        <v>73</v>
      </c>
      <c r="R109" s="26">
        <f t="shared" si="29"/>
        <v>0</v>
      </c>
      <c r="S109" s="26">
        <f t="shared" si="30"/>
        <v>0</v>
      </c>
      <c r="T109" s="26">
        <f t="shared" si="31"/>
        <v>0</v>
      </c>
      <c r="U109" s="26" t="str">
        <f t="shared" si="27"/>
        <v/>
      </c>
      <c r="V109" s="26">
        <v>78</v>
      </c>
      <c r="W109" s="26">
        <f t="shared" si="33"/>
        <v>0</v>
      </c>
      <c r="X109" s="26" t="str">
        <f t="shared" si="32"/>
        <v/>
      </c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16"/>
      <c r="AM109" s="16"/>
      <c r="AN109" s="16"/>
      <c r="AO109" s="16"/>
      <c r="AP109" s="16"/>
      <c r="AQ109" s="16"/>
      <c r="AR109" s="16"/>
      <c r="AS109" s="17"/>
      <c r="AT109" s="18"/>
      <c r="AU109" s="19"/>
      <c r="AV109" s="19"/>
      <c r="AW109" s="19"/>
    </row>
    <row r="110" spans="1:49" s="2" customFormat="1" x14ac:dyDescent="0.2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37"/>
      <c r="O110" s="26"/>
      <c r="P110" s="26"/>
      <c r="Q110" s="26">
        <v>72</v>
      </c>
      <c r="R110" s="26">
        <f t="shared" si="29"/>
        <v>1</v>
      </c>
      <c r="S110" s="26">
        <f t="shared" si="30"/>
        <v>0</v>
      </c>
      <c r="T110" s="26" t="str">
        <f t="shared" si="31"/>
        <v>ERROR</v>
      </c>
      <c r="U110" s="26" t="str">
        <f t="shared" si="27"/>
        <v/>
      </c>
      <c r="V110" s="26">
        <v>72</v>
      </c>
      <c r="W110" s="26">
        <f t="shared" si="33"/>
        <v>4</v>
      </c>
      <c r="X110" s="26">
        <f t="shared" si="32"/>
        <v>0</v>
      </c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16"/>
      <c r="AM110" s="16"/>
      <c r="AN110" s="16"/>
      <c r="AO110" s="16"/>
      <c r="AP110" s="16"/>
      <c r="AQ110" s="16"/>
      <c r="AR110" s="16"/>
      <c r="AS110" s="17"/>
      <c r="AT110" s="18"/>
      <c r="AU110" s="19"/>
      <c r="AV110" s="19"/>
      <c r="AW110" s="19"/>
    </row>
    <row r="111" spans="1:49" s="2" customFormat="1" x14ac:dyDescent="0.2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37"/>
      <c r="O111" s="26"/>
      <c r="P111" s="26"/>
      <c r="Q111" s="26">
        <v>71</v>
      </c>
      <c r="R111" s="26">
        <f t="shared" si="29"/>
        <v>0</v>
      </c>
      <c r="S111" s="26">
        <f t="shared" si="30"/>
        <v>0</v>
      </c>
      <c r="T111" s="26">
        <f t="shared" si="31"/>
        <v>0</v>
      </c>
      <c r="U111" s="26" t="str">
        <f t="shared" si="27"/>
        <v/>
      </c>
      <c r="V111" s="26">
        <v>72</v>
      </c>
      <c r="W111" s="26">
        <f t="shared" si="33"/>
        <v>0</v>
      </c>
      <c r="X111" s="26" t="str">
        <f t="shared" si="32"/>
        <v/>
      </c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16"/>
      <c r="AM111" s="16"/>
      <c r="AN111" s="16"/>
      <c r="AO111" s="16"/>
      <c r="AP111" s="16"/>
      <c r="AQ111" s="16"/>
      <c r="AR111" s="16"/>
      <c r="AS111" s="17"/>
      <c r="AT111" s="18"/>
      <c r="AU111" s="19"/>
      <c r="AV111" s="19"/>
      <c r="AW111" s="19"/>
    </row>
    <row r="112" spans="1:49" s="2" customFormat="1" x14ac:dyDescent="0.2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37"/>
      <c r="O112" s="26"/>
      <c r="P112" s="26"/>
      <c r="Q112" s="26">
        <v>70</v>
      </c>
      <c r="R112" s="26">
        <f t="shared" si="29"/>
        <v>0</v>
      </c>
      <c r="S112" s="26">
        <f t="shared" si="30"/>
        <v>0</v>
      </c>
      <c r="T112" s="26">
        <f t="shared" si="31"/>
        <v>0</v>
      </c>
      <c r="U112" s="26" t="str">
        <f t="shared" si="27"/>
        <v/>
      </c>
      <c r="V112" s="26">
        <v>72</v>
      </c>
      <c r="W112" s="26">
        <f t="shared" si="33"/>
        <v>0</v>
      </c>
      <c r="X112" s="26" t="str">
        <f t="shared" si="32"/>
        <v/>
      </c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16"/>
      <c r="AM112" s="16"/>
      <c r="AN112" s="16"/>
      <c r="AO112" s="16"/>
      <c r="AP112" s="16"/>
      <c r="AQ112" s="16"/>
      <c r="AR112" s="16"/>
      <c r="AS112" s="17"/>
      <c r="AT112" s="18"/>
      <c r="AU112" s="19"/>
      <c r="AV112" s="19"/>
      <c r="AW112" s="19"/>
    </row>
    <row r="113" spans="1:49" s="2" customFormat="1" x14ac:dyDescent="0.2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37"/>
      <c r="O113" s="26"/>
      <c r="P113" s="26"/>
      <c r="Q113" s="26">
        <v>69</v>
      </c>
      <c r="R113" s="26">
        <f t="shared" si="29"/>
        <v>0</v>
      </c>
      <c r="S113" s="26">
        <f t="shared" si="30"/>
        <v>0</v>
      </c>
      <c r="T113" s="26">
        <f t="shared" si="31"/>
        <v>0</v>
      </c>
      <c r="U113" s="26" t="str">
        <f t="shared" si="27"/>
        <v/>
      </c>
      <c r="V113" s="26">
        <v>72</v>
      </c>
      <c r="W113" s="26">
        <f t="shared" si="33"/>
        <v>0</v>
      </c>
      <c r="X113" s="26" t="str">
        <f t="shared" si="32"/>
        <v/>
      </c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16"/>
      <c r="AM113" s="16"/>
      <c r="AN113" s="16"/>
      <c r="AO113" s="16"/>
      <c r="AP113" s="16"/>
      <c r="AQ113" s="16"/>
      <c r="AR113" s="16"/>
      <c r="AS113" s="17"/>
      <c r="AT113" s="18"/>
      <c r="AU113" s="19"/>
      <c r="AV113" s="19"/>
      <c r="AW113" s="19"/>
    </row>
    <row r="114" spans="1:49" s="2" customFormat="1" x14ac:dyDescent="0.2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37"/>
      <c r="O114" s="26"/>
      <c r="P114" s="26"/>
      <c r="Q114" s="26">
        <v>68</v>
      </c>
      <c r="R114" s="26">
        <f t="shared" si="29"/>
        <v>0</v>
      </c>
      <c r="S114" s="26">
        <f t="shared" si="30"/>
        <v>0</v>
      </c>
      <c r="T114" s="26">
        <f t="shared" si="31"/>
        <v>0</v>
      </c>
      <c r="U114" s="26" t="str">
        <f t="shared" si="27"/>
        <v/>
      </c>
      <c r="V114" s="26">
        <v>72</v>
      </c>
      <c r="W114" s="26">
        <f t="shared" si="33"/>
        <v>0</v>
      </c>
      <c r="X114" s="26" t="str">
        <f t="shared" si="32"/>
        <v/>
      </c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16"/>
      <c r="AM114" s="16"/>
      <c r="AN114" s="16"/>
      <c r="AO114" s="16"/>
      <c r="AP114" s="16"/>
      <c r="AQ114" s="16"/>
      <c r="AR114" s="16"/>
      <c r="AS114" s="17"/>
      <c r="AT114" s="18"/>
      <c r="AU114" s="19"/>
      <c r="AV114" s="19"/>
      <c r="AW114" s="19"/>
    </row>
    <row r="115" spans="1:49" s="2" customFormat="1" x14ac:dyDescent="0.2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37"/>
      <c r="O115" s="26"/>
      <c r="P115" s="26"/>
      <c r="Q115" s="26">
        <v>67</v>
      </c>
      <c r="R115" s="26">
        <f t="shared" si="29"/>
        <v>0</v>
      </c>
      <c r="S115" s="26">
        <f t="shared" si="30"/>
        <v>0</v>
      </c>
      <c r="T115" s="26">
        <f t="shared" si="31"/>
        <v>0</v>
      </c>
      <c r="U115" s="26" t="str">
        <f t="shared" si="27"/>
        <v/>
      </c>
      <c r="V115" s="26">
        <v>72</v>
      </c>
      <c r="W115" s="26">
        <f t="shared" si="33"/>
        <v>0</v>
      </c>
      <c r="X115" s="26" t="str">
        <f t="shared" si="32"/>
        <v/>
      </c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16"/>
      <c r="AM115" s="16"/>
      <c r="AN115" s="16"/>
      <c r="AO115" s="16"/>
      <c r="AP115" s="16"/>
      <c r="AQ115" s="16"/>
      <c r="AR115" s="16"/>
      <c r="AS115" s="17"/>
      <c r="AT115" s="18"/>
      <c r="AU115" s="19"/>
      <c r="AV115" s="19"/>
      <c r="AW115" s="19"/>
    </row>
    <row r="116" spans="1:49" s="2" customFormat="1" x14ac:dyDescent="0.2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37"/>
      <c r="O116" s="26"/>
      <c r="P116" s="26"/>
      <c r="Q116" s="26">
        <v>66</v>
      </c>
      <c r="R116" s="26">
        <f t="shared" si="29"/>
        <v>0</v>
      </c>
      <c r="S116" s="26">
        <f t="shared" si="30"/>
        <v>0</v>
      </c>
      <c r="T116" s="26">
        <f t="shared" si="31"/>
        <v>0</v>
      </c>
      <c r="U116" s="26" t="str">
        <f t="shared" si="27"/>
        <v/>
      </c>
      <c r="V116" s="26">
        <v>66</v>
      </c>
      <c r="W116" s="26">
        <f t="shared" si="33"/>
        <v>0</v>
      </c>
      <c r="X116" s="26" t="str">
        <f t="shared" si="32"/>
        <v/>
      </c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16"/>
      <c r="AM116" s="16"/>
      <c r="AN116" s="16"/>
      <c r="AO116" s="16"/>
      <c r="AP116" s="16"/>
      <c r="AQ116" s="16"/>
      <c r="AR116" s="16"/>
      <c r="AS116" s="17"/>
      <c r="AT116" s="18"/>
      <c r="AU116" s="19"/>
      <c r="AV116" s="19"/>
      <c r="AW116" s="19"/>
    </row>
    <row r="117" spans="1:49" s="2" customFormat="1" x14ac:dyDescent="0.2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37"/>
      <c r="O117" s="26"/>
      <c r="P117" s="26"/>
      <c r="Q117" s="26">
        <v>65</v>
      </c>
      <c r="R117" s="26">
        <f t="shared" si="29"/>
        <v>0</v>
      </c>
      <c r="S117" s="26">
        <f t="shared" si="30"/>
        <v>0</v>
      </c>
      <c r="T117" s="26">
        <f t="shared" si="31"/>
        <v>0</v>
      </c>
      <c r="U117" s="26" t="str">
        <f t="shared" si="27"/>
        <v/>
      </c>
      <c r="V117" s="26">
        <v>66</v>
      </c>
      <c r="W117" s="26">
        <f t="shared" si="33"/>
        <v>0</v>
      </c>
      <c r="X117" s="26" t="str">
        <f t="shared" si="32"/>
        <v/>
      </c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16"/>
      <c r="AM117" s="16"/>
      <c r="AN117" s="16"/>
      <c r="AO117" s="16"/>
      <c r="AP117" s="16"/>
      <c r="AQ117" s="16"/>
      <c r="AR117" s="16"/>
      <c r="AS117" s="17"/>
      <c r="AT117" s="18"/>
      <c r="AU117" s="19"/>
      <c r="AV117" s="19"/>
      <c r="AW117" s="19"/>
    </row>
    <row r="118" spans="1:49" s="2" customFormat="1" x14ac:dyDescent="0.2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37"/>
      <c r="O118" s="26"/>
      <c r="P118" s="26"/>
      <c r="Q118" s="26">
        <v>64</v>
      </c>
      <c r="R118" s="26">
        <f t="shared" si="29"/>
        <v>0</v>
      </c>
      <c r="S118" s="26">
        <f t="shared" si="30"/>
        <v>0</v>
      </c>
      <c r="T118" s="26">
        <f t="shared" si="31"/>
        <v>0</v>
      </c>
      <c r="U118" s="26" t="str">
        <f t="shared" si="27"/>
        <v/>
      </c>
      <c r="V118" s="26">
        <v>66</v>
      </c>
      <c r="W118" s="26">
        <f t="shared" si="33"/>
        <v>0</v>
      </c>
      <c r="X118" s="26" t="str">
        <f t="shared" si="32"/>
        <v/>
      </c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16"/>
      <c r="AM118" s="16"/>
      <c r="AN118" s="16"/>
      <c r="AO118" s="16"/>
      <c r="AP118" s="16"/>
      <c r="AQ118" s="16"/>
      <c r="AR118" s="16"/>
      <c r="AS118" s="17"/>
      <c r="AT118" s="18"/>
      <c r="AU118" s="19"/>
      <c r="AV118" s="19"/>
      <c r="AW118" s="19"/>
    </row>
    <row r="119" spans="1:49" s="2" customFormat="1" x14ac:dyDescent="0.2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37"/>
      <c r="O119" s="26"/>
      <c r="P119" s="26"/>
      <c r="Q119" s="26">
        <v>63</v>
      </c>
      <c r="R119" s="26">
        <f t="shared" si="29"/>
        <v>0</v>
      </c>
      <c r="S119" s="26">
        <f t="shared" si="30"/>
        <v>0</v>
      </c>
      <c r="T119" s="26">
        <f t="shared" si="31"/>
        <v>0</v>
      </c>
      <c r="U119" s="26" t="str">
        <f t="shared" si="27"/>
        <v/>
      </c>
      <c r="V119" s="26">
        <v>66</v>
      </c>
      <c r="W119" s="26">
        <f t="shared" si="33"/>
        <v>0</v>
      </c>
      <c r="X119" s="26" t="str">
        <f t="shared" si="32"/>
        <v/>
      </c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16"/>
      <c r="AM119" s="16"/>
      <c r="AN119" s="16"/>
      <c r="AO119" s="16"/>
      <c r="AP119" s="16"/>
      <c r="AQ119" s="16"/>
      <c r="AR119" s="16"/>
      <c r="AS119" s="17"/>
      <c r="AT119" s="18"/>
      <c r="AU119" s="19"/>
      <c r="AV119" s="19"/>
      <c r="AW119" s="19"/>
    </row>
    <row r="120" spans="1:49" s="2" customFormat="1" x14ac:dyDescent="0.2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37"/>
      <c r="O120" s="26"/>
      <c r="P120" s="26"/>
      <c r="Q120" s="26">
        <v>62</v>
      </c>
      <c r="R120" s="26">
        <f t="shared" si="29"/>
        <v>0</v>
      </c>
      <c r="S120" s="26">
        <f t="shared" si="30"/>
        <v>0</v>
      </c>
      <c r="T120" s="26">
        <f t="shared" si="31"/>
        <v>0</v>
      </c>
      <c r="U120" s="26" t="str">
        <f t="shared" si="27"/>
        <v/>
      </c>
      <c r="V120" s="26">
        <v>66</v>
      </c>
      <c r="W120" s="26">
        <f t="shared" si="33"/>
        <v>0</v>
      </c>
      <c r="X120" s="26" t="str">
        <f t="shared" si="32"/>
        <v/>
      </c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16"/>
      <c r="AM120" s="16"/>
      <c r="AN120" s="16"/>
      <c r="AO120" s="16"/>
      <c r="AP120" s="16"/>
      <c r="AQ120" s="16"/>
      <c r="AR120" s="16"/>
      <c r="AS120" s="17"/>
      <c r="AT120" s="18"/>
      <c r="AU120" s="19"/>
      <c r="AV120" s="19"/>
      <c r="AW120" s="19"/>
    </row>
    <row r="121" spans="1:49" s="2" customFormat="1" x14ac:dyDescent="0.2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37"/>
      <c r="O121" s="26"/>
      <c r="P121" s="26"/>
      <c r="Q121" s="26">
        <v>61</v>
      </c>
      <c r="R121" s="26">
        <f t="shared" si="29"/>
        <v>0</v>
      </c>
      <c r="S121" s="26">
        <f t="shared" si="30"/>
        <v>0</v>
      </c>
      <c r="T121" s="26">
        <f t="shared" si="31"/>
        <v>0</v>
      </c>
      <c r="U121" s="26" t="str">
        <f t="shared" si="27"/>
        <v/>
      </c>
      <c r="V121" s="26">
        <v>66</v>
      </c>
      <c r="W121" s="26">
        <f t="shared" si="33"/>
        <v>0</v>
      </c>
      <c r="X121" s="26" t="str">
        <f t="shared" si="32"/>
        <v/>
      </c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16"/>
      <c r="AM121" s="16"/>
      <c r="AN121" s="16"/>
      <c r="AO121" s="16"/>
      <c r="AP121" s="16"/>
      <c r="AQ121" s="16"/>
      <c r="AR121" s="16"/>
      <c r="AS121" s="17"/>
      <c r="AT121" s="18"/>
      <c r="AU121" s="19"/>
      <c r="AV121" s="19"/>
      <c r="AW121" s="19"/>
    </row>
    <row r="122" spans="1:49" s="2" customFormat="1" x14ac:dyDescent="0.2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37"/>
      <c r="O122" s="26"/>
      <c r="P122" s="26"/>
      <c r="Q122" s="26">
        <v>60</v>
      </c>
      <c r="R122" s="26">
        <f t="shared" si="29"/>
        <v>0</v>
      </c>
      <c r="S122" s="26">
        <f t="shared" si="30"/>
        <v>0</v>
      </c>
      <c r="T122" s="26">
        <f t="shared" si="31"/>
        <v>0</v>
      </c>
      <c r="U122" s="26" t="str">
        <f t="shared" si="27"/>
        <v/>
      </c>
      <c r="V122" s="26">
        <v>60</v>
      </c>
      <c r="W122" s="26">
        <f t="shared" si="33"/>
        <v>0</v>
      </c>
      <c r="X122" s="26" t="str">
        <f t="shared" si="32"/>
        <v/>
      </c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16"/>
      <c r="AM122" s="16"/>
      <c r="AN122" s="16"/>
      <c r="AO122" s="16"/>
      <c r="AP122" s="16"/>
      <c r="AQ122" s="16"/>
      <c r="AR122" s="16"/>
      <c r="AS122" s="17"/>
      <c r="AT122" s="18"/>
      <c r="AU122" s="19"/>
      <c r="AV122" s="19"/>
      <c r="AW122" s="19"/>
    </row>
    <row r="123" spans="1:49" s="2" customFormat="1" x14ac:dyDescent="0.2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37"/>
      <c r="O123" s="26"/>
      <c r="P123" s="26"/>
      <c r="Q123" s="26">
        <v>59</v>
      </c>
      <c r="R123" s="26">
        <f t="shared" si="29"/>
        <v>0</v>
      </c>
      <c r="S123" s="26">
        <f t="shared" si="30"/>
        <v>0</v>
      </c>
      <c r="T123" s="26">
        <f t="shared" si="31"/>
        <v>0</v>
      </c>
      <c r="U123" s="26" t="str">
        <f t="shared" si="27"/>
        <v/>
      </c>
      <c r="V123" s="26">
        <v>60</v>
      </c>
      <c r="W123" s="26">
        <f t="shared" si="33"/>
        <v>0</v>
      </c>
      <c r="X123" s="26" t="str">
        <f t="shared" si="32"/>
        <v/>
      </c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16"/>
      <c r="AM123" s="16"/>
      <c r="AN123" s="16"/>
      <c r="AO123" s="16"/>
      <c r="AP123" s="16"/>
      <c r="AQ123" s="16"/>
      <c r="AR123" s="16"/>
      <c r="AS123" s="17"/>
      <c r="AT123" s="18"/>
      <c r="AU123" s="19"/>
      <c r="AV123" s="19"/>
      <c r="AW123" s="19"/>
    </row>
    <row r="124" spans="1:49" s="2" customFormat="1" x14ac:dyDescent="0.2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37"/>
      <c r="O124" s="26"/>
      <c r="P124" s="26"/>
      <c r="Q124" s="26">
        <v>58</v>
      </c>
      <c r="R124" s="26">
        <f t="shared" si="29"/>
        <v>0</v>
      </c>
      <c r="S124" s="26">
        <f t="shared" si="30"/>
        <v>0</v>
      </c>
      <c r="T124" s="26">
        <f t="shared" si="31"/>
        <v>0</v>
      </c>
      <c r="U124" s="26" t="str">
        <f t="shared" si="27"/>
        <v/>
      </c>
      <c r="V124" s="26">
        <v>60</v>
      </c>
      <c r="W124" s="26">
        <f t="shared" si="33"/>
        <v>0</v>
      </c>
      <c r="X124" s="26" t="str">
        <f t="shared" si="32"/>
        <v/>
      </c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16"/>
      <c r="AM124" s="16"/>
      <c r="AN124" s="16"/>
      <c r="AO124" s="16"/>
      <c r="AP124" s="16"/>
      <c r="AQ124" s="16"/>
      <c r="AR124" s="16"/>
      <c r="AS124" s="17"/>
      <c r="AT124" s="18"/>
      <c r="AU124" s="19"/>
      <c r="AV124" s="19"/>
      <c r="AW124" s="19"/>
    </row>
    <row r="125" spans="1:49" s="2" customFormat="1" x14ac:dyDescent="0.2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37"/>
      <c r="O125" s="26"/>
      <c r="P125" s="26"/>
      <c r="Q125" s="26">
        <v>57</v>
      </c>
      <c r="R125" s="26">
        <f t="shared" si="29"/>
        <v>0</v>
      </c>
      <c r="S125" s="26">
        <f t="shared" si="30"/>
        <v>0</v>
      </c>
      <c r="T125" s="26">
        <f t="shared" si="31"/>
        <v>0</v>
      </c>
      <c r="U125" s="26" t="str">
        <f t="shared" si="27"/>
        <v/>
      </c>
      <c r="V125" s="26">
        <v>60</v>
      </c>
      <c r="W125" s="26">
        <f t="shared" si="33"/>
        <v>0</v>
      </c>
      <c r="X125" s="26" t="str">
        <f t="shared" si="32"/>
        <v/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16"/>
      <c r="AM125" s="16"/>
      <c r="AN125" s="16"/>
      <c r="AO125" s="16"/>
      <c r="AP125" s="16"/>
      <c r="AQ125" s="16"/>
      <c r="AR125" s="16"/>
      <c r="AS125" s="17"/>
      <c r="AT125" s="18"/>
      <c r="AU125" s="19"/>
      <c r="AV125" s="19"/>
      <c r="AW125" s="19"/>
    </row>
    <row r="126" spans="1:49" s="2" customFormat="1" x14ac:dyDescent="0.2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37"/>
      <c r="O126" s="26"/>
      <c r="P126" s="26"/>
      <c r="Q126" s="26">
        <v>56</v>
      </c>
      <c r="R126" s="26">
        <f t="shared" si="29"/>
        <v>0</v>
      </c>
      <c r="S126" s="26">
        <f t="shared" si="30"/>
        <v>0</v>
      </c>
      <c r="T126" s="26">
        <f t="shared" si="31"/>
        <v>0</v>
      </c>
      <c r="U126" s="26" t="str">
        <f t="shared" si="27"/>
        <v/>
      </c>
      <c r="V126" s="26">
        <v>60</v>
      </c>
      <c r="W126" s="26">
        <f t="shared" si="33"/>
        <v>0</v>
      </c>
      <c r="X126" s="26" t="str">
        <f t="shared" si="32"/>
        <v/>
      </c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16"/>
      <c r="AM126" s="16"/>
      <c r="AN126" s="16"/>
      <c r="AO126" s="16"/>
      <c r="AP126" s="16"/>
      <c r="AQ126" s="16"/>
      <c r="AR126" s="16"/>
      <c r="AS126" s="17"/>
      <c r="AT126" s="18"/>
      <c r="AU126" s="19"/>
      <c r="AV126" s="19"/>
      <c r="AW126" s="19"/>
    </row>
    <row r="127" spans="1:49" s="2" customFormat="1" x14ac:dyDescent="0.2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37"/>
      <c r="O127" s="26"/>
      <c r="P127" s="26"/>
      <c r="Q127" s="26">
        <v>55</v>
      </c>
      <c r="R127" s="26">
        <f t="shared" si="29"/>
        <v>0</v>
      </c>
      <c r="S127" s="26">
        <f t="shared" si="30"/>
        <v>0</v>
      </c>
      <c r="T127" s="26">
        <f t="shared" si="31"/>
        <v>0</v>
      </c>
      <c r="U127" s="26" t="str">
        <f t="shared" si="27"/>
        <v/>
      </c>
      <c r="V127" s="26">
        <v>60</v>
      </c>
      <c r="W127" s="26">
        <f t="shared" si="33"/>
        <v>0</v>
      </c>
      <c r="X127" s="26" t="str">
        <f t="shared" si="32"/>
        <v/>
      </c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16"/>
      <c r="AM127" s="16"/>
      <c r="AN127" s="16"/>
      <c r="AO127" s="16"/>
      <c r="AP127" s="16"/>
      <c r="AQ127" s="16"/>
      <c r="AR127" s="16"/>
      <c r="AS127" s="17"/>
      <c r="AT127" s="18"/>
      <c r="AU127" s="19"/>
      <c r="AV127" s="19"/>
      <c r="AW127" s="19"/>
    </row>
    <row r="128" spans="1:49" s="2" customFormat="1" x14ac:dyDescent="0.2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37"/>
      <c r="O128" s="26"/>
      <c r="P128" s="26"/>
      <c r="Q128" s="26">
        <v>54</v>
      </c>
      <c r="R128" s="26">
        <f t="shared" si="29"/>
        <v>0</v>
      </c>
      <c r="S128" s="26">
        <f t="shared" si="30"/>
        <v>0</v>
      </c>
      <c r="T128" s="26">
        <f t="shared" si="31"/>
        <v>0</v>
      </c>
      <c r="U128" s="26" t="str">
        <f t="shared" si="27"/>
        <v/>
      </c>
      <c r="V128" s="26">
        <v>54</v>
      </c>
      <c r="W128" s="26">
        <f t="shared" si="33"/>
        <v>0</v>
      </c>
      <c r="X128" s="26" t="str">
        <f t="shared" si="32"/>
        <v/>
      </c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16"/>
      <c r="AM128" s="16"/>
      <c r="AN128" s="16"/>
      <c r="AO128" s="16"/>
      <c r="AP128" s="16"/>
      <c r="AQ128" s="16"/>
      <c r="AR128" s="16"/>
      <c r="AS128" s="17"/>
      <c r="AT128" s="18"/>
      <c r="AU128" s="19"/>
      <c r="AV128" s="19"/>
      <c r="AW128" s="19"/>
    </row>
    <row r="129" spans="1:49" s="2" customFormat="1" x14ac:dyDescent="0.2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37"/>
      <c r="O129" s="26"/>
      <c r="P129" s="26"/>
      <c r="Q129" s="26">
        <v>53</v>
      </c>
      <c r="R129" s="26">
        <f t="shared" si="29"/>
        <v>0</v>
      </c>
      <c r="S129" s="26">
        <f t="shared" si="30"/>
        <v>0</v>
      </c>
      <c r="T129" s="26">
        <f t="shared" si="31"/>
        <v>0</v>
      </c>
      <c r="U129" s="26" t="str">
        <f t="shared" si="27"/>
        <v/>
      </c>
      <c r="V129" s="26">
        <v>54</v>
      </c>
      <c r="W129" s="26">
        <f t="shared" si="33"/>
        <v>0</v>
      </c>
      <c r="X129" s="26" t="str">
        <f t="shared" si="32"/>
        <v/>
      </c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16"/>
      <c r="AM129" s="16"/>
      <c r="AN129" s="16"/>
      <c r="AO129" s="16"/>
      <c r="AP129" s="16"/>
      <c r="AQ129" s="16"/>
      <c r="AR129" s="16"/>
      <c r="AS129" s="17"/>
      <c r="AT129" s="18"/>
      <c r="AU129" s="19"/>
      <c r="AV129" s="19"/>
      <c r="AW129" s="19"/>
    </row>
    <row r="130" spans="1:49" s="2" customFormat="1" x14ac:dyDescent="0.2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37"/>
      <c r="O130" s="26"/>
      <c r="P130" s="26"/>
      <c r="Q130" s="26">
        <v>52</v>
      </c>
      <c r="R130" s="26">
        <f t="shared" si="29"/>
        <v>0</v>
      </c>
      <c r="S130" s="26">
        <f t="shared" si="30"/>
        <v>0</v>
      </c>
      <c r="T130" s="26">
        <f t="shared" si="31"/>
        <v>0</v>
      </c>
      <c r="U130" s="26" t="str">
        <f t="shared" ref="U130:U182" si="34">IF(S130=0,"",IF(T129=1,"",IF(S130&lt;&gt;T130,"DUPLICATE","")))</f>
        <v/>
      </c>
      <c r="V130" s="26">
        <v>54</v>
      </c>
      <c r="W130" s="26">
        <f t="shared" ref="W130:W161" si="35">IFERROR(VLOOKUP(Q130,$H$16:$O$38,8,FALSE),0)</f>
        <v>0</v>
      </c>
      <c r="X130" s="26" t="str">
        <f t="shared" si="32"/>
        <v/>
      </c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16"/>
      <c r="AM130" s="16"/>
      <c r="AN130" s="16"/>
      <c r="AO130" s="16"/>
      <c r="AP130" s="16"/>
      <c r="AQ130" s="16"/>
      <c r="AR130" s="16"/>
      <c r="AS130" s="17"/>
      <c r="AT130" s="18"/>
      <c r="AU130" s="19"/>
      <c r="AV130" s="19"/>
      <c r="AW130" s="19"/>
    </row>
    <row r="131" spans="1:49" s="2" customFormat="1" x14ac:dyDescent="0.2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37"/>
      <c r="O131" s="26"/>
      <c r="P131" s="26"/>
      <c r="Q131" s="26">
        <v>51</v>
      </c>
      <c r="R131" s="26">
        <f t="shared" ref="R131:R182" si="36">COUNTIF($H$16:$H$38,Q131)</f>
        <v>0</v>
      </c>
      <c r="S131" s="26">
        <f t="shared" ref="S131:S182" si="37">IFERROR(VLOOKUP(Q131,$H$16:$M$38,5,FALSE)*2,0)</f>
        <v>0</v>
      </c>
      <c r="T131" s="26">
        <f t="shared" ref="T131:T182" si="38">IFERROR(IF(T130&gt;1,T130-1,IF(S131&gt;0,S131,IF(R131=0,0,"ERROR"))),0)</f>
        <v>0</v>
      </c>
      <c r="U131" s="26" t="str">
        <f t="shared" si="34"/>
        <v/>
      </c>
      <c r="V131" s="26">
        <v>54</v>
      </c>
      <c r="W131" s="26">
        <f t="shared" si="35"/>
        <v>0</v>
      </c>
      <c r="X131" s="26" t="str">
        <f t="shared" ref="X131:X182" si="39">IFERROR(IF(W131&gt;1,0,IF(T131&gt;0,(IF(T130&lt;2,Q131,IF(T130=(T131+1),X130,""))),"")),"")</f>
        <v/>
      </c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16"/>
      <c r="AM131" s="16"/>
      <c r="AN131" s="16"/>
      <c r="AO131" s="16"/>
      <c r="AP131" s="16"/>
      <c r="AQ131" s="16"/>
      <c r="AR131" s="16"/>
      <c r="AS131" s="17"/>
      <c r="AT131" s="18"/>
      <c r="AU131" s="19"/>
      <c r="AV131" s="19"/>
      <c r="AW131" s="19"/>
    </row>
    <row r="132" spans="1:49" s="2" customFormat="1" x14ac:dyDescent="0.2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37"/>
      <c r="O132" s="26"/>
      <c r="P132" s="26"/>
      <c r="Q132" s="26">
        <v>50</v>
      </c>
      <c r="R132" s="26">
        <f t="shared" si="36"/>
        <v>0</v>
      </c>
      <c r="S132" s="26">
        <f t="shared" si="37"/>
        <v>0</v>
      </c>
      <c r="T132" s="26">
        <f t="shared" si="38"/>
        <v>0</v>
      </c>
      <c r="U132" s="26" t="str">
        <f t="shared" si="34"/>
        <v/>
      </c>
      <c r="V132" s="26">
        <v>54</v>
      </c>
      <c r="W132" s="26">
        <f t="shared" si="35"/>
        <v>0</v>
      </c>
      <c r="X132" s="26" t="str">
        <f t="shared" si="39"/>
        <v/>
      </c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16"/>
      <c r="AM132" s="16"/>
      <c r="AN132" s="16"/>
      <c r="AO132" s="16"/>
      <c r="AP132" s="16"/>
      <c r="AQ132" s="16"/>
      <c r="AR132" s="16"/>
      <c r="AS132" s="17"/>
      <c r="AT132" s="18"/>
      <c r="AU132" s="19"/>
      <c r="AV132" s="19"/>
      <c r="AW132" s="19"/>
    </row>
    <row r="133" spans="1:49" s="2" customFormat="1" x14ac:dyDescent="0.2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37"/>
      <c r="O133" s="26"/>
      <c r="P133" s="26"/>
      <c r="Q133" s="26">
        <v>49</v>
      </c>
      <c r="R133" s="26">
        <f t="shared" si="36"/>
        <v>0</v>
      </c>
      <c r="S133" s="26">
        <f t="shared" si="37"/>
        <v>0</v>
      </c>
      <c r="T133" s="26">
        <f t="shared" si="38"/>
        <v>0</v>
      </c>
      <c r="U133" s="26" t="str">
        <f t="shared" si="34"/>
        <v/>
      </c>
      <c r="V133" s="26">
        <v>54</v>
      </c>
      <c r="W133" s="26">
        <f t="shared" si="35"/>
        <v>0</v>
      </c>
      <c r="X133" s="26" t="str">
        <f t="shared" si="39"/>
        <v/>
      </c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16"/>
      <c r="AM133" s="16"/>
      <c r="AN133" s="16"/>
      <c r="AO133" s="16"/>
      <c r="AP133" s="16"/>
      <c r="AQ133" s="16"/>
      <c r="AR133" s="16"/>
      <c r="AS133" s="17"/>
      <c r="AT133" s="18"/>
      <c r="AU133" s="19"/>
      <c r="AV133" s="19"/>
      <c r="AW133" s="19"/>
    </row>
    <row r="134" spans="1:49" s="2" customFormat="1" x14ac:dyDescent="0.2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37"/>
      <c r="O134" s="26"/>
      <c r="P134" s="26"/>
      <c r="Q134" s="26">
        <v>48</v>
      </c>
      <c r="R134" s="26">
        <f t="shared" si="36"/>
        <v>0</v>
      </c>
      <c r="S134" s="26">
        <f t="shared" si="37"/>
        <v>0</v>
      </c>
      <c r="T134" s="26">
        <f t="shared" si="38"/>
        <v>0</v>
      </c>
      <c r="U134" s="26" t="str">
        <f t="shared" si="34"/>
        <v/>
      </c>
      <c r="V134" s="26">
        <v>48</v>
      </c>
      <c r="W134" s="26">
        <f t="shared" si="35"/>
        <v>0</v>
      </c>
      <c r="X134" s="26" t="str">
        <f t="shared" si="39"/>
        <v/>
      </c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16"/>
      <c r="AM134" s="16"/>
      <c r="AN134" s="16"/>
      <c r="AO134" s="16"/>
      <c r="AP134" s="16"/>
      <c r="AQ134" s="16"/>
      <c r="AR134" s="16"/>
      <c r="AS134" s="17"/>
      <c r="AT134" s="18"/>
      <c r="AU134" s="19"/>
      <c r="AV134" s="19"/>
      <c r="AW134" s="19"/>
    </row>
    <row r="135" spans="1:49" s="2" customFormat="1" x14ac:dyDescent="0.2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37"/>
      <c r="O135" s="26"/>
      <c r="P135" s="26"/>
      <c r="Q135" s="26">
        <v>47</v>
      </c>
      <c r="R135" s="26">
        <f t="shared" si="36"/>
        <v>0</v>
      </c>
      <c r="S135" s="26">
        <f t="shared" si="37"/>
        <v>0</v>
      </c>
      <c r="T135" s="26">
        <f t="shared" si="38"/>
        <v>0</v>
      </c>
      <c r="U135" s="26" t="str">
        <f t="shared" si="34"/>
        <v/>
      </c>
      <c r="V135" s="26">
        <v>48</v>
      </c>
      <c r="W135" s="26">
        <f t="shared" si="35"/>
        <v>0</v>
      </c>
      <c r="X135" s="26" t="str">
        <f t="shared" si="39"/>
        <v/>
      </c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16"/>
      <c r="AM135" s="16"/>
      <c r="AN135" s="16"/>
      <c r="AO135" s="16"/>
      <c r="AP135" s="16"/>
      <c r="AQ135" s="16"/>
      <c r="AR135" s="16"/>
      <c r="AS135" s="17"/>
      <c r="AT135" s="18"/>
      <c r="AU135" s="19"/>
      <c r="AV135" s="19"/>
      <c r="AW135" s="19"/>
    </row>
    <row r="136" spans="1:49" s="2" customFormat="1" x14ac:dyDescent="0.2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37"/>
      <c r="O136" s="26"/>
      <c r="P136" s="26"/>
      <c r="Q136" s="26">
        <v>46</v>
      </c>
      <c r="R136" s="26">
        <f t="shared" si="36"/>
        <v>0</v>
      </c>
      <c r="S136" s="26">
        <f t="shared" si="37"/>
        <v>0</v>
      </c>
      <c r="T136" s="26">
        <f t="shared" si="38"/>
        <v>0</v>
      </c>
      <c r="U136" s="26" t="str">
        <f t="shared" si="34"/>
        <v/>
      </c>
      <c r="V136" s="26">
        <v>48</v>
      </c>
      <c r="W136" s="26">
        <f t="shared" si="35"/>
        <v>0</v>
      </c>
      <c r="X136" s="26" t="str">
        <f t="shared" si="39"/>
        <v/>
      </c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16"/>
      <c r="AM136" s="16"/>
      <c r="AN136" s="16"/>
      <c r="AO136" s="16"/>
      <c r="AP136" s="16"/>
      <c r="AQ136" s="16"/>
      <c r="AR136" s="16"/>
      <c r="AS136" s="17"/>
      <c r="AT136" s="18"/>
      <c r="AU136" s="19"/>
      <c r="AV136" s="19"/>
      <c r="AW136" s="19"/>
    </row>
    <row r="137" spans="1:49" s="2" customFormat="1" x14ac:dyDescent="0.2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37"/>
      <c r="O137" s="26"/>
      <c r="P137" s="26"/>
      <c r="Q137" s="26">
        <v>45</v>
      </c>
      <c r="R137" s="26">
        <f t="shared" si="36"/>
        <v>0</v>
      </c>
      <c r="S137" s="26">
        <f t="shared" si="37"/>
        <v>0</v>
      </c>
      <c r="T137" s="26">
        <f t="shared" si="38"/>
        <v>0</v>
      </c>
      <c r="U137" s="26" t="str">
        <f t="shared" si="34"/>
        <v/>
      </c>
      <c r="V137" s="26">
        <v>48</v>
      </c>
      <c r="W137" s="26">
        <f t="shared" si="35"/>
        <v>0</v>
      </c>
      <c r="X137" s="26" t="str">
        <f t="shared" si="39"/>
        <v/>
      </c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16"/>
      <c r="AM137" s="16"/>
      <c r="AN137" s="16"/>
      <c r="AO137" s="16"/>
      <c r="AP137" s="16"/>
      <c r="AQ137" s="16"/>
      <c r="AR137" s="16"/>
      <c r="AS137" s="17"/>
      <c r="AT137" s="18"/>
      <c r="AU137" s="19"/>
      <c r="AV137" s="19"/>
      <c r="AW137" s="19"/>
    </row>
    <row r="138" spans="1:49" s="2" customFormat="1" x14ac:dyDescent="0.2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37"/>
      <c r="O138" s="26"/>
      <c r="P138" s="26"/>
      <c r="Q138" s="26">
        <v>44</v>
      </c>
      <c r="R138" s="26">
        <f t="shared" si="36"/>
        <v>0</v>
      </c>
      <c r="S138" s="26">
        <f t="shared" si="37"/>
        <v>0</v>
      </c>
      <c r="T138" s="26">
        <f t="shared" si="38"/>
        <v>0</v>
      </c>
      <c r="U138" s="26" t="str">
        <f t="shared" si="34"/>
        <v/>
      </c>
      <c r="V138" s="26">
        <v>48</v>
      </c>
      <c r="W138" s="26">
        <f t="shared" si="35"/>
        <v>0</v>
      </c>
      <c r="X138" s="26" t="str">
        <f t="shared" si="39"/>
        <v/>
      </c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16"/>
      <c r="AM138" s="16"/>
      <c r="AN138" s="16"/>
      <c r="AO138" s="16"/>
      <c r="AP138" s="16"/>
      <c r="AQ138" s="16"/>
      <c r="AR138" s="16"/>
      <c r="AS138" s="17"/>
      <c r="AT138" s="18"/>
      <c r="AU138" s="19"/>
      <c r="AV138" s="19"/>
      <c r="AW138" s="19"/>
    </row>
    <row r="139" spans="1:49" s="2" customFormat="1" x14ac:dyDescent="0.2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37"/>
      <c r="O139" s="26"/>
      <c r="P139" s="26"/>
      <c r="Q139" s="26">
        <v>43</v>
      </c>
      <c r="R139" s="26">
        <f t="shared" si="36"/>
        <v>0</v>
      </c>
      <c r="S139" s="26">
        <f t="shared" si="37"/>
        <v>0</v>
      </c>
      <c r="T139" s="26">
        <f t="shared" si="38"/>
        <v>0</v>
      </c>
      <c r="U139" s="26" t="str">
        <f t="shared" si="34"/>
        <v/>
      </c>
      <c r="V139" s="26">
        <v>48</v>
      </c>
      <c r="W139" s="26">
        <f t="shared" si="35"/>
        <v>0</v>
      </c>
      <c r="X139" s="26" t="str">
        <f t="shared" si="39"/>
        <v/>
      </c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16"/>
      <c r="AM139" s="16"/>
      <c r="AN139" s="16"/>
      <c r="AO139" s="16"/>
      <c r="AP139" s="16"/>
      <c r="AQ139" s="16"/>
      <c r="AR139" s="16"/>
      <c r="AS139" s="17"/>
      <c r="AT139" s="18"/>
      <c r="AU139" s="19"/>
      <c r="AV139" s="19"/>
      <c r="AW139" s="19"/>
    </row>
    <row r="140" spans="1:49" s="2" customFormat="1" x14ac:dyDescent="0.2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37"/>
      <c r="O140" s="26"/>
      <c r="P140" s="26"/>
      <c r="Q140" s="26">
        <v>42</v>
      </c>
      <c r="R140" s="26">
        <f t="shared" si="36"/>
        <v>0</v>
      </c>
      <c r="S140" s="26">
        <f t="shared" si="37"/>
        <v>0</v>
      </c>
      <c r="T140" s="26">
        <f t="shared" si="38"/>
        <v>0</v>
      </c>
      <c r="U140" s="26" t="str">
        <f t="shared" si="34"/>
        <v/>
      </c>
      <c r="V140" s="26">
        <v>42</v>
      </c>
      <c r="W140" s="26">
        <f t="shared" si="35"/>
        <v>0</v>
      </c>
      <c r="X140" s="26" t="str">
        <f t="shared" si="39"/>
        <v/>
      </c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16"/>
      <c r="AM140" s="16"/>
      <c r="AN140" s="16"/>
      <c r="AO140" s="16"/>
      <c r="AP140" s="16"/>
      <c r="AQ140" s="16"/>
      <c r="AR140" s="16"/>
      <c r="AS140" s="17"/>
      <c r="AT140" s="18"/>
      <c r="AU140" s="19"/>
      <c r="AV140" s="19"/>
      <c r="AW140" s="19"/>
    </row>
    <row r="141" spans="1:49" s="2" customFormat="1" x14ac:dyDescent="0.2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37"/>
      <c r="O141" s="26"/>
      <c r="P141" s="26"/>
      <c r="Q141" s="26">
        <v>41</v>
      </c>
      <c r="R141" s="26">
        <f t="shared" si="36"/>
        <v>0</v>
      </c>
      <c r="S141" s="26">
        <f t="shared" si="37"/>
        <v>0</v>
      </c>
      <c r="T141" s="26">
        <f t="shared" si="38"/>
        <v>0</v>
      </c>
      <c r="U141" s="26" t="str">
        <f t="shared" si="34"/>
        <v/>
      </c>
      <c r="V141" s="26">
        <v>42</v>
      </c>
      <c r="W141" s="26">
        <f t="shared" si="35"/>
        <v>0</v>
      </c>
      <c r="X141" s="26" t="str">
        <f t="shared" si="39"/>
        <v/>
      </c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16"/>
      <c r="AM141" s="16"/>
      <c r="AN141" s="16"/>
      <c r="AO141" s="16"/>
      <c r="AP141" s="16"/>
      <c r="AQ141" s="16"/>
      <c r="AR141" s="16"/>
      <c r="AS141" s="17"/>
      <c r="AT141" s="18"/>
      <c r="AU141" s="19"/>
      <c r="AV141" s="19"/>
      <c r="AW141" s="19"/>
    </row>
    <row r="142" spans="1:49" s="2" customFormat="1" x14ac:dyDescent="0.2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37"/>
      <c r="O142" s="26"/>
      <c r="P142" s="26"/>
      <c r="Q142" s="26">
        <v>40</v>
      </c>
      <c r="R142" s="26">
        <f t="shared" si="36"/>
        <v>0</v>
      </c>
      <c r="S142" s="26">
        <f t="shared" si="37"/>
        <v>0</v>
      </c>
      <c r="T142" s="26">
        <f t="shared" si="38"/>
        <v>0</v>
      </c>
      <c r="U142" s="26" t="str">
        <f t="shared" si="34"/>
        <v/>
      </c>
      <c r="V142" s="26">
        <v>42</v>
      </c>
      <c r="W142" s="26">
        <f t="shared" si="35"/>
        <v>0</v>
      </c>
      <c r="X142" s="26" t="str">
        <f t="shared" si="39"/>
        <v/>
      </c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16"/>
      <c r="AM142" s="16"/>
      <c r="AN142" s="16"/>
      <c r="AO142" s="16"/>
      <c r="AP142" s="16"/>
      <c r="AQ142" s="16"/>
      <c r="AR142" s="16"/>
      <c r="AS142" s="17"/>
      <c r="AT142" s="18"/>
      <c r="AU142" s="19"/>
      <c r="AV142" s="19"/>
      <c r="AW142" s="19"/>
    </row>
    <row r="143" spans="1:49" s="2" customFormat="1" x14ac:dyDescent="0.2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37"/>
      <c r="O143" s="26"/>
      <c r="P143" s="26"/>
      <c r="Q143" s="26">
        <v>39</v>
      </c>
      <c r="R143" s="26">
        <f t="shared" si="36"/>
        <v>0</v>
      </c>
      <c r="S143" s="26">
        <f t="shared" si="37"/>
        <v>0</v>
      </c>
      <c r="T143" s="26">
        <f t="shared" si="38"/>
        <v>0</v>
      </c>
      <c r="U143" s="26" t="str">
        <f t="shared" si="34"/>
        <v/>
      </c>
      <c r="V143" s="26">
        <v>42</v>
      </c>
      <c r="W143" s="26">
        <f t="shared" si="35"/>
        <v>0</v>
      </c>
      <c r="X143" s="26" t="str">
        <f t="shared" si="39"/>
        <v/>
      </c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16"/>
      <c r="AM143" s="16"/>
      <c r="AN143" s="16"/>
      <c r="AO143" s="16"/>
      <c r="AP143" s="16"/>
      <c r="AQ143" s="16"/>
      <c r="AR143" s="16"/>
      <c r="AS143" s="17"/>
      <c r="AT143" s="18"/>
      <c r="AU143" s="19"/>
      <c r="AV143" s="19"/>
      <c r="AW143" s="19"/>
    </row>
    <row r="144" spans="1:49" s="2" customFormat="1" x14ac:dyDescent="0.2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37"/>
      <c r="O144" s="26"/>
      <c r="P144" s="26"/>
      <c r="Q144" s="26">
        <v>38</v>
      </c>
      <c r="R144" s="26">
        <f t="shared" si="36"/>
        <v>0</v>
      </c>
      <c r="S144" s="26">
        <f t="shared" si="37"/>
        <v>0</v>
      </c>
      <c r="T144" s="26">
        <f t="shared" si="38"/>
        <v>0</v>
      </c>
      <c r="U144" s="26" t="str">
        <f t="shared" si="34"/>
        <v/>
      </c>
      <c r="V144" s="26">
        <v>42</v>
      </c>
      <c r="W144" s="26">
        <f t="shared" si="35"/>
        <v>0</v>
      </c>
      <c r="X144" s="26" t="str">
        <f t="shared" si="39"/>
        <v/>
      </c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16"/>
      <c r="AM144" s="16"/>
      <c r="AN144" s="16"/>
      <c r="AO144" s="16"/>
      <c r="AP144" s="16"/>
      <c r="AQ144" s="16"/>
      <c r="AR144" s="16"/>
      <c r="AS144" s="17"/>
      <c r="AT144" s="18"/>
      <c r="AU144" s="19"/>
      <c r="AV144" s="19"/>
      <c r="AW144" s="19"/>
    </row>
    <row r="145" spans="1:49" s="2" customFormat="1" x14ac:dyDescent="0.2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37"/>
      <c r="O145" s="26"/>
      <c r="P145" s="26"/>
      <c r="Q145" s="26">
        <v>37</v>
      </c>
      <c r="R145" s="26">
        <f t="shared" si="36"/>
        <v>0</v>
      </c>
      <c r="S145" s="26">
        <f t="shared" si="37"/>
        <v>0</v>
      </c>
      <c r="T145" s="26">
        <f t="shared" si="38"/>
        <v>0</v>
      </c>
      <c r="U145" s="26" t="str">
        <f t="shared" si="34"/>
        <v/>
      </c>
      <c r="V145" s="26">
        <v>42</v>
      </c>
      <c r="W145" s="26">
        <f t="shared" si="35"/>
        <v>0</v>
      </c>
      <c r="X145" s="26" t="str">
        <f t="shared" si="39"/>
        <v/>
      </c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16"/>
      <c r="AM145" s="16"/>
      <c r="AN145" s="16"/>
      <c r="AO145" s="16"/>
      <c r="AP145" s="16"/>
      <c r="AQ145" s="16"/>
      <c r="AR145" s="16"/>
      <c r="AS145" s="17"/>
      <c r="AT145" s="18"/>
      <c r="AU145" s="19"/>
      <c r="AV145" s="19"/>
      <c r="AW145" s="19"/>
    </row>
    <row r="146" spans="1:49" s="2" customFormat="1" x14ac:dyDescent="0.2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37"/>
      <c r="O146" s="26"/>
      <c r="P146" s="26"/>
      <c r="Q146" s="26">
        <v>36</v>
      </c>
      <c r="R146" s="26">
        <f t="shared" si="36"/>
        <v>0</v>
      </c>
      <c r="S146" s="26">
        <f t="shared" si="37"/>
        <v>0</v>
      </c>
      <c r="T146" s="26">
        <f t="shared" si="38"/>
        <v>0</v>
      </c>
      <c r="U146" s="26" t="str">
        <f t="shared" si="34"/>
        <v/>
      </c>
      <c r="V146" s="26">
        <v>36</v>
      </c>
      <c r="W146" s="26">
        <f t="shared" si="35"/>
        <v>0</v>
      </c>
      <c r="X146" s="26" t="str">
        <f t="shared" si="39"/>
        <v/>
      </c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16"/>
      <c r="AM146" s="16"/>
      <c r="AN146" s="16"/>
      <c r="AO146" s="16"/>
      <c r="AP146" s="16"/>
      <c r="AQ146" s="16"/>
      <c r="AR146" s="16"/>
      <c r="AS146" s="17"/>
      <c r="AT146" s="18"/>
      <c r="AU146" s="19"/>
      <c r="AV146" s="19"/>
      <c r="AW146" s="19"/>
    </row>
    <row r="147" spans="1:49" s="2" customFormat="1" x14ac:dyDescent="0.2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37"/>
      <c r="O147" s="26"/>
      <c r="P147" s="26"/>
      <c r="Q147" s="26">
        <v>35</v>
      </c>
      <c r="R147" s="26">
        <f t="shared" si="36"/>
        <v>0</v>
      </c>
      <c r="S147" s="26">
        <f t="shared" si="37"/>
        <v>0</v>
      </c>
      <c r="T147" s="26">
        <f t="shared" si="38"/>
        <v>0</v>
      </c>
      <c r="U147" s="26" t="str">
        <f t="shared" si="34"/>
        <v/>
      </c>
      <c r="V147" s="26">
        <v>36</v>
      </c>
      <c r="W147" s="26">
        <f t="shared" si="35"/>
        <v>0</v>
      </c>
      <c r="X147" s="26" t="str">
        <f t="shared" si="39"/>
        <v/>
      </c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16"/>
      <c r="AM147" s="16"/>
      <c r="AN147" s="16"/>
      <c r="AO147" s="16"/>
      <c r="AP147" s="16"/>
      <c r="AQ147" s="16"/>
      <c r="AR147" s="16"/>
      <c r="AS147" s="17"/>
      <c r="AT147" s="18"/>
      <c r="AU147" s="19"/>
      <c r="AV147" s="19"/>
      <c r="AW147" s="19"/>
    </row>
    <row r="148" spans="1:49" s="2" customFormat="1" x14ac:dyDescent="0.2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37"/>
      <c r="O148" s="26"/>
      <c r="P148" s="26"/>
      <c r="Q148" s="26">
        <v>34</v>
      </c>
      <c r="R148" s="26">
        <f t="shared" si="36"/>
        <v>0</v>
      </c>
      <c r="S148" s="26">
        <f t="shared" si="37"/>
        <v>0</v>
      </c>
      <c r="T148" s="26">
        <f t="shared" si="38"/>
        <v>0</v>
      </c>
      <c r="U148" s="26" t="str">
        <f t="shared" si="34"/>
        <v/>
      </c>
      <c r="V148" s="26">
        <v>36</v>
      </c>
      <c r="W148" s="26">
        <f t="shared" si="35"/>
        <v>0</v>
      </c>
      <c r="X148" s="26" t="str">
        <f t="shared" si="39"/>
        <v/>
      </c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16"/>
      <c r="AM148" s="16"/>
      <c r="AN148" s="16"/>
      <c r="AO148" s="16"/>
      <c r="AP148" s="16"/>
      <c r="AQ148" s="16"/>
      <c r="AR148" s="16"/>
      <c r="AS148" s="17"/>
      <c r="AT148" s="18"/>
      <c r="AU148" s="19"/>
      <c r="AV148" s="19"/>
      <c r="AW148" s="19"/>
    </row>
    <row r="149" spans="1:49" s="2" customFormat="1" x14ac:dyDescent="0.2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37"/>
      <c r="O149" s="26"/>
      <c r="P149" s="26"/>
      <c r="Q149" s="26">
        <v>33</v>
      </c>
      <c r="R149" s="26">
        <f t="shared" si="36"/>
        <v>0</v>
      </c>
      <c r="S149" s="26">
        <f t="shared" si="37"/>
        <v>0</v>
      </c>
      <c r="T149" s="26">
        <f t="shared" si="38"/>
        <v>0</v>
      </c>
      <c r="U149" s="26" t="str">
        <f t="shared" si="34"/>
        <v/>
      </c>
      <c r="V149" s="26">
        <v>36</v>
      </c>
      <c r="W149" s="26">
        <f t="shared" si="35"/>
        <v>0</v>
      </c>
      <c r="X149" s="26" t="str">
        <f t="shared" si="39"/>
        <v/>
      </c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16"/>
      <c r="AM149" s="16"/>
      <c r="AN149" s="16"/>
      <c r="AO149" s="16"/>
      <c r="AP149" s="16"/>
      <c r="AQ149" s="16"/>
      <c r="AR149" s="16"/>
      <c r="AS149" s="17"/>
      <c r="AT149" s="18"/>
      <c r="AU149" s="19"/>
      <c r="AV149" s="19"/>
      <c r="AW149" s="19"/>
    </row>
    <row r="150" spans="1:49" s="2" customFormat="1" x14ac:dyDescent="0.2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37"/>
      <c r="O150" s="26"/>
      <c r="P150" s="26"/>
      <c r="Q150" s="26">
        <v>32</v>
      </c>
      <c r="R150" s="26">
        <f t="shared" si="36"/>
        <v>0</v>
      </c>
      <c r="S150" s="26">
        <f t="shared" si="37"/>
        <v>0</v>
      </c>
      <c r="T150" s="26">
        <f t="shared" si="38"/>
        <v>0</v>
      </c>
      <c r="U150" s="26" t="str">
        <f t="shared" si="34"/>
        <v/>
      </c>
      <c r="V150" s="26">
        <v>36</v>
      </c>
      <c r="W150" s="26">
        <f t="shared" si="35"/>
        <v>0</v>
      </c>
      <c r="X150" s="26" t="str">
        <f t="shared" si="39"/>
        <v/>
      </c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16"/>
      <c r="AM150" s="16"/>
      <c r="AN150" s="16"/>
      <c r="AO150" s="16"/>
      <c r="AP150" s="16"/>
      <c r="AQ150" s="16"/>
      <c r="AR150" s="16"/>
      <c r="AS150" s="17"/>
      <c r="AT150" s="18"/>
      <c r="AU150" s="19"/>
      <c r="AV150" s="19"/>
      <c r="AW150" s="19"/>
    </row>
    <row r="151" spans="1:49" s="2" customFormat="1" x14ac:dyDescent="0.2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37"/>
      <c r="O151" s="26"/>
      <c r="P151" s="26"/>
      <c r="Q151" s="26">
        <v>31</v>
      </c>
      <c r="R151" s="26">
        <f t="shared" si="36"/>
        <v>0</v>
      </c>
      <c r="S151" s="26">
        <f t="shared" si="37"/>
        <v>0</v>
      </c>
      <c r="T151" s="26">
        <f t="shared" si="38"/>
        <v>0</v>
      </c>
      <c r="U151" s="26" t="str">
        <f t="shared" si="34"/>
        <v/>
      </c>
      <c r="V151" s="26">
        <v>36</v>
      </c>
      <c r="W151" s="26">
        <f t="shared" si="35"/>
        <v>0</v>
      </c>
      <c r="X151" s="26" t="str">
        <f t="shared" si="39"/>
        <v/>
      </c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16"/>
      <c r="AM151" s="16"/>
      <c r="AN151" s="16"/>
      <c r="AO151" s="16"/>
      <c r="AP151" s="16"/>
      <c r="AQ151" s="16"/>
      <c r="AR151" s="16"/>
      <c r="AS151" s="17"/>
      <c r="AT151" s="18"/>
      <c r="AU151" s="19"/>
      <c r="AV151" s="19"/>
      <c r="AW151" s="19"/>
    </row>
    <row r="152" spans="1:49" s="2" customFormat="1" x14ac:dyDescent="0.2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37"/>
      <c r="O152" s="26"/>
      <c r="P152" s="26"/>
      <c r="Q152" s="26">
        <v>30</v>
      </c>
      <c r="R152" s="26">
        <f t="shared" si="36"/>
        <v>0</v>
      </c>
      <c r="S152" s="26">
        <f t="shared" si="37"/>
        <v>0</v>
      </c>
      <c r="T152" s="26">
        <f t="shared" si="38"/>
        <v>0</v>
      </c>
      <c r="U152" s="26" t="str">
        <f t="shared" si="34"/>
        <v/>
      </c>
      <c r="V152" s="26">
        <v>30</v>
      </c>
      <c r="W152" s="26">
        <f t="shared" si="35"/>
        <v>0</v>
      </c>
      <c r="X152" s="26" t="str">
        <f t="shared" si="39"/>
        <v/>
      </c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16"/>
      <c r="AM152" s="16"/>
      <c r="AN152" s="16"/>
      <c r="AO152" s="16"/>
      <c r="AP152" s="16"/>
      <c r="AQ152" s="16"/>
      <c r="AR152" s="16"/>
      <c r="AS152" s="17"/>
      <c r="AT152" s="18"/>
      <c r="AU152" s="19"/>
      <c r="AV152" s="19"/>
      <c r="AW152" s="19"/>
    </row>
    <row r="153" spans="1:49" s="2" customFormat="1" x14ac:dyDescent="0.2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37"/>
      <c r="O153" s="26"/>
      <c r="P153" s="26"/>
      <c r="Q153" s="26">
        <v>29</v>
      </c>
      <c r="R153" s="26">
        <f t="shared" si="36"/>
        <v>0</v>
      </c>
      <c r="S153" s="26">
        <f t="shared" si="37"/>
        <v>0</v>
      </c>
      <c r="T153" s="26">
        <f t="shared" si="38"/>
        <v>0</v>
      </c>
      <c r="U153" s="26" t="str">
        <f t="shared" si="34"/>
        <v/>
      </c>
      <c r="V153" s="26">
        <v>30</v>
      </c>
      <c r="W153" s="26">
        <f t="shared" si="35"/>
        <v>0</v>
      </c>
      <c r="X153" s="26" t="str">
        <f t="shared" si="39"/>
        <v/>
      </c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16"/>
      <c r="AM153" s="16"/>
      <c r="AN153" s="16"/>
      <c r="AO153" s="16"/>
      <c r="AP153" s="16"/>
      <c r="AQ153" s="16"/>
      <c r="AR153" s="16"/>
      <c r="AS153" s="17"/>
      <c r="AT153" s="18"/>
      <c r="AU153" s="19"/>
      <c r="AV153" s="19"/>
      <c r="AW153" s="19"/>
    </row>
    <row r="154" spans="1:49" s="2" customFormat="1" x14ac:dyDescent="0.2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37"/>
      <c r="O154" s="26"/>
      <c r="P154" s="26"/>
      <c r="Q154" s="26">
        <v>28</v>
      </c>
      <c r="R154" s="26">
        <f t="shared" si="36"/>
        <v>0</v>
      </c>
      <c r="S154" s="26">
        <f t="shared" si="37"/>
        <v>0</v>
      </c>
      <c r="T154" s="26">
        <f t="shared" si="38"/>
        <v>0</v>
      </c>
      <c r="U154" s="26" t="str">
        <f t="shared" si="34"/>
        <v/>
      </c>
      <c r="V154" s="26">
        <v>30</v>
      </c>
      <c r="W154" s="26">
        <f t="shared" si="35"/>
        <v>0</v>
      </c>
      <c r="X154" s="26" t="str">
        <f t="shared" si="39"/>
        <v/>
      </c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16"/>
      <c r="AM154" s="16"/>
      <c r="AN154" s="16"/>
      <c r="AO154" s="16"/>
      <c r="AP154" s="16"/>
      <c r="AQ154" s="16"/>
      <c r="AR154" s="16"/>
      <c r="AS154" s="17"/>
      <c r="AT154" s="18"/>
      <c r="AU154" s="19"/>
      <c r="AV154" s="19"/>
      <c r="AW154" s="19"/>
    </row>
    <row r="155" spans="1:49" s="2" customFormat="1" x14ac:dyDescent="0.2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37"/>
      <c r="O155" s="26"/>
      <c r="P155" s="26"/>
      <c r="Q155" s="26">
        <v>27</v>
      </c>
      <c r="R155" s="26">
        <f t="shared" si="36"/>
        <v>0</v>
      </c>
      <c r="S155" s="26">
        <f t="shared" si="37"/>
        <v>0</v>
      </c>
      <c r="T155" s="26">
        <f t="shared" si="38"/>
        <v>0</v>
      </c>
      <c r="U155" s="26" t="str">
        <f t="shared" si="34"/>
        <v/>
      </c>
      <c r="V155" s="26">
        <v>30</v>
      </c>
      <c r="W155" s="26">
        <f t="shared" si="35"/>
        <v>0</v>
      </c>
      <c r="X155" s="26" t="str">
        <f t="shared" si="39"/>
        <v/>
      </c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16"/>
      <c r="AM155" s="16"/>
      <c r="AN155" s="16"/>
      <c r="AO155" s="16"/>
      <c r="AP155" s="16"/>
      <c r="AQ155" s="16"/>
      <c r="AR155" s="16"/>
      <c r="AS155" s="17"/>
      <c r="AT155" s="18"/>
      <c r="AU155" s="19"/>
      <c r="AV155" s="19"/>
      <c r="AW155" s="19"/>
    </row>
    <row r="156" spans="1:49" s="2" customFormat="1" x14ac:dyDescent="0.2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37"/>
      <c r="O156" s="26"/>
      <c r="P156" s="26"/>
      <c r="Q156" s="26">
        <v>26</v>
      </c>
      <c r="R156" s="26">
        <f t="shared" si="36"/>
        <v>0</v>
      </c>
      <c r="S156" s="26">
        <f t="shared" si="37"/>
        <v>0</v>
      </c>
      <c r="T156" s="26">
        <f t="shared" si="38"/>
        <v>0</v>
      </c>
      <c r="U156" s="26" t="str">
        <f t="shared" si="34"/>
        <v/>
      </c>
      <c r="V156" s="26">
        <v>30</v>
      </c>
      <c r="W156" s="26">
        <f t="shared" si="35"/>
        <v>0</v>
      </c>
      <c r="X156" s="26" t="str">
        <f t="shared" si="39"/>
        <v/>
      </c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16"/>
      <c r="AM156" s="16"/>
      <c r="AN156" s="16"/>
      <c r="AO156" s="16"/>
      <c r="AP156" s="16"/>
      <c r="AQ156" s="16"/>
      <c r="AR156" s="16"/>
      <c r="AS156" s="17"/>
      <c r="AT156" s="18"/>
      <c r="AU156" s="19"/>
      <c r="AV156" s="19"/>
      <c r="AW156" s="19"/>
    </row>
    <row r="157" spans="1:49" s="2" customFormat="1" x14ac:dyDescent="0.2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37"/>
      <c r="O157" s="26"/>
      <c r="P157" s="26"/>
      <c r="Q157" s="26">
        <v>25</v>
      </c>
      <c r="R157" s="26">
        <f t="shared" si="36"/>
        <v>0</v>
      </c>
      <c r="S157" s="26">
        <f t="shared" si="37"/>
        <v>0</v>
      </c>
      <c r="T157" s="26">
        <f t="shared" si="38"/>
        <v>0</v>
      </c>
      <c r="U157" s="26" t="str">
        <f t="shared" si="34"/>
        <v/>
      </c>
      <c r="V157" s="26">
        <v>30</v>
      </c>
      <c r="W157" s="26">
        <f t="shared" si="35"/>
        <v>0</v>
      </c>
      <c r="X157" s="26" t="str">
        <f t="shared" si="39"/>
        <v/>
      </c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16"/>
      <c r="AM157" s="16"/>
      <c r="AN157" s="16"/>
      <c r="AO157" s="16"/>
      <c r="AP157" s="16"/>
      <c r="AQ157" s="16"/>
      <c r="AR157" s="16"/>
      <c r="AS157" s="17"/>
      <c r="AT157" s="18"/>
      <c r="AU157" s="19"/>
      <c r="AV157" s="19"/>
      <c r="AW157" s="19"/>
    </row>
    <row r="158" spans="1:49" s="2" customFormat="1" x14ac:dyDescent="0.2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37"/>
      <c r="O158" s="26"/>
      <c r="P158" s="26"/>
      <c r="Q158" s="26">
        <v>24</v>
      </c>
      <c r="R158" s="26">
        <f t="shared" si="36"/>
        <v>0</v>
      </c>
      <c r="S158" s="26">
        <f t="shared" si="37"/>
        <v>0</v>
      </c>
      <c r="T158" s="26">
        <f t="shared" si="38"/>
        <v>0</v>
      </c>
      <c r="U158" s="26" t="str">
        <f t="shared" si="34"/>
        <v/>
      </c>
      <c r="V158" s="26">
        <v>24</v>
      </c>
      <c r="W158" s="26">
        <f t="shared" si="35"/>
        <v>0</v>
      </c>
      <c r="X158" s="26" t="str">
        <f t="shared" si="39"/>
        <v/>
      </c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16"/>
      <c r="AM158" s="16"/>
      <c r="AN158" s="16"/>
      <c r="AO158" s="16"/>
      <c r="AP158" s="16"/>
      <c r="AQ158" s="16"/>
      <c r="AR158" s="16"/>
      <c r="AS158" s="17"/>
      <c r="AT158" s="18"/>
      <c r="AU158" s="19"/>
      <c r="AV158" s="19"/>
      <c r="AW158" s="19"/>
    </row>
    <row r="159" spans="1:49" s="2" customFormat="1" x14ac:dyDescent="0.2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37"/>
      <c r="O159" s="26"/>
      <c r="P159" s="26"/>
      <c r="Q159" s="26">
        <v>23</v>
      </c>
      <c r="R159" s="26">
        <f t="shared" si="36"/>
        <v>0</v>
      </c>
      <c r="S159" s="26">
        <f t="shared" si="37"/>
        <v>0</v>
      </c>
      <c r="T159" s="26">
        <f t="shared" si="38"/>
        <v>0</v>
      </c>
      <c r="U159" s="26" t="str">
        <f t="shared" si="34"/>
        <v/>
      </c>
      <c r="V159" s="26">
        <v>24</v>
      </c>
      <c r="W159" s="26">
        <f t="shared" si="35"/>
        <v>0</v>
      </c>
      <c r="X159" s="26" t="str">
        <f t="shared" si="39"/>
        <v/>
      </c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16"/>
      <c r="AM159" s="16"/>
      <c r="AN159" s="16"/>
      <c r="AO159" s="16"/>
      <c r="AP159" s="16"/>
      <c r="AQ159" s="16"/>
      <c r="AR159" s="16"/>
      <c r="AS159" s="17"/>
      <c r="AT159" s="18"/>
      <c r="AU159" s="19"/>
      <c r="AV159" s="19"/>
      <c r="AW159" s="19"/>
    </row>
    <row r="160" spans="1:49" s="2" customFormat="1" x14ac:dyDescent="0.2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37"/>
      <c r="O160" s="26"/>
      <c r="P160" s="26"/>
      <c r="Q160" s="26">
        <v>22</v>
      </c>
      <c r="R160" s="26">
        <f t="shared" si="36"/>
        <v>0</v>
      </c>
      <c r="S160" s="26">
        <f t="shared" si="37"/>
        <v>0</v>
      </c>
      <c r="T160" s="26">
        <f t="shared" si="38"/>
        <v>0</v>
      </c>
      <c r="U160" s="26" t="str">
        <f t="shared" si="34"/>
        <v/>
      </c>
      <c r="V160" s="26">
        <v>24</v>
      </c>
      <c r="W160" s="26">
        <f t="shared" si="35"/>
        <v>0</v>
      </c>
      <c r="X160" s="26" t="str">
        <f t="shared" si="39"/>
        <v/>
      </c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16"/>
      <c r="AM160" s="16"/>
      <c r="AN160" s="16"/>
      <c r="AO160" s="16"/>
      <c r="AP160" s="16"/>
      <c r="AQ160" s="16"/>
      <c r="AR160" s="16"/>
      <c r="AS160" s="17"/>
      <c r="AT160" s="18"/>
      <c r="AU160" s="19"/>
      <c r="AV160" s="19"/>
      <c r="AW160" s="19"/>
    </row>
    <row r="161" spans="1:49" s="2" customFormat="1" x14ac:dyDescent="0.2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37"/>
      <c r="O161" s="26"/>
      <c r="P161" s="26"/>
      <c r="Q161" s="26">
        <v>21</v>
      </c>
      <c r="R161" s="26">
        <f t="shared" si="36"/>
        <v>0</v>
      </c>
      <c r="S161" s="26">
        <f t="shared" si="37"/>
        <v>0</v>
      </c>
      <c r="T161" s="26">
        <f t="shared" si="38"/>
        <v>0</v>
      </c>
      <c r="U161" s="26" t="str">
        <f t="shared" si="34"/>
        <v/>
      </c>
      <c r="V161" s="26">
        <v>24</v>
      </c>
      <c r="W161" s="26">
        <f t="shared" si="35"/>
        <v>0</v>
      </c>
      <c r="X161" s="26" t="str">
        <f t="shared" si="39"/>
        <v/>
      </c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16"/>
      <c r="AM161" s="16"/>
      <c r="AN161" s="16"/>
      <c r="AO161" s="16"/>
      <c r="AP161" s="16"/>
      <c r="AQ161" s="16"/>
      <c r="AR161" s="16"/>
      <c r="AS161" s="17"/>
      <c r="AT161" s="18"/>
      <c r="AU161" s="19"/>
      <c r="AV161" s="19"/>
      <c r="AW161" s="19"/>
    </row>
    <row r="162" spans="1:49" s="2" customFormat="1" x14ac:dyDescent="0.2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37"/>
      <c r="O162" s="26"/>
      <c r="P162" s="26"/>
      <c r="Q162" s="26">
        <v>20</v>
      </c>
      <c r="R162" s="26">
        <f t="shared" si="36"/>
        <v>0</v>
      </c>
      <c r="S162" s="26">
        <f t="shared" si="37"/>
        <v>0</v>
      </c>
      <c r="T162" s="26">
        <f t="shared" si="38"/>
        <v>0</v>
      </c>
      <c r="U162" s="26" t="str">
        <f t="shared" si="34"/>
        <v/>
      </c>
      <c r="V162" s="26">
        <v>24</v>
      </c>
      <c r="W162" s="26">
        <f t="shared" ref="W162:W182" si="40">IFERROR(VLOOKUP(Q162,$H$16:$O$38,8,FALSE),0)</f>
        <v>0</v>
      </c>
      <c r="X162" s="26" t="str">
        <f t="shared" si="39"/>
        <v/>
      </c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16"/>
      <c r="AM162" s="16"/>
      <c r="AN162" s="16"/>
      <c r="AO162" s="16"/>
      <c r="AP162" s="16"/>
      <c r="AQ162" s="16"/>
      <c r="AR162" s="16"/>
      <c r="AS162" s="17"/>
      <c r="AT162" s="18"/>
      <c r="AU162" s="19"/>
      <c r="AV162" s="19"/>
      <c r="AW162" s="19"/>
    </row>
    <row r="163" spans="1:49" s="2" customFormat="1" x14ac:dyDescent="0.2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37"/>
      <c r="O163" s="26"/>
      <c r="P163" s="26"/>
      <c r="Q163" s="26">
        <v>19</v>
      </c>
      <c r="R163" s="26">
        <f t="shared" si="36"/>
        <v>0</v>
      </c>
      <c r="S163" s="26">
        <f t="shared" si="37"/>
        <v>0</v>
      </c>
      <c r="T163" s="26">
        <f t="shared" si="38"/>
        <v>0</v>
      </c>
      <c r="U163" s="26" t="str">
        <f t="shared" si="34"/>
        <v/>
      </c>
      <c r="V163" s="26">
        <v>24</v>
      </c>
      <c r="W163" s="26">
        <f t="shared" si="40"/>
        <v>0</v>
      </c>
      <c r="X163" s="26" t="str">
        <f t="shared" si="39"/>
        <v/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16"/>
      <c r="AM163" s="16"/>
      <c r="AN163" s="16"/>
      <c r="AO163" s="16"/>
      <c r="AP163" s="16"/>
      <c r="AQ163" s="16"/>
      <c r="AR163" s="16"/>
      <c r="AS163" s="17"/>
      <c r="AT163" s="18"/>
      <c r="AU163" s="19"/>
      <c r="AV163" s="19"/>
      <c r="AW163" s="19"/>
    </row>
    <row r="164" spans="1:49" s="2" customFormat="1" x14ac:dyDescent="0.2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37"/>
      <c r="O164" s="26"/>
      <c r="P164" s="26"/>
      <c r="Q164" s="26">
        <v>18</v>
      </c>
      <c r="R164" s="26">
        <f t="shared" si="36"/>
        <v>0</v>
      </c>
      <c r="S164" s="26">
        <f t="shared" si="37"/>
        <v>0</v>
      </c>
      <c r="T164" s="26">
        <f t="shared" si="38"/>
        <v>0</v>
      </c>
      <c r="U164" s="26" t="str">
        <f t="shared" si="34"/>
        <v/>
      </c>
      <c r="V164" s="26">
        <v>18</v>
      </c>
      <c r="W164" s="26">
        <f t="shared" si="40"/>
        <v>0</v>
      </c>
      <c r="X164" s="26" t="str">
        <f t="shared" si="39"/>
        <v/>
      </c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16"/>
      <c r="AM164" s="16"/>
      <c r="AN164" s="16"/>
      <c r="AO164" s="16"/>
      <c r="AP164" s="16"/>
      <c r="AQ164" s="16"/>
      <c r="AR164" s="16"/>
      <c r="AS164" s="17"/>
      <c r="AT164" s="18"/>
      <c r="AU164" s="19"/>
      <c r="AV164" s="19"/>
      <c r="AW164" s="19"/>
    </row>
    <row r="165" spans="1:49" s="2" customFormat="1" x14ac:dyDescent="0.2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37"/>
      <c r="O165" s="26"/>
      <c r="P165" s="26"/>
      <c r="Q165" s="26">
        <v>17</v>
      </c>
      <c r="R165" s="26">
        <f t="shared" si="36"/>
        <v>0</v>
      </c>
      <c r="S165" s="26">
        <f t="shared" si="37"/>
        <v>0</v>
      </c>
      <c r="T165" s="26">
        <f t="shared" si="38"/>
        <v>0</v>
      </c>
      <c r="U165" s="26" t="str">
        <f t="shared" si="34"/>
        <v/>
      </c>
      <c r="V165" s="26">
        <v>18</v>
      </c>
      <c r="W165" s="26">
        <f t="shared" si="40"/>
        <v>0</v>
      </c>
      <c r="X165" s="26" t="str">
        <f t="shared" si="39"/>
        <v/>
      </c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16"/>
      <c r="AM165" s="16"/>
      <c r="AN165" s="16"/>
      <c r="AO165" s="16"/>
      <c r="AP165" s="16"/>
      <c r="AQ165" s="16"/>
      <c r="AR165" s="16"/>
      <c r="AS165" s="17"/>
      <c r="AT165" s="18"/>
      <c r="AU165" s="19"/>
      <c r="AV165" s="19"/>
      <c r="AW165" s="19"/>
    </row>
    <row r="166" spans="1:49" s="2" customFormat="1" x14ac:dyDescent="0.2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37"/>
      <c r="O166" s="26"/>
      <c r="P166" s="26"/>
      <c r="Q166" s="26">
        <v>16</v>
      </c>
      <c r="R166" s="26">
        <f t="shared" si="36"/>
        <v>0</v>
      </c>
      <c r="S166" s="26">
        <f t="shared" si="37"/>
        <v>0</v>
      </c>
      <c r="T166" s="26">
        <f t="shared" si="38"/>
        <v>0</v>
      </c>
      <c r="U166" s="26" t="str">
        <f t="shared" si="34"/>
        <v/>
      </c>
      <c r="V166" s="26">
        <v>18</v>
      </c>
      <c r="W166" s="26">
        <f t="shared" si="40"/>
        <v>0</v>
      </c>
      <c r="X166" s="26" t="str">
        <f t="shared" si="39"/>
        <v/>
      </c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16"/>
      <c r="AM166" s="16"/>
      <c r="AN166" s="16"/>
      <c r="AO166" s="16"/>
      <c r="AP166" s="16"/>
      <c r="AQ166" s="16"/>
      <c r="AR166" s="16"/>
      <c r="AS166" s="17"/>
      <c r="AT166" s="18"/>
      <c r="AU166" s="19"/>
      <c r="AV166" s="19"/>
      <c r="AW166" s="19"/>
    </row>
    <row r="167" spans="1:49" s="2" customFormat="1" x14ac:dyDescent="0.2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37"/>
      <c r="O167" s="26"/>
      <c r="P167" s="26"/>
      <c r="Q167" s="26">
        <v>15</v>
      </c>
      <c r="R167" s="26">
        <f t="shared" si="36"/>
        <v>0</v>
      </c>
      <c r="S167" s="26">
        <f t="shared" si="37"/>
        <v>0</v>
      </c>
      <c r="T167" s="26">
        <f t="shared" si="38"/>
        <v>0</v>
      </c>
      <c r="U167" s="26" t="str">
        <f t="shared" si="34"/>
        <v/>
      </c>
      <c r="V167" s="26">
        <v>18</v>
      </c>
      <c r="W167" s="26">
        <f t="shared" si="40"/>
        <v>0</v>
      </c>
      <c r="X167" s="26" t="str">
        <f t="shared" si="39"/>
        <v/>
      </c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16"/>
      <c r="AM167" s="16"/>
      <c r="AN167" s="16"/>
      <c r="AO167" s="16"/>
      <c r="AP167" s="16"/>
      <c r="AQ167" s="16"/>
      <c r="AR167" s="16"/>
      <c r="AS167" s="17"/>
      <c r="AT167" s="18"/>
      <c r="AU167" s="19"/>
      <c r="AV167" s="19"/>
      <c r="AW167" s="19"/>
    </row>
    <row r="168" spans="1:49" s="2" customFormat="1" x14ac:dyDescent="0.2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37"/>
      <c r="O168" s="26"/>
      <c r="P168" s="26"/>
      <c r="Q168" s="26">
        <v>14</v>
      </c>
      <c r="R168" s="26">
        <f t="shared" si="36"/>
        <v>0</v>
      </c>
      <c r="S168" s="26">
        <f t="shared" si="37"/>
        <v>0</v>
      </c>
      <c r="T168" s="26">
        <f t="shared" si="38"/>
        <v>0</v>
      </c>
      <c r="U168" s="26" t="str">
        <f t="shared" si="34"/>
        <v/>
      </c>
      <c r="V168" s="26">
        <v>18</v>
      </c>
      <c r="W168" s="26">
        <f t="shared" si="40"/>
        <v>0</v>
      </c>
      <c r="X168" s="26" t="str">
        <f t="shared" si="39"/>
        <v/>
      </c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16"/>
      <c r="AM168" s="16"/>
      <c r="AN168" s="16"/>
      <c r="AO168" s="16"/>
      <c r="AP168" s="16"/>
      <c r="AQ168" s="16"/>
      <c r="AR168" s="16"/>
      <c r="AS168" s="17"/>
      <c r="AT168" s="18"/>
      <c r="AU168" s="19"/>
      <c r="AV168" s="19"/>
      <c r="AW168" s="19"/>
    </row>
    <row r="169" spans="1:49" s="2" customFormat="1" x14ac:dyDescent="0.2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37"/>
      <c r="O169" s="26"/>
      <c r="P169" s="26"/>
      <c r="Q169" s="26">
        <v>13</v>
      </c>
      <c r="R169" s="26">
        <f t="shared" si="36"/>
        <v>0</v>
      </c>
      <c r="S169" s="26">
        <f t="shared" si="37"/>
        <v>0</v>
      </c>
      <c r="T169" s="26">
        <f t="shared" si="38"/>
        <v>0</v>
      </c>
      <c r="U169" s="26" t="str">
        <f t="shared" si="34"/>
        <v/>
      </c>
      <c r="V169" s="26">
        <v>18</v>
      </c>
      <c r="W169" s="26">
        <f t="shared" si="40"/>
        <v>0</v>
      </c>
      <c r="X169" s="26" t="str">
        <f t="shared" si="39"/>
        <v/>
      </c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16"/>
      <c r="AM169" s="16"/>
      <c r="AN169" s="16"/>
      <c r="AO169" s="16"/>
      <c r="AP169" s="16"/>
      <c r="AQ169" s="16"/>
      <c r="AR169" s="16"/>
      <c r="AS169" s="17"/>
      <c r="AT169" s="18"/>
      <c r="AU169" s="19"/>
      <c r="AV169" s="19"/>
      <c r="AW169" s="19"/>
    </row>
    <row r="170" spans="1:49" s="2" customFormat="1" x14ac:dyDescent="0.2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37"/>
      <c r="O170" s="26"/>
      <c r="P170" s="26"/>
      <c r="Q170" s="26">
        <v>12</v>
      </c>
      <c r="R170" s="26">
        <f t="shared" si="36"/>
        <v>0</v>
      </c>
      <c r="S170" s="26">
        <f t="shared" si="37"/>
        <v>0</v>
      </c>
      <c r="T170" s="26">
        <f t="shared" si="38"/>
        <v>0</v>
      </c>
      <c r="U170" s="26" t="str">
        <f t="shared" si="34"/>
        <v/>
      </c>
      <c r="V170" s="26">
        <v>12</v>
      </c>
      <c r="W170" s="26">
        <f t="shared" si="40"/>
        <v>0</v>
      </c>
      <c r="X170" s="26" t="str">
        <f t="shared" si="39"/>
        <v/>
      </c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16"/>
      <c r="AM170" s="16"/>
      <c r="AN170" s="16"/>
      <c r="AO170" s="16"/>
      <c r="AP170" s="16"/>
      <c r="AQ170" s="16"/>
      <c r="AR170" s="16"/>
      <c r="AS170" s="17"/>
      <c r="AT170" s="18"/>
      <c r="AU170" s="19"/>
      <c r="AV170" s="19"/>
      <c r="AW170" s="19"/>
    </row>
    <row r="171" spans="1:49" s="2" customFormat="1" x14ac:dyDescent="0.2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37"/>
      <c r="O171" s="26"/>
      <c r="P171" s="26"/>
      <c r="Q171" s="26">
        <v>11</v>
      </c>
      <c r="R171" s="26">
        <f t="shared" si="36"/>
        <v>0</v>
      </c>
      <c r="S171" s="26">
        <f t="shared" si="37"/>
        <v>0</v>
      </c>
      <c r="T171" s="26">
        <f t="shared" si="38"/>
        <v>0</v>
      </c>
      <c r="U171" s="26" t="str">
        <f t="shared" si="34"/>
        <v/>
      </c>
      <c r="V171" s="26">
        <v>12</v>
      </c>
      <c r="W171" s="26">
        <f t="shared" si="40"/>
        <v>0</v>
      </c>
      <c r="X171" s="26" t="str">
        <f t="shared" si="39"/>
        <v/>
      </c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16"/>
      <c r="AM171" s="16"/>
      <c r="AN171" s="16"/>
      <c r="AO171" s="16"/>
      <c r="AP171" s="16"/>
      <c r="AQ171" s="16"/>
      <c r="AR171" s="16"/>
      <c r="AS171" s="17"/>
      <c r="AT171" s="18"/>
      <c r="AU171" s="19"/>
      <c r="AV171" s="19"/>
      <c r="AW171" s="19"/>
    </row>
    <row r="172" spans="1:49" s="2" customFormat="1" x14ac:dyDescent="0.2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37"/>
      <c r="O172" s="26"/>
      <c r="P172" s="26"/>
      <c r="Q172" s="26">
        <v>10</v>
      </c>
      <c r="R172" s="26">
        <f t="shared" si="36"/>
        <v>0</v>
      </c>
      <c r="S172" s="26">
        <f t="shared" si="37"/>
        <v>0</v>
      </c>
      <c r="T172" s="26">
        <f t="shared" si="38"/>
        <v>0</v>
      </c>
      <c r="U172" s="26" t="str">
        <f t="shared" si="34"/>
        <v/>
      </c>
      <c r="V172" s="26">
        <v>12</v>
      </c>
      <c r="W172" s="26">
        <f t="shared" si="40"/>
        <v>0</v>
      </c>
      <c r="X172" s="26" t="str">
        <f t="shared" si="39"/>
        <v/>
      </c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16"/>
      <c r="AM172" s="16"/>
      <c r="AN172" s="16"/>
      <c r="AO172" s="16"/>
      <c r="AP172" s="16"/>
      <c r="AQ172" s="16"/>
      <c r="AR172" s="16"/>
      <c r="AS172" s="17"/>
      <c r="AT172" s="18"/>
      <c r="AU172" s="19"/>
      <c r="AV172" s="19"/>
      <c r="AW172" s="19"/>
    </row>
    <row r="173" spans="1:49" s="2" customFormat="1" x14ac:dyDescent="0.2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37"/>
      <c r="O173" s="26"/>
      <c r="P173" s="26"/>
      <c r="Q173" s="26">
        <v>9</v>
      </c>
      <c r="R173" s="26">
        <f t="shared" si="36"/>
        <v>0</v>
      </c>
      <c r="S173" s="26">
        <f t="shared" si="37"/>
        <v>0</v>
      </c>
      <c r="T173" s="26">
        <f t="shared" si="38"/>
        <v>0</v>
      </c>
      <c r="U173" s="26" t="str">
        <f t="shared" si="34"/>
        <v/>
      </c>
      <c r="V173" s="26">
        <v>12</v>
      </c>
      <c r="W173" s="26">
        <f t="shared" si="40"/>
        <v>0</v>
      </c>
      <c r="X173" s="26" t="str">
        <f t="shared" si="39"/>
        <v/>
      </c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16"/>
      <c r="AM173" s="16"/>
      <c r="AN173" s="16"/>
      <c r="AO173" s="16"/>
      <c r="AP173" s="16"/>
      <c r="AQ173" s="16"/>
      <c r="AR173" s="16"/>
      <c r="AS173" s="17"/>
      <c r="AT173" s="18"/>
      <c r="AU173" s="19"/>
      <c r="AV173" s="19"/>
      <c r="AW173" s="19"/>
    </row>
    <row r="174" spans="1:49" s="2" customFormat="1" x14ac:dyDescent="0.2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37"/>
      <c r="O174" s="26"/>
      <c r="P174" s="26"/>
      <c r="Q174" s="26">
        <v>8</v>
      </c>
      <c r="R174" s="26">
        <f t="shared" si="36"/>
        <v>0</v>
      </c>
      <c r="S174" s="26">
        <f t="shared" si="37"/>
        <v>0</v>
      </c>
      <c r="T174" s="26">
        <f t="shared" si="38"/>
        <v>0</v>
      </c>
      <c r="U174" s="26" t="str">
        <f t="shared" si="34"/>
        <v/>
      </c>
      <c r="V174" s="26">
        <v>12</v>
      </c>
      <c r="W174" s="26">
        <f t="shared" si="40"/>
        <v>0</v>
      </c>
      <c r="X174" s="26" t="str">
        <f t="shared" si="39"/>
        <v/>
      </c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16"/>
      <c r="AM174" s="16"/>
      <c r="AN174" s="16"/>
      <c r="AO174" s="16"/>
      <c r="AP174" s="16"/>
      <c r="AQ174" s="16"/>
      <c r="AR174" s="16"/>
      <c r="AS174" s="17"/>
      <c r="AT174" s="18"/>
      <c r="AU174" s="19"/>
      <c r="AV174" s="19"/>
      <c r="AW174" s="19"/>
    </row>
    <row r="175" spans="1:49" x14ac:dyDescent="0.2">
      <c r="A175" s="79"/>
      <c r="B175" s="79"/>
      <c r="C175" s="79"/>
      <c r="D175" s="79"/>
      <c r="E175" s="79"/>
      <c r="F175" s="79"/>
      <c r="G175" s="25"/>
      <c r="H175" s="79"/>
      <c r="I175" s="79"/>
      <c r="J175" s="79"/>
      <c r="K175" s="79"/>
      <c r="L175" s="79"/>
      <c r="M175" s="79"/>
      <c r="N175" s="37"/>
      <c r="O175" s="26"/>
      <c r="P175" s="26"/>
      <c r="Q175" s="26">
        <v>7</v>
      </c>
      <c r="R175" s="26">
        <f t="shared" si="36"/>
        <v>0</v>
      </c>
      <c r="S175" s="26">
        <f t="shared" si="37"/>
        <v>0</v>
      </c>
      <c r="T175" s="26">
        <f t="shared" si="38"/>
        <v>0</v>
      </c>
      <c r="U175" s="26" t="str">
        <f t="shared" si="34"/>
        <v/>
      </c>
      <c r="V175" s="26">
        <v>12</v>
      </c>
      <c r="W175" s="26">
        <f t="shared" si="40"/>
        <v>0</v>
      </c>
      <c r="X175" s="26" t="str">
        <f t="shared" si="39"/>
        <v/>
      </c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49" x14ac:dyDescent="0.2">
      <c r="A176" s="79"/>
      <c r="B176" s="79"/>
      <c r="C176" s="79"/>
      <c r="D176" s="79"/>
      <c r="E176" s="79"/>
      <c r="F176" s="79"/>
      <c r="G176" s="25"/>
      <c r="H176" s="79"/>
      <c r="I176" s="79"/>
      <c r="J176" s="79"/>
      <c r="K176" s="79"/>
      <c r="L176" s="79"/>
      <c r="M176" s="79"/>
      <c r="N176" s="37"/>
      <c r="O176" s="26"/>
      <c r="P176" s="26"/>
      <c r="Q176" s="26">
        <v>6</v>
      </c>
      <c r="R176" s="26">
        <f t="shared" si="36"/>
        <v>0</v>
      </c>
      <c r="S176" s="26">
        <f t="shared" si="37"/>
        <v>0</v>
      </c>
      <c r="T176" s="26">
        <f t="shared" si="38"/>
        <v>0</v>
      </c>
      <c r="U176" s="26" t="str">
        <f t="shared" si="34"/>
        <v/>
      </c>
      <c r="V176" s="26">
        <v>6</v>
      </c>
      <c r="W176" s="26">
        <f t="shared" si="40"/>
        <v>0</v>
      </c>
      <c r="X176" s="26" t="str">
        <f t="shared" si="39"/>
        <v/>
      </c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 x14ac:dyDescent="0.2">
      <c r="A177" s="79"/>
      <c r="B177" s="79"/>
      <c r="C177" s="79"/>
      <c r="D177" s="79"/>
      <c r="E177" s="79"/>
      <c r="F177" s="79"/>
      <c r="G177" s="25"/>
      <c r="H177" s="79"/>
      <c r="I177" s="79"/>
      <c r="J177" s="79"/>
      <c r="K177" s="79"/>
      <c r="L177" s="79"/>
      <c r="M177" s="79"/>
      <c r="N177" s="37"/>
      <c r="O177" s="26"/>
      <c r="P177" s="26"/>
      <c r="Q177" s="26">
        <v>5</v>
      </c>
      <c r="R177" s="26">
        <f t="shared" si="36"/>
        <v>0</v>
      </c>
      <c r="S177" s="26">
        <f t="shared" si="37"/>
        <v>0</v>
      </c>
      <c r="T177" s="26">
        <f t="shared" si="38"/>
        <v>0</v>
      </c>
      <c r="U177" s="26" t="str">
        <f t="shared" si="34"/>
        <v/>
      </c>
      <c r="V177" s="26">
        <v>6</v>
      </c>
      <c r="W177" s="26">
        <f t="shared" si="40"/>
        <v>0</v>
      </c>
      <c r="X177" s="26" t="str">
        <f t="shared" si="39"/>
        <v/>
      </c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</row>
    <row r="178" spans="1:37" x14ac:dyDescent="0.2">
      <c r="A178" s="79"/>
      <c r="B178" s="79"/>
      <c r="C178" s="79"/>
      <c r="D178" s="79"/>
      <c r="E178" s="79"/>
      <c r="F178" s="79"/>
      <c r="G178" s="25"/>
      <c r="H178" s="79"/>
      <c r="I178" s="79"/>
      <c r="J178" s="79"/>
      <c r="K178" s="79"/>
      <c r="L178" s="79"/>
      <c r="M178" s="79"/>
      <c r="N178" s="37"/>
      <c r="O178" s="26"/>
      <c r="P178" s="26"/>
      <c r="Q178" s="26">
        <v>4</v>
      </c>
      <c r="R178" s="26">
        <f t="shared" si="36"/>
        <v>0</v>
      </c>
      <c r="S178" s="26">
        <f t="shared" si="37"/>
        <v>0</v>
      </c>
      <c r="T178" s="26">
        <f t="shared" si="38"/>
        <v>0</v>
      </c>
      <c r="U178" s="26" t="str">
        <f t="shared" si="34"/>
        <v/>
      </c>
      <c r="V178" s="26">
        <v>6</v>
      </c>
      <c r="W178" s="26">
        <f t="shared" si="40"/>
        <v>0</v>
      </c>
      <c r="X178" s="26" t="str">
        <f t="shared" si="39"/>
        <v/>
      </c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</row>
    <row r="179" spans="1:37" x14ac:dyDescent="0.2">
      <c r="A179" s="79"/>
      <c r="B179" s="79"/>
      <c r="C179" s="79"/>
      <c r="D179" s="79"/>
      <c r="E179" s="79"/>
      <c r="F179" s="79"/>
      <c r="G179" s="25"/>
      <c r="H179" s="79"/>
      <c r="I179" s="79"/>
      <c r="J179" s="79"/>
      <c r="K179" s="79"/>
      <c r="L179" s="79"/>
      <c r="M179" s="79"/>
      <c r="N179" s="37"/>
      <c r="O179" s="26"/>
      <c r="P179" s="26"/>
      <c r="Q179" s="26">
        <v>3</v>
      </c>
      <c r="R179" s="26">
        <f t="shared" si="36"/>
        <v>0</v>
      </c>
      <c r="S179" s="26">
        <f t="shared" si="37"/>
        <v>0</v>
      </c>
      <c r="T179" s="26">
        <f t="shared" si="38"/>
        <v>0</v>
      </c>
      <c r="U179" s="26" t="str">
        <f t="shared" si="34"/>
        <v/>
      </c>
      <c r="V179" s="26">
        <v>6</v>
      </c>
      <c r="W179" s="26">
        <f t="shared" si="40"/>
        <v>0</v>
      </c>
      <c r="X179" s="26" t="str">
        <f t="shared" si="39"/>
        <v/>
      </c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</row>
    <row r="180" spans="1:37" x14ac:dyDescent="0.2">
      <c r="A180" s="79"/>
      <c r="B180" s="79"/>
      <c r="C180" s="79"/>
      <c r="D180" s="79"/>
      <c r="E180" s="79"/>
      <c r="F180" s="79"/>
      <c r="G180" s="25"/>
      <c r="H180" s="79"/>
      <c r="I180" s="79"/>
      <c r="J180" s="79"/>
      <c r="K180" s="79"/>
      <c r="L180" s="79"/>
      <c r="M180" s="79"/>
      <c r="N180" s="37"/>
      <c r="O180" s="26"/>
      <c r="P180" s="26"/>
      <c r="Q180" s="26">
        <v>2</v>
      </c>
      <c r="R180" s="26">
        <f t="shared" si="36"/>
        <v>0</v>
      </c>
      <c r="S180" s="26">
        <f t="shared" si="37"/>
        <v>0</v>
      </c>
      <c r="T180" s="26">
        <f t="shared" si="38"/>
        <v>0</v>
      </c>
      <c r="U180" s="26" t="str">
        <f t="shared" si="34"/>
        <v/>
      </c>
      <c r="V180" s="26">
        <v>6</v>
      </c>
      <c r="W180" s="26">
        <f t="shared" si="40"/>
        <v>0</v>
      </c>
      <c r="X180" s="26" t="str">
        <f t="shared" si="39"/>
        <v/>
      </c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</row>
    <row r="181" spans="1:37" x14ac:dyDescent="0.2">
      <c r="A181" s="79"/>
      <c r="B181" s="79"/>
      <c r="C181" s="79"/>
      <c r="D181" s="79"/>
      <c r="E181" s="79"/>
      <c r="F181" s="79"/>
      <c r="G181" s="25"/>
      <c r="H181" s="79"/>
      <c r="I181" s="79"/>
      <c r="J181" s="79"/>
      <c r="K181" s="79"/>
      <c r="L181" s="79"/>
      <c r="M181" s="79"/>
      <c r="N181" s="37"/>
      <c r="O181" s="26"/>
      <c r="P181" s="26"/>
      <c r="Q181" s="26">
        <v>1</v>
      </c>
      <c r="R181" s="26">
        <f t="shared" si="36"/>
        <v>0</v>
      </c>
      <c r="S181" s="26">
        <f t="shared" si="37"/>
        <v>0</v>
      </c>
      <c r="T181" s="26">
        <f t="shared" si="38"/>
        <v>0</v>
      </c>
      <c r="U181" s="26" t="str">
        <f t="shared" si="34"/>
        <v/>
      </c>
      <c r="V181" s="26">
        <v>6</v>
      </c>
      <c r="W181" s="26">
        <f t="shared" si="40"/>
        <v>0</v>
      </c>
      <c r="X181" s="26" t="str">
        <f t="shared" si="39"/>
        <v/>
      </c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</row>
    <row r="182" spans="1:37" x14ac:dyDescent="0.2">
      <c r="A182" s="79"/>
      <c r="B182" s="79"/>
      <c r="C182" s="79"/>
      <c r="D182" s="79"/>
      <c r="E182" s="79"/>
      <c r="F182" s="79"/>
      <c r="G182" s="25"/>
      <c r="H182" s="79"/>
      <c r="I182" s="79"/>
      <c r="J182" s="79"/>
      <c r="K182" s="79"/>
      <c r="L182" s="79"/>
      <c r="M182" s="79"/>
      <c r="N182" s="37"/>
      <c r="O182" s="26"/>
      <c r="P182" s="26"/>
      <c r="Q182" s="26">
        <v>0</v>
      </c>
      <c r="R182" s="26">
        <f t="shared" si="36"/>
        <v>0</v>
      </c>
      <c r="S182" s="26">
        <f t="shared" si="37"/>
        <v>0</v>
      </c>
      <c r="T182" s="26">
        <f t="shared" si="38"/>
        <v>0</v>
      </c>
      <c r="U182" s="26" t="str">
        <f t="shared" si="34"/>
        <v/>
      </c>
      <c r="V182" s="26">
        <v>6</v>
      </c>
      <c r="W182" s="26">
        <f t="shared" si="40"/>
        <v>0</v>
      </c>
      <c r="X182" s="26" t="str">
        <f t="shared" si="39"/>
        <v/>
      </c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</sheetData>
  <sheetProtection algorithmName="SHA-512" hashValue="BIdWXfmY3Yfl4Of51haCQCPmrDR9q6qD17wBvTlWuwi5zQ63BP2obnv8aICbrEM9qBoPXW10car7zkirqD8/QA==" saltValue="9/k0f1vgloXCjWhyb6nwfQ==" spinCount="100000" sheet="1" objects="1" scenarios="1" selectLockedCells="1"/>
  <mergeCells count="21">
    <mergeCell ref="D53:E57"/>
    <mergeCell ref="A8:F8"/>
    <mergeCell ref="H13:M14"/>
    <mergeCell ref="B41:B42"/>
    <mergeCell ref="C41:C42"/>
    <mergeCell ref="D41:D42"/>
    <mergeCell ref="E41:E42"/>
    <mergeCell ref="B52:C52"/>
    <mergeCell ref="B44:C45"/>
    <mergeCell ref="B47:C48"/>
    <mergeCell ref="D47:E48"/>
    <mergeCell ref="B50:B51"/>
    <mergeCell ref="C50:C51"/>
    <mergeCell ref="D50:D51"/>
    <mergeCell ref="E50:E51"/>
    <mergeCell ref="B54:B55"/>
    <mergeCell ref="E44:E45"/>
    <mergeCell ref="D44:D45"/>
    <mergeCell ref="H5:J5"/>
    <mergeCell ref="H10:I10"/>
    <mergeCell ref="AX12:BG14"/>
  </mergeCells>
  <conditionalFormatting sqref="H16:M23">
    <cfRule type="expression" dxfId="60" priority="50" stopIfTrue="1">
      <formula>$P16="DUPLICATE"</formula>
    </cfRule>
  </conditionalFormatting>
  <conditionalFormatting sqref="H16:M23">
    <cfRule type="expression" dxfId="59" priority="39" stopIfTrue="1">
      <formula>$P16="DUPLICATE"</formula>
    </cfRule>
  </conditionalFormatting>
  <conditionalFormatting sqref="H13">
    <cfRule type="expression" dxfId="58" priority="52" stopIfTrue="1">
      <formula>$H$13="MP OVERLAP.  ADJUST MP TABLE!!! (LOWER MP AFFECTED BY OVER LAP)"</formula>
    </cfRule>
  </conditionalFormatting>
  <conditionalFormatting sqref="B38:E38">
    <cfRule type="expression" dxfId="57" priority="20" stopIfTrue="1">
      <formula>$F$11=1</formula>
    </cfRule>
  </conditionalFormatting>
  <conditionalFormatting sqref="C13:C37">
    <cfRule type="expression" dxfId="56" priority="14" stopIfTrue="1">
      <formula>$B13=1</formula>
    </cfRule>
    <cfRule type="expression" dxfId="55" priority="15" stopIfTrue="1">
      <formula>$B13=0</formula>
    </cfRule>
    <cfRule type="expression" dxfId="54" priority="16" stopIfTrue="1">
      <formula>$B13&lt;&gt;$B12</formula>
    </cfRule>
    <cfRule type="expression" dxfId="53" priority="17" stopIfTrue="1">
      <formula>$B13&lt;&gt;0</formula>
    </cfRule>
  </conditionalFormatting>
  <conditionalFormatting sqref="C12:C37">
    <cfRule type="expression" dxfId="52" priority="18" stopIfTrue="1">
      <formula>$F$11=1</formula>
    </cfRule>
  </conditionalFormatting>
  <conditionalFormatting sqref="C38:E38 C11:E11 D12:E37 B11:B38">
    <cfRule type="expression" dxfId="51" priority="19" stopIfTrue="1">
      <formula>$F$11=1</formula>
    </cfRule>
  </conditionalFormatting>
  <conditionalFormatting sqref="C11">
    <cfRule type="expression" dxfId="50" priority="13" stopIfTrue="1">
      <formula>$F$11=1</formula>
    </cfRule>
  </conditionalFormatting>
  <conditionalFormatting sqref="B52:C52">
    <cfRule type="expression" dxfId="49" priority="8" stopIfTrue="1">
      <formula>$C$54=0</formula>
    </cfRule>
    <cfRule type="expression" dxfId="48" priority="11" stopIfTrue="1">
      <formula>$B$52="FLOOR SUMMARY NEEDED!"</formula>
    </cfRule>
  </conditionalFormatting>
  <conditionalFormatting sqref="B57">
    <cfRule type="expression" dxfId="47" priority="10" stopIfTrue="1">
      <formula>$B$57=FALSE</formula>
    </cfRule>
  </conditionalFormatting>
  <conditionalFormatting sqref="C54:C57">
    <cfRule type="expression" dxfId="46" priority="9" stopIfTrue="1">
      <formula>$C$56=1</formula>
    </cfRule>
  </conditionalFormatting>
  <conditionalFormatting sqref="B53:B55">
    <cfRule type="expression" dxfId="45" priority="7" stopIfTrue="1">
      <formula>$C$54=0</formula>
    </cfRule>
  </conditionalFormatting>
  <conditionalFormatting sqref="C53:C55">
    <cfRule type="expression" dxfId="44" priority="6" stopIfTrue="1">
      <formula>$C$54=0</formula>
    </cfRule>
  </conditionalFormatting>
  <conditionalFormatting sqref="E43">
    <cfRule type="expression" dxfId="43" priority="5" stopIfTrue="1">
      <formula>$D$43="MAKE WALL SELECTION"</formula>
    </cfRule>
    <cfRule type="expression" dxfId="42" priority="12" stopIfTrue="1">
      <formula>$F$11=1</formula>
    </cfRule>
  </conditionalFormatting>
  <conditionalFormatting sqref="C56:C57">
    <cfRule type="expression" dxfId="41" priority="4" stopIfTrue="1">
      <formula>$C$54=0</formula>
    </cfRule>
  </conditionalFormatting>
  <conditionalFormatting sqref="B44:C45">
    <cfRule type="expression" dxfId="40" priority="3">
      <formula>$M$1&gt;0</formula>
    </cfRule>
  </conditionalFormatting>
  <conditionalFormatting sqref="D41:D42">
    <cfRule type="expression" dxfId="39" priority="2">
      <formula>$M$2&gt;0</formula>
    </cfRule>
  </conditionalFormatting>
  <conditionalFormatting sqref="E44">
    <cfRule type="expression" dxfId="38" priority="1">
      <formula>$M$3&gt;0</formula>
    </cfRule>
  </conditionalFormatting>
  <dataValidations count="2">
    <dataValidation type="list" allowBlank="1" showDropDown="1" showInputMessage="1" showErrorMessage="1" sqref="F11">
      <formula1>$G$1:$G$2</formula1>
    </dataValidation>
    <dataValidation type="list" allowBlank="1" showInputMessage="1" showErrorMessage="1" sqref="I16:I23">
      <formula1>$N$1:$N$2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ToggleButton1">
          <controlPr defaultSize="0" autoLine="0" r:id="rId5">
            <anchor moveWithCells="1">
              <from>
                <xdr:col>3</xdr:col>
                <xdr:colOff>1533525</xdr:colOff>
                <xdr:row>10</xdr:row>
                <xdr:rowOff>114300</xdr:rowOff>
              </from>
              <to>
                <xdr:col>4</xdr:col>
                <xdr:colOff>1390650</xdr:colOff>
                <xdr:row>12</xdr:row>
                <xdr:rowOff>95250</xdr:rowOff>
              </to>
            </anchor>
          </controlPr>
        </control>
      </mc:Choice>
      <mc:Fallback>
        <control shapeId="8193" r:id="rId4" name="ToggleButton1"/>
      </mc:Fallback>
    </mc:AlternateContent>
    <mc:AlternateContent xmlns:mc="http://schemas.openxmlformats.org/markup-compatibility/2006">
      <mc:Choice Requires="x14">
        <control shapeId="8195" r:id="rId6" name="ComboBox1">
          <controlPr defaultSize="0" autoLine="0" linkedCell="C61" listFillRange="D61:D69" r:id="rId7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8195" r:id="rId6" name="ComboBox1"/>
      </mc:Fallback>
    </mc:AlternateContent>
    <mc:AlternateContent xmlns:mc="http://schemas.openxmlformats.org/markup-compatibility/2006">
      <mc:Choice Requires="x14">
        <control shapeId="8197" r:id="rId8" name="CheckBox2">
          <controlPr defaultSize="0" autoLine="0" linkedCell="C65" r:id="rId9">
            <anchor moveWithCells="1">
              <from>
                <xdr:col>2</xdr:col>
                <xdr:colOff>95250</xdr:colOff>
                <xdr:row>55</xdr:row>
                <xdr:rowOff>0</xdr:rowOff>
              </from>
              <to>
                <xdr:col>2</xdr:col>
                <xdr:colOff>1581150</xdr:colOff>
                <xdr:row>56</xdr:row>
                <xdr:rowOff>123825</xdr:rowOff>
              </to>
            </anchor>
          </controlPr>
        </control>
      </mc:Choice>
      <mc:Fallback>
        <control shapeId="8197" r:id="rId8" name="CheckBox2"/>
      </mc:Fallback>
    </mc:AlternateContent>
    <mc:AlternateContent xmlns:mc="http://schemas.openxmlformats.org/markup-compatibility/2006">
      <mc:Choice Requires="x14">
        <control shapeId="8198" r:id="rId10" name="CheckBox1">
          <controlPr defaultSize="0" autoLine="0" linkedCell="C64" r:id="rId11">
            <anchor moveWithCells="1">
              <from>
                <xdr:col>2</xdr:col>
                <xdr:colOff>95250</xdr:colOff>
                <xdr:row>53</xdr:row>
                <xdr:rowOff>57150</xdr:rowOff>
              </from>
              <to>
                <xdr:col>2</xdr:col>
                <xdr:colOff>1581150</xdr:colOff>
                <xdr:row>55</xdr:row>
                <xdr:rowOff>9525</xdr:rowOff>
              </to>
            </anchor>
          </controlPr>
        </control>
      </mc:Choice>
      <mc:Fallback>
        <control shapeId="8198" r:id="rId10" name="CheckBox1"/>
      </mc:Fallback>
    </mc:AlternateContent>
    <mc:AlternateContent xmlns:mc="http://schemas.openxmlformats.org/markup-compatibility/2006">
      <mc:Choice Requires="x14">
        <control shapeId="8199" r:id="rId12" name="ComboBox2">
          <controlPr defaultSize="0" autoLine="0" linkedCell="C63" listFillRange="B61:B76" r:id="rId13">
            <anchor moveWithCells="1">
              <from>
                <xdr:col>1</xdr:col>
                <xdr:colOff>9525</xdr:colOff>
                <xdr:row>52</xdr:row>
                <xdr:rowOff>152400</xdr:rowOff>
              </from>
              <to>
                <xdr:col>2</xdr:col>
                <xdr:colOff>0</xdr:colOff>
                <xdr:row>54</xdr:row>
                <xdr:rowOff>142875</xdr:rowOff>
              </to>
            </anchor>
          </controlPr>
        </control>
      </mc:Choice>
      <mc:Fallback>
        <control shapeId="8199" r:id="rId12" name="ComboBox2"/>
      </mc:Fallback>
    </mc:AlternateContent>
    <mc:AlternateContent xmlns:mc="http://schemas.openxmlformats.org/markup-compatibility/2006">
      <mc:Choice Requires="x14">
        <control shapeId="8341" r:id="rId14" name="TextBox1">
          <controlPr autoLine="0" autoPict="0" r:id="rId15">
            <anchor moveWithCells="1">
              <from>
                <xdr:col>6</xdr:col>
                <xdr:colOff>266700</xdr:colOff>
                <xdr:row>24</xdr:row>
                <xdr:rowOff>9525</xdr:rowOff>
              </from>
              <to>
                <xdr:col>12</xdr:col>
                <xdr:colOff>2238375</xdr:colOff>
                <xdr:row>43</xdr:row>
                <xdr:rowOff>66675</xdr:rowOff>
              </to>
            </anchor>
          </controlPr>
        </control>
      </mc:Choice>
      <mc:Fallback>
        <control shapeId="8341" r:id="rId14" name="Text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tabSelected="1" zoomScale="85" zoomScaleNormal="85" zoomScaleSheetLayoutView="85" workbookViewId="0">
      <selection activeCell="D11" sqref="D11:F11"/>
    </sheetView>
  </sheetViews>
  <sheetFormatPr defaultRowHeight="12.75" x14ac:dyDescent="0.2"/>
  <cols>
    <col min="1" max="1" width="3.85546875" style="79" customWidth="1"/>
    <col min="2" max="4" width="25" style="79" customWidth="1"/>
    <col min="5" max="6" width="13.28515625" style="79" customWidth="1"/>
    <col min="7" max="7" width="3.85546875" style="79" customWidth="1"/>
    <col min="8" max="8" width="9.140625" style="182" customWidth="1"/>
    <col min="9" max="9" width="14.85546875" style="182" hidden="1" customWidth="1"/>
    <col min="10" max="25" width="9.140625" style="182" hidden="1" customWidth="1"/>
    <col min="26" max="26" width="0" style="182" hidden="1" customWidth="1"/>
    <col min="27" max="147" width="9.140625" style="182"/>
    <col min="148" max="16384" width="9.140625" style="79"/>
  </cols>
  <sheetData>
    <row r="1" spans="1:147" ht="14.25" thickTop="1" thickBot="1" x14ac:dyDescent="0.25">
      <c r="A1" s="83"/>
      <c r="B1" s="84"/>
      <c r="C1" s="84"/>
      <c r="D1" s="84"/>
      <c r="E1" s="84"/>
      <c r="F1" s="84"/>
      <c r="G1" s="85"/>
      <c r="I1" s="182" t="s">
        <v>54</v>
      </c>
      <c r="J1" s="182" t="s">
        <v>56</v>
      </c>
      <c r="L1" s="182" t="s">
        <v>13</v>
      </c>
      <c r="M1" s="183"/>
      <c r="N1" s="183" t="s">
        <v>14</v>
      </c>
      <c r="P1" s="182" t="s">
        <v>50</v>
      </c>
      <c r="R1" s="182" t="s">
        <v>51</v>
      </c>
      <c r="T1" s="182" t="s">
        <v>52</v>
      </c>
      <c r="V1" s="182" t="s">
        <v>53</v>
      </c>
    </row>
    <row r="2" spans="1:147" s="90" customFormat="1" ht="15" thickBot="1" x14ac:dyDescent="0.25">
      <c r="A2" s="86"/>
      <c r="B2" s="87" t="s">
        <v>8</v>
      </c>
      <c r="C2" s="88"/>
      <c r="D2" s="88"/>
      <c r="E2" s="514" t="s">
        <v>9</v>
      </c>
      <c r="F2" s="515"/>
      <c r="G2" s="89"/>
      <c r="H2" s="182"/>
      <c r="I2" s="182" t="s">
        <v>45</v>
      </c>
      <c r="J2" s="182" t="s">
        <v>55</v>
      </c>
      <c r="K2" s="182">
        <v>1</v>
      </c>
      <c r="L2" s="182">
        <f>IF($B$13&gt;=K2,K2,"")</f>
        <v>1</v>
      </c>
      <c r="M2" s="182" t="e">
        <f>IF(L2="","",IF(L2&lt;=$E$15,VLOOKUP($E$14,$I$1:$J$4,2,FALSE),VLOOKUP($F$14,$I$1:$J$4,2,FALSE)))</f>
        <v>#N/A</v>
      </c>
      <c r="N2" s="182" t="str">
        <f>IF($B$20&gt;=K2,K2,"")</f>
        <v/>
      </c>
      <c r="O2" s="182" t="str">
        <f>IF(N2="","",IF(N2&lt;=$E$22,VLOOKUP($E$21,$I$1:$J$4,2,FALSE),VLOOKUP($F$21,$I$1:$J$4,2,FALSE)))</f>
        <v/>
      </c>
      <c r="P2" s="182" t="str">
        <f>IF($B$27&gt;=K2,K2,"")</f>
        <v/>
      </c>
      <c r="Q2" s="182" t="str">
        <f>IF(P2="","",IF(P2&lt;=$E$29,VLOOKUP($E$28,$I$1:$J$4,2,FALSE),VLOOKUP($F$28,$I$1:$J$4,2,FALSE)))</f>
        <v/>
      </c>
      <c r="R2" s="182" t="str">
        <f>IF($B$34&gt;=K2,K2,"")</f>
        <v/>
      </c>
      <c r="S2" s="182" t="str">
        <f>IF(R2="","",IF(R2&lt;=$E$36,VLOOKUP($E$35,$I$1:$J$4,2,FALSE),VLOOKUP($F$35,$I$1:$J$4,2,FALSE)))</f>
        <v/>
      </c>
      <c r="T2" s="182" t="str">
        <f>IF($B$41&gt;=K2,K2,"")</f>
        <v/>
      </c>
      <c r="U2" s="182" t="str">
        <f>IF(T2="","",IF(T2&lt;=$E$43,VLOOKUP($E$42,$I$1:$J$4,2,FALSE),VLOOKUP($F$42,$I$1:$J$4,2,FALSE)))</f>
        <v/>
      </c>
      <c r="V2" s="182" t="str">
        <f>IF($B$48&gt;=K2,K2,"")</f>
        <v/>
      </c>
      <c r="W2" s="182" t="str">
        <f>IF(V2="","",IF(V2&lt;=$E$50,VLOOKUP($E$49,$I$1:$J$4,2,FALSE),VLOOKUP($F$49,$I$1:$J$4,2,FALSE)))</f>
        <v/>
      </c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</row>
    <row r="3" spans="1:147" x14ac:dyDescent="0.2">
      <c r="A3" s="91"/>
      <c r="B3" s="522" t="str">
        <f>'Cover - Location Info'!J8</f>
        <v>101536</v>
      </c>
      <c r="C3" s="28"/>
      <c r="D3" s="28"/>
      <c r="E3" s="525" t="str">
        <f>'Cover - Location Info'!J10</f>
        <v>1.0</v>
      </c>
      <c r="F3" s="526"/>
      <c r="G3" s="92"/>
      <c r="I3" s="182" t="s">
        <v>46</v>
      </c>
      <c r="J3" s="182" t="s">
        <v>57</v>
      </c>
      <c r="K3" s="182">
        <v>2</v>
      </c>
      <c r="L3" s="182">
        <f t="shared" ref="L3:L66" si="0">IF($B$13&gt;=K3,K3,"")</f>
        <v>2</v>
      </c>
      <c r="M3" s="182" t="e">
        <f t="shared" ref="M3:M66" si="1">IF(L3="","",IF(L3&lt;=$E$15,VLOOKUP($E$14,$I$1:$J$4,2,FALSE),VLOOKUP($F$14,$I$1:$J$4,2,FALSE)))</f>
        <v>#N/A</v>
      </c>
      <c r="N3" s="182" t="str">
        <f t="shared" ref="N3:N66" si="2">IF($B$20&gt;=K3,K3,"")</f>
        <v/>
      </c>
      <c r="O3" s="182" t="str">
        <f t="shared" ref="O3:O66" si="3">IF(N3="","",IF(N3&lt;=$E$22,VLOOKUP($E$21,$I$1:$J$4,2,FALSE),VLOOKUP($F$21,$I$1:$J$4,2,FALSE)))</f>
        <v/>
      </c>
      <c r="P3" s="182" t="str">
        <f t="shared" ref="P3:P66" si="4">IF($B$27&gt;=K3,K3,"")</f>
        <v/>
      </c>
      <c r="Q3" s="182" t="str">
        <f t="shared" ref="Q3:Q66" si="5">IF(P3="","",IF(P3&lt;=$E$29,VLOOKUP($E$28,$I$1:$J$4,2,FALSE),VLOOKUP($F$28,$I$1:$J$4,2,FALSE)))</f>
        <v/>
      </c>
      <c r="R3" s="182" t="str">
        <f t="shared" ref="R3:R66" si="6">IF($B$34&gt;=K3,K3,"")</f>
        <v/>
      </c>
      <c r="S3" s="182" t="str">
        <f t="shared" ref="S3:S66" si="7">IF(R3="","",IF(R3&lt;=$E$36,VLOOKUP($E$35,$I$1:$J$4,2,FALSE),VLOOKUP($F$35,$I$1:$J$4,2,FALSE)))</f>
        <v/>
      </c>
      <c r="T3" s="182" t="str">
        <f t="shared" ref="T3:T66" si="8">IF($B$41&gt;=K3,K3,"")</f>
        <v/>
      </c>
      <c r="U3" s="182" t="str">
        <f t="shared" ref="U3:U66" si="9">IF(T3="","",IF(T3&lt;=$E$43,VLOOKUP($E$42,$I$1:$J$4,2,FALSE),VLOOKUP($F$42,$I$1:$J$4,2,FALSE)))</f>
        <v/>
      </c>
      <c r="V3" s="182" t="str">
        <f t="shared" ref="V3:V66" si="10">IF($B$48&gt;=K3,K3,"")</f>
        <v/>
      </c>
      <c r="W3" s="182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91"/>
      <c r="B4" s="523"/>
      <c r="C4" s="28"/>
      <c r="D4" s="28"/>
      <c r="E4" s="527"/>
      <c r="F4" s="528"/>
      <c r="G4" s="92"/>
      <c r="I4" s="182" t="s">
        <v>47</v>
      </c>
      <c r="J4" s="182" t="s">
        <v>58</v>
      </c>
      <c r="K4" s="182">
        <v>3</v>
      </c>
      <c r="L4" s="182">
        <f t="shared" si="0"/>
        <v>3</v>
      </c>
      <c r="M4" s="182" t="e">
        <f t="shared" si="1"/>
        <v>#N/A</v>
      </c>
      <c r="N4" s="182" t="str">
        <f t="shared" si="2"/>
        <v/>
      </c>
      <c r="O4" s="182" t="str">
        <f t="shared" si="3"/>
        <v/>
      </c>
      <c r="P4" s="182" t="str">
        <f t="shared" si="4"/>
        <v/>
      </c>
      <c r="Q4" s="182" t="str">
        <f t="shared" si="5"/>
        <v/>
      </c>
      <c r="R4" s="182" t="str">
        <f t="shared" si="6"/>
        <v/>
      </c>
      <c r="S4" s="182" t="str">
        <f t="shared" si="7"/>
        <v/>
      </c>
      <c r="T4" s="182" t="str">
        <f t="shared" si="8"/>
        <v/>
      </c>
      <c r="U4" s="182" t="str">
        <f t="shared" si="9"/>
        <v/>
      </c>
      <c r="V4" s="182" t="str">
        <f t="shared" si="10"/>
        <v/>
      </c>
      <c r="W4" s="182" t="str">
        <f t="shared" si="11"/>
        <v/>
      </c>
    </row>
    <row r="5" spans="1:147" x14ac:dyDescent="0.2">
      <c r="A5" s="91"/>
      <c r="B5" s="28"/>
      <c r="C5" s="28"/>
      <c r="D5" s="28"/>
      <c r="E5" s="28"/>
      <c r="F5" s="28"/>
      <c r="G5" s="92"/>
      <c r="I5" s="182" t="s">
        <v>49</v>
      </c>
      <c r="K5" s="182">
        <v>4</v>
      </c>
      <c r="L5" s="182">
        <f t="shared" si="0"/>
        <v>4</v>
      </c>
      <c r="M5" s="182" t="e">
        <f t="shared" si="1"/>
        <v>#N/A</v>
      </c>
      <c r="N5" s="182" t="str">
        <f t="shared" si="2"/>
        <v/>
      </c>
      <c r="O5" s="182" t="str">
        <f t="shared" si="3"/>
        <v/>
      </c>
      <c r="P5" s="182" t="str">
        <f t="shared" si="4"/>
        <v/>
      </c>
      <c r="Q5" s="182" t="str">
        <f t="shared" si="5"/>
        <v/>
      </c>
      <c r="R5" s="182" t="str">
        <f t="shared" si="6"/>
        <v/>
      </c>
      <c r="S5" s="182" t="str">
        <f t="shared" si="7"/>
        <v/>
      </c>
      <c r="T5" s="182" t="str">
        <f t="shared" si="8"/>
        <v/>
      </c>
      <c r="U5" s="182" t="str">
        <f t="shared" si="9"/>
        <v/>
      </c>
      <c r="V5" s="182" t="str">
        <f t="shared" si="10"/>
        <v/>
      </c>
      <c r="W5" s="182" t="str">
        <f t="shared" si="11"/>
        <v/>
      </c>
    </row>
    <row r="6" spans="1:147" ht="26.25" x14ac:dyDescent="0.4">
      <c r="A6" s="91"/>
      <c r="B6" s="524" t="s">
        <v>2</v>
      </c>
      <c r="C6" s="524"/>
      <c r="D6" s="524"/>
      <c r="E6" s="524"/>
      <c r="F6" s="524"/>
      <c r="G6" s="92"/>
      <c r="K6" s="182">
        <v>5</v>
      </c>
      <c r="L6" s="182">
        <f t="shared" si="0"/>
        <v>5</v>
      </c>
      <c r="M6" s="182" t="e">
        <f t="shared" si="1"/>
        <v>#N/A</v>
      </c>
      <c r="N6" s="182" t="str">
        <f t="shared" si="2"/>
        <v/>
      </c>
      <c r="O6" s="182" t="str">
        <f t="shared" si="3"/>
        <v/>
      </c>
      <c r="P6" s="182" t="str">
        <f t="shared" si="4"/>
        <v/>
      </c>
      <c r="Q6" s="182" t="str">
        <f t="shared" si="5"/>
        <v/>
      </c>
      <c r="R6" s="182" t="str">
        <f t="shared" si="6"/>
        <v/>
      </c>
      <c r="S6" s="182" t="str">
        <f t="shared" si="7"/>
        <v/>
      </c>
      <c r="T6" s="182" t="str">
        <f t="shared" si="8"/>
        <v/>
      </c>
      <c r="U6" s="182" t="str">
        <f t="shared" si="9"/>
        <v/>
      </c>
      <c r="V6" s="182" t="str">
        <f t="shared" si="10"/>
        <v/>
      </c>
      <c r="W6" s="182" t="str">
        <f t="shared" si="11"/>
        <v/>
      </c>
    </row>
    <row r="7" spans="1:147" ht="6.75" customHeight="1" x14ac:dyDescent="0.2">
      <c r="A7" s="91"/>
      <c r="B7" s="28"/>
      <c r="C7" s="28"/>
      <c r="D7" s="28"/>
      <c r="E7" s="28"/>
      <c r="F7" s="28"/>
      <c r="G7" s="92"/>
      <c r="I7" s="182" t="s">
        <v>61</v>
      </c>
      <c r="K7" s="182">
        <v>6</v>
      </c>
      <c r="L7" s="182">
        <f t="shared" si="0"/>
        <v>6</v>
      </c>
      <c r="M7" s="182" t="e">
        <f t="shared" si="1"/>
        <v>#N/A</v>
      </c>
      <c r="N7" s="182" t="str">
        <f t="shared" si="2"/>
        <v/>
      </c>
      <c r="O7" s="182" t="str">
        <f t="shared" si="3"/>
        <v/>
      </c>
      <c r="P7" s="182" t="str">
        <f t="shared" si="4"/>
        <v/>
      </c>
      <c r="Q7" s="182" t="str">
        <f t="shared" si="5"/>
        <v/>
      </c>
      <c r="R7" s="182" t="str">
        <f t="shared" si="6"/>
        <v/>
      </c>
      <c r="S7" s="182" t="str">
        <f t="shared" si="7"/>
        <v/>
      </c>
      <c r="T7" s="182" t="str">
        <f t="shared" si="8"/>
        <v/>
      </c>
      <c r="U7" s="182" t="str">
        <f t="shared" si="9"/>
        <v/>
      </c>
      <c r="V7" s="182" t="str">
        <f t="shared" si="10"/>
        <v/>
      </c>
      <c r="W7" s="182" t="str">
        <f t="shared" si="11"/>
        <v/>
      </c>
    </row>
    <row r="8" spans="1:147" ht="6.75" customHeight="1" x14ac:dyDescent="0.2">
      <c r="A8" s="91"/>
      <c r="B8" s="28"/>
      <c r="C8" s="28"/>
      <c r="D8" s="28"/>
      <c r="E8" s="28"/>
      <c r="F8" s="28"/>
      <c r="G8" s="92"/>
      <c r="I8" s="182" t="s">
        <v>62</v>
      </c>
      <c r="K8" s="182">
        <v>7</v>
      </c>
      <c r="L8" s="182">
        <f t="shared" si="0"/>
        <v>7</v>
      </c>
      <c r="M8" s="182" t="e">
        <f t="shared" si="1"/>
        <v>#N/A</v>
      </c>
      <c r="N8" s="182" t="str">
        <f t="shared" si="2"/>
        <v/>
      </c>
      <c r="O8" s="182" t="str">
        <f t="shared" si="3"/>
        <v/>
      </c>
      <c r="P8" s="182" t="str">
        <f t="shared" si="4"/>
        <v/>
      </c>
      <c r="Q8" s="182" t="str">
        <f t="shared" si="5"/>
        <v/>
      </c>
      <c r="R8" s="182" t="str">
        <f t="shared" si="6"/>
        <v/>
      </c>
      <c r="S8" s="182" t="str">
        <f t="shared" si="7"/>
        <v/>
      </c>
      <c r="T8" s="182" t="str">
        <f t="shared" si="8"/>
        <v/>
      </c>
      <c r="U8" s="182" t="str">
        <f t="shared" si="9"/>
        <v/>
      </c>
      <c r="V8" s="182" t="str">
        <f t="shared" si="10"/>
        <v/>
      </c>
      <c r="W8" s="182" t="str">
        <f t="shared" si="11"/>
        <v/>
      </c>
    </row>
    <row r="9" spans="1:147" ht="6.75" customHeight="1" thickBot="1" x14ac:dyDescent="0.25">
      <c r="A9" s="91"/>
      <c r="B9" s="93"/>
      <c r="C9" s="93"/>
      <c r="D9" s="28"/>
      <c r="E9" s="93"/>
      <c r="F9" s="93"/>
      <c r="G9" s="92"/>
      <c r="I9" s="182" t="s">
        <v>63</v>
      </c>
      <c r="K9" s="182">
        <v>8</v>
      </c>
      <c r="L9" s="182">
        <f t="shared" si="0"/>
        <v>8</v>
      </c>
      <c r="M9" s="182" t="e">
        <f t="shared" si="1"/>
        <v>#N/A</v>
      </c>
      <c r="N9" s="182" t="str">
        <f t="shared" si="2"/>
        <v/>
      </c>
      <c r="O9" s="182" t="str">
        <f t="shared" si="3"/>
        <v/>
      </c>
      <c r="P9" s="182" t="str">
        <f t="shared" si="4"/>
        <v/>
      </c>
      <c r="Q9" s="182" t="str">
        <f t="shared" si="5"/>
        <v/>
      </c>
      <c r="R9" s="182" t="str">
        <f t="shared" si="6"/>
        <v/>
      </c>
      <c r="S9" s="182" t="str">
        <f t="shared" si="7"/>
        <v/>
      </c>
      <c r="T9" s="182" t="str">
        <f t="shared" si="8"/>
        <v/>
      </c>
      <c r="U9" s="182" t="str">
        <f t="shared" si="9"/>
        <v/>
      </c>
      <c r="V9" s="182" t="str">
        <f t="shared" si="10"/>
        <v/>
      </c>
      <c r="W9" s="182" t="str">
        <f t="shared" si="11"/>
        <v/>
      </c>
    </row>
    <row r="10" spans="1:147" ht="12.75" customHeight="1" thickBot="1" x14ac:dyDescent="0.25">
      <c r="A10" s="91"/>
      <c r="B10" s="94" t="s">
        <v>35</v>
      </c>
      <c r="C10" s="95" t="s">
        <v>33</v>
      </c>
      <c r="D10" s="519" t="s">
        <v>34</v>
      </c>
      <c r="E10" s="520"/>
      <c r="F10" s="521"/>
      <c r="G10" s="92"/>
      <c r="K10" s="182">
        <v>9</v>
      </c>
      <c r="L10" s="182">
        <f t="shared" si="0"/>
        <v>9</v>
      </c>
      <c r="M10" s="182" t="e">
        <f t="shared" si="1"/>
        <v>#N/A</v>
      </c>
      <c r="N10" s="182" t="str">
        <f t="shared" si="2"/>
        <v/>
      </c>
      <c r="O10" s="182" t="str">
        <f t="shared" si="3"/>
        <v/>
      </c>
      <c r="P10" s="182" t="str">
        <f t="shared" si="4"/>
        <v/>
      </c>
      <c r="Q10" s="182" t="str">
        <f t="shared" si="5"/>
        <v/>
      </c>
      <c r="R10" s="182" t="str">
        <f t="shared" si="6"/>
        <v/>
      </c>
      <c r="S10" s="182" t="str">
        <f t="shared" si="7"/>
        <v/>
      </c>
      <c r="T10" s="182" t="str">
        <f t="shared" si="8"/>
        <v/>
      </c>
      <c r="U10" s="182" t="str">
        <f t="shared" si="9"/>
        <v/>
      </c>
      <c r="V10" s="182" t="str">
        <f t="shared" si="10"/>
        <v/>
      </c>
      <c r="W10" s="182" t="str">
        <f t="shared" si="11"/>
        <v/>
      </c>
    </row>
    <row r="11" spans="1:147" ht="33.75" customHeight="1" thickBot="1" x14ac:dyDescent="0.25">
      <c r="A11" s="91"/>
      <c r="B11" s="3" t="s">
        <v>13</v>
      </c>
      <c r="C11" s="4" t="s">
        <v>159</v>
      </c>
      <c r="D11" s="516"/>
      <c r="E11" s="517"/>
      <c r="F11" s="518"/>
      <c r="G11" s="92"/>
      <c r="K11" s="182">
        <v>10</v>
      </c>
      <c r="L11" s="182">
        <f t="shared" si="0"/>
        <v>10</v>
      </c>
      <c r="M11" s="182" t="e">
        <f t="shared" si="1"/>
        <v>#N/A</v>
      </c>
      <c r="N11" s="182" t="str">
        <f t="shared" si="2"/>
        <v/>
      </c>
      <c r="O11" s="182" t="str">
        <f t="shared" si="3"/>
        <v/>
      </c>
      <c r="P11" s="182" t="str">
        <f t="shared" si="4"/>
        <v/>
      </c>
      <c r="Q11" s="182" t="str">
        <f t="shared" si="5"/>
        <v/>
      </c>
      <c r="R11" s="182" t="str">
        <f t="shared" si="6"/>
        <v/>
      </c>
      <c r="S11" s="182" t="str">
        <f t="shared" si="7"/>
        <v/>
      </c>
      <c r="T11" s="182" t="str">
        <f t="shared" si="8"/>
        <v/>
      </c>
      <c r="U11" s="182" t="str">
        <f t="shared" si="9"/>
        <v/>
      </c>
      <c r="V11" s="182" t="str">
        <f t="shared" si="10"/>
        <v/>
      </c>
      <c r="W11" s="182" t="str">
        <f t="shared" si="11"/>
        <v/>
      </c>
    </row>
    <row r="12" spans="1:147" ht="13.5" thickBot="1" x14ac:dyDescent="0.25">
      <c r="A12" s="91"/>
      <c r="B12" s="96" t="s">
        <v>143</v>
      </c>
      <c r="C12" s="97" t="s">
        <v>36</v>
      </c>
      <c r="D12" s="98" t="s">
        <v>64</v>
      </c>
      <c r="E12" s="532" t="s">
        <v>41</v>
      </c>
      <c r="F12" s="533"/>
      <c r="G12" s="92"/>
      <c r="K12" s="182">
        <v>11</v>
      </c>
      <c r="L12" s="182">
        <f t="shared" si="0"/>
        <v>11</v>
      </c>
      <c r="M12" s="182" t="e">
        <f t="shared" si="1"/>
        <v>#N/A</v>
      </c>
      <c r="N12" s="182" t="str">
        <f t="shared" si="2"/>
        <v/>
      </c>
      <c r="O12" s="182" t="str">
        <f t="shared" si="3"/>
        <v/>
      </c>
      <c r="P12" s="182" t="str">
        <f t="shared" si="4"/>
        <v/>
      </c>
      <c r="Q12" s="182" t="str">
        <f t="shared" si="5"/>
        <v/>
      </c>
      <c r="R12" s="182" t="str">
        <f t="shared" si="6"/>
        <v/>
      </c>
      <c r="S12" s="182" t="str">
        <f t="shared" si="7"/>
        <v/>
      </c>
      <c r="T12" s="182" t="str">
        <f t="shared" si="8"/>
        <v/>
      </c>
      <c r="U12" s="182" t="str">
        <f t="shared" si="9"/>
        <v/>
      </c>
      <c r="V12" s="182" t="str">
        <f t="shared" si="10"/>
        <v/>
      </c>
      <c r="W12" s="182" t="str">
        <f t="shared" si="11"/>
        <v/>
      </c>
    </row>
    <row r="13" spans="1:147" ht="17.25" customHeight="1" thickBot="1" x14ac:dyDescent="0.25">
      <c r="A13" s="91"/>
      <c r="B13" s="529">
        <v>24</v>
      </c>
      <c r="C13" s="534"/>
      <c r="D13" s="111"/>
      <c r="E13" s="99" t="s">
        <v>44</v>
      </c>
      <c r="F13" s="100" t="s">
        <v>48</v>
      </c>
      <c r="G13" s="92"/>
      <c r="K13" s="182">
        <v>12</v>
      </c>
      <c r="L13" s="182">
        <f t="shared" si="0"/>
        <v>12</v>
      </c>
      <c r="M13" s="182" t="e">
        <f t="shared" si="1"/>
        <v>#N/A</v>
      </c>
      <c r="N13" s="182" t="str">
        <f t="shared" si="2"/>
        <v/>
      </c>
      <c r="O13" s="182" t="str">
        <f t="shared" si="3"/>
        <v/>
      </c>
      <c r="P13" s="182" t="str">
        <f t="shared" si="4"/>
        <v/>
      </c>
      <c r="Q13" s="182" t="str">
        <f t="shared" si="5"/>
        <v/>
      </c>
      <c r="R13" s="182" t="str">
        <f t="shared" si="6"/>
        <v/>
      </c>
      <c r="S13" s="182" t="str">
        <f t="shared" si="7"/>
        <v/>
      </c>
      <c r="T13" s="182" t="str">
        <f t="shared" si="8"/>
        <v/>
      </c>
      <c r="U13" s="182" t="str">
        <f t="shared" si="9"/>
        <v/>
      </c>
      <c r="V13" s="182" t="str">
        <f t="shared" si="10"/>
        <v/>
      </c>
      <c r="W13" s="182" t="str">
        <f t="shared" si="11"/>
        <v/>
      </c>
    </row>
    <row r="14" spans="1:147" ht="17.25" customHeight="1" thickBot="1" x14ac:dyDescent="0.25">
      <c r="A14" s="91"/>
      <c r="B14" s="530"/>
      <c r="C14" s="535"/>
      <c r="D14" s="98" t="s">
        <v>60</v>
      </c>
      <c r="E14" s="114"/>
      <c r="F14" s="115"/>
      <c r="G14" s="92"/>
      <c r="K14" s="182">
        <v>13</v>
      </c>
      <c r="L14" s="182">
        <f t="shared" si="0"/>
        <v>13</v>
      </c>
      <c r="M14" s="182" t="e">
        <f t="shared" si="1"/>
        <v>#N/A</v>
      </c>
      <c r="N14" s="182" t="str">
        <f t="shared" si="2"/>
        <v/>
      </c>
      <c r="O14" s="182" t="str">
        <f t="shared" si="3"/>
        <v/>
      </c>
      <c r="P14" s="182" t="str">
        <f t="shared" si="4"/>
        <v/>
      </c>
      <c r="Q14" s="182" t="str">
        <f t="shared" si="5"/>
        <v/>
      </c>
      <c r="R14" s="182" t="str">
        <f t="shared" si="6"/>
        <v/>
      </c>
      <c r="S14" s="182" t="str">
        <f t="shared" si="7"/>
        <v/>
      </c>
      <c r="T14" s="182" t="str">
        <f t="shared" si="8"/>
        <v/>
      </c>
      <c r="U14" s="182" t="str">
        <f t="shared" si="9"/>
        <v/>
      </c>
      <c r="V14" s="182" t="str">
        <f t="shared" si="10"/>
        <v/>
      </c>
      <c r="W14" s="182" t="str">
        <f t="shared" si="11"/>
        <v/>
      </c>
    </row>
    <row r="15" spans="1:147" ht="18" customHeight="1" thickBot="1" x14ac:dyDescent="0.25">
      <c r="A15" s="91"/>
      <c r="B15" s="531"/>
      <c r="C15" s="536"/>
      <c r="D15" s="112"/>
      <c r="E15" s="113"/>
      <c r="F15" s="101" t="str">
        <f>IF(B13="","",IF(E15="","",IF(F14="None","",B13-E15)))</f>
        <v/>
      </c>
      <c r="G15" s="92"/>
      <c r="K15" s="182">
        <v>14</v>
      </c>
      <c r="L15" s="182">
        <f t="shared" si="0"/>
        <v>14</v>
      </c>
      <c r="M15" s="182" t="e">
        <f t="shared" si="1"/>
        <v>#N/A</v>
      </c>
      <c r="N15" s="182" t="str">
        <f t="shared" si="2"/>
        <v/>
      </c>
      <c r="O15" s="182" t="str">
        <f t="shared" si="3"/>
        <v/>
      </c>
      <c r="P15" s="182" t="str">
        <f t="shared" si="4"/>
        <v/>
      </c>
      <c r="Q15" s="182" t="str">
        <f t="shared" si="5"/>
        <v/>
      </c>
      <c r="R15" s="182" t="str">
        <f t="shared" si="6"/>
        <v/>
      </c>
      <c r="S15" s="182" t="str">
        <f t="shared" si="7"/>
        <v/>
      </c>
      <c r="T15" s="182" t="str">
        <f t="shared" si="8"/>
        <v/>
      </c>
      <c r="U15" s="182" t="str">
        <f t="shared" si="9"/>
        <v/>
      </c>
      <c r="V15" s="182" t="str">
        <f t="shared" si="10"/>
        <v/>
      </c>
      <c r="W15" s="182" t="str">
        <f t="shared" si="11"/>
        <v/>
      </c>
    </row>
    <row r="16" spans="1:147" ht="20.25" customHeight="1" thickBot="1" x14ac:dyDescent="0.25">
      <c r="A16" s="91"/>
      <c r="B16" s="93"/>
      <c r="C16" s="93"/>
      <c r="D16" s="102"/>
      <c r="E16" s="103"/>
      <c r="F16" s="103"/>
      <c r="G16" s="92"/>
      <c r="K16" s="182">
        <v>15</v>
      </c>
      <c r="L16" s="182">
        <f t="shared" si="0"/>
        <v>15</v>
      </c>
      <c r="M16" s="182" t="e">
        <f t="shared" si="1"/>
        <v>#N/A</v>
      </c>
      <c r="N16" s="182" t="str">
        <f t="shared" si="2"/>
        <v/>
      </c>
      <c r="O16" s="182" t="str">
        <f t="shared" si="3"/>
        <v/>
      </c>
      <c r="P16" s="182" t="str">
        <f t="shared" si="4"/>
        <v/>
      </c>
      <c r="Q16" s="182" t="str">
        <f t="shared" si="5"/>
        <v/>
      </c>
      <c r="R16" s="182" t="str">
        <f t="shared" si="6"/>
        <v/>
      </c>
      <c r="S16" s="182" t="str">
        <f t="shared" si="7"/>
        <v/>
      </c>
      <c r="T16" s="182" t="str">
        <f t="shared" si="8"/>
        <v/>
      </c>
      <c r="U16" s="182" t="str">
        <f t="shared" si="9"/>
        <v/>
      </c>
      <c r="V16" s="182" t="str">
        <f t="shared" si="10"/>
        <v/>
      </c>
      <c r="W16" s="182" t="str">
        <f t="shared" si="11"/>
        <v/>
      </c>
    </row>
    <row r="17" spans="1:23" ht="13.5" thickBot="1" x14ac:dyDescent="0.25">
      <c r="A17" s="91"/>
      <c r="B17" s="94" t="s">
        <v>35</v>
      </c>
      <c r="C17" s="95" t="s">
        <v>33</v>
      </c>
      <c r="D17" s="519" t="s">
        <v>34</v>
      </c>
      <c r="E17" s="520"/>
      <c r="F17" s="521"/>
      <c r="G17" s="92"/>
      <c r="K17" s="182">
        <v>16</v>
      </c>
      <c r="L17" s="182">
        <f t="shared" si="0"/>
        <v>16</v>
      </c>
      <c r="M17" s="182" t="e">
        <f t="shared" si="1"/>
        <v>#N/A</v>
      </c>
      <c r="N17" s="182" t="str">
        <f t="shared" si="2"/>
        <v/>
      </c>
      <c r="O17" s="182" t="str">
        <f t="shared" si="3"/>
        <v/>
      </c>
      <c r="P17" s="182" t="str">
        <f t="shared" si="4"/>
        <v/>
      </c>
      <c r="Q17" s="182" t="str">
        <f t="shared" si="5"/>
        <v/>
      </c>
      <c r="R17" s="182" t="str">
        <f t="shared" si="6"/>
        <v/>
      </c>
      <c r="S17" s="182" t="str">
        <f t="shared" si="7"/>
        <v/>
      </c>
      <c r="T17" s="182" t="str">
        <f t="shared" si="8"/>
        <v/>
      </c>
      <c r="U17" s="182" t="str">
        <f t="shared" si="9"/>
        <v/>
      </c>
      <c r="V17" s="182" t="str">
        <f t="shared" si="10"/>
        <v/>
      </c>
      <c r="W17" s="182" t="str">
        <f t="shared" si="11"/>
        <v/>
      </c>
    </row>
    <row r="18" spans="1:23" ht="33.75" customHeight="1" thickBot="1" x14ac:dyDescent="0.25">
      <c r="A18" s="91"/>
      <c r="B18" s="5" t="s">
        <v>14</v>
      </c>
      <c r="C18" s="4"/>
      <c r="D18" s="516"/>
      <c r="E18" s="517"/>
      <c r="F18" s="518"/>
      <c r="G18" s="92"/>
      <c r="K18" s="182">
        <v>17</v>
      </c>
      <c r="L18" s="182">
        <f t="shared" si="0"/>
        <v>17</v>
      </c>
      <c r="M18" s="182" t="e">
        <f t="shared" si="1"/>
        <v>#N/A</v>
      </c>
      <c r="N18" s="182" t="str">
        <f t="shared" si="2"/>
        <v/>
      </c>
      <c r="O18" s="182" t="str">
        <f t="shared" si="3"/>
        <v/>
      </c>
      <c r="P18" s="182" t="str">
        <f t="shared" si="4"/>
        <v/>
      </c>
      <c r="Q18" s="182" t="str">
        <f t="shared" si="5"/>
        <v/>
      </c>
      <c r="R18" s="182" t="str">
        <f t="shared" si="6"/>
        <v/>
      </c>
      <c r="S18" s="182" t="str">
        <f t="shared" si="7"/>
        <v/>
      </c>
      <c r="T18" s="182" t="str">
        <f t="shared" si="8"/>
        <v/>
      </c>
      <c r="U18" s="182" t="str">
        <f t="shared" si="9"/>
        <v/>
      </c>
      <c r="V18" s="182" t="str">
        <f t="shared" si="10"/>
        <v/>
      </c>
      <c r="W18" s="182" t="str">
        <f t="shared" si="11"/>
        <v/>
      </c>
    </row>
    <row r="19" spans="1:23" ht="13.5" customHeight="1" thickBot="1" x14ac:dyDescent="0.25">
      <c r="A19" s="91"/>
      <c r="B19" s="96" t="s">
        <v>143</v>
      </c>
      <c r="C19" s="97" t="s">
        <v>36</v>
      </c>
      <c r="D19" s="98" t="s">
        <v>64</v>
      </c>
      <c r="E19" s="532" t="s">
        <v>41</v>
      </c>
      <c r="F19" s="533"/>
      <c r="G19" s="92"/>
      <c r="K19" s="182">
        <v>18</v>
      </c>
      <c r="L19" s="182">
        <f t="shared" si="0"/>
        <v>18</v>
      </c>
      <c r="M19" s="182" t="e">
        <f t="shared" si="1"/>
        <v>#N/A</v>
      </c>
      <c r="N19" s="182" t="str">
        <f t="shared" si="2"/>
        <v/>
      </c>
      <c r="O19" s="182" t="str">
        <f t="shared" si="3"/>
        <v/>
      </c>
      <c r="P19" s="182" t="str">
        <f t="shared" si="4"/>
        <v/>
      </c>
      <c r="Q19" s="182" t="str">
        <f t="shared" si="5"/>
        <v/>
      </c>
      <c r="R19" s="182" t="str">
        <f t="shared" si="6"/>
        <v/>
      </c>
      <c r="S19" s="182" t="str">
        <f t="shared" si="7"/>
        <v/>
      </c>
      <c r="T19" s="182" t="str">
        <f t="shared" si="8"/>
        <v/>
      </c>
      <c r="U19" s="182" t="str">
        <f t="shared" si="9"/>
        <v/>
      </c>
      <c r="V19" s="182" t="str">
        <f t="shared" si="10"/>
        <v/>
      </c>
      <c r="W19" s="182" t="str">
        <f t="shared" si="11"/>
        <v/>
      </c>
    </row>
    <row r="20" spans="1:23" ht="17.25" customHeight="1" thickBot="1" x14ac:dyDescent="0.25">
      <c r="A20" s="91"/>
      <c r="B20" s="529"/>
      <c r="C20" s="534"/>
      <c r="D20" s="111"/>
      <c r="E20" s="99" t="s">
        <v>44</v>
      </c>
      <c r="F20" s="100" t="s">
        <v>48</v>
      </c>
      <c r="G20" s="92"/>
      <c r="K20" s="182">
        <v>19</v>
      </c>
      <c r="L20" s="182">
        <f t="shared" si="0"/>
        <v>19</v>
      </c>
      <c r="M20" s="182" t="e">
        <f t="shared" si="1"/>
        <v>#N/A</v>
      </c>
      <c r="N20" s="182" t="str">
        <f t="shared" si="2"/>
        <v/>
      </c>
      <c r="O20" s="182" t="str">
        <f t="shared" si="3"/>
        <v/>
      </c>
      <c r="P20" s="182" t="str">
        <f t="shared" si="4"/>
        <v/>
      </c>
      <c r="Q20" s="182" t="str">
        <f t="shared" si="5"/>
        <v/>
      </c>
      <c r="R20" s="182" t="str">
        <f t="shared" si="6"/>
        <v/>
      </c>
      <c r="S20" s="182" t="str">
        <f t="shared" si="7"/>
        <v/>
      </c>
      <c r="T20" s="182" t="str">
        <f t="shared" si="8"/>
        <v/>
      </c>
      <c r="U20" s="182" t="str">
        <f t="shared" si="9"/>
        <v/>
      </c>
      <c r="V20" s="182" t="str">
        <f t="shared" si="10"/>
        <v/>
      </c>
      <c r="W20" s="182" t="str">
        <f t="shared" si="11"/>
        <v/>
      </c>
    </row>
    <row r="21" spans="1:23" ht="17.25" customHeight="1" thickBot="1" x14ac:dyDescent="0.25">
      <c r="A21" s="91"/>
      <c r="B21" s="530"/>
      <c r="C21" s="535"/>
      <c r="D21" s="98" t="s">
        <v>60</v>
      </c>
      <c r="E21" s="114"/>
      <c r="F21" s="115"/>
      <c r="G21" s="92"/>
      <c r="K21" s="182">
        <v>20</v>
      </c>
      <c r="L21" s="182">
        <f t="shared" si="0"/>
        <v>20</v>
      </c>
      <c r="M21" s="182" t="e">
        <f t="shared" si="1"/>
        <v>#N/A</v>
      </c>
      <c r="N21" s="182" t="str">
        <f t="shared" si="2"/>
        <v/>
      </c>
      <c r="O21" s="182" t="str">
        <f t="shared" si="3"/>
        <v/>
      </c>
      <c r="P21" s="182" t="str">
        <f t="shared" si="4"/>
        <v/>
      </c>
      <c r="Q21" s="182" t="str">
        <f t="shared" si="5"/>
        <v/>
      </c>
      <c r="R21" s="182" t="str">
        <f t="shared" si="6"/>
        <v/>
      </c>
      <c r="S21" s="182" t="str">
        <f t="shared" si="7"/>
        <v/>
      </c>
      <c r="T21" s="182" t="str">
        <f t="shared" si="8"/>
        <v/>
      </c>
      <c r="U21" s="182" t="str">
        <f t="shared" si="9"/>
        <v/>
      </c>
      <c r="V21" s="182" t="str">
        <f t="shared" si="10"/>
        <v/>
      </c>
      <c r="W21" s="182" t="str">
        <f t="shared" si="11"/>
        <v/>
      </c>
    </row>
    <row r="22" spans="1:23" ht="18" customHeight="1" thickBot="1" x14ac:dyDescent="0.25">
      <c r="A22" s="91"/>
      <c r="B22" s="531"/>
      <c r="C22" s="536"/>
      <c r="D22" s="112"/>
      <c r="E22" s="113"/>
      <c r="F22" s="101" t="str">
        <f>IF(B20="","",IF(E22="","",IF(F21="None","",B20-E22)))</f>
        <v/>
      </c>
      <c r="G22" s="92"/>
      <c r="K22" s="182">
        <v>21</v>
      </c>
      <c r="L22" s="182">
        <f t="shared" si="0"/>
        <v>21</v>
      </c>
      <c r="M22" s="182" t="e">
        <f t="shared" si="1"/>
        <v>#N/A</v>
      </c>
      <c r="N22" s="182" t="str">
        <f t="shared" si="2"/>
        <v/>
      </c>
      <c r="O22" s="182" t="str">
        <f t="shared" si="3"/>
        <v/>
      </c>
      <c r="P22" s="182" t="str">
        <f t="shared" si="4"/>
        <v/>
      </c>
      <c r="Q22" s="182" t="str">
        <f t="shared" si="5"/>
        <v/>
      </c>
      <c r="R22" s="182" t="str">
        <f t="shared" si="6"/>
        <v/>
      </c>
      <c r="S22" s="182" t="str">
        <f t="shared" si="7"/>
        <v/>
      </c>
      <c r="T22" s="182" t="str">
        <f t="shared" si="8"/>
        <v/>
      </c>
      <c r="U22" s="182" t="str">
        <f t="shared" si="9"/>
        <v/>
      </c>
      <c r="V22" s="182" t="str">
        <f t="shared" si="10"/>
        <v/>
      </c>
      <c r="W22" s="182" t="str">
        <f t="shared" si="11"/>
        <v/>
      </c>
    </row>
    <row r="23" spans="1:23" ht="20.25" customHeight="1" thickBot="1" x14ac:dyDescent="0.25">
      <c r="A23" s="91"/>
      <c r="B23" s="93"/>
      <c r="C23" s="93"/>
      <c r="D23" s="28"/>
      <c r="E23" s="93"/>
      <c r="F23" s="93"/>
      <c r="G23" s="92"/>
      <c r="K23" s="182">
        <v>22</v>
      </c>
      <c r="L23" s="182">
        <f t="shared" si="0"/>
        <v>22</v>
      </c>
      <c r="M23" s="182" t="e">
        <f t="shared" si="1"/>
        <v>#N/A</v>
      </c>
      <c r="N23" s="182" t="str">
        <f t="shared" si="2"/>
        <v/>
      </c>
      <c r="O23" s="182" t="str">
        <f t="shared" si="3"/>
        <v/>
      </c>
      <c r="P23" s="182" t="str">
        <f t="shared" si="4"/>
        <v/>
      </c>
      <c r="Q23" s="182" t="str">
        <f t="shared" si="5"/>
        <v/>
      </c>
      <c r="R23" s="182" t="str">
        <f t="shared" si="6"/>
        <v/>
      </c>
      <c r="S23" s="182" t="str">
        <f t="shared" si="7"/>
        <v/>
      </c>
      <c r="T23" s="182" t="str">
        <f t="shared" si="8"/>
        <v/>
      </c>
      <c r="U23" s="182" t="str">
        <f t="shared" si="9"/>
        <v/>
      </c>
      <c r="V23" s="182" t="str">
        <f t="shared" si="10"/>
        <v/>
      </c>
      <c r="W23" s="182" t="str">
        <f t="shared" si="11"/>
        <v/>
      </c>
    </row>
    <row r="24" spans="1:23" ht="12.75" customHeight="1" thickBot="1" x14ac:dyDescent="0.25">
      <c r="A24" s="91"/>
      <c r="B24" s="94" t="s">
        <v>35</v>
      </c>
      <c r="C24" s="95" t="s">
        <v>33</v>
      </c>
      <c r="D24" s="519" t="s">
        <v>34</v>
      </c>
      <c r="E24" s="520"/>
      <c r="F24" s="521"/>
      <c r="G24" s="92"/>
      <c r="K24" s="182">
        <v>23</v>
      </c>
      <c r="L24" s="182">
        <f t="shared" si="0"/>
        <v>23</v>
      </c>
      <c r="M24" s="182" t="e">
        <f t="shared" si="1"/>
        <v>#N/A</v>
      </c>
      <c r="N24" s="182" t="str">
        <f t="shared" si="2"/>
        <v/>
      </c>
      <c r="O24" s="182" t="str">
        <f t="shared" si="3"/>
        <v/>
      </c>
      <c r="P24" s="182" t="str">
        <f t="shared" si="4"/>
        <v/>
      </c>
      <c r="Q24" s="182" t="str">
        <f t="shared" si="5"/>
        <v/>
      </c>
      <c r="R24" s="182" t="str">
        <f t="shared" si="6"/>
        <v/>
      </c>
      <c r="S24" s="182" t="str">
        <f t="shared" si="7"/>
        <v/>
      </c>
      <c r="T24" s="182" t="str">
        <f t="shared" si="8"/>
        <v/>
      </c>
      <c r="U24" s="182" t="str">
        <f t="shared" si="9"/>
        <v/>
      </c>
      <c r="V24" s="182" t="str">
        <f t="shared" si="10"/>
        <v/>
      </c>
      <c r="W24" s="182" t="str">
        <f t="shared" si="11"/>
        <v/>
      </c>
    </row>
    <row r="25" spans="1:23" ht="33.75" customHeight="1" thickBot="1" x14ac:dyDescent="0.25">
      <c r="A25" s="91"/>
      <c r="B25" s="5" t="s">
        <v>50</v>
      </c>
      <c r="C25" s="4"/>
      <c r="D25" s="516"/>
      <c r="E25" s="517"/>
      <c r="F25" s="518"/>
      <c r="G25" s="92"/>
      <c r="K25" s="182">
        <v>24</v>
      </c>
      <c r="L25" s="182">
        <f t="shared" si="0"/>
        <v>24</v>
      </c>
      <c r="M25" s="182" t="e">
        <f t="shared" si="1"/>
        <v>#N/A</v>
      </c>
      <c r="N25" s="182" t="str">
        <f t="shared" si="2"/>
        <v/>
      </c>
      <c r="O25" s="182" t="str">
        <f t="shared" si="3"/>
        <v/>
      </c>
      <c r="P25" s="182" t="str">
        <f t="shared" si="4"/>
        <v/>
      </c>
      <c r="Q25" s="182" t="str">
        <f t="shared" si="5"/>
        <v/>
      </c>
      <c r="R25" s="182" t="str">
        <f t="shared" si="6"/>
        <v/>
      </c>
      <c r="S25" s="182" t="str">
        <f t="shared" si="7"/>
        <v/>
      </c>
      <c r="T25" s="182" t="str">
        <f t="shared" si="8"/>
        <v/>
      </c>
      <c r="U25" s="182" t="str">
        <f t="shared" si="9"/>
        <v/>
      </c>
      <c r="V25" s="182" t="str">
        <f t="shared" si="10"/>
        <v/>
      </c>
      <c r="W25" s="182" t="str">
        <f t="shared" si="11"/>
        <v/>
      </c>
    </row>
    <row r="26" spans="1:23" ht="13.5" customHeight="1" thickBot="1" x14ac:dyDescent="0.25">
      <c r="A26" s="91"/>
      <c r="B26" s="96" t="s">
        <v>143</v>
      </c>
      <c r="C26" s="97" t="s">
        <v>36</v>
      </c>
      <c r="D26" s="98" t="s">
        <v>64</v>
      </c>
      <c r="E26" s="532" t="s">
        <v>41</v>
      </c>
      <c r="F26" s="533"/>
      <c r="G26" s="92"/>
      <c r="K26" s="182">
        <v>25</v>
      </c>
      <c r="L26" s="182" t="str">
        <f t="shared" si="0"/>
        <v/>
      </c>
      <c r="M26" s="182" t="str">
        <f t="shared" si="1"/>
        <v/>
      </c>
      <c r="N26" s="182" t="str">
        <f t="shared" si="2"/>
        <v/>
      </c>
      <c r="O26" s="182" t="str">
        <f t="shared" si="3"/>
        <v/>
      </c>
      <c r="P26" s="182" t="str">
        <f t="shared" si="4"/>
        <v/>
      </c>
      <c r="Q26" s="182" t="str">
        <f t="shared" si="5"/>
        <v/>
      </c>
      <c r="R26" s="182" t="str">
        <f t="shared" si="6"/>
        <v/>
      </c>
      <c r="S26" s="182" t="str">
        <f t="shared" si="7"/>
        <v/>
      </c>
      <c r="T26" s="182" t="str">
        <f t="shared" si="8"/>
        <v/>
      </c>
      <c r="U26" s="182" t="str">
        <f t="shared" si="9"/>
        <v/>
      </c>
      <c r="V26" s="182" t="str">
        <f t="shared" si="10"/>
        <v/>
      </c>
      <c r="W26" s="182" t="str">
        <f t="shared" si="11"/>
        <v/>
      </c>
    </row>
    <row r="27" spans="1:23" ht="17.25" customHeight="1" thickBot="1" x14ac:dyDescent="0.25">
      <c r="A27" s="91"/>
      <c r="B27" s="529"/>
      <c r="C27" s="534"/>
      <c r="D27" s="111"/>
      <c r="E27" s="99" t="s">
        <v>44</v>
      </c>
      <c r="F27" s="100" t="s">
        <v>48</v>
      </c>
      <c r="G27" s="92"/>
      <c r="K27" s="182">
        <v>26</v>
      </c>
      <c r="L27" s="182" t="str">
        <f t="shared" si="0"/>
        <v/>
      </c>
      <c r="M27" s="182" t="str">
        <f t="shared" si="1"/>
        <v/>
      </c>
      <c r="N27" s="182" t="str">
        <f t="shared" si="2"/>
        <v/>
      </c>
      <c r="O27" s="182" t="str">
        <f t="shared" si="3"/>
        <v/>
      </c>
      <c r="P27" s="182" t="str">
        <f t="shared" si="4"/>
        <v/>
      </c>
      <c r="Q27" s="182" t="str">
        <f t="shared" si="5"/>
        <v/>
      </c>
      <c r="R27" s="182" t="str">
        <f t="shared" si="6"/>
        <v/>
      </c>
      <c r="S27" s="182" t="str">
        <f t="shared" si="7"/>
        <v/>
      </c>
      <c r="T27" s="182" t="str">
        <f t="shared" si="8"/>
        <v/>
      </c>
      <c r="U27" s="182" t="str">
        <f t="shared" si="9"/>
        <v/>
      </c>
      <c r="V27" s="182" t="str">
        <f t="shared" si="10"/>
        <v/>
      </c>
      <c r="W27" s="182" t="str">
        <f t="shared" si="11"/>
        <v/>
      </c>
    </row>
    <row r="28" spans="1:23" ht="17.25" customHeight="1" thickBot="1" x14ac:dyDescent="0.25">
      <c r="A28" s="91"/>
      <c r="B28" s="530"/>
      <c r="C28" s="535"/>
      <c r="D28" s="98" t="s">
        <v>60</v>
      </c>
      <c r="E28" s="114"/>
      <c r="F28" s="115"/>
      <c r="G28" s="92"/>
      <c r="K28" s="182">
        <v>27</v>
      </c>
      <c r="L28" s="182" t="str">
        <f t="shared" si="0"/>
        <v/>
      </c>
      <c r="M28" s="182" t="str">
        <f t="shared" si="1"/>
        <v/>
      </c>
      <c r="N28" s="182" t="str">
        <f t="shared" si="2"/>
        <v/>
      </c>
      <c r="O28" s="182" t="str">
        <f t="shared" si="3"/>
        <v/>
      </c>
      <c r="P28" s="182" t="str">
        <f t="shared" si="4"/>
        <v/>
      </c>
      <c r="Q28" s="182" t="str">
        <f t="shared" si="5"/>
        <v/>
      </c>
      <c r="R28" s="182" t="str">
        <f t="shared" si="6"/>
        <v/>
      </c>
      <c r="S28" s="182" t="str">
        <f t="shared" si="7"/>
        <v/>
      </c>
      <c r="T28" s="182" t="str">
        <f t="shared" si="8"/>
        <v/>
      </c>
      <c r="U28" s="182" t="str">
        <f t="shared" si="9"/>
        <v/>
      </c>
      <c r="V28" s="182" t="str">
        <f t="shared" si="10"/>
        <v/>
      </c>
      <c r="W28" s="182" t="str">
        <f t="shared" si="11"/>
        <v/>
      </c>
    </row>
    <row r="29" spans="1:23" ht="18" customHeight="1" thickBot="1" x14ac:dyDescent="0.25">
      <c r="A29" s="91"/>
      <c r="B29" s="531"/>
      <c r="C29" s="536"/>
      <c r="D29" s="112"/>
      <c r="E29" s="113"/>
      <c r="F29" s="101" t="str">
        <f>IF(B27="","",IF(E29="","",IF(F28="None","",B27-E29)))</f>
        <v/>
      </c>
      <c r="G29" s="92"/>
      <c r="K29" s="182">
        <v>28</v>
      </c>
      <c r="L29" s="182" t="str">
        <f t="shared" si="0"/>
        <v/>
      </c>
      <c r="M29" s="182" t="str">
        <f t="shared" si="1"/>
        <v/>
      </c>
      <c r="N29" s="182" t="str">
        <f t="shared" si="2"/>
        <v/>
      </c>
      <c r="O29" s="182" t="str">
        <f t="shared" si="3"/>
        <v/>
      </c>
      <c r="P29" s="182" t="str">
        <f t="shared" si="4"/>
        <v/>
      </c>
      <c r="Q29" s="182" t="str">
        <f t="shared" si="5"/>
        <v/>
      </c>
      <c r="R29" s="182" t="str">
        <f t="shared" si="6"/>
        <v/>
      </c>
      <c r="S29" s="182" t="str">
        <f t="shared" si="7"/>
        <v/>
      </c>
      <c r="T29" s="182" t="str">
        <f t="shared" si="8"/>
        <v/>
      </c>
      <c r="U29" s="182" t="str">
        <f t="shared" si="9"/>
        <v/>
      </c>
      <c r="V29" s="182" t="str">
        <f t="shared" si="10"/>
        <v/>
      </c>
      <c r="W29" s="182" t="str">
        <f t="shared" si="11"/>
        <v/>
      </c>
    </row>
    <row r="30" spans="1:23" ht="20.25" customHeight="1" thickBot="1" x14ac:dyDescent="0.25">
      <c r="A30" s="91"/>
      <c r="B30" s="104"/>
      <c r="C30" s="104"/>
      <c r="D30" s="28"/>
      <c r="E30" s="104"/>
      <c r="F30" s="104"/>
      <c r="G30" s="92"/>
      <c r="K30" s="182">
        <v>29</v>
      </c>
      <c r="L30" s="182" t="str">
        <f t="shared" si="0"/>
        <v/>
      </c>
      <c r="M30" s="182" t="str">
        <f t="shared" si="1"/>
        <v/>
      </c>
      <c r="N30" s="182" t="str">
        <f t="shared" si="2"/>
        <v/>
      </c>
      <c r="O30" s="182" t="str">
        <f t="shared" si="3"/>
        <v/>
      </c>
      <c r="P30" s="182" t="str">
        <f t="shared" si="4"/>
        <v/>
      </c>
      <c r="Q30" s="182" t="str">
        <f t="shared" si="5"/>
        <v/>
      </c>
      <c r="R30" s="182" t="str">
        <f t="shared" si="6"/>
        <v/>
      </c>
      <c r="S30" s="182" t="str">
        <f t="shared" si="7"/>
        <v/>
      </c>
      <c r="T30" s="182" t="str">
        <f t="shared" si="8"/>
        <v/>
      </c>
      <c r="U30" s="182" t="str">
        <f t="shared" si="9"/>
        <v/>
      </c>
      <c r="V30" s="182" t="str">
        <f t="shared" si="10"/>
        <v/>
      </c>
      <c r="W30" s="182" t="str">
        <f t="shared" si="11"/>
        <v/>
      </c>
    </row>
    <row r="31" spans="1:23" ht="13.5" thickBot="1" x14ac:dyDescent="0.25">
      <c r="A31" s="91"/>
      <c r="B31" s="94" t="s">
        <v>35</v>
      </c>
      <c r="C31" s="95" t="s">
        <v>33</v>
      </c>
      <c r="D31" s="519" t="s">
        <v>34</v>
      </c>
      <c r="E31" s="520"/>
      <c r="F31" s="521"/>
      <c r="G31" s="92"/>
      <c r="K31" s="182">
        <v>30</v>
      </c>
      <c r="L31" s="182" t="str">
        <f t="shared" si="0"/>
        <v/>
      </c>
      <c r="M31" s="182" t="str">
        <f t="shared" si="1"/>
        <v/>
      </c>
      <c r="N31" s="182" t="str">
        <f t="shared" si="2"/>
        <v/>
      </c>
      <c r="O31" s="182" t="str">
        <f t="shared" si="3"/>
        <v/>
      </c>
      <c r="P31" s="182" t="str">
        <f t="shared" si="4"/>
        <v/>
      </c>
      <c r="Q31" s="182" t="str">
        <f t="shared" si="5"/>
        <v/>
      </c>
      <c r="R31" s="182" t="str">
        <f t="shared" si="6"/>
        <v/>
      </c>
      <c r="S31" s="182" t="str">
        <f t="shared" si="7"/>
        <v/>
      </c>
      <c r="T31" s="182" t="str">
        <f t="shared" si="8"/>
        <v/>
      </c>
      <c r="U31" s="182" t="str">
        <f t="shared" si="9"/>
        <v/>
      </c>
      <c r="V31" s="182" t="str">
        <f t="shared" si="10"/>
        <v/>
      </c>
      <c r="W31" s="182" t="str">
        <f t="shared" si="11"/>
        <v/>
      </c>
    </row>
    <row r="32" spans="1:23" ht="33.75" customHeight="1" thickBot="1" x14ac:dyDescent="0.25">
      <c r="A32" s="91"/>
      <c r="B32" s="5" t="s">
        <v>51</v>
      </c>
      <c r="C32" s="4"/>
      <c r="D32" s="516"/>
      <c r="E32" s="517"/>
      <c r="F32" s="518"/>
      <c r="G32" s="92"/>
      <c r="K32" s="182">
        <v>31</v>
      </c>
      <c r="L32" s="182" t="str">
        <f t="shared" si="0"/>
        <v/>
      </c>
      <c r="M32" s="182" t="str">
        <f t="shared" si="1"/>
        <v/>
      </c>
      <c r="N32" s="182" t="str">
        <f t="shared" si="2"/>
        <v/>
      </c>
      <c r="O32" s="182" t="str">
        <f t="shared" si="3"/>
        <v/>
      </c>
      <c r="P32" s="182" t="str">
        <f t="shared" si="4"/>
        <v/>
      </c>
      <c r="Q32" s="182" t="str">
        <f t="shared" si="5"/>
        <v/>
      </c>
      <c r="R32" s="182" t="str">
        <f t="shared" si="6"/>
        <v/>
      </c>
      <c r="S32" s="182" t="str">
        <f t="shared" si="7"/>
        <v/>
      </c>
      <c r="T32" s="182" t="str">
        <f t="shared" si="8"/>
        <v/>
      </c>
      <c r="U32" s="182" t="str">
        <f t="shared" si="9"/>
        <v/>
      </c>
      <c r="V32" s="182" t="str">
        <f t="shared" si="10"/>
        <v/>
      </c>
      <c r="W32" s="182" t="str">
        <f t="shared" si="11"/>
        <v/>
      </c>
    </row>
    <row r="33" spans="1:23" ht="13.5" customHeight="1" thickBot="1" x14ac:dyDescent="0.25">
      <c r="A33" s="91"/>
      <c r="B33" s="96" t="s">
        <v>143</v>
      </c>
      <c r="C33" s="97" t="s">
        <v>36</v>
      </c>
      <c r="D33" s="98" t="s">
        <v>64</v>
      </c>
      <c r="E33" s="532" t="s">
        <v>41</v>
      </c>
      <c r="F33" s="533"/>
      <c r="G33" s="92"/>
      <c r="K33" s="182">
        <v>32</v>
      </c>
      <c r="L33" s="182" t="str">
        <f t="shared" si="0"/>
        <v/>
      </c>
      <c r="M33" s="182" t="str">
        <f t="shared" si="1"/>
        <v/>
      </c>
      <c r="N33" s="182" t="str">
        <f t="shared" si="2"/>
        <v/>
      </c>
      <c r="O33" s="182" t="str">
        <f t="shared" si="3"/>
        <v/>
      </c>
      <c r="P33" s="182" t="str">
        <f t="shared" si="4"/>
        <v/>
      </c>
      <c r="Q33" s="182" t="str">
        <f t="shared" si="5"/>
        <v/>
      </c>
      <c r="R33" s="182" t="str">
        <f t="shared" si="6"/>
        <v/>
      </c>
      <c r="S33" s="182" t="str">
        <f t="shared" si="7"/>
        <v/>
      </c>
      <c r="T33" s="182" t="str">
        <f t="shared" si="8"/>
        <v/>
      </c>
      <c r="U33" s="182" t="str">
        <f t="shared" si="9"/>
        <v/>
      </c>
      <c r="V33" s="182" t="str">
        <f t="shared" si="10"/>
        <v/>
      </c>
      <c r="W33" s="182" t="str">
        <f t="shared" si="11"/>
        <v/>
      </c>
    </row>
    <row r="34" spans="1:23" ht="17.25" customHeight="1" thickBot="1" x14ac:dyDescent="0.25">
      <c r="A34" s="91"/>
      <c r="B34" s="529"/>
      <c r="C34" s="534"/>
      <c r="D34" s="111"/>
      <c r="E34" s="99" t="s">
        <v>44</v>
      </c>
      <c r="F34" s="100" t="s">
        <v>48</v>
      </c>
      <c r="G34" s="92"/>
      <c r="K34" s="182">
        <v>33</v>
      </c>
      <c r="L34" s="182" t="str">
        <f t="shared" si="0"/>
        <v/>
      </c>
      <c r="M34" s="182" t="str">
        <f t="shared" si="1"/>
        <v/>
      </c>
      <c r="N34" s="182" t="str">
        <f t="shared" si="2"/>
        <v/>
      </c>
      <c r="O34" s="182" t="str">
        <f t="shared" si="3"/>
        <v/>
      </c>
      <c r="P34" s="182" t="str">
        <f t="shared" si="4"/>
        <v/>
      </c>
      <c r="Q34" s="182" t="str">
        <f t="shared" si="5"/>
        <v/>
      </c>
      <c r="R34" s="182" t="str">
        <f t="shared" si="6"/>
        <v/>
      </c>
      <c r="S34" s="182" t="str">
        <f t="shared" si="7"/>
        <v/>
      </c>
      <c r="T34" s="182" t="str">
        <f t="shared" si="8"/>
        <v/>
      </c>
      <c r="U34" s="182" t="str">
        <f t="shared" si="9"/>
        <v/>
      </c>
      <c r="V34" s="182" t="str">
        <f t="shared" si="10"/>
        <v/>
      </c>
      <c r="W34" s="182" t="str">
        <f t="shared" si="11"/>
        <v/>
      </c>
    </row>
    <row r="35" spans="1:23" ht="17.25" customHeight="1" thickBot="1" x14ac:dyDescent="0.25">
      <c r="A35" s="91"/>
      <c r="B35" s="530"/>
      <c r="C35" s="535"/>
      <c r="D35" s="98" t="s">
        <v>60</v>
      </c>
      <c r="E35" s="114"/>
      <c r="F35" s="115"/>
      <c r="G35" s="92"/>
      <c r="K35" s="182">
        <v>34</v>
      </c>
      <c r="L35" s="182" t="str">
        <f t="shared" si="0"/>
        <v/>
      </c>
      <c r="M35" s="182" t="str">
        <f t="shared" si="1"/>
        <v/>
      </c>
      <c r="N35" s="182" t="str">
        <f t="shared" si="2"/>
        <v/>
      </c>
      <c r="O35" s="182" t="str">
        <f t="shared" si="3"/>
        <v/>
      </c>
      <c r="P35" s="182" t="str">
        <f t="shared" si="4"/>
        <v/>
      </c>
      <c r="Q35" s="182" t="str">
        <f t="shared" si="5"/>
        <v/>
      </c>
      <c r="R35" s="182" t="str">
        <f t="shared" si="6"/>
        <v/>
      </c>
      <c r="S35" s="182" t="str">
        <f t="shared" si="7"/>
        <v/>
      </c>
      <c r="T35" s="182" t="str">
        <f t="shared" si="8"/>
        <v/>
      </c>
      <c r="U35" s="182" t="str">
        <f t="shared" si="9"/>
        <v/>
      </c>
      <c r="V35" s="182" t="str">
        <f t="shared" si="10"/>
        <v/>
      </c>
      <c r="W35" s="182" t="str">
        <f t="shared" si="11"/>
        <v/>
      </c>
    </row>
    <row r="36" spans="1:23" ht="18" customHeight="1" thickBot="1" x14ac:dyDescent="0.25">
      <c r="A36" s="91"/>
      <c r="B36" s="531"/>
      <c r="C36" s="536"/>
      <c r="D36" s="112"/>
      <c r="E36" s="113"/>
      <c r="F36" s="101" t="str">
        <f>IF(B34="","",IF(E36="","",IF(F35="None","",B34-E36)))</f>
        <v/>
      </c>
      <c r="G36" s="92"/>
      <c r="K36" s="182">
        <v>35</v>
      </c>
      <c r="L36" s="182" t="str">
        <f t="shared" si="0"/>
        <v/>
      </c>
      <c r="M36" s="182" t="str">
        <f t="shared" si="1"/>
        <v/>
      </c>
      <c r="N36" s="182" t="str">
        <f t="shared" si="2"/>
        <v/>
      </c>
      <c r="O36" s="182" t="str">
        <f t="shared" si="3"/>
        <v/>
      </c>
      <c r="P36" s="182" t="str">
        <f t="shared" si="4"/>
        <v/>
      </c>
      <c r="Q36" s="182" t="str">
        <f t="shared" si="5"/>
        <v/>
      </c>
      <c r="R36" s="182" t="str">
        <f t="shared" si="6"/>
        <v/>
      </c>
      <c r="S36" s="182" t="str">
        <f t="shared" si="7"/>
        <v/>
      </c>
      <c r="T36" s="182" t="str">
        <f t="shared" si="8"/>
        <v/>
      </c>
      <c r="U36" s="182" t="str">
        <f t="shared" si="9"/>
        <v/>
      </c>
      <c r="V36" s="182" t="str">
        <f t="shared" si="10"/>
        <v/>
      </c>
      <c r="W36" s="182" t="str">
        <f t="shared" si="11"/>
        <v/>
      </c>
    </row>
    <row r="37" spans="1:23" ht="20.25" customHeight="1" thickBot="1" x14ac:dyDescent="0.25">
      <c r="A37" s="91"/>
      <c r="B37" s="104"/>
      <c r="C37" s="105"/>
      <c r="D37" s="28"/>
      <c r="E37" s="104"/>
      <c r="F37" s="105"/>
      <c r="G37" s="92"/>
      <c r="K37" s="182">
        <v>36</v>
      </c>
      <c r="L37" s="182" t="str">
        <f t="shared" si="0"/>
        <v/>
      </c>
      <c r="M37" s="182" t="str">
        <f t="shared" si="1"/>
        <v/>
      </c>
      <c r="N37" s="182" t="str">
        <f t="shared" si="2"/>
        <v/>
      </c>
      <c r="O37" s="182" t="str">
        <f t="shared" si="3"/>
        <v/>
      </c>
      <c r="P37" s="182" t="str">
        <f t="shared" si="4"/>
        <v/>
      </c>
      <c r="Q37" s="182" t="str">
        <f t="shared" si="5"/>
        <v/>
      </c>
      <c r="R37" s="182" t="str">
        <f t="shared" si="6"/>
        <v/>
      </c>
      <c r="S37" s="182" t="str">
        <f t="shared" si="7"/>
        <v/>
      </c>
      <c r="T37" s="182" t="str">
        <f t="shared" si="8"/>
        <v/>
      </c>
      <c r="U37" s="182" t="str">
        <f t="shared" si="9"/>
        <v/>
      </c>
      <c r="V37" s="182" t="str">
        <f t="shared" si="10"/>
        <v/>
      </c>
      <c r="W37" s="182" t="str">
        <f t="shared" si="11"/>
        <v/>
      </c>
    </row>
    <row r="38" spans="1:23" ht="13.5" thickBot="1" x14ac:dyDescent="0.25">
      <c r="A38" s="91"/>
      <c r="B38" s="94" t="s">
        <v>35</v>
      </c>
      <c r="C38" s="95" t="s">
        <v>33</v>
      </c>
      <c r="D38" s="519" t="s">
        <v>34</v>
      </c>
      <c r="E38" s="520"/>
      <c r="F38" s="521"/>
      <c r="G38" s="92"/>
      <c r="K38" s="182">
        <v>37</v>
      </c>
      <c r="L38" s="182" t="str">
        <f t="shared" si="0"/>
        <v/>
      </c>
      <c r="M38" s="182" t="str">
        <f t="shared" si="1"/>
        <v/>
      </c>
      <c r="N38" s="182" t="str">
        <f t="shared" si="2"/>
        <v/>
      </c>
      <c r="O38" s="182" t="str">
        <f t="shared" si="3"/>
        <v/>
      </c>
      <c r="P38" s="182" t="str">
        <f t="shared" si="4"/>
        <v/>
      </c>
      <c r="Q38" s="182" t="str">
        <f t="shared" si="5"/>
        <v/>
      </c>
      <c r="R38" s="182" t="str">
        <f t="shared" si="6"/>
        <v/>
      </c>
      <c r="S38" s="182" t="str">
        <f t="shared" si="7"/>
        <v/>
      </c>
      <c r="T38" s="182" t="str">
        <f t="shared" si="8"/>
        <v/>
      </c>
      <c r="U38" s="182" t="str">
        <f t="shared" si="9"/>
        <v/>
      </c>
      <c r="V38" s="182" t="str">
        <f t="shared" si="10"/>
        <v/>
      </c>
      <c r="W38" s="182" t="str">
        <f t="shared" si="11"/>
        <v/>
      </c>
    </row>
    <row r="39" spans="1:23" ht="33.75" customHeight="1" thickBot="1" x14ac:dyDescent="0.25">
      <c r="A39" s="91"/>
      <c r="B39" s="5" t="s">
        <v>52</v>
      </c>
      <c r="C39" s="4"/>
      <c r="D39" s="516"/>
      <c r="E39" s="517"/>
      <c r="F39" s="518"/>
      <c r="G39" s="92"/>
      <c r="K39" s="182">
        <v>38</v>
      </c>
      <c r="L39" s="182" t="str">
        <f t="shared" si="0"/>
        <v/>
      </c>
      <c r="M39" s="182" t="str">
        <f t="shared" si="1"/>
        <v/>
      </c>
      <c r="N39" s="182" t="str">
        <f t="shared" si="2"/>
        <v/>
      </c>
      <c r="O39" s="182" t="str">
        <f t="shared" si="3"/>
        <v/>
      </c>
      <c r="P39" s="182" t="str">
        <f t="shared" si="4"/>
        <v/>
      </c>
      <c r="Q39" s="182" t="str">
        <f t="shared" si="5"/>
        <v/>
      </c>
      <c r="R39" s="182" t="str">
        <f t="shared" si="6"/>
        <v/>
      </c>
      <c r="S39" s="182" t="str">
        <f t="shared" si="7"/>
        <v/>
      </c>
      <c r="T39" s="182" t="str">
        <f t="shared" si="8"/>
        <v/>
      </c>
      <c r="U39" s="182" t="str">
        <f t="shared" si="9"/>
        <v/>
      </c>
      <c r="V39" s="182" t="str">
        <f t="shared" si="10"/>
        <v/>
      </c>
      <c r="W39" s="182" t="str">
        <f t="shared" si="11"/>
        <v/>
      </c>
    </row>
    <row r="40" spans="1:23" ht="12.75" customHeight="1" thickBot="1" x14ac:dyDescent="0.25">
      <c r="A40" s="91"/>
      <c r="B40" s="96" t="s">
        <v>143</v>
      </c>
      <c r="C40" s="97" t="s">
        <v>36</v>
      </c>
      <c r="D40" s="98" t="s">
        <v>64</v>
      </c>
      <c r="E40" s="532" t="s">
        <v>41</v>
      </c>
      <c r="F40" s="533"/>
      <c r="G40" s="92"/>
      <c r="K40" s="182">
        <v>39</v>
      </c>
      <c r="L40" s="182" t="str">
        <f t="shared" si="0"/>
        <v/>
      </c>
      <c r="M40" s="182" t="str">
        <f t="shared" si="1"/>
        <v/>
      </c>
      <c r="N40" s="182" t="str">
        <f t="shared" si="2"/>
        <v/>
      </c>
      <c r="O40" s="182" t="str">
        <f t="shared" si="3"/>
        <v/>
      </c>
      <c r="P40" s="182" t="str">
        <f t="shared" si="4"/>
        <v/>
      </c>
      <c r="Q40" s="182" t="str">
        <f t="shared" si="5"/>
        <v/>
      </c>
      <c r="R40" s="182" t="str">
        <f t="shared" si="6"/>
        <v/>
      </c>
      <c r="S40" s="182" t="str">
        <f t="shared" si="7"/>
        <v/>
      </c>
      <c r="T40" s="182" t="str">
        <f t="shared" si="8"/>
        <v/>
      </c>
      <c r="U40" s="182" t="str">
        <f t="shared" si="9"/>
        <v/>
      </c>
      <c r="V40" s="182" t="str">
        <f t="shared" si="10"/>
        <v/>
      </c>
      <c r="W40" s="182" t="str">
        <f t="shared" si="11"/>
        <v/>
      </c>
    </row>
    <row r="41" spans="1:23" ht="17.25" customHeight="1" thickBot="1" x14ac:dyDescent="0.25">
      <c r="A41" s="91"/>
      <c r="B41" s="529"/>
      <c r="C41" s="534"/>
      <c r="D41" s="111"/>
      <c r="E41" s="99" t="s">
        <v>44</v>
      </c>
      <c r="F41" s="100" t="s">
        <v>48</v>
      </c>
      <c r="G41" s="92"/>
      <c r="K41" s="182">
        <v>40</v>
      </c>
      <c r="L41" s="182" t="str">
        <f t="shared" si="0"/>
        <v/>
      </c>
      <c r="M41" s="182" t="str">
        <f t="shared" si="1"/>
        <v/>
      </c>
      <c r="N41" s="182" t="str">
        <f t="shared" si="2"/>
        <v/>
      </c>
      <c r="O41" s="182" t="str">
        <f t="shared" si="3"/>
        <v/>
      </c>
      <c r="P41" s="182" t="str">
        <f t="shared" si="4"/>
        <v/>
      </c>
      <c r="Q41" s="182" t="str">
        <f t="shared" si="5"/>
        <v/>
      </c>
      <c r="R41" s="182" t="str">
        <f t="shared" si="6"/>
        <v/>
      </c>
      <c r="S41" s="182" t="str">
        <f t="shared" si="7"/>
        <v/>
      </c>
      <c r="T41" s="182" t="str">
        <f t="shared" si="8"/>
        <v/>
      </c>
      <c r="U41" s="182" t="str">
        <f t="shared" si="9"/>
        <v/>
      </c>
      <c r="V41" s="182" t="str">
        <f t="shared" si="10"/>
        <v/>
      </c>
      <c r="W41" s="182" t="str">
        <f t="shared" si="11"/>
        <v/>
      </c>
    </row>
    <row r="42" spans="1:23" ht="17.25" customHeight="1" thickBot="1" x14ac:dyDescent="0.25">
      <c r="A42" s="91"/>
      <c r="B42" s="530"/>
      <c r="C42" s="535"/>
      <c r="D42" s="98" t="s">
        <v>60</v>
      </c>
      <c r="E42" s="114"/>
      <c r="F42" s="115"/>
      <c r="G42" s="92"/>
      <c r="K42" s="182">
        <v>41</v>
      </c>
      <c r="L42" s="182" t="str">
        <f t="shared" si="0"/>
        <v/>
      </c>
      <c r="M42" s="182" t="str">
        <f t="shared" si="1"/>
        <v/>
      </c>
      <c r="N42" s="182" t="str">
        <f t="shared" si="2"/>
        <v/>
      </c>
      <c r="O42" s="182" t="str">
        <f t="shared" si="3"/>
        <v/>
      </c>
      <c r="P42" s="182" t="str">
        <f t="shared" si="4"/>
        <v/>
      </c>
      <c r="Q42" s="182" t="str">
        <f t="shared" si="5"/>
        <v/>
      </c>
      <c r="R42" s="182" t="str">
        <f t="shared" si="6"/>
        <v/>
      </c>
      <c r="S42" s="182" t="str">
        <f t="shared" si="7"/>
        <v/>
      </c>
      <c r="T42" s="182" t="str">
        <f t="shared" si="8"/>
        <v/>
      </c>
      <c r="U42" s="182" t="str">
        <f t="shared" si="9"/>
        <v/>
      </c>
      <c r="V42" s="182" t="str">
        <f t="shared" si="10"/>
        <v/>
      </c>
      <c r="W42" s="182" t="str">
        <f t="shared" si="11"/>
        <v/>
      </c>
    </row>
    <row r="43" spans="1:23" ht="18" customHeight="1" thickBot="1" x14ac:dyDescent="0.25">
      <c r="A43" s="91"/>
      <c r="B43" s="531"/>
      <c r="C43" s="536"/>
      <c r="D43" s="112"/>
      <c r="E43" s="113"/>
      <c r="F43" s="101" t="str">
        <f>IF(B41="","",IF(E43="","",IF(F42="None","",B41-E43)))</f>
        <v/>
      </c>
      <c r="G43" s="92"/>
      <c r="K43" s="182">
        <v>42</v>
      </c>
      <c r="L43" s="182" t="str">
        <f t="shared" si="0"/>
        <v/>
      </c>
      <c r="M43" s="182" t="str">
        <f t="shared" si="1"/>
        <v/>
      </c>
      <c r="N43" s="182" t="str">
        <f t="shared" si="2"/>
        <v/>
      </c>
      <c r="O43" s="182" t="str">
        <f t="shared" si="3"/>
        <v/>
      </c>
      <c r="P43" s="182" t="str">
        <f t="shared" si="4"/>
        <v/>
      </c>
      <c r="Q43" s="182" t="str">
        <f t="shared" si="5"/>
        <v/>
      </c>
      <c r="R43" s="182" t="str">
        <f t="shared" si="6"/>
        <v/>
      </c>
      <c r="S43" s="182" t="str">
        <f t="shared" si="7"/>
        <v/>
      </c>
      <c r="T43" s="182" t="str">
        <f t="shared" si="8"/>
        <v/>
      </c>
      <c r="U43" s="182" t="str">
        <f t="shared" si="9"/>
        <v/>
      </c>
      <c r="V43" s="182" t="str">
        <f t="shared" si="10"/>
        <v/>
      </c>
      <c r="W43" s="182" t="str">
        <f t="shared" si="11"/>
        <v/>
      </c>
    </row>
    <row r="44" spans="1:23" ht="21" customHeight="1" thickBot="1" x14ac:dyDescent="0.25">
      <c r="A44" s="91"/>
      <c r="B44" s="104"/>
      <c r="C44" s="106"/>
      <c r="D44" s="28"/>
      <c r="E44" s="104"/>
      <c r="F44" s="106"/>
      <c r="G44" s="92"/>
      <c r="K44" s="182">
        <v>43</v>
      </c>
      <c r="L44" s="182" t="str">
        <f t="shared" si="0"/>
        <v/>
      </c>
      <c r="M44" s="182" t="str">
        <f t="shared" si="1"/>
        <v/>
      </c>
      <c r="N44" s="182" t="str">
        <f t="shared" si="2"/>
        <v/>
      </c>
      <c r="O44" s="182" t="str">
        <f t="shared" si="3"/>
        <v/>
      </c>
      <c r="P44" s="182" t="str">
        <f t="shared" si="4"/>
        <v/>
      </c>
      <c r="Q44" s="182" t="str">
        <f t="shared" si="5"/>
        <v/>
      </c>
      <c r="R44" s="182" t="str">
        <f t="shared" si="6"/>
        <v/>
      </c>
      <c r="S44" s="182" t="str">
        <f t="shared" si="7"/>
        <v/>
      </c>
      <c r="T44" s="182" t="str">
        <f t="shared" si="8"/>
        <v/>
      </c>
      <c r="U44" s="182" t="str">
        <f t="shared" si="9"/>
        <v/>
      </c>
      <c r="V44" s="182" t="str">
        <f t="shared" si="10"/>
        <v/>
      </c>
      <c r="W44" s="182" t="str">
        <f t="shared" si="11"/>
        <v/>
      </c>
    </row>
    <row r="45" spans="1:23" ht="13.5" thickBot="1" x14ac:dyDescent="0.25">
      <c r="A45" s="91"/>
      <c r="B45" s="94" t="s">
        <v>35</v>
      </c>
      <c r="C45" s="95" t="s">
        <v>33</v>
      </c>
      <c r="D45" s="519" t="s">
        <v>34</v>
      </c>
      <c r="E45" s="520"/>
      <c r="F45" s="521"/>
      <c r="G45" s="92"/>
      <c r="K45" s="182">
        <v>44</v>
      </c>
      <c r="L45" s="182" t="str">
        <f t="shared" si="0"/>
        <v/>
      </c>
      <c r="M45" s="182" t="str">
        <f t="shared" si="1"/>
        <v/>
      </c>
      <c r="N45" s="182" t="str">
        <f t="shared" si="2"/>
        <v/>
      </c>
      <c r="O45" s="182" t="str">
        <f t="shared" si="3"/>
        <v/>
      </c>
      <c r="P45" s="182" t="str">
        <f t="shared" si="4"/>
        <v/>
      </c>
      <c r="Q45" s="182" t="str">
        <f t="shared" si="5"/>
        <v/>
      </c>
      <c r="R45" s="182" t="str">
        <f t="shared" si="6"/>
        <v/>
      </c>
      <c r="S45" s="182" t="str">
        <f t="shared" si="7"/>
        <v/>
      </c>
      <c r="T45" s="182" t="str">
        <f t="shared" si="8"/>
        <v/>
      </c>
      <c r="U45" s="182" t="str">
        <f t="shared" si="9"/>
        <v/>
      </c>
      <c r="V45" s="182" t="str">
        <f t="shared" si="10"/>
        <v/>
      </c>
      <c r="W45" s="182" t="str">
        <f t="shared" si="11"/>
        <v/>
      </c>
    </row>
    <row r="46" spans="1:23" ht="33.75" customHeight="1" thickBot="1" x14ac:dyDescent="0.25">
      <c r="A46" s="91"/>
      <c r="B46" s="5" t="s">
        <v>53</v>
      </c>
      <c r="C46" s="4"/>
      <c r="D46" s="516"/>
      <c r="E46" s="517"/>
      <c r="F46" s="518"/>
      <c r="G46" s="92"/>
      <c r="K46" s="182">
        <v>45</v>
      </c>
      <c r="L46" s="182" t="str">
        <f t="shared" si="0"/>
        <v/>
      </c>
      <c r="M46" s="182" t="str">
        <f t="shared" si="1"/>
        <v/>
      </c>
      <c r="N46" s="182" t="str">
        <f t="shared" si="2"/>
        <v/>
      </c>
      <c r="O46" s="182" t="str">
        <f t="shared" si="3"/>
        <v/>
      </c>
      <c r="P46" s="182" t="str">
        <f t="shared" si="4"/>
        <v/>
      </c>
      <c r="Q46" s="182" t="str">
        <f t="shared" si="5"/>
        <v/>
      </c>
      <c r="R46" s="182" t="str">
        <f t="shared" si="6"/>
        <v/>
      </c>
      <c r="S46" s="182" t="str">
        <f t="shared" si="7"/>
        <v/>
      </c>
      <c r="T46" s="182" t="str">
        <f t="shared" si="8"/>
        <v/>
      </c>
      <c r="U46" s="182" t="str">
        <f t="shared" si="9"/>
        <v/>
      </c>
      <c r="V46" s="182" t="str">
        <f t="shared" si="10"/>
        <v/>
      </c>
      <c r="W46" s="182" t="str">
        <f t="shared" si="11"/>
        <v/>
      </c>
    </row>
    <row r="47" spans="1:23" ht="12.75" customHeight="1" thickBot="1" x14ac:dyDescent="0.25">
      <c r="A47" s="91"/>
      <c r="B47" s="96" t="s">
        <v>143</v>
      </c>
      <c r="C47" s="97" t="s">
        <v>36</v>
      </c>
      <c r="D47" s="98" t="s">
        <v>64</v>
      </c>
      <c r="E47" s="532" t="s">
        <v>41</v>
      </c>
      <c r="F47" s="533"/>
      <c r="G47" s="92"/>
      <c r="K47" s="182">
        <v>46</v>
      </c>
      <c r="L47" s="182" t="str">
        <f t="shared" si="0"/>
        <v/>
      </c>
      <c r="M47" s="182" t="str">
        <f t="shared" si="1"/>
        <v/>
      </c>
      <c r="N47" s="182" t="str">
        <f t="shared" si="2"/>
        <v/>
      </c>
      <c r="O47" s="182" t="str">
        <f t="shared" si="3"/>
        <v/>
      </c>
      <c r="P47" s="182" t="str">
        <f t="shared" si="4"/>
        <v/>
      </c>
      <c r="Q47" s="182" t="str">
        <f t="shared" si="5"/>
        <v/>
      </c>
      <c r="R47" s="182" t="str">
        <f t="shared" si="6"/>
        <v/>
      </c>
      <c r="S47" s="182" t="str">
        <f t="shared" si="7"/>
        <v/>
      </c>
      <c r="T47" s="182" t="str">
        <f t="shared" si="8"/>
        <v/>
      </c>
      <c r="U47" s="182" t="str">
        <f t="shared" si="9"/>
        <v/>
      </c>
      <c r="V47" s="182" t="str">
        <f t="shared" si="10"/>
        <v/>
      </c>
      <c r="W47" s="182" t="str">
        <f t="shared" si="11"/>
        <v/>
      </c>
    </row>
    <row r="48" spans="1:23" ht="17.25" customHeight="1" thickBot="1" x14ac:dyDescent="0.25">
      <c r="A48" s="91"/>
      <c r="B48" s="529"/>
      <c r="C48" s="534"/>
      <c r="D48" s="111"/>
      <c r="E48" s="99" t="s">
        <v>44</v>
      </c>
      <c r="F48" s="100" t="s">
        <v>48</v>
      </c>
      <c r="G48" s="92"/>
      <c r="K48" s="182">
        <v>47</v>
      </c>
      <c r="L48" s="182" t="str">
        <f t="shared" si="0"/>
        <v/>
      </c>
      <c r="M48" s="182" t="str">
        <f t="shared" si="1"/>
        <v/>
      </c>
      <c r="N48" s="182" t="str">
        <f t="shared" si="2"/>
        <v/>
      </c>
      <c r="O48" s="182" t="str">
        <f t="shared" si="3"/>
        <v/>
      </c>
      <c r="P48" s="182" t="str">
        <f t="shared" si="4"/>
        <v/>
      </c>
      <c r="Q48" s="182" t="str">
        <f t="shared" si="5"/>
        <v/>
      </c>
      <c r="R48" s="182" t="str">
        <f t="shared" si="6"/>
        <v/>
      </c>
      <c r="S48" s="182" t="str">
        <f t="shared" si="7"/>
        <v/>
      </c>
      <c r="T48" s="182" t="str">
        <f t="shared" si="8"/>
        <v/>
      </c>
      <c r="U48" s="182" t="str">
        <f t="shared" si="9"/>
        <v/>
      </c>
      <c r="V48" s="182" t="str">
        <f t="shared" si="10"/>
        <v/>
      </c>
      <c r="W48" s="182" t="str">
        <f t="shared" si="11"/>
        <v/>
      </c>
    </row>
    <row r="49" spans="1:23" ht="17.25" customHeight="1" thickBot="1" x14ac:dyDescent="0.25">
      <c r="A49" s="91"/>
      <c r="B49" s="530"/>
      <c r="C49" s="535"/>
      <c r="D49" s="98" t="s">
        <v>60</v>
      </c>
      <c r="E49" s="114"/>
      <c r="F49" s="115"/>
      <c r="G49" s="92"/>
      <c r="K49" s="182">
        <v>48</v>
      </c>
      <c r="L49" s="182" t="str">
        <f t="shared" si="0"/>
        <v/>
      </c>
      <c r="M49" s="182" t="str">
        <f t="shared" si="1"/>
        <v/>
      </c>
      <c r="N49" s="182" t="str">
        <f t="shared" si="2"/>
        <v/>
      </c>
      <c r="O49" s="182" t="str">
        <f t="shared" si="3"/>
        <v/>
      </c>
      <c r="P49" s="182" t="str">
        <f t="shared" si="4"/>
        <v/>
      </c>
      <c r="Q49" s="182" t="str">
        <f t="shared" si="5"/>
        <v/>
      </c>
      <c r="R49" s="182" t="str">
        <f t="shared" si="6"/>
        <v/>
      </c>
      <c r="S49" s="182" t="str">
        <f t="shared" si="7"/>
        <v/>
      </c>
      <c r="T49" s="182" t="str">
        <f t="shared" si="8"/>
        <v/>
      </c>
      <c r="U49" s="182" t="str">
        <f t="shared" si="9"/>
        <v/>
      </c>
      <c r="V49" s="182" t="str">
        <f t="shared" si="10"/>
        <v/>
      </c>
      <c r="W49" s="182" t="str">
        <f t="shared" si="11"/>
        <v/>
      </c>
    </row>
    <row r="50" spans="1:23" ht="18" customHeight="1" thickBot="1" x14ac:dyDescent="0.25">
      <c r="A50" s="91"/>
      <c r="B50" s="531"/>
      <c r="C50" s="536"/>
      <c r="D50" s="112"/>
      <c r="E50" s="113"/>
      <c r="F50" s="101" t="str">
        <f>IF(B48="","",IF(E50="","",IF(F49="None","",B48-E50)))</f>
        <v/>
      </c>
      <c r="G50" s="92"/>
      <c r="K50" s="182">
        <v>49</v>
      </c>
      <c r="L50" s="182" t="str">
        <f t="shared" si="0"/>
        <v/>
      </c>
      <c r="M50" s="182" t="str">
        <f t="shared" si="1"/>
        <v/>
      </c>
      <c r="N50" s="182" t="str">
        <f t="shared" si="2"/>
        <v/>
      </c>
      <c r="O50" s="182" t="str">
        <f t="shared" si="3"/>
        <v/>
      </c>
      <c r="P50" s="182" t="str">
        <f t="shared" si="4"/>
        <v/>
      </c>
      <c r="Q50" s="182" t="str">
        <f t="shared" si="5"/>
        <v/>
      </c>
      <c r="R50" s="182" t="str">
        <f t="shared" si="6"/>
        <v/>
      </c>
      <c r="S50" s="182" t="str">
        <f t="shared" si="7"/>
        <v/>
      </c>
      <c r="T50" s="182" t="str">
        <f t="shared" si="8"/>
        <v/>
      </c>
      <c r="U50" s="182" t="str">
        <f t="shared" si="9"/>
        <v/>
      </c>
      <c r="V50" s="182" t="str">
        <f t="shared" si="10"/>
        <v/>
      </c>
      <c r="W50" s="182" t="str">
        <f t="shared" si="11"/>
        <v/>
      </c>
    </row>
    <row r="51" spans="1:23" ht="26.25" customHeight="1" thickBot="1" x14ac:dyDescent="0.25">
      <c r="A51" s="107"/>
      <c r="B51" s="108"/>
      <c r="C51" s="108"/>
      <c r="D51" s="109"/>
      <c r="E51" s="108"/>
      <c r="F51" s="108"/>
      <c r="G51" s="110"/>
      <c r="K51" s="182">
        <v>50</v>
      </c>
      <c r="L51" s="182" t="str">
        <f t="shared" si="0"/>
        <v/>
      </c>
      <c r="M51" s="182" t="str">
        <f t="shared" si="1"/>
        <v/>
      </c>
      <c r="N51" s="182" t="str">
        <f t="shared" si="2"/>
        <v/>
      </c>
      <c r="O51" s="182" t="str">
        <f t="shared" si="3"/>
        <v/>
      </c>
      <c r="P51" s="182" t="str">
        <f t="shared" si="4"/>
        <v/>
      </c>
      <c r="Q51" s="182" t="str">
        <f t="shared" si="5"/>
        <v/>
      </c>
      <c r="R51" s="182" t="str">
        <f t="shared" si="6"/>
        <v/>
      </c>
      <c r="S51" s="182" t="str">
        <f t="shared" si="7"/>
        <v/>
      </c>
      <c r="T51" s="182" t="str">
        <f t="shared" si="8"/>
        <v/>
      </c>
      <c r="U51" s="182" t="str">
        <f t="shared" si="9"/>
        <v/>
      </c>
      <c r="V51" s="182" t="str">
        <f t="shared" si="10"/>
        <v/>
      </c>
      <c r="W51" s="182" t="str">
        <f t="shared" si="11"/>
        <v/>
      </c>
    </row>
    <row r="52" spans="1:23" ht="13.5" thickTop="1" x14ac:dyDescent="0.2">
      <c r="A52" s="184"/>
      <c r="B52" s="185"/>
      <c r="C52" s="186"/>
      <c r="D52" s="184"/>
      <c r="E52" s="185"/>
      <c r="F52" s="186"/>
      <c r="G52" s="184"/>
      <c r="H52" s="183"/>
      <c r="K52" s="182">
        <v>51</v>
      </c>
      <c r="L52" s="182" t="str">
        <f t="shared" si="0"/>
        <v/>
      </c>
      <c r="M52" s="182" t="str">
        <f t="shared" si="1"/>
        <v/>
      </c>
      <c r="N52" s="182" t="str">
        <f t="shared" si="2"/>
        <v/>
      </c>
      <c r="O52" s="182" t="str">
        <f t="shared" si="3"/>
        <v/>
      </c>
      <c r="P52" s="182" t="str">
        <f t="shared" si="4"/>
        <v/>
      </c>
      <c r="Q52" s="182" t="str">
        <f t="shared" si="5"/>
        <v/>
      </c>
      <c r="R52" s="182" t="str">
        <f t="shared" si="6"/>
        <v/>
      </c>
      <c r="S52" s="182" t="str">
        <f t="shared" si="7"/>
        <v/>
      </c>
      <c r="T52" s="182" t="str">
        <f t="shared" si="8"/>
        <v/>
      </c>
      <c r="U52" s="182" t="str">
        <f t="shared" si="9"/>
        <v/>
      </c>
      <c r="V52" s="182" t="str">
        <f t="shared" si="10"/>
        <v/>
      </c>
      <c r="W52" s="182" t="str">
        <f t="shared" si="11"/>
        <v/>
      </c>
    </row>
    <row r="53" spans="1:23" x14ac:dyDescent="0.2">
      <c r="A53" s="184"/>
      <c r="B53" s="185"/>
      <c r="C53" s="186"/>
      <c r="D53" s="184"/>
      <c r="E53" s="185"/>
      <c r="F53" s="186"/>
      <c r="G53" s="184"/>
      <c r="H53" s="183"/>
      <c r="K53" s="182">
        <v>52</v>
      </c>
      <c r="L53" s="182" t="str">
        <f t="shared" si="0"/>
        <v/>
      </c>
      <c r="M53" s="182" t="str">
        <f t="shared" si="1"/>
        <v/>
      </c>
      <c r="N53" s="182" t="str">
        <f t="shared" si="2"/>
        <v/>
      </c>
      <c r="O53" s="182" t="str">
        <f t="shared" si="3"/>
        <v/>
      </c>
      <c r="P53" s="182" t="str">
        <f t="shared" si="4"/>
        <v/>
      </c>
      <c r="Q53" s="182" t="str">
        <f t="shared" si="5"/>
        <v/>
      </c>
      <c r="R53" s="182" t="str">
        <f t="shared" si="6"/>
        <v/>
      </c>
      <c r="S53" s="182" t="str">
        <f t="shared" si="7"/>
        <v/>
      </c>
      <c r="T53" s="182" t="str">
        <f t="shared" si="8"/>
        <v/>
      </c>
      <c r="U53" s="182" t="str">
        <f t="shared" si="9"/>
        <v/>
      </c>
      <c r="V53" s="182" t="str">
        <f t="shared" si="10"/>
        <v/>
      </c>
      <c r="W53" s="182" t="str">
        <f t="shared" si="11"/>
        <v/>
      </c>
    </row>
    <row r="54" spans="1:23" x14ac:dyDescent="0.2">
      <c r="A54" s="184"/>
      <c r="B54" s="184"/>
      <c r="C54" s="184"/>
      <c r="D54" s="184"/>
      <c r="E54" s="184"/>
      <c r="F54" s="184"/>
      <c r="G54" s="184"/>
      <c r="H54" s="183"/>
      <c r="K54" s="182">
        <v>53</v>
      </c>
      <c r="L54" s="182" t="str">
        <f t="shared" si="0"/>
        <v/>
      </c>
      <c r="M54" s="182" t="str">
        <f t="shared" si="1"/>
        <v/>
      </c>
      <c r="N54" s="182" t="str">
        <f t="shared" si="2"/>
        <v/>
      </c>
      <c r="O54" s="182" t="str">
        <f t="shared" si="3"/>
        <v/>
      </c>
      <c r="P54" s="182" t="str">
        <f t="shared" si="4"/>
        <v/>
      </c>
      <c r="Q54" s="182" t="str">
        <f t="shared" si="5"/>
        <v/>
      </c>
      <c r="R54" s="182" t="str">
        <f t="shared" si="6"/>
        <v/>
      </c>
      <c r="S54" s="182" t="str">
        <f t="shared" si="7"/>
        <v/>
      </c>
      <c r="T54" s="182" t="str">
        <f t="shared" si="8"/>
        <v/>
      </c>
      <c r="U54" s="182" t="str">
        <f t="shared" si="9"/>
        <v/>
      </c>
      <c r="V54" s="182" t="str">
        <f t="shared" si="10"/>
        <v/>
      </c>
      <c r="W54" s="182" t="str">
        <f t="shared" si="11"/>
        <v/>
      </c>
    </row>
    <row r="55" spans="1:23" x14ac:dyDescent="0.2">
      <c r="A55" s="184"/>
      <c r="B55" s="184"/>
      <c r="C55" s="184"/>
      <c r="D55" s="184"/>
      <c r="E55" s="184"/>
      <c r="F55" s="184"/>
      <c r="G55" s="184"/>
      <c r="H55" s="183"/>
      <c r="K55" s="182">
        <v>54</v>
      </c>
      <c r="L55" s="182" t="str">
        <f t="shared" si="0"/>
        <v/>
      </c>
      <c r="M55" s="182" t="str">
        <f t="shared" si="1"/>
        <v/>
      </c>
      <c r="N55" s="182" t="str">
        <f t="shared" si="2"/>
        <v/>
      </c>
      <c r="O55" s="182" t="str">
        <f t="shared" si="3"/>
        <v/>
      </c>
      <c r="P55" s="182" t="str">
        <f t="shared" si="4"/>
        <v/>
      </c>
      <c r="Q55" s="182" t="str">
        <f t="shared" si="5"/>
        <v/>
      </c>
      <c r="R55" s="182" t="str">
        <f t="shared" si="6"/>
        <v/>
      </c>
      <c r="S55" s="182" t="str">
        <f t="shared" si="7"/>
        <v/>
      </c>
      <c r="T55" s="182" t="str">
        <f t="shared" si="8"/>
        <v/>
      </c>
      <c r="U55" s="182" t="str">
        <f t="shared" si="9"/>
        <v/>
      </c>
      <c r="V55" s="182" t="str">
        <f t="shared" si="10"/>
        <v/>
      </c>
      <c r="W55" s="182" t="str">
        <f t="shared" si="11"/>
        <v/>
      </c>
    </row>
    <row r="56" spans="1:23" x14ac:dyDescent="0.2">
      <c r="A56" s="184"/>
      <c r="B56" s="184"/>
      <c r="C56" s="184"/>
      <c r="D56" s="184"/>
      <c r="E56" s="184"/>
      <c r="F56" s="184"/>
      <c r="G56" s="184"/>
      <c r="H56" s="183"/>
      <c r="K56" s="182">
        <v>55</v>
      </c>
      <c r="L56" s="182" t="str">
        <f t="shared" si="0"/>
        <v/>
      </c>
      <c r="M56" s="182" t="str">
        <f t="shared" si="1"/>
        <v/>
      </c>
      <c r="N56" s="182" t="str">
        <f t="shared" si="2"/>
        <v/>
      </c>
      <c r="O56" s="182" t="str">
        <f t="shared" si="3"/>
        <v/>
      </c>
      <c r="P56" s="182" t="str">
        <f t="shared" si="4"/>
        <v/>
      </c>
      <c r="Q56" s="182" t="str">
        <f t="shared" si="5"/>
        <v/>
      </c>
      <c r="R56" s="182" t="str">
        <f t="shared" si="6"/>
        <v/>
      </c>
      <c r="S56" s="182" t="str">
        <f t="shared" si="7"/>
        <v/>
      </c>
      <c r="T56" s="182" t="str">
        <f t="shared" si="8"/>
        <v/>
      </c>
      <c r="U56" s="182" t="str">
        <f t="shared" si="9"/>
        <v/>
      </c>
      <c r="V56" s="182" t="str">
        <f t="shared" si="10"/>
        <v/>
      </c>
      <c r="W56" s="182" t="str">
        <f t="shared" si="11"/>
        <v/>
      </c>
    </row>
    <row r="57" spans="1:23" x14ac:dyDescent="0.2">
      <c r="A57" s="184"/>
      <c r="B57" s="184"/>
      <c r="C57" s="184"/>
      <c r="D57" s="184"/>
      <c r="E57" s="184"/>
      <c r="F57" s="184"/>
      <c r="G57" s="184"/>
      <c r="H57" s="183"/>
      <c r="K57" s="182">
        <v>56</v>
      </c>
      <c r="L57" s="182" t="str">
        <f t="shared" si="0"/>
        <v/>
      </c>
      <c r="M57" s="182" t="str">
        <f t="shared" si="1"/>
        <v/>
      </c>
      <c r="N57" s="182" t="str">
        <f t="shared" si="2"/>
        <v/>
      </c>
      <c r="O57" s="182" t="str">
        <f t="shared" si="3"/>
        <v/>
      </c>
      <c r="P57" s="182" t="str">
        <f t="shared" si="4"/>
        <v/>
      </c>
      <c r="Q57" s="182" t="str">
        <f t="shared" si="5"/>
        <v/>
      </c>
      <c r="R57" s="182" t="str">
        <f t="shared" si="6"/>
        <v/>
      </c>
      <c r="S57" s="182" t="str">
        <f t="shared" si="7"/>
        <v/>
      </c>
      <c r="T57" s="182" t="str">
        <f t="shared" si="8"/>
        <v/>
      </c>
      <c r="U57" s="182" t="str">
        <f t="shared" si="9"/>
        <v/>
      </c>
      <c r="V57" s="182" t="str">
        <f t="shared" si="10"/>
        <v/>
      </c>
      <c r="W57" s="182" t="str">
        <f t="shared" si="11"/>
        <v/>
      </c>
    </row>
    <row r="58" spans="1:23" x14ac:dyDescent="0.2">
      <c r="A58" s="184"/>
      <c r="B58" s="184"/>
      <c r="C58" s="184"/>
      <c r="D58" s="184"/>
      <c r="E58" s="184"/>
      <c r="F58" s="184"/>
      <c r="G58" s="184"/>
      <c r="H58" s="183"/>
      <c r="K58" s="182">
        <v>57</v>
      </c>
      <c r="L58" s="182" t="str">
        <f t="shared" si="0"/>
        <v/>
      </c>
      <c r="M58" s="182" t="str">
        <f t="shared" si="1"/>
        <v/>
      </c>
      <c r="N58" s="182" t="str">
        <f t="shared" si="2"/>
        <v/>
      </c>
      <c r="O58" s="182" t="str">
        <f t="shared" si="3"/>
        <v/>
      </c>
      <c r="P58" s="182" t="str">
        <f t="shared" si="4"/>
        <v/>
      </c>
      <c r="Q58" s="182" t="str">
        <f t="shared" si="5"/>
        <v/>
      </c>
      <c r="R58" s="182" t="str">
        <f t="shared" si="6"/>
        <v/>
      </c>
      <c r="S58" s="182" t="str">
        <f t="shared" si="7"/>
        <v/>
      </c>
      <c r="T58" s="182" t="str">
        <f t="shared" si="8"/>
        <v/>
      </c>
      <c r="U58" s="182" t="str">
        <f t="shared" si="9"/>
        <v/>
      </c>
      <c r="V58" s="182" t="str">
        <f t="shared" si="10"/>
        <v/>
      </c>
      <c r="W58" s="182" t="str">
        <f t="shared" si="11"/>
        <v/>
      </c>
    </row>
    <row r="59" spans="1:23" x14ac:dyDescent="0.2">
      <c r="A59" s="184"/>
      <c r="B59" s="184"/>
      <c r="C59" s="184"/>
      <c r="D59" s="184"/>
      <c r="E59" s="184"/>
      <c r="F59" s="184"/>
      <c r="G59" s="184"/>
      <c r="H59" s="183"/>
      <c r="K59" s="182">
        <v>58</v>
      </c>
      <c r="L59" s="182" t="str">
        <f t="shared" si="0"/>
        <v/>
      </c>
      <c r="M59" s="182" t="str">
        <f t="shared" si="1"/>
        <v/>
      </c>
      <c r="N59" s="182" t="str">
        <f t="shared" si="2"/>
        <v/>
      </c>
      <c r="O59" s="182" t="str">
        <f t="shared" si="3"/>
        <v/>
      </c>
      <c r="P59" s="182" t="str">
        <f t="shared" si="4"/>
        <v/>
      </c>
      <c r="Q59" s="182" t="str">
        <f t="shared" si="5"/>
        <v/>
      </c>
      <c r="R59" s="182" t="str">
        <f t="shared" si="6"/>
        <v/>
      </c>
      <c r="S59" s="182" t="str">
        <f t="shared" si="7"/>
        <v/>
      </c>
      <c r="T59" s="182" t="str">
        <f t="shared" si="8"/>
        <v/>
      </c>
      <c r="U59" s="182" t="str">
        <f t="shared" si="9"/>
        <v/>
      </c>
      <c r="V59" s="182" t="str">
        <f t="shared" si="10"/>
        <v/>
      </c>
      <c r="W59" s="182" t="str">
        <f t="shared" si="11"/>
        <v/>
      </c>
    </row>
    <row r="60" spans="1:23" x14ac:dyDescent="0.2">
      <c r="A60" s="181"/>
      <c r="B60" s="181"/>
      <c r="C60" s="181"/>
      <c r="D60" s="181"/>
      <c r="E60" s="181"/>
      <c r="F60" s="181"/>
      <c r="G60" s="181"/>
      <c r="K60" s="182">
        <v>59</v>
      </c>
      <c r="L60" s="182" t="str">
        <f t="shared" si="0"/>
        <v/>
      </c>
      <c r="M60" s="182" t="str">
        <f t="shared" si="1"/>
        <v/>
      </c>
      <c r="N60" s="182" t="str">
        <f t="shared" si="2"/>
        <v/>
      </c>
      <c r="O60" s="182" t="str">
        <f t="shared" si="3"/>
        <v/>
      </c>
      <c r="P60" s="182" t="str">
        <f t="shared" si="4"/>
        <v/>
      </c>
      <c r="Q60" s="182" t="str">
        <f t="shared" si="5"/>
        <v/>
      </c>
      <c r="R60" s="182" t="str">
        <f t="shared" si="6"/>
        <v/>
      </c>
      <c r="S60" s="182" t="str">
        <f t="shared" si="7"/>
        <v/>
      </c>
      <c r="T60" s="182" t="str">
        <f t="shared" si="8"/>
        <v/>
      </c>
      <c r="U60" s="182" t="str">
        <f t="shared" si="9"/>
        <v/>
      </c>
      <c r="V60" s="182" t="str">
        <f t="shared" si="10"/>
        <v/>
      </c>
      <c r="W60" s="182" t="str">
        <f t="shared" si="11"/>
        <v/>
      </c>
    </row>
    <row r="61" spans="1:23" x14ac:dyDescent="0.2">
      <c r="A61" s="181"/>
      <c r="B61" s="181"/>
      <c r="C61" s="181"/>
      <c r="D61" s="181"/>
      <c r="E61" s="181"/>
      <c r="F61" s="181"/>
      <c r="G61" s="181"/>
      <c r="K61" s="182">
        <v>60</v>
      </c>
      <c r="L61" s="182" t="str">
        <f t="shared" si="0"/>
        <v/>
      </c>
      <c r="M61" s="182" t="str">
        <f t="shared" si="1"/>
        <v/>
      </c>
      <c r="N61" s="182" t="str">
        <f t="shared" si="2"/>
        <v/>
      </c>
      <c r="O61" s="182" t="str">
        <f t="shared" si="3"/>
        <v/>
      </c>
      <c r="P61" s="182" t="str">
        <f t="shared" si="4"/>
        <v/>
      </c>
      <c r="Q61" s="182" t="str">
        <f t="shared" si="5"/>
        <v/>
      </c>
      <c r="R61" s="182" t="str">
        <f t="shared" si="6"/>
        <v/>
      </c>
      <c r="S61" s="182" t="str">
        <f t="shared" si="7"/>
        <v/>
      </c>
      <c r="T61" s="182" t="str">
        <f t="shared" si="8"/>
        <v/>
      </c>
      <c r="U61" s="182" t="str">
        <f t="shared" si="9"/>
        <v/>
      </c>
      <c r="V61" s="182" t="str">
        <f t="shared" si="10"/>
        <v/>
      </c>
      <c r="W61" s="182" t="str">
        <f t="shared" si="11"/>
        <v/>
      </c>
    </row>
    <row r="62" spans="1:23" x14ac:dyDescent="0.2">
      <c r="A62" s="181"/>
      <c r="B62" s="181"/>
      <c r="C62" s="181"/>
      <c r="D62" s="181"/>
      <c r="E62" s="181"/>
      <c r="F62" s="181"/>
      <c r="G62" s="181"/>
      <c r="K62" s="182">
        <v>61</v>
      </c>
      <c r="L62" s="182" t="str">
        <f t="shared" si="0"/>
        <v/>
      </c>
      <c r="M62" s="182" t="str">
        <f t="shared" si="1"/>
        <v/>
      </c>
      <c r="N62" s="182" t="str">
        <f t="shared" si="2"/>
        <v/>
      </c>
      <c r="O62" s="182" t="str">
        <f t="shared" si="3"/>
        <v/>
      </c>
      <c r="P62" s="182" t="str">
        <f t="shared" si="4"/>
        <v/>
      </c>
      <c r="Q62" s="182" t="str">
        <f t="shared" si="5"/>
        <v/>
      </c>
      <c r="R62" s="182" t="str">
        <f t="shared" si="6"/>
        <v/>
      </c>
      <c r="S62" s="182" t="str">
        <f t="shared" si="7"/>
        <v/>
      </c>
      <c r="T62" s="182" t="str">
        <f t="shared" si="8"/>
        <v/>
      </c>
      <c r="U62" s="182" t="str">
        <f t="shared" si="9"/>
        <v/>
      </c>
      <c r="V62" s="182" t="str">
        <f t="shared" si="10"/>
        <v/>
      </c>
      <c r="W62" s="182" t="str">
        <f t="shared" si="11"/>
        <v/>
      </c>
    </row>
    <row r="63" spans="1:23" x14ac:dyDescent="0.2">
      <c r="A63" s="181"/>
      <c r="B63" s="181"/>
      <c r="C63" s="181"/>
      <c r="D63" s="181"/>
      <c r="E63" s="181"/>
      <c r="F63" s="181"/>
      <c r="G63" s="181"/>
      <c r="K63" s="182">
        <v>62</v>
      </c>
      <c r="L63" s="182" t="str">
        <f t="shared" si="0"/>
        <v/>
      </c>
      <c r="M63" s="182" t="str">
        <f t="shared" si="1"/>
        <v/>
      </c>
      <c r="N63" s="182" t="str">
        <f t="shared" si="2"/>
        <v/>
      </c>
      <c r="O63" s="182" t="str">
        <f t="shared" si="3"/>
        <v/>
      </c>
      <c r="P63" s="182" t="str">
        <f t="shared" si="4"/>
        <v/>
      </c>
      <c r="Q63" s="182" t="str">
        <f t="shared" si="5"/>
        <v/>
      </c>
      <c r="R63" s="182" t="str">
        <f t="shared" si="6"/>
        <v/>
      </c>
      <c r="S63" s="182" t="str">
        <f t="shared" si="7"/>
        <v/>
      </c>
      <c r="T63" s="182" t="str">
        <f t="shared" si="8"/>
        <v/>
      </c>
      <c r="U63" s="182" t="str">
        <f t="shared" si="9"/>
        <v/>
      </c>
      <c r="V63" s="182" t="str">
        <f t="shared" si="10"/>
        <v/>
      </c>
      <c r="W63" s="182" t="str">
        <f t="shared" si="11"/>
        <v/>
      </c>
    </row>
    <row r="64" spans="1:23" x14ac:dyDescent="0.2">
      <c r="A64" s="181"/>
      <c r="B64" s="181"/>
      <c r="C64" s="181"/>
      <c r="D64" s="181"/>
      <c r="E64" s="181"/>
      <c r="F64" s="181"/>
      <c r="G64" s="181"/>
      <c r="K64" s="182">
        <v>63</v>
      </c>
      <c r="L64" s="182" t="str">
        <f t="shared" si="0"/>
        <v/>
      </c>
      <c r="M64" s="182" t="str">
        <f t="shared" si="1"/>
        <v/>
      </c>
      <c r="N64" s="182" t="str">
        <f t="shared" si="2"/>
        <v/>
      </c>
      <c r="O64" s="182" t="str">
        <f t="shared" si="3"/>
        <v/>
      </c>
      <c r="P64" s="182" t="str">
        <f t="shared" si="4"/>
        <v/>
      </c>
      <c r="Q64" s="182" t="str">
        <f t="shared" si="5"/>
        <v/>
      </c>
      <c r="R64" s="182" t="str">
        <f t="shared" si="6"/>
        <v/>
      </c>
      <c r="S64" s="182" t="str">
        <f t="shared" si="7"/>
        <v/>
      </c>
      <c r="T64" s="182" t="str">
        <f t="shared" si="8"/>
        <v/>
      </c>
      <c r="U64" s="182" t="str">
        <f t="shared" si="9"/>
        <v/>
      </c>
      <c r="V64" s="182" t="str">
        <f t="shared" si="10"/>
        <v/>
      </c>
      <c r="W64" s="182" t="str">
        <f t="shared" si="11"/>
        <v/>
      </c>
    </row>
    <row r="65" spans="1:23" x14ac:dyDescent="0.2">
      <c r="A65" s="181"/>
      <c r="B65" s="181"/>
      <c r="C65" s="181"/>
      <c r="D65" s="181"/>
      <c r="E65" s="181"/>
      <c r="F65" s="181"/>
      <c r="G65" s="181"/>
      <c r="K65" s="182">
        <v>64</v>
      </c>
      <c r="L65" s="182" t="str">
        <f t="shared" si="0"/>
        <v/>
      </c>
      <c r="M65" s="182" t="str">
        <f t="shared" si="1"/>
        <v/>
      </c>
      <c r="N65" s="182" t="str">
        <f t="shared" si="2"/>
        <v/>
      </c>
      <c r="O65" s="182" t="str">
        <f t="shared" si="3"/>
        <v/>
      </c>
      <c r="P65" s="182" t="str">
        <f t="shared" si="4"/>
        <v/>
      </c>
      <c r="Q65" s="182" t="str">
        <f t="shared" si="5"/>
        <v/>
      </c>
      <c r="R65" s="182" t="str">
        <f t="shared" si="6"/>
        <v/>
      </c>
      <c r="S65" s="182" t="str">
        <f t="shared" si="7"/>
        <v/>
      </c>
      <c r="T65" s="182" t="str">
        <f t="shared" si="8"/>
        <v/>
      </c>
      <c r="U65" s="182" t="str">
        <f t="shared" si="9"/>
        <v/>
      </c>
      <c r="V65" s="182" t="str">
        <f t="shared" si="10"/>
        <v/>
      </c>
      <c r="W65" s="182" t="str">
        <f t="shared" si="11"/>
        <v/>
      </c>
    </row>
    <row r="66" spans="1:23" x14ac:dyDescent="0.2">
      <c r="A66" s="181"/>
      <c r="B66" s="181"/>
      <c r="C66" s="181"/>
      <c r="D66" s="181"/>
      <c r="E66" s="181"/>
      <c r="F66" s="181"/>
      <c r="G66" s="181"/>
      <c r="K66" s="182">
        <v>65</v>
      </c>
      <c r="L66" s="182" t="str">
        <f t="shared" si="0"/>
        <v/>
      </c>
      <c r="M66" s="182" t="str">
        <f t="shared" si="1"/>
        <v/>
      </c>
      <c r="N66" s="182" t="str">
        <f t="shared" si="2"/>
        <v/>
      </c>
      <c r="O66" s="182" t="str">
        <f t="shared" si="3"/>
        <v/>
      </c>
      <c r="P66" s="182" t="str">
        <f t="shared" si="4"/>
        <v/>
      </c>
      <c r="Q66" s="182" t="str">
        <f t="shared" si="5"/>
        <v/>
      </c>
      <c r="R66" s="182" t="str">
        <f t="shared" si="6"/>
        <v/>
      </c>
      <c r="S66" s="182" t="str">
        <f t="shared" si="7"/>
        <v/>
      </c>
      <c r="T66" s="182" t="str">
        <f t="shared" si="8"/>
        <v/>
      </c>
      <c r="U66" s="182" t="str">
        <f t="shared" si="9"/>
        <v/>
      </c>
      <c r="V66" s="182" t="str">
        <f t="shared" si="10"/>
        <v/>
      </c>
      <c r="W66" s="182" t="str">
        <f t="shared" si="11"/>
        <v/>
      </c>
    </row>
    <row r="67" spans="1:23" x14ac:dyDescent="0.2">
      <c r="A67" s="181"/>
      <c r="B67" s="181"/>
      <c r="C67" s="181"/>
      <c r="D67" s="181"/>
      <c r="E67" s="181"/>
      <c r="F67" s="181"/>
      <c r="G67" s="181"/>
      <c r="K67" s="182">
        <v>66</v>
      </c>
      <c r="L67" s="182" t="str">
        <f t="shared" ref="L67:L130" si="12">IF($B$13&gt;=K67,K67,"")</f>
        <v/>
      </c>
      <c r="M67" s="182" t="str">
        <f t="shared" ref="M67:M130" si="13">IF(L67="","",IF(L67&lt;=$E$15,VLOOKUP($E$14,$I$1:$J$4,2,FALSE),VLOOKUP($F$14,$I$1:$J$4,2,FALSE)))</f>
        <v/>
      </c>
      <c r="N67" s="182" t="str">
        <f t="shared" ref="N67:N130" si="14">IF($B$20&gt;=K67,K67,"")</f>
        <v/>
      </c>
      <c r="O67" s="182" t="str">
        <f t="shared" ref="O67:O130" si="15">IF(N67="","",IF(N67&lt;=$E$22,VLOOKUP($E$21,$I$1:$J$4,2,FALSE),VLOOKUP($F$21,$I$1:$J$4,2,FALSE)))</f>
        <v/>
      </c>
      <c r="P67" s="182" t="str">
        <f t="shared" ref="P67:P130" si="16">IF($B$27&gt;=K67,K67,"")</f>
        <v/>
      </c>
      <c r="Q67" s="182" t="str">
        <f t="shared" ref="Q67:Q130" si="17">IF(P67="","",IF(P67&lt;=$E$29,VLOOKUP($E$28,$I$1:$J$4,2,FALSE),VLOOKUP($F$28,$I$1:$J$4,2,FALSE)))</f>
        <v/>
      </c>
      <c r="R67" s="182" t="str">
        <f t="shared" ref="R67:R130" si="18">IF($B$34&gt;=K67,K67,"")</f>
        <v/>
      </c>
      <c r="S67" s="182" t="str">
        <f t="shared" ref="S67:S130" si="19">IF(R67="","",IF(R67&lt;=$E$36,VLOOKUP($E$35,$I$1:$J$4,2,FALSE),VLOOKUP($F$35,$I$1:$J$4,2,FALSE)))</f>
        <v/>
      </c>
      <c r="T67" s="182" t="str">
        <f t="shared" ref="T67:T130" si="20">IF($B$41&gt;=K67,K67,"")</f>
        <v/>
      </c>
      <c r="U67" s="182" t="str">
        <f t="shared" ref="U67:U130" si="21">IF(T67="","",IF(T67&lt;=$E$43,VLOOKUP($E$42,$I$1:$J$4,2,FALSE),VLOOKUP($F$42,$I$1:$J$4,2,FALSE)))</f>
        <v/>
      </c>
      <c r="V67" s="182" t="str">
        <f t="shared" ref="V67:V130" si="22">IF($B$48&gt;=K67,K67,"")</f>
        <v/>
      </c>
      <c r="W67" s="182" t="str">
        <f t="shared" ref="W67:W130" si="23">IF(V67="","",IF(V67&lt;=$E$50,VLOOKUP($E$49,$I$1:$J$4,2,FALSE),VLOOKUP($F$49,$I$1:$J$4,2,FALSE)))</f>
        <v/>
      </c>
    </row>
    <row r="68" spans="1:23" x14ac:dyDescent="0.2">
      <c r="A68" s="181"/>
      <c r="B68" s="181"/>
      <c r="C68" s="181"/>
      <c r="D68" s="181"/>
      <c r="E68" s="181"/>
      <c r="F68" s="181"/>
      <c r="G68" s="181"/>
      <c r="K68" s="182">
        <v>67</v>
      </c>
      <c r="L68" s="182" t="str">
        <f t="shared" si="12"/>
        <v/>
      </c>
      <c r="M68" s="182" t="str">
        <f t="shared" si="13"/>
        <v/>
      </c>
      <c r="N68" s="182" t="str">
        <f t="shared" si="14"/>
        <v/>
      </c>
      <c r="O68" s="182" t="str">
        <f t="shared" si="15"/>
        <v/>
      </c>
      <c r="P68" s="182" t="str">
        <f t="shared" si="16"/>
        <v/>
      </c>
      <c r="Q68" s="182" t="str">
        <f t="shared" si="17"/>
        <v/>
      </c>
      <c r="R68" s="182" t="str">
        <f t="shared" si="18"/>
        <v/>
      </c>
      <c r="S68" s="182" t="str">
        <f t="shared" si="19"/>
        <v/>
      </c>
      <c r="T68" s="182" t="str">
        <f t="shared" si="20"/>
        <v/>
      </c>
      <c r="U68" s="182" t="str">
        <f t="shared" si="21"/>
        <v/>
      </c>
      <c r="V68" s="182" t="str">
        <f t="shared" si="22"/>
        <v/>
      </c>
      <c r="W68" s="182" t="str">
        <f t="shared" si="23"/>
        <v/>
      </c>
    </row>
    <row r="69" spans="1:23" x14ac:dyDescent="0.2">
      <c r="A69" s="181"/>
      <c r="B69" s="181"/>
      <c r="C69" s="181"/>
      <c r="D69" s="181"/>
      <c r="E69" s="181"/>
      <c r="F69" s="181"/>
      <c r="G69" s="181"/>
      <c r="K69" s="182">
        <v>68</v>
      </c>
      <c r="L69" s="182" t="str">
        <f t="shared" si="12"/>
        <v/>
      </c>
      <c r="M69" s="182" t="str">
        <f t="shared" si="13"/>
        <v/>
      </c>
      <c r="N69" s="182" t="str">
        <f t="shared" si="14"/>
        <v/>
      </c>
      <c r="O69" s="182" t="str">
        <f t="shared" si="15"/>
        <v/>
      </c>
      <c r="P69" s="182" t="str">
        <f t="shared" si="16"/>
        <v/>
      </c>
      <c r="Q69" s="182" t="str">
        <f t="shared" si="17"/>
        <v/>
      </c>
      <c r="R69" s="182" t="str">
        <f t="shared" si="18"/>
        <v/>
      </c>
      <c r="S69" s="182" t="str">
        <f t="shared" si="19"/>
        <v/>
      </c>
      <c r="T69" s="182" t="str">
        <f t="shared" si="20"/>
        <v/>
      </c>
      <c r="U69" s="182" t="str">
        <f t="shared" si="21"/>
        <v/>
      </c>
      <c r="V69" s="182" t="str">
        <f t="shared" si="22"/>
        <v/>
      </c>
      <c r="W69" s="182" t="str">
        <f t="shared" si="23"/>
        <v/>
      </c>
    </row>
    <row r="70" spans="1:23" x14ac:dyDescent="0.2">
      <c r="A70" s="181"/>
      <c r="B70" s="181"/>
      <c r="C70" s="181"/>
      <c r="D70" s="181"/>
      <c r="E70" s="181"/>
      <c r="F70" s="181"/>
      <c r="G70" s="181"/>
      <c r="K70" s="182">
        <v>69</v>
      </c>
      <c r="L70" s="182" t="str">
        <f t="shared" si="12"/>
        <v/>
      </c>
      <c r="M70" s="182" t="str">
        <f t="shared" si="13"/>
        <v/>
      </c>
      <c r="N70" s="182" t="str">
        <f t="shared" si="14"/>
        <v/>
      </c>
      <c r="O70" s="182" t="str">
        <f t="shared" si="15"/>
        <v/>
      </c>
      <c r="P70" s="182" t="str">
        <f t="shared" si="16"/>
        <v/>
      </c>
      <c r="Q70" s="182" t="str">
        <f t="shared" si="17"/>
        <v/>
      </c>
      <c r="R70" s="182" t="str">
        <f t="shared" si="18"/>
        <v/>
      </c>
      <c r="S70" s="182" t="str">
        <f t="shared" si="19"/>
        <v/>
      </c>
      <c r="T70" s="182" t="str">
        <f t="shared" si="20"/>
        <v/>
      </c>
      <c r="U70" s="182" t="str">
        <f t="shared" si="21"/>
        <v/>
      </c>
      <c r="V70" s="182" t="str">
        <f t="shared" si="22"/>
        <v/>
      </c>
      <c r="W70" s="182" t="str">
        <f t="shared" si="23"/>
        <v/>
      </c>
    </row>
    <row r="71" spans="1:23" x14ac:dyDescent="0.2">
      <c r="A71" s="181"/>
      <c r="B71" s="181"/>
      <c r="C71" s="181"/>
      <c r="D71" s="181"/>
      <c r="E71" s="181"/>
      <c r="F71" s="181"/>
      <c r="G71" s="181"/>
      <c r="K71" s="182">
        <v>70</v>
      </c>
      <c r="L71" s="182" t="str">
        <f t="shared" si="12"/>
        <v/>
      </c>
      <c r="M71" s="182" t="str">
        <f t="shared" si="13"/>
        <v/>
      </c>
      <c r="N71" s="182" t="str">
        <f t="shared" si="14"/>
        <v/>
      </c>
      <c r="O71" s="182" t="str">
        <f t="shared" si="15"/>
        <v/>
      </c>
      <c r="P71" s="182" t="str">
        <f t="shared" si="16"/>
        <v/>
      </c>
      <c r="Q71" s="182" t="str">
        <f t="shared" si="17"/>
        <v/>
      </c>
      <c r="R71" s="182" t="str">
        <f t="shared" si="18"/>
        <v/>
      </c>
      <c r="S71" s="182" t="str">
        <f t="shared" si="19"/>
        <v/>
      </c>
      <c r="T71" s="182" t="str">
        <f t="shared" si="20"/>
        <v/>
      </c>
      <c r="U71" s="182" t="str">
        <f t="shared" si="21"/>
        <v/>
      </c>
      <c r="V71" s="182" t="str">
        <f t="shared" si="22"/>
        <v/>
      </c>
      <c r="W71" s="182" t="str">
        <f t="shared" si="23"/>
        <v/>
      </c>
    </row>
    <row r="72" spans="1:23" x14ac:dyDescent="0.2">
      <c r="A72" s="181"/>
      <c r="B72" s="181"/>
      <c r="C72" s="181"/>
      <c r="D72" s="181"/>
      <c r="E72" s="181"/>
      <c r="F72" s="181"/>
      <c r="G72" s="181"/>
      <c r="K72" s="182">
        <v>71</v>
      </c>
      <c r="L72" s="182" t="str">
        <f t="shared" si="12"/>
        <v/>
      </c>
      <c r="M72" s="182" t="str">
        <f t="shared" si="13"/>
        <v/>
      </c>
      <c r="N72" s="182" t="str">
        <f t="shared" si="14"/>
        <v/>
      </c>
      <c r="O72" s="182" t="str">
        <f t="shared" si="15"/>
        <v/>
      </c>
      <c r="P72" s="182" t="str">
        <f t="shared" si="16"/>
        <v/>
      </c>
      <c r="Q72" s="182" t="str">
        <f t="shared" si="17"/>
        <v/>
      </c>
      <c r="R72" s="182" t="str">
        <f t="shared" si="18"/>
        <v/>
      </c>
      <c r="S72" s="182" t="str">
        <f t="shared" si="19"/>
        <v/>
      </c>
      <c r="T72" s="182" t="str">
        <f t="shared" si="20"/>
        <v/>
      </c>
      <c r="U72" s="182" t="str">
        <f t="shared" si="21"/>
        <v/>
      </c>
      <c r="V72" s="182" t="str">
        <f t="shared" si="22"/>
        <v/>
      </c>
      <c r="W72" s="182" t="str">
        <f t="shared" si="23"/>
        <v/>
      </c>
    </row>
    <row r="73" spans="1:23" x14ac:dyDescent="0.2">
      <c r="A73" s="181"/>
      <c r="B73" s="181"/>
      <c r="C73" s="181"/>
      <c r="D73" s="181"/>
      <c r="E73" s="181"/>
      <c r="F73" s="181"/>
      <c r="G73" s="181"/>
      <c r="K73" s="182">
        <v>72</v>
      </c>
      <c r="L73" s="182" t="str">
        <f t="shared" si="12"/>
        <v/>
      </c>
      <c r="M73" s="182" t="str">
        <f t="shared" si="13"/>
        <v/>
      </c>
      <c r="N73" s="182" t="str">
        <f t="shared" si="14"/>
        <v/>
      </c>
      <c r="O73" s="182" t="str">
        <f t="shared" si="15"/>
        <v/>
      </c>
      <c r="P73" s="182" t="str">
        <f t="shared" si="16"/>
        <v/>
      </c>
      <c r="Q73" s="182" t="str">
        <f t="shared" si="17"/>
        <v/>
      </c>
      <c r="R73" s="182" t="str">
        <f t="shared" si="18"/>
        <v/>
      </c>
      <c r="S73" s="182" t="str">
        <f t="shared" si="19"/>
        <v/>
      </c>
      <c r="T73" s="182" t="str">
        <f t="shared" si="20"/>
        <v/>
      </c>
      <c r="U73" s="182" t="str">
        <f t="shared" si="21"/>
        <v/>
      </c>
      <c r="V73" s="182" t="str">
        <f t="shared" si="22"/>
        <v/>
      </c>
      <c r="W73" s="182" t="str">
        <f t="shared" si="23"/>
        <v/>
      </c>
    </row>
    <row r="74" spans="1:23" x14ac:dyDescent="0.2">
      <c r="A74" s="181"/>
      <c r="B74" s="181"/>
      <c r="C74" s="181"/>
      <c r="D74" s="181"/>
      <c r="E74" s="181"/>
      <c r="F74" s="181"/>
      <c r="G74" s="181"/>
      <c r="K74" s="182">
        <v>73</v>
      </c>
      <c r="L74" s="182" t="str">
        <f t="shared" si="12"/>
        <v/>
      </c>
      <c r="M74" s="182" t="str">
        <f t="shared" si="13"/>
        <v/>
      </c>
      <c r="N74" s="182" t="str">
        <f t="shared" si="14"/>
        <v/>
      </c>
      <c r="O74" s="182" t="str">
        <f t="shared" si="15"/>
        <v/>
      </c>
      <c r="P74" s="182" t="str">
        <f t="shared" si="16"/>
        <v/>
      </c>
      <c r="Q74" s="182" t="str">
        <f t="shared" si="17"/>
        <v/>
      </c>
      <c r="R74" s="182" t="str">
        <f t="shared" si="18"/>
        <v/>
      </c>
      <c r="S74" s="182" t="str">
        <f t="shared" si="19"/>
        <v/>
      </c>
      <c r="T74" s="182" t="str">
        <f t="shared" si="20"/>
        <v/>
      </c>
      <c r="U74" s="182" t="str">
        <f t="shared" si="21"/>
        <v/>
      </c>
      <c r="V74" s="182" t="str">
        <f t="shared" si="22"/>
        <v/>
      </c>
      <c r="W74" s="182" t="str">
        <f t="shared" si="23"/>
        <v/>
      </c>
    </row>
    <row r="75" spans="1:23" x14ac:dyDescent="0.2">
      <c r="A75" s="181"/>
      <c r="B75" s="181"/>
      <c r="C75" s="181"/>
      <c r="D75" s="181"/>
      <c r="E75" s="181"/>
      <c r="F75" s="181"/>
      <c r="G75" s="181"/>
      <c r="K75" s="182">
        <v>74</v>
      </c>
      <c r="L75" s="182" t="str">
        <f t="shared" si="12"/>
        <v/>
      </c>
      <c r="M75" s="182" t="str">
        <f t="shared" si="13"/>
        <v/>
      </c>
      <c r="N75" s="182" t="str">
        <f t="shared" si="14"/>
        <v/>
      </c>
      <c r="O75" s="182" t="str">
        <f t="shared" si="15"/>
        <v/>
      </c>
      <c r="P75" s="182" t="str">
        <f t="shared" si="16"/>
        <v/>
      </c>
      <c r="Q75" s="182" t="str">
        <f t="shared" si="17"/>
        <v/>
      </c>
      <c r="R75" s="182" t="str">
        <f t="shared" si="18"/>
        <v/>
      </c>
      <c r="S75" s="182" t="str">
        <f t="shared" si="19"/>
        <v/>
      </c>
      <c r="T75" s="182" t="str">
        <f t="shared" si="20"/>
        <v/>
      </c>
      <c r="U75" s="182" t="str">
        <f t="shared" si="21"/>
        <v/>
      </c>
      <c r="V75" s="182" t="str">
        <f t="shared" si="22"/>
        <v/>
      </c>
      <c r="W75" s="182" t="str">
        <f t="shared" si="23"/>
        <v/>
      </c>
    </row>
    <row r="76" spans="1:23" x14ac:dyDescent="0.2">
      <c r="A76" s="181"/>
      <c r="B76" s="181"/>
      <c r="C76" s="181"/>
      <c r="D76" s="181"/>
      <c r="E76" s="181"/>
      <c r="F76" s="181"/>
      <c r="G76" s="181"/>
      <c r="K76" s="182">
        <v>75</v>
      </c>
      <c r="L76" s="182" t="str">
        <f t="shared" si="12"/>
        <v/>
      </c>
      <c r="M76" s="182" t="str">
        <f t="shared" si="13"/>
        <v/>
      </c>
      <c r="N76" s="182" t="str">
        <f t="shared" si="14"/>
        <v/>
      </c>
      <c r="O76" s="182" t="str">
        <f t="shared" si="15"/>
        <v/>
      </c>
      <c r="P76" s="182" t="str">
        <f t="shared" si="16"/>
        <v/>
      </c>
      <c r="Q76" s="182" t="str">
        <f t="shared" si="17"/>
        <v/>
      </c>
      <c r="R76" s="182" t="str">
        <f t="shared" si="18"/>
        <v/>
      </c>
      <c r="S76" s="182" t="str">
        <f t="shared" si="19"/>
        <v/>
      </c>
      <c r="T76" s="182" t="str">
        <f t="shared" si="20"/>
        <v/>
      </c>
      <c r="U76" s="182" t="str">
        <f t="shared" si="21"/>
        <v/>
      </c>
      <c r="V76" s="182" t="str">
        <f t="shared" si="22"/>
        <v/>
      </c>
      <c r="W76" s="182" t="str">
        <f t="shared" si="23"/>
        <v/>
      </c>
    </row>
    <row r="77" spans="1:23" x14ac:dyDescent="0.2">
      <c r="A77" s="181"/>
      <c r="B77" s="181"/>
      <c r="C77" s="181"/>
      <c r="D77" s="181"/>
      <c r="E77" s="181"/>
      <c r="F77" s="181"/>
      <c r="G77" s="181"/>
      <c r="K77" s="182">
        <v>76</v>
      </c>
      <c r="L77" s="182" t="str">
        <f t="shared" si="12"/>
        <v/>
      </c>
      <c r="M77" s="182" t="str">
        <f t="shared" si="13"/>
        <v/>
      </c>
      <c r="N77" s="182" t="str">
        <f t="shared" si="14"/>
        <v/>
      </c>
      <c r="O77" s="182" t="str">
        <f t="shared" si="15"/>
        <v/>
      </c>
      <c r="P77" s="182" t="str">
        <f t="shared" si="16"/>
        <v/>
      </c>
      <c r="Q77" s="182" t="str">
        <f t="shared" si="17"/>
        <v/>
      </c>
      <c r="R77" s="182" t="str">
        <f t="shared" si="18"/>
        <v/>
      </c>
      <c r="S77" s="182" t="str">
        <f t="shared" si="19"/>
        <v/>
      </c>
      <c r="T77" s="182" t="str">
        <f t="shared" si="20"/>
        <v/>
      </c>
      <c r="U77" s="182" t="str">
        <f t="shared" si="21"/>
        <v/>
      </c>
      <c r="V77" s="182" t="str">
        <f t="shared" si="22"/>
        <v/>
      </c>
      <c r="W77" s="182" t="str">
        <f t="shared" si="23"/>
        <v/>
      </c>
    </row>
    <row r="78" spans="1:23" x14ac:dyDescent="0.2">
      <c r="A78" s="181"/>
      <c r="B78" s="181"/>
      <c r="C78" s="181"/>
      <c r="D78" s="181"/>
      <c r="E78" s="181"/>
      <c r="F78" s="181"/>
      <c r="G78" s="181"/>
      <c r="K78" s="182">
        <v>77</v>
      </c>
      <c r="L78" s="182" t="str">
        <f t="shared" si="12"/>
        <v/>
      </c>
      <c r="M78" s="182" t="str">
        <f t="shared" si="13"/>
        <v/>
      </c>
      <c r="N78" s="182" t="str">
        <f t="shared" si="14"/>
        <v/>
      </c>
      <c r="O78" s="182" t="str">
        <f t="shared" si="15"/>
        <v/>
      </c>
      <c r="P78" s="182" t="str">
        <f t="shared" si="16"/>
        <v/>
      </c>
      <c r="Q78" s="182" t="str">
        <f t="shared" si="17"/>
        <v/>
      </c>
      <c r="R78" s="182" t="str">
        <f t="shared" si="18"/>
        <v/>
      </c>
      <c r="S78" s="182" t="str">
        <f t="shared" si="19"/>
        <v/>
      </c>
      <c r="T78" s="182" t="str">
        <f t="shared" si="20"/>
        <v/>
      </c>
      <c r="U78" s="182" t="str">
        <f t="shared" si="21"/>
        <v/>
      </c>
      <c r="V78" s="182" t="str">
        <f t="shared" si="22"/>
        <v/>
      </c>
      <c r="W78" s="182" t="str">
        <f t="shared" si="23"/>
        <v/>
      </c>
    </row>
    <row r="79" spans="1:23" x14ac:dyDescent="0.2">
      <c r="A79" s="181"/>
      <c r="B79" s="181"/>
      <c r="C79" s="181"/>
      <c r="D79" s="181"/>
      <c r="E79" s="181"/>
      <c r="F79" s="181"/>
      <c r="G79" s="181"/>
      <c r="K79" s="182">
        <v>78</v>
      </c>
      <c r="L79" s="182" t="str">
        <f t="shared" si="12"/>
        <v/>
      </c>
      <c r="M79" s="182" t="str">
        <f t="shared" si="13"/>
        <v/>
      </c>
      <c r="N79" s="182" t="str">
        <f t="shared" si="14"/>
        <v/>
      </c>
      <c r="O79" s="182" t="str">
        <f t="shared" si="15"/>
        <v/>
      </c>
      <c r="P79" s="182" t="str">
        <f t="shared" si="16"/>
        <v/>
      </c>
      <c r="Q79" s="182" t="str">
        <f t="shared" si="17"/>
        <v/>
      </c>
      <c r="R79" s="182" t="str">
        <f t="shared" si="18"/>
        <v/>
      </c>
      <c r="S79" s="182" t="str">
        <f t="shared" si="19"/>
        <v/>
      </c>
      <c r="T79" s="182" t="str">
        <f t="shared" si="20"/>
        <v/>
      </c>
      <c r="U79" s="182" t="str">
        <f t="shared" si="21"/>
        <v/>
      </c>
      <c r="V79" s="182" t="str">
        <f t="shared" si="22"/>
        <v/>
      </c>
      <c r="W79" s="182" t="str">
        <f t="shared" si="23"/>
        <v/>
      </c>
    </row>
    <row r="80" spans="1:23" x14ac:dyDescent="0.2">
      <c r="A80" s="181"/>
      <c r="B80" s="181"/>
      <c r="C80" s="181"/>
      <c r="D80" s="181"/>
      <c r="E80" s="181"/>
      <c r="F80" s="181"/>
      <c r="G80" s="181"/>
      <c r="K80" s="182">
        <v>79</v>
      </c>
      <c r="L80" s="182" t="str">
        <f t="shared" si="12"/>
        <v/>
      </c>
      <c r="M80" s="182" t="str">
        <f t="shared" si="13"/>
        <v/>
      </c>
      <c r="N80" s="182" t="str">
        <f t="shared" si="14"/>
        <v/>
      </c>
      <c r="O80" s="182" t="str">
        <f t="shared" si="15"/>
        <v/>
      </c>
      <c r="P80" s="182" t="str">
        <f t="shared" si="16"/>
        <v/>
      </c>
      <c r="Q80" s="182" t="str">
        <f t="shared" si="17"/>
        <v/>
      </c>
      <c r="R80" s="182" t="str">
        <f t="shared" si="18"/>
        <v/>
      </c>
      <c r="S80" s="182" t="str">
        <f t="shared" si="19"/>
        <v/>
      </c>
      <c r="T80" s="182" t="str">
        <f t="shared" si="20"/>
        <v/>
      </c>
      <c r="U80" s="182" t="str">
        <f t="shared" si="21"/>
        <v/>
      </c>
      <c r="V80" s="182" t="str">
        <f t="shared" si="22"/>
        <v/>
      </c>
      <c r="W80" s="182" t="str">
        <f t="shared" si="23"/>
        <v/>
      </c>
    </row>
    <row r="81" spans="1:23" x14ac:dyDescent="0.2">
      <c r="A81" s="181"/>
      <c r="B81" s="181"/>
      <c r="C81" s="181"/>
      <c r="D81" s="181"/>
      <c r="E81" s="181"/>
      <c r="F81" s="181"/>
      <c r="G81" s="181"/>
      <c r="K81" s="182">
        <v>80</v>
      </c>
      <c r="L81" s="182" t="str">
        <f t="shared" si="12"/>
        <v/>
      </c>
      <c r="M81" s="182" t="str">
        <f t="shared" si="13"/>
        <v/>
      </c>
      <c r="N81" s="182" t="str">
        <f t="shared" si="14"/>
        <v/>
      </c>
      <c r="O81" s="182" t="str">
        <f t="shared" si="15"/>
        <v/>
      </c>
      <c r="P81" s="182" t="str">
        <f t="shared" si="16"/>
        <v/>
      </c>
      <c r="Q81" s="182" t="str">
        <f t="shared" si="17"/>
        <v/>
      </c>
      <c r="R81" s="182" t="str">
        <f t="shared" si="18"/>
        <v/>
      </c>
      <c r="S81" s="182" t="str">
        <f t="shared" si="19"/>
        <v/>
      </c>
      <c r="T81" s="182" t="str">
        <f t="shared" si="20"/>
        <v/>
      </c>
      <c r="U81" s="182" t="str">
        <f t="shared" si="21"/>
        <v/>
      </c>
      <c r="V81" s="182" t="str">
        <f t="shared" si="22"/>
        <v/>
      </c>
      <c r="W81" s="182" t="str">
        <f t="shared" si="23"/>
        <v/>
      </c>
    </row>
    <row r="82" spans="1:23" x14ac:dyDescent="0.2">
      <c r="A82" s="181"/>
      <c r="B82" s="181"/>
      <c r="C82" s="181"/>
      <c r="D82" s="181"/>
      <c r="E82" s="181"/>
      <c r="F82" s="181"/>
      <c r="G82" s="181"/>
      <c r="K82" s="182">
        <v>81</v>
      </c>
      <c r="L82" s="182" t="str">
        <f t="shared" si="12"/>
        <v/>
      </c>
      <c r="M82" s="182" t="str">
        <f t="shared" si="13"/>
        <v/>
      </c>
      <c r="N82" s="182" t="str">
        <f t="shared" si="14"/>
        <v/>
      </c>
      <c r="O82" s="182" t="str">
        <f t="shared" si="15"/>
        <v/>
      </c>
      <c r="P82" s="182" t="str">
        <f t="shared" si="16"/>
        <v/>
      </c>
      <c r="Q82" s="182" t="str">
        <f t="shared" si="17"/>
        <v/>
      </c>
      <c r="R82" s="182" t="str">
        <f t="shared" si="18"/>
        <v/>
      </c>
      <c r="S82" s="182" t="str">
        <f t="shared" si="19"/>
        <v/>
      </c>
      <c r="T82" s="182" t="str">
        <f t="shared" si="20"/>
        <v/>
      </c>
      <c r="U82" s="182" t="str">
        <f t="shared" si="21"/>
        <v/>
      </c>
      <c r="V82" s="182" t="str">
        <f t="shared" si="22"/>
        <v/>
      </c>
      <c r="W82" s="182" t="str">
        <f t="shared" si="23"/>
        <v/>
      </c>
    </row>
    <row r="83" spans="1:23" x14ac:dyDescent="0.2">
      <c r="A83" s="181"/>
      <c r="B83" s="181"/>
      <c r="C83" s="181"/>
      <c r="D83" s="181"/>
      <c r="E83" s="181"/>
      <c r="F83" s="181"/>
      <c r="G83" s="181"/>
      <c r="K83" s="182">
        <v>82</v>
      </c>
      <c r="L83" s="182" t="str">
        <f t="shared" si="12"/>
        <v/>
      </c>
      <c r="M83" s="182" t="str">
        <f t="shared" si="13"/>
        <v/>
      </c>
      <c r="N83" s="182" t="str">
        <f t="shared" si="14"/>
        <v/>
      </c>
      <c r="O83" s="182" t="str">
        <f t="shared" si="15"/>
        <v/>
      </c>
      <c r="P83" s="182" t="str">
        <f t="shared" si="16"/>
        <v/>
      </c>
      <c r="Q83" s="182" t="str">
        <f t="shared" si="17"/>
        <v/>
      </c>
      <c r="R83" s="182" t="str">
        <f t="shared" si="18"/>
        <v/>
      </c>
      <c r="S83" s="182" t="str">
        <f t="shared" si="19"/>
        <v/>
      </c>
      <c r="T83" s="182" t="str">
        <f t="shared" si="20"/>
        <v/>
      </c>
      <c r="U83" s="182" t="str">
        <f t="shared" si="21"/>
        <v/>
      </c>
      <c r="V83" s="182" t="str">
        <f t="shared" si="22"/>
        <v/>
      </c>
      <c r="W83" s="182" t="str">
        <f t="shared" si="23"/>
        <v/>
      </c>
    </row>
    <row r="84" spans="1:23" x14ac:dyDescent="0.2">
      <c r="A84" s="181"/>
      <c r="B84" s="181"/>
      <c r="C84" s="181"/>
      <c r="D84" s="181"/>
      <c r="E84" s="181"/>
      <c r="F84" s="181"/>
      <c r="G84" s="181"/>
      <c r="K84" s="182">
        <v>83</v>
      </c>
      <c r="L84" s="182" t="str">
        <f t="shared" si="12"/>
        <v/>
      </c>
      <c r="M84" s="182" t="str">
        <f t="shared" si="13"/>
        <v/>
      </c>
      <c r="N84" s="182" t="str">
        <f t="shared" si="14"/>
        <v/>
      </c>
      <c r="O84" s="182" t="str">
        <f t="shared" si="15"/>
        <v/>
      </c>
      <c r="P84" s="182" t="str">
        <f t="shared" si="16"/>
        <v/>
      </c>
      <c r="Q84" s="182" t="str">
        <f t="shared" si="17"/>
        <v/>
      </c>
      <c r="R84" s="182" t="str">
        <f t="shared" si="18"/>
        <v/>
      </c>
      <c r="S84" s="182" t="str">
        <f t="shared" si="19"/>
        <v/>
      </c>
      <c r="T84" s="182" t="str">
        <f t="shared" si="20"/>
        <v/>
      </c>
      <c r="U84" s="182" t="str">
        <f t="shared" si="21"/>
        <v/>
      </c>
      <c r="V84" s="182" t="str">
        <f t="shared" si="22"/>
        <v/>
      </c>
      <c r="W84" s="182" t="str">
        <f t="shared" si="23"/>
        <v/>
      </c>
    </row>
    <row r="85" spans="1:23" x14ac:dyDescent="0.2">
      <c r="A85" s="181"/>
      <c r="B85" s="181"/>
      <c r="C85" s="181"/>
      <c r="D85" s="181"/>
      <c r="E85" s="181"/>
      <c r="F85" s="181"/>
      <c r="G85" s="181"/>
      <c r="K85" s="182">
        <v>84</v>
      </c>
      <c r="L85" s="182" t="str">
        <f t="shared" si="12"/>
        <v/>
      </c>
      <c r="M85" s="182" t="str">
        <f t="shared" si="13"/>
        <v/>
      </c>
      <c r="N85" s="182" t="str">
        <f t="shared" si="14"/>
        <v/>
      </c>
      <c r="O85" s="182" t="str">
        <f t="shared" si="15"/>
        <v/>
      </c>
      <c r="P85" s="182" t="str">
        <f t="shared" si="16"/>
        <v/>
      </c>
      <c r="Q85" s="182" t="str">
        <f t="shared" si="17"/>
        <v/>
      </c>
      <c r="R85" s="182" t="str">
        <f t="shared" si="18"/>
        <v/>
      </c>
      <c r="S85" s="182" t="str">
        <f t="shared" si="19"/>
        <v/>
      </c>
      <c r="T85" s="182" t="str">
        <f t="shared" si="20"/>
        <v/>
      </c>
      <c r="U85" s="182" t="str">
        <f t="shared" si="21"/>
        <v/>
      </c>
      <c r="V85" s="182" t="str">
        <f t="shared" si="22"/>
        <v/>
      </c>
      <c r="W85" s="182" t="str">
        <f t="shared" si="23"/>
        <v/>
      </c>
    </row>
    <row r="86" spans="1:23" x14ac:dyDescent="0.2">
      <c r="A86" s="181"/>
      <c r="B86" s="181"/>
      <c r="C86" s="181"/>
      <c r="D86" s="181"/>
      <c r="E86" s="181"/>
      <c r="F86" s="181"/>
      <c r="G86" s="181"/>
      <c r="K86" s="182">
        <v>85</v>
      </c>
      <c r="L86" s="182" t="str">
        <f t="shared" si="12"/>
        <v/>
      </c>
      <c r="M86" s="182" t="str">
        <f t="shared" si="13"/>
        <v/>
      </c>
      <c r="N86" s="182" t="str">
        <f t="shared" si="14"/>
        <v/>
      </c>
      <c r="O86" s="182" t="str">
        <f t="shared" si="15"/>
        <v/>
      </c>
      <c r="P86" s="182" t="str">
        <f t="shared" si="16"/>
        <v/>
      </c>
      <c r="Q86" s="182" t="str">
        <f t="shared" si="17"/>
        <v/>
      </c>
      <c r="R86" s="182" t="str">
        <f t="shared" si="18"/>
        <v/>
      </c>
      <c r="S86" s="182" t="str">
        <f t="shared" si="19"/>
        <v/>
      </c>
      <c r="T86" s="182" t="str">
        <f t="shared" si="20"/>
        <v/>
      </c>
      <c r="U86" s="182" t="str">
        <f t="shared" si="21"/>
        <v/>
      </c>
      <c r="V86" s="182" t="str">
        <f t="shared" si="22"/>
        <v/>
      </c>
      <c r="W86" s="182" t="str">
        <f t="shared" si="23"/>
        <v/>
      </c>
    </row>
    <row r="87" spans="1:23" x14ac:dyDescent="0.2">
      <c r="A87" s="181"/>
      <c r="B87" s="181"/>
      <c r="C87" s="181"/>
      <c r="D87" s="181"/>
      <c r="E87" s="181"/>
      <c r="F87" s="181"/>
      <c r="G87" s="181"/>
      <c r="K87" s="182">
        <v>86</v>
      </c>
      <c r="L87" s="182" t="str">
        <f t="shared" si="12"/>
        <v/>
      </c>
      <c r="M87" s="182" t="str">
        <f t="shared" si="13"/>
        <v/>
      </c>
      <c r="N87" s="182" t="str">
        <f t="shared" si="14"/>
        <v/>
      </c>
      <c r="O87" s="182" t="str">
        <f t="shared" si="15"/>
        <v/>
      </c>
      <c r="P87" s="182" t="str">
        <f t="shared" si="16"/>
        <v/>
      </c>
      <c r="Q87" s="182" t="str">
        <f t="shared" si="17"/>
        <v/>
      </c>
      <c r="R87" s="182" t="str">
        <f t="shared" si="18"/>
        <v/>
      </c>
      <c r="S87" s="182" t="str">
        <f t="shared" si="19"/>
        <v/>
      </c>
      <c r="T87" s="182" t="str">
        <f t="shared" si="20"/>
        <v/>
      </c>
      <c r="U87" s="182" t="str">
        <f t="shared" si="21"/>
        <v/>
      </c>
      <c r="V87" s="182" t="str">
        <f t="shared" si="22"/>
        <v/>
      </c>
      <c r="W87" s="182" t="str">
        <f t="shared" si="23"/>
        <v/>
      </c>
    </row>
    <row r="88" spans="1:23" x14ac:dyDescent="0.2">
      <c r="A88" s="181"/>
      <c r="B88" s="181"/>
      <c r="C88" s="181"/>
      <c r="D88" s="181"/>
      <c r="E88" s="181"/>
      <c r="F88" s="181"/>
      <c r="G88" s="181"/>
      <c r="K88" s="182">
        <v>87</v>
      </c>
      <c r="L88" s="182" t="str">
        <f t="shared" si="12"/>
        <v/>
      </c>
      <c r="M88" s="182" t="str">
        <f t="shared" si="13"/>
        <v/>
      </c>
      <c r="N88" s="182" t="str">
        <f t="shared" si="14"/>
        <v/>
      </c>
      <c r="O88" s="182" t="str">
        <f t="shared" si="15"/>
        <v/>
      </c>
      <c r="P88" s="182" t="str">
        <f t="shared" si="16"/>
        <v/>
      </c>
      <c r="Q88" s="182" t="str">
        <f t="shared" si="17"/>
        <v/>
      </c>
      <c r="R88" s="182" t="str">
        <f t="shared" si="18"/>
        <v/>
      </c>
      <c r="S88" s="182" t="str">
        <f t="shared" si="19"/>
        <v/>
      </c>
      <c r="T88" s="182" t="str">
        <f t="shared" si="20"/>
        <v/>
      </c>
      <c r="U88" s="182" t="str">
        <f t="shared" si="21"/>
        <v/>
      </c>
      <c r="V88" s="182" t="str">
        <f t="shared" si="22"/>
        <v/>
      </c>
      <c r="W88" s="182" t="str">
        <f t="shared" si="23"/>
        <v/>
      </c>
    </row>
    <row r="89" spans="1:23" x14ac:dyDescent="0.2">
      <c r="A89" s="181"/>
      <c r="B89" s="181"/>
      <c r="C89" s="181"/>
      <c r="D89" s="181"/>
      <c r="E89" s="181"/>
      <c r="F89" s="181"/>
      <c r="G89" s="181"/>
      <c r="K89" s="182">
        <v>88</v>
      </c>
      <c r="L89" s="182" t="str">
        <f t="shared" si="12"/>
        <v/>
      </c>
      <c r="M89" s="182" t="str">
        <f t="shared" si="13"/>
        <v/>
      </c>
      <c r="N89" s="182" t="str">
        <f t="shared" si="14"/>
        <v/>
      </c>
      <c r="O89" s="182" t="str">
        <f t="shared" si="15"/>
        <v/>
      </c>
      <c r="P89" s="182" t="str">
        <f t="shared" si="16"/>
        <v/>
      </c>
      <c r="Q89" s="182" t="str">
        <f t="shared" si="17"/>
        <v/>
      </c>
      <c r="R89" s="182" t="str">
        <f t="shared" si="18"/>
        <v/>
      </c>
      <c r="S89" s="182" t="str">
        <f t="shared" si="19"/>
        <v/>
      </c>
      <c r="T89" s="182" t="str">
        <f t="shared" si="20"/>
        <v/>
      </c>
      <c r="U89" s="182" t="str">
        <f t="shared" si="21"/>
        <v/>
      </c>
      <c r="V89" s="182" t="str">
        <f t="shared" si="22"/>
        <v/>
      </c>
      <c r="W89" s="182" t="str">
        <f t="shared" si="23"/>
        <v/>
      </c>
    </row>
    <row r="90" spans="1:23" x14ac:dyDescent="0.2">
      <c r="A90" s="181"/>
      <c r="B90" s="181"/>
      <c r="C90" s="181"/>
      <c r="D90" s="181"/>
      <c r="E90" s="181"/>
      <c r="F90" s="181"/>
      <c r="G90" s="181"/>
      <c r="K90" s="182">
        <v>89</v>
      </c>
      <c r="L90" s="182" t="str">
        <f t="shared" si="12"/>
        <v/>
      </c>
      <c r="M90" s="182" t="str">
        <f t="shared" si="13"/>
        <v/>
      </c>
      <c r="N90" s="182" t="str">
        <f t="shared" si="14"/>
        <v/>
      </c>
      <c r="O90" s="182" t="str">
        <f t="shared" si="15"/>
        <v/>
      </c>
      <c r="P90" s="182" t="str">
        <f t="shared" si="16"/>
        <v/>
      </c>
      <c r="Q90" s="182" t="str">
        <f t="shared" si="17"/>
        <v/>
      </c>
      <c r="R90" s="182" t="str">
        <f t="shared" si="18"/>
        <v/>
      </c>
      <c r="S90" s="182" t="str">
        <f t="shared" si="19"/>
        <v/>
      </c>
      <c r="T90" s="182" t="str">
        <f t="shared" si="20"/>
        <v/>
      </c>
      <c r="U90" s="182" t="str">
        <f t="shared" si="21"/>
        <v/>
      </c>
      <c r="V90" s="182" t="str">
        <f t="shared" si="22"/>
        <v/>
      </c>
      <c r="W90" s="182" t="str">
        <f t="shared" si="23"/>
        <v/>
      </c>
    </row>
    <row r="91" spans="1:23" x14ac:dyDescent="0.2">
      <c r="A91" s="181"/>
      <c r="B91" s="181"/>
      <c r="C91" s="181"/>
      <c r="D91" s="181"/>
      <c r="E91" s="181"/>
      <c r="F91" s="181"/>
      <c r="G91" s="181"/>
      <c r="K91" s="182">
        <v>90</v>
      </c>
      <c r="L91" s="182" t="str">
        <f t="shared" si="12"/>
        <v/>
      </c>
      <c r="M91" s="182" t="str">
        <f t="shared" si="13"/>
        <v/>
      </c>
      <c r="N91" s="182" t="str">
        <f t="shared" si="14"/>
        <v/>
      </c>
      <c r="O91" s="182" t="str">
        <f t="shared" si="15"/>
        <v/>
      </c>
      <c r="P91" s="182" t="str">
        <f t="shared" si="16"/>
        <v/>
      </c>
      <c r="Q91" s="182" t="str">
        <f t="shared" si="17"/>
        <v/>
      </c>
      <c r="R91" s="182" t="str">
        <f t="shared" si="18"/>
        <v/>
      </c>
      <c r="S91" s="182" t="str">
        <f t="shared" si="19"/>
        <v/>
      </c>
      <c r="T91" s="182" t="str">
        <f t="shared" si="20"/>
        <v/>
      </c>
      <c r="U91" s="182" t="str">
        <f t="shared" si="21"/>
        <v/>
      </c>
      <c r="V91" s="182" t="str">
        <f t="shared" si="22"/>
        <v/>
      </c>
      <c r="W91" s="182" t="str">
        <f t="shared" si="23"/>
        <v/>
      </c>
    </row>
    <row r="92" spans="1:23" x14ac:dyDescent="0.2">
      <c r="A92" s="181"/>
      <c r="B92" s="181"/>
      <c r="C92" s="181"/>
      <c r="D92" s="181"/>
      <c r="E92" s="181"/>
      <c r="F92" s="181"/>
      <c r="G92" s="181"/>
      <c r="K92" s="182">
        <v>91</v>
      </c>
      <c r="L92" s="182" t="str">
        <f t="shared" si="12"/>
        <v/>
      </c>
      <c r="M92" s="182" t="str">
        <f t="shared" si="13"/>
        <v/>
      </c>
      <c r="N92" s="182" t="str">
        <f t="shared" si="14"/>
        <v/>
      </c>
      <c r="O92" s="182" t="str">
        <f t="shared" si="15"/>
        <v/>
      </c>
      <c r="P92" s="182" t="str">
        <f t="shared" si="16"/>
        <v/>
      </c>
      <c r="Q92" s="182" t="str">
        <f t="shared" si="17"/>
        <v/>
      </c>
      <c r="R92" s="182" t="str">
        <f t="shared" si="18"/>
        <v/>
      </c>
      <c r="S92" s="182" t="str">
        <f t="shared" si="19"/>
        <v/>
      </c>
      <c r="T92" s="182" t="str">
        <f t="shared" si="20"/>
        <v/>
      </c>
      <c r="U92" s="182" t="str">
        <f t="shared" si="21"/>
        <v/>
      </c>
      <c r="V92" s="182" t="str">
        <f t="shared" si="22"/>
        <v/>
      </c>
      <c r="W92" s="182" t="str">
        <f t="shared" si="23"/>
        <v/>
      </c>
    </row>
    <row r="93" spans="1:23" x14ac:dyDescent="0.2">
      <c r="A93" s="181"/>
      <c r="B93" s="181"/>
      <c r="C93" s="181"/>
      <c r="D93" s="181"/>
      <c r="E93" s="181"/>
      <c r="F93" s="181"/>
      <c r="G93" s="181"/>
      <c r="K93" s="182">
        <v>92</v>
      </c>
      <c r="L93" s="182" t="str">
        <f t="shared" si="12"/>
        <v/>
      </c>
      <c r="M93" s="182" t="str">
        <f t="shared" si="13"/>
        <v/>
      </c>
      <c r="N93" s="182" t="str">
        <f t="shared" si="14"/>
        <v/>
      </c>
      <c r="O93" s="182" t="str">
        <f t="shared" si="15"/>
        <v/>
      </c>
      <c r="P93" s="182" t="str">
        <f t="shared" si="16"/>
        <v/>
      </c>
      <c r="Q93" s="182" t="str">
        <f t="shared" si="17"/>
        <v/>
      </c>
      <c r="R93" s="182" t="str">
        <f t="shared" si="18"/>
        <v/>
      </c>
      <c r="S93" s="182" t="str">
        <f t="shared" si="19"/>
        <v/>
      </c>
      <c r="T93" s="182" t="str">
        <f t="shared" si="20"/>
        <v/>
      </c>
      <c r="U93" s="182" t="str">
        <f t="shared" si="21"/>
        <v/>
      </c>
      <c r="V93" s="182" t="str">
        <f t="shared" si="22"/>
        <v/>
      </c>
      <c r="W93" s="182" t="str">
        <f t="shared" si="23"/>
        <v/>
      </c>
    </row>
    <row r="94" spans="1:23" x14ac:dyDescent="0.2">
      <c r="A94" s="181"/>
      <c r="B94" s="181"/>
      <c r="C94" s="181"/>
      <c r="D94" s="181"/>
      <c r="E94" s="181"/>
      <c r="F94" s="181"/>
      <c r="G94" s="181"/>
      <c r="K94" s="182">
        <v>93</v>
      </c>
      <c r="L94" s="182" t="str">
        <f t="shared" si="12"/>
        <v/>
      </c>
      <c r="M94" s="182" t="str">
        <f t="shared" si="13"/>
        <v/>
      </c>
      <c r="N94" s="182" t="str">
        <f t="shared" si="14"/>
        <v/>
      </c>
      <c r="O94" s="182" t="str">
        <f t="shared" si="15"/>
        <v/>
      </c>
      <c r="P94" s="182" t="str">
        <f t="shared" si="16"/>
        <v/>
      </c>
      <c r="Q94" s="182" t="str">
        <f t="shared" si="17"/>
        <v/>
      </c>
      <c r="R94" s="182" t="str">
        <f t="shared" si="18"/>
        <v/>
      </c>
      <c r="S94" s="182" t="str">
        <f t="shared" si="19"/>
        <v/>
      </c>
      <c r="T94" s="182" t="str">
        <f t="shared" si="20"/>
        <v/>
      </c>
      <c r="U94" s="182" t="str">
        <f t="shared" si="21"/>
        <v/>
      </c>
      <c r="V94" s="182" t="str">
        <f t="shared" si="22"/>
        <v/>
      </c>
      <c r="W94" s="182" t="str">
        <f t="shared" si="23"/>
        <v/>
      </c>
    </row>
    <row r="95" spans="1:23" x14ac:dyDescent="0.2">
      <c r="A95" s="181"/>
      <c r="B95" s="181"/>
      <c r="C95" s="181"/>
      <c r="D95" s="181"/>
      <c r="E95" s="181"/>
      <c r="F95" s="181"/>
      <c r="G95" s="181"/>
      <c r="K95" s="182">
        <v>94</v>
      </c>
      <c r="L95" s="182" t="str">
        <f t="shared" si="12"/>
        <v/>
      </c>
      <c r="M95" s="182" t="str">
        <f t="shared" si="13"/>
        <v/>
      </c>
      <c r="N95" s="182" t="str">
        <f t="shared" si="14"/>
        <v/>
      </c>
      <c r="O95" s="182" t="str">
        <f t="shared" si="15"/>
        <v/>
      </c>
      <c r="P95" s="182" t="str">
        <f t="shared" si="16"/>
        <v/>
      </c>
      <c r="Q95" s="182" t="str">
        <f t="shared" si="17"/>
        <v/>
      </c>
      <c r="R95" s="182" t="str">
        <f t="shared" si="18"/>
        <v/>
      </c>
      <c r="S95" s="182" t="str">
        <f t="shared" si="19"/>
        <v/>
      </c>
      <c r="T95" s="182" t="str">
        <f t="shared" si="20"/>
        <v/>
      </c>
      <c r="U95" s="182" t="str">
        <f t="shared" si="21"/>
        <v/>
      </c>
      <c r="V95" s="182" t="str">
        <f t="shared" si="22"/>
        <v/>
      </c>
      <c r="W95" s="182" t="str">
        <f t="shared" si="23"/>
        <v/>
      </c>
    </row>
    <row r="96" spans="1:23" x14ac:dyDescent="0.2">
      <c r="A96" s="181"/>
      <c r="B96" s="181"/>
      <c r="C96" s="181"/>
      <c r="D96" s="181"/>
      <c r="E96" s="181"/>
      <c r="F96" s="181"/>
      <c r="G96" s="181"/>
      <c r="K96" s="182">
        <v>95</v>
      </c>
      <c r="L96" s="182" t="str">
        <f t="shared" si="12"/>
        <v/>
      </c>
      <c r="M96" s="182" t="str">
        <f t="shared" si="13"/>
        <v/>
      </c>
      <c r="N96" s="182" t="str">
        <f t="shared" si="14"/>
        <v/>
      </c>
      <c r="O96" s="182" t="str">
        <f t="shared" si="15"/>
        <v/>
      </c>
      <c r="P96" s="182" t="str">
        <f t="shared" si="16"/>
        <v/>
      </c>
      <c r="Q96" s="182" t="str">
        <f t="shared" si="17"/>
        <v/>
      </c>
      <c r="R96" s="182" t="str">
        <f t="shared" si="18"/>
        <v/>
      </c>
      <c r="S96" s="182" t="str">
        <f t="shared" si="19"/>
        <v/>
      </c>
      <c r="T96" s="182" t="str">
        <f t="shared" si="20"/>
        <v/>
      </c>
      <c r="U96" s="182" t="str">
        <f t="shared" si="21"/>
        <v/>
      </c>
      <c r="V96" s="182" t="str">
        <f t="shared" si="22"/>
        <v/>
      </c>
      <c r="W96" s="182" t="str">
        <f t="shared" si="23"/>
        <v/>
      </c>
    </row>
    <row r="97" spans="1:23" x14ac:dyDescent="0.2">
      <c r="A97" s="181"/>
      <c r="B97" s="181"/>
      <c r="C97" s="181"/>
      <c r="D97" s="181"/>
      <c r="E97" s="181"/>
      <c r="F97" s="181"/>
      <c r="G97" s="181"/>
      <c r="K97" s="182">
        <v>96</v>
      </c>
      <c r="L97" s="182" t="str">
        <f t="shared" si="12"/>
        <v/>
      </c>
      <c r="M97" s="182" t="str">
        <f t="shared" si="13"/>
        <v/>
      </c>
      <c r="N97" s="182" t="str">
        <f t="shared" si="14"/>
        <v/>
      </c>
      <c r="O97" s="182" t="str">
        <f t="shared" si="15"/>
        <v/>
      </c>
      <c r="P97" s="182" t="str">
        <f t="shared" si="16"/>
        <v/>
      </c>
      <c r="Q97" s="182" t="str">
        <f t="shared" si="17"/>
        <v/>
      </c>
      <c r="R97" s="182" t="str">
        <f t="shared" si="18"/>
        <v/>
      </c>
      <c r="S97" s="182" t="str">
        <f t="shared" si="19"/>
        <v/>
      </c>
      <c r="T97" s="182" t="str">
        <f t="shared" si="20"/>
        <v/>
      </c>
      <c r="U97" s="182" t="str">
        <f t="shared" si="21"/>
        <v/>
      </c>
      <c r="V97" s="182" t="str">
        <f t="shared" si="22"/>
        <v/>
      </c>
      <c r="W97" s="182" t="str">
        <f t="shared" si="23"/>
        <v/>
      </c>
    </row>
    <row r="98" spans="1:23" x14ac:dyDescent="0.2">
      <c r="A98" s="181"/>
      <c r="B98" s="181"/>
      <c r="C98" s="181"/>
      <c r="D98" s="181"/>
      <c r="E98" s="181"/>
      <c r="F98" s="181"/>
      <c r="G98" s="181"/>
      <c r="K98" s="182">
        <v>97</v>
      </c>
      <c r="L98" s="182" t="str">
        <f t="shared" si="12"/>
        <v/>
      </c>
      <c r="M98" s="182" t="str">
        <f t="shared" si="13"/>
        <v/>
      </c>
      <c r="N98" s="182" t="str">
        <f t="shared" si="14"/>
        <v/>
      </c>
      <c r="O98" s="182" t="str">
        <f t="shared" si="15"/>
        <v/>
      </c>
      <c r="P98" s="182" t="str">
        <f t="shared" si="16"/>
        <v/>
      </c>
      <c r="Q98" s="182" t="str">
        <f t="shared" si="17"/>
        <v/>
      </c>
      <c r="R98" s="182" t="str">
        <f t="shared" si="18"/>
        <v/>
      </c>
      <c r="S98" s="182" t="str">
        <f t="shared" si="19"/>
        <v/>
      </c>
      <c r="T98" s="182" t="str">
        <f t="shared" si="20"/>
        <v/>
      </c>
      <c r="U98" s="182" t="str">
        <f t="shared" si="21"/>
        <v/>
      </c>
      <c r="V98" s="182" t="str">
        <f t="shared" si="22"/>
        <v/>
      </c>
      <c r="W98" s="182" t="str">
        <f t="shared" si="23"/>
        <v/>
      </c>
    </row>
    <row r="99" spans="1:23" x14ac:dyDescent="0.2">
      <c r="A99" s="181"/>
      <c r="B99" s="181"/>
      <c r="C99" s="181"/>
      <c r="D99" s="181"/>
      <c r="E99" s="181"/>
      <c r="F99" s="181"/>
      <c r="G99" s="181"/>
      <c r="K99" s="182">
        <v>98</v>
      </c>
      <c r="L99" s="182" t="str">
        <f t="shared" si="12"/>
        <v/>
      </c>
      <c r="M99" s="182" t="str">
        <f t="shared" si="13"/>
        <v/>
      </c>
      <c r="N99" s="182" t="str">
        <f t="shared" si="14"/>
        <v/>
      </c>
      <c r="O99" s="182" t="str">
        <f t="shared" si="15"/>
        <v/>
      </c>
      <c r="P99" s="182" t="str">
        <f t="shared" si="16"/>
        <v/>
      </c>
      <c r="Q99" s="182" t="str">
        <f t="shared" si="17"/>
        <v/>
      </c>
      <c r="R99" s="182" t="str">
        <f t="shared" si="18"/>
        <v/>
      </c>
      <c r="S99" s="182" t="str">
        <f t="shared" si="19"/>
        <v/>
      </c>
      <c r="T99" s="182" t="str">
        <f t="shared" si="20"/>
        <v/>
      </c>
      <c r="U99" s="182" t="str">
        <f t="shared" si="21"/>
        <v/>
      </c>
      <c r="V99" s="182" t="str">
        <f t="shared" si="22"/>
        <v/>
      </c>
      <c r="W99" s="182" t="str">
        <f t="shared" si="23"/>
        <v/>
      </c>
    </row>
    <row r="100" spans="1:23" x14ac:dyDescent="0.2">
      <c r="A100" s="181"/>
      <c r="B100" s="181"/>
      <c r="C100" s="181"/>
      <c r="D100" s="181"/>
      <c r="E100" s="181"/>
      <c r="F100" s="181"/>
      <c r="G100" s="181"/>
      <c r="K100" s="182">
        <v>99</v>
      </c>
      <c r="L100" s="182" t="str">
        <f t="shared" si="12"/>
        <v/>
      </c>
      <c r="M100" s="182" t="str">
        <f t="shared" si="13"/>
        <v/>
      </c>
      <c r="N100" s="182" t="str">
        <f t="shared" si="14"/>
        <v/>
      </c>
      <c r="O100" s="182" t="str">
        <f t="shared" si="15"/>
        <v/>
      </c>
      <c r="P100" s="182" t="str">
        <f t="shared" si="16"/>
        <v/>
      </c>
      <c r="Q100" s="182" t="str">
        <f t="shared" si="17"/>
        <v/>
      </c>
      <c r="R100" s="182" t="str">
        <f t="shared" si="18"/>
        <v/>
      </c>
      <c r="S100" s="182" t="str">
        <f t="shared" si="19"/>
        <v/>
      </c>
      <c r="T100" s="182" t="str">
        <f t="shared" si="20"/>
        <v/>
      </c>
      <c r="U100" s="182" t="str">
        <f t="shared" si="21"/>
        <v/>
      </c>
      <c r="V100" s="182" t="str">
        <f t="shared" si="22"/>
        <v/>
      </c>
      <c r="W100" s="182" t="str">
        <f t="shared" si="23"/>
        <v/>
      </c>
    </row>
    <row r="101" spans="1:23" x14ac:dyDescent="0.2">
      <c r="A101" s="181"/>
      <c r="B101" s="181"/>
      <c r="C101" s="181"/>
      <c r="D101" s="181"/>
      <c r="E101" s="181"/>
      <c r="F101" s="181"/>
      <c r="G101" s="181"/>
      <c r="K101" s="182">
        <v>100</v>
      </c>
      <c r="L101" s="182" t="str">
        <f t="shared" si="12"/>
        <v/>
      </c>
      <c r="M101" s="182" t="str">
        <f t="shared" si="13"/>
        <v/>
      </c>
      <c r="N101" s="182" t="str">
        <f t="shared" si="14"/>
        <v/>
      </c>
      <c r="O101" s="182" t="str">
        <f t="shared" si="15"/>
        <v/>
      </c>
      <c r="P101" s="182" t="str">
        <f t="shared" si="16"/>
        <v/>
      </c>
      <c r="Q101" s="182" t="str">
        <f t="shared" si="17"/>
        <v/>
      </c>
      <c r="R101" s="182" t="str">
        <f t="shared" si="18"/>
        <v/>
      </c>
      <c r="S101" s="182" t="str">
        <f t="shared" si="19"/>
        <v/>
      </c>
      <c r="T101" s="182" t="str">
        <f t="shared" si="20"/>
        <v/>
      </c>
      <c r="U101" s="182" t="str">
        <f t="shared" si="21"/>
        <v/>
      </c>
      <c r="V101" s="182" t="str">
        <f t="shared" si="22"/>
        <v/>
      </c>
      <c r="W101" s="182" t="str">
        <f t="shared" si="23"/>
        <v/>
      </c>
    </row>
    <row r="102" spans="1:23" x14ac:dyDescent="0.2">
      <c r="A102" s="181"/>
      <c r="B102" s="181"/>
      <c r="C102" s="181"/>
      <c r="D102" s="181"/>
      <c r="E102" s="181"/>
      <c r="F102" s="181"/>
      <c r="G102" s="181"/>
      <c r="K102" s="182">
        <v>101</v>
      </c>
      <c r="L102" s="182" t="str">
        <f t="shared" si="12"/>
        <v/>
      </c>
      <c r="M102" s="182" t="str">
        <f t="shared" si="13"/>
        <v/>
      </c>
      <c r="N102" s="182" t="str">
        <f t="shared" si="14"/>
        <v/>
      </c>
      <c r="O102" s="182" t="str">
        <f t="shared" si="15"/>
        <v/>
      </c>
      <c r="P102" s="182" t="str">
        <f t="shared" si="16"/>
        <v/>
      </c>
      <c r="Q102" s="182" t="str">
        <f t="shared" si="17"/>
        <v/>
      </c>
      <c r="R102" s="182" t="str">
        <f t="shared" si="18"/>
        <v/>
      </c>
      <c r="S102" s="182" t="str">
        <f t="shared" si="19"/>
        <v/>
      </c>
      <c r="T102" s="182" t="str">
        <f t="shared" si="20"/>
        <v/>
      </c>
      <c r="U102" s="182" t="str">
        <f t="shared" si="21"/>
        <v/>
      </c>
      <c r="V102" s="182" t="str">
        <f t="shared" si="22"/>
        <v/>
      </c>
      <c r="W102" s="182" t="str">
        <f t="shared" si="23"/>
        <v/>
      </c>
    </row>
    <row r="103" spans="1:23" x14ac:dyDescent="0.2">
      <c r="A103" s="181"/>
      <c r="B103" s="181"/>
      <c r="C103" s="181"/>
      <c r="D103" s="181"/>
      <c r="E103" s="181"/>
      <c r="F103" s="181"/>
      <c r="G103" s="181"/>
      <c r="K103" s="182">
        <v>102</v>
      </c>
      <c r="L103" s="182" t="str">
        <f t="shared" si="12"/>
        <v/>
      </c>
      <c r="M103" s="182" t="str">
        <f t="shared" si="13"/>
        <v/>
      </c>
      <c r="N103" s="182" t="str">
        <f t="shared" si="14"/>
        <v/>
      </c>
      <c r="O103" s="182" t="str">
        <f t="shared" si="15"/>
        <v/>
      </c>
      <c r="P103" s="182" t="str">
        <f t="shared" si="16"/>
        <v/>
      </c>
      <c r="Q103" s="182" t="str">
        <f t="shared" si="17"/>
        <v/>
      </c>
      <c r="R103" s="182" t="str">
        <f t="shared" si="18"/>
        <v/>
      </c>
      <c r="S103" s="182" t="str">
        <f t="shared" si="19"/>
        <v/>
      </c>
      <c r="T103" s="182" t="str">
        <f t="shared" si="20"/>
        <v/>
      </c>
      <c r="U103" s="182" t="str">
        <f t="shared" si="21"/>
        <v/>
      </c>
      <c r="V103" s="182" t="str">
        <f t="shared" si="22"/>
        <v/>
      </c>
      <c r="W103" s="182" t="str">
        <f t="shared" si="23"/>
        <v/>
      </c>
    </row>
    <row r="104" spans="1:23" x14ac:dyDescent="0.2">
      <c r="A104" s="181"/>
      <c r="B104" s="181"/>
      <c r="C104" s="181"/>
      <c r="D104" s="181"/>
      <c r="E104" s="181"/>
      <c r="F104" s="181"/>
      <c r="G104" s="181"/>
      <c r="K104" s="182">
        <v>103</v>
      </c>
      <c r="L104" s="182" t="str">
        <f t="shared" si="12"/>
        <v/>
      </c>
      <c r="M104" s="182" t="str">
        <f t="shared" si="13"/>
        <v/>
      </c>
      <c r="N104" s="182" t="str">
        <f t="shared" si="14"/>
        <v/>
      </c>
      <c r="O104" s="182" t="str">
        <f t="shared" si="15"/>
        <v/>
      </c>
      <c r="P104" s="182" t="str">
        <f t="shared" si="16"/>
        <v/>
      </c>
      <c r="Q104" s="182" t="str">
        <f t="shared" si="17"/>
        <v/>
      </c>
      <c r="R104" s="182" t="str">
        <f t="shared" si="18"/>
        <v/>
      </c>
      <c r="S104" s="182" t="str">
        <f t="shared" si="19"/>
        <v/>
      </c>
      <c r="T104" s="182" t="str">
        <f t="shared" si="20"/>
        <v/>
      </c>
      <c r="U104" s="182" t="str">
        <f t="shared" si="21"/>
        <v/>
      </c>
      <c r="V104" s="182" t="str">
        <f t="shared" si="22"/>
        <v/>
      </c>
      <c r="W104" s="182" t="str">
        <f t="shared" si="23"/>
        <v/>
      </c>
    </row>
    <row r="105" spans="1:23" x14ac:dyDescent="0.2">
      <c r="A105" s="181"/>
      <c r="B105" s="181"/>
      <c r="C105" s="181"/>
      <c r="D105" s="181"/>
      <c r="E105" s="181"/>
      <c r="F105" s="181"/>
      <c r="G105" s="181"/>
      <c r="K105" s="182">
        <v>104</v>
      </c>
      <c r="L105" s="182" t="str">
        <f t="shared" si="12"/>
        <v/>
      </c>
      <c r="M105" s="182" t="str">
        <f t="shared" si="13"/>
        <v/>
      </c>
      <c r="N105" s="182" t="str">
        <f t="shared" si="14"/>
        <v/>
      </c>
      <c r="O105" s="182" t="str">
        <f t="shared" si="15"/>
        <v/>
      </c>
      <c r="P105" s="182" t="str">
        <f t="shared" si="16"/>
        <v/>
      </c>
      <c r="Q105" s="182" t="str">
        <f t="shared" si="17"/>
        <v/>
      </c>
      <c r="R105" s="182" t="str">
        <f t="shared" si="18"/>
        <v/>
      </c>
      <c r="S105" s="182" t="str">
        <f t="shared" si="19"/>
        <v/>
      </c>
      <c r="T105" s="182" t="str">
        <f t="shared" si="20"/>
        <v/>
      </c>
      <c r="U105" s="182" t="str">
        <f t="shared" si="21"/>
        <v/>
      </c>
      <c r="V105" s="182" t="str">
        <f t="shared" si="22"/>
        <v/>
      </c>
      <c r="W105" s="182" t="str">
        <f t="shared" si="23"/>
        <v/>
      </c>
    </row>
    <row r="106" spans="1:23" x14ac:dyDescent="0.2">
      <c r="A106" s="181"/>
      <c r="B106" s="181"/>
      <c r="C106" s="181"/>
      <c r="D106" s="181"/>
      <c r="E106" s="181"/>
      <c r="F106" s="181"/>
      <c r="G106" s="181"/>
      <c r="K106" s="182">
        <v>105</v>
      </c>
      <c r="L106" s="182" t="str">
        <f t="shared" si="12"/>
        <v/>
      </c>
      <c r="M106" s="182" t="str">
        <f t="shared" si="13"/>
        <v/>
      </c>
      <c r="N106" s="182" t="str">
        <f t="shared" si="14"/>
        <v/>
      </c>
      <c r="O106" s="182" t="str">
        <f t="shared" si="15"/>
        <v/>
      </c>
      <c r="P106" s="182" t="str">
        <f t="shared" si="16"/>
        <v/>
      </c>
      <c r="Q106" s="182" t="str">
        <f t="shared" si="17"/>
        <v/>
      </c>
      <c r="R106" s="182" t="str">
        <f t="shared" si="18"/>
        <v/>
      </c>
      <c r="S106" s="182" t="str">
        <f t="shared" si="19"/>
        <v/>
      </c>
      <c r="T106" s="182" t="str">
        <f t="shared" si="20"/>
        <v/>
      </c>
      <c r="U106" s="182" t="str">
        <f t="shared" si="21"/>
        <v/>
      </c>
      <c r="V106" s="182" t="str">
        <f t="shared" si="22"/>
        <v/>
      </c>
      <c r="W106" s="182" t="str">
        <f t="shared" si="23"/>
        <v/>
      </c>
    </row>
    <row r="107" spans="1:23" x14ac:dyDescent="0.2">
      <c r="A107" s="181"/>
      <c r="B107" s="181"/>
      <c r="C107" s="181"/>
      <c r="D107" s="181"/>
      <c r="E107" s="181"/>
      <c r="F107" s="181"/>
      <c r="G107" s="181"/>
      <c r="K107" s="182">
        <v>106</v>
      </c>
      <c r="L107" s="182" t="str">
        <f t="shared" si="12"/>
        <v/>
      </c>
      <c r="M107" s="182" t="str">
        <f t="shared" si="13"/>
        <v/>
      </c>
      <c r="N107" s="182" t="str">
        <f t="shared" si="14"/>
        <v/>
      </c>
      <c r="O107" s="182" t="str">
        <f t="shared" si="15"/>
        <v/>
      </c>
      <c r="P107" s="182" t="str">
        <f t="shared" si="16"/>
        <v/>
      </c>
      <c r="Q107" s="182" t="str">
        <f t="shared" si="17"/>
        <v/>
      </c>
      <c r="R107" s="182" t="str">
        <f t="shared" si="18"/>
        <v/>
      </c>
      <c r="S107" s="182" t="str">
        <f t="shared" si="19"/>
        <v/>
      </c>
      <c r="T107" s="182" t="str">
        <f t="shared" si="20"/>
        <v/>
      </c>
      <c r="U107" s="182" t="str">
        <f t="shared" si="21"/>
        <v/>
      </c>
      <c r="V107" s="182" t="str">
        <f t="shared" si="22"/>
        <v/>
      </c>
      <c r="W107" s="182" t="str">
        <f t="shared" si="23"/>
        <v/>
      </c>
    </row>
    <row r="108" spans="1:23" x14ac:dyDescent="0.2">
      <c r="A108" s="181"/>
      <c r="B108" s="181"/>
      <c r="C108" s="181"/>
      <c r="D108" s="181"/>
      <c r="E108" s="181"/>
      <c r="F108" s="181"/>
      <c r="G108" s="181"/>
      <c r="K108" s="182">
        <v>107</v>
      </c>
      <c r="L108" s="182" t="str">
        <f t="shared" si="12"/>
        <v/>
      </c>
      <c r="M108" s="182" t="str">
        <f t="shared" si="13"/>
        <v/>
      </c>
      <c r="N108" s="182" t="str">
        <f t="shared" si="14"/>
        <v/>
      </c>
      <c r="O108" s="182" t="str">
        <f t="shared" si="15"/>
        <v/>
      </c>
      <c r="P108" s="182" t="str">
        <f t="shared" si="16"/>
        <v/>
      </c>
      <c r="Q108" s="182" t="str">
        <f t="shared" si="17"/>
        <v/>
      </c>
      <c r="R108" s="182" t="str">
        <f t="shared" si="18"/>
        <v/>
      </c>
      <c r="S108" s="182" t="str">
        <f t="shared" si="19"/>
        <v/>
      </c>
      <c r="T108" s="182" t="str">
        <f t="shared" si="20"/>
        <v/>
      </c>
      <c r="U108" s="182" t="str">
        <f t="shared" si="21"/>
        <v/>
      </c>
      <c r="V108" s="182" t="str">
        <f t="shared" si="22"/>
        <v/>
      </c>
      <c r="W108" s="182" t="str">
        <f t="shared" si="23"/>
        <v/>
      </c>
    </row>
    <row r="109" spans="1:23" x14ac:dyDescent="0.2">
      <c r="A109" s="181"/>
      <c r="B109" s="181"/>
      <c r="C109" s="181"/>
      <c r="D109" s="181"/>
      <c r="E109" s="181"/>
      <c r="F109" s="181"/>
      <c r="G109" s="181"/>
      <c r="K109" s="182">
        <v>108</v>
      </c>
      <c r="L109" s="182" t="str">
        <f t="shared" si="12"/>
        <v/>
      </c>
      <c r="M109" s="182" t="str">
        <f t="shared" si="13"/>
        <v/>
      </c>
      <c r="N109" s="182" t="str">
        <f t="shared" si="14"/>
        <v/>
      </c>
      <c r="O109" s="182" t="str">
        <f t="shared" si="15"/>
        <v/>
      </c>
      <c r="P109" s="182" t="str">
        <f t="shared" si="16"/>
        <v/>
      </c>
      <c r="Q109" s="182" t="str">
        <f t="shared" si="17"/>
        <v/>
      </c>
      <c r="R109" s="182" t="str">
        <f t="shared" si="18"/>
        <v/>
      </c>
      <c r="S109" s="182" t="str">
        <f t="shared" si="19"/>
        <v/>
      </c>
      <c r="T109" s="182" t="str">
        <f t="shared" si="20"/>
        <v/>
      </c>
      <c r="U109" s="182" t="str">
        <f t="shared" si="21"/>
        <v/>
      </c>
      <c r="V109" s="182" t="str">
        <f t="shared" si="22"/>
        <v/>
      </c>
      <c r="W109" s="182" t="str">
        <f t="shared" si="23"/>
        <v/>
      </c>
    </row>
    <row r="110" spans="1:23" x14ac:dyDescent="0.2">
      <c r="A110" s="181"/>
      <c r="B110" s="181"/>
      <c r="C110" s="181"/>
      <c r="D110" s="181"/>
      <c r="E110" s="181"/>
      <c r="F110" s="181"/>
      <c r="G110" s="181"/>
      <c r="K110" s="182">
        <v>109</v>
      </c>
      <c r="L110" s="182" t="str">
        <f t="shared" si="12"/>
        <v/>
      </c>
      <c r="M110" s="182" t="str">
        <f t="shared" si="13"/>
        <v/>
      </c>
      <c r="N110" s="182" t="str">
        <f t="shared" si="14"/>
        <v/>
      </c>
      <c r="O110" s="182" t="str">
        <f t="shared" si="15"/>
        <v/>
      </c>
      <c r="P110" s="182" t="str">
        <f t="shared" si="16"/>
        <v/>
      </c>
      <c r="Q110" s="182" t="str">
        <f t="shared" si="17"/>
        <v/>
      </c>
      <c r="R110" s="182" t="str">
        <f t="shared" si="18"/>
        <v/>
      </c>
      <c r="S110" s="182" t="str">
        <f t="shared" si="19"/>
        <v/>
      </c>
      <c r="T110" s="182" t="str">
        <f t="shared" si="20"/>
        <v/>
      </c>
      <c r="U110" s="182" t="str">
        <f t="shared" si="21"/>
        <v/>
      </c>
      <c r="V110" s="182" t="str">
        <f t="shared" si="22"/>
        <v/>
      </c>
      <c r="W110" s="182" t="str">
        <f t="shared" si="23"/>
        <v/>
      </c>
    </row>
    <row r="111" spans="1:23" x14ac:dyDescent="0.2">
      <c r="A111" s="181"/>
      <c r="B111" s="181"/>
      <c r="C111" s="181"/>
      <c r="D111" s="181"/>
      <c r="E111" s="181"/>
      <c r="F111" s="181"/>
      <c r="G111" s="181"/>
      <c r="K111" s="182">
        <v>110</v>
      </c>
      <c r="L111" s="182" t="str">
        <f t="shared" si="12"/>
        <v/>
      </c>
      <c r="M111" s="182" t="str">
        <f t="shared" si="13"/>
        <v/>
      </c>
      <c r="N111" s="182" t="str">
        <f t="shared" si="14"/>
        <v/>
      </c>
      <c r="O111" s="182" t="str">
        <f t="shared" si="15"/>
        <v/>
      </c>
      <c r="P111" s="182" t="str">
        <f t="shared" si="16"/>
        <v/>
      </c>
      <c r="Q111" s="182" t="str">
        <f t="shared" si="17"/>
        <v/>
      </c>
      <c r="R111" s="182" t="str">
        <f t="shared" si="18"/>
        <v/>
      </c>
      <c r="S111" s="182" t="str">
        <f t="shared" si="19"/>
        <v/>
      </c>
      <c r="T111" s="182" t="str">
        <f t="shared" si="20"/>
        <v/>
      </c>
      <c r="U111" s="182" t="str">
        <f t="shared" si="21"/>
        <v/>
      </c>
      <c r="V111" s="182" t="str">
        <f t="shared" si="22"/>
        <v/>
      </c>
      <c r="W111" s="182" t="str">
        <f t="shared" si="23"/>
        <v/>
      </c>
    </row>
    <row r="112" spans="1:23" x14ac:dyDescent="0.2">
      <c r="A112" s="181"/>
      <c r="B112" s="181"/>
      <c r="C112" s="181"/>
      <c r="D112" s="181"/>
      <c r="E112" s="181"/>
      <c r="F112" s="181"/>
      <c r="G112" s="181"/>
      <c r="K112" s="182">
        <v>111</v>
      </c>
      <c r="L112" s="182" t="str">
        <f t="shared" si="12"/>
        <v/>
      </c>
      <c r="M112" s="182" t="str">
        <f t="shared" si="13"/>
        <v/>
      </c>
      <c r="N112" s="182" t="str">
        <f t="shared" si="14"/>
        <v/>
      </c>
      <c r="O112" s="182" t="str">
        <f t="shared" si="15"/>
        <v/>
      </c>
      <c r="P112" s="182" t="str">
        <f t="shared" si="16"/>
        <v/>
      </c>
      <c r="Q112" s="182" t="str">
        <f t="shared" si="17"/>
        <v/>
      </c>
      <c r="R112" s="182" t="str">
        <f t="shared" si="18"/>
        <v/>
      </c>
      <c r="S112" s="182" t="str">
        <f t="shared" si="19"/>
        <v/>
      </c>
      <c r="T112" s="182" t="str">
        <f t="shared" si="20"/>
        <v/>
      </c>
      <c r="U112" s="182" t="str">
        <f t="shared" si="21"/>
        <v/>
      </c>
      <c r="V112" s="182" t="str">
        <f t="shared" si="22"/>
        <v/>
      </c>
      <c r="W112" s="182" t="str">
        <f t="shared" si="23"/>
        <v/>
      </c>
    </row>
    <row r="113" spans="1:23" x14ac:dyDescent="0.2">
      <c r="A113" s="181"/>
      <c r="B113" s="181"/>
      <c r="C113" s="181"/>
      <c r="D113" s="181"/>
      <c r="E113" s="181"/>
      <c r="F113" s="181"/>
      <c r="G113" s="181"/>
      <c r="K113" s="182">
        <v>112</v>
      </c>
      <c r="L113" s="182" t="str">
        <f t="shared" si="12"/>
        <v/>
      </c>
      <c r="M113" s="182" t="str">
        <f t="shared" si="13"/>
        <v/>
      </c>
      <c r="N113" s="182" t="str">
        <f t="shared" si="14"/>
        <v/>
      </c>
      <c r="O113" s="182" t="str">
        <f t="shared" si="15"/>
        <v/>
      </c>
      <c r="P113" s="182" t="str">
        <f t="shared" si="16"/>
        <v/>
      </c>
      <c r="Q113" s="182" t="str">
        <f t="shared" si="17"/>
        <v/>
      </c>
      <c r="R113" s="182" t="str">
        <f t="shared" si="18"/>
        <v/>
      </c>
      <c r="S113" s="182" t="str">
        <f t="shared" si="19"/>
        <v/>
      </c>
      <c r="T113" s="182" t="str">
        <f t="shared" si="20"/>
        <v/>
      </c>
      <c r="U113" s="182" t="str">
        <f t="shared" si="21"/>
        <v/>
      </c>
      <c r="V113" s="182" t="str">
        <f t="shared" si="22"/>
        <v/>
      </c>
      <c r="W113" s="182" t="str">
        <f t="shared" si="23"/>
        <v/>
      </c>
    </row>
    <row r="114" spans="1:23" x14ac:dyDescent="0.2">
      <c r="A114" s="181"/>
      <c r="B114" s="181"/>
      <c r="C114" s="181"/>
      <c r="D114" s="181"/>
      <c r="E114" s="181"/>
      <c r="F114" s="181"/>
      <c r="G114" s="181"/>
      <c r="K114" s="182">
        <v>113</v>
      </c>
      <c r="L114" s="182" t="str">
        <f t="shared" si="12"/>
        <v/>
      </c>
      <c r="M114" s="182" t="str">
        <f t="shared" si="13"/>
        <v/>
      </c>
      <c r="N114" s="182" t="str">
        <f t="shared" si="14"/>
        <v/>
      </c>
      <c r="O114" s="182" t="str">
        <f t="shared" si="15"/>
        <v/>
      </c>
      <c r="P114" s="182" t="str">
        <f t="shared" si="16"/>
        <v/>
      </c>
      <c r="Q114" s="182" t="str">
        <f t="shared" si="17"/>
        <v/>
      </c>
      <c r="R114" s="182" t="str">
        <f t="shared" si="18"/>
        <v/>
      </c>
      <c r="S114" s="182" t="str">
        <f t="shared" si="19"/>
        <v/>
      </c>
      <c r="T114" s="182" t="str">
        <f t="shared" si="20"/>
        <v/>
      </c>
      <c r="U114" s="182" t="str">
        <f t="shared" si="21"/>
        <v/>
      </c>
      <c r="V114" s="182" t="str">
        <f t="shared" si="22"/>
        <v/>
      </c>
      <c r="W114" s="182" t="str">
        <f t="shared" si="23"/>
        <v/>
      </c>
    </row>
    <row r="115" spans="1:23" x14ac:dyDescent="0.2">
      <c r="A115" s="181"/>
      <c r="B115" s="181"/>
      <c r="C115" s="181"/>
      <c r="D115" s="181"/>
      <c r="E115" s="181"/>
      <c r="F115" s="181"/>
      <c r="G115" s="181"/>
      <c r="K115" s="182">
        <v>114</v>
      </c>
      <c r="L115" s="182" t="str">
        <f t="shared" si="12"/>
        <v/>
      </c>
      <c r="M115" s="182" t="str">
        <f t="shared" si="13"/>
        <v/>
      </c>
      <c r="N115" s="182" t="str">
        <f t="shared" si="14"/>
        <v/>
      </c>
      <c r="O115" s="182" t="str">
        <f t="shared" si="15"/>
        <v/>
      </c>
      <c r="P115" s="182" t="str">
        <f t="shared" si="16"/>
        <v/>
      </c>
      <c r="Q115" s="182" t="str">
        <f t="shared" si="17"/>
        <v/>
      </c>
      <c r="R115" s="182" t="str">
        <f t="shared" si="18"/>
        <v/>
      </c>
      <c r="S115" s="182" t="str">
        <f t="shared" si="19"/>
        <v/>
      </c>
      <c r="T115" s="182" t="str">
        <f t="shared" si="20"/>
        <v/>
      </c>
      <c r="U115" s="182" t="str">
        <f t="shared" si="21"/>
        <v/>
      </c>
      <c r="V115" s="182" t="str">
        <f t="shared" si="22"/>
        <v/>
      </c>
      <c r="W115" s="182" t="str">
        <f t="shared" si="23"/>
        <v/>
      </c>
    </row>
    <row r="116" spans="1:23" x14ac:dyDescent="0.2">
      <c r="A116" s="181"/>
      <c r="B116" s="181"/>
      <c r="C116" s="181"/>
      <c r="D116" s="181"/>
      <c r="E116" s="181"/>
      <c r="F116" s="181"/>
      <c r="G116" s="181"/>
      <c r="K116" s="182">
        <v>115</v>
      </c>
      <c r="L116" s="182" t="str">
        <f t="shared" si="12"/>
        <v/>
      </c>
      <c r="M116" s="182" t="str">
        <f t="shared" si="13"/>
        <v/>
      </c>
      <c r="N116" s="182" t="str">
        <f t="shared" si="14"/>
        <v/>
      </c>
      <c r="O116" s="182" t="str">
        <f t="shared" si="15"/>
        <v/>
      </c>
      <c r="P116" s="182" t="str">
        <f t="shared" si="16"/>
        <v/>
      </c>
      <c r="Q116" s="182" t="str">
        <f t="shared" si="17"/>
        <v/>
      </c>
      <c r="R116" s="182" t="str">
        <f t="shared" si="18"/>
        <v/>
      </c>
      <c r="S116" s="182" t="str">
        <f t="shared" si="19"/>
        <v/>
      </c>
      <c r="T116" s="182" t="str">
        <f t="shared" si="20"/>
        <v/>
      </c>
      <c r="U116" s="182" t="str">
        <f t="shared" si="21"/>
        <v/>
      </c>
      <c r="V116" s="182" t="str">
        <f t="shared" si="22"/>
        <v/>
      </c>
      <c r="W116" s="182" t="str">
        <f t="shared" si="23"/>
        <v/>
      </c>
    </row>
    <row r="117" spans="1:23" x14ac:dyDescent="0.2">
      <c r="A117" s="181"/>
      <c r="B117" s="181"/>
      <c r="C117" s="181"/>
      <c r="D117" s="181"/>
      <c r="E117" s="181"/>
      <c r="F117" s="181"/>
      <c r="G117" s="181"/>
      <c r="K117" s="182">
        <v>116</v>
      </c>
      <c r="L117" s="182" t="str">
        <f t="shared" si="12"/>
        <v/>
      </c>
      <c r="M117" s="182" t="str">
        <f t="shared" si="13"/>
        <v/>
      </c>
      <c r="N117" s="182" t="str">
        <f t="shared" si="14"/>
        <v/>
      </c>
      <c r="O117" s="182" t="str">
        <f t="shared" si="15"/>
        <v/>
      </c>
      <c r="P117" s="182" t="str">
        <f t="shared" si="16"/>
        <v/>
      </c>
      <c r="Q117" s="182" t="str">
        <f t="shared" si="17"/>
        <v/>
      </c>
      <c r="R117" s="182" t="str">
        <f t="shared" si="18"/>
        <v/>
      </c>
      <c r="S117" s="182" t="str">
        <f t="shared" si="19"/>
        <v/>
      </c>
      <c r="T117" s="182" t="str">
        <f t="shared" si="20"/>
        <v/>
      </c>
      <c r="U117" s="182" t="str">
        <f t="shared" si="21"/>
        <v/>
      </c>
      <c r="V117" s="182" t="str">
        <f t="shared" si="22"/>
        <v/>
      </c>
      <c r="W117" s="182" t="str">
        <f t="shared" si="23"/>
        <v/>
      </c>
    </row>
    <row r="118" spans="1:23" x14ac:dyDescent="0.2">
      <c r="A118" s="181"/>
      <c r="B118" s="181"/>
      <c r="C118" s="181"/>
      <c r="D118" s="181"/>
      <c r="E118" s="181"/>
      <c r="F118" s="181"/>
      <c r="G118" s="181"/>
      <c r="K118" s="182">
        <v>117</v>
      </c>
      <c r="L118" s="182" t="str">
        <f t="shared" si="12"/>
        <v/>
      </c>
      <c r="M118" s="182" t="str">
        <f t="shared" si="13"/>
        <v/>
      </c>
      <c r="N118" s="182" t="str">
        <f t="shared" si="14"/>
        <v/>
      </c>
      <c r="O118" s="182" t="str">
        <f t="shared" si="15"/>
        <v/>
      </c>
      <c r="P118" s="182" t="str">
        <f t="shared" si="16"/>
        <v/>
      </c>
      <c r="Q118" s="182" t="str">
        <f t="shared" si="17"/>
        <v/>
      </c>
      <c r="R118" s="182" t="str">
        <f t="shared" si="18"/>
        <v/>
      </c>
      <c r="S118" s="182" t="str">
        <f t="shared" si="19"/>
        <v/>
      </c>
      <c r="T118" s="182" t="str">
        <f t="shared" si="20"/>
        <v/>
      </c>
      <c r="U118" s="182" t="str">
        <f t="shared" si="21"/>
        <v/>
      </c>
      <c r="V118" s="182" t="str">
        <f t="shared" si="22"/>
        <v/>
      </c>
      <c r="W118" s="182" t="str">
        <f t="shared" si="23"/>
        <v/>
      </c>
    </row>
    <row r="119" spans="1:23" x14ac:dyDescent="0.2">
      <c r="A119" s="181"/>
      <c r="B119" s="181"/>
      <c r="C119" s="181"/>
      <c r="D119" s="181"/>
      <c r="E119" s="181"/>
      <c r="F119" s="181"/>
      <c r="G119" s="181"/>
      <c r="K119" s="182">
        <v>118</v>
      </c>
      <c r="L119" s="182" t="str">
        <f t="shared" si="12"/>
        <v/>
      </c>
      <c r="M119" s="182" t="str">
        <f t="shared" si="13"/>
        <v/>
      </c>
      <c r="N119" s="182" t="str">
        <f t="shared" si="14"/>
        <v/>
      </c>
      <c r="O119" s="182" t="str">
        <f t="shared" si="15"/>
        <v/>
      </c>
      <c r="P119" s="182" t="str">
        <f t="shared" si="16"/>
        <v/>
      </c>
      <c r="Q119" s="182" t="str">
        <f t="shared" si="17"/>
        <v/>
      </c>
      <c r="R119" s="182" t="str">
        <f t="shared" si="18"/>
        <v/>
      </c>
      <c r="S119" s="182" t="str">
        <f t="shared" si="19"/>
        <v/>
      </c>
      <c r="T119" s="182" t="str">
        <f t="shared" si="20"/>
        <v/>
      </c>
      <c r="U119" s="182" t="str">
        <f t="shared" si="21"/>
        <v/>
      </c>
      <c r="V119" s="182" t="str">
        <f t="shared" si="22"/>
        <v/>
      </c>
      <c r="W119" s="182" t="str">
        <f t="shared" si="23"/>
        <v/>
      </c>
    </row>
    <row r="120" spans="1:23" x14ac:dyDescent="0.2">
      <c r="A120" s="181"/>
      <c r="B120" s="181"/>
      <c r="C120" s="181"/>
      <c r="D120" s="181"/>
      <c r="E120" s="181"/>
      <c r="F120" s="181"/>
      <c r="G120" s="181"/>
      <c r="K120" s="182">
        <v>119</v>
      </c>
      <c r="L120" s="182" t="str">
        <f t="shared" si="12"/>
        <v/>
      </c>
      <c r="M120" s="182" t="str">
        <f t="shared" si="13"/>
        <v/>
      </c>
      <c r="N120" s="182" t="str">
        <f t="shared" si="14"/>
        <v/>
      </c>
      <c r="O120" s="182" t="str">
        <f t="shared" si="15"/>
        <v/>
      </c>
      <c r="P120" s="182" t="str">
        <f t="shared" si="16"/>
        <v/>
      </c>
      <c r="Q120" s="182" t="str">
        <f t="shared" si="17"/>
        <v/>
      </c>
      <c r="R120" s="182" t="str">
        <f t="shared" si="18"/>
        <v/>
      </c>
      <c r="S120" s="182" t="str">
        <f t="shared" si="19"/>
        <v/>
      </c>
      <c r="T120" s="182" t="str">
        <f t="shared" si="20"/>
        <v/>
      </c>
      <c r="U120" s="182" t="str">
        <f t="shared" si="21"/>
        <v/>
      </c>
      <c r="V120" s="182" t="str">
        <f t="shared" si="22"/>
        <v/>
      </c>
      <c r="W120" s="182" t="str">
        <f t="shared" si="23"/>
        <v/>
      </c>
    </row>
    <row r="121" spans="1:23" x14ac:dyDescent="0.2">
      <c r="A121" s="181"/>
      <c r="B121" s="181"/>
      <c r="C121" s="181"/>
      <c r="D121" s="181"/>
      <c r="E121" s="181"/>
      <c r="F121" s="181"/>
      <c r="G121" s="181"/>
      <c r="K121" s="182">
        <v>120</v>
      </c>
      <c r="L121" s="182" t="str">
        <f t="shared" si="12"/>
        <v/>
      </c>
      <c r="M121" s="182" t="str">
        <f t="shared" si="13"/>
        <v/>
      </c>
      <c r="N121" s="182" t="str">
        <f t="shared" si="14"/>
        <v/>
      </c>
      <c r="O121" s="182" t="str">
        <f t="shared" si="15"/>
        <v/>
      </c>
      <c r="P121" s="182" t="str">
        <f t="shared" si="16"/>
        <v/>
      </c>
      <c r="Q121" s="182" t="str">
        <f t="shared" si="17"/>
        <v/>
      </c>
      <c r="R121" s="182" t="str">
        <f t="shared" si="18"/>
        <v/>
      </c>
      <c r="S121" s="182" t="str">
        <f t="shared" si="19"/>
        <v/>
      </c>
      <c r="T121" s="182" t="str">
        <f t="shared" si="20"/>
        <v/>
      </c>
      <c r="U121" s="182" t="str">
        <f t="shared" si="21"/>
        <v/>
      </c>
      <c r="V121" s="182" t="str">
        <f t="shared" si="22"/>
        <v/>
      </c>
      <c r="W121" s="182" t="str">
        <f t="shared" si="23"/>
        <v/>
      </c>
    </row>
    <row r="122" spans="1:23" x14ac:dyDescent="0.2">
      <c r="A122" s="181"/>
      <c r="B122" s="181"/>
      <c r="C122" s="181"/>
      <c r="D122" s="181"/>
      <c r="E122" s="181"/>
      <c r="F122" s="181"/>
      <c r="G122" s="181"/>
      <c r="K122" s="182">
        <v>121</v>
      </c>
      <c r="L122" s="182" t="str">
        <f t="shared" si="12"/>
        <v/>
      </c>
      <c r="M122" s="182" t="str">
        <f t="shared" si="13"/>
        <v/>
      </c>
      <c r="N122" s="182" t="str">
        <f t="shared" si="14"/>
        <v/>
      </c>
      <c r="O122" s="182" t="str">
        <f t="shared" si="15"/>
        <v/>
      </c>
      <c r="P122" s="182" t="str">
        <f t="shared" si="16"/>
        <v/>
      </c>
      <c r="Q122" s="182" t="str">
        <f t="shared" si="17"/>
        <v/>
      </c>
      <c r="R122" s="182" t="str">
        <f t="shared" si="18"/>
        <v/>
      </c>
      <c r="S122" s="182" t="str">
        <f t="shared" si="19"/>
        <v/>
      </c>
      <c r="T122" s="182" t="str">
        <f t="shared" si="20"/>
        <v/>
      </c>
      <c r="U122" s="182" t="str">
        <f t="shared" si="21"/>
        <v/>
      </c>
      <c r="V122" s="182" t="str">
        <f t="shared" si="22"/>
        <v/>
      </c>
      <c r="W122" s="182" t="str">
        <f t="shared" si="23"/>
        <v/>
      </c>
    </row>
    <row r="123" spans="1:23" x14ac:dyDescent="0.2">
      <c r="A123" s="181"/>
      <c r="B123" s="181"/>
      <c r="C123" s="181"/>
      <c r="D123" s="181"/>
      <c r="E123" s="181"/>
      <c r="F123" s="181"/>
      <c r="G123" s="181"/>
      <c r="K123" s="182">
        <v>122</v>
      </c>
      <c r="L123" s="182" t="str">
        <f t="shared" si="12"/>
        <v/>
      </c>
      <c r="M123" s="182" t="str">
        <f t="shared" si="13"/>
        <v/>
      </c>
      <c r="N123" s="182" t="str">
        <f t="shared" si="14"/>
        <v/>
      </c>
      <c r="O123" s="182" t="str">
        <f t="shared" si="15"/>
        <v/>
      </c>
      <c r="P123" s="182" t="str">
        <f t="shared" si="16"/>
        <v/>
      </c>
      <c r="Q123" s="182" t="str">
        <f t="shared" si="17"/>
        <v/>
      </c>
      <c r="R123" s="182" t="str">
        <f t="shared" si="18"/>
        <v/>
      </c>
      <c r="S123" s="182" t="str">
        <f t="shared" si="19"/>
        <v/>
      </c>
      <c r="T123" s="182" t="str">
        <f t="shared" si="20"/>
        <v/>
      </c>
      <c r="U123" s="182" t="str">
        <f t="shared" si="21"/>
        <v/>
      </c>
      <c r="V123" s="182" t="str">
        <f t="shared" si="22"/>
        <v/>
      </c>
      <c r="W123" s="182" t="str">
        <f t="shared" si="23"/>
        <v/>
      </c>
    </row>
    <row r="124" spans="1:23" x14ac:dyDescent="0.2">
      <c r="A124" s="181"/>
      <c r="B124" s="181"/>
      <c r="C124" s="181"/>
      <c r="D124" s="181"/>
      <c r="E124" s="181"/>
      <c r="F124" s="181"/>
      <c r="G124" s="181"/>
      <c r="K124" s="182">
        <v>123</v>
      </c>
      <c r="L124" s="182" t="str">
        <f t="shared" si="12"/>
        <v/>
      </c>
      <c r="M124" s="182" t="str">
        <f t="shared" si="13"/>
        <v/>
      </c>
      <c r="N124" s="182" t="str">
        <f t="shared" si="14"/>
        <v/>
      </c>
      <c r="O124" s="182" t="str">
        <f t="shared" si="15"/>
        <v/>
      </c>
      <c r="P124" s="182" t="str">
        <f t="shared" si="16"/>
        <v/>
      </c>
      <c r="Q124" s="182" t="str">
        <f t="shared" si="17"/>
        <v/>
      </c>
      <c r="R124" s="182" t="str">
        <f t="shared" si="18"/>
        <v/>
      </c>
      <c r="S124" s="182" t="str">
        <f t="shared" si="19"/>
        <v/>
      </c>
      <c r="T124" s="182" t="str">
        <f t="shared" si="20"/>
        <v/>
      </c>
      <c r="U124" s="182" t="str">
        <f t="shared" si="21"/>
        <v/>
      </c>
      <c r="V124" s="182" t="str">
        <f t="shared" si="22"/>
        <v/>
      </c>
      <c r="W124" s="182" t="str">
        <f t="shared" si="23"/>
        <v/>
      </c>
    </row>
    <row r="125" spans="1:23" x14ac:dyDescent="0.2">
      <c r="A125" s="181"/>
      <c r="B125" s="181"/>
      <c r="C125" s="181"/>
      <c r="D125" s="181"/>
      <c r="E125" s="181"/>
      <c r="F125" s="181"/>
      <c r="G125" s="181"/>
      <c r="K125" s="182">
        <v>124</v>
      </c>
      <c r="L125" s="182" t="str">
        <f t="shared" si="12"/>
        <v/>
      </c>
      <c r="M125" s="182" t="str">
        <f t="shared" si="13"/>
        <v/>
      </c>
      <c r="N125" s="182" t="str">
        <f t="shared" si="14"/>
        <v/>
      </c>
      <c r="O125" s="182" t="str">
        <f t="shared" si="15"/>
        <v/>
      </c>
      <c r="P125" s="182" t="str">
        <f t="shared" si="16"/>
        <v/>
      </c>
      <c r="Q125" s="182" t="str">
        <f t="shared" si="17"/>
        <v/>
      </c>
      <c r="R125" s="182" t="str">
        <f t="shared" si="18"/>
        <v/>
      </c>
      <c r="S125" s="182" t="str">
        <f t="shared" si="19"/>
        <v/>
      </c>
      <c r="T125" s="182" t="str">
        <f t="shared" si="20"/>
        <v/>
      </c>
      <c r="U125" s="182" t="str">
        <f t="shared" si="21"/>
        <v/>
      </c>
      <c r="V125" s="182" t="str">
        <f t="shared" si="22"/>
        <v/>
      </c>
      <c r="W125" s="182" t="str">
        <f t="shared" si="23"/>
        <v/>
      </c>
    </row>
    <row r="126" spans="1:23" x14ac:dyDescent="0.2">
      <c r="A126" s="181"/>
      <c r="B126" s="181"/>
      <c r="C126" s="181"/>
      <c r="D126" s="181"/>
      <c r="E126" s="181"/>
      <c r="F126" s="181"/>
      <c r="G126" s="181"/>
      <c r="K126" s="182">
        <v>125</v>
      </c>
      <c r="L126" s="182" t="str">
        <f t="shared" si="12"/>
        <v/>
      </c>
      <c r="M126" s="182" t="str">
        <f t="shared" si="13"/>
        <v/>
      </c>
      <c r="N126" s="182" t="str">
        <f t="shared" si="14"/>
        <v/>
      </c>
      <c r="O126" s="182" t="str">
        <f t="shared" si="15"/>
        <v/>
      </c>
      <c r="P126" s="182" t="str">
        <f t="shared" si="16"/>
        <v/>
      </c>
      <c r="Q126" s="182" t="str">
        <f t="shared" si="17"/>
        <v/>
      </c>
      <c r="R126" s="182" t="str">
        <f t="shared" si="18"/>
        <v/>
      </c>
      <c r="S126" s="182" t="str">
        <f t="shared" si="19"/>
        <v/>
      </c>
      <c r="T126" s="182" t="str">
        <f t="shared" si="20"/>
        <v/>
      </c>
      <c r="U126" s="182" t="str">
        <f t="shared" si="21"/>
        <v/>
      </c>
      <c r="V126" s="182" t="str">
        <f t="shared" si="22"/>
        <v/>
      </c>
      <c r="W126" s="182" t="str">
        <f t="shared" si="23"/>
        <v/>
      </c>
    </row>
    <row r="127" spans="1:23" x14ac:dyDescent="0.2">
      <c r="A127" s="181"/>
      <c r="B127" s="181"/>
      <c r="C127" s="181"/>
      <c r="D127" s="181"/>
      <c r="E127" s="181"/>
      <c r="F127" s="181"/>
      <c r="G127" s="181"/>
      <c r="K127" s="182">
        <v>126</v>
      </c>
      <c r="L127" s="182" t="str">
        <f t="shared" si="12"/>
        <v/>
      </c>
      <c r="M127" s="182" t="str">
        <f t="shared" si="13"/>
        <v/>
      </c>
      <c r="N127" s="182" t="str">
        <f t="shared" si="14"/>
        <v/>
      </c>
      <c r="O127" s="182" t="str">
        <f t="shared" si="15"/>
        <v/>
      </c>
      <c r="P127" s="182" t="str">
        <f t="shared" si="16"/>
        <v/>
      </c>
      <c r="Q127" s="182" t="str">
        <f t="shared" si="17"/>
        <v/>
      </c>
      <c r="R127" s="182" t="str">
        <f t="shared" si="18"/>
        <v/>
      </c>
      <c r="S127" s="182" t="str">
        <f t="shared" si="19"/>
        <v/>
      </c>
      <c r="T127" s="182" t="str">
        <f t="shared" si="20"/>
        <v/>
      </c>
      <c r="U127" s="182" t="str">
        <f t="shared" si="21"/>
        <v/>
      </c>
      <c r="V127" s="182" t="str">
        <f t="shared" si="22"/>
        <v/>
      </c>
      <c r="W127" s="182" t="str">
        <f t="shared" si="23"/>
        <v/>
      </c>
    </row>
    <row r="128" spans="1:23" x14ac:dyDescent="0.2">
      <c r="A128" s="181"/>
      <c r="B128" s="181"/>
      <c r="C128" s="181"/>
      <c r="D128" s="181"/>
      <c r="E128" s="181"/>
      <c r="F128" s="181"/>
      <c r="G128" s="181"/>
      <c r="K128" s="182">
        <v>127</v>
      </c>
      <c r="L128" s="182" t="str">
        <f t="shared" si="12"/>
        <v/>
      </c>
      <c r="M128" s="182" t="str">
        <f t="shared" si="13"/>
        <v/>
      </c>
      <c r="N128" s="182" t="str">
        <f t="shared" si="14"/>
        <v/>
      </c>
      <c r="O128" s="182" t="str">
        <f t="shared" si="15"/>
        <v/>
      </c>
      <c r="P128" s="182" t="str">
        <f t="shared" si="16"/>
        <v/>
      </c>
      <c r="Q128" s="182" t="str">
        <f t="shared" si="17"/>
        <v/>
      </c>
      <c r="R128" s="182" t="str">
        <f t="shared" si="18"/>
        <v/>
      </c>
      <c r="S128" s="182" t="str">
        <f t="shared" si="19"/>
        <v/>
      </c>
      <c r="T128" s="182" t="str">
        <f t="shared" si="20"/>
        <v/>
      </c>
      <c r="U128" s="182" t="str">
        <f t="shared" si="21"/>
        <v/>
      </c>
      <c r="V128" s="182" t="str">
        <f t="shared" si="22"/>
        <v/>
      </c>
      <c r="W128" s="182" t="str">
        <f t="shared" si="23"/>
        <v/>
      </c>
    </row>
    <row r="129" spans="1:23" x14ac:dyDescent="0.2">
      <c r="A129" s="181"/>
      <c r="B129" s="181"/>
      <c r="C129" s="181"/>
      <c r="D129" s="181"/>
      <c r="E129" s="181"/>
      <c r="F129" s="181"/>
      <c r="G129" s="181"/>
      <c r="K129" s="182">
        <v>128</v>
      </c>
      <c r="L129" s="182" t="str">
        <f t="shared" si="12"/>
        <v/>
      </c>
      <c r="M129" s="182" t="str">
        <f t="shared" si="13"/>
        <v/>
      </c>
      <c r="N129" s="182" t="str">
        <f t="shared" si="14"/>
        <v/>
      </c>
      <c r="O129" s="182" t="str">
        <f t="shared" si="15"/>
        <v/>
      </c>
      <c r="P129" s="182" t="str">
        <f t="shared" si="16"/>
        <v/>
      </c>
      <c r="Q129" s="182" t="str">
        <f t="shared" si="17"/>
        <v/>
      </c>
      <c r="R129" s="182" t="str">
        <f t="shared" si="18"/>
        <v/>
      </c>
      <c r="S129" s="182" t="str">
        <f t="shared" si="19"/>
        <v/>
      </c>
      <c r="T129" s="182" t="str">
        <f t="shared" si="20"/>
        <v/>
      </c>
      <c r="U129" s="182" t="str">
        <f t="shared" si="21"/>
        <v/>
      </c>
      <c r="V129" s="182" t="str">
        <f t="shared" si="22"/>
        <v/>
      </c>
      <c r="W129" s="182" t="str">
        <f t="shared" si="23"/>
        <v/>
      </c>
    </row>
    <row r="130" spans="1:23" x14ac:dyDescent="0.2">
      <c r="A130" s="181"/>
      <c r="B130" s="181"/>
      <c r="C130" s="181"/>
      <c r="D130" s="181"/>
      <c r="E130" s="181"/>
      <c r="F130" s="181"/>
      <c r="G130" s="181"/>
      <c r="K130" s="182">
        <v>129</v>
      </c>
      <c r="L130" s="182" t="str">
        <f t="shared" si="12"/>
        <v/>
      </c>
      <c r="M130" s="182" t="str">
        <f t="shared" si="13"/>
        <v/>
      </c>
      <c r="N130" s="182" t="str">
        <f t="shared" si="14"/>
        <v/>
      </c>
      <c r="O130" s="182" t="str">
        <f t="shared" si="15"/>
        <v/>
      </c>
      <c r="P130" s="182" t="str">
        <f t="shared" si="16"/>
        <v/>
      </c>
      <c r="Q130" s="182" t="str">
        <f t="shared" si="17"/>
        <v/>
      </c>
      <c r="R130" s="182" t="str">
        <f t="shared" si="18"/>
        <v/>
      </c>
      <c r="S130" s="182" t="str">
        <f t="shared" si="19"/>
        <v/>
      </c>
      <c r="T130" s="182" t="str">
        <f t="shared" si="20"/>
        <v/>
      </c>
      <c r="U130" s="182" t="str">
        <f t="shared" si="21"/>
        <v/>
      </c>
      <c r="V130" s="182" t="str">
        <f t="shared" si="22"/>
        <v/>
      </c>
      <c r="W130" s="182" t="str">
        <f t="shared" si="23"/>
        <v/>
      </c>
    </row>
    <row r="131" spans="1:23" x14ac:dyDescent="0.2">
      <c r="A131" s="181"/>
      <c r="B131" s="181"/>
      <c r="C131" s="181"/>
      <c r="D131" s="181"/>
      <c r="E131" s="181"/>
      <c r="F131" s="181"/>
      <c r="G131" s="181"/>
      <c r="K131" s="182">
        <v>130</v>
      </c>
      <c r="L131" s="182" t="str">
        <f t="shared" ref="L131:L194" si="24">IF($B$13&gt;=K131,K131,"")</f>
        <v/>
      </c>
      <c r="M131" s="182" t="str">
        <f t="shared" ref="M131:M194" si="25">IF(L131="","",IF(L131&lt;=$E$15,VLOOKUP($E$14,$I$1:$J$4,2,FALSE),VLOOKUP($F$14,$I$1:$J$4,2,FALSE)))</f>
        <v/>
      </c>
      <c r="N131" s="182" t="str">
        <f t="shared" ref="N131:N194" si="26">IF($B$20&gt;=K131,K131,"")</f>
        <v/>
      </c>
      <c r="O131" s="182" t="str">
        <f t="shared" ref="O131:O194" si="27">IF(N131="","",IF(N131&lt;=$E$22,VLOOKUP($E$21,$I$1:$J$4,2,FALSE),VLOOKUP($F$21,$I$1:$J$4,2,FALSE)))</f>
        <v/>
      </c>
      <c r="P131" s="182" t="str">
        <f t="shared" ref="P131:P194" si="28">IF($B$27&gt;=K131,K131,"")</f>
        <v/>
      </c>
      <c r="Q131" s="182" t="str">
        <f t="shared" ref="Q131:Q194" si="29">IF(P131="","",IF(P131&lt;=$E$29,VLOOKUP($E$28,$I$1:$J$4,2,FALSE),VLOOKUP($F$28,$I$1:$J$4,2,FALSE)))</f>
        <v/>
      </c>
      <c r="R131" s="182" t="str">
        <f t="shared" ref="R131:R194" si="30">IF($B$34&gt;=K131,K131,"")</f>
        <v/>
      </c>
      <c r="S131" s="182" t="str">
        <f t="shared" ref="S131:S194" si="31">IF(R131="","",IF(R131&lt;=$E$36,VLOOKUP($E$35,$I$1:$J$4,2,FALSE),VLOOKUP($F$35,$I$1:$J$4,2,FALSE)))</f>
        <v/>
      </c>
      <c r="T131" s="182" t="str">
        <f t="shared" ref="T131:T194" si="32">IF($B$41&gt;=K131,K131,"")</f>
        <v/>
      </c>
      <c r="U131" s="182" t="str">
        <f t="shared" ref="U131:U194" si="33">IF(T131="","",IF(T131&lt;=$E$43,VLOOKUP($E$42,$I$1:$J$4,2,FALSE),VLOOKUP($F$42,$I$1:$J$4,2,FALSE)))</f>
        <v/>
      </c>
      <c r="V131" s="182" t="str">
        <f t="shared" ref="V131:V194" si="34">IF($B$48&gt;=K131,K131,"")</f>
        <v/>
      </c>
      <c r="W131" s="182" t="str">
        <f t="shared" ref="W131:W194" si="35">IF(V131="","",IF(V131&lt;=$E$50,VLOOKUP($E$49,$I$1:$J$4,2,FALSE),VLOOKUP($F$49,$I$1:$J$4,2,FALSE)))</f>
        <v/>
      </c>
    </row>
    <row r="132" spans="1:23" x14ac:dyDescent="0.2">
      <c r="A132" s="181"/>
      <c r="B132" s="181"/>
      <c r="C132" s="181"/>
      <c r="D132" s="181"/>
      <c r="E132" s="181"/>
      <c r="F132" s="181"/>
      <c r="G132" s="181"/>
      <c r="K132" s="182">
        <v>131</v>
      </c>
      <c r="L132" s="182" t="str">
        <f t="shared" si="24"/>
        <v/>
      </c>
      <c r="M132" s="182" t="str">
        <f t="shared" si="25"/>
        <v/>
      </c>
      <c r="N132" s="182" t="str">
        <f t="shared" si="26"/>
        <v/>
      </c>
      <c r="O132" s="182" t="str">
        <f t="shared" si="27"/>
        <v/>
      </c>
      <c r="P132" s="182" t="str">
        <f t="shared" si="28"/>
        <v/>
      </c>
      <c r="Q132" s="182" t="str">
        <f t="shared" si="29"/>
        <v/>
      </c>
      <c r="R132" s="182" t="str">
        <f t="shared" si="30"/>
        <v/>
      </c>
      <c r="S132" s="182" t="str">
        <f t="shared" si="31"/>
        <v/>
      </c>
      <c r="T132" s="182" t="str">
        <f t="shared" si="32"/>
        <v/>
      </c>
      <c r="U132" s="182" t="str">
        <f t="shared" si="33"/>
        <v/>
      </c>
      <c r="V132" s="182" t="str">
        <f t="shared" si="34"/>
        <v/>
      </c>
      <c r="W132" s="182" t="str">
        <f t="shared" si="35"/>
        <v/>
      </c>
    </row>
    <row r="133" spans="1:23" x14ac:dyDescent="0.2">
      <c r="A133" s="181"/>
      <c r="B133" s="181"/>
      <c r="C133" s="181"/>
      <c r="D133" s="181"/>
      <c r="E133" s="181"/>
      <c r="F133" s="181"/>
      <c r="G133" s="181"/>
      <c r="K133" s="182">
        <v>132</v>
      </c>
      <c r="L133" s="182" t="str">
        <f t="shared" si="24"/>
        <v/>
      </c>
      <c r="M133" s="182" t="str">
        <f t="shared" si="25"/>
        <v/>
      </c>
      <c r="N133" s="182" t="str">
        <f t="shared" si="26"/>
        <v/>
      </c>
      <c r="O133" s="182" t="str">
        <f t="shared" si="27"/>
        <v/>
      </c>
      <c r="P133" s="182" t="str">
        <f t="shared" si="28"/>
        <v/>
      </c>
      <c r="Q133" s="182" t="str">
        <f t="shared" si="29"/>
        <v/>
      </c>
      <c r="R133" s="182" t="str">
        <f t="shared" si="30"/>
        <v/>
      </c>
      <c r="S133" s="182" t="str">
        <f t="shared" si="31"/>
        <v/>
      </c>
      <c r="T133" s="182" t="str">
        <f t="shared" si="32"/>
        <v/>
      </c>
      <c r="U133" s="182" t="str">
        <f t="shared" si="33"/>
        <v/>
      </c>
      <c r="V133" s="182" t="str">
        <f t="shared" si="34"/>
        <v/>
      </c>
      <c r="W133" s="182" t="str">
        <f t="shared" si="35"/>
        <v/>
      </c>
    </row>
    <row r="134" spans="1:23" x14ac:dyDescent="0.2">
      <c r="A134" s="181"/>
      <c r="B134" s="181"/>
      <c r="C134" s="181"/>
      <c r="D134" s="181"/>
      <c r="E134" s="181"/>
      <c r="F134" s="181"/>
      <c r="G134" s="181"/>
      <c r="K134" s="182">
        <v>133</v>
      </c>
      <c r="L134" s="182" t="str">
        <f t="shared" si="24"/>
        <v/>
      </c>
      <c r="M134" s="182" t="str">
        <f t="shared" si="25"/>
        <v/>
      </c>
      <c r="N134" s="182" t="str">
        <f t="shared" si="26"/>
        <v/>
      </c>
      <c r="O134" s="182" t="str">
        <f t="shared" si="27"/>
        <v/>
      </c>
      <c r="P134" s="182" t="str">
        <f t="shared" si="28"/>
        <v/>
      </c>
      <c r="Q134" s="182" t="str">
        <f t="shared" si="29"/>
        <v/>
      </c>
      <c r="R134" s="182" t="str">
        <f t="shared" si="30"/>
        <v/>
      </c>
      <c r="S134" s="182" t="str">
        <f t="shared" si="31"/>
        <v/>
      </c>
      <c r="T134" s="182" t="str">
        <f t="shared" si="32"/>
        <v/>
      </c>
      <c r="U134" s="182" t="str">
        <f t="shared" si="33"/>
        <v/>
      </c>
      <c r="V134" s="182" t="str">
        <f t="shared" si="34"/>
        <v/>
      </c>
      <c r="W134" s="182" t="str">
        <f t="shared" si="35"/>
        <v/>
      </c>
    </row>
    <row r="135" spans="1:23" x14ac:dyDescent="0.2">
      <c r="A135" s="181"/>
      <c r="B135" s="181"/>
      <c r="C135" s="181"/>
      <c r="D135" s="181"/>
      <c r="E135" s="181"/>
      <c r="F135" s="181"/>
      <c r="G135" s="181"/>
      <c r="K135" s="182">
        <v>134</v>
      </c>
      <c r="L135" s="182" t="str">
        <f t="shared" si="24"/>
        <v/>
      </c>
      <c r="M135" s="182" t="str">
        <f t="shared" si="25"/>
        <v/>
      </c>
      <c r="N135" s="182" t="str">
        <f t="shared" si="26"/>
        <v/>
      </c>
      <c r="O135" s="182" t="str">
        <f t="shared" si="27"/>
        <v/>
      </c>
      <c r="P135" s="182" t="str">
        <f t="shared" si="28"/>
        <v/>
      </c>
      <c r="Q135" s="182" t="str">
        <f t="shared" si="29"/>
        <v/>
      </c>
      <c r="R135" s="182" t="str">
        <f t="shared" si="30"/>
        <v/>
      </c>
      <c r="S135" s="182" t="str">
        <f t="shared" si="31"/>
        <v/>
      </c>
      <c r="T135" s="182" t="str">
        <f t="shared" si="32"/>
        <v/>
      </c>
      <c r="U135" s="182" t="str">
        <f t="shared" si="33"/>
        <v/>
      </c>
      <c r="V135" s="182" t="str">
        <f t="shared" si="34"/>
        <v/>
      </c>
      <c r="W135" s="182" t="str">
        <f t="shared" si="35"/>
        <v/>
      </c>
    </row>
    <row r="136" spans="1:23" x14ac:dyDescent="0.2">
      <c r="A136" s="181"/>
      <c r="B136" s="181"/>
      <c r="C136" s="181"/>
      <c r="D136" s="181"/>
      <c r="E136" s="181"/>
      <c r="F136" s="181"/>
      <c r="G136" s="181"/>
      <c r="K136" s="182">
        <v>135</v>
      </c>
      <c r="L136" s="182" t="str">
        <f t="shared" si="24"/>
        <v/>
      </c>
      <c r="M136" s="182" t="str">
        <f t="shared" si="25"/>
        <v/>
      </c>
      <c r="N136" s="182" t="str">
        <f t="shared" si="26"/>
        <v/>
      </c>
      <c r="O136" s="182" t="str">
        <f t="shared" si="27"/>
        <v/>
      </c>
      <c r="P136" s="182" t="str">
        <f t="shared" si="28"/>
        <v/>
      </c>
      <c r="Q136" s="182" t="str">
        <f t="shared" si="29"/>
        <v/>
      </c>
      <c r="R136" s="182" t="str">
        <f t="shared" si="30"/>
        <v/>
      </c>
      <c r="S136" s="182" t="str">
        <f t="shared" si="31"/>
        <v/>
      </c>
      <c r="T136" s="182" t="str">
        <f t="shared" si="32"/>
        <v/>
      </c>
      <c r="U136" s="182" t="str">
        <f t="shared" si="33"/>
        <v/>
      </c>
      <c r="V136" s="182" t="str">
        <f t="shared" si="34"/>
        <v/>
      </c>
      <c r="W136" s="182" t="str">
        <f t="shared" si="35"/>
        <v/>
      </c>
    </row>
    <row r="137" spans="1:23" x14ac:dyDescent="0.2">
      <c r="A137" s="181"/>
      <c r="B137" s="181"/>
      <c r="C137" s="181"/>
      <c r="D137" s="181"/>
      <c r="E137" s="181"/>
      <c r="F137" s="181"/>
      <c r="G137" s="181"/>
      <c r="K137" s="182">
        <v>136</v>
      </c>
      <c r="L137" s="182" t="str">
        <f t="shared" si="24"/>
        <v/>
      </c>
      <c r="M137" s="182" t="str">
        <f t="shared" si="25"/>
        <v/>
      </c>
      <c r="N137" s="182" t="str">
        <f t="shared" si="26"/>
        <v/>
      </c>
      <c r="O137" s="182" t="str">
        <f t="shared" si="27"/>
        <v/>
      </c>
      <c r="P137" s="182" t="str">
        <f t="shared" si="28"/>
        <v/>
      </c>
      <c r="Q137" s="182" t="str">
        <f t="shared" si="29"/>
        <v/>
      </c>
      <c r="R137" s="182" t="str">
        <f t="shared" si="30"/>
        <v/>
      </c>
      <c r="S137" s="182" t="str">
        <f t="shared" si="31"/>
        <v/>
      </c>
      <c r="T137" s="182" t="str">
        <f t="shared" si="32"/>
        <v/>
      </c>
      <c r="U137" s="182" t="str">
        <f t="shared" si="33"/>
        <v/>
      </c>
      <c r="V137" s="182" t="str">
        <f t="shared" si="34"/>
        <v/>
      </c>
      <c r="W137" s="182" t="str">
        <f t="shared" si="35"/>
        <v/>
      </c>
    </row>
    <row r="138" spans="1:23" x14ac:dyDescent="0.2">
      <c r="A138" s="181"/>
      <c r="B138" s="181"/>
      <c r="C138" s="181"/>
      <c r="D138" s="181"/>
      <c r="E138" s="181"/>
      <c r="F138" s="181"/>
      <c r="G138" s="181"/>
      <c r="K138" s="182">
        <v>137</v>
      </c>
      <c r="L138" s="182" t="str">
        <f t="shared" si="24"/>
        <v/>
      </c>
      <c r="M138" s="182" t="str">
        <f t="shared" si="25"/>
        <v/>
      </c>
      <c r="N138" s="182" t="str">
        <f t="shared" si="26"/>
        <v/>
      </c>
      <c r="O138" s="182" t="str">
        <f t="shared" si="27"/>
        <v/>
      </c>
      <c r="P138" s="182" t="str">
        <f t="shared" si="28"/>
        <v/>
      </c>
      <c r="Q138" s="182" t="str">
        <f t="shared" si="29"/>
        <v/>
      </c>
      <c r="R138" s="182" t="str">
        <f t="shared" si="30"/>
        <v/>
      </c>
      <c r="S138" s="182" t="str">
        <f t="shared" si="31"/>
        <v/>
      </c>
      <c r="T138" s="182" t="str">
        <f t="shared" si="32"/>
        <v/>
      </c>
      <c r="U138" s="182" t="str">
        <f t="shared" si="33"/>
        <v/>
      </c>
      <c r="V138" s="182" t="str">
        <f t="shared" si="34"/>
        <v/>
      </c>
      <c r="W138" s="182" t="str">
        <f t="shared" si="35"/>
        <v/>
      </c>
    </row>
    <row r="139" spans="1:23" x14ac:dyDescent="0.2">
      <c r="A139" s="181"/>
      <c r="B139" s="181"/>
      <c r="C139" s="181"/>
      <c r="D139" s="181"/>
      <c r="E139" s="181"/>
      <c r="F139" s="181"/>
      <c r="G139" s="181"/>
      <c r="K139" s="182">
        <v>138</v>
      </c>
      <c r="L139" s="182" t="str">
        <f t="shared" si="24"/>
        <v/>
      </c>
      <c r="M139" s="182" t="str">
        <f t="shared" si="25"/>
        <v/>
      </c>
      <c r="N139" s="182" t="str">
        <f t="shared" si="26"/>
        <v/>
      </c>
      <c r="O139" s="182" t="str">
        <f t="shared" si="27"/>
        <v/>
      </c>
      <c r="P139" s="182" t="str">
        <f t="shared" si="28"/>
        <v/>
      </c>
      <c r="Q139" s="182" t="str">
        <f t="shared" si="29"/>
        <v/>
      </c>
      <c r="R139" s="182" t="str">
        <f t="shared" si="30"/>
        <v/>
      </c>
      <c r="S139" s="182" t="str">
        <f t="shared" si="31"/>
        <v/>
      </c>
      <c r="T139" s="182" t="str">
        <f t="shared" si="32"/>
        <v/>
      </c>
      <c r="U139" s="182" t="str">
        <f t="shared" si="33"/>
        <v/>
      </c>
      <c r="V139" s="182" t="str">
        <f t="shared" si="34"/>
        <v/>
      </c>
      <c r="W139" s="182" t="str">
        <f t="shared" si="35"/>
        <v/>
      </c>
    </row>
    <row r="140" spans="1:23" x14ac:dyDescent="0.2">
      <c r="A140" s="181"/>
      <c r="B140" s="181"/>
      <c r="C140" s="181"/>
      <c r="D140" s="181"/>
      <c r="E140" s="181"/>
      <c r="F140" s="181"/>
      <c r="G140" s="181"/>
      <c r="K140" s="182">
        <v>139</v>
      </c>
      <c r="L140" s="182" t="str">
        <f t="shared" si="24"/>
        <v/>
      </c>
      <c r="M140" s="182" t="str">
        <f t="shared" si="25"/>
        <v/>
      </c>
      <c r="N140" s="182" t="str">
        <f t="shared" si="26"/>
        <v/>
      </c>
      <c r="O140" s="182" t="str">
        <f t="shared" si="27"/>
        <v/>
      </c>
      <c r="P140" s="182" t="str">
        <f t="shared" si="28"/>
        <v/>
      </c>
      <c r="Q140" s="182" t="str">
        <f t="shared" si="29"/>
        <v/>
      </c>
      <c r="R140" s="182" t="str">
        <f t="shared" si="30"/>
        <v/>
      </c>
      <c r="S140" s="182" t="str">
        <f t="shared" si="31"/>
        <v/>
      </c>
      <c r="T140" s="182" t="str">
        <f t="shared" si="32"/>
        <v/>
      </c>
      <c r="U140" s="182" t="str">
        <f t="shared" si="33"/>
        <v/>
      </c>
      <c r="V140" s="182" t="str">
        <f t="shared" si="34"/>
        <v/>
      </c>
      <c r="W140" s="182" t="str">
        <f t="shared" si="35"/>
        <v/>
      </c>
    </row>
    <row r="141" spans="1:23" x14ac:dyDescent="0.2">
      <c r="A141" s="181"/>
      <c r="B141" s="181"/>
      <c r="C141" s="181"/>
      <c r="D141" s="181"/>
      <c r="E141" s="181"/>
      <c r="F141" s="181"/>
      <c r="G141" s="181"/>
      <c r="K141" s="182">
        <v>140</v>
      </c>
      <c r="L141" s="182" t="str">
        <f t="shared" si="24"/>
        <v/>
      </c>
      <c r="M141" s="182" t="str">
        <f t="shared" si="25"/>
        <v/>
      </c>
      <c r="N141" s="182" t="str">
        <f t="shared" si="26"/>
        <v/>
      </c>
      <c r="O141" s="182" t="str">
        <f t="shared" si="27"/>
        <v/>
      </c>
      <c r="P141" s="182" t="str">
        <f t="shared" si="28"/>
        <v/>
      </c>
      <c r="Q141" s="182" t="str">
        <f t="shared" si="29"/>
        <v/>
      </c>
      <c r="R141" s="182" t="str">
        <f t="shared" si="30"/>
        <v/>
      </c>
      <c r="S141" s="182" t="str">
        <f t="shared" si="31"/>
        <v/>
      </c>
      <c r="T141" s="182" t="str">
        <f t="shared" si="32"/>
        <v/>
      </c>
      <c r="U141" s="182" t="str">
        <f t="shared" si="33"/>
        <v/>
      </c>
      <c r="V141" s="182" t="str">
        <f t="shared" si="34"/>
        <v/>
      </c>
      <c r="W141" s="182" t="str">
        <f t="shared" si="35"/>
        <v/>
      </c>
    </row>
    <row r="142" spans="1:23" x14ac:dyDescent="0.2">
      <c r="A142" s="181"/>
      <c r="B142" s="181"/>
      <c r="C142" s="181"/>
      <c r="D142" s="181"/>
      <c r="E142" s="181"/>
      <c r="F142" s="181"/>
      <c r="G142" s="181"/>
      <c r="K142" s="182">
        <v>141</v>
      </c>
      <c r="L142" s="182" t="str">
        <f t="shared" si="24"/>
        <v/>
      </c>
      <c r="M142" s="182" t="str">
        <f t="shared" si="25"/>
        <v/>
      </c>
      <c r="N142" s="182" t="str">
        <f t="shared" si="26"/>
        <v/>
      </c>
      <c r="O142" s="182" t="str">
        <f t="shared" si="27"/>
        <v/>
      </c>
      <c r="P142" s="182" t="str">
        <f t="shared" si="28"/>
        <v/>
      </c>
      <c r="Q142" s="182" t="str">
        <f t="shared" si="29"/>
        <v/>
      </c>
      <c r="R142" s="182" t="str">
        <f t="shared" si="30"/>
        <v/>
      </c>
      <c r="S142" s="182" t="str">
        <f t="shared" si="31"/>
        <v/>
      </c>
      <c r="T142" s="182" t="str">
        <f t="shared" si="32"/>
        <v/>
      </c>
      <c r="U142" s="182" t="str">
        <f t="shared" si="33"/>
        <v/>
      </c>
      <c r="V142" s="182" t="str">
        <f t="shared" si="34"/>
        <v/>
      </c>
      <c r="W142" s="182" t="str">
        <f t="shared" si="35"/>
        <v/>
      </c>
    </row>
    <row r="143" spans="1:23" x14ac:dyDescent="0.2">
      <c r="A143" s="181"/>
      <c r="B143" s="181"/>
      <c r="C143" s="181"/>
      <c r="D143" s="181"/>
      <c r="E143" s="181"/>
      <c r="F143" s="181"/>
      <c r="G143" s="181"/>
      <c r="K143" s="182">
        <v>142</v>
      </c>
      <c r="L143" s="182" t="str">
        <f t="shared" si="24"/>
        <v/>
      </c>
      <c r="M143" s="182" t="str">
        <f t="shared" si="25"/>
        <v/>
      </c>
      <c r="N143" s="182" t="str">
        <f t="shared" si="26"/>
        <v/>
      </c>
      <c r="O143" s="182" t="str">
        <f t="shared" si="27"/>
        <v/>
      </c>
      <c r="P143" s="182" t="str">
        <f t="shared" si="28"/>
        <v/>
      </c>
      <c r="Q143" s="182" t="str">
        <f t="shared" si="29"/>
        <v/>
      </c>
      <c r="R143" s="182" t="str">
        <f t="shared" si="30"/>
        <v/>
      </c>
      <c r="S143" s="182" t="str">
        <f t="shared" si="31"/>
        <v/>
      </c>
      <c r="T143" s="182" t="str">
        <f t="shared" si="32"/>
        <v/>
      </c>
      <c r="U143" s="182" t="str">
        <f t="shared" si="33"/>
        <v/>
      </c>
      <c r="V143" s="182" t="str">
        <f t="shared" si="34"/>
        <v/>
      </c>
      <c r="W143" s="182" t="str">
        <f t="shared" si="35"/>
        <v/>
      </c>
    </row>
    <row r="144" spans="1:23" x14ac:dyDescent="0.2">
      <c r="A144" s="181"/>
      <c r="B144" s="181"/>
      <c r="C144" s="181"/>
      <c r="D144" s="181"/>
      <c r="E144" s="181"/>
      <c r="F144" s="181"/>
      <c r="G144" s="181"/>
      <c r="K144" s="182">
        <v>143</v>
      </c>
      <c r="L144" s="182" t="str">
        <f t="shared" si="24"/>
        <v/>
      </c>
      <c r="M144" s="182" t="str">
        <f t="shared" si="25"/>
        <v/>
      </c>
      <c r="N144" s="182" t="str">
        <f t="shared" si="26"/>
        <v/>
      </c>
      <c r="O144" s="182" t="str">
        <f t="shared" si="27"/>
        <v/>
      </c>
      <c r="P144" s="182" t="str">
        <f t="shared" si="28"/>
        <v/>
      </c>
      <c r="Q144" s="182" t="str">
        <f t="shared" si="29"/>
        <v/>
      </c>
      <c r="R144" s="182" t="str">
        <f t="shared" si="30"/>
        <v/>
      </c>
      <c r="S144" s="182" t="str">
        <f t="shared" si="31"/>
        <v/>
      </c>
      <c r="T144" s="182" t="str">
        <f t="shared" si="32"/>
        <v/>
      </c>
      <c r="U144" s="182" t="str">
        <f t="shared" si="33"/>
        <v/>
      </c>
      <c r="V144" s="182" t="str">
        <f t="shared" si="34"/>
        <v/>
      </c>
      <c r="W144" s="182" t="str">
        <f t="shared" si="35"/>
        <v/>
      </c>
    </row>
    <row r="145" spans="1:23" x14ac:dyDescent="0.2">
      <c r="A145" s="181"/>
      <c r="B145" s="181"/>
      <c r="C145" s="181"/>
      <c r="D145" s="181"/>
      <c r="E145" s="181"/>
      <c r="F145" s="181"/>
      <c r="G145" s="181"/>
      <c r="K145" s="182">
        <v>144</v>
      </c>
      <c r="L145" s="182" t="str">
        <f t="shared" si="24"/>
        <v/>
      </c>
      <c r="M145" s="182" t="str">
        <f t="shared" si="25"/>
        <v/>
      </c>
      <c r="N145" s="182" t="str">
        <f t="shared" si="26"/>
        <v/>
      </c>
      <c r="O145" s="182" t="str">
        <f t="shared" si="27"/>
        <v/>
      </c>
      <c r="P145" s="182" t="str">
        <f t="shared" si="28"/>
        <v/>
      </c>
      <c r="Q145" s="182" t="str">
        <f t="shared" si="29"/>
        <v/>
      </c>
      <c r="R145" s="182" t="str">
        <f t="shared" si="30"/>
        <v/>
      </c>
      <c r="S145" s="182" t="str">
        <f t="shared" si="31"/>
        <v/>
      </c>
      <c r="T145" s="182" t="str">
        <f t="shared" si="32"/>
        <v/>
      </c>
      <c r="U145" s="182" t="str">
        <f t="shared" si="33"/>
        <v/>
      </c>
      <c r="V145" s="182" t="str">
        <f t="shared" si="34"/>
        <v/>
      </c>
      <c r="W145" s="182" t="str">
        <f t="shared" si="35"/>
        <v/>
      </c>
    </row>
    <row r="146" spans="1:23" x14ac:dyDescent="0.2">
      <c r="A146" s="181"/>
      <c r="B146" s="181"/>
      <c r="C146" s="181"/>
      <c r="D146" s="181"/>
      <c r="E146" s="181"/>
      <c r="F146" s="181"/>
      <c r="G146" s="181"/>
      <c r="K146" s="182">
        <v>145</v>
      </c>
      <c r="L146" s="182" t="str">
        <f t="shared" si="24"/>
        <v/>
      </c>
      <c r="M146" s="182" t="str">
        <f t="shared" si="25"/>
        <v/>
      </c>
      <c r="N146" s="182" t="str">
        <f t="shared" si="26"/>
        <v/>
      </c>
      <c r="O146" s="182" t="str">
        <f t="shared" si="27"/>
        <v/>
      </c>
      <c r="P146" s="182" t="str">
        <f t="shared" si="28"/>
        <v/>
      </c>
      <c r="Q146" s="182" t="str">
        <f t="shared" si="29"/>
        <v/>
      </c>
      <c r="R146" s="182" t="str">
        <f t="shared" si="30"/>
        <v/>
      </c>
      <c r="S146" s="182" t="str">
        <f t="shared" si="31"/>
        <v/>
      </c>
      <c r="T146" s="182" t="str">
        <f t="shared" si="32"/>
        <v/>
      </c>
      <c r="U146" s="182" t="str">
        <f t="shared" si="33"/>
        <v/>
      </c>
      <c r="V146" s="182" t="str">
        <f t="shared" si="34"/>
        <v/>
      </c>
      <c r="W146" s="182" t="str">
        <f t="shared" si="35"/>
        <v/>
      </c>
    </row>
    <row r="147" spans="1:23" x14ac:dyDescent="0.2">
      <c r="A147" s="181"/>
      <c r="B147" s="181"/>
      <c r="C147" s="181"/>
      <c r="D147" s="181"/>
      <c r="E147" s="181"/>
      <c r="F147" s="181"/>
      <c r="G147" s="181"/>
      <c r="K147" s="182">
        <v>146</v>
      </c>
      <c r="L147" s="182" t="str">
        <f t="shared" si="24"/>
        <v/>
      </c>
      <c r="M147" s="182" t="str">
        <f t="shared" si="25"/>
        <v/>
      </c>
      <c r="N147" s="182" t="str">
        <f t="shared" si="26"/>
        <v/>
      </c>
      <c r="O147" s="182" t="str">
        <f t="shared" si="27"/>
        <v/>
      </c>
      <c r="P147" s="182" t="str">
        <f t="shared" si="28"/>
        <v/>
      </c>
      <c r="Q147" s="182" t="str">
        <f t="shared" si="29"/>
        <v/>
      </c>
      <c r="R147" s="182" t="str">
        <f t="shared" si="30"/>
        <v/>
      </c>
      <c r="S147" s="182" t="str">
        <f t="shared" si="31"/>
        <v/>
      </c>
      <c r="T147" s="182" t="str">
        <f t="shared" si="32"/>
        <v/>
      </c>
      <c r="U147" s="182" t="str">
        <f t="shared" si="33"/>
        <v/>
      </c>
      <c r="V147" s="182" t="str">
        <f t="shared" si="34"/>
        <v/>
      </c>
      <c r="W147" s="182" t="str">
        <f t="shared" si="35"/>
        <v/>
      </c>
    </row>
    <row r="148" spans="1:23" x14ac:dyDescent="0.2">
      <c r="A148" s="181"/>
      <c r="B148" s="181"/>
      <c r="C148" s="181"/>
      <c r="D148" s="181"/>
      <c r="E148" s="181"/>
      <c r="F148" s="181"/>
      <c r="G148" s="181"/>
      <c r="K148" s="182">
        <v>147</v>
      </c>
      <c r="L148" s="182" t="str">
        <f t="shared" si="24"/>
        <v/>
      </c>
      <c r="M148" s="182" t="str">
        <f t="shared" si="25"/>
        <v/>
      </c>
      <c r="N148" s="182" t="str">
        <f t="shared" si="26"/>
        <v/>
      </c>
      <c r="O148" s="182" t="str">
        <f t="shared" si="27"/>
        <v/>
      </c>
      <c r="P148" s="182" t="str">
        <f t="shared" si="28"/>
        <v/>
      </c>
      <c r="Q148" s="182" t="str">
        <f t="shared" si="29"/>
        <v/>
      </c>
      <c r="R148" s="182" t="str">
        <f t="shared" si="30"/>
        <v/>
      </c>
      <c r="S148" s="182" t="str">
        <f t="shared" si="31"/>
        <v/>
      </c>
      <c r="T148" s="182" t="str">
        <f t="shared" si="32"/>
        <v/>
      </c>
      <c r="U148" s="182" t="str">
        <f t="shared" si="33"/>
        <v/>
      </c>
      <c r="V148" s="182" t="str">
        <f t="shared" si="34"/>
        <v/>
      </c>
      <c r="W148" s="182" t="str">
        <f t="shared" si="35"/>
        <v/>
      </c>
    </row>
    <row r="149" spans="1:23" x14ac:dyDescent="0.2">
      <c r="A149" s="181"/>
      <c r="B149" s="181"/>
      <c r="C149" s="181"/>
      <c r="D149" s="181"/>
      <c r="E149" s="181"/>
      <c r="F149" s="181"/>
      <c r="G149" s="181"/>
      <c r="K149" s="182">
        <v>148</v>
      </c>
      <c r="L149" s="182" t="str">
        <f t="shared" si="24"/>
        <v/>
      </c>
      <c r="M149" s="182" t="str">
        <f t="shared" si="25"/>
        <v/>
      </c>
      <c r="N149" s="182" t="str">
        <f t="shared" si="26"/>
        <v/>
      </c>
      <c r="O149" s="182" t="str">
        <f t="shared" si="27"/>
        <v/>
      </c>
      <c r="P149" s="182" t="str">
        <f t="shared" si="28"/>
        <v/>
      </c>
      <c r="Q149" s="182" t="str">
        <f t="shared" si="29"/>
        <v/>
      </c>
      <c r="R149" s="182" t="str">
        <f t="shared" si="30"/>
        <v/>
      </c>
      <c r="S149" s="182" t="str">
        <f t="shared" si="31"/>
        <v/>
      </c>
      <c r="T149" s="182" t="str">
        <f t="shared" si="32"/>
        <v/>
      </c>
      <c r="U149" s="182" t="str">
        <f t="shared" si="33"/>
        <v/>
      </c>
      <c r="V149" s="182" t="str">
        <f t="shared" si="34"/>
        <v/>
      </c>
      <c r="W149" s="182" t="str">
        <f t="shared" si="35"/>
        <v/>
      </c>
    </row>
    <row r="150" spans="1:23" x14ac:dyDescent="0.2">
      <c r="A150" s="181"/>
      <c r="B150" s="181"/>
      <c r="C150" s="181"/>
      <c r="D150" s="181"/>
      <c r="E150" s="181"/>
      <c r="F150" s="181"/>
      <c r="G150" s="181"/>
      <c r="K150" s="182">
        <v>149</v>
      </c>
      <c r="L150" s="182" t="str">
        <f t="shared" si="24"/>
        <v/>
      </c>
      <c r="M150" s="182" t="str">
        <f t="shared" si="25"/>
        <v/>
      </c>
      <c r="N150" s="182" t="str">
        <f t="shared" si="26"/>
        <v/>
      </c>
      <c r="O150" s="182" t="str">
        <f t="shared" si="27"/>
        <v/>
      </c>
      <c r="P150" s="182" t="str">
        <f t="shared" si="28"/>
        <v/>
      </c>
      <c r="Q150" s="182" t="str">
        <f t="shared" si="29"/>
        <v/>
      </c>
      <c r="R150" s="182" t="str">
        <f t="shared" si="30"/>
        <v/>
      </c>
      <c r="S150" s="182" t="str">
        <f t="shared" si="31"/>
        <v/>
      </c>
      <c r="T150" s="182" t="str">
        <f t="shared" si="32"/>
        <v/>
      </c>
      <c r="U150" s="182" t="str">
        <f t="shared" si="33"/>
        <v/>
      </c>
      <c r="V150" s="182" t="str">
        <f t="shared" si="34"/>
        <v/>
      </c>
      <c r="W150" s="182" t="str">
        <f t="shared" si="35"/>
        <v/>
      </c>
    </row>
    <row r="151" spans="1:23" x14ac:dyDescent="0.2">
      <c r="A151" s="181"/>
      <c r="B151" s="181"/>
      <c r="C151" s="181"/>
      <c r="D151" s="181"/>
      <c r="E151" s="181"/>
      <c r="F151" s="181"/>
      <c r="G151" s="181"/>
      <c r="K151" s="182">
        <v>150</v>
      </c>
      <c r="L151" s="182" t="str">
        <f t="shared" si="24"/>
        <v/>
      </c>
      <c r="M151" s="182" t="str">
        <f t="shared" si="25"/>
        <v/>
      </c>
      <c r="N151" s="182" t="str">
        <f t="shared" si="26"/>
        <v/>
      </c>
      <c r="O151" s="182" t="str">
        <f t="shared" si="27"/>
        <v/>
      </c>
      <c r="P151" s="182" t="str">
        <f t="shared" si="28"/>
        <v/>
      </c>
      <c r="Q151" s="182" t="str">
        <f t="shared" si="29"/>
        <v/>
      </c>
      <c r="R151" s="182" t="str">
        <f t="shared" si="30"/>
        <v/>
      </c>
      <c r="S151" s="182" t="str">
        <f t="shared" si="31"/>
        <v/>
      </c>
      <c r="T151" s="182" t="str">
        <f t="shared" si="32"/>
        <v/>
      </c>
      <c r="U151" s="182" t="str">
        <f t="shared" si="33"/>
        <v/>
      </c>
      <c r="V151" s="182" t="str">
        <f t="shared" si="34"/>
        <v/>
      </c>
      <c r="W151" s="182" t="str">
        <f t="shared" si="35"/>
        <v/>
      </c>
    </row>
    <row r="152" spans="1:23" x14ac:dyDescent="0.2">
      <c r="A152" s="181"/>
      <c r="B152" s="181"/>
      <c r="C152" s="181"/>
      <c r="D152" s="181"/>
      <c r="E152" s="181"/>
      <c r="F152" s="181"/>
      <c r="G152" s="181"/>
      <c r="K152" s="182">
        <v>151</v>
      </c>
      <c r="L152" s="182" t="str">
        <f t="shared" si="24"/>
        <v/>
      </c>
      <c r="M152" s="182" t="str">
        <f t="shared" si="25"/>
        <v/>
      </c>
      <c r="N152" s="182" t="str">
        <f t="shared" si="26"/>
        <v/>
      </c>
      <c r="O152" s="182" t="str">
        <f t="shared" si="27"/>
        <v/>
      </c>
      <c r="P152" s="182" t="str">
        <f t="shared" si="28"/>
        <v/>
      </c>
      <c r="Q152" s="182" t="str">
        <f t="shared" si="29"/>
        <v/>
      </c>
      <c r="R152" s="182" t="str">
        <f t="shared" si="30"/>
        <v/>
      </c>
      <c r="S152" s="182" t="str">
        <f t="shared" si="31"/>
        <v/>
      </c>
      <c r="T152" s="182" t="str">
        <f t="shared" si="32"/>
        <v/>
      </c>
      <c r="U152" s="182" t="str">
        <f t="shared" si="33"/>
        <v/>
      </c>
      <c r="V152" s="182" t="str">
        <f t="shared" si="34"/>
        <v/>
      </c>
      <c r="W152" s="182" t="str">
        <f t="shared" si="35"/>
        <v/>
      </c>
    </row>
    <row r="153" spans="1:23" x14ac:dyDescent="0.2">
      <c r="A153" s="181"/>
      <c r="B153" s="181"/>
      <c r="C153" s="181"/>
      <c r="D153" s="181"/>
      <c r="E153" s="181"/>
      <c r="F153" s="181"/>
      <c r="G153" s="181"/>
      <c r="K153" s="182">
        <v>152</v>
      </c>
      <c r="L153" s="182" t="str">
        <f t="shared" si="24"/>
        <v/>
      </c>
      <c r="M153" s="182" t="str">
        <f t="shared" si="25"/>
        <v/>
      </c>
      <c r="N153" s="182" t="str">
        <f t="shared" si="26"/>
        <v/>
      </c>
      <c r="O153" s="182" t="str">
        <f t="shared" si="27"/>
        <v/>
      </c>
      <c r="P153" s="182" t="str">
        <f t="shared" si="28"/>
        <v/>
      </c>
      <c r="Q153" s="182" t="str">
        <f t="shared" si="29"/>
        <v/>
      </c>
      <c r="R153" s="182" t="str">
        <f t="shared" si="30"/>
        <v/>
      </c>
      <c r="S153" s="182" t="str">
        <f t="shared" si="31"/>
        <v/>
      </c>
      <c r="T153" s="182" t="str">
        <f t="shared" si="32"/>
        <v/>
      </c>
      <c r="U153" s="182" t="str">
        <f t="shared" si="33"/>
        <v/>
      </c>
      <c r="V153" s="182" t="str">
        <f t="shared" si="34"/>
        <v/>
      </c>
      <c r="W153" s="182" t="str">
        <f t="shared" si="35"/>
        <v/>
      </c>
    </row>
    <row r="154" spans="1:23" x14ac:dyDescent="0.2">
      <c r="A154" s="181"/>
      <c r="B154" s="181"/>
      <c r="C154" s="181"/>
      <c r="D154" s="181"/>
      <c r="E154" s="181"/>
      <c r="F154" s="181"/>
      <c r="G154" s="181"/>
      <c r="K154" s="182">
        <v>153</v>
      </c>
      <c r="L154" s="182" t="str">
        <f t="shared" si="24"/>
        <v/>
      </c>
      <c r="M154" s="182" t="str">
        <f t="shared" si="25"/>
        <v/>
      </c>
      <c r="N154" s="182" t="str">
        <f t="shared" si="26"/>
        <v/>
      </c>
      <c r="O154" s="182" t="str">
        <f t="shared" si="27"/>
        <v/>
      </c>
      <c r="P154" s="182" t="str">
        <f t="shared" si="28"/>
        <v/>
      </c>
      <c r="Q154" s="182" t="str">
        <f t="shared" si="29"/>
        <v/>
      </c>
      <c r="R154" s="182" t="str">
        <f t="shared" si="30"/>
        <v/>
      </c>
      <c r="S154" s="182" t="str">
        <f t="shared" si="31"/>
        <v/>
      </c>
      <c r="T154" s="182" t="str">
        <f t="shared" si="32"/>
        <v/>
      </c>
      <c r="U154" s="182" t="str">
        <f t="shared" si="33"/>
        <v/>
      </c>
      <c r="V154" s="182" t="str">
        <f t="shared" si="34"/>
        <v/>
      </c>
      <c r="W154" s="182" t="str">
        <f t="shared" si="35"/>
        <v/>
      </c>
    </row>
    <row r="155" spans="1:23" x14ac:dyDescent="0.2">
      <c r="A155" s="181"/>
      <c r="B155" s="181"/>
      <c r="C155" s="181"/>
      <c r="D155" s="181"/>
      <c r="E155" s="181"/>
      <c r="F155" s="181"/>
      <c r="G155" s="181"/>
      <c r="K155" s="182">
        <v>154</v>
      </c>
      <c r="L155" s="182" t="str">
        <f t="shared" si="24"/>
        <v/>
      </c>
      <c r="M155" s="182" t="str">
        <f t="shared" si="25"/>
        <v/>
      </c>
      <c r="N155" s="182" t="str">
        <f t="shared" si="26"/>
        <v/>
      </c>
      <c r="O155" s="182" t="str">
        <f t="shared" si="27"/>
        <v/>
      </c>
      <c r="P155" s="182" t="str">
        <f t="shared" si="28"/>
        <v/>
      </c>
      <c r="Q155" s="182" t="str">
        <f t="shared" si="29"/>
        <v/>
      </c>
      <c r="R155" s="182" t="str">
        <f t="shared" si="30"/>
        <v/>
      </c>
      <c r="S155" s="182" t="str">
        <f t="shared" si="31"/>
        <v/>
      </c>
      <c r="T155" s="182" t="str">
        <f t="shared" si="32"/>
        <v/>
      </c>
      <c r="U155" s="182" t="str">
        <f t="shared" si="33"/>
        <v/>
      </c>
      <c r="V155" s="182" t="str">
        <f t="shared" si="34"/>
        <v/>
      </c>
      <c r="W155" s="182" t="str">
        <f t="shared" si="35"/>
        <v/>
      </c>
    </row>
    <row r="156" spans="1:23" x14ac:dyDescent="0.2">
      <c r="A156" s="181"/>
      <c r="B156" s="181"/>
      <c r="C156" s="181"/>
      <c r="D156" s="181"/>
      <c r="E156" s="181"/>
      <c r="F156" s="181"/>
      <c r="G156" s="181"/>
      <c r="K156" s="182">
        <v>155</v>
      </c>
      <c r="L156" s="182" t="str">
        <f t="shared" si="24"/>
        <v/>
      </c>
      <c r="M156" s="182" t="str">
        <f t="shared" si="25"/>
        <v/>
      </c>
      <c r="N156" s="182" t="str">
        <f t="shared" si="26"/>
        <v/>
      </c>
      <c r="O156" s="182" t="str">
        <f t="shared" si="27"/>
        <v/>
      </c>
      <c r="P156" s="182" t="str">
        <f t="shared" si="28"/>
        <v/>
      </c>
      <c r="Q156" s="182" t="str">
        <f t="shared" si="29"/>
        <v/>
      </c>
      <c r="R156" s="182" t="str">
        <f t="shared" si="30"/>
        <v/>
      </c>
      <c r="S156" s="182" t="str">
        <f t="shared" si="31"/>
        <v/>
      </c>
      <c r="T156" s="182" t="str">
        <f t="shared" si="32"/>
        <v/>
      </c>
      <c r="U156" s="182" t="str">
        <f t="shared" si="33"/>
        <v/>
      </c>
      <c r="V156" s="182" t="str">
        <f t="shared" si="34"/>
        <v/>
      </c>
      <c r="W156" s="182" t="str">
        <f t="shared" si="35"/>
        <v/>
      </c>
    </row>
    <row r="157" spans="1:23" x14ac:dyDescent="0.2">
      <c r="A157" s="181"/>
      <c r="B157" s="181"/>
      <c r="C157" s="181"/>
      <c r="D157" s="181"/>
      <c r="E157" s="181"/>
      <c r="F157" s="181"/>
      <c r="G157" s="181"/>
      <c r="K157" s="182">
        <v>156</v>
      </c>
      <c r="L157" s="182" t="str">
        <f t="shared" si="24"/>
        <v/>
      </c>
      <c r="M157" s="182" t="str">
        <f t="shared" si="25"/>
        <v/>
      </c>
      <c r="N157" s="182" t="str">
        <f t="shared" si="26"/>
        <v/>
      </c>
      <c r="O157" s="182" t="str">
        <f t="shared" si="27"/>
        <v/>
      </c>
      <c r="P157" s="182" t="str">
        <f t="shared" si="28"/>
        <v/>
      </c>
      <c r="Q157" s="182" t="str">
        <f t="shared" si="29"/>
        <v/>
      </c>
      <c r="R157" s="182" t="str">
        <f t="shared" si="30"/>
        <v/>
      </c>
      <c r="S157" s="182" t="str">
        <f t="shared" si="31"/>
        <v/>
      </c>
      <c r="T157" s="182" t="str">
        <f t="shared" si="32"/>
        <v/>
      </c>
      <c r="U157" s="182" t="str">
        <f t="shared" si="33"/>
        <v/>
      </c>
      <c r="V157" s="182" t="str">
        <f t="shared" si="34"/>
        <v/>
      </c>
      <c r="W157" s="182" t="str">
        <f t="shared" si="35"/>
        <v/>
      </c>
    </row>
    <row r="158" spans="1:23" x14ac:dyDescent="0.2">
      <c r="A158" s="181"/>
      <c r="B158" s="181"/>
      <c r="C158" s="181"/>
      <c r="D158" s="181"/>
      <c r="E158" s="181"/>
      <c r="F158" s="181"/>
      <c r="G158" s="181"/>
      <c r="K158" s="182">
        <v>157</v>
      </c>
      <c r="L158" s="182" t="str">
        <f t="shared" si="24"/>
        <v/>
      </c>
      <c r="M158" s="182" t="str">
        <f t="shared" si="25"/>
        <v/>
      </c>
      <c r="N158" s="182" t="str">
        <f t="shared" si="26"/>
        <v/>
      </c>
      <c r="O158" s="182" t="str">
        <f t="shared" si="27"/>
        <v/>
      </c>
      <c r="P158" s="182" t="str">
        <f t="shared" si="28"/>
        <v/>
      </c>
      <c r="Q158" s="182" t="str">
        <f t="shared" si="29"/>
        <v/>
      </c>
      <c r="R158" s="182" t="str">
        <f t="shared" si="30"/>
        <v/>
      </c>
      <c r="S158" s="182" t="str">
        <f t="shared" si="31"/>
        <v/>
      </c>
      <c r="T158" s="182" t="str">
        <f t="shared" si="32"/>
        <v/>
      </c>
      <c r="U158" s="182" t="str">
        <f t="shared" si="33"/>
        <v/>
      </c>
      <c r="V158" s="182" t="str">
        <f t="shared" si="34"/>
        <v/>
      </c>
      <c r="W158" s="182" t="str">
        <f t="shared" si="35"/>
        <v/>
      </c>
    </row>
    <row r="159" spans="1:23" x14ac:dyDescent="0.2">
      <c r="A159" s="181"/>
      <c r="B159" s="181"/>
      <c r="C159" s="181"/>
      <c r="D159" s="181"/>
      <c r="E159" s="181"/>
      <c r="F159" s="181"/>
      <c r="G159" s="181"/>
      <c r="K159" s="182">
        <v>158</v>
      </c>
      <c r="L159" s="182" t="str">
        <f t="shared" si="24"/>
        <v/>
      </c>
      <c r="M159" s="182" t="str">
        <f t="shared" si="25"/>
        <v/>
      </c>
      <c r="N159" s="182" t="str">
        <f t="shared" si="26"/>
        <v/>
      </c>
      <c r="O159" s="182" t="str">
        <f t="shared" si="27"/>
        <v/>
      </c>
      <c r="P159" s="182" t="str">
        <f t="shared" si="28"/>
        <v/>
      </c>
      <c r="Q159" s="182" t="str">
        <f t="shared" si="29"/>
        <v/>
      </c>
      <c r="R159" s="182" t="str">
        <f t="shared" si="30"/>
        <v/>
      </c>
      <c r="S159" s="182" t="str">
        <f t="shared" si="31"/>
        <v/>
      </c>
      <c r="T159" s="182" t="str">
        <f t="shared" si="32"/>
        <v/>
      </c>
      <c r="U159" s="182" t="str">
        <f t="shared" si="33"/>
        <v/>
      </c>
      <c r="V159" s="182" t="str">
        <f t="shared" si="34"/>
        <v/>
      </c>
      <c r="W159" s="182" t="str">
        <f t="shared" si="35"/>
        <v/>
      </c>
    </row>
    <row r="160" spans="1:23" x14ac:dyDescent="0.2">
      <c r="A160" s="181"/>
      <c r="B160" s="181"/>
      <c r="C160" s="181"/>
      <c r="D160" s="181"/>
      <c r="E160" s="181"/>
      <c r="F160" s="181"/>
      <c r="G160" s="181"/>
      <c r="K160" s="182">
        <v>159</v>
      </c>
      <c r="L160" s="182" t="str">
        <f t="shared" si="24"/>
        <v/>
      </c>
      <c r="M160" s="182" t="str">
        <f t="shared" si="25"/>
        <v/>
      </c>
      <c r="N160" s="182" t="str">
        <f t="shared" si="26"/>
        <v/>
      </c>
      <c r="O160" s="182" t="str">
        <f t="shared" si="27"/>
        <v/>
      </c>
      <c r="P160" s="182" t="str">
        <f t="shared" si="28"/>
        <v/>
      </c>
      <c r="Q160" s="182" t="str">
        <f t="shared" si="29"/>
        <v/>
      </c>
      <c r="R160" s="182" t="str">
        <f t="shared" si="30"/>
        <v/>
      </c>
      <c r="S160" s="182" t="str">
        <f t="shared" si="31"/>
        <v/>
      </c>
      <c r="T160" s="182" t="str">
        <f t="shared" si="32"/>
        <v/>
      </c>
      <c r="U160" s="182" t="str">
        <f t="shared" si="33"/>
        <v/>
      </c>
      <c r="V160" s="182" t="str">
        <f t="shared" si="34"/>
        <v/>
      </c>
      <c r="W160" s="182" t="str">
        <f t="shared" si="35"/>
        <v/>
      </c>
    </row>
    <row r="161" spans="1:23" x14ac:dyDescent="0.2">
      <c r="A161" s="181"/>
      <c r="B161" s="181"/>
      <c r="C161" s="181"/>
      <c r="D161" s="181"/>
      <c r="E161" s="181"/>
      <c r="F161" s="181"/>
      <c r="G161" s="181"/>
      <c r="K161" s="182">
        <v>160</v>
      </c>
      <c r="L161" s="182" t="str">
        <f t="shared" si="24"/>
        <v/>
      </c>
      <c r="M161" s="182" t="str">
        <f t="shared" si="25"/>
        <v/>
      </c>
      <c r="N161" s="182" t="str">
        <f t="shared" si="26"/>
        <v/>
      </c>
      <c r="O161" s="182" t="str">
        <f t="shared" si="27"/>
        <v/>
      </c>
      <c r="P161" s="182" t="str">
        <f t="shared" si="28"/>
        <v/>
      </c>
      <c r="Q161" s="182" t="str">
        <f t="shared" si="29"/>
        <v/>
      </c>
      <c r="R161" s="182" t="str">
        <f t="shared" si="30"/>
        <v/>
      </c>
      <c r="S161" s="182" t="str">
        <f t="shared" si="31"/>
        <v/>
      </c>
      <c r="T161" s="182" t="str">
        <f t="shared" si="32"/>
        <v/>
      </c>
      <c r="U161" s="182" t="str">
        <f t="shared" si="33"/>
        <v/>
      </c>
      <c r="V161" s="182" t="str">
        <f t="shared" si="34"/>
        <v/>
      </c>
      <c r="W161" s="182" t="str">
        <f t="shared" si="35"/>
        <v/>
      </c>
    </row>
    <row r="162" spans="1:23" x14ac:dyDescent="0.2">
      <c r="A162" s="181"/>
      <c r="B162" s="181"/>
      <c r="C162" s="181"/>
      <c r="D162" s="181"/>
      <c r="E162" s="181"/>
      <c r="F162" s="181"/>
      <c r="G162" s="181"/>
      <c r="K162" s="182">
        <v>161</v>
      </c>
      <c r="L162" s="182" t="str">
        <f t="shared" si="24"/>
        <v/>
      </c>
      <c r="M162" s="182" t="str">
        <f t="shared" si="25"/>
        <v/>
      </c>
      <c r="N162" s="182" t="str">
        <f t="shared" si="26"/>
        <v/>
      </c>
      <c r="O162" s="182" t="str">
        <f t="shared" si="27"/>
        <v/>
      </c>
      <c r="P162" s="182" t="str">
        <f t="shared" si="28"/>
        <v/>
      </c>
      <c r="Q162" s="182" t="str">
        <f t="shared" si="29"/>
        <v/>
      </c>
      <c r="R162" s="182" t="str">
        <f t="shared" si="30"/>
        <v/>
      </c>
      <c r="S162" s="182" t="str">
        <f t="shared" si="31"/>
        <v/>
      </c>
      <c r="T162" s="182" t="str">
        <f t="shared" si="32"/>
        <v/>
      </c>
      <c r="U162" s="182" t="str">
        <f t="shared" si="33"/>
        <v/>
      </c>
      <c r="V162" s="182" t="str">
        <f t="shared" si="34"/>
        <v/>
      </c>
      <c r="W162" s="182" t="str">
        <f t="shared" si="35"/>
        <v/>
      </c>
    </row>
    <row r="163" spans="1:23" x14ac:dyDescent="0.2">
      <c r="A163" s="181"/>
      <c r="B163" s="181"/>
      <c r="C163" s="181"/>
      <c r="D163" s="181"/>
      <c r="E163" s="181"/>
      <c r="F163" s="181"/>
      <c r="G163" s="181"/>
      <c r="K163" s="182">
        <v>162</v>
      </c>
      <c r="L163" s="182" t="str">
        <f t="shared" si="24"/>
        <v/>
      </c>
      <c r="M163" s="182" t="str">
        <f t="shared" si="25"/>
        <v/>
      </c>
      <c r="N163" s="182" t="str">
        <f t="shared" si="26"/>
        <v/>
      </c>
      <c r="O163" s="182" t="str">
        <f t="shared" si="27"/>
        <v/>
      </c>
      <c r="P163" s="182" t="str">
        <f t="shared" si="28"/>
        <v/>
      </c>
      <c r="Q163" s="182" t="str">
        <f t="shared" si="29"/>
        <v/>
      </c>
      <c r="R163" s="182" t="str">
        <f t="shared" si="30"/>
        <v/>
      </c>
      <c r="S163" s="182" t="str">
        <f t="shared" si="31"/>
        <v/>
      </c>
      <c r="T163" s="182" t="str">
        <f t="shared" si="32"/>
        <v/>
      </c>
      <c r="U163" s="182" t="str">
        <f t="shared" si="33"/>
        <v/>
      </c>
      <c r="V163" s="182" t="str">
        <f t="shared" si="34"/>
        <v/>
      </c>
      <c r="W163" s="182" t="str">
        <f t="shared" si="35"/>
        <v/>
      </c>
    </row>
    <row r="164" spans="1:23" x14ac:dyDescent="0.2">
      <c r="A164" s="181"/>
      <c r="B164" s="181"/>
      <c r="C164" s="181"/>
      <c r="D164" s="181"/>
      <c r="E164" s="181"/>
      <c r="F164" s="181"/>
      <c r="G164" s="181"/>
      <c r="K164" s="182">
        <v>163</v>
      </c>
      <c r="L164" s="182" t="str">
        <f t="shared" si="24"/>
        <v/>
      </c>
      <c r="M164" s="182" t="str">
        <f t="shared" si="25"/>
        <v/>
      </c>
      <c r="N164" s="182" t="str">
        <f t="shared" si="26"/>
        <v/>
      </c>
      <c r="O164" s="182" t="str">
        <f t="shared" si="27"/>
        <v/>
      </c>
      <c r="P164" s="182" t="str">
        <f t="shared" si="28"/>
        <v/>
      </c>
      <c r="Q164" s="182" t="str">
        <f t="shared" si="29"/>
        <v/>
      </c>
      <c r="R164" s="182" t="str">
        <f t="shared" si="30"/>
        <v/>
      </c>
      <c r="S164" s="182" t="str">
        <f t="shared" si="31"/>
        <v/>
      </c>
      <c r="T164" s="182" t="str">
        <f t="shared" si="32"/>
        <v/>
      </c>
      <c r="U164" s="182" t="str">
        <f t="shared" si="33"/>
        <v/>
      </c>
      <c r="V164" s="182" t="str">
        <f t="shared" si="34"/>
        <v/>
      </c>
      <c r="W164" s="182" t="str">
        <f t="shared" si="35"/>
        <v/>
      </c>
    </row>
    <row r="165" spans="1:23" x14ac:dyDescent="0.2">
      <c r="A165" s="181"/>
      <c r="B165" s="181"/>
      <c r="C165" s="181"/>
      <c r="D165" s="181"/>
      <c r="E165" s="181"/>
      <c r="F165" s="181"/>
      <c r="G165" s="181"/>
      <c r="K165" s="182">
        <v>164</v>
      </c>
      <c r="L165" s="182" t="str">
        <f t="shared" si="24"/>
        <v/>
      </c>
      <c r="M165" s="182" t="str">
        <f t="shared" si="25"/>
        <v/>
      </c>
      <c r="N165" s="182" t="str">
        <f t="shared" si="26"/>
        <v/>
      </c>
      <c r="O165" s="182" t="str">
        <f t="shared" si="27"/>
        <v/>
      </c>
      <c r="P165" s="182" t="str">
        <f t="shared" si="28"/>
        <v/>
      </c>
      <c r="Q165" s="182" t="str">
        <f t="shared" si="29"/>
        <v/>
      </c>
      <c r="R165" s="182" t="str">
        <f t="shared" si="30"/>
        <v/>
      </c>
      <c r="S165" s="182" t="str">
        <f t="shared" si="31"/>
        <v/>
      </c>
      <c r="T165" s="182" t="str">
        <f t="shared" si="32"/>
        <v/>
      </c>
      <c r="U165" s="182" t="str">
        <f t="shared" si="33"/>
        <v/>
      </c>
      <c r="V165" s="182" t="str">
        <f t="shared" si="34"/>
        <v/>
      </c>
      <c r="W165" s="182" t="str">
        <f t="shared" si="35"/>
        <v/>
      </c>
    </row>
    <row r="166" spans="1:23" x14ac:dyDescent="0.2">
      <c r="A166" s="181"/>
      <c r="B166" s="181"/>
      <c r="C166" s="181"/>
      <c r="D166" s="181"/>
      <c r="E166" s="181"/>
      <c r="F166" s="181"/>
      <c r="G166" s="181"/>
      <c r="K166" s="182">
        <v>165</v>
      </c>
      <c r="L166" s="182" t="str">
        <f t="shared" si="24"/>
        <v/>
      </c>
      <c r="M166" s="182" t="str">
        <f t="shared" si="25"/>
        <v/>
      </c>
      <c r="N166" s="182" t="str">
        <f t="shared" si="26"/>
        <v/>
      </c>
      <c r="O166" s="182" t="str">
        <f t="shared" si="27"/>
        <v/>
      </c>
      <c r="P166" s="182" t="str">
        <f t="shared" si="28"/>
        <v/>
      </c>
      <c r="Q166" s="182" t="str">
        <f t="shared" si="29"/>
        <v/>
      </c>
      <c r="R166" s="182" t="str">
        <f t="shared" si="30"/>
        <v/>
      </c>
      <c r="S166" s="182" t="str">
        <f t="shared" si="31"/>
        <v/>
      </c>
      <c r="T166" s="182" t="str">
        <f t="shared" si="32"/>
        <v/>
      </c>
      <c r="U166" s="182" t="str">
        <f t="shared" si="33"/>
        <v/>
      </c>
      <c r="V166" s="182" t="str">
        <f t="shared" si="34"/>
        <v/>
      </c>
      <c r="W166" s="182" t="str">
        <f t="shared" si="35"/>
        <v/>
      </c>
    </row>
    <row r="167" spans="1:23" x14ac:dyDescent="0.2">
      <c r="A167" s="181"/>
      <c r="B167" s="181"/>
      <c r="C167" s="181"/>
      <c r="D167" s="181"/>
      <c r="E167" s="181"/>
      <c r="F167" s="181"/>
      <c r="G167" s="181"/>
      <c r="K167" s="182">
        <v>166</v>
      </c>
      <c r="L167" s="182" t="str">
        <f t="shared" si="24"/>
        <v/>
      </c>
      <c r="M167" s="182" t="str">
        <f t="shared" si="25"/>
        <v/>
      </c>
      <c r="N167" s="182" t="str">
        <f t="shared" si="26"/>
        <v/>
      </c>
      <c r="O167" s="182" t="str">
        <f t="shared" si="27"/>
        <v/>
      </c>
      <c r="P167" s="182" t="str">
        <f t="shared" si="28"/>
        <v/>
      </c>
      <c r="Q167" s="182" t="str">
        <f t="shared" si="29"/>
        <v/>
      </c>
      <c r="R167" s="182" t="str">
        <f t="shared" si="30"/>
        <v/>
      </c>
      <c r="S167" s="182" t="str">
        <f t="shared" si="31"/>
        <v/>
      </c>
      <c r="T167" s="182" t="str">
        <f t="shared" si="32"/>
        <v/>
      </c>
      <c r="U167" s="182" t="str">
        <f t="shared" si="33"/>
        <v/>
      </c>
      <c r="V167" s="182" t="str">
        <f t="shared" si="34"/>
        <v/>
      </c>
      <c r="W167" s="182" t="str">
        <f t="shared" si="35"/>
        <v/>
      </c>
    </row>
    <row r="168" spans="1:23" x14ac:dyDescent="0.2">
      <c r="A168" s="181"/>
      <c r="B168" s="181"/>
      <c r="C168" s="181"/>
      <c r="D168" s="181"/>
      <c r="E168" s="181"/>
      <c r="F168" s="181"/>
      <c r="G168" s="181"/>
      <c r="K168" s="182">
        <v>167</v>
      </c>
      <c r="L168" s="182" t="str">
        <f t="shared" si="24"/>
        <v/>
      </c>
      <c r="M168" s="182" t="str">
        <f t="shared" si="25"/>
        <v/>
      </c>
      <c r="N168" s="182" t="str">
        <f t="shared" si="26"/>
        <v/>
      </c>
      <c r="O168" s="182" t="str">
        <f t="shared" si="27"/>
        <v/>
      </c>
      <c r="P168" s="182" t="str">
        <f t="shared" si="28"/>
        <v/>
      </c>
      <c r="Q168" s="182" t="str">
        <f t="shared" si="29"/>
        <v/>
      </c>
      <c r="R168" s="182" t="str">
        <f t="shared" si="30"/>
        <v/>
      </c>
      <c r="S168" s="182" t="str">
        <f t="shared" si="31"/>
        <v/>
      </c>
      <c r="T168" s="182" t="str">
        <f t="shared" si="32"/>
        <v/>
      </c>
      <c r="U168" s="182" t="str">
        <f t="shared" si="33"/>
        <v/>
      </c>
      <c r="V168" s="182" t="str">
        <f t="shared" si="34"/>
        <v/>
      </c>
      <c r="W168" s="182" t="str">
        <f t="shared" si="35"/>
        <v/>
      </c>
    </row>
    <row r="169" spans="1:23" x14ac:dyDescent="0.2">
      <c r="A169" s="181"/>
      <c r="B169" s="181"/>
      <c r="C169" s="181"/>
      <c r="D169" s="181"/>
      <c r="E169" s="181"/>
      <c r="F169" s="181"/>
      <c r="G169" s="181"/>
      <c r="K169" s="182">
        <v>168</v>
      </c>
      <c r="L169" s="182" t="str">
        <f t="shared" si="24"/>
        <v/>
      </c>
      <c r="M169" s="182" t="str">
        <f t="shared" si="25"/>
        <v/>
      </c>
      <c r="N169" s="182" t="str">
        <f t="shared" si="26"/>
        <v/>
      </c>
      <c r="O169" s="182" t="str">
        <f t="shared" si="27"/>
        <v/>
      </c>
      <c r="P169" s="182" t="str">
        <f t="shared" si="28"/>
        <v/>
      </c>
      <c r="Q169" s="182" t="str">
        <f t="shared" si="29"/>
        <v/>
      </c>
      <c r="R169" s="182" t="str">
        <f t="shared" si="30"/>
        <v/>
      </c>
      <c r="S169" s="182" t="str">
        <f t="shared" si="31"/>
        <v/>
      </c>
      <c r="T169" s="182" t="str">
        <f t="shared" si="32"/>
        <v/>
      </c>
      <c r="U169" s="182" t="str">
        <f t="shared" si="33"/>
        <v/>
      </c>
      <c r="V169" s="182" t="str">
        <f t="shared" si="34"/>
        <v/>
      </c>
      <c r="W169" s="182" t="str">
        <f t="shared" si="35"/>
        <v/>
      </c>
    </row>
    <row r="170" spans="1:23" x14ac:dyDescent="0.2">
      <c r="A170" s="181"/>
      <c r="B170" s="181"/>
      <c r="C170" s="181"/>
      <c r="D170" s="181"/>
      <c r="E170" s="181"/>
      <c r="F170" s="181"/>
      <c r="G170" s="181"/>
      <c r="K170" s="182">
        <v>169</v>
      </c>
      <c r="L170" s="182" t="str">
        <f t="shared" si="24"/>
        <v/>
      </c>
      <c r="M170" s="182" t="str">
        <f t="shared" si="25"/>
        <v/>
      </c>
      <c r="N170" s="182" t="str">
        <f t="shared" si="26"/>
        <v/>
      </c>
      <c r="O170" s="182" t="str">
        <f t="shared" si="27"/>
        <v/>
      </c>
      <c r="P170" s="182" t="str">
        <f t="shared" si="28"/>
        <v/>
      </c>
      <c r="Q170" s="182" t="str">
        <f t="shared" si="29"/>
        <v/>
      </c>
      <c r="R170" s="182" t="str">
        <f t="shared" si="30"/>
        <v/>
      </c>
      <c r="S170" s="182" t="str">
        <f t="shared" si="31"/>
        <v/>
      </c>
      <c r="T170" s="182" t="str">
        <f t="shared" si="32"/>
        <v/>
      </c>
      <c r="U170" s="182" t="str">
        <f t="shared" si="33"/>
        <v/>
      </c>
      <c r="V170" s="182" t="str">
        <f t="shared" si="34"/>
        <v/>
      </c>
      <c r="W170" s="182" t="str">
        <f t="shared" si="35"/>
        <v/>
      </c>
    </row>
    <row r="171" spans="1:23" x14ac:dyDescent="0.2">
      <c r="A171" s="181"/>
      <c r="B171" s="181"/>
      <c r="C171" s="181"/>
      <c r="D171" s="181"/>
      <c r="E171" s="181"/>
      <c r="F171" s="181"/>
      <c r="G171" s="181"/>
      <c r="K171" s="182">
        <v>170</v>
      </c>
      <c r="L171" s="182" t="str">
        <f t="shared" si="24"/>
        <v/>
      </c>
      <c r="M171" s="182" t="str">
        <f t="shared" si="25"/>
        <v/>
      </c>
      <c r="N171" s="182" t="str">
        <f t="shared" si="26"/>
        <v/>
      </c>
      <c r="O171" s="182" t="str">
        <f t="shared" si="27"/>
        <v/>
      </c>
      <c r="P171" s="182" t="str">
        <f t="shared" si="28"/>
        <v/>
      </c>
      <c r="Q171" s="182" t="str">
        <f t="shared" si="29"/>
        <v/>
      </c>
      <c r="R171" s="182" t="str">
        <f t="shared" si="30"/>
        <v/>
      </c>
      <c r="S171" s="182" t="str">
        <f t="shared" si="31"/>
        <v/>
      </c>
      <c r="T171" s="182" t="str">
        <f t="shared" si="32"/>
        <v/>
      </c>
      <c r="U171" s="182" t="str">
        <f t="shared" si="33"/>
        <v/>
      </c>
      <c r="V171" s="182" t="str">
        <f t="shared" si="34"/>
        <v/>
      </c>
      <c r="W171" s="182" t="str">
        <f t="shared" si="35"/>
        <v/>
      </c>
    </row>
    <row r="172" spans="1:23" x14ac:dyDescent="0.2">
      <c r="A172" s="181"/>
      <c r="B172" s="181"/>
      <c r="C172" s="181"/>
      <c r="D172" s="181"/>
      <c r="E172" s="181"/>
      <c r="F172" s="181"/>
      <c r="G172" s="181"/>
      <c r="K172" s="182">
        <v>171</v>
      </c>
      <c r="L172" s="182" t="str">
        <f t="shared" si="24"/>
        <v/>
      </c>
      <c r="M172" s="182" t="str">
        <f t="shared" si="25"/>
        <v/>
      </c>
      <c r="N172" s="182" t="str">
        <f t="shared" si="26"/>
        <v/>
      </c>
      <c r="O172" s="182" t="str">
        <f t="shared" si="27"/>
        <v/>
      </c>
      <c r="P172" s="182" t="str">
        <f t="shared" si="28"/>
        <v/>
      </c>
      <c r="Q172" s="182" t="str">
        <f t="shared" si="29"/>
        <v/>
      </c>
      <c r="R172" s="182" t="str">
        <f t="shared" si="30"/>
        <v/>
      </c>
      <c r="S172" s="182" t="str">
        <f t="shared" si="31"/>
        <v/>
      </c>
      <c r="T172" s="182" t="str">
        <f t="shared" si="32"/>
        <v/>
      </c>
      <c r="U172" s="182" t="str">
        <f t="shared" si="33"/>
        <v/>
      </c>
      <c r="V172" s="182" t="str">
        <f t="shared" si="34"/>
        <v/>
      </c>
      <c r="W172" s="182" t="str">
        <f t="shared" si="35"/>
        <v/>
      </c>
    </row>
    <row r="173" spans="1:23" x14ac:dyDescent="0.2">
      <c r="A173" s="181"/>
      <c r="B173" s="181"/>
      <c r="C173" s="181"/>
      <c r="D173" s="181"/>
      <c r="E173" s="181"/>
      <c r="F173" s="181"/>
      <c r="G173" s="181"/>
      <c r="K173" s="182">
        <v>172</v>
      </c>
      <c r="L173" s="182" t="str">
        <f t="shared" si="24"/>
        <v/>
      </c>
      <c r="M173" s="182" t="str">
        <f t="shared" si="25"/>
        <v/>
      </c>
      <c r="N173" s="182" t="str">
        <f t="shared" si="26"/>
        <v/>
      </c>
      <c r="O173" s="182" t="str">
        <f t="shared" si="27"/>
        <v/>
      </c>
      <c r="P173" s="182" t="str">
        <f t="shared" si="28"/>
        <v/>
      </c>
      <c r="Q173" s="182" t="str">
        <f t="shared" si="29"/>
        <v/>
      </c>
      <c r="R173" s="182" t="str">
        <f t="shared" si="30"/>
        <v/>
      </c>
      <c r="S173" s="182" t="str">
        <f t="shared" si="31"/>
        <v/>
      </c>
      <c r="T173" s="182" t="str">
        <f t="shared" si="32"/>
        <v/>
      </c>
      <c r="U173" s="182" t="str">
        <f t="shared" si="33"/>
        <v/>
      </c>
      <c r="V173" s="182" t="str">
        <f t="shared" si="34"/>
        <v/>
      </c>
      <c r="W173" s="182" t="str">
        <f t="shared" si="35"/>
        <v/>
      </c>
    </row>
    <row r="174" spans="1:23" x14ac:dyDescent="0.2">
      <c r="A174" s="181"/>
      <c r="B174" s="181"/>
      <c r="C174" s="181"/>
      <c r="D174" s="181"/>
      <c r="E174" s="181"/>
      <c r="F174" s="181"/>
      <c r="G174" s="181"/>
      <c r="K174" s="182">
        <v>173</v>
      </c>
      <c r="L174" s="182" t="str">
        <f t="shared" si="24"/>
        <v/>
      </c>
      <c r="M174" s="182" t="str">
        <f t="shared" si="25"/>
        <v/>
      </c>
      <c r="N174" s="182" t="str">
        <f t="shared" si="26"/>
        <v/>
      </c>
      <c r="O174" s="182" t="str">
        <f t="shared" si="27"/>
        <v/>
      </c>
      <c r="P174" s="182" t="str">
        <f t="shared" si="28"/>
        <v/>
      </c>
      <c r="Q174" s="182" t="str">
        <f t="shared" si="29"/>
        <v/>
      </c>
      <c r="R174" s="182" t="str">
        <f t="shared" si="30"/>
        <v/>
      </c>
      <c r="S174" s="182" t="str">
        <f t="shared" si="31"/>
        <v/>
      </c>
      <c r="T174" s="182" t="str">
        <f t="shared" si="32"/>
        <v/>
      </c>
      <c r="U174" s="182" t="str">
        <f t="shared" si="33"/>
        <v/>
      </c>
      <c r="V174" s="182" t="str">
        <f t="shared" si="34"/>
        <v/>
      </c>
      <c r="W174" s="182" t="str">
        <f t="shared" si="35"/>
        <v/>
      </c>
    </row>
    <row r="175" spans="1:23" x14ac:dyDescent="0.2">
      <c r="A175" s="181"/>
      <c r="B175" s="181"/>
      <c r="C175" s="181"/>
      <c r="D175" s="181"/>
      <c r="E175" s="181"/>
      <c r="F175" s="181"/>
      <c r="G175" s="181"/>
      <c r="K175" s="182">
        <v>174</v>
      </c>
      <c r="L175" s="182" t="str">
        <f t="shared" si="24"/>
        <v/>
      </c>
      <c r="M175" s="182" t="str">
        <f t="shared" si="25"/>
        <v/>
      </c>
      <c r="N175" s="182" t="str">
        <f t="shared" si="26"/>
        <v/>
      </c>
      <c r="O175" s="182" t="str">
        <f t="shared" si="27"/>
        <v/>
      </c>
      <c r="P175" s="182" t="str">
        <f t="shared" si="28"/>
        <v/>
      </c>
      <c r="Q175" s="182" t="str">
        <f t="shared" si="29"/>
        <v/>
      </c>
      <c r="R175" s="182" t="str">
        <f t="shared" si="30"/>
        <v/>
      </c>
      <c r="S175" s="182" t="str">
        <f t="shared" si="31"/>
        <v/>
      </c>
      <c r="T175" s="182" t="str">
        <f t="shared" si="32"/>
        <v/>
      </c>
      <c r="U175" s="182" t="str">
        <f t="shared" si="33"/>
        <v/>
      </c>
      <c r="V175" s="182" t="str">
        <f t="shared" si="34"/>
        <v/>
      </c>
      <c r="W175" s="182" t="str">
        <f t="shared" si="35"/>
        <v/>
      </c>
    </row>
    <row r="176" spans="1:23" x14ac:dyDescent="0.2">
      <c r="A176" s="181"/>
      <c r="B176" s="181"/>
      <c r="C176" s="181"/>
      <c r="D176" s="181"/>
      <c r="E176" s="181"/>
      <c r="F176" s="181"/>
      <c r="G176" s="181"/>
      <c r="K176" s="182">
        <v>175</v>
      </c>
      <c r="L176" s="182" t="str">
        <f t="shared" si="24"/>
        <v/>
      </c>
      <c r="M176" s="182" t="str">
        <f t="shared" si="25"/>
        <v/>
      </c>
      <c r="N176" s="182" t="str">
        <f t="shared" si="26"/>
        <v/>
      </c>
      <c r="O176" s="182" t="str">
        <f t="shared" si="27"/>
        <v/>
      </c>
      <c r="P176" s="182" t="str">
        <f t="shared" si="28"/>
        <v/>
      </c>
      <c r="Q176" s="182" t="str">
        <f t="shared" si="29"/>
        <v/>
      </c>
      <c r="R176" s="182" t="str">
        <f t="shared" si="30"/>
        <v/>
      </c>
      <c r="S176" s="182" t="str">
        <f t="shared" si="31"/>
        <v/>
      </c>
      <c r="T176" s="182" t="str">
        <f t="shared" si="32"/>
        <v/>
      </c>
      <c r="U176" s="182" t="str">
        <f t="shared" si="33"/>
        <v/>
      </c>
      <c r="V176" s="182" t="str">
        <f t="shared" si="34"/>
        <v/>
      </c>
      <c r="W176" s="182" t="str">
        <f t="shared" si="35"/>
        <v/>
      </c>
    </row>
    <row r="177" spans="1:23" x14ac:dyDescent="0.2">
      <c r="A177" s="181"/>
      <c r="B177" s="181"/>
      <c r="C177" s="181"/>
      <c r="D177" s="181"/>
      <c r="E177" s="181"/>
      <c r="F177" s="181"/>
      <c r="G177" s="181"/>
      <c r="K177" s="182">
        <v>176</v>
      </c>
      <c r="L177" s="182" t="str">
        <f t="shared" si="24"/>
        <v/>
      </c>
      <c r="M177" s="182" t="str">
        <f t="shared" si="25"/>
        <v/>
      </c>
      <c r="N177" s="182" t="str">
        <f t="shared" si="26"/>
        <v/>
      </c>
      <c r="O177" s="182" t="str">
        <f t="shared" si="27"/>
        <v/>
      </c>
      <c r="P177" s="182" t="str">
        <f t="shared" si="28"/>
        <v/>
      </c>
      <c r="Q177" s="182" t="str">
        <f t="shared" si="29"/>
        <v/>
      </c>
      <c r="R177" s="182" t="str">
        <f t="shared" si="30"/>
        <v/>
      </c>
      <c r="S177" s="182" t="str">
        <f t="shared" si="31"/>
        <v/>
      </c>
      <c r="T177" s="182" t="str">
        <f t="shared" si="32"/>
        <v/>
      </c>
      <c r="U177" s="182" t="str">
        <f t="shared" si="33"/>
        <v/>
      </c>
      <c r="V177" s="182" t="str">
        <f t="shared" si="34"/>
        <v/>
      </c>
      <c r="W177" s="182" t="str">
        <f t="shared" si="35"/>
        <v/>
      </c>
    </row>
    <row r="178" spans="1:23" x14ac:dyDescent="0.2">
      <c r="A178" s="181"/>
      <c r="B178" s="181"/>
      <c r="C178" s="181"/>
      <c r="D178" s="181"/>
      <c r="E178" s="181"/>
      <c r="F178" s="181"/>
      <c r="G178" s="181"/>
      <c r="K178" s="182">
        <v>177</v>
      </c>
      <c r="L178" s="182" t="str">
        <f t="shared" si="24"/>
        <v/>
      </c>
      <c r="M178" s="182" t="str">
        <f t="shared" si="25"/>
        <v/>
      </c>
      <c r="N178" s="182" t="str">
        <f t="shared" si="26"/>
        <v/>
      </c>
      <c r="O178" s="182" t="str">
        <f t="shared" si="27"/>
        <v/>
      </c>
      <c r="P178" s="182" t="str">
        <f t="shared" si="28"/>
        <v/>
      </c>
      <c r="Q178" s="182" t="str">
        <f t="shared" si="29"/>
        <v/>
      </c>
      <c r="R178" s="182" t="str">
        <f t="shared" si="30"/>
        <v/>
      </c>
      <c r="S178" s="182" t="str">
        <f t="shared" si="31"/>
        <v/>
      </c>
      <c r="T178" s="182" t="str">
        <f t="shared" si="32"/>
        <v/>
      </c>
      <c r="U178" s="182" t="str">
        <f t="shared" si="33"/>
        <v/>
      </c>
      <c r="V178" s="182" t="str">
        <f t="shared" si="34"/>
        <v/>
      </c>
      <c r="W178" s="182" t="str">
        <f t="shared" si="35"/>
        <v/>
      </c>
    </row>
    <row r="179" spans="1:23" x14ac:dyDescent="0.2">
      <c r="A179" s="181"/>
      <c r="B179" s="181"/>
      <c r="C179" s="181"/>
      <c r="D179" s="181"/>
      <c r="E179" s="181"/>
      <c r="F179" s="181"/>
      <c r="G179" s="181"/>
      <c r="K179" s="182">
        <v>178</v>
      </c>
      <c r="L179" s="182" t="str">
        <f t="shared" si="24"/>
        <v/>
      </c>
      <c r="M179" s="182" t="str">
        <f t="shared" si="25"/>
        <v/>
      </c>
      <c r="N179" s="182" t="str">
        <f t="shared" si="26"/>
        <v/>
      </c>
      <c r="O179" s="182" t="str">
        <f t="shared" si="27"/>
        <v/>
      </c>
      <c r="P179" s="182" t="str">
        <f t="shared" si="28"/>
        <v/>
      </c>
      <c r="Q179" s="182" t="str">
        <f t="shared" si="29"/>
        <v/>
      </c>
      <c r="R179" s="182" t="str">
        <f t="shared" si="30"/>
        <v/>
      </c>
      <c r="S179" s="182" t="str">
        <f t="shared" si="31"/>
        <v/>
      </c>
      <c r="T179" s="182" t="str">
        <f t="shared" si="32"/>
        <v/>
      </c>
      <c r="U179" s="182" t="str">
        <f t="shared" si="33"/>
        <v/>
      </c>
      <c r="V179" s="182" t="str">
        <f t="shared" si="34"/>
        <v/>
      </c>
      <c r="W179" s="182" t="str">
        <f t="shared" si="35"/>
        <v/>
      </c>
    </row>
    <row r="180" spans="1:23" x14ac:dyDescent="0.2">
      <c r="A180" s="181"/>
      <c r="B180" s="181"/>
      <c r="C180" s="181"/>
      <c r="D180" s="181"/>
      <c r="E180" s="181"/>
      <c r="F180" s="181"/>
      <c r="G180" s="181"/>
      <c r="K180" s="182">
        <v>179</v>
      </c>
      <c r="L180" s="182" t="str">
        <f t="shared" si="24"/>
        <v/>
      </c>
      <c r="M180" s="182" t="str">
        <f t="shared" si="25"/>
        <v/>
      </c>
      <c r="N180" s="182" t="str">
        <f t="shared" si="26"/>
        <v/>
      </c>
      <c r="O180" s="182" t="str">
        <f t="shared" si="27"/>
        <v/>
      </c>
      <c r="P180" s="182" t="str">
        <f t="shared" si="28"/>
        <v/>
      </c>
      <c r="Q180" s="182" t="str">
        <f t="shared" si="29"/>
        <v/>
      </c>
      <c r="R180" s="182" t="str">
        <f t="shared" si="30"/>
        <v/>
      </c>
      <c r="S180" s="182" t="str">
        <f t="shared" si="31"/>
        <v/>
      </c>
      <c r="T180" s="182" t="str">
        <f t="shared" si="32"/>
        <v/>
      </c>
      <c r="U180" s="182" t="str">
        <f t="shared" si="33"/>
        <v/>
      </c>
      <c r="V180" s="182" t="str">
        <f t="shared" si="34"/>
        <v/>
      </c>
      <c r="W180" s="182" t="str">
        <f t="shared" si="35"/>
        <v/>
      </c>
    </row>
    <row r="181" spans="1:23" x14ac:dyDescent="0.2">
      <c r="A181" s="181"/>
      <c r="B181" s="181"/>
      <c r="C181" s="181"/>
      <c r="D181" s="181"/>
      <c r="E181" s="181"/>
      <c r="F181" s="181"/>
      <c r="G181" s="181"/>
      <c r="K181" s="182">
        <v>180</v>
      </c>
      <c r="L181" s="182" t="str">
        <f t="shared" si="24"/>
        <v/>
      </c>
      <c r="M181" s="182" t="str">
        <f t="shared" si="25"/>
        <v/>
      </c>
      <c r="N181" s="182" t="str">
        <f t="shared" si="26"/>
        <v/>
      </c>
      <c r="O181" s="182" t="str">
        <f t="shared" si="27"/>
        <v/>
      </c>
      <c r="P181" s="182" t="str">
        <f t="shared" si="28"/>
        <v/>
      </c>
      <c r="Q181" s="182" t="str">
        <f t="shared" si="29"/>
        <v/>
      </c>
      <c r="R181" s="182" t="str">
        <f t="shared" si="30"/>
        <v/>
      </c>
      <c r="S181" s="182" t="str">
        <f t="shared" si="31"/>
        <v/>
      </c>
      <c r="T181" s="182" t="str">
        <f t="shared" si="32"/>
        <v/>
      </c>
      <c r="U181" s="182" t="str">
        <f t="shared" si="33"/>
        <v/>
      </c>
      <c r="V181" s="182" t="str">
        <f t="shared" si="34"/>
        <v/>
      </c>
      <c r="W181" s="182" t="str">
        <f t="shared" si="35"/>
        <v/>
      </c>
    </row>
    <row r="182" spans="1:23" x14ac:dyDescent="0.2">
      <c r="A182" s="181"/>
      <c r="B182" s="181"/>
      <c r="C182" s="181"/>
      <c r="D182" s="181"/>
      <c r="E182" s="181"/>
      <c r="F182" s="181"/>
      <c r="G182" s="181"/>
      <c r="K182" s="182">
        <v>181</v>
      </c>
      <c r="L182" s="182" t="str">
        <f t="shared" si="24"/>
        <v/>
      </c>
      <c r="M182" s="182" t="str">
        <f t="shared" si="25"/>
        <v/>
      </c>
      <c r="N182" s="182" t="str">
        <f t="shared" si="26"/>
        <v/>
      </c>
      <c r="O182" s="182" t="str">
        <f t="shared" si="27"/>
        <v/>
      </c>
      <c r="P182" s="182" t="str">
        <f t="shared" si="28"/>
        <v/>
      </c>
      <c r="Q182" s="182" t="str">
        <f t="shared" si="29"/>
        <v/>
      </c>
      <c r="R182" s="182" t="str">
        <f t="shared" si="30"/>
        <v/>
      </c>
      <c r="S182" s="182" t="str">
        <f t="shared" si="31"/>
        <v/>
      </c>
      <c r="T182" s="182" t="str">
        <f t="shared" si="32"/>
        <v/>
      </c>
      <c r="U182" s="182" t="str">
        <f t="shared" si="33"/>
        <v/>
      </c>
      <c r="V182" s="182" t="str">
        <f t="shared" si="34"/>
        <v/>
      </c>
      <c r="W182" s="182" t="str">
        <f t="shared" si="35"/>
        <v/>
      </c>
    </row>
    <row r="183" spans="1:23" x14ac:dyDescent="0.2">
      <c r="A183" s="181"/>
      <c r="B183" s="181"/>
      <c r="C183" s="181"/>
      <c r="D183" s="181"/>
      <c r="E183" s="181"/>
      <c r="F183" s="181"/>
      <c r="G183" s="181"/>
      <c r="K183" s="182">
        <v>182</v>
      </c>
      <c r="L183" s="182" t="str">
        <f t="shared" si="24"/>
        <v/>
      </c>
      <c r="M183" s="182" t="str">
        <f t="shared" si="25"/>
        <v/>
      </c>
      <c r="N183" s="182" t="str">
        <f t="shared" si="26"/>
        <v/>
      </c>
      <c r="O183" s="182" t="str">
        <f t="shared" si="27"/>
        <v/>
      </c>
      <c r="P183" s="182" t="str">
        <f t="shared" si="28"/>
        <v/>
      </c>
      <c r="Q183" s="182" t="str">
        <f t="shared" si="29"/>
        <v/>
      </c>
      <c r="R183" s="182" t="str">
        <f t="shared" si="30"/>
        <v/>
      </c>
      <c r="S183" s="182" t="str">
        <f t="shared" si="31"/>
        <v/>
      </c>
      <c r="T183" s="182" t="str">
        <f t="shared" si="32"/>
        <v/>
      </c>
      <c r="U183" s="182" t="str">
        <f t="shared" si="33"/>
        <v/>
      </c>
      <c r="V183" s="182" t="str">
        <f t="shared" si="34"/>
        <v/>
      </c>
      <c r="W183" s="182" t="str">
        <f t="shared" si="35"/>
        <v/>
      </c>
    </row>
    <row r="184" spans="1:23" x14ac:dyDescent="0.2">
      <c r="A184" s="181"/>
      <c r="B184" s="181"/>
      <c r="C184" s="181"/>
      <c r="D184" s="181"/>
      <c r="E184" s="181"/>
      <c r="F184" s="181"/>
      <c r="G184" s="181"/>
      <c r="K184" s="182">
        <v>183</v>
      </c>
      <c r="L184" s="182" t="str">
        <f t="shared" si="24"/>
        <v/>
      </c>
      <c r="M184" s="182" t="str">
        <f t="shared" si="25"/>
        <v/>
      </c>
      <c r="N184" s="182" t="str">
        <f t="shared" si="26"/>
        <v/>
      </c>
      <c r="O184" s="182" t="str">
        <f t="shared" si="27"/>
        <v/>
      </c>
      <c r="P184" s="182" t="str">
        <f t="shared" si="28"/>
        <v/>
      </c>
      <c r="Q184" s="182" t="str">
        <f t="shared" si="29"/>
        <v/>
      </c>
      <c r="R184" s="182" t="str">
        <f t="shared" si="30"/>
        <v/>
      </c>
      <c r="S184" s="182" t="str">
        <f t="shared" si="31"/>
        <v/>
      </c>
      <c r="T184" s="182" t="str">
        <f t="shared" si="32"/>
        <v/>
      </c>
      <c r="U184" s="182" t="str">
        <f t="shared" si="33"/>
        <v/>
      </c>
      <c r="V184" s="182" t="str">
        <f t="shared" si="34"/>
        <v/>
      </c>
      <c r="W184" s="182" t="str">
        <f t="shared" si="35"/>
        <v/>
      </c>
    </row>
    <row r="185" spans="1:23" x14ac:dyDescent="0.2">
      <c r="A185" s="181"/>
      <c r="B185" s="181"/>
      <c r="C185" s="181"/>
      <c r="D185" s="181"/>
      <c r="E185" s="181"/>
      <c r="F185" s="181"/>
      <c r="G185" s="181"/>
      <c r="K185" s="182">
        <v>184</v>
      </c>
      <c r="L185" s="182" t="str">
        <f t="shared" si="24"/>
        <v/>
      </c>
      <c r="M185" s="182" t="str">
        <f t="shared" si="25"/>
        <v/>
      </c>
      <c r="N185" s="182" t="str">
        <f t="shared" si="26"/>
        <v/>
      </c>
      <c r="O185" s="182" t="str">
        <f t="shared" si="27"/>
        <v/>
      </c>
      <c r="P185" s="182" t="str">
        <f t="shared" si="28"/>
        <v/>
      </c>
      <c r="Q185" s="182" t="str">
        <f t="shared" si="29"/>
        <v/>
      </c>
      <c r="R185" s="182" t="str">
        <f t="shared" si="30"/>
        <v/>
      </c>
      <c r="S185" s="182" t="str">
        <f t="shared" si="31"/>
        <v/>
      </c>
      <c r="T185" s="182" t="str">
        <f t="shared" si="32"/>
        <v/>
      </c>
      <c r="U185" s="182" t="str">
        <f t="shared" si="33"/>
        <v/>
      </c>
      <c r="V185" s="182" t="str">
        <f t="shared" si="34"/>
        <v/>
      </c>
      <c r="W185" s="182" t="str">
        <f t="shared" si="35"/>
        <v/>
      </c>
    </row>
    <row r="186" spans="1:23" x14ac:dyDescent="0.2">
      <c r="A186" s="181"/>
      <c r="B186" s="181"/>
      <c r="C186" s="181"/>
      <c r="D186" s="181"/>
      <c r="E186" s="181"/>
      <c r="F186" s="181"/>
      <c r="G186" s="181"/>
      <c r="K186" s="182">
        <v>185</v>
      </c>
      <c r="L186" s="182" t="str">
        <f t="shared" si="24"/>
        <v/>
      </c>
      <c r="M186" s="182" t="str">
        <f t="shared" si="25"/>
        <v/>
      </c>
      <c r="N186" s="182" t="str">
        <f t="shared" si="26"/>
        <v/>
      </c>
      <c r="O186" s="182" t="str">
        <f t="shared" si="27"/>
        <v/>
      </c>
      <c r="P186" s="182" t="str">
        <f t="shared" si="28"/>
        <v/>
      </c>
      <c r="Q186" s="182" t="str">
        <f t="shared" si="29"/>
        <v/>
      </c>
      <c r="R186" s="182" t="str">
        <f t="shared" si="30"/>
        <v/>
      </c>
      <c r="S186" s="182" t="str">
        <f t="shared" si="31"/>
        <v/>
      </c>
      <c r="T186" s="182" t="str">
        <f t="shared" si="32"/>
        <v/>
      </c>
      <c r="U186" s="182" t="str">
        <f t="shared" si="33"/>
        <v/>
      </c>
      <c r="V186" s="182" t="str">
        <f t="shared" si="34"/>
        <v/>
      </c>
      <c r="W186" s="182" t="str">
        <f t="shared" si="35"/>
        <v/>
      </c>
    </row>
    <row r="187" spans="1:23" x14ac:dyDescent="0.2">
      <c r="A187" s="181"/>
      <c r="B187" s="181"/>
      <c r="C187" s="181"/>
      <c r="D187" s="181"/>
      <c r="E187" s="181"/>
      <c r="F187" s="181"/>
      <c r="G187" s="181"/>
      <c r="K187" s="182">
        <v>186</v>
      </c>
      <c r="L187" s="182" t="str">
        <f t="shared" si="24"/>
        <v/>
      </c>
      <c r="M187" s="182" t="str">
        <f t="shared" si="25"/>
        <v/>
      </c>
      <c r="N187" s="182" t="str">
        <f t="shared" si="26"/>
        <v/>
      </c>
      <c r="O187" s="182" t="str">
        <f t="shared" si="27"/>
        <v/>
      </c>
      <c r="P187" s="182" t="str">
        <f t="shared" si="28"/>
        <v/>
      </c>
      <c r="Q187" s="182" t="str">
        <f t="shared" si="29"/>
        <v/>
      </c>
      <c r="R187" s="182" t="str">
        <f t="shared" si="30"/>
        <v/>
      </c>
      <c r="S187" s="182" t="str">
        <f t="shared" si="31"/>
        <v/>
      </c>
      <c r="T187" s="182" t="str">
        <f t="shared" si="32"/>
        <v/>
      </c>
      <c r="U187" s="182" t="str">
        <f t="shared" si="33"/>
        <v/>
      </c>
      <c r="V187" s="182" t="str">
        <f t="shared" si="34"/>
        <v/>
      </c>
      <c r="W187" s="182" t="str">
        <f t="shared" si="35"/>
        <v/>
      </c>
    </row>
    <row r="188" spans="1:23" x14ac:dyDescent="0.2">
      <c r="A188" s="181"/>
      <c r="B188" s="181"/>
      <c r="C188" s="181"/>
      <c r="D188" s="181"/>
      <c r="E188" s="181"/>
      <c r="F188" s="181"/>
      <c r="G188" s="181"/>
      <c r="K188" s="182">
        <v>187</v>
      </c>
      <c r="L188" s="182" t="str">
        <f t="shared" si="24"/>
        <v/>
      </c>
      <c r="M188" s="182" t="str">
        <f t="shared" si="25"/>
        <v/>
      </c>
      <c r="N188" s="182" t="str">
        <f t="shared" si="26"/>
        <v/>
      </c>
      <c r="O188" s="182" t="str">
        <f t="shared" si="27"/>
        <v/>
      </c>
      <c r="P188" s="182" t="str">
        <f t="shared" si="28"/>
        <v/>
      </c>
      <c r="Q188" s="182" t="str">
        <f t="shared" si="29"/>
        <v/>
      </c>
      <c r="R188" s="182" t="str">
        <f t="shared" si="30"/>
        <v/>
      </c>
      <c r="S188" s="182" t="str">
        <f t="shared" si="31"/>
        <v/>
      </c>
      <c r="T188" s="182" t="str">
        <f t="shared" si="32"/>
        <v/>
      </c>
      <c r="U188" s="182" t="str">
        <f t="shared" si="33"/>
        <v/>
      </c>
      <c r="V188" s="182" t="str">
        <f t="shared" si="34"/>
        <v/>
      </c>
      <c r="W188" s="182" t="str">
        <f t="shared" si="35"/>
        <v/>
      </c>
    </row>
    <row r="189" spans="1:23" x14ac:dyDescent="0.2">
      <c r="A189" s="181"/>
      <c r="B189" s="181"/>
      <c r="C189" s="181"/>
      <c r="D189" s="181"/>
      <c r="E189" s="181"/>
      <c r="F189" s="181"/>
      <c r="G189" s="181"/>
      <c r="K189" s="182">
        <v>188</v>
      </c>
      <c r="L189" s="182" t="str">
        <f t="shared" si="24"/>
        <v/>
      </c>
      <c r="M189" s="182" t="str">
        <f t="shared" si="25"/>
        <v/>
      </c>
      <c r="N189" s="182" t="str">
        <f t="shared" si="26"/>
        <v/>
      </c>
      <c r="O189" s="182" t="str">
        <f t="shared" si="27"/>
        <v/>
      </c>
      <c r="P189" s="182" t="str">
        <f t="shared" si="28"/>
        <v/>
      </c>
      <c r="Q189" s="182" t="str">
        <f t="shared" si="29"/>
        <v/>
      </c>
      <c r="R189" s="182" t="str">
        <f t="shared" si="30"/>
        <v/>
      </c>
      <c r="S189" s="182" t="str">
        <f t="shared" si="31"/>
        <v/>
      </c>
      <c r="T189" s="182" t="str">
        <f t="shared" si="32"/>
        <v/>
      </c>
      <c r="U189" s="182" t="str">
        <f t="shared" si="33"/>
        <v/>
      </c>
      <c r="V189" s="182" t="str">
        <f t="shared" si="34"/>
        <v/>
      </c>
      <c r="W189" s="182" t="str">
        <f t="shared" si="35"/>
        <v/>
      </c>
    </row>
    <row r="190" spans="1:23" x14ac:dyDescent="0.2">
      <c r="A190" s="181"/>
      <c r="B190" s="181"/>
      <c r="C190" s="181"/>
      <c r="D190" s="181"/>
      <c r="E190" s="181"/>
      <c r="F190" s="181"/>
      <c r="G190" s="181"/>
      <c r="K190" s="182">
        <v>189</v>
      </c>
      <c r="L190" s="182" t="str">
        <f t="shared" si="24"/>
        <v/>
      </c>
      <c r="M190" s="182" t="str">
        <f t="shared" si="25"/>
        <v/>
      </c>
      <c r="N190" s="182" t="str">
        <f t="shared" si="26"/>
        <v/>
      </c>
      <c r="O190" s="182" t="str">
        <f t="shared" si="27"/>
        <v/>
      </c>
      <c r="P190" s="182" t="str">
        <f t="shared" si="28"/>
        <v/>
      </c>
      <c r="Q190" s="182" t="str">
        <f t="shared" si="29"/>
        <v/>
      </c>
      <c r="R190" s="182" t="str">
        <f t="shared" si="30"/>
        <v/>
      </c>
      <c r="S190" s="182" t="str">
        <f t="shared" si="31"/>
        <v/>
      </c>
      <c r="T190" s="182" t="str">
        <f t="shared" si="32"/>
        <v/>
      </c>
      <c r="U190" s="182" t="str">
        <f t="shared" si="33"/>
        <v/>
      </c>
      <c r="V190" s="182" t="str">
        <f t="shared" si="34"/>
        <v/>
      </c>
      <c r="W190" s="182" t="str">
        <f t="shared" si="35"/>
        <v/>
      </c>
    </row>
    <row r="191" spans="1:23" x14ac:dyDescent="0.2">
      <c r="A191" s="181"/>
      <c r="B191" s="181"/>
      <c r="C191" s="181"/>
      <c r="D191" s="181"/>
      <c r="E191" s="181"/>
      <c r="F191" s="181"/>
      <c r="G191" s="181"/>
      <c r="K191" s="182">
        <v>190</v>
      </c>
      <c r="L191" s="182" t="str">
        <f t="shared" si="24"/>
        <v/>
      </c>
      <c r="M191" s="182" t="str">
        <f t="shared" si="25"/>
        <v/>
      </c>
      <c r="N191" s="182" t="str">
        <f t="shared" si="26"/>
        <v/>
      </c>
      <c r="O191" s="182" t="str">
        <f t="shared" si="27"/>
        <v/>
      </c>
      <c r="P191" s="182" t="str">
        <f t="shared" si="28"/>
        <v/>
      </c>
      <c r="Q191" s="182" t="str">
        <f t="shared" si="29"/>
        <v/>
      </c>
      <c r="R191" s="182" t="str">
        <f t="shared" si="30"/>
        <v/>
      </c>
      <c r="S191" s="182" t="str">
        <f t="shared" si="31"/>
        <v/>
      </c>
      <c r="T191" s="182" t="str">
        <f t="shared" si="32"/>
        <v/>
      </c>
      <c r="U191" s="182" t="str">
        <f t="shared" si="33"/>
        <v/>
      </c>
      <c r="V191" s="182" t="str">
        <f t="shared" si="34"/>
        <v/>
      </c>
      <c r="W191" s="182" t="str">
        <f t="shared" si="35"/>
        <v/>
      </c>
    </row>
    <row r="192" spans="1:23" x14ac:dyDescent="0.2">
      <c r="A192" s="181"/>
      <c r="B192" s="181"/>
      <c r="C192" s="181"/>
      <c r="D192" s="181"/>
      <c r="E192" s="181"/>
      <c r="F192" s="181"/>
      <c r="G192" s="181"/>
      <c r="K192" s="182">
        <v>191</v>
      </c>
      <c r="L192" s="182" t="str">
        <f t="shared" si="24"/>
        <v/>
      </c>
      <c r="M192" s="182" t="str">
        <f t="shared" si="25"/>
        <v/>
      </c>
      <c r="N192" s="182" t="str">
        <f t="shared" si="26"/>
        <v/>
      </c>
      <c r="O192" s="182" t="str">
        <f t="shared" si="27"/>
        <v/>
      </c>
      <c r="P192" s="182" t="str">
        <f t="shared" si="28"/>
        <v/>
      </c>
      <c r="Q192" s="182" t="str">
        <f t="shared" si="29"/>
        <v/>
      </c>
      <c r="R192" s="182" t="str">
        <f t="shared" si="30"/>
        <v/>
      </c>
      <c r="S192" s="182" t="str">
        <f t="shared" si="31"/>
        <v/>
      </c>
      <c r="T192" s="182" t="str">
        <f t="shared" si="32"/>
        <v/>
      </c>
      <c r="U192" s="182" t="str">
        <f t="shared" si="33"/>
        <v/>
      </c>
      <c r="V192" s="182" t="str">
        <f t="shared" si="34"/>
        <v/>
      </c>
      <c r="W192" s="182" t="str">
        <f t="shared" si="35"/>
        <v/>
      </c>
    </row>
    <row r="193" spans="1:23" x14ac:dyDescent="0.2">
      <c r="A193" s="181"/>
      <c r="B193" s="181"/>
      <c r="C193" s="181"/>
      <c r="D193" s="181"/>
      <c r="E193" s="181"/>
      <c r="F193" s="181"/>
      <c r="G193" s="181"/>
      <c r="K193" s="182">
        <v>192</v>
      </c>
      <c r="L193" s="182" t="str">
        <f t="shared" si="24"/>
        <v/>
      </c>
      <c r="M193" s="182" t="str">
        <f t="shared" si="25"/>
        <v/>
      </c>
      <c r="N193" s="182" t="str">
        <f t="shared" si="26"/>
        <v/>
      </c>
      <c r="O193" s="182" t="str">
        <f t="shared" si="27"/>
        <v/>
      </c>
      <c r="P193" s="182" t="str">
        <f t="shared" si="28"/>
        <v/>
      </c>
      <c r="Q193" s="182" t="str">
        <f t="shared" si="29"/>
        <v/>
      </c>
      <c r="R193" s="182" t="str">
        <f t="shared" si="30"/>
        <v/>
      </c>
      <c r="S193" s="182" t="str">
        <f t="shared" si="31"/>
        <v/>
      </c>
      <c r="T193" s="182" t="str">
        <f t="shared" si="32"/>
        <v/>
      </c>
      <c r="U193" s="182" t="str">
        <f t="shared" si="33"/>
        <v/>
      </c>
      <c r="V193" s="182" t="str">
        <f t="shared" si="34"/>
        <v/>
      </c>
      <c r="W193" s="182" t="str">
        <f t="shared" si="35"/>
        <v/>
      </c>
    </row>
    <row r="194" spans="1:23" x14ac:dyDescent="0.2">
      <c r="A194" s="181"/>
      <c r="B194" s="181"/>
      <c r="C194" s="181"/>
      <c r="D194" s="181"/>
      <c r="E194" s="181"/>
      <c r="F194" s="181"/>
      <c r="G194" s="181"/>
      <c r="K194" s="182">
        <v>193</v>
      </c>
      <c r="L194" s="182" t="str">
        <f t="shared" si="24"/>
        <v/>
      </c>
      <c r="M194" s="182" t="str">
        <f t="shared" si="25"/>
        <v/>
      </c>
      <c r="N194" s="182" t="str">
        <f t="shared" si="26"/>
        <v/>
      </c>
      <c r="O194" s="182" t="str">
        <f t="shared" si="27"/>
        <v/>
      </c>
      <c r="P194" s="182" t="str">
        <f t="shared" si="28"/>
        <v/>
      </c>
      <c r="Q194" s="182" t="str">
        <f t="shared" si="29"/>
        <v/>
      </c>
      <c r="R194" s="182" t="str">
        <f t="shared" si="30"/>
        <v/>
      </c>
      <c r="S194" s="182" t="str">
        <f t="shared" si="31"/>
        <v/>
      </c>
      <c r="T194" s="182" t="str">
        <f t="shared" si="32"/>
        <v/>
      </c>
      <c r="U194" s="182" t="str">
        <f t="shared" si="33"/>
        <v/>
      </c>
      <c r="V194" s="182" t="str">
        <f t="shared" si="34"/>
        <v/>
      </c>
      <c r="W194" s="182" t="str">
        <f t="shared" si="35"/>
        <v/>
      </c>
    </row>
    <row r="195" spans="1:23" x14ac:dyDescent="0.2">
      <c r="A195" s="181"/>
      <c r="B195" s="181"/>
      <c r="C195" s="181"/>
      <c r="D195" s="181"/>
      <c r="E195" s="181"/>
      <c r="F195" s="181"/>
      <c r="G195" s="181"/>
      <c r="K195" s="182">
        <v>194</v>
      </c>
      <c r="L195" s="182" t="str">
        <f t="shared" ref="L195:L258" si="36">IF($B$13&gt;=K195,K195,"")</f>
        <v/>
      </c>
      <c r="M195" s="182" t="str">
        <f t="shared" ref="M195:M258" si="37">IF(L195="","",IF(L195&lt;=$E$15,VLOOKUP($E$14,$I$1:$J$4,2,FALSE),VLOOKUP($F$14,$I$1:$J$4,2,FALSE)))</f>
        <v/>
      </c>
      <c r="N195" s="182" t="str">
        <f t="shared" ref="N195:N258" si="38">IF($B$20&gt;=K195,K195,"")</f>
        <v/>
      </c>
      <c r="O195" s="182" t="str">
        <f t="shared" ref="O195:O258" si="39">IF(N195="","",IF(N195&lt;=$E$22,VLOOKUP($E$21,$I$1:$J$4,2,FALSE),VLOOKUP($F$21,$I$1:$J$4,2,FALSE)))</f>
        <v/>
      </c>
      <c r="P195" s="182" t="str">
        <f t="shared" ref="P195:P258" si="40">IF($B$27&gt;=K195,K195,"")</f>
        <v/>
      </c>
      <c r="Q195" s="182" t="str">
        <f t="shared" ref="Q195:Q258" si="41">IF(P195="","",IF(P195&lt;=$E$29,VLOOKUP($E$28,$I$1:$J$4,2,FALSE),VLOOKUP($F$28,$I$1:$J$4,2,FALSE)))</f>
        <v/>
      </c>
      <c r="R195" s="182" t="str">
        <f t="shared" ref="R195:R258" si="42">IF($B$34&gt;=K195,K195,"")</f>
        <v/>
      </c>
      <c r="S195" s="182" t="str">
        <f t="shared" ref="S195:S258" si="43">IF(R195="","",IF(R195&lt;=$E$36,VLOOKUP($E$35,$I$1:$J$4,2,FALSE),VLOOKUP($F$35,$I$1:$J$4,2,FALSE)))</f>
        <v/>
      </c>
      <c r="T195" s="182" t="str">
        <f t="shared" ref="T195:T258" si="44">IF($B$41&gt;=K195,K195,"")</f>
        <v/>
      </c>
      <c r="U195" s="182" t="str">
        <f t="shared" ref="U195:U258" si="45">IF(T195="","",IF(T195&lt;=$E$43,VLOOKUP($E$42,$I$1:$J$4,2,FALSE),VLOOKUP($F$42,$I$1:$J$4,2,FALSE)))</f>
        <v/>
      </c>
      <c r="V195" s="182" t="str">
        <f t="shared" ref="V195:V258" si="46">IF($B$48&gt;=K195,K195,"")</f>
        <v/>
      </c>
      <c r="W195" s="182" t="str">
        <f t="shared" ref="W195:W258" si="47">IF(V195="","",IF(V195&lt;=$E$50,VLOOKUP($E$49,$I$1:$J$4,2,FALSE),VLOOKUP($F$49,$I$1:$J$4,2,FALSE)))</f>
        <v/>
      </c>
    </row>
    <row r="196" spans="1:23" x14ac:dyDescent="0.2">
      <c r="A196" s="181"/>
      <c r="B196" s="181"/>
      <c r="C196" s="181"/>
      <c r="D196" s="181"/>
      <c r="E196" s="181"/>
      <c r="F196" s="181"/>
      <c r="G196" s="181"/>
      <c r="K196" s="182">
        <v>195</v>
      </c>
      <c r="L196" s="182" t="str">
        <f t="shared" si="36"/>
        <v/>
      </c>
      <c r="M196" s="182" t="str">
        <f t="shared" si="37"/>
        <v/>
      </c>
      <c r="N196" s="182" t="str">
        <f t="shared" si="38"/>
        <v/>
      </c>
      <c r="O196" s="182" t="str">
        <f t="shared" si="39"/>
        <v/>
      </c>
      <c r="P196" s="182" t="str">
        <f t="shared" si="40"/>
        <v/>
      </c>
      <c r="Q196" s="182" t="str">
        <f t="shared" si="41"/>
        <v/>
      </c>
      <c r="R196" s="182" t="str">
        <f t="shared" si="42"/>
        <v/>
      </c>
      <c r="S196" s="182" t="str">
        <f t="shared" si="43"/>
        <v/>
      </c>
      <c r="T196" s="182" t="str">
        <f t="shared" si="44"/>
        <v/>
      </c>
      <c r="U196" s="182" t="str">
        <f t="shared" si="45"/>
        <v/>
      </c>
      <c r="V196" s="182" t="str">
        <f t="shared" si="46"/>
        <v/>
      </c>
      <c r="W196" s="182" t="str">
        <f t="shared" si="47"/>
        <v/>
      </c>
    </row>
    <row r="197" spans="1:23" x14ac:dyDescent="0.2">
      <c r="A197" s="181"/>
      <c r="B197" s="181"/>
      <c r="C197" s="181"/>
      <c r="D197" s="181"/>
      <c r="E197" s="181"/>
      <c r="F197" s="181"/>
      <c r="G197" s="181"/>
      <c r="K197" s="182">
        <v>196</v>
      </c>
      <c r="L197" s="182" t="str">
        <f t="shared" si="36"/>
        <v/>
      </c>
      <c r="M197" s="182" t="str">
        <f t="shared" si="37"/>
        <v/>
      </c>
      <c r="N197" s="182" t="str">
        <f t="shared" si="38"/>
        <v/>
      </c>
      <c r="O197" s="182" t="str">
        <f t="shared" si="39"/>
        <v/>
      </c>
      <c r="P197" s="182" t="str">
        <f t="shared" si="40"/>
        <v/>
      </c>
      <c r="Q197" s="182" t="str">
        <f t="shared" si="41"/>
        <v/>
      </c>
      <c r="R197" s="182" t="str">
        <f t="shared" si="42"/>
        <v/>
      </c>
      <c r="S197" s="182" t="str">
        <f t="shared" si="43"/>
        <v/>
      </c>
      <c r="T197" s="182" t="str">
        <f t="shared" si="44"/>
        <v/>
      </c>
      <c r="U197" s="182" t="str">
        <f t="shared" si="45"/>
        <v/>
      </c>
      <c r="V197" s="182" t="str">
        <f t="shared" si="46"/>
        <v/>
      </c>
      <c r="W197" s="182" t="str">
        <f t="shared" si="47"/>
        <v/>
      </c>
    </row>
    <row r="198" spans="1:23" x14ac:dyDescent="0.2">
      <c r="A198" s="181"/>
      <c r="B198" s="181"/>
      <c r="C198" s="181"/>
      <c r="D198" s="181"/>
      <c r="E198" s="181"/>
      <c r="F198" s="181"/>
      <c r="G198" s="181"/>
      <c r="K198" s="182">
        <v>197</v>
      </c>
      <c r="L198" s="182" t="str">
        <f t="shared" si="36"/>
        <v/>
      </c>
      <c r="M198" s="182" t="str">
        <f t="shared" si="37"/>
        <v/>
      </c>
      <c r="N198" s="182" t="str">
        <f t="shared" si="38"/>
        <v/>
      </c>
      <c r="O198" s="182" t="str">
        <f t="shared" si="39"/>
        <v/>
      </c>
      <c r="P198" s="182" t="str">
        <f t="shared" si="40"/>
        <v/>
      </c>
      <c r="Q198" s="182" t="str">
        <f t="shared" si="41"/>
        <v/>
      </c>
      <c r="R198" s="182" t="str">
        <f t="shared" si="42"/>
        <v/>
      </c>
      <c r="S198" s="182" t="str">
        <f t="shared" si="43"/>
        <v/>
      </c>
      <c r="T198" s="182" t="str">
        <f t="shared" si="44"/>
        <v/>
      </c>
      <c r="U198" s="182" t="str">
        <f t="shared" si="45"/>
        <v/>
      </c>
      <c r="V198" s="182" t="str">
        <f t="shared" si="46"/>
        <v/>
      </c>
      <c r="W198" s="182" t="str">
        <f t="shared" si="47"/>
        <v/>
      </c>
    </row>
    <row r="199" spans="1:23" x14ac:dyDescent="0.2">
      <c r="A199" s="181"/>
      <c r="B199" s="181"/>
      <c r="C199" s="181"/>
      <c r="D199" s="181"/>
      <c r="E199" s="181"/>
      <c r="F199" s="181"/>
      <c r="G199" s="181"/>
      <c r="K199" s="182">
        <v>198</v>
      </c>
      <c r="L199" s="182" t="str">
        <f t="shared" si="36"/>
        <v/>
      </c>
      <c r="M199" s="182" t="str">
        <f t="shared" si="37"/>
        <v/>
      </c>
      <c r="N199" s="182" t="str">
        <f t="shared" si="38"/>
        <v/>
      </c>
      <c r="O199" s="182" t="str">
        <f t="shared" si="39"/>
        <v/>
      </c>
      <c r="P199" s="182" t="str">
        <f t="shared" si="40"/>
        <v/>
      </c>
      <c r="Q199" s="182" t="str">
        <f t="shared" si="41"/>
        <v/>
      </c>
      <c r="R199" s="182" t="str">
        <f t="shared" si="42"/>
        <v/>
      </c>
      <c r="S199" s="182" t="str">
        <f t="shared" si="43"/>
        <v/>
      </c>
      <c r="T199" s="182" t="str">
        <f t="shared" si="44"/>
        <v/>
      </c>
      <c r="U199" s="182" t="str">
        <f t="shared" si="45"/>
        <v/>
      </c>
      <c r="V199" s="182" t="str">
        <f t="shared" si="46"/>
        <v/>
      </c>
      <c r="W199" s="182" t="str">
        <f t="shared" si="47"/>
        <v/>
      </c>
    </row>
    <row r="200" spans="1:23" x14ac:dyDescent="0.2">
      <c r="A200" s="181"/>
      <c r="B200" s="181"/>
      <c r="C200" s="181"/>
      <c r="D200" s="181"/>
      <c r="E200" s="181"/>
      <c r="F200" s="181"/>
      <c r="G200" s="181"/>
      <c r="K200" s="182">
        <v>199</v>
      </c>
      <c r="L200" s="182" t="str">
        <f t="shared" si="36"/>
        <v/>
      </c>
      <c r="M200" s="182" t="str">
        <f t="shared" si="37"/>
        <v/>
      </c>
      <c r="N200" s="182" t="str">
        <f t="shared" si="38"/>
        <v/>
      </c>
      <c r="O200" s="182" t="str">
        <f t="shared" si="39"/>
        <v/>
      </c>
      <c r="P200" s="182" t="str">
        <f t="shared" si="40"/>
        <v/>
      </c>
      <c r="Q200" s="182" t="str">
        <f t="shared" si="41"/>
        <v/>
      </c>
      <c r="R200" s="182" t="str">
        <f t="shared" si="42"/>
        <v/>
      </c>
      <c r="S200" s="182" t="str">
        <f t="shared" si="43"/>
        <v/>
      </c>
      <c r="T200" s="182" t="str">
        <f t="shared" si="44"/>
        <v/>
      </c>
      <c r="U200" s="182" t="str">
        <f t="shared" si="45"/>
        <v/>
      </c>
      <c r="V200" s="182" t="str">
        <f t="shared" si="46"/>
        <v/>
      </c>
      <c r="W200" s="182" t="str">
        <f t="shared" si="47"/>
        <v/>
      </c>
    </row>
    <row r="201" spans="1:23" x14ac:dyDescent="0.2">
      <c r="A201" s="181"/>
      <c r="B201" s="181"/>
      <c r="C201" s="181"/>
      <c r="D201" s="181"/>
      <c r="E201" s="181"/>
      <c r="F201" s="181"/>
      <c r="G201" s="181"/>
      <c r="K201" s="182">
        <v>200</v>
      </c>
      <c r="L201" s="182" t="str">
        <f t="shared" si="36"/>
        <v/>
      </c>
      <c r="M201" s="182" t="str">
        <f t="shared" si="37"/>
        <v/>
      </c>
      <c r="N201" s="182" t="str">
        <f t="shared" si="38"/>
        <v/>
      </c>
      <c r="O201" s="182" t="str">
        <f t="shared" si="39"/>
        <v/>
      </c>
      <c r="P201" s="182" t="str">
        <f t="shared" si="40"/>
        <v/>
      </c>
      <c r="Q201" s="182" t="str">
        <f t="shared" si="41"/>
        <v/>
      </c>
      <c r="R201" s="182" t="str">
        <f t="shared" si="42"/>
        <v/>
      </c>
      <c r="S201" s="182" t="str">
        <f t="shared" si="43"/>
        <v/>
      </c>
      <c r="T201" s="182" t="str">
        <f t="shared" si="44"/>
        <v/>
      </c>
      <c r="U201" s="182" t="str">
        <f t="shared" si="45"/>
        <v/>
      </c>
      <c r="V201" s="182" t="str">
        <f t="shared" si="46"/>
        <v/>
      </c>
      <c r="W201" s="182" t="str">
        <f t="shared" si="47"/>
        <v/>
      </c>
    </row>
    <row r="202" spans="1:23" x14ac:dyDescent="0.2">
      <c r="A202" s="181"/>
      <c r="B202" s="181"/>
      <c r="C202" s="181"/>
      <c r="D202" s="181"/>
      <c r="E202" s="181"/>
      <c r="F202" s="181"/>
      <c r="G202" s="181"/>
      <c r="K202" s="182">
        <v>201</v>
      </c>
      <c r="L202" s="182" t="str">
        <f t="shared" si="36"/>
        <v/>
      </c>
      <c r="M202" s="182" t="str">
        <f t="shared" si="37"/>
        <v/>
      </c>
      <c r="N202" s="182" t="str">
        <f t="shared" si="38"/>
        <v/>
      </c>
      <c r="O202" s="182" t="str">
        <f t="shared" si="39"/>
        <v/>
      </c>
      <c r="P202" s="182" t="str">
        <f t="shared" si="40"/>
        <v/>
      </c>
      <c r="Q202" s="182" t="str">
        <f t="shared" si="41"/>
        <v/>
      </c>
      <c r="R202" s="182" t="str">
        <f t="shared" si="42"/>
        <v/>
      </c>
      <c r="S202" s="182" t="str">
        <f t="shared" si="43"/>
        <v/>
      </c>
      <c r="T202" s="182" t="str">
        <f t="shared" si="44"/>
        <v/>
      </c>
      <c r="U202" s="182" t="str">
        <f t="shared" si="45"/>
        <v/>
      </c>
      <c r="V202" s="182" t="str">
        <f t="shared" si="46"/>
        <v/>
      </c>
      <c r="W202" s="182" t="str">
        <f t="shared" si="47"/>
        <v/>
      </c>
    </row>
    <row r="203" spans="1:23" x14ac:dyDescent="0.2">
      <c r="A203" s="181"/>
      <c r="B203" s="181"/>
      <c r="C203" s="181"/>
      <c r="D203" s="181"/>
      <c r="E203" s="181"/>
      <c r="F203" s="181"/>
      <c r="G203" s="181"/>
      <c r="K203" s="182">
        <v>202</v>
      </c>
      <c r="L203" s="182" t="str">
        <f t="shared" si="36"/>
        <v/>
      </c>
      <c r="M203" s="182" t="str">
        <f t="shared" si="37"/>
        <v/>
      </c>
      <c r="N203" s="182" t="str">
        <f t="shared" si="38"/>
        <v/>
      </c>
      <c r="O203" s="182" t="str">
        <f t="shared" si="39"/>
        <v/>
      </c>
      <c r="P203" s="182" t="str">
        <f t="shared" si="40"/>
        <v/>
      </c>
      <c r="Q203" s="182" t="str">
        <f t="shared" si="41"/>
        <v/>
      </c>
      <c r="R203" s="182" t="str">
        <f t="shared" si="42"/>
        <v/>
      </c>
      <c r="S203" s="182" t="str">
        <f t="shared" si="43"/>
        <v/>
      </c>
      <c r="T203" s="182" t="str">
        <f t="shared" si="44"/>
        <v/>
      </c>
      <c r="U203" s="182" t="str">
        <f t="shared" si="45"/>
        <v/>
      </c>
      <c r="V203" s="182" t="str">
        <f t="shared" si="46"/>
        <v/>
      </c>
      <c r="W203" s="182" t="str">
        <f t="shared" si="47"/>
        <v/>
      </c>
    </row>
    <row r="204" spans="1:23" x14ac:dyDescent="0.2">
      <c r="A204" s="181"/>
      <c r="B204" s="181"/>
      <c r="C204" s="181"/>
      <c r="D204" s="181"/>
      <c r="E204" s="181"/>
      <c r="F204" s="181"/>
      <c r="G204" s="181"/>
      <c r="K204" s="182">
        <v>203</v>
      </c>
      <c r="L204" s="182" t="str">
        <f t="shared" si="36"/>
        <v/>
      </c>
      <c r="M204" s="182" t="str">
        <f t="shared" si="37"/>
        <v/>
      </c>
      <c r="N204" s="182" t="str">
        <f t="shared" si="38"/>
        <v/>
      </c>
      <c r="O204" s="182" t="str">
        <f t="shared" si="39"/>
        <v/>
      </c>
      <c r="P204" s="182" t="str">
        <f t="shared" si="40"/>
        <v/>
      </c>
      <c r="Q204" s="182" t="str">
        <f t="shared" si="41"/>
        <v/>
      </c>
      <c r="R204" s="182" t="str">
        <f t="shared" si="42"/>
        <v/>
      </c>
      <c r="S204" s="182" t="str">
        <f t="shared" si="43"/>
        <v/>
      </c>
      <c r="T204" s="182" t="str">
        <f t="shared" si="44"/>
        <v/>
      </c>
      <c r="U204" s="182" t="str">
        <f t="shared" si="45"/>
        <v/>
      </c>
      <c r="V204" s="182" t="str">
        <f t="shared" si="46"/>
        <v/>
      </c>
      <c r="W204" s="182" t="str">
        <f t="shared" si="47"/>
        <v/>
      </c>
    </row>
    <row r="205" spans="1:23" x14ac:dyDescent="0.2">
      <c r="A205" s="181"/>
      <c r="B205" s="181"/>
      <c r="C205" s="181"/>
      <c r="D205" s="181"/>
      <c r="E205" s="181"/>
      <c r="F205" s="181"/>
      <c r="G205" s="181"/>
      <c r="K205" s="182">
        <v>204</v>
      </c>
      <c r="L205" s="182" t="str">
        <f t="shared" si="36"/>
        <v/>
      </c>
      <c r="M205" s="182" t="str">
        <f t="shared" si="37"/>
        <v/>
      </c>
      <c r="N205" s="182" t="str">
        <f t="shared" si="38"/>
        <v/>
      </c>
      <c r="O205" s="182" t="str">
        <f t="shared" si="39"/>
        <v/>
      </c>
      <c r="P205" s="182" t="str">
        <f t="shared" si="40"/>
        <v/>
      </c>
      <c r="Q205" s="182" t="str">
        <f t="shared" si="41"/>
        <v/>
      </c>
      <c r="R205" s="182" t="str">
        <f t="shared" si="42"/>
        <v/>
      </c>
      <c r="S205" s="182" t="str">
        <f t="shared" si="43"/>
        <v/>
      </c>
      <c r="T205" s="182" t="str">
        <f t="shared" si="44"/>
        <v/>
      </c>
      <c r="U205" s="182" t="str">
        <f t="shared" si="45"/>
        <v/>
      </c>
      <c r="V205" s="182" t="str">
        <f t="shared" si="46"/>
        <v/>
      </c>
      <c r="W205" s="182" t="str">
        <f t="shared" si="47"/>
        <v/>
      </c>
    </row>
    <row r="206" spans="1:23" x14ac:dyDescent="0.2">
      <c r="A206" s="181"/>
      <c r="B206" s="181"/>
      <c r="C206" s="181"/>
      <c r="D206" s="181"/>
      <c r="E206" s="181"/>
      <c r="F206" s="181"/>
      <c r="G206" s="181"/>
      <c r="K206" s="182">
        <v>205</v>
      </c>
      <c r="L206" s="182" t="str">
        <f t="shared" si="36"/>
        <v/>
      </c>
      <c r="M206" s="182" t="str">
        <f t="shared" si="37"/>
        <v/>
      </c>
      <c r="N206" s="182" t="str">
        <f t="shared" si="38"/>
        <v/>
      </c>
      <c r="O206" s="182" t="str">
        <f t="shared" si="39"/>
        <v/>
      </c>
      <c r="P206" s="182" t="str">
        <f t="shared" si="40"/>
        <v/>
      </c>
      <c r="Q206" s="182" t="str">
        <f t="shared" si="41"/>
        <v/>
      </c>
      <c r="R206" s="182" t="str">
        <f t="shared" si="42"/>
        <v/>
      </c>
      <c r="S206" s="182" t="str">
        <f t="shared" si="43"/>
        <v/>
      </c>
      <c r="T206" s="182" t="str">
        <f t="shared" si="44"/>
        <v/>
      </c>
      <c r="U206" s="182" t="str">
        <f t="shared" si="45"/>
        <v/>
      </c>
      <c r="V206" s="182" t="str">
        <f t="shared" si="46"/>
        <v/>
      </c>
      <c r="W206" s="182" t="str">
        <f t="shared" si="47"/>
        <v/>
      </c>
    </row>
    <row r="207" spans="1:23" x14ac:dyDescent="0.2">
      <c r="A207" s="181"/>
      <c r="B207" s="181"/>
      <c r="C207" s="181"/>
      <c r="D207" s="181"/>
      <c r="E207" s="181"/>
      <c r="F207" s="181"/>
      <c r="G207" s="181"/>
      <c r="K207" s="182">
        <v>206</v>
      </c>
      <c r="L207" s="182" t="str">
        <f t="shared" si="36"/>
        <v/>
      </c>
      <c r="M207" s="182" t="str">
        <f t="shared" si="37"/>
        <v/>
      </c>
      <c r="N207" s="182" t="str">
        <f t="shared" si="38"/>
        <v/>
      </c>
      <c r="O207" s="182" t="str">
        <f t="shared" si="39"/>
        <v/>
      </c>
      <c r="P207" s="182" t="str">
        <f t="shared" si="40"/>
        <v/>
      </c>
      <c r="Q207" s="182" t="str">
        <f t="shared" si="41"/>
        <v/>
      </c>
      <c r="R207" s="182" t="str">
        <f t="shared" si="42"/>
        <v/>
      </c>
      <c r="S207" s="182" t="str">
        <f t="shared" si="43"/>
        <v/>
      </c>
      <c r="T207" s="182" t="str">
        <f t="shared" si="44"/>
        <v/>
      </c>
      <c r="U207" s="182" t="str">
        <f t="shared" si="45"/>
        <v/>
      </c>
      <c r="V207" s="182" t="str">
        <f t="shared" si="46"/>
        <v/>
      </c>
      <c r="W207" s="182" t="str">
        <f t="shared" si="47"/>
        <v/>
      </c>
    </row>
    <row r="208" spans="1:23" x14ac:dyDescent="0.2">
      <c r="A208" s="181"/>
      <c r="B208" s="181"/>
      <c r="C208" s="181"/>
      <c r="D208" s="181"/>
      <c r="E208" s="181"/>
      <c r="F208" s="181"/>
      <c r="G208" s="181"/>
      <c r="K208" s="182">
        <v>207</v>
      </c>
      <c r="L208" s="182" t="str">
        <f t="shared" si="36"/>
        <v/>
      </c>
      <c r="M208" s="182" t="str">
        <f t="shared" si="37"/>
        <v/>
      </c>
      <c r="N208" s="182" t="str">
        <f t="shared" si="38"/>
        <v/>
      </c>
      <c r="O208" s="182" t="str">
        <f t="shared" si="39"/>
        <v/>
      </c>
      <c r="P208" s="182" t="str">
        <f t="shared" si="40"/>
        <v/>
      </c>
      <c r="Q208" s="182" t="str">
        <f t="shared" si="41"/>
        <v/>
      </c>
      <c r="R208" s="182" t="str">
        <f t="shared" si="42"/>
        <v/>
      </c>
      <c r="S208" s="182" t="str">
        <f t="shared" si="43"/>
        <v/>
      </c>
      <c r="T208" s="182" t="str">
        <f t="shared" si="44"/>
        <v/>
      </c>
      <c r="U208" s="182" t="str">
        <f t="shared" si="45"/>
        <v/>
      </c>
      <c r="V208" s="182" t="str">
        <f t="shared" si="46"/>
        <v/>
      </c>
      <c r="W208" s="182" t="str">
        <f t="shared" si="47"/>
        <v/>
      </c>
    </row>
    <row r="209" spans="1:23" x14ac:dyDescent="0.2">
      <c r="A209" s="181"/>
      <c r="B209" s="181"/>
      <c r="C209" s="181"/>
      <c r="D209" s="181"/>
      <c r="E209" s="181"/>
      <c r="F209" s="181"/>
      <c r="G209" s="181"/>
      <c r="K209" s="182">
        <v>208</v>
      </c>
      <c r="L209" s="182" t="str">
        <f t="shared" si="36"/>
        <v/>
      </c>
      <c r="M209" s="182" t="str">
        <f t="shared" si="37"/>
        <v/>
      </c>
      <c r="N209" s="182" t="str">
        <f t="shared" si="38"/>
        <v/>
      </c>
      <c r="O209" s="182" t="str">
        <f t="shared" si="39"/>
        <v/>
      </c>
      <c r="P209" s="182" t="str">
        <f t="shared" si="40"/>
        <v/>
      </c>
      <c r="Q209" s="182" t="str">
        <f t="shared" si="41"/>
        <v/>
      </c>
      <c r="R209" s="182" t="str">
        <f t="shared" si="42"/>
        <v/>
      </c>
      <c r="S209" s="182" t="str">
        <f t="shared" si="43"/>
        <v/>
      </c>
      <c r="T209" s="182" t="str">
        <f t="shared" si="44"/>
        <v/>
      </c>
      <c r="U209" s="182" t="str">
        <f t="shared" si="45"/>
        <v/>
      </c>
      <c r="V209" s="182" t="str">
        <f t="shared" si="46"/>
        <v/>
      </c>
      <c r="W209" s="182" t="str">
        <f t="shared" si="47"/>
        <v/>
      </c>
    </row>
    <row r="210" spans="1:23" x14ac:dyDescent="0.2">
      <c r="A210" s="181"/>
      <c r="B210" s="181"/>
      <c r="C210" s="181"/>
      <c r="D210" s="181"/>
      <c r="E210" s="181"/>
      <c r="F210" s="181"/>
      <c r="G210" s="181"/>
      <c r="K210" s="182">
        <v>209</v>
      </c>
      <c r="L210" s="182" t="str">
        <f t="shared" si="36"/>
        <v/>
      </c>
      <c r="M210" s="182" t="str">
        <f t="shared" si="37"/>
        <v/>
      </c>
      <c r="N210" s="182" t="str">
        <f t="shared" si="38"/>
        <v/>
      </c>
      <c r="O210" s="182" t="str">
        <f t="shared" si="39"/>
        <v/>
      </c>
      <c r="P210" s="182" t="str">
        <f t="shared" si="40"/>
        <v/>
      </c>
      <c r="Q210" s="182" t="str">
        <f t="shared" si="41"/>
        <v/>
      </c>
      <c r="R210" s="182" t="str">
        <f t="shared" si="42"/>
        <v/>
      </c>
      <c r="S210" s="182" t="str">
        <f t="shared" si="43"/>
        <v/>
      </c>
      <c r="T210" s="182" t="str">
        <f t="shared" si="44"/>
        <v/>
      </c>
      <c r="U210" s="182" t="str">
        <f t="shared" si="45"/>
        <v/>
      </c>
      <c r="V210" s="182" t="str">
        <f t="shared" si="46"/>
        <v/>
      </c>
      <c r="W210" s="182" t="str">
        <f t="shared" si="47"/>
        <v/>
      </c>
    </row>
    <row r="211" spans="1:23" x14ac:dyDescent="0.2">
      <c r="A211" s="181"/>
      <c r="B211" s="181"/>
      <c r="C211" s="181"/>
      <c r="D211" s="181"/>
      <c r="E211" s="181"/>
      <c r="F211" s="181"/>
      <c r="G211" s="181"/>
      <c r="K211" s="182">
        <v>210</v>
      </c>
      <c r="L211" s="182" t="str">
        <f t="shared" si="36"/>
        <v/>
      </c>
      <c r="M211" s="182" t="str">
        <f t="shared" si="37"/>
        <v/>
      </c>
      <c r="N211" s="182" t="str">
        <f t="shared" si="38"/>
        <v/>
      </c>
      <c r="O211" s="182" t="str">
        <f t="shared" si="39"/>
        <v/>
      </c>
      <c r="P211" s="182" t="str">
        <f t="shared" si="40"/>
        <v/>
      </c>
      <c r="Q211" s="182" t="str">
        <f t="shared" si="41"/>
        <v/>
      </c>
      <c r="R211" s="182" t="str">
        <f t="shared" si="42"/>
        <v/>
      </c>
      <c r="S211" s="182" t="str">
        <f t="shared" si="43"/>
        <v/>
      </c>
      <c r="T211" s="182" t="str">
        <f t="shared" si="44"/>
        <v/>
      </c>
      <c r="U211" s="182" t="str">
        <f t="shared" si="45"/>
        <v/>
      </c>
      <c r="V211" s="182" t="str">
        <f t="shared" si="46"/>
        <v/>
      </c>
      <c r="W211" s="182" t="str">
        <f t="shared" si="47"/>
        <v/>
      </c>
    </row>
    <row r="212" spans="1:23" x14ac:dyDescent="0.2">
      <c r="A212" s="181"/>
      <c r="B212" s="181"/>
      <c r="C212" s="181"/>
      <c r="D212" s="181"/>
      <c r="E212" s="181"/>
      <c r="F212" s="181"/>
      <c r="G212" s="181"/>
      <c r="K212" s="182">
        <v>211</v>
      </c>
      <c r="L212" s="182" t="str">
        <f t="shared" si="36"/>
        <v/>
      </c>
      <c r="M212" s="182" t="str">
        <f t="shared" si="37"/>
        <v/>
      </c>
      <c r="N212" s="182" t="str">
        <f t="shared" si="38"/>
        <v/>
      </c>
      <c r="O212" s="182" t="str">
        <f t="shared" si="39"/>
        <v/>
      </c>
      <c r="P212" s="182" t="str">
        <f t="shared" si="40"/>
        <v/>
      </c>
      <c r="Q212" s="182" t="str">
        <f t="shared" si="41"/>
        <v/>
      </c>
      <c r="R212" s="182" t="str">
        <f t="shared" si="42"/>
        <v/>
      </c>
      <c r="S212" s="182" t="str">
        <f t="shared" si="43"/>
        <v/>
      </c>
      <c r="T212" s="182" t="str">
        <f t="shared" si="44"/>
        <v/>
      </c>
      <c r="U212" s="182" t="str">
        <f t="shared" si="45"/>
        <v/>
      </c>
      <c r="V212" s="182" t="str">
        <f t="shared" si="46"/>
        <v/>
      </c>
      <c r="W212" s="182" t="str">
        <f t="shared" si="47"/>
        <v/>
      </c>
    </row>
    <row r="213" spans="1:23" x14ac:dyDescent="0.2">
      <c r="A213" s="181"/>
      <c r="B213" s="181"/>
      <c r="C213" s="181"/>
      <c r="D213" s="181"/>
      <c r="E213" s="181"/>
      <c r="F213" s="181"/>
      <c r="G213" s="181"/>
      <c r="K213" s="182">
        <v>212</v>
      </c>
      <c r="L213" s="182" t="str">
        <f t="shared" si="36"/>
        <v/>
      </c>
      <c r="M213" s="182" t="str">
        <f t="shared" si="37"/>
        <v/>
      </c>
      <c r="N213" s="182" t="str">
        <f t="shared" si="38"/>
        <v/>
      </c>
      <c r="O213" s="182" t="str">
        <f t="shared" si="39"/>
        <v/>
      </c>
      <c r="P213" s="182" t="str">
        <f t="shared" si="40"/>
        <v/>
      </c>
      <c r="Q213" s="182" t="str">
        <f t="shared" si="41"/>
        <v/>
      </c>
      <c r="R213" s="182" t="str">
        <f t="shared" si="42"/>
        <v/>
      </c>
      <c r="S213" s="182" t="str">
        <f t="shared" si="43"/>
        <v/>
      </c>
      <c r="T213" s="182" t="str">
        <f t="shared" si="44"/>
        <v/>
      </c>
      <c r="U213" s="182" t="str">
        <f t="shared" si="45"/>
        <v/>
      </c>
      <c r="V213" s="182" t="str">
        <f t="shared" si="46"/>
        <v/>
      </c>
      <c r="W213" s="182" t="str">
        <f t="shared" si="47"/>
        <v/>
      </c>
    </row>
    <row r="214" spans="1:23" x14ac:dyDescent="0.2">
      <c r="A214" s="181"/>
      <c r="B214" s="181"/>
      <c r="C214" s="181"/>
      <c r="D214" s="181"/>
      <c r="E214" s="181"/>
      <c r="F214" s="181"/>
      <c r="G214" s="181"/>
      <c r="K214" s="182">
        <v>213</v>
      </c>
      <c r="L214" s="182" t="str">
        <f t="shared" si="36"/>
        <v/>
      </c>
      <c r="M214" s="182" t="str">
        <f t="shared" si="37"/>
        <v/>
      </c>
      <c r="N214" s="182" t="str">
        <f t="shared" si="38"/>
        <v/>
      </c>
      <c r="O214" s="182" t="str">
        <f t="shared" si="39"/>
        <v/>
      </c>
      <c r="P214" s="182" t="str">
        <f t="shared" si="40"/>
        <v/>
      </c>
      <c r="Q214" s="182" t="str">
        <f t="shared" si="41"/>
        <v/>
      </c>
      <c r="R214" s="182" t="str">
        <f t="shared" si="42"/>
        <v/>
      </c>
      <c r="S214" s="182" t="str">
        <f t="shared" si="43"/>
        <v/>
      </c>
      <c r="T214" s="182" t="str">
        <f t="shared" si="44"/>
        <v/>
      </c>
      <c r="U214" s="182" t="str">
        <f t="shared" si="45"/>
        <v/>
      </c>
      <c r="V214" s="182" t="str">
        <f t="shared" si="46"/>
        <v/>
      </c>
      <c r="W214" s="182" t="str">
        <f t="shared" si="47"/>
        <v/>
      </c>
    </row>
    <row r="215" spans="1:23" x14ac:dyDescent="0.2">
      <c r="A215" s="181"/>
      <c r="B215" s="181"/>
      <c r="C215" s="181"/>
      <c r="D215" s="181"/>
      <c r="E215" s="181"/>
      <c r="F215" s="181"/>
      <c r="G215" s="181"/>
      <c r="K215" s="182">
        <v>214</v>
      </c>
      <c r="L215" s="182" t="str">
        <f t="shared" si="36"/>
        <v/>
      </c>
      <c r="M215" s="182" t="str">
        <f t="shared" si="37"/>
        <v/>
      </c>
      <c r="N215" s="182" t="str">
        <f t="shared" si="38"/>
        <v/>
      </c>
      <c r="O215" s="182" t="str">
        <f t="shared" si="39"/>
        <v/>
      </c>
      <c r="P215" s="182" t="str">
        <f t="shared" si="40"/>
        <v/>
      </c>
      <c r="Q215" s="182" t="str">
        <f t="shared" si="41"/>
        <v/>
      </c>
      <c r="R215" s="182" t="str">
        <f t="shared" si="42"/>
        <v/>
      </c>
      <c r="S215" s="182" t="str">
        <f t="shared" si="43"/>
        <v/>
      </c>
      <c r="T215" s="182" t="str">
        <f t="shared" si="44"/>
        <v/>
      </c>
      <c r="U215" s="182" t="str">
        <f t="shared" si="45"/>
        <v/>
      </c>
      <c r="V215" s="182" t="str">
        <f t="shared" si="46"/>
        <v/>
      </c>
      <c r="W215" s="182" t="str">
        <f t="shared" si="47"/>
        <v/>
      </c>
    </row>
    <row r="216" spans="1:23" x14ac:dyDescent="0.2">
      <c r="A216" s="181"/>
      <c r="B216" s="181"/>
      <c r="C216" s="181"/>
      <c r="D216" s="181"/>
      <c r="E216" s="181"/>
      <c r="F216" s="181"/>
      <c r="G216" s="181"/>
      <c r="K216" s="182">
        <v>215</v>
      </c>
      <c r="L216" s="182" t="str">
        <f t="shared" si="36"/>
        <v/>
      </c>
      <c r="M216" s="182" t="str">
        <f t="shared" si="37"/>
        <v/>
      </c>
      <c r="N216" s="182" t="str">
        <f t="shared" si="38"/>
        <v/>
      </c>
      <c r="O216" s="182" t="str">
        <f t="shared" si="39"/>
        <v/>
      </c>
      <c r="P216" s="182" t="str">
        <f t="shared" si="40"/>
        <v/>
      </c>
      <c r="Q216" s="182" t="str">
        <f t="shared" si="41"/>
        <v/>
      </c>
      <c r="R216" s="182" t="str">
        <f t="shared" si="42"/>
        <v/>
      </c>
      <c r="S216" s="182" t="str">
        <f t="shared" si="43"/>
        <v/>
      </c>
      <c r="T216" s="182" t="str">
        <f t="shared" si="44"/>
        <v/>
      </c>
      <c r="U216" s="182" t="str">
        <f t="shared" si="45"/>
        <v/>
      </c>
      <c r="V216" s="182" t="str">
        <f t="shared" si="46"/>
        <v/>
      </c>
      <c r="W216" s="182" t="str">
        <f t="shared" si="47"/>
        <v/>
      </c>
    </row>
    <row r="217" spans="1:23" x14ac:dyDescent="0.2">
      <c r="A217" s="181"/>
      <c r="B217" s="181"/>
      <c r="C217" s="181"/>
      <c r="D217" s="181"/>
      <c r="E217" s="181"/>
      <c r="F217" s="181"/>
      <c r="G217" s="181"/>
      <c r="K217" s="182">
        <v>216</v>
      </c>
      <c r="L217" s="182" t="str">
        <f t="shared" si="36"/>
        <v/>
      </c>
      <c r="M217" s="182" t="str">
        <f t="shared" si="37"/>
        <v/>
      </c>
      <c r="N217" s="182" t="str">
        <f t="shared" si="38"/>
        <v/>
      </c>
      <c r="O217" s="182" t="str">
        <f t="shared" si="39"/>
        <v/>
      </c>
      <c r="P217" s="182" t="str">
        <f t="shared" si="40"/>
        <v/>
      </c>
      <c r="Q217" s="182" t="str">
        <f t="shared" si="41"/>
        <v/>
      </c>
      <c r="R217" s="182" t="str">
        <f t="shared" si="42"/>
        <v/>
      </c>
      <c r="S217" s="182" t="str">
        <f t="shared" si="43"/>
        <v/>
      </c>
      <c r="T217" s="182" t="str">
        <f t="shared" si="44"/>
        <v/>
      </c>
      <c r="U217" s="182" t="str">
        <f t="shared" si="45"/>
        <v/>
      </c>
      <c r="V217" s="182" t="str">
        <f t="shared" si="46"/>
        <v/>
      </c>
      <c r="W217" s="182" t="str">
        <f t="shared" si="47"/>
        <v/>
      </c>
    </row>
    <row r="218" spans="1:23" x14ac:dyDescent="0.2">
      <c r="A218" s="181"/>
      <c r="B218" s="181"/>
      <c r="C218" s="181"/>
      <c r="D218" s="181"/>
      <c r="E218" s="181"/>
      <c r="F218" s="181"/>
      <c r="G218" s="181"/>
      <c r="K218" s="182">
        <v>217</v>
      </c>
      <c r="L218" s="182" t="str">
        <f t="shared" si="36"/>
        <v/>
      </c>
      <c r="M218" s="182" t="str">
        <f t="shared" si="37"/>
        <v/>
      </c>
      <c r="N218" s="182" t="str">
        <f t="shared" si="38"/>
        <v/>
      </c>
      <c r="O218" s="182" t="str">
        <f t="shared" si="39"/>
        <v/>
      </c>
      <c r="P218" s="182" t="str">
        <f t="shared" si="40"/>
        <v/>
      </c>
      <c r="Q218" s="182" t="str">
        <f t="shared" si="41"/>
        <v/>
      </c>
      <c r="R218" s="182" t="str">
        <f t="shared" si="42"/>
        <v/>
      </c>
      <c r="S218" s="182" t="str">
        <f t="shared" si="43"/>
        <v/>
      </c>
      <c r="T218" s="182" t="str">
        <f t="shared" si="44"/>
        <v/>
      </c>
      <c r="U218" s="182" t="str">
        <f t="shared" si="45"/>
        <v/>
      </c>
      <c r="V218" s="182" t="str">
        <f t="shared" si="46"/>
        <v/>
      </c>
      <c r="W218" s="182" t="str">
        <f t="shared" si="47"/>
        <v/>
      </c>
    </row>
    <row r="219" spans="1:23" x14ac:dyDescent="0.2">
      <c r="A219" s="181"/>
      <c r="B219" s="181"/>
      <c r="C219" s="181"/>
      <c r="D219" s="181"/>
      <c r="E219" s="181"/>
      <c r="F219" s="181"/>
      <c r="G219" s="181"/>
      <c r="K219" s="182">
        <v>218</v>
      </c>
      <c r="L219" s="182" t="str">
        <f t="shared" si="36"/>
        <v/>
      </c>
      <c r="M219" s="182" t="str">
        <f t="shared" si="37"/>
        <v/>
      </c>
      <c r="N219" s="182" t="str">
        <f t="shared" si="38"/>
        <v/>
      </c>
      <c r="O219" s="182" t="str">
        <f t="shared" si="39"/>
        <v/>
      </c>
      <c r="P219" s="182" t="str">
        <f t="shared" si="40"/>
        <v/>
      </c>
      <c r="Q219" s="182" t="str">
        <f t="shared" si="41"/>
        <v/>
      </c>
      <c r="R219" s="182" t="str">
        <f t="shared" si="42"/>
        <v/>
      </c>
      <c r="S219" s="182" t="str">
        <f t="shared" si="43"/>
        <v/>
      </c>
      <c r="T219" s="182" t="str">
        <f t="shared" si="44"/>
        <v/>
      </c>
      <c r="U219" s="182" t="str">
        <f t="shared" si="45"/>
        <v/>
      </c>
      <c r="V219" s="182" t="str">
        <f t="shared" si="46"/>
        <v/>
      </c>
      <c r="W219" s="182" t="str">
        <f t="shared" si="47"/>
        <v/>
      </c>
    </row>
    <row r="220" spans="1:23" x14ac:dyDescent="0.2">
      <c r="A220" s="181"/>
      <c r="B220" s="181"/>
      <c r="C220" s="181"/>
      <c r="D220" s="181"/>
      <c r="E220" s="181"/>
      <c r="F220" s="181"/>
      <c r="G220" s="181"/>
      <c r="K220" s="182">
        <v>219</v>
      </c>
      <c r="L220" s="182" t="str">
        <f t="shared" si="36"/>
        <v/>
      </c>
      <c r="M220" s="182" t="str">
        <f t="shared" si="37"/>
        <v/>
      </c>
      <c r="N220" s="182" t="str">
        <f t="shared" si="38"/>
        <v/>
      </c>
      <c r="O220" s="182" t="str">
        <f t="shared" si="39"/>
        <v/>
      </c>
      <c r="P220" s="182" t="str">
        <f t="shared" si="40"/>
        <v/>
      </c>
      <c r="Q220" s="182" t="str">
        <f t="shared" si="41"/>
        <v/>
      </c>
      <c r="R220" s="182" t="str">
        <f t="shared" si="42"/>
        <v/>
      </c>
      <c r="S220" s="182" t="str">
        <f t="shared" si="43"/>
        <v/>
      </c>
      <c r="T220" s="182" t="str">
        <f t="shared" si="44"/>
        <v/>
      </c>
      <c r="U220" s="182" t="str">
        <f t="shared" si="45"/>
        <v/>
      </c>
      <c r="V220" s="182" t="str">
        <f t="shared" si="46"/>
        <v/>
      </c>
      <c r="W220" s="182" t="str">
        <f t="shared" si="47"/>
        <v/>
      </c>
    </row>
    <row r="221" spans="1:23" x14ac:dyDescent="0.2">
      <c r="A221" s="181"/>
      <c r="B221" s="181"/>
      <c r="C221" s="181"/>
      <c r="D221" s="181"/>
      <c r="E221" s="181"/>
      <c r="F221" s="181"/>
      <c r="G221" s="181"/>
      <c r="K221" s="182">
        <v>220</v>
      </c>
      <c r="L221" s="182" t="str">
        <f t="shared" si="36"/>
        <v/>
      </c>
      <c r="M221" s="182" t="str">
        <f t="shared" si="37"/>
        <v/>
      </c>
      <c r="N221" s="182" t="str">
        <f t="shared" si="38"/>
        <v/>
      </c>
      <c r="O221" s="182" t="str">
        <f t="shared" si="39"/>
        <v/>
      </c>
      <c r="P221" s="182" t="str">
        <f t="shared" si="40"/>
        <v/>
      </c>
      <c r="Q221" s="182" t="str">
        <f t="shared" si="41"/>
        <v/>
      </c>
      <c r="R221" s="182" t="str">
        <f t="shared" si="42"/>
        <v/>
      </c>
      <c r="S221" s="182" t="str">
        <f t="shared" si="43"/>
        <v/>
      </c>
      <c r="T221" s="182" t="str">
        <f t="shared" si="44"/>
        <v/>
      </c>
      <c r="U221" s="182" t="str">
        <f t="shared" si="45"/>
        <v/>
      </c>
      <c r="V221" s="182" t="str">
        <f t="shared" si="46"/>
        <v/>
      </c>
      <c r="W221" s="182" t="str">
        <f t="shared" si="47"/>
        <v/>
      </c>
    </row>
    <row r="222" spans="1:23" x14ac:dyDescent="0.2">
      <c r="A222" s="181"/>
      <c r="B222" s="181"/>
      <c r="C222" s="181"/>
      <c r="D222" s="181"/>
      <c r="E222" s="181"/>
      <c r="F222" s="181"/>
      <c r="G222" s="181"/>
      <c r="K222" s="182">
        <v>221</v>
      </c>
      <c r="L222" s="182" t="str">
        <f t="shared" si="36"/>
        <v/>
      </c>
      <c r="M222" s="182" t="str">
        <f t="shared" si="37"/>
        <v/>
      </c>
      <c r="N222" s="182" t="str">
        <f t="shared" si="38"/>
        <v/>
      </c>
      <c r="O222" s="182" t="str">
        <f t="shared" si="39"/>
        <v/>
      </c>
      <c r="P222" s="182" t="str">
        <f t="shared" si="40"/>
        <v/>
      </c>
      <c r="Q222" s="182" t="str">
        <f t="shared" si="41"/>
        <v/>
      </c>
      <c r="R222" s="182" t="str">
        <f t="shared" si="42"/>
        <v/>
      </c>
      <c r="S222" s="182" t="str">
        <f t="shared" si="43"/>
        <v/>
      </c>
      <c r="T222" s="182" t="str">
        <f t="shared" si="44"/>
        <v/>
      </c>
      <c r="U222" s="182" t="str">
        <f t="shared" si="45"/>
        <v/>
      </c>
      <c r="V222" s="182" t="str">
        <f t="shared" si="46"/>
        <v/>
      </c>
      <c r="W222" s="182" t="str">
        <f t="shared" si="47"/>
        <v/>
      </c>
    </row>
    <row r="223" spans="1:23" x14ac:dyDescent="0.2">
      <c r="A223" s="181"/>
      <c r="B223" s="181"/>
      <c r="C223" s="181"/>
      <c r="D223" s="181"/>
      <c r="E223" s="181"/>
      <c r="F223" s="181"/>
      <c r="G223" s="181"/>
      <c r="K223" s="182">
        <v>222</v>
      </c>
      <c r="L223" s="182" t="str">
        <f t="shared" si="36"/>
        <v/>
      </c>
      <c r="M223" s="182" t="str">
        <f t="shared" si="37"/>
        <v/>
      </c>
      <c r="N223" s="182" t="str">
        <f t="shared" si="38"/>
        <v/>
      </c>
      <c r="O223" s="182" t="str">
        <f t="shared" si="39"/>
        <v/>
      </c>
      <c r="P223" s="182" t="str">
        <f t="shared" si="40"/>
        <v/>
      </c>
      <c r="Q223" s="182" t="str">
        <f t="shared" si="41"/>
        <v/>
      </c>
      <c r="R223" s="182" t="str">
        <f t="shared" si="42"/>
        <v/>
      </c>
      <c r="S223" s="182" t="str">
        <f t="shared" si="43"/>
        <v/>
      </c>
      <c r="T223" s="182" t="str">
        <f t="shared" si="44"/>
        <v/>
      </c>
      <c r="U223" s="182" t="str">
        <f t="shared" si="45"/>
        <v/>
      </c>
      <c r="V223" s="182" t="str">
        <f t="shared" si="46"/>
        <v/>
      </c>
      <c r="W223" s="182" t="str">
        <f t="shared" si="47"/>
        <v/>
      </c>
    </row>
    <row r="224" spans="1:23" x14ac:dyDescent="0.2">
      <c r="A224" s="181"/>
      <c r="B224" s="181"/>
      <c r="C224" s="181"/>
      <c r="D224" s="181"/>
      <c r="E224" s="181"/>
      <c r="F224" s="181"/>
      <c r="G224" s="181"/>
      <c r="K224" s="182">
        <v>223</v>
      </c>
      <c r="L224" s="182" t="str">
        <f t="shared" si="36"/>
        <v/>
      </c>
      <c r="M224" s="182" t="str">
        <f t="shared" si="37"/>
        <v/>
      </c>
      <c r="N224" s="182" t="str">
        <f t="shared" si="38"/>
        <v/>
      </c>
      <c r="O224" s="182" t="str">
        <f t="shared" si="39"/>
        <v/>
      </c>
      <c r="P224" s="182" t="str">
        <f t="shared" si="40"/>
        <v/>
      </c>
      <c r="Q224" s="182" t="str">
        <f t="shared" si="41"/>
        <v/>
      </c>
      <c r="R224" s="182" t="str">
        <f t="shared" si="42"/>
        <v/>
      </c>
      <c r="S224" s="182" t="str">
        <f t="shared" si="43"/>
        <v/>
      </c>
      <c r="T224" s="182" t="str">
        <f t="shared" si="44"/>
        <v/>
      </c>
      <c r="U224" s="182" t="str">
        <f t="shared" si="45"/>
        <v/>
      </c>
      <c r="V224" s="182" t="str">
        <f t="shared" si="46"/>
        <v/>
      </c>
      <c r="W224" s="182" t="str">
        <f t="shared" si="47"/>
        <v/>
      </c>
    </row>
    <row r="225" spans="1:23" x14ac:dyDescent="0.2">
      <c r="A225" s="181"/>
      <c r="B225" s="181"/>
      <c r="C225" s="181"/>
      <c r="D225" s="181"/>
      <c r="E225" s="181"/>
      <c r="F225" s="181"/>
      <c r="G225" s="181"/>
      <c r="K225" s="182">
        <v>224</v>
      </c>
      <c r="L225" s="182" t="str">
        <f t="shared" si="36"/>
        <v/>
      </c>
      <c r="M225" s="182" t="str">
        <f t="shared" si="37"/>
        <v/>
      </c>
      <c r="N225" s="182" t="str">
        <f t="shared" si="38"/>
        <v/>
      </c>
      <c r="O225" s="182" t="str">
        <f t="shared" si="39"/>
        <v/>
      </c>
      <c r="P225" s="182" t="str">
        <f t="shared" si="40"/>
        <v/>
      </c>
      <c r="Q225" s="182" t="str">
        <f t="shared" si="41"/>
        <v/>
      </c>
      <c r="R225" s="182" t="str">
        <f t="shared" si="42"/>
        <v/>
      </c>
      <c r="S225" s="182" t="str">
        <f t="shared" si="43"/>
        <v/>
      </c>
      <c r="T225" s="182" t="str">
        <f t="shared" si="44"/>
        <v/>
      </c>
      <c r="U225" s="182" t="str">
        <f t="shared" si="45"/>
        <v/>
      </c>
      <c r="V225" s="182" t="str">
        <f t="shared" si="46"/>
        <v/>
      </c>
      <c r="W225" s="182" t="str">
        <f t="shared" si="47"/>
        <v/>
      </c>
    </row>
    <row r="226" spans="1:23" x14ac:dyDescent="0.2">
      <c r="A226" s="181"/>
      <c r="B226" s="181"/>
      <c r="C226" s="181"/>
      <c r="D226" s="181"/>
      <c r="E226" s="181"/>
      <c r="F226" s="181"/>
      <c r="G226" s="181"/>
      <c r="K226" s="182">
        <v>225</v>
      </c>
      <c r="L226" s="182" t="str">
        <f t="shared" si="36"/>
        <v/>
      </c>
      <c r="M226" s="182" t="str">
        <f t="shared" si="37"/>
        <v/>
      </c>
      <c r="N226" s="182" t="str">
        <f t="shared" si="38"/>
        <v/>
      </c>
      <c r="O226" s="182" t="str">
        <f t="shared" si="39"/>
        <v/>
      </c>
      <c r="P226" s="182" t="str">
        <f t="shared" si="40"/>
        <v/>
      </c>
      <c r="Q226" s="182" t="str">
        <f t="shared" si="41"/>
        <v/>
      </c>
      <c r="R226" s="182" t="str">
        <f t="shared" si="42"/>
        <v/>
      </c>
      <c r="S226" s="182" t="str">
        <f t="shared" si="43"/>
        <v/>
      </c>
      <c r="T226" s="182" t="str">
        <f t="shared" si="44"/>
        <v/>
      </c>
      <c r="U226" s="182" t="str">
        <f t="shared" si="45"/>
        <v/>
      </c>
      <c r="V226" s="182" t="str">
        <f t="shared" si="46"/>
        <v/>
      </c>
      <c r="W226" s="182" t="str">
        <f t="shared" si="47"/>
        <v/>
      </c>
    </row>
    <row r="227" spans="1:23" x14ac:dyDescent="0.2">
      <c r="A227" s="181"/>
      <c r="B227" s="181"/>
      <c r="C227" s="181"/>
      <c r="D227" s="181"/>
      <c r="E227" s="181"/>
      <c r="F227" s="181"/>
      <c r="G227" s="181"/>
      <c r="K227" s="182">
        <v>226</v>
      </c>
      <c r="L227" s="182" t="str">
        <f t="shared" si="36"/>
        <v/>
      </c>
      <c r="M227" s="182" t="str">
        <f t="shared" si="37"/>
        <v/>
      </c>
      <c r="N227" s="182" t="str">
        <f t="shared" si="38"/>
        <v/>
      </c>
      <c r="O227" s="182" t="str">
        <f t="shared" si="39"/>
        <v/>
      </c>
      <c r="P227" s="182" t="str">
        <f t="shared" si="40"/>
        <v/>
      </c>
      <c r="Q227" s="182" t="str">
        <f t="shared" si="41"/>
        <v/>
      </c>
      <c r="R227" s="182" t="str">
        <f t="shared" si="42"/>
        <v/>
      </c>
      <c r="S227" s="182" t="str">
        <f t="shared" si="43"/>
        <v/>
      </c>
      <c r="T227" s="182" t="str">
        <f t="shared" si="44"/>
        <v/>
      </c>
      <c r="U227" s="182" t="str">
        <f t="shared" si="45"/>
        <v/>
      </c>
      <c r="V227" s="182" t="str">
        <f t="shared" si="46"/>
        <v/>
      </c>
      <c r="W227" s="182" t="str">
        <f t="shared" si="47"/>
        <v/>
      </c>
    </row>
    <row r="228" spans="1:23" x14ac:dyDescent="0.2">
      <c r="A228" s="181"/>
      <c r="B228" s="181"/>
      <c r="C228" s="181"/>
      <c r="D228" s="181"/>
      <c r="E228" s="181"/>
      <c r="F228" s="181"/>
      <c r="G228" s="181"/>
      <c r="K228" s="182">
        <v>227</v>
      </c>
      <c r="L228" s="182" t="str">
        <f t="shared" si="36"/>
        <v/>
      </c>
      <c r="M228" s="182" t="str">
        <f t="shared" si="37"/>
        <v/>
      </c>
      <c r="N228" s="182" t="str">
        <f t="shared" si="38"/>
        <v/>
      </c>
      <c r="O228" s="182" t="str">
        <f t="shared" si="39"/>
        <v/>
      </c>
      <c r="P228" s="182" t="str">
        <f t="shared" si="40"/>
        <v/>
      </c>
      <c r="Q228" s="182" t="str">
        <f t="shared" si="41"/>
        <v/>
      </c>
      <c r="R228" s="182" t="str">
        <f t="shared" si="42"/>
        <v/>
      </c>
      <c r="S228" s="182" t="str">
        <f t="shared" si="43"/>
        <v/>
      </c>
      <c r="T228" s="182" t="str">
        <f t="shared" si="44"/>
        <v/>
      </c>
      <c r="U228" s="182" t="str">
        <f t="shared" si="45"/>
        <v/>
      </c>
      <c r="V228" s="182" t="str">
        <f t="shared" si="46"/>
        <v/>
      </c>
      <c r="W228" s="182" t="str">
        <f t="shared" si="47"/>
        <v/>
      </c>
    </row>
    <row r="229" spans="1:23" x14ac:dyDescent="0.2">
      <c r="A229" s="181"/>
      <c r="B229" s="181"/>
      <c r="C229" s="181"/>
      <c r="D229" s="181"/>
      <c r="E229" s="181"/>
      <c r="F229" s="181"/>
      <c r="G229" s="181"/>
      <c r="K229" s="182">
        <v>228</v>
      </c>
      <c r="L229" s="182" t="str">
        <f t="shared" si="36"/>
        <v/>
      </c>
      <c r="M229" s="182" t="str">
        <f t="shared" si="37"/>
        <v/>
      </c>
      <c r="N229" s="182" t="str">
        <f t="shared" si="38"/>
        <v/>
      </c>
      <c r="O229" s="182" t="str">
        <f t="shared" si="39"/>
        <v/>
      </c>
      <c r="P229" s="182" t="str">
        <f t="shared" si="40"/>
        <v/>
      </c>
      <c r="Q229" s="182" t="str">
        <f t="shared" si="41"/>
        <v/>
      </c>
      <c r="R229" s="182" t="str">
        <f t="shared" si="42"/>
        <v/>
      </c>
      <c r="S229" s="182" t="str">
        <f t="shared" si="43"/>
        <v/>
      </c>
      <c r="T229" s="182" t="str">
        <f t="shared" si="44"/>
        <v/>
      </c>
      <c r="U229" s="182" t="str">
        <f t="shared" si="45"/>
        <v/>
      </c>
      <c r="V229" s="182" t="str">
        <f t="shared" si="46"/>
        <v/>
      </c>
      <c r="W229" s="182" t="str">
        <f t="shared" si="47"/>
        <v/>
      </c>
    </row>
    <row r="230" spans="1:23" x14ac:dyDescent="0.2">
      <c r="A230" s="181"/>
      <c r="B230" s="181"/>
      <c r="C230" s="181"/>
      <c r="D230" s="181"/>
      <c r="E230" s="181"/>
      <c r="F230" s="181"/>
      <c r="G230" s="181"/>
      <c r="K230" s="182">
        <v>229</v>
      </c>
      <c r="L230" s="182" t="str">
        <f t="shared" si="36"/>
        <v/>
      </c>
      <c r="M230" s="182" t="str">
        <f t="shared" si="37"/>
        <v/>
      </c>
      <c r="N230" s="182" t="str">
        <f t="shared" si="38"/>
        <v/>
      </c>
      <c r="O230" s="182" t="str">
        <f t="shared" si="39"/>
        <v/>
      </c>
      <c r="P230" s="182" t="str">
        <f t="shared" si="40"/>
        <v/>
      </c>
      <c r="Q230" s="182" t="str">
        <f t="shared" si="41"/>
        <v/>
      </c>
      <c r="R230" s="182" t="str">
        <f t="shared" si="42"/>
        <v/>
      </c>
      <c r="S230" s="182" t="str">
        <f t="shared" si="43"/>
        <v/>
      </c>
      <c r="T230" s="182" t="str">
        <f t="shared" si="44"/>
        <v/>
      </c>
      <c r="U230" s="182" t="str">
        <f t="shared" si="45"/>
        <v/>
      </c>
      <c r="V230" s="182" t="str">
        <f t="shared" si="46"/>
        <v/>
      </c>
      <c r="W230" s="182" t="str">
        <f t="shared" si="47"/>
        <v/>
      </c>
    </row>
    <row r="231" spans="1:23" x14ac:dyDescent="0.2">
      <c r="A231" s="181"/>
      <c r="B231" s="181"/>
      <c r="C231" s="181"/>
      <c r="D231" s="181"/>
      <c r="E231" s="181"/>
      <c r="F231" s="181"/>
      <c r="G231" s="181"/>
      <c r="K231" s="182">
        <v>230</v>
      </c>
      <c r="L231" s="182" t="str">
        <f t="shared" si="36"/>
        <v/>
      </c>
      <c r="M231" s="182" t="str">
        <f t="shared" si="37"/>
        <v/>
      </c>
      <c r="N231" s="182" t="str">
        <f t="shared" si="38"/>
        <v/>
      </c>
      <c r="O231" s="182" t="str">
        <f t="shared" si="39"/>
        <v/>
      </c>
      <c r="P231" s="182" t="str">
        <f t="shared" si="40"/>
        <v/>
      </c>
      <c r="Q231" s="182" t="str">
        <f t="shared" si="41"/>
        <v/>
      </c>
      <c r="R231" s="182" t="str">
        <f t="shared" si="42"/>
        <v/>
      </c>
      <c r="S231" s="182" t="str">
        <f t="shared" si="43"/>
        <v/>
      </c>
      <c r="T231" s="182" t="str">
        <f t="shared" si="44"/>
        <v/>
      </c>
      <c r="U231" s="182" t="str">
        <f t="shared" si="45"/>
        <v/>
      </c>
      <c r="V231" s="182" t="str">
        <f t="shared" si="46"/>
        <v/>
      </c>
      <c r="W231" s="182" t="str">
        <f t="shared" si="47"/>
        <v/>
      </c>
    </row>
    <row r="232" spans="1:23" x14ac:dyDescent="0.2">
      <c r="A232" s="181"/>
      <c r="B232" s="181"/>
      <c r="C232" s="181"/>
      <c r="D232" s="181"/>
      <c r="E232" s="181"/>
      <c r="F232" s="181"/>
      <c r="G232" s="181"/>
      <c r="K232" s="182">
        <v>231</v>
      </c>
      <c r="L232" s="182" t="str">
        <f t="shared" si="36"/>
        <v/>
      </c>
      <c r="M232" s="182" t="str">
        <f t="shared" si="37"/>
        <v/>
      </c>
      <c r="N232" s="182" t="str">
        <f t="shared" si="38"/>
        <v/>
      </c>
      <c r="O232" s="182" t="str">
        <f t="shared" si="39"/>
        <v/>
      </c>
      <c r="P232" s="182" t="str">
        <f t="shared" si="40"/>
        <v/>
      </c>
      <c r="Q232" s="182" t="str">
        <f t="shared" si="41"/>
        <v/>
      </c>
      <c r="R232" s="182" t="str">
        <f t="shared" si="42"/>
        <v/>
      </c>
      <c r="S232" s="182" t="str">
        <f t="shared" si="43"/>
        <v/>
      </c>
      <c r="T232" s="182" t="str">
        <f t="shared" si="44"/>
        <v/>
      </c>
      <c r="U232" s="182" t="str">
        <f t="shared" si="45"/>
        <v/>
      </c>
      <c r="V232" s="182" t="str">
        <f t="shared" si="46"/>
        <v/>
      </c>
      <c r="W232" s="182" t="str">
        <f t="shared" si="47"/>
        <v/>
      </c>
    </row>
    <row r="233" spans="1:23" x14ac:dyDescent="0.2">
      <c r="A233" s="181"/>
      <c r="B233" s="181"/>
      <c r="C233" s="181"/>
      <c r="D233" s="181"/>
      <c r="E233" s="181"/>
      <c r="F233" s="181"/>
      <c r="G233" s="181"/>
      <c r="K233" s="182">
        <v>232</v>
      </c>
      <c r="L233" s="182" t="str">
        <f t="shared" si="36"/>
        <v/>
      </c>
      <c r="M233" s="182" t="str">
        <f t="shared" si="37"/>
        <v/>
      </c>
      <c r="N233" s="182" t="str">
        <f t="shared" si="38"/>
        <v/>
      </c>
      <c r="O233" s="182" t="str">
        <f t="shared" si="39"/>
        <v/>
      </c>
      <c r="P233" s="182" t="str">
        <f t="shared" si="40"/>
        <v/>
      </c>
      <c r="Q233" s="182" t="str">
        <f t="shared" si="41"/>
        <v/>
      </c>
      <c r="R233" s="182" t="str">
        <f t="shared" si="42"/>
        <v/>
      </c>
      <c r="S233" s="182" t="str">
        <f t="shared" si="43"/>
        <v/>
      </c>
      <c r="T233" s="182" t="str">
        <f t="shared" si="44"/>
        <v/>
      </c>
      <c r="U233" s="182" t="str">
        <f t="shared" si="45"/>
        <v/>
      </c>
      <c r="V233" s="182" t="str">
        <f t="shared" si="46"/>
        <v/>
      </c>
      <c r="W233" s="182" t="str">
        <f t="shared" si="47"/>
        <v/>
      </c>
    </row>
    <row r="234" spans="1:23" x14ac:dyDescent="0.2">
      <c r="A234" s="181"/>
      <c r="B234" s="181"/>
      <c r="C234" s="181"/>
      <c r="D234" s="181"/>
      <c r="E234" s="181"/>
      <c r="F234" s="181"/>
      <c r="G234" s="181"/>
      <c r="K234" s="182">
        <v>233</v>
      </c>
      <c r="L234" s="182" t="str">
        <f t="shared" si="36"/>
        <v/>
      </c>
      <c r="M234" s="182" t="str">
        <f t="shared" si="37"/>
        <v/>
      </c>
      <c r="N234" s="182" t="str">
        <f t="shared" si="38"/>
        <v/>
      </c>
      <c r="O234" s="182" t="str">
        <f t="shared" si="39"/>
        <v/>
      </c>
      <c r="P234" s="182" t="str">
        <f t="shared" si="40"/>
        <v/>
      </c>
      <c r="Q234" s="182" t="str">
        <f t="shared" si="41"/>
        <v/>
      </c>
      <c r="R234" s="182" t="str">
        <f t="shared" si="42"/>
        <v/>
      </c>
      <c r="S234" s="182" t="str">
        <f t="shared" si="43"/>
        <v/>
      </c>
      <c r="T234" s="182" t="str">
        <f t="shared" si="44"/>
        <v/>
      </c>
      <c r="U234" s="182" t="str">
        <f t="shared" si="45"/>
        <v/>
      </c>
      <c r="V234" s="182" t="str">
        <f t="shared" si="46"/>
        <v/>
      </c>
      <c r="W234" s="182" t="str">
        <f t="shared" si="47"/>
        <v/>
      </c>
    </row>
    <row r="235" spans="1:23" x14ac:dyDescent="0.2">
      <c r="A235" s="181"/>
      <c r="B235" s="181"/>
      <c r="C235" s="181"/>
      <c r="D235" s="181"/>
      <c r="E235" s="181"/>
      <c r="F235" s="181"/>
      <c r="G235" s="181"/>
      <c r="K235" s="182">
        <v>234</v>
      </c>
      <c r="L235" s="182" t="str">
        <f t="shared" si="36"/>
        <v/>
      </c>
      <c r="M235" s="182" t="str">
        <f t="shared" si="37"/>
        <v/>
      </c>
      <c r="N235" s="182" t="str">
        <f t="shared" si="38"/>
        <v/>
      </c>
      <c r="O235" s="182" t="str">
        <f t="shared" si="39"/>
        <v/>
      </c>
      <c r="P235" s="182" t="str">
        <f t="shared" si="40"/>
        <v/>
      </c>
      <c r="Q235" s="182" t="str">
        <f t="shared" si="41"/>
        <v/>
      </c>
      <c r="R235" s="182" t="str">
        <f t="shared" si="42"/>
        <v/>
      </c>
      <c r="S235" s="182" t="str">
        <f t="shared" si="43"/>
        <v/>
      </c>
      <c r="T235" s="182" t="str">
        <f t="shared" si="44"/>
        <v/>
      </c>
      <c r="U235" s="182" t="str">
        <f t="shared" si="45"/>
        <v/>
      </c>
      <c r="V235" s="182" t="str">
        <f t="shared" si="46"/>
        <v/>
      </c>
      <c r="W235" s="182" t="str">
        <f t="shared" si="47"/>
        <v/>
      </c>
    </row>
    <row r="236" spans="1:23" x14ac:dyDescent="0.2">
      <c r="A236" s="181"/>
      <c r="B236" s="181"/>
      <c r="C236" s="181"/>
      <c r="D236" s="181"/>
      <c r="E236" s="181"/>
      <c r="F236" s="181"/>
      <c r="G236" s="181"/>
      <c r="K236" s="182">
        <v>235</v>
      </c>
      <c r="L236" s="182" t="str">
        <f t="shared" si="36"/>
        <v/>
      </c>
      <c r="M236" s="182" t="str">
        <f t="shared" si="37"/>
        <v/>
      </c>
      <c r="N236" s="182" t="str">
        <f t="shared" si="38"/>
        <v/>
      </c>
      <c r="O236" s="182" t="str">
        <f t="shared" si="39"/>
        <v/>
      </c>
      <c r="P236" s="182" t="str">
        <f t="shared" si="40"/>
        <v/>
      </c>
      <c r="Q236" s="182" t="str">
        <f t="shared" si="41"/>
        <v/>
      </c>
      <c r="R236" s="182" t="str">
        <f t="shared" si="42"/>
        <v/>
      </c>
      <c r="S236" s="182" t="str">
        <f t="shared" si="43"/>
        <v/>
      </c>
      <c r="T236" s="182" t="str">
        <f t="shared" si="44"/>
        <v/>
      </c>
      <c r="U236" s="182" t="str">
        <f t="shared" si="45"/>
        <v/>
      </c>
      <c r="V236" s="182" t="str">
        <f t="shared" si="46"/>
        <v/>
      </c>
      <c r="W236" s="182" t="str">
        <f t="shared" si="47"/>
        <v/>
      </c>
    </row>
    <row r="237" spans="1:23" x14ac:dyDescent="0.2">
      <c r="A237" s="181"/>
      <c r="B237" s="181"/>
      <c r="C237" s="181"/>
      <c r="D237" s="181"/>
      <c r="E237" s="181"/>
      <c r="F237" s="181"/>
      <c r="G237" s="181"/>
      <c r="K237" s="182">
        <v>236</v>
      </c>
      <c r="L237" s="182" t="str">
        <f t="shared" si="36"/>
        <v/>
      </c>
      <c r="M237" s="182" t="str">
        <f t="shared" si="37"/>
        <v/>
      </c>
      <c r="N237" s="182" t="str">
        <f t="shared" si="38"/>
        <v/>
      </c>
      <c r="O237" s="182" t="str">
        <f t="shared" si="39"/>
        <v/>
      </c>
      <c r="P237" s="182" t="str">
        <f t="shared" si="40"/>
        <v/>
      </c>
      <c r="Q237" s="182" t="str">
        <f t="shared" si="41"/>
        <v/>
      </c>
      <c r="R237" s="182" t="str">
        <f t="shared" si="42"/>
        <v/>
      </c>
      <c r="S237" s="182" t="str">
        <f t="shared" si="43"/>
        <v/>
      </c>
      <c r="T237" s="182" t="str">
        <f t="shared" si="44"/>
        <v/>
      </c>
      <c r="U237" s="182" t="str">
        <f t="shared" si="45"/>
        <v/>
      </c>
      <c r="V237" s="182" t="str">
        <f t="shared" si="46"/>
        <v/>
      </c>
      <c r="W237" s="182" t="str">
        <f t="shared" si="47"/>
        <v/>
      </c>
    </row>
    <row r="238" spans="1:23" x14ac:dyDescent="0.2">
      <c r="A238" s="181"/>
      <c r="B238" s="181"/>
      <c r="C238" s="181"/>
      <c r="D238" s="181"/>
      <c r="E238" s="181"/>
      <c r="F238" s="181"/>
      <c r="G238" s="181"/>
      <c r="K238" s="182">
        <v>237</v>
      </c>
      <c r="L238" s="182" t="str">
        <f t="shared" si="36"/>
        <v/>
      </c>
      <c r="M238" s="182" t="str">
        <f t="shared" si="37"/>
        <v/>
      </c>
      <c r="N238" s="182" t="str">
        <f t="shared" si="38"/>
        <v/>
      </c>
      <c r="O238" s="182" t="str">
        <f t="shared" si="39"/>
        <v/>
      </c>
      <c r="P238" s="182" t="str">
        <f t="shared" si="40"/>
        <v/>
      </c>
      <c r="Q238" s="182" t="str">
        <f t="shared" si="41"/>
        <v/>
      </c>
      <c r="R238" s="182" t="str">
        <f t="shared" si="42"/>
        <v/>
      </c>
      <c r="S238" s="182" t="str">
        <f t="shared" si="43"/>
        <v/>
      </c>
      <c r="T238" s="182" t="str">
        <f t="shared" si="44"/>
        <v/>
      </c>
      <c r="U238" s="182" t="str">
        <f t="shared" si="45"/>
        <v/>
      </c>
      <c r="V238" s="182" t="str">
        <f t="shared" si="46"/>
        <v/>
      </c>
      <c r="W238" s="182" t="str">
        <f t="shared" si="47"/>
        <v/>
      </c>
    </row>
    <row r="239" spans="1:23" x14ac:dyDescent="0.2">
      <c r="A239" s="181"/>
      <c r="B239" s="181"/>
      <c r="C239" s="181"/>
      <c r="D239" s="181"/>
      <c r="E239" s="181"/>
      <c r="F239" s="181"/>
      <c r="G239" s="181"/>
      <c r="K239" s="182">
        <v>238</v>
      </c>
      <c r="L239" s="182" t="str">
        <f t="shared" si="36"/>
        <v/>
      </c>
      <c r="M239" s="182" t="str">
        <f t="shared" si="37"/>
        <v/>
      </c>
      <c r="N239" s="182" t="str">
        <f t="shared" si="38"/>
        <v/>
      </c>
      <c r="O239" s="182" t="str">
        <f t="shared" si="39"/>
        <v/>
      </c>
      <c r="P239" s="182" t="str">
        <f t="shared" si="40"/>
        <v/>
      </c>
      <c r="Q239" s="182" t="str">
        <f t="shared" si="41"/>
        <v/>
      </c>
      <c r="R239" s="182" t="str">
        <f t="shared" si="42"/>
        <v/>
      </c>
      <c r="S239" s="182" t="str">
        <f t="shared" si="43"/>
        <v/>
      </c>
      <c r="T239" s="182" t="str">
        <f t="shared" si="44"/>
        <v/>
      </c>
      <c r="U239" s="182" t="str">
        <f t="shared" si="45"/>
        <v/>
      </c>
      <c r="V239" s="182" t="str">
        <f t="shared" si="46"/>
        <v/>
      </c>
      <c r="W239" s="182" t="str">
        <f t="shared" si="47"/>
        <v/>
      </c>
    </row>
    <row r="240" spans="1:23" x14ac:dyDescent="0.2">
      <c r="A240" s="181"/>
      <c r="B240" s="181"/>
      <c r="C240" s="181"/>
      <c r="D240" s="181"/>
      <c r="E240" s="181"/>
      <c r="F240" s="181"/>
      <c r="G240" s="181"/>
      <c r="K240" s="182">
        <v>239</v>
      </c>
      <c r="L240" s="182" t="str">
        <f t="shared" si="36"/>
        <v/>
      </c>
      <c r="M240" s="182" t="str">
        <f t="shared" si="37"/>
        <v/>
      </c>
      <c r="N240" s="182" t="str">
        <f t="shared" si="38"/>
        <v/>
      </c>
      <c r="O240" s="182" t="str">
        <f t="shared" si="39"/>
        <v/>
      </c>
      <c r="P240" s="182" t="str">
        <f t="shared" si="40"/>
        <v/>
      </c>
      <c r="Q240" s="182" t="str">
        <f t="shared" si="41"/>
        <v/>
      </c>
      <c r="R240" s="182" t="str">
        <f t="shared" si="42"/>
        <v/>
      </c>
      <c r="S240" s="182" t="str">
        <f t="shared" si="43"/>
        <v/>
      </c>
      <c r="T240" s="182" t="str">
        <f t="shared" si="44"/>
        <v/>
      </c>
      <c r="U240" s="182" t="str">
        <f t="shared" si="45"/>
        <v/>
      </c>
      <c r="V240" s="182" t="str">
        <f t="shared" si="46"/>
        <v/>
      </c>
      <c r="W240" s="182" t="str">
        <f t="shared" si="47"/>
        <v/>
      </c>
    </row>
    <row r="241" spans="1:23" x14ac:dyDescent="0.2">
      <c r="A241" s="181"/>
      <c r="B241" s="181"/>
      <c r="C241" s="181"/>
      <c r="D241" s="181"/>
      <c r="E241" s="181"/>
      <c r="F241" s="181"/>
      <c r="G241" s="181"/>
      <c r="K241" s="182">
        <v>240</v>
      </c>
      <c r="L241" s="182" t="str">
        <f t="shared" si="36"/>
        <v/>
      </c>
      <c r="M241" s="182" t="str">
        <f t="shared" si="37"/>
        <v/>
      </c>
      <c r="N241" s="182" t="str">
        <f t="shared" si="38"/>
        <v/>
      </c>
      <c r="O241" s="182" t="str">
        <f t="shared" si="39"/>
        <v/>
      </c>
      <c r="P241" s="182" t="str">
        <f t="shared" si="40"/>
        <v/>
      </c>
      <c r="Q241" s="182" t="str">
        <f t="shared" si="41"/>
        <v/>
      </c>
      <c r="R241" s="182" t="str">
        <f t="shared" si="42"/>
        <v/>
      </c>
      <c r="S241" s="182" t="str">
        <f t="shared" si="43"/>
        <v/>
      </c>
      <c r="T241" s="182" t="str">
        <f t="shared" si="44"/>
        <v/>
      </c>
      <c r="U241" s="182" t="str">
        <f t="shared" si="45"/>
        <v/>
      </c>
      <c r="V241" s="182" t="str">
        <f t="shared" si="46"/>
        <v/>
      </c>
      <c r="W241" s="182" t="str">
        <f t="shared" si="47"/>
        <v/>
      </c>
    </row>
    <row r="242" spans="1:23" x14ac:dyDescent="0.2">
      <c r="A242" s="181"/>
      <c r="B242" s="181"/>
      <c r="C242" s="181"/>
      <c r="D242" s="181"/>
      <c r="E242" s="181"/>
      <c r="F242" s="181"/>
      <c r="G242" s="181"/>
      <c r="K242" s="182">
        <v>241</v>
      </c>
      <c r="L242" s="182" t="str">
        <f t="shared" si="36"/>
        <v/>
      </c>
      <c r="M242" s="182" t="str">
        <f t="shared" si="37"/>
        <v/>
      </c>
      <c r="N242" s="182" t="str">
        <f t="shared" si="38"/>
        <v/>
      </c>
      <c r="O242" s="182" t="str">
        <f t="shared" si="39"/>
        <v/>
      </c>
      <c r="P242" s="182" t="str">
        <f t="shared" si="40"/>
        <v/>
      </c>
      <c r="Q242" s="182" t="str">
        <f t="shared" si="41"/>
        <v/>
      </c>
      <c r="R242" s="182" t="str">
        <f t="shared" si="42"/>
        <v/>
      </c>
      <c r="S242" s="182" t="str">
        <f t="shared" si="43"/>
        <v/>
      </c>
      <c r="T242" s="182" t="str">
        <f t="shared" si="44"/>
        <v/>
      </c>
      <c r="U242" s="182" t="str">
        <f t="shared" si="45"/>
        <v/>
      </c>
      <c r="V242" s="182" t="str">
        <f t="shared" si="46"/>
        <v/>
      </c>
      <c r="W242" s="182" t="str">
        <f t="shared" si="47"/>
        <v/>
      </c>
    </row>
    <row r="243" spans="1:23" x14ac:dyDescent="0.2">
      <c r="A243" s="181"/>
      <c r="B243" s="181"/>
      <c r="C243" s="181"/>
      <c r="D243" s="181"/>
      <c r="E243" s="181"/>
      <c r="F243" s="181"/>
      <c r="G243" s="181"/>
      <c r="K243" s="182">
        <v>242</v>
      </c>
      <c r="L243" s="182" t="str">
        <f t="shared" si="36"/>
        <v/>
      </c>
      <c r="M243" s="182" t="str">
        <f t="shared" si="37"/>
        <v/>
      </c>
      <c r="N243" s="182" t="str">
        <f t="shared" si="38"/>
        <v/>
      </c>
      <c r="O243" s="182" t="str">
        <f t="shared" si="39"/>
        <v/>
      </c>
      <c r="P243" s="182" t="str">
        <f t="shared" si="40"/>
        <v/>
      </c>
      <c r="Q243" s="182" t="str">
        <f t="shared" si="41"/>
        <v/>
      </c>
      <c r="R243" s="182" t="str">
        <f t="shared" si="42"/>
        <v/>
      </c>
      <c r="S243" s="182" t="str">
        <f t="shared" si="43"/>
        <v/>
      </c>
      <c r="T243" s="182" t="str">
        <f t="shared" si="44"/>
        <v/>
      </c>
      <c r="U243" s="182" t="str">
        <f t="shared" si="45"/>
        <v/>
      </c>
      <c r="V243" s="182" t="str">
        <f t="shared" si="46"/>
        <v/>
      </c>
      <c r="W243" s="182" t="str">
        <f t="shared" si="47"/>
        <v/>
      </c>
    </row>
    <row r="244" spans="1:23" x14ac:dyDescent="0.2">
      <c r="A244" s="181"/>
      <c r="B244" s="181"/>
      <c r="C244" s="181"/>
      <c r="D244" s="181"/>
      <c r="E244" s="181"/>
      <c r="F244" s="181"/>
      <c r="G244" s="181"/>
      <c r="K244" s="182">
        <v>243</v>
      </c>
      <c r="L244" s="182" t="str">
        <f t="shared" si="36"/>
        <v/>
      </c>
      <c r="M244" s="182" t="str">
        <f t="shared" si="37"/>
        <v/>
      </c>
      <c r="N244" s="182" t="str">
        <f t="shared" si="38"/>
        <v/>
      </c>
      <c r="O244" s="182" t="str">
        <f t="shared" si="39"/>
        <v/>
      </c>
      <c r="P244" s="182" t="str">
        <f t="shared" si="40"/>
        <v/>
      </c>
      <c r="Q244" s="182" t="str">
        <f t="shared" si="41"/>
        <v/>
      </c>
      <c r="R244" s="182" t="str">
        <f t="shared" si="42"/>
        <v/>
      </c>
      <c r="S244" s="182" t="str">
        <f t="shared" si="43"/>
        <v/>
      </c>
      <c r="T244" s="182" t="str">
        <f t="shared" si="44"/>
        <v/>
      </c>
      <c r="U244" s="182" t="str">
        <f t="shared" si="45"/>
        <v/>
      </c>
      <c r="V244" s="182" t="str">
        <f t="shared" si="46"/>
        <v/>
      </c>
      <c r="W244" s="182" t="str">
        <f t="shared" si="47"/>
        <v/>
      </c>
    </row>
    <row r="245" spans="1:23" x14ac:dyDescent="0.2">
      <c r="A245" s="181"/>
      <c r="B245" s="181"/>
      <c r="C245" s="181"/>
      <c r="D245" s="181"/>
      <c r="E245" s="181"/>
      <c r="F245" s="181"/>
      <c r="G245" s="181"/>
      <c r="K245" s="182">
        <v>244</v>
      </c>
      <c r="L245" s="182" t="str">
        <f t="shared" si="36"/>
        <v/>
      </c>
      <c r="M245" s="182" t="str">
        <f t="shared" si="37"/>
        <v/>
      </c>
      <c r="N245" s="182" t="str">
        <f t="shared" si="38"/>
        <v/>
      </c>
      <c r="O245" s="182" t="str">
        <f t="shared" si="39"/>
        <v/>
      </c>
      <c r="P245" s="182" t="str">
        <f t="shared" si="40"/>
        <v/>
      </c>
      <c r="Q245" s="182" t="str">
        <f t="shared" si="41"/>
        <v/>
      </c>
      <c r="R245" s="182" t="str">
        <f t="shared" si="42"/>
        <v/>
      </c>
      <c r="S245" s="182" t="str">
        <f t="shared" si="43"/>
        <v/>
      </c>
      <c r="T245" s="182" t="str">
        <f t="shared" si="44"/>
        <v/>
      </c>
      <c r="U245" s="182" t="str">
        <f t="shared" si="45"/>
        <v/>
      </c>
      <c r="V245" s="182" t="str">
        <f t="shared" si="46"/>
        <v/>
      </c>
      <c r="W245" s="182" t="str">
        <f t="shared" si="47"/>
        <v/>
      </c>
    </row>
    <row r="246" spans="1:23" x14ac:dyDescent="0.2">
      <c r="A246" s="181"/>
      <c r="B246" s="181"/>
      <c r="C246" s="181"/>
      <c r="D246" s="181"/>
      <c r="E246" s="181"/>
      <c r="F246" s="181"/>
      <c r="G246" s="181"/>
      <c r="K246" s="182">
        <v>245</v>
      </c>
      <c r="L246" s="182" t="str">
        <f t="shared" si="36"/>
        <v/>
      </c>
      <c r="M246" s="182" t="str">
        <f t="shared" si="37"/>
        <v/>
      </c>
      <c r="N246" s="182" t="str">
        <f t="shared" si="38"/>
        <v/>
      </c>
      <c r="O246" s="182" t="str">
        <f t="shared" si="39"/>
        <v/>
      </c>
      <c r="P246" s="182" t="str">
        <f t="shared" si="40"/>
        <v/>
      </c>
      <c r="Q246" s="182" t="str">
        <f t="shared" si="41"/>
        <v/>
      </c>
      <c r="R246" s="182" t="str">
        <f t="shared" si="42"/>
        <v/>
      </c>
      <c r="S246" s="182" t="str">
        <f t="shared" si="43"/>
        <v/>
      </c>
      <c r="T246" s="182" t="str">
        <f t="shared" si="44"/>
        <v/>
      </c>
      <c r="U246" s="182" t="str">
        <f t="shared" si="45"/>
        <v/>
      </c>
      <c r="V246" s="182" t="str">
        <f t="shared" si="46"/>
        <v/>
      </c>
      <c r="W246" s="182" t="str">
        <f t="shared" si="47"/>
        <v/>
      </c>
    </row>
    <row r="247" spans="1:23" x14ac:dyDescent="0.2">
      <c r="A247" s="181"/>
      <c r="B247" s="181"/>
      <c r="C247" s="181"/>
      <c r="D247" s="181"/>
      <c r="E247" s="181"/>
      <c r="F247" s="181"/>
      <c r="G247" s="181"/>
      <c r="K247" s="182">
        <v>246</v>
      </c>
      <c r="L247" s="182" t="str">
        <f t="shared" si="36"/>
        <v/>
      </c>
      <c r="M247" s="182" t="str">
        <f t="shared" si="37"/>
        <v/>
      </c>
      <c r="N247" s="182" t="str">
        <f t="shared" si="38"/>
        <v/>
      </c>
      <c r="O247" s="182" t="str">
        <f t="shared" si="39"/>
        <v/>
      </c>
      <c r="P247" s="182" t="str">
        <f t="shared" si="40"/>
        <v/>
      </c>
      <c r="Q247" s="182" t="str">
        <f t="shared" si="41"/>
        <v/>
      </c>
      <c r="R247" s="182" t="str">
        <f t="shared" si="42"/>
        <v/>
      </c>
      <c r="S247" s="182" t="str">
        <f t="shared" si="43"/>
        <v/>
      </c>
      <c r="T247" s="182" t="str">
        <f t="shared" si="44"/>
        <v/>
      </c>
      <c r="U247" s="182" t="str">
        <f t="shared" si="45"/>
        <v/>
      </c>
      <c r="V247" s="182" t="str">
        <f t="shared" si="46"/>
        <v/>
      </c>
      <c r="W247" s="182" t="str">
        <f t="shared" si="47"/>
        <v/>
      </c>
    </row>
    <row r="248" spans="1:23" x14ac:dyDescent="0.2">
      <c r="A248" s="181"/>
      <c r="B248" s="181"/>
      <c r="C248" s="181"/>
      <c r="D248" s="181"/>
      <c r="E248" s="181"/>
      <c r="F248" s="181"/>
      <c r="G248" s="181"/>
      <c r="K248" s="182">
        <v>247</v>
      </c>
      <c r="L248" s="182" t="str">
        <f t="shared" si="36"/>
        <v/>
      </c>
      <c r="M248" s="182" t="str">
        <f t="shared" si="37"/>
        <v/>
      </c>
      <c r="N248" s="182" t="str">
        <f t="shared" si="38"/>
        <v/>
      </c>
      <c r="O248" s="182" t="str">
        <f t="shared" si="39"/>
        <v/>
      </c>
      <c r="P248" s="182" t="str">
        <f t="shared" si="40"/>
        <v/>
      </c>
      <c r="Q248" s="182" t="str">
        <f t="shared" si="41"/>
        <v/>
      </c>
      <c r="R248" s="182" t="str">
        <f t="shared" si="42"/>
        <v/>
      </c>
      <c r="S248" s="182" t="str">
        <f t="shared" si="43"/>
        <v/>
      </c>
      <c r="T248" s="182" t="str">
        <f t="shared" si="44"/>
        <v/>
      </c>
      <c r="U248" s="182" t="str">
        <f t="shared" si="45"/>
        <v/>
      </c>
      <c r="V248" s="182" t="str">
        <f t="shared" si="46"/>
        <v/>
      </c>
      <c r="W248" s="182" t="str">
        <f t="shared" si="47"/>
        <v/>
      </c>
    </row>
    <row r="249" spans="1:23" x14ac:dyDescent="0.2">
      <c r="A249" s="181"/>
      <c r="B249" s="181"/>
      <c r="C249" s="181"/>
      <c r="D249" s="181"/>
      <c r="E249" s="181"/>
      <c r="F249" s="181"/>
      <c r="G249" s="181"/>
      <c r="K249" s="182">
        <v>248</v>
      </c>
      <c r="L249" s="182" t="str">
        <f t="shared" si="36"/>
        <v/>
      </c>
      <c r="M249" s="182" t="str">
        <f t="shared" si="37"/>
        <v/>
      </c>
      <c r="N249" s="182" t="str">
        <f t="shared" si="38"/>
        <v/>
      </c>
      <c r="O249" s="182" t="str">
        <f t="shared" si="39"/>
        <v/>
      </c>
      <c r="P249" s="182" t="str">
        <f t="shared" si="40"/>
        <v/>
      </c>
      <c r="Q249" s="182" t="str">
        <f t="shared" si="41"/>
        <v/>
      </c>
      <c r="R249" s="182" t="str">
        <f t="shared" si="42"/>
        <v/>
      </c>
      <c r="S249" s="182" t="str">
        <f t="shared" si="43"/>
        <v/>
      </c>
      <c r="T249" s="182" t="str">
        <f t="shared" si="44"/>
        <v/>
      </c>
      <c r="U249" s="182" t="str">
        <f t="shared" si="45"/>
        <v/>
      </c>
      <c r="V249" s="182" t="str">
        <f t="shared" si="46"/>
        <v/>
      </c>
      <c r="W249" s="182" t="str">
        <f t="shared" si="47"/>
        <v/>
      </c>
    </row>
    <row r="250" spans="1:23" x14ac:dyDescent="0.2">
      <c r="A250" s="181"/>
      <c r="B250" s="181"/>
      <c r="C250" s="181"/>
      <c r="D250" s="181"/>
      <c r="E250" s="181"/>
      <c r="F250" s="181"/>
      <c r="G250" s="181"/>
      <c r="K250" s="182">
        <v>249</v>
      </c>
      <c r="L250" s="182" t="str">
        <f t="shared" si="36"/>
        <v/>
      </c>
      <c r="M250" s="182" t="str">
        <f t="shared" si="37"/>
        <v/>
      </c>
      <c r="N250" s="182" t="str">
        <f t="shared" si="38"/>
        <v/>
      </c>
      <c r="O250" s="182" t="str">
        <f t="shared" si="39"/>
        <v/>
      </c>
      <c r="P250" s="182" t="str">
        <f t="shared" si="40"/>
        <v/>
      </c>
      <c r="Q250" s="182" t="str">
        <f t="shared" si="41"/>
        <v/>
      </c>
      <c r="R250" s="182" t="str">
        <f t="shared" si="42"/>
        <v/>
      </c>
      <c r="S250" s="182" t="str">
        <f t="shared" si="43"/>
        <v/>
      </c>
      <c r="T250" s="182" t="str">
        <f t="shared" si="44"/>
        <v/>
      </c>
      <c r="U250" s="182" t="str">
        <f t="shared" si="45"/>
        <v/>
      </c>
      <c r="V250" s="182" t="str">
        <f t="shared" si="46"/>
        <v/>
      </c>
      <c r="W250" s="182" t="str">
        <f t="shared" si="47"/>
        <v/>
      </c>
    </row>
    <row r="251" spans="1:23" x14ac:dyDescent="0.2">
      <c r="A251" s="181"/>
      <c r="B251" s="181"/>
      <c r="C251" s="181"/>
      <c r="D251" s="181"/>
      <c r="E251" s="181"/>
      <c r="F251" s="181"/>
      <c r="G251" s="181"/>
      <c r="K251" s="182">
        <v>250</v>
      </c>
      <c r="L251" s="182" t="str">
        <f t="shared" si="36"/>
        <v/>
      </c>
      <c r="M251" s="182" t="str">
        <f t="shared" si="37"/>
        <v/>
      </c>
      <c r="N251" s="182" t="str">
        <f t="shared" si="38"/>
        <v/>
      </c>
      <c r="O251" s="182" t="str">
        <f t="shared" si="39"/>
        <v/>
      </c>
      <c r="P251" s="182" t="str">
        <f t="shared" si="40"/>
        <v/>
      </c>
      <c r="Q251" s="182" t="str">
        <f t="shared" si="41"/>
        <v/>
      </c>
      <c r="R251" s="182" t="str">
        <f t="shared" si="42"/>
        <v/>
      </c>
      <c r="S251" s="182" t="str">
        <f t="shared" si="43"/>
        <v/>
      </c>
      <c r="T251" s="182" t="str">
        <f t="shared" si="44"/>
        <v/>
      </c>
      <c r="U251" s="182" t="str">
        <f t="shared" si="45"/>
        <v/>
      </c>
      <c r="V251" s="182" t="str">
        <f t="shared" si="46"/>
        <v/>
      </c>
      <c r="W251" s="182" t="str">
        <f t="shared" si="47"/>
        <v/>
      </c>
    </row>
    <row r="252" spans="1:23" x14ac:dyDescent="0.2">
      <c r="A252" s="181"/>
      <c r="B252" s="181"/>
      <c r="C252" s="181"/>
      <c r="D252" s="181"/>
      <c r="E252" s="181"/>
      <c r="F252" s="181"/>
      <c r="G252" s="181"/>
      <c r="K252" s="182">
        <v>251</v>
      </c>
      <c r="L252" s="182" t="str">
        <f t="shared" si="36"/>
        <v/>
      </c>
      <c r="M252" s="182" t="str">
        <f t="shared" si="37"/>
        <v/>
      </c>
      <c r="N252" s="182" t="str">
        <f t="shared" si="38"/>
        <v/>
      </c>
      <c r="O252" s="182" t="str">
        <f t="shared" si="39"/>
        <v/>
      </c>
      <c r="P252" s="182" t="str">
        <f t="shared" si="40"/>
        <v/>
      </c>
      <c r="Q252" s="182" t="str">
        <f t="shared" si="41"/>
        <v/>
      </c>
      <c r="R252" s="182" t="str">
        <f t="shared" si="42"/>
        <v/>
      </c>
      <c r="S252" s="182" t="str">
        <f t="shared" si="43"/>
        <v/>
      </c>
      <c r="T252" s="182" t="str">
        <f t="shared" si="44"/>
        <v/>
      </c>
      <c r="U252" s="182" t="str">
        <f t="shared" si="45"/>
        <v/>
      </c>
      <c r="V252" s="182" t="str">
        <f t="shared" si="46"/>
        <v/>
      </c>
      <c r="W252" s="182" t="str">
        <f t="shared" si="47"/>
        <v/>
      </c>
    </row>
    <row r="253" spans="1:23" x14ac:dyDescent="0.2">
      <c r="A253" s="181"/>
      <c r="B253" s="181"/>
      <c r="C253" s="181"/>
      <c r="D253" s="181"/>
      <c r="E253" s="181"/>
      <c r="F253" s="181"/>
      <c r="G253" s="181"/>
      <c r="K253" s="182">
        <v>252</v>
      </c>
      <c r="L253" s="182" t="str">
        <f t="shared" si="36"/>
        <v/>
      </c>
      <c r="M253" s="182" t="str">
        <f t="shared" si="37"/>
        <v/>
      </c>
      <c r="N253" s="182" t="str">
        <f t="shared" si="38"/>
        <v/>
      </c>
      <c r="O253" s="182" t="str">
        <f t="shared" si="39"/>
        <v/>
      </c>
      <c r="P253" s="182" t="str">
        <f t="shared" si="40"/>
        <v/>
      </c>
      <c r="Q253" s="182" t="str">
        <f t="shared" si="41"/>
        <v/>
      </c>
      <c r="R253" s="182" t="str">
        <f t="shared" si="42"/>
        <v/>
      </c>
      <c r="S253" s="182" t="str">
        <f t="shared" si="43"/>
        <v/>
      </c>
      <c r="T253" s="182" t="str">
        <f t="shared" si="44"/>
        <v/>
      </c>
      <c r="U253" s="182" t="str">
        <f t="shared" si="45"/>
        <v/>
      </c>
      <c r="V253" s="182" t="str">
        <f t="shared" si="46"/>
        <v/>
      </c>
      <c r="W253" s="182" t="str">
        <f t="shared" si="47"/>
        <v/>
      </c>
    </row>
    <row r="254" spans="1:23" x14ac:dyDescent="0.2">
      <c r="A254" s="181"/>
      <c r="B254" s="181"/>
      <c r="C254" s="181"/>
      <c r="D254" s="181"/>
      <c r="E254" s="181"/>
      <c r="F254" s="181"/>
      <c r="G254" s="181"/>
      <c r="K254" s="182">
        <v>253</v>
      </c>
      <c r="L254" s="182" t="str">
        <f t="shared" si="36"/>
        <v/>
      </c>
      <c r="M254" s="182" t="str">
        <f t="shared" si="37"/>
        <v/>
      </c>
      <c r="N254" s="182" t="str">
        <f t="shared" si="38"/>
        <v/>
      </c>
      <c r="O254" s="182" t="str">
        <f t="shared" si="39"/>
        <v/>
      </c>
      <c r="P254" s="182" t="str">
        <f t="shared" si="40"/>
        <v/>
      </c>
      <c r="Q254" s="182" t="str">
        <f t="shared" si="41"/>
        <v/>
      </c>
      <c r="R254" s="182" t="str">
        <f t="shared" si="42"/>
        <v/>
      </c>
      <c r="S254" s="182" t="str">
        <f t="shared" si="43"/>
        <v/>
      </c>
      <c r="T254" s="182" t="str">
        <f t="shared" si="44"/>
        <v/>
      </c>
      <c r="U254" s="182" t="str">
        <f t="shared" si="45"/>
        <v/>
      </c>
      <c r="V254" s="182" t="str">
        <f t="shared" si="46"/>
        <v/>
      </c>
      <c r="W254" s="182" t="str">
        <f t="shared" si="47"/>
        <v/>
      </c>
    </row>
    <row r="255" spans="1:23" x14ac:dyDescent="0.2">
      <c r="A255" s="181"/>
      <c r="B255" s="181"/>
      <c r="C255" s="181"/>
      <c r="D255" s="181"/>
      <c r="E255" s="181"/>
      <c r="F255" s="181"/>
      <c r="G255" s="181"/>
      <c r="K255" s="182">
        <v>254</v>
      </c>
      <c r="L255" s="182" t="str">
        <f t="shared" si="36"/>
        <v/>
      </c>
      <c r="M255" s="182" t="str">
        <f t="shared" si="37"/>
        <v/>
      </c>
      <c r="N255" s="182" t="str">
        <f t="shared" si="38"/>
        <v/>
      </c>
      <c r="O255" s="182" t="str">
        <f t="shared" si="39"/>
        <v/>
      </c>
      <c r="P255" s="182" t="str">
        <f t="shared" si="40"/>
        <v/>
      </c>
      <c r="Q255" s="182" t="str">
        <f t="shared" si="41"/>
        <v/>
      </c>
      <c r="R255" s="182" t="str">
        <f t="shared" si="42"/>
        <v/>
      </c>
      <c r="S255" s="182" t="str">
        <f t="shared" si="43"/>
        <v/>
      </c>
      <c r="T255" s="182" t="str">
        <f t="shared" si="44"/>
        <v/>
      </c>
      <c r="U255" s="182" t="str">
        <f t="shared" si="45"/>
        <v/>
      </c>
      <c r="V255" s="182" t="str">
        <f t="shared" si="46"/>
        <v/>
      </c>
      <c r="W255" s="182" t="str">
        <f t="shared" si="47"/>
        <v/>
      </c>
    </row>
    <row r="256" spans="1:23" x14ac:dyDescent="0.2">
      <c r="A256" s="181"/>
      <c r="B256" s="181"/>
      <c r="C256" s="181"/>
      <c r="D256" s="181"/>
      <c r="E256" s="181"/>
      <c r="F256" s="181"/>
      <c r="G256" s="181"/>
      <c r="K256" s="182">
        <v>255</v>
      </c>
      <c r="L256" s="182" t="str">
        <f t="shared" si="36"/>
        <v/>
      </c>
      <c r="M256" s="182" t="str">
        <f t="shared" si="37"/>
        <v/>
      </c>
      <c r="N256" s="182" t="str">
        <f t="shared" si="38"/>
        <v/>
      </c>
      <c r="O256" s="182" t="str">
        <f t="shared" si="39"/>
        <v/>
      </c>
      <c r="P256" s="182" t="str">
        <f t="shared" si="40"/>
        <v/>
      </c>
      <c r="Q256" s="182" t="str">
        <f t="shared" si="41"/>
        <v/>
      </c>
      <c r="R256" s="182" t="str">
        <f t="shared" si="42"/>
        <v/>
      </c>
      <c r="S256" s="182" t="str">
        <f t="shared" si="43"/>
        <v/>
      </c>
      <c r="T256" s="182" t="str">
        <f t="shared" si="44"/>
        <v/>
      </c>
      <c r="U256" s="182" t="str">
        <f t="shared" si="45"/>
        <v/>
      </c>
      <c r="V256" s="182" t="str">
        <f t="shared" si="46"/>
        <v/>
      </c>
      <c r="W256" s="182" t="str">
        <f t="shared" si="47"/>
        <v/>
      </c>
    </row>
    <row r="257" spans="1:23" x14ac:dyDescent="0.2">
      <c r="A257" s="181"/>
      <c r="B257" s="181"/>
      <c r="C257" s="181"/>
      <c r="D257" s="181"/>
      <c r="E257" s="181"/>
      <c r="F257" s="181"/>
      <c r="G257" s="181"/>
      <c r="K257" s="182">
        <v>256</v>
      </c>
      <c r="L257" s="182" t="str">
        <f t="shared" si="36"/>
        <v/>
      </c>
      <c r="M257" s="182" t="str">
        <f t="shared" si="37"/>
        <v/>
      </c>
      <c r="N257" s="182" t="str">
        <f t="shared" si="38"/>
        <v/>
      </c>
      <c r="O257" s="182" t="str">
        <f t="shared" si="39"/>
        <v/>
      </c>
      <c r="P257" s="182" t="str">
        <f t="shared" si="40"/>
        <v/>
      </c>
      <c r="Q257" s="182" t="str">
        <f t="shared" si="41"/>
        <v/>
      </c>
      <c r="R257" s="182" t="str">
        <f t="shared" si="42"/>
        <v/>
      </c>
      <c r="S257" s="182" t="str">
        <f t="shared" si="43"/>
        <v/>
      </c>
      <c r="T257" s="182" t="str">
        <f t="shared" si="44"/>
        <v/>
      </c>
      <c r="U257" s="182" t="str">
        <f t="shared" si="45"/>
        <v/>
      </c>
      <c r="V257" s="182" t="str">
        <f t="shared" si="46"/>
        <v/>
      </c>
      <c r="W257" s="182" t="str">
        <f t="shared" si="47"/>
        <v/>
      </c>
    </row>
    <row r="258" spans="1:23" x14ac:dyDescent="0.2">
      <c r="A258" s="181"/>
      <c r="B258" s="181"/>
      <c r="C258" s="181"/>
      <c r="D258" s="181"/>
      <c r="E258" s="181"/>
      <c r="F258" s="181"/>
      <c r="G258" s="181"/>
      <c r="K258" s="182">
        <v>257</v>
      </c>
      <c r="L258" s="182" t="str">
        <f t="shared" si="36"/>
        <v/>
      </c>
      <c r="M258" s="182" t="str">
        <f t="shared" si="37"/>
        <v/>
      </c>
      <c r="N258" s="182" t="str">
        <f t="shared" si="38"/>
        <v/>
      </c>
      <c r="O258" s="182" t="str">
        <f t="shared" si="39"/>
        <v/>
      </c>
      <c r="P258" s="182" t="str">
        <f t="shared" si="40"/>
        <v/>
      </c>
      <c r="Q258" s="182" t="str">
        <f t="shared" si="41"/>
        <v/>
      </c>
      <c r="R258" s="182" t="str">
        <f t="shared" si="42"/>
        <v/>
      </c>
      <c r="S258" s="182" t="str">
        <f t="shared" si="43"/>
        <v/>
      </c>
      <c r="T258" s="182" t="str">
        <f t="shared" si="44"/>
        <v/>
      </c>
      <c r="U258" s="182" t="str">
        <f t="shared" si="45"/>
        <v/>
      </c>
      <c r="V258" s="182" t="str">
        <f t="shared" si="46"/>
        <v/>
      </c>
      <c r="W258" s="182" t="str">
        <f t="shared" si="47"/>
        <v/>
      </c>
    </row>
    <row r="259" spans="1:23" x14ac:dyDescent="0.2">
      <c r="A259" s="181"/>
      <c r="B259" s="181"/>
      <c r="C259" s="181"/>
      <c r="D259" s="181"/>
      <c r="E259" s="181"/>
      <c r="F259" s="181"/>
      <c r="G259" s="181"/>
      <c r="K259" s="182">
        <v>258</v>
      </c>
      <c r="L259" s="182" t="str">
        <f t="shared" ref="L259:L322" si="48">IF($B$13&gt;=K259,K259,"")</f>
        <v/>
      </c>
      <c r="M259" s="182" t="str">
        <f t="shared" ref="M259:M322" si="49">IF(L259="","",IF(L259&lt;=$E$15,VLOOKUP($E$14,$I$1:$J$4,2,FALSE),VLOOKUP($F$14,$I$1:$J$4,2,FALSE)))</f>
        <v/>
      </c>
      <c r="N259" s="182" t="str">
        <f t="shared" ref="N259:N322" si="50">IF($B$20&gt;=K259,K259,"")</f>
        <v/>
      </c>
      <c r="O259" s="182" t="str">
        <f t="shared" ref="O259:O322" si="51">IF(N259="","",IF(N259&lt;=$E$22,VLOOKUP($E$21,$I$1:$J$4,2,FALSE),VLOOKUP($F$21,$I$1:$J$4,2,FALSE)))</f>
        <v/>
      </c>
      <c r="P259" s="182" t="str">
        <f t="shared" ref="P259:P322" si="52">IF($B$27&gt;=K259,K259,"")</f>
        <v/>
      </c>
      <c r="Q259" s="182" t="str">
        <f t="shared" ref="Q259:Q322" si="53">IF(P259="","",IF(P259&lt;=$E$29,VLOOKUP($E$28,$I$1:$J$4,2,FALSE),VLOOKUP($F$28,$I$1:$J$4,2,FALSE)))</f>
        <v/>
      </c>
      <c r="R259" s="182" t="str">
        <f t="shared" ref="R259:R322" si="54">IF($B$34&gt;=K259,K259,"")</f>
        <v/>
      </c>
      <c r="S259" s="182" t="str">
        <f t="shared" ref="S259:S322" si="55">IF(R259="","",IF(R259&lt;=$E$36,VLOOKUP($E$35,$I$1:$J$4,2,FALSE),VLOOKUP($F$35,$I$1:$J$4,2,FALSE)))</f>
        <v/>
      </c>
      <c r="T259" s="182" t="str">
        <f t="shared" ref="T259:T322" si="56">IF($B$41&gt;=K259,K259,"")</f>
        <v/>
      </c>
      <c r="U259" s="182" t="str">
        <f t="shared" ref="U259:U322" si="57">IF(T259="","",IF(T259&lt;=$E$43,VLOOKUP($E$42,$I$1:$J$4,2,FALSE),VLOOKUP($F$42,$I$1:$J$4,2,FALSE)))</f>
        <v/>
      </c>
      <c r="V259" s="182" t="str">
        <f t="shared" ref="V259:V322" si="58">IF($B$48&gt;=K259,K259,"")</f>
        <v/>
      </c>
      <c r="W259" s="182" t="str">
        <f t="shared" ref="W259:W322" si="59">IF(V259="","",IF(V259&lt;=$E$50,VLOOKUP($E$49,$I$1:$J$4,2,FALSE),VLOOKUP($F$49,$I$1:$J$4,2,FALSE)))</f>
        <v/>
      </c>
    </row>
    <row r="260" spans="1:23" x14ac:dyDescent="0.2">
      <c r="A260" s="181"/>
      <c r="B260" s="181"/>
      <c r="C260" s="181"/>
      <c r="D260" s="181"/>
      <c r="E260" s="181"/>
      <c r="F260" s="181"/>
      <c r="G260" s="181"/>
      <c r="K260" s="182">
        <v>259</v>
      </c>
      <c r="L260" s="182" t="str">
        <f t="shared" si="48"/>
        <v/>
      </c>
      <c r="M260" s="182" t="str">
        <f t="shared" si="49"/>
        <v/>
      </c>
      <c r="N260" s="182" t="str">
        <f t="shared" si="50"/>
        <v/>
      </c>
      <c r="O260" s="182" t="str">
        <f t="shared" si="51"/>
        <v/>
      </c>
      <c r="P260" s="182" t="str">
        <f t="shared" si="52"/>
        <v/>
      </c>
      <c r="Q260" s="182" t="str">
        <f t="shared" si="53"/>
        <v/>
      </c>
      <c r="R260" s="182" t="str">
        <f t="shared" si="54"/>
        <v/>
      </c>
      <c r="S260" s="182" t="str">
        <f t="shared" si="55"/>
        <v/>
      </c>
      <c r="T260" s="182" t="str">
        <f t="shared" si="56"/>
        <v/>
      </c>
      <c r="U260" s="182" t="str">
        <f t="shared" si="57"/>
        <v/>
      </c>
      <c r="V260" s="182" t="str">
        <f t="shared" si="58"/>
        <v/>
      </c>
      <c r="W260" s="182" t="str">
        <f t="shared" si="59"/>
        <v/>
      </c>
    </row>
    <row r="261" spans="1:23" x14ac:dyDescent="0.2">
      <c r="A261" s="181"/>
      <c r="B261" s="181"/>
      <c r="C261" s="181"/>
      <c r="D261" s="181"/>
      <c r="E261" s="181"/>
      <c r="F261" s="181"/>
      <c r="G261" s="181"/>
      <c r="K261" s="182">
        <v>260</v>
      </c>
      <c r="L261" s="182" t="str">
        <f t="shared" si="48"/>
        <v/>
      </c>
      <c r="M261" s="182" t="str">
        <f t="shared" si="49"/>
        <v/>
      </c>
      <c r="N261" s="182" t="str">
        <f t="shared" si="50"/>
        <v/>
      </c>
      <c r="O261" s="182" t="str">
        <f t="shared" si="51"/>
        <v/>
      </c>
      <c r="P261" s="182" t="str">
        <f t="shared" si="52"/>
        <v/>
      </c>
      <c r="Q261" s="182" t="str">
        <f t="shared" si="53"/>
        <v/>
      </c>
      <c r="R261" s="182" t="str">
        <f t="shared" si="54"/>
        <v/>
      </c>
      <c r="S261" s="182" t="str">
        <f t="shared" si="55"/>
        <v/>
      </c>
      <c r="T261" s="182" t="str">
        <f t="shared" si="56"/>
        <v/>
      </c>
      <c r="U261" s="182" t="str">
        <f t="shared" si="57"/>
        <v/>
      </c>
      <c r="V261" s="182" t="str">
        <f t="shared" si="58"/>
        <v/>
      </c>
      <c r="W261" s="182" t="str">
        <f t="shared" si="59"/>
        <v/>
      </c>
    </row>
    <row r="262" spans="1:23" x14ac:dyDescent="0.2">
      <c r="A262" s="181"/>
      <c r="B262" s="181"/>
      <c r="C262" s="181"/>
      <c r="D262" s="181"/>
      <c r="E262" s="181"/>
      <c r="F262" s="181"/>
      <c r="G262" s="181"/>
      <c r="K262" s="182">
        <v>261</v>
      </c>
      <c r="L262" s="182" t="str">
        <f t="shared" si="48"/>
        <v/>
      </c>
      <c r="M262" s="182" t="str">
        <f t="shared" si="49"/>
        <v/>
      </c>
      <c r="N262" s="182" t="str">
        <f t="shared" si="50"/>
        <v/>
      </c>
      <c r="O262" s="182" t="str">
        <f t="shared" si="51"/>
        <v/>
      </c>
      <c r="P262" s="182" t="str">
        <f t="shared" si="52"/>
        <v/>
      </c>
      <c r="Q262" s="182" t="str">
        <f t="shared" si="53"/>
        <v/>
      </c>
      <c r="R262" s="182" t="str">
        <f t="shared" si="54"/>
        <v/>
      </c>
      <c r="S262" s="182" t="str">
        <f t="shared" si="55"/>
        <v/>
      </c>
      <c r="T262" s="182" t="str">
        <f t="shared" si="56"/>
        <v/>
      </c>
      <c r="U262" s="182" t="str">
        <f t="shared" si="57"/>
        <v/>
      </c>
      <c r="V262" s="182" t="str">
        <f t="shared" si="58"/>
        <v/>
      </c>
      <c r="W262" s="182" t="str">
        <f t="shared" si="59"/>
        <v/>
      </c>
    </row>
    <row r="263" spans="1:23" x14ac:dyDescent="0.2">
      <c r="A263" s="181"/>
      <c r="B263" s="181"/>
      <c r="C263" s="181"/>
      <c r="D263" s="181"/>
      <c r="E263" s="181"/>
      <c r="F263" s="181"/>
      <c r="G263" s="181"/>
      <c r="K263" s="182">
        <v>262</v>
      </c>
      <c r="L263" s="182" t="str">
        <f t="shared" si="48"/>
        <v/>
      </c>
      <c r="M263" s="182" t="str">
        <f t="shared" si="49"/>
        <v/>
      </c>
      <c r="N263" s="182" t="str">
        <f t="shared" si="50"/>
        <v/>
      </c>
      <c r="O263" s="182" t="str">
        <f t="shared" si="51"/>
        <v/>
      </c>
      <c r="P263" s="182" t="str">
        <f t="shared" si="52"/>
        <v/>
      </c>
      <c r="Q263" s="182" t="str">
        <f t="shared" si="53"/>
        <v/>
      </c>
      <c r="R263" s="182" t="str">
        <f t="shared" si="54"/>
        <v/>
      </c>
      <c r="S263" s="182" t="str">
        <f t="shared" si="55"/>
        <v/>
      </c>
      <c r="T263" s="182" t="str">
        <f t="shared" si="56"/>
        <v/>
      </c>
      <c r="U263" s="182" t="str">
        <f t="shared" si="57"/>
        <v/>
      </c>
      <c r="V263" s="182" t="str">
        <f t="shared" si="58"/>
        <v/>
      </c>
      <c r="W263" s="182" t="str">
        <f t="shared" si="59"/>
        <v/>
      </c>
    </row>
    <row r="264" spans="1:23" x14ac:dyDescent="0.2">
      <c r="A264" s="181"/>
      <c r="B264" s="181"/>
      <c r="C264" s="181"/>
      <c r="D264" s="181"/>
      <c r="E264" s="181"/>
      <c r="F264" s="181"/>
      <c r="G264" s="181"/>
      <c r="K264" s="182">
        <v>263</v>
      </c>
      <c r="L264" s="182" t="str">
        <f t="shared" si="48"/>
        <v/>
      </c>
      <c r="M264" s="182" t="str">
        <f t="shared" si="49"/>
        <v/>
      </c>
      <c r="N264" s="182" t="str">
        <f t="shared" si="50"/>
        <v/>
      </c>
      <c r="O264" s="182" t="str">
        <f t="shared" si="51"/>
        <v/>
      </c>
      <c r="P264" s="182" t="str">
        <f t="shared" si="52"/>
        <v/>
      </c>
      <c r="Q264" s="182" t="str">
        <f t="shared" si="53"/>
        <v/>
      </c>
      <c r="R264" s="182" t="str">
        <f t="shared" si="54"/>
        <v/>
      </c>
      <c r="S264" s="182" t="str">
        <f t="shared" si="55"/>
        <v/>
      </c>
      <c r="T264" s="182" t="str">
        <f t="shared" si="56"/>
        <v/>
      </c>
      <c r="U264" s="182" t="str">
        <f t="shared" si="57"/>
        <v/>
      </c>
      <c r="V264" s="182" t="str">
        <f t="shared" si="58"/>
        <v/>
      </c>
      <c r="W264" s="182" t="str">
        <f t="shared" si="59"/>
        <v/>
      </c>
    </row>
    <row r="265" spans="1:23" x14ac:dyDescent="0.2">
      <c r="A265" s="181"/>
      <c r="B265" s="181"/>
      <c r="C265" s="181"/>
      <c r="D265" s="181"/>
      <c r="E265" s="181"/>
      <c r="F265" s="181"/>
      <c r="G265" s="181"/>
      <c r="K265" s="182">
        <v>264</v>
      </c>
      <c r="L265" s="182" t="str">
        <f t="shared" si="48"/>
        <v/>
      </c>
      <c r="M265" s="182" t="str">
        <f t="shared" si="49"/>
        <v/>
      </c>
      <c r="N265" s="182" t="str">
        <f t="shared" si="50"/>
        <v/>
      </c>
      <c r="O265" s="182" t="str">
        <f t="shared" si="51"/>
        <v/>
      </c>
      <c r="P265" s="182" t="str">
        <f t="shared" si="52"/>
        <v/>
      </c>
      <c r="Q265" s="182" t="str">
        <f t="shared" si="53"/>
        <v/>
      </c>
      <c r="R265" s="182" t="str">
        <f t="shared" si="54"/>
        <v/>
      </c>
      <c r="S265" s="182" t="str">
        <f t="shared" si="55"/>
        <v/>
      </c>
      <c r="T265" s="182" t="str">
        <f t="shared" si="56"/>
        <v/>
      </c>
      <c r="U265" s="182" t="str">
        <f t="shared" si="57"/>
        <v/>
      </c>
      <c r="V265" s="182" t="str">
        <f t="shared" si="58"/>
        <v/>
      </c>
      <c r="W265" s="182" t="str">
        <f t="shared" si="59"/>
        <v/>
      </c>
    </row>
    <row r="266" spans="1:23" x14ac:dyDescent="0.2">
      <c r="A266" s="181"/>
      <c r="B266" s="181"/>
      <c r="C266" s="181"/>
      <c r="D266" s="181"/>
      <c r="E266" s="181"/>
      <c r="F266" s="181"/>
      <c r="G266" s="181"/>
      <c r="K266" s="182">
        <v>265</v>
      </c>
      <c r="L266" s="182" t="str">
        <f t="shared" si="48"/>
        <v/>
      </c>
      <c r="M266" s="182" t="str">
        <f t="shared" si="49"/>
        <v/>
      </c>
      <c r="N266" s="182" t="str">
        <f t="shared" si="50"/>
        <v/>
      </c>
      <c r="O266" s="182" t="str">
        <f t="shared" si="51"/>
        <v/>
      </c>
      <c r="P266" s="182" t="str">
        <f t="shared" si="52"/>
        <v/>
      </c>
      <c r="Q266" s="182" t="str">
        <f t="shared" si="53"/>
        <v/>
      </c>
      <c r="R266" s="182" t="str">
        <f t="shared" si="54"/>
        <v/>
      </c>
      <c r="S266" s="182" t="str">
        <f t="shared" si="55"/>
        <v/>
      </c>
      <c r="T266" s="182" t="str">
        <f t="shared" si="56"/>
        <v/>
      </c>
      <c r="U266" s="182" t="str">
        <f t="shared" si="57"/>
        <v/>
      </c>
      <c r="V266" s="182" t="str">
        <f t="shared" si="58"/>
        <v/>
      </c>
      <c r="W266" s="182" t="str">
        <f t="shared" si="59"/>
        <v/>
      </c>
    </row>
    <row r="267" spans="1:23" x14ac:dyDescent="0.2">
      <c r="A267" s="181"/>
      <c r="B267" s="181"/>
      <c r="C267" s="181"/>
      <c r="D267" s="181"/>
      <c r="E267" s="181"/>
      <c r="F267" s="181"/>
      <c r="G267" s="181"/>
      <c r="K267" s="182">
        <v>266</v>
      </c>
      <c r="L267" s="182" t="str">
        <f t="shared" si="48"/>
        <v/>
      </c>
      <c r="M267" s="182" t="str">
        <f t="shared" si="49"/>
        <v/>
      </c>
      <c r="N267" s="182" t="str">
        <f t="shared" si="50"/>
        <v/>
      </c>
      <c r="O267" s="182" t="str">
        <f t="shared" si="51"/>
        <v/>
      </c>
      <c r="P267" s="182" t="str">
        <f t="shared" si="52"/>
        <v/>
      </c>
      <c r="Q267" s="182" t="str">
        <f t="shared" si="53"/>
        <v/>
      </c>
      <c r="R267" s="182" t="str">
        <f t="shared" si="54"/>
        <v/>
      </c>
      <c r="S267" s="182" t="str">
        <f t="shared" si="55"/>
        <v/>
      </c>
      <c r="T267" s="182" t="str">
        <f t="shared" si="56"/>
        <v/>
      </c>
      <c r="U267" s="182" t="str">
        <f t="shared" si="57"/>
        <v/>
      </c>
      <c r="V267" s="182" t="str">
        <f t="shared" si="58"/>
        <v/>
      </c>
      <c r="W267" s="182" t="str">
        <f t="shared" si="59"/>
        <v/>
      </c>
    </row>
    <row r="268" spans="1:23" x14ac:dyDescent="0.2">
      <c r="A268" s="181"/>
      <c r="B268" s="181"/>
      <c r="C268" s="181"/>
      <c r="D268" s="181"/>
      <c r="E268" s="181"/>
      <c r="F268" s="181"/>
      <c r="G268" s="181"/>
      <c r="K268" s="182">
        <v>267</v>
      </c>
      <c r="L268" s="182" t="str">
        <f t="shared" si="48"/>
        <v/>
      </c>
      <c r="M268" s="182" t="str">
        <f t="shared" si="49"/>
        <v/>
      </c>
      <c r="N268" s="182" t="str">
        <f t="shared" si="50"/>
        <v/>
      </c>
      <c r="O268" s="182" t="str">
        <f t="shared" si="51"/>
        <v/>
      </c>
      <c r="P268" s="182" t="str">
        <f t="shared" si="52"/>
        <v/>
      </c>
      <c r="Q268" s="182" t="str">
        <f t="shared" si="53"/>
        <v/>
      </c>
      <c r="R268" s="182" t="str">
        <f t="shared" si="54"/>
        <v/>
      </c>
      <c r="S268" s="182" t="str">
        <f t="shared" si="55"/>
        <v/>
      </c>
      <c r="T268" s="182" t="str">
        <f t="shared" si="56"/>
        <v/>
      </c>
      <c r="U268" s="182" t="str">
        <f t="shared" si="57"/>
        <v/>
      </c>
      <c r="V268" s="182" t="str">
        <f t="shared" si="58"/>
        <v/>
      </c>
      <c r="W268" s="182" t="str">
        <f t="shared" si="59"/>
        <v/>
      </c>
    </row>
    <row r="269" spans="1:23" x14ac:dyDescent="0.2">
      <c r="A269" s="181"/>
      <c r="B269" s="181"/>
      <c r="C269" s="181"/>
      <c r="D269" s="181"/>
      <c r="E269" s="181"/>
      <c r="F269" s="181"/>
      <c r="G269" s="181"/>
      <c r="K269" s="182">
        <v>268</v>
      </c>
      <c r="L269" s="182" t="str">
        <f t="shared" si="48"/>
        <v/>
      </c>
      <c r="M269" s="182" t="str">
        <f t="shared" si="49"/>
        <v/>
      </c>
      <c r="N269" s="182" t="str">
        <f t="shared" si="50"/>
        <v/>
      </c>
      <c r="O269" s="182" t="str">
        <f t="shared" si="51"/>
        <v/>
      </c>
      <c r="P269" s="182" t="str">
        <f t="shared" si="52"/>
        <v/>
      </c>
      <c r="Q269" s="182" t="str">
        <f t="shared" si="53"/>
        <v/>
      </c>
      <c r="R269" s="182" t="str">
        <f t="shared" si="54"/>
        <v/>
      </c>
      <c r="S269" s="182" t="str">
        <f t="shared" si="55"/>
        <v/>
      </c>
      <c r="T269" s="182" t="str">
        <f t="shared" si="56"/>
        <v/>
      </c>
      <c r="U269" s="182" t="str">
        <f t="shared" si="57"/>
        <v/>
      </c>
      <c r="V269" s="182" t="str">
        <f t="shared" si="58"/>
        <v/>
      </c>
      <c r="W269" s="182" t="str">
        <f t="shared" si="59"/>
        <v/>
      </c>
    </row>
    <row r="270" spans="1:23" x14ac:dyDescent="0.2">
      <c r="A270" s="181"/>
      <c r="B270" s="181"/>
      <c r="C270" s="181"/>
      <c r="D270" s="181"/>
      <c r="E270" s="181"/>
      <c r="F270" s="181"/>
      <c r="G270" s="181"/>
      <c r="K270" s="182">
        <v>269</v>
      </c>
      <c r="L270" s="182" t="str">
        <f t="shared" si="48"/>
        <v/>
      </c>
      <c r="M270" s="182" t="str">
        <f t="shared" si="49"/>
        <v/>
      </c>
      <c r="N270" s="182" t="str">
        <f t="shared" si="50"/>
        <v/>
      </c>
      <c r="O270" s="182" t="str">
        <f t="shared" si="51"/>
        <v/>
      </c>
      <c r="P270" s="182" t="str">
        <f t="shared" si="52"/>
        <v/>
      </c>
      <c r="Q270" s="182" t="str">
        <f t="shared" si="53"/>
        <v/>
      </c>
      <c r="R270" s="182" t="str">
        <f t="shared" si="54"/>
        <v/>
      </c>
      <c r="S270" s="182" t="str">
        <f t="shared" si="55"/>
        <v/>
      </c>
      <c r="T270" s="182" t="str">
        <f t="shared" si="56"/>
        <v/>
      </c>
      <c r="U270" s="182" t="str">
        <f t="shared" si="57"/>
        <v/>
      </c>
      <c r="V270" s="182" t="str">
        <f t="shared" si="58"/>
        <v/>
      </c>
      <c r="W270" s="182" t="str">
        <f t="shared" si="59"/>
        <v/>
      </c>
    </row>
    <row r="271" spans="1:23" x14ac:dyDescent="0.2">
      <c r="A271" s="181"/>
      <c r="B271" s="181"/>
      <c r="C271" s="181"/>
      <c r="D271" s="181"/>
      <c r="E271" s="181"/>
      <c r="F271" s="181"/>
      <c r="G271" s="181"/>
      <c r="K271" s="182">
        <v>270</v>
      </c>
      <c r="L271" s="182" t="str">
        <f t="shared" si="48"/>
        <v/>
      </c>
      <c r="M271" s="182" t="str">
        <f t="shared" si="49"/>
        <v/>
      </c>
      <c r="N271" s="182" t="str">
        <f t="shared" si="50"/>
        <v/>
      </c>
      <c r="O271" s="182" t="str">
        <f t="shared" si="51"/>
        <v/>
      </c>
      <c r="P271" s="182" t="str">
        <f t="shared" si="52"/>
        <v/>
      </c>
      <c r="Q271" s="182" t="str">
        <f t="shared" si="53"/>
        <v/>
      </c>
      <c r="R271" s="182" t="str">
        <f t="shared" si="54"/>
        <v/>
      </c>
      <c r="S271" s="182" t="str">
        <f t="shared" si="55"/>
        <v/>
      </c>
      <c r="T271" s="182" t="str">
        <f t="shared" si="56"/>
        <v/>
      </c>
      <c r="U271" s="182" t="str">
        <f t="shared" si="57"/>
        <v/>
      </c>
      <c r="V271" s="182" t="str">
        <f t="shared" si="58"/>
        <v/>
      </c>
      <c r="W271" s="182" t="str">
        <f t="shared" si="59"/>
        <v/>
      </c>
    </row>
    <row r="272" spans="1:23" x14ac:dyDescent="0.2">
      <c r="A272" s="181"/>
      <c r="B272" s="181"/>
      <c r="C272" s="181"/>
      <c r="D272" s="181"/>
      <c r="E272" s="181"/>
      <c r="F272" s="181"/>
      <c r="G272" s="181"/>
      <c r="K272" s="182">
        <v>271</v>
      </c>
      <c r="L272" s="182" t="str">
        <f t="shared" si="48"/>
        <v/>
      </c>
      <c r="M272" s="182" t="str">
        <f t="shared" si="49"/>
        <v/>
      </c>
      <c r="N272" s="182" t="str">
        <f t="shared" si="50"/>
        <v/>
      </c>
      <c r="O272" s="182" t="str">
        <f t="shared" si="51"/>
        <v/>
      </c>
      <c r="P272" s="182" t="str">
        <f t="shared" si="52"/>
        <v/>
      </c>
      <c r="Q272" s="182" t="str">
        <f t="shared" si="53"/>
        <v/>
      </c>
      <c r="R272" s="182" t="str">
        <f t="shared" si="54"/>
        <v/>
      </c>
      <c r="S272" s="182" t="str">
        <f t="shared" si="55"/>
        <v/>
      </c>
      <c r="T272" s="182" t="str">
        <f t="shared" si="56"/>
        <v/>
      </c>
      <c r="U272" s="182" t="str">
        <f t="shared" si="57"/>
        <v/>
      </c>
      <c r="V272" s="182" t="str">
        <f t="shared" si="58"/>
        <v/>
      </c>
      <c r="W272" s="182" t="str">
        <f t="shared" si="59"/>
        <v/>
      </c>
    </row>
    <row r="273" spans="1:23" x14ac:dyDescent="0.2">
      <c r="A273" s="181"/>
      <c r="B273" s="181"/>
      <c r="C273" s="181"/>
      <c r="D273" s="181"/>
      <c r="E273" s="181"/>
      <c r="F273" s="181"/>
      <c r="G273" s="181"/>
      <c r="K273" s="182">
        <v>272</v>
      </c>
      <c r="L273" s="182" t="str">
        <f t="shared" si="48"/>
        <v/>
      </c>
      <c r="M273" s="182" t="str">
        <f t="shared" si="49"/>
        <v/>
      </c>
      <c r="N273" s="182" t="str">
        <f t="shared" si="50"/>
        <v/>
      </c>
      <c r="O273" s="182" t="str">
        <f t="shared" si="51"/>
        <v/>
      </c>
      <c r="P273" s="182" t="str">
        <f t="shared" si="52"/>
        <v/>
      </c>
      <c r="Q273" s="182" t="str">
        <f t="shared" si="53"/>
        <v/>
      </c>
      <c r="R273" s="182" t="str">
        <f t="shared" si="54"/>
        <v/>
      </c>
      <c r="S273" s="182" t="str">
        <f t="shared" si="55"/>
        <v/>
      </c>
      <c r="T273" s="182" t="str">
        <f t="shared" si="56"/>
        <v/>
      </c>
      <c r="U273" s="182" t="str">
        <f t="shared" si="57"/>
        <v/>
      </c>
      <c r="V273" s="182" t="str">
        <f t="shared" si="58"/>
        <v/>
      </c>
      <c r="W273" s="182" t="str">
        <f t="shared" si="59"/>
        <v/>
      </c>
    </row>
    <row r="274" spans="1:23" x14ac:dyDescent="0.2">
      <c r="A274" s="181"/>
      <c r="B274" s="181"/>
      <c r="C274" s="181"/>
      <c r="D274" s="181"/>
      <c r="E274" s="181"/>
      <c r="F274" s="181"/>
      <c r="G274" s="181"/>
      <c r="K274" s="182">
        <v>273</v>
      </c>
      <c r="L274" s="182" t="str">
        <f t="shared" si="48"/>
        <v/>
      </c>
      <c r="M274" s="182" t="str">
        <f t="shared" si="49"/>
        <v/>
      </c>
      <c r="N274" s="182" t="str">
        <f t="shared" si="50"/>
        <v/>
      </c>
      <c r="O274" s="182" t="str">
        <f t="shared" si="51"/>
        <v/>
      </c>
      <c r="P274" s="182" t="str">
        <f t="shared" si="52"/>
        <v/>
      </c>
      <c r="Q274" s="182" t="str">
        <f t="shared" si="53"/>
        <v/>
      </c>
      <c r="R274" s="182" t="str">
        <f t="shared" si="54"/>
        <v/>
      </c>
      <c r="S274" s="182" t="str">
        <f t="shared" si="55"/>
        <v/>
      </c>
      <c r="T274" s="182" t="str">
        <f t="shared" si="56"/>
        <v/>
      </c>
      <c r="U274" s="182" t="str">
        <f t="shared" si="57"/>
        <v/>
      </c>
      <c r="V274" s="182" t="str">
        <f t="shared" si="58"/>
        <v/>
      </c>
      <c r="W274" s="182" t="str">
        <f t="shared" si="59"/>
        <v/>
      </c>
    </row>
    <row r="275" spans="1:23" x14ac:dyDescent="0.2">
      <c r="A275" s="181"/>
      <c r="B275" s="181"/>
      <c r="C275" s="181"/>
      <c r="D275" s="181"/>
      <c r="E275" s="181"/>
      <c r="F275" s="181"/>
      <c r="G275" s="181"/>
      <c r="K275" s="182">
        <v>274</v>
      </c>
      <c r="L275" s="182" t="str">
        <f t="shared" si="48"/>
        <v/>
      </c>
      <c r="M275" s="182" t="str">
        <f t="shared" si="49"/>
        <v/>
      </c>
      <c r="N275" s="182" t="str">
        <f t="shared" si="50"/>
        <v/>
      </c>
      <c r="O275" s="182" t="str">
        <f t="shared" si="51"/>
        <v/>
      </c>
      <c r="P275" s="182" t="str">
        <f t="shared" si="52"/>
        <v/>
      </c>
      <c r="Q275" s="182" t="str">
        <f t="shared" si="53"/>
        <v/>
      </c>
      <c r="R275" s="182" t="str">
        <f t="shared" si="54"/>
        <v/>
      </c>
      <c r="S275" s="182" t="str">
        <f t="shared" si="55"/>
        <v/>
      </c>
      <c r="T275" s="182" t="str">
        <f t="shared" si="56"/>
        <v/>
      </c>
      <c r="U275" s="182" t="str">
        <f t="shared" si="57"/>
        <v/>
      </c>
      <c r="V275" s="182" t="str">
        <f t="shared" si="58"/>
        <v/>
      </c>
      <c r="W275" s="182" t="str">
        <f t="shared" si="59"/>
        <v/>
      </c>
    </row>
    <row r="276" spans="1:23" x14ac:dyDescent="0.2">
      <c r="A276" s="181"/>
      <c r="B276" s="181"/>
      <c r="C276" s="181"/>
      <c r="D276" s="181"/>
      <c r="E276" s="181"/>
      <c r="F276" s="181"/>
      <c r="G276" s="181"/>
      <c r="K276" s="182">
        <v>275</v>
      </c>
      <c r="L276" s="182" t="str">
        <f t="shared" si="48"/>
        <v/>
      </c>
      <c r="M276" s="182" t="str">
        <f t="shared" si="49"/>
        <v/>
      </c>
      <c r="N276" s="182" t="str">
        <f t="shared" si="50"/>
        <v/>
      </c>
      <c r="O276" s="182" t="str">
        <f t="shared" si="51"/>
        <v/>
      </c>
      <c r="P276" s="182" t="str">
        <f t="shared" si="52"/>
        <v/>
      </c>
      <c r="Q276" s="182" t="str">
        <f t="shared" si="53"/>
        <v/>
      </c>
      <c r="R276" s="182" t="str">
        <f t="shared" si="54"/>
        <v/>
      </c>
      <c r="S276" s="182" t="str">
        <f t="shared" si="55"/>
        <v/>
      </c>
      <c r="T276" s="182" t="str">
        <f t="shared" si="56"/>
        <v/>
      </c>
      <c r="U276" s="182" t="str">
        <f t="shared" si="57"/>
        <v/>
      </c>
      <c r="V276" s="182" t="str">
        <f t="shared" si="58"/>
        <v/>
      </c>
      <c r="W276" s="182" t="str">
        <f t="shared" si="59"/>
        <v/>
      </c>
    </row>
    <row r="277" spans="1:23" x14ac:dyDescent="0.2">
      <c r="A277" s="181"/>
      <c r="B277" s="181"/>
      <c r="C277" s="181"/>
      <c r="D277" s="181"/>
      <c r="E277" s="181"/>
      <c r="F277" s="181"/>
      <c r="G277" s="181"/>
      <c r="K277" s="182">
        <v>276</v>
      </c>
      <c r="L277" s="182" t="str">
        <f t="shared" si="48"/>
        <v/>
      </c>
      <c r="M277" s="182" t="str">
        <f t="shared" si="49"/>
        <v/>
      </c>
      <c r="N277" s="182" t="str">
        <f t="shared" si="50"/>
        <v/>
      </c>
      <c r="O277" s="182" t="str">
        <f t="shared" si="51"/>
        <v/>
      </c>
      <c r="P277" s="182" t="str">
        <f t="shared" si="52"/>
        <v/>
      </c>
      <c r="Q277" s="182" t="str">
        <f t="shared" si="53"/>
        <v/>
      </c>
      <c r="R277" s="182" t="str">
        <f t="shared" si="54"/>
        <v/>
      </c>
      <c r="S277" s="182" t="str">
        <f t="shared" si="55"/>
        <v/>
      </c>
      <c r="T277" s="182" t="str">
        <f t="shared" si="56"/>
        <v/>
      </c>
      <c r="U277" s="182" t="str">
        <f t="shared" si="57"/>
        <v/>
      </c>
      <c r="V277" s="182" t="str">
        <f t="shared" si="58"/>
        <v/>
      </c>
      <c r="W277" s="182" t="str">
        <f t="shared" si="59"/>
        <v/>
      </c>
    </row>
    <row r="278" spans="1:23" x14ac:dyDescent="0.2">
      <c r="A278" s="181"/>
      <c r="B278" s="181"/>
      <c r="C278" s="181"/>
      <c r="D278" s="181"/>
      <c r="E278" s="181"/>
      <c r="F278" s="181"/>
      <c r="G278" s="181"/>
      <c r="K278" s="182">
        <v>277</v>
      </c>
      <c r="L278" s="182" t="str">
        <f t="shared" si="48"/>
        <v/>
      </c>
      <c r="M278" s="182" t="str">
        <f t="shared" si="49"/>
        <v/>
      </c>
      <c r="N278" s="182" t="str">
        <f t="shared" si="50"/>
        <v/>
      </c>
      <c r="O278" s="182" t="str">
        <f t="shared" si="51"/>
        <v/>
      </c>
      <c r="P278" s="182" t="str">
        <f t="shared" si="52"/>
        <v/>
      </c>
      <c r="Q278" s="182" t="str">
        <f t="shared" si="53"/>
        <v/>
      </c>
      <c r="R278" s="182" t="str">
        <f t="shared" si="54"/>
        <v/>
      </c>
      <c r="S278" s="182" t="str">
        <f t="shared" si="55"/>
        <v/>
      </c>
      <c r="T278" s="182" t="str">
        <f t="shared" si="56"/>
        <v/>
      </c>
      <c r="U278" s="182" t="str">
        <f t="shared" si="57"/>
        <v/>
      </c>
      <c r="V278" s="182" t="str">
        <f t="shared" si="58"/>
        <v/>
      </c>
      <c r="W278" s="182" t="str">
        <f t="shared" si="59"/>
        <v/>
      </c>
    </row>
    <row r="279" spans="1:23" x14ac:dyDescent="0.2">
      <c r="A279" s="181"/>
      <c r="B279" s="181"/>
      <c r="C279" s="181"/>
      <c r="D279" s="181"/>
      <c r="E279" s="181"/>
      <c r="F279" s="181"/>
      <c r="G279" s="181"/>
      <c r="K279" s="182">
        <v>278</v>
      </c>
      <c r="L279" s="182" t="str">
        <f t="shared" si="48"/>
        <v/>
      </c>
      <c r="M279" s="182" t="str">
        <f t="shared" si="49"/>
        <v/>
      </c>
      <c r="N279" s="182" t="str">
        <f t="shared" si="50"/>
        <v/>
      </c>
      <c r="O279" s="182" t="str">
        <f t="shared" si="51"/>
        <v/>
      </c>
      <c r="P279" s="182" t="str">
        <f t="shared" si="52"/>
        <v/>
      </c>
      <c r="Q279" s="182" t="str">
        <f t="shared" si="53"/>
        <v/>
      </c>
      <c r="R279" s="182" t="str">
        <f t="shared" si="54"/>
        <v/>
      </c>
      <c r="S279" s="182" t="str">
        <f t="shared" si="55"/>
        <v/>
      </c>
      <c r="T279" s="182" t="str">
        <f t="shared" si="56"/>
        <v/>
      </c>
      <c r="U279" s="182" t="str">
        <f t="shared" si="57"/>
        <v/>
      </c>
      <c r="V279" s="182" t="str">
        <f t="shared" si="58"/>
        <v/>
      </c>
      <c r="W279" s="182" t="str">
        <f t="shared" si="59"/>
        <v/>
      </c>
    </row>
    <row r="280" spans="1:23" x14ac:dyDescent="0.2">
      <c r="A280" s="181"/>
      <c r="B280" s="181"/>
      <c r="C280" s="181"/>
      <c r="D280" s="181"/>
      <c r="E280" s="181"/>
      <c r="F280" s="181"/>
      <c r="G280" s="181"/>
      <c r="K280" s="182">
        <v>279</v>
      </c>
      <c r="L280" s="182" t="str">
        <f t="shared" si="48"/>
        <v/>
      </c>
      <c r="M280" s="182" t="str">
        <f t="shared" si="49"/>
        <v/>
      </c>
      <c r="N280" s="182" t="str">
        <f t="shared" si="50"/>
        <v/>
      </c>
      <c r="O280" s="182" t="str">
        <f t="shared" si="51"/>
        <v/>
      </c>
      <c r="P280" s="182" t="str">
        <f t="shared" si="52"/>
        <v/>
      </c>
      <c r="Q280" s="182" t="str">
        <f t="shared" si="53"/>
        <v/>
      </c>
      <c r="R280" s="182" t="str">
        <f t="shared" si="54"/>
        <v/>
      </c>
      <c r="S280" s="182" t="str">
        <f t="shared" si="55"/>
        <v/>
      </c>
      <c r="T280" s="182" t="str">
        <f t="shared" si="56"/>
        <v/>
      </c>
      <c r="U280" s="182" t="str">
        <f t="shared" si="57"/>
        <v/>
      </c>
      <c r="V280" s="182" t="str">
        <f t="shared" si="58"/>
        <v/>
      </c>
      <c r="W280" s="182" t="str">
        <f t="shared" si="59"/>
        <v/>
      </c>
    </row>
    <row r="281" spans="1:23" x14ac:dyDescent="0.2">
      <c r="A281" s="181"/>
      <c r="B281" s="181"/>
      <c r="C281" s="181"/>
      <c r="D281" s="181"/>
      <c r="E281" s="181"/>
      <c r="F281" s="181"/>
      <c r="G281" s="181"/>
      <c r="K281" s="182">
        <v>280</v>
      </c>
      <c r="L281" s="182" t="str">
        <f t="shared" si="48"/>
        <v/>
      </c>
      <c r="M281" s="182" t="str">
        <f t="shared" si="49"/>
        <v/>
      </c>
      <c r="N281" s="182" t="str">
        <f t="shared" si="50"/>
        <v/>
      </c>
      <c r="O281" s="182" t="str">
        <f t="shared" si="51"/>
        <v/>
      </c>
      <c r="P281" s="182" t="str">
        <f t="shared" si="52"/>
        <v/>
      </c>
      <c r="Q281" s="182" t="str">
        <f t="shared" si="53"/>
        <v/>
      </c>
      <c r="R281" s="182" t="str">
        <f t="shared" si="54"/>
        <v/>
      </c>
      <c r="S281" s="182" t="str">
        <f t="shared" si="55"/>
        <v/>
      </c>
      <c r="T281" s="182" t="str">
        <f t="shared" si="56"/>
        <v/>
      </c>
      <c r="U281" s="182" t="str">
        <f t="shared" si="57"/>
        <v/>
      </c>
      <c r="V281" s="182" t="str">
        <f t="shared" si="58"/>
        <v/>
      </c>
      <c r="W281" s="182" t="str">
        <f t="shared" si="59"/>
        <v/>
      </c>
    </row>
    <row r="282" spans="1:23" x14ac:dyDescent="0.2">
      <c r="A282" s="181"/>
      <c r="B282" s="181"/>
      <c r="C282" s="181"/>
      <c r="D282" s="181"/>
      <c r="E282" s="181"/>
      <c r="F282" s="181"/>
      <c r="G282" s="181"/>
      <c r="K282" s="182">
        <v>281</v>
      </c>
      <c r="L282" s="182" t="str">
        <f t="shared" si="48"/>
        <v/>
      </c>
      <c r="M282" s="182" t="str">
        <f t="shared" si="49"/>
        <v/>
      </c>
      <c r="N282" s="182" t="str">
        <f t="shared" si="50"/>
        <v/>
      </c>
      <c r="O282" s="182" t="str">
        <f t="shared" si="51"/>
        <v/>
      </c>
      <c r="P282" s="182" t="str">
        <f t="shared" si="52"/>
        <v/>
      </c>
      <c r="Q282" s="182" t="str">
        <f t="shared" si="53"/>
        <v/>
      </c>
      <c r="R282" s="182" t="str">
        <f t="shared" si="54"/>
        <v/>
      </c>
      <c r="S282" s="182" t="str">
        <f t="shared" si="55"/>
        <v/>
      </c>
      <c r="T282" s="182" t="str">
        <f t="shared" si="56"/>
        <v/>
      </c>
      <c r="U282" s="182" t="str">
        <f t="shared" si="57"/>
        <v/>
      </c>
      <c r="V282" s="182" t="str">
        <f t="shared" si="58"/>
        <v/>
      </c>
      <c r="W282" s="182" t="str">
        <f t="shared" si="59"/>
        <v/>
      </c>
    </row>
    <row r="283" spans="1:23" x14ac:dyDescent="0.2">
      <c r="A283" s="181"/>
      <c r="B283" s="181"/>
      <c r="C283" s="181"/>
      <c r="D283" s="181"/>
      <c r="E283" s="181"/>
      <c r="F283" s="181"/>
      <c r="G283" s="181"/>
      <c r="K283" s="182">
        <v>282</v>
      </c>
      <c r="L283" s="182" t="str">
        <f t="shared" si="48"/>
        <v/>
      </c>
      <c r="M283" s="182" t="str">
        <f t="shared" si="49"/>
        <v/>
      </c>
      <c r="N283" s="182" t="str">
        <f t="shared" si="50"/>
        <v/>
      </c>
      <c r="O283" s="182" t="str">
        <f t="shared" si="51"/>
        <v/>
      </c>
      <c r="P283" s="182" t="str">
        <f t="shared" si="52"/>
        <v/>
      </c>
      <c r="Q283" s="182" t="str">
        <f t="shared" si="53"/>
        <v/>
      </c>
      <c r="R283" s="182" t="str">
        <f t="shared" si="54"/>
        <v/>
      </c>
      <c r="S283" s="182" t="str">
        <f t="shared" si="55"/>
        <v/>
      </c>
      <c r="T283" s="182" t="str">
        <f t="shared" si="56"/>
        <v/>
      </c>
      <c r="U283" s="182" t="str">
        <f t="shared" si="57"/>
        <v/>
      </c>
      <c r="V283" s="182" t="str">
        <f t="shared" si="58"/>
        <v/>
      </c>
      <c r="W283" s="182" t="str">
        <f t="shared" si="59"/>
        <v/>
      </c>
    </row>
    <row r="284" spans="1:23" x14ac:dyDescent="0.2">
      <c r="A284" s="181"/>
      <c r="B284" s="181"/>
      <c r="C284" s="181"/>
      <c r="D284" s="181"/>
      <c r="E284" s="181"/>
      <c r="F284" s="181"/>
      <c r="G284" s="181"/>
      <c r="K284" s="182">
        <v>283</v>
      </c>
      <c r="L284" s="182" t="str">
        <f t="shared" si="48"/>
        <v/>
      </c>
      <c r="M284" s="182" t="str">
        <f t="shared" si="49"/>
        <v/>
      </c>
      <c r="N284" s="182" t="str">
        <f t="shared" si="50"/>
        <v/>
      </c>
      <c r="O284" s="182" t="str">
        <f t="shared" si="51"/>
        <v/>
      </c>
      <c r="P284" s="182" t="str">
        <f t="shared" si="52"/>
        <v/>
      </c>
      <c r="Q284" s="182" t="str">
        <f t="shared" si="53"/>
        <v/>
      </c>
      <c r="R284" s="182" t="str">
        <f t="shared" si="54"/>
        <v/>
      </c>
      <c r="S284" s="182" t="str">
        <f t="shared" si="55"/>
        <v/>
      </c>
      <c r="T284" s="182" t="str">
        <f t="shared" si="56"/>
        <v/>
      </c>
      <c r="U284" s="182" t="str">
        <f t="shared" si="57"/>
        <v/>
      </c>
      <c r="V284" s="182" t="str">
        <f t="shared" si="58"/>
        <v/>
      </c>
      <c r="W284" s="182" t="str">
        <f t="shared" si="59"/>
        <v/>
      </c>
    </row>
    <row r="285" spans="1:23" x14ac:dyDescent="0.2">
      <c r="A285" s="181"/>
      <c r="B285" s="181"/>
      <c r="C285" s="181"/>
      <c r="D285" s="181"/>
      <c r="E285" s="181"/>
      <c r="F285" s="181"/>
      <c r="G285" s="181"/>
      <c r="K285" s="182">
        <v>284</v>
      </c>
      <c r="L285" s="182" t="str">
        <f t="shared" si="48"/>
        <v/>
      </c>
      <c r="M285" s="182" t="str">
        <f t="shared" si="49"/>
        <v/>
      </c>
      <c r="N285" s="182" t="str">
        <f t="shared" si="50"/>
        <v/>
      </c>
      <c r="O285" s="182" t="str">
        <f t="shared" si="51"/>
        <v/>
      </c>
      <c r="P285" s="182" t="str">
        <f t="shared" si="52"/>
        <v/>
      </c>
      <c r="Q285" s="182" t="str">
        <f t="shared" si="53"/>
        <v/>
      </c>
      <c r="R285" s="182" t="str">
        <f t="shared" si="54"/>
        <v/>
      </c>
      <c r="S285" s="182" t="str">
        <f t="shared" si="55"/>
        <v/>
      </c>
      <c r="T285" s="182" t="str">
        <f t="shared" si="56"/>
        <v/>
      </c>
      <c r="U285" s="182" t="str">
        <f t="shared" si="57"/>
        <v/>
      </c>
      <c r="V285" s="182" t="str">
        <f t="shared" si="58"/>
        <v/>
      </c>
      <c r="W285" s="182" t="str">
        <f t="shared" si="59"/>
        <v/>
      </c>
    </row>
    <row r="286" spans="1:23" x14ac:dyDescent="0.2">
      <c r="A286" s="181"/>
      <c r="B286" s="181"/>
      <c r="C286" s="181"/>
      <c r="D286" s="181"/>
      <c r="E286" s="181"/>
      <c r="F286" s="181"/>
      <c r="G286" s="181"/>
      <c r="K286" s="182">
        <v>285</v>
      </c>
      <c r="L286" s="182" t="str">
        <f t="shared" si="48"/>
        <v/>
      </c>
      <c r="M286" s="182" t="str">
        <f t="shared" si="49"/>
        <v/>
      </c>
      <c r="N286" s="182" t="str">
        <f t="shared" si="50"/>
        <v/>
      </c>
      <c r="O286" s="182" t="str">
        <f t="shared" si="51"/>
        <v/>
      </c>
      <c r="P286" s="182" t="str">
        <f t="shared" si="52"/>
        <v/>
      </c>
      <c r="Q286" s="182" t="str">
        <f t="shared" si="53"/>
        <v/>
      </c>
      <c r="R286" s="182" t="str">
        <f t="shared" si="54"/>
        <v/>
      </c>
      <c r="S286" s="182" t="str">
        <f t="shared" si="55"/>
        <v/>
      </c>
      <c r="T286" s="182" t="str">
        <f t="shared" si="56"/>
        <v/>
      </c>
      <c r="U286" s="182" t="str">
        <f t="shared" si="57"/>
        <v/>
      </c>
      <c r="V286" s="182" t="str">
        <f t="shared" si="58"/>
        <v/>
      </c>
      <c r="W286" s="182" t="str">
        <f t="shared" si="59"/>
        <v/>
      </c>
    </row>
    <row r="287" spans="1:23" x14ac:dyDescent="0.2">
      <c r="A287" s="181"/>
      <c r="B287" s="181"/>
      <c r="C287" s="181"/>
      <c r="D287" s="181"/>
      <c r="E287" s="181"/>
      <c r="F287" s="181"/>
      <c r="G287" s="181"/>
      <c r="K287" s="182">
        <v>286</v>
      </c>
      <c r="L287" s="182" t="str">
        <f t="shared" si="48"/>
        <v/>
      </c>
      <c r="M287" s="182" t="str">
        <f t="shared" si="49"/>
        <v/>
      </c>
      <c r="N287" s="182" t="str">
        <f t="shared" si="50"/>
        <v/>
      </c>
      <c r="O287" s="182" t="str">
        <f t="shared" si="51"/>
        <v/>
      </c>
      <c r="P287" s="182" t="str">
        <f t="shared" si="52"/>
        <v/>
      </c>
      <c r="Q287" s="182" t="str">
        <f t="shared" si="53"/>
        <v/>
      </c>
      <c r="R287" s="182" t="str">
        <f t="shared" si="54"/>
        <v/>
      </c>
      <c r="S287" s="182" t="str">
        <f t="shared" si="55"/>
        <v/>
      </c>
      <c r="T287" s="182" t="str">
        <f t="shared" si="56"/>
        <v/>
      </c>
      <c r="U287" s="182" t="str">
        <f t="shared" si="57"/>
        <v/>
      </c>
      <c r="V287" s="182" t="str">
        <f t="shared" si="58"/>
        <v/>
      </c>
      <c r="W287" s="182" t="str">
        <f t="shared" si="59"/>
        <v/>
      </c>
    </row>
    <row r="288" spans="1:23" x14ac:dyDescent="0.2">
      <c r="A288" s="181"/>
      <c r="B288" s="181"/>
      <c r="C288" s="181"/>
      <c r="D288" s="181"/>
      <c r="E288" s="181"/>
      <c r="F288" s="181"/>
      <c r="G288" s="181"/>
      <c r="K288" s="182">
        <v>287</v>
      </c>
      <c r="L288" s="182" t="str">
        <f t="shared" si="48"/>
        <v/>
      </c>
      <c r="M288" s="182" t="str">
        <f t="shared" si="49"/>
        <v/>
      </c>
      <c r="N288" s="182" t="str">
        <f t="shared" si="50"/>
        <v/>
      </c>
      <c r="O288" s="182" t="str">
        <f t="shared" si="51"/>
        <v/>
      </c>
      <c r="P288" s="182" t="str">
        <f t="shared" si="52"/>
        <v/>
      </c>
      <c r="Q288" s="182" t="str">
        <f t="shared" si="53"/>
        <v/>
      </c>
      <c r="R288" s="182" t="str">
        <f t="shared" si="54"/>
        <v/>
      </c>
      <c r="S288" s="182" t="str">
        <f t="shared" si="55"/>
        <v/>
      </c>
      <c r="T288" s="182" t="str">
        <f t="shared" si="56"/>
        <v/>
      </c>
      <c r="U288" s="182" t="str">
        <f t="shared" si="57"/>
        <v/>
      </c>
      <c r="V288" s="182" t="str">
        <f t="shared" si="58"/>
        <v/>
      </c>
      <c r="W288" s="182" t="str">
        <f t="shared" si="59"/>
        <v/>
      </c>
    </row>
    <row r="289" spans="1:23" x14ac:dyDescent="0.2">
      <c r="A289" s="181"/>
      <c r="B289" s="181"/>
      <c r="C289" s="181"/>
      <c r="D289" s="181"/>
      <c r="E289" s="181"/>
      <c r="F289" s="181"/>
      <c r="G289" s="181"/>
      <c r="K289" s="182">
        <v>288</v>
      </c>
      <c r="L289" s="182" t="str">
        <f t="shared" si="48"/>
        <v/>
      </c>
      <c r="M289" s="182" t="str">
        <f t="shared" si="49"/>
        <v/>
      </c>
      <c r="N289" s="182" t="str">
        <f t="shared" si="50"/>
        <v/>
      </c>
      <c r="O289" s="182" t="str">
        <f t="shared" si="51"/>
        <v/>
      </c>
      <c r="P289" s="182" t="str">
        <f t="shared" si="52"/>
        <v/>
      </c>
      <c r="Q289" s="182" t="str">
        <f t="shared" si="53"/>
        <v/>
      </c>
      <c r="R289" s="182" t="str">
        <f t="shared" si="54"/>
        <v/>
      </c>
      <c r="S289" s="182" t="str">
        <f t="shared" si="55"/>
        <v/>
      </c>
      <c r="T289" s="182" t="str">
        <f t="shared" si="56"/>
        <v/>
      </c>
      <c r="U289" s="182" t="str">
        <f t="shared" si="57"/>
        <v/>
      </c>
      <c r="V289" s="182" t="str">
        <f t="shared" si="58"/>
        <v/>
      </c>
      <c r="W289" s="182" t="str">
        <f t="shared" si="59"/>
        <v/>
      </c>
    </row>
    <row r="290" spans="1:23" x14ac:dyDescent="0.2">
      <c r="A290" s="181"/>
      <c r="B290" s="181"/>
      <c r="C290" s="181"/>
      <c r="D290" s="181"/>
      <c r="E290" s="181"/>
      <c r="F290" s="181"/>
      <c r="G290" s="181"/>
      <c r="K290" s="182">
        <v>289</v>
      </c>
      <c r="L290" s="182" t="str">
        <f t="shared" si="48"/>
        <v/>
      </c>
      <c r="M290" s="182" t="str">
        <f t="shared" si="49"/>
        <v/>
      </c>
      <c r="N290" s="182" t="str">
        <f t="shared" si="50"/>
        <v/>
      </c>
      <c r="O290" s="182" t="str">
        <f t="shared" si="51"/>
        <v/>
      </c>
      <c r="P290" s="182" t="str">
        <f t="shared" si="52"/>
        <v/>
      </c>
      <c r="Q290" s="182" t="str">
        <f t="shared" si="53"/>
        <v/>
      </c>
      <c r="R290" s="182" t="str">
        <f t="shared" si="54"/>
        <v/>
      </c>
      <c r="S290" s="182" t="str">
        <f t="shared" si="55"/>
        <v/>
      </c>
      <c r="T290" s="182" t="str">
        <f t="shared" si="56"/>
        <v/>
      </c>
      <c r="U290" s="182" t="str">
        <f t="shared" si="57"/>
        <v/>
      </c>
      <c r="V290" s="182" t="str">
        <f t="shared" si="58"/>
        <v/>
      </c>
      <c r="W290" s="182" t="str">
        <f t="shared" si="59"/>
        <v/>
      </c>
    </row>
    <row r="291" spans="1:23" x14ac:dyDescent="0.2">
      <c r="A291" s="181"/>
      <c r="B291" s="181"/>
      <c r="C291" s="181"/>
      <c r="D291" s="181"/>
      <c r="E291" s="181"/>
      <c r="F291" s="181"/>
      <c r="G291" s="181"/>
      <c r="K291" s="182">
        <v>290</v>
      </c>
      <c r="L291" s="182" t="str">
        <f t="shared" si="48"/>
        <v/>
      </c>
      <c r="M291" s="182" t="str">
        <f t="shared" si="49"/>
        <v/>
      </c>
      <c r="N291" s="182" t="str">
        <f t="shared" si="50"/>
        <v/>
      </c>
      <c r="O291" s="182" t="str">
        <f t="shared" si="51"/>
        <v/>
      </c>
      <c r="P291" s="182" t="str">
        <f t="shared" si="52"/>
        <v/>
      </c>
      <c r="Q291" s="182" t="str">
        <f t="shared" si="53"/>
        <v/>
      </c>
      <c r="R291" s="182" t="str">
        <f t="shared" si="54"/>
        <v/>
      </c>
      <c r="S291" s="182" t="str">
        <f t="shared" si="55"/>
        <v/>
      </c>
      <c r="T291" s="182" t="str">
        <f t="shared" si="56"/>
        <v/>
      </c>
      <c r="U291" s="182" t="str">
        <f t="shared" si="57"/>
        <v/>
      </c>
      <c r="V291" s="182" t="str">
        <f t="shared" si="58"/>
        <v/>
      </c>
      <c r="W291" s="182" t="str">
        <f t="shared" si="59"/>
        <v/>
      </c>
    </row>
    <row r="292" spans="1:23" x14ac:dyDescent="0.2">
      <c r="A292" s="181"/>
      <c r="B292" s="181"/>
      <c r="C292" s="181"/>
      <c r="D292" s="181"/>
      <c r="E292" s="181"/>
      <c r="F292" s="181"/>
      <c r="G292" s="181"/>
      <c r="K292" s="182">
        <v>291</v>
      </c>
      <c r="L292" s="182" t="str">
        <f t="shared" si="48"/>
        <v/>
      </c>
      <c r="M292" s="182" t="str">
        <f t="shared" si="49"/>
        <v/>
      </c>
      <c r="N292" s="182" t="str">
        <f t="shared" si="50"/>
        <v/>
      </c>
      <c r="O292" s="182" t="str">
        <f t="shared" si="51"/>
        <v/>
      </c>
      <c r="P292" s="182" t="str">
        <f t="shared" si="52"/>
        <v/>
      </c>
      <c r="Q292" s="182" t="str">
        <f t="shared" si="53"/>
        <v/>
      </c>
      <c r="R292" s="182" t="str">
        <f t="shared" si="54"/>
        <v/>
      </c>
      <c r="S292" s="182" t="str">
        <f t="shared" si="55"/>
        <v/>
      </c>
      <c r="T292" s="182" t="str">
        <f t="shared" si="56"/>
        <v/>
      </c>
      <c r="U292" s="182" t="str">
        <f t="shared" si="57"/>
        <v/>
      </c>
      <c r="V292" s="182" t="str">
        <f t="shared" si="58"/>
        <v/>
      </c>
      <c r="W292" s="182" t="str">
        <f t="shared" si="59"/>
        <v/>
      </c>
    </row>
    <row r="293" spans="1:23" x14ac:dyDescent="0.2">
      <c r="A293" s="181"/>
      <c r="B293" s="181"/>
      <c r="C293" s="181"/>
      <c r="D293" s="181"/>
      <c r="E293" s="181"/>
      <c r="F293" s="181"/>
      <c r="G293" s="181"/>
      <c r="K293" s="182">
        <v>292</v>
      </c>
      <c r="L293" s="182" t="str">
        <f t="shared" si="48"/>
        <v/>
      </c>
      <c r="M293" s="182" t="str">
        <f t="shared" si="49"/>
        <v/>
      </c>
      <c r="N293" s="182" t="str">
        <f t="shared" si="50"/>
        <v/>
      </c>
      <c r="O293" s="182" t="str">
        <f t="shared" si="51"/>
        <v/>
      </c>
      <c r="P293" s="182" t="str">
        <f t="shared" si="52"/>
        <v/>
      </c>
      <c r="Q293" s="182" t="str">
        <f t="shared" si="53"/>
        <v/>
      </c>
      <c r="R293" s="182" t="str">
        <f t="shared" si="54"/>
        <v/>
      </c>
      <c r="S293" s="182" t="str">
        <f t="shared" si="55"/>
        <v/>
      </c>
      <c r="T293" s="182" t="str">
        <f t="shared" si="56"/>
        <v/>
      </c>
      <c r="U293" s="182" t="str">
        <f t="shared" si="57"/>
        <v/>
      </c>
      <c r="V293" s="182" t="str">
        <f t="shared" si="58"/>
        <v/>
      </c>
      <c r="W293" s="182" t="str">
        <f t="shared" si="59"/>
        <v/>
      </c>
    </row>
    <row r="294" spans="1:23" x14ac:dyDescent="0.2">
      <c r="A294" s="181"/>
      <c r="B294" s="181"/>
      <c r="C294" s="181"/>
      <c r="D294" s="181"/>
      <c r="E294" s="181"/>
      <c r="F294" s="181"/>
      <c r="G294" s="181"/>
      <c r="K294" s="182">
        <v>293</v>
      </c>
      <c r="L294" s="182" t="str">
        <f t="shared" si="48"/>
        <v/>
      </c>
      <c r="M294" s="182" t="str">
        <f t="shared" si="49"/>
        <v/>
      </c>
      <c r="N294" s="182" t="str">
        <f t="shared" si="50"/>
        <v/>
      </c>
      <c r="O294" s="182" t="str">
        <f t="shared" si="51"/>
        <v/>
      </c>
      <c r="P294" s="182" t="str">
        <f t="shared" si="52"/>
        <v/>
      </c>
      <c r="Q294" s="182" t="str">
        <f t="shared" si="53"/>
        <v/>
      </c>
      <c r="R294" s="182" t="str">
        <f t="shared" si="54"/>
        <v/>
      </c>
      <c r="S294" s="182" t="str">
        <f t="shared" si="55"/>
        <v/>
      </c>
      <c r="T294" s="182" t="str">
        <f t="shared" si="56"/>
        <v/>
      </c>
      <c r="U294" s="182" t="str">
        <f t="shared" si="57"/>
        <v/>
      </c>
      <c r="V294" s="182" t="str">
        <f t="shared" si="58"/>
        <v/>
      </c>
      <c r="W294" s="182" t="str">
        <f t="shared" si="59"/>
        <v/>
      </c>
    </row>
    <row r="295" spans="1:23" x14ac:dyDescent="0.2">
      <c r="A295" s="181"/>
      <c r="B295" s="181"/>
      <c r="C295" s="181"/>
      <c r="D295" s="181"/>
      <c r="E295" s="181"/>
      <c r="F295" s="181"/>
      <c r="G295" s="181"/>
      <c r="K295" s="182">
        <v>294</v>
      </c>
      <c r="L295" s="182" t="str">
        <f t="shared" si="48"/>
        <v/>
      </c>
      <c r="M295" s="182" t="str">
        <f t="shared" si="49"/>
        <v/>
      </c>
      <c r="N295" s="182" t="str">
        <f t="shared" si="50"/>
        <v/>
      </c>
      <c r="O295" s="182" t="str">
        <f t="shared" si="51"/>
        <v/>
      </c>
      <c r="P295" s="182" t="str">
        <f t="shared" si="52"/>
        <v/>
      </c>
      <c r="Q295" s="182" t="str">
        <f t="shared" si="53"/>
        <v/>
      </c>
      <c r="R295" s="182" t="str">
        <f t="shared" si="54"/>
        <v/>
      </c>
      <c r="S295" s="182" t="str">
        <f t="shared" si="55"/>
        <v/>
      </c>
      <c r="T295" s="182" t="str">
        <f t="shared" si="56"/>
        <v/>
      </c>
      <c r="U295" s="182" t="str">
        <f t="shared" si="57"/>
        <v/>
      </c>
      <c r="V295" s="182" t="str">
        <f t="shared" si="58"/>
        <v/>
      </c>
      <c r="W295" s="182" t="str">
        <f t="shared" si="59"/>
        <v/>
      </c>
    </row>
    <row r="296" spans="1:23" x14ac:dyDescent="0.2">
      <c r="A296" s="181"/>
      <c r="B296" s="181"/>
      <c r="C296" s="181"/>
      <c r="D296" s="181"/>
      <c r="E296" s="181"/>
      <c r="F296" s="181"/>
      <c r="G296" s="181"/>
      <c r="K296" s="182">
        <v>295</v>
      </c>
      <c r="L296" s="182" t="str">
        <f t="shared" si="48"/>
        <v/>
      </c>
      <c r="M296" s="182" t="str">
        <f t="shared" si="49"/>
        <v/>
      </c>
      <c r="N296" s="182" t="str">
        <f t="shared" si="50"/>
        <v/>
      </c>
      <c r="O296" s="182" t="str">
        <f t="shared" si="51"/>
        <v/>
      </c>
      <c r="P296" s="182" t="str">
        <f t="shared" si="52"/>
        <v/>
      </c>
      <c r="Q296" s="182" t="str">
        <f t="shared" si="53"/>
        <v/>
      </c>
      <c r="R296" s="182" t="str">
        <f t="shared" si="54"/>
        <v/>
      </c>
      <c r="S296" s="182" t="str">
        <f t="shared" si="55"/>
        <v/>
      </c>
      <c r="T296" s="182" t="str">
        <f t="shared" si="56"/>
        <v/>
      </c>
      <c r="U296" s="182" t="str">
        <f t="shared" si="57"/>
        <v/>
      </c>
      <c r="V296" s="182" t="str">
        <f t="shared" si="58"/>
        <v/>
      </c>
      <c r="W296" s="182" t="str">
        <f t="shared" si="59"/>
        <v/>
      </c>
    </row>
    <row r="297" spans="1:23" x14ac:dyDescent="0.2">
      <c r="A297" s="181"/>
      <c r="B297" s="181"/>
      <c r="C297" s="181"/>
      <c r="D297" s="181"/>
      <c r="E297" s="181"/>
      <c r="F297" s="181"/>
      <c r="G297" s="181"/>
      <c r="K297" s="182">
        <v>296</v>
      </c>
      <c r="L297" s="182" t="str">
        <f t="shared" si="48"/>
        <v/>
      </c>
      <c r="M297" s="182" t="str">
        <f t="shared" si="49"/>
        <v/>
      </c>
      <c r="N297" s="182" t="str">
        <f t="shared" si="50"/>
        <v/>
      </c>
      <c r="O297" s="182" t="str">
        <f t="shared" si="51"/>
        <v/>
      </c>
      <c r="P297" s="182" t="str">
        <f t="shared" si="52"/>
        <v/>
      </c>
      <c r="Q297" s="182" t="str">
        <f t="shared" si="53"/>
        <v/>
      </c>
      <c r="R297" s="182" t="str">
        <f t="shared" si="54"/>
        <v/>
      </c>
      <c r="S297" s="182" t="str">
        <f t="shared" si="55"/>
        <v/>
      </c>
      <c r="T297" s="182" t="str">
        <f t="shared" si="56"/>
        <v/>
      </c>
      <c r="U297" s="182" t="str">
        <f t="shared" si="57"/>
        <v/>
      </c>
      <c r="V297" s="182" t="str">
        <f t="shared" si="58"/>
        <v/>
      </c>
      <c r="W297" s="182" t="str">
        <f t="shared" si="59"/>
        <v/>
      </c>
    </row>
    <row r="298" spans="1:23" x14ac:dyDescent="0.2">
      <c r="A298" s="181"/>
      <c r="B298" s="181"/>
      <c r="C298" s="181"/>
      <c r="D298" s="181"/>
      <c r="E298" s="181"/>
      <c r="F298" s="181"/>
      <c r="G298" s="181"/>
      <c r="K298" s="182">
        <v>297</v>
      </c>
      <c r="L298" s="182" t="str">
        <f t="shared" si="48"/>
        <v/>
      </c>
      <c r="M298" s="182" t="str">
        <f t="shared" si="49"/>
        <v/>
      </c>
      <c r="N298" s="182" t="str">
        <f t="shared" si="50"/>
        <v/>
      </c>
      <c r="O298" s="182" t="str">
        <f t="shared" si="51"/>
        <v/>
      </c>
      <c r="P298" s="182" t="str">
        <f t="shared" si="52"/>
        <v/>
      </c>
      <c r="Q298" s="182" t="str">
        <f t="shared" si="53"/>
        <v/>
      </c>
      <c r="R298" s="182" t="str">
        <f t="shared" si="54"/>
        <v/>
      </c>
      <c r="S298" s="182" t="str">
        <f t="shared" si="55"/>
        <v/>
      </c>
      <c r="T298" s="182" t="str">
        <f t="shared" si="56"/>
        <v/>
      </c>
      <c r="U298" s="182" t="str">
        <f t="shared" si="57"/>
        <v/>
      </c>
      <c r="V298" s="182" t="str">
        <f t="shared" si="58"/>
        <v/>
      </c>
      <c r="W298" s="182" t="str">
        <f t="shared" si="59"/>
        <v/>
      </c>
    </row>
    <row r="299" spans="1:23" x14ac:dyDescent="0.2">
      <c r="A299" s="181"/>
      <c r="B299" s="181"/>
      <c r="C299" s="181"/>
      <c r="D299" s="181"/>
      <c r="E299" s="181"/>
      <c r="F299" s="181"/>
      <c r="G299" s="181"/>
      <c r="K299" s="182">
        <v>298</v>
      </c>
      <c r="L299" s="182" t="str">
        <f t="shared" si="48"/>
        <v/>
      </c>
      <c r="M299" s="182" t="str">
        <f t="shared" si="49"/>
        <v/>
      </c>
      <c r="N299" s="182" t="str">
        <f t="shared" si="50"/>
        <v/>
      </c>
      <c r="O299" s="182" t="str">
        <f t="shared" si="51"/>
        <v/>
      </c>
      <c r="P299" s="182" t="str">
        <f t="shared" si="52"/>
        <v/>
      </c>
      <c r="Q299" s="182" t="str">
        <f t="shared" si="53"/>
        <v/>
      </c>
      <c r="R299" s="182" t="str">
        <f t="shared" si="54"/>
        <v/>
      </c>
      <c r="S299" s="182" t="str">
        <f t="shared" si="55"/>
        <v/>
      </c>
      <c r="T299" s="182" t="str">
        <f t="shared" si="56"/>
        <v/>
      </c>
      <c r="U299" s="182" t="str">
        <f t="shared" si="57"/>
        <v/>
      </c>
      <c r="V299" s="182" t="str">
        <f t="shared" si="58"/>
        <v/>
      </c>
      <c r="W299" s="182" t="str">
        <f t="shared" si="59"/>
        <v/>
      </c>
    </row>
    <row r="300" spans="1:23" x14ac:dyDescent="0.2">
      <c r="A300" s="181"/>
      <c r="B300" s="181"/>
      <c r="C300" s="181"/>
      <c r="D300" s="181"/>
      <c r="E300" s="181"/>
      <c r="F300" s="181"/>
      <c r="G300" s="181"/>
      <c r="K300" s="182">
        <v>299</v>
      </c>
      <c r="L300" s="182" t="str">
        <f t="shared" si="48"/>
        <v/>
      </c>
      <c r="M300" s="182" t="str">
        <f t="shared" si="49"/>
        <v/>
      </c>
      <c r="N300" s="182" t="str">
        <f t="shared" si="50"/>
        <v/>
      </c>
      <c r="O300" s="182" t="str">
        <f t="shared" si="51"/>
        <v/>
      </c>
      <c r="P300" s="182" t="str">
        <f t="shared" si="52"/>
        <v/>
      </c>
      <c r="Q300" s="182" t="str">
        <f t="shared" si="53"/>
        <v/>
      </c>
      <c r="R300" s="182" t="str">
        <f t="shared" si="54"/>
        <v/>
      </c>
      <c r="S300" s="182" t="str">
        <f t="shared" si="55"/>
        <v/>
      </c>
      <c r="T300" s="182" t="str">
        <f t="shared" si="56"/>
        <v/>
      </c>
      <c r="U300" s="182" t="str">
        <f t="shared" si="57"/>
        <v/>
      </c>
      <c r="V300" s="182" t="str">
        <f t="shared" si="58"/>
        <v/>
      </c>
      <c r="W300" s="182" t="str">
        <f t="shared" si="59"/>
        <v/>
      </c>
    </row>
    <row r="301" spans="1:23" x14ac:dyDescent="0.2">
      <c r="A301" s="181"/>
      <c r="B301" s="181"/>
      <c r="C301" s="181"/>
      <c r="D301" s="181"/>
      <c r="E301" s="181"/>
      <c r="F301" s="181"/>
      <c r="G301" s="181"/>
      <c r="K301" s="182">
        <v>300</v>
      </c>
      <c r="L301" s="182" t="str">
        <f t="shared" si="48"/>
        <v/>
      </c>
      <c r="M301" s="182" t="str">
        <f t="shared" si="49"/>
        <v/>
      </c>
      <c r="N301" s="182" t="str">
        <f t="shared" si="50"/>
        <v/>
      </c>
      <c r="O301" s="182" t="str">
        <f t="shared" si="51"/>
        <v/>
      </c>
      <c r="P301" s="182" t="str">
        <f t="shared" si="52"/>
        <v/>
      </c>
      <c r="Q301" s="182" t="str">
        <f t="shared" si="53"/>
        <v/>
      </c>
      <c r="R301" s="182" t="str">
        <f t="shared" si="54"/>
        <v/>
      </c>
      <c r="S301" s="182" t="str">
        <f t="shared" si="55"/>
        <v/>
      </c>
      <c r="T301" s="182" t="str">
        <f t="shared" si="56"/>
        <v/>
      </c>
      <c r="U301" s="182" t="str">
        <f t="shared" si="57"/>
        <v/>
      </c>
      <c r="V301" s="182" t="str">
        <f t="shared" si="58"/>
        <v/>
      </c>
      <c r="W301" s="182" t="str">
        <f t="shared" si="59"/>
        <v/>
      </c>
    </row>
    <row r="302" spans="1:23" x14ac:dyDescent="0.2">
      <c r="A302" s="181"/>
      <c r="B302" s="181"/>
      <c r="C302" s="181"/>
      <c r="D302" s="181"/>
      <c r="E302" s="181"/>
      <c r="F302" s="181"/>
      <c r="G302" s="181"/>
      <c r="K302" s="182">
        <v>301</v>
      </c>
      <c r="L302" s="182" t="str">
        <f t="shared" si="48"/>
        <v/>
      </c>
      <c r="M302" s="182" t="str">
        <f t="shared" si="49"/>
        <v/>
      </c>
      <c r="N302" s="182" t="str">
        <f t="shared" si="50"/>
        <v/>
      </c>
      <c r="O302" s="182" t="str">
        <f t="shared" si="51"/>
        <v/>
      </c>
      <c r="P302" s="182" t="str">
        <f t="shared" si="52"/>
        <v/>
      </c>
      <c r="Q302" s="182" t="str">
        <f t="shared" si="53"/>
        <v/>
      </c>
      <c r="R302" s="182" t="str">
        <f t="shared" si="54"/>
        <v/>
      </c>
      <c r="S302" s="182" t="str">
        <f t="shared" si="55"/>
        <v/>
      </c>
      <c r="T302" s="182" t="str">
        <f t="shared" si="56"/>
        <v/>
      </c>
      <c r="U302" s="182" t="str">
        <f t="shared" si="57"/>
        <v/>
      </c>
      <c r="V302" s="182" t="str">
        <f t="shared" si="58"/>
        <v/>
      </c>
      <c r="W302" s="182" t="str">
        <f t="shared" si="59"/>
        <v/>
      </c>
    </row>
    <row r="303" spans="1:23" x14ac:dyDescent="0.2">
      <c r="A303" s="181"/>
      <c r="B303" s="181"/>
      <c r="C303" s="181"/>
      <c r="D303" s="181"/>
      <c r="E303" s="181"/>
      <c r="F303" s="181"/>
      <c r="G303" s="181"/>
      <c r="K303" s="182">
        <v>302</v>
      </c>
      <c r="L303" s="182" t="str">
        <f t="shared" si="48"/>
        <v/>
      </c>
      <c r="M303" s="182" t="str">
        <f t="shared" si="49"/>
        <v/>
      </c>
      <c r="N303" s="182" t="str">
        <f t="shared" si="50"/>
        <v/>
      </c>
      <c r="O303" s="182" t="str">
        <f t="shared" si="51"/>
        <v/>
      </c>
      <c r="P303" s="182" t="str">
        <f t="shared" si="52"/>
        <v/>
      </c>
      <c r="Q303" s="182" t="str">
        <f t="shared" si="53"/>
        <v/>
      </c>
      <c r="R303" s="182" t="str">
        <f t="shared" si="54"/>
        <v/>
      </c>
      <c r="S303" s="182" t="str">
        <f t="shared" si="55"/>
        <v/>
      </c>
      <c r="T303" s="182" t="str">
        <f t="shared" si="56"/>
        <v/>
      </c>
      <c r="U303" s="182" t="str">
        <f t="shared" si="57"/>
        <v/>
      </c>
      <c r="V303" s="182" t="str">
        <f t="shared" si="58"/>
        <v/>
      </c>
      <c r="W303" s="182" t="str">
        <f t="shared" si="59"/>
        <v/>
      </c>
    </row>
    <row r="304" spans="1:23" x14ac:dyDescent="0.2">
      <c r="A304" s="181"/>
      <c r="B304" s="181"/>
      <c r="C304" s="181"/>
      <c r="D304" s="181"/>
      <c r="E304" s="181"/>
      <c r="F304" s="181"/>
      <c r="G304" s="181"/>
      <c r="K304" s="182">
        <v>303</v>
      </c>
      <c r="L304" s="182" t="str">
        <f t="shared" si="48"/>
        <v/>
      </c>
      <c r="M304" s="182" t="str">
        <f t="shared" si="49"/>
        <v/>
      </c>
      <c r="N304" s="182" t="str">
        <f t="shared" si="50"/>
        <v/>
      </c>
      <c r="O304" s="182" t="str">
        <f t="shared" si="51"/>
        <v/>
      </c>
      <c r="P304" s="182" t="str">
        <f t="shared" si="52"/>
        <v/>
      </c>
      <c r="Q304" s="182" t="str">
        <f t="shared" si="53"/>
        <v/>
      </c>
      <c r="R304" s="182" t="str">
        <f t="shared" si="54"/>
        <v/>
      </c>
      <c r="S304" s="182" t="str">
        <f t="shared" si="55"/>
        <v/>
      </c>
      <c r="T304" s="182" t="str">
        <f t="shared" si="56"/>
        <v/>
      </c>
      <c r="U304" s="182" t="str">
        <f t="shared" si="57"/>
        <v/>
      </c>
      <c r="V304" s="182" t="str">
        <f t="shared" si="58"/>
        <v/>
      </c>
      <c r="W304" s="182" t="str">
        <f t="shared" si="59"/>
        <v/>
      </c>
    </row>
    <row r="305" spans="1:23" x14ac:dyDescent="0.2">
      <c r="A305" s="181"/>
      <c r="B305" s="181"/>
      <c r="C305" s="181"/>
      <c r="D305" s="181"/>
      <c r="E305" s="181"/>
      <c r="F305" s="181"/>
      <c r="G305" s="181"/>
      <c r="K305" s="182">
        <v>304</v>
      </c>
      <c r="L305" s="182" t="str">
        <f t="shared" si="48"/>
        <v/>
      </c>
      <c r="M305" s="182" t="str">
        <f t="shared" si="49"/>
        <v/>
      </c>
      <c r="N305" s="182" t="str">
        <f t="shared" si="50"/>
        <v/>
      </c>
      <c r="O305" s="182" t="str">
        <f t="shared" si="51"/>
        <v/>
      </c>
      <c r="P305" s="182" t="str">
        <f t="shared" si="52"/>
        <v/>
      </c>
      <c r="Q305" s="182" t="str">
        <f t="shared" si="53"/>
        <v/>
      </c>
      <c r="R305" s="182" t="str">
        <f t="shared" si="54"/>
        <v/>
      </c>
      <c r="S305" s="182" t="str">
        <f t="shared" si="55"/>
        <v/>
      </c>
      <c r="T305" s="182" t="str">
        <f t="shared" si="56"/>
        <v/>
      </c>
      <c r="U305" s="182" t="str">
        <f t="shared" si="57"/>
        <v/>
      </c>
      <c r="V305" s="182" t="str">
        <f t="shared" si="58"/>
        <v/>
      </c>
      <c r="W305" s="182" t="str">
        <f t="shared" si="59"/>
        <v/>
      </c>
    </row>
    <row r="306" spans="1:23" x14ac:dyDescent="0.2">
      <c r="A306" s="181"/>
      <c r="B306" s="181"/>
      <c r="C306" s="181"/>
      <c r="D306" s="181"/>
      <c r="E306" s="181"/>
      <c r="F306" s="181"/>
      <c r="G306" s="181"/>
      <c r="K306" s="182">
        <v>305</v>
      </c>
      <c r="L306" s="182" t="str">
        <f t="shared" si="48"/>
        <v/>
      </c>
      <c r="M306" s="182" t="str">
        <f t="shared" si="49"/>
        <v/>
      </c>
      <c r="N306" s="182" t="str">
        <f t="shared" si="50"/>
        <v/>
      </c>
      <c r="O306" s="182" t="str">
        <f t="shared" si="51"/>
        <v/>
      </c>
      <c r="P306" s="182" t="str">
        <f t="shared" si="52"/>
        <v/>
      </c>
      <c r="Q306" s="182" t="str">
        <f t="shared" si="53"/>
        <v/>
      </c>
      <c r="R306" s="182" t="str">
        <f t="shared" si="54"/>
        <v/>
      </c>
      <c r="S306" s="182" t="str">
        <f t="shared" si="55"/>
        <v/>
      </c>
      <c r="T306" s="182" t="str">
        <f t="shared" si="56"/>
        <v/>
      </c>
      <c r="U306" s="182" t="str">
        <f t="shared" si="57"/>
        <v/>
      </c>
      <c r="V306" s="182" t="str">
        <f t="shared" si="58"/>
        <v/>
      </c>
      <c r="W306" s="182" t="str">
        <f t="shared" si="59"/>
        <v/>
      </c>
    </row>
    <row r="307" spans="1:23" x14ac:dyDescent="0.2">
      <c r="A307" s="181"/>
      <c r="B307" s="181"/>
      <c r="C307" s="181"/>
      <c r="D307" s="181"/>
      <c r="E307" s="181"/>
      <c r="F307" s="181"/>
      <c r="G307" s="181"/>
      <c r="K307" s="182">
        <v>306</v>
      </c>
      <c r="L307" s="182" t="str">
        <f t="shared" si="48"/>
        <v/>
      </c>
      <c r="M307" s="182" t="str">
        <f t="shared" si="49"/>
        <v/>
      </c>
      <c r="N307" s="182" t="str">
        <f t="shared" si="50"/>
        <v/>
      </c>
      <c r="O307" s="182" t="str">
        <f t="shared" si="51"/>
        <v/>
      </c>
      <c r="P307" s="182" t="str">
        <f t="shared" si="52"/>
        <v/>
      </c>
      <c r="Q307" s="182" t="str">
        <f t="shared" si="53"/>
        <v/>
      </c>
      <c r="R307" s="182" t="str">
        <f t="shared" si="54"/>
        <v/>
      </c>
      <c r="S307" s="182" t="str">
        <f t="shared" si="55"/>
        <v/>
      </c>
      <c r="T307" s="182" t="str">
        <f t="shared" si="56"/>
        <v/>
      </c>
      <c r="U307" s="182" t="str">
        <f t="shared" si="57"/>
        <v/>
      </c>
      <c r="V307" s="182" t="str">
        <f t="shared" si="58"/>
        <v/>
      </c>
      <c r="W307" s="182" t="str">
        <f t="shared" si="59"/>
        <v/>
      </c>
    </row>
    <row r="308" spans="1:23" x14ac:dyDescent="0.2">
      <c r="A308" s="181"/>
      <c r="B308" s="181"/>
      <c r="C308" s="181"/>
      <c r="D308" s="181"/>
      <c r="E308" s="181"/>
      <c r="F308" s="181"/>
      <c r="G308" s="181"/>
      <c r="K308" s="182">
        <v>307</v>
      </c>
      <c r="L308" s="182" t="str">
        <f t="shared" si="48"/>
        <v/>
      </c>
      <c r="M308" s="182" t="str">
        <f t="shared" si="49"/>
        <v/>
      </c>
      <c r="N308" s="182" t="str">
        <f t="shared" si="50"/>
        <v/>
      </c>
      <c r="O308" s="182" t="str">
        <f t="shared" si="51"/>
        <v/>
      </c>
      <c r="P308" s="182" t="str">
        <f t="shared" si="52"/>
        <v/>
      </c>
      <c r="Q308" s="182" t="str">
        <f t="shared" si="53"/>
        <v/>
      </c>
      <c r="R308" s="182" t="str">
        <f t="shared" si="54"/>
        <v/>
      </c>
      <c r="S308" s="182" t="str">
        <f t="shared" si="55"/>
        <v/>
      </c>
      <c r="T308" s="182" t="str">
        <f t="shared" si="56"/>
        <v/>
      </c>
      <c r="U308" s="182" t="str">
        <f t="shared" si="57"/>
        <v/>
      </c>
      <c r="V308" s="182" t="str">
        <f t="shared" si="58"/>
        <v/>
      </c>
      <c r="W308" s="182" t="str">
        <f t="shared" si="59"/>
        <v/>
      </c>
    </row>
    <row r="309" spans="1:23" x14ac:dyDescent="0.2">
      <c r="A309" s="181"/>
      <c r="B309" s="181"/>
      <c r="C309" s="181"/>
      <c r="D309" s="181"/>
      <c r="E309" s="181"/>
      <c r="F309" s="181"/>
      <c r="G309" s="181"/>
      <c r="K309" s="182">
        <v>308</v>
      </c>
      <c r="L309" s="182" t="str">
        <f t="shared" si="48"/>
        <v/>
      </c>
      <c r="M309" s="182" t="str">
        <f t="shared" si="49"/>
        <v/>
      </c>
      <c r="N309" s="182" t="str">
        <f t="shared" si="50"/>
        <v/>
      </c>
      <c r="O309" s="182" t="str">
        <f t="shared" si="51"/>
        <v/>
      </c>
      <c r="P309" s="182" t="str">
        <f t="shared" si="52"/>
        <v/>
      </c>
      <c r="Q309" s="182" t="str">
        <f t="shared" si="53"/>
        <v/>
      </c>
      <c r="R309" s="182" t="str">
        <f t="shared" si="54"/>
        <v/>
      </c>
      <c r="S309" s="182" t="str">
        <f t="shared" si="55"/>
        <v/>
      </c>
      <c r="T309" s="182" t="str">
        <f t="shared" si="56"/>
        <v/>
      </c>
      <c r="U309" s="182" t="str">
        <f t="shared" si="57"/>
        <v/>
      </c>
      <c r="V309" s="182" t="str">
        <f t="shared" si="58"/>
        <v/>
      </c>
      <c r="W309" s="182" t="str">
        <f t="shared" si="59"/>
        <v/>
      </c>
    </row>
    <row r="310" spans="1:23" x14ac:dyDescent="0.2">
      <c r="A310" s="181"/>
      <c r="B310" s="181"/>
      <c r="C310" s="181"/>
      <c r="D310" s="181"/>
      <c r="E310" s="181"/>
      <c r="F310" s="181"/>
      <c r="G310" s="181"/>
      <c r="K310" s="182">
        <v>309</v>
      </c>
      <c r="L310" s="182" t="str">
        <f t="shared" si="48"/>
        <v/>
      </c>
      <c r="M310" s="182" t="str">
        <f t="shared" si="49"/>
        <v/>
      </c>
      <c r="N310" s="182" t="str">
        <f t="shared" si="50"/>
        <v/>
      </c>
      <c r="O310" s="182" t="str">
        <f t="shared" si="51"/>
        <v/>
      </c>
      <c r="P310" s="182" t="str">
        <f t="shared" si="52"/>
        <v/>
      </c>
      <c r="Q310" s="182" t="str">
        <f t="shared" si="53"/>
        <v/>
      </c>
      <c r="R310" s="182" t="str">
        <f t="shared" si="54"/>
        <v/>
      </c>
      <c r="S310" s="182" t="str">
        <f t="shared" si="55"/>
        <v/>
      </c>
      <c r="T310" s="182" t="str">
        <f t="shared" si="56"/>
        <v/>
      </c>
      <c r="U310" s="182" t="str">
        <f t="shared" si="57"/>
        <v/>
      </c>
      <c r="V310" s="182" t="str">
        <f t="shared" si="58"/>
        <v/>
      </c>
      <c r="W310" s="182" t="str">
        <f t="shared" si="59"/>
        <v/>
      </c>
    </row>
    <row r="311" spans="1:23" x14ac:dyDescent="0.2">
      <c r="A311" s="181"/>
      <c r="B311" s="181"/>
      <c r="C311" s="181"/>
      <c r="D311" s="181"/>
      <c r="E311" s="181"/>
      <c r="F311" s="181"/>
      <c r="G311" s="181"/>
      <c r="K311" s="182">
        <v>310</v>
      </c>
      <c r="L311" s="182" t="str">
        <f t="shared" si="48"/>
        <v/>
      </c>
      <c r="M311" s="182" t="str">
        <f t="shared" si="49"/>
        <v/>
      </c>
      <c r="N311" s="182" t="str">
        <f t="shared" si="50"/>
        <v/>
      </c>
      <c r="O311" s="182" t="str">
        <f t="shared" si="51"/>
        <v/>
      </c>
      <c r="P311" s="182" t="str">
        <f t="shared" si="52"/>
        <v/>
      </c>
      <c r="Q311" s="182" t="str">
        <f t="shared" si="53"/>
        <v/>
      </c>
      <c r="R311" s="182" t="str">
        <f t="shared" si="54"/>
        <v/>
      </c>
      <c r="S311" s="182" t="str">
        <f t="shared" si="55"/>
        <v/>
      </c>
      <c r="T311" s="182" t="str">
        <f t="shared" si="56"/>
        <v/>
      </c>
      <c r="U311" s="182" t="str">
        <f t="shared" si="57"/>
        <v/>
      </c>
      <c r="V311" s="182" t="str">
        <f t="shared" si="58"/>
        <v/>
      </c>
      <c r="W311" s="182" t="str">
        <f t="shared" si="59"/>
        <v/>
      </c>
    </row>
    <row r="312" spans="1:23" x14ac:dyDescent="0.2">
      <c r="A312" s="181"/>
      <c r="B312" s="181"/>
      <c r="C312" s="181"/>
      <c r="D312" s="181"/>
      <c r="E312" s="181"/>
      <c r="F312" s="181"/>
      <c r="G312" s="181"/>
      <c r="K312" s="182">
        <v>311</v>
      </c>
      <c r="L312" s="182" t="str">
        <f t="shared" si="48"/>
        <v/>
      </c>
      <c r="M312" s="182" t="str">
        <f t="shared" si="49"/>
        <v/>
      </c>
      <c r="N312" s="182" t="str">
        <f t="shared" si="50"/>
        <v/>
      </c>
      <c r="O312" s="182" t="str">
        <f t="shared" si="51"/>
        <v/>
      </c>
      <c r="P312" s="182" t="str">
        <f t="shared" si="52"/>
        <v/>
      </c>
      <c r="Q312" s="182" t="str">
        <f t="shared" si="53"/>
        <v/>
      </c>
      <c r="R312" s="182" t="str">
        <f t="shared" si="54"/>
        <v/>
      </c>
      <c r="S312" s="182" t="str">
        <f t="shared" si="55"/>
        <v/>
      </c>
      <c r="T312" s="182" t="str">
        <f t="shared" si="56"/>
        <v/>
      </c>
      <c r="U312" s="182" t="str">
        <f t="shared" si="57"/>
        <v/>
      </c>
      <c r="V312" s="182" t="str">
        <f t="shared" si="58"/>
        <v/>
      </c>
      <c r="W312" s="182" t="str">
        <f t="shared" si="59"/>
        <v/>
      </c>
    </row>
    <row r="313" spans="1:23" x14ac:dyDescent="0.2">
      <c r="A313" s="181"/>
      <c r="B313" s="181"/>
      <c r="C313" s="181"/>
      <c r="D313" s="181"/>
      <c r="E313" s="181"/>
      <c r="F313" s="181"/>
      <c r="G313" s="181"/>
      <c r="K313" s="182">
        <v>312</v>
      </c>
      <c r="L313" s="182" t="str">
        <f t="shared" si="48"/>
        <v/>
      </c>
      <c r="M313" s="182" t="str">
        <f t="shared" si="49"/>
        <v/>
      </c>
      <c r="N313" s="182" t="str">
        <f t="shared" si="50"/>
        <v/>
      </c>
      <c r="O313" s="182" t="str">
        <f t="shared" si="51"/>
        <v/>
      </c>
      <c r="P313" s="182" t="str">
        <f t="shared" si="52"/>
        <v/>
      </c>
      <c r="Q313" s="182" t="str">
        <f t="shared" si="53"/>
        <v/>
      </c>
      <c r="R313" s="182" t="str">
        <f t="shared" si="54"/>
        <v/>
      </c>
      <c r="S313" s="182" t="str">
        <f t="shared" si="55"/>
        <v/>
      </c>
      <c r="T313" s="182" t="str">
        <f t="shared" si="56"/>
        <v/>
      </c>
      <c r="U313" s="182" t="str">
        <f t="shared" si="57"/>
        <v/>
      </c>
      <c r="V313" s="182" t="str">
        <f t="shared" si="58"/>
        <v/>
      </c>
      <c r="W313" s="182" t="str">
        <f t="shared" si="59"/>
        <v/>
      </c>
    </row>
    <row r="314" spans="1:23" x14ac:dyDescent="0.2">
      <c r="A314" s="181"/>
      <c r="B314" s="181"/>
      <c r="C314" s="181"/>
      <c r="D314" s="181"/>
      <c r="E314" s="181"/>
      <c r="F314" s="181"/>
      <c r="G314" s="181"/>
      <c r="K314" s="182">
        <v>313</v>
      </c>
      <c r="L314" s="182" t="str">
        <f t="shared" si="48"/>
        <v/>
      </c>
      <c r="M314" s="182" t="str">
        <f t="shared" si="49"/>
        <v/>
      </c>
      <c r="N314" s="182" t="str">
        <f t="shared" si="50"/>
        <v/>
      </c>
      <c r="O314" s="182" t="str">
        <f t="shared" si="51"/>
        <v/>
      </c>
      <c r="P314" s="182" t="str">
        <f t="shared" si="52"/>
        <v/>
      </c>
      <c r="Q314" s="182" t="str">
        <f t="shared" si="53"/>
        <v/>
      </c>
      <c r="R314" s="182" t="str">
        <f t="shared" si="54"/>
        <v/>
      </c>
      <c r="S314" s="182" t="str">
        <f t="shared" si="55"/>
        <v/>
      </c>
      <c r="T314" s="182" t="str">
        <f t="shared" si="56"/>
        <v/>
      </c>
      <c r="U314" s="182" t="str">
        <f t="shared" si="57"/>
        <v/>
      </c>
      <c r="V314" s="182" t="str">
        <f t="shared" si="58"/>
        <v/>
      </c>
      <c r="W314" s="182" t="str">
        <f t="shared" si="59"/>
        <v/>
      </c>
    </row>
    <row r="315" spans="1:23" x14ac:dyDescent="0.2">
      <c r="A315" s="181"/>
      <c r="B315" s="181"/>
      <c r="C315" s="181"/>
      <c r="D315" s="181"/>
      <c r="E315" s="181"/>
      <c r="F315" s="181"/>
      <c r="G315" s="181"/>
      <c r="K315" s="182">
        <v>314</v>
      </c>
      <c r="L315" s="182" t="str">
        <f t="shared" si="48"/>
        <v/>
      </c>
      <c r="M315" s="182" t="str">
        <f t="shared" si="49"/>
        <v/>
      </c>
      <c r="N315" s="182" t="str">
        <f t="shared" si="50"/>
        <v/>
      </c>
      <c r="O315" s="182" t="str">
        <f t="shared" si="51"/>
        <v/>
      </c>
      <c r="P315" s="182" t="str">
        <f t="shared" si="52"/>
        <v/>
      </c>
      <c r="Q315" s="182" t="str">
        <f t="shared" si="53"/>
        <v/>
      </c>
      <c r="R315" s="182" t="str">
        <f t="shared" si="54"/>
        <v/>
      </c>
      <c r="S315" s="182" t="str">
        <f t="shared" si="55"/>
        <v/>
      </c>
      <c r="T315" s="182" t="str">
        <f t="shared" si="56"/>
        <v/>
      </c>
      <c r="U315" s="182" t="str">
        <f t="shared" si="57"/>
        <v/>
      </c>
      <c r="V315" s="182" t="str">
        <f t="shared" si="58"/>
        <v/>
      </c>
      <c r="W315" s="182" t="str">
        <f t="shared" si="59"/>
        <v/>
      </c>
    </row>
    <row r="316" spans="1:23" x14ac:dyDescent="0.2">
      <c r="A316" s="181"/>
      <c r="B316" s="181"/>
      <c r="C316" s="181"/>
      <c r="D316" s="181"/>
      <c r="E316" s="181"/>
      <c r="F316" s="181"/>
      <c r="G316" s="181"/>
      <c r="K316" s="182">
        <v>315</v>
      </c>
      <c r="L316" s="182" t="str">
        <f t="shared" si="48"/>
        <v/>
      </c>
      <c r="M316" s="182" t="str">
        <f t="shared" si="49"/>
        <v/>
      </c>
      <c r="N316" s="182" t="str">
        <f t="shared" si="50"/>
        <v/>
      </c>
      <c r="O316" s="182" t="str">
        <f t="shared" si="51"/>
        <v/>
      </c>
      <c r="P316" s="182" t="str">
        <f t="shared" si="52"/>
        <v/>
      </c>
      <c r="Q316" s="182" t="str">
        <f t="shared" si="53"/>
        <v/>
      </c>
      <c r="R316" s="182" t="str">
        <f t="shared" si="54"/>
        <v/>
      </c>
      <c r="S316" s="182" t="str">
        <f t="shared" si="55"/>
        <v/>
      </c>
      <c r="T316" s="182" t="str">
        <f t="shared" si="56"/>
        <v/>
      </c>
      <c r="U316" s="182" t="str">
        <f t="shared" si="57"/>
        <v/>
      </c>
      <c r="V316" s="182" t="str">
        <f t="shared" si="58"/>
        <v/>
      </c>
      <c r="W316" s="182" t="str">
        <f t="shared" si="59"/>
        <v/>
      </c>
    </row>
    <row r="317" spans="1:23" x14ac:dyDescent="0.2">
      <c r="A317" s="181"/>
      <c r="B317" s="181"/>
      <c r="C317" s="181"/>
      <c r="D317" s="181"/>
      <c r="E317" s="181"/>
      <c r="F317" s="181"/>
      <c r="G317" s="181"/>
      <c r="K317" s="182">
        <v>316</v>
      </c>
      <c r="L317" s="182" t="str">
        <f t="shared" si="48"/>
        <v/>
      </c>
      <c r="M317" s="182" t="str">
        <f t="shared" si="49"/>
        <v/>
      </c>
      <c r="N317" s="182" t="str">
        <f t="shared" si="50"/>
        <v/>
      </c>
      <c r="O317" s="182" t="str">
        <f t="shared" si="51"/>
        <v/>
      </c>
      <c r="P317" s="182" t="str">
        <f t="shared" si="52"/>
        <v/>
      </c>
      <c r="Q317" s="182" t="str">
        <f t="shared" si="53"/>
        <v/>
      </c>
      <c r="R317" s="182" t="str">
        <f t="shared" si="54"/>
        <v/>
      </c>
      <c r="S317" s="182" t="str">
        <f t="shared" si="55"/>
        <v/>
      </c>
      <c r="T317" s="182" t="str">
        <f t="shared" si="56"/>
        <v/>
      </c>
      <c r="U317" s="182" t="str">
        <f t="shared" si="57"/>
        <v/>
      </c>
      <c r="V317" s="182" t="str">
        <f t="shared" si="58"/>
        <v/>
      </c>
      <c r="W317" s="182" t="str">
        <f t="shared" si="59"/>
        <v/>
      </c>
    </row>
    <row r="318" spans="1:23" x14ac:dyDescent="0.2">
      <c r="A318" s="181"/>
      <c r="B318" s="181"/>
      <c r="C318" s="181"/>
      <c r="D318" s="181"/>
      <c r="E318" s="181"/>
      <c r="F318" s="181"/>
      <c r="G318" s="181"/>
      <c r="K318" s="182">
        <v>317</v>
      </c>
      <c r="L318" s="182" t="str">
        <f t="shared" si="48"/>
        <v/>
      </c>
      <c r="M318" s="182" t="str">
        <f t="shared" si="49"/>
        <v/>
      </c>
      <c r="N318" s="182" t="str">
        <f t="shared" si="50"/>
        <v/>
      </c>
      <c r="O318" s="182" t="str">
        <f t="shared" si="51"/>
        <v/>
      </c>
      <c r="P318" s="182" t="str">
        <f t="shared" si="52"/>
        <v/>
      </c>
      <c r="Q318" s="182" t="str">
        <f t="shared" si="53"/>
        <v/>
      </c>
      <c r="R318" s="182" t="str">
        <f t="shared" si="54"/>
        <v/>
      </c>
      <c r="S318" s="182" t="str">
        <f t="shared" si="55"/>
        <v/>
      </c>
      <c r="T318" s="182" t="str">
        <f t="shared" si="56"/>
        <v/>
      </c>
      <c r="U318" s="182" t="str">
        <f t="shared" si="57"/>
        <v/>
      </c>
      <c r="V318" s="182" t="str">
        <f t="shared" si="58"/>
        <v/>
      </c>
      <c r="W318" s="182" t="str">
        <f t="shared" si="59"/>
        <v/>
      </c>
    </row>
    <row r="319" spans="1:23" x14ac:dyDescent="0.2">
      <c r="A319" s="181"/>
      <c r="B319" s="181"/>
      <c r="C319" s="181"/>
      <c r="D319" s="181"/>
      <c r="E319" s="181"/>
      <c r="F319" s="181"/>
      <c r="G319" s="181"/>
      <c r="K319" s="182">
        <v>318</v>
      </c>
      <c r="L319" s="182" t="str">
        <f t="shared" si="48"/>
        <v/>
      </c>
      <c r="M319" s="182" t="str">
        <f t="shared" si="49"/>
        <v/>
      </c>
      <c r="N319" s="182" t="str">
        <f t="shared" si="50"/>
        <v/>
      </c>
      <c r="O319" s="182" t="str">
        <f t="shared" si="51"/>
        <v/>
      </c>
      <c r="P319" s="182" t="str">
        <f t="shared" si="52"/>
        <v/>
      </c>
      <c r="Q319" s="182" t="str">
        <f t="shared" si="53"/>
        <v/>
      </c>
      <c r="R319" s="182" t="str">
        <f t="shared" si="54"/>
        <v/>
      </c>
      <c r="S319" s="182" t="str">
        <f t="shared" si="55"/>
        <v/>
      </c>
      <c r="T319" s="182" t="str">
        <f t="shared" si="56"/>
        <v/>
      </c>
      <c r="U319" s="182" t="str">
        <f t="shared" si="57"/>
        <v/>
      </c>
      <c r="V319" s="182" t="str">
        <f t="shared" si="58"/>
        <v/>
      </c>
      <c r="W319" s="182" t="str">
        <f t="shared" si="59"/>
        <v/>
      </c>
    </row>
    <row r="320" spans="1:23" x14ac:dyDescent="0.2">
      <c r="A320" s="181"/>
      <c r="B320" s="181"/>
      <c r="C320" s="181"/>
      <c r="D320" s="181"/>
      <c r="E320" s="181"/>
      <c r="F320" s="181"/>
      <c r="G320" s="181"/>
      <c r="K320" s="182">
        <v>319</v>
      </c>
      <c r="L320" s="182" t="str">
        <f t="shared" si="48"/>
        <v/>
      </c>
      <c r="M320" s="182" t="str">
        <f t="shared" si="49"/>
        <v/>
      </c>
      <c r="N320" s="182" t="str">
        <f t="shared" si="50"/>
        <v/>
      </c>
      <c r="O320" s="182" t="str">
        <f t="shared" si="51"/>
        <v/>
      </c>
      <c r="P320" s="182" t="str">
        <f t="shared" si="52"/>
        <v/>
      </c>
      <c r="Q320" s="182" t="str">
        <f t="shared" si="53"/>
        <v/>
      </c>
      <c r="R320" s="182" t="str">
        <f t="shared" si="54"/>
        <v/>
      </c>
      <c r="S320" s="182" t="str">
        <f t="shared" si="55"/>
        <v/>
      </c>
      <c r="T320" s="182" t="str">
        <f t="shared" si="56"/>
        <v/>
      </c>
      <c r="U320" s="182" t="str">
        <f t="shared" si="57"/>
        <v/>
      </c>
      <c r="V320" s="182" t="str">
        <f t="shared" si="58"/>
        <v/>
      </c>
      <c r="W320" s="182" t="str">
        <f t="shared" si="59"/>
        <v/>
      </c>
    </row>
    <row r="321" spans="1:23" x14ac:dyDescent="0.2">
      <c r="A321" s="181"/>
      <c r="B321" s="181"/>
      <c r="C321" s="181"/>
      <c r="D321" s="181"/>
      <c r="E321" s="181"/>
      <c r="F321" s="181"/>
      <c r="G321" s="181"/>
      <c r="K321" s="182">
        <v>320</v>
      </c>
      <c r="L321" s="182" t="str">
        <f t="shared" si="48"/>
        <v/>
      </c>
      <c r="M321" s="182" t="str">
        <f t="shared" si="49"/>
        <v/>
      </c>
      <c r="N321" s="182" t="str">
        <f t="shared" si="50"/>
        <v/>
      </c>
      <c r="O321" s="182" t="str">
        <f t="shared" si="51"/>
        <v/>
      </c>
      <c r="P321" s="182" t="str">
        <f t="shared" si="52"/>
        <v/>
      </c>
      <c r="Q321" s="182" t="str">
        <f t="shared" si="53"/>
        <v/>
      </c>
      <c r="R321" s="182" t="str">
        <f t="shared" si="54"/>
        <v/>
      </c>
      <c r="S321" s="182" t="str">
        <f t="shared" si="55"/>
        <v/>
      </c>
      <c r="T321" s="182" t="str">
        <f t="shared" si="56"/>
        <v/>
      </c>
      <c r="U321" s="182" t="str">
        <f t="shared" si="57"/>
        <v/>
      </c>
      <c r="V321" s="182" t="str">
        <f t="shared" si="58"/>
        <v/>
      </c>
      <c r="W321" s="182" t="str">
        <f t="shared" si="59"/>
        <v/>
      </c>
    </row>
    <row r="322" spans="1:23" x14ac:dyDescent="0.2">
      <c r="A322" s="181"/>
      <c r="B322" s="181"/>
      <c r="C322" s="181"/>
      <c r="D322" s="181"/>
      <c r="E322" s="181"/>
      <c r="F322" s="181"/>
      <c r="G322" s="181"/>
      <c r="K322" s="182">
        <v>321</v>
      </c>
      <c r="L322" s="182" t="str">
        <f t="shared" si="48"/>
        <v/>
      </c>
      <c r="M322" s="182" t="str">
        <f t="shared" si="49"/>
        <v/>
      </c>
      <c r="N322" s="182" t="str">
        <f t="shared" si="50"/>
        <v/>
      </c>
      <c r="O322" s="182" t="str">
        <f t="shared" si="51"/>
        <v/>
      </c>
      <c r="P322" s="182" t="str">
        <f t="shared" si="52"/>
        <v/>
      </c>
      <c r="Q322" s="182" t="str">
        <f t="shared" si="53"/>
        <v/>
      </c>
      <c r="R322" s="182" t="str">
        <f t="shared" si="54"/>
        <v/>
      </c>
      <c r="S322" s="182" t="str">
        <f t="shared" si="55"/>
        <v/>
      </c>
      <c r="T322" s="182" t="str">
        <f t="shared" si="56"/>
        <v/>
      </c>
      <c r="U322" s="182" t="str">
        <f t="shared" si="57"/>
        <v/>
      </c>
      <c r="V322" s="182" t="str">
        <f t="shared" si="58"/>
        <v/>
      </c>
      <c r="W322" s="182" t="str">
        <f t="shared" si="59"/>
        <v/>
      </c>
    </row>
    <row r="323" spans="1:23" x14ac:dyDescent="0.2">
      <c r="A323" s="181"/>
      <c r="B323" s="181"/>
      <c r="C323" s="181"/>
      <c r="D323" s="181"/>
      <c r="E323" s="181"/>
      <c r="F323" s="181"/>
      <c r="G323" s="181"/>
      <c r="K323" s="182">
        <v>322</v>
      </c>
      <c r="L323" s="182" t="str">
        <f t="shared" ref="L323:L386" si="60">IF($B$13&gt;=K323,K323,"")</f>
        <v/>
      </c>
      <c r="M323" s="182" t="str">
        <f t="shared" ref="M323:M386" si="61">IF(L323="","",IF(L323&lt;=$E$15,VLOOKUP($E$14,$I$1:$J$4,2,FALSE),VLOOKUP($F$14,$I$1:$J$4,2,FALSE)))</f>
        <v/>
      </c>
      <c r="N323" s="182" t="str">
        <f t="shared" ref="N323:N386" si="62">IF($B$20&gt;=K323,K323,"")</f>
        <v/>
      </c>
      <c r="O323" s="182" t="str">
        <f t="shared" ref="O323:O386" si="63">IF(N323="","",IF(N323&lt;=$E$22,VLOOKUP($E$21,$I$1:$J$4,2,FALSE),VLOOKUP($F$21,$I$1:$J$4,2,FALSE)))</f>
        <v/>
      </c>
      <c r="P323" s="182" t="str">
        <f t="shared" ref="P323:P386" si="64">IF($B$27&gt;=K323,K323,"")</f>
        <v/>
      </c>
      <c r="Q323" s="182" t="str">
        <f t="shared" ref="Q323:Q386" si="65">IF(P323="","",IF(P323&lt;=$E$29,VLOOKUP($E$28,$I$1:$J$4,2,FALSE),VLOOKUP($F$28,$I$1:$J$4,2,FALSE)))</f>
        <v/>
      </c>
      <c r="R323" s="182" t="str">
        <f t="shared" ref="R323:R386" si="66">IF($B$34&gt;=K323,K323,"")</f>
        <v/>
      </c>
      <c r="S323" s="182" t="str">
        <f t="shared" ref="S323:S386" si="67">IF(R323="","",IF(R323&lt;=$E$36,VLOOKUP($E$35,$I$1:$J$4,2,FALSE),VLOOKUP($F$35,$I$1:$J$4,2,FALSE)))</f>
        <v/>
      </c>
      <c r="T323" s="182" t="str">
        <f t="shared" ref="T323:T386" si="68">IF($B$41&gt;=K323,K323,"")</f>
        <v/>
      </c>
      <c r="U323" s="182" t="str">
        <f t="shared" ref="U323:U386" si="69">IF(T323="","",IF(T323&lt;=$E$43,VLOOKUP($E$42,$I$1:$J$4,2,FALSE),VLOOKUP($F$42,$I$1:$J$4,2,FALSE)))</f>
        <v/>
      </c>
      <c r="V323" s="182" t="str">
        <f t="shared" ref="V323:V386" si="70">IF($B$48&gt;=K323,K323,"")</f>
        <v/>
      </c>
      <c r="W323" s="182" t="str">
        <f t="shared" ref="W323:W386" si="71">IF(V323="","",IF(V323&lt;=$E$50,VLOOKUP($E$49,$I$1:$J$4,2,FALSE),VLOOKUP($F$49,$I$1:$J$4,2,FALSE)))</f>
        <v/>
      </c>
    </row>
    <row r="324" spans="1:23" x14ac:dyDescent="0.2">
      <c r="A324" s="181"/>
      <c r="B324" s="181"/>
      <c r="C324" s="181"/>
      <c r="D324" s="181"/>
      <c r="E324" s="181"/>
      <c r="F324" s="181"/>
      <c r="G324" s="181"/>
      <c r="K324" s="182">
        <v>323</v>
      </c>
      <c r="L324" s="182" t="str">
        <f t="shared" si="60"/>
        <v/>
      </c>
      <c r="M324" s="182" t="str">
        <f t="shared" si="61"/>
        <v/>
      </c>
      <c r="N324" s="182" t="str">
        <f t="shared" si="62"/>
        <v/>
      </c>
      <c r="O324" s="182" t="str">
        <f t="shared" si="63"/>
        <v/>
      </c>
      <c r="P324" s="182" t="str">
        <f t="shared" si="64"/>
        <v/>
      </c>
      <c r="Q324" s="182" t="str">
        <f t="shared" si="65"/>
        <v/>
      </c>
      <c r="R324" s="182" t="str">
        <f t="shared" si="66"/>
        <v/>
      </c>
      <c r="S324" s="182" t="str">
        <f t="shared" si="67"/>
        <v/>
      </c>
      <c r="T324" s="182" t="str">
        <f t="shared" si="68"/>
        <v/>
      </c>
      <c r="U324" s="182" t="str">
        <f t="shared" si="69"/>
        <v/>
      </c>
      <c r="V324" s="182" t="str">
        <f t="shared" si="70"/>
        <v/>
      </c>
      <c r="W324" s="182" t="str">
        <f t="shared" si="71"/>
        <v/>
      </c>
    </row>
    <row r="325" spans="1:23" x14ac:dyDescent="0.2">
      <c r="A325" s="181"/>
      <c r="B325" s="181"/>
      <c r="C325" s="181"/>
      <c r="D325" s="181"/>
      <c r="E325" s="181"/>
      <c r="F325" s="181"/>
      <c r="G325" s="181"/>
      <c r="K325" s="182">
        <v>324</v>
      </c>
      <c r="L325" s="182" t="str">
        <f t="shared" si="60"/>
        <v/>
      </c>
      <c r="M325" s="182" t="str">
        <f t="shared" si="61"/>
        <v/>
      </c>
      <c r="N325" s="182" t="str">
        <f t="shared" si="62"/>
        <v/>
      </c>
      <c r="O325" s="182" t="str">
        <f t="shared" si="63"/>
        <v/>
      </c>
      <c r="P325" s="182" t="str">
        <f t="shared" si="64"/>
        <v/>
      </c>
      <c r="Q325" s="182" t="str">
        <f t="shared" si="65"/>
        <v/>
      </c>
      <c r="R325" s="182" t="str">
        <f t="shared" si="66"/>
        <v/>
      </c>
      <c r="S325" s="182" t="str">
        <f t="shared" si="67"/>
        <v/>
      </c>
      <c r="T325" s="182" t="str">
        <f t="shared" si="68"/>
        <v/>
      </c>
      <c r="U325" s="182" t="str">
        <f t="shared" si="69"/>
        <v/>
      </c>
      <c r="V325" s="182" t="str">
        <f t="shared" si="70"/>
        <v/>
      </c>
      <c r="W325" s="182" t="str">
        <f t="shared" si="71"/>
        <v/>
      </c>
    </row>
    <row r="326" spans="1:23" x14ac:dyDescent="0.2">
      <c r="A326" s="181"/>
      <c r="B326" s="181"/>
      <c r="C326" s="181"/>
      <c r="D326" s="181"/>
      <c r="E326" s="181"/>
      <c r="F326" s="181"/>
      <c r="G326" s="181"/>
      <c r="K326" s="182">
        <v>325</v>
      </c>
      <c r="L326" s="182" t="str">
        <f t="shared" si="60"/>
        <v/>
      </c>
      <c r="M326" s="182" t="str">
        <f t="shared" si="61"/>
        <v/>
      </c>
      <c r="N326" s="182" t="str">
        <f t="shared" si="62"/>
        <v/>
      </c>
      <c r="O326" s="182" t="str">
        <f t="shared" si="63"/>
        <v/>
      </c>
      <c r="P326" s="182" t="str">
        <f t="shared" si="64"/>
        <v/>
      </c>
      <c r="Q326" s="182" t="str">
        <f t="shared" si="65"/>
        <v/>
      </c>
      <c r="R326" s="182" t="str">
        <f t="shared" si="66"/>
        <v/>
      </c>
      <c r="S326" s="182" t="str">
        <f t="shared" si="67"/>
        <v/>
      </c>
      <c r="T326" s="182" t="str">
        <f t="shared" si="68"/>
        <v/>
      </c>
      <c r="U326" s="182" t="str">
        <f t="shared" si="69"/>
        <v/>
      </c>
      <c r="V326" s="182" t="str">
        <f t="shared" si="70"/>
        <v/>
      </c>
      <c r="W326" s="182" t="str">
        <f t="shared" si="71"/>
        <v/>
      </c>
    </row>
    <row r="327" spans="1:23" x14ac:dyDescent="0.2">
      <c r="A327" s="181"/>
      <c r="B327" s="181"/>
      <c r="C327" s="181"/>
      <c r="D327" s="181"/>
      <c r="E327" s="181"/>
      <c r="F327" s="181"/>
      <c r="G327" s="181"/>
      <c r="K327" s="182">
        <v>326</v>
      </c>
      <c r="L327" s="182" t="str">
        <f t="shared" si="60"/>
        <v/>
      </c>
      <c r="M327" s="182" t="str">
        <f t="shared" si="61"/>
        <v/>
      </c>
      <c r="N327" s="182" t="str">
        <f t="shared" si="62"/>
        <v/>
      </c>
      <c r="O327" s="182" t="str">
        <f t="shared" si="63"/>
        <v/>
      </c>
      <c r="P327" s="182" t="str">
        <f t="shared" si="64"/>
        <v/>
      </c>
      <c r="Q327" s="182" t="str">
        <f t="shared" si="65"/>
        <v/>
      </c>
      <c r="R327" s="182" t="str">
        <f t="shared" si="66"/>
        <v/>
      </c>
      <c r="S327" s="182" t="str">
        <f t="shared" si="67"/>
        <v/>
      </c>
      <c r="T327" s="182" t="str">
        <f t="shared" si="68"/>
        <v/>
      </c>
      <c r="U327" s="182" t="str">
        <f t="shared" si="69"/>
        <v/>
      </c>
      <c r="V327" s="182" t="str">
        <f t="shared" si="70"/>
        <v/>
      </c>
      <c r="W327" s="182" t="str">
        <f t="shared" si="71"/>
        <v/>
      </c>
    </row>
    <row r="328" spans="1:23" x14ac:dyDescent="0.2">
      <c r="A328" s="181"/>
      <c r="B328" s="181"/>
      <c r="C328" s="181"/>
      <c r="D328" s="181"/>
      <c r="E328" s="181"/>
      <c r="F328" s="181"/>
      <c r="G328" s="181"/>
      <c r="K328" s="182">
        <v>327</v>
      </c>
      <c r="L328" s="182" t="str">
        <f t="shared" si="60"/>
        <v/>
      </c>
      <c r="M328" s="182" t="str">
        <f t="shared" si="61"/>
        <v/>
      </c>
      <c r="N328" s="182" t="str">
        <f t="shared" si="62"/>
        <v/>
      </c>
      <c r="O328" s="182" t="str">
        <f t="shared" si="63"/>
        <v/>
      </c>
      <c r="P328" s="182" t="str">
        <f t="shared" si="64"/>
        <v/>
      </c>
      <c r="Q328" s="182" t="str">
        <f t="shared" si="65"/>
        <v/>
      </c>
      <c r="R328" s="182" t="str">
        <f t="shared" si="66"/>
        <v/>
      </c>
      <c r="S328" s="182" t="str">
        <f t="shared" si="67"/>
        <v/>
      </c>
      <c r="T328" s="182" t="str">
        <f t="shared" si="68"/>
        <v/>
      </c>
      <c r="U328" s="182" t="str">
        <f t="shared" si="69"/>
        <v/>
      </c>
      <c r="V328" s="182" t="str">
        <f t="shared" si="70"/>
        <v/>
      </c>
      <c r="W328" s="182" t="str">
        <f t="shared" si="71"/>
        <v/>
      </c>
    </row>
    <row r="329" spans="1:23" x14ac:dyDescent="0.2">
      <c r="A329" s="181"/>
      <c r="B329" s="181"/>
      <c r="C329" s="181"/>
      <c r="D329" s="181"/>
      <c r="E329" s="181"/>
      <c r="F329" s="181"/>
      <c r="G329" s="181"/>
      <c r="K329" s="182">
        <v>328</v>
      </c>
      <c r="L329" s="182" t="str">
        <f t="shared" si="60"/>
        <v/>
      </c>
      <c r="M329" s="182" t="str">
        <f t="shared" si="61"/>
        <v/>
      </c>
      <c r="N329" s="182" t="str">
        <f t="shared" si="62"/>
        <v/>
      </c>
      <c r="O329" s="182" t="str">
        <f t="shared" si="63"/>
        <v/>
      </c>
      <c r="P329" s="182" t="str">
        <f t="shared" si="64"/>
        <v/>
      </c>
      <c r="Q329" s="182" t="str">
        <f t="shared" si="65"/>
        <v/>
      </c>
      <c r="R329" s="182" t="str">
        <f t="shared" si="66"/>
        <v/>
      </c>
      <c r="S329" s="182" t="str">
        <f t="shared" si="67"/>
        <v/>
      </c>
      <c r="T329" s="182" t="str">
        <f t="shared" si="68"/>
        <v/>
      </c>
      <c r="U329" s="182" t="str">
        <f t="shared" si="69"/>
        <v/>
      </c>
      <c r="V329" s="182" t="str">
        <f t="shared" si="70"/>
        <v/>
      </c>
      <c r="W329" s="182" t="str">
        <f t="shared" si="71"/>
        <v/>
      </c>
    </row>
    <row r="330" spans="1:23" x14ac:dyDescent="0.2">
      <c r="A330" s="181"/>
      <c r="B330" s="181"/>
      <c r="C330" s="181"/>
      <c r="D330" s="181"/>
      <c r="E330" s="181"/>
      <c r="F330" s="181"/>
      <c r="G330" s="181"/>
      <c r="K330" s="182">
        <v>329</v>
      </c>
      <c r="L330" s="182" t="str">
        <f t="shared" si="60"/>
        <v/>
      </c>
      <c r="M330" s="182" t="str">
        <f t="shared" si="61"/>
        <v/>
      </c>
      <c r="N330" s="182" t="str">
        <f t="shared" si="62"/>
        <v/>
      </c>
      <c r="O330" s="182" t="str">
        <f t="shared" si="63"/>
        <v/>
      </c>
      <c r="P330" s="182" t="str">
        <f t="shared" si="64"/>
        <v/>
      </c>
      <c r="Q330" s="182" t="str">
        <f t="shared" si="65"/>
        <v/>
      </c>
      <c r="R330" s="182" t="str">
        <f t="shared" si="66"/>
        <v/>
      </c>
      <c r="S330" s="182" t="str">
        <f t="shared" si="67"/>
        <v/>
      </c>
      <c r="T330" s="182" t="str">
        <f t="shared" si="68"/>
        <v/>
      </c>
      <c r="U330" s="182" t="str">
        <f t="shared" si="69"/>
        <v/>
      </c>
      <c r="V330" s="182" t="str">
        <f t="shared" si="70"/>
        <v/>
      </c>
      <c r="W330" s="182" t="str">
        <f t="shared" si="71"/>
        <v/>
      </c>
    </row>
    <row r="331" spans="1:23" x14ac:dyDescent="0.2">
      <c r="A331" s="181"/>
      <c r="B331" s="181"/>
      <c r="C331" s="181"/>
      <c r="D331" s="181"/>
      <c r="E331" s="181"/>
      <c r="F331" s="181"/>
      <c r="G331" s="181"/>
      <c r="K331" s="182">
        <v>330</v>
      </c>
      <c r="L331" s="182" t="str">
        <f t="shared" si="60"/>
        <v/>
      </c>
      <c r="M331" s="182" t="str">
        <f t="shared" si="61"/>
        <v/>
      </c>
      <c r="N331" s="182" t="str">
        <f t="shared" si="62"/>
        <v/>
      </c>
      <c r="O331" s="182" t="str">
        <f t="shared" si="63"/>
        <v/>
      </c>
      <c r="P331" s="182" t="str">
        <f t="shared" si="64"/>
        <v/>
      </c>
      <c r="Q331" s="182" t="str">
        <f t="shared" si="65"/>
        <v/>
      </c>
      <c r="R331" s="182" t="str">
        <f t="shared" si="66"/>
        <v/>
      </c>
      <c r="S331" s="182" t="str">
        <f t="shared" si="67"/>
        <v/>
      </c>
      <c r="T331" s="182" t="str">
        <f t="shared" si="68"/>
        <v/>
      </c>
      <c r="U331" s="182" t="str">
        <f t="shared" si="69"/>
        <v/>
      </c>
      <c r="V331" s="182" t="str">
        <f t="shared" si="70"/>
        <v/>
      </c>
      <c r="W331" s="182" t="str">
        <f t="shared" si="71"/>
        <v/>
      </c>
    </row>
    <row r="332" spans="1:23" x14ac:dyDescent="0.2">
      <c r="A332" s="181"/>
      <c r="B332" s="181"/>
      <c r="C332" s="181"/>
      <c r="D332" s="181"/>
      <c r="E332" s="181"/>
      <c r="F332" s="181"/>
      <c r="G332" s="181"/>
      <c r="K332" s="182">
        <v>331</v>
      </c>
      <c r="L332" s="182" t="str">
        <f t="shared" si="60"/>
        <v/>
      </c>
      <c r="M332" s="182" t="str">
        <f t="shared" si="61"/>
        <v/>
      </c>
      <c r="N332" s="182" t="str">
        <f t="shared" si="62"/>
        <v/>
      </c>
      <c r="O332" s="182" t="str">
        <f t="shared" si="63"/>
        <v/>
      </c>
      <c r="P332" s="182" t="str">
        <f t="shared" si="64"/>
        <v/>
      </c>
      <c r="Q332" s="182" t="str">
        <f t="shared" si="65"/>
        <v/>
      </c>
      <c r="R332" s="182" t="str">
        <f t="shared" si="66"/>
        <v/>
      </c>
      <c r="S332" s="182" t="str">
        <f t="shared" si="67"/>
        <v/>
      </c>
      <c r="T332" s="182" t="str">
        <f t="shared" si="68"/>
        <v/>
      </c>
      <c r="U332" s="182" t="str">
        <f t="shared" si="69"/>
        <v/>
      </c>
      <c r="V332" s="182" t="str">
        <f t="shared" si="70"/>
        <v/>
      </c>
      <c r="W332" s="182" t="str">
        <f t="shared" si="71"/>
        <v/>
      </c>
    </row>
    <row r="333" spans="1:23" x14ac:dyDescent="0.2">
      <c r="A333" s="181"/>
      <c r="B333" s="181"/>
      <c r="C333" s="181"/>
      <c r="D333" s="181"/>
      <c r="E333" s="181"/>
      <c r="F333" s="181"/>
      <c r="G333" s="181"/>
      <c r="K333" s="182">
        <v>332</v>
      </c>
      <c r="L333" s="182" t="str">
        <f t="shared" si="60"/>
        <v/>
      </c>
      <c r="M333" s="182" t="str">
        <f t="shared" si="61"/>
        <v/>
      </c>
      <c r="N333" s="182" t="str">
        <f t="shared" si="62"/>
        <v/>
      </c>
      <c r="O333" s="182" t="str">
        <f t="shared" si="63"/>
        <v/>
      </c>
      <c r="P333" s="182" t="str">
        <f t="shared" si="64"/>
        <v/>
      </c>
      <c r="Q333" s="182" t="str">
        <f t="shared" si="65"/>
        <v/>
      </c>
      <c r="R333" s="182" t="str">
        <f t="shared" si="66"/>
        <v/>
      </c>
      <c r="S333" s="182" t="str">
        <f t="shared" si="67"/>
        <v/>
      </c>
      <c r="T333" s="182" t="str">
        <f t="shared" si="68"/>
        <v/>
      </c>
      <c r="U333" s="182" t="str">
        <f t="shared" si="69"/>
        <v/>
      </c>
      <c r="V333" s="182" t="str">
        <f t="shared" si="70"/>
        <v/>
      </c>
      <c r="W333" s="182" t="str">
        <f t="shared" si="71"/>
        <v/>
      </c>
    </row>
    <row r="334" spans="1:23" x14ac:dyDescent="0.2">
      <c r="A334" s="181"/>
      <c r="B334" s="181"/>
      <c r="C334" s="181"/>
      <c r="D334" s="181"/>
      <c r="E334" s="181"/>
      <c r="F334" s="181"/>
      <c r="G334" s="181"/>
      <c r="K334" s="182">
        <v>333</v>
      </c>
      <c r="L334" s="182" t="str">
        <f t="shared" si="60"/>
        <v/>
      </c>
      <c r="M334" s="182" t="str">
        <f t="shared" si="61"/>
        <v/>
      </c>
      <c r="N334" s="182" t="str">
        <f t="shared" si="62"/>
        <v/>
      </c>
      <c r="O334" s="182" t="str">
        <f t="shared" si="63"/>
        <v/>
      </c>
      <c r="P334" s="182" t="str">
        <f t="shared" si="64"/>
        <v/>
      </c>
      <c r="Q334" s="182" t="str">
        <f t="shared" si="65"/>
        <v/>
      </c>
      <c r="R334" s="182" t="str">
        <f t="shared" si="66"/>
        <v/>
      </c>
      <c r="S334" s="182" t="str">
        <f t="shared" si="67"/>
        <v/>
      </c>
      <c r="T334" s="182" t="str">
        <f t="shared" si="68"/>
        <v/>
      </c>
      <c r="U334" s="182" t="str">
        <f t="shared" si="69"/>
        <v/>
      </c>
      <c r="V334" s="182" t="str">
        <f t="shared" si="70"/>
        <v/>
      </c>
      <c r="W334" s="182" t="str">
        <f t="shared" si="71"/>
        <v/>
      </c>
    </row>
    <row r="335" spans="1:23" x14ac:dyDescent="0.2">
      <c r="A335" s="181"/>
      <c r="B335" s="181"/>
      <c r="C335" s="181"/>
      <c r="D335" s="181"/>
      <c r="E335" s="181"/>
      <c r="F335" s="181"/>
      <c r="G335" s="181"/>
      <c r="K335" s="182">
        <v>334</v>
      </c>
      <c r="L335" s="182" t="str">
        <f t="shared" si="60"/>
        <v/>
      </c>
      <c r="M335" s="182" t="str">
        <f t="shared" si="61"/>
        <v/>
      </c>
      <c r="N335" s="182" t="str">
        <f t="shared" si="62"/>
        <v/>
      </c>
      <c r="O335" s="182" t="str">
        <f t="shared" si="63"/>
        <v/>
      </c>
      <c r="P335" s="182" t="str">
        <f t="shared" si="64"/>
        <v/>
      </c>
      <c r="Q335" s="182" t="str">
        <f t="shared" si="65"/>
        <v/>
      </c>
      <c r="R335" s="182" t="str">
        <f t="shared" si="66"/>
        <v/>
      </c>
      <c r="S335" s="182" t="str">
        <f t="shared" si="67"/>
        <v/>
      </c>
      <c r="T335" s="182" t="str">
        <f t="shared" si="68"/>
        <v/>
      </c>
      <c r="U335" s="182" t="str">
        <f t="shared" si="69"/>
        <v/>
      </c>
      <c r="V335" s="182" t="str">
        <f t="shared" si="70"/>
        <v/>
      </c>
      <c r="W335" s="182" t="str">
        <f t="shared" si="71"/>
        <v/>
      </c>
    </row>
    <row r="336" spans="1:23" x14ac:dyDescent="0.2">
      <c r="A336" s="181"/>
      <c r="B336" s="181"/>
      <c r="C336" s="181"/>
      <c r="D336" s="181"/>
      <c r="E336" s="181"/>
      <c r="F336" s="181"/>
      <c r="G336" s="181"/>
      <c r="K336" s="182">
        <v>335</v>
      </c>
      <c r="L336" s="182" t="str">
        <f t="shared" si="60"/>
        <v/>
      </c>
      <c r="M336" s="182" t="str">
        <f t="shared" si="61"/>
        <v/>
      </c>
      <c r="N336" s="182" t="str">
        <f t="shared" si="62"/>
        <v/>
      </c>
      <c r="O336" s="182" t="str">
        <f t="shared" si="63"/>
        <v/>
      </c>
      <c r="P336" s="182" t="str">
        <f t="shared" si="64"/>
        <v/>
      </c>
      <c r="Q336" s="182" t="str">
        <f t="shared" si="65"/>
        <v/>
      </c>
      <c r="R336" s="182" t="str">
        <f t="shared" si="66"/>
        <v/>
      </c>
      <c r="S336" s="182" t="str">
        <f t="shared" si="67"/>
        <v/>
      </c>
      <c r="T336" s="182" t="str">
        <f t="shared" si="68"/>
        <v/>
      </c>
      <c r="U336" s="182" t="str">
        <f t="shared" si="69"/>
        <v/>
      </c>
      <c r="V336" s="182" t="str">
        <f t="shared" si="70"/>
        <v/>
      </c>
      <c r="W336" s="182" t="str">
        <f t="shared" si="71"/>
        <v/>
      </c>
    </row>
    <row r="337" spans="1:23" x14ac:dyDescent="0.2">
      <c r="A337" s="181"/>
      <c r="B337" s="181"/>
      <c r="C337" s="181"/>
      <c r="D337" s="181"/>
      <c r="E337" s="181"/>
      <c r="F337" s="181"/>
      <c r="G337" s="181"/>
      <c r="K337" s="182">
        <v>336</v>
      </c>
      <c r="L337" s="182" t="str">
        <f t="shared" si="60"/>
        <v/>
      </c>
      <c r="M337" s="182" t="str">
        <f t="shared" si="61"/>
        <v/>
      </c>
      <c r="N337" s="182" t="str">
        <f t="shared" si="62"/>
        <v/>
      </c>
      <c r="O337" s="182" t="str">
        <f t="shared" si="63"/>
        <v/>
      </c>
      <c r="P337" s="182" t="str">
        <f t="shared" si="64"/>
        <v/>
      </c>
      <c r="Q337" s="182" t="str">
        <f t="shared" si="65"/>
        <v/>
      </c>
      <c r="R337" s="182" t="str">
        <f t="shared" si="66"/>
        <v/>
      </c>
      <c r="S337" s="182" t="str">
        <f t="shared" si="67"/>
        <v/>
      </c>
      <c r="T337" s="182" t="str">
        <f t="shared" si="68"/>
        <v/>
      </c>
      <c r="U337" s="182" t="str">
        <f t="shared" si="69"/>
        <v/>
      </c>
      <c r="V337" s="182" t="str">
        <f t="shared" si="70"/>
        <v/>
      </c>
      <c r="W337" s="182" t="str">
        <f t="shared" si="71"/>
        <v/>
      </c>
    </row>
    <row r="338" spans="1:23" x14ac:dyDescent="0.2">
      <c r="A338" s="181"/>
      <c r="B338" s="181"/>
      <c r="C338" s="181"/>
      <c r="D338" s="181"/>
      <c r="E338" s="181"/>
      <c r="F338" s="181"/>
      <c r="G338" s="181"/>
      <c r="K338" s="182">
        <v>337</v>
      </c>
      <c r="L338" s="182" t="str">
        <f t="shared" si="60"/>
        <v/>
      </c>
      <c r="M338" s="182" t="str">
        <f t="shared" si="61"/>
        <v/>
      </c>
      <c r="N338" s="182" t="str">
        <f t="shared" si="62"/>
        <v/>
      </c>
      <c r="O338" s="182" t="str">
        <f t="shared" si="63"/>
        <v/>
      </c>
      <c r="P338" s="182" t="str">
        <f t="shared" si="64"/>
        <v/>
      </c>
      <c r="Q338" s="182" t="str">
        <f t="shared" si="65"/>
        <v/>
      </c>
      <c r="R338" s="182" t="str">
        <f t="shared" si="66"/>
        <v/>
      </c>
      <c r="S338" s="182" t="str">
        <f t="shared" si="67"/>
        <v/>
      </c>
      <c r="T338" s="182" t="str">
        <f t="shared" si="68"/>
        <v/>
      </c>
      <c r="U338" s="182" t="str">
        <f t="shared" si="69"/>
        <v/>
      </c>
      <c r="V338" s="182" t="str">
        <f t="shared" si="70"/>
        <v/>
      </c>
      <c r="W338" s="182" t="str">
        <f t="shared" si="71"/>
        <v/>
      </c>
    </row>
    <row r="339" spans="1:23" x14ac:dyDescent="0.2">
      <c r="A339" s="181"/>
      <c r="B339" s="181"/>
      <c r="C339" s="181"/>
      <c r="D339" s="181"/>
      <c r="E339" s="181"/>
      <c r="F339" s="181"/>
      <c r="G339" s="181"/>
      <c r="K339" s="182">
        <v>338</v>
      </c>
      <c r="L339" s="182" t="str">
        <f t="shared" si="60"/>
        <v/>
      </c>
      <c r="M339" s="182" t="str">
        <f t="shared" si="61"/>
        <v/>
      </c>
      <c r="N339" s="182" t="str">
        <f t="shared" si="62"/>
        <v/>
      </c>
      <c r="O339" s="182" t="str">
        <f t="shared" si="63"/>
        <v/>
      </c>
      <c r="P339" s="182" t="str">
        <f t="shared" si="64"/>
        <v/>
      </c>
      <c r="Q339" s="182" t="str">
        <f t="shared" si="65"/>
        <v/>
      </c>
      <c r="R339" s="182" t="str">
        <f t="shared" si="66"/>
        <v/>
      </c>
      <c r="S339" s="182" t="str">
        <f t="shared" si="67"/>
        <v/>
      </c>
      <c r="T339" s="182" t="str">
        <f t="shared" si="68"/>
        <v/>
      </c>
      <c r="U339" s="182" t="str">
        <f t="shared" si="69"/>
        <v/>
      </c>
      <c r="V339" s="182" t="str">
        <f t="shared" si="70"/>
        <v/>
      </c>
      <c r="W339" s="182" t="str">
        <f t="shared" si="71"/>
        <v/>
      </c>
    </row>
    <row r="340" spans="1:23" x14ac:dyDescent="0.2">
      <c r="A340" s="181"/>
      <c r="B340" s="181"/>
      <c r="C340" s="181"/>
      <c r="D340" s="181"/>
      <c r="E340" s="181"/>
      <c r="F340" s="181"/>
      <c r="G340" s="181"/>
      <c r="K340" s="182">
        <v>339</v>
      </c>
      <c r="L340" s="182" t="str">
        <f t="shared" si="60"/>
        <v/>
      </c>
      <c r="M340" s="182" t="str">
        <f t="shared" si="61"/>
        <v/>
      </c>
      <c r="N340" s="182" t="str">
        <f t="shared" si="62"/>
        <v/>
      </c>
      <c r="O340" s="182" t="str">
        <f t="shared" si="63"/>
        <v/>
      </c>
      <c r="P340" s="182" t="str">
        <f t="shared" si="64"/>
        <v/>
      </c>
      <c r="Q340" s="182" t="str">
        <f t="shared" si="65"/>
        <v/>
      </c>
      <c r="R340" s="182" t="str">
        <f t="shared" si="66"/>
        <v/>
      </c>
      <c r="S340" s="182" t="str">
        <f t="shared" si="67"/>
        <v/>
      </c>
      <c r="T340" s="182" t="str">
        <f t="shared" si="68"/>
        <v/>
      </c>
      <c r="U340" s="182" t="str">
        <f t="shared" si="69"/>
        <v/>
      </c>
      <c r="V340" s="182" t="str">
        <f t="shared" si="70"/>
        <v/>
      </c>
      <c r="W340" s="182" t="str">
        <f t="shared" si="71"/>
        <v/>
      </c>
    </row>
    <row r="341" spans="1:23" x14ac:dyDescent="0.2">
      <c r="A341" s="181"/>
      <c r="B341" s="181"/>
      <c r="C341" s="181"/>
      <c r="D341" s="181"/>
      <c r="E341" s="181"/>
      <c r="F341" s="181"/>
      <c r="G341" s="181"/>
      <c r="K341" s="182">
        <v>340</v>
      </c>
      <c r="L341" s="182" t="str">
        <f t="shared" si="60"/>
        <v/>
      </c>
      <c r="M341" s="182" t="str">
        <f t="shared" si="61"/>
        <v/>
      </c>
      <c r="N341" s="182" t="str">
        <f t="shared" si="62"/>
        <v/>
      </c>
      <c r="O341" s="182" t="str">
        <f t="shared" si="63"/>
        <v/>
      </c>
      <c r="P341" s="182" t="str">
        <f t="shared" si="64"/>
        <v/>
      </c>
      <c r="Q341" s="182" t="str">
        <f t="shared" si="65"/>
        <v/>
      </c>
      <c r="R341" s="182" t="str">
        <f t="shared" si="66"/>
        <v/>
      </c>
      <c r="S341" s="182" t="str">
        <f t="shared" si="67"/>
        <v/>
      </c>
      <c r="T341" s="182" t="str">
        <f t="shared" si="68"/>
        <v/>
      </c>
      <c r="U341" s="182" t="str">
        <f t="shared" si="69"/>
        <v/>
      </c>
      <c r="V341" s="182" t="str">
        <f t="shared" si="70"/>
        <v/>
      </c>
      <c r="W341" s="182" t="str">
        <f t="shared" si="71"/>
        <v/>
      </c>
    </row>
    <row r="342" spans="1:23" x14ac:dyDescent="0.2">
      <c r="A342" s="181"/>
      <c r="B342" s="181"/>
      <c r="C342" s="181"/>
      <c r="D342" s="181"/>
      <c r="E342" s="181"/>
      <c r="F342" s="181"/>
      <c r="G342" s="181"/>
      <c r="K342" s="182">
        <v>341</v>
      </c>
      <c r="L342" s="182" t="str">
        <f t="shared" si="60"/>
        <v/>
      </c>
      <c r="M342" s="182" t="str">
        <f t="shared" si="61"/>
        <v/>
      </c>
      <c r="N342" s="182" t="str">
        <f t="shared" si="62"/>
        <v/>
      </c>
      <c r="O342" s="182" t="str">
        <f t="shared" si="63"/>
        <v/>
      </c>
      <c r="P342" s="182" t="str">
        <f t="shared" si="64"/>
        <v/>
      </c>
      <c r="Q342" s="182" t="str">
        <f t="shared" si="65"/>
        <v/>
      </c>
      <c r="R342" s="182" t="str">
        <f t="shared" si="66"/>
        <v/>
      </c>
      <c r="S342" s="182" t="str">
        <f t="shared" si="67"/>
        <v/>
      </c>
      <c r="T342" s="182" t="str">
        <f t="shared" si="68"/>
        <v/>
      </c>
      <c r="U342" s="182" t="str">
        <f t="shared" si="69"/>
        <v/>
      </c>
      <c r="V342" s="182" t="str">
        <f t="shared" si="70"/>
        <v/>
      </c>
      <c r="W342" s="182" t="str">
        <f t="shared" si="71"/>
        <v/>
      </c>
    </row>
    <row r="343" spans="1:23" x14ac:dyDescent="0.2">
      <c r="A343" s="181"/>
      <c r="B343" s="181"/>
      <c r="C343" s="181"/>
      <c r="D343" s="181"/>
      <c r="E343" s="181"/>
      <c r="F343" s="181"/>
      <c r="G343" s="181"/>
      <c r="K343" s="182">
        <v>342</v>
      </c>
      <c r="L343" s="182" t="str">
        <f t="shared" si="60"/>
        <v/>
      </c>
      <c r="M343" s="182" t="str">
        <f t="shared" si="61"/>
        <v/>
      </c>
      <c r="N343" s="182" t="str">
        <f t="shared" si="62"/>
        <v/>
      </c>
      <c r="O343" s="182" t="str">
        <f t="shared" si="63"/>
        <v/>
      </c>
      <c r="P343" s="182" t="str">
        <f t="shared" si="64"/>
        <v/>
      </c>
      <c r="Q343" s="182" t="str">
        <f t="shared" si="65"/>
        <v/>
      </c>
      <c r="R343" s="182" t="str">
        <f t="shared" si="66"/>
        <v/>
      </c>
      <c r="S343" s="182" t="str">
        <f t="shared" si="67"/>
        <v/>
      </c>
      <c r="T343" s="182" t="str">
        <f t="shared" si="68"/>
        <v/>
      </c>
      <c r="U343" s="182" t="str">
        <f t="shared" si="69"/>
        <v/>
      </c>
      <c r="V343" s="182" t="str">
        <f t="shared" si="70"/>
        <v/>
      </c>
      <c r="W343" s="182" t="str">
        <f t="shared" si="71"/>
        <v/>
      </c>
    </row>
    <row r="344" spans="1:23" x14ac:dyDescent="0.2">
      <c r="A344" s="181"/>
      <c r="B344" s="181"/>
      <c r="C344" s="181"/>
      <c r="D344" s="181"/>
      <c r="E344" s="181"/>
      <c r="F344" s="181"/>
      <c r="G344" s="181"/>
      <c r="K344" s="182">
        <v>343</v>
      </c>
      <c r="L344" s="182" t="str">
        <f t="shared" si="60"/>
        <v/>
      </c>
      <c r="M344" s="182" t="str">
        <f t="shared" si="61"/>
        <v/>
      </c>
      <c r="N344" s="182" t="str">
        <f t="shared" si="62"/>
        <v/>
      </c>
      <c r="O344" s="182" t="str">
        <f t="shared" si="63"/>
        <v/>
      </c>
      <c r="P344" s="182" t="str">
        <f t="shared" si="64"/>
        <v/>
      </c>
      <c r="Q344" s="182" t="str">
        <f t="shared" si="65"/>
        <v/>
      </c>
      <c r="R344" s="182" t="str">
        <f t="shared" si="66"/>
        <v/>
      </c>
      <c r="S344" s="182" t="str">
        <f t="shared" si="67"/>
        <v/>
      </c>
      <c r="T344" s="182" t="str">
        <f t="shared" si="68"/>
        <v/>
      </c>
      <c r="U344" s="182" t="str">
        <f t="shared" si="69"/>
        <v/>
      </c>
      <c r="V344" s="182" t="str">
        <f t="shared" si="70"/>
        <v/>
      </c>
      <c r="W344" s="182" t="str">
        <f t="shared" si="71"/>
        <v/>
      </c>
    </row>
    <row r="345" spans="1:23" x14ac:dyDescent="0.2">
      <c r="A345" s="181"/>
      <c r="B345" s="181"/>
      <c r="C345" s="181"/>
      <c r="D345" s="181"/>
      <c r="E345" s="181"/>
      <c r="F345" s="181"/>
      <c r="G345" s="181"/>
      <c r="K345" s="182">
        <v>344</v>
      </c>
      <c r="L345" s="182" t="str">
        <f t="shared" si="60"/>
        <v/>
      </c>
      <c r="M345" s="182" t="str">
        <f t="shared" si="61"/>
        <v/>
      </c>
      <c r="N345" s="182" t="str">
        <f t="shared" si="62"/>
        <v/>
      </c>
      <c r="O345" s="182" t="str">
        <f t="shared" si="63"/>
        <v/>
      </c>
      <c r="P345" s="182" t="str">
        <f t="shared" si="64"/>
        <v/>
      </c>
      <c r="Q345" s="182" t="str">
        <f t="shared" si="65"/>
        <v/>
      </c>
      <c r="R345" s="182" t="str">
        <f t="shared" si="66"/>
        <v/>
      </c>
      <c r="S345" s="182" t="str">
        <f t="shared" si="67"/>
        <v/>
      </c>
      <c r="T345" s="182" t="str">
        <f t="shared" si="68"/>
        <v/>
      </c>
      <c r="U345" s="182" t="str">
        <f t="shared" si="69"/>
        <v/>
      </c>
      <c r="V345" s="182" t="str">
        <f t="shared" si="70"/>
        <v/>
      </c>
      <c r="W345" s="182" t="str">
        <f t="shared" si="71"/>
        <v/>
      </c>
    </row>
    <row r="346" spans="1:23" x14ac:dyDescent="0.2">
      <c r="A346" s="181"/>
      <c r="B346" s="181"/>
      <c r="C346" s="181"/>
      <c r="D346" s="181"/>
      <c r="E346" s="181"/>
      <c r="F346" s="181"/>
      <c r="G346" s="181"/>
      <c r="K346" s="182">
        <v>345</v>
      </c>
      <c r="L346" s="182" t="str">
        <f t="shared" si="60"/>
        <v/>
      </c>
      <c r="M346" s="182" t="str">
        <f t="shared" si="61"/>
        <v/>
      </c>
      <c r="N346" s="182" t="str">
        <f t="shared" si="62"/>
        <v/>
      </c>
      <c r="O346" s="182" t="str">
        <f t="shared" si="63"/>
        <v/>
      </c>
      <c r="P346" s="182" t="str">
        <f t="shared" si="64"/>
        <v/>
      </c>
      <c r="Q346" s="182" t="str">
        <f t="shared" si="65"/>
        <v/>
      </c>
      <c r="R346" s="182" t="str">
        <f t="shared" si="66"/>
        <v/>
      </c>
      <c r="S346" s="182" t="str">
        <f t="shared" si="67"/>
        <v/>
      </c>
      <c r="T346" s="182" t="str">
        <f t="shared" si="68"/>
        <v/>
      </c>
      <c r="U346" s="182" t="str">
        <f t="shared" si="69"/>
        <v/>
      </c>
      <c r="V346" s="182" t="str">
        <f t="shared" si="70"/>
        <v/>
      </c>
      <c r="W346" s="182" t="str">
        <f t="shared" si="71"/>
        <v/>
      </c>
    </row>
    <row r="347" spans="1:23" x14ac:dyDescent="0.2">
      <c r="A347" s="181"/>
      <c r="B347" s="181"/>
      <c r="C347" s="181"/>
      <c r="D347" s="181"/>
      <c r="E347" s="181"/>
      <c r="F347" s="181"/>
      <c r="G347" s="181"/>
      <c r="K347" s="182">
        <v>346</v>
      </c>
      <c r="L347" s="182" t="str">
        <f t="shared" si="60"/>
        <v/>
      </c>
      <c r="M347" s="182" t="str">
        <f t="shared" si="61"/>
        <v/>
      </c>
      <c r="N347" s="182" t="str">
        <f t="shared" si="62"/>
        <v/>
      </c>
      <c r="O347" s="182" t="str">
        <f t="shared" si="63"/>
        <v/>
      </c>
      <c r="P347" s="182" t="str">
        <f t="shared" si="64"/>
        <v/>
      </c>
      <c r="Q347" s="182" t="str">
        <f t="shared" si="65"/>
        <v/>
      </c>
      <c r="R347" s="182" t="str">
        <f t="shared" si="66"/>
        <v/>
      </c>
      <c r="S347" s="182" t="str">
        <f t="shared" si="67"/>
        <v/>
      </c>
      <c r="T347" s="182" t="str">
        <f t="shared" si="68"/>
        <v/>
      </c>
      <c r="U347" s="182" t="str">
        <f t="shared" si="69"/>
        <v/>
      </c>
      <c r="V347" s="182" t="str">
        <f t="shared" si="70"/>
        <v/>
      </c>
      <c r="W347" s="182" t="str">
        <f t="shared" si="71"/>
        <v/>
      </c>
    </row>
    <row r="348" spans="1:23" x14ac:dyDescent="0.2">
      <c r="A348" s="181"/>
      <c r="B348" s="181"/>
      <c r="C348" s="181"/>
      <c r="D348" s="181"/>
      <c r="E348" s="181"/>
      <c r="F348" s="181"/>
      <c r="G348" s="181"/>
      <c r="K348" s="182">
        <v>347</v>
      </c>
      <c r="L348" s="182" t="str">
        <f t="shared" si="60"/>
        <v/>
      </c>
      <c r="M348" s="182" t="str">
        <f t="shared" si="61"/>
        <v/>
      </c>
      <c r="N348" s="182" t="str">
        <f t="shared" si="62"/>
        <v/>
      </c>
      <c r="O348" s="182" t="str">
        <f t="shared" si="63"/>
        <v/>
      </c>
      <c r="P348" s="182" t="str">
        <f t="shared" si="64"/>
        <v/>
      </c>
      <c r="Q348" s="182" t="str">
        <f t="shared" si="65"/>
        <v/>
      </c>
      <c r="R348" s="182" t="str">
        <f t="shared" si="66"/>
        <v/>
      </c>
      <c r="S348" s="182" t="str">
        <f t="shared" si="67"/>
        <v/>
      </c>
      <c r="T348" s="182" t="str">
        <f t="shared" si="68"/>
        <v/>
      </c>
      <c r="U348" s="182" t="str">
        <f t="shared" si="69"/>
        <v/>
      </c>
      <c r="V348" s="182" t="str">
        <f t="shared" si="70"/>
        <v/>
      </c>
      <c r="W348" s="182" t="str">
        <f t="shared" si="71"/>
        <v/>
      </c>
    </row>
    <row r="349" spans="1:23" x14ac:dyDescent="0.2">
      <c r="A349" s="181"/>
      <c r="B349" s="181"/>
      <c r="C349" s="181"/>
      <c r="D349" s="181"/>
      <c r="E349" s="181"/>
      <c r="F349" s="181"/>
      <c r="G349" s="181"/>
      <c r="K349" s="182">
        <v>348</v>
      </c>
      <c r="L349" s="182" t="str">
        <f t="shared" si="60"/>
        <v/>
      </c>
      <c r="M349" s="182" t="str">
        <f t="shared" si="61"/>
        <v/>
      </c>
      <c r="N349" s="182" t="str">
        <f t="shared" si="62"/>
        <v/>
      </c>
      <c r="O349" s="182" t="str">
        <f t="shared" si="63"/>
        <v/>
      </c>
      <c r="P349" s="182" t="str">
        <f t="shared" si="64"/>
        <v/>
      </c>
      <c r="Q349" s="182" t="str">
        <f t="shared" si="65"/>
        <v/>
      </c>
      <c r="R349" s="182" t="str">
        <f t="shared" si="66"/>
        <v/>
      </c>
      <c r="S349" s="182" t="str">
        <f t="shared" si="67"/>
        <v/>
      </c>
      <c r="T349" s="182" t="str">
        <f t="shared" si="68"/>
        <v/>
      </c>
      <c r="U349" s="182" t="str">
        <f t="shared" si="69"/>
        <v/>
      </c>
      <c r="V349" s="182" t="str">
        <f t="shared" si="70"/>
        <v/>
      </c>
      <c r="W349" s="182" t="str">
        <f t="shared" si="71"/>
        <v/>
      </c>
    </row>
    <row r="350" spans="1:23" x14ac:dyDescent="0.2">
      <c r="A350" s="181"/>
      <c r="B350" s="181"/>
      <c r="C350" s="181"/>
      <c r="D350" s="181"/>
      <c r="E350" s="181"/>
      <c r="F350" s="181"/>
      <c r="G350" s="181"/>
      <c r="K350" s="182">
        <v>349</v>
      </c>
      <c r="L350" s="182" t="str">
        <f t="shared" si="60"/>
        <v/>
      </c>
      <c r="M350" s="182" t="str">
        <f t="shared" si="61"/>
        <v/>
      </c>
      <c r="N350" s="182" t="str">
        <f t="shared" si="62"/>
        <v/>
      </c>
      <c r="O350" s="182" t="str">
        <f t="shared" si="63"/>
        <v/>
      </c>
      <c r="P350" s="182" t="str">
        <f t="shared" si="64"/>
        <v/>
      </c>
      <c r="Q350" s="182" t="str">
        <f t="shared" si="65"/>
        <v/>
      </c>
      <c r="R350" s="182" t="str">
        <f t="shared" si="66"/>
        <v/>
      </c>
      <c r="S350" s="182" t="str">
        <f t="shared" si="67"/>
        <v/>
      </c>
      <c r="T350" s="182" t="str">
        <f t="shared" si="68"/>
        <v/>
      </c>
      <c r="U350" s="182" t="str">
        <f t="shared" si="69"/>
        <v/>
      </c>
      <c r="V350" s="182" t="str">
        <f t="shared" si="70"/>
        <v/>
      </c>
      <c r="W350" s="182" t="str">
        <f t="shared" si="71"/>
        <v/>
      </c>
    </row>
    <row r="351" spans="1:23" x14ac:dyDescent="0.2">
      <c r="A351" s="181"/>
      <c r="B351" s="181"/>
      <c r="C351" s="181"/>
      <c r="D351" s="181"/>
      <c r="E351" s="181"/>
      <c r="F351" s="181"/>
      <c r="G351" s="181"/>
      <c r="K351" s="182">
        <v>350</v>
      </c>
      <c r="L351" s="182" t="str">
        <f t="shared" si="60"/>
        <v/>
      </c>
      <c r="M351" s="182" t="str">
        <f t="shared" si="61"/>
        <v/>
      </c>
      <c r="N351" s="182" t="str">
        <f t="shared" si="62"/>
        <v/>
      </c>
      <c r="O351" s="182" t="str">
        <f t="shared" si="63"/>
        <v/>
      </c>
      <c r="P351" s="182" t="str">
        <f t="shared" si="64"/>
        <v/>
      </c>
      <c r="Q351" s="182" t="str">
        <f t="shared" si="65"/>
        <v/>
      </c>
      <c r="R351" s="182" t="str">
        <f t="shared" si="66"/>
        <v/>
      </c>
      <c r="S351" s="182" t="str">
        <f t="shared" si="67"/>
        <v/>
      </c>
      <c r="T351" s="182" t="str">
        <f t="shared" si="68"/>
        <v/>
      </c>
      <c r="U351" s="182" t="str">
        <f t="shared" si="69"/>
        <v/>
      </c>
      <c r="V351" s="182" t="str">
        <f t="shared" si="70"/>
        <v/>
      </c>
      <c r="W351" s="182" t="str">
        <f t="shared" si="71"/>
        <v/>
      </c>
    </row>
    <row r="352" spans="1:23" x14ac:dyDescent="0.2">
      <c r="A352" s="181"/>
      <c r="B352" s="181"/>
      <c r="C352" s="181"/>
      <c r="D352" s="181"/>
      <c r="E352" s="181"/>
      <c r="F352" s="181"/>
      <c r="G352" s="181"/>
      <c r="K352" s="182">
        <v>351</v>
      </c>
      <c r="L352" s="182" t="str">
        <f t="shared" si="60"/>
        <v/>
      </c>
      <c r="M352" s="182" t="str">
        <f t="shared" si="61"/>
        <v/>
      </c>
      <c r="N352" s="182" t="str">
        <f t="shared" si="62"/>
        <v/>
      </c>
      <c r="O352" s="182" t="str">
        <f t="shared" si="63"/>
        <v/>
      </c>
      <c r="P352" s="182" t="str">
        <f t="shared" si="64"/>
        <v/>
      </c>
      <c r="Q352" s="182" t="str">
        <f t="shared" si="65"/>
        <v/>
      </c>
      <c r="R352" s="182" t="str">
        <f t="shared" si="66"/>
        <v/>
      </c>
      <c r="S352" s="182" t="str">
        <f t="shared" si="67"/>
        <v/>
      </c>
      <c r="T352" s="182" t="str">
        <f t="shared" si="68"/>
        <v/>
      </c>
      <c r="U352" s="182" t="str">
        <f t="shared" si="69"/>
        <v/>
      </c>
      <c r="V352" s="182" t="str">
        <f t="shared" si="70"/>
        <v/>
      </c>
      <c r="W352" s="182" t="str">
        <f t="shared" si="71"/>
        <v/>
      </c>
    </row>
    <row r="353" spans="1:23" x14ac:dyDescent="0.2">
      <c r="A353" s="181"/>
      <c r="B353" s="181"/>
      <c r="C353" s="181"/>
      <c r="D353" s="181"/>
      <c r="E353" s="181"/>
      <c r="F353" s="181"/>
      <c r="G353" s="181"/>
      <c r="K353" s="182">
        <v>352</v>
      </c>
      <c r="L353" s="182" t="str">
        <f t="shared" si="60"/>
        <v/>
      </c>
      <c r="M353" s="182" t="str">
        <f t="shared" si="61"/>
        <v/>
      </c>
      <c r="N353" s="182" t="str">
        <f t="shared" si="62"/>
        <v/>
      </c>
      <c r="O353" s="182" t="str">
        <f t="shared" si="63"/>
        <v/>
      </c>
      <c r="P353" s="182" t="str">
        <f t="shared" si="64"/>
        <v/>
      </c>
      <c r="Q353" s="182" t="str">
        <f t="shared" si="65"/>
        <v/>
      </c>
      <c r="R353" s="182" t="str">
        <f t="shared" si="66"/>
        <v/>
      </c>
      <c r="S353" s="182" t="str">
        <f t="shared" si="67"/>
        <v/>
      </c>
      <c r="T353" s="182" t="str">
        <f t="shared" si="68"/>
        <v/>
      </c>
      <c r="U353" s="182" t="str">
        <f t="shared" si="69"/>
        <v/>
      </c>
      <c r="V353" s="182" t="str">
        <f t="shared" si="70"/>
        <v/>
      </c>
      <c r="W353" s="182" t="str">
        <f t="shared" si="71"/>
        <v/>
      </c>
    </row>
    <row r="354" spans="1:23" x14ac:dyDescent="0.2">
      <c r="A354" s="181"/>
      <c r="B354" s="181"/>
      <c r="C354" s="181"/>
      <c r="D354" s="181"/>
      <c r="E354" s="181"/>
      <c r="F354" s="181"/>
      <c r="G354" s="181"/>
      <c r="K354" s="182">
        <v>353</v>
      </c>
      <c r="L354" s="182" t="str">
        <f t="shared" si="60"/>
        <v/>
      </c>
      <c r="M354" s="182" t="str">
        <f t="shared" si="61"/>
        <v/>
      </c>
      <c r="N354" s="182" t="str">
        <f t="shared" si="62"/>
        <v/>
      </c>
      <c r="O354" s="182" t="str">
        <f t="shared" si="63"/>
        <v/>
      </c>
      <c r="P354" s="182" t="str">
        <f t="shared" si="64"/>
        <v/>
      </c>
      <c r="Q354" s="182" t="str">
        <f t="shared" si="65"/>
        <v/>
      </c>
      <c r="R354" s="182" t="str">
        <f t="shared" si="66"/>
        <v/>
      </c>
      <c r="S354" s="182" t="str">
        <f t="shared" si="67"/>
        <v/>
      </c>
      <c r="T354" s="182" t="str">
        <f t="shared" si="68"/>
        <v/>
      </c>
      <c r="U354" s="182" t="str">
        <f t="shared" si="69"/>
        <v/>
      </c>
      <c r="V354" s="182" t="str">
        <f t="shared" si="70"/>
        <v/>
      </c>
      <c r="W354" s="182" t="str">
        <f t="shared" si="71"/>
        <v/>
      </c>
    </row>
    <row r="355" spans="1:23" x14ac:dyDescent="0.2">
      <c r="A355" s="181"/>
      <c r="B355" s="181"/>
      <c r="C355" s="181"/>
      <c r="D355" s="181"/>
      <c r="E355" s="181"/>
      <c r="F355" s="181"/>
      <c r="G355" s="181"/>
      <c r="K355" s="182">
        <v>354</v>
      </c>
      <c r="L355" s="182" t="str">
        <f t="shared" si="60"/>
        <v/>
      </c>
      <c r="M355" s="182" t="str">
        <f t="shared" si="61"/>
        <v/>
      </c>
      <c r="N355" s="182" t="str">
        <f t="shared" si="62"/>
        <v/>
      </c>
      <c r="O355" s="182" t="str">
        <f t="shared" si="63"/>
        <v/>
      </c>
      <c r="P355" s="182" t="str">
        <f t="shared" si="64"/>
        <v/>
      </c>
      <c r="Q355" s="182" t="str">
        <f t="shared" si="65"/>
        <v/>
      </c>
      <c r="R355" s="182" t="str">
        <f t="shared" si="66"/>
        <v/>
      </c>
      <c r="S355" s="182" t="str">
        <f t="shared" si="67"/>
        <v/>
      </c>
      <c r="T355" s="182" t="str">
        <f t="shared" si="68"/>
        <v/>
      </c>
      <c r="U355" s="182" t="str">
        <f t="shared" si="69"/>
        <v/>
      </c>
      <c r="V355" s="182" t="str">
        <f t="shared" si="70"/>
        <v/>
      </c>
      <c r="W355" s="182" t="str">
        <f t="shared" si="71"/>
        <v/>
      </c>
    </row>
    <row r="356" spans="1:23" x14ac:dyDescent="0.2">
      <c r="A356" s="181"/>
      <c r="B356" s="181"/>
      <c r="C356" s="181"/>
      <c r="D356" s="181"/>
      <c r="E356" s="181"/>
      <c r="F356" s="181"/>
      <c r="G356" s="181"/>
      <c r="K356" s="182">
        <v>355</v>
      </c>
      <c r="L356" s="182" t="str">
        <f t="shared" si="60"/>
        <v/>
      </c>
      <c r="M356" s="182" t="str">
        <f t="shared" si="61"/>
        <v/>
      </c>
      <c r="N356" s="182" t="str">
        <f t="shared" si="62"/>
        <v/>
      </c>
      <c r="O356" s="182" t="str">
        <f t="shared" si="63"/>
        <v/>
      </c>
      <c r="P356" s="182" t="str">
        <f t="shared" si="64"/>
        <v/>
      </c>
      <c r="Q356" s="182" t="str">
        <f t="shared" si="65"/>
        <v/>
      </c>
      <c r="R356" s="182" t="str">
        <f t="shared" si="66"/>
        <v/>
      </c>
      <c r="S356" s="182" t="str">
        <f t="shared" si="67"/>
        <v/>
      </c>
      <c r="T356" s="182" t="str">
        <f t="shared" si="68"/>
        <v/>
      </c>
      <c r="U356" s="182" t="str">
        <f t="shared" si="69"/>
        <v/>
      </c>
      <c r="V356" s="182" t="str">
        <f t="shared" si="70"/>
        <v/>
      </c>
      <c r="W356" s="182" t="str">
        <f t="shared" si="71"/>
        <v/>
      </c>
    </row>
    <row r="357" spans="1:23" x14ac:dyDescent="0.2">
      <c r="A357" s="181"/>
      <c r="B357" s="181"/>
      <c r="C357" s="181"/>
      <c r="D357" s="181"/>
      <c r="E357" s="181"/>
      <c r="F357" s="181"/>
      <c r="G357" s="181"/>
      <c r="K357" s="182">
        <v>356</v>
      </c>
      <c r="L357" s="182" t="str">
        <f t="shared" si="60"/>
        <v/>
      </c>
      <c r="M357" s="182" t="str">
        <f t="shared" si="61"/>
        <v/>
      </c>
      <c r="N357" s="182" t="str">
        <f t="shared" si="62"/>
        <v/>
      </c>
      <c r="O357" s="182" t="str">
        <f t="shared" si="63"/>
        <v/>
      </c>
      <c r="P357" s="182" t="str">
        <f t="shared" si="64"/>
        <v/>
      </c>
      <c r="Q357" s="182" t="str">
        <f t="shared" si="65"/>
        <v/>
      </c>
      <c r="R357" s="182" t="str">
        <f t="shared" si="66"/>
        <v/>
      </c>
      <c r="S357" s="182" t="str">
        <f t="shared" si="67"/>
        <v/>
      </c>
      <c r="T357" s="182" t="str">
        <f t="shared" si="68"/>
        <v/>
      </c>
      <c r="U357" s="182" t="str">
        <f t="shared" si="69"/>
        <v/>
      </c>
      <c r="V357" s="182" t="str">
        <f t="shared" si="70"/>
        <v/>
      </c>
      <c r="W357" s="182" t="str">
        <f t="shared" si="71"/>
        <v/>
      </c>
    </row>
    <row r="358" spans="1:23" x14ac:dyDescent="0.2">
      <c r="A358" s="181"/>
      <c r="B358" s="181"/>
      <c r="C358" s="181"/>
      <c r="D358" s="181"/>
      <c r="E358" s="181"/>
      <c r="F358" s="181"/>
      <c r="G358" s="181"/>
      <c r="K358" s="182">
        <v>357</v>
      </c>
      <c r="L358" s="182" t="str">
        <f t="shared" si="60"/>
        <v/>
      </c>
      <c r="M358" s="182" t="str">
        <f t="shared" si="61"/>
        <v/>
      </c>
      <c r="N358" s="182" t="str">
        <f t="shared" si="62"/>
        <v/>
      </c>
      <c r="O358" s="182" t="str">
        <f t="shared" si="63"/>
        <v/>
      </c>
      <c r="P358" s="182" t="str">
        <f t="shared" si="64"/>
        <v/>
      </c>
      <c r="Q358" s="182" t="str">
        <f t="shared" si="65"/>
        <v/>
      </c>
      <c r="R358" s="182" t="str">
        <f t="shared" si="66"/>
        <v/>
      </c>
      <c r="S358" s="182" t="str">
        <f t="shared" si="67"/>
        <v/>
      </c>
      <c r="T358" s="182" t="str">
        <f t="shared" si="68"/>
        <v/>
      </c>
      <c r="U358" s="182" t="str">
        <f t="shared" si="69"/>
        <v/>
      </c>
      <c r="V358" s="182" t="str">
        <f t="shared" si="70"/>
        <v/>
      </c>
      <c r="W358" s="182" t="str">
        <f t="shared" si="71"/>
        <v/>
      </c>
    </row>
    <row r="359" spans="1:23" x14ac:dyDescent="0.2">
      <c r="A359" s="181"/>
      <c r="B359" s="181"/>
      <c r="C359" s="181"/>
      <c r="D359" s="181"/>
      <c r="E359" s="181"/>
      <c r="F359" s="181"/>
      <c r="G359" s="181"/>
      <c r="K359" s="182">
        <v>358</v>
      </c>
      <c r="L359" s="182" t="str">
        <f t="shared" si="60"/>
        <v/>
      </c>
      <c r="M359" s="182" t="str">
        <f t="shared" si="61"/>
        <v/>
      </c>
      <c r="N359" s="182" t="str">
        <f t="shared" si="62"/>
        <v/>
      </c>
      <c r="O359" s="182" t="str">
        <f t="shared" si="63"/>
        <v/>
      </c>
      <c r="P359" s="182" t="str">
        <f t="shared" si="64"/>
        <v/>
      </c>
      <c r="Q359" s="182" t="str">
        <f t="shared" si="65"/>
        <v/>
      </c>
      <c r="R359" s="182" t="str">
        <f t="shared" si="66"/>
        <v/>
      </c>
      <c r="S359" s="182" t="str">
        <f t="shared" si="67"/>
        <v/>
      </c>
      <c r="T359" s="182" t="str">
        <f t="shared" si="68"/>
        <v/>
      </c>
      <c r="U359" s="182" t="str">
        <f t="shared" si="69"/>
        <v/>
      </c>
      <c r="V359" s="182" t="str">
        <f t="shared" si="70"/>
        <v/>
      </c>
      <c r="W359" s="182" t="str">
        <f t="shared" si="71"/>
        <v/>
      </c>
    </row>
    <row r="360" spans="1:23" x14ac:dyDescent="0.2">
      <c r="A360" s="181"/>
      <c r="B360" s="181"/>
      <c r="C360" s="181"/>
      <c r="D360" s="181"/>
      <c r="E360" s="181"/>
      <c r="F360" s="181"/>
      <c r="G360" s="181"/>
      <c r="K360" s="182">
        <v>359</v>
      </c>
      <c r="L360" s="182" t="str">
        <f t="shared" si="60"/>
        <v/>
      </c>
      <c r="M360" s="182" t="str">
        <f t="shared" si="61"/>
        <v/>
      </c>
      <c r="N360" s="182" t="str">
        <f t="shared" si="62"/>
        <v/>
      </c>
      <c r="O360" s="182" t="str">
        <f t="shared" si="63"/>
        <v/>
      </c>
      <c r="P360" s="182" t="str">
        <f t="shared" si="64"/>
        <v/>
      </c>
      <c r="Q360" s="182" t="str">
        <f t="shared" si="65"/>
        <v/>
      </c>
      <c r="R360" s="182" t="str">
        <f t="shared" si="66"/>
        <v/>
      </c>
      <c r="S360" s="182" t="str">
        <f t="shared" si="67"/>
        <v/>
      </c>
      <c r="T360" s="182" t="str">
        <f t="shared" si="68"/>
        <v/>
      </c>
      <c r="U360" s="182" t="str">
        <f t="shared" si="69"/>
        <v/>
      </c>
      <c r="V360" s="182" t="str">
        <f t="shared" si="70"/>
        <v/>
      </c>
      <c r="W360" s="182" t="str">
        <f t="shared" si="71"/>
        <v/>
      </c>
    </row>
    <row r="361" spans="1:23" x14ac:dyDescent="0.2">
      <c r="A361" s="181"/>
      <c r="B361" s="181"/>
      <c r="C361" s="181"/>
      <c r="D361" s="181"/>
      <c r="E361" s="181"/>
      <c r="F361" s="181"/>
      <c r="G361" s="181"/>
      <c r="K361" s="182">
        <v>360</v>
      </c>
      <c r="L361" s="182" t="str">
        <f t="shared" si="60"/>
        <v/>
      </c>
      <c r="M361" s="182" t="str">
        <f t="shared" si="61"/>
        <v/>
      </c>
      <c r="N361" s="182" t="str">
        <f t="shared" si="62"/>
        <v/>
      </c>
      <c r="O361" s="182" t="str">
        <f t="shared" si="63"/>
        <v/>
      </c>
      <c r="P361" s="182" t="str">
        <f t="shared" si="64"/>
        <v/>
      </c>
      <c r="Q361" s="182" t="str">
        <f t="shared" si="65"/>
        <v/>
      </c>
      <c r="R361" s="182" t="str">
        <f t="shared" si="66"/>
        <v/>
      </c>
      <c r="S361" s="182" t="str">
        <f t="shared" si="67"/>
        <v/>
      </c>
      <c r="T361" s="182" t="str">
        <f t="shared" si="68"/>
        <v/>
      </c>
      <c r="U361" s="182" t="str">
        <f t="shared" si="69"/>
        <v/>
      </c>
      <c r="V361" s="182" t="str">
        <f t="shared" si="70"/>
        <v/>
      </c>
      <c r="W361" s="182" t="str">
        <f t="shared" si="71"/>
        <v/>
      </c>
    </row>
    <row r="362" spans="1:23" x14ac:dyDescent="0.2">
      <c r="A362" s="181"/>
      <c r="B362" s="181"/>
      <c r="C362" s="181"/>
      <c r="D362" s="181"/>
      <c r="E362" s="181"/>
      <c r="F362" s="181"/>
      <c r="G362" s="181"/>
      <c r="K362" s="182">
        <v>361</v>
      </c>
      <c r="L362" s="182" t="str">
        <f t="shared" si="60"/>
        <v/>
      </c>
      <c r="M362" s="182" t="str">
        <f t="shared" si="61"/>
        <v/>
      </c>
      <c r="N362" s="182" t="str">
        <f t="shared" si="62"/>
        <v/>
      </c>
      <c r="O362" s="182" t="str">
        <f t="shared" si="63"/>
        <v/>
      </c>
      <c r="P362" s="182" t="str">
        <f t="shared" si="64"/>
        <v/>
      </c>
      <c r="Q362" s="182" t="str">
        <f t="shared" si="65"/>
        <v/>
      </c>
      <c r="R362" s="182" t="str">
        <f t="shared" si="66"/>
        <v/>
      </c>
      <c r="S362" s="182" t="str">
        <f t="shared" si="67"/>
        <v/>
      </c>
      <c r="T362" s="182" t="str">
        <f t="shared" si="68"/>
        <v/>
      </c>
      <c r="U362" s="182" t="str">
        <f t="shared" si="69"/>
        <v/>
      </c>
      <c r="V362" s="182" t="str">
        <f t="shared" si="70"/>
        <v/>
      </c>
      <c r="W362" s="182" t="str">
        <f t="shared" si="71"/>
        <v/>
      </c>
    </row>
    <row r="363" spans="1:23" x14ac:dyDescent="0.2">
      <c r="A363" s="181"/>
      <c r="B363" s="181"/>
      <c r="C363" s="181"/>
      <c r="D363" s="181"/>
      <c r="E363" s="181"/>
      <c r="F363" s="181"/>
      <c r="G363" s="181"/>
      <c r="K363" s="182">
        <v>362</v>
      </c>
      <c r="L363" s="182" t="str">
        <f t="shared" si="60"/>
        <v/>
      </c>
      <c r="M363" s="182" t="str">
        <f t="shared" si="61"/>
        <v/>
      </c>
      <c r="N363" s="182" t="str">
        <f t="shared" si="62"/>
        <v/>
      </c>
      <c r="O363" s="182" t="str">
        <f t="shared" si="63"/>
        <v/>
      </c>
      <c r="P363" s="182" t="str">
        <f t="shared" si="64"/>
        <v/>
      </c>
      <c r="Q363" s="182" t="str">
        <f t="shared" si="65"/>
        <v/>
      </c>
      <c r="R363" s="182" t="str">
        <f t="shared" si="66"/>
        <v/>
      </c>
      <c r="S363" s="182" t="str">
        <f t="shared" si="67"/>
        <v/>
      </c>
      <c r="T363" s="182" t="str">
        <f t="shared" si="68"/>
        <v/>
      </c>
      <c r="U363" s="182" t="str">
        <f t="shared" si="69"/>
        <v/>
      </c>
      <c r="V363" s="182" t="str">
        <f t="shared" si="70"/>
        <v/>
      </c>
      <c r="W363" s="182" t="str">
        <f t="shared" si="71"/>
        <v/>
      </c>
    </row>
    <row r="364" spans="1:23" x14ac:dyDescent="0.2">
      <c r="A364" s="181"/>
      <c r="B364" s="181"/>
      <c r="C364" s="181"/>
      <c r="D364" s="181"/>
      <c r="E364" s="181"/>
      <c r="F364" s="181"/>
      <c r="G364" s="181"/>
      <c r="K364" s="182">
        <v>363</v>
      </c>
      <c r="L364" s="182" t="str">
        <f t="shared" si="60"/>
        <v/>
      </c>
      <c r="M364" s="182" t="str">
        <f t="shared" si="61"/>
        <v/>
      </c>
      <c r="N364" s="182" t="str">
        <f t="shared" si="62"/>
        <v/>
      </c>
      <c r="O364" s="182" t="str">
        <f t="shared" si="63"/>
        <v/>
      </c>
      <c r="P364" s="182" t="str">
        <f t="shared" si="64"/>
        <v/>
      </c>
      <c r="Q364" s="182" t="str">
        <f t="shared" si="65"/>
        <v/>
      </c>
      <c r="R364" s="182" t="str">
        <f t="shared" si="66"/>
        <v/>
      </c>
      <c r="S364" s="182" t="str">
        <f t="shared" si="67"/>
        <v/>
      </c>
      <c r="T364" s="182" t="str">
        <f t="shared" si="68"/>
        <v/>
      </c>
      <c r="U364" s="182" t="str">
        <f t="shared" si="69"/>
        <v/>
      </c>
      <c r="V364" s="182" t="str">
        <f t="shared" si="70"/>
        <v/>
      </c>
      <c r="W364" s="182" t="str">
        <f t="shared" si="71"/>
        <v/>
      </c>
    </row>
    <row r="365" spans="1:23" x14ac:dyDescent="0.2">
      <c r="A365" s="181"/>
      <c r="B365" s="181"/>
      <c r="C365" s="181"/>
      <c r="D365" s="181"/>
      <c r="E365" s="181"/>
      <c r="F365" s="181"/>
      <c r="G365" s="181"/>
      <c r="K365" s="182">
        <v>364</v>
      </c>
      <c r="L365" s="182" t="str">
        <f t="shared" si="60"/>
        <v/>
      </c>
      <c r="M365" s="182" t="str">
        <f t="shared" si="61"/>
        <v/>
      </c>
      <c r="N365" s="182" t="str">
        <f t="shared" si="62"/>
        <v/>
      </c>
      <c r="O365" s="182" t="str">
        <f t="shared" si="63"/>
        <v/>
      </c>
      <c r="P365" s="182" t="str">
        <f t="shared" si="64"/>
        <v/>
      </c>
      <c r="Q365" s="182" t="str">
        <f t="shared" si="65"/>
        <v/>
      </c>
      <c r="R365" s="182" t="str">
        <f t="shared" si="66"/>
        <v/>
      </c>
      <c r="S365" s="182" t="str">
        <f t="shared" si="67"/>
        <v/>
      </c>
      <c r="T365" s="182" t="str">
        <f t="shared" si="68"/>
        <v/>
      </c>
      <c r="U365" s="182" t="str">
        <f t="shared" si="69"/>
        <v/>
      </c>
      <c r="V365" s="182" t="str">
        <f t="shared" si="70"/>
        <v/>
      </c>
      <c r="W365" s="182" t="str">
        <f t="shared" si="71"/>
        <v/>
      </c>
    </row>
    <row r="366" spans="1:23" x14ac:dyDescent="0.2">
      <c r="A366" s="181"/>
      <c r="B366" s="181"/>
      <c r="C366" s="181"/>
      <c r="D366" s="181"/>
      <c r="E366" s="181"/>
      <c r="F366" s="181"/>
      <c r="G366" s="181"/>
      <c r="K366" s="182">
        <v>365</v>
      </c>
      <c r="L366" s="182" t="str">
        <f t="shared" si="60"/>
        <v/>
      </c>
      <c r="M366" s="182" t="str">
        <f t="shared" si="61"/>
        <v/>
      </c>
      <c r="N366" s="182" t="str">
        <f t="shared" si="62"/>
        <v/>
      </c>
      <c r="O366" s="182" t="str">
        <f t="shared" si="63"/>
        <v/>
      </c>
      <c r="P366" s="182" t="str">
        <f t="shared" si="64"/>
        <v/>
      </c>
      <c r="Q366" s="182" t="str">
        <f t="shared" si="65"/>
        <v/>
      </c>
      <c r="R366" s="182" t="str">
        <f t="shared" si="66"/>
        <v/>
      </c>
      <c r="S366" s="182" t="str">
        <f t="shared" si="67"/>
        <v/>
      </c>
      <c r="T366" s="182" t="str">
        <f t="shared" si="68"/>
        <v/>
      </c>
      <c r="U366" s="182" t="str">
        <f t="shared" si="69"/>
        <v/>
      </c>
      <c r="V366" s="182" t="str">
        <f t="shared" si="70"/>
        <v/>
      </c>
      <c r="W366" s="182" t="str">
        <f t="shared" si="71"/>
        <v/>
      </c>
    </row>
    <row r="367" spans="1:23" x14ac:dyDescent="0.2">
      <c r="A367" s="181"/>
      <c r="B367" s="181"/>
      <c r="C367" s="181"/>
      <c r="D367" s="181"/>
      <c r="E367" s="181"/>
      <c r="F367" s="181"/>
      <c r="G367" s="181"/>
      <c r="K367" s="182">
        <v>366</v>
      </c>
      <c r="L367" s="182" t="str">
        <f t="shared" si="60"/>
        <v/>
      </c>
      <c r="M367" s="182" t="str">
        <f t="shared" si="61"/>
        <v/>
      </c>
      <c r="N367" s="182" t="str">
        <f t="shared" si="62"/>
        <v/>
      </c>
      <c r="O367" s="182" t="str">
        <f t="shared" si="63"/>
        <v/>
      </c>
      <c r="P367" s="182" t="str">
        <f t="shared" si="64"/>
        <v/>
      </c>
      <c r="Q367" s="182" t="str">
        <f t="shared" si="65"/>
        <v/>
      </c>
      <c r="R367" s="182" t="str">
        <f t="shared" si="66"/>
        <v/>
      </c>
      <c r="S367" s="182" t="str">
        <f t="shared" si="67"/>
        <v/>
      </c>
      <c r="T367" s="182" t="str">
        <f t="shared" si="68"/>
        <v/>
      </c>
      <c r="U367" s="182" t="str">
        <f t="shared" si="69"/>
        <v/>
      </c>
      <c r="V367" s="182" t="str">
        <f t="shared" si="70"/>
        <v/>
      </c>
      <c r="W367" s="182" t="str">
        <f t="shared" si="71"/>
        <v/>
      </c>
    </row>
    <row r="368" spans="1:23" x14ac:dyDescent="0.2">
      <c r="A368" s="181"/>
      <c r="B368" s="181"/>
      <c r="C368" s="181"/>
      <c r="D368" s="181"/>
      <c r="E368" s="181"/>
      <c r="F368" s="181"/>
      <c r="G368" s="181"/>
      <c r="K368" s="182">
        <v>367</v>
      </c>
      <c r="L368" s="182" t="str">
        <f t="shared" si="60"/>
        <v/>
      </c>
      <c r="M368" s="182" t="str">
        <f t="shared" si="61"/>
        <v/>
      </c>
      <c r="N368" s="182" t="str">
        <f t="shared" si="62"/>
        <v/>
      </c>
      <c r="O368" s="182" t="str">
        <f t="shared" si="63"/>
        <v/>
      </c>
      <c r="P368" s="182" t="str">
        <f t="shared" si="64"/>
        <v/>
      </c>
      <c r="Q368" s="182" t="str">
        <f t="shared" si="65"/>
        <v/>
      </c>
      <c r="R368" s="182" t="str">
        <f t="shared" si="66"/>
        <v/>
      </c>
      <c r="S368" s="182" t="str">
        <f t="shared" si="67"/>
        <v/>
      </c>
      <c r="T368" s="182" t="str">
        <f t="shared" si="68"/>
        <v/>
      </c>
      <c r="U368" s="182" t="str">
        <f t="shared" si="69"/>
        <v/>
      </c>
      <c r="V368" s="182" t="str">
        <f t="shared" si="70"/>
        <v/>
      </c>
      <c r="W368" s="182" t="str">
        <f t="shared" si="71"/>
        <v/>
      </c>
    </row>
    <row r="369" spans="1:23" x14ac:dyDescent="0.2">
      <c r="A369" s="181"/>
      <c r="B369" s="181"/>
      <c r="C369" s="181"/>
      <c r="D369" s="181"/>
      <c r="E369" s="181"/>
      <c r="F369" s="181"/>
      <c r="G369" s="181"/>
      <c r="K369" s="182">
        <v>368</v>
      </c>
      <c r="L369" s="182" t="str">
        <f t="shared" si="60"/>
        <v/>
      </c>
      <c r="M369" s="182" t="str">
        <f t="shared" si="61"/>
        <v/>
      </c>
      <c r="N369" s="182" t="str">
        <f t="shared" si="62"/>
        <v/>
      </c>
      <c r="O369" s="182" t="str">
        <f t="shared" si="63"/>
        <v/>
      </c>
      <c r="P369" s="182" t="str">
        <f t="shared" si="64"/>
        <v/>
      </c>
      <c r="Q369" s="182" t="str">
        <f t="shared" si="65"/>
        <v/>
      </c>
      <c r="R369" s="182" t="str">
        <f t="shared" si="66"/>
        <v/>
      </c>
      <c r="S369" s="182" t="str">
        <f t="shared" si="67"/>
        <v/>
      </c>
      <c r="T369" s="182" t="str">
        <f t="shared" si="68"/>
        <v/>
      </c>
      <c r="U369" s="182" t="str">
        <f t="shared" si="69"/>
        <v/>
      </c>
      <c r="V369" s="182" t="str">
        <f t="shared" si="70"/>
        <v/>
      </c>
      <c r="W369" s="182" t="str">
        <f t="shared" si="71"/>
        <v/>
      </c>
    </row>
    <row r="370" spans="1:23" x14ac:dyDescent="0.2">
      <c r="A370" s="181"/>
      <c r="B370" s="181"/>
      <c r="C370" s="181"/>
      <c r="D370" s="181"/>
      <c r="E370" s="181"/>
      <c r="F370" s="181"/>
      <c r="G370" s="181"/>
      <c r="K370" s="182">
        <v>369</v>
      </c>
      <c r="L370" s="182" t="str">
        <f t="shared" si="60"/>
        <v/>
      </c>
      <c r="M370" s="182" t="str">
        <f t="shared" si="61"/>
        <v/>
      </c>
      <c r="N370" s="182" t="str">
        <f t="shared" si="62"/>
        <v/>
      </c>
      <c r="O370" s="182" t="str">
        <f t="shared" si="63"/>
        <v/>
      </c>
      <c r="P370" s="182" t="str">
        <f t="shared" si="64"/>
        <v/>
      </c>
      <c r="Q370" s="182" t="str">
        <f t="shared" si="65"/>
        <v/>
      </c>
      <c r="R370" s="182" t="str">
        <f t="shared" si="66"/>
        <v/>
      </c>
      <c r="S370" s="182" t="str">
        <f t="shared" si="67"/>
        <v/>
      </c>
      <c r="T370" s="182" t="str">
        <f t="shared" si="68"/>
        <v/>
      </c>
      <c r="U370" s="182" t="str">
        <f t="shared" si="69"/>
        <v/>
      </c>
      <c r="V370" s="182" t="str">
        <f t="shared" si="70"/>
        <v/>
      </c>
      <c r="W370" s="182" t="str">
        <f t="shared" si="71"/>
        <v/>
      </c>
    </row>
    <row r="371" spans="1:23" x14ac:dyDescent="0.2">
      <c r="A371" s="181"/>
      <c r="B371" s="181"/>
      <c r="C371" s="181"/>
      <c r="D371" s="181"/>
      <c r="E371" s="181"/>
      <c r="F371" s="181"/>
      <c r="G371" s="181"/>
      <c r="K371" s="182">
        <v>370</v>
      </c>
      <c r="L371" s="182" t="str">
        <f t="shared" si="60"/>
        <v/>
      </c>
      <c r="M371" s="182" t="str">
        <f t="shared" si="61"/>
        <v/>
      </c>
      <c r="N371" s="182" t="str">
        <f t="shared" si="62"/>
        <v/>
      </c>
      <c r="O371" s="182" t="str">
        <f t="shared" si="63"/>
        <v/>
      </c>
      <c r="P371" s="182" t="str">
        <f t="shared" si="64"/>
        <v/>
      </c>
      <c r="Q371" s="182" t="str">
        <f t="shared" si="65"/>
        <v/>
      </c>
      <c r="R371" s="182" t="str">
        <f t="shared" si="66"/>
        <v/>
      </c>
      <c r="S371" s="182" t="str">
        <f t="shared" si="67"/>
        <v/>
      </c>
      <c r="T371" s="182" t="str">
        <f t="shared" si="68"/>
        <v/>
      </c>
      <c r="U371" s="182" t="str">
        <f t="shared" si="69"/>
        <v/>
      </c>
      <c r="V371" s="182" t="str">
        <f t="shared" si="70"/>
        <v/>
      </c>
      <c r="W371" s="182" t="str">
        <f t="shared" si="71"/>
        <v/>
      </c>
    </row>
    <row r="372" spans="1:23" x14ac:dyDescent="0.2">
      <c r="A372" s="181"/>
      <c r="B372" s="181"/>
      <c r="C372" s="181"/>
      <c r="D372" s="181"/>
      <c r="E372" s="181"/>
      <c r="F372" s="181"/>
      <c r="G372" s="181"/>
      <c r="K372" s="182">
        <v>371</v>
      </c>
      <c r="L372" s="182" t="str">
        <f t="shared" si="60"/>
        <v/>
      </c>
      <c r="M372" s="182" t="str">
        <f t="shared" si="61"/>
        <v/>
      </c>
      <c r="N372" s="182" t="str">
        <f t="shared" si="62"/>
        <v/>
      </c>
      <c r="O372" s="182" t="str">
        <f t="shared" si="63"/>
        <v/>
      </c>
      <c r="P372" s="182" t="str">
        <f t="shared" si="64"/>
        <v/>
      </c>
      <c r="Q372" s="182" t="str">
        <f t="shared" si="65"/>
        <v/>
      </c>
      <c r="R372" s="182" t="str">
        <f t="shared" si="66"/>
        <v/>
      </c>
      <c r="S372" s="182" t="str">
        <f t="shared" si="67"/>
        <v/>
      </c>
      <c r="T372" s="182" t="str">
        <f t="shared" si="68"/>
        <v/>
      </c>
      <c r="U372" s="182" t="str">
        <f t="shared" si="69"/>
        <v/>
      </c>
      <c r="V372" s="182" t="str">
        <f t="shared" si="70"/>
        <v/>
      </c>
      <c r="W372" s="182" t="str">
        <f t="shared" si="71"/>
        <v/>
      </c>
    </row>
    <row r="373" spans="1:23" x14ac:dyDescent="0.2">
      <c r="A373" s="181"/>
      <c r="B373" s="181"/>
      <c r="C373" s="181"/>
      <c r="D373" s="181"/>
      <c r="E373" s="181"/>
      <c r="F373" s="181"/>
      <c r="G373" s="181"/>
      <c r="K373" s="182">
        <v>372</v>
      </c>
      <c r="L373" s="182" t="str">
        <f t="shared" si="60"/>
        <v/>
      </c>
      <c r="M373" s="182" t="str">
        <f t="shared" si="61"/>
        <v/>
      </c>
      <c r="N373" s="182" t="str">
        <f t="shared" si="62"/>
        <v/>
      </c>
      <c r="O373" s="182" t="str">
        <f t="shared" si="63"/>
        <v/>
      </c>
      <c r="P373" s="182" t="str">
        <f t="shared" si="64"/>
        <v/>
      </c>
      <c r="Q373" s="182" t="str">
        <f t="shared" si="65"/>
        <v/>
      </c>
      <c r="R373" s="182" t="str">
        <f t="shared" si="66"/>
        <v/>
      </c>
      <c r="S373" s="182" t="str">
        <f t="shared" si="67"/>
        <v/>
      </c>
      <c r="T373" s="182" t="str">
        <f t="shared" si="68"/>
        <v/>
      </c>
      <c r="U373" s="182" t="str">
        <f t="shared" si="69"/>
        <v/>
      </c>
      <c r="V373" s="182" t="str">
        <f t="shared" si="70"/>
        <v/>
      </c>
      <c r="W373" s="182" t="str">
        <f t="shared" si="71"/>
        <v/>
      </c>
    </row>
    <row r="374" spans="1:23" x14ac:dyDescent="0.2">
      <c r="A374" s="181"/>
      <c r="B374" s="181"/>
      <c r="C374" s="181"/>
      <c r="D374" s="181"/>
      <c r="E374" s="181"/>
      <c r="F374" s="181"/>
      <c r="G374" s="181"/>
      <c r="K374" s="182">
        <v>373</v>
      </c>
      <c r="L374" s="182" t="str">
        <f t="shared" si="60"/>
        <v/>
      </c>
      <c r="M374" s="182" t="str">
        <f t="shared" si="61"/>
        <v/>
      </c>
      <c r="N374" s="182" t="str">
        <f t="shared" si="62"/>
        <v/>
      </c>
      <c r="O374" s="182" t="str">
        <f t="shared" si="63"/>
        <v/>
      </c>
      <c r="P374" s="182" t="str">
        <f t="shared" si="64"/>
        <v/>
      </c>
      <c r="Q374" s="182" t="str">
        <f t="shared" si="65"/>
        <v/>
      </c>
      <c r="R374" s="182" t="str">
        <f t="shared" si="66"/>
        <v/>
      </c>
      <c r="S374" s="182" t="str">
        <f t="shared" si="67"/>
        <v/>
      </c>
      <c r="T374" s="182" t="str">
        <f t="shared" si="68"/>
        <v/>
      </c>
      <c r="U374" s="182" t="str">
        <f t="shared" si="69"/>
        <v/>
      </c>
      <c r="V374" s="182" t="str">
        <f t="shared" si="70"/>
        <v/>
      </c>
      <c r="W374" s="182" t="str">
        <f t="shared" si="71"/>
        <v/>
      </c>
    </row>
    <row r="375" spans="1:23" x14ac:dyDescent="0.2">
      <c r="A375" s="181"/>
      <c r="B375" s="181"/>
      <c r="C375" s="181"/>
      <c r="D375" s="181"/>
      <c r="E375" s="181"/>
      <c r="F375" s="181"/>
      <c r="G375" s="181"/>
      <c r="K375" s="182">
        <v>374</v>
      </c>
      <c r="L375" s="182" t="str">
        <f t="shared" si="60"/>
        <v/>
      </c>
      <c r="M375" s="182" t="str">
        <f t="shared" si="61"/>
        <v/>
      </c>
      <c r="N375" s="182" t="str">
        <f t="shared" si="62"/>
        <v/>
      </c>
      <c r="O375" s="182" t="str">
        <f t="shared" si="63"/>
        <v/>
      </c>
      <c r="P375" s="182" t="str">
        <f t="shared" si="64"/>
        <v/>
      </c>
      <c r="Q375" s="182" t="str">
        <f t="shared" si="65"/>
        <v/>
      </c>
      <c r="R375" s="182" t="str">
        <f t="shared" si="66"/>
        <v/>
      </c>
      <c r="S375" s="182" t="str">
        <f t="shared" si="67"/>
        <v/>
      </c>
      <c r="T375" s="182" t="str">
        <f t="shared" si="68"/>
        <v/>
      </c>
      <c r="U375" s="182" t="str">
        <f t="shared" si="69"/>
        <v/>
      </c>
      <c r="V375" s="182" t="str">
        <f t="shared" si="70"/>
        <v/>
      </c>
      <c r="W375" s="182" t="str">
        <f t="shared" si="71"/>
        <v/>
      </c>
    </row>
    <row r="376" spans="1:23" x14ac:dyDescent="0.2">
      <c r="A376" s="181"/>
      <c r="B376" s="181"/>
      <c r="C376" s="181"/>
      <c r="D376" s="181"/>
      <c r="E376" s="181"/>
      <c r="F376" s="181"/>
      <c r="G376" s="181"/>
      <c r="K376" s="182">
        <v>375</v>
      </c>
      <c r="L376" s="182" t="str">
        <f t="shared" si="60"/>
        <v/>
      </c>
      <c r="M376" s="182" t="str">
        <f t="shared" si="61"/>
        <v/>
      </c>
      <c r="N376" s="182" t="str">
        <f t="shared" si="62"/>
        <v/>
      </c>
      <c r="O376" s="182" t="str">
        <f t="shared" si="63"/>
        <v/>
      </c>
      <c r="P376" s="182" t="str">
        <f t="shared" si="64"/>
        <v/>
      </c>
      <c r="Q376" s="182" t="str">
        <f t="shared" si="65"/>
        <v/>
      </c>
      <c r="R376" s="182" t="str">
        <f t="shared" si="66"/>
        <v/>
      </c>
      <c r="S376" s="182" t="str">
        <f t="shared" si="67"/>
        <v/>
      </c>
      <c r="T376" s="182" t="str">
        <f t="shared" si="68"/>
        <v/>
      </c>
      <c r="U376" s="182" t="str">
        <f t="shared" si="69"/>
        <v/>
      </c>
      <c r="V376" s="182" t="str">
        <f t="shared" si="70"/>
        <v/>
      </c>
      <c r="W376" s="182" t="str">
        <f t="shared" si="71"/>
        <v/>
      </c>
    </row>
    <row r="377" spans="1:23" x14ac:dyDescent="0.2">
      <c r="A377" s="181"/>
      <c r="B377" s="181"/>
      <c r="C377" s="181"/>
      <c r="D377" s="181"/>
      <c r="E377" s="181"/>
      <c r="F377" s="181"/>
      <c r="G377" s="181"/>
      <c r="K377" s="182">
        <v>376</v>
      </c>
      <c r="L377" s="182" t="str">
        <f t="shared" si="60"/>
        <v/>
      </c>
      <c r="M377" s="182" t="str">
        <f t="shared" si="61"/>
        <v/>
      </c>
      <c r="N377" s="182" t="str">
        <f t="shared" si="62"/>
        <v/>
      </c>
      <c r="O377" s="182" t="str">
        <f t="shared" si="63"/>
        <v/>
      </c>
      <c r="P377" s="182" t="str">
        <f t="shared" si="64"/>
        <v/>
      </c>
      <c r="Q377" s="182" t="str">
        <f t="shared" si="65"/>
        <v/>
      </c>
      <c r="R377" s="182" t="str">
        <f t="shared" si="66"/>
        <v/>
      </c>
      <c r="S377" s="182" t="str">
        <f t="shared" si="67"/>
        <v/>
      </c>
      <c r="T377" s="182" t="str">
        <f t="shared" si="68"/>
        <v/>
      </c>
      <c r="U377" s="182" t="str">
        <f t="shared" si="69"/>
        <v/>
      </c>
      <c r="V377" s="182" t="str">
        <f t="shared" si="70"/>
        <v/>
      </c>
      <c r="W377" s="182" t="str">
        <f t="shared" si="71"/>
        <v/>
      </c>
    </row>
    <row r="378" spans="1:23" x14ac:dyDescent="0.2">
      <c r="A378" s="181"/>
      <c r="B378" s="181"/>
      <c r="C378" s="181"/>
      <c r="D378" s="181"/>
      <c r="E378" s="181"/>
      <c r="F378" s="181"/>
      <c r="G378" s="181"/>
      <c r="K378" s="182">
        <v>377</v>
      </c>
      <c r="L378" s="182" t="str">
        <f t="shared" si="60"/>
        <v/>
      </c>
      <c r="M378" s="182" t="str">
        <f t="shared" si="61"/>
        <v/>
      </c>
      <c r="N378" s="182" t="str">
        <f t="shared" si="62"/>
        <v/>
      </c>
      <c r="O378" s="182" t="str">
        <f t="shared" si="63"/>
        <v/>
      </c>
      <c r="P378" s="182" t="str">
        <f t="shared" si="64"/>
        <v/>
      </c>
      <c r="Q378" s="182" t="str">
        <f t="shared" si="65"/>
        <v/>
      </c>
      <c r="R378" s="182" t="str">
        <f t="shared" si="66"/>
        <v/>
      </c>
      <c r="S378" s="182" t="str">
        <f t="shared" si="67"/>
        <v/>
      </c>
      <c r="T378" s="182" t="str">
        <f t="shared" si="68"/>
        <v/>
      </c>
      <c r="U378" s="182" t="str">
        <f t="shared" si="69"/>
        <v/>
      </c>
      <c r="V378" s="182" t="str">
        <f t="shared" si="70"/>
        <v/>
      </c>
      <c r="W378" s="182" t="str">
        <f t="shared" si="71"/>
        <v/>
      </c>
    </row>
    <row r="379" spans="1:23" x14ac:dyDescent="0.2">
      <c r="A379" s="181"/>
      <c r="B379" s="181"/>
      <c r="C379" s="181"/>
      <c r="D379" s="181"/>
      <c r="E379" s="181"/>
      <c r="F379" s="181"/>
      <c r="G379" s="181"/>
      <c r="K379" s="182">
        <v>378</v>
      </c>
      <c r="L379" s="182" t="str">
        <f t="shared" si="60"/>
        <v/>
      </c>
      <c r="M379" s="182" t="str">
        <f t="shared" si="61"/>
        <v/>
      </c>
      <c r="N379" s="182" t="str">
        <f t="shared" si="62"/>
        <v/>
      </c>
      <c r="O379" s="182" t="str">
        <f t="shared" si="63"/>
        <v/>
      </c>
      <c r="P379" s="182" t="str">
        <f t="shared" si="64"/>
        <v/>
      </c>
      <c r="Q379" s="182" t="str">
        <f t="shared" si="65"/>
        <v/>
      </c>
      <c r="R379" s="182" t="str">
        <f t="shared" si="66"/>
        <v/>
      </c>
      <c r="S379" s="182" t="str">
        <f t="shared" si="67"/>
        <v/>
      </c>
      <c r="T379" s="182" t="str">
        <f t="shared" si="68"/>
        <v/>
      </c>
      <c r="U379" s="182" t="str">
        <f t="shared" si="69"/>
        <v/>
      </c>
      <c r="V379" s="182" t="str">
        <f t="shared" si="70"/>
        <v/>
      </c>
      <c r="W379" s="182" t="str">
        <f t="shared" si="71"/>
        <v/>
      </c>
    </row>
    <row r="380" spans="1:23" x14ac:dyDescent="0.2">
      <c r="A380" s="181"/>
      <c r="B380" s="181"/>
      <c r="C380" s="181"/>
      <c r="D380" s="181"/>
      <c r="E380" s="181"/>
      <c r="F380" s="181"/>
      <c r="G380" s="181"/>
      <c r="K380" s="182">
        <v>379</v>
      </c>
      <c r="L380" s="182" t="str">
        <f t="shared" si="60"/>
        <v/>
      </c>
      <c r="M380" s="182" t="str">
        <f t="shared" si="61"/>
        <v/>
      </c>
      <c r="N380" s="182" t="str">
        <f t="shared" si="62"/>
        <v/>
      </c>
      <c r="O380" s="182" t="str">
        <f t="shared" si="63"/>
        <v/>
      </c>
      <c r="P380" s="182" t="str">
        <f t="shared" si="64"/>
        <v/>
      </c>
      <c r="Q380" s="182" t="str">
        <f t="shared" si="65"/>
        <v/>
      </c>
      <c r="R380" s="182" t="str">
        <f t="shared" si="66"/>
        <v/>
      </c>
      <c r="S380" s="182" t="str">
        <f t="shared" si="67"/>
        <v/>
      </c>
      <c r="T380" s="182" t="str">
        <f t="shared" si="68"/>
        <v/>
      </c>
      <c r="U380" s="182" t="str">
        <f t="shared" si="69"/>
        <v/>
      </c>
      <c r="V380" s="182" t="str">
        <f t="shared" si="70"/>
        <v/>
      </c>
      <c r="W380" s="182" t="str">
        <f t="shared" si="71"/>
        <v/>
      </c>
    </row>
    <row r="381" spans="1:23" x14ac:dyDescent="0.2">
      <c r="A381" s="181"/>
      <c r="B381" s="181"/>
      <c r="C381" s="181"/>
      <c r="D381" s="181"/>
      <c r="E381" s="181"/>
      <c r="F381" s="181"/>
      <c r="G381" s="181"/>
      <c r="K381" s="182">
        <v>380</v>
      </c>
      <c r="L381" s="182" t="str">
        <f t="shared" si="60"/>
        <v/>
      </c>
      <c r="M381" s="182" t="str">
        <f t="shared" si="61"/>
        <v/>
      </c>
      <c r="N381" s="182" t="str">
        <f t="shared" si="62"/>
        <v/>
      </c>
      <c r="O381" s="182" t="str">
        <f t="shared" si="63"/>
        <v/>
      </c>
      <c r="P381" s="182" t="str">
        <f t="shared" si="64"/>
        <v/>
      </c>
      <c r="Q381" s="182" t="str">
        <f t="shared" si="65"/>
        <v/>
      </c>
      <c r="R381" s="182" t="str">
        <f t="shared" si="66"/>
        <v/>
      </c>
      <c r="S381" s="182" t="str">
        <f t="shared" si="67"/>
        <v/>
      </c>
      <c r="T381" s="182" t="str">
        <f t="shared" si="68"/>
        <v/>
      </c>
      <c r="U381" s="182" t="str">
        <f t="shared" si="69"/>
        <v/>
      </c>
      <c r="V381" s="182" t="str">
        <f t="shared" si="70"/>
        <v/>
      </c>
      <c r="W381" s="182" t="str">
        <f t="shared" si="71"/>
        <v/>
      </c>
    </row>
    <row r="382" spans="1:23" x14ac:dyDescent="0.2">
      <c r="A382" s="181"/>
      <c r="B382" s="181"/>
      <c r="C382" s="181"/>
      <c r="D382" s="181"/>
      <c r="E382" s="181"/>
      <c r="F382" s="181"/>
      <c r="G382" s="181"/>
      <c r="K382" s="182">
        <v>381</v>
      </c>
      <c r="L382" s="182" t="str">
        <f t="shared" si="60"/>
        <v/>
      </c>
      <c r="M382" s="182" t="str">
        <f t="shared" si="61"/>
        <v/>
      </c>
      <c r="N382" s="182" t="str">
        <f t="shared" si="62"/>
        <v/>
      </c>
      <c r="O382" s="182" t="str">
        <f t="shared" si="63"/>
        <v/>
      </c>
      <c r="P382" s="182" t="str">
        <f t="shared" si="64"/>
        <v/>
      </c>
      <c r="Q382" s="182" t="str">
        <f t="shared" si="65"/>
        <v/>
      </c>
      <c r="R382" s="182" t="str">
        <f t="shared" si="66"/>
        <v/>
      </c>
      <c r="S382" s="182" t="str">
        <f t="shared" si="67"/>
        <v/>
      </c>
      <c r="T382" s="182" t="str">
        <f t="shared" si="68"/>
        <v/>
      </c>
      <c r="U382" s="182" t="str">
        <f t="shared" si="69"/>
        <v/>
      </c>
      <c r="V382" s="182" t="str">
        <f t="shared" si="70"/>
        <v/>
      </c>
      <c r="W382" s="182" t="str">
        <f t="shared" si="71"/>
        <v/>
      </c>
    </row>
    <row r="383" spans="1:23" x14ac:dyDescent="0.2">
      <c r="A383" s="181"/>
      <c r="B383" s="181"/>
      <c r="C383" s="181"/>
      <c r="D383" s="181"/>
      <c r="E383" s="181"/>
      <c r="F383" s="181"/>
      <c r="G383" s="181"/>
      <c r="K383" s="182">
        <v>382</v>
      </c>
      <c r="L383" s="182" t="str">
        <f t="shared" si="60"/>
        <v/>
      </c>
      <c r="M383" s="182" t="str">
        <f t="shared" si="61"/>
        <v/>
      </c>
      <c r="N383" s="182" t="str">
        <f t="shared" si="62"/>
        <v/>
      </c>
      <c r="O383" s="182" t="str">
        <f t="shared" si="63"/>
        <v/>
      </c>
      <c r="P383" s="182" t="str">
        <f t="shared" si="64"/>
        <v/>
      </c>
      <c r="Q383" s="182" t="str">
        <f t="shared" si="65"/>
        <v/>
      </c>
      <c r="R383" s="182" t="str">
        <f t="shared" si="66"/>
        <v/>
      </c>
      <c r="S383" s="182" t="str">
        <f t="shared" si="67"/>
        <v/>
      </c>
      <c r="T383" s="182" t="str">
        <f t="shared" si="68"/>
        <v/>
      </c>
      <c r="U383" s="182" t="str">
        <f t="shared" si="69"/>
        <v/>
      </c>
      <c r="V383" s="182" t="str">
        <f t="shared" si="70"/>
        <v/>
      </c>
      <c r="W383" s="182" t="str">
        <f t="shared" si="71"/>
        <v/>
      </c>
    </row>
    <row r="384" spans="1:23" x14ac:dyDescent="0.2">
      <c r="A384" s="181"/>
      <c r="B384" s="181"/>
      <c r="C384" s="181"/>
      <c r="D384" s="181"/>
      <c r="E384" s="181"/>
      <c r="F384" s="181"/>
      <c r="G384" s="181"/>
      <c r="K384" s="182">
        <v>383</v>
      </c>
      <c r="L384" s="182" t="str">
        <f t="shared" si="60"/>
        <v/>
      </c>
      <c r="M384" s="182" t="str">
        <f t="shared" si="61"/>
        <v/>
      </c>
      <c r="N384" s="182" t="str">
        <f t="shared" si="62"/>
        <v/>
      </c>
      <c r="O384" s="182" t="str">
        <f t="shared" si="63"/>
        <v/>
      </c>
      <c r="P384" s="182" t="str">
        <f t="shared" si="64"/>
        <v/>
      </c>
      <c r="Q384" s="182" t="str">
        <f t="shared" si="65"/>
        <v/>
      </c>
      <c r="R384" s="182" t="str">
        <f t="shared" si="66"/>
        <v/>
      </c>
      <c r="S384" s="182" t="str">
        <f t="shared" si="67"/>
        <v/>
      </c>
      <c r="T384" s="182" t="str">
        <f t="shared" si="68"/>
        <v/>
      </c>
      <c r="U384" s="182" t="str">
        <f t="shared" si="69"/>
        <v/>
      </c>
      <c r="V384" s="182" t="str">
        <f t="shared" si="70"/>
        <v/>
      </c>
      <c r="W384" s="182" t="str">
        <f t="shared" si="71"/>
        <v/>
      </c>
    </row>
    <row r="385" spans="1:23" x14ac:dyDescent="0.2">
      <c r="A385" s="181"/>
      <c r="B385" s="181"/>
      <c r="C385" s="181"/>
      <c r="D385" s="181"/>
      <c r="E385" s="181"/>
      <c r="F385" s="181"/>
      <c r="G385" s="181"/>
      <c r="K385" s="182">
        <v>384</v>
      </c>
      <c r="L385" s="182" t="str">
        <f t="shared" si="60"/>
        <v/>
      </c>
      <c r="M385" s="182" t="str">
        <f t="shared" si="61"/>
        <v/>
      </c>
      <c r="N385" s="182" t="str">
        <f t="shared" si="62"/>
        <v/>
      </c>
      <c r="O385" s="182" t="str">
        <f t="shared" si="63"/>
        <v/>
      </c>
      <c r="P385" s="182" t="str">
        <f t="shared" si="64"/>
        <v/>
      </c>
      <c r="Q385" s="182" t="str">
        <f t="shared" si="65"/>
        <v/>
      </c>
      <c r="R385" s="182" t="str">
        <f t="shared" si="66"/>
        <v/>
      </c>
      <c r="S385" s="182" t="str">
        <f t="shared" si="67"/>
        <v/>
      </c>
      <c r="T385" s="182" t="str">
        <f t="shared" si="68"/>
        <v/>
      </c>
      <c r="U385" s="182" t="str">
        <f t="shared" si="69"/>
        <v/>
      </c>
      <c r="V385" s="182" t="str">
        <f t="shared" si="70"/>
        <v/>
      </c>
      <c r="W385" s="182" t="str">
        <f t="shared" si="71"/>
        <v/>
      </c>
    </row>
    <row r="386" spans="1:23" x14ac:dyDescent="0.2">
      <c r="A386" s="181"/>
      <c r="B386" s="181"/>
      <c r="C386" s="181"/>
      <c r="D386" s="181"/>
      <c r="E386" s="181"/>
      <c r="F386" s="181"/>
      <c r="G386" s="181"/>
      <c r="K386" s="182">
        <v>385</v>
      </c>
      <c r="L386" s="182" t="str">
        <f t="shared" si="60"/>
        <v/>
      </c>
      <c r="M386" s="182" t="str">
        <f t="shared" si="61"/>
        <v/>
      </c>
      <c r="N386" s="182" t="str">
        <f t="shared" si="62"/>
        <v/>
      </c>
      <c r="O386" s="182" t="str">
        <f t="shared" si="63"/>
        <v/>
      </c>
      <c r="P386" s="182" t="str">
        <f t="shared" si="64"/>
        <v/>
      </c>
      <c r="Q386" s="182" t="str">
        <f t="shared" si="65"/>
        <v/>
      </c>
      <c r="R386" s="182" t="str">
        <f t="shared" si="66"/>
        <v/>
      </c>
      <c r="S386" s="182" t="str">
        <f t="shared" si="67"/>
        <v/>
      </c>
      <c r="T386" s="182" t="str">
        <f t="shared" si="68"/>
        <v/>
      </c>
      <c r="U386" s="182" t="str">
        <f t="shared" si="69"/>
        <v/>
      </c>
      <c r="V386" s="182" t="str">
        <f t="shared" si="70"/>
        <v/>
      </c>
      <c r="W386" s="182" t="str">
        <f t="shared" si="71"/>
        <v/>
      </c>
    </row>
    <row r="387" spans="1:23" x14ac:dyDescent="0.2">
      <c r="A387" s="181"/>
      <c r="B387" s="181"/>
      <c r="C387" s="181"/>
      <c r="D387" s="181"/>
      <c r="E387" s="181"/>
      <c r="F387" s="181"/>
      <c r="G387" s="181"/>
      <c r="K387" s="182">
        <v>386</v>
      </c>
      <c r="L387" s="182" t="str">
        <f t="shared" ref="L387:L450" si="72">IF($B$13&gt;=K387,K387,"")</f>
        <v/>
      </c>
      <c r="M387" s="182" t="str">
        <f t="shared" ref="M387:M450" si="73">IF(L387="","",IF(L387&lt;=$E$15,VLOOKUP($E$14,$I$1:$J$4,2,FALSE),VLOOKUP($F$14,$I$1:$J$4,2,FALSE)))</f>
        <v/>
      </c>
      <c r="N387" s="182" t="str">
        <f t="shared" ref="N387:N450" si="74">IF($B$20&gt;=K387,K387,"")</f>
        <v/>
      </c>
      <c r="O387" s="182" t="str">
        <f t="shared" ref="O387:O450" si="75">IF(N387="","",IF(N387&lt;=$E$22,VLOOKUP($E$21,$I$1:$J$4,2,FALSE),VLOOKUP($F$21,$I$1:$J$4,2,FALSE)))</f>
        <v/>
      </c>
      <c r="P387" s="182" t="str">
        <f t="shared" ref="P387:P450" si="76">IF($B$27&gt;=K387,K387,"")</f>
        <v/>
      </c>
      <c r="Q387" s="182" t="str">
        <f t="shared" ref="Q387:Q450" si="77">IF(P387="","",IF(P387&lt;=$E$29,VLOOKUP($E$28,$I$1:$J$4,2,FALSE),VLOOKUP($F$28,$I$1:$J$4,2,FALSE)))</f>
        <v/>
      </c>
      <c r="R387" s="182" t="str">
        <f t="shared" ref="R387:R450" si="78">IF($B$34&gt;=K387,K387,"")</f>
        <v/>
      </c>
      <c r="S387" s="182" t="str">
        <f t="shared" ref="S387:S450" si="79">IF(R387="","",IF(R387&lt;=$E$36,VLOOKUP($E$35,$I$1:$J$4,2,FALSE),VLOOKUP($F$35,$I$1:$J$4,2,FALSE)))</f>
        <v/>
      </c>
      <c r="T387" s="182" t="str">
        <f t="shared" ref="T387:T450" si="80">IF($B$41&gt;=K387,K387,"")</f>
        <v/>
      </c>
      <c r="U387" s="182" t="str">
        <f t="shared" ref="U387:U450" si="81">IF(T387="","",IF(T387&lt;=$E$43,VLOOKUP($E$42,$I$1:$J$4,2,FALSE),VLOOKUP($F$42,$I$1:$J$4,2,FALSE)))</f>
        <v/>
      </c>
      <c r="V387" s="182" t="str">
        <f t="shared" ref="V387:V450" si="82">IF($B$48&gt;=K387,K387,"")</f>
        <v/>
      </c>
      <c r="W387" s="182" t="str">
        <f t="shared" ref="W387:W450" si="83">IF(V387="","",IF(V387&lt;=$E$50,VLOOKUP($E$49,$I$1:$J$4,2,FALSE),VLOOKUP($F$49,$I$1:$J$4,2,FALSE)))</f>
        <v/>
      </c>
    </row>
    <row r="388" spans="1:23" x14ac:dyDescent="0.2">
      <c r="A388" s="181"/>
      <c r="B388" s="181"/>
      <c r="C388" s="181"/>
      <c r="D388" s="181"/>
      <c r="E388" s="181"/>
      <c r="F388" s="181"/>
      <c r="G388" s="181"/>
      <c r="K388" s="182">
        <v>387</v>
      </c>
      <c r="L388" s="182" t="str">
        <f t="shared" si="72"/>
        <v/>
      </c>
      <c r="M388" s="182" t="str">
        <f t="shared" si="73"/>
        <v/>
      </c>
      <c r="N388" s="182" t="str">
        <f t="shared" si="74"/>
        <v/>
      </c>
      <c r="O388" s="182" t="str">
        <f t="shared" si="75"/>
        <v/>
      </c>
      <c r="P388" s="182" t="str">
        <f t="shared" si="76"/>
        <v/>
      </c>
      <c r="Q388" s="182" t="str">
        <f t="shared" si="77"/>
        <v/>
      </c>
      <c r="R388" s="182" t="str">
        <f t="shared" si="78"/>
        <v/>
      </c>
      <c r="S388" s="182" t="str">
        <f t="shared" si="79"/>
        <v/>
      </c>
      <c r="T388" s="182" t="str">
        <f t="shared" si="80"/>
        <v/>
      </c>
      <c r="U388" s="182" t="str">
        <f t="shared" si="81"/>
        <v/>
      </c>
      <c r="V388" s="182" t="str">
        <f t="shared" si="82"/>
        <v/>
      </c>
      <c r="W388" s="182" t="str">
        <f t="shared" si="83"/>
        <v/>
      </c>
    </row>
    <row r="389" spans="1:23" x14ac:dyDescent="0.2">
      <c r="A389" s="181"/>
      <c r="B389" s="181"/>
      <c r="C389" s="181"/>
      <c r="D389" s="181"/>
      <c r="E389" s="181"/>
      <c r="F389" s="181"/>
      <c r="G389" s="181"/>
      <c r="K389" s="182">
        <v>388</v>
      </c>
      <c r="L389" s="182" t="str">
        <f t="shared" si="72"/>
        <v/>
      </c>
      <c r="M389" s="182" t="str">
        <f t="shared" si="73"/>
        <v/>
      </c>
      <c r="N389" s="182" t="str">
        <f t="shared" si="74"/>
        <v/>
      </c>
      <c r="O389" s="182" t="str">
        <f t="shared" si="75"/>
        <v/>
      </c>
      <c r="P389" s="182" t="str">
        <f t="shared" si="76"/>
        <v/>
      </c>
      <c r="Q389" s="182" t="str">
        <f t="shared" si="77"/>
        <v/>
      </c>
      <c r="R389" s="182" t="str">
        <f t="shared" si="78"/>
        <v/>
      </c>
      <c r="S389" s="182" t="str">
        <f t="shared" si="79"/>
        <v/>
      </c>
      <c r="T389" s="182" t="str">
        <f t="shared" si="80"/>
        <v/>
      </c>
      <c r="U389" s="182" t="str">
        <f t="shared" si="81"/>
        <v/>
      </c>
      <c r="V389" s="182" t="str">
        <f t="shared" si="82"/>
        <v/>
      </c>
      <c r="W389" s="182" t="str">
        <f t="shared" si="83"/>
        <v/>
      </c>
    </row>
    <row r="390" spans="1:23" x14ac:dyDescent="0.2">
      <c r="A390" s="181"/>
      <c r="B390" s="181"/>
      <c r="C390" s="181"/>
      <c r="D390" s="181"/>
      <c r="E390" s="181"/>
      <c r="F390" s="181"/>
      <c r="G390" s="181"/>
      <c r="K390" s="182">
        <v>389</v>
      </c>
      <c r="L390" s="182" t="str">
        <f t="shared" si="72"/>
        <v/>
      </c>
      <c r="M390" s="182" t="str">
        <f t="shared" si="73"/>
        <v/>
      </c>
      <c r="N390" s="182" t="str">
        <f t="shared" si="74"/>
        <v/>
      </c>
      <c r="O390" s="182" t="str">
        <f t="shared" si="75"/>
        <v/>
      </c>
      <c r="P390" s="182" t="str">
        <f t="shared" si="76"/>
        <v/>
      </c>
      <c r="Q390" s="182" t="str">
        <f t="shared" si="77"/>
        <v/>
      </c>
      <c r="R390" s="182" t="str">
        <f t="shared" si="78"/>
        <v/>
      </c>
      <c r="S390" s="182" t="str">
        <f t="shared" si="79"/>
        <v/>
      </c>
      <c r="T390" s="182" t="str">
        <f t="shared" si="80"/>
        <v/>
      </c>
      <c r="U390" s="182" t="str">
        <f t="shared" si="81"/>
        <v/>
      </c>
      <c r="V390" s="182" t="str">
        <f t="shared" si="82"/>
        <v/>
      </c>
      <c r="W390" s="182" t="str">
        <f t="shared" si="83"/>
        <v/>
      </c>
    </row>
    <row r="391" spans="1:23" x14ac:dyDescent="0.2">
      <c r="A391" s="181"/>
      <c r="B391" s="181"/>
      <c r="C391" s="181"/>
      <c r="D391" s="181"/>
      <c r="E391" s="181"/>
      <c r="F391" s="181"/>
      <c r="G391" s="181"/>
      <c r="K391" s="182">
        <v>390</v>
      </c>
      <c r="L391" s="182" t="str">
        <f t="shared" si="72"/>
        <v/>
      </c>
      <c r="M391" s="182" t="str">
        <f t="shared" si="73"/>
        <v/>
      </c>
      <c r="N391" s="182" t="str">
        <f t="shared" si="74"/>
        <v/>
      </c>
      <c r="O391" s="182" t="str">
        <f t="shared" si="75"/>
        <v/>
      </c>
      <c r="P391" s="182" t="str">
        <f t="shared" si="76"/>
        <v/>
      </c>
      <c r="Q391" s="182" t="str">
        <f t="shared" si="77"/>
        <v/>
      </c>
      <c r="R391" s="182" t="str">
        <f t="shared" si="78"/>
        <v/>
      </c>
      <c r="S391" s="182" t="str">
        <f t="shared" si="79"/>
        <v/>
      </c>
      <c r="T391" s="182" t="str">
        <f t="shared" si="80"/>
        <v/>
      </c>
      <c r="U391" s="182" t="str">
        <f t="shared" si="81"/>
        <v/>
      </c>
      <c r="V391" s="182" t="str">
        <f t="shared" si="82"/>
        <v/>
      </c>
      <c r="W391" s="182" t="str">
        <f t="shared" si="83"/>
        <v/>
      </c>
    </row>
    <row r="392" spans="1:23" x14ac:dyDescent="0.2">
      <c r="A392" s="181"/>
      <c r="B392" s="181"/>
      <c r="C392" s="181"/>
      <c r="D392" s="181"/>
      <c r="E392" s="181"/>
      <c r="F392" s="181"/>
      <c r="G392" s="181"/>
      <c r="K392" s="182">
        <v>391</v>
      </c>
      <c r="L392" s="182" t="str">
        <f t="shared" si="72"/>
        <v/>
      </c>
      <c r="M392" s="182" t="str">
        <f t="shared" si="73"/>
        <v/>
      </c>
      <c r="N392" s="182" t="str">
        <f t="shared" si="74"/>
        <v/>
      </c>
      <c r="O392" s="182" t="str">
        <f t="shared" si="75"/>
        <v/>
      </c>
      <c r="P392" s="182" t="str">
        <f t="shared" si="76"/>
        <v/>
      </c>
      <c r="Q392" s="182" t="str">
        <f t="shared" si="77"/>
        <v/>
      </c>
      <c r="R392" s="182" t="str">
        <f t="shared" si="78"/>
        <v/>
      </c>
      <c r="S392" s="182" t="str">
        <f t="shared" si="79"/>
        <v/>
      </c>
      <c r="T392" s="182" t="str">
        <f t="shared" si="80"/>
        <v/>
      </c>
      <c r="U392" s="182" t="str">
        <f t="shared" si="81"/>
        <v/>
      </c>
      <c r="V392" s="182" t="str">
        <f t="shared" si="82"/>
        <v/>
      </c>
      <c r="W392" s="182" t="str">
        <f t="shared" si="83"/>
        <v/>
      </c>
    </row>
    <row r="393" spans="1:23" x14ac:dyDescent="0.2">
      <c r="A393" s="181"/>
      <c r="B393" s="181"/>
      <c r="C393" s="181"/>
      <c r="D393" s="181"/>
      <c r="E393" s="181"/>
      <c r="F393" s="181"/>
      <c r="G393" s="181"/>
      <c r="K393" s="182">
        <v>392</v>
      </c>
      <c r="L393" s="182" t="str">
        <f t="shared" si="72"/>
        <v/>
      </c>
      <c r="M393" s="182" t="str">
        <f t="shared" si="73"/>
        <v/>
      </c>
      <c r="N393" s="182" t="str">
        <f t="shared" si="74"/>
        <v/>
      </c>
      <c r="O393" s="182" t="str">
        <f t="shared" si="75"/>
        <v/>
      </c>
      <c r="P393" s="182" t="str">
        <f t="shared" si="76"/>
        <v/>
      </c>
      <c r="Q393" s="182" t="str">
        <f t="shared" si="77"/>
        <v/>
      </c>
      <c r="R393" s="182" t="str">
        <f t="shared" si="78"/>
        <v/>
      </c>
      <c r="S393" s="182" t="str">
        <f t="shared" si="79"/>
        <v/>
      </c>
      <c r="T393" s="182" t="str">
        <f t="shared" si="80"/>
        <v/>
      </c>
      <c r="U393" s="182" t="str">
        <f t="shared" si="81"/>
        <v/>
      </c>
      <c r="V393" s="182" t="str">
        <f t="shared" si="82"/>
        <v/>
      </c>
      <c r="W393" s="182" t="str">
        <f t="shared" si="83"/>
        <v/>
      </c>
    </row>
    <row r="394" spans="1:23" x14ac:dyDescent="0.2">
      <c r="A394" s="181"/>
      <c r="B394" s="181"/>
      <c r="C394" s="181"/>
      <c r="D394" s="181"/>
      <c r="E394" s="181"/>
      <c r="F394" s="181"/>
      <c r="G394" s="181"/>
      <c r="K394" s="182">
        <v>393</v>
      </c>
      <c r="L394" s="182" t="str">
        <f t="shared" si="72"/>
        <v/>
      </c>
      <c r="M394" s="182" t="str">
        <f t="shared" si="73"/>
        <v/>
      </c>
      <c r="N394" s="182" t="str">
        <f t="shared" si="74"/>
        <v/>
      </c>
      <c r="O394" s="182" t="str">
        <f t="shared" si="75"/>
        <v/>
      </c>
      <c r="P394" s="182" t="str">
        <f t="shared" si="76"/>
        <v/>
      </c>
      <c r="Q394" s="182" t="str">
        <f t="shared" si="77"/>
        <v/>
      </c>
      <c r="R394" s="182" t="str">
        <f t="shared" si="78"/>
        <v/>
      </c>
      <c r="S394" s="182" t="str">
        <f t="shared" si="79"/>
        <v/>
      </c>
      <c r="T394" s="182" t="str">
        <f t="shared" si="80"/>
        <v/>
      </c>
      <c r="U394" s="182" t="str">
        <f t="shared" si="81"/>
        <v/>
      </c>
      <c r="V394" s="182" t="str">
        <f t="shared" si="82"/>
        <v/>
      </c>
      <c r="W394" s="182" t="str">
        <f t="shared" si="83"/>
        <v/>
      </c>
    </row>
    <row r="395" spans="1:23" x14ac:dyDescent="0.2">
      <c r="A395" s="181"/>
      <c r="B395" s="181"/>
      <c r="C395" s="181"/>
      <c r="D395" s="181"/>
      <c r="E395" s="181"/>
      <c r="F395" s="181"/>
      <c r="G395" s="181"/>
      <c r="K395" s="182">
        <v>394</v>
      </c>
      <c r="L395" s="182" t="str">
        <f t="shared" si="72"/>
        <v/>
      </c>
      <c r="M395" s="182" t="str">
        <f t="shared" si="73"/>
        <v/>
      </c>
      <c r="N395" s="182" t="str">
        <f t="shared" si="74"/>
        <v/>
      </c>
      <c r="O395" s="182" t="str">
        <f t="shared" si="75"/>
        <v/>
      </c>
      <c r="P395" s="182" t="str">
        <f t="shared" si="76"/>
        <v/>
      </c>
      <c r="Q395" s="182" t="str">
        <f t="shared" si="77"/>
        <v/>
      </c>
      <c r="R395" s="182" t="str">
        <f t="shared" si="78"/>
        <v/>
      </c>
      <c r="S395" s="182" t="str">
        <f t="shared" si="79"/>
        <v/>
      </c>
      <c r="T395" s="182" t="str">
        <f t="shared" si="80"/>
        <v/>
      </c>
      <c r="U395" s="182" t="str">
        <f t="shared" si="81"/>
        <v/>
      </c>
      <c r="V395" s="182" t="str">
        <f t="shared" si="82"/>
        <v/>
      </c>
      <c r="W395" s="182" t="str">
        <f t="shared" si="83"/>
        <v/>
      </c>
    </row>
    <row r="396" spans="1:23" x14ac:dyDescent="0.2">
      <c r="A396" s="181"/>
      <c r="B396" s="181"/>
      <c r="C396" s="181"/>
      <c r="D396" s="181"/>
      <c r="E396" s="181"/>
      <c r="F396" s="181"/>
      <c r="G396" s="181"/>
      <c r="K396" s="182">
        <v>395</v>
      </c>
      <c r="L396" s="182" t="str">
        <f t="shared" si="72"/>
        <v/>
      </c>
      <c r="M396" s="182" t="str">
        <f t="shared" si="73"/>
        <v/>
      </c>
      <c r="N396" s="182" t="str">
        <f t="shared" si="74"/>
        <v/>
      </c>
      <c r="O396" s="182" t="str">
        <f t="shared" si="75"/>
        <v/>
      </c>
      <c r="P396" s="182" t="str">
        <f t="shared" si="76"/>
        <v/>
      </c>
      <c r="Q396" s="182" t="str">
        <f t="shared" si="77"/>
        <v/>
      </c>
      <c r="R396" s="182" t="str">
        <f t="shared" si="78"/>
        <v/>
      </c>
      <c r="S396" s="182" t="str">
        <f t="shared" si="79"/>
        <v/>
      </c>
      <c r="T396" s="182" t="str">
        <f t="shared" si="80"/>
        <v/>
      </c>
      <c r="U396" s="182" t="str">
        <f t="shared" si="81"/>
        <v/>
      </c>
      <c r="V396" s="182" t="str">
        <f t="shared" si="82"/>
        <v/>
      </c>
      <c r="W396" s="182" t="str">
        <f t="shared" si="83"/>
        <v/>
      </c>
    </row>
    <row r="397" spans="1:23" x14ac:dyDescent="0.2">
      <c r="A397" s="181"/>
      <c r="B397" s="181"/>
      <c r="C397" s="181"/>
      <c r="D397" s="181"/>
      <c r="E397" s="181"/>
      <c r="F397" s="181"/>
      <c r="G397" s="181"/>
      <c r="K397" s="182">
        <v>396</v>
      </c>
      <c r="L397" s="182" t="str">
        <f t="shared" si="72"/>
        <v/>
      </c>
      <c r="M397" s="182" t="str">
        <f t="shared" si="73"/>
        <v/>
      </c>
      <c r="N397" s="182" t="str">
        <f t="shared" si="74"/>
        <v/>
      </c>
      <c r="O397" s="182" t="str">
        <f t="shared" si="75"/>
        <v/>
      </c>
      <c r="P397" s="182" t="str">
        <f t="shared" si="76"/>
        <v/>
      </c>
      <c r="Q397" s="182" t="str">
        <f t="shared" si="77"/>
        <v/>
      </c>
      <c r="R397" s="182" t="str">
        <f t="shared" si="78"/>
        <v/>
      </c>
      <c r="S397" s="182" t="str">
        <f t="shared" si="79"/>
        <v/>
      </c>
      <c r="T397" s="182" t="str">
        <f t="shared" si="80"/>
        <v/>
      </c>
      <c r="U397" s="182" t="str">
        <f t="shared" si="81"/>
        <v/>
      </c>
      <c r="V397" s="182" t="str">
        <f t="shared" si="82"/>
        <v/>
      </c>
      <c r="W397" s="182" t="str">
        <f t="shared" si="83"/>
        <v/>
      </c>
    </row>
    <row r="398" spans="1:23" x14ac:dyDescent="0.2">
      <c r="A398" s="181"/>
      <c r="B398" s="181"/>
      <c r="C398" s="181"/>
      <c r="D398" s="181"/>
      <c r="E398" s="181"/>
      <c r="F398" s="181"/>
      <c r="G398" s="181"/>
      <c r="K398" s="182">
        <v>397</v>
      </c>
      <c r="L398" s="182" t="str">
        <f t="shared" si="72"/>
        <v/>
      </c>
      <c r="M398" s="182" t="str">
        <f t="shared" si="73"/>
        <v/>
      </c>
      <c r="N398" s="182" t="str">
        <f t="shared" si="74"/>
        <v/>
      </c>
      <c r="O398" s="182" t="str">
        <f t="shared" si="75"/>
        <v/>
      </c>
      <c r="P398" s="182" t="str">
        <f t="shared" si="76"/>
        <v/>
      </c>
      <c r="Q398" s="182" t="str">
        <f t="shared" si="77"/>
        <v/>
      </c>
      <c r="R398" s="182" t="str">
        <f t="shared" si="78"/>
        <v/>
      </c>
      <c r="S398" s="182" t="str">
        <f t="shared" si="79"/>
        <v/>
      </c>
      <c r="T398" s="182" t="str">
        <f t="shared" si="80"/>
        <v/>
      </c>
      <c r="U398" s="182" t="str">
        <f t="shared" si="81"/>
        <v/>
      </c>
      <c r="V398" s="182" t="str">
        <f t="shared" si="82"/>
        <v/>
      </c>
      <c r="W398" s="182" t="str">
        <f t="shared" si="83"/>
        <v/>
      </c>
    </row>
    <row r="399" spans="1:23" x14ac:dyDescent="0.2">
      <c r="A399" s="181"/>
      <c r="B399" s="181"/>
      <c r="C399" s="181"/>
      <c r="D399" s="181"/>
      <c r="E399" s="181"/>
      <c r="F399" s="181"/>
      <c r="G399" s="181"/>
      <c r="K399" s="182">
        <v>398</v>
      </c>
      <c r="L399" s="182" t="str">
        <f t="shared" si="72"/>
        <v/>
      </c>
      <c r="M399" s="182" t="str">
        <f t="shared" si="73"/>
        <v/>
      </c>
      <c r="N399" s="182" t="str">
        <f t="shared" si="74"/>
        <v/>
      </c>
      <c r="O399" s="182" t="str">
        <f t="shared" si="75"/>
        <v/>
      </c>
      <c r="P399" s="182" t="str">
        <f t="shared" si="76"/>
        <v/>
      </c>
      <c r="Q399" s="182" t="str">
        <f t="shared" si="77"/>
        <v/>
      </c>
      <c r="R399" s="182" t="str">
        <f t="shared" si="78"/>
        <v/>
      </c>
      <c r="S399" s="182" t="str">
        <f t="shared" si="79"/>
        <v/>
      </c>
      <c r="T399" s="182" t="str">
        <f t="shared" si="80"/>
        <v/>
      </c>
      <c r="U399" s="182" t="str">
        <f t="shared" si="81"/>
        <v/>
      </c>
      <c r="V399" s="182" t="str">
        <f t="shared" si="82"/>
        <v/>
      </c>
      <c r="W399" s="182" t="str">
        <f t="shared" si="83"/>
        <v/>
      </c>
    </row>
    <row r="400" spans="1:23" x14ac:dyDescent="0.2">
      <c r="A400" s="181"/>
      <c r="B400" s="181"/>
      <c r="C400" s="181"/>
      <c r="D400" s="181"/>
      <c r="E400" s="181"/>
      <c r="F400" s="181"/>
      <c r="G400" s="181"/>
      <c r="K400" s="182">
        <v>399</v>
      </c>
      <c r="L400" s="182" t="str">
        <f t="shared" si="72"/>
        <v/>
      </c>
      <c r="M400" s="182" t="str">
        <f t="shared" si="73"/>
        <v/>
      </c>
      <c r="N400" s="182" t="str">
        <f t="shared" si="74"/>
        <v/>
      </c>
      <c r="O400" s="182" t="str">
        <f t="shared" si="75"/>
        <v/>
      </c>
      <c r="P400" s="182" t="str">
        <f t="shared" si="76"/>
        <v/>
      </c>
      <c r="Q400" s="182" t="str">
        <f t="shared" si="77"/>
        <v/>
      </c>
      <c r="R400" s="182" t="str">
        <f t="shared" si="78"/>
        <v/>
      </c>
      <c r="S400" s="182" t="str">
        <f t="shared" si="79"/>
        <v/>
      </c>
      <c r="T400" s="182" t="str">
        <f t="shared" si="80"/>
        <v/>
      </c>
      <c r="U400" s="182" t="str">
        <f t="shared" si="81"/>
        <v/>
      </c>
      <c r="V400" s="182" t="str">
        <f t="shared" si="82"/>
        <v/>
      </c>
      <c r="W400" s="182" t="str">
        <f t="shared" si="83"/>
        <v/>
      </c>
    </row>
    <row r="401" spans="1:23" x14ac:dyDescent="0.2">
      <c r="A401" s="181"/>
      <c r="B401" s="181"/>
      <c r="C401" s="181"/>
      <c r="D401" s="181"/>
      <c r="E401" s="181"/>
      <c r="F401" s="181"/>
      <c r="G401" s="181"/>
      <c r="K401" s="182">
        <v>400</v>
      </c>
      <c r="L401" s="182" t="str">
        <f t="shared" si="72"/>
        <v/>
      </c>
      <c r="M401" s="182" t="str">
        <f t="shared" si="73"/>
        <v/>
      </c>
      <c r="N401" s="182" t="str">
        <f t="shared" si="74"/>
        <v/>
      </c>
      <c r="O401" s="182" t="str">
        <f t="shared" si="75"/>
        <v/>
      </c>
      <c r="P401" s="182" t="str">
        <f t="shared" si="76"/>
        <v/>
      </c>
      <c r="Q401" s="182" t="str">
        <f t="shared" si="77"/>
        <v/>
      </c>
      <c r="R401" s="182" t="str">
        <f t="shared" si="78"/>
        <v/>
      </c>
      <c r="S401" s="182" t="str">
        <f t="shared" si="79"/>
        <v/>
      </c>
      <c r="T401" s="182" t="str">
        <f t="shared" si="80"/>
        <v/>
      </c>
      <c r="U401" s="182" t="str">
        <f t="shared" si="81"/>
        <v/>
      </c>
      <c r="V401" s="182" t="str">
        <f t="shared" si="82"/>
        <v/>
      </c>
      <c r="W401" s="182" t="str">
        <f t="shared" si="83"/>
        <v/>
      </c>
    </row>
    <row r="402" spans="1:23" x14ac:dyDescent="0.2">
      <c r="A402" s="181"/>
      <c r="B402" s="181"/>
      <c r="C402" s="181"/>
      <c r="D402" s="181"/>
      <c r="E402" s="181"/>
      <c r="F402" s="181"/>
      <c r="G402" s="181"/>
      <c r="K402" s="182">
        <v>401</v>
      </c>
      <c r="L402" s="182" t="str">
        <f t="shared" si="72"/>
        <v/>
      </c>
      <c r="M402" s="182" t="str">
        <f t="shared" si="73"/>
        <v/>
      </c>
      <c r="N402" s="182" t="str">
        <f t="shared" si="74"/>
        <v/>
      </c>
      <c r="O402" s="182" t="str">
        <f t="shared" si="75"/>
        <v/>
      </c>
      <c r="P402" s="182" t="str">
        <f t="shared" si="76"/>
        <v/>
      </c>
      <c r="Q402" s="182" t="str">
        <f t="shared" si="77"/>
        <v/>
      </c>
      <c r="R402" s="182" t="str">
        <f t="shared" si="78"/>
        <v/>
      </c>
      <c r="S402" s="182" t="str">
        <f t="shared" si="79"/>
        <v/>
      </c>
      <c r="T402" s="182" t="str">
        <f t="shared" si="80"/>
        <v/>
      </c>
      <c r="U402" s="182" t="str">
        <f t="shared" si="81"/>
        <v/>
      </c>
      <c r="V402" s="182" t="str">
        <f t="shared" si="82"/>
        <v/>
      </c>
      <c r="W402" s="182" t="str">
        <f t="shared" si="83"/>
        <v/>
      </c>
    </row>
    <row r="403" spans="1:23" x14ac:dyDescent="0.2">
      <c r="A403" s="181"/>
      <c r="B403" s="181"/>
      <c r="C403" s="181"/>
      <c r="D403" s="181"/>
      <c r="E403" s="181"/>
      <c r="F403" s="181"/>
      <c r="G403" s="181"/>
      <c r="K403" s="182">
        <v>402</v>
      </c>
      <c r="L403" s="182" t="str">
        <f t="shared" si="72"/>
        <v/>
      </c>
      <c r="M403" s="182" t="str">
        <f t="shared" si="73"/>
        <v/>
      </c>
      <c r="N403" s="182" t="str">
        <f t="shared" si="74"/>
        <v/>
      </c>
      <c r="O403" s="182" t="str">
        <f t="shared" si="75"/>
        <v/>
      </c>
      <c r="P403" s="182" t="str">
        <f t="shared" si="76"/>
        <v/>
      </c>
      <c r="Q403" s="182" t="str">
        <f t="shared" si="77"/>
        <v/>
      </c>
      <c r="R403" s="182" t="str">
        <f t="shared" si="78"/>
        <v/>
      </c>
      <c r="S403" s="182" t="str">
        <f t="shared" si="79"/>
        <v/>
      </c>
      <c r="T403" s="182" t="str">
        <f t="shared" si="80"/>
        <v/>
      </c>
      <c r="U403" s="182" t="str">
        <f t="shared" si="81"/>
        <v/>
      </c>
      <c r="V403" s="182" t="str">
        <f t="shared" si="82"/>
        <v/>
      </c>
      <c r="W403" s="182" t="str">
        <f t="shared" si="83"/>
        <v/>
      </c>
    </row>
    <row r="404" spans="1:23" x14ac:dyDescent="0.2">
      <c r="A404" s="181"/>
      <c r="B404" s="181"/>
      <c r="C404" s="181"/>
      <c r="D404" s="181"/>
      <c r="E404" s="181"/>
      <c r="F404" s="181"/>
      <c r="G404" s="181"/>
      <c r="K404" s="182">
        <v>403</v>
      </c>
      <c r="L404" s="182" t="str">
        <f t="shared" si="72"/>
        <v/>
      </c>
      <c r="M404" s="182" t="str">
        <f t="shared" si="73"/>
        <v/>
      </c>
      <c r="N404" s="182" t="str">
        <f t="shared" si="74"/>
        <v/>
      </c>
      <c r="O404" s="182" t="str">
        <f t="shared" si="75"/>
        <v/>
      </c>
      <c r="P404" s="182" t="str">
        <f t="shared" si="76"/>
        <v/>
      </c>
      <c r="Q404" s="182" t="str">
        <f t="shared" si="77"/>
        <v/>
      </c>
      <c r="R404" s="182" t="str">
        <f t="shared" si="78"/>
        <v/>
      </c>
      <c r="S404" s="182" t="str">
        <f t="shared" si="79"/>
        <v/>
      </c>
      <c r="T404" s="182" t="str">
        <f t="shared" si="80"/>
        <v/>
      </c>
      <c r="U404" s="182" t="str">
        <f t="shared" si="81"/>
        <v/>
      </c>
      <c r="V404" s="182" t="str">
        <f t="shared" si="82"/>
        <v/>
      </c>
      <c r="W404" s="182" t="str">
        <f t="shared" si="83"/>
        <v/>
      </c>
    </row>
    <row r="405" spans="1:23" x14ac:dyDescent="0.2">
      <c r="A405" s="181"/>
      <c r="B405" s="181"/>
      <c r="C405" s="181"/>
      <c r="D405" s="181"/>
      <c r="E405" s="181"/>
      <c r="F405" s="181"/>
      <c r="G405" s="181"/>
      <c r="K405" s="182">
        <v>404</v>
      </c>
      <c r="L405" s="182" t="str">
        <f t="shared" si="72"/>
        <v/>
      </c>
      <c r="M405" s="182" t="str">
        <f t="shared" si="73"/>
        <v/>
      </c>
      <c r="N405" s="182" t="str">
        <f t="shared" si="74"/>
        <v/>
      </c>
      <c r="O405" s="182" t="str">
        <f t="shared" si="75"/>
        <v/>
      </c>
      <c r="P405" s="182" t="str">
        <f t="shared" si="76"/>
        <v/>
      </c>
      <c r="Q405" s="182" t="str">
        <f t="shared" si="77"/>
        <v/>
      </c>
      <c r="R405" s="182" t="str">
        <f t="shared" si="78"/>
        <v/>
      </c>
      <c r="S405" s="182" t="str">
        <f t="shared" si="79"/>
        <v/>
      </c>
      <c r="T405" s="182" t="str">
        <f t="shared" si="80"/>
        <v/>
      </c>
      <c r="U405" s="182" t="str">
        <f t="shared" si="81"/>
        <v/>
      </c>
      <c r="V405" s="182" t="str">
        <f t="shared" si="82"/>
        <v/>
      </c>
      <c r="W405" s="182" t="str">
        <f t="shared" si="83"/>
        <v/>
      </c>
    </row>
    <row r="406" spans="1:23" x14ac:dyDescent="0.2">
      <c r="A406" s="181"/>
      <c r="B406" s="181"/>
      <c r="C406" s="181"/>
      <c r="D406" s="181"/>
      <c r="E406" s="181"/>
      <c r="F406" s="181"/>
      <c r="G406" s="181"/>
      <c r="K406" s="182">
        <v>405</v>
      </c>
      <c r="L406" s="182" t="str">
        <f t="shared" si="72"/>
        <v/>
      </c>
      <c r="M406" s="182" t="str">
        <f t="shared" si="73"/>
        <v/>
      </c>
      <c r="N406" s="182" t="str">
        <f t="shared" si="74"/>
        <v/>
      </c>
      <c r="O406" s="182" t="str">
        <f t="shared" si="75"/>
        <v/>
      </c>
      <c r="P406" s="182" t="str">
        <f t="shared" si="76"/>
        <v/>
      </c>
      <c r="Q406" s="182" t="str">
        <f t="shared" si="77"/>
        <v/>
      </c>
      <c r="R406" s="182" t="str">
        <f t="shared" si="78"/>
        <v/>
      </c>
      <c r="S406" s="182" t="str">
        <f t="shared" si="79"/>
        <v/>
      </c>
      <c r="T406" s="182" t="str">
        <f t="shared" si="80"/>
        <v/>
      </c>
      <c r="U406" s="182" t="str">
        <f t="shared" si="81"/>
        <v/>
      </c>
      <c r="V406" s="182" t="str">
        <f t="shared" si="82"/>
        <v/>
      </c>
      <c r="W406" s="182" t="str">
        <f t="shared" si="83"/>
        <v/>
      </c>
    </row>
    <row r="407" spans="1:23" x14ac:dyDescent="0.2">
      <c r="A407" s="181"/>
      <c r="B407" s="181"/>
      <c r="C407" s="181"/>
      <c r="D407" s="181"/>
      <c r="E407" s="181"/>
      <c r="F407" s="181"/>
      <c r="G407" s="181"/>
      <c r="K407" s="182">
        <v>406</v>
      </c>
      <c r="L407" s="182" t="str">
        <f t="shared" si="72"/>
        <v/>
      </c>
      <c r="M407" s="182" t="str">
        <f t="shared" si="73"/>
        <v/>
      </c>
      <c r="N407" s="182" t="str">
        <f t="shared" si="74"/>
        <v/>
      </c>
      <c r="O407" s="182" t="str">
        <f t="shared" si="75"/>
        <v/>
      </c>
      <c r="P407" s="182" t="str">
        <f t="shared" si="76"/>
        <v/>
      </c>
      <c r="Q407" s="182" t="str">
        <f t="shared" si="77"/>
        <v/>
      </c>
      <c r="R407" s="182" t="str">
        <f t="shared" si="78"/>
        <v/>
      </c>
      <c r="S407" s="182" t="str">
        <f t="shared" si="79"/>
        <v/>
      </c>
      <c r="T407" s="182" t="str">
        <f t="shared" si="80"/>
        <v/>
      </c>
      <c r="U407" s="182" t="str">
        <f t="shared" si="81"/>
        <v/>
      </c>
      <c r="V407" s="182" t="str">
        <f t="shared" si="82"/>
        <v/>
      </c>
      <c r="W407" s="182" t="str">
        <f t="shared" si="83"/>
        <v/>
      </c>
    </row>
    <row r="408" spans="1:23" x14ac:dyDescent="0.2">
      <c r="A408" s="181"/>
      <c r="B408" s="181"/>
      <c r="C408" s="181"/>
      <c r="D408" s="181"/>
      <c r="E408" s="181"/>
      <c r="F408" s="181"/>
      <c r="G408" s="181"/>
      <c r="K408" s="182">
        <v>407</v>
      </c>
      <c r="L408" s="182" t="str">
        <f t="shared" si="72"/>
        <v/>
      </c>
      <c r="M408" s="182" t="str">
        <f t="shared" si="73"/>
        <v/>
      </c>
      <c r="N408" s="182" t="str">
        <f t="shared" si="74"/>
        <v/>
      </c>
      <c r="O408" s="182" t="str">
        <f t="shared" si="75"/>
        <v/>
      </c>
      <c r="P408" s="182" t="str">
        <f t="shared" si="76"/>
        <v/>
      </c>
      <c r="Q408" s="182" t="str">
        <f t="shared" si="77"/>
        <v/>
      </c>
      <c r="R408" s="182" t="str">
        <f t="shared" si="78"/>
        <v/>
      </c>
      <c r="S408" s="182" t="str">
        <f t="shared" si="79"/>
        <v/>
      </c>
      <c r="T408" s="182" t="str">
        <f t="shared" si="80"/>
        <v/>
      </c>
      <c r="U408" s="182" t="str">
        <f t="shared" si="81"/>
        <v/>
      </c>
      <c r="V408" s="182" t="str">
        <f t="shared" si="82"/>
        <v/>
      </c>
      <c r="W408" s="182" t="str">
        <f t="shared" si="83"/>
        <v/>
      </c>
    </row>
    <row r="409" spans="1:23" x14ac:dyDescent="0.2">
      <c r="A409" s="181"/>
      <c r="B409" s="181"/>
      <c r="C409" s="181"/>
      <c r="D409" s="181"/>
      <c r="E409" s="181"/>
      <c r="F409" s="181"/>
      <c r="G409" s="181"/>
      <c r="K409" s="182">
        <v>408</v>
      </c>
      <c r="L409" s="182" t="str">
        <f t="shared" si="72"/>
        <v/>
      </c>
      <c r="M409" s="182" t="str">
        <f t="shared" si="73"/>
        <v/>
      </c>
      <c r="N409" s="182" t="str">
        <f t="shared" si="74"/>
        <v/>
      </c>
      <c r="O409" s="182" t="str">
        <f t="shared" si="75"/>
        <v/>
      </c>
      <c r="P409" s="182" t="str">
        <f t="shared" si="76"/>
        <v/>
      </c>
      <c r="Q409" s="182" t="str">
        <f t="shared" si="77"/>
        <v/>
      </c>
      <c r="R409" s="182" t="str">
        <f t="shared" si="78"/>
        <v/>
      </c>
      <c r="S409" s="182" t="str">
        <f t="shared" si="79"/>
        <v/>
      </c>
      <c r="T409" s="182" t="str">
        <f t="shared" si="80"/>
        <v/>
      </c>
      <c r="U409" s="182" t="str">
        <f t="shared" si="81"/>
        <v/>
      </c>
      <c r="V409" s="182" t="str">
        <f t="shared" si="82"/>
        <v/>
      </c>
      <c r="W409" s="182" t="str">
        <f t="shared" si="83"/>
        <v/>
      </c>
    </row>
    <row r="410" spans="1:23" x14ac:dyDescent="0.2">
      <c r="A410" s="181"/>
      <c r="B410" s="181"/>
      <c r="C410" s="181"/>
      <c r="D410" s="181"/>
      <c r="E410" s="181"/>
      <c r="F410" s="181"/>
      <c r="G410" s="181"/>
      <c r="K410" s="182">
        <v>409</v>
      </c>
      <c r="L410" s="182" t="str">
        <f t="shared" si="72"/>
        <v/>
      </c>
      <c r="M410" s="182" t="str">
        <f t="shared" si="73"/>
        <v/>
      </c>
      <c r="N410" s="182" t="str">
        <f t="shared" si="74"/>
        <v/>
      </c>
      <c r="O410" s="182" t="str">
        <f t="shared" si="75"/>
        <v/>
      </c>
      <c r="P410" s="182" t="str">
        <f t="shared" si="76"/>
        <v/>
      </c>
      <c r="Q410" s="182" t="str">
        <f t="shared" si="77"/>
        <v/>
      </c>
      <c r="R410" s="182" t="str">
        <f t="shared" si="78"/>
        <v/>
      </c>
      <c r="S410" s="182" t="str">
        <f t="shared" si="79"/>
        <v/>
      </c>
      <c r="T410" s="182" t="str">
        <f t="shared" si="80"/>
        <v/>
      </c>
      <c r="U410" s="182" t="str">
        <f t="shared" si="81"/>
        <v/>
      </c>
      <c r="V410" s="182" t="str">
        <f t="shared" si="82"/>
        <v/>
      </c>
      <c r="W410" s="182" t="str">
        <f t="shared" si="83"/>
        <v/>
      </c>
    </row>
    <row r="411" spans="1:23" x14ac:dyDescent="0.2">
      <c r="A411" s="181"/>
      <c r="B411" s="181"/>
      <c r="C411" s="181"/>
      <c r="D411" s="181"/>
      <c r="E411" s="181"/>
      <c r="F411" s="181"/>
      <c r="G411" s="181"/>
      <c r="K411" s="182">
        <v>410</v>
      </c>
      <c r="L411" s="182" t="str">
        <f t="shared" si="72"/>
        <v/>
      </c>
      <c r="M411" s="182" t="str">
        <f t="shared" si="73"/>
        <v/>
      </c>
      <c r="N411" s="182" t="str">
        <f t="shared" si="74"/>
        <v/>
      </c>
      <c r="O411" s="182" t="str">
        <f t="shared" si="75"/>
        <v/>
      </c>
      <c r="P411" s="182" t="str">
        <f t="shared" si="76"/>
        <v/>
      </c>
      <c r="Q411" s="182" t="str">
        <f t="shared" si="77"/>
        <v/>
      </c>
      <c r="R411" s="182" t="str">
        <f t="shared" si="78"/>
        <v/>
      </c>
      <c r="S411" s="182" t="str">
        <f t="shared" si="79"/>
        <v/>
      </c>
      <c r="T411" s="182" t="str">
        <f t="shared" si="80"/>
        <v/>
      </c>
      <c r="U411" s="182" t="str">
        <f t="shared" si="81"/>
        <v/>
      </c>
      <c r="V411" s="182" t="str">
        <f t="shared" si="82"/>
        <v/>
      </c>
      <c r="W411" s="182" t="str">
        <f t="shared" si="83"/>
        <v/>
      </c>
    </row>
    <row r="412" spans="1:23" x14ac:dyDescent="0.2">
      <c r="A412" s="181"/>
      <c r="B412" s="181"/>
      <c r="C412" s="181"/>
      <c r="D412" s="181"/>
      <c r="E412" s="181"/>
      <c r="F412" s="181"/>
      <c r="G412" s="181"/>
      <c r="K412" s="182">
        <v>411</v>
      </c>
      <c r="L412" s="182" t="str">
        <f t="shared" si="72"/>
        <v/>
      </c>
      <c r="M412" s="182" t="str">
        <f t="shared" si="73"/>
        <v/>
      </c>
      <c r="N412" s="182" t="str">
        <f t="shared" si="74"/>
        <v/>
      </c>
      <c r="O412" s="182" t="str">
        <f t="shared" si="75"/>
        <v/>
      </c>
      <c r="P412" s="182" t="str">
        <f t="shared" si="76"/>
        <v/>
      </c>
      <c r="Q412" s="182" t="str">
        <f t="shared" si="77"/>
        <v/>
      </c>
      <c r="R412" s="182" t="str">
        <f t="shared" si="78"/>
        <v/>
      </c>
      <c r="S412" s="182" t="str">
        <f t="shared" si="79"/>
        <v/>
      </c>
      <c r="T412" s="182" t="str">
        <f t="shared" si="80"/>
        <v/>
      </c>
      <c r="U412" s="182" t="str">
        <f t="shared" si="81"/>
        <v/>
      </c>
      <c r="V412" s="182" t="str">
        <f t="shared" si="82"/>
        <v/>
      </c>
      <c r="W412" s="182" t="str">
        <f t="shared" si="83"/>
        <v/>
      </c>
    </row>
    <row r="413" spans="1:23" x14ac:dyDescent="0.2">
      <c r="A413" s="181"/>
      <c r="B413" s="181"/>
      <c r="C413" s="181"/>
      <c r="D413" s="181"/>
      <c r="E413" s="181"/>
      <c r="F413" s="181"/>
      <c r="G413" s="181"/>
      <c r="K413" s="182">
        <v>412</v>
      </c>
      <c r="L413" s="182" t="str">
        <f t="shared" si="72"/>
        <v/>
      </c>
      <c r="M413" s="182" t="str">
        <f t="shared" si="73"/>
        <v/>
      </c>
      <c r="N413" s="182" t="str">
        <f t="shared" si="74"/>
        <v/>
      </c>
      <c r="O413" s="182" t="str">
        <f t="shared" si="75"/>
        <v/>
      </c>
      <c r="P413" s="182" t="str">
        <f t="shared" si="76"/>
        <v/>
      </c>
      <c r="Q413" s="182" t="str">
        <f t="shared" si="77"/>
        <v/>
      </c>
      <c r="R413" s="182" t="str">
        <f t="shared" si="78"/>
        <v/>
      </c>
      <c r="S413" s="182" t="str">
        <f t="shared" si="79"/>
        <v/>
      </c>
      <c r="T413" s="182" t="str">
        <f t="shared" si="80"/>
        <v/>
      </c>
      <c r="U413" s="182" t="str">
        <f t="shared" si="81"/>
        <v/>
      </c>
      <c r="V413" s="182" t="str">
        <f t="shared" si="82"/>
        <v/>
      </c>
      <c r="W413" s="182" t="str">
        <f t="shared" si="83"/>
        <v/>
      </c>
    </row>
    <row r="414" spans="1:23" x14ac:dyDescent="0.2">
      <c r="A414" s="181"/>
      <c r="B414" s="181"/>
      <c r="C414" s="181"/>
      <c r="D414" s="181"/>
      <c r="E414" s="181"/>
      <c r="F414" s="181"/>
      <c r="G414" s="181"/>
      <c r="K414" s="182">
        <v>413</v>
      </c>
      <c r="L414" s="182" t="str">
        <f t="shared" si="72"/>
        <v/>
      </c>
      <c r="M414" s="182" t="str">
        <f t="shared" si="73"/>
        <v/>
      </c>
      <c r="N414" s="182" t="str">
        <f t="shared" si="74"/>
        <v/>
      </c>
      <c r="O414" s="182" t="str">
        <f t="shared" si="75"/>
        <v/>
      </c>
      <c r="P414" s="182" t="str">
        <f t="shared" si="76"/>
        <v/>
      </c>
      <c r="Q414" s="182" t="str">
        <f t="shared" si="77"/>
        <v/>
      </c>
      <c r="R414" s="182" t="str">
        <f t="shared" si="78"/>
        <v/>
      </c>
      <c r="S414" s="182" t="str">
        <f t="shared" si="79"/>
        <v/>
      </c>
      <c r="T414" s="182" t="str">
        <f t="shared" si="80"/>
        <v/>
      </c>
      <c r="U414" s="182" t="str">
        <f t="shared" si="81"/>
        <v/>
      </c>
      <c r="V414" s="182" t="str">
        <f t="shared" si="82"/>
        <v/>
      </c>
      <c r="W414" s="182" t="str">
        <f t="shared" si="83"/>
        <v/>
      </c>
    </row>
    <row r="415" spans="1:23" x14ac:dyDescent="0.2">
      <c r="A415" s="181"/>
      <c r="B415" s="181"/>
      <c r="C415" s="181"/>
      <c r="D415" s="181"/>
      <c r="E415" s="181"/>
      <c r="F415" s="181"/>
      <c r="G415" s="181"/>
      <c r="K415" s="182">
        <v>414</v>
      </c>
      <c r="L415" s="182" t="str">
        <f t="shared" si="72"/>
        <v/>
      </c>
      <c r="M415" s="182" t="str">
        <f t="shared" si="73"/>
        <v/>
      </c>
      <c r="N415" s="182" t="str">
        <f t="shared" si="74"/>
        <v/>
      </c>
      <c r="O415" s="182" t="str">
        <f t="shared" si="75"/>
        <v/>
      </c>
      <c r="P415" s="182" t="str">
        <f t="shared" si="76"/>
        <v/>
      </c>
      <c r="Q415" s="182" t="str">
        <f t="shared" si="77"/>
        <v/>
      </c>
      <c r="R415" s="182" t="str">
        <f t="shared" si="78"/>
        <v/>
      </c>
      <c r="S415" s="182" t="str">
        <f t="shared" si="79"/>
        <v/>
      </c>
      <c r="T415" s="182" t="str">
        <f t="shared" si="80"/>
        <v/>
      </c>
      <c r="U415" s="182" t="str">
        <f t="shared" si="81"/>
        <v/>
      </c>
      <c r="V415" s="182" t="str">
        <f t="shared" si="82"/>
        <v/>
      </c>
      <c r="W415" s="182" t="str">
        <f t="shared" si="83"/>
        <v/>
      </c>
    </row>
    <row r="416" spans="1:23" x14ac:dyDescent="0.2">
      <c r="A416" s="181"/>
      <c r="B416" s="181"/>
      <c r="C416" s="181"/>
      <c r="D416" s="181"/>
      <c r="E416" s="181"/>
      <c r="F416" s="181"/>
      <c r="G416" s="181"/>
      <c r="K416" s="182">
        <v>415</v>
      </c>
      <c r="L416" s="182" t="str">
        <f t="shared" si="72"/>
        <v/>
      </c>
      <c r="M416" s="182" t="str">
        <f t="shared" si="73"/>
        <v/>
      </c>
      <c r="N416" s="182" t="str">
        <f t="shared" si="74"/>
        <v/>
      </c>
      <c r="O416" s="182" t="str">
        <f t="shared" si="75"/>
        <v/>
      </c>
      <c r="P416" s="182" t="str">
        <f t="shared" si="76"/>
        <v/>
      </c>
      <c r="Q416" s="182" t="str">
        <f t="shared" si="77"/>
        <v/>
      </c>
      <c r="R416" s="182" t="str">
        <f t="shared" si="78"/>
        <v/>
      </c>
      <c r="S416" s="182" t="str">
        <f t="shared" si="79"/>
        <v/>
      </c>
      <c r="T416" s="182" t="str">
        <f t="shared" si="80"/>
        <v/>
      </c>
      <c r="U416" s="182" t="str">
        <f t="shared" si="81"/>
        <v/>
      </c>
      <c r="V416" s="182" t="str">
        <f t="shared" si="82"/>
        <v/>
      </c>
      <c r="W416" s="182" t="str">
        <f t="shared" si="83"/>
        <v/>
      </c>
    </row>
    <row r="417" spans="1:23" x14ac:dyDescent="0.2">
      <c r="A417" s="181"/>
      <c r="B417" s="181"/>
      <c r="C417" s="181"/>
      <c r="D417" s="181"/>
      <c r="E417" s="181"/>
      <c r="F417" s="181"/>
      <c r="G417" s="181"/>
      <c r="K417" s="182">
        <v>416</v>
      </c>
      <c r="L417" s="182" t="str">
        <f t="shared" si="72"/>
        <v/>
      </c>
      <c r="M417" s="182" t="str">
        <f t="shared" si="73"/>
        <v/>
      </c>
      <c r="N417" s="182" t="str">
        <f t="shared" si="74"/>
        <v/>
      </c>
      <c r="O417" s="182" t="str">
        <f t="shared" si="75"/>
        <v/>
      </c>
      <c r="P417" s="182" t="str">
        <f t="shared" si="76"/>
        <v/>
      </c>
      <c r="Q417" s="182" t="str">
        <f t="shared" si="77"/>
        <v/>
      </c>
      <c r="R417" s="182" t="str">
        <f t="shared" si="78"/>
        <v/>
      </c>
      <c r="S417" s="182" t="str">
        <f t="shared" si="79"/>
        <v/>
      </c>
      <c r="T417" s="182" t="str">
        <f t="shared" si="80"/>
        <v/>
      </c>
      <c r="U417" s="182" t="str">
        <f t="shared" si="81"/>
        <v/>
      </c>
      <c r="V417" s="182" t="str">
        <f t="shared" si="82"/>
        <v/>
      </c>
      <c r="W417" s="182" t="str">
        <f t="shared" si="83"/>
        <v/>
      </c>
    </row>
    <row r="418" spans="1:23" x14ac:dyDescent="0.2">
      <c r="A418" s="181"/>
      <c r="B418" s="181"/>
      <c r="C418" s="181"/>
      <c r="D418" s="181"/>
      <c r="E418" s="181"/>
      <c r="F418" s="181"/>
      <c r="G418" s="181"/>
      <c r="K418" s="182">
        <v>417</v>
      </c>
      <c r="L418" s="182" t="str">
        <f t="shared" si="72"/>
        <v/>
      </c>
      <c r="M418" s="182" t="str">
        <f t="shared" si="73"/>
        <v/>
      </c>
      <c r="N418" s="182" t="str">
        <f t="shared" si="74"/>
        <v/>
      </c>
      <c r="O418" s="182" t="str">
        <f t="shared" si="75"/>
        <v/>
      </c>
      <c r="P418" s="182" t="str">
        <f t="shared" si="76"/>
        <v/>
      </c>
      <c r="Q418" s="182" t="str">
        <f t="shared" si="77"/>
        <v/>
      </c>
      <c r="R418" s="182" t="str">
        <f t="shared" si="78"/>
        <v/>
      </c>
      <c r="S418" s="182" t="str">
        <f t="shared" si="79"/>
        <v/>
      </c>
      <c r="T418" s="182" t="str">
        <f t="shared" si="80"/>
        <v/>
      </c>
      <c r="U418" s="182" t="str">
        <f t="shared" si="81"/>
        <v/>
      </c>
      <c r="V418" s="182" t="str">
        <f t="shared" si="82"/>
        <v/>
      </c>
      <c r="W418" s="182" t="str">
        <f t="shared" si="83"/>
        <v/>
      </c>
    </row>
    <row r="419" spans="1:23" x14ac:dyDescent="0.2">
      <c r="A419" s="181"/>
      <c r="B419" s="181"/>
      <c r="C419" s="181"/>
      <c r="D419" s="181"/>
      <c r="E419" s="181"/>
      <c r="F419" s="181"/>
      <c r="G419" s="181"/>
      <c r="K419" s="182">
        <v>418</v>
      </c>
      <c r="L419" s="182" t="str">
        <f t="shared" si="72"/>
        <v/>
      </c>
      <c r="M419" s="182" t="str">
        <f t="shared" si="73"/>
        <v/>
      </c>
      <c r="N419" s="182" t="str">
        <f t="shared" si="74"/>
        <v/>
      </c>
      <c r="O419" s="182" t="str">
        <f t="shared" si="75"/>
        <v/>
      </c>
      <c r="P419" s="182" t="str">
        <f t="shared" si="76"/>
        <v/>
      </c>
      <c r="Q419" s="182" t="str">
        <f t="shared" si="77"/>
        <v/>
      </c>
      <c r="R419" s="182" t="str">
        <f t="shared" si="78"/>
        <v/>
      </c>
      <c r="S419" s="182" t="str">
        <f t="shared" si="79"/>
        <v/>
      </c>
      <c r="T419" s="182" t="str">
        <f t="shared" si="80"/>
        <v/>
      </c>
      <c r="U419" s="182" t="str">
        <f t="shared" si="81"/>
        <v/>
      </c>
      <c r="V419" s="182" t="str">
        <f t="shared" si="82"/>
        <v/>
      </c>
      <c r="W419" s="182" t="str">
        <f t="shared" si="83"/>
        <v/>
      </c>
    </row>
    <row r="420" spans="1:23" x14ac:dyDescent="0.2">
      <c r="A420" s="181"/>
      <c r="B420" s="181"/>
      <c r="C420" s="181"/>
      <c r="D420" s="181"/>
      <c r="E420" s="181"/>
      <c r="F420" s="181"/>
      <c r="G420" s="181"/>
      <c r="K420" s="182">
        <v>419</v>
      </c>
      <c r="L420" s="182" t="str">
        <f t="shared" si="72"/>
        <v/>
      </c>
      <c r="M420" s="182" t="str">
        <f t="shared" si="73"/>
        <v/>
      </c>
      <c r="N420" s="182" t="str">
        <f t="shared" si="74"/>
        <v/>
      </c>
      <c r="O420" s="182" t="str">
        <f t="shared" si="75"/>
        <v/>
      </c>
      <c r="P420" s="182" t="str">
        <f t="shared" si="76"/>
        <v/>
      </c>
      <c r="Q420" s="182" t="str">
        <f t="shared" si="77"/>
        <v/>
      </c>
      <c r="R420" s="182" t="str">
        <f t="shared" si="78"/>
        <v/>
      </c>
      <c r="S420" s="182" t="str">
        <f t="shared" si="79"/>
        <v/>
      </c>
      <c r="T420" s="182" t="str">
        <f t="shared" si="80"/>
        <v/>
      </c>
      <c r="U420" s="182" t="str">
        <f t="shared" si="81"/>
        <v/>
      </c>
      <c r="V420" s="182" t="str">
        <f t="shared" si="82"/>
        <v/>
      </c>
      <c r="W420" s="182" t="str">
        <f t="shared" si="83"/>
        <v/>
      </c>
    </row>
    <row r="421" spans="1:23" x14ac:dyDescent="0.2">
      <c r="A421" s="181"/>
      <c r="B421" s="181"/>
      <c r="C421" s="181"/>
      <c r="D421" s="181"/>
      <c r="E421" s="181"/>
      <c r="F421" s="181"/>
      <c r="G421" s="181"/>
      <c r="K421" s="182">
        <v>420</v>
      </c>
      <c r="L421" s="182" t="str">
        <f t="shared" si="72"/>
        <v/>
      </c>
      <c r="M421" s="182" t="str">
        <f t="shared" si="73"/>
        <v/>
      </c>
      <c r="N421" s="182" t="str">
        <f t="shared" si="74"/>
        <v/>
      </c>
      <c r="O421" s="182" t="str">
        <f t="shared" si="75"/>
        <v/>
      </c>
      <c r="P421" s="182" t="str">
        <f t="shared" si="76"/>
        <v/>
      </c>
      <c r="Q421" s="182" t="str">
        <f t="shared" si="77"/>
        <v/>
      </c>
      <c r="R421" s="182" t="str">
        <f t="shared" si="78"/>
        <v/>
      </c>
      <c r="S421" s="182" t="str">
        <f t="shared" si="79"/>
        <v/>
      </c>
      <c r="T421" s="182" t="str">
        <f t="shared" si="80"/>
        <v/>
      </c>
      <c r="U421" s="182" t="str">
        <f t="shared" si="81"/>
        <v/>
      </c>
      <c r="V421" s="182" t="str">
        <f t="shared" si="82"/>
        <v/>
      </c>
      <c r="W421" s="182" t="str">
        <f t="shared" si="83"/>
        <v/>
      </c>
    </row>
    <row r="422" spans="1:23" x14ac:dyDescent="0.2">
      <c r="A422" s="181"/>
      <c r="B422" s="181"/>
      <c r="C422" s="181"/>
      <c r="D422" s="181"/>
      <c r="E422" s="181"/>
      <c r="F422" s="181"/>
      <c r="G422" s="181"/>
      <c r="K422" s="182">
        <v>421</v>
      </c>
      <c r="L422" s="182" t="str">
        <f t="shared" si="72"/>
        <v/>
      </c>
      <c r="M422" s="182" t="str">
        <f t="shared" si="73"/>
        <v/>
      </c>
      <c r="N422" s="182" t="str">
        <f t="shared" si="74"/>
        <v/>
      </c>
      <c r="O422" s="182" t="str">
        <f t="shared" si="75"/>
        <v/>
      </c>
      <c r="P422" s="182" t="str">
        <f t="shared" si="76"/>
        <v/>
      </c>
      <c r="Q422" s="182" t="str">
        <f t="shared" si="77"/>
        <v/>
      </c>
      <c r="R422" s="182" t="str">
        <f t="shared" si="78"/>
        <v/>
      </c>
      <c r="S422" s="182" t="str">
        <f t="shared" si="79"/>
        <v/>
      </c>
      <c r="T422" s="182" t="str">
        <f t="shared" si="80"/>
        <v/>
      </c>
      <c r="U422" s="182" t="str">
        <f t="shared" si="81"/>
        <v/>
      </c>
      <c r="V422" s="182" t="str">
        <f t="shared" si="82"/>
        <v/>
      </c>
      <c r="W422" s="182" t="str">
        <f t="shared" si="83"/>
        <v/>
      </c>
    </row>
    <row r="423" spans="1:23" x14ac:dyDescent="0.2">
      <c r="A423" s="181"/>
      <c r="B423" s="181"/>
      <c r="C423" s="181"/>
      <c r="D423" s="181"/>
      <c r="E423" s="181"/>
      <c r="F423" s="181"/>
      <c r="G423" s="181"/>
      <c r="K423" s="182">
        <v>422</v>
      </c>
      <c r="L423" s="182" t="str">
        <f t="shared" si="72"/>
        <v/>
      </c>
      <c r="M423" s="182" t="str">
        <f t="shared" si="73"/>
        <v/>
      </c>
      <c r="N423" s="182" t="str">
        <f t="shared" si="74"/>
        <v/>
      </c>
      <c r="O423" s="182" t="str">
        <f t="shared" si="75"/>
        <v/>
      </c>
      <c r="P423" s="182" t="str">
        <f t="shared" si="76"/>
        <v/>
      </c>
      <c r="Q423" s="182" t="str">
        <f t="shared" si="77"/>
        <v/>
      </c>
      <c r="R423" s="182" t="str">
        <f t="shared" si="78"/>
        <v/>
      </c>
      <c r="S423" s="182" t="str">
        <f t="shared" si="79"/>
        <v/>
      </c>
      <c r="T423" s="182" t="str">
        <f t="shared" si="80"/>
        <v/>
      </c>
      <c r="U423" s="182" t="str">
        <f t="shared" si="81"/>
        <v/>
      </c>
      <c r="V423" s="182" t="str">
        <f t="shared" si="82"/>
        <v/>
      </c>
      <c r="W423" s="182" t="str">
        <f t="shared" si="83"/>
        <v/>
      </c>
    </row>
    <row r="424" spans="1:23" x14ac:dyDescent="0.2">
      <c r="A424" s="181"/>
      <c r="B424" s="181"/>
      <c r="C424" s="181"/>
      <c r="D424" s="181"/>
      <c r="E424" s="181"/>
      <c r="F424" s="181"/>
      <c r="G424" s="181"/>
      <c r="K424" s="182">
        <v>423</v>
      </c>
      <c r="L424" s="182" t="str">
        <f t="shared" si="72"/>
        <v/>
      </c>
      <c r="M424" s="182" t="str">
        <f t="shared" si="73"/>
        <v/>
      </c>
      <c r="N424" s="182" t="str">
        <f t="shared" si="74"/>
        <v/>
      </c>
      <c r="O424" s="182" t="str">
        <f t="shared" si="75"/>
        <v/>
      </c>
      <c r="P424" s="182" t="str">
        <f t="shared" si="76"/>
        <v/>
      </c>
      <c r="Q424" s="182" t="str">
        <f t="shared" si="77"/>
        <v/>
      </c>
      <c r="R424" s="182" t="str">
        <f t="shared" si="78"/>
        <v/>
      </c>
      <c r="S424" s="182" t="str">
        <f t="shared" si="79"/>
        <v/>
      </c>
      <c r="T424" s="182" t="str">
        <f t="shared" si="80"/>
        <v/>
      </c>
      <c r="U424" s="182" t="str">
        <f t="shared" si="81"/>
        <v/>
      </c>
      <c r="V424" s="182" t="str">
        <f t="shared" si="82"/>
        <v/>
      </c>
      <c r="W424" s="182" t="str">
        <f t="shared" si="83"/>
        <v/>
      </c>
    </row>
    <row r="425" spans="1:23" x14ac:dyDescent="0.2">
      <c r="A425" s="181"/>
      <c r="B425" s="181"/>
      <c r="C425" s="181"/>
      <c r="D425" s="181"/>
      <c r="E425" s="181"/>
      <c r="F425" s="181"/>
      <c r="G425" s="181"/>
      <c r="K425" s="182">
        <v>424</v>
      </c>
      <c r="L425" s="182" t="str">
        <f t="shared" si="72"/>
        <v/>
      </c>
      <c r="M425" s="182" t="str">
        <f t="shared" si="73"/>
        <v/>
      </c>
      <c r="N425" s="182" t="str">
        <f t="shared" si="74"/>
        <v/>
      </c>
      <c r="O425" s="182" t="str">
        <f t="shared" si="75"/>
        <v/>
      </c>
      <c r="P425" s="182" t="str">
        <f t="shared" si="76"/>
        <v/>
      </c>
      <c r="Q425" s="182" t="str">
        <f t="shared" si="77"/>
        <v/>
      </c>
      <c r="R425" s="182" t="str">
        <f t="shared" si="78"/>
        <v/>
      </c>
      <c r="S425" s="182" t="str">
        <f t="shared" si="79"/>
        <v/>
      </c>
      <c r="T425" s="182" t="str">
        <f t="shared" si="80"/>
        <v/>
      </c>
      <c r="U425" s="182" t="str">
        <f t="shared" si="81"/>
        <v/>
      </c>
      <c r="V425" s="182" t="str">
        <f t="shared" si="82"/>
        <v/>
      </c>
      <c r="W425" s="182" t="str">
        <f t="shared" si="83"/>
        <v/>
      </c>
    </row>
    <row r="426" spans="1:23" x14ac:dyDescent="0.2">
      <c r="A426" s="181"/>
      <c r="B426" s="181"/>
      <c r="C426" s="181"/>
      <c r="D426" s="181"/>
      <c r="E426" s="181"/>
      <c r="F426" s="181"/>
      <c r="G426" s="181"/>
      <c r="K426" s="182">
        <v>425</v>
      </c>
      <c r="L426" s="182" t="str">
        <f t="shared" si="72"/>
        <v/>
      </c>
      <c r="M426" s="182" t="str">
        <f t="shared" si="73"/>
        <v/>
      </c>
      <c r="N426" s="182" t="str">
        <f t="shared" si="74"/>
        <v/>
      </c>
      <c r="O426" s="182" t="str">
        <f t="shared" si="75"/>
        <v/>
      </c>
      <c r="P426" s="182" t="str">
        <f t="shared" si="76"/>
        <v/>
      </c>
      <c r="Q426" s="182" t="str">
        <f t="shared" si="77"/>
        <v/>
      </c>
      <c r="R426" s="182" t="str">
        <f t="shared" si="78"/>
        <v/>
      </c>
      <c r="S426" s="182" t="str">
        <f t="shared" si="79"/>
        <v/>
      </c>
      <c r="T426" s="182" t="str">
        <f t="shared" si="80"/>
        <v/>
      </c>
      <c r="U426" s="182" t="str">
        <f t="shared" si="81"/>
        <v/>
      </c>
      <c r="V426" s="182" t="str">
        <f t="shared" si="82"/>
        <v/>
      </c>
      <c r="W426" s="182" t="str">
        <f t="shared" si="83"/>
        <v/>
      </c>
    </row>
    <row r="427" spans="1:23" x14ac:dyDescent="0.2">
      <c r="A427" s="181"/>
      <c r="B427" s="181"/>
      <c r="C427" s="181"/>
      <c r="D427" s="181"/>
      <c r="E427" s="181"/>
      <c r="F427" s="181"/>
      <c r="G427" s="181"/>
      <c r="K427" s="182">
        <v>426</v>
      </c>
      <c r="L427" s="182" t="str">
        <f t="shared" si="72"/>
        <v/>
      </c>
      <c r="M427" s="182" t="str">
        <f t="shared" si="73"/>
        <v/>
      </c>
      <c r="N427" s="182" t="str">
        <f t="shared" si="74"/>
        <v/>
      </c>
      <c r="O427" s="182" t="str">
        <f t="shared" si="75"/>
        <v/>
      </c>
      <c r="P427" s="182" t="str">
        <f t="shared" si="76"/>
        <v/>
      </c>
      <c r="Q427" s="182" t="str">
        <f t="shared" si="77"/>
        <v/>
      </c>
      <c r="R427" s="182" t="str">
        <f t="shared" si="78"/>
        <v/>
      </c>
      <c r="S427" s="182" t="str">
        <f t="shared" si="79"/>
        <v/>
      </c>
      <c r="T427" s="182" t="str">
        <f t="shared" si="80"/>
        <v/>
      </c>
      <c r="U427" s="182" t="str">
        <f t="shared" si="81"/>
        <v/>
      </c>
      <c r="V427" s="182" t="str">
        <f t="shared" si="82"/>
        <v/>
      </c>
      <c r="W427" s="182" t="str">
        <f t="shared" si="83"/>
        <v/>
      </c>
    </row>
    <row r="428" spans="1:23" x14ac:dyDescent="0.2">
      <c r="A428" s="181"/>
      <c r="B428" s="181"/>
      <c r="C428" s="181"/>
      <c r="D428" s="181"/>
      <c r="E428" s="181"/>
      <c r="F428" s="181"/>
      <c r="G428" s="181"/>
      <c r="K428" s="182">
        <v>427</v>
      </c>
      <c r="L428" s="182" t="str">
        <f t="shared" si="72"/>
        <v/>
      </c>
      <c r="M428" s="182" t="str">
        <f t="shared" si="73"/>
        <v/>
      </c>
      <c r="N428" s="182" t="str">
        <f t="shared" si="74"/>
        <v/>
      </c>
      <c r="O428" s="182" t="str">
        <f t="shared" si="75"/>
        <v/>
      </c>
      <c r="P428" s="182" t="str">
        <f t="shared" si="76"/>
        <v/>
      </c>
      <c r="Q428" s="182" t="str">
        <f t="shared" si="77"/>
        <v/>
      </c>
      <c r="R428" s="182" t="str">
        <f t="shared" si="78"/>
        <v/>
      </c>
      <c r="S428" s="182" t="str">
        <f t="shared" si="79"/>
        <v/>
      </c>
      <c r="T428" s="182" t="str">
        <f t="shared" si="80"/>
        <v/>
      </c>
      <c r="U428" s="182" t="str">
        <f t="shared" si="81"/>
        <v/>
      </c>
      <c r="V428" s="182" t="str">
        <f t="shared" si="82"/>
        <v/>
      </c>
      <c r="W428" s="182" t="str">
        <f t="shared" si="83"/>
        <v/>
      </c>
    </row>
    <row r="429" spans="1:23" x14ac:dyDescent="0.2">
      <c r="A429" s="181"/>
      <c r="B429" s="181"/>
      <c r="C429" s="181"/>
      <c r="D429" s="181"/>
      <c r="E429" s="181"/>
      <c r="F429" s="181"/>
      <c r="G429" s="181"/>
      <c r="K429" s="182">
        <v>428</v>
      </c>
      <c r="L429" s="182" t="str">
        <f t="shared" si="72"/>
        <v/>
      </c>
      <c r="M429" s="182" t="str">
        <f t="shared" si="73"/>
        <v/>
      </c>
      <c r="N429" s="182" t="str">
        <f t="shared" si="74"/>
        <v/>
      </c>
      <c r="O429" s="182" t="str">
        <f t="shared" si="75"/>
        <v/>
      </c>
      <c r="P429" s="182" t="str">
        <f t="shared" si="76"/>
        <v/>
      </c>
      <c r="Q429" s="182" t="str">
        <f t="shared" si="77"/>
        <v/>
      </c>
      <c r="R429" s="182" t="str">
        <f t="shared" si="78"/>
        <v/>
      </c>
      <c r="S429" s="182" t="str">
        <f t="shared" si="79"/>
        <v/>
      </c>
      <c r="T429" s="182" t="str">
        <f t="shared" si="80"/>
        <v/>
      </c>
      <c r="U429" s="182" t="str">
        <f t="shared" si="81"/>
        <v/>
      </c>
      <c r="V429" s="182" t="str">
        <f t="shared" si="82"/>
        <v/>
      </c>
      <c r="W429" s="182" t="str">
        <f t="shared" si="83"/>
        <v/>
      </c>
    </row>
    <row r="430" spans="1:23" x14ac:dyDescent="0.2">
      <c r="A430" s="181"/>
      <c r="B430" s="181"/>
      <c r="C430" s="181"/>
      <c r="D430" s="181"/>
      <c r="E430" s="181"/>
      <c r="F430" s="181"/>
      <c r="G430" s="181"/>
      <c r="K430" s="182">
        <v>429</v>
      </c>
      <c r="L430" s="182" t="str">
        <f t="shared" si="72"/>
        <v/>
      </c>
      <c r="M430" s="182" t="str">
        <f t="shared" si="73"/>
        <v/>
      </c>
      <c r="N430" s="182" t="str">
        <f t="shared" si="74"/>
        <v/>
      </c>
      <c r="O430" s="182" t="str">
        <f t="shared" si="75"/>
        <v/>
      </c>
      <c r="P430" s="182" t="str">
        <f t="shared" si="76"/>
        <v/>
      </c>
      <c r="Q430" s="182" t="str">
        <f t="shared" si="77"/>
        <v/>
      </c>
      <c r="R430" s="182" t="str">
        <f t="shared" si="78"/>
        <v/>
      </c>
      <c r="S430" s="182" t="str">
        <f t="shared" si="79"/>
        <v/>
      </c>
      <c r="T430" s="182" t="str">
        <f t="shared" si="80"/>
        <v/>
      </c>
      <c r="U430" s="182" t="str">
        <f t="shared" si="81"/>
        <v/>
      </c>
      <c r="V430" s="182" t="str">
        <f t="shared" si="82"/>
        <v/>
      </c>
      <c r="W430" s="182" t="str">
        <f t="shared" si="83"/>
        <v/>
      </c>
    </row>
    <row r="431" spans="1:23" x14ac:dyDescent="0.2">
      <c r="A431" s="181"/>
      <c r="B431" s="181"/>
      <c r="C431" s="181"/>
      <c r="D431" s="181"/>
      <c r="E431" s="181"/>
      <c r="F431" s="181"/>
      <c r="G431" s="181"/>
      <c r="K431" s="182">
        <v>430</v>
      </c>
      <c r="L431" s="182" t="str">
        <f t="shared" si="72"/>
        <v/>
      </c>
      <c r="M431" s="182" t="str">
        <f t="shared" si="73"/>
        <v/>
      </c>
      <c r="N431" s="182" t="str">
        <f t="shared" si="74"/>
        <v/>
      </c>
      <c r="O431" s="182" t="str">
        <f t="shared" si="75"/>
        <v/>
      </c>
      <c r="P431" s="182" t="str">
        <f t="shared" si="76"/>
        <v/>
      </c>
      <c r="Q431" s="182" t="str">
        <f t="shared" si="77"/>
        <v/>
      </c>
      <c r="R431" s="182" t="str">
        <f t="shared" si="78"/>
        <v/>
      </c>
      <c r="S431" s="182" t="str">
        <f t="shared" si="79"/>
        <v/>
      </c>
      <c r="T431" s="182" t="str">
        <f t="shared" si="80"/>
        <v/>
      </c>
      <c r="U431" s="182" t="str">
        <f t="shared" si="81"/>
        <v/>
      </c>
      <c r="V431" s="182" t="str">
        <f t="shared" si="82"/>
        <v/>
      </c>
      <c r="W431" s="182" t="str">
        <f t="shared" si="83"/>
        <v/>
      </c>
    </row>
    <row r="432" spans="1:23" x14ac:dyDescent="0.2">
      <c r="A432" s="181"/>
      <c r="B432" s="181"/>
      <c r="C432" s="181"/>
      <c r="D432" s="181"/>
      <c r="E432" s="181"/>
      <c r="F432" s="181"/>
      <c r="G432" s="181"/>
      <c r="K432" s="182">
        <v>431</v>
      </c>
      <c r="L432" s="182" t="str">
        <f t="shared" si="72"/>
        <v/>
      </c>
      <c r="M432" s="182" t="str">
        <f t="shared" si="73"/>
        <v/>
      </c>
      <c r="N432" s="182" t="str">
        <f t="shared" si="74"/>
        <v/>
      </c>
      <c r="O432" s="182" t="str">
        <f t="shared" si="75"/>
        <v/>
      </c>
      <c r="P432" s="182" t="str">
        <f t="shared" si="76"/>
        <v/>
      </c>
      <c r="Q432" s="182" t="str">
        <f t="shared" si="77"/>
        <v/>
      </c>
      <c r="R432" s="182" t="str">
        <f t="shared" si="78"/>
        <v/>
      </c>
      <c r="S432" s="182" t="str">
        <f t="shared" si="79"/>
        <v/>
      </c>
      <c r="T432" s="182" t="str">
        <f t="shared" si="80"/>
        <v/>
      </c>
      <c r="U432" s="182" t="str">
        <f t="shared" si="81"/>
        <v/>
      </c>
      <c r="V432" s="182" t="str">
        <f t="shared" si="82"/>
        <v/>
      </c>
      <c r="W432" s="182" t="str">
        <f t="shared" si="83"/>
        <v/>
      </c>
    </row>
    <row r="433" spans="1:23" x14ac:dyDescent="0.2">
      <c r="A433" s="181"/>
      <c r="B433" s="181"/>
      <c r="C433" s="181"/>
      <c r="D433" s="181"/>
      <c r="E433" s="181"/>
      <c r="F433" s="181"/>
      <c r="G433" s="181"/>
      <c r="K433" s="182">
        <v>432</v>
      </c>
      <c r="L433" s="182" t="str">
        <f t="shared" si="72"/>
        <v/>
      </c>
      <c r="M433" s="182" t="str">
        <f t="shared" si="73"/>
        <v/>
      </c>
      <c r="N433" s="182" t="str">
        <f t="shared" si="74"/>
        <v/>
      </c>
      <c r="O433" s="182" t="str">
        <f t="shared" si="75"/>
        <v/>
      </c>
      <c r="P433" s="182" t="str">
        <f t="shared" si="76"/>
        <v/>
      </c>
      <c r="Q433" s="182" t="str">
        <f t="shared" si="77"/>
        <v/>
      </c>
      <c r="R433" s="182" t="str">
        <f t="shared" si="78"/>
        <v/>
      </c>
      <c r="S433" s="182" t="str">
        <f t="shared" si="79"/>
        <v/>
      </c>
      <c r="T433" s="182" t="str">
        <f t="shared" si="80"/>
        <v/>
      </c>
      <c r="U433" s="182" t="str">
        <f t="shared" si="81"/>
        <v/>
      </c>
      <c r="V433" s="182" t="str">
        <f t="shared" si="82"/>
        <v/>
      </c>
      <c r="W433" s="182" t="str">
        <f t="shared" si="83"/>
        <v/>
      </c>
    </row>
    <row r="434" spans="1:23" x14ac:dyDescent="0.2">
      <c r="A434" s="181"/>
      <c r="B434" s="181"/>
      <c r="C434" s="181"/>
      <c r="D434" s="181"/>
      <c r="E434" s="181"/>
      <c r="F434" s="181"/>
      <c r="G434" s="181"/>
      <c r="K434" s="182">
        <v>433</v>
      </c>
      <c r="L434" s="182" t="str">
        <f t="shared" si="72"/>
        <v/>
      </c>
      <c r="M434" s="182" t="str">
        <f t="shared" si="73"/>
        <v/>
      </c>
      <c r="N434" s="182" t="str">
        <f t="shared" si="74"/>
        <v/>
      </c>
      <c r="O434" s="182" t="str">
        <f t="shared" si="75"/>
        <v/>
      </c>
      <c r="P434" s="182" t="str">
        <f t="shared" si="76"/>
        <v/>
      </c>
      <c r="Q434" s="182" t="str">
        <f t="shared" si="77"/>
        <v/>
      </c>
      <c r="R434" s="182" t="str">
        <f t="shared" si="78"/>
        <v/>
      </c>
      <c r="S434" s="182" t="str">
        <f t="shared" si="79"/>
        <v/>
      </c>
      <c r="T434" s="182" t="str">
        <f t="shared" si="80"/>
        <v/>
      </c>
      <c r="U434" s="182" t="str">
        <f t="shared" si="81"/>
        <v/>
      </c>
      <c r="V434" s="182" t="str">
        <f t="shared" si="82"/>
        <v/>
      </c>
      <c r="W434" s="182" t="str">
        <f t="shared" si="83"/>
        <v/>
      </c>
    </row>
    <row r="435" spans="1:23" x14ac:dyDescent="0.2">
      <c r="A435" s="181"/>
      <c r="B435" s="181"/>
      <c r="C435" s="181"/>
      <c r="D435" s="181"/>
      <c r="E435" s="181"/>
      <c r="F435" s="181"/>
      <c r="G435" s="181"/>
      <c r="K435" s="182">
        <v>434</v>
      </c>
      <c r="L435" s="182" t="str">
        <f t="shared" si="72"/>
        <v/>
      </c>
      <c r="M435" s="182" t="str">
        <f t="shared" si="73"/>
        <v/>
      </c>
      <c r="N435" s="182" t="str">
        <f t="shared" si="74"/>
        <v/>
      </c>
      <c r="O435" s="182" t="str">
        <f t="shared" si="75"/>
        <v/>
      </c>
      <c r="P435" s="182" t="str">
        <f t="shared" si="76"/>
        <v/>
      </c>
      <c r="Q435" s="182" t="str">
        <f t="shared" si="77"/>
        <v/>
      </c>
      <c r="R435" s="182" t="str">
        <f t="shared" si="78"/>
        <v/>
      </c>
      <c r="S435" s="182" t="str">
        <f t="shared" si="79"/>
        <v/>
      </c>
      <c r="T435" s="182" t="str">
        <f t="shared" si="80"/>
        <v/>
      </c>
      <c r="U435" s="182" t="str">
        <f t="shared" si="81"/>
        <v/>
      </c>
      <c r="V435" s="182" t="str">
        <f t="shared" si="82"/>
        <v/>
      </c>
      <c r="W435" s="182" t="str">
        <f t="shared" si="83"/>
        <v/>
      </c>
    </row>
    <row r="436" spans="1:23" x14ac:dyDescent="0.2">
      <c r="A436" s="181"/>
      <c r="B436" s="181"/>
      <c r="C436" s="181"/>
      <c r="D436" s="181"/>
      <c r="E436" s="181"/>
      <c r="F436" s="181"/>
      <c r="G436" s="181"/>
      <c r="K436" s="182">
        <v>435</v>
      </c>
      <c r="L436" s="182" t="str">
        <f t="shared" si="72"/>
        <v/>
      </c>
      <c r="M436" s="182" t="str">
        <f t="shared" si="73"/>
        <v/>
      </c>
      <c r="N436" s="182" t="str">
        <f t="shared" si="74"/>
        <v/>
      </c>
      <c r="O436" s="182" t="str">
        <f t="shared" si="75"/>
        <v/>
      </c>
      <c r="P436" s="182" t="str">
        <f t="shared" si="76"/>
        <v/>
      </c>
      <c r="Q436" s="182" t="str">
        <f t="shared" si="77"/>
        <v/>
      </c>
      <c r="R436" s="182" t="str">
        <f t="shared" si="78"/>
        <v/>
      </c>
      <c r="S436" s="182" t="str">
        <f t="shared" si="79"/>
        <v/>
      </c>
      <c r="T436" s="182" t="str">
        <f t="shared" si="80"/>
        <v/>
      </c>
      <c r="U436" s="182" t="str">
        <f t="shared" si="81"/>
        <v/>
      </c>
      <c r="V436" s="182" t="str">
        <f t="shared" si="82"/>
        <v/>
      </c>
      <c r="W436" s="182" t="str">
        <f t="shared" si="83"/>
        <v/>
      </c>
    </row>
    <row r="437" spans="1:23" x14ac:dyDescent="0.2">
      <c r="A437" s="181"/>
      <c r="B437" s="181"/>
      <c r="C437" s="181"/>
      <c r="D437" s="181"/>
      <c r="E437" s="181"/>
      <c r="F437" s="181"/>
      <c r="G437" s="181"/>
      <c r="K437" s="182">
        <v>436</v>
      </c>
      <c r="L437" s="182" t="str">
        <f t="shared" si="72"/>
        <v/>
      </c>
      <c r="M437" s="182" t="str">
        <f t="shared" si="73"/>
        <v/>
      </c>
      <c r="N437" s="182" t="str">
        <f t="shared" si="74"/>
        <v/>
      </c>
      <c r="O437" s="182" t="str">
        <f t="shared" si="75"/>
        <v/>
      </c>
      <c r="P437" s="182" t="str">
        <f t="shared" si="76"/>
        <v/>
      </c>
      <c r="Q437" s="182" t="str">
        <f t="shared" si="77"/>
        <v/>
      </c>
      <c r="R437" s="182" t="str">
        <f t="shared" si="78"/>
        <v/>
      </c>
      <c r="S437" s="182" t="str">
        <f t="shared" si="79"/>
        <v/>
      </c>
      <c r="T437" s="182" t="str">
        <f t="shared" si="80"/>
        <v/>
      </c>
      <c r="U437" s="182" t="str">
        <f t="shared" si="81"/>
        <v/>
      </c>
      <c r="V437" s="182" t="str">
        <f t="shared" si="82"/>
        <v/>
      </c>
      <c r="W437" s="182" t="str">
        <f t="shared" si="83"/>
        <v/>
      </c>
    </row>
    <row r="438" spans="1:23" x14ac:dyDescent="0.2">
      <c r="A438" s="181"/>
      <c r="B438" s="181"/>
      <c r="C438" s="181"/>
      <c r="D438" s="181"/>
      <c r="E438" s="181"/>
      <c r="F438" s="181"/>
      <c r="G438" s="181"/>
      <c r="K438" s="182">
        <v>437</v>
      </c>
      <c r="L438" s="182" t="str">
        <f t="shared" si="72"/>
        <v/>
      </c>
      <c r="M438" s="182" t="str">
        <f t="shared" si="73"/>
        <v/>
      </c>
      <c r="N438" s="182" t="str">
        <f t="shared" si="74"/>
        <v/>
      </c>
      <c r="O438" s="182" t="str">
        <f t="shared" si="75"/>
        <v/>
      </c>
      <c r="P438" s="182" t="str">
        <f t="shared" si="76"/>
        <v/>
      </c>
      <c r="Q438" s="182" t="str">
        <f t="shared" si="77"/>
        <v/>
      </c>
      <c r="R438" s="182" t="str">
        <f t="shared" si="78"/>
        <v/>
      </c>
      <c r="S438" s="182" t="str">
        <f t="shared" si="79"/>
        <v/>
      </c>
      <c r="T438" s="182" t="str">
        <f t="shared" si="80"/>
        <v/>
      </c>
      <c r="U438" s="182" t="str">
        <f t="shared" si="81"/>
        <v/>
      </c>
      <c r="V438" s="182" t="str">
        <f t="shared" si="82"/>
        <v/>
      </c>
      <c r="W438" s="182" t="str">
        <f t="shared" si="83"/>
        <v/>
      </c>
    </row>
    <row r="439" spans="1:23" x14ac:dyDescent="0.2">
      <c r="A439" s="181"/>
      <c r="B439" s="181"/>
      <c r="C439" s="181"/>
      <c r="D439" s="181"/>
      <c r="E439" s="181"/>
      <c r="F439" s="181"/>
      <c r="G439" s="181"/>
      <c r="K439" s="182">
        <v>438</v>
      </c>
      <c r="L439" s="182" t="str">
        <f t="shared" si="72"/>
        <v/>
      </c>
      <c r="M439" s="182" t="str">
        <f t="shared" si="73"/>
        <v/>
      </c>
      <c r="N439" s="182" t="str">
        <f t="shared" si="74"/>
        <v/>
      </c>
      <c r="O439" s="182" t="str">
        <f t="shared" si="75"/>
        <v/>
      </c>
      <c r="P439" s="182" t="str">
        <f t="shared" si="76"/>
        <v/>
      </c>
      <c r="Q439" s="182" t="str">
        <f t="shared" si="77"/>
        <v/>
      </c>
      <c r="R439" s="182" t="str">
        <f t="shared" si="78"/>
        <v/>
      </c>
      <c r="S439" s="182" t="str">
        <f t="shared" si="79"/>
        <v/>
      </c>
      <c r="T439" s="182" t="str">
        <f t="shared" si="80"/>
        <v/>
      </c>
      <c r="U439" s="182" t="str">
        <f t="shared" si="81"/>
        <v/>
      </c>
      <c r="V439" s="182" t="str">
        <f t="shared" si="82"/>
        <v/>
      </c>
      <c r="W439" s="182" t="str">
        <f t="shared" si="83"/>
        <v/>
      </c>
    </row>
    <row r="440" spans="1:23" x14ac:dyDescent="0.2">
      <c r="A440" s="181"/>
      <c r="B440" s="181"/>
      <c r="C440" s="181"/>
      <c r="D440" s="181"/>
      <c r="E440" s="181"/>
      <c r="F440" s="181"/>
      <c r="G440" s="181"/>
      <c r="K440" s="182">
        <v>439</v>
      </c>
      <c r="L440" s="182" t="str">
        <f t="shared" si="72"/>
        <v/>
      </c>
      <c r="M440" s="182" t="str">
        <f t="shared" si="73"/>
        <v/>
      </c>
      <c r="N440" s="182" t="str">
        <f t="shared" si="74"/>
        <v/>
      </c>
      <c r="O440" s="182" t="str">
        <f t="shared" si="75"/>
        <v/>
      </c>
      <c r="P440" s="182" t="str">
        <f t="shared" si="76"/>
        <v/>
      </c>
      <c r="Q440" s="182" t="str">
        <f t="shared" si="77"/>
        <v/>
      </c>
      <c r="R440" s="182" t="str">
        <f t="shared" si="78"/>
        <v/>
      </c>
      <c r="S440" s="182" t="str">
        <f t="shared" si="79"/>
        <v/>
      </c>
      <c r="T440" s="182" t="str">
        <f t="shared" si="80"/>
        <v/>
      </c>
      <c r="U440" s="182" t="str">
        <f t="shared" si="81"/>
        <v/>
      </c>
      <c r="V440" s="182" t="str">
        <f t="shared" si="82"/>
        <v/>
      </c>
      <c r="W440" s="182" t="str">
        <f t="shared" si="83"/>
        <v/>
      </c>
    </row>
    <row r="441" spans="1:23" x14ac:dyDescent="0.2">
      <c r="A441" s="181"/>
      <c r="B441" s="181"/>
      <c r="C441" s="181"/>
      <c r="D441" s="181"/>
      <c r="E441" s="181"/>
      <c r="F441" s="181"/>
      <c r="G441" s="181"/>
      <c r="K441" s="182">
        <v>440</v>
      </c>
      <c r="L441" s="182" t="str">
        <f t="shared" si="72"/>
        <v/>
      </c>
      <c r="M441" s="182" t="str">
        <f t="shared" si="73"/>
        <v/>
      </c>
      <c r="N441" s="182" t="str">
        <f t="shared" si="74"/>
        <v/>
      </c>
      <c r="O441" s="182" t="str">
        <f t="shared" si="75"/>
        <v/>
      </c>
      <c r="P441" s="182" t="str">
        <f t="shared" si="76"/>
        <v/>
      </c>
      <c r="Q441" s="182" t="str">
        <f t="shared" si="77"/>
        <v/>
      </c>
      <c r="R441" s="182" t="str">
        <f t="shared" si="78"/>
        <v/>
      </c>
      <c r="S441" s="182" t="str">
        <f t="shared" si="79"/>
        <v/>
      </c>
      <c r="T441" s="182" t="str">
        <f t="shared" si="80"/>
        <v/>
      </c>
      <c r="U441" s="182" t="str">
        <f t="shared" si="81"/>
        <v/>
      </c>
      <c r="V441" s="182" t="str">
        <f t="shared" si="82"/>
        <v/>
      </c>
      <c r="W441" s="182" t="str">
        <f t="shared" si="83"/>
        <v/>
      </c>
    </row>
    <row r="442" spans="1:23" x14ac:dyDescent="0.2">
      <c r="A442" s="181"/>
      <c r="B442" s="181"/>
      <c r="C442" s="181"/>
      <c r="D442" s="181"/>
      <c r="E442" s="181"/>
      <c r="F442" s="181"/>
      <c r="G442" s="181"/>
      <c r="K442" s="182">
        <v>441</v>
      </c>
      <c r="L442" s="182" t="str">
        <f t="shared" si="72"/>
        <v/>
      </c>
      <c r="M442" s="182" t="str">
        <f t="shared" si="73"/>
        <v/>
      </c>
      <c r="N442" s="182" t="str">
        <f t="shared" si="74"/>
        <v/>
      </c>
      <c r="O442" s="182" t="str">
        <f t="shared" si="75"/>
        <v/>
      </c>
      <c r="P442" s="182" t="str">
        <f t="shared" si="76"/>
        <v/>
      </c>
      <c r="Q442" s="182" t="str">
        <f t="shared" si="77"/>
        <v/>
      </c>
      <c r="R442" s="182" t="str">
        <f t="shared" si="78"/>
        <v/>
      </c>
      <c r="S442" s="182" t="str">
        <f t="shared" si="79"/>
        <v/>
      </c>
      <c r="T442" s="182" t="str">
        <f t="shared" si="80"/>
        <v/>
      </c>
      <c r="U442" s="182" t="str">
        <f t="shared" si="81"/>
        <v/>
      </c>
      <c r="V442" s="182" t="str">
        <f t="shared" si="82"/>
        <v/>
      </c>
      <c r="W442" s="182" t="str">
        <f t="shared" si="83"/>
        <v/>
      </c>
    </row>
    <row r="443" spans="1:23" x14ac:dyDescent="0.2">
      <c r="A443" s="181"/>
      <c r="B443" s="181"/>
      <c r="C443" s="181"/>
      <c r="D443" s="181"/>
      <c r="E443" s="181"/>
      <c r="F443" s="181"/>
      <c r="G443" s="181"/>
      <c r="K443" s="182">
        <v>442</v>
      </c>
      <c r="L443" s="182" t="str">
        <f t="shared" si="72"/>
        <v/>
      </c>
      <c r="M443" s="182" t="str">
        <f t="shared" si="73"/>
        <v/>
      </c>
      <c r="N443" s="182" t="str">
        <f t="shared" si="74"/>
        <v/>
      </c>
      <c r="O443" s="182" t="str">
        <f t="shared" si="75"/>
        <v/>
      </c>
      <c r="P443" s="182" t="str">
        <f t="shared" si="76"/>
        <v/>
      </c>
      <c r="Q443" s="182" t="str">
        <f t="shared" si="77"/>
        <v/>
      </c>
      <c r="R443" s="182" t="str">
        <f t="shared" si="78"/>
        <v/>
      </c>
      <c r="S443" s="182" t="str">
        <f t="shared" si="79"/>
        <v/>
      </c>
      <c r="T443" s="182" t="str">
        <f t="shared" si="80"/>
        <v/>
      </c>
      <c r="U443" s="182" t="str">
        <f t="shared" si="81"/>
        <v/>
      </c>
      <c r="V443" s="182" t="str">
        <f t="shared" si="82"/>
        <v/>
      </c>
      <c r="W443" s="182" t="str">
        <f t="shared" si="83"/>
        <v/>
      </c>
    </row>
    <row r="444" spans="1:23" x14ac:dyDescent="0.2">
      <c r="A444" s="181"/>
      <c r="B444" s="181"/>
      <c r="C444" s="181"/>
      <c r="D444" s="181"/>
      <c r="E444" s="181"/>
      <c r="F444" s="181"/>
      <c r="G444" s="181"/>
      <c r="K444" s="182">
        <v>443</v>
      </c>
      <c r="L444" s="182" t="str">
        <f t="shared" si="72"/>
        <v/>
      </c>
      <c r="M444" s="182" t="str">
        <f t="shared" si="73"/>
        <v/>
      </c>
      <c r="N444" s="182" t="str">
        <f t="shared" si="74"/>
        <v/>
      </c>
      <c r="O444" s="182" t="str">
        <f t="shared" si="75"/>
        <v/>
      </c>
      <c r="P444" s="182" t="str">
        <f t="shared" si="76"/>
        <v/>
      </c>
      <c r="Q444" s="182" t="str">
        <f t="shared" si="77"/>
        <v/>
      </c>
      <c r="R444" s="182" t="str">
        <f t="shared" si="78"/>
        <v/>
      </c>
      <c r="S444" s="182" t="str">
        <f t="shared" si="79"/>
        <v/>
      </c>
      <c r="T444" s="182" t="str">
        <f t="shared" si="80"/>
        <v/>
      </c>
      <c r="U444" s="182" t="str">
        <f t="shared" si="81"/>
        <v/>
      </c>
      <c r="V444" s="182" t="str">
        <f t="shared" si="82"/>
        <v/>
      </c>
      <c r="W444" s="182" t="str">
        <f t="shared" si="83"/>
        <v/>
      </c>
    </row>
    <row r="445" spans="1:23" x14ac:dyDescent="0.2">
      <c r="A445" s="181"/>
      <c r="B445" s="181"/>
      <c r="C445" s="181"/>
      <c r="D445" s="181"/>
      <c r="E445" s="181"/>
      <c r="F445" s="181"/>
      <c r="G445" s="181"/>
      <c r="K445" s="182">
        <v>444</v>
      </c>
      <c r="L445" s="182" t="str">
        <f t="shared" si="72"/>
        <v/>
      </c>
      <c r="M445" s="182" t="str">
        <f t="shared" si="73"/>
        <v/>
      </c>
      <c r="N445" s="182" t="str">
        <f t="shared" si="74"/>
        <v/>
      </c>
      <c r="O445" s="182" t="str">
        <f t="shared" si="75"/>
        <v/>
      </c>
      <c r="P445" s="182" t="str">
        <f t="shared" si="76"/>
        <v/>
      </c>
      <c r="Q445" s="182" t="str">
        <f t="shared" si="77"/>
        <v/>
      </c>
      <c r="R445" s="182" t="str">
        <f t="shared" si="78"/>
        <v/>
      </c>
      <c r="S445" s="182" t="str">
        <f t="shared" si="79"/>
        <v/>
      </c>
      <c r="T445" s="182" t="str">
        <f t="shared" si="80"/>
        <v/>
      </c>
      <c r="U445" s="182" t="str">
        <f t="shared" si="81"/>
        <v/>
      </c>
      <c r="V445" s="182" t="str">
        <f t="shared" si="82"/>
        <v/>
      </c>
      <c r="W445" s="182" t="str">
        <f t="shared" si="83"/>
        <v/>
      </c>
    </row>
    <row r="446" spans="1:23" x14ac:dyDescent="0.2">
      <c r="A446" s="181"/>
      <c r="B446" s="181"/>
      <c r="C446" s="181"/>
      <c r="D446" s="181"/>
      <c r="E446" s="181"/>
      <c r="F446" s="181"/>
      <c r="G446" s="181"/>
      <c r="K446" s="182">
        <v>445</v>
      </c>
      <c r="L446" s="182" t="str">
        <f t="shared" si="72"/>
        <v/>
      </c>
      <c r="M446" s="182" t="str">
        <f t="shared" si="73"/>
        <v/>
      </c>
      <c r="N446" s="182" t="str">
        <f t="shared" si="74"/>
        <v/>
      </c>
      <c r="O446" s="182" t="str">
        <f t="shared" si="75"/>
        <v/>
      </c>
      <c r="P446" s="182" t="str">
        <f t="shared" si="76"/>
        <v/>
      </c>
      <c r="Q446" s="182" t="str">
        <f t="shared" si="77"/>
        <v/>
      </c>
      <c r="R446" s="182" t="str">
        <f t="shared" si="78"/>
        <v/>
      </c>
      <c r="S446" s="182" t="str">
        <f t="shared" si="79"/>
        <v/>
      </c>
      <c r="T446" s="182" t="str">
        <f t="shared" si="80"/>
        <v/>
      </c>
      <c r="U446" s="182" t="str">
        <f t="shared" si="81"/>
        <v/>
      </c>
      <c r="V446" s="182" t="str">
        <f t="shared" si="82"/>
        <v/>
      </c>
      <c r="W446" s="182" t="str">
        <f t="shared" si="83"/>
        <v/>
      </c>
    </row>
    <row r="447" spans="1:23" x14ac:dyDescent="0.2">
      <c r="A447" s="181"/>
      <c r="B447" s="181"/>
      <c r="C447" s="181"/>
      <c r="D447" s="181"/>
      <c r="E447" s="181"/>
      <c r="F447" s="181"/>
      <c r="G447" s="181"/>
      <c r="K447" s="182">
        <v>446</v>
      </c>
      <c r="L447" s="182" t="str">
        <f t="shared" si="72"/>
        <v/>
      </c>
      <c r="M447" s="182" t="str">
        <f t="shared" si="73"/>
        <v/>
      </c>
      <c r="N447" s="182" t="str">
        <f t="shared" si="74"/>
        <v/>
      </c>
      <c r="O447" s="182" t="str">
        <f t="shared" si="75"/>
        <v/>
      </c>
      <c r="P447" s="182" t="str">
        <f t="shared" si="76"/>
        <v/>
      </c>
      <c r="Q447" s="182" t="str">
        <f t="shared" si="77"/>
        <v/>
      </c>
      <c r="R447" s="182" t="str">
        <f t="shared" si="78"/>
        <v/>
      </c>
      <c r="S447" s="182" t="str">
        <f t="shared" si="79"/>
        <v/>
      </c>
      <c r="T447" s="182" t="str">
        <f t="shared" si="80"/>
        <v/>
      </c>
      <c r="U447" s="182" t="str">
        <f t="shared" si="81"/>
        <v/>
      </c>
      <c r="V447" s="182" t="str">
        <f t="shared" si="82"/>
        <v/>
      </c>
      <c r="W447" s="182" t="str">
        <f t="shared" si="83"/>
        <v/>
      </c>
    </row>
    <row r="448" spans="1:23" x14ac:dyDescent="0.2">
      <c r="A448" s="181"/>
      <c r="B448" s="181"/>
      <c r="C448" s="181"/>
      <c r="D448" s="181"/>
      <c r="E448" s="181"/>
      <c r="F448" s="181"/>
      <c r="G448" s="181"/>
      <c r="K448" s="182">
        <v>447</v>
      </c>
      <c r="L448" s="182" t="str">
        <f t="shared" si="72"/>
        <v/>
      </c>
      <c r="M448" s="182" t="str">
        <f t="shared" si="73"/>
        <v/>
      </c>
      <c r="N448" s="182" t="str">
        <f t="shared" si="74"/>
        <v/>
      </c>
      <c r="O448" s="182" t="str">
        <f t="shared" si="75"/>
        <v/>
      </c>
      <c r="P448" s="182" t="str">
        <f t="shared" si="76"/>
        <v/>
      </c>
      <c r="Q448" s="182" t="str">
        <f t="shared" si="77"/>
        <v/>
      </c>
      <c r="R448" s="182" t="str">
        <f t="shared" si="78"/>
        <v/>
      </c>
      <c r="S448" s="182" t="str">
        <f t="shared" si="79"/>
        <v/>
      </c>
      <c r="T448" s="182" t="str">
        <f t="shared" si="80"/>
        <v/>
      </c>
      <c r="U448" s="182" t="str">
        <f t="shared" si="81"/>
        <v/>
      </c>
      <c r="V448" s="182" t="str">
        <f t="shared" si="82"/>
        <v/>
      </c>
      <c r="W448" s="182" t="str">
        <f t="shared" si="83"/>
        <v/>
      </c>
    </row>
    <row r="449" spans="1:23" x14ac:dyDescent="0.2">
      <c r="A449" s="181"/>
      <c r="B449" s="181"/>
      <c r="C449" s="181"/>
      <c r="D449" s="181"/>
      <c r="E449" s="181"/>
      <c r="F449" s="181"/>
      <c r="G449" s="181"/>
      <c r="K449" s="182">
        <v>448</v>
      </c>
      <c r="L449" s="182" t="str">
        <f t="shared" si="72"/>
        <v/>
      </c>
      <c r="M449" s="182" t="str">
        <f t="shared" si="73"/>
        <v/>
      </c>
      <c r="N449" s="182" t="str">
        <f t="shared" si="74"/>
        <v/>
      </c>
      <c r="O449" s="182" t="str">
        <f t="shared" si="75"/>
        <v/>
      </c>
      <c r="P449" s="182" t="str">
        <f t="shared" si="76"/>
        <v/>
      </c>
      <c r="Q449" s="182" t="str">
        <f t="shared" si="77"/>
        <v/>
      </c>
      <c r="R449" s="182" t="str">
        <f t="shared" si="78"/>
        <v/>
      </c>
      <c r="S449" s="182" t="str">
        <f t="shared" si="79"/>
        <v/>
      </c>
      <c r="T449" s="182" t="str">
        <f t="shared" si="80"/>
        <v/>
      </c>
      <c r="U449" s="182" t="str">
        <f t="shared" si="81"/>
        <v/>
      </c>
      <c r="V449" s="182" t="str">
        <f t="shared" si="82"/>
        <v/>
      </c>
      <c r="W449" s="182" t="str">
        <f t="shared" si="83"/>
        <v/>
      </c>
    </row>
    <row r="450" spans="1:23" x14ac:dyDescent="0.2">
      <c r="A450" s="181"/>
      <c r="B450" s="181"/>
      <c r="C450" s="181"/>
      <c r="D450" s="181"/>
      <c r="E450" s="181"/>
      <c r="F450" s="181"/>
      <c r="G450" s="181"/>
      <c r="K450" s="182">
        <v>449</v>
      </c>
      <c r="L450" s="182" t="str">
        <f t="shared" si="72"/>
        <v/>
      </c>
      <c r="M450" s="182" t="str">
        <f t="shared" si="73"/>
        <v/>
      </c>
      <c r="N450" s="182" t="str">
        <f t="shared" si="74"/>
        <v/>
      </c>
      <c r="O450" s="182" t="str">
        <f t="shared" si="75"/>
        <v/>
      </c>
      <c r="P450" s="182" t="str">
        <f t="shared" si="76"/>
        <v/>
      </c>
      <c r="Q450" s="182" t="str">
        <f t="shared" si="77"/>
        <v/>
      </c>
      <c r="R450" s="182" t="str">
        <f t="shared" si="78"/>
        <v/>
      </c>
      <c r="S450" s="182" t="str">
        <f t="shared" si="79"/>
        <v/>
      </c>
      <c r="T450" s="182" t="str">
        <f t="shared" si="80"/>
        <v/>
      </c>
      <c r="U450" s="182" t="str">
        <f t="shared" si="81"/>
        <v/>
      </c>
      <c r="V450" s="182" t="str">
        <f t="shared" si="82"/>
        <v/>
      </c>
      <c r="W450" s="182" t="str">
        <f t="shared" si="83"/>
        <v/>
      </c>
    </row>
    <row r="451" spans="1:23" x14ac:dyDescent="0.2">
      <c r="A451" s="181"/>
      <c r="B451" s="181"/>
      <c r="C451" s="181"/>
      <c r="D451" s="181"/>
      <c r="E451" s="181"/>
      <c r="F451" s="181"/>
      <c r="G451" s="181"/>
      <c r="K451" s="182">
        <v>450</v>
      </c>
      <c r="L451" s="182" t="str">
        <f t="shared" ref="L451:L514" si="84">IF($B$13&gt;=K451,K451,"")</f>
        <v/>
      </c>
      <c r="M451" s="182" t="str">
        <f t="shared" ref="M451:M514" si="85">IF(L451="","",IF(L451&lt;=$E$15,VLOOKUP($E$14,$I$1:$J$4,2,FALSE),VLOOKUP($F$14,$I$1:$J$4,2,FALSE)))</f>
        <v/>
      </c>
      <c r="N451" s="182" t="str">
        <f t="shared" ref="N451:N514" si="86">IF($B$20&gt;=K451,K451,"")</f>
        <v/>
      </c>
      <c r="O451" s="182" t="str">
        <f t="shared" ref="O451:O514" si="87">IF(N451="","",IF(N451&lt;=$E$22,VLOOKUP($E$21,$I$1:$J$4,2,FALSE),VLOOKUP($F$21,$I$1:$J$4,2,FALSE)))</f>
        <v/>
      </c>
      <c r="P451" s="182" t="str">
        <f t="shared" ref="P451:P514" si="88">IF($B$27&gt;=K451,K451,"")</f>
        <v/>
      </c>
      <c r="Q451" s="182" t="str">
        <f t="shared" ref="Q451:Q514" si="89">IF(P451="","",IF(P451&lt;=$E$29,VLOOKUP($E$28,$I$1:$J$4,2,FALSE),VLOOKUP($F$28,$I$1:$J$4,2,FALSE)))</f>
        <v/>
      </c>
      <c r="R451" s="182" t="str">
        <f t="shared" ref="R451:R514" si="90">IF($B$34&gt;=K451,K451,"")</f>
        <v/>
      </c>
      <c r="S451" s="182" t="str">
        <f t="shared" ref="S451:S514" si="91">IF(R451="","",IF(R451&lt;=$E$36,VLOOKUP($E$35,$I$1:$J$4,2,FALSE),VLOOKUP($F$35,$I$1:$J$4,2,FALSE)))</f>
        <v/>
      </c>
      <c r="T451" s="182" t="str">
        <f t="shared" ref="T451:T514" si="92">IF($B$41&gt;=K451,K451,"")</f>
        <v/>
      </c>
      <c r="U451" s="182" t="str">
        <f t="shared" ref="U451:U514" si="93">IF(T451="","",IF(T451&lt;=$E$43,VLOOKUP($E$42,$I$1:$J$4,2,FALSE),VLOOKUP($F$42,$I$1:$J$4,2,FALSE)))</f>
        <v/>
      </c>
      <c r="V451" s="182" t="str">
        <f t="shared" ref="V451:V514" si="94">IF($B$48&gt;=K451,K451,"")</f>
        <v/>
      </c>
      <c r="W451" s="182" t="str">
        <f t="shared" ref="W451:W514" si="95">IF(V451="","",IF(V451&lt;=$E$50,VLOOKUP($E$49,$I$1:$J$4,2,FALSE),VLOOKUP($F$49,$I$1:$J$4,2,FALSE)))</f>
        <v/>
      </c>
    </row>
    <row r="452" spans="1:23" x14ac:dyDescent="0.2">
      <c r="A452" s="181"/>
      <c r="B452" s="181"/>
      <c r="C452" s="181"/>
      <c r="D452" s="181"/>
      <c r="E452" s="181"/>
      <c r="F452" s="181"/>
      <c r="G452" s="181"/>
      <c r="K452" s="182">
        <v>451</v>
      </c>
      <c r="L452" s="182" t="str">
        <f t="shared" si="84"/>
        <v/>
      </c>
      <c r="M452" s="182" t="str">
        <f t="shared" si="85"/>
        <v/>
      </c>
      <c r="N452" s="182" t="str">
        <f t="shared" si="86"/>
        <v/>
      </c>
      <c r="O452" s="182" t="str">
        <f t="shared" si="87"/>
        <v/>
      </c>
      <c r="P452" s="182" t="str">
        <f t="shared" si="88"/>
        <v/>
      </c>
      <c r="Q452" s="182" t="str">
        <f t="shared" si="89"/>
        <v/>
      </c>
      <c r="R452" s="182" t="str">
        <f t="shared" si="90"/>
        <v/>
      </c>
      <c r="S452" s="182" t="str">
        <f t="shared" si="91"/>
        <v/>
      </c>
      <c r="T452" s="182" t="str">
        <f t="shared" si="92"/>
        <v/>
      </c>
      <c r="U452" s="182" t="str">
        <f t="shared" si="93"/>
        <v/>
      </c>
      <c r="V452" s="182" t="str">
        <f t="shared" si="94"/>
        <v/>
      </c>
      <c r="W452" s="182" t="str">
        <f t="shared" si="95"/>
        <v/>
      </c>
    </row>
    <row r="453" spans="1:23" x14ac:dyDescent="0.2">
      <c r="A453" s="181"/>
      <c r="B453" s="181"/>
      <c r="C453" s="181"/>
      <c r="D453" s="181"/>
      <c r="E453" s="181"/>
      <c r="F453" s="181"/>
      <c r="G453" s="181"/>
      <c r="K453" s="182">
        <v>452</v>
      </c>
      <c r="L453" s="182" t="str">
        <f t="shared" si="84"/>
        <v/>
      </c>
      <c r="M453" s="182" t="str">
        <f t="shared" si="85"/>
        <v/>
      </c>
      <c r="N453" s="182" t="str">
        <f t="shared" si="86"/>
        <v/>
      </c>
      <c r="O453" s="182" t="str">
        <f t="shared" si="87"/>
        <v/>
      </c>
      <c r="P453" s="182" t="str">
        <f t="shared" si="88"/>
        <v/>
      </c>
      <c r="Q453" s="182" t="str">
        <f t="shared" si="89"/>
        <v/>
      </c>
      <c r="R453" s="182" t="str">
        <f t="shared" si="90"/>
        <v/>
      </c>
      <c r="S453" s="182" t="str">
        <f t="shared" si="91"/>
        <v/>
      </c>
      <c r="T453" s="182" t="str">
        <f t="shared" si="92"/>
        <v/>
      </c>
      <c r="U453" s="182" t="str">
        <f t="shared" si="93"/>
        <v/>
      </c>
      <c r="V453" s="182" t="str">
        <f t="shared" si="94"/>
        <v/>
      </c>
      <c r="W453" s="182" t="str">
        <f t="shared" si="95"/>
        <v/>
      </c>
    </row>
    <row r="454" spans="1:23" x14ac:dyDescent="0.2">
      <c r="A454" s="181"/>
      <c r="B454" s="181"/>
      <c r="C454" s="181"/>
      <c r="D454" s="181"/>
      <c r="E454" s="181"/>
      <c r="F454" s="181"/>
      <c r="G454" s="181"/>
      <c r="K454" s="182">
        <v>453</v>
      </c>
      <c r="L454" s="182" t="str">
        <f t="shared" si="84"/>
        <v/>
      </c>
      <c r="M454" s="182" t="str">
        <f t="shared" si="85"/>
        <v/>
      </c>
      <c r="N454" s="182" t="str">
        <f t="shared" si="86"/>
        <v/>
      </c>
      <c r="O454" s="182" t="str">
        <f t="shared" si="87"/>
        <v/>
      </c>
      <c r="P454" s="182" t="str">
        <f t="shared" si="88"/>
        <v/>
      </c>
      <c r="Q454" s="182" t="str">
        <f t="shared" si="89"/>
        <v/>
      </c>
      <c r="R454" s="182" t="str">
        <f t="shared" si="90"/>
        <v/>
      </c>
      <c r="S454" s="182" t="str">
        <f t="shared" si="91"/>
        <v/>
      </c>
      <c r="T454" s="182" t="str">
        <f t="shared" si="92"/>
        <v/>
      </c>
      <c r="U454" s="182" t="str">
        <f t="shared" si="93"/>
        <v/>
      </c>
      <c r="V454" s="182" t="str">
        <f t="shared" si="94"/>
        <v/>
      </c>
      <c r="W454" s="182" t="str">
        <f t="shared" si="95"/>
        <v/>
      </c>
    </row>
    <row r="455" spans="1:23" x14ac:dyDescent="0.2">
      <c r="A455" s="181"/>
      <c r="B455" s="181"/>
      <c r="C455" s="181"/>
      <c r="D455" s="181"/>
      <c r="E455" s="181"/>
      <c r="F455" s="181"/>
      <c r="G455" s="181"/>
      <c r="K455" s="182">
        <v>454</v>
      </c>
      <c r="L455" s="182" t="str">
        <f t="shared" si="84"/>
        <v/>
      </c>
      <c r="M455" s="182" t="str">
        <f t="shared" si="85"/>
        <v/>
      </c>
      <c r="N455" s="182" t="str">
        <f t="shared" si="86"/>
        <v/>
      </c>
      <c r="O455" s="182" t="str">
        <f t="shared" si="87"/>
        <v/>
      </c>
      <c r="P455" s="182" t="str">
        <f t="shared" si="88"/>
        <v/>
      </c>
      <c r="Q455" s="182" t="str">
        <f t="shared" si="89"/>
        <v/>
      </c>
      <c r="R455" s="182" t="str">
        <f t="shared" si="90"/>
        <v/>
      </c>
      <c r="S455" s="182" t="str">
        <f t="shared" si="91"/>
        <v/>
      </c>
      <c r="T455" s="182" t="str">
        <f t="shared" si="92"/>
        <v/>
      </c>
      <c r="U455" s="182" t="str">
        <f t="shared" si="93"/>
        <v/>
      </c>
      <c r="V455" s="182" t="str">
        <f t="shared" si="94"/>
        <v/>
      </c>
      <c r="W455" s="182" t="str">
        <f t="shared" si="95"/>
        <v/>
      </c>
    </row>
    <row r="456" spans="1:23" x14ac:dyDescent="0.2">
      <c r="A456" s="181"/>
      <c r="B456" s="181"/>
      <c r="C456" s="181"/>
      <c r="D456" s="181"/>
      <c r="E456" s="181"/>
      <c r="F456" s="181"/>
      <c r="G456" s="181"/>
      <c r="K456" s="182">
        <v>455</v>
      </c>
      <c r="L456" s="182" t="str">
        <f t="shared" si="84"/>
        <v/>
      </c>
      <c r="M456" s="182" t="str">
        <f t="shared" si="85"/>
        <v/>
      </c>
      <c r="N456" s="182" t="str">
        <f t="shared" si="86"/>
        <v/>
      </c>
      <c r="O456" s="182" t="str">
        <f t="shared" si="87"/>
        <v/>
      </c>
      <c r="P456" s="182" t="str">
        <f t="shared" si="88"/>
        <v/>
      </c>
      <c r="Q456" s="182" t="str">
        <f t="shared" si="89"/>
        <v/>
      </c>
      <c r="R456" s="182" t="str">
        <f t="shared" si="90"/>
        <v/>
      </c>
      <c r="S456" s="182" t="str">
        <f t="shared" si="91"/>
        <v/>
      </c>
      <c r="T456" s="182" t="str">
        <f t="shared" si="92"/>
        <v/>
      </c>
      <c r="U456" s="182" t="str">
        <f t="shared" si="93"/>
        <v/>
      </c>
      <c r="V456" s="182" t="str">
        <f t="shared" si="94"/>
        <v/>
      </c>
      <c r="W456" s="182" t="str">
        <f t="shared" si="95"/>
        <v/>
      </c>
    </row>
    <row r="457" spans="1:23" x14ac:dyDescent="0.2">
      <c r="A457" s="181"/>
      <c r="B457" s="181"/>
      <c r="C457" s="181"/>
      <c r="D457" s="181"/>
      <c r="E457" s="181"/>
      <c r="F457" s="181"/>
      <c r="G457" s="181"/>
      <c r="K457" s="182">
        <v>456</v>
      </c>
      <c r="L457" s="182" t="str">
        <f t="shared" si="84"/>
        <v/>
      </c>
      <c r="M457" s="182" t="str">
        <f t="shared" si="85"/>
        <v/>
      </c>
      <c r="N457" s="182" t="str">
        <f t="shared" si="86"/>
        <v/>
      </c>
      <c r="O457" s="182" t="str">
        <f t="shared" si="87"/>
        <v/>
      </c>
      <c r="P457" s="182" t="str">
        <f t="shared" si="88"/>
        <v/>
      </c>
      <c r="Q457" s="182" t="str">
        <f t="shared" si="89"/>
        <v/>
      </c>
      <c r="R457" s="182" t="str">
        <f t="shared" si="90"/>
        <v/>
      </c>
      <c r="S457" s="182" t="str">
        <f t="shared" si="91"/>
        <v/>
      </c>
      <c r="T457" s="182" t="str">
        <f t="shared" si="92"/>
        <v/>
      </c>
      <c r="U457" s="182" t="str">
        <f t="shared" si="93"/>
        <v/>
      </c>
      <c r="V457" s="182" t="str">
        <f t="shared" si="94"/>
        <v/>
      </c>
      <c r="W457" s="182" t="str">
        <f t="shared" si="95"/>
        <v/>
      </c>
    </row>
    <row r="458" spans="1:23" x14ac:dyDescent="0.2">
      <c r="A458" s="181"/>
      <c r="B458" s="181"/>
      <c r="C458" s="181"/>
      <c r="D458" s="181"/>
      <c r="E458" s="181"/>
      <c r="F458" s="181"/>
      <c r="G458" s="181"/>
      <c r="K458" s="182">
        <v>457</v>
      </c>
      <c r="L458" s="182" t="str">
        <f t="shared" si="84"/>
        <v/>
      </c>
      <c r="M458" s="182" t="str">
        <f t="shared" si="85"/>
        <v/>
      </c>
      <c r="N458" s="182" t="str">
        <f t="shared" si="86"/>
        <v/>
      </c>
      <c r="O458" s="182" t="str">
        <f t="shared" si="87"/>
        <v/>
      </c>
      <c r="P458" s="182" t="str">
        <f t="shared" si="88"/>
        <v/>
      </c>
      <c r="Q458" s="182" t="str">
        <f t="shared" si="89"/>
        <v/>
      </c>
      <c r="R458" s="182" t="str">
        <f t="shared" si="90"/>
        <v/>
      </c>
      <c r="S458" s="182" t="str">
        <f t="shared" si="91"/>
        <v/>
      </c>
      <c r="T458" s="182" t="str">
        <f t="shared" si="92"/>
        <v/>
      </c>
      <c r="U458" s="182" t="str">
        <f t="shared" si="93"/>
        <v/>
      </c>
      <c r="V458" s="182" t="str">
        <f t="shared" si="94"/>
        <v/>
      </c>
      <c r="W458" s="182" t="str">
        <f t="shared" si="95"/>
        <v/>
      </c>
    </row>
    <row r="459" spans="1:23" x14ac:dyDescent="0.2">
      <c r="A459" s="181"/>
      <c r="B459" s="181"/>
      <c r="C459" s="181"/>
      <c r="D459" s="181"/>
      <c r="E459" s="181"/>
      <c r="F459" s="181"/>
      <c r="G459" s="181"/>
      <c r="K459" s="182">
        <v>458</v>
      </c>
      <c r="L459" s="182" t="str">
        <f t="shared" si="84"/>
        <v/>
      </c>
      <c r="M459" s="182" t="str">
        <f t="shared" si="85"/>
        <v/>
      </c>
      <c r="N459" s="182" t="str">
        <f t="shared" si="86"/>
        <v/>
      </c>
      <c r="O459" s="182" t="str">
        <f t="shared" si="87"/>
        <v/>
      </c>
      <c r="P459" s="182" t="str">
        <f t="shared" si="88"/>
        <v/>
      </c>
      <c r="Q459" s="182" t="str">
        <f t="shared" si="89"/>
        <v/>
      </c>
      <c r="R459" s="182" t="str">
        <f t="shared" si="90"/>
        <v/>
      </c>
      <c r="S459" s="182" t="str">
        <f t="shared" si="91"/>
        <v/>
      </c>
      <c r="T459" s="182" t="str">
        <f t="shared" si="92"/>
        <v/>
      </c>
      <c r="U459" s="182" t="str">
        <f t="shared" si="93"/>
        <v/>
      </c>
      <c r="V459" s="182" t="str">
        <f t="shared" si="94"/>
        <v/>
      </c>
      <c r="W459" s="182" t="str">
        <f t="shared" si="95"/>
        <v/>
      </c>
    </row>
    <row r="460" spans="1:23" x14ac:dyDescent="0.2">
      <c r="A460" s="181"/>
      <c r="B460" s="181"/>
      <c r="C460" s="181"/>
      <c r="D460" s="181"/>
      <c r="E460" s="181"/>
      <c r="F460" s="181"/>
      <c r="G460" s="181"/>
      <c r="K460" s="182">
        <v>459</v>
      </c>
      <c r="L460" s="182" t="str">
        <f t="shared" si="84"/>
        <v/>
      </c>
      <c r="M460" s="182" t="str">
        <f t="shared" si="85"/>
        <v/>
      </c>
      <c r="N460" s="182" t="str">
        <f t="shared" si="86"/>
        <v/>
      </c>
      <c r="O460" s="182" t="str">
        <f t="shared" si="87"/>
        <v/>
      </c>
      <c r="P460" s="182" t="str">
        <f t="shared" si="88"/>
        <v/>
      </c>
      <c r="Q460" s="182" t="str">
        <f t="shared" si="89"/>
        <v/>
      </c>
      <c r="R460" s="182" t="str">
        <f t="shared" si="90"/>
        <v/>
      </c>
      <c r="S460" s="182" t="str">
        <f t="shared" si="91"/>
        <v/>
      </c>
      <c r="T460" s="182" t="str">
        <f t="shared" si="92"/>
        <v/>
      </c>
      <c r="U460" s="182" t="str">
        <f t="shared" si="93"/>
        <v/>
      </c>
      <c r="V460" s="182" t="str">
        <f t="shared" si="94"/>
        <v/>
      </c>
      <c r="W460" s="182" t="str">
        <f t="shared" si="95"/>
        <v/>
      </c>
    </row>
    <row r="461" spans="1:23" x14ac:dyDescent="0.2">
      <c r="A461" s="181"/>
      <c r="B461" s="181"/>
      <c r="C461" s="181"/>
      <c r="D461" s="181"/>
      <c r="E461" s="181"/>
      <c r="F461" s="181"/>
      <c r="G461" s="181"/>
      <c r="K461" s="182">
        <v>460</v>
      </c>
      <c r="L461" s="182" t="str">
        <f t="shared" si="84"/>
        <v/>
      </c>
      <c r="M461" s="182" t="str">
        <f t="shared" si="85"/>
        <v/>
      </c>
      <c r="N461" s="182" t="str">
        <f t="shared" si="86"/>
        <v/>
      </c>
      <c r="O461" s="182" t="str">
        <f t="shared" si="87"/>
        <v/>
      </c>
      <c r="P461" s="182" t="str">
        <f t="shared" si="88"/>
        <v/>
      </c>
      <c r="Q461" s="182" t="str">
        <f t="shared" si="89"/>
        <v/>
      </c>
      <c r="R461" s="182" t="str">
        <f t="shared" si="90"/>
        <v/>
      </c>
      <c r="S461" s="182" t="str">
        <f t="shared" si="91"/>
        <v/>
      </c>
      <c r="T461" s="182" t="str">
        <f t="shared" si="92"/>
        <v/>
      </c>
      <c r="U461" s="182" t="str">
        <f t="shared" si="93"/>
        <v/>
      </c>
      <c r="V461" s="182" t="str">
        <f t="shared" si="94"/>
        <v/>
      </c>
      <c r="W461" s="182" t="str">
        <f t="shared" si="95"/>
        <v/>
      </c>
    </row>
    <row r="462" spans="1:23" x14ac:dyDescent="0.2">
      <c r="A462" s="181"/>
      <c r="B462" s="181"/>
      <c r="C462" s="181"/>
      <c r="D462" s="181"/>
      <c r="E462" s="181"/>
      <c r="F462" s="181"/>
      <c r="G462" s="181"/>
      <c r="K462" s="182">
        <v>461</v>
      </c>
      <c r="L462" s="182" t="str">
        <f t="shared" si="84"/>
        <v/>
      </c>
      <c r="M462" s="182" t="str">
        <f t="shared" si="85"/>
        <v/>
      </c>
      <c r="N462" s="182" t="str">
        <f t="shared" si="86"/>
        <v/>
      </c>
      <c r="O462" s="182" t="str">
        <f t="shared" si="87"/>
        <v/>
      </c>
      <c r="P462" s="182" t="str">
        <f t="shared" si="88"/>
        <v/>
      </c>
      <c r="Q462" s="182" t="str">
        <f t="shared" si="89"/>
        <v/>
      </c>
      <c r="R462" s="182" t="str">
        <f t="shared" si="90"/>
        <v/>
      </c>
      <c r="S462" s="182" t="str">
        <f t="shared" si="91"/>
        <v/>
      </c>
      <c r="T462" s="182" t="str">
        <f t="shared" si="92"/>
        <v/>
      </c>
      <c r="U462" s="182" t="str">
        <f t="shared" si="93"/>
        <v/>
      </c>
      <c r="V462" s="182" t="str">
        <f t="shared" si="94"/>
        <v/>
      </c>
      <c r="W462" s="182" t="str">
        <f t="shared" si="95"/>
        <v/>
      </c>
    </row>
    <row r="463" spans="1:23" x14ac:dyDescent="0.2">
      <c r="A463" s="181"/>
      <c r="B463" s="181"/>
      <c r="C463" s="181"/>
      <c r="D463" s="181"/>
      <c r="E463" s="181"/>
      <c r="F463" s="181"/>
      <c r="G463" s="181"/>
      <c r="K463" s="182">
        <v>462</v>
      </c>
      <c r="L463" s="182" t="str">
        <f t="shared" si="84"/>
        <v/>
      </c>
      <c r="M463" s="182" t="str">
        <f t="shared" si="85"/>
        <v/>
      </c>
      <c r="N463" s="182" t="str">
        <f t="shared" si="86"/>
        <v/>
      </c>
      <c r="O463" s="182" t="str">
        <f t="shared" si="87"/>
        <v/>
      </c>
      <c r="P463" s="182" t="str">
        <f t="shared" si="88"/>
        <v/>
      </c>
      <c r="Q463" s="182" t="str">
        <f t="shared" si="89"/>
        <v/>
      </c>
      <c r="R463" s="182" t="str">
        <f t="shared" si="90"/>
        <v/>
      </c>
      <c r="S463" s="182" t="str">
        <f t="shared" si="91"/>
        <v/>
      </c>
      <c r="T463" s="182" t="str">
        <f t="shared" si="92"/>
        <v/>
      </c>
      <c r="U463" s="182" t="str">
        <f t="shared" si="93"/>
        <v/>
      </c>
      <c r="V463" s="182" t="str">
        <f t="shared" si="94"/>
        <v/>
      </c>
      <c r="W463" s="182" t="str">
        <f t="shared" si="95"/>
        <v/>
      </c>
    </row>
    <row r="464" spans="1:23" x14ac:dyDescent="0.2">
      <c r="A464" s="181"/>
      <c r="B464" s="181"/>
      <c r="C464" s="181"/>
      <c r="D464" s="181"/>
      <c r="E464" s="181"/>
      <c r="F464" s="181"/>
      <c r="G464" s="181"/>
      <c r="K464" s="182">
        <v>463</v>
      </c>
      <c r="L464" s="182" t="str">
        <f t="shared" si="84"/>
        <v/>
      </c>
      <c r="M464" s="182" t="str">
        <f t="shared" si="85"/>
        <v/>
      </c>
      <c r="N464" s="182" t="str">
        <f t="shared" si="86"/>
        <v/>
      </c>
      <c r="O464" s="182" t="str">
        <f t="shared" si="87"/>
        <v/>
      </c>
      <c r="P464" s="182" t="str">
        <f t="shared" si="88"/>
        <v/>
      </c>
      <c r="Q464" s="182" t="str">
        <f t="shared" si="89"/>
        <v/>
      </c>
      <c r="R464" s="182" t="str">
        <f t="shared" si="90"/>
        <v/>
      </c>
      <c r="S464" s="182" t="str">
        <f t="shared" si="91"/>
        <v/>
      </c>
      <c r="T464" s="182" t="str">
        <f t="shared" si="92"/>
        <v/>
      </c>
      <c r="U464" s="182" t="str">
        <f t="shared" si="93"/>
        <v/>
      </c>
      <c r="V464" s="182" t="str">
        <f t="shared" si="94"/>
        <v/>
      </c>
      <c r="W464" s="182" t="str">
        <f t="shared" si="95"/>
        <v/>
      </c>
    </row>
    <row r="465" spans="1:23" x14ac:dyDescent="0.2">
      <c r="A465" s="181"/>
      <c r="B465" s="181"/>
      <c r="C465" s="181"/>
      <c r="D465" s="181"/>
      <c r="E465" s="181"/>
      <c r="F465" s="181"/>
      <c r="G465" s="181"/>
      <c r="K465" s="182">
        <v>464</v>
      </c>
      <c r="L465" s="182" t="str">
        <f t="shared" si="84"/>
        <v/>
      </c>
      <c r="M465" s="182" t="str">
        <f t="shared" si="85"/>
        <v/>
      </c>
      <c r="N465" s="182" t="str">
        <f t="shared" si="86"/>
        <v/>
      </c>
      <c r="O465" s="182" t="str">
        <f t="shared" si="87"/>
        <v/>
      </c>
      <c r="P465" s="182" t="str">
        <f t="shared" si="88"/>
        <v/>
      </c>
      <c r="Q465" s="182" t="str">
        <f t="shared" si="89"/>
        <v/>
      </c>
      <c r="R465" s="182" t="str">
        <f t="shared" si="90"/>
        <v/>
      </c>
      <c r="S465" s="182" t="str">
        <f t="shared" si="91"/>
        <v/>
      </c>
      <c r="T465" s="182" t="str">
        <f t="shared" si="92"/>
        <v/>
      </c>
      <c r="U465" s="182" t="str">
        <f t="shared" si="93"/>
        <v/>
      </c>
      <c r="V465" s="182" t="str">
        <f t="shared" si="94"/>
        <v/>
      </c>
      <c r="W465" s="182" t="str">
        <f t="shared" si="95"/>
        <v/>
      </c>
    </row>
    <row r="466" spans="1:23" x14ac:dyDescent="0.2">
      <c r="A466" s="181"/>
      <c r="B466" s="181"/>
      <c r="C466" s="181"/>
      <c r="D466" s="181"/>
      <c r="E466" s="181"/>
      <c r="F466" s="181"/>
      <c r="G466" s="181"/>
      <c r="K466" s="182">
        <v>465</v>
      </c>
      <c r="L466" s="182" t="str">
        <f t="shared" si="84"/>
        <v/>
      </c>
      <c r="M466" s="182" t="str">
        <f t="shared" si="85"/>
        <v/>
      </c>
      <c r="N466" s="182" t="str">
        <f t="shared" si="86"/>
        <v/>
      </c>
      <c r="O466" s="182" t="str">
        <f t="shared" si="87"/>
        <v/>
      </c>
      <c r="P466" s="182" t="str">
        <f t="shared" si="88"/>
        <v/>
      </c>
      <c r="Q466" s="182" t="str">
        <f t="shared" si="89"/>
        <v/>
      </c>
      <c r="R466" s="182" t="str">
        <f t="shared" si="90"/>
        <v/>
      </c>
      <c r="S466" s="182" t="str">
        <f t="shared" si="91"/>
        <v/>
      </c>
      <c r="T466" s="182" t="str">
        <f t="shared" si="92"/>
        <v/>
      </c>
      <c r="U466" s="182" t="str">
        <f t="shared" si="93"/>
        <v/>
      </c>
      <c r="V466" s="182" t="str">
        <f t="shared" si="94"/>
        <v/>
      </c>
      <c r="W466" s="182" t="str">
        <f t="shared" si="95"/>
        <v/>
      </c>
    </row>
    <row r="467" spans="1:23" x14ac:dyDescent="0.2">
      <c r="A467" s="181"/>
      <c r="B467" s="181"/>
      <c r="C467" s="181"/>
      <c r="D467" s="181"/>
      <c r="E467" s="181"/>
      <c r="F467" s="181"/>
      <c r="G467" s="181"/>
      <c r="K467" s="182">
        <v>466</v>
      </c>
      <c r="L467" s="182" t="str">
        <f t="shared" si="84"/>
        <v/>
      </c>
      <c r="M467" s="182" t="str">
        <f t="shared" si="85"/>
        <v/>
      </c>
      <c r="N467" s="182" t="str">
        <f t="shared" si="86"/>
        <v/>
      </c>
      <c r="O467" s="182" t="str">
        <f t="shared" si="87"/>
        <v/>
      </c>
      <c r="P467" s="182" t="str">
        <f t="shared" si="88"/>
        <v/>
      </c>
      <c r="Q467" s="182" t="str">
        <f t="shared" si="89"/>
        <v/>
      </c>
      <c r="R467" s="182" t="str">
        <f t="shared" si="90"/>
        <v/>
      </c>
      <c r="S467" s="182" t="str">
        <f t="shared" si="91"/>
        <v/>
      </c>
      <c r="T467" s="182" t="str">
        <f t="shared" si="92"/>
        <v/>
      </c>
      <c r="U467" s="182" t="str">
        <f t="shared" si="93"/>
        <v/>
      </c>
      <c r="V467" s="182" t="str">
        <f t="shared" si="94"/>
        <v/>
      </c>
      <c r="W467" s="182" t="str">
        <f t="shared" si="95"/>
        <v/>
      </c>
    </row>
    <row r="468" spans="1:23" x14ac:dyDescent="0.2">
      <c r="A468" s="181"/>
      <c r="B468" s="181"/>
      <c r="C468" s="181"/>
      <c r="D468" s="181"/>
      <c r="E468" s="181"/>
      <c r="F468" s="181"/>
      <c r="G468" s="181"/>
      <c r="K468" s="182">
        <v>467</v>
      </c>
      <c r="L468" s="182" t="str">
        <f t="shared" si="84"/>
        <v/>
      </c>
      <c r="M468" s="182" t="str">
        <f t="shared" si="85"/>
        <v/>
      </c>
      <c r="N468" s="182" t="str">
        <f t="shared" si="86"/>
        <v/>
      </c>
      <c r="O468" s="182" t="str">
        <f t="shared" si="87"/>
        <v/>
      </c>
      <c r="P468" s="182" t="str">
        <f t="shared" si="88"/>
        <v/>
      </c>
      <c r="Q468" s="182" t="str">
        <f t="shared" si="89"/>
        <v/>
      </c>
      <c r="R468" s="182" t="str">
        <f t="shared" si="90"/>
        <v/>
      </c>
      <c r="S468" s="182" t="str">
        <f t="shared" si="91"/>
        <v/>
      </c>
      <c r="T468" s="182" t="str">
        <f t="shared" si="92"/>
        <v/>
      </c>
      <c r="U468" s="182" t="str">
        <f t="shared" si="93"/>
        <v/>
      </c>
      <c r="V468" s="182" t="str">
        <f t="shared" si="94"/>
        <v/>
      </c>
      <c r="W468" s="182" t="str">
        <f t="shared" si="95"/>
        <v/>
      </c>
    </row>
    <row r="469" spans="1:23" x14ac:dyDescent="0.2">
      <c r="A469" s="181"/>
      <c r="B469" s="181"/>
      <c r="C469" s="181"/>
      <c r="D469" s="181"/>
      <c r="E469" s="181"/>
      <c r="F469" s="181"/>
      <c r="G469" s="181"/>
      <c r="K469" s="182">
        <v>468</v>
      </c>
      <c r="L469" s="182" t="str">
        <f t="shared" si="84"/>
        <v/>
      </c>
      <c r="M469" s="182" t="str">
        <f t="shared" si="85"/>
        <v/>
      </c>
      <c r="N469" s="182" t="str">
        <f t="shared" si="86"/>
        <v/>
      </c>
      <c r="O469" s="182" t="str">
        <f t="shared" si="87"/>
        <v/>
      </c>
      <c r="P469" s="182" t="str">
        <f t="shared" si="88"/>
        <v/>
      </c>
      <c r="Q469" s="182" t="str">
        <f t="shared" si="89"/>
        <v/>
      </c>
      <c r="R469" s="182" t="str">
        <f t="shared" si="90"/>
        <v/>
      </c>
      <c r="S469" s="182" t="str">
        <f t="shared" si="91"/>
        <v/>
      </c>
      <c r="T469" s="182" t="str">
        <f t="shared" si="92"/>
        <v/>
      </c>
      <c r="U469" s="182" t="str">
        <f t="shared" si="93"/>
        <v/>
      </c>
      <c r="V469" s="182" t="str">
        <f t="shared" si="94"/>
        <v/>
      </c>
      <c r="W469" s="182" t="str">
        <f t="shared" si="95"/>
        <v/>
      </c>
    </row>
    <row r="470" spans="1:23" x14ac:dyDescent="0.2">
      <c r="A470" s="181"/>
      <c r="B470" s="181"/>
      <c r="C470" s="181"/>
      <c r="D470" s="181"/>
      <c r="E470" s="181"/>
      <c r="F470" s="181"/>
      <c r="G470" s="181"/>
      <c r="K470" s="182">
        <v>469</v>
      </c>
      <c r="L470" s="182" t="str">
        <f t="shared" si="84"/>
        <v/>
      </c>
      <c r="M470" s="182" t="str">
        <f t="shared" si="85"/>
        <v/>
      </c>
      <c r="N470" s="182" t="str">
        <f t="shared" si="86"/>
        <v/>
      </c>
      <c r="O470" s="182" t="str">
        <f t="shared" si="87"/>
        <v/>
      </c>
      <c r="P470" s="182" t="str">
        <f t="shared" si="88"/>
        <v/>
      </c>
      <c r="Q470" s="182" t="str">
        <f t="shared" si="89"/>
        <v/>
      </c>
      <c r="R470" s="182" t="str">
        <f t="shared" si="90"/>
        <v/>
      </c>
      <c r="S470" s="182" t="str">
        <f t="shared" si="91"/>
        <v/>
      </c>
      <c r="T470" s="182" t="str">
        <f t="shared" si="92"/>
        <v/>
      </c>
      <c r="U470" s="182" t="str">
        <f t="shared" si="93"/>
        <v/>
      </c>
      <c r="V470" s="182" t="str">
        <f t="shared" si="94"/>
        <v/>
      </c>
      <c r="W470" s="182" t="str">
        <f t="shared" si="95"/>
        <v/>
      </c>
    </row>
    <row r="471" spans="1:23" x14ac:dyDescent="0.2">
      <c r="A471" s="181"/>
      <c r="B471" s="181"/>
      <c r="C471" s="181"/>
      <c r="D471" s="181"/>
      <c r="E471" s="181"/>
      <c r="F471" s="181"/>
      <c r="G471" s="181"/>
      <c r="K471" s="182">
        <v>470</v>
      </c>
      <c r="L471" s="182" t="str">
        <f t="shared" si="84"/>
        <v/>
      </c>
      <c r="M471" s="182" t="str">
        <f t="shared" si="85"/>
        <v/>
      </c>
      <c r="N471" s="182" t="str">
        <f t="shared" si="86"/>
        <v/>
      </c>
      <c r="O471" s="182" t="str">
        <f t="shared" si="87"/>
        <v/>
      </c>
      <c r="P471" s="182" t="str">
        <f t="shared" si="88"/>
        <v/>
      </c>
      <c r="Q471" s="182" t="str">
        <f t="shared" si="89"/>
        <v/>
      </c>
      <c r="R471" s="182" t="str">
        <f t="shared" si="90"/>
        <v/>
      </c>
      <c r="S471" s="182" t="str">
        <f t="shared" si="91"/>
        <v/>
      </c>
      <c r="T471" s="182" t="str">
        <f t="shared" si="92"/>
        <v/>
      </c>
      <c r="U471" s="182" t="str">
        <f t="shared" si="93"/>
        <v/>
      </c>
      <c r="V471" s="182" t="str">
        <f t="shared" si="94"/>
        <v/>
      </c>
      <c r="W471" s="182" t="str">
        <f t="shared" si="95"/>
        <v/>
      </c>
    </row>
    <row r="472" spans="1:23" x14ac:dyDescent="0.2">
      <c r="A472" s="181"/>
      <c r="B472" s="181"/>
      <c r="C472" s="181"/>
      <c r="D472" s="181"/>
      <c r="E472" s="181"/>
      <c r="F472" s="181"/>
      <c r="G472" s="181"/>
      <c r="K472" s="182">
        <v>471</v>
      </c>
      <c r="L472" s="182" t="str">
        <f t="shared" si="84"/>
        <v/>
      </c>
      <c r="M472" s="182" t="str">
        <f t="shared" si="85"/>
        <v/>
      </c>
      <c r="N472" s="182" t="str">
        <f t="shared" si="86"/>
        <v/>
      </c>
      <c r="O472" s="182" t="str">
        <f t="shared" si="87"/>
        <v/>
      </c>
      <c r="P472" s="182" t="str">
        <f t="shared" si="88"/>
        <v/>
      </c>
      <c r="Q472" s="182" t="str">
        <f t="shared" si="89"/>
        <v/>
      </c>
      <c r="R472" s="182" t="str">
        <f t="shared" si="90"/>
        <v/>
      </c>
      <c r="S472" s="182" t="str">
        <f t="shared" si="91"/>
        <v/>
      </c>
      <c r="T472" s="182" t="str">
        <f t="shared" si="92"/>
        <v/>
      </c>
      <c r="U472" s="182" t="str">
        <f t="shared" si="93"/>
        <v/>
      </c>
      <c r="V472" s="182" t="str">
        <f t="shared" si="94"/>
        <v/>
      </c>
      <c r="W472" s="182" t="str">
        <f t="shared" si="95"/>
        <v/>
      </c>
    </row>
    <row r="473" spans="1:23" x14ac:dyDescent="0.2">
      <c r="A473" s="181"/>
      <c r="B473" s="181"/>
      <c r="C473" s="181"/>
      <c r="D473" s="181"/>
      <c r="E473" s="181"/>
      <c r="F473" s="181"/>
      <c r="G473" s="181"/>
      <c r="K473" s="182">
        <v>472</v>
      </c>
      <c r="L473" s="182" t="str">
        <f t="shared" si="84"/>
        <v/>
      </c>
      <c r="M473" s="182" t="str">
        <f t="shared" si="85"/>
        <v/>
      </c>
      <c r="N473" s="182" t="str">
        <f t="shared" si="86"/>
        <v/>
      </c>
      <c r="O473" s="182" t="str">
        <f t="shared" si="87"/>
        <v/>
      </c>
      <c r="P473" s="182" t="str">
        <f t="shared" si="88"/>
        <v/>
      </c>
      <c r="Q473" s="182" t="str">
        <f t="shared" si="89"/>
        <v/>
      </c>
      <c r="R473" s="182" t="str">
        <f t="shared" si="90"/>
        <v/>
      </c>
      <c r="S473" s="182" t="str">
        <f t="shared" si="91"/>
        <v/>
      </c>
      <c r="T473" s="182" t="str">
        <f t="shared" si="92"/>
        <v/>
      </c>
      <c r="U473" s="182" t="str">
        <f t="shared" si="93"/>
        <v/>
      </c>
      <c r="V473" s="182" t="str">
        <f t="shared" si="94"/>
        <v/>
      </c>
      <c r="W473" s="182" t="str">
        <f t="shared" si="95"/>
        <v/>
      </c>
    </row>
    <row r="474" spans="1:23" x14ac:dyDescent="0.2">
      <c r="A474" s="181"/>
      <c r="B474" s="181"/>
      <c r="C474" s="181"/>
      <c r="D474" s="181"/>
      <c r="E474" s="181"/>
      <c r="F474" s="181"/>
      <c r="G474" s="181"/>
      <c r="K474" s="182">
        <v>473</v>
      </c>
      <c r="L474" s="182" t="str">
        <f t="shared" si="84"/>
        <v/>
      </c>
      <c r="M474" s="182" t="str">
        <f t="shared" si="85"/>
        <v/>
      </c>
      <c r="N474" s="182" t="str">
        <f t="shared" si="86"/>
        <v/>
      </c>
      <c r="O474" s="182" t="str">
        <f t="shared" si="87"/>
        <v/>
      </c>
      <c r="P474" s="182" t="str">
        <f t="shared" si="88"/>
        <v/>
      </c>
      <c r="Q474" s="182" t="str">
        <f t="shared" si="89"/>
        <v/>
      </c>
      <c r="R474" s="182" t="str">
        <f t="shared" si="90"/>
        <v/>
      </c>
      <c r="S474" s="182" t="str">
        <f t="shared" si="91"/>
        <v/>
      </c>
      <c r="T474" s="182" t="str">
        <f t="shared" si="92"/>
        <v/>
      </c>
      <c r="U474" s="182" t="str">
        <f t="shared" si="93"/>
        <v/>
      </c>
      <c r="V474" s="182" t="str">
        <f t="shared" si="94"/>
        <v/>
      </c>
      <c r="W474" s="182" t="str">
        <f t="shared" si="95"/>
        <v/>
      </c>
    </row>
    <row r="475" spans="1:23" x14ac:dyDescent="0.2">
      <c r="A475" s="181"/>
      <c r="B475" s="181"/>
      <c r="C475" s="181"/>
      <c r="D475" s="181"/>
      <c r="E475" s="181"/>
      <c r="F475" s="181"/>
      <c r="G475" s="181"/>
      <c r="K475" s="182">
        <v>474</v>
      </c>
      <c r="L475" s="182" t="str">
        <f t="shared" si="84"/>
        <v/>
      </c>
      <c r="M475" s="182" t="str">
        <f t="shared" si="85"/>
        <v/>
      </c>
      <c r="N475" s="182" t="str">
        <f t="shared" si="86"/>
        <v/>
      </c>
      <c r="O475" s="182" t="str">
        <f t="shared" si="87"/>
        <v/>
      </c>
      <c r="P475" s="182" t="str">
        <f t="shared" si="88"/>
        <v/>
      </c>
      <c r="Q475" s="182" t="str">
        <f t="shared" si="89"/>
        <v/>
      </c>
      <c r="R475" s="182" t="str">
        <f t="shared" si="90"/>
        <v/>
      </c>
      <c r="S475" s="182" t="str">
        <f t="shared" si="91"/>
        <v/>
      </c>
      <c r="T475" s="182" t="str">
        <f t="shared" si="92"/>
        <v/>
      </c>
      <c r="U475" s="182" t="str">
        <f t="shared" si="93"/>
        <v/>
      </c>
      <c r="V475" s="182" t="str">
        <f t="shared" si="94"/>
        <v/>
      </c>
      <c r="W475" s="182" t="str">
        <f t="shared" si="95"/>
        <v/>
      </c>
    </row>
    <row r="476" spans="1:23" x14ac:dyDescent="0.2">
      <c r="A476" s="181"/>
      <c r="B476" s="181"/>
      <c r="C476" s="181"/>
      <c r="D476" s="181"/>
      <c r="E476" s="181"/>
      <c r="F476" s="181"/>
      <c r="G476" s="181"/>
      <c r="K476" s="182">
        <v>475</v>
      </c>
      <c r="L476" s="182" t="str">
        <f t="shared" si="84"/>
        <v/>
      </c>
      <c r="M476" s="182" t="str">
        <f t="shared" si="85"/>
        <v/>
      </c>
      <c r="N476" s="182" t="str">
        <f t="shared" si="86"/>
        <v/>
      </c>
      <c r="O476" s="182" t="str">
        <f t="shared" si="87"/>
        <v/>
      </c>
      <c r="P476" s="182" t="str">
        <f t="shared" si="88"/>
        <v/>
      </c>
      <c r="Q476" s="182" t="str">
        <f t="shared" si="89"/>
        <v/>
      </c>
      <c r="R476" s="182" t="str">
        <f t="shared" si="90"/>
        <v/>
      </c>
      <c r="S476" s="182" t="str">
        <f t="shared" si="91"/>
        <v/>
      </c>
      <c r="T476" s="182" t="str">
        <f t="shared" si="92"/>
        <v/>
      </c>
      <c r="U476" s="182" t="str">
        <f t="shared" si="93"/>
        <v/>
      </c>
      <c r="V476" s="182" t="str">
        <f t="shared" si="94"/>
        <v/>
      </c>
      <c r="W476" s="182" t="str">
        <f t="shared" si="95"/>
        <v/>
      </c>
    </row>
    <row r="477" spans="1:23" x14ac:dyDescent="0.2">
      <c r="A477" s="181"/>
      <c r="B477" s="181"/>
      <c r="C477" s="181"/>
      <c r="D477" s="181"/>
      <c r="E477" s="181"/>
      <c r="F477" s="181"/>
      <c r="G477" s="181"/>
      <c r="K477" s="182">
        <v>476</v>
      </c>
      <c r="L477" s="182" t="str">
        <f t="shared" si="84"/>
        <v/>
      </c>
      <c r="M477" s="182" t="str">
        <f t="shared" si="85"/>
        <v/>
      </c>
      <c r="N477" s="182" t="str">
        <f t="shared" si="86"/>
        <v/>
      </c>
      <c r="O477" s="182" t="str">
        <f t="shared" si="87"/>
        <v/>
      </c>
      <c r="P477" s="182" t="str">
        <f t="shared" si="88"/>
        <v/>
      </c>
      <c r="Q477" s="182" t="str">
        <f t="shared" si="89"/>
        <v/>
      </c>
      <c r="R477" s="182" t="str">
        <f t="shared" si="90"/>
        <v/>
      </c>
      <c r="S477" s="182" t="str">
        <f t="shared" si="91"/>
        <v/>
      </c>
      <c r="T477" s="182" t="str">
        <f t="shared" si="92"/>
        <v/>
      </c>
      <c r="U477" s="182" t="str">
        <f t="shared" si="93"/>
        <v/>
      </c>
      <c r="V477" s="182" t="str">
        <f t="shared" si="94"/>
        <v/>
      </c>
      <c r="W477" s="182" t="str">
        <f t="shared" si="95"/>
        <v/>
      </c>
    </row>
    <row r="478" spans="1:23" x14ac:dyDescent="0.2">
      <c r="A478" s="181"/>
      <c r="B478" s="181"/>
      <c r="C478" s="181"/>
      <c r="D478" s="181"/>
      <c r="E478" s="181"/>
      <c r="F478" s="181"/>
      <c r="G478" s="181"/>
      <c r="K478" s="182">
        <v>477</v>
      </c>
      <c r="L478" s="182" t="str">
        <f t="shared" si="84"/>
        <v/>
      </c>
      <c r="M478" s="182" t="str">
        <f t="shared" si="85"/>
        <v/>
      </c>
      <c r="N478" s="182" t="str">
        <f t="shared" si="86"/>
        <v/>
      </c>
      <c r="O478" s="182" t="str">
        <f t="shared" si="87"/>
        <v/>
      </c>
      <c r="P478" s="182" t="str">
        <f t="shared" si="88"/>
        <v/>
      </c>
      <c r="Q478" s="182" t="str">
        <f t="shared" si="89"/>
        <v/>
      </c>
      <c r="R478" s="182" t="str">
        <f t="shared" si="90"/>
        <v/>
      </c>
      <c r="S478" s="182" t="str">
        <f t="shared" si="91"/>
        <v/>
      </c>
      <c r="T478" s="182" t="str">
        <f t="shared" si="92"/>
        <v/>
      </c>
      <c r="U478" s="182" t="str">
        <f t="shared" si="93"/>
        <v/>
      </c>
      <c r="V478" s="182" t="str">
        <f t="shared" si="94"/>
        <v/>
      </c>
      <c r="W478" s="182" t="str">
        <f t="shared" si="95"/>
        <v/>
      </c>
    </row>
    <row r="479" spans="1:23" x14ac:dyDescent="0.2">
      <c r="A479" s="181"/>
      <c r="B479" s="181"/>
      <c r="C479" s="181"/>
      <c r="D479" s="181"/>
      <c r="E479" s="181"/>
      <c r="F479" s="181"/>
      <c r="G479" s="181"/>
      <c r="K479" s="182">
        <v>478</v>
      </c>
      <c r="L479" s="182" t="str">
        <f t="shared" si="84"/>
        <v/>
      </c>
      <c r="M479" s="182" t="str">
        <f t="shared" si="85"/>
        <v/>
      </c>
      <c r="N479" s="182" t="str">
        <f t="shared" si="86"/>
        <v/>
      </c>
      <c r="O479" s="182" t="str">
        <f t="shared" si="87"/>
        <v/>
      </c>
      <c r="P479" s="182" t="str">
        <f t="shared" si="88"/>
        <v/>
      </c>
      <c r="Q479" s="182" t="str">
        <f t="shared" si="89"/>
        <v/>
      </c>
      <c r="R479" s="182" t="str">
        <f t="shared" si="90"/>
        <v/>
      </c>
      <c r="S479" s="182" t="str">
        <f t="shared" si="91"/>
        <v/>
      </c>
      <c r="T479" s="182" t="str">
        <f t="shared" si="92"/>
        <v/>
      </c>
      <c r="U479" s="182" t="str">
        <f t="shared" si="93"/>
        <v/>
      </c>
      <c r="V479" s="182" t="str">
        <f t="shared" si="94"/>
        <v/>
      </c>
      <c r="W479" s="182" t="str">
        <f t="shared" si="95"/>
        <v/>
      </c>
    </row>
    <row r="480" spans="1:23" x14ac:dyDescent="0.2">
      <c r="A480" s="181"/>
      <c r="B480" s="181"/>
      <c r="C480" s="181"/>
      <c r="D480" s="181"/>
      <c r="E480" s="181"/>
      <c r="F480" s="181"/>
      <c r="G480" s="181"/>
      <c r="K480" s="182">
        <v>479</v>
      </c>
      <c r="L480" s="182" t="str">
        <f t="shared" si="84"/>
        <v/>
      </c>
      <c r="M480" s="182" t="str">
        <f t="shared" si="85"/>
        <v/>
      </c>
      <c r="N480" s="182" t="str">
        <f t="shared" si="86"/>
        <v/>
      </c>
      <c r="O480" s="182" t="str">
        <f t="shared" si="87"/>
        <v/>
      </c>
      <c r="P480" s="182" t="str">
        <f t="shared" si="88"/>
        <v/>
      </c>
      <c r="Q480" s="182" t="str">
        <f t="shared" si="89"/>
        <v/>
      </c>
      <c r="R480" s="182" t="str">
        <f t="shared" si="90"/>
        <v/>
      </c>
      <c r="S480" s="182" t="str">
        <f t="shared" si="91"/>
        <v/>
      </c>
      <c r="T480" s="182" t="str">
        <f t="shared" si="92"/>
        <v/>
      </c>
      <c r="U480" s="182" t="str">
        <f t="shared" si="93"/>
        <v/>
      </c>
      <c r="V480" s="182" t="str">
        <f t="shared" si="94"/>
        <v/>
      </c>
      <c r="W480" s="182" t="str">
        <f t="shared" si="95"/>
        <v/>
      </c>
    </row>
    <row r="481" spans="1:23" x14ac:dyDescent="0.2">
      <c r="A481" s="181"/>
      <c r="B481" s="181"/>
      <c r="C481" s="181"/>
      <c r="D481" s="181"/>
      <c r="E481" s="181"/>
      <c r="F481" s="181"/>
      <c r="G481" s="181"/>
      <c r="K481" s="182">
        <v>480</v>
      </c>
      <c r="L481" s="182" t="str">
        <f t="shared" si="84"/>
        <v/>
      </c>
      <c r="M481" s="182" t="str">
        <f t="shared" si="85"/>
        <v/>
      </c>
      <c r="N481" s="182" t="str">
        <f t="shared" si="86"/>
        <v/>
      </c>
      <c r="O481" s="182" t="str">
        <f t="shared" si="87"/>
        <v/>
      </c>
      <c r="P481" s="182" t="str">
        <f t="shared" si="88"/>
        <v/>
      </c>
      <c r="Q481" s="182" t="str">
        <f t="shared" si="89"/>
        <v/>
      </c>
      <c r="R481" s="182" t="str">
        <f t="shared" si="90"/>
        <v/>
      </c>
      <c r="S481" s="182" t="str">
        <f t="shared" si="91"/>
        <v/>
      </c>
      <c r="T481" s="182" t="str">
        <f t="shared" si="92"/>
        <v/>
      </c>
      <c r="U481" s="182" t="str">
        <f t="shared" si="93"/>
        <v/>
      </c>
      <c r="V481" s="182" t="str">
        <f t="shared" si="94"/>
        <v/>
      </c>
      <c r="W481" s="182" t="str">
        <f t="shared" si="95"/>
        <v/>
      </c>
    </row>
    <row r="482" spans="1:23" x14ac:dyDescent="0.2">
      <c r="A482" s="181"/>
      <c r="B482" s="181"/>
      <c r="C482" s="181"/>
      <c r="D482" s="181"/>
      <c r="E482" s="181"/>
      <c r="F482" s="181"/>
      <c r="G482" s="181"/>
      <c r="K482" s="182">
        <v>481</v>
      </c>
      <c r="L482" s="182" t="str">
        <f t="shared" si="84"/>
        <v/>
      </c>
      <c r="M482" s="182" t="str">
        <f t="shared" si="85"/>
        <v/>
      </c>
      <c r="N482" s="182" t="str">
        <f t="shared" si="86"/>
        <v/>
      </c>
      <c r="O482" s="182" t="str">
        <f t="shared" si="87"/>
        <v/>
      </c>
      <c r="P482" s="182" t="str">
        <f t="shared" si="88"/>
        <v/>
      </c>
      <c r="Q482" s="182" t="str">
        <f t="shared" si="89"/>
        <v/>
      </c>
      <c r="R482" s="182" t="str">
        <f t="shared" si="90"/>
        <v/>
      </c>
      <c r="S482" s="182" t="str">
        <f t="shared" si="91"/>
        <v/>
      </c>
      <c r="T482" s="182" t="str">
        <f t="shared" si="92"/>
        <v/>
      </c>
      <c r="U482" s="182" t="str">
        <f t="shared" si="93"/>
        <v/>
      </c>
      <c r="V482" s="182" t="str">
        <f t="shared" si="94"/>
        <v/>
      </c>
      <c r="W482" s="182" t="str">
        <f t="shared" si="95"/>
        <v/>
      </c>
    </row>
    <row r="483" spans="1:23" x14ac:dyDescent="0.2">
      <c r="A483" s="181"/>
      <c r="B483" s="181"/>
      <c r="C483" s="181"/>
      <c r="D483" s="181"/>
      <c r="E483" s="181"/>
      <c r="F483" s="181"/>
      <c r="G483" s="181"/>
      <c r="K483" s="182">
        <v>482</v>
      </c>
      <c r="L483" s="182" t="str">
        <f t="shared" si="84"/>
        <v/>
      </c>
      <c r="M483" s="182" t="str">
        <f t="shared" si="85"/>
        <v/>
      </c>
      <c r="N483" s="182" t="str">
        <f t="shared" si="86"/>
        <v/>
      </c>
      <c r="O483" s="182" t="str">
        <f t="shared" si="87"/>
        <v/>
      </c>
      <c r="P483" s="182" t="str">
        <f t="shared" si="88"/>
        <v/>
      </c>
      <c r="Q483" s="182" t="str">
        <f t="shared" si="89"/>
        <v/>
      </c>
      <c r="R483" s="182" t="str">
        <f t="shared" si="90"/>
        <v/>
      </c>
      <c r="S483" s="182" t="str">
        <f t="shared" si="91"/>
        <v/>
      </c>
      <c r="T483" s="182" t="str">
        <f t="shared" si="92"/>
        <v/>
      </c>
      <c r="U483" s="182" t="str">
        <f t="shared" si="93"/>
        <v/>
      </c>
      <c r="V483" s="182" t="str">
        <f t="shared" si="94"/>
        <v/>
      </c>
      <c r="W483" s="182" t="str">
        <f t="shared" si="95"/>
        <v/>
      </c>
    </row>
    <row r="484" spans="1:23" x14ac:dyDescent="0.2">
      <c r="A484" s="181"/>
      <c r="B484" s="181"/>
      <c r="C484" s="181"/>
      <c r="D484" s="181"/>
      <c r="E484" s="181"/>
      <c r="F484" s="181"/>
      <c r="G484" s="181"/>
      <c r="K484" s="182">
        <v>483</v>
      </c>
      <c r="L484" s="182" t="str">
        <f t="shared" si="84"/>
        <v/>
      </c>
      <c r="M484" s="182" t="str">
        <f t="shared" si="85"/>
        <v/>
      </c>
      <c r="N484" s="182" t="str">
        <f t="shared" si="86"/>
        <v/>
      </c>
      <c r="O484" s="182" t="str">
        <f t="shared" si="87"/>
        <v/>
      </c>
      <c r="P484" s="182" t="str">
        <f t="shared" si="88"/>
        <v/>
      </c>
      <c r="Q484" s="182" t="str">
        <f t="shared" si="89"/>
        <v/>
      </c>
      <c r="R484" s="182" t="str">
        <f t="shared" si="90"/>
        <v/>
      </c>
      <c r="S484" s="182" t="str">
        <f t="shared" si="91"/>
        <v/>
      </c>
      <c r="T484" s="182" t="str">
        <f t="shared" si="92"/>
        <v/>
      </c>
      <c r="U484" s="182" t="str">
        <f t="shared" si="93"/>
        <v/>
      </c>
      <c r="V484" s="182" t="str">
        <f t="shared" si="94"/>
        <v/>
      </c>
      <c r="W484" s="182" t="str">
        <f t="shared" si="95"/>
        <v/>
      </c>
    </row>
    <row r="485" spans="1:23" x14ac:dyDescent="0.2">
      <c r="A485" s="181"/>
      <c r="B485" s="181"/>
      <c r="C485" s="181"/>
      <c r="D485" s="181"/>
      <c r="E485" s="181"/>
      <c r="F485" s="181"/>
      <c r="G485" s="181"/>
      <c r="K485" s="182">
        <v>484</v>
      </c>
      <c r="L485" s="182" t="str">
        <f t="shared" si="84"/>
        <v/>
      </c>
      <c r="M485" s="182" t="str">
        <f t="shared" si="85"/>
        <v/>
      </c>
      <c r="N485" s="182" t="str">
        <f t="shared" si="86"/>
        <v/>
      </c>
      <c r="O485" s="182" t="str">
        <f t="shared" si="87"/>
        <v/>
      </c>
      <c r="P485" s="182" t="str">
        <f t="shared" si="88"/>
        <v/>
      </c>
      <c r="Q485" s="182" t="str">
        <f t="shared" si="89"/>
        <v/>
      </c>
      <c r="R485" s="182" t="str">
        <f t="shared" si="90"/>
        <v/>
      </c>
      <c r="S485" s="182" t="str">
        <f t="shared" si="91"/>
        <v/>
      </c>
      <c r="T485" s="182" t="str">
        <f t="shared" si="92"/>
        <v/>
      </c>
      <c r="U485" s="182" t="str">
        <f t="shared" si="93"/>
        <v/>
      </c>
      <c r="V485" s="182" t="str">
        <f t="shared" si="94"/>
        <v/>
      </c>
      <c r="W485" s="182" t="str">
        <f t="shared" si="95"/>
        <v/>
      </c>
    </row>
    <row r="486" spans="1:23" x14ac:dyDescent="0.2">
      <c r="A486" s="181"/>
      <c r="B486" s="181"/>
      <c r="C486" s="181"/>
      <c r="D486" s="181"/>
      <c r="E486" s="181"/>
      <c r="F486" s="181"/>
      <c r="G486" s="181"/>
      <c r="K486" s="182">
        <v>485</v>
      </c>
      <c r="L486" s="182" t="str">
        <f t="shared" si="84"/>
        <v/>
      </c>
      <c r="M486" s="182" t="str">
        <f t="shared" si="85"/>
        <v/>
      </c>
      <c r="N486" s="182" t="str">
        <f t="shared" si="86"/>
        <v/>
      </c>
      <c r="O486" s="182" t="str">
        <f t="shared" si="87"/>
        <v/>
      </c>
      <c r="P486" s="182" t="str">
        <f t="shared" si="88"/>
        <v/>
      </c>
      <c r="Q486" s="182" t="str">
        <f t="shared" si="89"/>
        <v/>
      </c>
      <c r="R486" s="182" t="str">
        <f t="shared" si="90"/>
        <v/>
      </c>
      <c r="S486" s="182" t="str">
        <f t="shared" si="91"/>
        <v/>
      </c>
      <c r="T486" s="182" t="str">
        <f t="shared" si="92"/>
        <v/>
      </c>
      <c r="U486" s="182" t="str">
        <f t="shared" si="93"/>
        <v/>
      </c>
      <c r="V486" s="182" t="str">
        <f t="shared" si="94"/>
        <v/>
      </c>
      <c r="W486" s="182" t="str">
        <f t="shared" si="95"/>
        <v/>
      </c>
    </row>
    <row r="487" spans="1:23" x14ac:dyDescent="0.2">
      <c r="A487" s="181"/>
      <c r="B487" s="181"/>
      <c r="C487" s="181"/>
      <c r="D487" s="181"/>
      <c r="E487" s="181"/>
      <c r="F487" s="181"/>
      <c r="G487" s="181"/>
      <c r="K487" s="182">
        <v>486</v>
      </c>
      <c r="L487" s="182" t="str">
        <f t="shared" si="84"/>
        <v/>
      </c>
      <c r="M487" s="182" t="str">
        <f t="shared" si="85"/>
        <v/>
      </c>
      <c r="N487" s="182" t="str">
        <f t="shared" si="86"/>
        <v/>
      </c>
      <c r="O487" s="182" t="str">
        <f t="shared" si="87"/>
        <v/>
      </c>
      <c r="P487" s="182" t="str">
        <f t="shared" si="88"/>
        <v/>
      </c>
      <c r="Q487" s="182" t="str">
        <f t="shared" si="89"/>
        <v/>
      </c>
      <c r="R487" s="182" t="str">
        <f t="shared" si="90"/>
        <v/>
      </c>
      <c r="S487" s="182" t="str">
        <f t="shared" si="91"/>
        <v/>
      </c>
      <c r="T487" s="182" t="str">
        <f t="shared" si="92"/>
        <v/>
      </c>
      <c r="U487" s="182" t="str">
        <f t="shared" si="93"/>
        <v/>
      </c>
      <c r="V487" s="182" t="str">
        <f t="shared" si="94"/>
        <v/>
      </c>
      <c r="W487" s="182" t="str">
        <f t="shared" si="95"/>
        <v/>
      </c>
    </row>
    <row r="488" spans="1:23" x14ac:dyDescent="0.2">
      <c r="A488" s="181"/>
      <c r="B488" s="181"/>
      <c r="C488" s="181"/>
      <c r="D488" s="181"/>
      <c r="E488" s="181"/>
      <c r="F488" s="181"/>
      <c r="G488" s="181"/>
      <c r="K488" s="182">
        <v>487</v>
      </c>
      <c r="L488" s="182" t="str">
        <f t="shared" si="84"/>
        <v/>
      </c>
      <c r="M488" s="182" t="str">
        <f t="shared" si="85"/>
        <v/>
      </c>
      <c r="N488" s="182" t="str">
        <f t="shared" si="86"/>
        <v/>
      </c>
      <c r="O488" s="182" t="str">
        <f t="shared" si="87"/>
        <v/>
      </c>
      <c r="P488" s="182" t="str">
        <f t="shared" si="88"/>
        <v/>
      </c>
      <c r="Q488" s="182" t="str">
        <f t="shared" si="89"/>
        <v/>
      </c>
      <c r="R488" s="182" t="str">
        <f t="shared" si="90"/>
        <v/>
      </c>
      <c r="S488" s="182" t="str">
        <f t="shared" si="91"/>
        <v/>
      </c>
      <c r="T488" s="182" t="str">
        <f t="shared" si="92"/>
        <v/>
      </c>
      <c r="U488" s="182" t="str">
        <f t="shared" si="93"/>
        <v/>
      </c>
      <c r="V488" s="182" t="str">
        <f t="shared" si="94"/>
        <v/>
      </c>
      <c r="W488" s="182" t="str">
        <f t="shared" si="95"/>
        <v/>
      </c>
    </row>
    <row r="489" spans="1:23" x14ac:dyDescent="0.2">
      <c r="A489" s="181"/>
      <c r="B489" s="181"/>
      <c r="C489" s="181"/>
      <c r="D489" s="181"/>
      <c r="E489" s="181"/>
      <c r="F489" s="181"/>
      <c r="G489" s="181"/>
      <c r="K489" s="182">
        <v>488</v>
      </c>
      <c r="L489" s="182" t="str">
        <f t="shared" si="84"/>
        <v/>
      </c>
      <c r="M489" s="182" t="str">
        <f t="shared" si="85"/>
        <v/>
      </c>
      <c r="N489" s="182" t="str">
        <f t="shared" si="86"/>
        <v/>
      </c>
      <c r="O489" s="182" t="str">
        <f t="shared" si="87"/>
        <v/>
      </c>
      <c r="P489" s="182" t="str">
        <f t="shared" si="88"/>
        <v/>
      </c>
      <c r="Q489" s="182" t="str">
        <f t="shared" si="89"/>
        <v/>
      </c>
      <c r="R489" s="182" t="str">
        <f t="shared" si="90"/>
        <v/>
      </c>
      <c r="S489" s="182" t="str">
        <f t="shared" si="91"/>
        <v/>
      </c>
      <c r="T489" s="182" t="str">
        <f t="shared" si="92"/>
        <v/>
      </c>
      <c r="U489" s="182" t="str">
        <f t="shared" si="93"/>
        <v/>
      </c>
      <c r="V489" s="182" t="str">
        <f t="shared" si="94"/>
        <v/>
      </c>
      <c r="W489" s="182" t="str">
        <f t="shared" si="95"/>
        <v/>
      </c>
    </row>
    <row r="490" spans="1:23" x14ac:dyDescent="0.2">
      <c r="A490" s="181"/>
      <c r="B490" s="181"/>
      <c r="C490" s="181"/>
      <c r="D490" s="181"/>
      <c r="E490" s="181"/>
      <c r="F490" s="181"/>
      <c r="G490" s="181"/>
      <c r="K490" s="182">
        <v>489</v>
      </c>
      <c r="L490" s="182" t="str">
        <f t="shared" si="84"/>
        <v/>
      </c>
      <c r="M490" s="182" t="str">
        <f t="shared" si="85"/>
        <v/>
      </c>
      <c r="N490" s="182" t="str">
        <f t="shared" si="86"/>
        <v/>
      </c>
      <c r="O490" s="182" t="str">
        <f t="shared" si="87"/>
        <v/>
      </c>
      <c r="P490" s="182" t="str">
        <f t="shared" si="88"/>
        <v/>
      </c>
      <c r="Q490" s="182" t="str">
        <f t="shared" si="89"/>
        <v/>
      </c>
      <c r="R490" s="182" t="str">
        <f t="shared" si="90"/>
        <v/>
      </c>
      <c r="S490" s="182" t="str">
        <f t="shared" si="91"/>
        <v/>
      </c>
      <c r="T490" s="182" t="str">
        <f t="shared" si="92"/>
        <v/>
      </c>
      <c r="U490" s="182" t="str">
        <f t="shared" si="93"/>
        <v/>
      </c>
      <c r="V490" s="182" t="str">
        <f t="shared" si="94"/>
        <v/>
      </c>
      <c r="W490" s="182" t="str">
        <f t="shared" si="95"/>
        <v/>
      </c>
    </row>
    <row r="491" spans="1:23" x14ac:dyDescent="0.2">
      <c r="A491" s="181"/>
      <c r="B491" s="181"/>
      <c r="C491" s="181"/>
      <c r="D491" s="181"/>
      <c r="E491" s="181"/>
      <c r="F491" s="181"/>
      <c r="G491" s="181"/>
      <c r="K491" s="182">
        <v>490</v>
      </c>
      <c r="L491" s="182" t="str">
        <f t="shared" si="84"/>
        <v/>
      </c>
      <c r="M491" s="182" t="str">
        <f t="shared" si="85"/>
        <v/>
      </c>
      <c r="N491" s="182" t="str">
        <f t="shared" si="86"/>
        <v/>
      </c>
      <c r="O491" s="182" t="str">
        <f t="shared" si="87"/>
        <v/>
      </c>
      <c r="P491" s="182" t="str">
        <f t="shared" si="88"/>
        <v/>
      </c>
      <c r="Q491" s="182" t="str">
        <f t="shared" si="89"/>
        <v/>
      </c>
      <c r="R491" s="182" t="str">
        <f t="shared" si="90"/>
        <v/>
      </c>
      <c r="S491" s="182" t="str">
        <f t="shared" si="91"/>
        <v/>
      </c>
      <c r="T491" s="182" t="str">
        <f t="shared" si="92"/>
        <v/>
      </c>
      <c r="U491" s="182" t="str">
        <f t="shared" si="93"/>
        <v/>
      </c>
      <c r="V491" s="182" t="str">
        <f t="shared" si="94"/>
        <v/>
      </c>
      <c r="W491" s="182" t="str">
        <f t="shared" si="95"/>
        <v/>
      </c>
    </row>
    <row r="492" spans="1:23" x14ac:dyDescent="0.2">
      <c r="A492" s="181"/>
      <c r="B492" s="181"/>
      <c r="C492" s="181"/>
      <c r="D492" s="181"/>
      <c r="E492" s="181"/>
      <c r="F492" s="181"/>
      <c r="G492" s="181"/>
      <c r="K492" s="182">
        <v>491</v>
      </c>
      <c r="L492" s="182" t="str">
        <f t="shared" si="84"/>
        <v/>
      </c>
      <c r="M492" s="182" t="str">
        <f t="shared" si="85"/>
        <v/>
      </c>
      <c r="N492" s="182" t="str">
        <f t="shared" si="86"/>
        <v/>
      </c>
      <c r="O492" s="182" t="str">
        <f t="shared" si="87"/>
        <v/>
      </c>
      <c r="P492" s="182" t="str">
        <f t="shared" si="88"/>
        <v/>
      </c>
      <c r="Q492" s="182" t="str">
        <f t="shared" si="89"/>
        <v/>
      </c>
      <c r="R492" s="182" t="str">
        <f t="shared" si="90"/>
        <v/>
      </c>
      <c r="S492" s="182" t="str">
        <f t="shared" si="91"/>
        <v/>
      </c>
      <c r="T492" s="182" t="str">
        <f t="shared" si="92"/>
        <v/>
      </c>
      <c r="U492" s="182" t="str">
        <f t="shared" si="93"/>
        <v/>
      </c>
      <c r="V492" s="182" t="str">
        <f t="shared" si="94"/>
        <v/>
      </c>
      <c r="W492" s="182" t="str">
        <f t="shared" si="95"/>
        <v/>
      </c>
    </row>
    <row r="493" spans="1:23" x14ac:dyDescent="0.2">
      <c r="A493" s="181"/>
      <c r="B493" s="181"/>
      <c r="C493" s="181"/>
      <c r="D493" s="181"/>
      <c r="E493" s="181"/>
      <c r="F493" s="181"/>
      <c r="G493" s="181"/>
      <c r="K493" s="182">
        <v>492</v>
      </c>
      <c r="L493" s="182" t="str">
        <f t="shared" si="84"/>
        <v/>
      </c>
      <c r="M493" s="182" t="str">
        <f t="shared" si="85"/>
        <v/>
      </c>
      <c r="N493" s="182" t="str">
        <f t="shared" si="86"/>
        <v/>
      </c>
      <c r="O493" s="182" t="str">
        <f t="shared" si="87"/>
        <v/>
      </c>
      <c r="P493" s="182" t="str">
        <f t="shared" si="88"/>
        <v/>
      </c>
      <c r="Q493" s="182" t="str">
        <f t="shared" si="89"/>
        <v/>
      </c>
      <c r="R493" s="182" t="str">
        <f t="shared" si="90"/>
        <v/>
      </c>
      <c r="S493" s="182" t="str">
        <f t="shared" si="91"/>
        <v/>
      </c>
      <c r="T493" s="182" t="str">
        <f t="shared" si="92"/>
        <v/>
      </c>
      <c r="U493" s="182" t="str">
        <f t="shared" si="93"/>
        <v/>
      </c>
      <c r="V493" s="182" t="str">
        <f t="shared" si="94"/>
        <v/>
      </c>
      <c r="W493" s="182" t="str">
        <f t="shared" si="95"/>
        <v/>
      </c>
    </row>
    <row r="494" spans="1:23" x14ac:dyDescent="0.2">
      <c r="A494" s="181"/>
      <c r="B494" s="181"/>
      <c r="C494" s="181"/>
      <c r="D494" s="181"/>
      <c r="E494" s="181"/>
      <c r="F494" s="181"/>
      <c r="G494" s="181"/>
      <c r="K494" s="182">
        <v>493</v>
      </c>
      <c r="L494" s="182" t="str">
        <f t="shared" si="84"/>
        <v/>
      </c>
      <c r="M494" s="182" t="str">
        <f t="shared" si="85"/>
        <v/>
      </c>
      <c r="N494" s="182" t="str">
        <f t="shared" si="86"/>
        <v/>
      </c>
      <c r="O494" s="182" t="str">
        <f t="shared" si="87"/>
        <v/>
      </c>
      <c r="P494" s="182" t="str">
        <f t="shared" si="88"/>
        <v/>
      </c>
      <c r="Q494" s="182" t="str">
        <f t="shared" si="89"/>
        <v/>
      </c>
      <c r="R494" s="182" t="str">
        <f t="shared" si="90"/>
        <v/>
      </c>
      <c r="S494" s="182" t="str">
        <f t="shared" si="91"/>
        <v/>
      </c>
      <c r="T494" s="182" t="str">
        <f t="shared" si="92"/>
        <v/>
      </c>
      <c r="U494" s="182" t="str">
        <f t="shared" si="93"/>
        <v/>
      </c>
      <c r="V494" s="182" t="str">
        <f t="shared" si="94"/>
        <v/>
      </c>
      <c r="W494" s="182" t="str">
        <f t="shared" si="95"/>
        <v/>
      </c>
    </row>
    <row r="495" spans="1:23" x14ac:dyDescent="0.2">
      <c r="A495" s="181"/>
      <c r="B495" s="181"/>
      <c r="C495" s="181"/>
      <c r="D495" s="181"/>
      <c r="E495" s="181"/>
      <c r="F495" s="181"/>
      <c r="G495" s="181"/>
      <c r="K495" s="182">
        <v>494</v>
      </c>
      <c r="L495" s="182" t="str">
        <f t="shared" si="84"/>
        <v/>
      </c>
      <c r="M495" s="182" t="str">
        <f t="shared" si="85"/>
        <v/>
      </c>
      <c r="N495" s="182" t="str">
        <f t="shared" si="86"/>
        <v/>
      </c>
      <c r="O495" s="182" t="str">
        <f t="shared" si="87"/>
        <v/>
      </c>
      <c r="P495" s="182" t="str">
        <f t="shared" si="88"/>
        <v/>
      </c>
      <c r="Q495" s="182" t="str">
        <f t="shared" si="89"/>
        <v/>
      </c>
      <c r="R495" s="182" t="str">
        <f t="shared" si="90"/>
        <v/>
      </c>
      <c r="S495" s="182" t="str">
        <f t="shared" si="91"/>
        <v/>
      </c>
      <c r="T495" s="182" t="str">
        <f t="shared" si="92"/>
        <v/>
      </c>
      <c r="U495" s="182" t="str">
        <f t="shared" si="93"/>
        <v/>
      </c>
      <c r="V495" s="182" t="str">
        <f t="shared" si="94"/>
        <v/>
      </c>
      <c r="W495" s="182" t="str">
        <f t="shared" si="95"/>
        <v/>
      </c>
    </row>
    <row r="496" spans="1:23" x14ac:dyDescent="0.2">
      <c r="A496" s="181"/>
      <c r="B496" s="181"/>
      <c r="C496" s="181"/>
      <c r="D496" s="181"/>
      <c r="E496" s="181"/>
      <c r="F496" s="181"/>
      <c r="G496" s="181"/>
      <c r="K496" s="182">
        <v>495</v>
      </c>
      <c r="L496" s="182" t="str">
        <f t="shared" si="84"/>
        <v/>
      </c>
      <c r="M496" s="182" t="str">
        <f t="shared" si="85"/>
        <v/>
      </c>
      <c r="N496" s="182" t="str">
        <f t="shared" si="86"/>
        <v/>
      </c>
      <c r="O496" s="182" t="str">
        <f t="shared" si="87"/>
        <v/>
      </c>
      <c r="P496" s="182" t="str">
        <f t="shared" si="88"/>
        <v/>
      </c>
      <c r="Q496" s="182" t="str">
        <f t="shared" si="89"/>
        <v/>
      </c>
      <c r="R496" s="182" t="str">
        <f t="shared" si="90"/>
        <v/>
      </c>
      <c r="S496" s="182" t="str">
        <f t="shared" si="91"/>
        <v/>
      </c>
      <c r="T496" s="182" t="str">
        <f t="shared" si="92"/>
        <v/>
      </c>
      <c r="U496" s="182" t="str">
        <f t="shared" si="93"/>
        <v/>
      </c>
      <c r="V496" s="182" t="str">
        <f t="shared" si="94"/>
        <v/>
      </c>
      <c r="W496" s="182" t="str">
        <f t="shared" si="95"/>
        <v/>
      </c>
    </row>
    <row r="497" spans="1:23" x14ac:dyDescent="0.2">
      <c r="A497" s="181"/>
      <c r="B497" s="181"/>
      <c r="C497" s="181"/>
      <c r="D497" s="181"/>
      <c r="E497" s="181"/>
      <c r="F497" s="181"/>
      <c r="G497" s="181"/>
      <c r="K497" s="182">
        <v>496</v>
      </c>
      <c r="L497" s="182" t="str">
        <f t="shared" si="84"/>
        <v/>
      </c>
      <c r="M497" s="182" t="str">
        <f t="shared" si="85"/>
        <v/>
      </c>
      <c r="N497" s="182" t="str">
        <f t="shared" si="86"/>
        <v/>
      </c>
      <c r="O497" s="182" t="str">
        <f t="shared" si="87"/>
        <v/>
      </c>
      <c r="P497" s="182" t="str">
        <f t="shared" si="88"/>
        <v/>
      </c>
      <c r="Q497" s="182" t="str">
        <f t="shared" si="89"/>
        <v/>
      </c>
      <c r="R497" s="182" t="str">
        <f t="shared" si="90"/>
        <v/>
      </c>
      <c r="S497" s="182" t="str">
        <f t="shared" si="91"/>
        <v/>
      </c>
      <c r="T497" s="182" t="str">
        <f t="shared" si="92"/>
        <v/>
      </c>
      <c r="U497" s="182" t="str">
        <f t="shared" si="93"/>
        <v/>
      </c>
      <c r="V497" s="182" t="str">
        <f t="shared" si="94"/>
        <v/>
      </c>
      <c r="W497" s="182" t="str">
        <f t="shared" si="95"/>
        <v/>
      </c>
    </row>
    <row r="498" spans="1:23" x14ac:dyDescent="0.2">
      <c r="A498" s="181"/>
      <c r="B498" s="181"/>
      <c r="C498" s="181"/>
      <c r="D498" s="181"/>
      <c r="E498" s="181"/>
      <c r="F498" s="181"/>
      <c r="G498" s="181"/>
      <c r="K498" s="182">
        <v>497</v>
      </c>
      <c r="L498" s="182" t="str">
        <f t="shared" si="84"/>
        <v/>
      </c>
      <c r="M498" s="182" t="str">
        <f t="shared" si="85"/>
        <v/>
      </c>
      <c r="N498" s="182" t="str">
        <f t="shared" si="86"/>
        <v/>
      </c>
      <c r="O498" s="182" t="str">
        <f t="shared" si="87"/>
        <v/>
      </c>
      <c r="P498" s="182" t="str">
        <f t="shared" si="88"/>
        <v/>
      </c>
      <c r="Q498" s="182" t="str">
        <f t="shared" si="89"/>
        <v/>
      </c>
      <c r="R498" s="182" t="str">
        <f t="shared" si="90"/>
        <v/>
      </c>
      <c r="S498" s="182" t="str">
        <f t="shared" si="91"/>
        <v/>
      </c>
      <c r="T498" s="182" t="str">
        <f t="shared" si="92"/>
        <v/>
      </c>
      <c r="U498" s="182" t="str">
        <f t="shared" si="93"/>
        <v/>
      </c>
      <c r="V498" s="182" t="str">
        <f t="shared" si="94"/>
        <v/>
      </c>
      <c r="W498" s="182" t="str">
        <f t="shared" si="95"/>
        <v/>
      </c>
    </row>
    <row r="499" spans="1:23" x14ac:dyDescent="0.2">
      <c r="A499" s="181"/>
      <c r="B499" s="181"/>
      <c r="C499" s="181"/>
      <c r="D499" s="181"/>
      <c r="E499" s="181"/>
      <c r="F499" s="181"/>
      <c r="G499" s="181"/>
      <c r="K499" s="182">
        <v>498</v>
      </c>
      <c r="L499" s="182" t="str">
        <f t="shared" si="84"/>
        <v/>
      </c>
      <c r="M499" s="182" t="str">
        <f t="shared" si="85"/>
        <v/>
      </c>
      <c r="N499" s="182" t="str">
        <f t="shared" si="86"/>
        <v/>
      </c>
      <c r="O499" s="182" t="str">
        <f t="shared" si="87"/>
        <v/>
      </c>
      <c r="P499" s="182" t="str">
        <f t="shared" si="88"/>
        <v/>
      </c>
      <c r="Q499" s="182" t="str">
        <f t="shared" si="89"/>
        <v/>
      </c>
      <c r="R499" s="182" t="str">
        <f t="shared" si="90"/>
        <v/>
      </c>
      <c r="S499" s="182" t="str">
        <f t="shared" si="91"/>
        <v/>
      </c>
      <c r="T499" s="182" t="str">
        <f t="shared" si="92"/>
        <v/>
      </c>
      <c r="U499" s="182" t="str">
        <f t="shared" si="93"/>
        <v/>
      </c>
      <c r="V499" s="182" t="str">
        <f t="shared" si="94"/>
        <v/>
      </c>
      <c r="W499" s="182" t="str">
        <f t="shared" si="95"/>
        <v/>
      </c>
    </row>
    <row r="500" spans="1:23" x14ac:dyDescent="0.2">
      <c r="A500" s="181"/>
      <c r="B500" s="181"/>
      <c r="C500" s="181"/>
      <c r="D500" s="181"/>
      <c r="E500" s="181"/>
      <c r="F500" s="181"/>
      <c r="G500" s="181"/>
      <c r="K500" s="182">
        <v>499</v>
      </c>
      <c r="L500" s="182" t="str">
        <f t="shared" si="84"/>
        <v/>
      </c>
      <c r="M500" s="182" t="str">
        <f t="shared" si="85"/>
        <v/>
      </c>
      <c r="N500" s="182" t="str">
        <f t="shared" si="86"/>
        <v/>
      </c>
      <c r="O500" s="182" t="str">
        <f t="shared" si="87"/>
        <v/>
      </c>
      <c r="P500" s="182" t="str">
        <f t="shared" si="88"/>
        <v/>
      </c>
      <c r="Q500" s="182" t="str">
        <f t="shared" si="89"/>
        <v/>
      </c>
      <c r="R500" s="182" t="str">
        <f t="shared" si="90"/>
        <v/>
      </c>
      <c r="S500" s="182" t="str">
        <f t="shared" si="91"/>
        <v/>
      </c>
      <c r="T500" s="182" t="str">
        <f t="shared" si="92"/>
        <v/>
      </c>
      <c r="U500" s="182" t="str">
        <f t="shared" si="93"/>
        <v/>
      </c>
      <c r="V500" s="182" t="str">
        <f t="shared" si="94"/>
        <v/>
      </c>
      <c r="W500" s="182" t="str">
        <f t="shared" si="95"/>
        <v/>
      </c>
    </row>
    <row r="501" spans="1:23" x14ac:dyDescent="0.2">
      <c r="A501" s="181"/>
      <c r="B501" s="181"/>
      <c r="C501" s="181"/>
      <c r="D501" s="181"/>
      <c r="E501" s="181"/>
      <c r="F501" s="181"/>
      <c r="G501" s="181"/>
      <c r="K501" s="182">
        <v>500</v>
      </c>
      <c r="L501" s="182" t="str">
        <f t="shared" si="84"/>
        <v/>
      </c>
      <c r="M501" s="182" t="str">
        <f t="shared" si="85"/>
        <v/>
      </c>
      <c r="N501" s="182" t="str">
        <f t="shared" si="86"/>
        <v/>
      </c>
      <c r="O501" s="182" t="str">
        <f t="shared" si="87"/>
        <v/>
      </c>
      <c r="P501" s="182" t="str">
        <f t="shared" si="88"/>
        <v/>
      </c>
      <c r="Q501" s="182" t="str">
        <f t="shared" si="89"/>
        <v/>
      </c>
      <c r="R501" s="182" t="str">
        <f t="shared" si="90"/>
        <v/>
      </c>
      <c r="S501" s="182" t="str">
        <f t="shared" si="91"/>
        <v/>
      </c>
      <c r="T501" s="182" t="str">
        <f t="shared" si="92"/>
        <v/>
      </c>
      <c r="U501" s="182" t="str">
        <f t="shared" si="93"/>
        <v/>
      </c>
      <c r="V501" s="182" t="str">
        <f t="shared" si="94"/>
        <v/>
      </c>
      <c r="W501" s="182" t="str">
        <f t="shared" si="95"/>
        <v/>
      </c>
    </row>
    <row r="502" spans="1:23" x14ac:dyDescent="0.2">
      <c r="A502" s="181"/>
      <c r="B502" s="181"/>
      <c r="C502" s="181"/>
      <c r="D502" s="181"/>
      <c r="E502" s="181"/>
      <c r="F502" s="181"/>
      <c r="G502" s="181"/>
      <c r="K502" s="182">
        <v>501</v>
      </c>
      <c r="L502" s="182" t="str">
        <f t="shared" si="84"/>
        <v/>
      </c>
      <c r="M502" s="182" t="str">
        <f t="shared" si="85"/>
        <v/>
      </c>
      <c r="N502" s="182" t="str">
        <f t="shared" si="86"/>
        <v/>
      </c>
      <c r="O502" s="182" t="str">
        <f t="shared" si="87"/>
        <v/>
      </c>
      <c r="P502" s="182" t="str">
        <f t="shared" si="88"/>
        <v/>
      </c>
      <c r="Q502" s="182" t="str">
        <f t="shared" si="89"/>
        <v/>
      </c>
      <c r="R502" s="182" t="str">
        <f t="shared" si="90"/>
        <v/>
      </c>
      <c r="S502" s="182" t="str">
        <f t="shared" si="91"/>
        <v/>
      </c>
      <c r="T502" s="182" t="str">
        <f t="shared" si="92"/>
        <v/>
      </c>
      <c r="U502" s="182" t="str">
        <f t="shared" si="93"/>
        <v/>
      </c>
      <c r="V502" s="182" t="str">
        <f t="shared" si="94"/>
        <v/>
      </c>
      <c r="W502" s="182" t="str">
        <f t="shared" si="95"/>
        <v/>
      </c>
    </row>
    <row r="503" spans="1:23" x14ac:dyDescent="0.2">
      <c r="A503" s="181"/>
      <c r="B503" s="181"/>
      <c r="C503" s="181"/>
      <c r="D503" s="181"/>
      <c r="E503" s="181"/>
      <c r="F503" s="181"/>
      <c r="G503" s="181"/>
      <c r="K503" s="182">
        <v>502</v>
      </c>
      <c r="L503" s="182" t="str">
        <f t="shared" si="84"/>
        <v/>
      </c>
      <c r="M503" s="182" t="str">
        <f t="shared" si="85"/>
        <v/>
      </c>
      <c r="N503" s="182" t="str">
        <f t="shared" si="86"/>
        <v/>
      </c>
      <c r="O503" s="182" t="str">
        <f t="shared" si="87"/>
        <v/>
      </c>
      <c r="P503" s="182" t="str">
        <f t="shared" si="88"/>
        <v/>
      </c>
      <c r="Q503" s="182" t="str">
        <f t="shared" si="89"/>
        <v/>
      </c>
      <c r="R503" s="182" t="str">
        <f t="shared" si="90"/>
        <v/>
      </c>
      <c r="S503" s="182" t="str">
        <f t="shared" si="91"/>
        <v/>
      </c>
      <c r="T503" s="182" t="str">
        <f t="shared" si="92"/>
        <v/>
      </c>
      <c r="U503" s="182" t="str">
        <f t="shared" si="93"/>
        <v/>
      </c>
      <c r="V503" s="182" t="str">
        <f t="shared" si="94"/>
        <v/>
      </c>
      <c r="W503" s="182" t="str">
        <f t="shared" si="95"/>
        <v/>
      </c>
    </row>
    <row r="504" spans="1:23" x14ac:dyDescent="0.2">
      <c r="A504" s="181"/>
      <c r="B504" s="181"/>
      <c r="C504" s="181"/>
      <c r="D504" s="181"/>
      <c r="E504" s="181"/>
      <c r="F504" s="181"/>
      <c r="G504" s="181"/>
      <c r="K504" s="182">
        <v>503</v>
      </c>
      <c r="L504" s="182" t="str">
        <f t="shared" si="84"/>
        <v/>
      </c>
      <c r="M504" s="182" t="str">
        <f t="shared" si="85"/>
        <v/>
      </c>
      <c r="N504" s="182" t="str">
        <f t="shared" si="86"/>
        <v/>
      </c>
      <c r="O504" s="182" t="str">
        <f t="shared" si="87"/>
        <v/>
      </c>
      <c r="P504" s="182" t="str">
        <f t="shared" si="88"/>
        <v/>
      </c>
      <c r="Q504" s="182" t="str">
        <f t="shared" si="89"/>
        <v/>
      </c>
      <c r="R504" s="182" t="str">
        <f t="shared" si="90"/>
        <v/>
      </c>
      <c r="S504" s="182" t="str">
        <f t="shared" si="91"/>
        <v/>
      </c>
      <c r="T504" s="182" t="str">
        <f t="shared" si="92"/>
        <v/>
      </c>
      <c r="U504" s="182" t="str">
        <f t="shared" si="93"/>
        <v/>
      </c>
      <c r="V504" s="182" t="str">
        <f t="shared" si="94"/>
        <v/>
      </c>
      <c r="W504" s="182" t="str">
        <f t="shared" si="95"/>
        <v/>
      </c>
    </row>
    <row r="505" spans="1:23" x14ac:dyDescent="0.2">
      <c r="A505" s="181"/>
      <c r="B505" s="181"/>
      <c r="C505" s="181"/>
      <c r="D505" s="181"/>
      <c r="E505" s="181"/>
      <c r="F505" s="181"/>
      <c r="G505" s="181"/>
      <c r="K505" s="182">
        <v>504</v>
      </c>
      <c r="L505" s="182" t="str">
        <f t="shared" si="84"/>
        <v/>
      </c>
      <c r="M505" s="182" t="str">
        <f t="shared" si="85"/>
        <v/>
      </c>
      <c r="N505" s="182" t="str">
        <f t="shared" si="86"/>
        <v/>
      </c>
      <c r="O505" s="182" t="str">
        <f t="shared" si="87"/>
        <v/>
      </c>
      <c r="P505" s="182" t="str">
        <f t="shared" si="88"/>
        <v/>
      </c>
      <c r="Q505" s="182" t="str">
        <f t="shared" si="89"/>
        <v/>
      </c>
      <c r="R505" s="182" t="str">
        <f t="shared" si="90"/>
        <v/>
      </c>
      <c r="S505" s="182" t="str">
        <f t="shared" si="91"/>
        <v/>
      </c>
      <c r="T505" s="182" t="str">
        <f t="shared" si="92"/>
        <v/>
      </c>
      <c r="U505" s="182" t="str">
        <f t="shared" si="93"/>
        <v/>
      </c>
      <c r="V505" s="182" t="str">
        <f t="shared" si="94"/>
        <v/>
      </c>
      <c r="W505" s="182" t="str">
        <f t="shared" si="95"/>
        <v/>
      </c>
    </row>
    <row r="506" spans="1:23" x14ac:dyDescent="0.2">
      <c r="A506" s="181"/>
      <c r="B506" s="181"/>
      <c r="C506" s="181"/>
      <c r="D506" s="181"/>
      <c r="E506" s="181"/>
      <c r="F506" s="181"/>
      <c r="G506" s="181"/>
      <c r="K506" s="182">
        <v>505</v>
      </c>
      <c r="L506" s="182" t="str">
        <f t="shared" si="84"/>
        <v/>
      </c>
      <c r="M506" s="182" t="str">
        <f t="shared" si="85"/>
        <v/>
      </c>
      <c r="N506" s="182" t="str">
        <f t="shared" si="86"/>
        <v/>
      </c>
      <c r="O506" s="182" t="str">
        <f t="shared" si="87"/>
        <v/>
      </c>
      <c r="P506" s="182" t="str">
        <f t="shared" si="88"/>
        <v/>
      </c>
      <c r="Q506" s="182" t="str">
        <f t="shared" si="89"/>
        <v/>
      </c>
      <c r="R506" s="182" t="str">
        <f t="shared" si="90"/>
        <v/>
      </c>
      <c r="S506" s="182" t="str">
        <f t="shared" si="91"/>
        <v/>
      </c>
      <c r="T506" s="182" t="str">
        <f t="shared" si="92"/>
        <v/>
      </c>
      <c r="U506" s="182" t="str">
        <f t="shared" si="93"/>
        <v/>
      </c>
      <c r="V506" s="182" t="str">
        <f t="shared" si="94"/>
        <v/>
      </c>
      <c r="W506" s="182" t="str">
        <f t="shared" si="95"/>
        <v/>
      </c>
    </row>
    <row r="507" spans="1:23" x14ac:dyDescent="0.2">
      <c r="A507" s="181"/>
      <c r="B507" s="181"/>
      <c r="C507" s="181"/>
      <c r="D507" s="181"/>
      <c r="E507" s="181"/>
      <c r="F507" s="181"/>
      <c r="G507" s="181"/>
      <c r="K507" s="182">
        <v>506</v>
      </c>
      <c r="L507" s="182" t="str">
        <f t="shared" si="84"/>
        <v/>
      </c>
      <c r="M507" s="182" t="str">
        <f t="shared" si="85"/>
        <v/>
      </c>
      <c r="N507" s="182" t="str">
        <f t="shared" si="86"/>
        <v/>
      </c>
      <c r="O507" s="182" t="str">
        <f t="shared" si="87"/>
        <v/>
      </c>
      <c r="P507" s="182" t="str">
        <f t="shared" si="88"/>
        <v/>
      </c>
      <c r="Q507" s="182" t="str">
        <f t="shared" si="89"/>
        <v/>
      </c>
      <c r="R507" s="182" t="str">
        <f t="shared" si="90"/>
        <v/>
      </c>
      <c r="S507" s="182" t="str">
        <f t="shared" si="91"/>
        <v/>
      </c>
      <c r="T507" s="182" t="str">
        <f t="shared" si="92"/>
        <v/>
      </c>
      <c r="U507" s="182" t="str">
        <f t="shared" si="93"/>
        <v/>
      </c>
      <c r="V507" s="182" t="str">
        <f t="shared" si="94"/>
        <v/>
      </c>
      <c r="W507" s="182" t="str">
        <f t="shared" si="95"/>
        <v/>
      </c>
    </row>
    <row r="508" spans="1:23" x14ac:dyDescent="0.2">
      <c r="A508" s="181"/>
      <c r="B508" s="181"/>
      <c r="C508" s="181"/>
      <c r="D508" s="181"/>
      <c r="E508" s="181"/>
      <c r="F508" s="181"/>
      <c r="G508" s="181"/>
      <c r="K508" s="182">
        <v>507</v>
      </c>
      <c r="L508" s="182" t="str">
        <f t="shared" si="84"/>
        <v/>
      </c>
      <c r="M508" s="182" t="str">
        <f t="shared" si="85"/>
        <v/>
      </c>
      <c r="N508" s="182" t="str">
        <f t="shared" si="86"/>
        <v/>
      </c>
      <c r="O508" s="182" t="str">
        <f t="shared" si="87"/>
        <v/>
      </c>
      <c r="P508" s="182" t="str">
        <f t="shared" si="88"/>
        <v/>
      </c>
      <c r="Q508" s="182" t="str">
        <f t="shared" si="89"/>
        <v/>
      </c>
      <c r="R508" s="182" t="str">
        <f t="shared" si="90"/>
        <v/>
      </c>
      <c r="S508" s="182" t="str">
        <f t="shared" si="91"/>
        <v/>
      </c>
      <c r="T508" s="182" t="str">
        <f t="shared" si="92"/>
        <v/>
      </c>
      <c r="U508" s="182" t="str">
        <f t="shared" si="93"/>
        <v/>
      </c>
      <c r="V508" s="182" t="str">
        <f t="shared" si="94"/>
        <v/>
      </c>
      <c r="W508" s="182" t="str">
        <f t="shared" si="95"/>
        <v/>
      </c>
    </row>
    <row r="509" spans="1:23" x14ac:dyDescent="0.2">
      <c r="A509" s="181"/>
      <c r="B509" s="181"/>
      <c r="C509" s="181"/>
      <c r="D509" s="181"/>
      <c r="E509" s="181"/>
      <c r="F509" s="181"/>
      <c r="G509" s="181"/>
      <c r="K509" s="182">
        <v>508</v>
      </c>
      <c r="L509" s="182" t="str">
        <f t="shared" si="84"/>
        <v/>
      </c>
      <c r="M509" s="182" t="str">
        <f t="shared" si="85"/>
        <v/>
      </c>
      <c r="N509" s="182" t="str">
        <f t="shared" si="86"/>
        <v/>
      </c>
      <c r="O509" s="182" t="str">
        <f t="shared" si="87"/>
        <v/>
      </c>
      <c r="P509" s="182" t="str">
        <f t="shared" si="88"/>
        <v/>
      </c>
      <c r="Q509" s="182" t="str">
        <f t="shared" si="89"/>
        <v/>
      </c>
      <c r="R509" s="182" t="str">
        <f t="shared" si="90"/>
        <v/>
      </c>
      <c r="S509" s="182" t="str">
        <f t="shared" si="91"/>
        <v/>
      </c>
      <c r="T509" s="182" t="str">
        <f t="shared" si="92"/>
        <v/>
      </c>
      <c r="U509" s="182" t="str">
        <f t="shared" si="93"/>
        <v/>
      </c>
      <c r="V509" s="182" t="str">
        <f t="shared" si="94"/>
        <v/>
      </c>
      <c r="W509" s="182" t="str">
        <f t="shared" si="95"/>
        <v/>
      </c>
    </row>
    <row r="510" spans="1:23" x14ac:dyDescent="0.2">
      <c r="A510" s="181"/>
      <c r="B510" s="181"/>
      <c r="C510" s="181"/>
      <c r="D510" s="181"/>
      <c r="E510" s="181"/>
      <c r="F510" s="181"/>
      <c r="G510" s="181"/>
      <c r="K510" s="182">
        <v>509</v>
      </c>
      <c r="L510" s="182" t="str">
        <f t="shared" si="84"/>
        <v/>
      </c>
      <c r="M510" s="182" t="str">
        <f t="shared" si="85"/>
        <v/>
      </c>
      <c r="N510" s="182" t="str">
        <f t="shared" si="86"/>
        <v/>
      </c>
      <c r="O510" s="182" t="str">
        <f t="shared" si="87"/>
        <v/>
      </c>
      <c r="P510" s="182" t="str">
        <f t="shared" si="88"/>
        <v/>
      </c>
      <c r="Q510" s="182" t="str">
        <f t="shared" si="89"/>
        <v/>
      </c>
      <c r="R510" s="182" t="str">
        <f t="shared" si="90"/>
        <v/>
      </c>
      <c r="S510" s="182" t="str">
        <f t="shared" si="91"/>
        <v/>
      </c>
      <c r="T510" s="182" t="str">
        <f t="shared" si="92"/>
        <v/>
      </c>
      <c r="U510" s="182" t="str">
        <f t="shared" si="93"/>
        <v/>
      </c>
      <c r="V510" s="182" t="str">
        <f t="shared" si="94"/>
        <v/>
      </c>
      <c r="W510" s="182" t="str">
        <f t="shared" si="95"/>
        <v/>
      </c>
    </row>
    <row r="511" spans="1:23" x14ac:dyDescent="0.2">
      <c r="A511" s="181"/>
      <c r="B511" s="181"/>
      <c r="C511" s="181"/>
      <c r="D511" s="181"/>
      <c r="E511" s="181"/>
      <c r="F511" s="181"/>
      <c r="G511" s="181"/>
      <c r="K511" s="182">
        <v>510</v>
      </c>
      <c r="L511" s="182" t="str">
        <f t="shared" si="84"/>
        <v/>
      </c>
      <c r="M511" s="182" t="str">
        <f t="shared" si="85"/>
        <v/>
      </c>
      <c r="N511" s="182" t="str">
        <f t="shared" si="86"/>
        <v/>
      </c>
      <c r="O511" s="182" t="str">
        <f t="shared" si="87"/>
        <v/>
      </c>
      <c r="P511" s="182" t="str">
        <f t="shared" si="88"/>
        <v/>
      </c>
      <c r="Q511" s="182" t="str">
        <f t="shared" si="89"/>
        <v/>
      </c>
      <c r="R511" s="182" t="str">
        <f t="shared" si="90"/>
        <v/>
      </c>
      <c r="S511" s="182" t="str">
        <f t="shared" si="91"/>
        <v/>
      </c>
      <c r="T511" s="182" t="str">
        <f t="shared" si="92"/>
        <v/>
      </c>
      <c r="U511" s="182" t="str">
        <f t="shared" si="93"/>
        <v/>
      </c>
      <c r="V511" s="182" t="str">
        <f t="shared" si="94"/>
        <v/>
      </c>
      <c r="W511" s="182" t="str">
        <f t="shared" si="95"/>
        <v/>
      </c>
    </row>
    <row r="512" spans="1:23" x14ac:dyDescent="0.2">
      <c r="A512" s="181"/>
      <c r="B512" s="181"/>
      <c r="C512" s="181"/>
      <c r="D512" s="181"/>
      <c r="E512" s="181"/>
      <c r="F512" s="181"/>
      <c r="G512" s="181"/>
      <c r="K512" s="182">
        <v>511</v>
      </c>
      <c r="L512" s="182" t="str">
        <f t="shared" si="84"/>
        <v/>
      </c>
      <c r="M512" s="182" t="str">
        <f t="shared" si="85"/>
        <v/>
      </c>
      <c r="N512" s="182" t="str">
        <f t="shared" si="86"/>
        <v/>
      </c>
      <c r="O512" s="182" t="str">
        <f t="shared" si="87"/>
        <v/>
      </c>
      <c r="P512" s="182" t="str">
        <f t="shared" si="88"/>
        <v/>
      </c>
      <c r="Q512" s="182" t="str">
        <f t="shared" si="89"/>
        <v/>
      </c>
      <c r="R512" s="182" t="str">
        <f t="shared" si="90"/>
        <v/>
      </c>
      <c r="S512" s="182" t="str">
        <f t="shared" si="91"/>
        <v/>
      </c>
      <c r="T512" s="182" t="str">
        <f t="shared" si="92"/>
        <v/>
      </c>
      <c r="U512" s="182" t="str">
        <f t="shared" si="93"/>
        <v/>
      </c>
      <c r="V512" s="182" t="str">
        <f t="shared" si="94"/>
        <v/>
      </c>
      <c r="W512" s="182" t="str">
        <f t="shared" si="95"/>
        <v/>
      </c>
    </row>
    <row r="513" spans="1:23" x14ac:dyDescent="0.2">
      <c r="A513" s="181"/>
      <c r="B513" s="181"/>
      <c r="C513" s="181"/>
      <c r="D513" s="181"/>
      <c r="E513" s="181"/>
      <c r="F513" s="181"/>
      <c r="G513" s="181"/>
      <c r="K513" s="182">
        <v>512</v>
      </c>
      <c r="L513" s="182" t="str">
        <f t="shared" si="84"/>
        <v/>
      </c>
      <c r="M513" s="182" t="str">
        <f t="shared" si="85"/>
        <v/>
      </c>
      <c r="N513" s="182" t="str">
        <f t="shared" si="86"/>
        <v/>
      </c>
      <c r="O513" s="182" t="str">
        <f t="shared" si="87"/>
        <v/>
      </c>
      <c r="P513" s="182" t="str">
        <f t="shared" si="88"/>
        <v/>
      </c>
      <c r="Q513" s="182" t="str">
        <f t="shared" si="89"/>
        <v/>
      </c>
      <c r="R513" s="182" t="str">
        <f t="shared" si="90"/>
        <v/>
      </c>
      <c r="S513" s="182" t="str">
        <f t="shared" si="91"/>
        <v/>
      </c>
      <c r="T513" s="182" t="str">
        <f t="shared" si="92"/>
        <v/>
      </c>
      <c r="U513" s="182" t="str">
        <f t="shared" si="93"/>
        <v/>
      </c>
      <c r="V513" s="182" t="str">
        <f t="shared" si="94"/>
        <v/>
      </c>
      <c r="W513" s="182" t="str">
        <f t="shared" si="95"/>
        <v/>
      </c>
    </row>
    <row r="514" spans="1:23" x14ac:dyDescent="0.2">
      <c r="A514" s="181"/>
      <c r="B514" s="181"/>
      <c r="C514" s="181"/>
      <c r="D514" s="181"/>
      <c r="E514" s="181"/>
      <c r="F514" s="181"/>
      <c r="G514" s="181"/>
      <c r="K514" s="182">
        <v>513</v>
      </c>
      <c r="L514" s="182" t="str">
        <f t="shared" si="84"/>
        <v/>
      </c>
      <c r="M514" s="182" t="str">
        <f t="shared" si="85"/>
        <v/>
      </c>
      <c r="N514" s="182" t="str">
        <f t="shared" si="86"/>
        <v/>
      </c>
      <c r="O514" s="182" t="str">
        <f t="shared" si="87"/>
        <v/>
      </c>
      <c r="P514" s="182" t="str">
        <f t="shared" si="88"/>
        <v/>
      </c>
      <c r="Q514" s="182" t="str">
        <f t="shared" si="89"/>
        <v/>
      </c>
      <c r="R514" s="182" t="str">
        <f t="shared" si="90"/>
        <v/>
      </c>
      <c r="S514" s="182" t="str">
        <f t="shared" si="91"/>
        <v/>
      </c>
      <c r="T514" s="182" t="str">
        <f t="shared" si="92"/>
        <v/>
      </c>
      <c r="U514" s="182" t="str">
        <f t="shared" si="93"/>
        <v/>
      </c>
      <c r="V514" s="182" t="str">
        <f t="shared" si="94"/>
        <v/>
      </c>
      <c r="W514" s="182" t="str">
        <f t="shared" si="95"/>
        <v/>
      </c>
    </row>
    <row r="515" spans="1:23" x14ac:dyDescent="0.2">
      <c r="A515" s="181"/>
      <c r="B515" s="181"/>
      <c r="C515" s="181"/>
      <c r="D515" s="181"/>
      <c r="E515" s="181"/>
      <c r="F515" s="181"/>
      <c r="G515" s="181"/>
      <c r="K515" s="182">
        <v>514</v>
      </c>
      <c r="L515" s="182" t="str">
        <f t="shared" ref="L515:L578" si="96">IF($B$13&gt;=K515,K515,"")</f>
        <v/>
      </c>
      <c r="M515" s="182" t="str">
        <f t="shared" ref="M515:M578" si="97">IF(L515="","",IF(L515&lt;=$E$15,VLOOKUP($E$14,$I$1:$J$4,2,FALSE),VLOOKUP($F$14,$I$1:$J$4,2,FALSE)))</f>
        <v/>
      </c>
      <c r="N515" s="182" t="str">
        <f t="shared" ref="N515:N578" si="98">IF($B$20&gt;=K515,K515,"")</f>
        <v/>
      </c>
      <c r="O515" s="182" t="str">
        <f t="shared" ref="O515:O578" si="99">IF(N515="","",IF(N515&lt;=$E$22,VLOOKUP($E$21,$I$1:$J$4,2,FALSE),VLOOKUP($F$21,$I$1:$J$4,2,FALSE)))</f>
        <v/>
      </c>
      <c r="P515" s="182" t="str">
        <f t="shared" ref="P515:P578" si="100">IF($B$27&gt;=K515,K515,"")</f>
        <v/>
      </c>
      <c r="Q515" s="182" t="str">
        <f t="shared" ref="Q515:Q578" si="101">IF(P515="","",IF(P515&lt;=$E$29,VLOOKUP($E$28,$I$1:$J$4,2,FALSE),VLOOKUP($F$28,$I$1:$J$4,2,FALSE)))</f>
        <v/>
      </c>
      <c r="R515" s="182" t="str">
        <f t="shared" ref="R515:R578" si="102">IF($B$34&gt;=K515,K515,"")</f>
        <v/>
      </c>
      <c r="S515" s="182" t="str">
        <f t="shared" ref="S515:S578" si="103">IF(R515="","",IF(R515&lt;=$E$36,VLOOKUP($E$35,$I$1:$J$4,2,FALSE),VLOOKUP($F$35,$I$1:$J$4,2,FALSE)))</f>
        <v/>
      </c>
      <c r="T515" s="182" t="str">
        <f t="shared" ref="T515:T578" si="104">IF($B$41&gt;=K515,K515,"")</f>
        <v/>
      </c>
      <c r="U515" s="182" t="str">
        <f t="shared" ref="U515:U578" si="105">IF(T515="","",IF(T515&lt;=$E$43,VLOOKUP($E$42,$I$1:$J$4,2,FALSE),VLOOKUP($F$42,$I$1:$J$4,2,FALSE)))</f>
        <v/>
      </c>
      <c r="V515" s="182" t="str">
        <f t="shared" ref="V515:V578" si="106">IF($B$48&gt;=K515,K515,"")</f>
        <v/>
      </c>
      <c r="W515" s="182" t="str">
        <f t="shared" ref="W515:W578" si="107">IF(V515="","",IF(V515&lt;=$E$50,VLOOKUP($E$49,$I$1:$J$4,2,FALSE),VLOOKUP($F$49,$I$1:$J$4,2,FALSE)))</f>
        <v/>
      </c>
    </row>
    <row r="516" spans="1:23" x14ac:dyDescent="0.2">
      <c r="A516" s="181"/>
      <c r="B516" s="181"/>
      <c r="C516" s="181"/>
      <c r="D516" s="181"/>
      <c r="E516" s="181"/>
      <c r="F516" s="181"/>
      <c r="G516" s="181"/>
      <c r="K516" s="182">
        <v>515</v>
      </c>
      <c r="L516" s="182" t="str">
        <f t="shared" si="96"/>
        <v/>
      </c>
      <c r="M516" s="182" t="str">
        <f t="shared" si="97"/>
        <v/>
      </c>
      <c r="N516" s="182" t="str">
        <f t="shared" si="98"/>
        <v/>
      </c>
      <c r="O516" s="182" t="str">
        <f t="shared" si="99"/>
        <v/>
      </c>
      <c r="P516" s="182" t="str">
        <f t="shared" si="100"/>
        <v/>
      </c>
      <c r="Q516" s="182" t="str">
        <f t="shared" si="101"/>
        <v/>
      </c>
      <c r="R516" s="182" t="str">
        <f t="shared" si="102"/>
        <v/>
      </c>
      <c r="S516" s="182" t="str">
        <f t="shared" si="103"/>
        <v/>
      </c>
      <c r="T516" s="182" t="str">
        <f t="shared" si="104"/>
        <v/>
      </c>
      <c r="U516" s="182" t="str">
        <f t="shared" si="105"/>
        <v/>
      </c>
      <c r="V516" s="182" t="str">
        <f t="shared" si="106"/>
        <v/>
      </c>
      <c r="W516" s="182" t="str">
        <f t="shared" si="107"/>
        <v/>
      </c>
    </row>
    <row r="517" spans="1:23" x14ac:dyDescent="0.2">
      <c r="A517" s="181"/>
      <c r="B517" s="181"/>
      <c r="C517" s="181"/>
      <c r="D517" s="181"/>
      <c r="E517" s="181"/>
      <c r="F517" s="181"/>
      <c r="G517" s="181"/>
      <c r="K517" s="182">
        <v>516</v>
      </c>
      <c r="L517" s="182" t="str">
        <f t="shared" si="96"/>
        <v/>
      </c>
      <c r="M517" s="182" t="str">
        <f t="shared" si="97"/>
        <v/>
      </c>
      <c r="N517" s="182" t="str">
        <f t="shared" si="98"/>
        <v/>
      </c>
      <c r="O517" s="182" t="str">
        <f t="shared" si="99"/>
        <v/>
      </c>
      <c r="P517" s="182" t="str">
        <f t="shared" si="100"/>
        <v/>
      </c>
      <c r="Q517" s="182" t="str">
        <f t="shared" si="101"/>
        <v/>
      </c>
      <c r="R517" s="182" t="str">
        <f t="shared" si="102"/>
        <v/>
      </c>
      <c r="S517" s="182" t="str">
        <f t="shared" si="103"/>
        <v/>
      </c>
      <c r="T517" s="182" t="str">
        <f t="shared" si="104"/>
        <v/>
      </c>
      <c r="U517" s="182" t="str">
        <f t="shared" si="105"/>
        <v/>
      </c>
      <c r="V517" s="182" t="str">
        <f t="shared" si="106"/>
        <v/>
      </c>
      <c r="W517" s="182" t="str">
        <f t="shared" si="107"/>
        <v/>
      </c>
    </row>
    <row r="518" spans="1:23" x14ac:dyDescent="0.2">
      <c r="A518" s="181"/>
      <c r="B518" s="181"/>
      <c r="C518" s="181"/>
      <c r="D518" s="181"/>
      <c r="E518" s="181"/>
      <c r="F518" s="181"/>
      <c r="G518" s="181"/>
      <c r="K518" s="182">
        <v>517</v>
      </c>
      <c r="L518" s="182" t="str">
        <f t="shared" si="96"/>
        <v/>
      </c>
      <c r="M518" s="182" t="str">
        <f t="shared" si="97"/>
        <v/>
      </c>
      <c r="N518" s="182" t="str">
        <f t="shared" si="98"/>
        <v/>
      </c>
      <c r="O518" s="182" t="str">
        <f t="shared" si="99"/>
        <v/>
      </c>
      <c r="P518" s="182" t="str">
        <f t="shared" si="100"/>
        <v/>
      </c>
      <c r="Q518" s="182" t="str">
        <f t="shared" si="101"/>
        <v/>
      </c>
      <c r="R518" s="182" t="str">
        <f t="shared" si="102"/>
        <v/>
      </c>
      <c r="S518" s="182" t="str">
        <f t="shared" si="103"/>
        <v/>
      </c>
      <c r="T518" s="182" t="str">
        <f t="shared" si="104"/>
        <v/>
      </c>
      <c r="U518" s="182" t="str">
        <f t="shared" si="105"/>
        <v/>
      </c>
      <c r="V518" s="182" t="str">
        <f t="shared" si="106"/>
        <v/>
      </c>
      <c r="W518" s="182" t="str">
        <f t="shared" si="107"/>
        <v/>
      </c>
    </row>
    <row r="519" spans="1:23" x14ac:dyDescent="0.2">
      <c r="A519" s="181"/>
      <c r="B519" s="181"/>
      <c r="C519" s="181"/>
      <c r="D519" s="181"/>
      <c r="E519" s="181"/>
      <c r="F519" s="181"/>
      <c r="G519" s="181"/>
      <c r="K519" s="182">
        <v>518</v>
      </c>
      <c r="L519" s="182" t="str">
        <f t="shared" si="96"/>
        <v/>
      </c>
      <c r="M519" s="182" t="str">
        <f t="shared" si="97"/>
        <v/>
      </c>
      <c r="N519" s="182" t="str">
        <f t="shared" si="98"/>
        <v/>
      </c>
      <c r="O519" s="182" t="str">
        <f t="shared" si="99"/>
        <v/>
      </c>
      <c r="P519" s="182" t="str">
        <f t="shared" si="100"/>
        <v/>
      </c>
      <c r="Q519" s="182" t="str">
        <f t="shared" si="101"/>
        <v/>
      </c>
      <c r="R519" s="182" t="str">
        <f t="shared" si="102"/>
        <v/>
      </c>
      <c r="S519" s="182" t="str">
        <f t="shared" si="103"/>
        <v/>
      </c>
      <c r="T519" s="182" t="str">
        <f t="shared" si="104"/>
        <v/>
      </c>
      <c r="U519" s="182" t="str">
        <f t="shared" si="105"/>
        <v/>
      </c>
      <c r="V519" s="182" t="str">
        <f t="shared" si="106"/>
        <v/>
      </c>
      <c r="W519" s="182" t="str">
        <f t="shared" si="107"/>
        <v/>
      </c>
    </row>
    <row r="520" spans="1:23" x14ac:dyDescent="0.2">
      <c r="A520" s="181"/>
      <c r="B520" s="181"/>
      <c r="C520" s="181"/>
      <c r="D520" s="181"/>
      <c r="E520" s="181"/>
      <c r="F520" s="181"/>
      <c r="G520" s="181"/>
      <c r="K520" s="182">
        <v>519</v>
      </c>
      <c r="L520" s="182" t="str">
        <f t="shared" si="96"/>
        <v/>
      </c>
      <c r="M520" s="182" t="str">
        <f t="shared" si="97"/>
        <v/>
      </c>
      <c r="N520" s="182" t="str">
        <f t="shared" si="98"/>
        <v/>
      </c>
      <c r="O520" s="182" t="str">
        <f t="shared" si="99"/>
        <v/>
      </c>
      <c r="P520" s="182" t="str">
        <f t="shared" si="100"/>
        <v/>
      </c>
      <c r="Q520" s="182" t="str">
        <f t="shared" si="101"/>
        <v/>
      </c>
      <c r="R520" s="182" t="str">
        <f t="shared" si="102"/>
        <v/>
      </c>
      <c r="S520" s="182" t="str">
        <f t="shared" si="103"/>
        <v/>
      </c>
      <c r="T520" s="182" t="str">
        <f t="shared" si="104"/>
        <v/>
      </c>
      <c r="U520" s="182" t="str">
        <f t="shared" si="105"/>
        <v/>
      </c>
      <c r="V520" s="182" t="str">
        <f t="shared" si="106"/>
        <v/>
      </c>
      <c r="W520" s="182" t="str">
        <f t="shared" si="107"/>
        <v/>
      </c>
    </row>
    <row r="521" spans="1:23" x14ac:dyDescent="0.2">
      <c r="A521" s="181"/>
      <c r="B521" s="181"/>
      <c r="C521" s="181"/>
      <c r="D521" s="181"/>
      <c r="E521" s="181"/>
      <c r="F521" s="181"/>
      <c r="G521" s="181"/>
      <c r="K521" s="182">
        <v>520</v>
      </c>
      <c r="L521" s="182" t="str">
        <f t="shared" si="96"/>
        <v/>
      </c>
      <c r="M521" s="182" t="str">
        <f t="shared" si="97"/>
        <v/>
      </c>
      <c r="N521" s="182" t="str">
        <f t="shared" si="98"/>
        <v/>
      </c>
      <c r="O521" s="182" t="str">
        <f t="shared" si="99"/>
        <v/>
      </c>
      <c r="P521" s="182" t="str">
        <f t="shared" si="100"/>
        <v/>
      </c>
      <c r="Q521" s="182" t="str">
        <f t="shared" si="101"/>
        <v/>
      </c>
      <c r="R521" s="182" t="str">
        <f t="shared" si="102"/>
        <v/>
      </c>
      <c r="S521" s="182" t="str">
        <f t="shared" si="103"/>
        <v/>
      </c>
      <c r="T521" s="182" t="str">
        <f t="shared" si="104"/>
        <v/>
      </c>
      <c r="U521" s="182" t="str">
        <f t="shared" si="105"/>
        <v/>
      </c>
      <c r="V521" s="182" t="str">
        <f t="shared" si="106"/>
        <v/>
      </c>
      <c r="W521" s="182" t="str">
        <f t="shared" si="107"/>
        <v/>
      </c>
    </row>
    <row r="522" spans="1:23" x14ac:dyDescent="0.2">
      <c r="A522" s="181"/>
      <c r="B522" s="181"/>
      <c r="C522" s="181"/>
      <c r="D522" s="181"/>
      <c r="E522" s="181"/>
      <c r="F522" s="181"/>
      <c r="G522" s="181"/>
      <c r="K522" s="182">
        <v>521</v>
      </c>
      <c r="L522" s="182" t="str">
        <f t="shared" si="96"/>
        <v/>
      </c>
      <c r="M522" s="182" t="str">
        <f t="shared" si="97"/>
        <v/>
      </c>
      <c r="N522" s="182" t="str">
        <f t="shared" si="98"/>
        <v/>
      </c>
      <c r="O522" s="182" t="str">
        <f t="shared" si="99"/>
        <v/>
      </c>
      <c r="P522" s="182" t="str">
        <f t="shared" si="100"/>
        <v/>
      </c>
      <c r="Q522" s="182" t="str">
        <f t="shared" si="101"/>
        <v/>
      </c>
      <c r="R522" s="182" t="str">
        <f t="shared" si="102"/>
        <v/>
      </c>
      <c r="S522" s="182" t="str">
        <f t="shared" si="103"/>
        <v/>
      </c>
      <c r="T522" s="182" t="str">
        <f t="shared" si="104"/>
        <v/>
      </c>
      <c r="U522" s="182" t="str">
        <f t="shared" si="105"/>
        <v/>
      </c>
      <c r="V522" s="182" t="str">
        <f t="shared" si="106"/>
        <v/>
      </c>
      <c r="W522" s="182" t="str">
        <f t="shared" si="107"/>
        <v/>
      </c>
    </row>
    <row r="523" spans="1:23" x14ac:dyDescent="0.2">
      <c r="A523" s="181"/>
      <c r="B523" s="181"/>
      <c r="C523" s="181"/>
      <c r="D523" s="181"/>
      <c r="E523" s="181"/>
      <c r="F523" s="181"/>
      <c r="G523" s="181"/>
      <c r="K523" s="182">
        <v>522</v>
      </c>
      <c r="L523" s="182" t="str">
        <f t="shared" si="96"/>
        <v/>
      </c>
      <c r="M523" s="182" t="str">
        <f t="shared" si="97"/>
        <v/>
      </c>
      <c r="N523" s="182" t="str">
        <f t="shared" si="98"/>
        <v/>
      </c>
      <c r="O523" s="182" t="str">
        <f t="shared" si="99"/>
        <v/>
      </c>
      <c r="P523" s="182" t="str">
        <f t="shared" si="100"/>
        <v/>
      </c>
      <c r="Q523" s="182" t="str">
        <f t="shared" si="101"/>
        <v/>
      </c>
      <c r="R523" s="182" t="str">
        <f t="shared" si="102"/>
        <v/>
      </c>
      <c r="S523" s="182" t="str">
        <f t="shared" si="103"/>
        <v/>
      </c>
      <c r="T523" s="182" t="str">
        <f t="shared" si="104"/>
        <v/>
      </c>
      <c r="U523" s="182" t="str">
        <f t="shared" si="105"/>
        <v/>
      </c>
      <c r="V523" s="182" t="str">
        <f t="shared" si="106"/>
        <v/>
      </c>
      <c r="W523" s="182" t="str">
        <f t="shared" si="107"/>
        <v/>
      </c>
    </row>
    <row r="524" spans="1:23" x14ac:dyDescent="0.2">
      <c r="A524" s="181"/>
      <c r="B524" s="181"/>
      <c r="C524" s="181"/>
      <c r="D524" s="181"/>
      <c r="E524" s="181"/>
      <c r="F524" s="181"/>
      <c r="G524" s="181"/>
      <c r="K524" s="182">
        <v>523</v>
      </c>
      <c r="L524" s="182" t="str">
        <f t="shared" si="96"/>
        <v/>
      </c>
      <c r="M524" s="182" t="str">
        <f t="shared" si="97"/>
        <v/>
      </c>
      <c r="N524" s="182" t="str">
        <f t="shared" si="98"/>
        <v/>
      </c>
      <c r="O524" s="182" t="str">
        <f t="shared" si="99"/>
        <v/>
      </c>
      <c r="P524" s="182" t="str">
        <f t="shared" si="100"/>
        <v/>
      </c>
      <c r="Q524" s="182" t="str">
        <f t="shared" si="101"/>
        <v/>
      </c>
      <c r="R524" s="182" t="str">
        <f t="shared" si="102"/>
        <v/>
      </c>
      <c r="S524" s="182" t="str">
        <f t="shared" si="103"/>
        <v/>
      </c>
      <c r="T524" s="182" t="str">
        <f t="shared" si="104"/>
        <v/>
      </c>
      <c r="U524" s="182" t="str">
        <f t="shared" si="105"/>
        <v/>
      </c>
      <c r="V524" s="182" t="str">
        <f t="shared" si="106"/>
        <v/>
      </c>
      <c r="W524" s="182" t="str">
        <f t="shared" si="107"/>
        <v/>
      </c>
    </row>
    <row r="525" spans="1:23" x14ac:dyDescent="0.2">
      <c r="A525" s="181"/>
      <c r="B525" s="181"/>
      <c r="C525" s="181"/>
      <c r="D525" s="181"/>
      <c r="E525" s="181"/>
      <c r="F525" s="181"/>
      <c r="G525" s="181"/>
      <c r="K525" s="182">
        <v>524</v>
      </c>
      <c r="L525" s="182" t="str">
        <f t="shared" si="96"/>
        <v/>
      </c>
      <c r="M525" s="182" t="str">
        <f t="shared" si="97"/>
        <v/>
      </c>
      <c r="N525" s="182" t="str">
        <f t="shared" si="98"/>
        <v/>
      </c>
      <c r="O525" s="182" t="str">
        <f t="shared" si="99"/>
        <v/>
      </c>
      <c r="P525" s="182" t="str">
        <f t="shared" si="100"/>
        <v/>
      </c>
      <c r="Q525" s="182" t="str">
        <f t="shared" si="101"/>
        <v/>
      </c>
      <c r="R525" s="182" t="str">
        <f t="shared" si="102"/>
        <v/>
      </c>
      <c r="S525" s="182" t="str">
        <f t="shared" si="103"/>
        <v/>
      </c>
      <c r="T525" s="182" t="str">
        <f t="shared" si="104"/>
        <v/>
      </c>
      <c r="U525" s="182" t="str">
        <f t="shared" si="105"/>
        <v/>
      </c>
      <c r="V525" s="182" t="str">
        <f t="shared" si="106"/>
        <v/>
      </c>
      <c r="W525" s="182" t="str">
        <f t="shared" si="107"/>
        <v/>
      </c>
    </row>
    <row r="526" spans="1:23" x14ac:dyDescent="0.2">
      <c r="A526" s="181"/>
      <c r="B526" s="181"/>
      <c r="C526" s="181"/>
      <c r="D526" s="181"/>
      <c r="E526" s="181"/>
      <c r="F526" s="181"/>
      <c r="G526" s="181"/>
      <c r="K526" s="182">
        <v>525</v>
      </c>
      <c r="L526" s="182" t="str">
        <f t="shared" si="96"/>
        <v/>
      </c>
      <c r="M526" s="182" t="str">
        <f t="shared" si="97"/>
        <v/>
      </c>
      <c r="N526" s="182" t="str">
        <f t="shared" si="98"/>
        <v/>
      </c>
      <c r="O526" s="182" t="str">
        <f t="shared" si="99"/>
        <v/>
      </c>
      <c r="P526" s="182" t="str">
        <f t="shared" si="100"/>
        <v/>
      </c>
      <c r="Q526" s="182" t="str">
        <f t="shared" si="101"/>
        <v/>
      </c>
      <c r="R526" s="182" t="str">
        <f t="shared" si="102"/>
        <v/>
      </c>
      <c r="S526" s="182" t="str">
        <f t="shared" si="103"/>
        <v/>
      </c>
      <c r="T526" s="182" t="str">
        <f t="shared" si="104"/>
        <v/>
      </c>
      <c r="U526" s="182" t="str">
        <f t="shared" si="105"/>
        <v/>
      </c>
      <c r="V526" s="182" t="str">
        <f t="shared" si="106"/>
        <v/>
      </c>
      <c r="W526" s="182" t="str">
        <f t="shared" si="107"/>
        <v/>
      </c>
    </row>
    <row r="527" spans="1:23" x14ac:dyDescent="0.2">
      <c r="A527" s="181"/>
      <c r="B527" s="181"/>
      <c r="C527" s="181"/>
      <c r="D527" s="181"/>
      <c r="E527" s="181"/>
      <c r="F527" s="181"/>
      <c r="G527" s="181"/>
      <c r="K527" s="182">
        <v>526</v>
      </c>
      <c r="L527" s="182" t="str">
        <f t="shared" si="96"/>
        <v/>
      </c>
      <c r="M527" s="182" t="str">
        <f t="shared" si="97"/>
        <v/>
      </c>
      <c r="N527" s="182" t="str">
        <f t="shared" si="98"/>
        <v/>
      </c>
      <c r="O527" s="182" t="str">
        <f t="shared" si="99"/>
        <v/>
      </c>
      <c r="P527" s="182" t="str">
        <f t="shared" si="100"/>
        <v/>
      </c>
      <c r="Q527" s="182" t="str">
        <f t="shared" si="101"/>
        <v/>
      </c>
      <c r="R527" s="182" t="str">
        <f t="shared" si="102"/>
        <v/>
      </c>
      <c r="S527" s="182" t="str">
        <f t="shared" si="103"/>
        <v/>
      </c>
      <c r="T527" s="182" t="str">
        <f t="shared" si="104"/>
        <v/>
      </c>
      <c r="U527" s="182" t="str">
        <f t="shared" si="105"/>
        <v/>
      </c>
      <c r="V527" s="182" t="str">
        <f t="shared" si="106"/>
        <v/>
      </c>
      <c r="W527" s="182" t="str">
        <f t="shared" si="107"/>
        <v/>
      </c>
    </row>
    <row r="528" spans="1:23" x14ac:dyDescent="0.2">
      <c r="A528" s="181"/>
      <c r="B528" s="181"/>
      <c r="C528" s="181"/>
      <c r="D528" s="181"/>
      <c r="E528" s="181"/>
      <c r="F528" s="181"/>
      <c r="G528" s="181"/>
      <c r="K528" s="182">
        <v>527</v>
      </c>
      <c r="L528" s="182" t="str">
        <f t="shared" si="96"/>
        <v/>
      </c>
      <c r="M528" s="182" t="str">
        <f t="shared" si="97"/>
        <v/>
      </c>
      <c r="N528" s="182" t="str">
        <f t="shared" si="98"/>
        <v/>
      </c>
      <c r="O528" s="182" t="str">
        <f t="shared" si="99"/>
        <v/>
      </c>
      <c r="P528" s="182" t="str">
        <f t="shared" si="100"/>
        <v/>
      </c>
      <c r="Q528" s="182" t="str">
        <f t="shared" si="101"/>
        <v/>
      </c>
      <c r="R528" s="182" t="str">
        <f t="shared" si="102"/>
        <v/>
      </c>
      <c r="S528" s="182" t="str">
        <f t="shared" si="103"/>
        <v/>
      </c>
      <c r="T528" s="182" t="str">
        <f t="shared" si="104"/>
        <v/>
      </c>
      <c r="U528" s="182" t="str">
        <f t="shared" si="105"/>
        <v/>
      </c>
      <c r="V528" s="182" t="str">
        <f t="shared" si="106"/>
        <v/>
      </c>
      <c r="W528" s="182" t="str">
        <f t="shared" si="107"/>
        <v/>
      </c>
    </row>
    <row r="529" spans="1:23" x14ac:dyDescent="0.2">
      <c r="A529" s="181"/>
      <c r="B529" s="181"/>
      <c r="C529" s="181"/>
      <c r="D529" s="181"/>
      <c r="E529" s="181"/>
      <c r="F529" s="181"/>
      <c r="G529" s="181"/>
      <c r="K529" s="182">
        <v>528</v>
      </c>
      <c r="L529" s="182" t="str">
        <f t="shared" si="96"/>
        <v/>
      </c>
      <c r="M529" s="182" t="str">
        <f t="shared" si="97"/>
        <v/>
      </c>
      <c r="N529" s="182" t="str">
        <f t="shared" si="98"/>
        <v/>
      </c>
      <c r="O529" s="182" t="str">
        <f t="shared" si="99"/>
        <v/>
      </c>
      <c r="P529" s="182" t="str">
        <f t="shared" si="100"/>
        <v/>
      </c>
      <c r="Q529" s="182" t="str">
        <f t="shared" si="101"/>
        <v/>
      </c>
      <c r="R529" s="182" t="str">
        <f t="shared" si="102"/>
        <v/>
      </c>
      <c r="S529" s="182" t="str">
        <f t="shared" si="103"/>
        <v/>
      </c>
      <c r="T529" s="182" t="str">
        <f t="shared" si="104"/>
        <v/>
      </c>
      <c r="U529" s="182" t="str">
        <f t="shared" si="105"/>
        <v/>
      </c>
      <c r="V529" s="182" t="str">
        <f t="shared" si="106"/>
        <v/>
      </c>
      <c r="W529" s="182" t="str">
        <f t="shared" si="107"/>
        <v/>
      </c>
    </row>
    <row r="530" spans="1:23" x14ac:dyDescent="0.2">
      <c r="A530" s="181"/>
      <c r="B530" s="181"/>
      <c r="C530" s="181"/>
      <c r="D530" s="181"/>
      <c r="E530" s="181"/>
      <c r="F530" s="181"/>
      <c r="G530" s="181"/>
      <c r="K530" s="182">
        <v>529</v>
      </c>
      <c r="L530" s="182" t="str">
        <f t="shared" si="96"/>
        <v/>
      </c>
      <c r="M530" s="182" t="str">
        <f t="shared" si="97"/>
        <v/>
      </c>
      <c r="N530" s="182" t="str">
        <f t="shared" si="98"/>
        <v/>
      </c>
      <c r="O530" s="182" t="str">
        <f t="shared" si="99"/>
        <v/>
      </c>
      <c r="P530" s="182" t="str">
        <f t="shared" si="100"/>
        <v/>
      </c>
      <c r="Q530" s="182" t="str">
        <f t="shared" si="101"/>
        <v/>
      </c>
      <c r="R530" s="182" t="str">
        <f t="shared" si="102"/>
        <v/>
      </c>
      <c r="S530" s="182" t="str">
        <f t="shared" si="103"/>
        <v/>
      </c>
      <c r="T530" s="182" t="str">
        <f t="shared" si="104"/>
        <v/>
      </c>
      <c r="U530" s="182" t="str">
        <f t="shared" si="105"/>
        <v/>
      </c>
      <c r="V530" s="182" t="str">
        <f t="shared" si="106"/>
        <v/>
      </c>
      <c r="W530" s="182" t="str">
        <f t="shared" si="107"/>
        <v/>
      </c>
    </row>
    <row r="531" spans="1:23" x14ac:dyDescent="0.2">
      <c r="A531" s="181"/>
      <c r="B531" s="181"/>
      <c r="C531" s="181"/>
      <c r="D531" s="181"/>
      <c r="E531" s="181"/>
      <c r="F531" s="181"/>
      <c r="G531" s="181"/>
      <c r="K531" s="182">
        <v>530</v>
      </c>
      <c r="L531" s="182" t="str">
        <f t="shared" si="96"/>
        <v/>
      </c>
      <c r="M531" s="182" t="str">
        <f t="shared" si="97"/>
        <v/>
      </c>
      <c r="N531" s="182" t="str">
        <f t="shared" si="98"/>
        <v/>
      </c>
      <c r="O531" s="182" t="str">
        <f t="shared" si="99"/>
        <v/>
      </c>
      <c r="P531" s="182" t="str">
        <f t="shared" si="100"/>
        <v/>
      </c>
      <c r="Q531" s="182" t="str">
        <f t="shared" si="101"/>
        <v/>
      </c>
      <c r="R531" s="182" t="str">
        <f t="shared" si="102"/>
        <v/>
      </c>
      <c r="S531" s="182" t="str">
        <f t="shared" si="103"/>
        <v/>
      </c>
      <c r="T531" s="182" t="str">
        <f t="shared" si="104"/>
        <v/>
      </c>
      <c r="U531" s="182" t="str">
        <f t="shared" si="105"/>
        <v/>
      </c>
      <c r="V531" s="182" t="str">
        <f t="shared" si="106"/>
        <v/>
      </c>
      <c r="W531" s="182" t="str">
        <f t="shared" si="107"/>
        <v/>
      </c>
    </row>
    <row r="532" spans="1:23" x14ac:dyDescent="0.2">
      <c r="A532" s="181"/>
      <c r="B532" s="181"/>
      <c r="C532" s="181"/>
      <c r="D532" s="181"/>
      <c r="E532" s="181"/>
      <c r="F532" s="181"/>
      <c r="G532" s="181"/>
      <c r="K532" s="182">
        <v>531</v>
      </c>
      <c r="L532" s="182" t="str">
        <f t="shared" si="96"/>
        <v/>
      </c>
      <c r="M532" s="182" t="str">
        <f t="shared" si="97"/>
        <v/>
      </c>
      <c r="N532" s="182" t="str">
        <f t="shared" si="98"/>
        <v/>
      </c>
      <c r="O532" s="182" t="str">
        <f t="shared" si="99"/>
        <v/>
      </c>
      <c r="P532" s="182" t="str">
        <f t="shared" si="100"/>
        <v/>
      </c>
      <c r="Q532" s="182" t="str">
        <f t="shared" si="101"/>
        <v/>
      </c>
      <c r="R532" s="182" t="str">
        <f t="shared" si="102"/>
        <v/>
      </c>
      <c r="S532" s="182" t="str">
        <f t="shared" si="103"/>
        <v/>
      </c>
      <c r="T532" s="182" t="str">
        <f t="shared" si="104"/>
        <v/>
      </c>
      <c r="U532" s="182" t="str">
        <f t="shared" si="105"/>
        <v/>
      </c>
      <c r="V532" s="182" t="str">
        <f t="shared" si="106"/>
        <v/>
      </c>
      <c r="W532" s="182" t="str">
        <f t="shared" si="107"/>
        <v/>
      </c>
    </row>
    <row r="533" spans="1:23" x14ac:dyDescent="0.2">
      <c r="A533" s="181"/>
      <c r="B533" s="181"/>
      <c r="C533" s="181"/>
      <c r="D533" s="181"/>
      <c r="E533" s="181"/>
      <c r="F533" s="181"/>
      <c r="G533" s="181"/>
      <c r="K533" s="182">
        <v>532</v>
      </c>
      <c r="L533" s="182" t="str">
        <f t="shared" si="96"/>
        <v/>
      </c>
      <c r="M533" s="182" t="str">
        <f t="shared" si="97"/>
        <v/>
      </c>
      <c r="N533" s="182" t="str">
        <f t="shared" si="98"/>
        <v/>
      </c>
      <c r="O533" s="182" t="str">
        <f t="shared" si="99"/>
        <v/>
      </c>
      <c r="P533" s="182" t="str">
        <f t="shared" si="100"/>
        <v/>
      </c>
      <c r="Q533" s="182" t="str">
        <f t="shared" si="101"/>
        <v/>
      </c>
      <c r="R533" s="182" t="str">
        <f t="shared" si="102"/>
        <v/>
      </c>
      <c r="S533" s="182" t="str">
        <f t="shared" si="103"/>
        <v/>
      </c>
      <c r="T533" s="182" t="str">
        <f t="shared" si="104"/>
        <v/>
      </c>
      <c r="U533" s="182" t="str">
        <f t="shared" si="105"/>
        <v/>
      </c>
      <c r="V533" s="182" t="str">
        <f t="shared" si="106"/>
        <v/>
      </c>
      <c r="W533" s="182" t="str">
        <f t="shared" si="107"/>
        <v/>
      </c>
    </row>
    <row r="534" spans="1:23" x14ac:dyDescent="0.2">
      <c r="A534" s="181"/>
      <c r="B534" s="181"/>
      <c r="C534" s="181"/>
      <c r="D534" s="181"/>
      <c r="E534" s="181"/>
      <c r="F534" s="181"/>
      <c r="G534" s="181"/>
      <c r="K534" s="182">
        <v>533</v>
      </c>
      <c r="L534" s="182" t="str">
        <f t="shared" si="96"/>
        <v/>
      </c>
      <c r="M534" s="182" t="str">
        <f t="shared" si="97"/>
        <v/>
      </c>
      <c r="N534" s="182" t="str">
        <f t="shared" si="98"/>
        <v/>
      </c>
      <c r="O534" s="182" t="str">
        <f t="shared" si="99"/>
        <v/>
      </c>
      <c r="P534" s="182" t="str">
        <f t="shared" si="100"/>
        <v/>
      </c>
      <c r="Q534" s="182" t="str">
        <f t="shared" si="101"/>
        <v/>
      </c>
      <c r="R534" s="182" t="str">
        <f t="shared" si="102"/>
        <v/>
      </c>
      <c r="S534" s="182" t="str">
        <f t="shared" si="103"/>
        <v/>
      </c>
      <c r="T534" s="182" t="str">
        <f t="shared" si="104"/>
        <v/>
      </c>
      <c r="U534" s="182" t="str">
        <f t="shared" si="105"/>
        <v/>
      </c>
      <c r="V534" s="182" t="str">
        <f t="shared" si="106"/>
        <v/>
      </c>
      <c r="W534" s="182" t="str">
        <f t="shared" si="107"/>
        <v/>
      </c>
    </row>
    <row r="535" spans="1:23" x14ac:dyDescent="0.2">
      <c r="A535" s="181"/>
      <c r="B535" s="181"/>
      <c r="C535" s="181"/>
      <c r="D535" s="181"/>
      <c r="E535" s="181"/>
      <c r="F535" s="181"/>
      <c r="G535" s="181"/>
      <c r="K535" s="182">
        <v>534</v>
      </c>
      <c r="L535" s="182" t="str">
        <f t="shared" si="96"/>
        <v/>
      </c>
      <c r="M535" s="182" t="str">
        <f t="shared" si="97"/>
        <v/>
      </c>
      <c r="N535" s="182" t="str">
        <f t="shared" si="98"/>
        <v/>
      </c>
      <c r="O535" s="182" t="str">
        <f t="shared" si="99"/>
        <v/>
      </c>
      <c r="P535" s="182" t="str">
        <f t="shared" si="100"/>
        <v/>
      </c>
      <c r="Q535" s="182" t="str">
        <f t="shared" si="101"/>
        <v/>
      </c>
      <c r="R535" s="182" t="str">
        <f t="shared" si="102"/>
        <v/>
      </c>
      <c r="S535" s="182" t="str">
        <f t="shared" si="103"/>
        <v/>
      </c>
      <c r="T535" s="182" t="str">
        <f t="shared" si="104"/>
        <v/>
      </c>
      <c r="U535" s="182" t="str">
        <f t="shared" si="105"/>
        <v/>
      </c>
      <c r="V535" s="182" t="str">
        <f t="shared" si="106"/>
        <v/>
      </c>
      <c r="W535" s="182" t="str">
        <f t="shared" si="107"/>
        <v/>
      </c>
    </row>
    <row r="536" spans="1:23" x14ac:dyDescent="0.2">
      <c r="A536" s="181"/>
      <c r="B536" s="181"/>
      <c r="C536" s="181"/>
      <c r="D536" s="181"/>
      <c r="E536" s="181"/>
      <c r="F536" s="181"/>
      <c r="G536" s="181"/>
      <c r="K536" s="182">
        <v>535</v>
      </c>
      <c r="L536" s="182" t="str">
        <f t="shared" si="96"/>
        <v/>
      </c>
      <c r="M536" s="182" t="str">
        <f t="shared" si="97"/>
        <v/>
      </c>
      <c r="N536" s="182" t="str">
        <f t="shared" si="98"/>
        <v/>
      </c>
      <c r="O536" s="182" t="str">
        <f t="shared" si="99"/>
        <v/>
      </c>
      <c r="P536" s="182" t="str">
        <f t="shared" si="100"/>
        <v/>
      </c>
      <c r="Q536" s="182" t="str">
        <f t="shared" si="101"/>
        <v/>
      </c>
      <c r="R536" s="182" t="str">
        <f t="shared" si="102"/>
        <v/>
      </c>
      <c r="S536" s="182" t="str">
        <f t="shared" si="103"/>
        <v/>
      </c>
      <c r="T536" s="182" t="str">
        <f t="shared" si="104"/>
        <v/>
      </c>
      <c r="U536" s="182" t="str">
        <f t="shared" si="105"/>
        <v/>
      </c>
      <c r="V536" s="182" t="str">
        <f t="shared" si="106"/>
        <v/>
      </c>
      <c r="W536" s="182" t="str">
        <f t="shared" si="107"/>
        <v/>
      </c>
    </row>
    <row r="537" spans="1:23" x14ac:dyDescent="0.2">
      <c r="A537" s="181"/>
      <c r="B537" s="181"/>
      <c r="C537" s="181"/>
      <c r="D537" s="181"/>
      <c r="E537" s="181"/>
      <c r="F537" s="181"/>
      <c r="G537" s="181"/>
      <c r="K537" s="182">
        <v>536</v>
      </c>
      <c r="L537" s="182" t="str">
        <f t="shared" si="96"/>
        <v/>
      </c>
      <c r="M537" s="182" t="str">
        <f t="shared" si="97"/>
        <v/>
      </c>
      <c r="N537" s="182" t="str">
        <f t="shared" si="98"/>
        <v/>
      </c>
      <c r="O537" s="182" t="str">
        <f t="shared" si="99"/>
        <v/>
      </c>
      <c r="P537" s="182" t="str">
        <f t="shared" si="100"/>
        <v/>
      </c>
      <c r="Q537" s="182" t="str">
        <f t="shared" si="101"/>
        <v/>
      </c>
      <c r="R537" s="182" t="str">
        <f t="shared" si="102"/>
        <v/>
      </c>
      <c r="S537" s="182" t="str">
        <f t="shared" si="103"/>
        <v/>
      </c>
      <c r="T537" s="182" t="str">
        <f t="shared" si="104"/>
        <v/>
      </c>
      <c r="U537" s="182" t="str">
        <f t="shared" si="105"/>
        <v/>
      </c>
      <c r="V537" s="182" t="str">
        <f t="shared" si="106"/>
        <v/>
      </c>
      <c r="W537" s="182" t="str">
        <f t="shared" si="107"/>
        <v/>
      </c>
    </row>
    <row r="538" spans="1:23" x14ac:dyDescent="0.2">
      <c r="A538" s="181"/>
      <c r="B538" s="181"/>
      <c r="C538" s="181"/>
      <c r="D538" s="181"/>
      <c r="E538" s="181"/>
      <c r="F538" s="181"/>
      <c r="G538" s="181"/>
      <c r="K538" s="182">
        <v>537</v>
      </c>
      <c r="L538" s="182" t="str">
        <f t="shared" si="96"/>
        <v/>
      </c>
      <c r="M538" s="182" t="str">
        <f t="shared" si="97"/>
        <v/>
      </c>
      <c r="N538" s="182" t="str">
        <f t="shared" si="98"/>
        <v/>
      </c>
      <c r="O538" s="182" t="str">
        <f t="shared" si="99"/>
        <v/>
      </c>
      <c r="P538" s="182" t="str">
        <f t="shared" si="100"/>
        <v/>
      </c>
      <c r="Q538" s="182" t="str">
        <f t="shared" si="101"/>
        <v/>
      </c>
      <c r="R538" s="182" t="str">
        <f t="shared" si="102"/>
        <v/>
      </c>
      <c r="S538" s="182" t="str">
        <f t="shared" si="103"/>
        <v/>
      </c>
      <c r="T538" s="182" t="str">
        <f t="shared" si="104"/>
        <v/>
      </c>
      <c r="U538" s="182" t="str">
        <f t="shared" si="105"/>
        <v/>
      </c>
      <c r="V538" s="182" t="str">
        <f t="shared" si="106"/>
        <v/>
      </c>
      <c r="W538" s="182" t="str">
        <f t="shared" si="107"/>
        <v/>
      </c>
    </row>
    <row r="539" spans="1:23" x14ac:dyDescent="0.2">
      <c r="A539" s="181"/>
      <c r="B539" s="181"/>
      <c r="C539" s="181"/>
      <c r="D539" s="181"/>
      <c r="E539" s="181"/>
      <c r="F539" s="181"/>
      <c r="G539" s="181"/>
      <c r="K539" s="182">
        <v>538</v>
      </c>
      <c r="L539" s="182" t="str">
        <f t="shared" si="96"/>
        <v/>
      </c>
      <c r="M539" s="182" t="str">
        <f t="shared" si="97"/>
        <v/>
      </c>
      <c r="N539" s="182" t="str">
        <f t="shared" si="98"/>
        <v/>
      </c>
      <c r="O539" s="182" t="str">
        <f t="shared" si="99"/>
        <v/>
      </c>
      <c r="P539" s="182" t="str">
        <f t="shared" si="100"/>
        <v/>
      </c>
      <c r="Q539" s="182" t="str">
        <f t="shared" si="101"/>
        <v/>
      </c>
      <c r="R539" s="182" t="str">
        <f t="shared" si="102"/>
        <v/>
      </c>
      <c r="S539" s="182" t="str">
        <f t="shared" si="103"/>
        <v/>
      </c>
      <c r="T539" s="182" t="str">
        <f t="shared" si="104"/>
        <v/>
      </c>
      <c r="U539" s="182" t="str">
        <f t="shared" si="105"/>
        <v/>
      </c>
      <c r="V539" s="182" t="str">
        <f t="shared" si="106"/>
        <v/>
      </c>
      <c r="W539" s="182" t="str">
        <f t="shared" si="107"/>
        <v/>
      </c>
    </row>
    <row r="540" spans="1:23" x14ac:dyDescent="0.2">
      <c r="A540" s="181"/>
      <c r="B540" s="181"/>
      <c r="C540" s="181"/>
      <c r="D540" s="181"/>
      <c r="E540" s="181"/>
      <c r="F540" s="181"/>
      <c r="G540" s="181"/>
      <c r="K540" s="182">
        <v>539</v>
      </c>
      <c r="L540" s="182" t="str">
        <f t="shared" si="96"/>
        <v/>
      </c>
      <c r="M540" s="182" t="str">
        <f t="shared" si="97"/>
        <v/>
      </c>
      <c r="N540" s="182" t="str">
        <f t="shared" si="98"/>
        <v/>
      </c>
      <c r="O540" s="182" t="str">
        <f t="shared" si="99"/>
        <v/>
      </c>
      <c r="P540" s="182" t="str">
        <f t="shared" si="100"/>
        <v/>
      </c>
      <c r="Q540" s="182" t="str">
        <f t="shared" si="101"/>
        <v/>
      </c>
      <c r="R540" s="182" t="str">
        <f t="shared" si="102"/>
        <v/>
      </c>
      <c r="S540" s="182" t="str">
        <f t="shared" si="103"/>
        <v/>
      </c>
      <c r="T540" s="182" t="str">
        <f t="shared" si="104"/>
        <v/>
      </c>
      <c r="U540" s="182" t="str">
        <f t="shared" si="105"/>
        <v/>
      </c>
      <c r="V540" s="182" t="str">
        <f t="shared" si="106"/>
        <v/>
      </c>
      <c r="W540" s="182" t="str">
        <f t="shared" si="107"/>
        <v/>
      </c>
    </row>
    <row r="541" spans="1:23" x14ac:dyDescent="0.2">
      <c r="A541" s="181"/>
      <c r="B541" s="181"/>
      <c r="C541" s="181"/>
      <c r="D541" s="181"/>
      <c r="E541" s="181"/>
      <c r="F541" s="181"/>
      <c r="G541" s="181"/>
      <c r="K541" s="182">
        <v>540</v>
      </c>
      <c r="L541" s="182" t="str">
        <f t="shared" si="96"/>
        <v/>
      </c>
      <c r="M541" s="182" t="str">
        <f t="shared" si="97"/>
        <v/>
      </c>
      <c r="N541" s="182" t="str">
        <f t="shared" si="98"/>
        <v/>
      </c>
      <c r="O541" s="182" t="str">
        <f t="shared" si="99"/>
        <v/>
      </c>
      <c r="P541" s="182" t="str">
        <f t="shared" si="100"/>
        <v/>
      </c>
      <c r="Q541" s="182" t="str">
        <f t="shared" si="101"/>
        <v/>
      </c>
      <c r="R541" s="182" t="str">
        <f t="shared" si="102"/>
        <v/>
      </c>
      <c r="S541" s="182" t="str">
        <f t="shared" si="103"/>
        <v/>
      </c>
      <c r="T541" s="182" t="str">
        <f t="shared" si="104"/>
        <v/>
      </c>
      <c r="U541" s="182" t="str">
        <f t="shared" si="105"/>
        <v/>
      </c>
      <c r="V541" s="182" t="str">
        <f t="shared" si="106"/>
        <v/>
      </c>
      <c r="W541" s="182" t="str">
        <f t="shared" si="107"/>
        <v/>
      </c>
    </row>
    <row r="542" spans="1:23" x14ac:dyDescent="0.2">
      <c r="A542" s="181"/>
      <c r="B542" s="181"/>
      <c r="C542" s="181"/>
      <c r="D542" s="181"/>
      <c r="E542" s="181"/>
      <c r="F542" s="181"/>
      <c r="G542" s="181"/>
      <c r="K542" s="182">
        <v>541</v>
      </c>
      <c r="L542" s="182" t="str">
        <f t="shared" si="96"/>
        <v/>
      </c>
      <c r="M542" s="182" t="str">
        <f t="shared" si="97"/>
        <v/>
      </c>
      <c r="N542" s="182" t="str">
        <f t="shared" si="98"/>
        <v/>
      </c>
      <c r="O542" s="182" t="str">
        <f t="shared" si="99"/>
        <v/>
      </c>
      <c r="P542" s="182" t="str">
        <f t="shared" si="100"/>
        <v/>
      </c>
      <c r="Q542" s="182" t="str">
        <f t="shared" si="101"/>
        <v/>
      </c>
      <c r="R542" s="182" t="str">
        <f t="shared" si="102"/>
        <v/>
      </c>
      <c r="S542" s="182" t="str">
        <f t="shared" si="103"/>
        <v/>
      </c>
      <c r="T542" s="182" t="str">
        <f t="shared" si="104"/>
        <v/>
      </c>
      <c r="U542" s="182" t="str">
        <f t="shared" si="105"/>
        <v/>
      </c>
      <c r="V542" s="182" t="str">
        <f t="shared" si="106"/>
        <v/>
      </c>
      <c r="W542" s="182" t="str">
        <f t="shared" si="107"/>
        <v/>
      </c>
    </row>
    <row r="543" spans="1:23" x14ac:dyDescent="0.2">
      <c r="A543" s="181"/>
      <c r="B543" s="181"/>
      <c r="C543" s="181"/>
      <c r="D543" s="181"/>
      <c r="E543" s="181"/>
      <c r="F543" s="181"/>
      <c r="G543" s="181"/>
      <c r="K543" s="182">
        <v>542</v>
      </c>
      <c r="L543" s="182" t="str">
        <f t="shared" si="96"/>
        <v/>
      </c>
      <c r="M543" s="182" t="str">
        <f t="shared" si="97"/>
        <v/>
      </c>
      <c r="N543" s="182" t="str">
        <f t="shared" si="98"/>
        <v/>
      </c>
      <c r="O543" s="182" t="str">
        <f t="shared" si="99"/>
        <v/>
      </c>
      <c r="P543" s="182" t="str">
        <f t="shared" si="100"/>
        <v/>
      </c>
      <c r="Q543" s="182" t="str">
        <f t="shared" si="101"/>
        <v/>
      </c>
      <c r="R543" s="182" t="str">
        <f t="shared" si="102"/>
        <v/>
      </c>
      <c r="S543" s="182" t="str">
        <f t="shared" si="103"/>
        <v/>
      </c>
      <c r="T543" s="182" t="str">
        <f t="shared" si="104"/>
        <v/>
      </c>
      <c r="U543" s="182" t="str">
        <f t="shared" si="105"/>
        <v/>
      </c>
      <c r="V543" s="182" t="str">
        <f t="shared" si="106"/>
        <v/>
      </c>
      <c r="W543" s="182" t="str">
        <f t="shared" si="107"/>
        <v/>
      </c>
    </row>
    <row r="544" spans="1:23" x14ac:dyDescent="0.2">
      <c r="A544" s="181"/>
      <c r="B544" s="181"/>
      <c r="C544" s="181"/>
      <c r="D544" s="181"/>
      <c r="E544" s="181"/>
      <c r="F544" s="181"/>
      <c r="G544" s="181"/>
      <c r="K544" s="182">
        <v>543</v>
      </c>
      <c r="L544" s="182" t="str">
        <f t="shared" si="96"/>
        <v/>
      </c>
      <c r="M544" s="182" t="str">
        <f t="shared" si="97"/>
        <v/>
      </c>
      <c r="N544" s="182" t="str">
        <f t="shared" si="98"/>
        <v/>
      </c>
      <c r="O544" s="182" t="str">
        <f t="shared" si="99"/>
        <v/>
      </c>
      <c r="P544" s="182" t="str">
        <f t="shared" si="100"/>
        <v/>
      </c>
      <c r="Q544" s="182" t="str">
        <f t="shared" si="101"/>
        <v/>
      </c>
      <c r="R544" s="182" t="str">
        <f t="shared" si="102"/>
        <v/>
      </c>
      <c r="S544" s="182" t="str">
        <f t="shared" si="103"/>
        <v/>
      </c>
      <c r="T544" s="182" t="str">
        <f t="shared" si="104"/>
        <v/>
      </c>
      <c r="U544" s="182" t="str">
        <f t="shared" si="105"/>
        <v/>
      </c>
      <c r="V544" s="182" t="str">
        <f t="shared" si="106"/>
        <v/>
      </c>
      <c r="W544" s="182" t="str">
        <f t="shared" si="107"/>
        <v/>
      </c>
    </row>
    <row r="545" spans="1:23" x14ac:dyDescent="0.2">
      <c r="A545" s="181"/>
      <c r="B545" s="181"/>
      <c r="C545" s="181"/>
      <c r="D545" s="181"/>
      <c r="E545" s="181"/>
      <c r="F545" s="181"/>
      <c r="G545" s="181"/>
      <c r="K545" s="182">
        <v>544</v>
      </c>
      <c r="L545" s="182" t="str">
        <f t="shared" si="96"/>
        <v/>
      </c>
      <c r="M545" s="182" t="str">
        <f t="shared" si="97"/>
        <v/>
      </c>
      <c r="N545" s="182" t="str">
        <f t="shared" si="98"/>
        <v/>
      </c>
      <c r="O545" s="182" t="str">
        <f t="shared" si="99"/>
        <v/>
      </c>
      <c r="P545" s="182" t="str">
        <f t="shared" si="100"/>
        <v/>
      </c>
      <c r="Q545" s="182" t="str">
        <f t="shared" si="101"/>
        <v/>
      </c>
      <c r="R545" s="182" t="str">
        <f t="shared" si="102"/>
        <v/>
      </c>
      <c r="S545" s="182" t="str">
        <f t="shared" si="103"/>
        <v/>
      </c>
      <c r="T545" s="182" t="str">
        <f t="shared" si="104"/>
        <v/>
      </c>
      <c r="U545" s="182" t="str">
        <f t="shared" si="105"/>
        <v/>
      </c>
      <c r="V545" s="182" t="str">
        <f t="shared" si="106"/>
        <v/>
      </c>
      <c r="W545" s="182" t="str">
        <f t="shared" si="107"/>
        <v/>
      </c>
    </row>
    <row r="546" spans="1:23" x14ac:dyDescent="0.2">
      <c r="A546" s="181"/>
      <c r="B546" s="181"/>
      <c r="C546" s="181"/>
      <c r="D546" s="181"/>
      <c r="E546" s="181"/>
      <c r="F546" s="181"/>
      <c r="G546" s="181"/>
      <c r="K546" s="182">
        <v>545</v>
      </c>
      <c r="L546" s="182" t="str">
        <f t="shared" si="96"/>
        <v/>
      </c>
      <c r="M546" s="182" t="str">
        <f t="shared" si="97"/>
        <v/>
      </c>
      <c r="N546" s="182" t="str">
        <f t="shared" si="98"/>
        <v/>
      </c>
      <c r="O546" s="182" t="str">
        <f t="shared" si="99"/>
        <v/>
      </c>
      <c r="P546" s="182" t="str">
        <f t="shared" si="100"/>
        <v/>
      </c>
      <c r="Q546" s="182" t="str">
        <f t="shared" si="101"/>
        <v/>
      </c>
      <c r="R546" s="182" t="str">
        <f t="shared" si="102"/>
        <v/>
      </c>
      <c r="S546" s="182" t="str">
        <f t="shared" si="103"/>
        <v/>
      </c>
      <c r="T546" s="182" t="str">
        <f t="shared" si="104"/>
        <v/>
      </c>
      <c r="U546" s="182" t="str">
        <f t="shared" si="105"/>
        <v/>
      </c>
      <c r="V546" s="182" t="str">
        <f t="shared" si="106"/>
        <v/>
      </c>
      <c r="W546" s="182" t="str">
        <f t="shared" si="107"/>
        <v/>
      </c>
    </row>
    <row r="547" spans="1:23" x14ac:dyDescent="0.2">
      <c r="A547" s="181"/>
      <c r="B547" s="181"/>
      <c r="C547" s="181"/>
      <c r="D547" s="181"/>
      <c r="E547" s="181"/>
      <c r="F547" s="181"/>
      <c r="G547" s="181"/>
      <c r="K547" s="182">
        <v>546</v>
      </c>
      <c r="L547" s="182" t="str">
        <f t="shared" si="96"/>
        <v/>
      </c>
      <c r="M547" s="182" t="str">
        <f t="shared" si="97"/>
        <v/>
      </c>
      <c r="N547" s="182" t="str">
        <f t="shared" si="98"/>
        <v/>
      </c>
      <c r="O547" s="182" t="str">
        <f t="shared" si="99"/>
        <v/>
      </c>
      <c r="P547" s="182" t="str">
        <f t="shared" si="100"/>
        <v/>
      </c>
      <c r="Q547" s="182" t="str">
        <f t="shared" si="101"/>
        <v/>
      </c>
      <c r="R547" s="182" t="str">
        <f t="shared" si="102"/>
        <v/>
      </c>
      <c r="S547" s="182" t="str">
        <f t="shared" si="103"/>
        <v/>
      </c>
      <c r="T547" s="182" t="str">
        <f t="shared" si="104"/>
        <v/>
      </c>
      <c r="U547" s="182" t="str">
        <f t="shared" si="105"/>
        <v/>
      </c>
      <c r="V547" s="182" t="str">
        <f t="shared" si="106"/>
        <v/>
      </c>
      <c r="W547" s="182" t="str">
        <f t="shared" si="107"/>
        <v/>
      </c>
    </row>
    <row r="548" spans="1:23" x14ac:dyDescent="0.2">
      <c r="A548" s="181"/>
      <c r="B548" s="181"/>
      <c r="C548" s="181"/>
      <c r="D548" s="181"/>
      <c r="E548" s="181"/>
      <c r="F548" s="181"/>
      <c r="G548" s="181"/>
      <c r="K548" s="182">
        <v>547</v>
      </c>
      <c r="L548" s="182" t="str">
        <f t="shared" si="96"/>
        <v/>
      </c>
      <c r="M548" s="182" t="str">
        <f t="shared" si="97"/>
        <v/>
      </c>
      <c r="N548" s="182" t="str">
        <f t="shared" si="98"/>
        <v/>
      </c>
      <c r="O548" s="182" t="str">
        <f t="shared" si="99"/>
        <v/>
      </c>
      <c r="P548" s="182" t="str">
        <f t="shared" si="100"/>
        <v/>
      </c>
      <c r="Q548" s="182" t="str">
        <f t="shared" si="101"/>
        <v/>
      </c>
      <c r="R548" s="182" t="str">
        <f t="shared" si="102"/>
        <v/>
      </c>
      <c r="S548" s="182" t="str">
        <f t="shared" si="103"/>
        <v/>
      </c>
      <c r="T548" s="182" t="str">
        <f t="shared" si="104"/>
        <v/>
      </c>
      <c r="U548" s="182" t="str">
        <f t="shared" si="105"/>
        <v/>
      </c>
      <c r="V548" s="182" t="str">
        <f t="shared" si="106"/>
        <v/>
      </c>
      <c r="W548" s="182" t="str">
        <f t="shared" si="107"/>
        <v/>
      </c>
    </row>
    <row r="549" spans="1:23" x14ac:dyDescent="0.2">
      <c r="A549" s="181"/>
      <c r="B549" s="181"/>
      <c r="C549" s="181"/>
      <c r="D549" s="181"/>
      <c r="E549" s="181"/>
      <c r="F549" s="181"/>
      <c r="G549" s="181"/>
      <c r="K549" s="182">
        <v>548</v>
      </c>
      <c r="L549" s="182" t="str">
        <f t="shared" si="96"/>
        <v/>
      </c>
      <c r="M549" s="182" t="str">
        <f t="shared" si="97"/>
        <v/>
      </c>
      <c r="N549" s="182" t="str">
        <f t="shared" si="98"/>
        <v/>
      </c>
      <c r="O549" s="182" t="str">
        <f t="shared" si="99"/>
        <v/>
      </c>
      <c r="P549" s="182" t="str">
        <f t="shared" si="100"/>
        <v/>
      </c>
      <c r="Q549" s="182" t="str">
        <f t="shared" si="101"/>
        <v/>
      </c>
      <c r="R549" s="182" t="str">
        <f t="shared" si="102"/>
        <v/>
      </c>
      <c r="S549" s="182" t="str">
        <f t="shared" si="103"/>
        <v/>
      </c>
      <c r="T549" s="182" t="str">
        <f t="shared" si="104"/>
        <v/>
      </c>
      <c r="U549" s="182" t="str">
        <f t="shared" si="105"/>
        <v/>
      </c>
      <c r="V549" s="182" t="str">
        <f t="shared" si="106"/>
        <v/>
      </c>
      <c r="W549" s="182" t="str">
        <f t="shared" si="107"/>
        <v/>
      </c>
    </row>
    <row r="550" spans="1:23" x14ac:dyDescent="0.2">
      <c r="A550" s="181"/>
      <c r="B550" s="181"/>
      <c r="C550" s="181"/>
      <c r="D550" s="181"/>
      <c r="E550" s="181"/>
      <c r="F550" s="181"/>
      <c r="G550" s="181"/>
      <c r="K550" s="182">
        <v>549</v>
      </c>
      <c r="L550" s="182" t="str">
        <f t="shared" si="96"/>
        <v/>
      </c>
      <c r="M550" s="182" t="str">
        <f t="shared" si="97"/>
        <v/>
      </c>
      <c r="N550" s="182" t="str">
        <f t="shared" si="98"/>
        <v/>
      </c>
      <c r="O550" s="182" t="str">
        <f t="shared" si="99"/>
        <v/>
      </c>
      <c r="P550" s="182" t="str">
        <f t="shared" si="100"/>
        <v/>
      </c>
      <c r="Q550" s="182" t="str">
        <f t="shared" si="101"/>
        <v/>
      </c>
      <c r="R550" s="182" t="str">
        <f t="shared" si="102"/>
        <v/>
      </c>
      <c r="S550" s="182" t="str">
        <f t="shared" si="103"/>
        <v/>
      </c>
      <c r="T550" s="182" t="str">
        <f t="shared" si="104"/>
        <v/>
      </c>
      <c r="U550" s="182" t="str">
        <f t="shared" si="105"/>
        <v/>
      </c>
      <c r="V550" s="182" t="str">
        <f t="shared" si="106"/>
        <v/>
      </c>
      <c r="W550" s="182" t="str">
        <f t="shared" si="107"/>
        <v/>
      </c>
    </row>
    <row r="551" spans="1:23" x14ac:dyDescent="0.2">
      <c r="A551" s="181"/>
      <c r="B551" s="181"/>
      <c r="C551" s="181"/>
      <c r="D551" s="181"/>
      <c r="E551" s="181"/>
      <c r="F551" s="181"/>
      <c r="G551" s="181"/>
      <c r="K551" s="182">
        <v>550</v>
      </c>
      <c r="L551" s="182" t="str">
        <f t="shared" si="96"/>
        <v/>
      </c>
      <c r="M551" s="182" t="str">
        <f t="shared" si="97"/>
        <v/>
      </c>
      <c r="N551" s="182" t="str">
        <f t="shared" si="98"/>
        <v/>
      </c>
      <c r="O551" s="182" t="str">
        <f t="shared" si="99"/>
        <v/>
      </c>
      <c r="P551" s="182" t="str">
        <f t="shared" si="100"/>
        <v/>
      </c>
      <c r="Q551" s="182" t="str">
        <f t="shared" si="101"/>
        <v/>
      </c>
      <c r="R551" s="182" t="str">
        <f t="shared" si="102"/>
        <v/>
      </c>
      <c r="S551" s="182" t="str">
        <f t="shared" si="103"/>
        <v/>
      </c>
      <c r="T551" s="182" t="str">
        <f t="shared" si="104"/>
        <v/>
      </c>
      <c r="U551" s="182" t="str">
        <f t="shared" si="105"/>
        <v/>
      </c>
      <c r="V551" s="182" t="str">
        <f t="shared" si="106"/>
        <v/>
      </c>
      <c r="W551" s="182" t="str">
        <f t="shared" si="107"/>
        <v/>
      </c>
    </row>
    <row r="552" spans="1:23" x14ac:dyDescent="0.2">
      <c r="A552" s="181"/>
      <c r="B552" s="181"/>
      <c r="C552" s="181"/>
      <c r="D552" s="181"/>
      <c r="E552" s="181"/>
      <c r="F552" s="181"/>
      <c r="G552" s="181"/>
      <c r="K552" s="182">
        <v>551</v>
      </c>
      <c r="L552" s="182" t="str">
        <f t="shared" si="96"/>
        <v/>
      </c>
      <c r="M552" s="182" t="str">
        <f t="shared" si="97"/>
        <v/>
      </c>
      <c r="N552" s="182" t="str">
        <f t="shared" si="98"/>
        <v/>
      </c>
      <c r="O552" s="182" t="str">
        <f t="shared" si="99"/>
        <v/>
      </c>
      <c r="P552" s="182" t="str">
        <f t="shared" si="100"/>
        <v/>
      </c>
      <c r="Q552" s="182" t="str">
        <f t="shared" si="101"/>
        <v/>
      </c>
      <c r="R552" s="182" t="str">
        <f t="shared" si="102"/>
        <v/>
      </c>
      <c r="S552" s="182" t="str">
        <f t="shared" si="103"/>
        <v/>
      </c>
      <c r="T552" s="182" t="str">
        <f t="shared" si="104"/>
        <v/>
      </c>
      <c r="U552" s="182" t="str">
        <f t="shared" si="105"/>
        <v/>
      </c>
      <c r="V552" s="182" t="str">
        <f t="shared" si="106"/>
        <v/>
      </c>
      <c r="W552" s="182" t="str">
        <f t="shared" si="107"/>
        <v/>
      </c>
    </row>
    <row r="553" spans="1:23" x14ac:dyDescent="0.2">
      <c r="A553" s="181"/>
      <c r="B553" s="181"/>
      <c r="C553" s="181"/>
      <c r="D553" s="181"/>
      <c r="E553" s="181"/>
      <c r="F553" s="181"/>
      <c r="G553" s="181"/>
      <c r="K553" s="182">
        <v>552</v>
      </c>
      <c r="L553" s="182" t="str">
        <f t="shared" si="96"/>
        <v/>
      </c>
      <c r="M553" s="182" t="str">
        <f t="shared" si="97"/>
        <v/>
      </c>
      <c r="N553" s="182" t="str">
        <f t="shared" si="98"/>
        <v/>
      </c>
      <c r="O553" s="182" t="str">
        <f t="shared" si="99"/>
        <v/>
      </c>
      <c r="P553" s="182" t="str">
        <f t="shared" si="100"/>
        <v/>
      </c>
      <c r="Q553" s="182" t="str">
        <f t="shared" si="101"/>
        <v/>
      </c>
      <c r="R553" s="182" t="str">
        <f t="shared" si="102"/>
        <v/>
      </c>
      <c r="S553" s="182" t="str">
        <f t="shared" si="103"/>
        <v/>
      </c>
      <c r="T553" s="182" t="str">
        <f t="shared" si="104"/>
        <v/>
      </c>
      <c r="U553" s="182" t="str">
        <f t="shared" si="105"/>
        <v/>
      </c>
      <c r="V553" s="182" t="str">
        <f t="shared" si="106"/>
        <v/>
      </c>
      <c r="W553" s="182" t="str">
        <f t="shared" si="107"/>
        <v/>
      </c>
    </row>
    <row r="554" spans="1:23" x14ac:dyDescent="0.2">
      <c r="A554" s="181"/>
      <c r="B554" s="181"/>
      <c r="C554" s="181"/>
      <c r="D554" s="181"/>
      <c r="E554" s="181"/>
      <c r="F554" s="181"/>
      <c r="G554" s="181"/>
      <c r="K554" s="182">
        <v>553</v>
      </c>
      <c r="L554" s="182" t="str">
        <f t="shared" si="96"/>
        <v/>
      </c>
      <c r="M554" s="182" t="str">
        <f t="shared" si="97"/>
        <v/>
      </c>
      <c r="N554" s="182" t="str">
        <f t="shared" si="98"/>
        <v/>
      </c>
      <c r="O554" s="182" t="str">
        <f t="shared" si="99"/>
        <v/>
      </c>
      <c r="P554" s="182" t="str">
        <f t="shared" si="100"/>
        <v/>
      </c>
      <c r="Q554" s="182" t="str">
        <f t="shared" si="101"/>
        <v/>
      </c>
      <c r="R554" s="182" t="str">
        <f t="shared" si="102"/>
        <v/>
      </c>
      <c r="S554" s="182" t="str">
        <f t="shared" si="103"/>
        <v/>
      </c>
      <c r="T554" s="182" t="str">
        <f t="shared" si="104"/>
        <v/>
      </c>
      <c r="U554" s="182" t="str">
        <f t="shared" si="105"/>
        <v/>
      </c>
      <c r="V554" s="182" t="str">
        <f t="shared" si="106"/>
        <v/>
      </c>
      <c r="W554" s="182" t="str">
        <f t="shared" si="107"/>
        <v/>
      </c>
    </row>
    <row r="555" spans="1:23" x14ac:dyDescent="0.2">
      <c r="A555" s="181"/>
      <c r="B555" s="181"/>
      <c r="C555" s="181"/>
      <c r="D555" s="181"/>
      <c r="E555" s="181"/>
      <c r="F555" s="181"/>
      <c r="G555" s="181"/>
      <c r="K555" s="182">
        <v>554</v>
      </c>
      <c r="L555" s="182" t="str">
        <f t="shared" si="96"/>
        <v/>
      </c>
      <c r="M555" s="182" t="str">
        <f t="shared" si="97"/>
        <v/>
      </c>
      <c r="N555" s="182" t="str">
        <f t="shared" si="98"/>
        <v/>
      </c>
      <c r="O555" s="182" t="str">
        <f t="shared" si="99"/>
        <v/>
      </c>
      <c r="P555" s="182" t="str">
        <f t="shared" si="100"/>
        <v/>
      </c>
      <c r="Q555" s="182" t="str">
        <f t="shared" si="101"/>
        <v/>
      </c>
      <c r="R555" s="182" t="str">
        <f t="shared" si="102"/>
        <v/>
      </c>
      <c r="S555" s="182" t="str">
        <f t="shared" si="103"/>
        <v/>
      </c>
      <c r="T555" s="182" t="str">
        <f t="shared" si="104"/>
        <v/>
      </c>
      <c r="U555" s="182" t="str">
        <f t="shared" si="105"/>
        <v/>
      </c>
      <c r="V555" s="182" t="str">
        <f t="shared" si="106"/>
        <v/>
      </c>
      <c r="W555" s="182" t="str">
        <f t="shared" si="107"/>
        <v/>
      </c>
    </row>
    <row r="556" spans="1:23" x14ac:dyDescent="0.2">
      <c r="A556" s="181"/>
      <c r="B556" s="181"/>
      <c r="C556" s="181"/>
      <c r="D556" s="181"/>
      <c r="E556" s="181"/>
      <c r="F556" s="181"/>
      <c r="G556" s="181"/>
      <c r="K556" s="182">
        <v>555</v>
      </c>
      <c r="L556" s="182" t="str">
        <f t="shared" si="96"/>
        <v/>
      </c>
      <c r="M556" s="182" t="str">
        <f t="shared" si="97"/>
        <v/>
      </c>
      <c r="N556" s="182" t="str">
        <f t="shared" si="98"/>
        <v/>
      </c>
      <c r="O556" s="182" t="str">
        <f t="shared" si="99"/>
        <v/>
      </c>
      <c r="P556" s="182" t="str">
        <f t="shared" si="100"/>
        <v/>
      </c>
      <c r="Q556" s="182" t="str">
        <f t="shared" si="101"/>
        <v/>
      </c>
      <c r="R556" s="182" t="str">
        <f t="shared" si="102"/>
        <v/>
      </c>
      <c r="S556" s="182" t="str">
        <f t="shared" si="103"/>
        <v/>
      </c>
      <c r="T556" s="182" t="str">
        <f t="shared" si="104"/>
        <v/>
      </c>
      <c r="U556" s="182" t="str">
        <f t="shared" si="105"/>
        <v/>
      </c>
      <c r="V556" s="182" t="str">
        <f t="shared" si="106"/>
        <v/>
      </c>
      <c r="W556" s="182" t="str">
        <f t="shared" si="107"/>
        <v/>
      </c>
    </row>
    <row r="557" spans="1:23" x14ac:dyDescent="0.2">
      <c r="A557" s="181"/>
      <c r="B557" s="181"/>
      <c r="C557" s="181"/>
      <c r="D557" s="181"/>
      <c r="E557" s="181"/>
      <c r="F557" s="181"/>
      <c r="G557" s="181"/>
      <c r="K557" s="182">
        <v>556</v>
      </c>
      <c r="L557" s="182" t="str">
        <f t="shared" si="96"/>
        <v/>
      </c>
      <c r="M557" s="182" t="str">
        <f t="shared" si="97"/>
        <v/>
      </c>
      <c r="N557" s="182" t="str">
        <f t="shared" si="98"/>
        <v/>
      </c>
      <c r="O557" s="182" t="str">
        <f t="shared" si="99"/>
        <v/>
      </c>
      <c r="P557" s="182" t="str">
        <f t="shared" si="100"/>
        <v/>
      </c>
      <c r="Q557" s="182" t="str">
        <f t="shared" si="101"/>
        <v/>
      </c>
      <c r="R557" s="182" t="str">
        <f t="shared" si="102"/>
        <v/>
      </c>
      <c r="S557" s="182" t="str">
        <f t="shared" si="103"/>
        <v/>
      </c>
      <c r="T557" s="182" t="str">
        <f t="shared" si="104"/>
        <v/>
      </c>
      <c r="U557" s="182" t="str">
        <f t="shared" si="105"/>
        <v/>
      </c>
      <c r="V557" s="182" t="str">
        <f t="shared" si="106"/>
        <v/>
      </c>
      <c r="W557" s="182" t="str">
        <f t="shared" si="107"/>
        <v/>
      </c>
    </row>
    <row r="558" spans="1:23" x14ac:dyDescent="0.2">
      <c r="A558" s="181"/>
      <c r="B558" s="181"/>
      <c r="C558" s="181"/>
      <c r="D558" s="181"/>
      <c r="E558" s="181"/>
      <c r="F558" s="181"/>
      <c r="G558" s="181"/>
      <c r="K558" s="182">
        <v>557</v>
      </c>
      <c r="L558" s="182" t="str">
        <f t="shared" si="96"/>
        <v/>
      </c>
      <c r="M558" s="182" t="str">
        <f t="shared" si="97"/>
        <v/>
      </c>
      <c r="N558" s="182" t="str">
        <f t="shared" si="98"/>
        <v/>
      </c>
      <c r="O558" s="182" t="str">
        <f t="shared" si="99"/>
        <v/>
      </c>
      <c r="P558" s="182" t="str">
        <f t="shared" si="100"/>
        <v/>
      </c>
      <c r="Q558" s="182" t="str">
        <f t="shared" si="101"/>
        <v/>
      </c>
      <c r="R558" s="182" t="str">
        <f t="shared" si="102"/>
        <v/>
      </c>
      <c r="S558" s="182" t="str">
        <f t="shared" si="103"/>
        <v/>
      </c>
      <c r="T558" s="182" t="str">
        <f t="shared" si="104"/>
        <v/>
      </c>
      <c r="U558" s="182" t="str">
        <f t="shared" si="105"/>
        <v/>
      </c>
      <c r="V558" s="182" t="str">
        <f t="shared" si="106"/>
        <v/>
      </c>
      <c r="W558" s="182" t="str">
        <f t="shared" si="107"/>
        <v/>
      </c>
    </row>
    <row r="559" spans="1:23" x14ac:dyDescent="0.2">
      <c r="A559" s="181"/>
      <c r="B559" s="181"/>
      <c r="C559" s="181"/>
      <c r="D559" s="181"/>
      <c r="E559" s="181"/>
      <c r="F559" s="181"/>
      <c r="G559" s="181"/>
      <c r="K559" s="182">
        <v>558</v>
      </c>
      <c r="L559" s="182" t="str">
        <f t="shared" si="96"/>
        <v/>
      </c>
      <c r="M559" s="182" t="str">
        <f t="shared" si="97"/>
        <v/>
      </c>
      <c r="N559" s="182" t="str">
        <f t="shared" si="98"/>
        <v/>
      </c>
      <c r="O559" s="182" t="str">
        <f t="shared" si="99"/>
        <v/>
      </c>
      <c r="P559" s="182" t="str">
        <f t="shared" si="100"/>
        <v/>
      </c>
      <c r="Q559" s="182" t="str">
        <f t="shared" si="101"/>
        <v/>
      </c>
      <c r="R559" s="182" t="str">
        <f t="shared" si="102"/>
        <v/>
      </c>
      <c r="S559" s="182" t="str">
        <f t="shared" si="103"/>
        <v/>
      </c>
      <c r="T559" s="182" t="str">
        <f t="shared" si="104"/>
        <v/>
      </c>
      <c r="U559" s="182" t="str">
        <f t="shared" si="105"/>
        <v/>
      </c>
      <c r="V559" s="182" t="str">
        <f t="shared" si="106"/>
        <v/>
      </c>
      <c r="W559" s="182" t="str">
        <f t="shared" si="107"/>
        <v/>
      </c>
    </row>
    <row r="560" spans="1:23" x14ac:dyDescent="0.2">
      <c r="A560" s="181"/>
      <c r="B560" s="181"/>
      <c r="C560" s="181"/>
      <c r="D560" s="181"/>
      <c r="E560" s="181"/>
      <c r="F560" s="181"/>
      <c r="G560" s="181"/>
      <c r="K560" s="182">
        <v>559</v>
      </c>
      <c r="L560" s="182" t="str">
        <f t="shared" si="96"/>
        <v/>
      </c>
      <c r="M560" s="182" t="str">
        <f t="shared" si="97"/>
        <v/>
      </c>
      <c r="N560" s="182" t="str">
        <f t="shared" si="98"/>
        <v/>
      </c>
      <c r="O560" s="182" t="str">
        <f t="shared" si="99"/>
        <v/>
      </c>
      <c r="P560" s="182" t="str">
        <f t="shared" si="100"/>
        <v/>
      </c>
      <c r="Q560" s="182" t="str">
        <f t="shared" si="101"/>
        <v/>
      </c>
      <c r="R560" s="182" t="str">
        <f t="shared" si="102"/>
        <v/>
      </c>
      <c r="S560" s="182" t="str">
        <f t="shared" si="103"/>
        <v/>
      </c>
      <c r="T560" s="182" t="str">
        <f t="shared" si="104"/>
        <v/>
      </c>
      <c r="U560" s="182" t="str">
        <f t="shared" si="105"/>
        <v/>
      </c>
      <c r="V560" s="182" t="str">
        <f t="shared" si="106"/>
        <v/>
      </c>
      <c r="W560" s="182" t="str">
        <f t="shared" si="107"/>
        <v/>
      </c>
    </row>
    <row r="561" spans="1:23" x14ac:dyDescent="0.2">
      <c r="A561" s="181"/>
      <c r="B561" s="181"/>
      <c r="C561" s="181"/>
      <c r="D561" s="181"/>
      <c r="E561" s="181"/>
      <c r="F561" s="181"/>
      <c r="G561" s="181"/>
      <c r="K561" s="182">
        <v>560</v>
      </c>
      <c r="L561" s="182" t="str">
        <f t="shared" si="96"/>
        <v/>
      </c>
      <c r="M561" s="182" t="str">
        <f t="shared" si="97"/>
        <v/>
      </c>
      <c r="N561" s="182" t="str">
        <f t="shared" si="98"/>
        <v/>
      </c>
      <c r="O561" s="182" t="str">
        <f t="shared" si="99"/>
        <v/>
      </c>
      <c r="P561" s="182" t="str">
        <f t="shared" si="100"/>
        <v/>
      </c>
      <c r="Q561" s="182" t="str">
        <f t="shared" si="101"/>
        <v/>
      </c>
      <c r="R561" s="182" t="str">
        <f t="shared" si="102"/>
        <v/>
      </c>
      <c r="S561" s="182" t="str">
        <f t="shared" si="103"/>
        <v/>
      </c>
      <c r="T561" s="182" t="str">
        <f t="shared" si="104"/>
        <v/>
      </c>
      <c r="U561" s="182" t="str">
        <f t="shared" si="105"/>
        <v/>
      </c>
      <c r="V561" s="182" t="str">
        <f t="shared" si="106"/>
        <v/>
      </c>
      <c r="W561" s="182" t="str">
        <f t="shared" si="107"/>
        <v/>
      </c>
    </row>
    <row r="562" spans="1:23" x14ac:dyDescent="0.2">
      <c r="A562" s="181"/>
      <c r="B562" s="181"/>
      <c r="C562" s="181"/>
      <c r="D562" s="181"/>
      <c r="E562" s="181"/>
      <c r="F562" s="181"/>
      <c r="G562" s="181"/>
      <c r="K562" s="182">
        <v>561</v>
      </c>
      <c r="L562" s="182" t="str">
        <f t="shared" si="96"/>
        <v/>
      </c>
      <c r="M562" s="182" t="str">
        <f t="shared" si="97"/>
        <v/>
      </c>
      <c r="N562" s="182" t="str">
        <f t="shared" si="98"/>
        <v/>
      </c>
      <c r="O562" s="182" t="str">
        <f t="shared" si="99"/>
        <v/>
      </c>
      <c r="P562" s="182" t="str">
        <f t="shared" si="100"/>
        <v/>
      </c>
      <c r="Q562" s="182" t="str">
        <f t="shared" si="101"/>
        <v/>
      </c>
      <c r="R562" s="182" t="str">
        <f t="shared" si="102"/>
        <v/>
      </c>
      <c r="S562" s="182" t="str">
        <f t="shared" si="103"/>
        <v/>
      </c>
      <c r="T562" s="182" t="str">
        <f t="shared" si="104"/>
        <v/>
      </c>
      <c r="U562" s="182" t="str">
        <f t="shared" si="105"/>
        <v/>
      </c>
      <c r="V562" s="182" t="str">
        <f t="shared" si="106"/>
        <v/>
      </c>
      <c r="W562" s="182" t="str">
        <f t="shared" si="107"/>
        <v/>
      </c>
    </row>
    <row r="563" spans="1:23" x14ac:dyDescent="0.2">
      <c r="A563" s="181"/>
      <c r="B563" s="181"/>
      <c r="C563" s="181"/>
      <c r="D563" s="181"/>
      <c r="E563" s="181"/>
      <c r="F563" s="181"/>
      <c r="G563" s="181"/>
      <c r="K563" s="182">
        <v>562</v>
      </c>
      <c r="L563" s="182" t="str">
        <f t="shared" si="96"/>
        <v/>
      </c>
      <c r="M563" s="182" t="str">
        <f t="shared" si="97"/>
        <v/>
      </c>
      <c r="N563" s="182" t="str">
        <f t="shared" si="98"/>
        <v/>
      </c>
      <c r="O563" s="182" t="str">
        <f t="shared" si="99"/>
        <v/>
      </c>
      <c r="P563" s="182" t="str">
        <f t="shared" si="100"/>
        <v/>
      </c>
      <c r="Q563" s="182" t="str">
        <f t="shared" si="101"/>
        <v/>
      </c>
      <c r="R563" s="182" t="str">
        <f t="shared" si="102"/>
        <v/>
      </c>
      <c r="S563" s="182" t="str">
        <f t="shared" si="103"/>
        <v/>
      </c>
      <c r="T563" s="182" t="str">
        <f t="shared" si="104"/>
        <v/>
      </c>
      <c r="U563" s="182" t="str">
        <f t="shared" si="105"/>
        <v/>
      </c>
      <c r="V563" s="182" t="str">
        <f t="shared" si="106"/>
        <v/>
      </c>
      <c r="W563" s="182" t="str">
        <f t="shared" si="107"/>
        <v/>
      </c>
    </row>
    <row r="564" spans="1:23" x14ac:dyDescent="0.2">
      <c r="A564" s="181"/>
      <c r="B564" s="181"/>
      <c r="C564" s="181"/>
      <c r="D564" s="181"/>
      <c r="E564" s="181"/>
      <c r="F564" s="181"/>
      <c r="G564" s="181"/>
      <c r="K564" s="182">
        <v>563</v>
      </c>
      <c r="L564" s="182" t="str">
        <f t="shared" si="96"/>
        <v/>
      </c>
      <c r="M564" s="182" t="str">
        <f t="shared" si="97"/>
        <v/>
      </c>
      <c r="N564" s="182" t="str">
        <f t="shared" si="98"/>
        <v/>
      </c>
      <c r="O564" s="182" t="str">
        <f t="shared" si="99"/>
        <v/>
      </c>
      <c r="P564" s="182" t="str">
        <f t="shared" si="100"/>
        <v/>
      </c>
      <c r="Q564" s="182" t="str">
        <f t="shared" si="101"/>
        <v/>
      </c>
      <c r="R564" s="182" t="str">
        <f t="shared" si="102"/>
        <v/>
      </c>
      <c r="S564" s="182" t="str">
        <f t="shared" si="103"/>
        <v/>
      </c>
      <c r="T564" s="182" t="str">
        <f t="shared" si="104"/>
        <v/>
      </c>
      <c r="U564" s="182" t="str">
        <f t="shared" si="105"/>
        <v/>
      </c>
      <c r="V564" s="182" t="str">
        <f t="shared" si="106"/>
        <v/>
      </c>
      <c r="W564" s="182" t="str">
        <f t="shared" si="107"/>
        <v/>
      </c>
    </row>
    <row r="565" spans="1:23" x14ac:dyDescent="0.2">
      <c r="A565" s="181"/>
      <c r="B565" s="181"/>
      <c r="C565" s="181"/>
      <c r="D565" s="181"/>
      <c r="E565" s="181"/>
      <c r="F565" s="181"/>
      <c r="G565" s="181"/>
      <c r="K565" s="182">
        <v>564</v>
      </c>
      <c r="L565" s="182" t="str">
        <f t="shared" si="96"/>
        <v/>
      </c>
      <c r="M565" s="182" t="str">
        <f t="shared" si="97"/>
        <v/>
      </c>
      <c r="N565" s="182" t="str">
        <f t="shared" si="98"/>
        <v/>
      </c>
      <c r="O565" s="182" t="str">
        <f t="shared" si="99"/>
        <v/>
      </c>
      <c r="P565" s="182" t="str">
        <f t="shared" si="100"/>
        <v/>
      </c>
      <c r="Q565" s="182" t="str">
        <f t="shared" si="101"/>
        <v/>
      </c>
      <c r="R565" s="182" t="str">
        <f t="shared" si="102"/>
        <v/>
      </c>
      <c r="S565" s="182" t="str">
        <f t="shared" si="103"/>
        <v/>
      </c>
      <c r="T565" s="182" t="str">
        <f t="shared" si="104"/>
        <v/>
      </c>
      <c r="U565" s="182" t="str">
        <f t="shared" si="105"/>
        <v/>
      </c>
      <c r="V565" s="182" t="str">
        <f t="shared" si="106"/>
        <v/>
      </c>
      <c r="W565" s="182" t="str">
        <f t="shared" si="107"/>
        <v/>
      </c>
    </row>
    <row r="566" spans="1:23" x14ac:dyDescent="0.2">
      <c r="A566" s="181"/>
      <c r="B566" s="181"/>
      <c r="C566" s="181"/>
      <c r="D566" s="181"/>
      <c r="E566" s="181"/>
      <c r="F566" s="181"/>
      <c r="G566" s="181"/>
      <c r="K566" s="182">
        <v>565</v>
      </c>
      <c r="L566" s="182" t="str">
        <f t="shared" si="96"/>
        <v/>
      </c>
      <c r="M566" s="182" t="str">
        <f t="shared" si="97"/>
        <v/>
      </c>
      <c r="N566" s="182" t="str">
        <f t="shared" si="98"/>
        <v/>
      </c>
      <c r="O566" s="182" t="str">
        <f t="shared" si="99"/>
        <v/>
      </c>
      <c r="P566" s="182" t="str">
        <f t="shared" si="100"/>
        <v/>
      </c>
      <c r="Q566" s="182" t="str">
        <f t="shared" si="101"/>
        <v/>
      </c>
      <c r="R566" s="182" t="str">
        <f t="shared" si="102"/>
        <v/>
      </c>
      <c r="S566" s="182" t="str">
        <f t="shared" si="103"/>
        <v/>
      </c>
      <c r="T566" s="182" t="str">
        <f t="shared" si="104"/>
        <v/>
      </c>
      <c r="U566" s="182" t="str">
        <f t="shared" si="105"/>
        <v/>
      </c>
      <c r="V566" s="182" t="str">
        <f t="shared" si="106"/>
        <v/>
      </c>
      <c r="W566" s="182" t="str">
        <f t="shared" si="107"/>
        <v/>
      </c>
    </row>
    <row r="567" spans="1:23" x14ac:dyDescent="0.2">
      <c r="A567" s="181"/>
      <c r="B567" s="181"/>
      <c r="C567" s="181"/>
      <c r="D567" s="181"/>
      <c r="E567" s="181"/>
      <c r="F567" s="181"/>
      <c r="G567" s="181"/>
      <c r="K567" s="182">
        <v>566</v>
      </c>
      <c r="L567" s="182" t="str">
        <f t="shared" si="96"/>
        <v/>
      </c>
      <c r="M567" s="182" t="str">
        <f t="shared" si="97"/>
        <v/>
      </c>
      <c r="N567" s="182" t="str">
        <f t="shared" si="98"/>
        <v/>
      </c>
      <c r="O567" s="182" t="str">
        <f t="shared" si="99"/>
        <v/>
      </c>
      <c r="P567" s="182" t="str">
        <f t="shared" si="100"/>
        <v/>
      </c>
      <c r="Q567" s="182" t="str">
        <f t="shared" si="101"/>
        <v/>
      </c>
      <c r="R567" s="182" t="str">
        <f t="shared" si="102"/>
        <v/>
      </c>
      <c r="S567" s="182" t="str">
        <f t="shared" si="103"/>
        <v/>
      </c>
      <c r="T567" s="182" t="str">
        <f t="shared" si="104"/>
        <v/>
      </c>
      <c r="U567" s="182" t="str">
        <f t="shared" si="105"/>
        <v/>
      </c>
      <c r="V567" s="182" t="str">
        <f t="shared" si="106"/>
        <v/>
      </c>
      <c r="W567" s="182" t="str">
        <f t="shared" si="107"/>
        <v/>
      </c>
    </row>
    <row r="568" spans="1:23" x14ac:dyDescent="0.2">
      <c r="A568" s="181"/>
      <c r="B568" s="181"/>
      <c r="C568" s="181"/>
      <c r="D568" s="181"/>
      <c r="E568" s="181"/>
      <c r="F568" s="181"/>
      <c r="G568" s="181"/>
      <c r="K568" s="182">
        <v>567</v>
      </c>
      <c r="L568" s="182" t="str">
        <f t="shared" si="96"/>
        <v/>
      </c>
      <c r="M568" s="182" t="str">
        <f t="shared" si="97"/>
        <v/>
      </c>
      <c r="N568" s="182" t="str">
        <f t="shared" si="98"/>
        <v/>
      </c>
      <c r="O568" s="182" t="str">
        <f t="shared" si="99"/>
        <v/>
      </c>
      <c r="P568" s="182" t="str">
        <f t="shared" si="100"/>
        <v/>
      </c>
      <c r="Q568" s="182" t="str">
        <f t="shared" si="101"/>
        <v/>
      </c>
      <c r="R568" s="182" t="str">
        <f t="shared" si="102"/>
        <v/>
      </c>
      <c r="S568" s="182" t="str">
        <f t="shared" si="103"/>
        <v/>
      </c>
      <c r="T568" s="182" t="str">
        <f t="shared" si="104"/>
        <v/>
      </c>
      <c r="U568" s="182" t="str">
        <f t="shared" si="105"/>
        <v/>
      </c>
      <c r="V568" s="182" t="str">
        <f t="shared" si="106"/>
        <v/>
      </c>
      <c r="W568" s="182" t="str">
        <f t="shared" si="107"/>
        <v/>
      </c>
    </row>
    <row r="569" spans="1:23" x14ac:dyDescent="0.2">
      <c r="A569" s="181"/>
      <c r="B569" s="181"/>
      <c r="C569" s="181"/>
      <c r="D569" s="181"/>
      <c r="E569" s="181"/>
      <c r="F569" s="181"/>
      <c r="G569" s="181"/>
      <c r="K569" s="182">
        <v>568</v>
      </c>
      <c r="L569" s="182" t="str">
        <f t="shared" si="96"/>
        <v/>
      </c>
      <c r="M569" s="182" t="str">
        <f t="shared" si="97"/>
        <v/>
      </c>
      <c r="N569" s="182" t="str">
        <f t="shared" si="98"/>
        <v/>
      </c>
      <c r="O569" s="182" t="str">
        <f t="shared" si="99"/>
        <v/>
      </c>
      <c r="P569" s="182" t="str">
        <f t="shared" si="100"/>
        <v/>
      </c>
      <c r="Q569" s="182" t="str">
        <f t="shared" si="101"/>
        <v/>
      </c>
      <c r="R569" s="182" t="str">
        <f t="shared" si="102"/>
        <v/>
      </c>
      <c r="S569" s="182" t="str">
        <f t="shared" si="103"/>
        <v/>
      </c>
      <c r="T569" s="182" t="str">
        <f t="shared" si="104"/>
        <v/>
      </c>
      <c r="U569" s="182" t="str">
        <f t="shared" si="105"/>
        <v/>
      </c>
      <c r="V569" s="182" t="str">
        <f t="shared" si="106"/>
        <v/>
      </c>
      <c r="W569" s="182" t="str">
        <f t="shared" si="107"/>
        <v/>
      </c>
    </row>
    <row r="570" spans="1:23" x14ac:dyDescent="0.2">
      <c r="A570" s="181"/>
      <c r="B570" s="181"/>
      <c r="C570" s="181"/>
      <c r="D570" s="181"/>
      <c r="E570" s="181"/>
      <c r="F570" s="181"/>
      <c r="G570" s="181"/>
      <c r="K570" s="182">
        <v>569</v>
      </c>
      <c r="L570" s="182" t="str">
        <f t="shared" si="96"/>
        <v/>
      </c>
      <c r="M570" s="182" t="str">
        <f t="shared" si="97"/>
        <v/>
      </c>
      <c r="N570" s="182" t="str">
        <f t="shared" si="98"/>
        <v/>
      </c>
      <c r="O570" s="182" t="str">
        <f t="shared" si="99"/>
        <v/>
      </c>
      <c r="P570" s="182" t="str">
        <f t="shared" si="100"/>
        <v/>
      </c>
      <c r="Q570" s="182" t="str">
        <f t="shared" si="101"/>
        <v/>
      </c>
      <c r="R570" s="182" t="str">
        <f t="shared" si="102"/>
        <v/>
      </c>
      <c r="S570" s="182" t="str">
        <f t="shared" si="103"/>
        <v/>
      </c>
      <c r="T570" s="182" t="str">
        <f t="shared" si="104"/>
        <v/>
      </c>
      <c r="U570" s="182" t="str">
        <f t="shared" si="105"/>
        <v/>
      </c>
      <c r="V570" s="182" t="str">
        <f t="shared" si="106"/>
        <v/>
      </c>
      <c r="W570" s="182" t="str">
        <f t="shared" si="107"/>
        <v/>
      </c>
    </row>
    <row r="571" spans="1:23" x14ac:dyDescent="0.2">
      <c r="A571" s="181"/>
      <c r="B571" s="181"/>
      <c r="C571" s="181"/>
      <c r="D571" s="181"/>
      <c r="E571" s="181"/>
      <c r="F571" s="181"/>
      <c r="G571" s="181"/>
      <c r="K571" s="182">
        <v>570</v>
      </c>
      <c r="L571" s="182" t="str">
        <f t="shared" si="96"/>
        <v/>
      </c>
      <c r="M571" s="182" t="str">
        <f t="shared" si="97"/>
        <v/>
      </c>
      <c r="N571" s="182" t="str">
        <f t="shared" si="98"/>
        <v/>
      </c>
      <c r="O571" s="182" t="str">
        <f t="shared" si="99"/>
        <v/>
      </c>
      <c r="P571" s="182" t="str">
        <f t="shared" si="100"/>
        <v/>
      </c>
      <c r="Q571" s="182" t="str">
        <f t="shared" si="101"/>
        <v/>
      </c>
      <c r="R571" s="182" t="str">
        <f t="shared" si="102"/>
        <v/>
      </c>
      <c r="S571" s="182" t="str">
        <f t="shared" si="103"/>
        <v/>
      </c>
      <c r="T571" s="182" t="str">
        <f t="shared" si="104"/>
        <v/>
      </c>
      <c r="U571" s="182" t="str">
        <f t="shared" si="105"/>
        <v/>
      </c>
      <c r="V571" s="182" t="str">
        <f t="shared" si="106"/>
        <v/>
      </c>
      <c r="W571" s="182" t="str">
        <f t="shared" si="107"/>
        <v/>
      </c>
    </row>
    <row r="572" spans="1:23" x14ac:dyDescent="0.2">
      <c r="A572" s="181"/>
      <c r="B572" s="181"/>
      <c r="C572" s="181"/>
      <c r="D572" s="181"/>
      <c r="E572" s="181"/>
      <c r="F572" s="181"/>
      <c r="G572" s="181"/>
      <c r="K572" s="182">
        <v>571</v>
      </c>
      <c r="L572" s="182" t="str">
        <f t="shared" si="96"/>
        <v/>
      </c>
      <c r="M572" s="182" t="str">
        <f t="shared" si="97"/>
        <v/>
      </c>
      <c r="N572" s="182" t="str">
        <f t="shared" si="98"/>
        <v/>
      </c>
      <c r="O572" s="182" t="str">
        <f t="shared" si="99"/>
        <v/>
      </c>
      <c r="P572" s="182" t="str">
        <f t="shared" si="100"/>
        <v/>
      </c>
      <c r="Q572" s="182" t="str">
        <f t="shared" si="101"/>
        <v/>
      </c>
      <c r="R572" s="182" t="str">
        <f t="shared" si="102"/>
        <v/>
      </c>
      <c r="S572" s="182" t="str">
        <f t="shared" si="103"/>
        <v/>
      </c>
      <c r="T572" s="182" t="str">
        <f t="shared" si="104"/>
        <v/>
      </c>
      <c r="U572" s="182" t="str">
        <f t="shared" si="105"/>
        <v/>
      </c>
      <c r="V572" s="182" t="str">
        <f t="shared" si="106"/>
        <v/>
      </c>
      <c r="W572" s="182" t="str">
        <f t="shared" si="107"/>
        <v/>
      </c>
    </row>
    <row r="573" spans="1:23" x14ac:dyDescent="0.2">
      <c r="A573" s="181"/>
      <c r="B573" s="181"/>
      <c r="C573" s="181"/>
      <c r="D573" s="181"/>
      <c r="E573" s="181"/>
      <c r="F573" s="181"/>
      <c r="G573" s="181"/>
      <c r="K573" s="182">
        <v>572</v>
      </c>
      <c r="L573" s="182" t="str">
        <f t="shared" si="96"/>
        <v/>
      </c>
      <c r="M573" s="182" t="str">
        <f t="shared" si="97"/>
        <v/>
      </c>
      <c r="N573" s="182" t="str">
        <f t="shared" si="98"/>
        <v/>
      </c>
      <c r="O573" s="182" t="str">
        <f t="shared" si="99"/>
        <v/>
      </c>
      <c r="P573" s="182" t="str">
        <f t="shared" si="100"/>
        <v/>
      </c>
      <c r="Q573" s="182" t="str">
        <f t="shared" si="101"/>
        <v/>
      </c>
      <c r="R573" s="182" t="str">
        <f t="shared" si="102"/>
        <v/>
      </c>
      <c r="S573" s="182" t="str">
        <f t="shared" si="103"/>
        <v/>
      </c>
      <c r="T573" s="182" t="str">
        <f t="shared" si="104"/>
        <v/>
      </c>
      <c r="U573" s="182" t="str">
        <f t="shared" si="105"/>
        <v/>
      </c>
      <c r="V573" s="182" t="str">
        <f t="shared" si="106"/>
        <v/>
      </c>
      <c r="W573" s="182" t="str">
        <f t="shared" si="107"/>
        <v/>
      </c>
    </row>
    <row r="574" spans="1:23" x14ac:dyDescent="0.2">
      <c r="A574" s="181"/>
      <c r="B574" s="181"/>
      <c r="C574" s="181"/>
      <c r="D574" s="181"/>
      <c r="E574" s="181"/>
      <c r="F574" s="181"/>
      <c r="G574" s="181"/>
      <c r="K574" s="182">
        <v>573</v>
      </c>
      <c r="L574" s="182" t="str">
        <f t="shared" si="96"/>
        <v/>
      </c>
      <c r="M574" s="182" t="str">
        <f t="shared" si="97"/>
        <v/>
      </c>
      <c r="N574" s="182" t="str">
        <f t="shared" si="98"/>
        <v/>
      </c>
      <c r="O574" s="182" t="str">
        <f t="shared" si="99"/>
        <v/>
      </c>
      <c r="P574" s="182" t="str">
        <f t="shared" si="100"/>
        <v/>
      </c>
      <c r="Q574" s="182" t="str">
        <f t="shared" si="101"/>
        <v/>
      </c>
      <c r="R574" s="182" t="str">
        <f t="shared" si="102"/>
        <v/>
      </c>
      <c r="S574" s="182" t="str">
        <f t="shared" si="103"/>
        <v/>
      </c>
      <c r="T574" s="182" t="str">
        <f t="shared" si="104"/>
        <v/>
      </c>
      <c r="U574" s="182" t="str">
        <f t="shared" si="105"/>
        <v/>
      </c>
      <c r="V574" s="182" t="str">
        <f t="shared" si="106"/>
        <v/>
      </c>
      <c r="W574" s="182" t="str">
        <f t="shared" si="107"/>
        <v/>
      </c>
    </row>
    <row r="575" spans="1:23" x14ac:dyDescent="0.2">
      <c r="A575" s="181"/>
      <c r="B575" s="181"/>
      <c r="C575" s="181"/>
      <c r="D575" s="181"/>
      <c r="E575" s="181"/>
      <c r="F575" s="181"/>
      <c r="G575" s="181"/>
      <c r="K575" s="182">
        <v>574</v>
      </c>
      <c r="L575" s="182" t="str">
        <f t="shared" si="96"/>
        <v/>
      </c>
      <c r="M575" s="182" t="str">
        <f t="shared" si="97"/>
        <v/>
      </c>
      <c r="N575" s="182" t="str">
        <f t="shared" si="98"/>
        <v/>
      </c>
      <c r="O575" s="182" t="str">
        <f t="shared" si="99"/>
        <v/>
      </c>
      <c r="P575" s="182" t="str">
        <f t="shared" si="100"/>
        <v/>
      </c>
      <c r="Q575" s="182" t="str">
        <f t="shared" si="101"/>
        <v/>
      </c>
      <c r="R575" s="182" t="str">
        <f t="shared" si="102"/>
        <v/>
      </c>
      <c r="S575" s="182" t="str">
        <f t="shared" si="103"/>
        <v/>
      </c>
      <c r="T575" s="182" t="str">
        <f t="shared" si="104"/>
        <v/>
      </c>
      <c r="U575" s="182" t="str">
        <f t="shared" si="105"/>
        <v/>
      </c>
      <c r="V575" s="182" t="str">
        <f t="shared" si="106"/>
        <v/>
      </c>
      <c r="W575" s="182" t="str">
        <f t="shared" si="107"/>
        <v/>
      </c>
    </row>
    <row r="576" spans="1:23" x14ac:dyDescent="0.2">
      <c r="A576" s="181"/>
      <c r="B576" s="181"/>
      <c r="C576" s="181"/>
      <c r="D576" s="181"/>
      <c r="E576" s="181"/>
      <c r="F576" s="181"/>
      <c r="G576" s="181"/>
      <c r="K576" s="182">
        <v>575</v>
      </c>
      <c r="L576" s="182" t="str">
        <f t="shared" si="96"/>
        <v/>
      </c>
      <c r="M576" s="182" t="str">
        <f t="shared" si="97"/>
        <v/>
      </c>
      <c r="N576" s="182" t="str">
        <f t="shared" si="98"/>
        <v/>
      </c>
      <c r="O576" s="182" t="str">
        <f t="shared" si="99"/>
        <v/>
      </c>
      <c r="P576" s="182" t="str">
        <f t="shared" si="100"/>
        <v/>
      </c>
      <c r="Q576" s="182" t="str">
        <f t="shared" si="101"/>
        <v/>
      </c>
      <c r="R576" s="182" t="str">
        <f t="shared" si="102"/>
        <v/>
      </c>
      <c r="S576" s="182" t="str">
        <f t="shared" si="103"/>
        <v/>
      </c>
      <c r="T576" s="182" t="str">
        <f t="shared" si="104"/>
        <v/>
      </c>
      <c r="U576" s="182" t="str">
        <f t="shared" si="105"/>
        <v/>
      </c>
      <c r="V576" s="182" t="str">
        <f t="shared" si="106"/>
        <v/>
      </c>
      <c r="W576" s="182" t="str">
        <f t="shared" si="107"/>
        <v/>
      </c>
    </row>
    <row r="577" spans="1:23" x14ac:dyDescent="0.2">
      <c r="A577" s="181"/>
      <c r="B577" s="181"/>
      <c r="C577" s="181"/>
      <c r="D577" s="181"/>
      <c r="E577" s="181"/>
      <c r="F577" s="181"/>
      <c r="G577" s="181"/>
      <c r="K577" s="182">
        <v>576</v>
      </c>
      <c r="L577" s="182" t="str">
        <f t="shared" si="96"/>
        <v/>
      </c>
      <c r="M577" s="182" t="str">
        <f t="shared" si="97"/>
        <v/>
      </c>
      <c r="N577" s="182" t="str">
        <f t="shared" si="98"/>
        <v/>
      </c>
      <c r="O577" s="182" t="str">
        <f t="shared" si="99"/>
        <v/>
      </c>
      <c r="P577" s="182" t="str">
        <f t="shared" si="100"/>
        <v/>
      </c>
      <c r="Q577" s="182" t="str">
        <f t="shared" si="101"/>
        <v/>
      </c>
      <c r="R577" s="182" t="str">
        <f t="shared" si="102"/>
        <v/>
      </c>
      <c r="S577" s="182" t="str">
        <f t="shared" si="103"/>
        <v/>
      </c>
      <c r="T577" s="182" t="str">
        <f t="shared" si="104"/>
        <v/>
      </c>
      <c r="U577" s="182" t="str">
        <f t="shared" si="105"/>
        <v/>
      </c>
      <c r="V577" s="182" t="str">
        <f t="shared" si="106"/>
        <v/>
      </c>
      <c r="W577" s="182" t="str">
        <f t="shared" si="107"/>
        <v/>
      </c>
    </row>
    <row r="578" spans="1:23" x14ac:dyDescent="0.2">
      <c r="A578" s="181"/>
      <c r="B578" s="181"/>
      <c r="C578" s="181"/>
      <c r="D578" s="181"/>
      <c r="E578" s="181"/>
      <c r="F578" s="181"/>
      <c r="G578" s="181"/>
      <c r="K578" s="182">
        <v>577</v>
      </c>
      <c r="L578" s="182" t="str">
        <f t="shared" si="96"/>
        <v/>
      </c>
      <c r="M578" s="182" t="str">
        <f t="shared" si="97"/>
        <v/>
      </c>
      <c r="N578" s="182" t="str">
        <f t="shared" si="98"/>
        <v/>
      </c>
      <c r="O578" s="182" t="str">
        <f t="shared" si="99"/>
        <v/>
      </c>
      <c r="P578" s="182" t="str">
        <f t="shared" si="100"/>
        <v/>
      </c>
      <c r="Q578" s="182" t="str">
        <f t="shared" si="101"/>
        <v/>
      </c>
      <c r="R578" s="182" t="str">
        <f t="shared" si="102"/>
        <v/>
      </c>
      <c r="S578" s="182" t="str">
        <f t="shared" si="103"/>
        <v/>
      </c>
      <c r="T578" s="182" t="str">
        <f t="shared" si="104"/>
        <v/>
      </c>
      <c r="U578" s="182" t="str">
        <f t="shared" si="105"/>
        <v/>
      </c>
      <c r="V578" s="182" t="str">
        <f t="shared" si="106"/>
        <v/>
      </c>
      <c r="W578" s="182" t="str">
        <f t="shared" si="107"/>
        <v/>
      </c>
    </row>
    <row r="579" spans="1:23" x14ac:dyDescent="0.2">
      <c r="A579" s="181"/>
      <c r="B579" s="181"/>
      <c r="C579" s="181"/>
      <c r="D579" s="181"/>
      <c r="E579" s="181"/>
      <c r="F579" s="181"/>
      <c r="G579" s="181"/>
      <c r="K579" s="182">
        <v>578</v>
      </c>
      <c r="L579" s="182" t="str">
        <f t="shared" ref="L579:L642" si="108">IF($B$13&gt;=K579,K579,"")</f>
        <v/>
      </c>
      <c r="M579" s="182" t="str">
        <f t="shared" ref="M579:M642" si="109">IF(L579="","",IF(L579&lt;=$E$15,VLOOKUP($E$14,$I$1:$J$4,2,FALSE),VLOOKUP($F$14,$I$1:$J$4,2,FALSE)))</f>
        <v/>
      </c>
      <c r="N579" s="182" t="str">
        <f t="shared" ref="N579:N642" si="110">IF($B$20&gt;=K579,K579,"")</f>
        <v/>
      </c>
      <c r="O579" s="182" t="str">
        <f t="shared" ref="O579:O642" si="111">IF(N579="","",IF(N579&lt;=$E$22,VLOOKUP($E$21,$I$1:$J$4,2,FALSE),VLOOKUP($F$21,$I$1:$J$4,2,FALSE)))</f>
        <v/>
      </c>
      <c r="P579" s="182" t="str">
        <f t="shared" ref="P579:P642" si="112">IF($B$27&gt;=K579,K579,"")</f>
        <v/>
      </c>
      <c r="Q579" s="182" t="str">
        <f t="shared" ref="Q579:Q642" si="113">IF(P579="","",IF(P579&lt;=$E$29,VLOOKUP($E$28,$I$1:$J$4,2,FALSE),VLOOKUP($F$28,$I$1:$J$4,2,FALSE)))</f>
        <v/>
      </c>
      <c r="R579" s="182" t="str">
        <f t="shared" ref="R579:R642" si="114">IF($B$34&gt;=K579,K579,"")</f>
        <v/>
      </c>
      <c r="S579" s="182" t="str">
        <f t="shared" ref="S579:S642" si="115">IF(R579="","",IF(R579&lt;=$E$36,VLOOKUP($E$35,$I$1:$J$4,2,FALSE),VLOOKUP($F$35,$I$1:$J$4,2,FALSE)))</f>
        <v/>
      </c>
      <c r="T579" s="182" t="str">
        <f t="shared" ref="T579:T642" si="116">IF($B$41&gt;=K579,K579,"")</f>
        <v/>
      </c>
      <c r="U579" s="182" t="str">
        <f t="shared" ref="U579:U642" si="117">IF(T579="","",IF(T579&lt;=$E$43,VLOOKUP($E$42,$I$1:$J$4,2,FALSE),VLOOKUP($F$42,$I$1:$J$4,2,FALSE)))</f>
        <v/>
      </c>
      <c r="V579" s="182" t="str">
        <f t="shared" ref="V579:V642" si="118">IF($B$48&gt;=K579,K579,"")</f>
        <v/>
      </c>
      <c r="W579" s="182" t="str">
        <f t="shared" ref="W579:W642" si="119">IF(V579="","",IF(V579&lt;=$E$50,VLOOKUP($E$49,$I$1:$J$4,2,FALSE),VLOOKUP($F$49,$I$1:$J$4,2,FALSE)))</f>
        <v/>
      </c>
    </row>
    <row r="580" spans="1:23" x14ac:dyDescent="0.2">
      <c r="A580" s="181"/>
      <c r="B580" s="181"/>
      <c r="C580" s="181"/>
      <c r="D580" s="181"/>
      <c r="E580" s="181"/>
      <c r="F580" s="181"/>
      <c r="G580" s="181"/>
      <c r="K580" s="182">
        <v>579</v>
      </c>
      <c r="L580" s="182" t="str">
        <f t="shared" si="108"/>
        <v/>
      </c>
      <c r="M580" s="182" t="str">
        <f t="shared" si="109"/>
        <v/>
      </c>
      <c r="N580" s="182" t="str">
        <f t="shared" si="110"/>
        <v/>
      </c>
      <c r="O580" s="182" t="str">
        <f t="shared" si="111"/>
        <v/>
      </c>
      <c r="P580" s="182" t="str">
        <f t="shared" si="112"/>
        <v/>
      </c>
      <c r="Q580" s="182" t="str">
        <f t="shared" si="113"/>
        <v/>
      </c>
      <c r="R580" s="182" t="str">
        <f t="shared" si="114"/>
        <v/>
      </c>
      <c r="S580" s="182" t="str">
        <f t="shared" si="115"/>
        <v/>
      </c>
      <c r="T580" s="182" t="str">
        <f t="shared" si="116"/>
        <v/>
      </c>
      <c r="U580" s="182" t="str">
        <f t="shared" si="117"/>
        <v/>
      </c>
      <c r="V580" s="182" t="str">
        <f t="shared" si="118"/>
        <v/>
      </c>
      <c r="W580" s="182" t="str">
        <f t="shared" si="119"/>
        <v/>
      </c>
    </row>
    <row r="581" spans="1:23" x14ac:dyDescent="0.2">
      <c r="A581" s="181"/>
      <c r="B581" s="181"/>
      <c r="C581" s="181"/>
      <c r="D581" s="181"/>
      <c r="E581" s="181"/>
      <c r="F581" s="181"/>
      <c r="G581" s="181"/>
      <c r="K581" s="182">
        <v>580</v>
      </c>
      <c r="L581" s="182" t="str">
        <f t="shared" si="108"/>
        <v/>
      </c>
      <c r="M581" s="182" t="str">
        <f t="shared" si="109"/>
        <v/>
      </c>
      <c r="N581" s="182" t="str">
        <f t="shared" si="110"/>
        <v/>
      </c>
      <c r="O581" s="182" t="str">
        <f t="shared" si="111"/>
        <v/>
      </c>
      <c r="P581" s="182" t="str">
        <f t="shared" si="112"/>
        <v/>
      </c>
      <c r="Q581" s="182" t="str">
        <f t="shared" si="113"/>
        <v/>
      </c>
      <c r="R581" s="182" t="str">
        <f t="shared" si="114"/>
        <v/>
      </c>
      <c r="S581" s="182" t="str">
        <f t="shared" si="115"/>
        <v/>
      </c>
      <c r="T581" s="182" t="str">
        <f t="shared" si="116"/>
        <v/>
      </c>
      <c r="U581" s="182" t="str">
        <f t="shared" si="117"/>
        <v/>
      </c>
      <c r="V581" s="182" t="str">
        <f t="shared" si="118"/>
        <v/>
      </c>
      <c r="W581" s="182" t="str">
        <f t="shared" si="119"/>
        <v/>
      </c>
    </row>
    <row r="582" spans="1:23" x14ac:dyDescent="0.2">
      <c r="A582" s="181"/>
      <c r="B582" s="181"/>
      <c r="C582" s="181"/>
      <c r="D582" s="181"/>
      <c r="E582" s="181"/>
      <c r="F582" s="181"/>
      <c r="G582" s="181"/>
      <c r="K582" s="182">
        <v>581</v>
      </c>
      <c r="L582" s="182" t="str">
        <f t="shared" si="108"/>
        <v/>
      </c>
      <c r="M582" s="182" t="str">
        <f t="shared" si="109"/>
        <v/>
      </c>
      <c r="N582" s="182" t="str">
        <f t="shared" si="110"/>
        <v/>
      </c>
      <c r="O582" s="182" t="str">
        <f t="shared" si="111"/>
        <v/>
      </c>
      <c r="P582" s="182" t="str">
        <f t="shared" si="112"/>
        <v/>
      </c>
      <c r="Q582" s="182" t="str">
        <f t="shared" si="113"/>
        <v/>
      </c>
      <c r="R582" s="182" t="str">
        <f t="shared" si="114"/>
        <v/>
      </c>
      <c r="S582" s="182" t="str">
        <f t="shared" si="115"/>
        <v/>
      </c>
      <c r="T582" s="182" t="str">
        <f t="shared" si="116"/>
        <v/>
      </c>
      <c r="U582" s="182" t="str">
        <f t="shared" si="117"/>
        <v/>
      </c>
      <c r="V582" s="182" t="str">
        <f t="shared" si="118"/>
        <v/>
      </c>
      <c r="W582" s="182" t="str">
        <f t="shared" si="119"/>
        <v/>
      </c>
    </row>
    <row r="583" spans="1:23" x14ac:dyDescent="0.2">
      <c r="A583" s="181"/>
      <c r="B583" s="181"/>
      <c r="C583" s="181"/>
      <c r="D583" s="181"/>
      <c r="E583" s="181"/>
      <c r="F583" s="181"/>
      <c r="G583" s="181"/>
      <c r="K583" s="182">
        <v>582</v>
      </c>
      <c r="L583" s="182" t="str">
        <f t="shared" si="108"/>
        <v/>
      </c>
      <c r="M583" s="182" t="str">
        <f t="shared" si="109"/>
        <v/>
      </c>
      <c r="N583" s="182" t="str">
        <f t="shared" si="110"/>
        <v/>
      </c>
      <c r="O583" s="182" t="str">
        <f t="shared" si="111"/>
        <v/>
      </c>
      <c r="P583" s="182" t="str">
        <f t="shared" si="112"/>
        <v/>
      </c>
      <c r="Q583" s="182" t="str">
        <f t="shared" si="113"/>
        <v/>
      </c>
      <c r="R583" s="182" t="str">
        <f t="shared" si="114"/>
        <v/>
      </c>
      <c r="S583" s="182" t="str">
        <f t="shared" si="115"/>
        <v/>
      </c>
      <c r="T583" s="182" t="str">
        <f t="shared" si="116"/>
        <v/>
      </c>
      <c r="U583" s="182" t="str">
        <f t="shared" si="117"/>
        <v/>
      </c>
      <c r="V583" s="182" t="str">
        <f t="shared" si="118"/>
        <v/>
      </c>
      <c r="W583" s="182" t="str">
        <f t="shared" si="119"/>
        <v/>
      </c>
    </row>
    <row r="584" spans="1:23" x14ac:dyDescent="0.2">
      <c r="A584" s="181"/>
      <c r="B584" s="181"/>
      <c r="C584" s="181"/>
      <c r="D584" s="181"/>
      <c r="E584" s="181"/>
      <c r="F584" s="181"/>
      <c r="G584" s="181"/>
      <c r="K584" s="182">
        <v>583</v>
      </c>
      <c r="L584" s="182" t="str">
        <f t="shared" si="108"/>
        <v/>
      </c>
      <c r="M584" s="182" t="str">
        <f t="shared" si="109"/>
        <v/>
      </c>
      <c r="N584" s="182" t="str">
        <f t="shared" si="110"/>
        <v/>
      </c>
      <c r="O584" s="182" t="str">
        <f t="shared" si="111"/>
        <v/>
      </c>
      <c r="P584" s="182" t="str">
        <f t="shared" si="112"/>
        <v/>
      </c>
      <c r="Q584" s="182" t="str">
        <f t="shared" si="113"/>
        <v/>
      </c>
      <c r="R584" s="182" t="str">
        <f t="shared" si="114"/>
        <v/>
      </c>
      <c r="S584" s="182" t="str">
        <f t="shared" si="115"/>
        <v/>
      </c>
      <c r="T584" s="182" t="str">
        <f t="shared" si="116"/>
        <v/>
      </c>
      <c r="U584" s="182" t="str">
        <f t="shared" si="117"/>
        <v/>
      </c>
      <c r="V584" s="182" t="str">
        <f t="shared" si="118"/>
        <v/>
      </c>
      <c r="W584" s="182" t="str">
        <f t="shared" si="119"/>
        <v/>
      </c>
    </row>
    <row r="585" spans="1:23" x14ac:dyDescent="0.2">
      <c r="A585" s="181"/>
      <c r="B585" s="181"/>
      <c r="C585" s="181"/>
      <c r="D585" s="181"/>
      <c r="E585" s="181"/>
      <c r="F585" s="181"/>
      <c r="G585" s="181"/>
      <c r="K585" s="182">
        <v>584</v>
      </c>
      <c r="L585" s="182" t="str">
        <f t="shared" si="108"/>
        <v/>
      </c>
      <c r="M585" s="182" t="str">
        <f t="shared" si="109"/>
        <v/>
      </c>
      <c r="N585" s="182" t="str">
        <f t="shared" si="110"/>
        <v/>
      </c>
      <c r="O585" s="182" t="str">
        <f t="shared" si="111"/>
        <v/>
      </c>
      <c r="P585" s="182" t="str">
        <f t="shared" si="112"/>
        <v/>
      </c>
      <c r="Q585" s="182" t="str">
        <f t="shared" si="113"/>
        <v/>
      </c>
      <c r="R585" s="182" t="str">
        <f t="shared" si="114"/>
        <v/>
      </c>
      <c r="S585" s="182" t="str">
        <f t="shared" si="115"/>
        <v/>
      </c>
      <c r="T585" s="182" t="str">
        <f t="shared" si="116"/>
        <v/>
      </c>
      <c r="U585" s="182" t="str">
        <f t="shared" si="117"/>
        <v/>
      </c>
      <c r="V585" s="182" t="str">
        <f t="shared" si="118"/>
        <v/>
      </c>
      <c r="W585" s="182" t="str">
        <f t="shared" si="119"/>
        <v/>
      </c>
    </row>
    <row r="586" spans="1:23" x14ac:dyDescent="0.2">
      <c r="A586" s="181"/>
      <c r="B586" s="181"/>
      <c r="C586" s="181"/>
      <c r="D586" s="181"/>
      <c r="E586" s="181"/>
      <c r="F586" s="181"/>
      <c r="G586" s="181"/>
      <c r="K586" s="182">
        <v>585</v>
      </c>
      <c r="L586" s="182" t="str">
        <f t="shared" si="108"/>
        <v/>
      </c>
      <c r="M586" s="182" t="str">
        <f t="shared" si="109"/>
        <v/>
      </c>
      <c r="N586" s="182" t="str">
        <f t="shared" si="110"/>
        <v/>
      </c>
      <c r="O586" s="182" t="str">
        <f t="shared" si="111"/>
        <v/>
      </c>
      <c r="P586" s="182" t="str">
        <f t="shared" si="112"/>
        <v/>
      </c>
      <c r="Q586" s="182" t="str">
        <f t="shared" si="113"/>
        <v/>
      </c>
      <c r="R586" s="182" t="str">
        <f t="shared" si="114"/>
        <v/>
      </c>
      <c r="S586" s="182" t="str">
        <f t="shared" si="115"/>
        <v/>
      </c>
      <c r="T586" s="182" t="str">
        <f t="shared" si="116"/>
        <v/>
      </c>
      <c r="U586" s="182" t="str">
        <f t="shared" si="117"/>
        <v/>
      </c>
      <c r="V586" s="182" t="str">
        <f t="shared" si="118"/>
        <v/>
      </c>
      <c r="W586" s="182" t="str">
        <f t="shared" si="119"/>
        <v/>
      </c>
    </row>
    <row r="587" spans="1:23" x14ac:dyDescent="0.2">
      <c r="A587" s="181"/>
      <c r="B587" s="181"/>
      <c r="C587" s="181"/>
      <c r="D587" s="181"/>
      <c r="E587" s="181"/>
      <c r="F587" s="181"/>
      <c r="G587" s="181"/>
      <c r="K587" s="182">
        <v>586</v>
      </c>
      <c r="L587" s="182" t="str">
        <f t="shared" si="108"/>
        <v/>
      </c>
      <c r="M587" s="182" t="str">
        <f t="shared" si="109"/>
        <v/>
      </c>
      <c r="N587" s="182" t="str">
        <f t="shared" si="110"/>
        <v/>
      </c>
      <c r="O587" s="182" t="str">
        <f t="shared" si="111"/>
        <v/>
      </c>
      <c r="P587" s="182" t="str">
        <f t="shared" si="112"/>
        <v/>
      </c>
      <c r="Q587" s="182" t="str">
        <f t="shared" si="113"/>
        <v/>
      </c>
      <c r="R587" s="182" t="str">
        <f t="shared" si="114"/>
        <v/>
      </c>
      <c r="S587" s="182" t="str">
        <f t="shared" si="115"/>
        <v/>
      </c>
      <c r="T587" s="182" t="str">
        <f t="shared" si="116"/>
        <v/>
      </c>
      <c r="U587" s="182" t="str">
        <f t="shared" si="117"/>
        <v/>
      </c>
      <c r="V587" s="182" t="str">
        <f t="shared" si="118"/>
        <v/>
      </c>
      <c r="W587" s="182" t="str">
        <f t="shared" si="119"/>
        <v/>
      </c>
    </row>
    <row r="588" spans="1:23" x14ac:dyDescent="0.2">
      <c r="A588" s="181"/>
      <c r="B588" s="181"/>
      <c r="C588" s="181"/>
      <c r="D588" s="181"/>
      <c r="E588" s="181"/>
      <c r="F588" s="181"/>
      <c r="G588" s="181"/>
      <c r="K588" s="182">
        <v>587</v>
      </c>
      <c r="L588" s="182" t="str">
        <f t="shared" si="108"/>
        <v/>
      </c>
      <c r="M588" s="182" t="str">
        <f t="shared" si="109"/>
        <v/>
      </c>
      <c r="N588" s="182" t="str">
        <f t="shared" si="110"/>
        <v/>
      </c>
      <c r="O588" s="182" t="str">
        <f t="shared" si="111"/>
        <v/>
      </c>
      <c r="P588" s="182" t="str">
        <f t="shared" si="112"/>
        <v/>
      </c>
      <c r="Q588" s="182" t="str">
        <f t="shared" si="113"/>
        <v/>
      </c>
      <c r="R588" s="182" t="str">
        <f t="shared" si="114"/>
        <v/>
      </c>
      <c r="S588" s="182" t="str">
        <f t="shared" si="115"/>
        <v/>
      </c>
      <c r="T588" s="182" t="str">
        <f t="shared" si="116"/>
        <v/>
      </c>
      <c r="U588" s="182" t="str">
        <f t="shared" si="117"/>
        <v/>
      </c>
      <c r="V588" s="182" t="str">
        <f t="shared" si="118"/>
        <v/>
      </c>
      <c r="W588" s="182" t="str">
        <f t="shared" si="119"/>
        <v/>
      </c>
    </row>
    <row r="589" spans="1:23" x14ac:dyDescent="0.2">
      <c r="A589" s="181"/>
      <c r="B589" s="181"/>
      <c r="C589" s="181"/>
      <c r="D589" s="181"/>
      <c r="E589" s="181"/>
      <c r="F589" s="181"/>
      <c r="G589" s="181"/>
      <c r="K589" s="182">
        <v>588</v>
      </c>
      <c r="L589" s="182" t="str">
        <f t="shared" si="108"/>
        <v/>
      </c>
      <c r="M589" s="182" t="str">
        <f t="shared" si="109"/>
        <v/>
      </c>
      <c r="N589" s="182" t="str">
        <f t="shared" si="110"/>
        <v/>
      </c>
      <c r="O589" s="182" t="str">
        <f t="shared" si="111"/>
        <v/>
      </c>
      <c r="P589" s="182" t="str">
        <f t="shared" si="112"/>
        <v/>
      </c>
      <c r="Q589" s="182" t="str">
        <f t="shared" si="113"/>
        <v/>
      </c>
      <c r="R589" s="182" t="str">
        <f t="shared" si="114"/>
        <v/>
      </c>
      <c r="S589" s="182" t="str">
        <f t="shared" si="115"/>
        <v/>
      </c>
      <c r="T589" s="182" t="str">
        <f t="shared" si="116"/>
        <v/>
      </c>
      <c r="U589" s="182" t="str">
        <f t="shared" si="117"/>
        <v/>
      </c>
      <c r="V589" s="182" t="str">
        <f t="shared" si="118"/>
        <v/>
      </c>
      <c r="W589" s="182" t="str">
        <f t="shared" si="119"/>
        <v/>
      </c>
    </row>
    <row r="590" spans="1:23" x14ac:dyDescent="0.2">
      <c r="A590" s="181"/>
      <c r="B590" s="181"/>
      <c r="C590" s="181"/>
      <c r="D590" s="181"/>
      <c r="E590" s="181"/>
      <c r="F590" s="181"/>
      <c r="G590" s="181"/>
      <c r="K590" s="182">
        <v>589</v>
      </c>
      <c r="L590" s="182" t="str">
        <f t="shared" si="108"/>
        <v/>
      </c>
      <c r="M590" s="182" t="str">
        <f t="shared" si="109"/>
        <v/>
      </c>
      <c r="N590" s="182" t="str">
        <f t="shared" si="110"/>
        <v/>
      </c>
      <c r="O590" s="182" t="str">
        <f t="shared" si="111"/>
        <v/>
      </c>
      <c r="P590" s="182" t="str">
        <f t="shared" si="112"/>
        <v/>
      </c>
      <c r="Q590" s="182" t="str">
        <f t="shared" si="113"/>
        <v/>
      </c>
      <c r="R590" s="182" t="str">
        <f t="shared" si="114"/>
        <v/>
      </c>
      <c r="S590" s="182" t="str">
        <f t="shared" si="115"/>
        <v/>
      </c>
      <c r="T590" s="182" t="str">
        <f t="shared" si="116"/>
        <v/>
      </c>
      <c r="U590" s="182" t="str">
        <f t="shared" si="117"/>
        <v/>
      </c>
      <c r="V590" s="182" t="str">
        <f t="shared" si="118"/>
        <v/>
      </c>
      <c r="W590" s="182" t="str">
        <f t="shared" si="119"/>
        <v/>
      </c>
    </row>
    <row r="591" spans="1:23" x14ac:dyDescent="0.2">
      <c r="A591" s="181"/>
      <c r="B591" s="181"/>
      <c r="C591" s="181"/>
      <c r="D591" s="181"/>
      <c r="E591" s="181"/>
      <c r="F591" s="181"/>
      <c r="G591" s="181"/>
      <c r="K591" s="182">
        <v>590</v>
      </c>
      <c r="L591" s="182" t="str">
        <f t="shared" si="108"/>
        <v/>
      </c>
      <c r="M591" s="182" t="str">
        <f t="shared" si="109"/>
        <v/>
      </c>
      <c r="N591" s="182" t="str">
        <f t="shared" si="110"/>
        <v/>
      </c>
      <c r="O591" s="182" t="str">
        <f t="shared" si="111"/>
        <v/>
      </c>
      <c r="P591" s="182" t="str">
        <f t="shared" si="112"/>
        <v/>
      </c>
      <c r="Q591" s="182" t="str">
        <f t="shared" si="113"/>
        <v/>
      </c>
      <c r="R591" s="182" t="str">
        <f t="shared" si="114"/>
        <v/>
      </c>
      <c r="S591" s="182" t="str">
        <f t="shared" si="115"/>
        <v/>
      </c>
      <c r="T591" s="182" t="str">
        <f t="shared" si="116"/>
        <v/>
      </c>
      <c r="U591" s="182" t="str">
        <f t="shared" si="117"/>
        <v/>
      </c>
      <c r="V591" s="182" t="str">
        <f t="shared" si="118"/>
        <v/>
      </c>
      <c r="W591" s="182" t="str">
        <f t="shared" si="119"/>
        <v/>
      </c>
    </row>
    <row r="592" spans="1:23" x14ac:dyDescent="0.2">
      <c r="A592" s="181"/>
      <c r="B592" s="181"/>
      <c r="C592" s="181"/>
      <c r="D592" s="181"/>
      <c r="E592" s="181"/>
      <c r="F592" s="181"/>
      <c r="G592" s="181"/>
      <c r="K592" s="182">
        <v>591</v>
      </c>
      <c r="L592" s="182" t="str">
        <f t="shared" si="108"/>
        <v/>
      </c>
      <c r="M592" s="182" t="str">
        <f t="shared" si="109"/>
        <v/>
      </c>
      <c r="N592" s="182" t="str">
        <f t="shared" si="110"/>
        <v/>
      </c>
      <c r="O592" s="182" t="str">
        <f t="shared" si="111"/>
        <v/>
      </c>
      <c r="P592" s="182" t="str">
        <f t="shared" si="112"/>
        <v/>
      </c>
      <c r="Q592" s="182" t="str">
        <f t="shared" si="113"/>
        <v/>
      </c>
      <c r="R592" s="182" t="str">
        <f t="shared" si="114"/>
        <v/>
      </c>
      <c r="S592" s="182" t="str">
        <f t="shared" si="115"/>
        <v/>
      </c>
      <c r="T592" s="182" t="str">
        <f t="shared" si="116"/>
        <v/>
      </c>
      <c r="U592" s="182" t="str">
        <f t="shared" si="117"/>
        <v/>
      </c>
      <c r="V592" s="182" t="str">
        <f t="shared" si="118"/>
        <v/>
      </c>
      <c r="W592" s="182" t="str">
        <f t="shared" si="119"/>
        <v/>
      </c>
    </row>
    <row r="593" spans="1:23" x14ac:dyDescent="0.2">
      <c r="A593" s="181"/>
      <c r="B593" s="181"/>
      <c r="C593" s="181"/>
      <c r="D593" s="181"/>
      <c r="E593" s="181"/>
      <c r="F593" s="181"/>
      <c r="G593" s="181"/>
      <c r="K593" s="182">
        <v>592</v>
      </c>
      <c r="L593" s="182" t="str">
        <f t="shared" si="108"/>
        <v/>
      </c>
      <c r="M593" s="182" t="str">
        <f t="shared" si="109"/>
        <v/>
      </c>
      <c r="N593" s="182" t="str">
        <f t="shared" si="110"/>
        <v/>
      </c>
      <c r="O593" s="182" t="str">
        <f t="shared" si="111"/>
        <v/>
      </c>
      <c r="P593" s="182" t="str">
        <f t="shared" si="112"/>
        <v/>
      </c>
      <c r="Q593" s="182" t="str">
        <f t="shared" si="113"/>
        <v/>
      </c>
      <c r="R593" s="182" t="str">
        <f t="shared" si="114"/>
        <v/>
      </c>
      <c r="S593" s="182" t="str">
        <f t="shared" si="115"/>
        <v/>
      </c>
      <c r="T593" s="182" t="str">
        <f t="shared" si="116"/>
        <v/>
      </c>
      <c r="U593" s="182" t="str">
        <f t="shared" si="117"/>
        <v/>
      </c>
      <c r="V593" s="182" t="str">
        <f t="shared" si="118"/>
        <v/>
      </c>
      <c r="W593" s="182" t="str">
        <f t="shared" si="119"/>
        <v/>
      </c>
    </row>
    <row r="594" spans="1:23" x14ac:dyDescent="0.2">
      <c r="A594" s="181"/>
      <c r="B594" s="181"/>
      <c r="C594" s="181"/>
      <c r="D594" s="181"/>
      <c r="E594" s="181"/>
      <c r="F594" s="181"/>
      <c r="G594" s="181"/>
      <c r="K594" s="182">
        <v>593</v>
      </c>
      <c r="L594" s="182" t="str">
        <f t="shared" si="108"/>
        <v/>
      </c>
      <c r="M594" s="182" t="str">
        <f t="shared" si="109"/>
        <v/>
      </c>
      <c r="N594" s="182" t="str">
        <f t="shared" si="110"/>
        <v/>
      </c>
      <c r="O594" s="182" t="str">
        <f t="shared" si="111"/>
        <v/>
      </c>
      <c r="P594" s="182" t="str">
        <f t="shared" si="112"/>
        <v/>
      </c>
      <c r="Q594" s="182" t="str">
        <f t="shared" si="113"/>
        <v/>
      </c>
      <c r="R594" s="182" t="str">
        <f t="shared" si="114"/>
        <v/>
      </c>
      <c r="S594" s="182" t="str">
        <f t="shared" si="115"/>
        <v/>
      </c>
      <c r="T594" s="182" t="str">
        <f t="shared" si="116"/>
        <v/>
      </c>
      <c r="U594" s="182" t="str">
        <f t="shared" si="117"/>
        <v/>
      </c>
      <c r="V594" s="182" t="str">
        <f t="shared" si="118"/>
        <v/>
      </c>
      <c r="W594" s="182" t="str">
        <f t="shared" si="119"/>
        <v/>
      </c>
    </row>
    <row r="595" spans="1:23" x14ac:dyDescent="0.2">
      <c r="A595" s="181"/>
      <c r="B595" s="181"/>
      <c r="C595" s="181"/>
      <c r="D595" s="181"/>
      <c r="E595" s="181"/>
      <c r="F595" s="181"/>
      <c r="G595" s="181"/>
      <c r="K595" s="182">
        <v>594</v>
      </c>
      <c r="L595" s="182" t="str">
        <f t="shared" si="108"/>
        <v/>
      </c>
      <c r="M595" s="182" t="str">
        <f t="shared" si="109"/>
        <v/>
      </c>
      <c r="N595" s="182" t="str">
        <f t="shared" si="110"/>
        <v/>
      </c>
      <c r="O595" s="182" t="str">
        <f t="shared" si="111"/>
        <v/>
      </c>
      <c r="P595" s="182" t="str">
        <f t="shared" si="112"/>
        <v/>
      </c>
      <c r="Q595" s="182" t="str">
        <f t="shared" si="113"/>
        <v/>
      </c>
      <c r="R595" s="182" t="str">
        <f t="shared" si="114"/>
        <v/>
      </c>
      <c r="S595" s="182" t="str">
        <f t="shared" si="115"/>
        <v/>
      </c>
      <c r="T595" s="182" t="str">
        <f t="shared" si="116"/>
        <v/>
      </c>
      <c r="U595" s="182" t="str">
        <f t="shared" si="117"/>
        <v/>
      </c>
      <c r="V595" s="182" t="str">
        <f t="shared" si="118"/>
        <v/>
      </c>
      <c r="W595" s="182" t="str">
        <f t="shared" si="119"/>
        <v/>
      </c>
    </row>
    <row r="596" spans="1:23" x14ac:dyDescent="0.2">
      <c r="A596" s="181"/>
      <c r="B596" s="181"/>
      <c r="C596" s="181"/>
      <c r="D596" s="181"/>
      <c r="E596" s="181"/>
      <c r="F596" s="181"/>
      <c r="G596" s="181"/>
      <c r="K596" s="182">
        <v>595</v>
      </c>
      <c r="L596" s="182" t="str">
        <f t="shared" si="108"/>
        <v/>
      </c>
      <c r="M596" s="182" t="str">
        <f t="shared" si="109"/>
        <v/>
      </c>
      <c r="N596" s="182" t="str">
        <f t="shared" si="110"/>
        <v/>
      </c>
      <c r="O596" s="182" t="str">
        <f t="shared" si="111"/>
        <v/>
      </c>
      <c r="P596" s="182" t="str">
        <f t="shared" si="112"/>
        <v/>
      </c>
      <c r="Q596" s="182" t="str">
        <f t="shared" si="113"/>
        <v/>
      </c>
      <c r="R596" s="182" t="str">
        <f t="shared" si="114"/>
        <v/>
      </c>
      <c r="S596" s="182" t="str">
        <f t="shared" si="115"/>
        <v/>
      </c>
      <c r="T596" s="182" t="str">
        <f t="shared" si="116"/>
        <v/>
      </c>
      <c r="U596" s="182" t="str">
        <f t="shared" si="117"/>
        <v/>
      </c>
      <c r="V596" s="182" t="str">
        <f t="shared" si="118"/>
        <v/>
      </c>
      <c r="W596" s="182" t="str">
        <f t="shared" si="119"/>
        <v/>
      </c>
    </row>
    <row r="597" spans="1:23" x14ac:dyDescent="0.2">
      <c r="A597" s="181"/>
      <c r="B597" s="181"/>
      <c r="C597" s="181"/>
      <c r="D597" s="181"/>
      <c r="E597" s="181"/>
      <c r="F597" s="181"/>
      <c r="G597" s="181"/>
      <c r="K597" s="182">
        <v>596</v>
      </c>
      <c r="L597" s="182" t="str">
        <f t="shared" si="108"/>
        <v/>
      </c>
      <c r="M597" s="182" t="str">
        <f t="shared" si="109"/>
        <v/>
      </c>
      <c r="N597" s="182" t="str">
        <f t="shared" si="110"/>
        <v/>
      </c>
      <c r="O597" s="182" t="str">
        <f t="shared" si="111"/>
        <v/>
      </c>
      <c r="P597" s="182" t="str">
        <f t="shared" si="112"/>
        <v/>
      </c>
      <c r="Q597" s="182" t="str">
        <f t="shared" si="113"/>
        <v/>
      </c>
      <c r="R597" s="182" t="str">
        <f t="shared" si="114"/>
        <v/>
      </c>
      <c r="S597" s="182" t="str">
        <f t="shared" si="115"/>
        <v/>
      </c>
      <c r="T597" s="182" t="str">
        <f t="shared" si="116"/>
        <v/>
      </c>
      <c r="U597" s="182" t="str">
        <f t="shared" si="117"/>
        <v/>
      </c>
      <c r="V597" s="182" t="str">
        <f t="shared" si="118"/>
        <v/>
      </c>
      <c r="W597" s="182" t="str">
        <f t="shared" si="119"/>
        <v/>
      </c>
    </row>
    <row r="598" spans="1:23" x14ac:dyDescent="0.2">
      <c r="A598" s="181"/>
      <c r="B598" s="181"/>
      <c r="C598" s="181"/>
      <c r="D598" s="181"/>
      <c r="E598" s="181"/>
      <c r="F598" s="181"/>
      <c r="G598" s="181"/>
      <c r="K598" s="182">
        <v>597</v>
      </c>
      <c r="L598" s="182" t="str">
        <f t="shared" si="108"/>
        <v/>
      </c>
      <c r="M598" s="182" t="str">
        <f t="shared" si="109"/>
        <v/>
      </c>
      <c r="N598" s="182" t="str">
        <f t="shared" si="110"/>
        <v/>
      </c>
      <c r="O598" s="182" t="str">
        <f t="shared" si="111"/>
        <v/>
      </c>
      <c r="P598" s="182" t="str">
        <f t="shared" si="112"/>
        <v/>
      </c>
      <c r="Q598" s="182" t="str">
        <f t="shared" si="113"/>
        <v/>
      </c>
      <c r="R598" s="182" t="str">
        <f t="shared" si="114"/>
        <v/>
      </c>
      <c r="S598" s="182" t="str">
        <f t="shared" si="115"/>
        <v/>
      </c>
      <c r="T598" s="182" t="str">
        <f t="shared" si="116"/>
        <v/>
      </c>
      <c r="U598" s="182" t="str">
        <f t="shared" si="117"/>
        <v/>
      </c>
      <c r="V598" s="182" t="str">
        <f t="shared" si="118"/>
        <v/>
      </c>
      <c r="W598" s="182" t="str">
        <f t="shared" si="119"/>
        <v/>
      </c>
    </row>
    <row r="599" spans="1:23" x14ac:dyDescent="0.2">
      <c r="A599" s="181"/>
      <c r="B599" s="181"/>
      <c r="C599" s="181"/>
      <c r="D599" s="181"/>
      <c r="E599" s="181"/>
      <c r="F599" s="181"/>
      <c r="G599" s="181"/>
      <c r="K599" s="182">
        <v>598</v>
      </c>
      <c r="L599" s="182" t="str">
        <f t="shared" si="108"/>
        <v/>
      </c>
      <c r="M599" s="182" t="str">
        <f t="shared" si="109"/>
        <v/>
      </c>
      <c r="N599" s="182" t="str">
        <f t="shared" si="110"/>
        <v/>
      </c>
      <c r="O599" s="182" t="str">
        <f t="shared" si="111"/>
        <v/>
      </c>
      <c r="P599" s="182" t="str">
        <f t="shared" si="112"/>
        <v/>
      </c>
      <c r="Q599" s="182" t="str">
        <f t="shared" si="113"/>
        <v/>
      </c>
      <c r="R599" s="182" t="str">
        <f t="shared" si="114"/>
        <v/>
      </c>
      <c r="S599" s="182" t="str">
        <f t="shared" si="115"/>
        <v/>
      </c>
      <c r="T599" s="182" t="str">
        <f t="shared" si="116"/>
        <v/>
      </c>
      <c r="U599" s="182" t="str">
        <f t="shared" si="117"/>
        <v/>
      </c>
      <c r="V599" s="182" t="str">
        <f t="shared" si="118"/>
        <v/>
      </c>
      <c r="W599" s="182" t="str">
        <f t="shared" si="119"/>
        <v/>
      </c>
    </row>
    <row r="600" spans="1:23" x14ac:dyDescent="0.2">
      <c r="A600" s="181"/>
      <c r="B600" s="181"/>
      <c r="C600" s="181"/>
      <c r="D600" s="181"/>
      <c r="E600" s="181"/>
      <c r="F600" s="181"/>
      <c r="G600" s="181"/>
      <c r="K600" s="182">
        <v>599</v>
      </c>
      <c r="L600" s="182" t="str">
        <f t="shared" si="108"/>
        <v/>
      </c>
      <c r="M600" s="182" t="str">
        <f t="shared" si="109"/>
        <v/>
      </c>
      <c r="N600" s="182" t="str">
        <f t="shared" si="110"/>
        <v/>
      </c>
      <c r="O600" s="182" t="str">
        <f t="shared" si="111"/>
        <v/>
      </c>
      <c r="P600" s="182" t="str">
        <f t="shared" si="112"/>
        <v/>
      </c>
      <c r="Q600" s="182" t="str">
        <f t="shared" si="113"/>
        <v/>
      </c>
      <c r="R600" s="182" t="str">
        <f t="shared" si="114"/>
        <v/>
      </c>
      <c r="S600" s="182" t="str">
        <f t="shared" si="115"/>
        <v/>
      </c>
      <c r="T600" s="182" t="str">
        <f t="shared" si="116"/>
        <v/>
      </c>
      <c r="U600" s="182" t="str">
        <f t="shared" si="117"/>
        <v/>
      </c>
      <c r="V600" s="182" t="str">
        <f t="shared" si="118"/>
        <v/>
      </c>
      <c r="W600" s="182" t="str">
        <f t="shared" si="119"/>
        <v/>
      </c>
    </row>
    <row r="601" spans="1:23" x14ac:dyDescent="0.2">
      <c r="A601" s="181"/>
      <c r="B601" s="181"/>
      <c r="C601" s="181"/>
      <c r="D601" s="181"/>
      <c r="E601" s="181"/>
      <c r="F601" s="181"/>
      <c r="G601" s="181"/>
      <c r="K601" s="182">
        <v>600</v>
      </c>
      <c r="L601" s="182" t="str">
        <f t="shared" si="108"/>
        <v/>
      </c>
      <c r="M601" s="182" t="str">
        <f t="shared" si="109"/>
        <v/>
      </c>
      <c r="N601" s="182" t="str">
        <f t="shared" si="110"/>
        <v/>
      </c>
      <c r="O601" s="182" t="str">
        <f t="shared" si="111"/>
        <v/>
      </c>
      <c r="P601" s="182" t="str">
        <f t="shared" si="112"/>
        <v/>
      </c>
      <c r="Q601" s="182" t="str">
        <f t="shared" si="113"/>
        <v/>
      </c>
      <c r="R601" s="182" t="str">
        <f t="shared" si="114"/>
        <v/>
      </c>
      <c r="S601" s="182" t="str">
        <f t="shared" si="115"/>
        <v/>
      </c>
      <c r="T601" s="182" t="str">
        <f t="shared" si="116"/>
        <v/>
      </c>
      <c r="U601" s="182" t="str">
        <f t="shared" si="117"/>
        <v/>
      </c>
      <c r="V601" s="182" t="str">
        <f t="shared" si="118"/>
        <v/>
      </c>
      <c r="W601" s="182" t="str">
        <f t="shared" si="119"/>
        <v/>
      </c>
    </row>
    <row r="602" spans="1:23" x14ac:dyDescent="0.2">
      <c r="A602" s="181"/>
      <c r="B602" s="181"/>
      <c r="C602" s="181"/>
      <c r="D602" s="181"/>
      <c r="E602" s="181"/>
      <c r="F602" s="181"/>
      <c r="G602" s="181"/>
      <c r="K602" s="182">
        <v>601</v>
      </c>
      <c r="L602" s="182" t="str">
        <f t="shared" si="108"/>
        <v/>
      </c>
      <c r="M602" s="182" t="str">
        <f t="shared" si="109"/>
        <v/>
      </c>
      <c r="N602" s="182" t="str">
        <f t="shared" si="110"/>
        <v/>
      </c>
      <c r="O602" s="182" t="str">
        <f t="shared" si="111"/>
        <v/>
      </c>
      <c r="P602" s="182" t="str">
        <f t="shared" si="112"/>
        <v/>
      </c>
      <c r="Q602" s="182" t="str">
        <f t="shared" si="113"/>
        <v/>
      </c>
      <c r="R602" s="182" t="str">
        <f t="shared" si="114"/>
        <v/>
      </c>
      <c r="S602" s="182" t="str">
        <f t="shared" si="115"/>
        <v/>
      </c>
      <c r="T602" s="182" t="str">
        <f t="shared" si="116"/>
        <v/>
      </c>
      <c r="U602" s="182" t="str">
        <f t="shared" si="117"/>
        <v/>
      </c>
      <c r="V602" s="182" t="str">
        <f t="shared" si="118"/>
        <v/>
      </c>
      <c r="W602" s="182" t="str">
        <f t="shared" si="119"/>
        <v/>
      </c>
    </row>
    <row r="603" spans="1:23" x14ac:dyDescent="0.2">
      <c r="A603" s="181"/>
      <c r="B603" s="181"/>
      <c r="C603" s="181"/>
      <c r="D603" s="181"/>
      <c r="E603" s="181"/>
      <c r="F603" s="181"/>
      <c r="G603" s="181"/>
      <c r="K603" s="182">
        <v>602</v>
      </c>
      <c r="L603" s="182" t="str">
        <f t="shared" si="108"/>
        <v/>
      </c>
      <c r="M603" s="182" t="str">
        <f t="shared" si="109"/>
        <v/>
      </c>
      <c r="N603" s="182" t="str">
        <f t="shared" si="110"/>
        <v/>
      </c>
      <c r="O603" s="182" t="str">
        <f t="shared" si="111"/>
        <v/>
      </c>
      <c r="P603" s="182" t="str">
        <f t="shared" si="112"/>
        <v/>
      </c>
      <c r="Q603" s="182" t="str">
        <f t="shared" si="113"/>
        <v/>
      </c>
      <c r="R603" s="182" t="str">
        <f t="shared" si="114"/>
        <v/>
      </c>
      <c r="S603" s="182" t="str">
        <f t="shared" si="115"/>
        <v/>
      </c>
      <c r="T603" s="182" t="str">
        <f t="shared" si="116"/>
        <v/>
      </c>
      <c r="U603" s="182" t="str">
        <f t="shared" si="117"/>
        <v/>
      </c>
      <c r="V603" s="182" t="str">
        <f t="shared" si="118"/>
        <v/>
      </c>
      <c r="W603" s="182" t="str">
        <f t="shared" si="119"/>
        <v/>
      </c>
    </row>
    <row r="604" spans="1:23" x14ac:dyDescent="0.2">
      <c r="A604" s="181"/>
      <c r="B604" s="181"/>
      <c r="C604" s="181"/>
      <c r="D604" s="181"/>
      <c r="E604" s="181"/>
      <c r="F604" s="181"/>
      <c r="G604" s="181"/>
      <c r="K604" s="182">
        <v>603</v>
      </c>
      <c r="L604" s="182" t="str">
        <f t="shared" si="108"/>
        <v/>
      </c>
      <c r="M604" s="182" t="str">
        <f t="shared" si="109"/>
        <v/>
      </c>
      <c r="N604" s="182" t="str">
        <f t="shared" si="110"/>
        <v/>
      </c>
      <c r="O604" s="182" t="str">
        <f t="shared" si="111"/>
        <v/>
      </c>
      <c r="P604" s="182" t="str">
        <f t="shared" si="112"/>
        <v/>
      </c>
      <c r="Q604" s="182" t="str">
        <f t="shared" si="113"/>
        <v/>
      </c>
      <c r="R604" s="182" t="str">
        <f t="shared" si="114"/>
        <v/>
      </c>
      <c r="S604" s="182" t="str">
        <f t="shared" si="115"/>
        <v/>
      </c>
      <c r="T604" s="182" t="str">
        <f t="shared" si="116"/>
        <v/>
      </c>
      <c r="U604" s="182" t="str">
        <f t="shared" si="117"/>
        <v/>
      </c>
      <c r="V604" s="182" t="str">
        <f t="shared" si="118"/>
        <v/>
      </c>
      <c r="W604" s="182" t="str">
        <f t="shared" si="119"/>
        <v/>
      </c>
    </row>
    <row r="605" spans="1:23" x14ac:dyDescent="0.2">
      <c r="A605" s="181"/>
      <c r="B605" s="181"/>
      <c r="C605" s="181"/>
      <c r="D605" s="181"/>
      <c r="E605" s="181"/>
      <c r="F605" s="181"/>
      <c r="G605" s="181"/>
      <c r="K605" s="182">
        <v>604</v>
      </c>
      <c r="L605" s="182" t="str">
        <f t="shared" si="108"/>
        <v/>
      </c>
      <c r="M605" s="182" t="str">
        <f t="shared" si="109"/>
        <v/>
      </c>
      <c r="N605" s="182" t="str">
        <f t="shared" si="110"/>
        <v/>
      </c>
      <c r="O605" s="182" t="str">
        <f t="shared" si="111"/>
        <v/>
      </c>
      <c r="P605" s="182" t="str">
        <f t="shared" si="112"/>
        <v/>
      </c>
      <c r="Q605" s="182" t="str">
        <f t="shared" si="113"/>
        <v/>
      </c>
      <c r="R605" s="182" t="str">
        <f t="shared" si="114"/>
        <v/>
      </c>
      <c r="S605" s="182" t="str">
        <f t="shared" si="115"/>
        <v/>
      </c>
      <c r="T605" s="182" t="str">
        <f t="shared" si="116"/>
        <v/>
      </c>
      <c r="U605" s="182" t="str">
        <f t="shared" si="117"/>
        <v/>
      </c>
      <c r="V605" s="182" t="str">
        <f t="shared" si="118"/>
        <v/>
      </c>
      <c r="W605" s="182" t="str">
        <f t="shared" si="119"/>
        <v/>
      </c>
    </row>
    <row r="606" spans="1:23" x14ac:dyDescent="0.2">
      <c r="A606" s="181"/>
      <c r="B606" s="181"/>
      <c r="C606" s="181"/>
      <c r="D606" s="181"/>
      <c r="E606" s="181"/>
      <c r="F606" s="181"/>
      <c r="G606" s="181"/>
      <c r="K606" s="182">
        <v>605</v>
      </c>
      <c r="L606" s="182" t="str">
        <f t="shared" si="108"/>
        <v/>
      </c>
      <c r="M606" s="182" t="str">
        <f t="shared" si="109"/>
        <v/>
      </c>
      <c r="N606" s="182" t="str">
        <f t="shared" si="110"/>
        <v/>
      </c>
      <c r="O606" s="182" t="str">
        <f t="shared" si="111"/>
        <v/>
      </c>
      <c r="P606" s="182" t="str">
        <f t="shared" si="112"/>
        <v/>
      </c>
      <c r="Q606" s="182" t="str">
        <f t="shared" si="113"/>
        <v/>
      </c>
      <c r="R606" s="182" t="str">
        <f t="shared" si="114"/>
        <v/>
      </c>
      <c r="S606" s="182" t="str">
        <f t="shared" si="115"/>
        <v/>
      </c>
      <c r="T606" s="182" t="str">
        <f t="shared" si="116"/>
        <v/>
      </c>
      <c r="U606" s="182" t="str">
        <f t="shared" si="117"/>
        <v/>
      </c>
      <c r="V606" s="182" t="str">
        <f t="shared" si="118"/>
        <v/>
      </c>
      <c r="W606" s="182" t="str">
        <f t="shared" si="119"/>
        <v/>
      </c>
    </row>
    <row r="607" spans="1:23" x14ac:dyDescent="0.2">
      <c r="A607" s="181"/>
      <c r="B607" s="181"/>
      <c r="C607" s="181"/>
      <c r="D607" s="181"/>
      <c r="E607" s="181"/>
      <c r="F607" s="181"/>
      <c r="G607" s="181"/>
      <c r="K607" s="182">
        <v>606</v>
      </c>
      <c r="L607" s="182" t="str">
        <f t="shared" si="108"/>
        <v/>
      </c>
      <c r="M607" s="182" t="str">
        <f t="shared" si="109"/>
        <v/>
      </c>
      <c r="N607" s="182" t="str">
        <f t="shared" si="110"/>
        <v/>
      </c>
      <c r="O607" s="182" t="str">
        <f t="shared" si="111"/>
        <v/>
      </c>
      <c r="P607" s="182" t="str">
        <f t="shared" si="112"/>
        <v/>
      </c>
      <c r="Q607" s="182" t="str">
        <f t="shared" si="113"/>
        <v/>
      </c>
      <c r="R607" s="182" t="str">
        <f t="shared" si="114"/>
        <v/>
      </c>
      <c r="S607" s="182" t="str">
        <f t="shared" si="115"/>
        <v/>
      </c>
      <c r="T607" s="182" t="str">
        <f t="shared" si="116"/>
        <v/>
      </c>
      <c r="U607" s="182" t="str">
        <f t="shared" si="117"/>
        <v/>
      </c>
      <c r="V607" s="182" t="str">
        <f t="shared" si="118"/>
        <v/>
      </c>
      <c r="W607" s="182" t="str">
        <f t="shared" si="119"/>
        <v/>
      </c>
    </row>
    <row r="608" spans="1:23" x14ac:dyDescent="0.2">
      <c r="A608" s="181"/>
      <c r="B608" s="181"/>
      <c r="C608" s="181"/>
      <c r="D608" s="181"/>
      <c r="E608" s="181"/>
      <c r="F608" s="181"/>
      <c r="G608" s="181"/>
      <c r="K608" s="182">
        <v>607</v>
      </c>
      <c r="L608" s="182" t="str">
        <f t="shared" si="108"/>
        <v/>
      </c>
      <c r="M608" s="182" t="str">
        <f t="shared" si="109"/>
        <v/>
      </c>
      <c r="N608" s="182" t="str">
        <f t="shared" si="110"/>
        <v/>
      </c>
      <c r="O608" s="182" t="str">
        <f t="shared" si="111"/>
        <v/>
      </c>
      <c r="P608" s="182" t="str">
        <f t="shared" si="112"/>
        <v/>
      </c>
      <c r="Q608" s="182" t="str">
        <f t="shared" si="113"/>
        <v/>
      </c>
      <c r="R608" s="182" t="str">
        <f t="shared" si="114"/>
        <v/>
      </c>
      <c r="S608" s="182" t="str">
        <f t="shared" si="115"/>
        <v/>
      </c>
      <c r="T608" s="182" t="str">
        <f t="shared" si="116"/>
        <v/>
      </c>
      <c r="U608" s="182" t="str">
        <f t="shared" si="117"/>
        <v/>
      </c>
      <c r="V608" s="182" t="str">
        <f t="shared" si="118"/>
        <v/>
      </c>
      <c r="W608" s="182" t="str">
        <f t="shared" si="119"/>
        <v/>
      </c>
    </row>
    <row r="609" spans="1:23" x14ac:dyDescent="0.2">
      <c r="A609" s="181"/>
      <c r="B609" s="181"/>
      <c r="C609" s="181"/>
      <c r="D609" s="181"/>
      <c r="E609" s="181"/>
      <c r="F609" s="181"/>
      <c r="G609" s="181"/>
      <c r="K609" s="182">
        <v>608</v>
      </c>
      <c r="L609" s="182" t="str">
        <f t="shared" si="108"/>
        <v/>
      </c>
      <c r="M609" s="182" t="str">
        <f t="shared" si="109"/>
        <v/>
      </c>
      <c r="N609" s="182" t="str">
        <f t="shared" si="110"/>
        <v/>
      </c>
      <c r="O609" s="182" t="str">
        <f t="shared" si="111"/>
        <v/>
      </c>
      <c r="P609" s="182" t="str">
        <f t="shared" si="112"/>
        <v/>
      </c>
      <c r="Q609" s="182" t="str">
        <f t="shared" si="113"/>
        <v/>
      </c>
      <c r="R609" s="182" t="str">
        <f t="shared" si="114"/>
        <v/>
      </c>
      <c r="S609" s="182" t="str">
        <f t="shared" si="115"/>
        <v/>
      </c>
      <c r="T609" s="182" t="str">
        <f t="shared" si="116"/>
        <v/>
      </c>
      <c r="U609" s="182" t="str">
        <f t="shared" si="117"/>
        <v/>
      </c>
      <c r="V609" s="182" t="str">
        <f t="shared" si="118"/>
        <v/>
      </c>
      <c r="W609" s="182" t="str">
        <f t="shared" si="119"/>
        <v/>
      </c>
    </row>
    <row r="610" spans="1:23" x14ac:dyDescent="0.2">
      <c r="A610" s="181"/>
      <c r="B610" s="181"/>
      <c r="C610" s="181"/>
      <c r="D610" s="181"/>
      <c r="E610" s="181"/>
      <c r="F610" s="181"/>
      <c r="G610" s="181"/>
      <c r="K610" s="182">
        <v>609</v>
      </c>
      <c r="L610" s="182" t="str">
        <f t="shared" si="108"/>
        <v/>
      </c>
      <c r="M610" s="182" t="str">
        <f t="shared" si="109"/>
        <v/>
      </c>
      <c r="N610" s="182" t="str">
        <f t="shared" si="110"/>
        <v/>
      </c>
      <c r="O610" s="182" t="str">
        <f t="shared" si="111"/>
        <v/>
      </c>
      <c r="P610" s="182" t="str">
        <f t="shared" si="112"/>
        <v/>
      </c>
      <c r="Q610" s="182" t="str">
        <f t="shared" si="113"/>
        <v/>
      </c>
      <c r="R610" s="182" t="str">
        <f t="shared" si="114"/>
        <v/>
      </c>
      <c r="S610" s="182" t="str">
        <f t="shared" si="115"/>
        <v/>
      </c>
      <c r="T610" s="182" t="str">
        <f t="shared" si="116"/>
        <v/>
      </c>
      <c r="U610" s="182" t="str">
        <f t="shared" si="117"/>
        <v/>
      </c>
      <c r="V610" s="182" t="str">
        <f t="shared" si="118"/>
        <v/>
      </c>
      <c r="W610" s="182" t="str">
        <f t="shared" si="119"/>
        <v/>
      </c>
    </row>
    <row r="611" spans="1:23" x14ac:dyDescent="0.2">
      <c r="A611" s="181"/>
      <c r="B611" s="181"/>
      <c r="C611" s="181"/>
      <c r="D611" s="181"/>
      <c r="E611" s="181"/>
      <c r="F611" s="181"/>
      <c r="G611" s="181"/>
      <c r="K611" s="182">
        <v>610</v>
      </c>
      <c r="L611" s="182" t="str">
        <f t="shared" si="108"/>
        <v/>
      </c>
      <c r="M611" s="182" t="str">
        <f t="shared" si="109"/>
        <v/>
      </c>
      <c r="N611" s="182" t="str">
        <f t="shared" si="110"/>
        <v/>
      </c>
      <c r="O611" s="182" t="str">
        <f t="shared" si="111"/>
        <v/>
      </c>
      <c r="P611" s="182" t="str">
        <f t="shared" si="112"/>
        <v/>
      </c>
      <c r="Q611" s="182" t="str">
        <f t="shared" si="113"/>
        <v/>
      </c>
      <c r="R611" s="182" t="str">
        <f t="shared" si="114"/>
        <v/>
      </c>
      <c r="S611" s="182" t="str">
        <f t="shared" si="115"/>
        <v/>
      </c>
      <c r="T611" s="182" t="str">
        <f t="shared" si="116"/>
        <v/>
      </c>
      <c r="U611" s="182" t="str">
        <f t="shared" si="117"/>
        <v/>
      </c>
      <c r="V611" s="182" t="str">
        <f t="shared" si="118"/>
        <v/>
      </c>
      <c r="W611" s="182" t="str">
        <f t="shared" si="119"/>
        <v/>
      </c>
    </row>
    <row r="612" spans="1:23" x14ac:dyDescent="0.2">
      <c r="A612" s="181"/>
      <c r="B612" s="181"/>
      <c r="C612" s="181"/>
      <c r="D612" s="181"/>
      <c r="E612" s="181"/>
      <c r="F612" s="181"/>
      <c r="G612" s="181"/>
      <c r="K612" s="182">
        <v>611</v>
      </c>
      <c r="L612" s="182" t="str">
        <f t="shared" si="108"/>
        <v/>
      </c>
      <c r="M612" s="182" t="str">
        <f t="shared" si="109"/>
        <v/>
      </c>
      <c r="N612" s="182" t="str">
        <f t="shared" si="110"/>
        <v/>
      </c>
      <c r="O612" s="182" t="str">
        <f t="shared" si="111"/>
        <v/>
      </c>
      <c r="P612" s="182" t="str">
        <f t="shared" si="112"/>
        <v/>
      </c>
      <c r="Q612" s="182" t="str">
        <f t="shared" si="113"/>
        <v/>
      </c>
      <c r="R612" s="182" t="str">
        <f t="shared" si="114"/>
        <v/>
      </c>
      <c r="S612" s="182" t="str">
        <f t="shared" si="115"/>
        <v/>
      </c>
      <c r="T612" s="182" t="str">
        <f t="shared" si="116"/>
        <v/>
      </c>
      <c r="U612" s="182" t="str">
        <f t="shared" si="117"/>
        <v/>
      </c>
      <c r="V612" s="182" t="str">
        <f t="shared" si="118"/>
        <v/>
      </c>
      <c r="W612" s="182" t="str">
        <f t="shared" si="119"/>
        <v/>
      </c>
    </row>
    <row r="613" spans="1:23" x14ac:dyDescent="0.2">
      <c r="A613" s="181"/>
      <c r="B613" s="181"/>
      <c r="C613" s="181"/>
      <c r="D613" s="181"/>
      <c r="E613" s="181"/>
      <c r="F613" s="181"/>
      <c r="G613" s="181"/>
      <c r="K613" s="182">
        <v>612</v>
      </c>
      <c r="L613" s="182" t="str">
        <f t="shared" si="108"/>
        <v/>
      </c>
      <c r="M613" s="182" t="str">
        <f t="shared" si="109"/>
        <v/>
      </c>
      <c r="N613" s="182" t="str">
        <f t="shared" si="110"/>
        <v/>
      </c>
      <c r="O613" s="182" t="str">
        <f t="shared" si="111"/>
        <v/>
      </c>
      <c r="P613" s="182" t="str">
        <f t="shared" si="112"/>
        <v/>
      </c>
      <c r="Q613" s="182" t="str">
        <f t="shared" si="113"/>
        <v/>
      </c>
      <c r="R613" s="182" t="str">
        <f t="shared" si="114"/>
        <v/>
      </c>
      <c r="S613" s="182" t="str">
        <f t="shared" si="115"/>
        <v/>
      </c>
      <c r="T613" s="182" t="str">
        <f t="shared" si="116"/>
        <v/>
      </c>
      <c r="U613" s="182" t="str">
        <f t="shared" si="117"/>
        <v/>
      </c>
      <c r="V613" s="182" t="str">
        <f t="shared" si="118"/>
        <v/>
      </c>
      <c r="W613" s="182" t="str">
        <f t="shared" si="119"/>
        <v/>
      </c>
    </row>
    <row r="614" spans="1:23" x14ac:dyDescent="0.2">
      <c r="A614" s="181"/>
      <c r="B614" s="181"/>
      <c r="C614" s="181"/>
      <c r="D614" s="181"/>
      <c r="E614" s="181"/>
      <c r="F614" s="181"/>
      <c r="G614" s="181"/>
      <c r="K614" s="182">
        <v>613</v>
      </c>
      <c r="L614" s="182" t="str">
        <f t="shared" si="108"/>
        <v/>
      </c>
      <c r="M614" s="182" t="str">
        <f t="shared" si="109"/>
        <v/>
      </c>
      <c r="N614" s="182" t="str">
        <f t="shared" si="110"/>
        <v/>
      </c>
      <c r="O614" s="182" t="str">
        <f t="shared" si="111"/>
        <v/>
      </c>
      <c r="P614" s="182" t="str">
        <f t="shared" si="112"/>
        <v/>
      </c>
      <c r="Q614" s="182" t="str">
        <f t="shared" si="113"/>
        <v/>
      </c>
      <c r="R614" s="182" t="str">
        <f t="shared" si="114"/>
        <v/>
      </c>
      <c r="S614" s="182" t="str">
        <f t="shared" si="115"/>
        <v/>
      </c>
      <c r="T614" s="182" t="str">
        <f t="shared" si="116"/>
        <v/>
      </c>
      <c r="U614" s="182" t="str">
        <f t="shared" si="117"/>
        <v/>
      </c>
      <c r="V614" s="182" t="str">
        <f t="shared" si="118"/>
        <v/>
      </c>
      <c r="W614" s="182" t="str">
        <f t="shared" si="119"/>
        <v/>
      </c>
    </row>
    <row r="615" spans="1:23" x14ac:dyDescent="0.2">
      <c r="A615" s="181"/>
      <c r="B615" s="181"/>
      <c r="C615" s="181"/>
      <c r="D615" s="181"/>
      <c r="E615" s="181"/>
      <c r="F615" s="181"/>
      <c r="G615" s="181"/>
      <c r="K615" s="182">
        <v>614</v>
      </c>
      <c r="L615" s="182" t="str">
        <f t="shared" si="108"/>
        <v/>
      </c>
      <c r="M615" s="182" t="str">
        <f t="shared" si="109"/>
        <v/>
      </c>
      <c r="N615" s="182" t="str">
        <f t="shared" si="110"/>
        <v/>
      </c>
      <c r="O615" s="182" t="str">
        <f t="shared" si="111"/>
        <v/>
      </c>
      <c r="P615" s="182" t="str">
        <f t="shared" si="112"/>
        <v/>
      </c>
      <c r="Q615" s="182" t="str">
        <f t="shared" si="113"/>
        <v/>
      </c>
      <c r="R615" s="182" t="str">
        <f t="shared" si="114"/>
        <v/>
      </c>
      <c r="S615" s="182" t="str">
        <f t="shared" si="115"/>
        <v/>
      </c>
      <c r="T615" s="182" t="str">
        <f t="shared" si="116"/>
        <v/>
      </c>
      <c r="U615" s="182" t="str">
        <f t="shared" si="117"/>
        <v/>
      </c>
      <c r="V615" s="182" t="str">
        <f t="shared" si="118"/>
        <v/>
      </c>
      <c r="W615" s="182" t="str">
        <f t="shared" si="119"/>
        <v/>
      </c>
    </row>
    <row r="616" spans="1:23" x14ac:dyDescent="0.2">
      <c r="A616" s="181"/>
      <c r="B616" s="181"/>
      <c r="C616" s="181"/>
      <c r="D616" s="181"/>
      <c r="E616" s="181"/>
      <c r="F616" s="181"/>
      <c r="G616" s="181"/>
      <c r="K616" s="182">
        <v>615</v>
      </c>
      <c r="L616" s="182" t="str">
        <f t="shared" si="108"/>
        <v/>
      </c>
      <c r="M616" s="182" t="str">
        <f t="shared" si="109"/>
        <v/>
      </c>
      <c r="N616" s="182" t="str">
        <f t="shared" si="110"/>
        <v/>
      </c>
      <c r="O616" s="182" t="str">
        <f t="shared" si="111"/>
        <v/>
      </c>
      <c r="P616" s="182" t="str">
        <f t="shared" si="112"/>
        <v/>
      </c>
      <c r="Q616" s="182" t="str">
        <f t="shared" si="113"/>
        <v/>
      </c>
      <c r="R616" s="182" t="str">
        <f t="shared" si="114"/>
        <v/>
      </c>
      <c r="S616" s="182" t="str">
        <f t="shared" si="115"/>
        <v/>
      </c>
      <c r="T616" s="182" t="str">
        <f t="shared" si="116"/>
        <v/>
      </c>
      <c r="U616" s="182" t="str">
        <f t="shared" si="117"/>
        <v/>
      </c>
      <c r="V616" s="182" t="str">
        <f t="shared" si="118"/>
        <v/>
      </c>
      <c r="W616" s="182" t="str">
        <f t="shared" si="119"/>
        <v/>
      </c>
    </row>
    <row r="617" spans="1:23" x14ac:dyDescent="0.2">
      <c r="A617" s="181"/>
      <c r="B617" s="181"/>
      <c r="C617" s="181"/>
      <c r="D617" s="181"/>
      <c r="E617" s="181"/>
      <c r="F617" s="181"/>
      <c r="G617" s="181"/>
      <c r="K617" s="182">
        <v>616</v>
      </c>
      <c r="L617" s="182" t="str">
        <f t="shared" si="108"/>
        <v/>
      </c>
      <c r="M617" s="182" t="str">
        <f t="shared" si="109"/>
        <v/>
      </c>
      <c r="N617" s="182" t="str">
        <f t="shared" si="110"/>
        <v/>
      </c>
      <c r="O617" s="182" t="str">
        <f t="shared" si="111"/>
        <v/>
      </c>
      <c r="P617" s="182" t="str">
        <f t="shared" si="112"/>
        <v/>
      </c>
      <c r="Q617" s="182" t="str">
        <f t="shared" si="113"/>
        <v/>
      </c>
      <c r="R617" s="182" t="str">
        <f t="shared" si="114"/>
        <v/>
      </c>
      <c r="S617" s="182" t="str">
        <f t="shared" si="115"/>
        <v/>
      </c>
      <c r="T617" s="182" t="str">
        <f t="shared" si="116"/>
        <v/>
      </c>
      <c r="U617" s="182" t="str">
        <f t="shared" si="117"/>
        <v/>
      </c>
      <c r="V617" s="182" t="str">
        <f t="shared" si="118"/>
        <v/>
      </c>
      <c r="W617" s="182" t="str">
        <f t="shared" si="119"/>
        <v/>
      </c>
    </row>
    <row r="618" spans="1:23" x14ac:dyDescent="0.2">
      <c r="A618" s="181"/>
      <c r="B618" s="181"/>
      <c r="C618" s="181"/>
      <c r="D618" s="181"/>
      <c r="E618" s="181"/>
      <c r="F618" s="181"/>
      <c r="G618" s="181"/>
      <c r="K618" s="182">
        <v>617</v>
      </c>
      <c r="L618" s="182" t="str">
        <f t="shared" si="108"/>
        <v/>
      </c>
      <c r="M618" s="182" t="str">
        <f t="shared" si="109"/>
        <v/>
      </c>
      <c r="N618" s="182" t="str">
        <f t="shared" si="110"/>
        <v/>
      </c>
      <c r="O618" s="182" t="str">
        <f t="shared" si="111"/>
        <v/>
      </c>
      <c r="P618" s="182" t="str">
        <f t="shared" si="112"/>
        <v/>
      </c>
      <c r="Q618" s="182" t="str">
        <f t="shared" si="113"/>
        <v/>
      </c>
      <c r="R618" s="182" t="str">
        <f t="shared" si="114"/>
        <v/>
      </c>
      <c r="S618" s="182" t="str">
        <f t="shared" si="115"/>
        <v/>
      </c>
      <c r="T618" s="182" t="str">
        <f t="shared" si="116"/>
        <v/>
      </c>
      <c r="U618" s="182" t="str">
        <f t="shared" si="117"/>
        <v/>
      </c>
      <c r="V618" s="182" t="str">
        <f t="shared" si="118"/>
        <v/>
      </c>
      <c r="W618" s="182" t="str">
        <f t="shared" si="119"/>
        <v/>
      </c>
    </row>
    <row r="619" spans="1:23" x14ac:dyDescent="0.2">
      <c r="A619" s="181"/>
      <c r="B619" s="181"/>
      <c r="C619" s="181"/>
      <c r="D619" s="181"/>
      <c r="E619" s="181"/>
      <c r="F619" s="181"/>
      <c r="G619" s="181"/>
      <c r="K619" s="182">
        <v>618</v>
      </c>
      <c r="L619" s="182" t="str">
        <f t="shared" si="108"/>
        <v/>
      </c>
      <c r="M619" s="182" t="str">
        <f t="shared" si="109"/>
        <v/>
      </c>
      <c r="N619" s="182" t="str">
        <f t="shared" si="110"/>
        <v/>
      </c>
      <c r="O619" s="182" t="str">
        <f t="shared" si="111"/>
        <v/>
      </c>
      <c r="P619" s="182" t="str">
        <f t="shared" si="112"/>
        <v/>
      </c>
      <c r="Q619" s="182" t="str">
        <f t="shared" si="113"/>
        <v/>
      </c>
      <c r="R619" s="182" t="str">
        <f t="shared" si="114"/>
        <v/>
      </c>
      <c r="S619" s="182" t="str">
        <f t="shared" si="115"/>
        <v/>
      </c>
      <c r="T619" s="182" t="str">
        <f t="shared" si="116"/>
        <v/>
      </c>
      <c r="U619" s="182" t="str">
        <f t="shared" si="117"/>
        <v/>
      </c>
      <c r="V619" s="182" t="str">
        <f t="shared" si="118"/>
        <v/>
      </c>
      <c r="W619" s="182" t="str">
        <f t="shared" si="119"/>
        <v/>
      </c>
    </row>
    <row r="620" spans="1:23" x14ac:dyDescent="0.2">
      <c r="A620" s="181"/>
      <c r="B620" s="181"/>
      <c r="C620" s="181"/>
      <c r="D620" s="181"/>
      <c r="E620" s="181"/>
      <c r="F620" s="181"/>
      <c r="G620" s="181"/>
      <c r="K620" s="182">
        <v>619</v>
      </c>
      <c r="L620" s="182" t="str">
        <f t="shared" si="108"/>
        <v/>
      </c>
      <c r="M620" s="182" t="str">
        <f t="shared" si="109"/>
        <v/>
      </c>
      <c r="N620" s="182" t="str">
        <f t="shared" si="110"/>
        <v/>
      </c>
      <c r="O620" s="182" t="str">
        <f t="shared" si="111"/>
        <v/>
      </c>
      <c r="P620" s="182" t="str">
        <f t="shared" si="112"/>
        <v/>
      </c>
      <c r="Q620" s="182" t="str">
        <f t="shared" si="113"/>
        <v/>
      </c>
      <c r="R620" s="182" t="str">
        <f t="shared" si="114"/>
        <v/>
      </c>
      <c r="S620" s="182" t="str">
        <f t="shared" si="115"/>
        <v/>
      </c>
      <c r="T620" s="182" t="str">
        <f t="shared" si="116"/>
        <v/>
      </c>
      <c r="U620" s="182" t="str">
        <f t="shared" si="117"/>
        <v/>
      </c>
      <c r="V620" s="182" t="str">
        <f t="shared" si="118"/>
        <v/>
      </c>
      <c r="W620" s="182" t="str">
        <f t="shared" si="119"/>
        <v/>
      </c>
    </row>
    <row r="621" spans="1:23" x14ac:dyDescent="0.2">
      <c r="A621" s="181"/>
      <c r="B621" s="181"/>
      <c r="C621" s="181"/>
      <c r="D621" s="181"/>
      <c r="E621" s="181"/>
      <c r="F621" s="181"/>
      <c r="G621" s="181"/>
      <c r="K621" s="182">
        <v>620</v>
      </c>
      <c r="L621" s="182" t="str">
        <f t="shared" si="108"/>
        <v/>
      </c>
      <c r="M621" s="182" t="str">
        <f t="shared" si="109"/>
        <v/>
      </c>
      <c r="N621" s="182" t="str">
        <f t="shared" si="110"/>
        <v/>
      </c>
      <c r="O621" s="182" t="str">
        <f t="shared" si="111"/>
        <v/>
      </c>
      <c r="P621" s="182" t="str">
        <f t="shared" si="112"/>
        <v/>
      </c>
      <c r="Q621" s="182" t="str">
        <f t="shared" si="113"/>
        <v/>
      </c>
      <c r="R621" s="182" t="str">
        <f t="shared" si="114"/>
        <v/>
      </c>
      <c r="S621" s="182" t="str">
        <f t="shared" si="115"/>
        <v/>
      </c>
      <c r="T621" s="182" t="str">
        <f t="shared" si="116"/>
        <v/>
      </c>
      <c r="U621" s="182" t="str">
        <f t="shared" si="117"/>
        <v/>
      </c>
      <c r="V621" s="182" t="str">
        <f t="shared" si="118"/>
        <v/>
      </c>
      <c r="W621" s="182" t="str">
        <f t="shared" si="119"/>
        <v/>
      </c>
    </row>
    <row r="622" spans="1:23" x14ac:dyDescent="0.2">
      <c r="A622" s="181"/>
      <c r="B622" s="181"/>
      <c r="C622" s="181"/>
      <c r="D622" s="181"/>
      <c r="E622" s="181"/>
      <c r="F622" s="181"/>
      <c r="G622" s="181"/>
      <c r="K622" s="182">
        <v>621</v>
      </c>
      <c r="L622" s="182" t="str">
        <f t="shared" si="108"/>
        <v/>
      </c>
      <c r="M622" s="182" t="str">
        <f t="shared" si="109"/>
        <v/>
      </c>
      <c r="N622" s="182" t="str">
        <f t="shared" si="110"/>
        <v/>
      </c>
      <c r="O622" s="182" t="str">
        <f t="shared" si="111"/>
        <v/>
      </c>
      <c r="P622" s="182" t="str">
        <f t="shared" si="112"/>
        <v/>
      </c>
      <c r="Q622" s="182" t="str">
        <f t="shared" si="113"/>
        <v/>
      </c>
      <c r="R622" s="182" t="str">
        <f t="shared" si="114"/>
        <v/>
      </c>
      <c r="S622" s="182" t="str">
        <f t="shared" si="115"/>
        <v/>
      </c>
      <c r="T622" s="182" t="str">
        <f t="shared" si="116"/>
        <v/>
      </c>
      <c r="U622" s="182" t="str">
        <f t="shared" si="117"/>
        <v/>
      </c>
      <c r="V622" s="182" t="str">
        <f t="shared" si="118"/>
        <v/>
      </c>
      <c r="W622" s="182" t="str">
        <f t="shared" si="119"/>
        <v/>
      </c>
    </row>
    <row r="623" spans="1:23" x14ac:dyDescent="0.2">
      <c r="A623" s="181"/>
      <c r="B623" s="181"/>
      <c r="C623" s="181"/>
      <c r="D623" s="181"/>
      <c r="E623" s="181"/>
      <c r="F623" s="181"/>
      <c r="G623" s="181"/>
      <c r="K623" s="182">
        <v>622</v>
      </c>
      <c r="L623" s="182" t="str">
        <f t="shared" si="108"/>
        <v/>
      </c>
      <c r="M623" s="182" t="str">
        <f t="shared" si="109"/>
        <v/>
      </c>
      <c r="N623" s="182" t="str">
        <f t="shared" si="110"/>
        <v/>
      </c>
      <c r="O623" s="182" t="str">
        <f t="shared" si="111"/>
        <v/>
      </c>
      <c r="P623" s="182" t="str">
        <f t="shared" si="112"/>
        <v/>
      </c>
      <c r="Q623" s="182" t="str">
        <f t="shared" si="113"/>
        <v/>
      </c>
      <c r="R623" s="182" t="str">
        <f t="shared" si="114"/>
        <v/>
      </c>
      <c r="S623" s="182" t="str">
        <f t="shared" si="115"/>
        <v/>
      </c>
      <c r="T623" s="182" t="str">
        <f t="shared" si="116"/>
        <v/>
      </c>
      <c r="U623" s="182" t="str">
        <f t="shared" si="117"/>
        <v/>
      </c>
      <c r="V623" s="182" t="str">
        <f t="shared" si="118"/>
        <v/>
      </c>
      <c r="W623" s="182" t="str">
        <f t="shared" si="119"/>
        <v/>
      </c>
    </row>
    <row r="624" spans="1:23" x14ac:dyDescent="0.2">
      <c r="A624" s="181"/>
      <c r="B624" s="181"/>
      <c r="C624" s="181"/>
      <c r="D624" s="181"/>
      <c r="E624" s="181"/>
      <c r="F624" s="181"/>
      <c r="G624" s="181"/>
      <c r="K624" s="182">
        <v>623</v>
      </c>
      <c r="L624" s="182" t="str">
        <f t="shared" si="108"/>
        <v/>
      </c>
      <c r="M624" s="182" t="str">
        <f t="shared" si="109"/>
        <v/>
      </c>
      <c r="N624" s="182" t="str">
        <f t="shared" si="110"/>
        <v/>
      </c>
      <c r="O624" s="182" t="str">
        <f t="shared" si="111"/>
        <v/>
      </c>
      <c r="P624" s="182" t="str">
        <f t="shared" si="112"/>
        <v/>
      </c>
      <c r="Q624" s="182" t="str">
        <f t="shared" si="113"/>
        <v/>
      </c>
      <c r="R624" s="182" t="str">
        <f t="shared" si="114"/>
        <v/>
      </c>
      <c r="S624" s="182" t="str">
        <f t="shared" si="115"/>
        <v/>
      </c>
      <c r="T624" s="182" t="str">
        <f t="shared" si="116"/>
        <v/>
      </c>
      <c r="U624" s="182" t="str">
        <f t="shared" si="117"/>
        <v/>
      </c>
      <c r="V624" s="182" t="str">
        <f t="shared" si="118"/>
        <v/>
      </c>
      <c r="W624" s="182" t="str">
        <f t="shared" si="119"/>
        <v/>
      </c>
    </row>
    <row r="625" spans="1:23" x14ac:dyDescent="0.2">
      <c r="A625" s="181"/>
      <c r="B625" s="181"/>
      <c r="C625" s="181"/>
      <c r="D625" s="181"/>
      <c r="E625" s="181"/>
      <c r="F625" s="181"/>
      <c r="G625" s="181"/>
      <c r="K625" s="182">
        <v>624</v>
      </c>
      <c r="L625" s="182" t="str">
        <f t="shared" si="108"/>
        <v/>
      </c>
      <c r="M625" s="182" t="str">
        <f t="shared" si="109"/>
        <v/>
      </c>
      <c r="N625" s="182" t="str">
        <f t="shared" si="110"/>
        <v/>
      </c>
      <c r="O625" s="182" t="str">
        <f t="shared" si="111"/>
        <v/>
      </c>
      <c r="P625" s="182" t="str">
        <f t="shared" si="112"/>
        <v/>
      </c>
      <c r="Q625" s="182" t="str">
        <f t="shared" si="113"/>
        <v/>
      </c>
      <c r="R625" s="182" t="str">
        <f t="shared" si="114"/>
        <v/>
      </c>
      <c r="S625" s="182" t="str">
        <f t="shared" si="115"/>
        <v/>
      </c>
      <c r="T625" s="182" t="str">
        <f t="shared" si="116"/>
        <v/>
      </c>
      <c r="U625" s="182" t="str">
        <f t="shared" si="117"/>
        <v/>
      </c>
      <c r="V625" s="182" t="str">
        <f t="shared" si="118"/>
        <v/>
      </c>
      <c r="W625" s="182" t="str">
        <f t="shared" si="119"/>
        <v/>
      </c>
    </row>
    <row r="626" spans="1:23" x14ac:dyDescent="0.2">
      <c r="A626" s="181"/>
      <c r="B626" s="181"/>
      <c r="C626" s="181"/>
      <c r="D626" s="181"/>
      <c r="E626" s="181"/>
      <c r="F626" s="181"/>
      <c r="G626" s="181"/>
      <c r="K626" s="182">
        <v>625</v>
      </c>
      <c r="L626" s="182" t="str">
        <f t="shared" si="108"/>
        <v/>
      </c>
      <c r="M626" s="182" t="str">
        <f t="shared" si="109"/>
        <v/>
      </c>
      <c r="N626" s="182" t="str">
        <f t="shared" si="110"/>
        <v/>
      </c>
      <c r="O626" s="182" t="str">
        <f t="shared" si="111"/>
        <v/>
      </c>
      <c r="P626" s="182" t="str">
        <f t="shared" si="112"/>
        <v/>
      </c>
      <c r="Q626" s="182" t="str">
        <f t="shared" si="113"/>
        <v/>
      </c>
      <c r="R626" s="182" t="str">
        <f t="shared" si="114"/>
        <v/>
      </c>
      <c r="S626" s="182" t="str">
        <f t="shared" si="115"/>
        <v/>
      </c>
      <c r="T626" s="182" t="str">
        <f t="shared" si="116"/>
        <v/>
      </c>
      <c r="U626" s="182" t="str">
        <f t="shared" si="117"/>
        <v/>
      </c>
      <c r="V626" s="182" t="str">
        <f t="shared" si="118"/>
        <v/>
      </c>
      <c r="W626" s="182" t="str">
        <f t="shared" si="119"/>
        <v/>
      </c>
    </row>
    <row r="627" spans="1:23" x14ac:dyDescent="0.2">
      <c r="A627" s="181"/>
      <c r="B627" s="181"/>
      <c r="C627" s="181"/>
      <c r="D627" s="181"/>
      <c r="E627" s="181"/>
      <c r="F627" s="181"/>
      <c r="G627" s="181"/>
      <c r="K627" s="182">
        <v>626</v>
      </c>
      <c r="L627" s="182" t="str">
        <f t="shared" si="108"/>
        <v/>
      </c>
      <c r="M627" s="182" t="str">
        <f t="shared" si="109"/>
        <v/>
      </c>
      <c r="N627" s="182" t="str">
        <f t="shared" si="110"/>
        <v/>
      </c>
      <c r="O627" s="182" t="str">
        <f t="shared" si="111"/>
        <v/>
      </c>
      <c r="P627" s="182" t="str">
        <f t="shared" si="112"/>
        <v/>
      </c>
      <c r="Q627" s="182" t="str">
        <f t="shared" si="113"/>
        <v/>
      </c>
      <c r="R627" s="182" t="str">
        <f t="shared" si="114"/>
        <v/>
      </c>
      <c r="S627" s="182" t="str">
        <f t="shared" si="115"/>
        <v/>
      </c>
      <c r="T627" s="182" t="str">
        <f t="shared" si="116"/>
        <v/>
      </c>
      <c r="U627" s="182" t="str">
        <f t="shared" si="117"/>
        <v/>
      </c>
      <c r="V627" s="182" t="str">
        <f t="shared" si="118"/>
        <v/>
      </c>
      <c r="W627" s="182" t="str">
        <f t="shared" si="119"/>
        <v/>
      </c>
    </row>
    <row r="628" spans="1:23" x14ac:dyDescent="0.2">
      <c r="A628" s="181"/>
      <c r="B628" s="181"/>
      <c r="C628" s="181"/>
      <c r="D628" s="181"/>
      <c r="E628" s="181"/>
      <c r="F628" s="181"/>
      <c r="G628" s="181"/>
      <c r="K628" s="182">
        <v>627</v>
      </c>
      <c r="L628" s="182" t="str">
        <f t="shared" si="108"/>
        <v/>
      </c>
      <c r="M628" s="182" t="str">
        <f t="shared" si="109"/>
        <v/>
      </c>
      <c r="N628" s="182" t="str">
        <f t="shared" si="110"/>
        <v/>
      </c>
      <c r="O628" s="182" t="str">
        <f t="shared" si="111"/>
        <v/>
      </c>
      <c r="P628" s="182" t="str">
        <f t="shared" si="112"/>
        <v/>
      </c>
      <c r="Q628" s="182" t="str">
        <f t="shared" si="113"/>
        <v/>
      </c>
      <c r="R628" s="182" t="str">
        <f t="shared" si="114"/>
        <v/>
      </c>
      <c r="S628" s="182" t="str">
        <f t="shared" si="115"/>
        <v/>
      </c>
      <c r="T628" s="182" t="str">
        <f t="shared" si="116"/>
        <v/>
      </c>
      <c r="U628" s="182" t="str">
        <f t="shared" si="117"/>
        <v/>
      </c>
      <c r="V628" s="182" t="str">
        <f t="shared" si="118"/>
        <v/>
      </c>
      <c r="W628" s="182" t="str">
        <f t="shared" si="119"/>
        <v/>
      </c>
    </row>
    <row r="629" spans="1:23" x14ac:dyDescent="0.2">
      <c r="A629" s="181"/>
      <c r="B629" s="181"/>
      <c r="C629" s="181"/>
      <c r="D629" s="181"/>
      <c r="E629" s="181"/>
      <c r="F629" s="181"/>
      <c r="G629" s="181"/>
      <c r="K629" s="182">
        <v>628</v>
      </c>
      <c r="L629" s="182" t="str">
        <f t="shared" si="108"/>
        <v/>
      </c>
      <c r="M629" s="182" t="str">
        <f t="shared" si="109"/>
        <v/>
      </c>
      <c r="N629" s="182" t="str">
        <f t="shared" si="110"/>
        <v/>
      </c>
      <c r="O629" s="182" t="str">
        <f t="shared" si="111"/>
        <v/>
      </c>
      <c r="P629" s="182" t="str">
        <f t="shared" si="112"/>
        <v/>
      </c>
      <c r="Q629" s="182" t="str">
        <f t="shared" si="113"/>
        <v/>
      </c>
      <c r="R629" s="182" t="str">
        <f t="shared" si="114"/>
        <v/>
      </c>
      <c r="S629" s="182" t="str">
        <f t="shared" si="115"/>
        <v/>
      </c>
      <c r="T629" s="182" t="str">
        <f t="shared" si="116"/>
        <v/>
      </c>
      <c r="U629" s="182" t="str">
        <f t="shared" si="117"/>
        <v/>
      </c>
      <c r="V629" s="182" t="str">
        <f t="shared" si="118"/>
        <v/>
      </c>
      <c r="W629" s="182" t="str">
        <f t="shared" si="119"/>
        <v/>
      </c>
    </row>
    <row r="630" spans="1:23" x14ac:dyDescent="0.2">
      <c r="A630" s="181"/>
      <c r="B630" s="181"/>
      <c r="C630" s="181"/>
      <c r="D630" s="181"/>
      <c r="E630" s="181"/>
      <c r="F630" s="181"/>
      <c r="G630" s="181"/>
      <c r="K630" s="182">
        <v>629</v>
      </c>
      <c r="L630" s="182" t="str">
        <f t="shared" si="108"/>
        <v/>
      </c>
      <c r="M630" s="182" t="str">
        <f t="shared" si="109"/>
        <v/>
      </c>
      <c r="N630" s="182" t="str">
        <f t="shared" si="110"/>
        <v/>
      </c>
      <c r="O630" s="182" t="str">
        <f t="shared" si="111"/>
        <v/>
      </c>
      <c r="P630" s="182" t="str">
        <f t="shared" si="112"/>
        <v/>
      </c>
      <c r="Q630" s="182" t="str">
        <f t="shared" si="113"/>
        <v/>
      </c>
      <c r="R630" s="182" t="str">
        <f t="shared" si="114"/>
        <v/>
      </c>
      <c r="S630" s="182" t="str">
        <f t="shared" si="115"/>
        <v/>
      </c>
      <c r="T630" s="182" t="str">
        <f t="shared" si="116"/>
        <v/>
      </c>
      <c r="U630" s="182" t="str">
        <f t="shared" si="117"/>
        <v/>
      </c>
      <c r="V630" s="182" t="str">
        <f t="shared" si="118"/>
        <v/>
      </c>
      <c r="W630" s="182" t="str">
        <f t="shared" si="119"/>
        <v/>
      </c>
    </row>
    <row r="631" spans="1:23" x14ac:dyDescent="0.2">
      <c r="A631" s="181"/>
      <c r="B631" s="181"/>
      <c r="C631" s="181"/>
      <c r="D631" s="181"/>
      <c r="E631" s="181"/>
      <c r="F631" s="181"/>
      <c r="G631" s="181"/>
      <c r="K631" s="182">
        <v>630</v>
      </c>
      <c r="L631" s="182" t="str">
        <f t="shared" si="108"/>
        <v/>
      </c>
      <c r="M631" s="182" t="str">
        <f t="shared" si="109"/>
        <v/>
      </c>
      <c r="N631" s="182" t="str">
        <f t="shared" si="110"/>
        <v/>
      </c>
      <c r="O631" s="182" t="str">
        <f t="shared" si="111"/>
        <v/>
      </c>
      <c r="P631" s="182" t="str">
        <f t="shared" si="112"/>
        <v/>
      </c>
      <c r="Q631" s="182" t="str">
        <f t="shared" si="113"/>
        <v/>
      </c>
      <c r="R631" s="182" t="str">
        <f t="shared" si="114"/>
        <v/>
      </c>
      <c r="S631" s="182" t="str">
        <f t="shared" si="115"/>
        <v/>
      </c>
      <c r="T631" s="182" t="str">
        <f t="shared" si="116"/>
        <v/>
      </c>
      <c r="U631" s="182" t="str">
        <f t="shared" si="117"/>
        <v/>
      </c>
      <c r="V631" s="182" t="str">
        <f t="shared" si="118"/>
        <v/>
      </c>
      <c r="W631" s="182" t="str">
        <f t="shared" si="119"/>
        <v/>
      </c>
    </row>
    <row r="632" spans="1:23" x14ac:dyDescent="0.2">
      <c r="A632" s="181"/>
      <c r="B632" s="181"/>
      <c r="C632" s="181"/>
      <c r="D632" s="181"/>
      <c r="E632" s="181"/>
      <c r="F632" s="181"/>
      <c r="G632" s="181"/>
      <c r="K632" s="182">
        <v>631</v>
      </c>
      <c r="L632" s="182" t="str">
        <f t="shared" si="108"/>
        <v/>
      </c>
      <c r="M632" s="182" t="str">
        <f t="shared" si="109"/>
        <v/>
      </c>
      <c r="N632" s="182" t="str">
        <f t="shared" si="110"/>
        <v/>
      </c>
      <c r="O632" s="182" t="str">
        <f t="shared" si="111"/>
        <v/>
      </c>
      <c r="P632" s="182" t="str">
        <f t="shared" si="112"/>
        <v/>
      </c>
      <c r="Q632" s="182" t="str">
        <f t="shared" si="113"/>
        <v/>
      </c>
      <c r="R632" s="182" t="str">
        <f t="shared" si="114"/>
        <v/>
      </c>
      <c r="S632" s="182" t="str">
        <f t="shared" si="115"/>
        <v/>
      </c>
      <c r="T632" s="182" t="str">
        <f t="shared" si="116"/>
        <v/>
      </c>
      <c r="U632" s="182" t="str">
        <f t="shared" si="117"/>
        <v/>
      </c>
      <c r="V632" s="182" t="str">
        <f t="shared" si="118"/>
        <v/>
      </c>
      <c r="W632" s="182" t="str">
        <f t="shared" si="119"/>
        <v/>
      </c>
    </row>
    <row r="633" spans="1:23" x14ac:dyDescent="0.2">
      <c r="A633" s="181"/>
      <c r="B633" s="181"/>
      <c r="C633" s="181"/>
      <c r="D633" s="181"/>
      <c r="E633" s="181"/>
      <c r="F633" s="181"/>
      <c r="G633" s="181"/>
      <c r="K633" s="182">
        <v>632</v>
      </c>
      <c r="L633" s="182" t="str">
        <f t="shared" si="108"/>
        <v/>
      </c>
      <c r="M633" s="182" t="str">
        <f t="shared" si="109"/>
        <v/>
      </c>
      <c r="N633" s="182" t="str">
        <f t="shared" si="110"/>
        <v/>
      </c>
      <c r="O633" s="182" t="str">
        <f t="shared" si="111"/>
        <v/>
      </c>
      <c r="P633" s="182" t="str">
        <f t="shared" si="112"/>
        <v/>
      </c>
      <c r="Q633" s="182" t="str">
        <f t="shared" si="113"/>
        <v/>
      </c>
      <c r="R633" s="182" t="str">
        <f t="shared" si="114"/>
        <v/>
      </c>
      <c r="S633" s="182" t="str">
        <f t="shared" si="115"/>
        <v/>
      </c>
      <c r="T633" s="182" t="str">
        <f t="shared" si="116"/>
        <v/>
      </c>
      <c r="U633" s="182" t="str">
        <f t="shared" si="117"/>
        <v/>
      </c>
      <c r="V633" s="182" t="str">
        <f t="shared" si="118"/>
        <v/>
      </c>
      <c r="W633" s="182" t="str">
        <f t="shared" si="119"/>
        <v/>
      </c>
    </row>
    <row r="634" spans="1:23" x14ac:dyDescent="0.2">
      <c r="A634" s="181"/>
      <c r="B634" s="181"/>
      <c r="C634" s="181"/>
      <c r="D634" s="181"/>
      <c r="E634" s="181"/>
      <c r="F634" s="181"/>
      <c r="G634" s="181"/>
      <c r="K634" s="182">
        <v>633</v>
      </c>
      <c r="L634" s="182" t="str">
        <f t="shared" si="108"/>
        <v/>
      </c>
      <c r="M634" s="182" t="str">
        <f t="shared" si="109"/>
        <v/>
      </c>
      <c r="N634" s="182" t="str">
        <f t="shared" si="110"/>
        <v/>
      </c>
      <c r="O634" s="182" t="str">
        <f t="shared" si="111"/>
        <v/>
      </c>
      <c r="P634" s="182" t="str">
        <f t="shared" si="112"/>
        <v/>
      </c>
      <c r="Q634" s="182" t="str">
        <f t="shared" si="113"/>
        <v/>
      </c>
      <c r="R634" s="182" t="str">
        <f t="shared" si="114"/>
        <v/>
      </c>
      <c r="S634" s="182" t="str">
        <f t="shared" si="115"/>
        <v/>
      </c>
      <c r="T634" s="182" t="str">
        <f t="shared" si="116"/>
        <v/>
      </c>
      <c r="U634" s="182" t="str">
        <f t="shared" si="117"/>
        <v/>
      </c>
      <c r="V634" s="182" t="str">
        <f t="shared" si="118"/>
        <v/>
      </c>
      <c r="W634" s="182" t="str">
        <f t="shared" si="119"/>
        <v/>
      </c>
    </row>
    <row r="635" spans="1:23" x14ac:dyDescent="0.2">
      <c r="A635" s="181"/>
      <c r="B635" s="181"/>
      <c r="C635" s="181"/>
      <c r="D635" s="181"/>
      <c r="E635" s="181"/>
      <c r="F635" s="181"/>
      <c r="G635" s="181"/>
      <c r="K635" s="182">
        <v>634</v>
      </c>
      <c r="L635" s="182" t="str">
        <f t="shared" si="108"/>
        <v/>
      </c>
      <c r="M635" s="182" t="str">
        <f t="shared" si="109"/>
        <v/>
      </c>
      <c r="N635" s="182" t="str">
        <f t="shared" si="110"/>
        <v/>
      </c>
      <c r="O635" s="182" t="str">
        <f t="shared" si="111"/>
        <v/>
      </c>
      <c r="P635" s="182" t="str">
        <f t="shared" si="112"/>
        <v/>
      </c>
      <c r="Q635" s="182" t="str">
        <f t="shared" si="113"/>
        <v/>
      </c>
      <c r="R635" s="182" t="str">
        <f t="shared" si="114"/>
        <v/>
      </c>
      <c r="S635" s="182" t="str">
        <f t="shared" si="115"/>
        <v/>
      </c>
      <c r="T635" s="182" t="str">
        <f t="shared" si="116"/>
        <v/>
      </c>
      <c r="U635" s="182" t="str">
        <f t="shared" si="117"/>
        <v/>
      </c>
      <c r="V635" s="182" t="str">
        <f t="shared" si="118"/>
        <v/>
      </c>
      <c r="W635" s="182" t="str">
        <f t="shared" si="119"/>
        <v/>
      </c>
    </row>
    <row r="636" spans="1:23" x14ac:dyDescent="0.2">
      <c r="A636" s="181"/>
      <c r="B636" s="181"/>
      <c r="C636" s="181"/>
      <c r="D636" s="181"/>
      <c r="E636" s="181"/>
      <c r="F636" s="181"/>
      <c r="G636" s="181"/>
      <c r="K636" s="182">
        <v>635</v>
      </c>
      <c r="L636" s="182" t="str">
        <f t="shared" si="108"/>
        <v/>
      </c>
      <c r="M636" s="182" t="str">
        <f t="shared" si="109"/>
        <v/>
      </c>
      <c r="N636" s="182" t="str">
        <f t="shared" si="110"/>
        <v/>
      </c>
      <c r="O636" s="182" t="str">
        <f t="shared" si="111"/>
        <v/>
      </c>
      <c r="P636" s="182" t="str">
        <f t="shared" si="112"/>
        <v/>
      </c>
      <c r="Q636" s="182" t="str">
        <f t="shared" si="113"/>
        <v/>
      </c>
      <c r="R636" s="182" t="str">
        <f t="shared" si="114"/>
        <v/>
      </c>
      <c r="S636" s="182" t="str">
        <f t="shared" si="115"/>
        <v/>
      </c>
      <c r="T636" s="182" t="str">
        <f t="shared" si="116"/>
        <v/>
      </c>
      <c r="U636" s="182" t="str">
        <f t="shared" si="117"/>
        <v/>
      </c>
      <c r="V636" s="182" t="str">
        <f t="shared" si="118"/>
        <v/>
      </c>
      <c r="W636" s="182" t="str">
        <f t="shared" si="119"/>
        <v/>
      </c>
    </row>
    <row r="637" spans="1:23" x14ac:dyDescent="0.2">
      <c r="A637" s="181"/>
      <c r="B637" s="181"/>
      <c r="C637" s="181"/>
      <c r="D637" s="181"/>
      <c r="E637" s="181"/>
      <c r="F637" s="181"/>
      <c r="G637" s="181"/>
      <c r="K637" s="182">
        <v>636</v>
      </c>
      <c r="L637" s="182" t="str">
        <f t="shared" si="108"/>
        <v/>
      </c>
      <c r="M637" s="182" t="str">
        <f t="shared" si="109"/>
        <v/>
      </c>
      <c r="N637" s="182" t="str">
        <f t="shared" si="110"/>
        <v/>
      </c>
      <c r="O637" s="182" t="str">
        <f t="shared" si="111"/>
        <v/>
      </c>
      <c r="P637" s="182" t="str">
        <f t="shared" si="112"/>
        <v/>
      </c>
      <c r="Q637" s="182" t="str">
        <f t="shared" si="113"/>
        <v/>
      </c>
      <c r="R637" s="182" t="str">
        <f t="shared" si="114"/>
        <v/>
      </c>
      <c r="S637" s="182" t="str">
        <f t="shared" si="115"/>
        <v/>
      </c>
      <c r="T637" s="182" t="str">
        <f t="shared" si="116"/>
        <v/>
      </c>
      <c r="U637" s="182" t="str">
        <f t="shared" si="117"/>
        <v/>
      </c>
      <c r="V637" s="182" t="str">
        <f t="shared" si="118"/>
        <v/>
      </c>
      <c r="W637" s="182" t="str">
        <f t="shared" si="119"/>
        <v/>
      </c>
    </row>
    <row r="638" spans="1:23" x14ac:dyDescent="0.2">
      <c r="A638" s="181"/>
      <c r="B638" s="181"/>
      <c r="C638" s="181"/>
      <c r="D638" s="181"/>
      <c r="E638" s="181"/>
      <c r="F638" s="181"/>
      <c r="G638" s="181"/>
      <c r="K638" s="182">
        <v>637</v>
      </c>
      <c r="L638" s="182" t="str">
        <f t="shared" si="108"/>
        <v/>
      </c>
      <c r="M638" s="182" t="str">
        <f t="shared" si="109"/>
        <v/>
      </c>
      <c r="N638" s="182" t="str">
        <f t="shared" si="110"/>
        <v/>
      </c>
      <c r="O638" s="182" t="str">
        <f t="shared" si="111"/>
        <v/>
      </c>
      <c r="P638" s="182" t="str">
        <f t="shared" si="112"/>
        <v/>
      </c>
      <c r="Q638" s="182" t="str">
        <f t="shared" si="113"/>
        <v/>
      </c>
      <c r="R638" s="182" t="str">
        <f t="shared" si="114"/>
        <v/>
      </c>
      <c r="S638" s="182" t="str">
        <f t="shared" si="115"/>
        <v/>
      </c>
      <c r="T638" s="182" t="str">
        <f t="shared" si="116"/>
        <v/>
      </c>
      <c r="U638" s="182" t="str">
        <f t="shared" si="117"/>
        <v/>
      </c>
      <c r="V638" s="182" t="str">
        <f t="shared" si="118"/>
        <v/>
      </c>
      <c r="W638" s="182" t="str">
        <f t="shared" si="119"/>
        <v/>
      </c>
    </row>
    <row r="639" spans="1:23" x14ac:dyDescent="0.2">
      <c r="A639" s="181"/>
      <c r="B639" s="181"/>
      <c r="C639" s="181"/>
      <c r="D639" s="181"/>
      <c r="E639" s="181"/>
      <c r="F639" s="181"/>
      <c r="G639" s="181"/>
      <c r="K639" s="182">
        <v>638</v>
      </c>
      <c r="L639" s="182" t="str">
        <f t="shared" si="108"/>
        <v/>
      </c>
      <c r="M639" s="182" t="str">
        <f t="shared" si="109"/>
        <v/>
      </c>
      <c r="N639" s="182" t="str">
        <f t="shared" si="110"/>
        <v/>
      </c>
      <c r="O639" s="182" t="str">
        <f t="shared" si="111"/>
        <v/>
      </c>
      <c r="P639" s="182" t="str">
        <f t="shared" si="112"/>
        <v/>
      </c>
      <c r="Q639" s="182" t="str">
        <f t="shared" si="113"/>
        <v/>
      </c>
      <c r="R639" s="182" t="str">
        <f t="shared" si="114"/>
        <v/>
      </c>
      <c r="S639" s="182" t="str">
        <f t="shared" si="115"/>
        <v/>
      </c>
      <c r="T639" s="182" t="str">
        <f t="shared" si="116"/>
        <v/>
      </c>
      <c r="U639" s="182" t="str">
        <f t="shared" si="117"/>
        <v/>
      </c>
      <c r="V639" s="182" t="str">
        <f t="shared" si="118"/>
        <v/>
      </c>
      <c r="W639" s="182" t="str">
        <f t="shared" si="119"/>
        <v/>
      </c>
    </row>
    <row r="640" spans="1:23" x14ac:dyDescent="0.2">
      <c r="A640" s="181"/>
      <c r="B640" s="181"/>
      <c r="C640" s="181"/>
      <c r="D640" s="181"/>
      <c r="E640" s="181"/>
      <c r="F640" s="181"/>
      <c r="G640" s="181"/>
      <c r="K640" s="182">
        <v>639</v>
      </c>
      <c r="L640" s="182" t="str">
        <f t="shared" si="108"/>
        <v/>
      </c>
      <c r="M640" s="182" t="str">
        <f t="shared" si="109"/>
        <v/>
      </c>
      <c r="N640" s="182" t="str">
        <f t="shared" si="110"/>
        <v/>
      </c>
      <c r="O640" s="182" t="str">
        <f t="shared" si="111"/>
        <v/>
      </c>
      <c r="P640" s="182" t="str">
        <f t="shared" si="112"/>
        <v/>
      </c>
      <c r="Q640" s="182" t="str">
        <f t="shared" si="113"/>
        <v/>
      </c>
      <c r="R640" s="182" t="str">
        <f t="shared" si="114"/>
        <v/>
      </c>
      <c r="S640" s="182" t="str">
        <f t="shared" si="115"/>
        <v/>
      </c>
      <c r="T640" s="182" t="str">
        <f t="shared" si="116"/>
        <v/>
      </c>
      <c r="U640" s="182" t="str">
        <f t="shared" si="117"/>
        <v/>
      </c>
      <c r="V640" s="182" t="str">
        <f t="shared" si="118"/>
        <v/>
      </c>
      <c r="W640" s="182" t="str">
        <f t="shared" si="119"/>
        <v/>
      </c>
    </row>
    <row r="641" spans="1:23" x14ac:dyDescent="0.2">
      <c r="A641" s="181"/>
      <c r="B641" s="181"/>
      <c r="C641" s="181"/>
      <c r="D641" s="181"/>
      <c r="E641" s="181"/>
      <c r="F641" s="181"/>
      <c r="G641" s="181"/>
      <c r="K641" s="182">
        <v>640</v>
      </c>
      <c r="L641" s="182" t="str">
        <f t="shared" si="108"/>
        <v/>
      </c>
      <c r="M641" s="182" t="str">
        <f t="shared" si="109"/>
        <v/>
      </c>
      <c r="N641" s="182" t="str">
        <f t="shared" si="110"/>
        <v/>
      </c>
      <c r="O641" s="182" t="str">
        <f t="shared" si="111"/>
        <v/>
      </c>
      <c r="P641" s="182" t="str">
        <f t="shared" si="112"/>
        <v/>
      </c>
      <c r="Q641" s="182" t="str">
        <f t="shared" si="113"/>
        <v/>
      </c>
      <c r="R641" s="182" t="str">
        <f t="shared" si="114"/>
        <v/>
      </c>
      <c r="S641" s="182" t="str">
        <f t="shared" si="115"/>
        <v/>
      </c>
      <c r="T641" s="182" t="str">
        <f t="shared" si="116"/>
        <v/>
      </c>
      <c r="U641" s="182" t="str">
        <f t="shared" si="117"/>
        <v/>
      </c>
      <c r="V641" s="182" t="str">
        <f t="shared" si="118"/>
        <v/>
      </c>
      <c r="W641" s="182" t="str">
        <f t="shared" si="119"/>
        <v/>
      </c>
    </row>
    <row r="642" spans="1:23" x14ac:dyDescent="0.2">
      <c r="A642" s="181"/>
      <c r="B642" s="181"/>
      <c r="C642" s="181"/>
      <c r="D642" s="181"/>
      <c r="E642" s="181"/>
      <c r="F642" s="181"/>
      <c r="G642" s="181"/>
      <c r="K642" s="182">
        <v>641</v>
      </c>
      <c r="L642" s="182" t="str">
        <f t="shared" si="108"/>
        <v/>
      </c>
      <c r="M642" s="182" t="str">
        <f t="shared" si="109"/>
        <v/>
      </c>
      <c r="N642" s="182" t="str">
        <f t="shared" si="110"/>
        <v/>
      </c>
      <c r="O642" s="182" t="str">
        <f t="shared" si="111"/>
        <v/>
      </c>
      <c r="P642" s="182" t="str">
        <f t="shared" si="112"/>
        <v/>
      </c>
      <c r="Q642" s="182" t="str">
        <f t="shared" si="113"/>
        <v/>
      </c>
      <c r="R642" s="182" t="str">
        <f t="shared" si="114"/>
        <v/>
      </c>
      <c r="S642" s="182" t="str">
        <f t="shared" si="115"/>
        <v/>
      </c>
      <c r="T642" s="182" t="str">
        <f t="shared" si="116"/>
        <v/>
      </c>
      <c r="U642" s="182" t="str">
        <f t="shared" si="117"/>
        <v/>
      </c>
      <c r="V642" s="182" t="str">
        <f t="shared" si="118"/>
        <v/>
      </c>
      <c r="W642" s="182" t="str">
        <f t="shared" si="119"/>
        <v/>
      </c>
    </row>
    <row r="643" spans="1:23" x14ac:dyDescent="0.2">
      <c r="A643" s="181"/>
      <c r="B643" s="181"/>
      <c r="C643" s="181"/>
      <c r="D643" s="181"/>
      <c r="E643" s="181"/>
      <c r="F643" s="181"/>
      <c r="G643" s="181"/>
      <c r="K643" s="182">
        <v>642</v>
      </c>
      <c r="L643" s="182" t="str">
        <f t="shared" ref="L643:L706" si="120">IF($B$13&gt;=K643,K643,"")</f>
        <v/>
      </c>
      <c r="M643" s="182" t="str">
        <f t="shared" ref="M643:M706" si="121">IF(L643="","",IF(L643&lt;=$E$15,VLOOKUP($E$14,$I$1:$J$4,2,FALSE),VLOOKUP($F$14,$I$1:$J$4,2,FALSE)))</f>
        <v/>
      </c>
      <c r="N643" s="182" t="str">
        <f t="shared" ref="N643:N706" si="122">IF($B$20&gt;=K643,K643,"")</f>
        <v/>
      </c>
      <c r="O643" s="182" t="str">
        <f t="shared" ref="O643:O706" si="123">IF(N643="","",IF(N643&lt;=$E$22,VLOOKUP($E$21,$I$1:$J$4,2,FALSE),VLOOKUP($F$21,$I$1:$J$4,2,FALSE)))</f>
        <v/>
      </c>
      <c r="P643" s="182" t="str">
        <f t="shared" ref="P643:P706" si="124">IF($B$27&gt;=K643,K643,"")</f>
        <v/>
      </c>
      <c r="Q643" s="182" t="str">
        <f t="shared" ref="Q643:Q706" si="125">IF(P643="","",IF(P643&lt;=$E$29,VLOOKUP($E$28,$I$1:$J$4,2,FALSE),VLOOKUP($F$28,$I$1:$J$4,2,FALSE)))</f>
        <v/>
      </c>
      <c r="R643" s="182" t="str">
        <f t="shared" ref="R643:R706" si="126">IF($B$34&gt;=K643,K643,"")</f>
        <v/>
      </c>
      <c r="S643" s="182" t="str">
        <f t="shared" ref="S643:S706" si="127">IF(R643="","",IF(R643&lt;=$E$36,VLOOKUP($E$35,$I$1:$J$4,2,FALSE),VLOOKUP($F$35,$I$1:$J$4,2,FALSE)))</f>
        <v/>
      </c>
      <c r="T643" s="182" t="str">
        <f t="shared" ref="T643:T706" si="128">IF($B$41&gt;=K643,K643,"")</f>
        <v/>
      </c>
      <c r="U643" s="182" t="str">
        <f t="shared" ref="U643:U706" si="129">IF(T643="","",IF(T643&lt;=$E$43,VLOOKUP($E$42,$I$1:$J$4,2,FALSE),VLOOKUP($F$42,$I$1:$J$4,2,FALSE)))</f>
        <v/>
      </c>
      <c r="V643" s="182" t="str">
        <f t="shared" ref="V643:V706" si="130">IF($B$48&gt;=K643,K643,"")</f>
        <v/>
      </c>
      <c r="W643" s="182" t="str">
        <f t="shared" ref="W643:W706" si="131">IF(V643="","",IF(V643&lt;=$E$50,VLOOKUP($E$49,$I$1:$J$4,2,FALSE),VLOOKUP($F$49,$I$1:$J$4,2,FALSE)))</f>
        <v/>
      </c>
    </row>
    <row r="644" spans="1:23" x14ac:dyDescent="0.2">
      <c r="A644" s="181"/>
      <c r="B644" s="181"/>
      <c r="C644" s="181"/>
      <c r="D644" s="181"/>
      <c r="E644" s="181"/>
      <c r="F644" s="181"/>
      <c r="G644" s="181"/>
      <c r="K644" s="182">
        <v>643</v>
      </c>
      <c r="L644" s="182" t="str">
        <f t="shared" si="120"/>
        <v/>
      </c>
      <c r="M644" s="182" t="str">
        <f t="shared" si="121"/>
        <v/>
      </c>
      <c r="N644" s="182" t="str">
        <f t="shared" si="122"/>
        <v/>
      </c>
      <c r="O644" s="182" t="str">
        <f t="shared" si="123"/>
        <v/>
      </c>
      <c r="P644" s="182" t="str">
        <f t="shared" si="124"/>
        <v/>
      </c>
      <c r="Q644" s="182" t="str">
        <f t="shared" si="125"/>
        <v/>
      </c>
      <c r="R644" s="182" t="str">
        <f t="shared" si="126"/>
        <v/>
      </c>
      <c r="S644" s="182" t="str">
        <f t="shared" si="127"/>
        <v/>
      </c>
      <c r="T644" s="182" t="str">
        <f t="shared" si="128"/>
        <v/>
      </c>
      <c r="U644" s="182" t="str">
        <f t="shared" si="129"/>
        <v/>
      </c>
      <c r="V644" s="182" t="str">
        <f t="shared" si="130"/>
        <v/>
      </c>
      <c r="W644" s="182" t="str">
        <f t="shared" si="131"/>
        <v/>
      </c>
    </row>
    <row r="645" spans="1:23" x14ac:dyDescent="0.2">
      <c r="A645" s="181"/>
      <c r="B645" s="181"/>
      <c r="C645" s="181"/>
      <c r="D645" s="181"/>
      <c r="E645" s="181"/>
      <c r="F645" s="181"/>
      <c r="G645" s="181"/>
      <c r="K645" s="182">
        <v>644</v>
      </c>
      <c r="L645" s="182" t="str">
        <f t="shared" si="120"/>
        <v/>
      </c>
      <c r="M645" s="182" t="str">
        <f t="shared" si="121"/>
        <v/>
      </c>
      <c r="N645" s="182" t="str">
        <f t="shared" si="122"/>
        <v/>
      </c>
      <c r="O645" s="182" t="str">
        <f t="shared" si="123"/>
        <v/>
      </c>
      <c r="P645" s="182" t="str">
        <f t="shared" si="124"/>
        <v/>
      </c>
      <c r="Q645" s="182" t="str">
        <f t="shared" si="125"/>
        <v/>
      </c>
      <c r="R645" s="182" t="str">
        <f t="shared" si="126"/>
        <v/>
      </c>
      <c r="S645" s="182" t="str">
        <f t="shared" si="127"/>
        <v/>
      </c>
      <c r="T645" s="182" t="str">
        <f t="shared" si="128"/>
        <v/>
      </c>
      <c r="U645" s="182" t="str">
        <f t="shared" si="129"/>
        <v/>
      </c>
      <c r="V645" s="182" t="str">
        <f t="shared" si="130"/>
        <v/>
      </c>
      <c r="W645" s="182" t="str">
        <f t="shared" si="131"/>
        <v/>
      </c>
    </row>
    <row r="646" spans="1:23" x14ac:dyDescent="0.2">
      <c r="A646" s="181"/>
      <c r="B646" s="181"/>
      <c r="C646" s="181"/>
      <c r="D646" s="181"/>
      <c r="E646" s="181"/>
      <c r="F646" s="181"/>
      <c r="G646" s="181"/>
      <c r="K646" s="182">
        <v>645</v>
      </c>
      <c r="L646" s="182" t="str">
        <f t="shared" si="120"/>
        <v/>
      </c>
      <c r="M646" s="182" t="str">
        <f t="shared" si="121"/>
        <v/>
      </c>
      <c r="N646" s="182" t="str">
        <f t="shared" si="122"/>
        <v/>
      </c>
      <c r="O646" s="182" t="str">
        <f t="shared" si="123"/>
        <v/>
      </c>
      <c r="P646" s="182" t="str">
        <f t="shared" si="124"/>
        <v/>
      </c>
      <c r="Q646" s="182" t="str">
        <f t="shared" si="125"/>
        <v/>
      </c>
      <c r="R646" s="182" t="str">
        <f t="shared" si="126"/>
        <v/>
      </c>
      <c r="S646" s="182" t="str">
        <f t="shared" si="127"/>
        <v/>
      </c>
      <c r="T646" s="182" t="str">
        <f t="shared" si="128"/>
        <v/>
      </c>
      <c r="U646" s="182" t="str">
        <f t="shared" si="129"/>
        <v/>
      </c>
      <c r="V646" s="182" t="str">
        <f t="shared" si="130"/>
        <v/>
      </c>
      <c r="W646" s="182" t="str">
        <f t="shared" si="131"/>
        <v/>
      </c>
    </row>
    <row r="647" spans="1:23" x14ac:dyDescent="0.2">
      <c r="A647" s="181"/>
      <c r="B647" s="181"/>
      <c r="C647" s="181"/>
      <c r="D647" s="181"/>
      <c r="E647" s="181"/>
      <c r="F647" s="181"/>
      <c r="G647" s="181"/>
      <c r="K647" s="182">
        <v>646</v>
      </c>
      <c r="L647" s="182" t="str">
        <f t="shared" si="120"/>
        <v/>
      </c>
      <c r="M647" s="182" t="str">
        <f t="shared" si="121"/>
        <v/>
      </c>
      <c r="N647" s="182" t="str">
        <f t="shared" si="122"/>
        <v/>
      </c>
      <c r="O647" s="182" t="str">
        <f t="shared" si="123"/>
        <v/>
      </c>
      <c r="P647" s="182" t="str">
        <f t="shared" si="124"/>
        <v/>
      </c>
      <c r="Q647" s="182" t="str">
        <f t="shared" si="125"/>
        <v/>
      </c>
      <c r="R647" s="182" t="str">
        <f t="shared" si="126"/>
        <v/>
      </c>
      <c r="S647" s="182" t="str">
        <f t="shared" si="127"/>
        <v/>
      </c>
      <c r="T647" s="182" t="str">
        <f t="shared" si="128"/>
        <v/>
      </c>
      <c r="U647" s="182" t="str">
        <f t="shared" si="129"/>
        <v/>
      </c>
      <c r="V647" s="182" t="str">
        <f t="shared" si="130"/>
        <v/>
      </c>
      <c r="W647" s="182" t="str">
        <f t="shared" si="131"/>
        <v/>
      </c>
    </row>
    <row r="648" spans="1:23" x14ac:dyDescent="0.2">
      <c r="A648" s="181"/>
      <c r="B648" s="181"/>
      <c r="C648" s="181"/>
      <c r="D648" s="181"/>
      <c r="E648" s="181"/>
      <c r="F648" s="181"/>
      <c r="G648" s="181"/>
      <c r="K648" s="182">
        <v>647</v>
      </c>
      <c r="L648" s="182" t="str">
        <f t="shared" si="120"/>
        <v/>
      </c>
      <c r="M648" s="182" t="str">
        <f t="shared" si="121"/>
        <v/>
      </c>
      <c r="N648" s="182" t="str">
        <f t="shared" si="122"/>
        <v/>
      </c>
      <c r="O648" s="182" t="str">
        <f t="shared" si="123"/>
        <v/>
      </c>
      <c r="P648" s="182" t="str">
        <f t="shared" si="124"/>
        <v/>
      </c>
      <c r="Q648" s="182" t="str">
        <f t="shared" si="125"/>
        <v/>
      </c>
      <c r="R648" s="182" t="str">
        <f t="shared" si="126"/>
        <v/>
      </c>
      <c r="S648" s="182" t="str">
        <f t="shared" si="127"/>
        <v/>
      </c>
      <c r="T648" s="182" t="str">
        <f t="shared" si="128"/>
        <v/>
      </c>
      <c r="U648" s="182" t="str">
        <f t="shared" si="129"/>
        <v/>
      </c>
      <c r="V648" s="182" t="str">
        <f t="shared" si="130"/>
        <v/>
      </c>
      <c r="W648" s="182" t="str">
        <f t="shared" si="131"/>
        <v/>
      </c>
    </row>
    <row r="649" spans="1:23" x14ac:dyDescent="0.2">
      <c r="A649" s="181"/>
      <c r="B649" s="181"/>
      <c r="C649" s="181"/>
      <c r="D649" s="181"/>
      <c r="E649" s="181"/>
      <c r="F649" s="181"/>
      <c r="G649" s="181"/>
      <c r="K649" s="182">
        <v>648</v>
      </c>
      <c r="L649" s="182" t="str">
        <f t="shared" si="120"/>
        <v/>
      </c>
      <c r="M649" s="182" t="str">
        <f t="shared" si="121"/>
        <v/>
      </c>
      <c r="N649" s="182" t="str">
        <f t="shared" si="122"/>
        <v/>
      </c>
      <c r="O649" s="182" t="str">
        <f t="shared" si="123"/>
        <v/>
      </c>
      <c r="P649" s="182" t="str">
        <f t="shared" si="124"/>
        <v/>
      </c>
      <c r="Q649" s="182" t="str">
        <f t="shared" si="125"/>
        <v/>
      </c>
      <c r="R649" s="182" t="str">
        <f t="shared" si="126"/>
        <v/>
      </c>
      <c r="S649" s="182" t="str">
        <f t="shared" si="127"/>
        <v/>
      </c>
      <c r="T649" s="182" t="str">
        <f t="shared" si="128"/>
        <v/>
      </c>
      <c r="U649" s="182" t="str">
        <f t="shared" si="129"/>
        <v/>
      </c>
      <c r="V649" s="182" t="str">
        <f t="shared" si="130"/>
        <v/>
      </c>
      <c r="W649" s="182" t="str">
        <f t="shared" si="131"/>
        <v/>
      </c>
    </row>
    <row r="650" spans="1:23" x14ac:dyDescent="0.2">
      <c r="A650" s="181"/>
      <c r="B650" s="181"/>
      <c r="C650" s="181"/>
      <c r="D650" s="181"/>
      <c r="E650" s="181"/>
      <c r="F650" s="181"/>
      <c r="G650" s="181"/>
      <c r="K650" s="182">
        <v>649</v>
      </c>
      <c r="L650" s="182" t="str">
        <f t="shared" si="120"/>
        <v/>
      </c>
      <c r="M650" s="182" t="str">
        <f t="shared" si="121"/>
        <v/>
      </c>
      <c r="N650" s="182" t="str">
        <f t="shared" si="122"/>
        <v/>
      </c>
      <c r="O650" s="182" t="str">
        <f t="shared" si="123"/>
        <v/>
      </c>
      <c r="P650" s="182" t="str">
        <f t="shared" si="124"/>
        <v/>
      </c>
      <c r="Q650" s="182" t="str">
        <f t="shared" si="125"/>
        <v/>
      </c>
      <c r="R650" s="182" t="str">
        <f t="shared" si="126"/>
        <v/>
      </c>
      <c r="S650" s="182" t="str">
        <f t="shared" si="127"/>
        <v/>
      </c>
      <c r="T650" s="182" t="str">
        <f t="shared" si="128"/>
        <v/>
      </c>
      <c r="U650" s="182" t="str">
        <f t="shared" si="129"/>
        <v/>
      </c>
      <c r="V650" s="182" t="str">
        <f t="shared" si="130"/>
        <v/>
      </c>
      <c r="W650" s="182" t="str">
        <f t="shared" si="131"/>
        <v/>
      </c>
    </row>
    <row r="651" spans="1:23" x14ac:dyDescent="0.2">
      <c r="A651" s="181"/>
      <c r="B651" s="181"/>
      <c r="C651" s="181"/>
      <c r="D651" s="181"/>
      <c r="E651" s="181"/>
      <c r="F651" s="181"/>
      <c r="G651" s="181"/>
      <c r="K651" s="182">
        <v>650</v>
      </c>
      <c r="L651" s="182" t="str">
        <f t="shared" si="120"/>
        <v/>
      </c>
      <c r="M651" s="182" t="str">
        <f t="shared" si="121"/>
        <v/>
      </c>
      <c r="N651" s="182" t="str">
        <f t="shared" si="122"/>
        <v/>
      </c>
      <c r="O651" s="182" t="str">
        <f t="shared" si="123"/>
        <v/>
      </c>
      <c r="P651" s="182" t="str">
        <f t="shared" si="124"/>
        <v/>
      </c>
      <c r="Q651" s="182" t="str">
        <f t="shared" si="125"/>
        <v/>
      </c>
      <c r="R651" s="182" t="str">
        <f t="shared" si="126"/>
        <v/>
      </c>
      <c r="S651" s="182" t="str">
        <f t="shared" si="127"/>
        <v/>
      </c>
      <c r="T651" s="182" t="str">
        <f t="shared" si="128"/>
        <v/>
      </c>
      <c r="U651" s="182" t="str">
        <f t="shared" si="129"/>
        <v/>
      </c>
      <c r="V651" s="182" t="str">
        <f t="shared" si="130"/>
        <v/>
      </c>
      <c r="W651" s="182" t="str">
        <f t="shared" si="131"/>
        <v/>
      </c>
    </row>
    <row r="652" spans="1:23" x14ac:dyDescent="0.2">
      <c r="A652" s="181"/>
      <c r="B652" s="181"/>
      <c r="C652" s="181"/>
      <c r="D652" s="181"/>
      <c r="E652" s="181"/>
      <c r="F652" s="181"/>
      <c r="G652" s="181"/>
      <c r="K652" s="182">
        <v>651</v>
      </c>
      <c r="L652" s="182" t="str">
        <f t="shared" si="120"/>
        <v/>
      </c>
      <c r="M652" s="182" t="str">
        <f t="shared" si="121"/>
        <v/>
      </c>
      <c r="N652" s="182" t="str">
        <f t="shared" si="122"/>
        <v/>
      </c>
      <c r="O652" s="182" t="str">
        <f t="shared" si="123"/>
        <v/>
      </c>
      <c r="P652" s="182" t="str">
        <f t="shared" si="124"/>
        <v/>
      </c>
      <c r="Q652" s="182" t="str">
        <f t="shared" si="125"/>
        <v/>
      </c>
      <c r="R652" s="182" t="str">
        <f t="shared" si="126"/>
        <v/>
      </c>
      <c r="S652" s="182" t="str">
        <f t="shared" si="127"/>
        <v/>
      </c>
      <c r="T652" s="182" t="str">
        <f t="shared" si="128"/>
        <v/>
      </c>
      <c r="U652" s="182" t="str">
        <f t="shared" si="129"/>
        <v/>
      </c>
      <c r="V652" s="182" t="str">
        <f t="shared" si="130"/>
        <v/>
      </c>
      <c r="W652" s="182" t="str">
        <f t="shared" si="131"/>
        <v/>
      </c>
    </row>
    <row r="653" spans="1:23" x14ac:dyDescent="0.2">
      <c r="A653" s="181"/>
      <c r="B653" s="181"/>
      <c r="C653" s="181"/>
      <c r="D653" s="181"/>
      <c r="E653" s="181"/>
      <c r="F653" s="181"/>
      <c r="G653" s="181"/>
      <c r="K653" s="182">
        <v>652</v>
      </c>
      <c r="L653" s="182" t="str">
        <f t="shared" si="120"/>
        <v/>
      </c>
      <c r="M653" s="182" t="str">
        <f t="shared" si="121"/>
        <v/>
      </c>
      <c r="N653" s="182" t="str">
        <f t="shared" si="122"/>
        <v/>
      </c>
      <c r="O653" s="182" t="str">
        <f t="shared" si="123"/>
        <v/>
      </c>
      <c r="P653" s="182" t="str">
        <f t="shared" si="124"/>
        <v/>
      </c>
      <c r="Q653" s="182" t="str">
        <f t="shared" si="125"/>
        <v/>
      </c>
      <c r="R653" s="182" t="str">
        <f t="shared" si="126"/>
        <v/>
      </c>
      <c r="S653" s="182" t="str">
        <f t="shared" si="127"/>
        <v/>
      </c>
      <c r="T653" s="182" t="str">
        <f t="shared" si="128"/>
        <v/>
      </c>
      <c r="U653" s="182" t="str">
        <f t="shared" si="129"/>
        <v/>
      </c>
      <c r="V653" s="182" t="str">
        <f t="shared" si="130"/>
        <v/>
      </c>
      <c r="W653" s="182" t="str">
        <f t="shared" si="131"/>
        <v/>
      </c>
    </row>
    <row r="654" spans="1:23" x14ac:dyDescent="0.2">
      <c r="A654" s="181"/>
      <c r="B654" s="181"/>
      <c r="C654" s="181"/>
      <c r="D654" s="181"/>
      <c r="E654" s="181"/>
      <c r="F654" s="181"/>
      <c r="G654" s="181"/>
      <c r="K654" s="182">
        <v>653</v>
      </c>
      <c r="L654" s="182" t="str">
        <f t="shared" si="120"/>
        <v/>
      </c>
      <c r="M654" s="182" t="str">
        <f t="shared" si="121"/>
        <v/>
      </c>
      <c r="N654" s="182" t="str">
        <f t="shared" si="122"/>
        <v/>
      </c>
      <c r="O654" s="182" t="str">
        <f t="shared" si="123"/>
        <v/>
      </c>
      <c r="P654" s="182" t="str">
        <f t="shared" si="124"/>
        <v/>
      </c>
      <c r="Q654" s="182" t="str">
        <f t="shared" si="125"/>
        <v/>
      </c>
      <c r="R654" s="182" t="str">
        <f t="shared" si="126"/>
        <v/>
      </c>
      <c r="S654" s="182" t="str">
        <f t="shared" si="127"/>
        <v/>
      </c>
      <c r="T654" s="182" t="str">
        <f t="shared" si="128"/>
        <v/>
      </c>
      <c r="U654" s="182" t="str">
        <f t="shared" si="129"/>
        <v/>
      </c>
      <c r="V654" s="182" t="str">
        <f t="shared" si="130"/>
        <v/>
      </c>
      <c r="W654" s="182" t="str">
        <f t="shared" si="131"/>
        <v/>
      </c>
    </row>
    <row r="655" spans="1:23" x14ac:dyDescent="0.2">
      <c r="A655" s="181"/>
      <c r="B655" s="181"/>
      <c r="C655" s="181"/>
      <c r="D655" s="181"/>
      <c r="E655" s="181"/>
      <c r="F655" s="181"/>
      <c r="G655" s="181"/>
      <c r="K655" s="182">
        <v>654</v>
      </c>
      <c r="L655" s="182" t="str">
        <f t="shared" si="120"/>
        <v/>
      </c>
      <c r="M655" s="182" t="str">
        <f t="shared" si="121"/>
        <v/>
      </c>
      <c r="N655" s="182" t="str">
        <f t="shared" si="122"/>
        <v/>
      </c>
      <c r="O655" s="182" t="str">
        <f t="shared" si="123"/>
        <v/>
      </c>
      <c r="P655" s="182" t="str">
        <f t="shared" si="124"/>
        <v/>
      </c>
      <c r="Q655" s="182" t="str">
        <f t="shared" si="125"/>
        <v/>
      </c>
      <c r="R655" s="182" t="str">
        <f t="shared" si="126"/>
        <v/>
      </c>
      <c r="S655" s="182" t="str">
        <f t="shared" si="127"/>
        <v/>
      </c>
      <c r="T655" s="182" t="str">
        <f t="shared" si="128"/>
        <v/>
      </c>
      <c r="U655" s="182" t="str">
        <f t="shared" si="129"/>
        <v/>
      </c>
      <c r="V655" s="182" t="str">
        <f t="shared" si="130"/>
        <v/>
      </c>
      <c r="W655" s="182" t="str">
        <f t="shared" si="131"/>
        <v/>
      </c>
    </row>
    <row r="656" spans="1:23" x14ac:dyDescent="0.2">
      <c r="A656" s="181"/>
      <c r="B656" s="181"/>
      <c r="C656" s="181"/>
      <c r="D656" s="181"/>
      <c r="E656" s="181"/>
      <c r="F656" s="181"/>
      <c r="G656" s="181"/>
      <c r="K656" s="182">
        <v>655</v>
      </c>
      <c r="L656" s="182" t="str">
        <f t="shared" si="120"/>
        <v/>
      </c>
      <c r="M656" s="182" t="str">
        <f t="shared" si="121"/>
        <v/>
      </c>
      <c r="N656" s="182" t="str">
        <f t="shared" si="122"/>
        <v/>
      </c>
      <c r="O656" s="182" t="str">
        <f t="shared" si="123"/>
        <v/>
      </c>
      <c r="P656" s="182" t="str">
        <f t="shared" si="124"/>
        <v/>
      </c>
      <c r="Q656" s="182" t="str">
        <f t="shared" si="125"/>
        <v/>
      </c>
      <c r="R656" s="182" t="str">
        <f t="shared" si="126"/>
        <v/>
      </c>
      <c r="S656" s="182" t="str">
        <f t="shared" si="127"/>
        <v/>
      </c>
      <c r="T656" s="182" t="str">
        <f t="shared" si="128"/>
        <v/>
      </c>
      <c r="U656" s="182" t="str">
        <f t="shared" si="129"/>
        <v/>
      </c>
      <c r="V656" s="182" t="str">
        <f t="shared" si="130"/>
        <v/>
      </c>
      <c r="W656" s="182" t="str">
        <f t="shared" si="131"/>
        <v/>
      </c>
    </row>
    <row r="657" spans="1:23" x14ac:dyDescent="0.2">
      <c r="A657" s="181"/>
      <c r="B657" s="181"/>
      <c r="C657" s="181"/>
      <c r="D657" s="181"/>
      <c r="E657" s="181"/>
      <c r="F657" s="181"/>
      <c r="G657" s="181"/>
      <c r="K657" s="182">
        <v>656</v>
      </c>
      <c r="L657" s="182" t="str">
        <f t="shared" si="120"/>
        <v/>
      </c>
      <c r="M657" s="182" t="str">
        <f t="shared" si="121"/>
        <v/>
      </c>
      <c r="N657" s="182" t="str">
        <f t="shared" si="122"/>
        <v/>
      </c>
      <c r="O657" s="182" t="str">
        <f t="shared" si="123"/>
        <v/>
      </c>
      <c r="P657" s="182" t="str">
        <f t="shared" si="124"/>
        <v/>
      </c>
      <c r="Q657" s="182" t="str">
        <f t="shared" si="125"/>
        <v/>
      </c>
      <c r="R657" s="182" t="str">
        <f t="shared" si="126"/>
        <v/>
      </c>
      <c r="S657" s="182" t="str">
        <f t="shared" si="127"/>
        <v/>
      </c>
      <c r="T657" s="182" t="str">
        <f t="shared" si="128"/>
        <v/>
      </c>
      <c r="U657" s="182" t="str">
        <f t="shared" si="129"/>
        <v/>
      </c>
      <c r="V657" s="182" t="str">
        <f t="shared" si="130"/>
        <v/>
      </c>
      <c r="W657" s="182" t="str">
        <f t="shared" si="131"/>
        <v/>
      </c>
    </row>
    <row r="658" spans="1:23" x14ac:dyDescent="0.2">
      <c r="A658" s="181"/>
      <c r="B658" s="181"/>
      <c r="C658" s="181"/>
      <c r="D658" s="181"/>
      <c r="E658" s="181"/>
      <c r="F658" s="181"/>
      <c r="G658" s="181"/>
      <c r="K658" s="182">
        <v>657</v>
      </c>
      <c r="L658" s="182" t="str">
        <f t="shared" si="120"/>
        <v/>
      </c>
      <c r="M658" s="182" t="str">
        <f t="shared" si="121"/>
        <v/>
      </c>
      <c r="N658" s="182" t="str">
        <f t="shared" si="122"/>
        <v/>
      </c>
      <c r="O658" s="182" t="str">
        <f t="shared" si="123"/>
        <v/>
      </c>
      <c r="P658" s="182" t="str">
        <f t="shared" si="124"/>
        <v/>
      </c>
      <c r="Q658" s="182" t="str">
        <f t="shared" si="125"/>
        <v/>
      </c>
      <c r="R658" s="182" t="str">
        <f t="shared" si="126"/>
        <v/>
      </c>
      <c r="S658" s="182" t="str">
        <f t="shared" si="127"/>
        <v/>
      </c>
      <c r="T658" s="182" t="str">
        <f t="shared" si="128"/>
        <v/>
      </c>
      <c r="U658" s="182" t="str">
        <f t="shared" si="129"/>
        <v/>
      </c>
      <c r="V658" s="182" t="str">
        <f t="shared" si="130"/>
        <v/>
      </c>
      <c r="W658" s="182" t="str">
        <f t="shared" si="131"/>
        <v/>
      </c>
    </row>
    <row r="659" spans="1:23" x14ac:dyDescent="0.2">
      <c r="A659" s="181"/>
      <c r="B659" s="181"/>
      <c r="C659" s="181"/>
      <c r="D659" s="181"/>
      <c r="E659" s="181"/>
      <c r="F659" s="181"/>
      <c r="G659" s="181"/>
      <c r="K659" s="182">
        <v>658</v>
      </c>
      <c r="L659" s="182" t="str">
        <f t="shared" si="120"/>
        <v/>
      </c>
      <c r="M659" s="182" t="str">
        <f t="shared" si="121"/>
        <v/>
      </c>
      <c r="N659" s="182" t="str">
        <f t="shared" si="122"/>
        <v/>
      </c>
      <c r="O659" s="182" t="str">
        <f t="shared" si="123"/>
        <v/>
      </c>
      <c r="P659" s="182" t="str">
        <f t="shared" si="124"/>
        <v/>
      </c>
      <c r="Q659" s="182" t="str">
        <f t="shared" si="125"/>
        <v/>
      </c>
      <c r="R659" s="182" t="str">
        <f t="shared" si="126"/>
        <v/>
      </c>
      <c r="S659" s="182" t="str">
        <f t="shared" si="127"/>
        <v/>
      </c>
      <c r="T659" s="182" t="str">
        <f t="shared" si="128"/>
        <v/>
      </c>
      <c r="U659" s="182" t="str">
        <f t="shared" si="129"/>
        <v/>
      </c>
      <c r="V659" s="182" t="str">
        <f t="shared" si="130"/>
        <v/>
      </c>
      <c r="W659" s="182" t="str">
        <f t="shared" si="131"/>
        <v/>
      </c>
    </row>
    <row r="660" spans="1:23" x14ac:dyDescent="0.2">
      <c r="A660" s="181"/>
      <c r="B660" s="181"/>
      <c r="C660" s="181"/>
      <c r="D660" s="181"/>
      <c r="E660" s="181"/>
      <c r="F660" s="181"/>
      <c r="G660" s="181"/>
      <c r="K660" s="182">
        <v>659</v>
      </c>
      <c r="L660" s="182" t="str">
        <f t="shared" si="120"/>
        <v/>
      </c>
      <c r="M660" s="182" t="str">
        <f t="shared" si="121"/>
        <v/>
      </c>
      <c r="N660" s="182" t="str">
        <f t="shared" si="122"/>
        <v/>
      </c>
      <c r="O660" s="182" t="str">
        <f t="shared" si="123"/>
        <v/>
      </c>
      <c r="P660" s="182" t="str">
        <f t="shared" si="124"/>
        <v/>
      </c>
      <c r="Q660" s="182" t="str">
        <f t="shared" si="125"/>
        <v/>
      </c>
      <c r="R660" s="182" t="str">
        <f t="shared" si="126"/>
        <v/>
      </c>
      <c r="S660" s="182" t="str">
        <f t="shared" si="127"/>
        <v/>
      </c>
      <c r="T660" s="182" t="str">
        <f t="shared" si="128"/>
        <v/>
      </c>
      <c r="U660" s="182" t="str">
        <f t="shared" si="129"/>
        <v/>
      </c>
      <c r="V660" s="182" t="str">
        <f t="shared" si="130"/>
        <v/>
      </c>
      <c r="W660" s="182" t="str">
        <f t="shared" si="131"/>
        <v/>
      </c>
    </row>
    <row r="661" spans="1:23" x14ac:dyDescent="0.2">
      <c r="A661" s="181"/>
      <c r="B661" s="181"/>
      <c r="C661" s="181"/>
      <c r="D661" s="181"/>
      <c r="E661" s="181"/>
      <c r="F661" s="181"/>
      <c r="G661" s="181"/>
      <c r="K661" s="182">
        <v>660</v>
      </c>
      <c r="L661" s="182" t="str">
        <f t="shared" si="120"/>
        <v/>
      </c>
      <c r="M661" s="182" t="str">
        <f t="shared" si="121"/>
        <v/>
      </c>
      <c r="N661" s="182" t="str">
        <f t="shared" si="122"/>
        <v/>
      </c>
      <c r="O661" s="182" t="str">
        <f t="shared" si="123"/>
        <v/>
      </c>
      <c r="P661" s="182" t="str">
        <f t="shared" si="124"/>
        <v/>
      </c>
      <c r="Q661" s="182" t="str">
        <f t="shared" si="125"/>
        <v/>
      </c>
      <c r="R661" s="182" t="str">
        <f t="shared" si="126"/>
        <v/>
      </c>
      <c r="S661" s="182" t="str">
        <f t="shared" si="127"/>
        <v/>
      </c>
      <c r="T661" s="182" t="str">
        <f t="shared" si="128"/>
        <v/>
      </c>
      <c r="U661" s="182" t="str">
        <f t="shared" si="129"/>
        <v/>
      </c>
      <c r="V661" s="182" t="str">
        <f t="shared" si="130"/>
        <v/>
      </c>
      <c r="W661" s="182" t="str">
        <f t="shared" si="131"/>
        <v/>
      </c>
    </row>
    <row r="662" spans="1:23" x14ac:dyDescent="0.2">
      <c r="A662" s="181"/>
      <c r="B662" s="181"/>
      <c r="C662" s="181"/>
      <c r="D662" s="181"/>
      <c r="E662" s="181"/>
      <c r="F662" s="181"/>
      <c r="G662" s="181"/>
      <c r="K662" s="182">
        <v>661</v>
      </c>
      <c r="L662" s="182" t="str">
        <f t="shared" si="120"/>
        <v/>
      </c>
      <c r="M662" s="182" t="str">
        <f t="shared" si="121"/>
        <v/>
      </c>
      <c r="N662" s="182" t="str">
        <f t="shared" si="122"/>
        <v/>
      </c>
      <c r="O662" s="182" t="str">
        <f t="shared" si="123"/>
        <v/>
      </c>
      <c r="P662" s="182" t="str">
        <f t="shared" si="124"/>
        <v/>
      </c>
      <c r="Q662" s="182" t="str">
        <f t="shared" si="125"/>
        <v/>
      </c>
      <c r="R662" s="182" t="str">
        <f t="shared" si="126"/>
        <v/>
      </c>
      <c r="S662" s="182" t="str">
        <f t="shared" si="127"/>
        <v/>
      </c>
      <c r="T662" s="182" t="str">
        <f t="shared" si="128"/>
        <v/>
      </c>
      <c r="U662" s="182" t="str">
        <f t="shared" si="129"/>
        <v/>
      </c>
      <c r="V662" s="182" t="str">
        <f t="shared" si="130"/>
        <v/>
      </c>
      <c r="W662" s="182" t="str">
        <f t="shared" si="131"/>
        <v/>
      </c>
    </row>
    <row r="663" spans="1:23" x14ac:dyDescent="0.2">
      <c r="A663" s="181"/>
      <c r="B663" s="181"/>
      <c r="C663" s="181"/>
      <c r="D663" s="181"/>
      <c r="E663" s="181"/>
      <c r="F663" s="181"/>
      <c r="G663" s="181"/>
      <c r="K663" s="182">
        <v>662</v>
      </c>
      <c r="L663" s="182" t="str">
        <f t="shared" si="120"/>
        <v/>
      </c>
      <c r="M663" s="182" t="str">
        <f t="shared" si="121"/>
        <v/>
      </c>
      <c r="N663" s="182" t="str">
        <f t="shared" si="122"/>
        <v/>
      </c>
      <c r="O663" s="182" t="str">
        <f t="shared" si="123"/>
        <v/>
      </c>
      <c r="P663" s="182" t="str">
        <f t="shared" si="124"/>
        <v/>
      </c>
      <c r="Q663" s="182" t="str">
        <f t="shared" si="125"/>
        <v/>
      </c>
      <c r="R663" s="182" t="str">
        <f t="shared" si="126"/>
        <v/>
      </c>
      <c r="S663" s="182" t="str">
        <f t="shared" si="127"/>
        <v/>
      </c>
      <c r="T663" s="182" t="str">
        <f t="shared" si="128"/>
        <v/>
      </c>
      <c r="U663" s="182" t="str">
        <f t="shared" si="129"/>
        <v/>
      </c>
      <c r="V663" s="182" t="str">
        <f t="shared" si="130"/>
        <v/>
      </c>
      <c r="W663" s="182" t="str">
        <f t="shared" si="131"/>
        <v/>
      </c>
    </row>
    <row r="664" spans="1:23" x14ac:dyDescent="0.2">
      <c r="A664" s="181"/>
      <c r="B664" s="181"/>
      <c r="C664" s="181"/>
      <c r="D664" s="181"/>
      <c r="E664" s="181"/>
      <c r="F664" s="181"/>
      <c r="G664" s="181"/>
      <c r="K664" s="182">
        <v>663</v>
      </c>
      <c r="L664" s="182" t="str">
        <f t="shared" si="120"/>
        <v/>
      </c>
      <c r="M664" s="182" t="str">
        <f t="shared" si="121"/>
        <v/>
      </c>
      <c r="N664" s="182" t="str">
        <f t="shared" si="122"/>
        <v/>
      </c>
      <c r="O664" s="182" t="str">
        <f t="shared" si="123"/>
        <v/>
      </c>
      <c r="P664" s="182" t="str">
        <f t="shared" si="124"/>
        <v/>
      </c>
      <c r="Q664" s="182" t="str">
        <f t="shared" si="125"/>
        <v/>
      </c>
      <c r="R664" s="182" t="str">
        <f t="shared" si="126"/>
        <v/>
      </c>
      <c r="S664" s="182" t="str">
        <f t="shared" si="127"/>
        <v/>
      </c>
      <c r="T664" s="182" t="str">
        <f t="shared" si="128"/>
        <v/>
      </c>
      <c r="U664" s="182" t="str">
        <f t="shared" si="129"/>
        <v/>
      </c>
      <c r="V664" s="182" t="str">
        <f t="shared" si="130"/>
        <v/>
      </c>
      <c r="W664" s="182" t="str">
        <f t="shared" si="131"/>
        <v/>
      </c>
    </row>
    <row r="665" spans="1:23" x14ac:dyDescent="0.2">
      <c r="A665" s="181"/>
      <c r="B665" s="181"/>
      <c r="C665" s="181"/>
      <c r="D665" s="181"/>
      <c r="E665" s="181"/>
      <c r="F665" s="181"/>
      <c r="G665" s="181"/>
      <c r="K665" s="182">
        <v>664</v>
      </c>
      <c r="L665" s="182" t="str">
        <f t="shared" si="120"/>
        <v/>
      </c>
      <c r="M665" s="182" t="str">
        <f t="shared" si="121"/>
        <v/>
      </c>
      <c r="N665" s="182" t="str">
        <f t="shared" si="122"/>
        <v/>
      </c>
      <c r="O665" s="182" t="str">
        <f t="shared" si="123"/>
        <v/>
      </c>
      <c r="P665" s="182" t="str">
        <f t="shared" si="124"/>
        <v/>
      </c>
      <c r="Q665" s="182" t="str">
        <f t="shared" si="125"/>
        <v/>
      </c>
      <c r="R665" s="182" t="str">
        <f t="shared" si="126"/>
        <v/>
      </c>
      <c r="S665" s="182" t="str">
        <f t="shared" si="127"/>
        <v/>
      </c>
      <c r="T665" s="182" t="str">
        <f t="shared" si="128"/>
        <v/>
      </c>
      <c r="U665" s="182" t="str">
        <f t="shared" si="129"/>
        <v/>
      </c>
      <c r="V665" s="182" t="str">
        <f t="shared" si="130"/>
        <v/>
      </c>
      <c r="W665" s="182" t="str">
        <f t="shared" si="131"/>
        <v/>
      </c>
    </row>
    <row r="666" spans="1:23" x14ac:dyDescent="0.2">
      <c r="A666" s="181"/>
      <c r="B666" s="181"/>
      <c r="C666" s="181"/>
      <c r="D666" s="181"/>
      <c r="E666" s="181"/>
      <c r="F666" s="181"/>
      <c r="G666" s="181"/>
      <c r="K666" s="182">
        <v>665</v>
      </c>
      <c r="L666" s="182" t="str">
        <f t="shared" si="120"/>
        <v/>
      </c>
      <c r="M666" s="182" t="str">
        <f t="shared" si="121"/>
        <v/>
      </c>
      <c r="N666" s="182" t="str">
        <f t="shared" si="122"/>
        <v/>
      </c>
      <c r="O666" s="182" t="str">
        <f t="shared" si="123"/>
        <v/>
      </c>
      <c r="P666" s="182" t="str">
        <f t="shared" si="124"/>
        <v/>
      </c>
      <c r="Q666" s="182" t="str">
        <f t="shared" si="125"/>
        <v/>
      </c>
      <c r="R666" s="182" t="str">
        <f t="shared" si="126"/>
        <v/>
      </c>
      <c r="S666" s="182" t="str">
        <f t="shared" si="127"/>
        <v/>
      </c>
      <c r="T666" s="182" t="str">
        <f t="shared" si="128"/>
        <v/>
      </c>
      <c r="U666" s="182" t="str">
        <f t="shared" si="129"/>
        <v/>
      </c>
      <c r="V666" s="182" t="str">
        <f t="shared" si="130"/>
        <v/>
      </c>
      <c r="W666" s="182" t="str">
        <f t="shared" si="131"/>
        <v/>
      </c>
    </row>
    <row r="667" spans="1:23" x14ac:dyDescent="0.2">
      <c r="A667" s="181"/>
      <c r="B667" s="181"/>
      <c r="C667" s="181"/>
      <c r="D667" s="181"/>
      <c r="E667" s="181"/>
      <c r="F667" s="181"/>
      <c r="G667" s="181"/>
      <c r="K667" s="182">
        <v>666</v>
      </c>
      <c r="L667" s="182" t="str">
        <f t="shared" si="120"/>
        <v/>
      </c>
      <c r="M667" s="182" t="str">
        <f t="shared" si="121"/>
        <v/>
      </c>
      <c r="N667" s="182" t="str">
        <f t="shared" si="122"/>
        <v/>
      </c>
      <c r="O667" s="182" t="str">
        <f t="shared" si="123"/>
        <v/>
      </c>
      <c r="P667" s="182" t="str">
        <f t="shared" si="124"/>
        <v/>
      </c>
      <c r="Q667" s="182" t="str">
        <f t="shared" si="125"/>
        <v/>
      </c>
      <c r="R667" s="182" t="str">
        <f t="shared" si="126"/>
        <v/>
      </c>
      <c r="S667" s="182" t="str">
        <f t="shared" si="127"/>
        <v/>
      </c>
      <c r="T667" s="182" t="str">
        <f t="shared" si="128"/>
        <v/>
      </c>
      <c r="U667" s="182" t="str">
        <f t="shared" si="129"/>
        <v/>
      </c>
      <c r="V667" s="182" t="str">
        <f t="shared" si="130"/>
        <v/>
      </c>
      <c r="W667" s="182" t="str">
        <f t="shared" si="131"/>
        <v/>
      </c>
    </row>
    <row r="668" spans="1:23" x14ac:dyDescent="0.2">
      <c r="A668" s="181"/>
      <c r="B668" s="181"/>
      <c r="C668" s="181"/>
      <c r="D668" s="181"/>
      <c r="E668" s="181"/>
      <c r="F668" s="181"/>
      <c r="G668" s="181"/>
      <c r="K668" s="182">
        <v>667</v>
      </c>
      <c r="L668" s="182" t="str">
        <f t="shared" si="120"/>
        <v/>
      </c>
      <c r="M668" s="182" t="str">
        <f t="shared" si="121"/>
        <v/>
      </c>
      <c r="N668" s="182" t="str">
        <f t="shared" si="122"/>
        <v/>
      </c>
      <c r="O668" s="182" t="str">
        <f t="shared" si="123"/>
        <v/>
      </c>
      <c r="P668" s="182" t="str">
        <f t="shared" si="124"/>
        <v/>
      </c>
      <c r="Q668" s="182" t="str">
        <f t="shared" si="125"/>
        <v/>
      </c>
      <c r="R668" s="182" t="str">
        <f t="shared" si="126"/>
        <v/>
      </c>
      <c r="S668" s="182" t="str">
        <f t="shared" si="127"/>
        <v/>
      </c>
      <c r="T668" s="182" t="str">
        <f t="shared" si="128"/>
        <v/>
      </c>
      <c r="U668" s="182" t="str">
        <f t="shared" si="129"/>
        <v/>
      </c>
      <c r="V668" s="182" t="str">
        <f t="shared" si="130"/>
        <v/>
      </c>
      <c r="W668" s="182" t="str">
        <f t="shared" si="131"/>
        <v/>
      </c>
    </row>
    <row r="669" spans="1:23" x14ac:dyDescent="0.2">
      <c r="A669" s="181"/>
      <c r="B669" s="181"/>
      <c r="C669" s="181"/>
      <c r="D669" s="181"/>
      <c r="E669" s="181"/>
      <c r="F669" s="181"/>
      <c r="G669" s="181"/>
      <c r="K669" s="182">
        <v>668</v>
      </c>
      <c r="L669" s="182" t="str">
        <f t="shared" si="120"/>
        <v/>
      </c>
      <c r="M669" s="182" t="str">
        <f t="shared" si="121"/>
        <v/>
      </c>
      <c r="N669" s="182" t="str">
        <f t="shared" si="122"/>
        <v/>
      </c>
      <c r="O669" s="182" t="str">
        <f t="shared" si="123"/>
        <v/>
      </c>
      <c r="P669" s="182" t="str">
        <f t="shared" si="124"/>
        <v/>
      </c>
      <c r="Q669" s="182" t="str">
        <f t="shared" si="125"/>
        <v/>
      </c>
      <c r="R669" s="182" t="str">
        <f t="shared" si="126"/>
        <v/>
      </c>
      <c r="S669" s="182" t="str">
        <f t="shared" si="127"/>
        <v/>
      </c>
      <c r="T669" s="182" t="str">
        <f t="shared" si="128"/>
        <v/>
      </c>
      <c r="U669" s="182" t="str">
        <f t="shared" si="129"/>
        <v/>
      </c>
      <c r="V669" s="182" t="str">
        <f t="shared" si="130"/>
        <v/>
      </c>
      <c r="W669" s="182" t="str">
        <f t="shared" si="131"/>
        <v/>
      </c>
    </row>
    <row r="670" spans="1:23" x14ac:dyDescent="0.2">
      <c r="A670" s="181"/>
      <c r="B670" s="181"/>
      <c r="C670" s="181"/>
      <c r="D670" s="181"/>
      <c r="E670" s="181"/>
      <c r="F670" s="181"/>
      <c r="G670" s="181"/>
      <c r="K670" s="182">
        <v>669</v>
      </c>
      <c r="L670" s="182" t="str">
        <f t="shared" si="120"/>
        <v/>
      </c>
      <c r="M670" s="182" t="str">
        <f t="shared" si="121"/>
        <v/>
      </c>
      <c r="N670" s="182" t="str">
        <f t="shared" si="122"/>
        <v/>
      </c>
      <c r="O670" s="182" t="str">
        <f t="shared" si="123"/>
        <v/>
      </c>
      <c r="P670" s="182" t="str">
        <f t="shared" si="124"/>
        <v/>
      </c>
      <c r="Q670" s="182" t="str">
        <f t="shared" si="125"/>
        <v/>
      </c>
      <c r="R670" s="182" t="str">
        <f t="shared" si="126"/>
        <v/>
      </c>
      <c r="S670" s="182" t="str">
        <f t="shared" si="127"/>
        <v/>
      </c>
      <c r="T670" s="182" t="str">
        <f t="shared" si="128"/>
        <v/>
      </c>
      <c r="U670" s="182" t="str">
        <f t="shared" si="129"/>
        <v/>
      </c>
      <c r="V670" s="182" t="str">
        <f t="shared" si="130"/>
        <v/>
      </c>
      <c r="W670" s="182" t="str">
        <f t="shared" si="131"/>
        <v/>
      </c>
    </row>
    <row r="671" spans="1:23" x14ac:dyDescent="0.2">
      <c r="A671" s="181"/>
      <c r="B671" s="181"/>
      <c r="C671" s="181"/>
      <c r="D671" s="181"/>
      <c r="E671" s="181"/>
      <c r="F671" s="181"/>
      <c r="G671" s="181"/>
      <c r="K671" s="182">
        <v>670</v>
      </c>
      <c r="L671" s="182" t="str">
        <f t="shared" si="120"/>
        <v/>
      </c>
      <c r="M671" s="182" t="str">
        <f t="shared" si="121"/>
        <v/>
      </c>
      <c r="N671" s="182" t="str">
        <f t="shared" si="122"/>
        <v/>
      </c>
      <c r="O671" s="182" t="str">
        <f t="shared" si="123"/>
        <v/>
      </c>
      <c r="P671" s="182" t="str">
        <f t="shared" si="124"/>
        <v/>
      </c>
      <c r="Q671" s="182" t="str">
        <f t="shared" si="125"/>
        <v/>
      </c>
      <c r="R671" s="182" t="str">
        <f t="shared" si="126"/>
        <v/>
      </c>
      <c r="S671" s="182" t="str">
        <f t="shared" si="127"/>
        <v/>
      </c>
      <c r="T671" s="182" t="str">
        <f t="shared" si="128"/>
        <v/>
      </c>
      <c r="U671" s="182" t="str">
        <f t="shared" si="129"/>
        <v/>
      </c>
      <c r="V671" s="182" t="str">
        <f t="shared" si="130"/>
        <v/>
      </c>
      <c r="W671" s="182" t="str">
        <f t="shared" si="131"/>
        <v/>
      </c>
    </row>
    <row r="672" spans="1:23" x14ac:dyDescent="0.2">
      <c r="A672" s="181"/>
      <c r="B672" s="181"/>
      <c r="C672" s="181"/>
      <c r="D672" s="181"/>
      <c r="E672" s="181"/>
      <c r="F672" s="181"/>
      <c r="G672" s="181"/>
      <c r="K672" s="182">
        <v>671</v>
      </c>
      <c r="L672" s="182" t="str">
        <f t="shared" si="120"/>
        <v/>
      </c>
      <c r="M672" s="182" t="str">
        <f t="shared" si="121"/>
        <v/>
      </c>
      <c r="N672" s="182" t="str">
        <f t="shared" si="122"/>
        <v/>
      </c>
      <c r="O672" s="182" t="str">
        <f t="shared" si="123"/>
        <v/>
      </c>
      <c r="P672" s="182" t="str">
        <f t="shared" si="124"/>
        <v/>
      </c>
      <c r="Q672" s="182" t="str">
        <f t="shared" si="125"/>
        <v/>
      </c>
      <c r="R672" s="182" t="str">
        <f t="shared" si="126"/>
        <v/>
      </c>
      <c r="S672" s="182" t="str">
        <f t="shared" si="127"/>
        <v/>
      </c>
      <c r="T672" s="182" t="str">
        <f t="shared" si="128"/>
        <v/>
      </c>
      <c r="U672" s="182" t="str">
        <f t="shared" si="129"/>
        <v/>
      </c>
      <c r="V672" s="182" t="str">
        <f t="shared" si="130"/>
        <v/>
      </c>
      <c r="W672" s="182" t="str">
        <f t="shared" si="131"/>
        <v/>
      </c>
    </row>
    <row r="673" spans="1:23" x14ac:dyDescent="0.2">
      <c r="A673" s="181"/>
      <c r="B673" s="181"/>
      <c r="C673" s="181"/>
      <c r="D673" s="181"/>
      <c r="E673" s="181"/>
      <c r="F673" s="181"/>
      <c r="G673" s="181"/>
      <c r="K673" s="182">
        <v>672</v>
      </c>
      <c r="L673" s="182" t="str">
        <f t="shared" si="120"/>
        <v/>
      </c>
      <c r="M673" s="182" t="str">
        <f t="shared" si="121"/>
        <v/>
      </c>
      <c r="N673" s="182" t="str">
        <f t="shared" si="122"/>
        <v/>
      </c>
      <c r="O673" s="182" t="str">
        <f t="shared" si="123"/>
        <v/>
      </c>
      <c r="P673" s="182" t="str">
        <f t="shared" si="124"/>
        <v/>
      </c>
      <c r="Q673" s="182" t="str">
        <f t="shared" si="125"/>
        <v/>
      </c>
      <c r="R673" s="182" t="str">
        <f t="shared" si="126"/>
        <v/>
      </c>
      <c r="S673" s="182" t="str">
        <f t="shared" si="127"/>
        <v/>
      </c>
      <c r="T673" s="182" t="str">
        <f t="shared" si="128"/>
        <v/>
      </c>
      <c r="U673" s="182" t="str">
        <f t="shared" si="129"/>
        <v/>
      </c>
      <c r="V673" s="182" t="str">
        <f t="shared" si="130"/>
        <v/>
      </c>
      <c r="W673" s="182" t="str">
        <f t="shared" si="131"/>
        <v/>
      </c>
    </row>
    <row r="674" spans="1:23" x14ac:dyDescent="0.2">
      <c r="A674" s="181"/>
      <c r="B674" s="181"/>
      <c r="C674" s="181"/>
      <c r="D674" s="181"/>
      <c r="E674" s="181"/>
      <c r="F674" s="181"/>
      <c r="G674" s="181"/>
      <c r="K674" s="182">
        <v>673</v>
      </c>
      <c r="L674" s="182" t="str">
        <f t="shared" si="120"/>
        <v/>
      </c>
      <c r="M674" s="182" t="str">
        <f t="shared" si="121"/>
        <v/>
      </c>
      <c r="N674" s="182" t="str">
        <f t="shared" si="122"/>
        <v/>
      </c>
      <c r="O674" s="182" t="str">
        <f t="shared" si="123"/>
        <v/>
      </c>
      <c r="P674" s="182" t="str">
        <f t="shared" si="124"/>
        <v/>
      </c>
      <c r="Q674" s="182" t="str">
        <f t="shared" si="125"/>
        <v/>
      </c>
      <c r="R674" s="182" t="str">
        <f t="shared" si="126"/>
        <v/>
      </c>
      <c r="S674" s="182" t="str">
        <f t="shared" si="127"/>
        <v/>
      </c>
      <c r="T674" s="182" t="str">
        <f t="shared" si="128"/>
        <v/>
      </c>
      <c r="U674" s="182" t="str">
        <f t="shared" si="129"/>
        <v/>
      </c>
      <c r="V674" s="182" t="str">
        <f t="shared" si="130"/>
        <v/>
      </c>
      <c r="W674" s="182" t="str">
        <f t="shared" si="131"/>
        <v/>
      </c>
    </row>
    <row r="675" spans="1:23" x14ac:dyDescent="0.2">
      <c r="A675" s="181"/>
      <c r="B675" s="181"/>
      <c r="C675" s="181"/>
      <c r="D675" s="181"/>
      <c r="E675" s="181"/>
      <c r="F675" s="181"/>
      <c r="G675" s="181"/>
      <c r="K675" s="182">
        <v>674</v>
      </c>
      <c r="L675" s="182" t="str">
        <f t="shared" si="120"/>
        <v/>
      </c>
      <c r="M675" s="182" t="str">
        <f t="shared" si="121"/>
        <v/>
      </c>
      <c r="N675" s="182" t="str">
        <f t="shared" si="122"/>
        <v/>
      </c>
      <c r="O675" s="182" t="str">
        <f t="shared" si="123"/>
        <v/>
      </c>
      <c r="P675" s="182" t="str">
        <f t="shared" si="124"/>
        <v/>
      </c>
      <c r="Q675" s="182" t="str">
        <f t="shared" si="125"/>
        <v/>
      </c>
      <c r="R675" s="182" t="str">
        <f t="shared" si="126"/>
        <v/>
      </c>
      <c r="S675" s="182" t="str">
        <f t="shared" si="127"/>
        <v/>
      </c>
      <c r="T675" s="182" t="str">
        <f t="shared" si="128"/>
        <v/>
      </c>
      <c r="U675" s="182" t="str">
        <f t="shared" si="129"/>
        <v/>
      </c>
      <c r="V675" s="182" t="str">
        <f t="shared" si="130"/>
        <v/>
      </c>
      <c r="W675" s="182" t="str">
        <f t="shared" si="131"/>
        <v/>
      </c>
    </row>
    <row r="676" spans="1:23" x14ac:dyDescent="0.2">
      <c r="A676" s="181"/>
      <c r="B676" s="181"/>
      <c r="C676" s="181"/>
      <c r="D676" s="181"/>
      <c r="E676" s="181"/>
      <c r="F676" s="181"/>
      <c r="G676" s="181"/>
      <c r="K676" s="182">
        <v>675</v>
      </c>
      <c r="L676" s="182" t="str">
        <f t="shared" si="120"/>
        <v/>
      </c>
      <c r="M676" s="182" t="str">
        <f t="shared" si="121"/>
        <v/>
      </c>
      <c r="N676" s="182" t="str">
        <f t="shared" si="122"/>
        <v/>
      </c>
      <c r="O676" s="182" t="str">
        <f t="shared" si="123"/>
        <v/>
      </c>
      <c r="P676" s="182" t="str">
        <f t="shared" si="124"/>
        <v/>
      </c>
      <c r="Q676" s="182" t="str">
        <f t="shared" si="125"/>
        <v/>
      </c>
      <c r="R676" s="182" t="str">
        <f t="shared" si="126"/>
        <v/>
      </c>
      <c r="S676" s="182" t="str">
        <f t="shared" si="127"/>
        <v/>
      </c>
      <c r="T676" s="182" t="str">
        <f t="shared" si="128"/>
        <v/>
      </c>
      <c r="U676" s="182" t="str">
        <f t="shared" si="129"/>
        <v/>
      </c>
      <c r="V676" s="182" t="str">
        <f t="shared" si="130"/>
        <v/>
      </c>
      <c r="W676" s="182" t="str">
        <f t="shared" si="131"/>
        <v/>
      </c>
    </row>
    <row r="677" spans="1:23" x14ac:dyDescent="0.2">
      <c r="A677" s="181"/>
      <c r="B677" s="181"/>
      <c r="C677" s="181"/>
      <c r="D677" s="181"/>
      <c r="E677" s="181"/>
      <c r="F677" s="181"/>
      <c r="G677" s="181"/>
      <c r="K677" s="182">
        <v>676</v>
      </c>
      <c r="L677" s="182" t="str">
        <f t="shared" si="120"/>
        <v/>
      </c>
      <c r="M677" s="182" t="str">
        <f t="shared" si="121"/>
        <v/>
      </c>
      <c r="N677" s="182" t="str">
        <f t="shared" si="122"/>
        <v/>
      </c>
      <c r="O677" s="182" t="str">
        <f t="shared" si="123"/>
        <v/>
      </c>
      <c r="P677" s="182" t="str">
        <f t="shared" si="124"/>
        <v/>
      </c>
      <c r="Q677" s="182" t="str">
        <f t="shared" si="125"/>
        <v/>
      </c>
      <c r="R677" s="182" t="str">
        <f t="shared" si="126"/>
        <v/>
      </c>
      <c r="S677" s="182" t="str">
        <f t="shared" si="127"/>
        <v/>
      </c>
      <c r="T677" s="182" t="str">
        <f t="shared" si="128"/>
        <v/>
      </c>
      <c r="U677" s="182" t="str">
        <f t="shared" si="129"/>
        <v/>
      </c>
      <c r="V677" s="182" t="str">
        <f t="shared" si="130"/>
        <v/>
      </c>
      <c r="W677" s="182" t="str">
        <f t="shared" si="131"/>
        <v/>
      </c>
    </row>
    <row r="678" spans="1:23" x14ac:dyDescent="0.2">
      <c r="A678" s="181"/>
      <c r="B678" s="181"/>
      <c r="C678" s="181"/>
      <c r="D678" s="181"/>
      <c r="E678" s="181"/>
      <c r="F678" s="181"/>
      <c r="G678" s="181"/>
      <c r="K678" s="182">
        <v>677</v>
      </c>
      <c r="L678" s="182" t="str">
        <f t="shared" si="120"/>
        <v/>
      </c>
      <c r="M678" s="182" t="str">
        <f t="shared" si="121"/>
        <v/>
      </c>
      <c r="N678" s="182" t="str">
        <f t="shared" si="122"/>
        <v/>
      </c>
      <c r="O678" s="182" t="str">
        <f t="shared" si="123"/>
        <v/>
      </c>
      <c r="P678" s="182" t="str">
        <f t="shared" si="124"/>
        <v/>
      </c>
      <c r="Q678" s="182" t="str">
        <f t="shared" si="125"/>
        <v/>
      </c>
      <c r="R678" s="182" t="str">
        <f t="shared" si="126"/>
        <v/>
      </c>
      <c r="S678" s="182" t="str">
        <f t="shared" si="127"/>
        <v/>
      </c>
      <c r="T678" s="182" t="str">
        <f t="shared" si="128"/>
        <v/>
      </c>
      <c r="U678" s="182" t="str">
        <f t="shared" si="129"/>
        <v/>
      </c>
      <c r="V678" s="182" t="str">
        <f t="shared" si="130"/>
        <v/>
      </c>
      <c r="W678" s="182" t="str">
        <f t="shared" si="131"/>
        <v/>
      </c>
    </row>
    <row r="679" spans="1:23" x14ac:dyDescent="0.2">
      <c r="A679" s="181"/>
      <c r="B679" s="181"/>
      <c r="C679" s="181"/>
      <c r="D679" s="181"/>
      <c r="E679" s="181"/>
      <c r="F679" s="181"/>
      <c r="G679" s="181"/>
      <c r="K679" s="182">
        <v>678</v>
      </c>
      <c r="L679" s="182" t="str">
        <f t="shared" si="120"/>
        <v/>
      </c>
      <c r="M679" s="182" t="str">
        <f t="shared" si="121"/>
        <v/>
      </c>
      <c r="N679" s="182" t="str">
        <f t="shared" si="122"/>
        <v/>
      </c>
      <c r="O679" s="182" t="str">
        <f t="shared" si="123"/>
        <v/>
      </c>
      <c r="P679" s="182" t="str">
        <f t="shared" si="124"/>
        <v/>
      </c>
      <c r="Q679" s="182" t="str">
        <f t="shared" si="125"/>
        <v/>
      </c>
      <c r="R679" s="182" t="str">
        <f t="shared" si="126"/>
        <v/>
      </c>
      <c r="S679" s="182" t="str">
        <f t="shared" si="127"/>
        <v/>
      </c>
      <c r="T679" s="182" t="str">
        <f t="shared" si="128"/>
        <v/>
      </c>
      <c r="U679" s="182" t="str">
        <f t="shared" si="129"/>
        <v/>
      </c>
      <c r="V679" s="182" t="str">
        <f t="shared" si="130"/>
        <v/>
      </c>
      <c r="W679" s="182" t="str">
        <f t="shared" si="131"/>
        <v/>
      </c>
    </row>
    <row r="680" spans="1:23" x14ac:dyDescent="0.2">
      <c r="A680" s="181"/>
      <c r="B680" s="181"/>
      <c r="C680" s="181"/>
      <c r="D680" s="181"/>
      <c r="E680" s="181"/>
      <c r="F680" s="181"/>
      <c r="G680" s="181"/>
      <c r="K680" s="182">
        <v>679</v>
      </c>
      <c r="L680" s="182" t="str">
        <f t="shared" si="120"/>
        <v/>
      </c>
      <c r="M680" s="182" t="str">
        <f t="shared" si="121"/>
        <v/>
      </c>
      <c r="N680" s="182" t="str">
        <f t="shared" si="122"/>
        <v/>
      </c>
      <c r="O680" s="182" t="str">
        <f t="shared" si="123"/>
        <v/>
      </c>
      <c r="P680" s="182" t="str">
        <f t="shared" si="124"/>
        <v/>
      </c>
      <c r="Q680" s="182" t="str">
        <f t="shared" si="125"/>
        <v/>
      </c>
      <c r="R680" s="182" t="str">
        <f t="shared" si="126"/>
        <v/>
      </c>
      <c r="S680" s="182" t="str">
        <f t="shared" si="127"/>
        <v/>
      </c>
      <c r="T680" s="182" t="str">
        <f t="shared" si="128"/>
        <v/>
      </c>
      <c r="U680" s="182" t="str">
        <f t="shared" si="129"/>
        <v/>
      </c>
      <c r="V680" s="182" t="str">
        <f t="shared" si="130"/>
        <v/>
      </c>
      <c r="W680" s="182" t="str">
        <f t="shared" si="131"/>
        <v/>
      </c>
    </row>
    <row r="681" spans="1:23" x14ac:dyDescent="0.2">
      <c r="A681" s="181"/>
      <c r="B681" s="181"/>
      <c r="C681" s="181"/>
      <c r="D681" s="181"/>
      <c r="E681" s="181"/>
      <c r="F681" s="181"/>
      <c r="G681" s="181"/>
      <c r="K681" s="182">
        <v>680</v>
      </c>
      <c r="L681" s="182" t="str">
        <f t="shared" si="120"/>
        <v/>
      </c>
      <c r="M681" s="182" t="str">
        <f t="shared" si="121"/>
        <v/>
      </c>
      <c r="N681" s="182" t="str">
        <f t="shared" si="122"/>
        <v/>
      </c>
      <c r="O681" s="182" t="str">
        <f t="shared" si="123"/>
        <v/>
      </c>
      <c r="P681" s="182" t="str">
        <f t="shared" si="124"/>
        <v/>
      </c>
      <c r="Q681" s="182" t="str">
        <f t="shared" si="125"/>
        <v/>
      </c>
      <c r="R681" s="182" t="str">
        <f t="shared" si="126"/>
        <v/>
      </c>
      <c r="S681" s="182" t="str">
        <f t="shared" si="127"/>
        <v/>
      </c>
      <c r="T681" s="182" t="str">
        <f t="shared" si="128"/>
        <v/>
      </c>
      <c r="U681" s="182" t="str">
        <f t="shared" si="129"/>
        <v/>
      </c>
      <c r="V681" s="182" t="str">
        <f t="shared" si="130"/>
        <v/>
      </c>
      <c r="W681" s="182" t="str">
        <f t="shared" si="131"/>
        <v/>
      </c>
    </row>
    <row r="682" spans="1:23" x14ac:dyDescent="0.2">
      <c r="A682" s="181"/>
      <c r="B682" s="181"/>
      <c r="C682" s="181"/>
      <c r="D682" s="181"/>
      <c r="E682" s="181"/>
      <c r="F682" s="181"/>
      <c r="G682" s="181"/>
      <c r="K682" s="182">
        <v>681</v>
      </c>
      <c r="L682" s="182" t="str">
        <f t="shared" si="120"/>
        <v/>
      </c>
      <c r="M682" s="182" t="str">
        <f t="shared" si="121"/>
        <v/>
      </c>
      <c r="N682" s="182" t="str">
        <f t="shared" si="122"/>
        <v/>
      </c>
      <c r="O682" s="182" t="str">
        <f t="shared" si="123"/>
        <v/>
      </c>
      <c r="P682" s="182" t="str">
        <f t="shared" si="124"/>
        <v/>
      </c>
      <c r="Q682" s="182" t="str">
        <f t="shared" si="125"/>
        <v/>
      </c>
      <c r="R682" s="182" t="str">
        <f t="shared" si="126"/>
        <v/>
      </c>
      <c r="S682" s="182" t="str">
        <f t="shared" si="127"/>
        <v/>
      </c>
      <c r="T682" s="182" t="str">
        <f t="shared" si="128"/>
        <v/>
      </c>
      <c r="U682" s="182" t="str">
        <f t="shared" si="129"/>
        <v/>
      </c>
      <c r="V682" s="182" t="str">
        <f t="shared" si="130"/>
        <v/>
      </c>
      <c r="W682" s="182" t="str">
        <f t="shared" si="131"/>
        <v/>
      </c>
    </row>
    <row r="683" spans="1:23" x14ac:dyDescent="0.2">
      <c r="A683" s="181"/>
      <c r="B683" s="181"/>
      <c r="C683" s="181"/>
      <c r="D683" s="181"/>
      <c r="E683" s="181"/>
      <c r="F683" s="181"/>
      <c r="G683" s="181"/>
      <c r="K683" s="182">
        <v>682</v>
      </c>
      <c r="L683" s="182" t="str">
        <f t="shared" si="120"/>
        <v/>
      </c>
      <c r="M683" s="182" t="str">
        <f t="shared" si="121"/>
        <v/>
      </c>
      <c r="N683" s="182" t="str">
        <f t="shared" si="122"/>
        <v/>
      </c>
      <c r="O683" s="182" t="str">
        <f t="shared" si="123"/>
        <v/>
      </c>
      <c r="P683" s="182" t="str">
        <f t="shared" si="124"/>
        <v/>
      </c>
      <c r="Q683" s="182" t="str">
        <f t="shared" si="125"/>
        <v/>
      </c>
      <c r="R683" s="182" t="str">
        <f t="shared" si="126"/>
        <v/>
      </c>
      <c r="S683" s="182" t="str">
        <f t="shared" si="127"/>
        <v/>
      </c>
      <c r="T683" s="182" t="str">
        <f t="shared" si="128"/>
        <v/>
      </c>
      <c r="U683" s="182" t="str">
        <f t="shared" si="129"/>
        <v/>
      </c>
      <c r="V683" s="182" t="str">
        <f t="shared" si="130"/>
        <v/>
      </c>
      <c r="W683" s="182" t="str">
        <f t="shared" si="131"/>
        <v/>
      </c>
    </row>
    <row r="684" spans="1:23" x14ac:dyDescent="0.2">
      <c r="A684" s="181"/>
      <c r="B684" s="181"/>
      <c r="C684" s="181"/>
      <c r="D684" s="181"/>
      <c r="E684" s="181"/>
      <c r="F684" s="181"/>
      <c r="G684" s="181"/>
      <c r="K684" s="182">
        <v>683</v>
      </c>
      <c r="L684" s="182" t="str">
        <f t="shared" si="120"/>
        <v/>
      </c>
      <c r="M684" s="182" t="str">
        <f t="shared" si="121"/>
        <v/>
      </c>
      <c r="N684" s="182" t="str">
        <f t="shared" si="122"/>
        <v/>
      </c>
      <c r="O684" s="182" t="str">
        <f t="shared" si="123"/>
        <v/>
      </c>
      <c r="P684" s="182" t="str">
        <f t="shared" si="124"/>
        <v/>
      </c>
      <c r="Q684" s="182" t="str">
        <f t="shared" si="125"/>
        <v/>
      </c>
      <c r="R684" s="182" t="str">
        <f t="shared" si="126"/>
        <v/>
      </c>
      <c r="S684" s="182" t="str">
        <f t="shared" si="127"/>
        <v/>
      </c>
      <c r="T684" s="182" t="str">
        <f t="shared" si="128"/>
        <v/>
      </c>
      <c r="U684" s="182" t="str">
        <f t="shared" si="129"/>
        <v/>
      </c>
      <c r="V684" s="182" t="str">
        <f t="shared" si="130"/>
        <v/>
      </c>
      <c r="W684" s="182" t="str">
        <f t="shared" si="131"/>
        <v/>
      </c>
    </row>
    <row r="685" spans="1:23" x14ac:dyDescent="0.2">
      <c r="A685" s="181"/>
      <c r="B685" s="181"/>
      <c r="C685" s="181"/>
      <c r="D685" s="181"/>
      <c r="E685" s="181"/>
      <c r="F685" s="181"/>
      <c r="G685" s="181"/>
      <c r="K685" s="182">
        <v>684</v>
      </c>
      <c r="L685" s="182" t="str">
        <f t="shared" si="120"/>
        <v/>
      </c>
      <c r="M685" s="182" t="str">
        <f t="shared" si="121"/>
        <v/>
      </c>
      <c r="N685" s="182" t="str">
        <f t="shared" si="122"/>
        <v/>
      </c>
      <c r="O685" s="182" t="str">
        <f t="shared" si="123"/>
        <v/>
      </c>
      <c r="P685" s="182" t="str">
        <f t="shared" si="124"/>
        <v/>
      </c>
      <c r="Q685" s="182" t="str">
        <f t="shared" si="125"/>
        <v/>
      </c>
      <c r="R685" s="182" t="str">
        <f t="shared" si="126"/>
        <v/>
      </c>
      <c r="S685" s="182" t="str">
        <f t="shared" si="127"/>
        <v/>
      </c>
      <c r="T685" s="182" t="str">
        <f t="shared" si="128"/>
        <v/>
      </c>
      <c r="U685" s="182" t="str">
        <f t="shared" si="129"/>
        <v/>
      </c>
      <c r="V685" s="182" t="str">
        <f t="shared" si="130"/>
        <v/>
      </c>
      <c r="W685" s="182" t="str">
        <f t="shared" si="131"/>
        <v/>
      </c>
    </row>
    <row r="686" spans="1:23" x14ac:dyDescent="0.2">
      <c r="A686" s="181"/>
      <c r="B686" s="181"/>
      <c r="C686" s="181"/>
      <c r="D686" s="181"/>
      <c r="E686" s="181"/>
      <c r="F686" s="181"/>
      <c r="G686" s="181"/>
      <c r="K686" s="182">
        <v>685</v>
      </c>
      <c r="L686" s="182" t="str">
        <f t="shared" si="120"/>
        <v/>
      </c>
      <c r="M686" s="182" t="str">
        <f t="shared" si="121"/>
        <v/>
      </c>
      <c r="N686" s="182" t="str">
        <f t="shared" si="122"/>
        <v/>
      </c>
      <c r="O686" s="182" t="str">
        <f t="shared" si="123"/>
        <v/>
      </c>
      <c r="P686" s="182" t="str">
        <f t="shared" si="124"/>
        <v/>
      </c>
      <c r="Q686" s="182" t="str">
        <f t="shared" si="125"/>
        <v/>
      </c>
      <c r="R686" s="182" t="str">
        <f t="shared" si="126"/>
        <v/>
      </c>
      <c r="S686" s="182" t="str">
        <f t="shared" si="127"/>
        <v/>
      </c>
      <c r="T686" s="182" t="str">
        <f t="shared" si="128"/>
        <v/>
      </c>
      <c r="U686" s="182" t="str">
        <f t="shared" si="129"/>
        <v/>
      </c>
      <c r="V686" s="182" t="str">
        <f t="shared" si="130"/>
        <v/>
      </c>
      <c r="W686" s="182" t="str">
        <f t="shared" si="131"/>
        <v/>
      </c>
    </row>
    <row r="687" spans="1:23" x14ac:dyDescent="0.2">
      <c r="A687" s="181"/>
      <c r="B687" s="181"/>
      <c r="C687" s="181"/>
      <c r="D687" s="181"/>
      <c r="E687" s="181"/>
      <c r="F687" s="181"/>
      <c r="G687" s="181"/>
      <c r="K687" s="182">
        <v>686</v>
      </c>
      <c r="L687" s="182" t="str">
        <f t="shared" si="120"/>
        <v/>
      </c>
      <c r="M687" s="182" t="str">
        <f t="shared" si="121"/>
        <v/>
      </c>
      <c r="N687" s="182" t="str">
        <f t="shared" si="122"/>
        <v/>
      </c>
      <c r="O687" s="182" t="str">
        <f t="shared" si="123"/>
        <v/>
      </c>
      <c r="P687" s="182" t="str">
        <f t="shared" si="124"/>
        <v/>
      </c>
      <c r="Q687" s="182" t="str">
        <f t="shared" si="125"/>
        <v/>
      </c>
      <c r="R687" s="182" t="str">
        <f t="shared" si="126"/>
        <v/>
      </c>
      <c r="S687" s="182" t="str">
        <f t="shared" si="127"/>
        <v/>
      </c>
      <c r="T687" s="182" t="str">
        <f t="shared" si="128"/>
        <v/>
      </c>
      <c r="U687" s="182" t="str">
        <f t="shared" si="129"/>
        <v/>
      </c>
      <c r="V687" s="182" t="str">
        <f t="shared" si="130"/>
        <v/>
      </c>
      <c r="W687" s="182" t="str">
        <f t="shared" si="131"/>
        <v/>
      </c>
    </row>
    <row r="688" spans="1:23" x14ac:dyDescent="0.2">
      <c r="A688" s="181"/>
      <c r="B688" s="181"/>
      <c r="C688" s="181"/>
      <c r="D688" s="181"/>
      <c r="E688" s="181"/>
      <c r="F688" s="181"/>
      <c r="G688" s="181"/>
      <c r="K688" s="182">
        <v>687</v>
      </c>
      <c r="L688" s="182" t="str">
        <f t="shared" si="120"/>
        <v/>
      </c>
      <c r="M688" s="182" t="str">
        <f t="shared" si="121"/>
        <v/>
      </c>
      <c r="N688" s="182" t="str">
        <f t="shared" si="122"/>
        <v/>
      </c>
      <c r="O688" s="182" t="str">
        <f t="shared" si="123"/>
        <v/>
      </c>
      <c r="P688" s="182" t="str">
        <f t="shared" si="124"/>
        <v/>
      </c>
      <c r="Q688" s="182" t="str">
        <f t="shared" si="125"/>
        <v/>
      </c>
      <c r="R688" s="182" t="str">
        <f t="shared" si="126"/>
        <v/>
      </c>
      <c r="S688" s="182" t="str">
        <f t="shared" si="127"/>
        <v/>
      </c>
      <c r="T688" s="182" t="str">
        <f t="shared" si="128"/>
        <v/>
      </c>
      <c r="U688" s="182" t="str">
        <f t="shared" si="129"/>
        <v/>
      </c>
      <c r="V688" s="182" t="str">
        <f t="shared" si="130"/>
        <v/>
      </c>
      <c r="W688" s="182" t="str">
        <f t="shared" si="131"/>
        <v/>
      </c>
    </row>
    <row r="689" spans="1:23" x14ac:dyDescent="0.2">
      <c r="A689" s="181"/>
      <c r="B689" s="181"/>
      <c r="C689" s="181"/>
      <c r="D689" s="181"/>
      <c r="E689" s="181"/>
      <c r="F689" s="181"/>
      <c r="G689" s="181"/>
      <c r="K689" s="182">
        <v>688</v>
      </c>
      <c r="L689" s="182" t="str">
        <f t="shared" si="120"/>
        <v/>
      </c>
      <c r="M689" s="182" t="str">
        <f t="shared" si="121"/>
        <v/>
      </c>
      <c r="N689" s="182" t="str">
        <f t="shared" si="122"/>
        <v/>
      </c>
      <c r="O689" s="182" t="str">
        <f t="shared" si="123"/>
        <v/>
      </c>
      <c r="P689" s="182" t="str">
        <f t="shared" si="124"/>
        <v/>
      </c>
      <c r="Q689" s="182" t="str">
        <f t="shared" si="125"/>
        <v/>
      </c>
      <c r="R689" s="182" t="str">
        <f t="shared" si="126"/>
        <v/>
      </c>
      <c r="S689" s="182" t="str">
        <f t="shared" si="127"/>
        <v/>
      </c>
      <c r="T689" s="182" t="str">
        <f t="shared" si="128"/>
        <v/>
      </c>
      <c r="U689" s="182" t="str">
        <f t="shared" si="129"/>
        <v/>
      </c>
      <c r="V689" s="182" t="str">
        <f t="shared" si="130"/>
        <v/>
      </c>
      <c r="W689" s="182" t="str">
        <f t="shared" si="131"/>
        <v/>
      </c>
    </row>
    <row r="690" spans="1:23" x14ac:dyDescent="0.2">
      <c r="A690" s="181"/>
      <c r="B690" s="181"/>
      <c r="C690" s="181"/>
      <c r="D690" s="181"/>
      <c r="E690" s="181"/>
      <c r="F690" s="181"/>
      <c r="G690" s="181"/>
      <c r="K690" s="182">
        <v>689</v>
      </c>
      <c r="L690" s="182" t="str">
        <f t="shared" si="120"/>
        <v/>
      </c>
      <c r="M690" s="182" t="str">
        <f t="shared" si="121"/>
        <v/>
      </c>
      <c r="N690" s="182" t="str">
        <f t="shared" si="122"/>
        <v/>
      </c>
      <c r="O690" s="182" t="str">
        <f t="shared" si="123"/>
        <v/>
      </c>
      <c r="P690" s="182" t="str">
        <f t="shared" si="124"/>
        <v/>
      </c>
      <c r="Q690" s="182" t="str">
        <f t="shared" si="125"/>
        <v/>
      </c>
      <c r="R690" s="182" t="str">
        <f t="shared" si="126"/>
        <v/>
      </c>
      <c r="S690" s="182" t="str">
        <f t="shared" si="127"/>
        <v/>
      </c>
      <c r="T690" s="182" t="str">
        <f t="shared" si="128"/>
        <v/>
      </c>
      <c r="U690" s="182" t="str">
        <f t="shared" si="129"/>
        <v/>
      </c>
      <c r="V690" s="182" t="str">
        <f t="shared" si="130"/>
        <v/>
      </c>
      <c r="W690" s="182" t="str">
        <f t="shared" si="131"/>
        <v/>
      </c>
    </row>
    <row r="691" spans="1:23" x14ac:dyDescent="0.2">
      <c r="A691" s="181"/>
      <c r="B691" s="181"/>
      <c r="C691" s="181"/>
      <c r="D691" s="181"/>
      <c r="E691" s="181"/>
      <c r="F691" s="181"/>
      <c r="G691" s="181"/>
      <c r="K691" s="182">
        <v>690</v>
      </c>
      <c r="L691" s="182" t="str">
        <f t="shared" si="120"/>
        <v/>
      </c>
      <c r="M691" s="182" t="str">
        <f t="shared" si="121"/>
        <v/>
      </c>
      <c r="N691" s="182" t="str">
        <f t="shared" si="122"/>
        <v/>
      </c>
      <c r="O691" s="182" t="str">
        <f t="shared" si="123"/>
        <v/>
      </c>
      <c r="P691" s="182" t="str">
        <f t="shared" si="124"/>
        <v/>
      </c>
      <c r="Q691" s="182" t="str">
        <f t="shared" si="125"/>
        <v/>
      </c>
      <c r="R691" s="182" t="str">
        <f t="shared" si="126"/>
        <v/>
      </c>
      <c r="S691" s="182" t="str">
        <f t="shared" si="127"/>
        <v/>
      </c>
      <c r="T691" s="182" t="str">
        <f t="shared" si="128"/>
        <v/>
      </c>
      <c r="U691" s="182" t="str">
        <f t="shared" si="129"/>
        <v/>
      </c>
      <c r="V691" s="182" t="str">
        <f t="shared" si="130"/>
        <v/>
      </c>
      <c r="W691" s="182" t="str">
        <f t="shared" si="131"/>
        <v/>
      </c>
    </row>
    <row r="692" spans="1:23" x14ac:dyDescent="0.2">
      <c r="A692" s="181"/>
      <c r="B692" s="181"/>
      <c r="C692" s="181"/>
      <c r="D692" s="181"/>
      <c r="E692" s="181"/>
      <c r="F692" s="181"/>
      <c r="G692" s="181"/>
      <c r="K692" s="182">
        <v>691</v>
      </c>
      <c r="L692" s="182" t="str">
        <f t="shared" si="120"/>
        <v/>
      </c>
      <c r="M692" s="182" t="str">
        <f t="shared" si="121"/>
        <v/>
      </c>
      <c r="N692" s="182" t="str">
        <f t="shared" si="122"/>
        <v/>
      </c>
      <c r="O692" s="182" t="str">
        <f t="shared" si="123"/>
        <v/>
      </c>
      <c r="P692" s="182" t="str">
        <f t="shared" si="124"/>
        <v/>
      </c>
      <c r="Q692" s="182" t="str">
        <f t="shared" si="125"/>
        <v/>
      </c>
      <c r="R692" s="182" t="str">
        <f t="shared" si="126"/>
        <v/>
      </c>
      <c r="S692" s="182" t="str">
        <f t="shared" si="127"/>
        <v/>
      </c>
      <c r="T692" s="182" t="str">
        <f t="shared" si="128"/>
        <v/>
      </c>
      <c r="U692" s="182" t="str">
        <f t="shared" si="129"/>
        <v/>
      </c>
      <c r="V692" s="182" t="str">
        <f t="shared" si="130"/>
        <v/>
      </c>
      <c r="W692" s="182" t="str">
        <f t="shared" si="131"/>
        <v/>
      </c>
    </row>
    <row r="693" spans="1:23" x14ac:dyDescent="0.2">
      <c r="A693" s="181"/>
      <c r="B693" s="181"/>
      <c r="C693" s="181"/>
      <c r="D693" s="181"/>
      <c r="E693" s="181"/>
      <c r="F693" s="181"/>
      <c r="G693" s="181"/>
      <c r="K693" s="182">
        <v>692</v>
      </c>
      <c r="L693" s="182" t="str">
        <f t="shared" si="120"/>
        <v/>
      </c>
      <c r="M693" s="182" t="str">
        <f t="shared" si="121"/>
        <v/>
      </c>
      <c r="N693" s="182" t="str">
        <f t="shared" si="122"/>
        <v/>
      </c>
      <c r="O693" s="182" t="str">
        <f t="shared" si="123"/>
        <v/>
      </c>
      <c r="P693" s="182" t="str">
        <f t="shared" si="124"/>
        <v/>
      </c>
      <c r="Q693" s="182" t="str">
        <f t="shared" si="125"/>
        <v/>
      </c>
      <c r="R693" s="182" t="str">
        <f t="shared" si="126"/>
        <v/>
      </c>
      <c r="S693" s="182" t="str">
        <f t="shared" si="127"/>
        <v/>
      </c>
      <c r="T693" s="182" t="str">
        <f t="shared" si="128"/>
        <v/>
      </c>
      <c r="U693" s="182" t="str">
        <f t="shared" si="129"/>
        <v/>
      </c>
      <c r="V693" s="182" t="str">
        <f t="shared" si="130"/>
        <v/>
      </c>
      <c r="W693" s="182" t="str">
        <f t="shared" si="131"/>
        <v/>
      </c>
    </row>
    <row r="694" spans="1:23" x14ac:dyDescent="0.2">
      <c r="A694" s="181"/>
      <c r="B694" s="181"/>
      <c r="C694" s="181"/>
      <c r="D694" s="181"/>
      <c r="E694" s="181"/>
      <c r="F694" s="181"/>
      <c r="G694" s="181"/>
      <c r="K694" s="182">
        <v>693</v>
      </c>
      <c r="L694" s="182" t="str">
        <f t="shared" si="120"/>
        <v/>
      </c>
      <c r="M694" s="182" t="str">
        <f t="shared" si="121"/>
        <v/>
      </c>
      <c r="N694" s="182" t="str">
        <f t="shared" si="122"/>
        <v/>
      </c>
      <c r="O694" s="182" t="str">
        <f t="shared" si="123"/>
        <v/>
      </c>
      <c r="P694" s="182" t="str">
        <f t="shared" si="124"/>
        <v/>
      </c>
      <c r="Q694" s="182" t="str">
        <f t="shared" si="125"/>
        <v/>
      </c>
      <c r="R694" s="182" t="str">
        <f t="shared" si="126"/>
        <v/>
      </c>
      <c r="S694" s="182" t="str">
        <f t="shared" si="127"/>
        <v/>
      </c>
      <c r="T694" s="182" t="str">
        <f t="shared" si="128"/>
        <v/>
      </c>
      <c r="U694" s="182" t="str">
        <f t="shared" si="129"/>
        <v/>
      </c>
      <c r="V694" s="182" t="str">
        <f t="shared" si="130"/>
        <v/>
      </c>
      <c r="W694" s="182" t="str">
        <f t="shared" si="131"/>
        <v/>
      </c>
    </row>
    <row r="695" spans="1:23" x14ac:dyDescent="0.2">
      <c r="A695" s="181"/>
      <c r="B695" s="181"/>
      <c r="C695" s="181"/>
      <c r="D695" s="181"/>
      <c r="E695" s="181"/>
      <c r="F695" s="181"/>
      <c r="G695" s="181"/>
      <c r="K695" s="182">
        <v>694</v>
      </c>
      <c r="L695" s="182" t="str">
        <f t="shared" si="120"/>
        <v/>
      </c>
      <c r="M695" s="182" t="str">
        <f t="shared" si="121"/>
        <v/>
      </c>
      <c r="N695" s="182" t="str">
        <f t="shared" si="122"/>
        <v/>
      </c>
      <c r="O695" s="182" t="str">
        <f t="shared" si="123"/>
        <v/>
      </c>
      <c r="P695" s="182" t="str">
        <f t="shared" si="124"/>
        <v/>
      </c>
      <c r="Q695" s="182" t="str">
        <f t="shared" si="125"/>
        <v/>
      </c>
      <c r="R695" s="182" t="str">
        <f t="shared" si="126"/>
        <v/>
      </c>
      <c r="S695" s="182" t="str">
        <f t="shared" si="127"/>
        <v/>
      </c>
      <c r="T695" s="182" t="str">
        <f t="shared" si="128"/>
        <v/>
      </c>
      <c r="U695" s="182" t="str">
        <f t="shared" si="129"/>
        <v/>
      </c>
      <c r="V695" s="182" t="str">
        <f t="shared" si="130"/>
        <v/>
      </c>
      <c r="W695" s="182" t="str">
        <f t="shared" si="131"/>
        <v/>
      </c>
    </row>
    <row r="696" spans="1:23" x14ac:dyDescent="0.2">
      <c r="A696" s="181"/>
      <c r="B696" s="181"/>
      <c r="C696" s="181"/>
      <c r="D696" s="181"/>
      <c r="E696" s="181"/>
      <c r="F696" s="181"/>
      <c r="G696" s="181"/>
      <c r="K696" s="182">
        <v>695</v>
      </c>
      <c r="L696" s="182" t="str">
        <f t="shared" si="120"/>
        <v/>
      </c>
      <c r="M696" s="182" t="str">
        <f t="shared" si="121"/>
        <v/>
      </c>
      <c r="N696" s="182" t="str">
        <f t="shared" si="122"/>
        <v/>
      </c>
      <c r="O696" s="182" t="str">
        <f t="shared" si="123"/>
        <v/>
      </c>
      <c r="P696" s="182" t="str">
        <f t="shared" si="124"/>
        <v/>
      </c>
      <c r="Q696" s="182" t="str">
        <f t="shared" si="125"/>
        <v/>
      </c>
      <c r="R696" s="182" t="str">
        <f t="shared" si="126"/>
        <v/>
      </c>
      <c r="S696" s="182" t="str">
        <f t="shared" si="127"/>
        <v/>
      </c>
      <c r="T696" s="182" t="str">
        <f t="shared" si="128"/>
        <v/>
      </c>
      <c r="U696" s="182" t="str">
        <f t="shared" si="129"/>
        <v/>
      </c>
      <c r="V696" s="182" t="str">
        <f t="shared" si="130"/>
        <v/>
      </c>
      <c r="W696" s="182" t="str">
        <f t="shared" si="131"/>
        <v/>
      </c>
    </row>
    <row r="697" spans="1:23" x14ac:dyDescent="0.2">
      <c r="A697" s="181"/>
      <c r="B697" s="181"/>
      <c r="C697" s="181"/>
      <c r="D697" s="181"/>
      <c r="E697" s="181"/>
      <c r="F697" s="181"/>
      <c r="G697" s="181"/>
      <c r="K697" s="182">
        <v>696</v>
      </c>
      <c r="L697" s="182" t="str">
        <f t="shared" si="120"/>
        <v/>
      </c>
      <c r="M697" s="182" t="str">
        <f t="shared" si="121"/>
        <v/>
      </c>
      <c r="N697" s="182" t="str">
        <f t="shared" si="122"/>
        <v/>
      </c>
      <c r="O697" s="182" t="str">
        <f t="shared" si="123"/>
        <v/>
      </c>
      <c r="P697" s="182" t="str">
        <f t="shared" si="124"/>
        <v/>
      </c>
      <c r="Q697" s="182" t="str">
        <f t="shared" si="125"/>
        <v/>
      </c>
      <c r="R697" s="182" t="str">
        <f t="shared" si="126"/>
        <v/>
      </c>
      <c r="S697" s="182" t="str">
        <f t="shared" si="127"/>
        <v/>
      </c>
      <c r="T697" s="182" t="str">
        <f t="shared" si="128"/>
        <v/>
      </c>
      <c r="U697" s="182" t="str">
        <f t="shared" si="129"/>
        <v/>
      </c>
      <c r="V697" s="182" t="str">
        <f t="shared" si="130"/>
        <v/>
      </c>
      <c r="W697" s="182" t="str">
        <f t="shared" si="131"/>
        <v/>
      </c>
    </row>
    <row r="698" spans="1:23" x14ac:dyDescent="0.2">
      <c r="A698" s="181"/>
      <c r="B698" s="181"/>
      <c r="C698" s="181"/>
      <c r="D698" s="181"/>
      <c r="E698" s="181"/>
      <c r="F698" s="181"/>
      <c r="G698" s="181"/>
      <c r="K698" s="182">
        <v>697</v>
      </c>
      <c r="L698" s="182" t="str">
        <f t="shared" si="120"/>
        <v/>
      </c>
      <c r="M698" s="182" t="str">
        <f t="shared" si="121"/>
        <v/>
      </c>
      <c r="N698" s="182" t="str">
        <f t="shared" si="122"/>
        <v/>
      </c>
      <c r="O698" s="182" t="str">
        <f t="shared" si="123"/>
        <v/>
      </c>
      <c r="P698" s="182" t="str">
        <f t="shared" si="124"/>
        <v/>
      </c>
      <c r="Q698" s="182" t="str">
        <f t="shared" si="125"/>
        <v/>
      </c>
      <c r="R698" s="182" t="str">
        <f t="shared" si="126"/>
        <v/>
      </c>
      <c r="S698" s="182" t="str">
        <f t="shared" si="127"/>
        <v/>
      </c>
      <c r="T698" s="182" t="str">
        <f t="shared" si="128"/>
        <v/>
      </c>
      <c r="U698" s="182" t="str">
        <f t="shared" si="129"/>
        <v/>
      </c>
      <c r="V698" s="182" t="str">
        <f t="shared" si="130"/>
        <v/>
      </c>
      <c r="W698" s="182" t="str">
        <f t="shared" si="131"/>
        <v/>
      </c>
    </row>
    <row r="699" spans="1:23" x14ac:dyDescent="0.2">
      <c r="A699" s="181"/>
      <c r="B699" s="181"/>
      <c r="C699" s="181"/>
      <c r="D699" s="181"/>
      <c r="E699" s="181"/>
      <c r="F699" s="181"/>
      <c r="G699" s="181"/>
      <c r="K699" s="182">
        <v>698</v>
      </c>
      <c r="L699" s="182" t="str">
        <f t="shared" si="120"/>
        <v/>
      </c>
      <c r="M699" s="182" t="str">
        <f t="shared" si="121"/>
        <v/>
      </c>
      <c r="N699" s="182" t="str">
        <f t="shared" si="122"/>
        <v/>
      </c>
      <c r="O699" s="182" t="str">
        <f t="shared" si="123"/>
        <v/>
      </c>
      <c r="P699" s="182" t="str">
        <f t="shared" si="124"/>
        <v/>
      </c>
      <c r="Q699" s="182" t="str">
        <f t="shared" si="125"/>
        <v/>
      </c>
      <c r="R699" s="182" t="str">
        <f t="shared" si="126"/>
        <v/>
      </c>
      <c r="S699" s="182" t="str">
        <f t="shared" si="127"/>
        <v/>
      </c>
      <c r="T699" s="182" t="str">
        <f t="shared" si="128"/>
        <v/>
      </c>
      <c r="U699" s="182" t="str">
        <f t="shared" si="129"/>
        <v/>
      </c>
      <c r="V699" s="182" t="str">
        <f t="shared" si="130"/>
        <v/>
      </c>
      <c r="W699" s="182" t="str">
        <f t="shared" si="131"/>
        <v/>
      </c>
    </row>
    <row r="700" spans="1:23" x14ac:dyDescent="0.2">
      <c r="A700" s="181"/>
      <c r="B700" s="181"/>
      <c r="C700" s="181"/>
      <c r="D700" s="181"/>
      <c r="E700" s="181"/>
      <c r="F700" s="181"/>
      <c r="G700" s="181"/>
      <c r="K700" s="182">
        <v>699</v>
      </c>
      <c r="L700" s="182" t="str">
        <f t="shared" si="120"/>
        <v/>
      </c>
      <c r="M700" s="182" t="str">
        <f t="shared" si="121"/>
        <v/>
      </c>
      <c r="N700" s="182" t="str">
        <f t="shared" si="122"/>
        <v/>
      </c>
      <c r="O700" s="182" t="str">
        <f t="shared" si="123"/>
        <v/>
      </c>
      <c r="P700" s="182" t="str">
        <f t="shared" si="124"/>
        <v/>
      </c>
      <c r="Q700" s="182" t="str">
        <f t="shared" si="125"/>
        <v/>
      </c>
      <c r="R700" s="182" t="str">
        <f t="shared" si="126"/>
        <v/>
      </c>
      <c r="S700" s="182" t="str">
        <f t="shared" si="127"/>
        <v/>
      </c>
      <c r="T700" s="182" t="str">
        <f t="shared" si="128"/>
        <v/>
      </c>
      <c r="U700" s="182" t="str">
        <f t="shared" si="129"/>
        <v/>
      </c>
      <c r="V700" s="182" t="str">
        <f t="shared" si="130"/>
        <v/>
      </c>
      <c r="W700" s="182" t="str">
        <f t="shared" si="131"/>
        <v/>
      </c>
    </row>
    <row r="701" spans="1:23" x14ac:dyDescent="0.2">
      <c r="A701" s="181"/>
      <c r="B701" s="181"/>
      <c r="C701" s="181"/>
      <c r="D701" s="181"/>
      <c r="E701" s="181"/>
      <c r="F701" s="181"/>
      <c r="G701" s="181"/>
      <c r="K701" s="182">
        <v>700</v>
      </c>
      <c r="L701" s="182" t="str">
        <f t="shared" si="120"/>
        <v/>
      </c>
      <c r="M701" s="182" t="str">
        <f t="shared" si="121"/>
        <v/>
      </c>
      <c r="N701" s="182" t="str">
        <f t="shared" si="122"/>
        <v/>
      </c>
      <c r="O701" s="182" t="str">
        <f t="shared" si="123"/>
        <v/>
      </c>
      <c r="P701" s="182" t="str">
        <f t="shared" si="124"/>
        <v/>
      </c>
      <c r="Q701" s="182" t="str">
        <f t="shared" si="125"/>
        <v/>
      </c>
      <c r="R701" s="182" t="str">
        <f t="shared" si="126"/>
        <v/>
      </c>
      <c r="S701" s="182" t="str">
        <f t="shared" si="127"/>
        <v/>
      </c>
      <c r="T701" s="182" t="str">
        <f t="shared" si="128"/>
        <v/>
      </c>
      <c r="U701" s="182" t="str">
        <f t="shared" si="129"/>
        <v/>
      </c>
      <c r="V701" s="182" t="str">
        <f t="shared" si="130"/>
        <v/>
      </c>
      <c r="W701" s="182" t="str">
        <f t="shared" si="131"/>
        <v/>
      </c>
    </row>
    <row r="702" spans="1:23" x14ac:dyDescent="0.2">
      <c r="A702" s="181"/>
      <c r="B702" s="181"/>
      <c r="C702" s="181"/>
      <c r="D702" s="181"/>
      <c r="E702" s="181"/>
      <c r="F702" s="181"/>
      <c r="G702" s="181"/>
      <c r="K702" s="182">
        <v>701</v>
      </c>
      <c r="L702" s="182" t="str">
        <f t="shared" si="120"/>
        <v/>
      </c>
      <c r="M702" s="182" t="str">
        <f t="shared" si="121"/>
        <v/>
      </c>
      <c r="N702" s="182" t="str">
        <f t="shared" si="122"/>
        <v/>
      </c>
      <c r="O702" s="182" t="str">
        <f t="shared" si="123"/>
        <v/>
      </c>
      <c r="P702" s="182" t="str">
        <f t="shared" si="124"/>
        <v/>
      </c>
      <c r="Q702" s="182" t="str">
        <f t="shared" si="125"/>
        <v/>
      </c>
      <c r="R702" s="182" t="str">
        <f t="shared" si="126"/>
        <v/>
      </c>
      <c r="S702" s="182" t="str">
        <f t="shared" si="127"/>
        <v/>
      </c>
      <c r="T702" s="182" t="str">
        <f t="shared" si="128"/>
        <v/>
      </c>
      <c r="U702" s="182" t="str">
        <f t="shared" si="129"/>
        <v/>
      </c>
      <c r="V702" s="182" t="str">
        <f t="shared" si="130"/>
        <v/>
      </c>
      <c r="W702" s="182" t="str">
        <f t="shared" si="131"/>
        <v/>
      </c>
    </row>
    <row r="703" spans="1:23" x14ac:dyDescent="0.2">
      <c r="A703" s="181"/>
      <c r="B703" s="181"/>
      <c r="C703" s="181"/>
      <c r="D703" s="181"/>
      <c r="E703" s="181"/>
      <c r="F703" s="181"/>
      <c r="G703" s="181"/>
      <c r="K703" s="182">
        <v>702</v>
      </c>
      <c r="L703" s="182" t="str">
        <f t="shared" si="120"/>
        <v/>
      </c>
      <c r="M703" s="182" t="str">
        <f t="shared" si="121"/>
        <v/>
      </c>
      <c r="N703" s="182" t="str">
        <f t="shared" si="122"/>
        <v/>
      </c>
      <c r="O703" s="182" t="str">
        <f t="shared" si="123"/>
        <v/>
      </c>
      <c r="P703" s="182" t="str">
        <f t="shared" si="124"/>
        <v/>
      </c>
      <c r="Q703" s="182" t="str">
        <f t="shared" si="125"/>
        <v/>
      </c>
      <c r="R703" s="182" t="str">
        <f t="shared" si="126"/>
        <v/>
      </c>
      <c r="S703" s="182" t="str">
        <f t="shared" si="127"/>
        <v/>
      </c>
      <c r="T703" s="182" t="str">
        <f t="shared" si="128"/>
        <v/>
      </c>
      <c r="U703" s="182" t="str">
        <f t="shared" si="129"/>
        <v/>
      </c>
      <c r="V703" s="182" t="str">
        <f t="shared" si="130"/>
        <v/>
      </c>
      <c r="W703" s="182" t="str">
        <f t="shared" si="131"/>
        <v/>
      </c>
    </row>
    <row r="704" spans="1:23" x14ac:dyDescent="0.2">
      <c r="A704" s="181"/>
      <c r="B704" s="181"/>
      <c r="C704" s="181"/>
      <c r="D704" s="181"/>
      <c r="E704" s="181"/>
      <c r="F704" s="181"/>
      <c r="G704" s="181"/>
      <c r="K704" s="182">
        <v>703</v>
      </c>
      <c r="L704" s="182" t="str">
        <f t="shared" si="120"/>
        <v/>
      </c>
      <c r="M704" s="182" t="str">
        <f t="shared" si="121"/>
        <v/>
      </c>
      <c r="N704" s="182" t="str">
        <f t="shared" si="122"/>
        <v/>
      </c>
      <c r="O704" s="182" t="str">
        <f t="shared" si="123"/>
        <v/>
      </c>
      <c r="P704" s="182" t="str">
        <f t="shared" si="124"/>
        <v/>
      </c>
      <c r="Q704" s="182" t="str">
        <f t="shared" si="125"/>
        <v/>
      </c>
      <c r="R704" s="182" t="str">
        <f t="shared" si="126"/>
        <v/>
      </c>
      <c r="S704" s="182" t="str">
        <f t="shared" si="127"/>
        <v/>
      </c>
      <c r="T704" s="182" t="str">
        <f t="shared" si="128"/>
        <v/>
      </c>
      <c r="U704" s="182" t="str">
        <f t="shared" si="129"/>
        <v/>
      </c>
      <c r="V704" s="182" t="str">
        <f t="shared" si="130"/>
        <v/>
      </c>
      <c r="W704" s="182" t="str">
        <f t="shared" si="131"/>
        <v/>
      </c>
    </row>
    <row r="705" spans="1:23" x14ac:dyDescent="0.2">
      <c r="A705" s="181"/>
      <c r="B705" s="181"/>
      <c r="C705" s="181"/>
      <c r="D705" s="181"/>
      <c r="E705" s="181"/>
      <c r="F705" s="181"/>
      <c r="G705" s="181"/>
      <c r="K705" s="182">
        <v>704</v>
      </c>
      <c r="L705" s="182" t="str">
        <f t="shared" si="120"/>
        <v/>
      </c>
      <c r="M705" s="182" t="str">
        <f t="shared" si="121"/>
        <v/>
      </c>
      <c r="N705" s="182" t="str">
        <f t="shared" si="122"/>
        <v/>
      </c>
      <c r="O705" s="182" t="str">
        <f t="shared" si="123"/>
        <v/>
      </c>
      <c r="P705" s="182" t="str">
        <f t="shared" si="124"/>
        <v/>
      </c>
      <c r="Q705" s="182" t="str">
        <f t="shared" si="125"/>
        <v/>
      </c>
      <c r="R705" s="182" t="str">
        <f t="shared" si="126"/>
        <v/>
      </c>
      <c r="S705" s="182" t="str">
        <f t="shared" si="127"/>
        <v/>
      </c>
      <c r="T705" s="182" t="str">
        <f t="shared" si="128"/>
        <v/>
      </c>
      <c r="U705" s="182" t="str">
        <f t="shared" si="129"/>
        <v/>
      </c>
      <c r="V705" s="182" t="str">
        <f t="shared" si="130"/>
        <v/>
      </c>
      <c r="W705" s="182" t="str">
        <f t="shared" si="131"/>
        <v/>
      </c>
    </row>
    <row r="706" spans="1:23" x14ac:dyDescent="0.2">
      <c r="A706" s="181"/>
      <c r="B706" s="181"/>
      <c r="C706" s="181"/>
      <c r="D706" s="181"/>
      <c r="E706" s="181"/>
      <c r="F706" s="181"/>
      <c r="G706" s="181"/>
      <c r="K706" s="182">
        <v>705</v>
      </c>
      <c r="L706" s="182" t="str">
        <f t="shared" si="120"/>
        <v/>
      </c>
      <c r="M706" s="182" t="str">
        <f t="shared" si="121"/>
        <v/>
      </c>
      <c r="N706" s="182" t="str">
        <f t="shared" si="122"/>
        <v/>
      </c>
      <c r="O706" s="182" t="str">
        <f t="shared" si="123"/>
        <v/>
      </c>
      <c r="P706" s="182" t="str">
        <f t="shared" si="124"/>
        <v/>
      </c>
      <c r="Q706" s="182" t="str">
        <f t="shared" si="125"/>
        <v/>
      </c>
      <c r="R706" s="182" t="str">
        <f t="shared" si="126"/>
        <v/>
      </c>
      <c r="S706" s="182" t="str">
        <f t="shared" si="127"/>
        <v/>
      </c>
      <c r="T706" s="182" t="str">
        <f t="shared" si="128"/>
        <v/>
      </c>
      <c r="U706" s="182" t="str">
        <f t="shared" si="129"/>
        <v/>
      </c>
      <c r="V706" s="182" t="str">
        <f t="shared" si="130"/>
        <v/>
      </c>
      <c r="W706" s="182" t="str">
        <f t="shared" si="131"/>
        <v/>
      </c>
    </row>
    <row r="707" spans="1:23" x14ac:dyDescent="0.2">
      <c r="A707" s="181"/>
      <c r="B707" s="181"/>
      <c r="C707" s="181"/>
      <c r="D707" s="181"/>
      <c r="E707" s="181"/>
      <c r="F707" s="181"/>
      <c r="G707" s="181"/>
      <c r="K707" s="182">
        <v>706</v>
      </c>
      <c r="L707" s="182" t="str">
        <f t="shared" ref="L707:L770" si="132">IF($B$13&gt;=K707,K707,"")</f>
        <v/>
      </c>
      <c r="M707" s="182" t="str">
        <f t="shared" ref="M707:M770" si="133">IF(L707="","",IF(L707&lt;=$E$15,VLOOKUP($E$14,$I$1:$J$4,2,FALSE),VLOOKUP($F$14,$I$1:$J$4,2,FALSE)))</f>
        <v/>
      </c>
      <c r="N707" s="182" t="str">
        <f t="shared" ref="N707:N770" si="134">IF($B$20&gt;=K707,K707,"")</f>
        <v/>
      </c>
      <c r="O707" s="182" t="str">
        <f t="shared" ref="O707:O770" si="135">IF(N707="","",IF(N707&lt;=$E$22,VLOOKUP($E$21,$I$1:$J$4,2,FALSE),VLOOKUP($F$21,$I$1:$J$4,2,FALSE)))</f>
        <v/>
      </c>
      <c r="P707" s="182" t="str">
        <f t="shared" ref="P707:P770" si="136">IF($B$27&gt;=K707,K707,"")</f>
        <v/>
      </c>
      <c r="Q707" s="182" t="str">
        <f t="shared" ref="Q707:Q770" si="137">IF(P707="","",IF(P707&lt;=$E$29,VLOOKUP($E$28,$I$1:$J$4,2,FALSE),VLOOKUP($F$28,$I$1:$J$4,2,FALSE)))</f>
        <v/>
      </c>
      <c r="R707" s="182" t="str">
        <f t="shared" ref="R707:R770" si="138">IF($B$34&gt;=K707,K707,"")</f>
        <v/>
      </c>
      <c r="S707" s="182" t="str">
        <f t="shared" ref="S707:S770" si="139">IF(R707="","",IF(R707&lt;=$E$36,VLOOKUP($E$35,$I$1:$J$4,2,FALSE),VLOOKUP($F$35,$I$1:$J$4,2,FALSE)))</f>
        <v/>
      </c>
      <c r="T707" s="182" t="str">
        <f t="shared" ref="T707:T770" si="140">IF($B$41&gt;=K707,K707,"")</f>
        <v/>
      </c>
      <c r="U707" s="182" t="str">
        <f t="shared" ref="U707:U770" si="141">IF(T707="","",IF(T707&lt;=$E$43,VLOOKUP($E$42,$I$1:$J$4,2,FALSE),VLOOKUP($F$42,$I$1:$J$4,2,FALSE)))</f>
        <v/>
      </c>
      <c r="V707" s="182" t="str">
        <f t="shared" ref="V707:V770" si="142">IF($B$48&gt;=K707,K707,"")</f>
        <v/>
      </c>
      <c r="W707" s="182" t="str">
        <f t="shared" ref="W707:W770" si="143">IF(V707="","",IF(V707&lt;=$E$50,VLOOKUP($E$49,$I$1:$J$4,2,FALSE),VLOOKUP($F$49,$I$1:$J$4,2,FALSE)))</f>
        <v/>
      </c>
    </row>
    <row r="708" spans="1:23" x14ac:dyDescent="0.2">
      <c r="A708" s="181"/>
      <c r="B708" s="181"/>
      <c r="C708" s="181"/>
      <c r="D708" s="181"/>
      <c r="E708" s="181"/>
      <c r="F708" s="181"/>
      <c r="G708" s="181"/>
      <c r="K708" s="182">
        <v>707</v>
      </c>
      <c r="L708" s="182" t="str">
        <f t="shared" si="132"/>
        <v/>
      </c>
      <c r="M708" s="182" t="str">
        <f t="shared" si="133"/>
        <v/>
      </c>
      <c r="N708" s="182" t="str">
        <f t="shared" si="134"/>
        <v/>
      </c>
      <c r="O708" s="182" t="str">
        <f t="shared" si="135"/>
        <v/>
      </c>
      <c r="P708" s="182" t="str">
        <f t="shared" si="136"/>
        <v/>
      </c>
      <c r="Q708" s="182" t="str">
        <f t="shared" si="137"/>
        <v/>
      </c>
      <c r="R708" s="182" t="str">
        <f t="shared" si="138"/>
        <v/>
      </c>
      <c r="S708" s="182" t="str">
        <f t="shared" si="139"/>
        <v/>
      </c>
      <c r="T708" s="182" t="str">
        <f t="shared" si="140"/>
        <v/>
      </c>
      <c r="U708" s="182" t="str">
        <f t="shared" si="141"/>
        <v/>
      </c>
      <c r="V708" s="182" t="str">
        <f t="shared" si="142"/>
        <v/>
      </c>
      <c r="W708" s="182" t="str">
        <f t="shared" si="143"/>
        <v/>
      </c>
    </row>
    <row r="709" spans="1:23" x14ac:dyDescent="0.2">
      <c r="A709" s="181"/>
      <c r="B709" s="181"/>
      <c r="C709" s="181"/>
      <c r="D709" s="181"/>
      <c r="E709" s="181"/>
      <c r="F709" s="181"/>
      <c r="G709" s="181"/>
      <c r="K709" s="182">
        <v>708</v>
      </c>
      <c r="L709" s="182" t="str">
        <f t="shared" si="132"/>
        <v/>
      </c>
      <c r="M709" s="182" t="str">
        <f t="shared" si="133"/>
        <v/>
      </c>
      <c r="N709" s="182" t="str">
        <f t="shared" si="134"/>
        <v/>
      </c>
      <c r="O709" s="182" t="str">
        <f t="shared" si="135"/>
        <v/>
      </c>
      <c r="P709" s="182" t="str">
        <f t="shared" si="136"/>
        <v/>
      </c>
      <c r="Q709" s="182" t="str">
        <f t="shared" si="137"/>
        <v/>
      </c>
      <c r="R709" s="182" t="str">
        <f t="shared" si="138"/>
        <v/>
      </c>
      <c r="S709" s="182" t="str">
        <f t="shared" si="139"/>
        <v/>
      </c>
      <c r="T709" s="182" t="str">
        <f t="shared" si="140"/>
        <v/>
      </c>
      <c r="U709" s="182" t="str">
        <f t="shared" si="141"/>
        <v/>
      </c>
      <c r="V709" s="182" t="str">
        <f t="shared" si="142"/>
        <v/>
      </c>
      <c r="W709" s="182" t="str">
        <f t="shared" si="143"/>
        <v/>
      </c>
    </row>
    <row r="710" spans="1:23" x14ac:dyDescent="0.2">
      <c r="A710" s="181"/>
      <c r="B710" s="181"/>
      <c r="C710" s="181"/>
      <c r="D710" s="181"/>
      <c r="E710" s="181"/>
      <c r="F710" s="181"/>
      <c r="G710" s="181"/>
      <c r="K710" s="182">
        <v>709</v>
      </c>
      <c r="L710" s="182" t="str">
        <f t="shared" si="132"/>
        <v/>
      </c>
      <c r="M710" s="182" t="str">
        <f t="shared" si="133"/>
        <v/>
      </c>
      <c r="N710" s="182" t="str">
        <f t="shared" si="134"/>
        <v/>
      </c>
      <c r="O710" s="182" t="str">
        <f t="shared" si="135"/>
        <v/>
      </c>
      <c r="P710" s="182" t="str">
        <f t="shared" si="136"/>
        <v/>
      </c>
      <c r="Q710" s="182" t="str">
        <f t="shared" si="137"/>
        <v/>
      </c>
      <c r="R710" s="182" t="str">
        <f t="shared" si="138"/>
        <v/>
      </c>
      <c r="S710" s="182" t="str">
        <f t="shared" si="139"/>
        <v/>
      </c>
      <c r="T710" s="182" t="str">
        <f t="shared" si="140"/>
        <v/>
      </c>
      <c r="U710" s="182" t="str">
        <f t="shared" si="141"/>
        <v/>
      </c>
      <c r="V710" s="182" t="str">
        <f t="shared" si="142"/>
        <v/>
      </c>
      <c r="W710" s="182" t="str">
        <f t="shared" si="143"/>
        <v/>
      </c>
    </row>
    <row r="711" spans="1:23" x14ac:dyDescent="0.2">
      <c r="A711" s="181"/>
      <c r="B711" s="181"/>
      <c r="C711" s="181"/>
      <c r="D711" s="181"/>
      <c r="E711" s="181"/>
      <c r="F711" s="181"/>
      <c r="G711" s="181"/>
      <c r="K711" s="182">
        <v>710</v>
      </c>
      <c r="L711" s="182" t="str">
        <f t="shared" si="132"/>
        <v/>
      </c>
      <c r="M711" s="182" t="str">
        <f t="shared" si="133"/>
        <v/>
      </c>
      <c r="N711" s="182" t="str">
        <f t="shared" si="134"/>
        <v/>
      </c>
      <c r="O711" s="182" t="str">
        <f t="shared" si="135"/>
        <v/>
      </c>
      <c r="P711" s="182" t="str">
        <f t="shared" si="136"/>
        <v/>
      </c>
      <c r="Q711" s="182" t="str">
        <f t="shared" si="137"/>
        <v/>
      </c>
      <c r="R711" s="182" t="str">
        <f t="shared" si="138"/>
        <v/>
      </c>
      <c r="S711" s="182" t="str">
        <f t="shared" si="139"/>
        <v/>
      </c>
      <c r="T711" s="182" t="str">
        <f t="shared" si="140"/>
        <v/>
      </c>
      <c r="U711" s="182" t="str">
        <f t="shared" si="141"/>
        <v/>
      </c>
      <c r="V711" s="182" t="str">
        <f t="shared" si="142"/>
        <v/>
      </c>
      <c r="W711" s="182" t="str">
        <f t="shared" si="143"/>
        <v/>
      </c>
    </row>
    <row r="712" spans="1:23" x14ac:dyDescent="0.2">
      <c r="A712" s="181"/>
      <c r="B712" s="181"/>
      <c r="C712" s="181"/>
      <c r="D712" s="181"/>
      <c r="E712" s="181"/>
      <c r="F712" s="181"/>
      <c r="G712" s="181"/>
      <c r="K712" s="182">
        <v>711</v>
      </c>
      <c r="L712" s="182" t="str">
        <f t="shared" si="132"/>
        <v/>
      </c>
      <c r="M712" s="182" t="str">
        <f t="shared" si="133"/>
        <v/>
      </c>
      <c r="N712" s="182" t="str">
        <f t="shared" si="134"/>
        <v/>
      </c>
      <c r="O712" s="182" t="str">
        <f t="shared" si="135"/>
        <v/>
      </c>
      <c r="P712" s="182" t="str">
        <f t="shared" si="136"/>
        <v/>
      </c>
      <c r="Q712" s="182" t="str">
        <f t="shared" si="137"/>
        <v/>
      </c>
      <c r="R712" s="182" t="str">
        <f t="shared" si="138"/>
        <v/>
      </c>
      <c r="S712" s="182" t="str">
        <f t="shared" si="139"/>
        <v/>
      </c>
      <c r="T712" s="182" t="str">
        <f t="shared" si="140"/>
        <v/>
      </c>
      <c r="U712" s="182" t="str">
        <f t="shared" si="141"/>
        <v/>
      </c>
      <c r="V712" s="182" t="str">
        <f t="shared" si="142"/>
        <v/>
      </c>
      <c r="W712" s="182" t="str">
        <f t="shared" si="143"/>
        <v/>
      </c>
    </row>
    <row r="713" spans="1:23" x14ac:dyDescent="0.2">
      <c r="A713" s="181"/>
      <c r="B713" s="181"/>
      <c r="C713" s="181"/>
      <c r="D713" s="181"/>
      <c r="E713" s="181"/>
      <c r="F713" s="181"/>
      <c r="G713" s="181"/>
      <c r="K713" s="182">
        <v>712</v>
      </c>
      <c r="L713" s="182" t="str">
        <f t="shared" si="132"/>
        <v/>
      </c>
      <c r="M713" s="182" t="str">
        <f t="shared" si="133"/>
        <v/>
      </c>
      <c r="N713" s="182" t="str">
        <f t="shared" si="134"/>
        <v/>
      </c>
      <c r="O713" s="182" t="str">
        <f t="shared" si="135"/>
        <v/>
      </c>
      <c r="P713" s="182" t="str">
        <f t="shared" si="136"/>
        <v/>
      </c>
      <c r="Q713" s="182" t="str">
        <f t="shared" si="137"/>
        <v/>
      </c>
      <c r="R713" s="182" t="str">
        <f t="shared" si="138"/>
        <v/>
      </c>
      <c r="S713" s="182" t="str">
        <f t="shared" si="139"/>
        <v/>
      </c>
      <c r="T713" s="182" t="str">
        <f t="shared" si="140"/>
        <v/>
      </c>
      <c r="U713" s="182" t="str">
        <f t="shared" si="141"/>
        <v/>
      </c>
      <c r="V713" s="182" t="str">
        <f t="shared" si="142"/>
        <v/>
      </c>
      <c r="W713" s="182" t="str">
        <f t="shared" si="143"/>
        <v/>
      </c>
    </row>
    <row r="714" spans="1:23" x14ac:dyDescent="0.2">
      <c r="A714" s="181"/>
      <c r="B714" s="181"/>
      <c r="C714" s="181"/>
      <c r="D714" s="181"/>
      <c r="E714" s="181"/>
      <c r="F714" s="181"/>
      <c r="G714" s="181"/>
      <c r="K714" s="182">
        <v>713</v>
      </c>
      <c r="L714" s="182" t="str">
        <f t="shared" si="132"/>
        <v/>
      </c>
      <c r="M714" s="182" t="str">
        <f t="shared" si="133"/>
        <v/>
      </c>
      <c r="N714" s="182" t="str">
        <f t="shared" si="134"/>
        <v/>
      </c>
      <c r="O714" s="182" t="str">
        <f t="shared" si="135"/>
        <v/>
      </c>
      <c r="P714" s="182" t="str">
        <f t="shared" si="136"/>
        <v/>
      </c>
      <c r="Q714" s="182" t="str">
        <f t="shared" si="137"/>
        <v/>
      </c>
      <c r="R714" s="182" t="str">
        <f t="shared" si="138"/>
        <v/>
      </c>
      <c r="S714" s="182" t="str">
        <f t="shared" si="139"/>
        <v/>
      </c>
      <c r="T714" s="182" t="str">
        <f t="shared" si="140"/>
        <v/>
      </c>
      <c r="U714" s="182" t="str">
        <f t="shared" si="141"/>
        <v/>
      </c>
      <c r="V714" s="182" t="str">
        <f t="shared" si="142"/>
        <v/>
      </c>
      <c r="W714" s="182" t="str">
        <f t="shared" si="143"/>
        <v/>
      </c>
    </row>
    <row r="715" spans="1:23" x14ac:dyDescent="0.2">
      <c r="A715" s="181"/>
      <c r="B715" s="181"/>
      <c r="C715" s="181"/>
      <c r="D715" s="181"/>
      <c r="E715" s="181"/>
      <c r="F715" s="181"/>
      <c r="G715" s="181"/>
      <c r="K715" s="182">
        <v>714</v>
      </c>
      <c r="L715" s="182" t="str">
        <f t="shared" si="132"/>
        <v/>
      </c>
      <c r="M715" s="182" t="str">
        <f t="shared" si="133"/>
        <v/>
      </c>
      <c r="N715" s="182" t="str">
        <f t="shared" si="134"/>
        <v/>
      </c>
      <c r="O715" s="182" t="str">
        <f t="shared" si="135"/>
        <v/>
      </c>
      <c r="P715" s="182" t="str">
        <f t="shared" si="136"/>
        <v/>
      </c>
      <c r="Q715" s="182" t="str">
        <f t="shared" si="137"/>
        <v/>
      </c>
      <c r="R715" s="182" t="str">
        <f t="shared" si="138"/>
        <v/>
      </c>
      <c r="S715" s="182" t="str">
        <f t="shared" si="139"/>
        <v/>
      </c>
      <c r="T715" s="182" t="str">
        <f t="shared" si="140"/>
        <v/>
      </c>
      <c r="U715" s="182" t="str">
        <f t="shared" si="141"/>
        <v/>
      </c>
      <c r="V715" s="182" t="str">
        <f t="shared" si="142"/>
        <v/>
      </c>
      <c r="W715" s="182" t="str">
        <f t="shared" si="143"/>
        <v/>
      </c>
    </row>
    <row r="716" spans="1:23" x14ac:dyDescent="0.2">
      <c r="A716" s="181"/>
      <c r="B716" s="181"/>
      <c r="C716" s="181"/>
      <c r="D716" s="181"/>
      <c r="E716" s="181"/>
      <c r="F716" s="181"/>
      <c r="G716" s="181"/>
      <c r="K716" s="182">
        <v>715</v>
      </c>
      <c r="L716" s="182" t="str">
        <f t="shared" si="132"/>
        <v/>
      </c>
      <c r="M716" s="182" t="str">
        <f t="shared" si="133"/>
        <v/>
      </c>
      <c r="N716" s="182" t="str">
        <f t="shared" si="134"/>
        <v/>
      </c>
      <c r="O716" s="182" t="str">
        <f t="shared" si="135"/>
        <v/>
      </c>
      <c r="P716" s="182" t="str">
        <f t="shared" si="136"/>
        <v/>
      </c>
      <c r="Q716" s="182" t="str">
        <f t="shared" si="137"/>
        <v/>
      </c>
      <c r="R716" s="182" t="str">
        <f t="shared" si="138"/>
        <v/>
      </c>
      <c r="S716" s="182" t="str">
        <f t="shared" si="139"/>
        <v/>
      </c>
      <c r="T716" s="182" t="str">
        <f t="shared" si="140"/>
        <v/>
      </c>
      <c r="U716" s="182" t="str">
        <f t="shared" si="141"/>
        <v/>
      </c>
      <c r="V716" s="182" t="str">
        <f t="shared" si="142"/>
        <v/>
      </c>
      <c r="W716" s="182" t="str">
        <f t="shared" si="143"/>
        <v/>
      </c>
    </row>
    <row r="717" spans="1:23" x14ac:dyDescent="0.2">
      <c r="A717" s="181"/>
      <c r="B717" s="181"/>
      <c r="C717" s="181"/>
      <c r="D717" s="181"/>
      <c r="E717" s="181"/>
      <c r="F717" s="181"/>
      <c r="G717" s="181"/>
      <c r="K717" s="182">
        <v>716</v>
      </c>
      <c r="L717" s="182" t="str">
        <f t="shared" si="132"/>
        <v/>
      </c>
      <c r="M717" s="182" t="str">
        <f t="shared" si="133"/>
        <v/>
      </c>
      <c r="N717" s="182" t="str">
        <f t="shared" si="134"/>
        <v/>
      </c>
      <c r="O717" s="182" t="str">
        <f t="shared" si="135"/>
        <v/>
      </c>
      <c r="P717" s="182" t="str">
        <f t="shared" si="136"/>
        <v/>
      </c>
      <c r="Q717" s="182" t="str">
        <f t="shared" si="137"/>
        <v/>
      </c>
      <c r="R717" s="182" t="str">
        <f t="shared" si="138"/>
        <v/>
      </c>
      <c r="S717" s="182" t="str">
        <f t="shared" si="139"/>
        <v/>
      </c>
      <c r="T717" s="182" t="str">
        <f t="shared" si="140"/>
        <v/>
      </c>
      <c r="U717" s="182" t="str">
        <f t="shared" si="141"/>
        <v/>
      </c>
      <c r="V717" s="182" t="str">
        <f t="shared" si="142"/>
        <v/>
      </c>
      <c r="W717" s="182" t="str">
        <f t="shared" si="143"/>
        <v/>
      </c>
    </row>
    <row r="718" spans="1:23" x14ac:dyDescent="0.2">
      <c r="A718" s="181"/>
      <c r="B718" s="181"/>
      <c r="C718" s="181"/>
      <c r="D718" s="181"/>
      <c r="E718" s="181"/>
      <c r="F718" s="181"/>
      <c r="G718" s="181"/>
      <c r="K718" s="182">
        <v>717</v>
      </c>
      <c r="L718" s="182" t="str">
        <f t="shared" si="132"/>
        <v/>
      </c>
      <c r="M718" s="182" t="str">
        <f t="shared" si="133"/>
        <v/>
      </c>
      <c r="N718" s="182" t="str">
        <f t="shared" si="134"/>
        <v/>
      </c>
      <c r="O718" s="182" t="str">
        <f t="shared" si="135"/>
        <v/>
      </c>
      <c r="P718" s="182" t="str">
        <f t="shared" si="136"/>
        <v/>
      </c>
      <c r="Q718" s="182" t="str">
        <f t="shared" si="137"/>
        <v/>
      </c>
      <c r="R718" s="182" t="str">
        <f t="shared" si="138"/>
        <v/>
      </c>
      <c r="S718" s="182" t="str">
        <f t="shared" si="139"/>
        <v/>
      </c>
      <c r="T718" s="182" t="str">
        <f t="shared" si="140"/>
        <v/>
      </c>
      <c r="U718" s="182" t="str">
        <f t="shared" si="141"/>
        <v/>
      </c>
      <c r="V718" s="182" t="str">
        <f t="shared" si="142"/>
        <v/>
      </c>
      <c r="W718" s="182" t="str">
        <f t="shared" si="143"/>
        <v/>
      </c>
    </row>
    <row r="719" spans="1:23" x14ac:dyDescent="0.2">
      <c r="A719" s="181"/>
      <c r="B719" s="181"/>
      <c r="C719" s="181"/>
      <c r="D719" s="181"/>
      <c r="E719" s="181"/>
      <c r="F719" s="181"/>
      <c r="G719" s="181"/>
      <c r="K719" s="182">
        <v>718</v>
      </c>
      <c r="L719" s="182" t="str">
        <f t="shared" si="132"/>
        <v/>
      </c>
      <c r="M719" s="182" t="str">
        <f t="shared" si="133"/>
        <v/>
      </c>
      <c r="N719" s="182" t="str">
        <f t="shared" si="134"/>
        <v/>
      </c>
      <c r="O719" s="182" t="str">
        <f t="shared" si="135"/>
        <v/>
      </c>
      <c r="P719" s="182" t="str">
        <f t="shared" si="136"/>
        <v/>
      </c>
      <c r="Q719" s="182" t="str">
        <f t="shared" si="137"/>
        <v/>
      </c>
      <c r="R719" s="182" t="str">
        <f t="shared" si="138"/>
        <v/>
      </c>
      <c r="S719" s="182" t="str">
        <f t="shared" si="139"/>
        <v/>
      </c>
      <c r="T719" s="182" t="str">
        <f t="shared" si="140"/>
        <v/>
      </c>
      <c r="U719" s="182" t="str">
        <f t="shared" si="141"/>
        <v/>
      </c>
      <c r="V719" s="182" t="str">
        <f t="shared" si="142"/>
        <v/>
      </c>
      <c r="W719" s="182" t="str">
        <f t="shared" si="143"/>
        <v/>
      </c>
    </row>
    <row r="720" spans="1:23" x14ac:dyDescent="0.2">
      <c r="A720" s="181"/>
      <c r="B720" s="181"/>
      <c r="C720" s="181"/>
      <c r="D720" s="181"/>
      <c r="E720" s="181"/>
      <c r="F720" s="181"/>
      <c r="G720" s="181"/>
      <c r="K720" s="182">
        <v>719</v>
      </c>
      <c r="L720" s="182" t="str">
        <f t="shared" si="132"/>
        <v/>
      </c>
      <c r="M720" s="182" t="str">
        <f t="shared" si="133"/>
        <v/>
      </c>
      <c r="N720" s="182" t="str">
        <f t="shared" si="134"/>
        <v/>
      </c>
      <c r="O720" s="182" t="str">
        <f t="shared" si="135"/>
        <v/>
      </c>
      <c r="P720" s="182" t="str">
        <f t="shared" si="136"/>
        <v/>
      </c>
      <c r="Q720" s="182" t="str">
        <f t="shared" si="137"/>
        <v/>
      </c>
      <c r="R720" s="182" t="str">
        <f t="shared" si="138"/>
        <v/>
      </c>
      <c r="S720" s="182" t="str">
        <f t="shared" si="139"/>
        <v/>
      </c>
      <c r="T720" s="182" t="str">
        <f t="shared" si="140"/>
        <v/>
      </c>
      <c r="U720" s="182" t="str">
        <f t="shared" si="141"/>
        <v/>
      </c>
      <c r="V720" s="182" t="str">
        <f t="shared" si="142"/>
        <v/>
      </c>
      <c r="W720" s="182" t="str">
        <f t="shared" si="143"/>
        <v/>
      </c>
    </row>
    <row r="721" spans="1:23" x14ac:dyDescent="0.2">
      <c r="A721" s="181"/>
      <c r="B721" s="181"/>
      <c r="C721" s="181"/>
      <c r="D721" s="181"/>
      <c r="E721" s="181"/>
      <c r="F721" s="181"/>
      <c r="G721" s="181"/>
      <c r="K721" s="182">
        <v>720</v>
      </c>
      <c r="L721" s="182" t="str">
        <f t="shared" si="132"/>
        <v/>
      </c>
      <c r="M721" s="182" t="str">
        <f t="shared" si="133"/>
        <v/>
      </c>
      <c r="N721" s="182" t="str">
        <f t="shared" si="134"/>
        <v/>
      </c>
      <c r="O721" s="182" t="str">
        <f t="shared" si="135"/>
        <v/>
      </c>
      <c r="P721" s="182" t="str">
        <f t="shared" si="136"/>
        <v/>
      </c>
      <c r="Q721" s="182" t="str">
        <f t="shared" si="137"/>
        <v/>
      </c>
      <c r="R721" s="182" t="str">
        <f t="shared" si="138"/>
        <v/>
      </c>
      <c r="S721" s="182" t="str">
        <f t="shared" si="139"/>
        <v/>
      </c>
      <c r="T721" s="182" t="str">
        <f t="shared" si="140"/>
        <v/>
      </c>
      <c r="U721" s="182" t="str">
        <f t="shared" si="141"/>
        <v/>
      </c>
      <c r="V721" s="182" t="str">
        <f t="shared" si="142"/>
        <v/>
      </c>
      <c r="W721" s="182" t="str">
        <f t="shared" si="143"/>
        <v/>
      </c>
    </row>
    <row r="722" spans="1:23" x14ac:dyDescent="0.2">
      <c r="A722" s="181"/>
      <c r="B722" s="181"/>
      <c r="C722" s="181"/>
      <c r="D722" s="181"/>
      <c r="E722" s="181"/>
      <c r="F722" s="181"/>
      <c r="G722" s="181"/>
      <c r="K722" s="182">
        <v>721</v>
      </c>
      <c r="L722" s="182" t="str">
        <f t="shared" si="132"/>
        <v/>
      </c>
      <c r="M722" s="182" t="str">
        <f t="shared" si="133"/>
        <v/>
      </c>
      <c r="N722" s="182" t="str">
        <f t="shared" si="134"/>
        <v/>
      </c>
      <c r="O722" s="182" t="str">
        <f t="shared" si="135"/>
        <v/>
      </c>
      <c r="P722" s="182" t="str">
        <f t="shared" si="136"/>
        <v/>
      </c>
      <c r="Q722" s="182" t="str">
        <f t="shared" si="137"/>
        <v/>
      </c>
      <c r="R722" s="182" t="str">
        <f t="shared" si="138"/>
        <v/>
      </c>
      <c r="S722" s="182" t="str">
        <f t="shared" si="139"/>
        <v/>
      </c>
      <c r="T722" s="182" t="str">
        <f t="shared" si="140"/>
        <v/>
      </c>
      <c r="U722" s="182" t="str">
        <f t="shared" si="141"/>
        <v/>
      </c>
      <c r="V722" s="182" t="str">
        <f t="shared" si="142"/>
        <v/>
      </c>
      <c r="W722" s="182" t="str">
        <f t="shared" si="143"/>
        <v/>
      </c>
    </row>
    <row r="723" spans="1:23" x14ac:dyDescent="0.2">
      <c r="A723" s="181"/>
      <c r="B723" s="181"/>
      <c r="C723" s="181"/>
      <c r="D723" s="181"/>
      <c r="E723" s="181"/>
      <c r="F723" s="181"/>
      <c r="G723" s="181"/>
      <c r="K723" s="182">
        <v>722</v>
      </c>
      <c r="L723" s="182" t="str">
        <f t="shared" si="132"/>
        <v/>
      </c>
      <c r="M723" s="182" t="str">
        <f t="shared" si="133"/>
        <v/>
      </c>
      <c r="N723" s="182" t="str">
        <f t="shared" si="134"/>
        <v/>
      </c>
      <c r="O723" s="182" t="str">
        <f t="shared" si="135"/>
        <v/>
      </c>
      <c r="P723" s="182" t="str">
        <f t="shared" si="136"/>
        <v/>
      </c>
      <c r="Q723" s="182" t="str">
        <f t="shared" si="137"/>
        <v/>
      </c>
      <c r="R723" s="182" t="str">
        <f t="shared" si="138"/>
        <v/>
      </c>
      <c r="S723" s="182" t="str">
        <f t="shared" si="139"/>
        <v/>
      </c>
      <c r="T723" s="182" t="str">
        <f t="shared" si="140"/>
        <v/>
      </c>
      <c r="U723" s="182" t="str">
        <f t="shared" si="141"/>
        <v/>
      </c>
      <c r="V723" s="182" t="str">
        <f t="shared" si="142"/>
        <v/>
      </c>
      <c r="W723" s="182" t="str">
        <f t="shared" si="143"/>
        <v/>
      </c>
    </row>
    <row r="724" spans="1:23" x14ac:dyDescent="0.2">
      <c r="A724" s="181"/>
      <c r="B724" s="181"/>
      <c r="C724" s="181"/>
      <c r="D724" s="181"/>
      <c r="E724" s="181"/>
      <c r="F724" s="181"/>
      <c r="G724" s="181"/>
      <c r="K724" s="182">
        <v>723</v>
      </c>
      <c r="L724" s="182" t="str">
        <f t="shared" si="132"/>
        <v/>
      </c>
      <c r="M724" s="182" t="str">
        <f t="shared" si="133"/>
        <v/>
      </c>
      <c r="N724" s="182" t="str">
        <f t="shared" si="134"/>
        <v/>
      </c>
      <c r="O724" s="182" t="str">
        <f t="shared" si="135"/>
        <v/>
      </c>
      <c r="P724" s="182" t="str">
        <f t="shared" si="136"/>
        <v/>
      </c>
      <c r="Q724" s="182" t="str">
        <f t="shared" si="137"/>
        <v/>
      </c>
      <c r="R724" s="182" t="str">
        <f t="shared" si="138"/>
        <v/>
      </c>
      <c r="S724" s="182" t="str">
        <f t="shared" si="139"/>
        <v/>
      </c>
      <c r="T724" s="182" t="str">
        <f t="shared" si="140"/>
        <v/>
      </c>
      <c r="U724" s="182" t="str">
        <f t="shared" si="141"/>
        <v/>
      </c>
      <c r="V724" s="182" t="str">
        <f t="shared" si="142"/>
        <v/>
      </c>
      <c r="W724" s="182" t="str">
        <f t="shared" si="143"/>
        <v/>
      </c>
    </row>
    <row r="725" spans="1:23" x14ac:dyDescent="0.2">
      <c r="A725" s="181"/>
      <c r="B725" s="181"/>
      <c r="C725" s="181"/>
      <c r="D725" s="181"/>
      <c r="E725" s="181"/>
      <c r="F725" s="181"/>
      <c r="G725" s="181"/>
      <c r="K725" s="182">
        <v>724</v>
      </c>
      <c r="L725" s="182" t="str">
        <f t="shared" si="132"/>
        <v/>
      </c>
      <c r="M725" s="182" t="str">
        <f t="shared" si="133"/>
        <v/>
      </c>
      <c r="N725" s="182" t="str">
        <f t="shared" si="134"/>
        <v/>
      </c>
      <c r="O725" s="182" t="str">
        <f t="shared" si="135"/>
        <v/>
      </c>
      <c r="P725" s="182" t="str">
        <f t="shared" si="136"/>
        <v/>
      </c>
      <c r="Q725" s="182" t="str">
        <f t="shared" si="137"/>
        <v/>
      </c>
      <c r="R725" s="182" t="str">
        <f t="shared" si="138"/>
        <v/>
      </c>
      <c r="S725" s="182" t="str">
        <f t="shared" si="139"/>
        <v/>
      </c>
      <c r="T725" s="182" t="str">
        <f t="shared" si="140"/>
        <v/>
      </c>
      <c r="U725" s="182" t="str">
        <f t="shared" si="141"/>
        <v/>
      </c>
      <c r="V725" s="182" t="str">
        <f t="shared" si="142"/>
        <v/>
      </c>
      <c r="W725" s="182" t="str">
        <f t="shared" si="143"/>
        <v/>
      </c>
    </row>
    <row r="726" spans="1:23" x14ac:dyDescent="0.2">
      <c r="A726" s="181"/>
      <c r="B726" s="181"/>
      <c r="C726" s="181"/>
      <c r="D726" s="181"/>
      <c r="E726" s="181"/>
      <c r="F726" s="181"/>
      <c r="G726" s="181"/>
      <c r="K726" s="182">
        <v>725</v>
      </c>
      <c r="L726" s="182" t="str">
        <f t="shared" si="132"/>
        <v/>
      </c>
      <c r="M726" s="182" t="str">
        <f t="shared" si="133"/>
        <v/>
      </c>
      <c r="N726" s="182" t="str">
        <f t="shared" si="134"/>
        <v/>
      </c>
      <c r="O726" s="182" t="str">
        <f t="shared" si="135"/>
        <v/>
      </c>
      <c r="P726" s="182" t="str">
        <f t="shared" si="136"/>
        <v/>
      </c>
      <c r="Q726" s="182" t="str">
        <f t="shared" si="137"/>
        <v/>
      </c>
      <c r="R726" s="182" t="str">
        <f t="shared" si="138"/>
        <v/>
      </c>
      <c r="S726" s="182" t="str">
        <f t="shared" si="139"/>
        <v/>
      </c>
      <c r="T726" s="182" t="str">
        <f t="shared" si="140"/>
        <v/>
      </c>
      <c r="U726" s="182" t="str">
        <f t="shared" si="141"/>
        <v/>
      </c>
      <c r="V726" s="182" t="str">
        <f t="shared" si="142"/>
        <v/>
      </c>
      <c r="W726" s="182" t="str">
        <f t="shared" si="143"/>
        <v/>
      </c>
    </row>
    <row r="727" spans="1:23" x14ac:dyDescent="0.2">
      <c r="A727" s="181"/>
      <c r="B727" s="181"/>
      <c r="C727" s="181"/>
      <c r="D727" s="181"/>
      <c r="E727" s="181"/>
      <c r="F727" s="181"/>
      <c r="G727" s="181"/>
      <c r="K727" s="182">
        <v>726</v>
      </c>
      <c r="L727" s="182" t="str">
        <f t="shared" si="132"/>
        <v/>
      </c>
      <c r="M727" s="182" t="str">
        <f t="shared" si="133"/>
        <v/>
      </c>
      <c r="N727" s="182" t="str">
        <f t="shared" si="134"/>
        <v/>
      </c>
      <c r="O727" s="182" t="str">
        <f t="shared" si="135"/>
        <v/>
      </c>
      <c r="P727" s="182" t="str">
        <f t="shared" si="136"/>
        <v/>
      </c>
      <c r="Q727" s="182" t="str">
        <f t="shared" si="137"/>
        <v/>
      </c>
      <c r="R727" s="182" t="str">
        <f t="shared" si="138"/>
        <v/>
      </c>
      <c r="S727" s="182" t="str">
        <f t="shared" si="139"/>
        <v/>
      </c>
      <c r="T727" s="182" t="str">
        <f t="shared" si="140"/>
        <v/>
      </c>
      <c r="U727" s="182" t="str">
        <f t="shared" si="141"/>
        <v/>
      </c>
      <c r="V727" s="182" t="str">
        <f t="shared" si="142"/>
        <v/>
      </c>
      <c r="W727" s="182" t="str">
        <f t="shared" si="143"/>
        <v/>
      </c>
    </row>
    <row r="728" spans="1:23" x14ac:dyDescent="0.2">
      <c r="A728" s="181"/>
      <c r="B728" s="181"/>
      <c r="C728" s="181"/>
      <c r="D728" s="181"/>
      <c r="E728" s="181"/>
      <c r="F728" s="181"/>
      <c r="G728" s="181"/>
      <c r="K728" s="182">
        <v>727</v>
      </c>
      <c r="L728" s="182" t="str">
        <f t="shared" si="132"/>
        <v/>
      </c>
      <c r="M728" s="182" t="str">
        <f t="shared" si="133"/>
        <v/>
      </c>
      <c r="N728" s="182" t="str">
        <f t="shared" si="134"/>
        <v/>
      </c>
      <c r="O728" s="182" t="str">
        <f t="shared" si="135"/>
        <v/>
      </c>
      <c r="P728" s="182" t="str">
        <f t="shared" si="136"/>
        <v/>
      </c>
      <c r="Q728" s="182" t="str">
        <f t="shared" si="137"/>
        <v/>
      </c>
      <c r="R728" s="182" t="str">
        <f t="shared" si="138"/>
        <v/>
      </c>
      <c r="S728" s="182" t="str">
        <f t="shared" si="139"/>
        <v/>
      </c>
      <c r="T728" s="182" t="str">
        <f t="shared" si="140"/>
        <v/>
      </c>
      <c r="U728" s="182" t="str">
        <f t="shared" si="141"/>
        <v/>
      </c>
      <c r="V728" s="182" t="str">
        <f t="shared" si="142"/>
        <v/>
      </c>
      <c r="W728" s="182" t="str">
        <f t="shared" si="143"/>
        <v/>
      </c>
    </row>
    <row r="729" spans="1:23" x14ac:dyDescent="0.2">
      <c r="A729" s="181"/>
      <c r="B729" s="181"/>
      <c r="C729" s="181"/>
      <c r="D729" s="181"/>
      <c r="E729" s="181"/>
      <c r="F729" s="181"/>
      <c r="G729" s="181"/>
      <c r="K729" s="182">
        <v>728</v>
      </c>
      <c r="L729" s="182" t="str">
        <f t="shared" si="132"/>
        <v/>
      </c>
      <c r="M729" s="182" t="str">
        <f t="shared" si="133"/>
        <v/>
      </c>
      <c r="N729" s="182" t="str">
        <f t="shared" si="134"/>
        <v/>
      </c>
      <c r="O729" s="182" t="str">
        <f t="shared" si="135"/>
        <v/>
      </c>
      <c r="P729" s="182" t="str">
        <f t="shared" si="136"/>
        <v/>
      </c>
      <c r="Q729" s="182" t="str">
        <f t="shared" si="137"/>
        <v/>
      </c>
      <c r="R729" s="182" t="str">
        <f t="shared" si="138"/>
        <v/>
      </c>
      <c r="S729" s="182" t="str">
        <f t="shared" si="139"/>
        <v/>
      </c>
      <c r="T729" s="182" t="str">
        <f t="shared" si="140"/>
        <v/>
      </c>
      <c r="U729" s="182" t="str">
        <f t="shared" si="141"/>
        <v/>
      </c>
      <c r="V729" s="182" t="str">
        <f t="shared" si="142"/>
        <v/>
      </c>
      <c r="W729" s="182" t="str">
        <f t="shared" si="143"/>
        <v/>
      </c>
    </row>
    <row r="730" spans="1:23" x14ac:dyDescent="0.2">
      <c r="A730" s="181"/>
      <c r="B730" s="181"/>
      <c r="C730" s="181"/>
      <c r="D730" s="181"/>
      <c r="E730" s="181"/>
      <c r="F730" s="181"/>
      <c r="G730" s="181"/>
      <c r="K730" s="182">
        <v>729</v>
      </c>
      <c r="L730" s="182" t="str">
        <f t="shared" si="132"/>
        <v/>
      </c>
      <c r="M730" s="182" t="str">
        <f t="shared" si="133"/>
        <v/>
      </c>
      <c r="N730" s="182" t="str">
        <f t="shared" si="134"/>
        <v/>
      </c>
      <c r="O730" s="182" t="str">
        <f t="shared" si="135"/>
        <v/>
      </c>
      <c r="P730" s="182" t="str">
        <f t="shared" si="136"/>
        <v/>
      </c>
      <c r="Q730" s="182" t="str">
        <f t="shared" si="137"/>
        <v/>
      </c>
      <c r="R730" s="182" t="str">
        <f t="shared" si="138"/>
        <v/>
      </c>
      <c r="S730" s="182" t="str">
        <f t="shared" si="139"/>
        <v/>
      </c>
      <c r="T730" s="182" t="str">
        <f t="shared" si="140"/>
        <v/>
      </c>
      <c r="U730" s="182" t="str">
        <f t="shared" si="141"/>
        <v/>
      </c>
      <c r="V730" s="182" t="str">
        <f t="shared" si="142"/>
        <v/>
      </c>
      <c r="W730" s="182" t="str">
        <f t="shared" si="143"/>
        <v/>
      </c>
    </row>
    <row r="731" spans="1:23" x14ac:dyDescent="0.2">
      <c r="A731" s="181"/>
      <c r="B731" s="181"/>
      <c r="C731" s="181"/>
      <c r="D731" s="181"/>
      <c r="E731" s="181"/>
      <c r="F731" s="181"/>
      <c r="G731" s="181"/>
      <c r="K731" s="182">
        <v>730</v>
      </c>
      <c r="L731" s="182" t="str">
        <f t="shared" si="132"/>
        <v/>
      </c>
      <c r="M731" s="182" t="str">
        <f t="shared" si="133"/>
        <v/>
      </c>
      <c r="N731" s="182" t="str">
        <f t="shared" si="134"/>
        <v/>
      </c>
      <c r="O731" s="182" t="str">
        <f t="shared" si="135"/>
        <v/>
      </c>
      <c r="P731" s="182" t="str">
        <f t="shared" si="136"/>
        <v/>
      </c>
      <c r="Q731" s="182" t="str">
        <f t="shared" si="137"/>
        <v/>
      </c>
      <c r="R731" s="182" t="str">
        <f t="shared" si="138"/>
        <v/>
      </c>
      <c r="S731" s="182" t="str">
        <f t="shared" si="139"/>
        <v/>
      </c>
      <c r="T731" s="182" t="str">
        <f t="shared" si="140"/>
        <v/>
      </c>
      <c r="U731" s="182" t="str">
        <f t="shared" si="141"/>
        <v/>
      </c>
      <c r="V731" s="182" t="str">
        <f t="shared" si="142"/>
        <v/>
      </c>
      <c r="W731" s="182" t="str">
        <f t="shared" si="143"/>
        <v/>
      </c>
    </row>
    <row r="732" spans="1:23" x14ac:dyDescent="0.2">
      <c r="A732" s="181"/>
      <c r="B732" s="181"/>
      <c r="C732" s="181"/>
      <c r="D732" s="181"/>
      <c r="E732" s="181"/>
      <c r="F732" s="181"/>
      <c r="G732" s="181"/>
      <c r="K732" s="182">
        <v>731</v>
      </c>
      <c r="L732" s="182" t="str">
        <f t="shared" si="132"/>
        <v/>
      </c>
      <c r="M732" s="182" t="str">
        <f t="shared" si="133"/>
        <v/>
      </c>
      <c r="N732" s="182" t="str">
        <f t="shared" si="134"/>
        <v/>
      </c>
      <c r="O732" s="182" t="str">
        <f t="shared" si="135"/>
        <v/>
      </c>
      <c r="P732" s="182" t="str">
        <f t="shared" si="136"/>
        <v/>
      </c>
      <c r="Q732" s="182" t="str">
        <f t="shared" si="137"/>
        <v/>
      </c>
      <c r="R732" s="182" t="str">
        <f t="shared" si="138"/>
        <v/>
      </c>
      <c r="S732" s="182" t="str">
        <f t="shared" si="139"/>
        <v/>
      </c>
      <c r="T732" s="182" t="str">
        <f t="shared" si="140"/>
        <v/>
      </c>
      <c r="U732" s="182" t="str">
        <f t="shared" si="141"/>
        <v/>
      </c>
      <c r="V732" s="182" t="str">
        <f t="shared" si="142"/>
        <v/>
      </c>
      <c r="W732" s="182" t="str">
        <f t="shared" si="143"/>
        <v/>
      </c>
    </row>
    <row r="733" spans="1:23" x14ac:dyDescent="0.2">
      <c r="A733" s="181"/>
      <c r="B733" s="181"/>
      <c r="C733" s="181"/>
      <c r="D733" s="181"/>
      <c r="E733" s="181"/>
      <c r="F733" s="181"/>
      <c r="G733" s="181"/>
      <c r="K733" s="182">
        <v>732</v>
      </c>
      <c r="L733" s="182" t="str">
        <f t="shared" si="132"/>
        <v/>
      </c>
      <c r="M733" s="182" t="str">
        <f t="shared" si="133"/>
        <v/>
      </c>
      <c r="N733" s="182" t="str">
        <f t="shared" si="134"/>
        <v/>
      </c>
      <c r="O733" s="182" t="str">
        <f t="shared" si="135"/>
        <v/>
      </c>
      <c r="P733" s="182" t="str">
        <f t="shared" si="136"/>
        <v/>
      </c>
      <c r="Q733" s="182" t="str">
        <f t="shared" si="137"/>
        <v/>
      </c>
      <c r="R733" s="182" t="str">
        <f t="shared" si="138"/>
        <v/>
      </c>
      <c r="S733" s="182" t="str">
        <f t="shared" si="139"/>
        <v/>
      </c>
      <c r="T733" s="182" t="str">
        <f t="shared" si="140"/>
        <v/>
      </c>
      <c r="U733" s="182" t="str">
        <f t="shared" si="141"/>
        <v/>
      </c>
      <c r="V733" s="182" t="str">
        <f t="shared" si="142"/>
        <v/>
      </c>
      <c r="W733" s="182" t="str">
        <f t="shared" si="143"/>
        <v/>
      </c>
    </row>
    <row r="734" spans="1:23" x14ac:dyDescent="0.2">
      <c r="A734" s="181"/>
      <c r="B734" s="181"/>
      <c r="C734" s="181"/>
      <c r="D734" s="181"/>
      <c r="E734" s="181"/>
      <c r="F734" s="181"/>
      <c r="G734" s="181"/>
      <c r="K734" s="182">
        <v>733</v>
      </c>
      <c r="L734" s="182" t="str">
        <f t="shared" si="132"/>
        <v/>
      </c>
      <c r="M734" s="182" t="str">
        <f t="shared" si="133"/>
        <v/>
      </c>
      <c r="N734" s="182" t="str">
        <f t="shared" si="134"/>
        <v/>
      </c>
      <c r="O734" s="182" t="str">
        <f t="shared" si="135"/>
        <v/>
      </c>
      <c r="P734" s="182" t="str">
        <f t="shared" si="136"/>
        <v/>
      </c>
      <c r="Q734" s="182" t="str">
        <f t="shared" si="137"/>
        <v/>
      </c>
      <c r="R734" s="182" t="str">
        <f t="shared" si="138"/>
        <v/>
      </c>
      <c r="S734" s="182" t="str">
        <f t="shared" si="139"/>
        <v/>
      </c>
      <c r="T734" s="182" t="str">
        <f t="shared" si="140"/>
        <v/>
      </c>
      <c r="U734" s="182" t="str">
        <f t="shared" si="141"/>
        <v/>
      </c>
      <c r="V734" s="182" t="str">
        <f t="shared" si="142"/>
        <v/>
      </c>
      <c r="W734" s="182" t="str">
        <f t="shared" si="143"/>
        <v/>
      </c>
    </row>
    <row r="735" spans="1:23" x14ac:dyDescent="0.2">
      <c r="A735" s="181"/>
      <c r="B735" s="181"/>
      <c r="C735" s="181"/>
      <c r="D735" s="181"/>
      <c r="E735" s="181"/>
      <c r="F735" s="181"/>
      <c r="G735" s="181"/>
      <c r="K735" s="182">
        <v>734</v>
      </c>
      <c r="L735" s="182" t="str">
        <f t="shared" si="132"/>
        <v/>
      </c>
      <c r="M735" s="182" t="str">
        <f t="shared" si="133"/>
        <v/>
      </c>
      <c r="N735" s="182" t="str">
        <f t="shared" si="134"/>
        <v/>
      </c>
      <c r="O735" s="182" t="str">
        <f t="shared" si="135"/>
        <v/>
      </c>
      <c r="P735" s="182" t="str">
        <f t="shared" si="136"/>
        <v/>
      </c>
      <c r="Q735" s="182" t="str">
        <f t="shared" si="137"/>
        <v/>
      </c>
      <c r="R735" s="182" t="str">
        <f t="shared" si="138"/>
        <v/>
      </c>
      <c r="S735" s="182" t="str">
        <f t="shared" si="139"/>
        <v/>
      </c>
      <c r="T735" s="182" t="str">
        <f t="shared" si="140"/>
        <v/>
      </c>
      <c r="U735" s="182" t="str">
        <f t="shared" si="141"/>
        <v/>
      </c>
      <c r="V735" s="182" t="str">
        <f t="shared" si="142"/>
        <v/>
      </c>
      <c r="W735" s="182" t="str">
        <f t="shared" si="143"/>
        <v/>
      </c>
    </row>
    <row r="736" spans="1:23" x14ac:dyDescent="0.2">
      <c r="A736" s="181"/>
      <c r="B736" s="181"/>
      <c r="C736" s="181"/>
      <c r="D736" s="181"/>
      <c r="E736" s="181"/>
      <c r="F736" s="181"/>
      <c r="G736" s="181"/>
      <c r="K736" s="182">
        <v>735</v>
      </c>
      <c r="L736" s="182" t="str">
        <f t="shared" si="132"/>
        <v/>
      </c>
      <c r="M736" s="182" t="str">
        <f t="shared" si="133"/>
        <v/>
      </c>
      <c r="N736" s="182" t="str">
        <f t="shared" si="134"/>
        <v/>
      </c>
      <c r="O736" s="182" t="str">
        <f t="shared" si="135"/>
        <v/>
      </c>
      <c r="P736" s="182" t="str">
        <f t="shared" si="136"/>
        <v/>
      </c>
      <c r="Q736" s="182" t="str">
        <f t="shared" si="137"/>
        <v/>
      </c>
      <c r="R736" s="182" t="str">
        <f t="shared" si="138"/>
        <v/>
      </c>
      <c r="S736" s="182" t="str">
        <f t="shared" si="139"/>
        <v/>
      </c>
      <c r="T736" s="182" t="str">
        <f t="shared" si="140"/>
        <v/>
      </c>
      <c r="U736" s="182" t="str">
        <f t="shared" si="141"/>
        <v/>
      </c>
      <c r="V736" s="182" t="str">
        <f t="shared" si="142"/>
        <v/>
      </c>
      <c r="W736" s="182" t="str">
        <f t="shared" si="143"/>
        <v/>
      </c>
    </row>
    <row r="737" spans="1:23" x14ac:dyDescent="0.2">
      <c r="A737" s="181"/>
      <c r="B737" s="181"/>
      <c r="C737" s="181"/>
      <c r="D737" s="181"/>
      <c r="E737" s="181"/>
      <c r="F737" s="181"/>
      <c r="G737" s="181"/>
      <c r="K737" s="182">
        <v>736</v>
      </c>
      <c r="L737" s="182" t="str">
        <f t="shared" si="132"/>
        <v/>
      </c>
      <c r="M737" s="182" t="str">
        <f t="shared" si="133"/>
        <v/>
      </c>
      <c r="N737" s="182" t="str">
        <f t="shared" si="134"/>
        <v/>
      </c>
      <c r="O737" s="182" t="str">
        <f t="shared" si="135"/>
        <v/>
      </c>
      <c r="P737" s="182" t="str">
        <f t="shared" si="136"/>
        <v/>
      </c>
      <c r="Q737" s="182" t="str">
        <f t="shared" si="137"/>
        <v/>
      </c>
      <c r="R737" s="182" t="str">
        <f t="shared" si="138"/>
        <v/>
      </c>
      <c r="S737" s="182" t="str">
        <f t="shared" si="139"/>
        <v/>
      </c>
      <c r="T737" s="182" t="str">
        <f t="shared" si="140"/>
        <v/>
      </c>
      <c r="U737" s="182" t="str">
        <f t="shared" si="141"/>
        <v/>
      </c>
      <c r="V737" s="182" t="str">
        <f t="shared" si="142"/>
        <v/>
      </c>
      <c r="W737" s="182" t="str">
        <f t="shared" si="143"/>
        <v/>
      </c>
    </row>
    <row r="738" spans="1:23" x14ac:dyDescent="0.2">
      <c r="A738" s="181"/>
      <c r="B738" s="181"/>
      <c r="C738" s="181"/>
      <c r="D738" s="181"/>
      <c r="E738" s="181"/>
      <c r="F738" s="181"/>
      <c r="G738" s="181"/>
      <c r="K738" s="182">
        <v>737</v>
      </c>
      <c r="L738" s="182" t="str">
        <f t="shared" si="132"/>
        <v/>
      </c>
      <c r="M738" s="182" t="str">
        <f t="shared" si="133"/>
        <v/>
      </c>
      <c r="N738" s="182" t="str">
        <f t="shared" si="134"/>
        <v/>
      </c>
      <c r="O738" s="182" t="str">
        <f t="shared" si="135"/>
        <v/>
      </c>
      <c r="P738" s="182" t="str">
        <f t="shared" si="136"/>
        <v/>
      </c>
      <c r="Q738" s="182" t="str">
        <f t="shared" si="137"/>
        <v/>
      </c>
      <c r="R738" s="182" t="str">
        <f t="shared" si="138"/>
        <v/>
      </c>
      <c r="S738" s="182" t="str">
        <f t="shared" si="139"/>
        <v/>
      </c>
      <c r="T738" s="182" t="str">
        <f t="shared" si="140"/>
        <v/>
      </c>
      <c r="U738" s="182" t="str">
        <f t="shared" si="141"/>
        <v/>
      </c>
      <c r="V738" s="182" t="str">
        <f t="shared" si="142"/>
        <v/>
      </c>
      <c r="W738" s="182" t="str">
        <f t="shared" si="143"/>
        <v/>
      </c>
    </row>
    <row r="739" spans="1:23" x14ac:dyDescent="0.2">
      <c r="A739" s="181"/>
      <c r="B739" s="181"/>
      <c r="C739" s="181"/>
      <c r="D739" s="181"/>
      <c r="E739" s="181"/>
      <c r="F739" s="181"/>
      <c r="G739" s="181"/>
      <c r="K739" s="182">
        <v>738</v>
      </c>
      <c r="L739" s="182" t="str">
        <f t="shared" si="132"/>
        <v/>
      </c>
      <c r="M739" s="182" t="str">
        <f t="shared" si="133"/>
        <v/>
      </c>
      <c r="N739" s="182" t="str">
        <f t="shared" si="134"/>
        <v/>
      </c>
      <c r="O739" s="182" t="str">
        <f t="shared" si="135"/>
        <v/>
      </c>
      <c r="P739" s="182" t="str">
        <f t="shared" si="136"/>
        <v/>
      </c>
      <c r="Q739" s="182" t="str">
        <f t="shared" si="137"/>
        <v/>
      </c>
      <c r="R739" s="182" t="str">
        <f t="shared" si="138"/>
        <v/>
      </c>
      <c r="S739" s="182" t="str">
        <f t="shared" si="139"/>
        <v/>
      </c>
      <c r="T739" s="182" t="str">
        <f t="shared" si="140"/>
        <v/>
      </c>
      <c r="U739" s="182" t="str">
        <f t="shared" si="141"/>
        <v/>
      </c>
      <c r="V739" s="182" t="str">
        <f t="shared" si="142"/>
        <v/>
      </c>
      <c r="W739" s="182" t="str">
        <f t="shared" si="143"/>
        <v/>
      </c>
    </row>
    <row r="740" spans="1:23" x14ac:dyDescent="0.2">
      <c r="A740" s="181"/>
      <c r="B740" s="181"/>
      <c r="C740" s="181"/>
      <c r="D740" s="181"/>
      <c r="E740" s="181"/>
      <c r="F740" s="181"/>
      <c r="G740" s="181"/>
      <c r="K740" s="182">
        <v>739</v>
      </c>
      <c r="L740" s="182" t="str">
        <f t="shared" si="132"/>
        <v/>
      </c>
      <c r="M740" s="182" t="str">
        <f t="shared" si="133"/>
        <v/>
      </c>
      <c r="N740" s="182" t="str">
        <f t="shared" si="134"/>
        <v/>
      </c>
      <c r="O740" s="182" t="str">
        <f t="shared" si="135"/>
        <v/>
      </c>
      <c r="P740" s="182" t="str">
        <f t="shared" si="136"/>
        <v/>
      </c>
      <c r="Q740" s="182" t="str">
        <f t="shared" si="137"/>
        <v/>
      </c>
      <c r="R740" s="182" t="str">
        <f t="shared" si="138"/>
        <v/>
      </c>
      <c r="S740" s="182" t="str">
        <f t="shared" si="139"/>
        <v/>
      </c>
      <c r="T740" s="182" t="str">
        <f t="shared" si="140"/>
        <v/>
      </c>
      <c r="U740" s="182" t="str">
        <f t="shared" si="141"/>
        <v/>
      </c>
      <c r="V740" s="182" t="str">
        <f t="shared" si="142"/>
        <v/>
      </c>
      <c r="W740" s="182" t="str">
        <f t="shared" si="143"/>
        <v/>
      </c>
    </row>
    <row r="741" spans="1:23" x14ac:dyDescent="0.2">
      <c r="A741" s="181"/>
      <c r="B741" s="181"/>
      <c r="C741" s="181"/>
      <c r="D741" s="181"/>
      <c r="E741" s="181"/>
      <c r="F741" s="181"/>
      <c r="G741" s="181"/>
      <c r="K741" s="182">
        <v>740</v>
      </c>
      <c r="L741" s="182" t="str">
        <f t="shared" si="132"/>
        <v/>
      </c>
      <c r="M741" s="182" t="str">
        <f t="shared" si="133"/>
        <v/>
      </c>
      <c r="N741" s="182" t="str">
        <f t="shared" si="134"/>
        <v/>
      </c>
      <c r="O741" s="182" t="str">
        <f t="shared" si="135"/>
        <v/>
      </c>
      <c r="P741" s="182" t="str">
        <f t="shared" si="136"/>
        <v/>
      </c>
      <c r="Q741" s="182" t="str">
        <f t="shared" si="137"/>
        <v/>
      </c>
      <c r="R741" s="182" t="str">
        <f t="shared" si="138"/>
        <v/>
      </c>
      <c r="S741" s="182" t="str">
        <f t="shared" si="139"/>
        <v/>
      </c>
      <c r="T741" s="182" t="str">
        <f t="shared" si="140"/>
        <v/>
      </c>
      <c r="U741" s="182" t="str">
        <f t="shared" si="141"/>
        <v/>
      </c>
      <c r="V741" s="182" t="str">
        <f t="shared" si="142"/>
        <v/>
      </c>
      <c r="W741" s="182" t="str">
        <f t="shared" si="143"/>
        <v/>
      </c>
    </row>
    <row r="742" spans="1:23" x14ac:dyDescent="0.2">
      <c r="A742" s="181"/>
      <c r="B742" s="181"/>
      <c r="C742" s="181"/>
      <c r="D742" s="181"/>
      <c r="E742" s="181"/>
      <c r="F742" s="181"/>
      <c r="G742" s="181"/>
      <c r="K742" s="182">
        <v>741</v>
      </c>
      <c r="L742" s="182" t="str">
        <f t="shared" si="132"/>
        <v/>
      </c>
      <c r="M742" s="182" t="str">
        <f t="shared" si="133"/>
        <v/>
      </c>
      <c r="N742" s="182" t="str">
        <f t="shared" si="134"/>
        <v/>
      </c>
      <c r="O742" s="182" t="str">
        <f t="shared" si="135"/>
        <v/>
      </c>
      <c r="P742" s="182" t="str">
        <f t="shared" si="136"/>
        <v/>
      </c>
      <c r="Q742" s="182" t="str">
        <f t="shared" si="137"/>
        <v/>
      </c>
      <c r="R742" s="182" t="str">
        <f t="shared" si="138"/>
        <v/>
      </c>
      <c r="S742" s="182" t="str">
        <f t="shared" si="139"/>
        <v/>
      </c>
      <c r="T742" s="182" t="str">
        <f t="shared" si="140"/>
        <v/>
      </c>
      <c r="U742" s="182" t="str">
        <f t="shared" si="141"/>
        <v/>
      </c>
      <c r="V742" s="182" t="str">
        <f t="shared" si="142"/>
        <v/>
      </c>
      <c r="W742" s="182" t="str">
        <f t="shared" si="143"/>
        <v/>
      </c>
    </row>
    <row r="743" spans="1:23" x14ac:dyDescent="0.2">
      <c r="A743" s="181"/>
      <c r="B743" s="181"/>
      <c r="C743" s="181"/>
      <c r="D743" s="181"/>
      <c r="E743" s="181"/>
      <c r="F743" s="181"/>
      <c r="G743" s="181"/>
      <c r="K743" s="182">
        <v>742</v>
      </c>
      <c r="L743" s="182" t="str">
        <f t="shared" si="132"/>
        <v/>
      </c>
      <c r="M743" s="182" t="str">
        <f t="shared" si="133"/>
        <v/>
      </c>
      <c r="N743" s="182" t="str">
        <f t="shared" si="134"/>
        <v/>
      </c>
      <c r="O743" s="182" t="str">
        <f t="shared" si="135"/>
        <v/>
      </c>
      <c r="P743" s="182" t="str">
        <f t="shared" si="136"/>
        <v/>
      </c>
      <c r="Q743" s="182" t="str">
        <f t="shared" si="137"/>
        <v/>
      </c>
      <c r="R743" s="182" t="str">
        <f t="shared" si="138"/>
        <v/>
      </c>
      <c r="S743" s="182" t="str">
        <f t="shared" si="139"/>
        <v/>
      </c>
      <c r="T743" s="182" t="str">
        <f t="shared" si="140"/>
        <v/>
      </c>
      <c r="U743" s="182" t="str">
        <f t="shared" si="141"/>
        <v/>
      </c>
      <c r="V743" s="182" t="str">
        <f t="shared" si="142"/>
        <v/>
      </c>
      <c r="W743" s="182" t="str">
        <f t="shared" si="143"/>
        <v/>
      </c>
    </row>
    <row r="744" spans="1:23" x14ac:dyDescent="0.2">
      <c r="A744" s="181"/>
      <c r="B744" s="181"/>
      <c r="C744" s="181"/>
      <c r="D744" s="181"/>
      <c r="E744" s="181"/>
      <c r="F744" s="181"/>
      <c r="G744" s="181"/>
      <c r="K744" s="182">
        <v>743</v>
      </c>
      <c r="L744" s="182" t="str">
        <f t="shared" si="132"/>
        <v/>
      </c>
      <c r="M744" s="182" t="str">
        <f t="shared" si="133"/>
        <v/>
      </c>
      <c r="N744" s="182" t="str">
        <f t="shared" si="134"/>
        <v/>
      </c>
      <c r="O744" s="182" t="str">
        <f t="shared" si="135"/>
        <v/>
      </c>
      <c r="P744" s="182" t="str">
        <f t="shared" si="136"/>
        <v/>
      </c>
      <c r="Q744" s="182" t="str">
        <f t="shared" si="137"/>
        <v/>
      </c>
      <c r="R744" s="182" t="str">
        <f t="shared" si="138"/>
        <v/>
      </c>
      <c r="S744" s="182" t="str">
        <f t="shared" si="139"/>
        <v/>
      </c>
      <c r="T744" s="182" t="str">
        <f t="shared" si="140"/>
        <v/>
      </c>
      <c r="U744" s="182" t="str">
        <f t="shared" si="141"/>
        <v/>
      </c>
      <c r="V744" s="182" t="str">
        <f t="shared" si="142"/>
        <v/>
      </c>
      <c r="W744" s="182" t="str">
        <f t="shared" si="143"/>
        <v/>
      </c>
    </row>
    <row r="745" spans="1:23" x14ac:dyDescent="0.2">
      <c r="A745" s="181"/>
      <c r="B745" s="181"/>
      <c r="C745" s="181"/>
      <c r="D745" s="181"/>
      <c r="E745" s="181"/>
      <c r="F745" s="181"/>
      <c r="G745" s="181"/>
      <c r="K745" s="182">
        <v>744</v>
      </c>
      <c r="L745" s="182" t="str">
        <f t="shared" si="132"/>
        <v/>
      </c>
      <c r="M745" s="182" t="str">
        <f t="shared" si="133"/>
        <v/>
      </c>
      <c r="N745" s="182" t="str">
        <f t="shared" si="134"/>
        <v/>
      </c>
      <c r="O745" s="182" t="str">
        <f t="shared" si="135"/>
        <v/>
      </c>
      <c r="P745" s="182" t="str">
        <f t="shared" si="136"/>
        <v/>
      </c>
      <c r="Q745" s="182" t="str">
        <f t="shared" si="137"/>
        <v/>
      </c>
      <c r="R745" s="182" t="str">
        <f t="shared" si="138"/>
        <v/>
      </c>
      <c r="S745" s="182" t="str">
        <f t="shared" si="139"/>
        <v/>
      </c>
      <c r="T745" s="182" t="str">
        <f t="shared" si="140"/>
        <v/>
      </c>
      <c r="U745" s="182" t="str">
        <f t="shared" si="141"/>
        <v/>
      </c>
      <c r="V745" s="182" t="str">
        <f t="shared" si="142"/>
        <v/>
      </c>
      <c r="W745" s="182" t="str">
        <f t="shared" si="143"/>
        <v/>
      </c>
    </row>
    <row r="746" spans="1:23" x14ac:dyDescent="0.2">
      <c r="A746" s="181"/>
      <c r="B746" s="181"/>
      <c r="C746" s="181"/>
      <c r="D746" s="181"/>
      <c r="E746" s="181"/>
      <c r="F746" s="181"/>
      <c r="G746" s="181"/>
      <c r="K746" s="182">
        <v>745</v>
      </c>
      <c r="L746" s="182" t="str">
        <f t="shared" si="132"/>
        <v/>
      </c>
      <c r="M746" s="182" t="str">
        <f t="shared" si="133"/>
        <v/>
      </c>
      <c r="N746" s="182" t="str">
        <f t="shared" si="134"/>
        <v/>
      </c>
      <c r="O746" s="182" t="str">
        <f t="shared" si="135"/>
        <v/>
      </c>
      <c r="P746" s="182" t="str">
        <f t="shared" si="136"/>
        <v/>
      </c>
      <c r="Q746" s="182" t="str">
        <f t="shared" si="137"/>
        <v/>
      </c>
      <c r="R746" s="182" t="str">
        <f t="shared" si="138"/>
        <v/>
      </c>
      <c r="S746" s="182" t="str">
        <f t="shared" si="139"/>
        <v/>
      </c>
      <c r="T746" s="182" t="str">
        <f t="shared" si="140"/>
        <v/>
      </c>
      <c r="U746" s="182" t="str">
        <f t="shared" si="141"/>
        <v/>
      </c>
      <c r="V746" s="182" t="str">
        <f t="shared" si="142"/>
        <v/>
      </c>
      <c r="W746" s="182" t="str">
        <f t="shared" si="143"/>
        <v/>
      </c>
    </row>
    <row r="747" spans="1:23" x14ac:dyDescent="0.2">
      <c r="A747" s="181"/>
      <c r="B747" s="181"/>
      <c r="C747" s="181"/>
      <c r="D747" s="181"/>
      <c r="E747" s="181"/>
      <c r="F747" s="181"/>
      <c r="G747" s="181"/>
      <c r="K747" s="182">
        <v>746</v>
      </c>
      <c r="L747" s="182" t="str">
        <f t="shared" si="132"/>
        <v/>
      </c>
      <c r="M747" s="182" t="str">
        <f t="shared" si="133"/>
        <v/>
      </c>
      <c r="N747" s="182" t="str">
        <f t="shared" si="134"/>
        <v/>
      </c>
      <c r="O747" s="182" t="str">
        <f t="shared" si="135"/>
        <v/>
      </c>
      <c r="P747" s="182" t="str">
        <f t="shared" si="136"/>
        <v/>
      </c>
      <c r="Q747" s="182" t="str">
        <f t="shared" si="137"/>
        <v/>
      </c>
      <c r="R747" s="182" t="str">
        <f t="shared" si="138"/>
        <v/>
      </c>
      <c r="S747" s="182" t="str">
        <f t="shared" si="139"/>
        <v/>
      </c>
      <c r="T747" s="182" t="str">
        <f t="shared" si="140"/>
        <v/>
      </c>
      <c r="U747" s="182" t="str">
        <f t="shared" si="141"/>
        <v/>
      </c>
      <c r="V747" s="182" t="str">
        <f t="shared" si="142"/>
        <v/>
      </c>
      <c r="W747" s="182" t="str">
        <f t="shared" si="143"/>
        <v/>
      </c>
    </row>
    <row r="748" spans="1:23" x14ac:dyDescent="0.2">
      <c r="A748" s="181"/>
      <c r="B748" s="181"/>
      <c r="C748" s="181"/>
      <c r="D748" s="181"/>
      <c r="E748" s="181"/>
      <c r="F748" s="181"/>
      <c r="G748" s="181"/>
      <c r="K748" s="182">
        <v>747</v>
      </c>
      <c r="L748" s="182" t="str">
        <f t="shared" si="132"/>
        <v/>
      </c>
      <c r="M748" s="182" t="str">
        <f t="shared" si="133"/>
        <v/>
      </c>
      <c r="N748" s="182" t="str">
        <f t="shared" si="134"/>
        <v/>
      </c>
      <c r="O748" s="182" t="str">
        <f t="shared" si="135"/>
        <v/>
      </c>
      <c r="P748" s="182" t="str">
        <f t="shared" si="136"/>
        <v/>
      </c>
      <c r="Q748" s="182" t="str">
        <f t="shared" si="137"/>
        <v/>
      </c>
      <c r="R748" s="182" t="str">
        <f t="shared" si="138"/>
        <v/>
      </c>
      <c r="S748" s="182" t="str">
        <f t="shared" si="139"/>
        <v/>
      </c>
      <c r="T748" s="182" t="str">
        <f t="shared" si="140"/>
        <v/>
      </c>
      <c r="U748" s="182" t="str">
        <f t="shared" si="141"/>
        <v/>
      </c>
      <c r="V748" s="182" t="str">
        <f t="shared" si="142"/>
        <v/>
      </c>
      <c r="W748" s="182" t="str">
        <f t="shared" si="143"/>
        <v/>
      </c>
    </row>
    <row r="749" spans="1:23" x14ac:dyDescent="0.2">
      <c r="A749" s="181"/>
      <c r="B749" s="181"/>
      <c r="C749" s="181"/>
      <c r="D749" s="181"/>
      <c r="E749" s="181"/>
      <c r="F749" s="181"/>
      <c r="G749" s="181"/>
      <c r="K749" s="182">
        <v>748</v>
      </c>
      <c r="L749" s="182" t="str">
        <f t="shared" si="132"/>
        <v/>
      </c>
      <c r="M749" s="182" t="str">
        <f t="shared" si="133"/>
        <v/>
      </c>
      <c r="N749" s="182" t="str">
        <f t="shared" si="134"/>
        <v/>
      </c>
      <c r="O749" s="182" t="str">
        <f t="shared" si="135"/>
        <v/>
      </c>
      <c r="P749" s="182" t="str">
        <f t="shared" si="136"/>
        <v/>
      </c>
      <c r="Q749" s="182" t="str">
        <f t="shared" si="137"/>
        <v/>
      </c>
      <c r="R749" s="182" t="str">
        <f t="shared" si="138"/>
        <v/>
      </c>
      <c r="S749" s="182" t="str">
        <f t="shared" si="139"/>
        <v/>
      </c>
      <c r="T749" s="182" t="str">
        <f t="shared" si="140"/>
        <v/>
      </c>
      <c r="U749" s="182" t="str">
        <f t="shared" si="141"/>
        <v/>
      </c>
      <c r="V749" s="182" t="str">
        <f t="shared" si="142"/>
        <v/>
      </c>
      <c r="W749" s="182" t="str">
        <f t="shared" si="143"/>
        <v/>
      </c>
    </row>
    <row r="750" spans="1:23" x14ac:dyDescent="0.2">
      <c r="A750" s="181"/>
      <c r="B750" s="181"/>
      <c r="C750" s="181"/>
      <c r="D750" s="181"/>
      <c r="E750" s="181"/>
      <c r="F750" s="181"/>
      <c r="G750" s="181"/>
      <c r="K750" s="182">
        <v>749</v>
      </c>
      <c r="L750" s="182" t="str">
        <f t="shared" si="132"/>
        <v/>
      </c>
      <c r="M750" s="182" t="str">
        <f t="shared" si="133"/>
        <v/>
      </c>
      <c r="N750" s="182" t="str">
        <f t="shared" si="134"/>
        <v/>
      </c>
      <c r="O750" s="182" t="str">
        <f t="shared" si="135"/>
        <v/>
      </c>
      <c r="P750" s="182" t="str">
        <f t="shared" si="136"/>
        <v/>
      </c>
      <c r="Q750" s="182" t="str">
        <f t="shared" si="137"/>
        <v/>
      </c>
      <c r="R750" s="182" t="str">
        <f t="shared" si="138"/>
        <v/>
      </c>
      <c r="S750" s="182" t="str">
        <f t="shared" si="139"/>
        <v/>
      </c>
      <c r="T750" s="182" t="str">
        <f t="shared" si="140"/>
        <v/>
      </c>
      <c r="U750" s="182" t="str">
        <f t="shared" si="141"/>
        <v/>
      </c>
      <c r="V750" s="182" t="str">
        <f t="shared" si="142"/>
        <v/>
      </c>
      <c r="W750" s="182" t="str">
        <f t="shared" si="143"/>
        <v/>
      </c>
    </row>
    <row r="751" spans="1:23" x14ac:dyDescent="0.2">
      <c r="A751" s="181"/>
      <c r="B751" s="181"/>
      <c r="C751" s="181"/>
      <c r="D751" s="181"/>
      <c r="E751" s="181"/>
      <c r="F751" s="181"/>
      <c r="G751" s="181"/>
      <c r="K751" s="182">
        <v>750</v>
      </c>
      <c r="L751" s="182" t="str">
        <f t="shared" si="132"/>
        <v/>
      </c>
      <c r="M751" s="182" t="str">
        <f t="shared" si="133"/>
        <v/>
      </c>
      <c r="N751" s="182" t="str">
        <f t="shared" si="134"/>
        <v/>
      </c>
      <c r="O751" s="182" t="str">
        <f t="shared" si="135"/>
        <v/>
      </c>
      <c r="P751" s="182" t="str">
        <f t="shared" si="136"/>
        <v/>
      </c>
      <c r="Q751" s="182" t="str">
        <f t="shared" si="137"/>
        <v/>
      </c>
      <c r="R751" s="182" t="str">
        <f t="shared" si="138"/>
        <v/>
      </c>
      <c r="S751" s="182" t="str">
        <f t="shared" si="139"/>
        <v/>
      </c>
      <c r="T751" s="182" t="str">
        <f t="shared" si="140"/>
        <v/>
      </c>
      <c r="U751" s="182" t="str">
        <f t="shared" si="141"/>
        <v/>
      </c>
      <c r="V751" s="182" t="str">
        <f t="shared" si="142"/>
        <v/>
      </c>
      <c r="W751" s="182" t="str">
        <f t="shared" si="143"/>
        <v/>
      </c>
    </row>
    <row r="752" spans="1:23" x14ac:dyDescent="0.2">
      <c r="A752" s="181"/>
      <c r="B752" s="181"/>
      <c r="C752" s="181"/>
      <c r="D752" s="181"/>
      <c r="E752" s="181"/>
      <c r="F752" s="181"/>
      <c r="G752" s="181"/>
      <c r="K752" s="182">
        <v>751</v>
      </c>
      <c r="L752" s="182" t="str">
        <f t="shared" si="132"/>
        <v/>
      </c>
      <c r="M752" s="182" t="str">
        <f t="shared" si="133"/>
        <v/>
      </c>
      <c r="N752" s="182" t="str">
        <f t="shared" si="134"/>
        <v/>
      </c>
      <c r="O752" s="182" t="str">
        <f t="shared" si="135"/>
        <v/>
      </c>
      <c r="P752" s="182" t="str">
        <f t="shared" si="136"/>
        <v/>
      </c>
      <c r="Q752" s="182" t="str">
        <f t="shared" si="137"/>
        <v/>
      </c>
      <c r="R752" s="182" t="str">
        <f t="shared" si="138"/>
        <v/>
      </c>
      <c r="S752" s="182" t="str">
        <f t="shared" si="139"/>
        <v/>
      </c>
      <c r="T752" s="182" t="str">
        <f t="shared" si="140"/>
        <v/>
      </c>
      <c r="U752" s="182" t="str">
        <f t="shared" si="141"/>
        <v/>
      </c>
      <c r="V752" s="182" t="str">
        <f t="shared" si="142"/>
        <v/>
      </c>
      <c r="W752" s="182" t="str">
        <f t="shared" si="143"/>
        <v/>
      </c>
    </row>
    <row r="753" spans="1:23" x14ac:dyDescent="0.2">
      <c r="A753" s="181"/>
      <c r="B753" s="181"/>
      <c r="C753" s="181"/>
      <c r="D753" s="181"/>
      <c r="E753" s="181"/>
      <c r="F753" s="181"/>
      <c r="G753" s="181"/>
      <c r="K753" s="182">
        <v>752</v>
      </c>
      <c r="L753" s="182" t="str">
        <f t="shared" si="132"/>
        <v/>
      </c>
      <c r="M753" s="182" t="str">
        <f t="shared" si="133"/>
        <v/>
      </c>
      <c r="N753" s="182" t="str">
        <f t="shared" si="134"/>
        <v/>
      </c>
      <c r="O753" s="182" t="str">
        <f t="shared" si="135"/>
        <v/>
      </c>
      <c r="P753" s="182" t="str">
        <f t="shared" si="136"/>
        <v/>
      </c>
      <c r="Q753" s="182" t="str">
        <f t="shared" si="137"/>
        <v/>
      </c>
      <c r="R753" s="182" t="str">
        <f t="shared" si="138"/>
        <v/>
      </c>
      <c r="S753" s="182" t="str">
        <f t="shared" si="139"/>
        <v/>
      </c>
      <c r="T753" s="182" t="str">
        <f t="shared" si="140"/>
        <v/>
      </c>
      <c r="U753" s="182" t="str">
        <f t="shared" si="141"/>
        <v/>
      </c>
      <c r="V753" s="182" t="str">
        <f t="shared" si="142"/>
        <v/>
      </c>
      <c r="W753" s="182" t="str">
        <f t="shared" si="143"/>
        <v/>
      </c>
    </row>
    <row r="754" spans="1:23" x14ac:dyDescent="0.2">
      <c r="A754" s="181"/>
      <c r="B754" s="181"/>
      <c r="C754" s="181"/>
      <c r="D754" s="181"/>
      <c r="E754" s="181"/>
      <c r="F754" s="181"/>
      <c r="G754" s="181"/>
      <c r="K754" s="182">
        <v>753</v>
      </c>
      <c r="L754" s="182" t="str">
        <f t="shared" si="132"/>
        <v/>
      </c>
      <c r="M754" s="182" t="str">
        <f t="shared" si="133"/>
        <v/>
      </c>
      <c r="N754" s="182" t="str">
        <f t="shared" si="134"/>
        <v/>
      </c>
      <c r="O754" s="182" t="str">
        <f t="shared" si="135"/>
        <v/>
      </c>
      <c r="P754" s="182" t="str">
        <f t="shared" si="136"/>
        <v/>
      </c>
      <c r="Q754" s="182" t="str">
        <f t="shared" si="137"/>
        <v/>
      </c>
      <c r="R754" s="182" t="str">
        <f t="shared" si="138"/>
        <v/>
      </c>
      <c r="S754" s="182" t="str">
        <f t="shared" si="139"/>
        <v/>
      </c>
      <c r="T754" s="182" t="str">
        <f t="shared" si="140"/>
        <v/>
      </c>
      <c r="U754" s="182" t="str">
        <f t="shared" si="141"/>
        <v/>
      </c>
      <c r="V754" s="182" t="str">
        <f t="shared" si="142"/>
        <v/>
      </c>
      <c r="W754" s="182" t="str">
        <f t="shared" si="143"/>
        <v/>
      </c>
    </row>
    <row r="755" spans="1:23" x14ac:dyDescent="0.2">
      <c r="A755" s="181"/>
      <c r="B755" s="181"/>
      <c r="C755" s="181"/>
      <c r="D755" s="181"/>
      <c r="E755" s="181"/>
      <c r="F755" s="181"/>
      <c r="G755" s="181"/>
      <c r="K755" s="182">
        <v>754</v>
      </c>
      <c r="L755" s="182" t="str">
        <f t="shared" si="132"/>
        <v/>
      </c>
      <c r="M755" s="182" t="str">
        <f t="shared" si="133"/>
        <v/>
      </c>
      <c r="N755" s="182" t="str">
        <f t="shared" si="134"/>
        <v/>
      </c>
      <c r="O755" s="182" t="str">
        <f t="shared" si="135"/>
        <v/>
      </c>
      <c r="P755" s="182" t="str">
        <f t="shared" si="136"/>
        <v/>
      </c>
      <c r="Q755" s="182" t="str">
        <f t="shared" si="137"/>
        <v/>
      </c>
      <c r="R755" s="182" t="str">
        <f t="shared" si="138"/>
        <v/>
      </c>
      <c r="S755" s="182" t="str">
        <f t="shared" si="139"/>
        <v/>
      </c>
      <c r="T755" s="182" t="str">
        <f t="shared" si="140"/>
        <v/>
      </c>
      <c r="U755" s="182" t="str">
        <f t="shared" si="141"/>
        <v/>
      </c>
      <c r="V755" s="182" t="str">
        <f t="shared" si="142"/>
        <v/>
      </c>
      <c r="W755" s="182" t="str">
        <f t="shared" si="143"/>
        <v/>
      </c>
    </row>
    <row r="756" spans="1:23" x14ac:dyDescent="0.2">
      <c r="A756" s="181"/>
      <c r="B756" s="181"/>
      <c r="C756" s="181"/>
      <c r="D756" s="181"/>
      <c r="E756" s="181"/>
      <c r="F756" s="181"/>
      <c r="G756" s="181"/>
      <c r="K756" s="182">
        <v>755</v>
      </c>
      <c r="L756" s="182" t="str">
        <f t="shared" si="132"/>
        <v/>
      </c>
      <c r="M756" s="182" t="str">
        <f t="shared" si="133"/>
        <v/>
      </c>
      <c r="N756" s="182" t="str">
        <f t="shared" si="134"/>
        <v/>
      </c>
      <c r="O756" s="182" t="str">
        <f t="shared" si="135"/>
        <v/>
      </c>
      <c r="P756" s="182" t="str">
        <f t="shared" si="136"/>
        <v/>
      </c>
      <c r="Q756" s="182" t="str">
        <f t="shared" si="137"/>
        <v/>
      </c>
      <c r="R756" s="182" t="str">
        <f t="shared" si="138"/>
        <v/>
      </c>
      <c r="S756" s="182" t="str">
        <f t="shared" si="139"/>
        <v/>
      </c>
      <c r="T756" s="182" t="str">
        <f t="shared" si="140"/>
        <v/>
      </c>
      <c r="U756" s="182" t="str">
        <f t="shared" si="141"/>
        <v/>
      </c>
      <c r="V756" s="182" t="str">
        <f t="shared" si="142"/>
        <v/>
      </c>
      <c r="W756" s="182" t="str">
        <f t="shared" si="143"/>
        <v/>
      </c>
    </row>
    <row r="757" spans="1:23" x14ac:dyDescent="0.2">
      <c r="A757" s="181"/>
      <c r="B757" s="181"/>
      <c r="C757" s="181"/>
      <c r="D757" s="181"/>
      <c r="E757" s="181"/>
      <c r="F757" s="181"/>
      <c r="G757" s="181"/>
      <c r="K757" s="182">
        <v>756</v>
      </c>
      <c r="L757" s="182" t="str">
        <f t="shared" si="132"/>
        <v/>
      </c>
      <c r="M757" s="182" t="str">
        <f t="shared" si="133"/>
        <v/>
      </c>
      <c r="N757" s="182" t="str">
        <f t="shared" si="134"/>
        <v/>
      </c>
      <c r="O757" s="182" t="str">
        <f t="shared" si="135"/>
        <v/>
      </c>
      <c r="P757" s="182" t="str">
        <f t="shared" si="136"/>
        <v/>
      </c>
      <c r="Q757" s="182" t="str">
        <f t="shared" si="137"/>
        <v/>
      </c>
      <c r="R757" s="182" t="str">
        <f t="shared" si="138"/>
        <v/>
      </c>
      <c r="S757" s="182" t="str">
        <f t="shared" si="139"/>
        <v/>
      </c>
      <c r="T757" s="182" t="str">
        <f t="shared" si="140"/>
        <v/>
      </c>
      <c r="U757" s="182" t="str">
        <f t="shared" si="141"/>
        <v/>
      </c>
      <c r="V757" s="182" t="str">
        <f t="shared" si="142"/>
        <v/>
      </c>
      <c r="W757" s="182" t="str">
        <f t="shared" si="143"/>
        <v/>
      </c>
    </row>
    <row r="758" spans="1:23" x14ac:dyDescent="0.2">
      <c r="A758" s="181"/>
      <c r="B758" s="181"/>
      <c r="C758" s="181"/>
      <c r="D758" s="181"/>
      <c r="E758" s="181"/>
      <c r="F758" s="181"/>
      <c r="G758" s="181"/>
      <c r="K758" s="182">
        <v>757</v>
      </c>
      <c r="L758" s="182" t="str">
        <f t="shared" si="132"/>
        <v/>
      </c>
      <c r="M758" s="182" t="str">
        <f t="shared" si="133"/>
        <v/>
      </c>
      <c r="N758" s="182" t="str">
        <f t="shared" si="134"/>
        <v/>
      </c>
      <c r="O758" s="182" t="str">
        <f t="shared" si="135"/>
        <v/>
      </c>
      <c r="P758" s="182" t="str">
        <f t="shared" si="136"/>
        <v/>
      </c>
      <c r="Q758" s="182" t="str">
        <f t="shared" si="137"/>
        <v/>
      </c>
      <c r="R758" s="182" t="str">
        <f t="shared" si="138"/>
        <v/>
      </c>
      <c r="S758" s="182" t="str">
        <f t="shared" si="139"/>
        <v/>
      </c>
      <c r="T758" s="182" t="str">
        <f t="shared" si="140"/>
        <v/>
      </c>
      <c r="U758" s="182" t="str">
        <f t="shared" si="141"/>
        <v/>
      </c>
      <c r="V758" s="182" t="str">
        <f t="shared" si="142"/>
        <v/>
      </c>
      <c r="W758" s="182" t="str">
        <f t="shared" si="143"/>
        <v/>
      </c>
    </row>
    <row r="759" spans="1:23" x14ac:dyDescent="0.2">
      <c r="A759" s="181"/>
      <c r="B759" s="181"/>
      <c r="C759" s="181"/>
      <c r="D759" s="181"/>
      <c r="E759" s="181"/>
      <c r="F759" s="181"/>
      <c r="G759" s="181"/>
      <c r="K759" s="182">
        <v>758</v>
      </c>
      <c r="L759" s="182" t="str">
        <f t="shared" si="132"/>
        <v/>
      </c>
      <c r="M759" s="182" t="str">
        <f t="shared" si="133"/>
        <v/>
      </c>
      <c r="N759" s="182" t="str">
        <f t="shared" si="134"/>
        <v/>
      </c>
      <c r="O759" s="182" t="str">
        <f t="shared" si="135"/>
        <v/>
      </c>
      <c r="P759" s="182" t="str">
        <f t="shared" si="136"/>
        <v/>
      </c>
      <c r="Q759" s="182" t="str">
        <f t="shared" si="137"/>
        <v/>
      </c>
      <c r="R759" s="182" t="str">
        <f t="shared" si="138"/>
        <v/>
      </c>
      <c r="S759" s="182" t="str">
        <f t="shared" si="139"/>
        <v/>
      </c>
      <c r="T759" s="182" t="str">
        <f t="shared" si="140"/>
        <v/>
      </c>
      <c r="U759" s="182" t="str">
        <f t="shared" si="141"/>
        <v/>
      </c>
      <c r="V759" s="182" t="str">
        <f t="shared" si="142"/>
        <v/>
      </c>
      <c r="W759" s="182" t="str">
        <f t="shared" si="143"/>
        <v/>
      </c>
    </row>
    <row r="760" spans="1:23" x14ac:dyDescent="0.2">
      <c r="A760" s="181"/>
      <c r="B760" s="181"/>
      <c r="C760" s="181"/>
      <c r="D760" s="181"/>
      <c r="E760" s="181"/>
      <c r="F760" s="181"/>
      <c r="G760" s="181"/>
      <c r="K760" s="182">
        <v>759</v>
      </c>
      <c r="L760" s="182" t="str">
        <f t="shared" si="132"/>
        <v/>
      </c>
      <c r="M760" s="182" t="str">
        <f t="shared" si="133"/>
        <v/>
      </c>
      <c r="N760" s="182" t="str">
        <f t="shared" si="134"/>
        <v/>
      </c>
      <c r="O760" s="182" t="str">
        <f t="shared" si="135"/>
        <v/>
      </c>
      <c r="P760" s="182" t="str">
        <f t="shared" si="136"/>
        <v/>
      </c>
      <c r="Q760" s="182" t="str">
        <f t="shared" si="137"/>
        <v/>
      </c>
      <c r="R760" s="182" t="str">
        <f t="shared" si="138"/>
        <v/>
      </c>
      <c r="S760" s="182" t="str">
        <f t="shared" si="139"/>
        <v/>
      </c>
      <c r="T760" s="182" t="str">
        <f t="shared" si="140"/>
        <v/>
      </c>
      <c r="U760" s="182" t="str">
        <f t="shared" si="141"/>
        <v/>
      </c>
      <c r="V760" s="182" t="str">
        <f t="shared" si="142"/>
        <v/>
      </c>
      <c r="W760" s="182" t="str">
        <f t="shared" si="143"/>
        <v/>
      </c>
    </row>
    <row r="761" spans="1:23" x14ac:dyDescent="0.2">
      <c r="A761" s="181"/>
      <c r="B761" s="181"/>
      <c r="C761" s="181"/>
      <c r="D761" s="181"/>
      <c r="E761" s="181"/>
      <c r="F761" s="181"/>
      <c r="G761" s="181"/>
      <c r="K761" s="182">
        <v>760</v>
      </c>
      <c r="L761" s="182" t="str">
        <f t="shared" si="132"/>
        <v/>
      </c>
      <c r="M761" s="182" t="str">
        <f t="shared" si="133"/>
        <v/>
      </c>
      <c r="N761" s="182" t="str">
        <f t="shared" si="134"/>
        <v/>
      </c>
      <c r="O761" s="182" t="str">
        <f t="shared" si="135"/>
        <v/>
      </c>
      <c r="P761" s="182" t="str">
        <f t="shared" si="136"/>
        <v/>
      </c>
      <c r="Q761" s="182" t="str">
        <f t="shared" si="137"/>
        <v/>
      </c>
      <c r="R761" s="182" t="str">
        <f t="shared" si="138"/>
        <v/>
      </c>
      <c r="S761" s="182" t="str">
        <f t="shared" si="139"/>
        <v/>
      </c>
      <c r="T761" s="182" t="str">
        <f t="shared" si="140"/>
        <v/>
      </c>
      <c r="U761" s="182" t="str">
        <f t="shared" si="141"/>
        <v/>
      </c>
      <c r="V761" s="182" t="str">
        <f t="shared" si="142"/>
        <v/>
      </c>
      <c r="W761" s="182" t="str">
        <f t="shared" si="143"/>
        <v/>
      </c>
    </row>
    <row r="762" spans="1:23" x14ac:dyDescent="0.2">
      <c r="A762" s="181"/>
      <c r="B762" s="181"/>
      <c r="C762" s="181"/>
      <c r="D762" s="181"/>
      <c r="E762" s="181"/>
      <c r="F762" s="181"/>
      <c r="G762" s="181"/>
      <c r="K762" s="182">
        <v>761</v>
      </c>
      <c r="L762" s="182" t="str">
        <f t="shared" si="132"/>
        <v/>
      </c>
      <c r="M762" s="182" t="str">
        <f t="shared" si="133"/>
        <v/>
      </c>
      <c r="N762" s="182" t="str">
        <f t="shared" si="134"/>
        <v/>
      </c>
      <c r="O762" s="182" t="str">
        <f t="shared" si="135"/>
        <v/>
      </c>
      <c r="P762" s="182" t="str">
        <f t="shared" si="136"/>
        <v/>
      </c>
      <c r="Q762" s="182" t="str">
        <f t="shared" si="137"/>
        <v/>
      </c>
      <c r="R762" s="182" t="str">
        <f t="shared" si="138"/>
        <v/>
      </c>
      <c r="S762" s="182" t="str">
        <f t="shared" si="139"/>
        <v/>
      </c>
      <c r="T762" s="182" t="str">
        <f t="shared" si="140"/>
        <v/>
      </c>
      <c r="U762" s="182" t="str">
        <f t="shared" si="141"/>
        <v/>
      </c>
      <c r="V762" s="182" t="str">
        <f t="shared" si="142"/>
        <v/>
      </c>
      <c r="W762" s="182" t="str">
        <f t="shared" si="143"/>
        <v/>
      </c>
    </row>
    <row r="763" spans="1:23" x14ac:dyDescent="0.2">
      <c r="A763" s="181"/>
      <c r="B763" s="181"/>
      <c r="C763" s="181"/>
      <c r="D763" s="181"/>
      <c r="E763" s="181"/>
      <c r="F763" s="181"/>
      <c r="G763" s="181"/>
      <c r="K763" s="182">
        <v>762</v>
      </c>
      <c r="L763" s="182" t="str">
        <f t="shared" si="132"/>
        <v/>
      </c>
      <c r="M763" s="182" t="str">
        <f t="shared" si="133"/>
        <v/>
      </c>
      <c r="N763" s="182" t="str">
        <f t="shared" si="134"/>
        <v/>
      </c>
      <c r="O763" s="182" t="str">
        <f t="shared" si="135"/>
        <v/>
      </c>
      <c r="P763" s="182" t="str">
        <f t="shared" si="136"/>
        <v/>
      </c>
      <c r="Q763" s="182" t="str">
        <f t="shared" si="137"/>
        <v/>
      </c>
      <c r="R763" s="182" t="str">
        <f t="shared" si="138"/>
        <v/>
      </c>
      <c r="S763" s="182" t="str">
        <f t="shared" si="139"/>
        <v/>
      </c>
      <c r="T763" s="182" t="str">
        <f t="shared" si="140"/>
        <v/>
      </c>
      <c r="U763" s="182" t="str">
        <f t="shared" si="141"/>
        <v/>
      </c>
      <c r="V763" s="182" t="str">
        <f t="shared" si="142"/>
        <v/>
      </c>
      <c r="W763" s="182" t="str">
        <f t="shared" si="143"/>
        <v/>
      </c>
    </row>
    <row r="764" spans="1:23" x14ac:dyDescent="0.2">
      <c r="A764" s="181"/>
      <c r="B764" s="181"/>
      <c r="C764" s="181"/>
      <c r="D764" s="181"/>
      <c r="E764" s="181"/>
      <c r="F764" s="181"/>
      <c r="G764" s="181"/>
      <c r="K764" s="182">
        <v>763</v>
      </c>
      <c r="L764" s="182" t="str">
        <f t="shared" si="132"/>
        <v/>
      </c>
      <c r="M764" s="182" t="str">
        <f t="shared" si="133"/>
        <v/>
      </c>
      <c r="N764" s="182" t="str">
        <f t="shared" si="134"/>
        <v/>
      </c>
      <c r="O764" s="182" t="str">
        <f t="shared" si="135"/>
        <v/>
      </c>
      <c r="P764" s="182" t="str">
        <f t="shared" si="136"/>
        <v/>
      </c>
      <c r="Q764" s="182" t="str">
        <f t="shared" si="137"/>
        <v/>
      </c>
      <c r="R764" s="182" t="str">
        <f t="shared" si="138"/>
        <v/>
      </c>
      <c r="S764" s="182" t="str">
        <f t="shared" si="139"/>
        <v/>
      </c>
      <c r="T764" s="182" t="str">
        <f t="shared" si="140"/>
        <v/>
      </c>
      <c r="U764" s="182" t="str">
        <f t="shared" si="141"/>
        <v/>
      </c>
      <c r="V764" s="182" t="str">
        <f t="shared" si="142"/>
        <v/>
      </c>
      <c r="W764" s="182" t="str">
        <f t="shared" si="143"/>
        <v/>
      </c>
    </row>
    <row r="765" spans="1:23" x14ac:dyDescent="0.2">
      <c r="A765" s="181"/>
      <c r="B765" s="181"/>
      <c r="C765" s="181"/>
      <c r="D765" s="181"/>
      <c r="E765" s="181"/>
      <c r="F765" s="181"/>
      <c r="G765" s="181"/>
      <c r="K765" s="182">
        <v>764</v>
      </c>
      <c r="L765" s="182" t="str">
        <f t="shared" si="132"/>
        <v/>
      </c>
      <c r="M765" s="182" t="str">
        <f t="shared" si="133"/>
        <v/>
      </c>
      <c r="N765" s="182" t="str">
        <f t="shared" si="134"/>
        <v/>
      </c>
      <c r="O765" s="182" t="str">
        <f t="shared" si="135"/>
        <v/>
      </c>
      <c r="P765" s="182" t="str">
        <f t="shared" si="136"/>
        <v/>
      </c>
      <c r="Q765" s="182" t="str">
        <f t="shared" si="137"/>
        <v/>
      </c>
      <c r="R765" s="182" t="str">
        <f t="shared" si="138"/>
        <v/>
      </c>
      <c r="S765" s="182" t="str">
        <f t="shared" si="139"/>
        <v/>
      </c>
      <c r="T765" s="182" t="str">
        <f t="shared" si="140"/>
        <v/>
      </c>
      <c r="U765" s="182" t="str">
        <f t="shared" si="141"/>
        <v/>
      </c>
      <c r="V765" s="182" t="str">
        <f t="shared" si="142"/>
        <v/>
      </c>
      <c r="W765" s="182" t="str">
        <f t="shared" si="143"/>
        <v/>
      </c>
    </row>
    <row r="766" spans="1:23" x14ac:dyDescent="0.2">
      <c r="A766" s="181"/>
      <c r="B766" s="181"/>
      <c r="C766" s="181"/>
      <c r="D766" s="181"/>
      <c r="E766" s="181"/>
      <c r="F766" s="181"/>
      <c r="G766" s="181"/>
      <c r="K766" s="182">
        <v>765</v>
      </c>
      <c r="L766" s="182" t="str">
        <f t="shared" si="132"/>
        <v/>
      </c>
      <c r="M766" s="182" t="str">
        <f t="shared" si="133"/>
        <v/>
      </c>
      <c r="N766" s="182" t="str">
        <f t="shared" si="134"/>
        <v/>
      </c>
      <c r="O766" s="182" t="str">
        <f t="shared" si="135"/>
        <v/>
      </c>
      <c r="P766" s="182" t="str">
        <f t="shared" si="136"/>
        <v/>
      </c>
      <c r="Q766" s="182" t="str">
        <f t="shared" si="137"/>
        <v/>
      </c>
      <c r="R766" s="182" t="str">
        <f t="shared" si="138"/>
        <v/>
      </c>
      <c r="S766" s="182" t="str">
        <f t="shared" si="139"/>
        <v/>
      </c>
      <c r="T766" s="182" t="str">
        <f t="shared" si="140"/>
        <v/>
      </c>
      <c r="U766" s="182" t="str">
        <f t="shared" si="141"/>
        <v/>
      </c>
      <c r="V766" s="182" t="str">
        <f t="shared" si="142"/>
        <v/>
      </c>
      <c r="W766" s="182" t="str">
        <f t="shared" si="143"/>
        <v/>
      </c>
    </row>
    <row r="767" spans="1:23" x14ac:dyDescent="0.2">
      <c r="A767" s="181"/>
      <c r="B767" s="181"/>
      <c r="C767" s="181"/>
      <c r="D767" s="181"/>
      <c r="E767" s="181"/>
      <c r="F767" s="181"/>
      <c r="G767" s="181"/>
      <c r="K767" s="182">
        <v>766</v>
      </c>
      <c r="L767" s="182" t="str">
        <f t="shared" si="132"/>
        <v/>
      </c>
      <c r="M767" s="182" t="str">
        <f t="shared" si="133"/>
        <v/>
      </c>
      <c r="N767" s="182" t="str">
        <f t="shared" si="134"/>
        <v/>
      </c>
      <c r="O767" s="182" t="str">
        <f t="shared" si="135"/>
        <v/>
      </c>
      <c r="P767" s="182" t="str">
        <f t="shared" si="136"/>
        <v/>
      </c>
      <c r="Q767" s="182" t="str">
        <f t="shared" si="137"/>
        <v/>
      </c>
      <c r="R767" s="182" t="str">
        <f t="shared" si="138"/>
        <v/>
      </c>
      <c r="S767" s="182" t="str">
        <f t="shared" si="139"/>
        <v/>
      </c>
      <c r="T767" s="182" t="str">
        <f t="shared" si="140"/>
        <v/>
      </c>
      <c r="U767" s="182" t="str">
        <f t="shared" si="141"/>
        <v/>
      </c>
      <c r="V767" s="182" t="str">
        <f t="shared" si="142"/>
        <v/>
      </c>
      <c r="W767" s="182" t="str">
        <f t="shared" si="143"/>
        <v/>
      </c>
    </row>
    <row r="768" spans="1:23" x14ac:dyDescent="0.2">
      <c r="A768" s="181"/>
      <c r="B768" s="181"/>
      <c r="C768" s="181"/>
      <c r="D768" s="181"/>
      <c r="E768" s="181"/>
      <c r="F768" s="181"/>
      <c r="G768" s="181"/>
      <c r="K768" s="182">
        <v>767</v>
      </c>
      <c r="L768" s="182" t="str">
        <f t="shared" si="132"/>
        <v/>
      </c>
      <c r="M768" s="182" t="str">
        <f t="shared" si="133"/>
        <v/>
      </c>
      <c r="N768" s="182" t="str">
        <f t="shared" si="134"/>
        <v/>
      </c>
      <c r="O768" s="182" t="str">
        <f t="shared" si="135"/>
        <v/>
      </c>
      <c r="P768" s="182" t="str">
        <f t="shared" si="136"/>
        <v/>
      </c>
      <c r="Q768" s="182" t="str">
        <f t="shared" si="137"/>
        <v/>
      </c>
      <c r="R768" s="182" t="str">
        <f t="shared" si="138"/>
        <v/>
      </c>
      <c r="S768" s="182" t="str">
        <f t="shared" si="139"/>
        <v/>
      </c>
      <c r="T768" s="182" t="str">
        <f t="shared" si="140"/>
        <v/>
      </c>
      <c r="U768" s="182" t="str">
        <f t="shared" si="141"/>
        <v/>
      </c>
      <c r="V768" s="182" t="str">
        <f t="shared" si="142"/>
        <v/>
      </c>
      <c r="W768" s="182" t="str">
        <f t="shared" si="143"/>
        <v/>
      </c>
    </row>
    <row r="769" spans="1:23" x14ac:dyDescent="0.2">
      <c r="A769" s="181"/>
      <c r="B769" s="181"/>
      <c r="C769" s="181"/>
      <c r="D769" s="181"/>
      <c r="E769" s="181"/>
      <c r="F769" s="181"/>
      <c r="G769" s="181"/>
      <c r="K769" s="182">
        <v>768</v>
      </c>
      <c r="L769" s="182" t="str">
        <f t="shared" si="132"/>
        <v/>
      </c>
      <c r="M769" s="182" t="str">
        <f t="shared" si="133"/>
        <v/>
      </c>
      <c r="N769" s="182" t="str">
        <f t="shared" si="134"/>
        <v/>
      </c>
      <c r="O769" s="182" t="str">
        <f t="shared" si="135"/>
        <v/>
      </c>
      <c r="P769" s="182" t="str">
        <f t="shared" si="136"/>
        <v/>
      </c>
      <c r="Q769" s="182" t="str">
        <f t="shared" si="137"/>
        <v/>
      </c>
      <c r="R769" s="182" t="str">
        <f t="shared" si="138"/>
        <v/>
      </c>
      <c r="S769" s="182" t="str">
        <f t="shared" si="139"/>
        <v/>
      </c>
      <c r="T769" s="182" t="str">
        <f t="shared" si="140"/>
        <v/>
      </c>
      <c r="U769" s="182" t="str">
        <f t="shared" si="141"/>
        <v/>
      </c>
      <c r="V769" s="182" t="str">
        <f t="shared" si="142"/>
        <v/>
      </c>
      <c r="W769" s="182" t="str">
        <f t="shared" si="143"/>
        <v/>
      </c>
    </row>
    <row r="770" spans="1:23" x14ac:dyDescent="0.2">
      <c r="A770" s="181"/>
      <c r="B770" s="181"/>
      <c r="C770" s="181"/>
      <c r="D770" s="181"/>
      <c r="E770" s="181"/>
      <c r="F770" s="181"/>
      <c r="G770" s="181"/>
      <c r="K770" s="182">
        <v>769</v>
      </c>
      <c r="L770" s="182" t="str">
        <f t="shared" si="132"/>
        <v/>
      </c>
      <c r="M770" s="182" t="str">
        <f t="shared" si="133"/>
        <v/>
      </c>
      <c r="N770" s="182" t="str">
        <f t="shared" si="134"/>
        <v/>
      </c>
      <c r="O770" s="182" t="str">
        <f t="shared" si="135"/>
        <v/>
      </c>
      <c r="P770" s="182" t="str">
        <f t="shared" si="136"/>
        <v/>
      </c>
      <c r="Q770" s="182" t="str">
        <f t="shared" si="137"/>
        <v/>
      </c>
      <c r="R770" s="182" t="str">
        <f t="shared" si="138"/>
        <v/>
      </c>
      <c r="S770" s="182" t="str">
        <f t="shared" si="139"/>
        <v/>
      </c>
      <c r="T770" s="182" t="str">
        <f t="shared" si="140"/>
        <v/>
      </c>
      <c r="U770" s="182" t="str">
        <f t="shared" si="141"/>
        <v/>
      </c>
      <c r="V770" s="182" t="str">
        <f t="shared" si="142"/>
        <v/>
      </c>
      <c r="W770" s="182" t="str">
        <f t="shared" si="143"/>
        <v/>
      </c>
    </row>
    <row r="771" spans="1:23" x14ac:dyDescent="0.2">
      <c r="A771" s="181"/>
      <c r="B771" s="181"/>
      <c r="C771" s="181"/>
      <c r="D771" s="181"/>
      <c r="E771" s="181"/>
      <c r="F771" s="181"/>
      <c r="G771" s="181"/>
      <c r="K771" s="182">
        <v>770</v>
      </c>
      <c r="L771" s="182" t="str">
        <f t="shared" ref="L771:L834" si="144">IF($B$13&gt;=K771,K771,"")</f>
        <v/>
      </c>
      <c r="M771" s="182" t="str">
        <f t="shared" ref="M771:M834" si="145">IF(L771="","",IF(L771&lt;=$E$15,VLOOKUP($E$14,$I$1:$J$4,2,FALSE),VLOOKUP($F$14,$I$1:$J$4,2,FALSE)))</f>
        <v/>
      </c>
      <c r="N771" s="182" t="str">
        <f t="shared" ref="N771:N834" si="146">IF($B$20&gt;=K771,K771,"")</f>
        <v/>
      </c>
      <c r="O771" s="182" t="str">
        <f t="shared" ref="O771:O834" si="147">IF(N771="","",IF(N771&lt;=$E$22,VLOOKUP($E$21,$I$1:$J$4,2,FALSE),VLOOKUP($F$21,$I$1:$J$4,2,FALSE)))</f>
        <v/>
      </c>
      <c r="P771" s="182" t="str">
        <f t="shared" ref="P771:P834" si="148">IF($B$27&gt;=K771,K771,"")</f>
        <v/>
      </c>
      <c r="Q771" s="182" t="str">
        <f t="shared" ref="Q771:Q834" si="149">IF(P771="","",IF(P771&lt;=$E$29,VLOOKUP($E$28,$I$1:$J$4,2,FALSE),VLOOKUP($F$28,$I$1:$J$4,2,FALSE)))</f>
        <v/>
      </c>
      <c r="R771" s="182" t="str">
        <f t="shared" ref="R771:R834" si="150">IF($B$34&gt;=K771,K771,"")</f>
        <v/>
      </c>
      <c r="S771" s="182" t="str">
        <f t="shared" ref="S771:S834" si="151">IF(R771="","",IF(R771&lt;=$E$36,VLOOKUP($E$35,$I$1:$J$4,2,FALSE),VLOOKUP($F$35,$I$1:$J$4,2,FALSE)))</f>
        <v/>
      </c>
      <c r="T771" s="182" t="str">
        <f t="shared" ref="T771:T834" si="152">IF($B$41&gt;=K771,K771,"")</f>
        <v/>
      </c>
      <c r="U771" s="182" t="str">
        <f t="shared" ref="U771:U834" si="153">IF(T771="","",IF(T771&lt;=$E$43,VLOOKUP($E$42,$I$1:$J$4,2,FALSE),VLOOKUP($F$42,$I$1:$J$4,2,FALSE)))</f>
        <v/>
      </c>
      <c r="V771" s="182" t="str">
        <f t="shared" ref="V771:V834" si="154">IF($B$48&gt;=K771,K771,"")</f>
        <v/>
      </c>
      <c r="W771" s="182" t="str">
        <f t="shared" ref="W771:W834" si="155">IF(V771="","",IF(V771&lt;=$E$50,VLOOKUP($E$49,$I$1:$J$4,2,FALSE),VLOOKUP($F$49,$I$1:$J$4,2,FALSE)))</f>
        <v/>
      </c>
    </row>
    <row r="772" spans="1:23" x14ac:dyDescent="0.2">
      <c r="A772" s="181"/>
      <c r="B772" s="181"/>
      <c r="C772" s="181"/>
      <c r="D772" s="181"/>
      <c r="E772" s="181"/>
      <c r="F772" s="181"/>
      <c r="G772" s="181"/>
      <c r="K772" s="182">
        <v>771</v>
      </c>
      <c r="L772" s="182" t="str">
        <f t="shared" si="144"/>
        <v/>
      </c>
      <c r="M772" s="182" t="str">
        <f t="shared" si="145"/>
        <v/>
      </c>
      <c r="N772" s="182" t="str">
        <f t="shared" si="146"/>
        <v/>
      </c>
      <c r="O772" s="182" t="str">
        <f t="shared" si="147"/>
        <v/>
      </c>
      <c r="P772" s="182" t="str">
        <f t="shared" si="148"/>
        <v/>
      </c>
      <c r="Q772" s="182" t="str">
        <f t="shared" si="149"/>
        <v/>
      </c>
      <c r="R772" s="182" t="str">
        <f t="shared" si="150"/>
        <v/>
      </c>
      <c r="S772" s="182" t="str">
        <f t="shared" si="151"/>
        <v/>
      </c>
      <c r="T772" s="182" t="str">
        <f t="shared" si="152"/>
        <v/>
      </c>
      <c r="U772" s="182" t="str">
        <f t="shared" si="153"/>
        <v/>
      </c>
      <c r="V772" s="182" t="str">
        <f t="shared" si="154"/>
        <v/>
      </c>
      <c r="W772" s="182" t="str">
        <f t="shared" si="155"/>
        <v/>
      </c>
    </row>
    <row r="773" spans="1:23" x14ac:dyDescent="0.2">
      <c r="A773" s="181"/>
      <c r="B773" s="181"/>
      <c r="C773" s="181"/>
      <c r="D773" s="181"/>
      <c r="E773" s="181"/>
      <c r="F773" s="181"/>
      <c r="G773" s="181"/>
      <c r="K773" s="182">
        <v>772</v>
      </c>
      <c r="L773" s="182" t="str">
        <f t="shared" si="144"/>
        <v/>
      </c>
      <c r="M773" s="182" t="str">
        <f t="shared" si="145"/>
        <v/>
      </c>
      <c r="N773" s="182" t="str">
        <f t="shared" si="146"/>
        <v/>
      </c>
      <c r="O773" s="182" t="str">
        <f t="shared" si="147"/>
        <v/>
      </c>
      <c r="P773" s="182" t="str">
        <f t="shared" si="148"/>
        <v/>
      </c>
      <c r="Q773" s="182" t="str">
        <f t="shared" si="149"/>
        <v/>
      </c>
      <c r="R773" s="182" t="str">
        <f t="shared" si="150"/>
        <v/>
      </c>
      <c r="S773" s="182" t="str">
        <f t="shared" si="151"/>
        <v/>
      </c>
      <c r="T773" s="182" t="str">
        <f t="shared" si="152"/>
        <v/>
      </c>
      <c r="U773" s="182" t="str">
        <f t="shared" si="153"/>
        <v/>
      </c>
      <c r="V773" s="182" t="str">
        <f t="shared" si="154"/>
        <v/>
      </c>
      <c r="W773" s="182" t="str">
        <f t="shared" si="155"/>
        <v/>
      </c>
    </row>
    <row r="774" spans="1:23" x14ac:dyDescent="0.2">
      <c r="A774" s="181"/>
      <c r="B774" s="181"/>
      <c r="C774" s="181"/>
      <c r="D774" s="181"/>
      <c r="E774" s="181"/>
      <c r="F774" s="181"/>
      <c r="G774" s="181"/>
      <c r="K774" s="182">
        <v>773</v>
      </c>
      <c r="L774" s="182" t="str">
        <f t="shared" si="144"/>
        <v/>
      </c>
      <c r="M774" s="182" t="str">
        <f t="shared" si="145"/>
        <v/>
      </c>
      <c r="N774" s="182" t="str">
        <f t="shared" si="146"/>
        <v/>
      </c>
      <c r="O774" s="182" t="str">
        <f t="shared" si="147"/>
        <v/>
      </c>
      <c r="P774" s="182" t="str">
        <f t="shared" si="148"/>
        <v/>
      </c>
      <c r="Q774" s="182" t="str">
        <f t="shared" si="149"/>
        <v/>
      </c>
      <c r="R774" s="182" t="str">
        <f t="shared" si="150"/>
        <v/>
      </c>
      <c r="S774" s="182" t="str">
        <f t="shared" si="151"/>
        <v/>
      </c>
      <c r="T774" s="182" t="str">
        <f t="shared" si="152"/>
        <v/>
      </c>
      <c r="U774" s="182" t="str">
        <f t="shared" si="153"/>
        <v/>
      </c>
      <c r="V774" s="182" t="str">
        <f t="shared" si="154"/>
        <v/>
      </c>
      <c r="W774" s="182" t="str">
        <f t="shared" si="155"/>
        <v/>
      </c>
    </row>
    <row r="775" spans="1:23" x14ac:dyDescent="0.2">
      <c r="A775" s="181"/>
      <c r="B775" s="181"/>
      <c r="C775" s="181"/>
      <c r="D775" s="181"/>
      <c r="E775" s="181"/>
      <c r="F775" s="181"/>
      <c r="G775" s="181"/>
      <c r="K775" s="182">
        <v>774</v>
      </c>
      <c r="L775" s="182" t="str">
        <f t="shared" si="144"/>
        <v/>
      </c>
      <c r="M775" s="182" t="str">
        <f t="shared" si="145"/>
        <v/>
      </c>
      <c r="N775" s="182" t="str">
        <f t="shared" si="146"/>
        <v/>
      </c>
      <c r="O775" s="182" t="str">
        <f t="shared" si="147"/>
        <v/>
      </c>
      <c r="P775" s="182" t="str">
        <f t="shared" si="148"/>
        <v/>
      </c>
      <c r="Q775" s="182" t="str">
        <f t="shared" si="149"/>
        <v/>
      </c>
      <c r="R775" s="182" t="str">
        <f t="shared" si="150"/>
        <v/>
      </c>
      <c r="S775" s="182" t="str">
        <f t="shared" si="151"/>
        <v/>
      </c>
      <c r="T775" s="182" t="str">
        <f t="shared" si="152"/>
        <v/>
      </c>
      <c r="U775" s="182" t="str">
        <f t="shared" si="153"/>
        <v/>
      </c>
      <c r="V775" s="182" t="str">
        <f t="shared" si="154"/>
        <v/>
      </c>
      <c r="W775" s="182" t="str">
        <f t="shared" si="155"/>
        <v/>
      </c>
    </row>
    <row r="776" spans="1:23" x14ac:dyDescent="0.2">
      <c r="A776" s="181"/>
      <c r="B776" s="181"/>
      <c r="C776" s="181"/>
      <c r="D776" s="181"/>
      <c r="E776" s="181"/>
      <c r="F776" s="181"/>
      <c r="G776" s="181"/>
      <c r="K776" s="182">
        <v>775</v>
      </c>
      <c r="L776" s="182" t="str">
        <f t="shared" si="144"/>
        <v/>
      </c>
      <c r="M776" s="182" t="str">
        <f t="shared" si="145"/>
        <v/>
      </c>
      <c r="N776" s="182" t="str">
        <f t="shared" si="146"/>
        <v/>
      </c>
      <c r="O776" s="182" t="str">
        <f t="shared" si="147"/>
        <v/>
      </c>
      <c r="P776" s="182" t="str">
        <f t="shared" si="148"/>
        <v/>
      </c>
      <c r="Q776" s="182" t="str">
        <f t="shared" si="149"/>
        <v/>
      </c>
      <c r="R776" s="182" t="str">
        <f t="shared" si="150"/>
        <v/>
      </c>
      <c r="S776" s="182" t="str">
        <f t="shared" si="151"/>
        <v/>
      </c>
      <c r="T776" s="182" t="str">
        <f t="shared" si="152"/>
        <v/>
      </c>
      <c r="U776" s="182" t="str">
        <f t="shared" si="153"/>
        <v/>
      </c>
      <c r="V776" s="182" t="str">
        <f t="shared" si="154"/>
        <v/>
      </c>
      <c r="W776" s="182" t="str">
        <f t="shared" si="155"/>
        <v/>
      </c>
    </row>
    <row r="777" spans="1:23" x14ac:dyDescent="0.2">
      <c r="A777" s="181"/>
      <c r="B777" s="181"/>
      <c r="C777" s="181"/>
      <c r="D777" s="181"/>
      <c r="E777" s="181"/>
      <c r="F777" s="181"/>
      <c r="G777" s="181"/>
      <c r="K777" s="182">
        <v>776</v>
      </c>
      <c r="L777" s="182" t="str">
        <f t="shared" si="144"/>
        <v/>
      </c>
      <c r="M777" s="182" t="str">
        <f t="shared" si="145"/>
        <v/>
      </c>
      <c r="N777" s="182" t="str">
        <f t="shared" si="146"/>
        <v/>
      </c>
      <c r="O777" s="182" t="str">
        <f t="shared" si="147"/>
        <v/>
      </c>
      <c r="P777" s="182" t="str">
        <f t="shared" si="148"/>
        <v/>
      </c>
      <c r="Q777" s="182" t="str">
        <f t="shared" si="149"/>
        <v/>
      </c>
      <c r="R777" s="182" t="str">
        <f t="shared" si="150"/>
        <v/>
      </c>
      <c r="S777" s="182" t="str">
        <f t="shared" si="151"/>
        <v/>
      </c>
      <c r="T777" s="182" t="str">
        <f t="shared" si="152"/>
        <v/>
      </c>
      <c r="U777" s="182" t="str">
        <f t="shared" si="153"/>
        <v/>
      </c>
      <c r="V777" s="182" t="str">
        <f t="shared" si="154"/>
        <v/>
      </c>
      <c r="W777" s="182" t="str">
        <f t="shared" si="155"/>
        <v/>
      </c>
    </row>
    <row r="778" spans="1:23" x14ac:dyDescent="0.2">
      <c r="A778" s="181"/>
      <c r="B778" s="181"/>
      <c r="C778" s="181"/>
      <c r="D778" s="181"/>
      <c r="E778" s="181"/>
      <c r="F778" s="181"/>
      <c r="G778" s="181"/>
      <c r="K778" s="182">
        <v>777</v>
      </c>
      <c r="L778" s="182" t="str">
        <f t="shared" si="144"/>
        <v/>
      </c>
      <c r="M778" s="182" t="str">
        <f t="shared" si="145"/>
        <v/>
      </c>
      <c r="N778" s="182" t="str">
        <f t="shared" si="146"/>
        <v/>
      </c>
      <c r="O778" s="182" t="str">
        <f t="shared" si="147"/>
        <v/>
      </c>
      <c r="P778" s="182" t="str">
        <f t="shared" si="148"/>
        <v/>
      </c>
      <c r="Q778" s="182" t="str">
        <f t="shared" si="149"/>
        <v/>
      </c>
      <c r="R778" s="182" t="str">
        <f t="shared" si="150"/>
        <v/>
      </c>
      <c r="S778" s="182" t="str">
        <f t="shared" si="151"/>
        <v/>
      </c>
      <c r="T778" s="182" t="str">
        <f t="shared" si="152"/>
        <v/>
      </c>
      <c r="U778" s="182" t="str">
        <f t="shared" si="153"/>
        <v/>
      </c>
      <c r="V778" s="182" t="str">
        <f t="shared" si="154"/>
        <v/>
      </c>
      <c r="W778" s="182" t="str">
        <f t="shared" si="155"/>
        <v/>
      </c>
    </row>
    <row r="779" spans="1:23" x14ac:dyDescent="0.2">
      <c r="A779" s="181"/>
      <c r="B779" s="181"/>
      <c r="C779" s="181"/>
      <c r="D779" s="181"/>
      <c r="E779" s="181"/>
      <c r="F779" s="181"/>
      <c r="G779" s="181"/>
      <c r="K779" s="182">
        <v>778</v>
      </c>
      <c r="L779" s="182" t="str">
        <f t="shared" si="144"/>
        <v/>
      </c>
      <c r="M779" s="182" t="str">
        <f t="shared" si="145"/>
        <v/>
      </c>
      <c r="N779" s="182" t="str">
        <f t="shared" si="146"/>
        <v/>
      </c>
      <c r="O779" s="182" t="str">
        <f t="shared" si="147"/>
        <v/>
      </c>
      <c r="P779" s="182" t="str">
        <f t="shared" si="148"/>
        <v/>
      </c>
      <c r="Q779" s="182" t="str">
        <f t="shared" si="149"/>
        <v/>
      </c>
      <c r="R779" s="182" t="str">
        <f t="shared" si="150"/>
        <v/>
      </c>
      <c r="S779" s="182" t="str">
        <f t="shared" si="151"/>
        <v/>
      </c>
      <c r="T779" s="182" t="str">
        <f t="shared" si="152"/>
        <v/>
      </c>
      <c r="U779" s="182" t="str">
        <f t="shared" si="153"/>
        <v/>
      </c>
      <c r="V779" s="182" t="str">
        <f t="shared" si="154"/>
        <v/>
      </c>
      <c r="W779" s="182" t="str">
        <f t="shared" si="155"/>
        <v/>
      </c>
    </row>
    <row r="780" spans="1:23" x14ac:dyDescent="0.2">
      <c r="A780" s="181"/>
      <c r="B780" s="181"/>
      <c r="C780" s="181"/>
      <c r="D780" s="181"/>
      <c r="E780" s="181"/>
      <c r="F780" s="181"/>
      <c r="G780" s="181"/>
      <c r="K780" s="182">
        <v>779</v>
      </c>
      <c r="L780" s="182" t="str">
        <f t="shared" si="144"/>
        <v/>
      </c>
      <c r="M780" s="182" t="str">
        <f t="shared" si="145"/>
        <v/>
      </c>
      <c r="N780" s="182" t="str">
        <f t="shared" si="146"/>
        <v/>
      </c>
      <c r="O780" s="182" t="str">
        <f t="shared" si="147"/>
        <v/>
      </c>
      <c r="P780" s="182" t="str">
        <f t="shared" si="148"/>
        <v/>
      </c>
      <c r="Q780" s="182" t="str">
        <f t="shared" si="149"/>
        <v/>
      </c>
      <c r="R780" s="182" t="str">
        <f t="shared" si="150"/>
        <v/>
      </c>
      <c r="S780" s="182" t="str">
        <f t="shared" si="151"/>
        <v/>
      </c>
      <c r="T780" s="182" t="str">
        <f t="shared" si="152"/>
        <v/>
      </c>
      <c r="U780" s="182" t="str">
        <f t="shared" si="153"/>
        <v/>
      </c>
      <c r="V780" s="182" t="str">
        <f t="shared" si="154"/>
        <v/>
      </c>
      <c r="W780" s="182" t="str">
        <f t="shared" si="155"/>
        <v/>
      </c>
    </row>
    <row r="781" spans="1:23" x14ac:dyDescent="0.2">
      <c r="A781" s="181"/>
      <c r="B781" s="181"/>
      <c r="C781" s="181"/>
      <c r="D781" s="181"/>
      <c r="E781" s="181"/>
      <c r="F781" s="181"/>
      <c r="G781" s="181"/>
      <c r="K781" s="182">
        <v>780</v>
      </c>
      <c r="L781" s="182" t="str">
        <f t="shared" si="144"/>
        <v/>
      </c>
      <c r="M781" s="182" t="str">
        <f t="shared" si="145"/>
        <v/>
      </c>
      <c r="N781" s="182" t="str">
        <f t="shared" si="146"/>
        <v/>
      </c>
      <c r="O781" s="182" t="str">
        <f t="shared" si="147"/>
        <v/>
      </c>
      <c r="P781" s="182" t="str">
        <f t="shared" si="148"/>
        <v/>
      </c>
      <c r="Q781" s="182" t="str">
        <f t="shared" si="149"/>
        <v/>
      </c>
      <c r="R781" s="182" t="str">
        <f t="shared" si="150"/>
        <v/>
      </c>
      <c r="S781" s="182" t="str">
        <f t="shared" si="151"/>
        <v/>
      </c>
      <c r="T781" s="182" t="str">
        <f t="shared" si="152"/>
        <v/>
      </c>
      <c r="U781" s="182" t="str">
        <f t="shared" si="153"/>
        <v/>
      </c>
      <c r="V781" s="182" t="str">
        <f t="shared" si="154"/>
        <v/>
      </c>
      <c r="W781" s="182" t="str">
        <f t="shared" si="155"/>
        <v/>
      </c>
    </row>
    <row r="782" spans="1:23" x14ac:dyDescent="0.2">
      <c r="A782" s="181"/>
      <c r="B782" s="181"/>
      <c r="C782" s="181"/>
      <c r="D782" s="181"/>
      <c r="E782" s="181"/>
      <c r="F782" s="181"/>
      <c r="G782" s="181"/>
      <c r="K782" s="182">
        <v>781</v>
      </c>
      <c r="L782" s="182" t="str">
        <f t="shared" si="144"/>
        <v/>
      </c>
      <c r="M782" s="182" t="str">
        <f t="shared" si="145"/>
        <v/>
      </c>
      <c r="N782" s="182" t="str">
        <f t="shared" si="146"/>
        <v/>
      </c>
      <c r="O782" s="182" t="str">
        <f t="shared" si="147"/>
        <v/>
      </c>
      <c r="P782" s="182" t="str">
        <f t="shared" si="148"/>
        <v/>
      </c>
      <c r="Q782" s="182" t="str">
        <f t="shared" si="149"/>
        <v/>
      </c>
      <c r="R782" s="182" t="str">
        <f t="shared" si="150"/>
        <v/>
      </c>
      <c r="S782" s="182" t="str">
        <f t="shared" si="151"/>
        <v/>
      </c>
      <c r="T782" s="182" t="str">
        <f t="shared" si="152"/>
        <v/>
      </c>
      <c r="U782" s="182" t="str">
        <f t="shared" si="153"/>
        <v/>
      </c>
      <c r="V782" s="182" t="str">
        <f t="shared" si="154"/>
        <v/>
      </c>
      <c r="W782" s="182" t="str">
        <f t="shared" si="155"/>
        <v/>
      </c>
    </row>
    <row r="783" spans="1:23" x14ac:dyDescent="0.2">
      <c r="A783" s="181"/>
      <c r="B783" s="181"/>
      <c r="C783" s="181"/>
      <c r="D783" s="181"/>
      <c r="E783" s="181"/>
      <c r="F783" s="181"/>
      <c r="G783" s="181"/>
      <c r="K783" s="182">
        <v>782</v>
      </c>
      <c r="L783" s="182" t="str">
        <f t="shared" si="144"/>
        <v/>
      </c>
      <c r="M783" s="182" t="str">
        <f t="shared" si="145"/>
        <v/>
      </c>
      <c r="N783" s="182" t="str">
        <f t="shared" si="146"/>
        <v/>
      </c>
      <c r="O783" s="182" t="str">
        <f t="shared" si="147"/>
        <v/>
      </c>
      <c r="P783" s="182" t="str">
        <f t="shared" si="148"/>
        <v/>
      </c>
      <c r="Q783" s="182" t="str">
        <f t="shared" si="149"/>
        <v/>
      </c>
      <c r="R783" s="182" t="str">
        <f t="shared" si="150"/>
        <v/>
      </c>
      <c r="S783" s="182" t="str">
        <f t="shared" si="151"/>
        <v/>
      </c>
      <c r="T783" s="182" t="str">
        <f t="shared" si="152"/>
        <v/>
      </c>
      <c r="U783" s="182" t="str">
        <f t="shared" si="153"/>
        <v/>
      </c>
      <c r="V783" s="182" t="str">
        <f t="shared" si="154"/>
        <v/>
      </c>
      <c r="W783" s="182" t="str">
        <f t="shared" si="155"/>
        <v/>
      </c>
    </row>
    <row r="784" spans="1:23" x14ac:dyDescent="0.2">
      <c r="A784" s="181"/>
      <c r="B784" s="181"/>
      <c r="C784" s="181"/>
      <c r="D784" s="181"/>
      <c r="E784" s="181"/>
      <c r="F784" s="181"/>
      <c r="G784" s="181"/>
      <c r="K784" s="182">
        <v>783</v>
      </c>
      <c r="L784" s="182" t="str">
        <f t="shared" si="144"/>
        <v/>
      </c>
      <c r="M784" s="182" t="str">
        <f t="shared" si="145"/>
        <v/>
      </c>
      <c r="N784" s="182" t="str">
        <f t="shared" si="146"/>
        <v/>
      </c>
      <c r="O784" s="182" t="str">
        <f t="shared" si="147"/>
        <v/>
      </c>
      <c r="P784" s="182" t="str">
        <f t="shared" si="148"/>
        <v/>
      </c>
      <c r="Q784" s="182" t="str">
        <f t="shared" si="149"/>
        <v/>
      </c>
      <c r="R784" s="182" t="str">
        <f t="shared" si="150"/>
        <v/>
      </c>
      <c r="S784" s="182" t="str">
        <f t="shared" si="151"/>
        <v/>
      </c>
      <c r="T784" s="182" t="str">
        <f t="shared" si="152"/>
        <v/>
      </c>
      <c r="U784" s="182" t="str">
        <f t="shared" si="153"/>
        <v/>
      </c>
      <c r="V784" s="182" t="str">
        <f t="shared" si="154"/>
        <v/>
      </c>
      <c r="W784" s="182" t="str">
        <f t="shared" si="155"/>
        <v/>
      </c>
    </row>
    <row r="785" spans="1:23" x14ac:dyDescent="0.2">
      <c r="A785" s="181"/>
      <c r="B785" s="181"/>
      <c r="C785" s="181"/>
      <c r="D785" s="181"/>
      <c r="E785" s="181"/>
      <c r="F785" s="181"/>
      <c r="G785" s="181"/>
      <c r="K785" s="182">
        <v>784</v>
      </c>
      <c r="L785" s="182" t="str">
        <f t="shared" si="144"/>
        <v/>
      </c>
      <c r="M785" s="182" t="str">
        <f t="shared" si="145"/>
        <v/>
      </c>
      <c r="N785" s="182" t="str">
        <f t="shared" si="146"/>
        <v/>
      </c>
      <c r="O785" s="182" t="str">
        <f t="shared" si="147"/>
        <v/>
      </c>
      <c r="P785" s="182" t="str">
        <f t="shared" si="148"/>
        <v/>
      </c>
      <c r="Q785" s="182" t="str">
        <f t="shared" si="149"/>
        <v/>
      </c>
      <c r="R785" s="182" t="str">
        <f t="shared" si="150"/>
        <v/>
      </c>
      <c r="S785" s="182" t="str">
        <f t="shared" si="151"/>
        <v/>
      </c>
      <c r="T785" s="182" t="str">
        <f t="shared" si="152"/>
        <v/>
      </c>
      <c r="U785" s="182" t="str">
        <f t="shared" si="153"/>
        <v/>
      </c>
      <c r="V785" s="182" t="str">
        <f t="shared" si="154"/>
        <v/>
      </c>
      <c r="W785" s="182" t="str">
        <f t="shared" si="155"/>
        <v/>
      </c>
    </row>
    <row r="786" spans="1:23" x14ac:dyDescent="0.2">
      <c r="A786" s="181"/>
      <c r="B786" s="181"/>
      <c r="C786" s="181"/>
      <c r="D786" s="181"/>
      <c r="E786" s="181"/>
      <c r="F786" s="181"/>
      <c r="G786" s="181"/>
      <c r="K786" s="182">
        <v>785</v>
      </c>
      <c r="L786" s="182" t="str">
        <f t="shared" si="144"/>
        <v/>
      </c>
      <c r="M786" s="182" t="str">
        <f t="shared" si="145"/>
        <v/>
      </c>
      <c r="N786" s="182" t="str">
        <f t="shared" si="146"/>
        <v/>
      </c>
      <c r="O786" s="182" t="str">
        <f t="shared" si="147"/>
        <v/>
      </c>
      <c r="P786" s="182" t="str">
        <f t="shared" si="148"/>
        <v/>
      </c>
      <c r="Q786" s="182" t="str">
        <f t="shared" si="149"/>
        <v/>
      </c>
      <c r="R786" s="182" t="str">
        <f t="shared" si="150"/>
        <v/>
      </c>
      <c r="S786" s="182" t="str">
        <f t="shared" si="151"/>
        <v/>
      </c>
      <c r="T786" s="182" t="str">
        <f t="shared" si="152"/>
        <v/>
      </c>
      <c r="U786" s="182" t="str">
        <f t="shared" si="153"/>
        <v/>
      </c>
      <c r="V786" s="182" t="str">
        <f t="shared" si="154"/>
        <v/>
      </c>
      <c r="W786" s="182" t="str">
        <f t="shared" si="155"/>
        <v/>
      </c>
    </row>
    <row r="787" spans="1:23" x14ac:dyDescent="0.2">
      <c r="A787" s="181"/>
      <c r="B787" s="181"/>
      <c r="C787" s="181"/>
      <c r="D787" s="181"/>
      <c r="E787" s="181"/>
      <c r="F787" s="181"/>
      <c r="G787" s="181"/>
      <c r="K787" s="182">
        <v>786</v>
      </c>
      <c r="L787" s="182" t="str">
        <f t="shared" si="144"/>
        <v/>
      </c>
      <c r="M787" s="182" t="str">
        <f t="shared" si="145"/>
        <v/>
      </c>
      <c r="N787" s="182" t="str">
        <f t="shared" si="146"/>
        <v/>
      </c>
      <c r="O787" s="182" t="str">
        <f t="shared" si="147"/>
        <v/>
      </c>
      <c r="P787" s="182" t="str">
        <f t="shared" si="148"/>
        <v/>
      </c>
      <c r="Q787" s="182" t="str">
        <f t="shared" si="149"/>
        <v/>
      </c>
      <c r="R787" s="182" t="str">
        <f t="shared" si="150"/>
        <v/>
      </c>
      <c r="S787" s="182" t="str">
        <f t="shared" si="151"/>
        <v/>
      </c>
      <c r="T787" s="182" t="str">
        <f t="shared" si="152"/>
        <v/>
      </c>
      <c r="U787" s="182" t="str">
        <f t="shared" si="153"/>
        <v/>
      </c>
      <c r="V787" s="182" t="str">
        <f t="shared" si="154"/>
        <v/>
      </c>
      <c r="W787" s="182" t="str">
        <f t="shared" si="155"/>
        <v/>
      </c>
    </row>
    <row r="788" spans="1:23" x14ac:dyDescent="0.2">
      <c r="A788" s="181"/>
      <c r="B788" s="181"/>
      <c r="C788" s="181"/>
      <c r="D788" s="181"/>
      <c r="E788" s="181"/>
      <c r="F788" s="181"/>
      <c r="G788" s="181"/>
      <c r="K788" s="182">
        <v>787</v>
      </c>
      <c r="L788" s="182" t="str">
        <f t="shared" si="144"/>
        <v/>
      </c>
      <c r="M788" s="182" t="str">
        <f t="shared" si="145"/>
        <v/>
      </c>
      <c r="N788" s="182" t="str">
        <f t="shared" si="146"/>
        <v/>
      </c>
      <c r="O788" s="182" t="str">
        <f t="shared" si="147"/>
        <v/>
      </c>
      <c r="P788" s="182" t="str">
        <f t="shared" si="148"/>
        <v/>
      </c>
      <c r="Q788" s="182" t="str">
        <f t="shared" si="149"/>
        <v/>
      </c>
      <c r="R788" s="182" t="str">
        <f t="shared" si="150"/>
        <v/>
      </c>
      <c r="S788" s="182" t="str">
        <f t="shared" si="151"/>
        <v/>
      </c>
      <c r="T788" s="182" t="str">
        <f t="shared" si="152"/>
        <v/>
      </c>
      <c r="U788" s="182" t="str">
        <f t="shared" si="153"/>
        <v/>
      </c>
      <c r="V788" s="182" t="str">
        <f t="shared" si="154"/>
        <v/>
      </c>
      <c r="W788" s="182" t="str">
        <f t="shared" si="155"/>
        <v/>
      </c>
    </row>
    <row r="789" spans="1:23" x14ac:dyDescent="0.2">
      <c r="A789" s="181"/>
      <c r="B789" s="181"/>
      <c r="C789" s="181"/>
      <c r="D789" s="181"/>
      <c r="E789" s="181"/>
      <c r="F789" s="181"/>
      <c r="G789" s="181"/>
      <c r="K789" s="182">
        <v>788</v>
      </c>
      <c r="L789" s="182" t="str">
        <f t="shared" si="144"/>
        <v/>
      </c>
      <c r="M789" s="182" t="str">
        <f t="shared" si="145"/>
        <v/>
      </c>
      <c r="N789" s="182" t="str">
        <f t="shared" si="146"/>
        <v/>
      </c>
      <c r="O789" s="182" t="str">
        <f t="shared" si="147"/>
        <v/>
      </c>
      <c r="P789" s="182" t="str">
        <f t="shared" si="148"/>
        <v/>
      </c>
      <c r="Q789" s="182" t="str">
        <f t="shared" si="149"/>
        <v/>
      </c>
      <c r="R789" s="182" t="str">
        <f t="shared" si="150"/>
        <v/>
      </c>
      <c r="S789" s="182" t="str">
        <f t="shared" si="151"/>
        <v/>
      </c>
      <c r="T789" s="182" t="str">
        <f t="shared" si="152"/>
        <v/>
      </c>
      <c r="U789" s="182" t="str">
        <f t="shared" si="153"/>
        <v/>
      </c>
      <c r="V789" s="182" t="str">
        <f t="shared" si="154"/>
        <v/>
      </c>
      <c r="W789" s="182" t="str">
        <f t="shared" si="155"/>
        <v/>
      </c>
    </row>
    <row r="790" spans="1:23" x14ac:dyDescent="0.2">
      <c r="A790" s="181"/>
      <c r="B790" s="181"/>
      <c r="C790" s="181"/>
      <c r="D790" s="181"/>
      <c r="E790" s="181"/>
      <c r="F790" s="181"/>
      <c r="G790" s="181"/>
      <c r="K790" s="182">
        <v>789</v>
      </c>
      <c r="L790" s="182" t="str">
        <f t="shared" si="144"/>
        <v/>
      </c>
      <c r="M790" s="182" t="str">
        <f t="shared" si="145"/>
        <v/>
      </c>
      <c r="N790" s="182" t="str">
        <f t="shared" si="146"/>
        <v/>
      </c>
      <c r="O790" s="182" t="str">
        <f t="shared" si="147"/>
        <v/>
      </c>
      <c r="P790" s="182" t="str">
        <f t="shared" si="148"/>
        <v/>
      </c>
      <c r="Q790" s="182" t="str">
        <f t="shared" si="149"/>
        <v/>
      </c>
      <c r="R790" s="182" t="str">
        <f t="shared" si="150"/>
        <v/>
      </c>
      <c r="S790" s="182" t="str">
        <f t="shared" si="151"/>
        <v/>
      </c>
      <c r="T790" s="182" t="str">
        <f t="shared" si="152"/>
        <v/>
      </c>
      <c r="U790" s="182" t="str">
        <f t="shared" si="153"/>
        <v/>
      </c>
      <c r="V790" s="182" t="str">
        <f t="shared" si="154"/>
        <v/>
      </c>
      <c r="W790" s="182" t="str">
        <f t="shared" si="155"/>
        <v/>
      </c>
    </row>
    <row r="791" spans="1:23" x14ac:dyDescent="0.2">
      <c r="A791" s="181"/>
      <c r="B791" s="181"/>
      <c r="C791" s="181"/>
      <c r="D791" s="181"/>
      <c r="E791" s="181"/>
      <c r="F791" s="181"/>
      <c r="G791" s="181"/>
      <c r="K791" s="182">
        <v>790</v>
      </c>
      <c r="L791" s="182" t="str">
        <f t="shared" si="144"/>
        <v/>
      </c>
      <c r="M791" s="182" t="str">
        <f t="shared" si="145"/>
        <v/>
      </c>
      <c r="N791" s="182" t="str">
        <f t="shared" si="146"/>
        <v/>
      </c>
      <c r="O791" s="182" t="str">
        <f t="shared" si="147"/>
        <v/>
      </c>
      <c r="P791" s="182" t="str">
        <f t="shared" si="148"/>
        <v/>
      </c>
      <c r="Q791" s="182" t="str">
        <f t="shared" si="149"/>
        <v/>
      </c>
      <c r="R791" s="182" t="str">
        <f t="shared" si="150"/>
        <v/>
      </c>
      <c r="S791" s="182" t="str">
        <f t="shared" si="151"/>
        <v/>
      </c>
      <c r="T791" s="182" t="str">
        <f t="shared" si="152"/>
        <v/>
      </c>
      <c r="U791" s="182" t="str">
        <f t="shared" si="153"/>
        <v/>
      </c>
      <c r="V791" s="182" t="str">
        <f t="shared" si="154"/>
        <v/>
      </c>
      <c r="W791" s="182" t="str">
        <f t="shared" si="155"/>
        <v/>
      </c>
    </row>
    <row r="792" spans="1:23" x14ac:dyDescent="0.2">
      <c r="A792" s="181"/>
      <c r="B792" s="181"/>
      <c r="C792" s="181"/>
      <c r="D792" s="181"/>
      <c r="E792" s="181"/>
      <c r="F792" s="181"/>
      <c r="G792" s="181"/>
      <c r="K792" s="182">
        <v>791</v>
      </c>
      <c r="L792" s="182" t="str">
        <f t="shared" si="144"/>
        <v/>
      </c>
      <c r="M792" s="182" t="str">
        <f t="shared" si="145"/>
        <v/>
      </c>
      <c r="N792" s="182" t="str">
        <f t="shared" si="146"/>
        <v/>
      </c>
      <c r="O792" s="182" t="str">
        <f t="shared" si="147"/>
        <v/>
      </c>
      <c r="P792" s="182" t="str">
        <f t="shared" si="148"/>
        <v/>
      </c>
      <c r="Q792" s="182" t="str">
        <f t="shared" si="149"/>
        <v/>
      </c>
      <c r="R792" s="182" t="str">
        <f t="shared" si="150"/>
        <v/>
      </c>
      <c r="S792" s="182" t="str">
        <f t="shared" si="151"/>
        <v/>
      </c>
      <c r="T792" s="182" t="str">
        <f t="shared" si="152"/>
        <v/>
      </c>
      <c r="U792" s="182" t="str">
        <f t="shared" si="153"/>
        <v/>
      </c>
      <c r="V792" s="182" t="str">
        <f t="shared" si="154"/>
        <v/>
      </c>
      <c r="W792" s="182" t="str">
        <f t="shared" si="155"/>
        <v/>
      </c>
    </row>
    <row r="793" spans="1:23" x14ac:dyDescent="0.2">
      <c r="A793" s="181"/>
      <c r="B793" s="181"/>
      <c r="C793" s="181"/>
      <c r="D793" s="181"/>
      <c r="E793" s="181"/>
      <c r="F793" s="181"/>
      <c r="G793" s="181"/>
      <c r="K793" s="182">
        <v>792</v>
      </c>
      <c r="L793" s="182" t="str">
        <f t="shared" si="144"/>
        <v/>
      </c>
      <c r="M793" s="182" t="str">
        <f t="shared" si="145"/>
        <v/>
      </c>
      <c r="N793" s="182" t="str">
        <f t="shared" si="146"/>
        <v/>
      </c>
      <c r="O793" s="182" t="str">
        <f t="shared" si="147"/>
        <v/>
      </c>
      <c r="P793" s="182" t="str">
        <f t="shared" si="148"/>
        <v/>
      </c>
      <c r="Q793" s="182" t="str">
        <f t="shared" si="149"/>
        <v/>
      </c>
      <c r="R793" s="182" t="str">
        <f t="shared" si="150"/>
        <v/>
      </c>
      <c r="S793" s="182" t="str">
        <f t="shared" si="151"/>
        <v/>
      </c>
      <c r="T793" s="182" t="str">
        <f t="shared" si="152"/>
        <v/>
      </c>
      <c r="U793" s="182" t="str">
        <f t="shared" si="153"/>
        <v/>
      </c>
      <c r="V793" s="182" t="str">
        <f t="shared" si="154"/>
        <v/>
      </c>
      <c r="W793" s="182" t="str">
        <f t="shared" si="155"/>
        <v/>
      </c>
    </row>
    <row r="794" spans="1:23" x14ac:dyDescent="0.2">
      <c r="A794" s="181"/>
      <c r="B794" s="181"/>
      <c r="C794" s="181"/>
      <c r="D794" s="181"/>
      <c r="E794" s="181"/>
      <c r="F794" s="181"/>
      <c r="G794" s="181"/>
      <c r="K794" s="182">
        <v>793</v>
      </c>
      <c r="L794" s="182" t="str">
        <f t="shared" si="144"/>
        <v/>
      </c>
      <c r="M794" s="182" t="str">
        <f t="shared" si="145"/>
        <v/>
      </c>
      <c r="N794" s="182" t="str">
        <f t="shared" si="146"/>
        <v/>
      </c>
      <c r="O794" s="182" t="str">
        <f t="shared" si="147"/>
        <v/>
      </c>
      <c r="P794" s="182" t="str">
        <f t="shared" si="148"/>
        <v/>
      </c>
      <c r="Q794" s="182" t="str">
        <f t="shared" si="149"/>
        <v/>
      </c>
      <c r="R794" s="182" t="str">
        <f t="shared" si="150"/>
        <v/>
      </c>
      <c r="S794" s="182" t="str">
        <f t="shared" si="151"/>
        <v/>
      </c>
      <c r="T794" s="182" t="str">
        <f t="shared" si="152"/>
        <v/>
      </c>
      <c r="U794" s="182" t="str">
        <f t="shared" si="153"/>
        <v/>
      </c>
      <c r="V794" s="182" t="str">
        <f t="shared" si="154"/>
        <v/>
      </c>
      <c r="W794" s="182" t="str">
        <f t="shared" si="155"/>
        <v/>
      </c>
    </row>
    <row r="795" spans="1:23" x14ac:dyDescent="0.2">
      <c r="A795" s="181"/>
      <c r="B795" s="181"/>
      <c r="C795" s="181"/>
      <c r="D795" s="181"/>
      <c r="E795" s="181"/>
      <c r="F795" s="181"/>
      <c r="G795" s="181"/>
      <c r="K795" s="182">
        <v>794</v>
      </c>
      <c r="L795" s="182" t="str">
        <f t="shared" si="144"/>
        <v/>
      </c>
      <c r="M795" s="182" t="str">
        <f t="shared" si="145"/>
        <v/>
      </c>
      <c r="N795" s="182" t="str">
        <f t="shared" si="146"/>
        <v/>
      </c>
      <c r="O795" s="182" t="str">
        <f t="shared" si="147"/>
        <v/>
      </c>
      <c r="P795" s="182" t="str">
        <f t="shared" si="148"/>
        <v/>
      </c>
      <c r="Q795" s="182" t="str">
        <f t="shared" si="149"/>
        <v/>
      </c>
      <c r="R795" s="182" t="str">
        <f t="shared" si="150"/>
        <v/>
      </c>
      <c r="S795" s="182" t="str">
        <f t="shared" si="151"/>
        <v/>
      </c>
      <c r="T795" s="182" t="str">
        <f t="shared" si="152"/>
        <v/>
      </c>
      <c r="U795" s="182" t="str">
        <f t="shared" si="153"/>
        <v/>
      </c>
      <c r="V795" s="182" t="str">
        <f t="shared" si="154"/>
        <v/>
      </c>
      <c r="W795" s="182" t="str">
        <f t="shared" si="155"/>
        <v/>
      </c>
    </row>
    <row r="796" spans="1:23" x14ac:dyDescent="0.2">
      <c r="A796" s="181"/>
      <c r="B796" s="181"/>
      <c r="C796" s="181"/>
      <c r="D796" s="181"/>
      <c r="E796" s="181"/>
      <c r="F796" s="181"/>
      <c r="G796" s="181"/>
      <c r="K796" s="182">
        <v>795</v>
      </c>
      <c r="L796" s="182" t="str">
        <f t="shared" si="144"/>
        <v/>
      </c>
      <c r="M796" s="182" t="str">
        <f t="shared" si="145"/>
        <v/>
      </c>
      <c r="N796" s="182" t="str">
        <f t="shared" si="146"/>
        <v/>
      </c>
      <c r="O796" s="182" t="str">
        <f t="shared" si="147"/>
        <v/>
      </c>
      <c r="P796" s="182" t="str">
        <f t="shared" si="148"/>
        <v/>
      </c>
      <c r="Q796" s="182" t="str">
        <f t="shared" si="149"/>
        <v/>
      </c>
      <c r="R796" s="182" t="str">
        <f t="shared" si="150"/>
        <v/>
      </c>
      <c r="S796" s="182" t="str">
        <f t="shared" si="151"/>
        <v/>
      </c>
      <c r="T796" s="182" t="str">
        <f t="shared" si="152"/>
        <v/>
      </c>
      <c r="U796" s="182" t="str">
        <f t="shared" si="153"/>
        <v/>
      </c>
      <c r="V796" s="182" t="str">
        <f t="shared" si="154"/>
        <v/>
      </c>
      <c r="W796" s="182" t="str">
        <f t="shared" si="155"/>
        <v/>
      </c>
    </row>
    <row r="797" spans="1:23" x14ac:dyDescent="0.2">
      <c r="A797" s="181"/>
      <c r="B797" s="181"/>
      <c r="C797" s="181"/>
      <c r="D797" s="181"/>
      <c r="E797" s="181"/>
      <c r="F797" s="181"/>
      <c r="G797" s="181"/>
      <c r="K797" s="182">
        <v>796</v>
      </c>
      <c r="L797" s="182" t="str">
        <f t="shared" si="144"/>
        <v/>
      </c>
      <c r="M797" s="182" t="str">
        <f t="shared" si="145"/>
        <v/>
      </c>
      <c r="N797" s="182" t="str">
        <f t="shared" si="146"/>
        <v/>
      </c>
      <c r="O797" s="182" t="str">
        <f t="shared" si="147"/>
        <v/>
      </c>
      <c r="P797" s="182" t="str">
        <f t="shared" si="148"/>
        <v/>
      </c>
      <c r="Q797" s="182" t="str">
        <f t="shared" si="149"/>
        <v/>
      </c>
      <c r="R797" s="182" t="str">
        <f t="shared" si="150"/>
        <v/>
      </c>
      <c r="S797" s="182" t="str">
        <f t="shared" si="151"/>
        <v/>
      </c>
      <c r="T797" s="182" t="str">
        <f t="shared" si="152"/>
        <v/>
      </c>
      <c r="U797" s="182" t="str">
        <f t="shared" si="153"/>
        <v/>
      </c>
      <c r="V797" s="182" t="str">
        <f t="shared" si="154"/>
        <v/>
      </c>
      <c r="W797" s="182" t="str">
        <f t="shared" si="155"/>
        <v/>
      </c>
    </row>
    <row r="798" spans="1:23" x14ac:dyDescent="0.2">
      <c r="A798" s="181"/>
      <c r="B798" s="181"/>
      <c r="C798" s="181"/>
      <c r="D798" s="181"/>
      <c r="E798" s="181"/>
      <c r="F798" s="181"/>
      <c r="G798" s="181"/>
      <c r="K798" s="182">
        <v>797</v>
      </c>
      <c r="L798" s="182" t="str">
        <f t="shared" si="144"/>
        <v/>
      </c>
      <c r="M798" s="182" t="str">
        <f t="shared" si="145"/>
        <v/>
      </c>
      <c r="N798" s="182" t="str">
        <f t="shared" si="146"/>
        <v/>
      </c>
      <c r="O798" s="182" t="str">
        <f t="shared" si="147"/>
        <v/>
      </c>
      <c r="P798" s="182" t="str">
        <f t="shared" si="148"/>
        <v/>
      </c>
      <c r="Q798" s="182" t="str">
        <f t="shared" si="149"/>
        <v/>
      </c>
      <c r="R798" s="182" t="str">
        <f t="shared" si="150"/>
        <v/>
      </c>
      <c r="S798" s="182" t="str">
        <f t="shared" si="151"/>
        <v/>
      </c>
      <c r="T798" s="182" t="str">
        <f t="shared" si="152"/>
        <v/>
      </c>
      <c r="U798" s="182" t="str">
        <f t="shared" si="153"/>
        <v/>
      </c>
      <c r="V798" s="182" t="str">
        <f t="shared" si="154"/>
        <v/>
      </c>
      <c r="W798" s="182" t="str">
        <f t="shared" si="155"/>
        <v/>
      </c>
    </row>
    <row r="799" spans="1:23" x14ac:dyDescent="0.2">
      <c r="A799" s="181"/>
      <c r="B799" s="181"/>
      <c r="C799" s="181"/>
      <c r="D799" s="181"/>
      <c r="E799" s="181"/>
      <c r="F799" s="181"/>
      <c r="G799" s="181"/>
      <c r="K799" s="182">
        <v>798</v>
      </c>
      <c r="L799" s="182" t="str">
        <f t="shared" si="144"/>
        <v/>
      </c>
      <c r="M799" s="182" t="str">
        <f t="shared" si="145"/>
        <v/>
      </c>
      <c r="N799" s="182" t="str">
        <f t="shared" si="146"/>
        <v/>
      </c>
      <c r="O799" s="182" t="str">
        <f t="shared" si="147"/>
        <v/>
      </c>
      <c r="P799" s="182" t="str">
        <f t="shared" si="148"/>
        <v/>
      </c>
      <c r="Q799" s="182" t="str">
        <f t="shared" si="149"/>
        <v/>
      </c>
      <c r="R799" s="182" t="str">
        <f t="shared" si="150"/>
        <v/>
      </c>
      <c r="S799" s="182" t="str">
        <f t="shared" si="151"/>
        <v/>
      </c>
      <c r="T799" s="182" t="str">
        <f t="shared" si="152"/>
        <v/>
      </c>
      <c r="U799" s="182" t="str">
        <f t="shared" si="153"/>
        <v/>
      </c>
      <c r="V799" s="182" t="str">
        <f t="shared" si="154"/>
        <v/>
      </c>
      <c r="W799" s="182" t="str">
        <f t="shared" si="155"/>
        <v/>
      </c>
    </row>
    <row r="800" spans="1:23" x14ac:dyDescent="0.2">
      <c r="A800" s="181"/>
      <c r="B800" s="181"/>
      <c r="C800" s="181"/>
      <c r="D800" s="181"/>
      <c r="E800" s="181"/>
      <c r="F800" s="181"/>
      <c r="G800" s="181"/>
      <c r="K800" s="182">
        <v>799</v>
      </c>
      <c r="L800" s="182" t="str">
        <f t="shared" si="144"/>
        <v/>
      </c>
      <c r="M800" s="182" t="str">
        <f t="shared" si="145"/>
        <v/>
      </c>
      <c r="N800" s="182" t="str">
        <f t="shared" si="146"/>
        <v/>
      </c>
      <c r="O800" s="182" t="str">
        <f t="shared" si="147"/>
        <v/>
      </c>
      <c r="P800" s="182" t="str">
        <f t="shared" si="148"/>
        <v/>
      </c>
      <c r="Q800" s="182" t="str">
        <f t="shared" si="149"/>
        <v/>
      </c>
      <c r="R800" s="182" t="str">
        <f t="shared" si="150"/>
        <v/>
      </c>
      <c r="S800" s="182" t="str">
        <f t="shared" si="151"/>
        <v/>
      </c>
      <c r="T800" s="182" t="str">
        <f t="shared" si="152"/>
        <v/>
      </c>
      <c r="U800" s="182" t="str">
        <f t="shared" si="153"/>
        <v/>
      </c>
      <c r="V800" s="182" t="str">
        <f t="shared" si="154"/>
        <v/>
      </c>
      <c r="W800" s="182" t="str">
        <f t="shared" si="155"/>
        <v/>
      </c>
    </row>
    <row r="801" spans="1:23" x14ac:dyDescent="0.2">
      <c r="A801" s="181"/>
      <c r="B801" s="181"/>
      <c r="C801" s="181"/>
      <c r="D801" s="181"/>
      <c r="E801" s="181"/>
      <c r="F801" s="181"/>
      <c r="G801" s="181"/>
      <c r="K801" s="182">
        <v>800</v>
      </c>
      <c r="L801" s="182" t="str">
        <f t="shared" si="144"/>
        <v/>
      </c>
      <c r="M801" s="182" t="str">
        <f t="shared" si="145"/>
        <v/>
      </c>
      <c r="N801" s="182" t="str">
        <f t="shared" si="146"/>
        <v/>
      </c>
      <c r="O801" s="182" t="str">
        <f t="shared" si="147"/>
        <v/>
      </c>
      <c r="P801" s="182" t="str">
        <f t="shared" si="148"/>
        <v/>
      </c>
      <c r="Q801" s="182" t="str">
        <f t="shared" si="149"/>
        <v/>
      </c>
      <c r="R801" s="182" t="str">
        <f t="shared" si="150"/>
        <v/>
      </c>
      <c r="S801" s="182" t="str">
        <f t="shared" si="151"/>
        <v/>
      </c>
      <c r="T801" s="182" t="str">
        <f t="shared" si="152"/>
        <v/>
      </c>
      <c r="U801" s="182" t="str">
        <f t="shared" si="153"/>
        <v/>
      </c>
      <c r="V801" s="182" t="str">
        <f t="shared" si="154"/>
        <v/>
      </c>
      <c r="W801" s="182" t="str">
        <f t="shared" si="155"/>
        <v/>
      </c>
    </row>
    <row r="802" spans="1:23" x14ac:dyDescent="0.2">
      <c r="A802" s="181"/>
      <c r="B802" s="181"/>
      <c r="C802" s="181"/>
      <c r="D802" s="181"/>
      <c r="E802" s="181"/>
      <c r="F802" s="181"/>
      <c r="G802" s="181"/>
      <c r="K802" s="182">
        <v>801</v>
      </c>
      <c r="L802" s="182" t="str">
        <f t="shared" si="144"/>
        <v/>
      </c>
      <c r="M802" s="182" t="str">
        <f t="shared" si="145"/>
        <v/>
      </c>
      <c r="N802" s="182" t="str">
        <f t="shared" si="146"/>
        <v/>
      </c>
      <c r="O802" s="182" t="str">
        <f t="shared" si="147"/>
        <v/>
      </c>
      <c r="P802" s="182" t="str">
        <f t="shared" si="148"/>
        <v/>
      </c>
      <c r="Q802" s="182" t="str">
        <f t="shared" si="149"/>
        <v/>
      </c>
      <c r="R802" s="182" t="str">
        <f t="shared" si="150"/>
        <v/>
      </c>
      <c r="S802" s="182" t="str">
        <f t="shared" si="151"/>
        <v/>
      </c>
      <c r="T802" s="182" t="str">
        <f t="shared" si="152"/>
        <v/>
      </c>
      <c r="U802" s="182" t="str">
        <f t="shared" si="153"/>
        <v/>
      </c>
      <c r="V802" s="182" t="str">
        <f t="shared" si="154"/>
        <v/>
      </c>
      <c r="W802" s="182" t="str">
        <f t="shared" si="155"/>
        <v/>
      </c>
    </row>
    <row r="803" spans="1:23" x14ac:dyDescent="0.2">
      <c r="A803" s="181"/>
      <c r="B803" s="181"/>
      <c r="C803" s="181"/>
      <c r="D803" s="181"/>
      <c r="E803" s="181"/>
      <c r="F803" s="181"/>
      <c r="G803" s="181"/>
      <c r="K803" s="182">
        <v>802</v>
      </c>
      <c r="L803" s="182" t="str">
        <f t="shared" si="144"/>
        <v/>
      </c>
      <c r="M803" s="182" t="str">
        <f t="shared" si="145"/>
        <v/>
      </c>
      <c r="N803" s="182" t="str">
        <f t="shared" si="146"/>
        <v/>
      </c>
      <c r="O803" s="182" t="str">
        <f t="shared" si="147"/>
        <v/>
      </c>
      <c r="P803" s="182" t="str">
        <f t="shared" si="148"/>
        <v/>
      </c>
      <c r="Q803" s="182" t="str">
        <f t="shared" si="149"/>
        <v/>
      </c>
      <c r="R803" s="182" t="str">
        <f t="shared" si="150"/>
        <v/>
      </c>
      <c r="S803" s="182" t="str">
        <f t="shared" si="151"/>
        <v/>
      </c>
      <c r="T803" s="182" t="str">
        <f t="shared" si="152"/>
        <v/>
      </c>
      <c r="U803" s="182" t="str">
        <f t="shared" si="153"/>
        <v/>
      </c>
      <c r="V803" s="182" t="str">
        <f t="shared" si="154"/>
        <v/>
      </c>
      <c r="W803" s="182" t="str">
        <f t="shared" si="155"/>
        <v/>
      </c>
    </row>
    <row r="804" spans="1:23" x14ac:dyDescent="0.2">
      <c r="A804" s="181"/>
      <c r="B804" s="181"/>
      <c r="C804" s="181"/>
      <c r="D804" s="181"/>
      <c r="E804" s="181"/>
      <c r="F804" s="181"/>
      <c r="G804" s="181"/>
      <c r="K804" s="182">
        <v>803</v>
      </c>
      <c r="L804" s="182" t="str">
        <f t="shared" si="144"/>
        <v/>
      </c>
      <c r="M804" s="182" t="str">
        <f t="shared" si="145"/>
        <v/>
      </c>
      <c r="N804" s="182" t="str">
        <f t="shared" si="146"/>
        <v/>
      </c>
      <c r="O804" s="182" t="str">
        <f t="shared" si="147"/>
        <v/>
      </c>
      <c r="P804" s="182" t="str">
        <f t="shared" si="148"/>
        <v/>
      </c>
      <c r="Q804" s="182" t="str">
        <f t="shared" si="149"/>
        <v/>
      </c>
      <c r="R804" s="182" t="str">
        <f t="shared" si="150"/>
        <v/>
      </c>
      <c r="S804" s="182" t="str">
        <f t="shared" si="151"/>
        <v/>
      </c>
      <c r="T804" s="182" t="str">
        <f t="shared" si="152"/>
        <v/>
      </c>
      <c r="U804" s="182" t="str">
        <f t="shared" si="153"/>
        <v/>
      </c>
      <c r="V804" s="182" t="str">
        <f t="shared" si="154"/>
        <v/>
      </c>
      <c r="W804" s="182" t="str">
        <f t="shared" si="155"/>
        <v/>
      </c>
    </row>
    <row r="805" spans="1:23" x14ac:dyDescent="0.2">
      <c r="A805" s="181"/>
      <c r="B805" s="181"/>
      <c r="C805" s="181"/>
      <c r="D805" s="181"/>
      <c r="E805" s="181"/>
      <c r="F805" s="181"/>
      <c r="G805" s="181"/>
      <c r="K805" s="182">
        <v>804</v>
      </c>
      <c r="L805" s="182" t="str">
        <f t="shared" si="144"/>
        <v/>
      </c>
      <c r="M805" s="182" t="str">
        <f t="shared" si="145"/>
        <v/>
      </c>
      <c r="N805" s="182" t="str">
        <f t="shared" si="146"/>
        <v/>
      </c>
      <c r="O805" s="182" t="str">
        <f t="shared" si="147"/>
        <v/>
      </c>
      <c r="P805" s="182" t="str">
        <f t="shared" si="148"/>
        <v/>
      </c>
      <c r="Q805" s="182" t="str">
        <f t="shared" si="149"/>
        <v/>
      </c>
      <c r="R805" s="182" t="str">
        <f t="shared" si="150"/>
        <v/>
      </c>
      <c r="S805" s="182" t="str">
        <f t="shared" si="151"/>
        <v/>
      </c>
      <c r="T805" s="182" t="str">
        <f t="shared" si="152"/>
        <v/>
      </c>
      <c r="U805" s="182" t="str">
        <f t="shared" si="153"/>
        <v/>
      </c>
      <c r="V805" s="182" t="str">
        <f t="shared" si="154"/>
        <v/>
      </c>
      <c r="W805" s="182" t="str">
        <f t="shared" si="155"/>
        <v/>
      </c>
    </row>
    <row r="806" spans="1:23" x14ac:dyDescent="0.2">
      <c r="A806" s="181"/>
      <c r="B806" s="181"/>
      <c r="C806" s="181"/>
      <c r="D806" s="181"/>
      <c r="E806" s="181"/>
      <c r="F806" s="181"/>
      <c r="G806" s="181"/>
      <c r="K806" s="182">
        <v>805</v>
      </c>
      <c r="L806" s="182" t="str">
        <f t="shared" si="144"/>
        <v/>
      </c>
      <c r="M806" s="182" t="str">
        <f t="shared" si="145"/>
        <v/>
      </c>
      <c r="N806" s="182" t="str">
        <f t="shared" si="146"/>
        <v/>
      </c>
      <c r="O806" s="182" t="str">
        <f t="shared" si="147"/>
        <v/>
      </c>
      <c r="P806" s="182" t="str">
        <f t="shared" si="148"/>
        <v/>
      </c>
      <c r="Q806" s="182" t="str">
        <f t="shared" si="149"/>
        <v/>
      </c>
      <c r="R806" s="182" t="str">
        <f t="shared" si="150"/>
        <v/>
      </c>
      <c r="S806" s="182" t="str">
        <f t="shared" si="151"/>
        <v/>
      </c>
      <c r="T806" s="182" t="str">
        <f t="shared" si="152"/>
        <v/>
      </c>
      <c r="U806" s="182" t="str">
        <f t="shared" si="153"/>
        <v/>
      </c>
      <c r="V806" s="182" t="str">
        <f t="shared" si="154"/>
        <v/>
      </c>
      <c r="W806" s="182" t="str">
        <f t="shared" si="155"/>
        <v/>
      </c>
    </row>
    <row r="807" spans="1:23" x14ac:dyDescent="0.2">
      <c r="A807" s="181"/>
      <c r="B807" s="181"/>
      <c r="C807" s="181"/>
      <c r="D807" s="181"/>
      <c r="E807" s="181"/>
      <c r="F807" s="181"/>
      <c r="G807" s="181"/>
      <c r="K807" s="182">
        <v>806</v>
      </c>
      <c r="L807" s="182" t="str">
        <f t="shared" si="144"/>
        <v/>
      </c>
      <c r="M807" s="182" t="str">
        <f t="shared" si="145"/>
        <v/>
      </c>
      <c r="N807" s="182" t="str">
        <f t="shared" si="146"/>
        <v/>
      </c>
      <c r="O807" s="182" t="str">
        <f t="shared" si="147"/>
        <v/>
      </c>
      <c r="P807" s="182" t="str">
        <f t="shared" si="148"/>
        <v/>
      </c>
      <c r="Q807" s="182" t="str">
        <f t="shared" si="149"/>
        <v/>
      </c>
      <c r="R807" s="182" t="str">
        <f t="shared" si="150"/>
        <v/>
      </c>
      <c r="S807" s="182" t="str">
        <f t="shared" si="151"/>
        <v/>
      </c>
      <c r="T807" s="182" t="str">
        <f t="shared" si="152"/>
        <v/>
      </c>
      <c r="U807" s="182" t="str">
        <f t="shared" si="153"/>
        <v/>
      </c>
      <c r="V807" s="182" t="str">
        <f t="shared" si="154"/>
        <v/>
      </c>
      <c r="W807" s="182" t="str">
        <f t="shared" si="155"/>
        <v/>
      </c>
    </row>
    <row r="808" spans="1:23" x14ac:dyDescent="0.2">
      <c r="A808" s="181"/>
      <c r="B808" s="181"/>
      <c r="C808" s="181"/>
      <c r="D808" s="181"/>
      <c r="E808" s="181"/>
      <c r="F808" s="181"/>
      <c r="G808" s="181"/>
      <c r="K808" s="182">
        <v>807</v>
      </c>
      <c r="L808" s="182" t="str">
        <f t="shared" si="144"/>
        <v/>
      </c>
      <c r="M808" s="182" t="str">
        <f t="shared" si="145"/>
        <v/>
      </c>
      <c r="N808" s="182" t="str">
        <f t="shared" si="146"/>
        <v/>
      </c>
      <c r="O808" s="182" t="str">
        <f t="shared" si="147"/>
        <v/>
      </c>
      <c r="P808" s="182" t="str">
        <f t="shared" si="148"/>
        <v/>
      </c>
      <c r="Q808" s="182" t="str">
        <f t="shared" si="149"/>
        <v/>
      </c>
      <c r="R808" s="182" t="str">
        <f t="shared" si="150"/>
        <v/>
      </c>
      <c r="S808" s="182" t="str">
        <f t="shared" si="151"/>
        <v/>
      </c>
      <c r="T808" s="182" t="str">
        <f t="shared" si="152"/>
        <v/>
      </c>
      <c r="U808" s="182" t="str">
        <f t="shared" si="153"/>
        <v/>
      </c>
      <c r="V808" s="182" t="str">
        <f t="shared" si="154"/>
        <v/>
      </c>
      <c r="W808" s="182" t="str">
        <f t="shared" si="155"/>
        <v/>
      </c>
    </row>
    <row r="809" spans="1:23" x14ac:dyDescent="0.2">
      <c r="A809" s="181"/>
      <c r="B809" s="181"/>
      <c r="C809" s="181"/>
      <c r="D809" s="181"/>
      <c r="E809" s="181"/>
      <c r="F809" s="181"/>
      <c r="G809" s="181"/>
      <c r="K809" s="182">
        <v>808</v>
      </c>
      <c r="L809" s="182" t="str">
        <f t="shared" si="144"/>
        <v/>
      </c>
      <c r="M809" s="182" t="str">
        <f t="shared" si="145"/>
        <v/>
      </c>
      <c r="N809" s="182" t="str">
        <f t="shared" si="146"/>
        <v/>
      </c>
      <c r="O809" s="182" t="str">
        <f t="shared" si="147"/>
        <v/>
      </c>
      <c r="P809" s="182" t="str">
        <f t="shared" si="148"/>
        <v/>
      </c>
      <c r="Q809" s="182" t="str">
        <f t="shared" si="149"/>
        <v/>
      </c>
      <c r="R809" s="182" t="str">
        <f t="shared" si="150"/>
        <v/>
      </c>
      <c r="S809" s="182" t="str">
        <f t="shared" si="151"/>
        <v/>
      </c>
      <c r="T809" s="182" t="str">
        <f t="shared" si="152"/>
        <v/>
      </c>
      <c r="U809" s="182" t="str">
        <f t="shared" si="153"/>
        <v/>
      </c>
      <c r="V809" s="182" t="str">
        <f t="shared" si="154"/>
        <v/>
      </c>
      <c r="W809" s="182" t="str">
        <f t="shared" si="155"/>
        <v/>
      </c>
    </row>
    <row r="810" spans="1:23" x14ac:dyDescent="0.2">
      <c r="A810" s="181"/>
      <c r="B810" s="181"/>
      <c r="C810" s="181"/>
      <c r="D810" s="181"/>
      <c r="E810" s="181"/>
      <c r="F810" s="181"/>
      <c r="G810" s="181"/>
      <c r="K810" s="182">
        <v>809</v>
      </c>
      <c r="L810" s="182" t="str">
        <f t="shared" si="144"/>
        <v/>
      </c>
      <c r="M810" s="182" t="str">
        <f t="shared" si="145"/>
        <v/>
      </c>
      <c r="N810" s="182" t="str">
        <f t="shared" si="146"/>
        <v/>
      </c>
      <c r="O810" s="182" t="str">
        <f t="shared" si="147"/>
        <v/>
      </c>
      <c r="P810" s="182" t="str">
        <f t="shared" si="148"/>
        <v/>
      </c>
      <c r="Q810" s="182" t="str">
        <f t="shared" si="149"/>
        <v/>
      </c>
      <c r="R810" s="182" t="str">
        <f t="shared" si="150"/>
        <v/>
      </c>
      <c r="S810" s="182" t="str">
        <f t="shared" si="151"/>
        <v/>
      </c>
      <c r="T810" s="182" t="str">
        <f t="shared" si="152"/>
        <v/>
      </c>
      <c r="U810" s="182" t="str">
        <f t="shared" si="153"/>
        <v/>
      </c>
      <c r="V810" s="182" t="str">
        <f t="shared" si="154"/>
        <v/>
      </c>
      <c r="W810" s="182" t="str">
        <f t="shared" si="155"/>
        <v/>
      </c>
    </row>
    <row r="811" spans="1:23" x14ac:dyDescent="0.2">
      <c r="A811" s="181"/>
      <c r="B811" s="181"/>
      <c r="C811" s="181"/>
      <c r="D811" s="181"/>
      <c r="E811" s="181"/>
      <c r="F811" s="181"/>
      <c r="G811" s="181"/>
      <c r="K811" s="182">
        <v>810</v>
      </c>
      <c r="L811" s="182" t="str">
        <f t="shared" si="144"/>
        <v/>
      </c>
      <c r="M811" s="182" t="str">
        <f t="shared" si="145"/>
        <v/>
      </c>
      <c r="N811" s="182" t="str">
        <f t="shared" si="146"/>
        <v/>
      </c>
      <c r="O811" s="182" t="str">
        <f t="shared" si="147"/>
        <v/>
      </c>
      <c r="P811" s="182" t="str">
        <f t="shared" si="148"/>
        <v/>
      </c>
      <c r="Q811" s="182" t="str">
        <f t="shared" si="149"/>
        <v/>
      </c>
      <c r="R811" s="182" t="str">
        <f t="shared" si="150"/>
        <v/>
      </c>
      <c r="S811" s="182" t="str">
        <f t="shared" si="151"/>
        <v/>
      </c>
      <c r="T811" s="182" t="str">
        <f t="shared" si="152"/>
        <v/>
      </c>
      <c r="U811" s="182" t="str">
        <f t="shared" si="153"/>
        <v/>
      </c>
      <c r="V811" s="182" t="str">
        <f t="shared" si="154"/>
        <v/>
      </c>
      <c r="W811" s="182" t="str">
        <f t="shared" si="155"/>
        <v/>
      </c>
    </row>
    <row r="812" spans="1:23" x14ac:dyDescent="0.2">
      <c r="A812" s="181"/>
      <c r="B812" s="181"/>
      <c r="C812" s="181"/>
      <c r="D812" s="181"/>
      <c r="E812" s="181"/>
      <c r="F812" s="181"/>
      <c r="G812" s="181"/>
      <c r="K812" s="182">
        <v>811</v>
      </c>
      <c r="L812" s="182" t="str">
        <f t="shared" si="144"/>
        <v/>
      </c>
      <c r="M812" s="182" t="str">
        <f t="shared" si="145"/>
        <v/>
      </c>
      <c r="N812" s="182" t="str">
        <f t="shared" si="146"/>
        <v/>
      </c>
      <c r="O812" s="182" t="str">
        <f t="shared" si="147"/>
        <v/>
      </c>
      <c r="P812" s="182" t="str">
        <f t="shared" si="148"/>
        <v/>
      </c>
      <c r="Q812" s="182" t="str">
        <f t="shared" si="149"/>
        <v/>
      </c>
      <c r="R812" s="182" t="str">
        <f t="shared" si="150"/>
        <v/>
      </c>
      <c r="S812" s="182" t="str">
        <f t="shared" si="151"/>
        <v/>
      </c>
      <c r="T812" s="182" t="str">
        <f t="shared" si="152"/>
        <v/>
      </c>
      <c r="U812" s="182" t="str">
        <f t="shared" si="153"/>
        <v/>
      </c>
      <c r="V812" s="182" t="str">
        <f t="shared" si="154"/>
        <v/>
      </c>
      <c r="W812" s="182" t="str">
        <f t="shared" si="155"/>
        <v/>
      </c>
    </row>
    <row r="813" spans="1:23" x14ac:dyDescent="0.2">
      <c r="A813" s="181"/>
      <c r="B813" s="181"/>
      <c r="C813" s="181"/>
      <c r="D813" s="181"/>
      <c r="E813" s="181"/>
      <c r="F813" s="181"/>
      <c r="G813" s="181"/>
      <c r="K813" s="182">
        <v>812</v>
      </c>
      <c r="L813" s="182" t="str">
        <f t="shared" si="144"/>
        <v/>
      </c>
      <c r="M813" s="182" t="str">
        <f t="shared" si="145"/>
        <v/>
      </c>
      <c r="N813" s="182" t="str">
        <f t="shared" si="146"/>
        <v/>
      </c>
      <c r="O813" s="182" t="str">
        <f t="shared" si="147"/>
        <v/>
      </c>
      <c r="P813" s="182" t="str">
        <f t="shared" si="148"/>
        <v/>
      </c>
      <c r="Q813" s="182" t="str">
        <f t="shared" si="149"/>
        <v/>
      </c>
      <c r="R813" s="182" t="str">
        <f t="shared" si="150"/>
        <v/>
      </c>
      <c r="S813" s="182" t="str">
        <f t="shared" si="151"/>
        <v/>
      </c>
      <c r="T813" s="182" t="str">
        <f t="shared" si="152"/>
        <v/>
      </c>
      <c r="U813" s="182" t="str">
        <f t="shared" si="153"/>
        <v/>
      </c>
      <c r="V813" s="182" t="str">
        <f t="shared" si="154"/>
        <v/>
      </c>
      <c r="W813" s="182" t="str">
        <f t="shared" si="155"/>
        <v/>
      </c>
    </row>
    <row r="814" spans="1:23" x14ac:dyDescent="0.2">
      <c r="A814" s="181"/>
      <c r="B814" s="181"/>
      <c r="C814" s="181"/>
      <c r="D814" s="181"/>
      <c r="E814" s="181"/>
      <c r="F814" s="181"/>
      <c r="G814" s="181"/>
      <c r="K814" s="182">
        <v>813</v>
      </c>
      <c r="L814" s="182" t="str">
        <f t="shared" si="144"/>
        <v/>
      </c>
      <c r="M814" s="182" t="str">
        <f t="shared" si="145"/>
        <v/>
      </c>
      <c r="N814" s="182" t="str">
        <f t="shared" si="146"/>
        <v/>
      </c>
      <c r="O814" s="182" t="str">
        <f t="shared" si="147"/>
        <v/>
      </c>
      <c r="P814" s="182" t="str">
        <f t="shared" si="148"/>
        <v/>
      </c>
      <c r="Q814" s="182" t="str">
        <f t="shared" si="149"/>
        <v/>
      </c>
      <c r="R814" s="182" t="str">
        <f t="shared" si="150"/>
        <v/>
      </c>
      <c r="S814" s="182" t="str">
        <f t="shared" si="151"/>
        <v/>
      </c>
      <c r="T814" s="182" t="str">
        <f t="shared" si="152"/>
        <v/>
      </c>
      <c r="U814" s="182" t="str">
        <f t="shared" si="153"/>
        <v/>
      </c>
      <c r="V814" s="182" t="str">
        <f t="shared" si="154"/>
        <v/>
      </c>
      <c r="W814" s="182" t="str">
        <f t="shared" si="155"/>
        <v/>
      </c>
    </row>
    <row r="815" spans="1:23" x14ac:dyDescent="0.2">
      <c r="A815" s="181"/>
      <c r="B815" s="181"/>
      <c r="C815" s="181"/>
      <c r="D815" s="181"/>
      <c r="E815" s="181"/>
      <c r="F815" s="181"/>
      <c r="G815" s="181"/>
      <c r="K815" s="182">
        <v>814</v>
      </c>
      <c r="L815" s="182" t="str">
        <f t="shared" si="144"/>
        <v/>
      </c>
      <c r="M815" s="182" t="str">
        <f t="shared" si="145"/>
        <v/>
      </c>
      <c r="N815" s="182" t="str">
        <f t="shared" si="146"/>
        <v/>
      </c>
      <c r="O815" s="182" t="str">
        <f t="shared" si="147"/>
        <v/>
      </c>
      <c r="P815" s="182" t="str">
        <f t="shared" si="148"/>
        <v/>
      </c>
      <c r="Q815" s="182" t="str">
        <f t="shared" si="149"/>
        <v/>
      </c>
      <c r="R815" s="182" t="str">
        <f t="shared" si="150"/>
        <v/>
      </c>
      <c r="S815" s="182" t="str">
        <f t="shared" si="151"/>
        <v/>
      </c>
      <c r="T815" s="182" t="str">
        <f t="shared" si="152"/>
        <v/>
      </c>
      <c r="U815" s="182" t="str">
        <f t="shared" si="153"/>
        <v/>
      </c>
      <c r="V815" s="182" t="str">
        <f t="shared" si="154"/>
        <v/>
      </c>
      <c r="W815" s="182" t="str">
        <f t="shared" si="155"/>
        <v/>
      </c>
    </row>
    <row r="816" spans="1:23" x14ac:dyDescent="0.2">
      <c r="A816" s="181"/>
      <c r="B816" s="181"/>
      <c r="C816" s="181"/>
      <c r="D816" s="181"/>
      <c r="E816" s="181"/>
      <c r="F816" s="181"/>
      <c r="G816" s="181"/>
      <c r="K816" s="182">
        <v>815</v>
      </c>
      <c r="L816" s="182" t="str">
        <f t="shared" si="144"/>
        <v/>
      </c>
      <c r="M816" s="182" t="str">
        <f t="shared" si="145"/>
        <v/>
      </c>
      <c r="N816" s="182" t="str">
        <f t="shared" si="146"/>
        <v/>
      </c>
      <c r="O816" s="182" t="str">
        <f t="shared" si="147"/>
        <v/>
      </c>
      <c r="P816" s="182" t="str">
        <f t="shared" si="148"/>
        <v/>
      </c>
      <c r="Q816" s="182" t="str">
        <f t="shared" si="149"/>
        <v/>
      </c>
      <c r="R816" s="182" t="str">
        <f t="shared" si="150"/>
        <v/>
      </c>
      <c r="S816" s="182" t="str">
        <f t="shared" si="151"/>
        <v/>
      </c>
      <c r="T816" s="182" t="str">
        <f t="shared" si="152"/>
        <v/>
      </c>
      <c r="U816" s="182" t="str">
        <f t="shared" si="153"/>
        <v/>
      </c>
      <c r="V816" s="182" t="str">
        <f t="shared" si="154"/>
        <v/>
      </c>
      <c r="W816" s="182" t="str">
        <f t="shared" si="155"/>
        <v/>
      </c>
    </row>
    <row r="817" spans="1:23" x14ac:dyDescent="0.2">
      <c r="A817" s="181"/>
      <c r="B817" s="181"/>
      <c r="C817" s="181"/>
      <c r="D817" s="181"/>
      <c r="E817" s="181"/>
      <c r="F817" s="181"/>
      <c r="G817" s="181"/>
      <c r="K817" s="182">
        <v>816</v>
      </c>
      <c r="L817" s="182" t="str">
        <f t="shared" si="144"/>
        <v/>
      </c>
      <c r="M817" s="182" t="str">
        <f t="shared" si="145"/>
        <v/>
      </c>
      <c r="N817" s="182" t="str">
        <f t="shared" si="146"/>
        <v/>
      </c>
      <c r="O817" s="182" t="str">
        <f t="shared" si="147"/>
        <v/>
      </c>
      <c r="P817" s="182" t="str">
        <f t="shared" si="148"/>
        <v/>
      </c>
      <c r="Q817" s="182" t="str">
        <f t="shared" si="149"/>
        <v/>
      </c>
      <c r="R817" s="182" t="str">
        <f t="shared" si="150"/>
        <v/>
      </c>
      <c r="S817" s="182" t="str">
        <f t="shared" si="151"/>
        <v/>
      </c>
      <c r="T817" s="182" t="str">
        <f t="shared" si="152"/>
        <v/>
      </c>
      <c r="U817" s="182" t="str">
        <f t="shared" si="153"/>
        <v/>
      </c>
      <c r="V817" s="182" t="str">
        <f t="shared" si="154"/>
        <v/>
      </c>
      <c r="W817" s="182" t="str">
        <f t="shared" si="155"/>
        <v/>
      </c>
    </row>
    <row r="818" spans="1:23" x14ac:dyDescent="0.2">
      <c r="A818" s="181"/>
      <c r="B818" s="181"/>
      <c r="C818" s="181"/>
      <c r="D818" s="181"/>
      <c r="E818" s="181"/>
      <c r="F818" s="181"/>
      <c r="G818" s="181"/>
      <c r="K818" s="182">
        <v>817</v>
      </c>
      <c r="L818" s="182" t="str">
        <f t="shared" si="144"/>
        <v/>
      </c>
      <c r="M818" s="182" t="str">
        <f t="shared" si="145"/>
        <v/>
      </c>
      <c r="N818" s="182" t="str">
        <f t="shared" si="146"/>
        <v/>
      </c>
      <c r="O818" s="182" t="str">
        <f t="shared" si="147"/>
        <v/>
      </c>
      <c r="P818" s="182" t="str">
        <f t="shared" si="148"/>
        <v/>
      </c>
      <c r="Q818" s="182" t="str">
        <f t="shared" si="149"/>
        <v/>
      </c>
      <c r="R818" s="182" t="str">
        <f t="shared" si="150"/>
        <v/>
      </c>
      <c r="S818" s="182" t="str">
        <f t="shared" si="151"/>
        <v/>
      </c>
      <c r="T818" s="182" t="str">
        <f t="shared" si="152"/>
        <v/>
      </c>
      <c r="U818" s="182" t="str">
        <f t="shared" si="153"/>
        <v/>
      </c>
      <c r="V818" s="182" t="str">
        <f t="shared" si="154"/>
        <v/>
      </c>
      <c r="W818" s="182" t="str">
        <f t="shared" si="155"/>
        <v/>
      </c>
    </row>
    <row r="819" spans="1:23" x14ac:dyDescent="0.2">
      <c r="A819" s="181"/>
      <c r="B819" s="181"/>
      <c r="C819" s="181"/>
      <c r="D819" s="181"/>
      <c r="E819" s="181"/>
      <c r="F819" s="181"/>
      <c r="G819" s="181"/>
      <c r="K819" s="182">
        <v>818</v>
      </c>
      <c r="L819" s="182" t="str">
        <f t="shared" si="144"/>
        <v/>
      </c>
      <c r="M819" s="182" t="str">
        <f t="shared" si="145"/>
        <v/>
      </c>
      <c r="N819" s="182" t="str">
        <f t="shared" si="146"/>
        <v/>
      </c>
      <c r="O819" s="182" t="str">
        <f t="shared" si="147"/>
        <v/>
      </c>
      <c r="P819" s="182" t="str">
        <f t="shared" si="148"/>
        <v/>
      </c>
      <c r="Q819" s="182" t="str">
        <f t="shared" si="149"/>
        <v/>
      </c>
      <c r="R819" s="182" t="str">
        <f t="shared" si="150"/>
        <v/>
      </c>
      <c r="S819" s="182" t="str">
        <f t="shared" si="151"/>
        <v/>
      </c>
      <c r="T819" s="182" t="str">
        <f t="shared" si="152"/>
        <v/>
      </c>
      <c r="U819" s="182" t="str">
        <f t="shared" si="153"/>
        <v/>
      </c>
      <c r="V819" s="182" t="str">
        <f t="shared" si="154"/>
        <v/>
      </c>
      <c r="W819" s="182" t="str">
        <f t="shared" si="155"/>
        <v/>
      </c>
    </row>
    <row r="820" spans="1:23" x14ac:dyDescent="0.2">
      <c r="A820" s="181"/>
      <c r="B820" s="181"/>
      <c r="C820" s="181"/>
      <c r="D820" s="181"/>
      <c r="E820" s="181"/>
      <c r="F820" s="181"/>
      <c r="G820" s="181"/>
      <c r="K820" s="182">
        <v>819</v>
      </c>
      <c r="L820" s="182" t="str">
        <f t="shared" si="144"/>
        <v/>
      </c>
      <c r="M820" s="182" t="str">
        <f t="shared" si="145"/>
        <v/>
      </c>
      <c r="N820" s="182" t="str">
        <f t="shared" si="146"/>
        <v/>
      </c>
      <c r="O820" s="182" t="str">
        <f t="shared" si="147"/>
        <v/>
      </c>
      <c r="P820" s="182" t="str">
        <f t="shared" si="148"/>
        <v/>
      </c>
      <c r="Q820" s="182" t="str">
        <f t="shared" si="149"/>
        <v/>
      </c>
      <c r="R820" s="182" t="str">
        <f t="shared" si="150"/>
        <v/>
      </c>
      <c r="S820" s="182" t="str">
        <f t="shared" si="151"/>
        <v/>
      </c>
      <c r="T820" s="182" t="str">
        <f t="shared" si="152"/>
        <v/>
      </c>
      <c r="U820" s="182" t="str">
        <f t="shared" si="153"/>
        <v/>
      </c>
      <c r="V820" s="182" t="str">
        <f t="shared" si="154"/>
        <v/>
      </c>
      <c r="W820" s="182" t="str">
        <f t="shared" si="155"/>
        <v/>
      </c>
    </row>
    <row r="821" spans="1:23" x14ac:dyDescent="0.2">
      <c r="A821" s="181"/>
      <c r="B821" s="181"/>
      <c r="C821" s="181"/>
      <c r="D821" s="181"/>
      <c r="E821" s="181"/>
      <c r="F821" s="181"/>
      <c r="G821" s="181"/>
      <c r="K821" s="182">
        <v>820</v>
      </c>
      <c r="L821" s="182" t="str">
        <f t="shared" si="144"/>
        <v/>
      </c>
      <c r="M821" s="182" t="str">
        <f t="shared" si="145"/>
        <v/>
      </c>
      <c r="N821" s="182" t="str">
        <f t="shared" si="146"/>
        <v/>
      </c>
      <c r="O821" s="182" t="str">
        <f t="shared" si="147"/>
        <v/>
      </c>
      <c r="P821" s="182" t="str">
        <f t="shared" si="148"/>
        <v/>
      </c>
      <c r="Q821" s="182" t="str">
        <f t="shared" si="149"/>
        <v/>
      </c>
      <c r="R821" s="182" t="str">
        <f t="shared" si="150"/>
        <v/>
      </c>
      <c r="S821" s="182" t="str">
        <f t="shared" si="151"/>
        <v/>
      </c>
      <c r="T821" s="182" t="str">
        <f t="shared" si="152"/>
        <v/>
      </c>
      <c r="U821" s="182" t="str">
        <f t="shared" si="153"/>
        <v/>
      </c>
      <c r="V821" s="182" t="str">
        <f t="shared" si="154"/>
        <v/>
      </c>
      <c r="W821" s="182" t="str">
        <f t="shared" si="155"/>
        <v/>
      </c>
    </row>
    <row r="822" spans="1:23" x14ac:dyDescent="0.2">
      <c r="A822" s="181"/>
      <c r="B822" s="181"/>
      <c r="C822" s="181"/>
      <c r="D822" s="181"/>
      <c r="E822" s="181"/>
      <c r="F822" s="181"/>
      <c r="G822" s="181"/>
      <c r="K822" s="182">
        <v>821</v>
      </c>
      <c r="L822" s="182" t="str">
        <f t="shared" si="144"/>
        <v/>
      </c>
      <c r="M822" s="182" t="str">
        <f t="shared" si="145"/>
        <v/>
      </c>
      <c r="N822" s="182" t="str">
        <f t="shared" si="146"/>
        <v/>
      </c>
      <c r="O822" s="182" t="str">
        <f t="shared" si="147"/>
        <v/>
      </c>
      <c r="P822" s="182" t="str">
        <f t="shared" si="148"/>
        <v/>
      </c>
      <c r="Q822" s="182" t="str">
        <f t="shared" si="149"/>
        <v/>
      </c>
      <c r="R822" s="182" t="str">
        <f t="shared" si="150"/>
        <v/>
      </c>
      <c r="S822" s="182" t="str">
        <f t="shared" si="151"/>
        <v/>
      </c>
      <c r="T822" s="182" t="str">
        <f t="shared" si="152"/>
        <v/>
      </c>
      <c r="U822" s="182" t="str">
        <f t="shared" si="153"/>
        <v/>
      </c>
      <c r="V822" s="182" t="str">
        <f t="shared" si="154"/>
        <v/>
      </c>
      <c r="W822" s="182" t="str">
        <f t="shared" si="155"/>
        <v/>
      </c>
    </row>
    <row r="823" spans="1:23" x14ac:dyDescent="0.2">
      <c r="A823" s="181"/>
      <c r="B823" s="181"/>
      <c r="C823" s="181"/>
      <c r="D823" s="181"/>
      <c r="E823" s="181"/>
      <c r="F823" s="181"/>
      <c r="G823" s="181"/>
      <c r="K823" s="182">
        <v>822</v>
      </c>
      <c r="L823" s="182" t="str">
        <f t="shared" si="144"/>
        <v/>
      </c>
      <c r="M823" s="182" t="str">
        <f t="shared" si="145"/>
        <v/>
      </c>
      <c r="N823" s="182" t="str">
        <f t="shared" si="146"/>
        <v/>
      </c>
      <c r="O823" s="182" t="str">
        <f t="shared" si="147"/>
        <v/>
      </c>
      <c r="P823" s="182" t="str">
        <f t="shared" si="148"/>
        <v/>
      </c>
      <c r="Q823" s="182" t="str">
        <f t="shared" si="149"/>
        <v/>
      </c>
      <c r="R823" s="182" t="str">
        <f t="shared" si="150"/>
        <v/>
      </c>
      <c r="S823" s="182" t="str">
        <f t="shared" si="151"/>
        <v/>
      </c>
      <c r="T823" s="182" t="str">
        <f t="shared" si="152"/>
        <v/>
      </c>
      <c r="U823" s="182" t="str">
        <f t="shared" si="153"/>
        <v/>
      </c>
      <c r="V823" s="182" t="str">
        <f t="shared" si="154"/>
        <v/>
      </c>
      <c r="W823" s="182" t="str">
        <f t="shared" si="155"/>
        <v/>
      </c>
    </row>
    <row r="824" spans="1:23" x14ac:dyDescent="0.2">
      <c r="A824" s="181"/>
      <c r="B824" s="181"/>
      <c r="C824" s="181"/>
      <c r="D824" s="181"/>
      <c r="E824" s="181"/>
      <c r="F824" s="181"/>
      <c r="G824" s="181"/>
      <c r="K824" s="182">
        <v>823</v>
      </c>
      <c r="L824" s="182" t="str">
        <f t="shared" si="144"/>
        <v/>
      </c>
      <c r="M824" s="182" t="str">
        <f t="shared" si="145"/>
        <v/>
      </c>
      <c r="N824" s="182" t="str">
        <f t="shared" si="146"/>
        <v/>
      </c>
      <c r="O824" s="182" t="str">
        <f t="shared" si="147"/>
        <v/>
      </c>
      <c r="P824" s="182" t="str">
        <f t="shared" si="148"/>
        <v/>
      </c>
      <c r="Q824" s="182" t="str">
        <f t="shared" si="149"/>
        <v/>
      </c>
      <c r="R824" s="182" t="str">
        <f t="shared" si="150"/>
        <v/>
      </c>
      <c r="S824" s="182" t="str">
        <f t="shared" si="151"/>
        <v/>
      </c>
      <c r="T824" s="182" t="str">
        <f t="shared" si="152"/>
        <v/>
      </c>
      <c r="U824" s="182" t="str">
        <f t="shared" si="153"/>
        <v/>
      </c>
      <c r="V824" s="182" t="str">
        <f t="shared" si="154"/>
        <v/>
      </c>
      <c r="W824" s="182" t="str">
        <f t="shared" si="155"/>
        <v/>
      </c>
    </row>
    <row r="825" spans="1:23" x14ac:dyDescent="0.2">
      <c r="A825" s="181"/>
      <c r="B825" s="181"/>
      <c r="C825" s="181"/>
      <c r="D825" s="181"/>
      <c r="E825" s="181"/>
      <c r="F825" s="181"/>
      <c r="G825" s="181"/>
      <c r="K825" s="182">
        <v>824</v>
      </c>
      <c r="L825" s="182" t="str">
        <f t="shared" si="144"/>
        <v/>
      </c>
      <c r="M825" s="182" t="str">
        <f t="shared" si="145"/>
        <v/>
      </c>
      <c r="N825" s="182" t="str">
        <f t="shared" si="146"/>
        <v/>
      </c>
      <c r="O825" s="182" t="str">
        <f t="shared" si="147"/>
        <v/>
      </c>
      <c r="P825" s="182" t="str">
        <f t="shared" si="148"/>
        <v/>
      </c>
      <c r="Q825" s="182" t="str">
        <f t="shared" si="149"/>
        <v/>
      </c>
      <c r="R825" s="182" t="str">
        <f t="shared" si="150"/>
        <v/>
      </c>
      <c r="S825" s="182" t="str">
        <f t="shared" si="151"/>
        <v/>
      </c>
      <c r="T825" s="182" t="str">
        <f t="shared" si="152"/>
        <v/>
      </c>
      <c r="U825" s="182" t="str">
        <f t="shared" si="153"/>
        <v/>
      </c>
      <c r="V825" s="182" t="str">
        <f t="shared" si="154"/>
        <v/>
      </c>
      <c r="W825" s="182" t="str">
        <f t="shared" si="155"/>
        <v/>
      </c>
    </row>
    <row r="826" spans="1:23" x14ac:dyDescent="0.2">
      <c r="A826" s="181"/>
      <c r="B826" s="181"/>
      <c r="C826" s="181"/>
      <c r="D826" s="181"/>
      <c r="E826" s="181"/>
      <c r="F826" s="181"/>
      <c r="G826" s="181"/>
      <c r="K826" s="182">
        <v>825</v>
      </c>
      <c r="L826" s="182" t="str">
        <f t="shared" si="144"/>
        <v/>
      </c>
      <c r="M826" s="182" t="str">
        <f t="shared" si="145"/>
        <v/>
      </c>
      <c r="N826" s="182" t="str">
        <f t="shared" si="146"/>
        <v/>
      </c>
      <c r="O826" s="182" t="str">
        <f t="shared" si="147"/>
        <v/>
      </c>
      <c r="P826" s="182" t="str">
        <f t="shared" si="148"/>
        <v/>
      </c>
      <c r="Q826" s="182" t="str">
        <f t="shared" si="149"/>
        <v/>
      </c>
      <c r="R826" s="182" t="str">
        <f t="shared" si="150"/>
        <v/>
      </c>
      <c r="S826" s="182" t="str">
        <f t="shared" si="151"/>
        <v/>
      </c>
      <c r="T826" s="182" t="str">
        <f t="shared" si="152"/>
        <v/>
      </c>
      <c r="U826" s="182" t="str">
        <f t="shared" si="153"/>
        <v/>
      </c>
      <c r="V826" s="182" t="str">
        <f t="shared" si="154"/>
        <v/>
      </c>
      <c r="W826" s="182" t="str">
        <f t="shared" si="155"/>
        <v/>
      </c>
    </row>
    <row r="827" spans="1:23" x14ac:dyDescent="0.2">
      <c r="A827" s="181"/>
      <c r="B827" s="181"/>
      <c r="C827" s="181"/>
      <c r="D827" s="181"/>
      <c r="E827" s="181"/>
      <c r="F827" s="181"/>
      <c r="G827" s="181"/>
      <c r="K827" s="182">
        <v>826</v>
      </c>
      <c r="L827" s="182" t="str">
        <f t="shared" si="144"/>
        <v/>
      </c>
      <c r="M827" s="182" t="str">
        <f t="shared" si="145"/>
        <v/>
      </c>
      <c r="N827" s="182" t="str">
        <f t="shared" si="146"/>
        <v/>
      </c>
      <c r="O827" s="182" t="str">
        <f t="shared" si="147"/>
        <v/>
      </c>
      <c r="P827" s="182" t="str">
        <f t="shared" si="148"/>
        <v/>
      </c>
      <c r="Q827" s="182" t="str">
        <f t="shared" si="149"/>
        <v/>
      </c>
      <c r="R827" s="182" t="str">
        <f t="shared" si="150"/>
        <v/>
      </c>
      <c r="S827" s="182" t="str">
        <f t="shared" si="151"/>
        <v/>
      </c>
      <c r="T827" s="182" t="str">
        <f t="shared" si="152"/>
        <v/>
      </c>
      <c r="U827" s="182" t="str">
        <f t="shared" si="153"/>
        <v/>
      </c>
      <c r="V827" s="182" t="str">
        <f t="shared" si="154"/>
        <v/>
      </c>
      <c r="W827" s="182" t="str">
        <f t="shared" si="155"/>
        <v/>
      </c>
    </row>
    <row r="828" spans="1:23" x14ac:dyDescent="0.2">
      <c r="A828" s="181"/>
      <c r="B828" s="181"/>
      <c r="C828" s="181"/>
      <c r="D828" s="181"/>
      <c r="E828" s="181"/>
      <c r="F828" s="181"/>
      <c r="G828" s="181"/>
      <c r="K828" s="182">
        <v>827</v>
      </c>
      <c r="L828" s="182" t="str">
        <f t="shared" si="144"/>
        <v/>
      </c>
      <c r="M828" s="182" t="str">
        <f t="shared" si="145"/>
        <v/>
      </c>
      <c r="N828" s="182" t="str">
        <f t="shared" si="146"/>
        <v/>
      </c>
      <c r="O828" s="182" t="str">
        <f t="shared" si="147"/>
        <v/>
      </c>
      <c r="P828" s="182" t="str">
        <f t="shared" si="148"/>
        <v/>
      </c>
      <c r="Q828" s="182" t="str">
        <f t="shared" si="149"/>
        <v/>
      </c>
      <c r="R828" s="182" t="str">
        <f t="shared" si="150"/>
        <v/>
      </c>
      <c r="S828" s="182" t="str">
        <f t="shared" si="151"/>
        <v/>
      </c>
      <c r="T828" s="182" t="str">
        <f t="shared" si="152"/>
        <v/>
      </c>
      <c r="U828" s="182" t="str">
        <f t="shared" si="153"/>
        <v/>
      </c>
      <c r="V828" s="182" t="str">
        <f t="shared" si="154"/>
        <v/>
      </c>
      <c r="W828" s="182" t="str">
        <f t="shared" si="155"/>
        <v/>
      </c>
    </row>
    <row r="829" spans="1:23" x14ac:dyDescent="0.2">
      <c r="A829" s="181"/>
      <c r="B829" s="181"/>
      <c r="C829" s="181"/>
      <c r="D829" s="181"/>
      <c r="E829" s="181"/>
      <c r="F829" s="181"/>
      <c r="G829" s="181"/>
      <c r="K829" s="182">
        <v>828</v>
      </c>
      <c r="L829" s="182" t="str">
        <f t="shared" si="144"/>
        <v/>
      </c>
      <c r="M829" s="182" t="str">
        <f t="shared" si="145"/>
        <v/>
      </c>
      <c r="N829" s="182" t="str">
        <f t="shared" si="146"/>
        <v/>
      </c>
      <c r="O829" s="182" t="str">
        <f t="shared" si="147"/>
        <v/>
      </c>
      <c r="P829" s="182" t="str">
        <f t="shared" si="148"/>
        <v/>
      </c>
      <c r="Q829" s="182" t="str">
        <f t="shared" si="149"/>
        <v/>
      </c>
      <c r="R829" s="182" t="str">
        <f t="shared" si="150"/>
        <v/>
      </c>
      <c r="S829" s="182" t="str">
        <f t="shared" si="151"/>
        <v/>
      </c>
      <c r="T829" s="182" t="str">
        <f t="shared" si="152"/>
        <v/>
      </c>
      <c r="U829" s="182" t="str">
        <f t="shared" si="153"/>
        <v/>
      </c>
      <c r="V829" s="182" t="str">
        <f t="shared" si="154"/>
        <v/>
      </c>
      <c r="W829" s="182" t="str">
        <f t="shared" si="155"/>
        <v/>
      </c>
    </row>
    <row r="830" spans="1:23" x14ac:dyDescent="0.2">
      <c r="A830" s="181"/>
      <c r="B830" s="181"/>
      <c r="C830" s="181"/>
      <c r="D830" s="181"/>
      <c r="E830" s="181"/>
      <c r="F830" s="181"/>
      <c r="G830" s="181"/>
      <c r="K830" s="182">
        <v>829</v>
      </c>
      <c r="L830" s="182" t="str">
        <f t="shared" si="144"/>
        <v/>
      </c>
      <c r="M830" s="182" t="str">
        <f t="shared" si="145"/>
        <v/>
      </c>
      <c r="N830" s="182" t="str">
        <f t="shared" si="146"/>
        <v/>
      </c>
      <c r="O830" s="182" t="str">
        <f t="shared" si="147"/>
        <v/>
      </c>
      <c r="P830" s="182" t="str">
        <f t="shared" si="148"/>
        <v/>
      </c>
      <c r="Q830" s="182" t="str">
        <f t="shared" si="149"/>
        <v/>
      </c>
      <c r="R830" s="182" t="str">
        <f t="shared" si="150"/>
        <v/>
      </c>
      <c r="S830" s="182" t="str">
        <f t="shared" si="151"/>
        <v/>
      </c>
      <c r="T830" s="182" t="str">
        <f t="shared" si="152"/>
        <v/>
      </c>
      <c r="U830" s="182" t="str">
        <f t="shared" si="153"/>
        <v/>
      </c>
      <c r="V830" s="182" t="str">
        <f t="shared" si="154"/>
        <v/>
      </c>
      <c r="W830" s="182" t="str">
        <f t="shared" si="155"/>
        <v/>
      </c>
    </row>
    <row r="831" spans="1:23" x14ac:dyDescent="0.2">
      <c r="A831" s="181"/>
      <c r="B831" s="181"/>
      <c r="C831" s="181"/>
      <c r="D831" s="181"/>
      <c r="E831" s="181"/>
      <c r="F831" s="181"/>
      <c r="G831" s="181"/>
      <c r="K831" s="182">
        <v>830</v>
      </c>
      <c r="L831" s="182" t="str">
        <f t="shared" si="144"/>
        <v/>
      </c>
      <c r="M831" s="182" t="str">
        <f t="shared" si="145"/>
        <v/>
      </c>
      <c r="N831" s="182" t="str">
        <f t="shared" si="146"/>
        <v/>
      </c>
      <c r="O831" s="182" t="str">
        <f t="shared" si="147"/>
        <v/>
      </c>
      <c r="P831" s="182" t="str">
        <f t="shared" si="148"/>
        <v/>
      </c>
      <c r="Q831" s="182" t="str">
        <f t="shared" si="149"/>
        <v/>
      </c>
      <c r="R831" s="182" t="str">
        <f t="shared" si="150"/>
        <v/>
      </c>
      <c r="S831" s="182" t="str">
        <f t="shared" si="151"/>
        <v/>
      </c>
      <c r="T831" s="182" t="str">
        <f t="shared" si="152"/>
        <v/>
      </c>
      <c r="U831" s="182" t="str">
        <f t="shared" si="153"/>
        <v/>
      </c>
      <c r="V831" s="182" t="str">
        <f t="shared" si="154"/>
        <v/>
      </c>
      <c r="W831" s="182" t="str">
        <f t="shared" si="155"/>
        <v/>
      </c>
    </row>
    <row r="832" spans="1:23" x14ac:dyDescent="0.2">
      <c r="A832" s="181"/>
      <c r="B832" s="181"/>
      <c r="C832" s="181"/>
      <c r="D832" s="181"/>
      <c r="E832" s="181"/>
      <c r="F832" s="181"/>
      <c r="G832" s="181"/>
      <c r="K832" s="182">
        <v>831</v>
      </c>
      <c r="L832" s="182" t="str">
        <f t="shared" si="144"/>
        <v/>
      </c>
      <c r="M832" s="182" t="str">
        <f t="shared" si="145"/>
        <v/>
      </c>
      <c r="N832" s="182" t="str">
        <f t="shared" si="146"/>
        <v/>
      </c>
      <c r="O832" s="182" t="str">
        <f t="shared" si="147"/>
        <v/>
      </c>
      <c r="P832" s="182" t="str">
        <f t="shared" si="148"/>
        <v/>
      </c>
      <c r="Q832" s="182" t="str">
        <f t="shared" si="149"/>
        <v/>
      </c>
      <c r="R832" s="182" t="str">
        <f t="shared" si="150"/>
        <v/>
      </c>
      <c r="S832" s="182" t="str">
        <f t="shared" si="151"/>
        <v/>
      </c>
      <c r="T832" s="182" t="str">
        <f t="shared" si="152"/>
        <v/>
      </c>
      <c r="U832" s="182" t="str">
        <f t="shared" si="153"/>
        <v/>
      </c>
      <c r="V832" s="182" t="str">
        <f t="shared" si="154"/>
        <v/>
      </c>
      <c r="W832" s="182" t="str">
        <f t="shared" si="155"/>
        <v/>
      </c>
    </row>
    <row r="833" spans="1:23" x14ac:dyDescent="0.2">
      <c r="A833" s="181"/>
      <c r="B833" s="181"/>
      <c r="C833" s="181"/>
      <c r="D833" s="181"/>
      <c r="E833" s="181"/>
      <c r="F833" s="181"/>
      <c r="G833" s="181"/>
      <c r="K833" s="182">
        <v>832</v>
      </c>
      <c r="L833" s="182" t="str">
        <f t="shared" si="144"/>
        <v/>
      </c>
      <c r="M833" s="182" t="str">
        <f t="shared" si="145"/>
        <v/>
      </c>
      <c r="N833" s="182" t="str">
        <f t="shared" si="146"/>
        <v/>
      </c>
      <c r="O833" s="182" t="str">
        <f t="shared" si="147"/>
        <v/>
      </c>
      <c r="P833" s="182" t="str">
        <f t="shared" si="148"/>
        <v/>
      </c>
      <c r="Q833" s="182" t="str">
        <f t="shared" si="149"/>
        <v/>
      </c>
      <c r="R833" s="182" t="str">
        <f t="shared" si="150"/>
        <v/>
      </c>
      <c r="S833" s="182" t="str">
        <f t="shared" si="151"/>
        <v/>
      </c>
      <c r="T833" s="182" t="str">
        <f t="shared" si="152"/>
        <v/>
      </c>
      <c r="U833" s="182" t="str">
        <f t="shared" si="153"/>
        <v/>
      </c>
      <c r="V833" s="182" t="str">
        <f t="shared" si="154"/>
        <v/>
      </c>
      <c r="W833" s="182" t="str">
        <f t="shared" si="155"/>
        <v/>
      </c>
    </row>
    <row r="834" spans="1:23" x14ac:dyDescent="0.2">
      <c r="A834" s="181"/>
      <c r="B834" s="181"/>
      <c r="C834" s="181"/>
      <c r="D834" s="181"/>
      <c r="E834" s="181"/>
      <c r="F834" s="181"/>
      <c r="G834" s="181"/>
      <c r="K834" s="182">
        <v>833</v>
      </c>
      <c r="L834" s="182" t="str">
        <f t="shared" si="144"/>
        <v/>
      </c>
      <c r="M834" s="182" t="str">
        <f t="shared" si="145"/>
        <v/>
      </c>
      <c r="N834" s="182" t="str">
        <f t="shared" si="146"/>
        <v/>
      </c>
      <c r="O834" s="182" t="str">
        <f t="shared" si="147"/>
        <v/>
      </c>
      <c r="P834" s="182" t="str">
        <f t="shared" si="148"/>
        <v/>
      </c>
      <c r="Q834" s="182" t="str">
        <f t="shared" si="149"/>
        <v/>
      </c>
      <c r="R834" s="182" t="str">
        <f t="shared" si="150"/>
        <v/>
      </c>
      <c r="S834" s="182" t="str">
        <f t="shared" si="151"/>
        <v/>
      </c>
      <c r="T834" s="182" t="str">
        <f t="shared" si="152"/>
        <v/>
      </c>
      <c r="U834" s="182" t="str">
        <f t="shared" si="153"/>
        <v/>
      </c>
      <c r="V834" s="182" t="str">
        <f t="shared" si="154"/>
        <v/>
      </c>
      <c r="W834" s="182" t="str">
        <f t="shared" si="155"/>
        <v/>
      </c>
    </row>
    <row r="835" spans="1:23" x14ac:dyDescent="0.2">
      <c r="A835" s="181"/>
      <c r="B835" s="181"/>
      <c r="C835" s="181"/>
      <c r="D835" s="181"/>
      <c r="E835" s="181"/>
      <c r="F835" s="181"/>
      <c r="G835" s="181"/>
      <c r="K835" s="182">
        <v>834</v>
      </c>
      <c r="L835" s="182" t="str">
        <f t="shared" ref="L835:L865" si="156">IF($B$13&gt;=K835,K835,"")</f>
        <v/>
      </c>
      <c r="M835" s="182" t="str">
        <f t="shared" ref="M835:M865" si="157">IF(L835="","",IF(L835&lt;=$E$15,VLOOKUP($E$14,$I$1:$J$4,2,FALSE),VLOOKUP($F$14,$I$1:$J$4,2,FALSE)))</f>
        <v/>
      </c>
      <c r="N835" s="182" t="str">
        <f t="shared" ref="N835:N865" si="158">IF($B$20&gt;=K835,K835,"")</f>
        <v/>
      </c>
      <c r="O835" s="182" t="str">
        <f t="shared" ref="O835:O865" si="159">IF(N835="","",IF(N835&lt;=$E$22,VLOOKUP($E$21,$I$1:$J$4,2,FALSE),VLOOKUP($F$21,$I$1:$J$4,2,FALSE)))</f>
        <v/>
      </c>
      <c r="P835" s="182" t="str">
        <f t="shared" ref="P835:P865" si="160">IF($B$27&gt;=K835,K835,"")</f>
        <v/>
      </c>
      <c r="Q835" s="182" t="str">
        <f t="shared" ref="Q835:Q865" si="161">IF(P835="","",IF(P835&lt;=$E$29,VLOOKUP($E$28,$I$1:$J$4,2,FALSE),VLOOKUP($F$28,$I$1:$J$4,2,FALSE)))</f>
        <v/>
      </c>
      <c r="R835" s="182" t="str">
        <f t="shared" ref="R835:R865" si="162">IF($B$34&gt;=K835,K835,"")</f>
        <v/>
      </c>
      <c r="S835" s="182" t="str">
        <f t="shared" ref="S835:S865" si="163">IF(R835="","",IF(R835&lt;=$E$36,VLOOKUP($E$35,$I$1:$J$4,2,FALSE),VLOOKUP($F$35,$I$1:$J$4,2,FALSE)))</f>
        <v/>
      </c>
      <c r="T835" s="182" t="str">
        <f t="shared" ref="T835:T865" si="164">IF($B$41&gt;=K835,K835,"")</f>
        <v/>
      </c>
      <c r="U835" s="182" t="str">
        <f t="shared" ref="U835:U865" si="165">IF(T835="","",IF(T835&lt;=$E$43,VLOOKUP($E$42,$I$1:$J$4,2,FALSE),VLOOKUP($F$42,$I$1:$J$4,2,FALSE)))</f>
        <v/>
      </c>
      <c r="V835" s="182" t="str">
        <f t="shared" ref="V835:V865" si="166">IF($B$48&gt;=K835,K835,"")</f>
        <v/>
      </c>
      <c r="W835" s="182" t="str">
        <f t="shared" ref="W835:W865" si="167">IF(V835="","",IF(V835&lt;=$E$50,VLOOKUP($E$49,$I$1:$J$4,2,FALSE),VLOOKUP($F$49,$I$1:$J$4,2,FALSE)))</f>
        <v/>
      </c>
    </row>
    <row r="836" spans="1:23" x14ac:dyDescent="0.2">
      <c r="A836" s="181"/>
      <c r="B836" s="181"/>
      <c r="C836" s="181"/>
      <c r="D836" s="181"/>
      <c r="E836" s="181"/>
      <c r="F836" s="181"/>
      <c r="G836" s="181"/>
      <c r="K836" s="182">
        <v>835</v>
      </c>
      <c r="L836" s="182" t="str">
        <f t="shared" si="156"/>
        <v/>
      </c>
      <c r="M836" s="182" t="str">
        <f t="shared" si="157"/>
        <v/>
      </c>
      <c r="N836" s="182" t="str">
        <f t="shared" si="158"/>
        <v/>
      </c>
      <c r="O836" s="182" t="str">
        <f t="shared" si="159"/>
        <v/>
      </c>
      <c r="P836" s="182" t="str">
        <f t="shared" si="160"/>
        <v/>
      </c>
      <c r="Q836" s="182" t="str">
        <f t="shared" si="161"/>
        <v/>
      </c>
      <c r="R836" s="182" t="str">
        <f t="shared" si="162"/>
        <v/>
      </c>
      <c r="S836" s="182" t="str">
        <f t="shared" si="163"/>
        <v/>
      </c>
      <c r="T836" s="182" t="str">
        <f t="shared" si="164"/>
        <v/>
      </c>
      <c r="U836" s="182" t="str">
        <f t="shared" si="165"/>
        <v/>
      </c>
      <c r="V836" s="182" t="str">
        <f t="shared" si="166"/>
        <v/>
      </c>
      <c r="W836" s="182" t="str">
        <f t="shared" si="167"/>
        <v/>
      </c>
    </row>
    <row r="837" spans="1:23" x14ac:dyDescent="0.2">
      <c r="A837" s="181"/>
      <c r="B837" s="181"/>
      <c r="C837" s="181"/>
      <c r="D837" s="181"/>
      <c r="E837" s="181"/>
      <c r="F837" s="181"/>
      <c r="G837" s="181"/>
      <c r="K837" s="182">
        <v>836</v>
      </c>
      <c r="L837" s="182" t="str">
        <f t="shared" si="156"/>
        <v/>
      </c>
      <c r="M837" s="182" t="str">
        <f t="shared" si="157"/>
        <v/>
      </c>
      <c r="N837" s="182" t="str">
        <f t="shared" si="158"/>
        <v/>
      </c>
      <c r="O837" s="182" t="str">
        <f t="shared" si="159"/>
        <v/>
      </c>
      <c r="P837" s="182" t="str">
        <f t="shared" si="160"/>
        <v/>
      </c>
      <c r="Q837" s="182" t="str">
        <f t="shared" si="161"/>
        <v/>
      </c>
      <c r="R837" s="182" t="str">
        <f t="shared" si="162"/>
        <v/>
      </c>
      <c r="S837" s="182" t="str">
        <f t="shared" si="163"/>
        <v/>
      </c>
      <c r="T837" s="182" t="str">
        <f t="shared" si="164"/>
        <v/>
      </c>
      <c r="U837" s="182" t="str">
        <f t="shared" si="165"/>
        <v/>
      </c>
      <c r="V837" s="182" t="str">
        <f t="shared" si="166"/>
        <v/>
      </c>
      <c r="W837" s="182" t="str">
        <f t="shared" si="167"/>
        <v/>
      </c>
    </row>
    <row r="838" spans="1:23" x14ac:dyDescent="0.2">
      <c r="A838" s="181"/>
      <c r="B838" s="181"/>
      <c r="C838" s="181"/>
      <c r="D838" s="181"/>
      <c r="E838" s="181"/>
      <c r="F838" s="181"/>
      <c r="G838" s="181"/>
      <c r="K838" s="182">
        <v>837</v>
      </c>
      <c r="L838" s="182" t="str">
        <f t="shared" si="156"/>
        <v/>
      </c>
      <c r="M838" s="182" t="str">
        <f t="shared" si="157"/>
        <v/>
      </c>
      <c r="N838" s="182" t="str">
        <f t="shared" si="158"/>
        <v/>
      </c>
      <c r="O838" s="182" t="str">
        <f t="shared" si="159"/>
        <v/>
      </c>
      <c r="P838" s="182" t="str">
        <f t="shared" si="160"/>
        <v/>
      </c>
      <c r="Q838" s="182" t="str">
        <f t="shared" si="161"/>
        <v/>
      </c>
      <c r="R838" s="182" t="str">
        <f t="shared" si="162"/>
        <v/>
      </c>
      <c r="S838" s="182" t="str">
        <f t="shared" si="163"/>
        <v/>
      </c>
      <c r="T838" s="182" t="str">
        <f t="shared" si="164"/>
        <v/>
      </c>
      <c r="U838" s="182" t="str">
        <f t="shared" si="165"/>
        <v/>
      </c>
      <c r="V838" s="182" t="str">
        <f t="shared" si="166"/>
        <v/>
      </c>
      <c r="W838" s="182" t="str">
        <f t="shared" si="167"/>
        <v/>
      </c>
    </row>
    <row r="839" spans="1:23" x14ac:dyDescent="0.2">
      <c r="A839" s="181"/>
      <c r="B839" s="181"/>
      <c r="C839" s="181"/>
      <c r="D839" s="181"/>
      <c r="E839" s="181"/>
      <c r="F839" s="181"/>
      <c r="G839" s="181"/>
      <c r="K839" s="182">
        <v>838</v>
      </c>
      <c r="L839" s="182" t="str">
        <f t="shared" si="156"/>
        <v/>
      </c>
      <c r="M839" s="182" t="str">
        <f t="shared" si="157"/>
        <v/>
      </c>
      <c r="N839" s="182" t="str">
        <f t="shared" si="158"/>
        <v/>
      </c>
      <c r="O839" s="182" t="str">
        <f t="shared" si="159"/>
        <v/>
      </c>
      <c r="P839" s="182" t="str">
        <f t="shared" si="160"/>
        <v/>
      </c>
      <c r="Q839" s="182" t="str">
        <f t="shared" si="161"/>
        <v/>
      </c>
      <c r="R839" s="182" t="str">
        <f t="shared" si="162"/>
        <v/>
      </c>
      <c r="S839" s="182" t="str">
        <f t="shared" si="163"/>
        <v/>
      </c>
      <c r="T839" s="182" t="str">
        <f t="shared" si="164"/>
        <v/>
      </c>
      <c r="U839" s="182" t="str">
        <f t="shared" si="165"/>
        <v/>
      </c>
      <c r="V839" s="182" t="str">
        <f t="shared" si="166"/>
        <v/>
      </c>
      <c r="W839" s="182" t="str">
        <f t="shared" si="167"/>
        <v/>
      </c>
    </row>
    <row r="840" spans="1:23" x14ac:dyDescent="0.2">
      <c r="K840" s="182">
        <v>839</v>
      </c>
      <c r="L840" s="182" t="str">
        <f t="shared" si="156"/>
        <v/>
      </c>
      <c r="M840" s="182" t="str">
        <f t="shared" si="157"/>
        <v/>
      </c>
      <c r="N840" s="182" t="str">
        <f t="shared" si="158"/>
        <v/>
      </c>
      <c r="O840" s="182" t="str">
        <f t="shared" si="159"/>
        <v/>
      </c>
      <c r="P840" s="182" t="str">
        <f t="shared" si="160"/>
        <v/>
      </c>
      <c r="Q840" s="182" t="str">
        <f t="shared" si="161"/>
        <v/>
      </c>
      <c r="R840" s="182" t="str">
        <f t="shared" si="162"/>
        <v/>
      </c>
      <c r="S840" s="182" t="str">
        <f t="shared" si="163"/>
        <v/>
      </c>
      <c r="T840" s="182" t="str">
        <f t="shared" si="164"/>
        <v/>
      </c>
      <c r="U840" s="182" t="str">
        <f t="shared" si="165"/>
        <v/>
      </c>
      <c r="V840" s="182" t="str">
        <f t="shared" si="166"/>
        <v/>
      </c>
      <c r="W840" s="182" t="str">
        <f t="shared" si="167"/>
        <v/>
      </c>
    </row>
    <row r="841" spans="1:23" x14ac:dyDescent="0.2">
      <c r="K841" s="182">
        <v>840</v>
      </c>
      <c r="L841" s="182" t="str">
        <f t="shared" si="156"/>
        <v/>
      </c>
      <c r="M841" s="182" t="str">
        <f t="shared" si="157"/>
        <v/>
      </c>
      <c r="N841" s="182" t="str">
        <f t="shared" si="158"/>
        <v/>
      </c>
      <c r="O841" s="182" t="str">
        <f t="shared" si="159"/>
        <v/>
      </c>
      <c r="P841" s="182" t="str">
        <f t="shared" si="160"/>
        <v/>
      </c>
      <c r="Q841" s="182" t="str">
        <f t="shared" si="161"/>
        <v/>
      </c>
      <c r="R841" s="182" t="str">
        <f t="shared" si="162"/>
        <v/>
      </c>
      <c r="S841" s="182" t="str">
        <f t="shared" si="163"/>
        <v/>
      </c>
      <c r="T841" s="182" t="str">
        <f t="shared" si="164"/>
        <v/>
      </c>
      <c r="U841" s="182" t="str">
        <f t="shared" si="165"/>
        <v/>
      </c>
      <c r="V841" s="182" t="str">
        <f t="shared" si="166"/>
        <v/>
      </c>
      <c r="W841" s="182" t="str">
        <f t="shared" si="167"/>
        <v/>
      </c>
    </row>
    <row r="842" spans="1:23" x14ac:dyDescent="0.2">
      <c r="K842" s="182">
        <v>841</v>
      </c>
      <c r="L842" s="182" t="str">
        <f t="shared" si="156"/>
        <v/>
      </c>
      <c r="M842" s="182" t="str">
        <f t="shared" si="157"/>
        <v/>
      </c>
      <c r="N842" s="182" t="str">
        <f t="shared" si="158"/>
        <v/>
      </c>
      <c r="O842" s="182" t="str">
        <f t="shared" si="159"/>
        <v/>
      </c>
      <c r="P842" s="182" t="str">
        <f t="shared" si="160"/>
        <v/>
      </c>
      <c r="Q842" s="182" t="str">
        <f t="shared" si="161"/>
        <v/>
      </c>
      <c r="R842" s="182" t="str">
        <f t="shared" si="162"/>
        <v/>
      </c>
      <c r="S842" s="182" t="str">
        <f t="shared" si="163"/>
        <v/>
      </c>
      <c r="T842" s="182" t="str">
        <f t="shared" si="164"/>
        <v/>
      </c>
      <c r="U842" s="182" t="str">
        <f t="shared" si="165"/>
        <v/>
      </c>
      <c r="V842" s="182" t="str">
        <f t="shared" si="166"/>
        <v/>
      </c>
      <c r="W842" s="182" t="str">
        <f t="shared" si="167"/>
        <v/>
      </c>
    </row>
    <row r="843" spans="1:23" x14ac:dyDescent="0.2">
      <c r="K843" s="182">
        <v>842</v>
      </c>
      <c r="L843" s="182" t="str">
        <f t="shared" si="156"/>
        <v/>
      </c>
      <c r="M843" s="182" t="str">
        <f t="shared" si="157"/>
        <v/>
      </c>
      <c r="N843" s="182" t="str">
        <f t="shared" si="158"/>
        <v/>
      </c>
      <c r="O843" s="182" t="str">
        <f t="shared" si="159"/>
        <v/>
      </c>
      <c r="P843" s="182" t="str">
        <f t="shared" si="160"/>
        <v/>
      </c>
      <c r="Q843" s="182" t="str">
        <f t="shared" si="161"/>
        <v/>
      </c>
      <c r="R843" s="182" t="str">
        <f t="shared" si="162"/>
        <v/>
      </c>
      <c r="S843" s="182" t="str">
        <f t="shared" si="163"/>
        <v/>
      </c>
      <c r="T843" s="182" t="str">
        <f t="shared" si="164"/>
        <v/>
      </c>
      <c r="U843" s="182" t="str">
        <f t="shared" si="165"/>
        <v/>
      </c>
      <c r="V843" s="182" t="str">
        <f t="shared" si="166"/>
        <v/>
      </c>
      <c r="W843" s="182" t="str">
        <f t="shared" si="167"/>
        <v/>
      </c>
    </row>
    <row r="844" spans="1:23" x14ac:dyDescent="0.2">
      <c r="K844" s="182">
        <v>843</v>
      </c>
      <c r="L844" s="182" t="str">
        <f t="shared" si="156"/>
        <v/>
      </c>
      <c r="M844" s="182" t="str">
        <f t="shared" si="157"/>
        <v/>
      </c>
      <c r="N844" s="182" t="str">
        <f t="shared" si="158"/>
        <v/>
      </c>
      <c r="O844" s="182" t="str">
        <f t="shared" si="159"/>
        <v/>
      </c>
      <c r="P844" s="182" t="str">
        <f t="shared" si="160"/>
        <v/>
      </c>
      <c r="Q844" s="182" t="str">
        <f t="shared" si="161"/>
        <v/>
      </c>
      <c r="R844" s="182" t="str">
        <f t="shared" si="162"/>
        <v/>
      </c>
      <c r="S844" s="182" t="str">
        <f t="shared" si="163"/>
        <v/>
      </c>
      <c r="T844" s="182" t="str">
        <f t="shared" si="164"/>
        <v/>
      </c>
      <c r="U844" s="182" t="str">
        <f t="shared" si="165"/>
        <v/>
      </c>
      <c r="V844" s="182" t="str">
        <f t="shared" si="166"/>
        <v/>
      </c>
      <c r="W844" s="182" t="str">
        <f t="shared" si="167"/>
        <v/>
      </c>
    </row>
    <row r="845" spans="1:23" x14ac:dyDescent="0.2">
      <c r="K845" s="182">
        <v>844</v>
      </c>
      <c r="L845" s="182" t="str">
        <f t="shared" si="156"/>
        <v/>
      </c>
      <c r="M845" s="182" t="str">
        <f t="shared" si="157"/>
        <v/>
      </c>
      <c r="N845" s="182" t="str">
        <f t="shared" si="158"/>
        <v/>
      </c>
      <c r="O845" s="182" t="str">
        <f t="shared" si="159"/>
        <v/>
      </c>
      <c r="P845" s="182" t="str">
        <f t="shared" si="160"/>
        <v/>
      </c>
      <c r="Q845" s="182" t="str">
        <f t="shared" si="161"/>
        <v/>
      </c>
      <c r="R845" s="182" t="str">
        <f t="shared" si="162"/>
        <v/>
      </c>
      <c r="S845" s="182" t="str">
        <f t="shared" si="163"/>
        <v/>
      </c>
      <c r="T845" s="182" t="str">
        <f t="shared" si="164"/>
        <v/>
      </c>
      <c r="U845" s="182" t="str">
        <f t="shared" si="165"/>
        <v/>
      </c>
      <c r="V845" s="182" t="str">
        <f t="shared" si="166"/>
        <v/>
      </c>
      <c r="W845" s="182" t="str">
        <f t="shared" si="167"/>
        <v/>
      </c>
    </row>
    <row r="846" spans="1:23" x14ac:dyDescent="0.2">
      <c r="K846" s="182">
        <v>845</v>
      </c>
      <c r="L846" s="182" t="str">
        <f t="shared" si="156"/>
        <v/>
      </c>
      <c r="M846" s="182" t="str">
        <f t="shared" si="157"/>
        <v/>
      </c>
      <c r="N846" s="182" t="str">
        <f t="shared" si="158"/>
        <v/>
      </c>
      <c r="O846" s="182" t="str">
        <f t="shared" si="159"/>
        <v/>
      </c>
      <c r="P846" s="182" t="str">
        <f t="shared" si="160"/>
        <v/>
      </c>
      <c r="Q846" s="182" t="str">
        <f t="shared" si="161"/>
        <v/>
      </c>
      <c r="R846" s="182" t="str">
        <f t="shared" si="162"/>
        <v/>
      </c>
      <c r="S846" s="182" t="str">
        <f t="shared" si="163"/>
        <v/>
      </c>
      <c r="T846" s="182" t="str">
        <f t="shared" si="164"/>
        <v/>
      </c>
      <c r="U846" s="182" t="str">
        <f t="shared" si="165"/>
        <v/>
      </c>
      <c r="V846" s="182" t="str">
        <f t="shared" si="166"/>
        <v/>
      </c>
      <c r="W846" s="182" t="str">
        <f t="shared" si="167"/>
        <v/>
      </c>
    </row>
    <row r="847" spans="1:23" x14ac:dyDescent="0.2">
      <c r="K847" s="182">
        <v>846</v>
      </c>
      <c r="L847" s="182" t="str">
        <f t="shared" si="156"/>
        <v/>
      </c>
      <c r="M847" s="182" t="str">
        <f t="shared" si="157"/>
        <v/>
      </c>
      <c r="N847" s="182" t="str">
        <f t="shared" si="158"/>
        <v/>
      </c>
      <c r="O847" s="182" t="str">
        <f t="shared" si="159"/>
        <v/>
      </c>
      <c r="P847" s="182" t="str">
        <f t="shared" si="160"/>
        <v/>
      </c>
      <c r="Q847" s="182" t="str">
        <f t="shared" si="161"/>
        <v/>
      </c>
      <c r="R847" s="182" t="str">
        <f t="shared" si="162"/>
        <v/>
      </c>
      <c r="S847" s="182" t="str">
        <f t="shared" si="163"/>
        <v/>
      </c>
      <c r="T847" s="182" t="str">
        <f t="shared" si="164"/>
        <v/>
      </c>
      <c r="U847" s="182" t="str">
        <f t="shared" si="165"/>
        <v/>
      </c>
      <c r="V847" s="182" t="str">
        <f t="shared" si="166"/>
        <v/>
      </c>
      <c r="W847" s="182" t="str">
        <f t="shared" si="167"/>
        <v/>
      </c>
    </row>
    <row r="848" spans="1:23" x14ac:dyDescent="0.2">
      <c r="K848" s="182">
        <v>847</v>
      </c>
      <c r="L848" s="182" t="str">
        <f t="shared" si="156"/>
        <v/>
      </c>
      <c r="M848" s="182" t="str">
        <f t="shared" si="157"/>
        <v/>
      </c>
      <c r="N848" s="182" t="str">
        <f t="shared" si="158"/>
        <v/>
      </c>
      <c r="O848" s="182" t="str">
        <f t="shared" si="159"/>
        <v/>
      </c>
      <c r="P848" s="182" t="str">
        <f t="shared" si="160"/>
        <v/>
      </c>
      <c r="Q848" s="182" t="str">
        <f t="shared" si="161"/>
        <v/>
      </c>
      <c r="R848" s="182" t="str">
        <f t="shared" si="162"/>
        <v/>
      </c>
      <c r="S848" s="182" t="str">
        <f t="shared" si="163"/>
        <v/>
      </c>
      <c r="T848" s="182" t="str">
        <f t="shared" si="164"/>
        <v/>
      </c>
      <c r="U848" s="182" t="str">
        <f t="shared" si="165"/>
        <v/>
      </c>
      <c r="V848" s="182" t="str">
        <f t="shared" si="166"/>
        <v/>
      </c>
      <c r="W848" s="182" t="str">
        <f t="shared" si="167"/>
        <v/>
      </c>
    </row>
    <row r="849" spans="11:23" x14ac:dyDescent="0.2">
      <c r="K849" s="182">
        <v>848</v>
      </c>
      <c r="L849" s="182" t="str">
        <f t="shared" si="156"/>
        <v/>
      </c>
      <c r="M849" s="182" t="str">
        <f t="shared" si="157"/>
        <v/>
      </c>
      <c r="N849" s="182" t="str">
        <f t="shared" si="158"/>
        <v/>
      </c>
      <c r="O849" s="182" t="str">
        <f t="shared" si="159"/>
        <v/>
      </c>
      <c r="P849" s="182" t="str">
        <f t="shared" si="160"/>
        <v/>
      </c>
      <c r="Q849" s="182" t="str">
        <f t="shared" si="161"/>
        <v/>
      </c>
      <c r="R849" s="182" t="str">
        <f t="shared" si="162"/>
        <v/>
      </c>
      <c r="S849" s="182" t="str">
        <f t="shared" si="163"/>
        <v/>
      </c>
      <c r="T849" s="182" t="str">
        <f t="shared" si="164"/>
        <v/>
      </c>
      <c r="U849" s="182" t="str">
        <f t="shared" si="165"/>
        <v/>
      </c>
      <c r="V849" s="182" t="str">
        <f t="shared" si="166"/>
        <v/>
      </c>
      <c r="W849" s="182" t="str">
        <f t="shared" si="167"/>
        <v/>
      </c>
    </row>
    <row r="850" spans="11:23" x14ac:dyDescent="0.2">
      <c r="K850" s="182">
        <v>849</v>
      </c>
      <c r="L850" s="182" t="str">
        <f t="shared" si="156"/>
        <v/>
      </c>
      <c r="M850" s="182" t="str">
        <f t="shared" si="157"/>
        <v/>
      </c>
      <c r="N850" s="182" t="str">
        <f t="shared" si="158"/>
        <v/>
      </c>
      <c r="O850" s="182" t="str">
        <f t="shared" si="159"/>
        <v/>
      </c>
      <c r="P850" s="182" t="str">
        <f t="shared" si="160"/>
        <v/>
      </c>
      <c r="Q850" s="182" t="str">
        <f t="shared" si="161"/>
        <v/>
      </c>
      <c r="R850" s="182" t="str">
        <f t="shared" si="162"/>
        <v/>
      </c>
      <c r="S850" s="182" t="str">
        <f t="shared" si="163"/>
        <v/>
      </c>
      <c r="T850" s="182" t="str">
        <f t="shared" si="164"/>
        <v/>
      </c>
      <c r="U850" s="182" t="str">
        <f t="shared" si="165"/>
        <v/>
      </c>
      <c r="V850" s="182" t="str">
        <f t="shared" si="166"/>
        <v/>
      </c>
      <c r="W850" s="182" t="str">
        <f t="shared" si="167"/>
        <v/>
      </c>
    </row>
    <row r="851" spans="11:23" x14ac:dyDescent="0.2">
      <c r="K851" s="182">
        <v>850</v>
      </c>
      <c r="L851" s="182" t="str">
        <f t="shared" si="156"/>
        <v/>
      </c>
      <c r="M851" s="182" t="str">
        <f t="shared" si="157"/>
        <v/>
      </c>
      <c r="N851" s="182" t="str">
        <f t="shared" si="158"/>
        <v/>
      </c>
      <c r="O851" s="182" t="str">
        <f t="shared" si="159"/>
        <v/>
      </c>
      <c r="P851" s="182" t="str">
        <f t="shared" si="160"/>
        <v/>
      </c>
      <c r="Q851" s="182" t="str">
        <f t="shared" si="161"/>
        <v/>
      </c>
      <c r="R851" s="182" t="str">
        <f t="shared" si="162"/>
        <v/>
      </c>
      <c r="S851" s="182" t="str">
        <f t="shared" si="163"/>
        <v/>
      </c>
      <c r="T851" s="182" t="str">
        <f t="shared" si="164"/>
        <v/>
      </c>
      <c r="U851" s="182" t="str">
        <f t="shared" si="165"/>
        <v/>
      </c>
      <c r="V851" s="182" t="str">
        <f t="shared" si="166"/>
        <v/>
      </c>
      <c r="W851" s="182" t="str">
        <f t="shared" si="167"/>
        <v/>
      </c>
    </row>
    <row r="852" spans="11:23" x14ac:dyDescent="0.2">
      <c r="K852" s="182">
        <v>851</v>
      </c>
      <c r="L852" s="182" t="str">
        <f t="shared" si="156"/>
        <v/>
      </c>
      <c r="M852" s="182" t="str">
        <f t="shared" si="157"/>
        <v/>
      </c>
      <c r="N852" s="182" t="str">
        <f t="shared" si="158"/>
        <v/>
      </c>
      <c r="O852" s="182" t="str">
        <f t="shared" si="159"/>
        <v/>
      </c>
      <c r="P852" s="182" t="str">
        <f t="shared" si="160"/>
        <v/>
      </c>
      <c r="Q852" s="182" t="str">
        <f t="shared" si="161"/>
        <v/>
      </c>
      <c r="R852" s="182" t="str">
        <f t="shared" si="162"/>
        <v/>
      </c>
      <c r="S852" s="182" t="str">
        <f t="shared" si="163"/>
        <v/>
      </c>
      <c r="T852" s="182" t="str">
        <f t="shared" si="164"/>
        <v/>
      </c>
      <c r="U852" s="182" t="str">
        <f t="shared" si="165"/>
        <v/>
      </c>
      <c r="V852" s="182" t="str">
        <f t="shared" si="166"/>
        <v/>
      </c>
      <c r="W852" s="182" t="str">
        <f t="shared" si="167"/>
        <v/>
      </c>
    </row>
    <row r="853" spans="11:23" x14ac:dyDescent="0.2">
      <c r="K853" s="182">
        <v>852</v>
      </c>
      <c r="L853" s="182" t="str">
        <f t="shared" si="156"/>
        <v/>
      </c>
      <c r="M853" s="182" t="str">
        <f t="shared" si="157"/>
        <v/>
      </c>
      <c r="N853" s="182" t="str">
        <f t="shared" si="158"/>
        <v/>
      </c>
      <c r="O853" s="182" t="str">
        <f t="shared" si="159"/>
        <v/>
      </c>
      <c r="P853" s="182" t="str">
        <f t="shared" si="160"/>
        <v/>
      </c>
      <c r="Q853" s="182" t="str">
        <f t="shared" si="161"/>
        <v/>
      </c>
      <c r="R853" s="182" t="str">
        <f t="shared" si="162"/>
        <v/>
      </c>
      <c r="S853" s="182" t="str">
        <f t="shared" si="163"/>
        <v/>
      </c>
      <c r="T853" s="182" t="str">
        <f t="shared" si="164"/>
        <v/>
      </c>
      <c r="U853" s="182" t="str">
        <f t="shared" si="165"/>
        <v/>
      </c>
      <c r="V853" s="182" t="str">
        <f t="shared" si="166"/>
        <v/>
      </c>
      <c r="W853" s="182" t="str">
        <f t="shared" si="167"/>
        <v/>
      </c>
    </row>
    <row r="854" spans="11:23" x14ac:dyDescent="0.2">
      <c r="K854" s="182">
        <v>853</v>
      </c>
      <c r="L854" s="182" t="str">
        <f t="shared" si="156"/>
        <v/>
      </c>
      <c r="M854" s="182" t="str">
        <f t="shared" si="157"/>
        <v/>
      </c>
      <c r="N854" s="182" t="str">
        <f t="shared" si="158"/>
        <v/>
      </c>
      <c r="O854" s="182" t="str">
        <f t="shared" si="159"/>
        <v/>
      </c>
      <c r="P854" s="182" t="str">
        <f t="shared" si="160"/>
        <v/>
      </c>
      <c r="Q854" s="182" t="str">
        <f t="shared" si="161"/>
        <v/>
      </c>
      <c r="R854" s="182" t="str">
        <f t="shared" si="162"/>
        <v/>
      </c>
      <c r="S854" s="182" t="str">
        <f t="shared" si="163"/>
        <v/>
      </c>
      <c r="T854" s="182" t="str">
        <f t="shared" si="164"/>
        <v/>
      </c>
      <c r="U854" s="182" t="str">
        <f t="shared" si="165"/>
        <v/>
      </c>
      <c r="V854" s="182" t="str">
        <f t="shared" si="166"/>
        <v/>
      </c>
      <c r="W854" s="182" t="str">
        <f t="shared" si="167"/>
        <v/>
      </c>
    </row>
    <row r="855" spans="11:23" x14ac:dyDescent="0.2">
      <c r="K855" s="182">
        <v>854</v>
      </c>
      <c r="L855" s="182" t="str">
        <f t="shared" si="156"/>
        <v/>
      </c>
      <c r="M855" s="182" t="str">
        <f t="shared" si="157"/>
        <v/>
      </c>
      <c r="N855" s="182" t="str">
        <f t="shared" si="158"/>
        <v/>
      </c>
      <c r="O855" s="182" t="str">
        <f t="shared" si="159"/>
        <v/>
      </c>
      <c r="P855" s="182" t="str">
        <f t="shared" si="160"/>
        <v/>
      </c>
      <c r="Q855" s="182" t="str">
        <f t="shared" si="161"/>
        <v/>
      </c>
      <c r="R855" s="182" t="str">
        <f t="shared" si="162"/>
        <v/>
      </c>
      <c r="S855" s="182" t="str">
        <f t="shared" si="163"/>
        <v/>
      </c>
      <c r="T855" s="182" t="str">
        <f t="shared" si="164"/>
        <v/>
      </c>
      <c r="U855" s="182" t="str">
        <f t="shared" si="165"/>
        <v/>
      </c>
      <c r="V855" s="182" t="str">
        <f t="shared" si="166"/>
        <v/>
      </c>
      <c r="W855" s="182" t="str">
        <f t="shared" si="167"/>
        <v/>
      </c>
    </row>
    <row r="856" spans="11:23" x14ac:dyDescent="0.2">
      <c r="K856" s="182">
        <v>855</v>
      </c>
      <c r="L856" s="182" t="str">
        <f t="shared" si="156"/>
        <v/>
      </c>
      <c r="M856" s="182" t="str">
        <f t="shared" si="157"/>
        <v/>
      </c>
      <c r="N856" s="182" t="str">
        <f t="shared" si="158"/>
        <v/>
      </c>
      <c r="O856" s="182" t="str">
        <f t="shared" si="159"/>
        <v/>
      </c>
      <c r="P856" s="182" t="str">
        <f t="shared" si="160"/>
        <v/>
      </c>
      <c r="Q856" s="182" t="str">
        <f t="shared" si="161"/>
        <v/>
      </c>
      <c r="R856" s="182" t="str">
        <f t="shared" si="162"/>
        <v/>
      </c>
      <c r="S856" s="182" t="str">
        <f t="shared" si="163"/>
        <v/>
      </c>
      <c r="T856" s="182" t="str">
        <f t="shared" si="164"/>
        <v/>
      </c>
      <c r="U856" s="182" t="str">
        <f t="shared" si="165"/>
        <v/>
      </c>
      <c r="V856" s="182" t="str">
        <f t="shared" si="166"/>
        <v/>
      </c>
      <c r="W856" s="182" t="str">
        <f t="shared" si="167"/>
        <v/>
      </c>
    </row>
    <row r="857" spans="11:23" x14ac:dyDescent="0.2">
      <c r="K857" s="182">
        <v>856</v>
      </c>
      <c r="L857" s="182" t="str">
        <f t="shared" si="156"/>
        <v/>
      </c>
      <c r="M857" s="182" t="str">
        <f t="shared" si="157"/>
        <v/>
      </c>
      <c r="N857" s="182" t="str">
        <f t="shared" si="158"/>
        <v/>
      </c>
      <c r="O857" s="182" t="str">
        <f t="shared" si="159"/>
        <v/>
      </c>
      <c r="P857" s="182" t="str">
        <f t="shared" si="160"/>
        <v/>
      </c>
      <c r="Q857" s="182" t="str">
        <f t="shared" si="161"/>
        <v/>
      </c>
      <c r="R857" s="182" t="str">
        <f t="shared" si="162"/>
        <v/>
      </c>
      <c r="S857" s="182" t="str">
        <f t="shared" si="163"/>
        <v/>
      </c>
      <c r="T857" s="182" t="str">
        <f t="shared" si="164"/>
        <v/>
      </c>
      <c r="U857" s="182" t="str">
        <f t="shared" si="165"/>
        <v/>
      </c>
      <c r="V857" s="182" t="str">
        <f t="shared" si="166"/>
        <v/>
      </c>
      <c r="W857" s="182" t="str">
        <f t="shared" si="167"/>
        <v/>
      </c>
    </row>
    <row r="858" spans="11:23" x14ac:dyDescent="0.2">
      <c r="K858" s="182">
        <v>857</v>
      </c>
      <c r="L858" s="182" t="str">
        <f t="shared" si="156"/>
        <v/>
      </c>
      <c r="M858" s="182" t="str">
        <f t="shared" si="157"/>
        <v/>
      </c>
      <c r="N858" s="182" t="str">
        <f t="shared" si="158"/>
        <v/>
      </c>
      <c r="O858" s="182" t="str">
        <f t="shared" si="159"/>
        <v/>
      </c>
      <c r="P858" s="182" t="str">
        <f t="shared" si="160"/>
        <v/>
      </c>
      <c r="Q858" s="182" t="str">
        <f t="shared" si="161"/>
        <v/>
      </c>
      <c r="R858" s="182" t="str">
        <f t="shared" si="162"/>
        <v/>
      </c>
      <c r="S858" s="182" t="str">
        <f t="shared" si="163"/>
        <v/>
      </c>
      <c r="T858" s="182" t="str">
        <f t="shared" si="164"/>
        <v/>
      </c>
      <c r="U858" s="182" t="str">
        <f t="shared" si="165"/>
        <v/>
      </c>
      <c r="V858" s="182" t="str">
        <f t="shared" si="166"/>
        <v/>
      </c>
      <c r="W858" s="182" t="str">
        <f t="shared" si="167"/>
        <v/>
      </c>
    </row>
    <row r="859" spans="11:23" x14ac:dyDescent="0.2">
      <c r="K859" s="182">
        <v>858</v>
      </c>
      <c r="L859" s="182" t="str">
        <f t="shared" si="156"/>
        <v/>
      </c>
      <c r="M859" s="182" t="str">
        <f t="shared" si="157"/>
        <v/>
      </c>
      <c r="N859" s="182" t="str">
        <f t="shared" si="158"/>
        <v/>
      </c>
      <c r="O859" s="182" t="str">
        <f t="shared" si="159"/>
        <v/>
      </c>
      <c r="P859" s="182" t="str">
        <f t="shared" si="160"/>
        <v/>
      </c>
      <c r="Q859" s="182" t="str">
        <f t="shared" si="161"/>
        <v/>
      </c>
      <c r="R859" s="182" t="str">
        <f t="shared" si="162"/>
        <v/>
      </c>
      <c r="S859" s="182" t="str">
        <f t="shared" si="163"/>
        <v/>
      </c>
      <c r="T859" s="182" t="str">
        <f t="shared" si="164"/>
        <v/>
      </c>
      <c r="U859" s="182" t="str">
        <f t="shared" si="165"/>
        <v/>
      </c>
      <c r="V859" s="182" t="str">
        <f t="shared" si="166"/>
        <v/>
      </c>
      <c r="W859" s="182" t="str">
        <f t="shared" si="167"/>
        <v/>
      </c>
    </row>
    <row r="860" spans="11:23" x14ac:dyDescent="0.2">
      <c r="K860" s="182">
        <v>859</v>
      </c>
      <c r="L860" s="182" t="str">
        <f t="shared" si="156"/>
        <v/>
      </c>
      <c r="M860" s="182" t="str">
        <f t="shared" si="157"/>
        <v/>
      </c>
      <c r="N860" s="182" t="str">
        <f t="shared" si="158"/>
        <v/>
      </c>
      <c r="O860" s="182" t="str">
        <f t="shared" si="159"/>
        <v/>
      </c>
      <c r="P860" s="182" t="str">
        <f t="shared" si="160"/>
        <v/>
      </c>
      <c r="Q860" s="182" t="str">
        <f t="shared" si="161"/>
        <v/>
      </c>
      <c r="R860" s="182" t="str">
        <f t="shared" si="162"/>
        <v/>
      </c>
      <c r="S860" s="182" t="str">
        <f t="shared" si="163"/>
        <v/>
      </c>
      <c r="T860" s="182" t="str">
        <f t="shared" si="164"/>
        <v/>
      </c>
      <c r="U860" s="182" t="str">
        <f t="shared" si="165"/>
        <v/>
      </c>
      <c r="V860" s="182" t="str">
        <f t="shared" si="166"/>
        <v/>
      </c>
      <c r="W860" s="182" t="str">
        <f t="shared" si="167"/>
        <v/>
      </c>
    </row>
    <row r="861" spans="11:23" x14ac:dyDescent="0.2">
      <c r="K861" s="182">
        <v>860</v>
      </c>
      <c r="L861" s="182" t="str">
        <f t="shared" si="156"/>
        <v/>
      </c>
      <c r="M861" s="182" t="str">
        <f t="shared" si="157"/>
        <v/>
      </c>
      <c r="N861" s="182" t="str">
        <f t="shared" si="158"/>
        <v/>
      </c>
      <c r="O861" s="182" t="str">
        <f t="shared" si="159"/>
        <v/>
      </c>
      <c r="P861" s="182" t="str">
        <f t="shared" si="160"/>
        <v/>
      </c>
      <c r="Q861" s="182" t="str">
        <f t="shared" si="161"/>
        <v/>
      </c>
      <c r="R861" s="182" t="str">
        <f t="shared" si="162"/>
        <v/>
      </c>
      <c r="S861" s="182" t="str">
        <f t="shared" si="163"/>
        <v/>
      </c>
      <c r="T861" s="182" t="str">
        <f t="shared" si="164"/>
        <v/>
      </c>
      <c r="U861" s="182" t="str">
        <f t="shared" si="165"/>
        <v/>
      </c>
      <c r="V861" s="182" t="str">
        <f t="shared" si="166"/>
        <v/>
      </c>
      <c r="W861" s="182" t="str">
        <f t="shared" si="167"/>
        <v/>
      </c>
    </row>
    <row r="862" spans="11:23" x14ac:dyDescent="0.2">
      <c r="K862" s="182">
        <v>861</v>
      </c>
      <c r="L862" s="182" t="str">
        <f t="shared" si="156"/>
        <v/>
      </c>
      <c r="M862" s="182" t="str">
        <f t="shared" si="157"/>
        <v/>
      </c>
      <c r="N862" s="182" t="str">
        <f t="shared" si="158"/>
        <v/>
      </c>
      <c r="O862" s="182" t="str">
        <f t="shared" si="159"/>
        <v/>
      </c>
      <c r="P862" s="182" t="str">
        <f t="shared" si="160"/>
        <v/>
      </c>
      <c r="Q862" s="182" t="str">
        <f t="shared" si="161"/>
        <v/>
      </c>
      <c r="R862" s="182" t="str">
        <f t="shared" si="162"/>
        <v/>
      </c>
      <c r="S862" s="182" t="str">
        <f t="shared" si="163"/>
        <v/>
      </c>
      <c r="T862" s="182" t="str">
        <f t="shared" si="164"/>
        <v/>
      </c>
      <c r="U862" s="182" t="str">
        <f t="shared" si="165"/>
        <v/>
      </c>
      <c r="V862" s="182" t="str">
        <f t="shared" si="166"/>
        <v/>
      </c>
      <c r="W862" s="182" t="str">
        <f t="shared" si="167"/>
        <v/>
      </c>
    </row>
    <row r="863" spans="11:23" x14ac:dyDescent="0.2">
      <c r="K863" s="182">
        <v>862</v>
      </c>
      <c r="L863" s="182" t="str">
        <f t="shared" si="156"/>
        <v/>
      </c>
      <c r="M863" s="182" t="str">
        <f t="shared" si="157"/>
        <v/>
      </c>
      <c r="N863" s="182" t="str">
        <f t="shared" si="158"/>
        <v/>
      </c>
      <c r="O863" s="182" t="str">
        <f t="shared" si="159"/>
        <v/>
      </c>
      <c r="P863" s="182" t="str">
        <f t="shared" si="160"/>
        <v/>
      </c>
      <c r="Q863" s="182" t="str">
        <f t="shared" si="161"/>
        <v/>
      </c>
      <c r="R863" s="182" t="str">
        <f t="shared" si="162"/>
        <v/>
      </c>
      <c r="S863" s="182" t="str">
        <f t="shared" si="163"/>
        <v/>
      </c>
      <c r="T863" s="182" t="str">
        <f t="shared" si="164"/>
        <v/>
      </c>
      <c r="U863" s="182" t="str">
        <f t="shared" si="165"/>
        <v/>
      </c>
      <c r="V863" s="182" t="str">
        <f t="shared" si="166"/>
        <v/>
      </c>
      <c r="W863" s="182" t="str">
        <f t="shared" si="167"/>
        <v/>
      </c>
    </row>
    <row r="864" spans="11:23" x14ac:dyDescent="0.2">
      <c r="K864" s="182">
        <v>863</v>
      </c>
      <c r="L864" s="182" t="str">
        <f t="shared" si="156"/>
        <v/>
      </c>
      <c r="M864" s="182" t="str">
        <f t="shared" si="157"/>
        <v/>
      </c>
      <c r="N864" s="182" t="str">
        <f t="shared" si="158"/>
        <v/>
      </c>
      <c r="O864" s="182" t="str">
        <f t="shared" si="159"/>
        <v/>
      </c>
      <c r="P864" s="182" t="str">
        <f t="shared" si="160"/>
        <v/>
      </c>
      <c r="Q864" s="182" t="str">
        <f t="shared" si="161"/>
        <v/>
      </c>
      <c r="R864" s="182" t="str">
        <f t="shared" si="162"/>
        <v/>
      </c>
      <c r="S864" s="182" t="str">
        <f t="shared" si="163"/>
        <v/>
      </c>
      <c r="T864" s="182" t="str">
        <f t="shared" si="164"/>
        <v/>
      </c>
      <c r="U864" s="182" t="str">
        <f t="shared" si="165"/>
        <v/>
      </c>
      <c r="V864" s="182" t="str">
        <f t="shared" si="166"/>
        <v/>
      </c>
      <c r="W864" s="182" t="str">
        <f t="shared" si="167"/>
        <v/>
      </c>
    </row>
    <row r="865" spans="11:23" x14ac:dyDescent="0.2">
      <c r="K865" s="182">
        <v>864</v>
      </c>
      <c r="L865" s="182" t="str">
        <f t="shared" si="156"/>
        <v/>
      </c>
      <c r="M865" s="182" t="str">
        <f t="shared" si="157"/>
        <v/>
      </c>
      <c r="N865" s="182" t="str">
        <f t="shared" si="158"/>
        <v/>
      </c>
      <c r="O865" s="182" t="str">
        <f t="shared" si="159"/>
        <v/>
      </c>
      <c r="P865" s="182" t="str">
        <f t="shared" si="160"/>
        <v/>
      </c>
      <c r="Q865" s="182" t="str">
        <f t="shared" si="161"/>
        <v/>
      </c>
      <c r="R865" s="182" t="str">
        <f t="shared" si="162"/>
        <v/>
      </c>
      <c r="S865" s="182" t="str">
        <f t="shared" si="163"/>
        <v/>
      </c>
      <c r="T865" s="182" t="str">
        <f t="shared" si="164"/>
        <v/>
      </c>
      <c r="U865" s="182" t="str">
        <f t="shared" si="165"/>
        <v/>
      </c>
      <c r="V865" s="182" t="str">
        <f t="shared" si="166"/>
        <v/>
      </c>
      <c r="W865" s="182" t="str">
        <f t="shared" si="167"/>
        <v/>
      </c>
    </row>
  </sheetData>
  <sheetProtection algorithmName="SHA-512" hashValue="9r1yjyEfv0/IxyUUM9WBKQS4SHYdQIYGXjXMdbykafAU7ds9ZnUgwbUDxvIuA9IEStjj+n/MDUsA3Z19hV54AQ==" saltValue="ilFZq3RdXK0YhbSw5Dh/1g==" spinCount="100000" sheet="1" objects="1" scenarios="1" selectLockedCells="1"/>
  <mergeCells count="34">
    <mergeCell ref="B48:B50"/>
    <mergeCell ref="C48:C50"/>
    <mergeCell ref="B41:B43"/>
    <mergeCell ref="C41:C43"/>
    <mergeCell ref="D45:F45"/>
    <mergeCell ref="D46:F46"/>
    <mergeCell ref="E47:F47"/>
    <mergeCell ref="B34:B36"/>
    <mergeCell ref="C34:C36"/>
    <mergeCell ref="D38:F38"/>
    <mergeCell ref="D39:F39"/>
    <mergeCell ref="E40:F40"/>
    <mergeCell ref="B27:B29"/>
    <mergeCell ref="C27:C29"/>
    <mergeCell ref="D31:F31"/>
    <mergeCell ref="D32:F32"/>
    <mergeCell ref="E33:F33"/>
    <mergeCell ref="B20:B22"/>
    <mergeCell ref="D24:F24"/>
    <mergeCell ref="D25:F25"/>
    <mergeCell ref="E26:F26"/>
    <mergeCell ref="E12:F12"/>
    <mergeCell ref="B13:B15"/>
    <mergeCell ref="D17:F17"/>
    <mergeCell ref="D18:F18"/>
    <mergeCell ref="E19:F19"/>
    <mergeCell ref="C20:C22"/>
    <mergeCell ref="C13:C15"/>
    <mergeCell ref="E2:F2"/>
    <mergeCell ref="D11:F11"/>
    <mergeCell ref="D10:F10"/>
    <mergeCell ref="B3:B4"/>
    <mergeCell ref="B6:F6"/>
    <mergeCell ref="E3:F4"/>
  </mergeCells>
  <phoneticPr fontId="0" type="noConversion"/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43 D29 D36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7</xdr:col>
                <xdr:colOff>190500</xdr:colOff>
                <xdr:row>0</xdr:row>
                <xdr:rowOff>142875</xdr:rowOff>
              </from>
              <to>
                <xdr:col>28</xdr:col>
                <xdr:colOff>19050</xdr:colOff>
                <xdr:row>3</xdr:row>
                <xdr:rowOff>142875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39" sqref="B39"/>
    </sheetView>
  </sheetViews>
  <sheetFormatPr defaultRowHeight="12.75" x14ac:dyDescent="0.2"/>
  <cols>
    <col min="1" max="1" width="3.85546875" style="244" customWidth="1"/>
    <col min="2" max="4" width="25" style="244" customWidth="1"/>
    <col min="5" max="6" width="13.28515625" style="244" customWidth="1"/>
    <col min="7" max="7" width="3.85546875" style="244" customWidth="1"/>
    <col min="8" max="8" width="9.140625" style="242" customWidth="1"/>
    <col min="9" max="9" width="14.85546875" style="242" hidden="1" customWidth="1"/>
    <col min="10" max="26" width="9.140625" style="242" hidden="1" customWidth="1"/>
    <col min="27" max="147" width="9.140625" style="242"/>
    <col min="148" max="16384" width="9.140625" style="244"/>
  </cols>
  <sheetData>
    <row r="1" spans="1:147" ht="14.25" thickTop="1" thickBot="1" x14ac:dyDescent="0.25">
      <c r="A1" s="239"/>
      <c r="B1" s="240"/>
      <c r="C1" s="240"/>
      <c r="D1" s="240"/>
      <c r="E1" s="240"/>
      <c r="F1" s="240"/>
      <c r="G1" s="241"/>
      <c r="I1" s="242" t="s">
        <v>54</v>
      </c>
      <c r="J1" s="242" t="s">
        <v>56</v>
      </c>
      <c r="L1" s="242" t="s">
        <v>90</v>
      </c>
      <c r="M1" s="243"/>
      <c r="N1" s="243" t="s">
        <v>91</v>
      </c>
      <c r="P1" s="242" t="s">
        <v>92</v>
      </c>
      <c r="R1" s="242" t="s">
        <v>93</v>
      </c>
      <c r="T1" s="242" t="s">
        <v>94</v>
      </c>
      <c r="V1" s="242" t="s">
        <v>95</v>
      </c>
    </row>
    <row r="2" spans="1:147" s="249" customFormat="1" ht="15" thickBot="1" x14ac:dyDescent="0.25">
      <c r="A2" s="245"/>
      <c r="B2" s="246" t="s">
        <v>8</v>
      </c>
      <c r="C2" s="247"/>
      <c r="D2" s="247"/>
      <c r="E2" s="551" t="s">
        <v>9</v>
      </c>
      <c r="F2" s="552"/>
      <c r="G2" s="248"/>
      <c r="H2" s="242"/>
      <c r="I2" s="242" t="s">
        <v>45</v>
      </c>
      <c r="J2" s="242" t="s">
        <v>55</v>
      </c>
      <c r="K2" s="242">
        <v>1</v>
      </c>
      <c r="L2" s="242" t="str">
        <f>IF($B$13&gt;=K2,K2,"")</f>
        <v/>
      </c>
      <c r="M2" s="242" t="str">
        <f>IF(L2="","",IF(L2&lt;=$E$15,VLOOKUP($E$14,$I$1:$J$4,2,FALSE),VLOOKUP($F$14,$I$1:$J$4,2,FALSE)))</f>
        <v/>
      </c>
      <c r="N2" s="242" t="str">
        <f>IF($B$20&gt;=K2,K2,"")</f>
        <v/>
      </c>
      <c r="O2" s="242" t="str">
        <f>IF(N2="","",IF(N2&lt;=$E$22,VLOOKUP($E$21,$I$1:$J$4,2,FALSE),VLOOKUP($F$21,$I$1:$J$4,2,FALSE)))</f>
        <v/>
      </c>
      <c r="P2" s="242" t="str">
        <f>IF($B$27&gt;=K2,K2,"")</f>
        <v/>
      </c>
      <c r="Q2" s="242" t="str">
        <f>IF(P2="","",IF(P2&lt;=$E$29,VLOOKUP($E$28,$I$1:$J$4,2,FALSE),VLOOKUP($F$28,$I$1:$J$4,2,FALSE)))</f>
        <v/>
      </c>
      <c r="R2" s="242" t="str">
        <f>IF($B$34&gt;=K2,K2,"")</f>
        <v/>
      </c>
      <c r="S2" s="242" t="str">
        <f>IF(R2="","",IF(R2&lt;=$E$36,VLOOKUP($E$35,$I$1:$J$4,2,FALSE),VLOOKUP($F$35,$I$1:$J$4,2,FALSE)))</f>
        <v/>
      </c>
      <c r="T2" s="242" t="str">
        <f>IF($B$41&gt;=K2,K2,"")</f>
        <v/>
      </c>
      <c r="U2" s="242" t="str">
        <f>IF(T2="","",IF(T2&lt;=$E$43,VLOOKUP($E$42,$I$1:$J$4,2,FALSE),VLOOKUP($F$42,$I$1:$J$4,2,FALSE)))</f>
        <v/>
      </c>
      <c r="V2" s="242" t="str">
        <f>IF($B$48&gt;=K2,K2,"")</f>
        <v/>
      </c>
      <c r="W2" s="242" t="str">
        <f>IF(V2="","",IF(V2&lt;=$E$50,VLOOKUP($E$49,$I$1:$J$4,2,FALSE),VLOOKUP($F$49,$I$1:$J$4,2,FALSE)))</f>
        <v/>
      </c>
      <c r="X2" s="242"/>
      <c r="Y2" s="242"/>
      <c r="Z2" s="242"/>
      <c r="AA2" s="242"/>
      <c r="AB2" s="242"/>
      <c r="AC2" s="242"/>
      <c r="AD2" s="242"/>
      <c r="AE2" s="242"/>
      <c r="AF2" s="242"/>
      <c r="AG2" s="242"/>
      <c r="AH2" s="242"/>
      <c r="AI2" s="242"/>
      <c r="AJ2" s="242"/>
      <c r="AK2" s="242"/>
      <c r="AL2" s="242"/>
      <c r="AM2" s="242"/>
      <c r="AN2" s="242"/>
      <c r="AO2" s="242"/>
      <c r="AP2" s="242"/>
      <c r="AQ2" s="242"/>
      <c r="AR2" s="242"/>
      <c r="AS2" s="242"/>
      <c r="AT2" s="242"/>
      <c r="AU2" s="242"/>
      <c r="AV2" s="242"/>
      <c r="AW2" s="242"/>
      <c r="AX2" s="242"/>
      <c r="AY2" s="242"/>
      <c r="AZ2" s="242"/>
      <c r="BA2" s="242"/>
      <c r="BB2" s="242"/>
      <c r="BC2" s="242"/>
      <c r="BD2" s="242"/>
      <c r="BE2" s="242"/>
      <c r="BF2" s="242"/>
      <c r="BG2" s="242"/>
      <c r="BH2" s="242"/>
      <c r="BI2" s="242"/>
      <c r="BJ2" s="242"/>
      <c r="BK2" s="242"/>
      <c r="BL2" s="242"/>
      <c r="BM2" s="242"/>
      <c r="BN2" s="242"/>
      <c r="BO2" s="242"/>
      <c r="BP2" s="242"/>
      <c r="BQ2" s="242"/>
      <c r="BR2" s="242"/>
      <c r="BS2" s="242"/>
      <c r="BT2" s="242"/>
      <c r="BU2" s="242"/>
      <c r="BV2" s="242"/>
      <c r="BW2" s="242"/>
      <c r="BX2" s="242"/>
      <c r="BY2" s="242"/>
      <c r="BZ2" s="242"/>
      <c r="CA2" s="242"/>
      <c r="CB2" s="242"/>
      <c r="CC2" s="242"/>
      <c r="CD2" s="242"/>
      <c r="CE2" s="242"/>
      <c r="CF2" s="242"/>
      <c r="CG2" s="242"/>
      <c r="CH2" s="242"/>
      <c r="CI2" s="242"/>
      <c r="CJ2" s="242"/>
      <c r="CK2" s="242"/>
      <c r="CL2" s="242"/>
      <c r="CM2" s="242"/>
      <c r="CN2" s="242"/>
      <c r="CO2" s="242"/>
      <c r="CP2" s="242"/>
      <c r="CQ2" s="242"/>
      <c r="CR2" s="242"/>
      <c r="CS2" s="242"/>
      <c r="CT2" s="242"/>
      <c r="CU2" s="242"/>
      <c r="CV2" s="242"/>
      <c r="CW2" s="242"/>
      <c r="CX2" s="242"/>
      <c r="CY2" s="242"/>
      <c r="CZ2" s="242"/>
      <c r="DA2" s="242"/>
      <c r="DB2" s="242"/>
      <c r="DC2" s="242"/>
      <c r="DD2" s="242"/>
      <c r="DE2" s="242"/>
      <c r="DF2" s="242"/>
      <c r="DG2" s="242"/>
      <c r="DH2" s="242"/>
      <c r="DI2" s="242"/>
      <c r="DJ2" s="242"/>
      <c r="DK2" s="242"/>
      <c r="DL2" s="242"/>
      <c r="DM2" s="242"/>
      <c r="DN2" s="242"/>
      <c r="DO2" s="242"/>
      <c r="DP2" s="242"/>
      <c r="DQ2" s="242"/>
      <c r="DR2" s="242"/>
      <c r="DS2" s="242"/>
      <c r="DT2" s="242"/>
      <c r="DU2" s="242"/>
      <c r="DV2" s="242"/>
      <c r="DW2" s="242"/>
      <c r="DX2" s="242"/>
      <c r="DY2" s="242"/>
      <c r="DZ2" s="242"/>
      <c r="EA2" s="242"/>
      <c r="EB2" s="242"/>
      <c r="EC2" s="242"/>
      <c r="ED2" s="242"/>
      <c r="EE2" s="242"/>
      <c r="EF2" s="242"/>
      <c r="EG2" s="242"/>
      <c r="EH2" s="242"/>
      <c r="EI2" s="242"/>
      <c r="EJ2" s="242"/>
      <c r="EK2" s="242"/>
      <c r="EL2" s="242"/>
      <c r="EM2" s="242"/>
      <c r="EN2" s="242"/>
      <c r="EO2" s="242"/>
      <c r="EP2" s="242"/>
      <c r="EQ2" s="242"/>
    </row>
    <row r="3" spans="1:147" x14ac:dyDescent="0.2">
      <c r="A3" s="250"/>
      <c r="B3" s="553" t="str">
        <f>'[4]Cover - Location Info'!J8</f>
        <v>00000</v>
      </c>
      <c r="C3" s="251"/>
      <c r="D3" s="251"/>
      <c r="E3" s="555" t="str">
        <f>'[4]Cover - Location Info'!J10</f>
        <v>1.0</v>
      </c>
      <c r="F3" s="556"/>
      <c r="G3" s="252"/>
      <c r="I3" s="242" t="s">
        <v>46</v>
      </c>
      <c r="J3" s="242" t="s">
        <v>57</v>
      </c>
      <c r="K3" s="242">
        <v>2</v>
      </c>
      <c r="L3" s="242" t="str">
        <f t="shared" ref="L3:L66" si="0">IF($B$13&gt;=K3,K3,"")</f>
        <v/>
      </c>
      <c r="M3" s="242" t="str">
        <f t="shared" ref="M3:M66" si="1">IF(L3="","",IF(L3&lt;=$E$15,VLOOKUP($E$14,$I$1:$J$4,2,FALSE),VLOOKUP($F$14,$I$1:$J$4,2,FALSE)))</f>
        <v/>
      </c>
      <c r="N3" s="242" t="str">
        <f t="shared" ref="N3:N66" si="2">IF($B$20&gt;=K3,K3,"")</f>
        <v/>
      </c>
      <c r="O3" s="242" t="str">
        <f t="shared" ref="O3:O66" si="3">IF(N3="","",IF(N3&lt;=$E$22,VLOOKUP($E$21,$I$1:$J$4,2,FALSE),VLOOKUP($F$21,$I$1:$J$4,2,FALSE)))</f>
        <v/>
      </c>
      <c r="P3" s="242" t="str">
        <f t="shared" ref="P3:P66" si="4">IF($B$27&gt;=K3,K3,"")</f>
        <v/>
      </c>
      <c r="Q3" s="242" t="str">
        <f t="shared" ref="Q3:Q66" si="5">IF(P3="","",IF(P3&lt;=$E$29,VLOOKUP($E$28,$I$1:$J$4,2,FALSE),VLOOKUP($F$28,$I$1:$J$4,2,FALSE)))</f>
        <v/>
      </c>
      <c r="R3" s="242" t="str">
        <f t="shared" ref="R3:R66" si="6">IF($B$34&gt;=K3,K3,"")</f>
        <v/>
      </c>
      <c r="S3" s="242" t="str">
        <f t="shared" ref="S3:S66" si="7">IF(R3="","",IF(R3&lt;=$E$36,VLOOKUP($E$35,$I$1:$J$4,2,FALSE),VLOOKUP($F$35,$I$1:$J$4,2,FALSE)))</f>
        <v/>
      </c>
      <c r="T3" s="242" t="str">
        <f t="shared" ref="T3:T66" si="8">IF($B$41&gt;=K3,K3,"")</f>
        <v/>
      </c>
      <c r="U3" s="242" t="str">
        <f t="shared" ref="U3:U66" si="9">IF(T3="","",IF(T3&lt;=$E$43,VLOOKUP($E$42,$I$1:$J$4,2,FALSE),VLOOKUP($F$42,$I$1:$J$4,2,FALSE)))</f>
        <v/>
      </c>
      <c r="V3" s="242" t="str">
        <f t="shared" ref="V3:V66" si="10">IF($B$48&gt;=K3,K3,"")</f>
        <v/>
      </c>
      <c r="W3" s="242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250"/>
      <c r="B4" s="554"/>
      <c r="C4" s="251"/>
      <c r="D4" s="251"/>
      <c r="E4" s="557"/>
      <c r="F4" s="558"/>
      <c r="G4" s="252"/>
      <c r="I4" s="242" t="s">
        <v>47</v>
      </c>
      <c r="J4" s="242" t="s">
        <v>58</v>
      </c>
      <c r="K4" s="242">
        <v>3</v>
      </c>
      <c r="L4" s="242" t="str">
        <f t="shared" si="0"/>
        <v/>
      </c>
      <c r="M4" s="242" t="str">
        <f t="shared" si="1"/>
        <v/>
      </c>
      <c r="N4" s="242" t="str">
        <f t="shared" si="2"/>
        <v/>
      </c>
      <c r="O4" s="242" t="str">
        <f t="shared" si="3"/>
        <v/>
      </c>
      <c r="P4" s="242" t="str">
        <f t="shared" si="4"/>
        <v/>
      </c>
      <c r="Q4" s="242" t="str">
        <f t="shared" si="5"/>
        <v/>
      </c>
      <c r="R4" s="242" t="str">
        <f t="shared" si="6"/>
        <v/>
      </c>
      <c r="S4" s="242" t="str">
        <f t="shared" si="7"/>
        <v/>
      </c>
      <c r="T4" s="242" t="str">
        <f t="shared" si="8"/>
        <v/>
      </c>
      <c r="U4" s="242" t="str">
        <f t="shared" si="9"/>
        <v/>
      </c>
      <c r="V4" s="242" t="str">
        <f t="shared" si="10"/>
        <v/>
      </c>
      <c r="W4" s="242" t="str">
        <f t="shared" si="11"/>
        <v/>
      </c>
    </row>
    <row r="5" spans="1:147" x14ac:dyDescent="0.2">
      <c r="A5" s="250"/>
      <c r="B5" s="251"/>
      <c r="C5" s="251"/>
      <c r="D5" s="251"/>
      <c r="E5" s="251"/>
      <c r="F5" s="251"/>
      <c r="G5" s="252"/>
      <c r="I5" s="242" t="s">
        <v>49</v>
      </c>
      <c r="K5" s="242">
        <v>4</v>
      </c>
      <c r="L5" s="242" t="str">
        <f t="shared" si="0"/>
        <v/>
      </c>
      <c r="M5" s="242" t="str">
        <f t="shared" si="1"/>
        <v/>
      </c>
      <c r="N5" s="242" t="str">
        <f t="shared" si="2"/>
        <v/>
      </c>
      <c r="O5" s="242" t="str">
        <f t="shared" si="3"/>
        <v/>
      </c>
      <c r="P5" s="242" t="str">
        <f t="shared" si="4"/>
        <v/>
      </c>
      <c r="Q5" s="242" t="str">
        <f t="shared" si="5"/>
        <v/>
      </c>
      <c r="R5" s="242" t="str">
        <f t="shared" si="6"/>
        <v/>
      </c>
      <c r="S5" s="242" t="str">
        <f t="shared" si="7"/>
        <v/>
      </c>
      <c r="T5" s="242" t="str">
        <f t="shared" si="8"/>
        <v/>
      </c>
      <c r="U5" s="242" t="str">
        <f t="shared" si="9"/>
        <v/>
      </c>
      <c r="V5" s="242" t="str">
        <f t="shared" si="10"/>
        <v/>
      </c>
      <c r="W5" s="242" t="str">
        <f t="shared" si="11"/>
        <v/>
      </c>
    </row>
    <row r="6" spans="1:147" ht="26.25" x14ac:dyDescent="0.4">
      <c r="A6" s="250"/>
      <c r="B6" s="559" t="s">
        <v>2</v>
      </c>
      <c r="C6" s="559"/>
      <c r="D6" s="559"/>
      <c r="E6" s="559"/>
      <c r="F6" s="559"/>
      <c r="G6" s="252"/>
      <c r="K6" s="242">
        <v>5</v>
      </c>
      <c r="L6" s="242" t="str">
        <f t="shared" si="0"/>
        <v/>
      </c>
      <c r="M6" s="242" t="str">
        <f t="shared" si="1"/>
        <v/>
      </c>
      <c r="N6" s="242" t="str">
        <f t="shared" si="2"/>
        <v/>
      </c>
      <c r="O6" s="242" t="str">
        <f t="shared" si="3"/>
        <v/>
      </c>
      <c r="P6" s="242" t="str">
        <f t="shared" si="4"/>
        <v/>
      </c>
      <c r="Q6" s="242" t="str">
        <f t="shared" si="5"/>
        <v/>
      </c>
      <c r="R6" s="242" t="str">
        <f t="shared" si="6"/>
        <v/>
      </c>
      <c r="S6" s="242" t="str">
        <f t="shared" si="7"/>
        <v/>
      </c>
      <c r="T6" s="242" t="str">
        <f t="shared" si="8"/>
        <v/>
      </c>
      <c r="U6" s="242" t="str">
        <f t="shared" si="9"/>
        <v/>
      </c>
      <c r="V6" s="242" t="str">
        <f t="shared" si="10"/>
        <v/>
      </c>
      <c r="W6" s="242" t="str">
        <f t="shared" si="11"/>
        <v/>
      </c>
    </row>
    <row r="7" spans="1:147" ht="6.75" customHeight="1" x14ac:dyDescent="0.2">
      <c r="A7" s="250"/>
      <c r="B7" s="251"/>
      <c r="C7" s="251"/>
      <c r="D7" s="251"/>
      <c r="E7" s="251"/>
      <c r="F7" s="251"/>
      <c r="G7" s="252"/>
      <c r="I7" s="242" t="s">
        <v>61</v>
      </c>
      <c r="K7" s="242">
        <v>6</v>
      </c>
      <c r="L7" s="242" t="str">
        <f t="shared" si="0"/>
        <v/>
      </c>
      <c r="M7" s="242" t="str">
        <f t="shared" si="1"/>
        <v/>
      </c>
      <c r="N7" s="242" t="str">
        <f t="shared" si="2"/>
        <v/>
      </c>
      <c r="O7" s="242" t="str">
        <f t="shared" si="3"/>
        <v/>
      </c>
      <c r="P7" s="242" t="str">
        <f t="shared" si="4"/>
        <v/>
      </c>
      <c r="Q7" s="242" t="str">
        <f t="shared" si="5"/>
        <v/>
      </c>
      <c r="R7" s="242" t="str">
        <f t="shared" si="6"/>
        <v/>
      </c>
      <c r="S7" s="242" t="str">
        <f t="shared" si="7"/>
        <v/>
      </c>
      <c r="T7" s="242" t="str">
        <f t="shared" si="8"/>
        <v/>
      </c>
      <c r="U7" s="242" t="str">
        <f t="shared" si="9"/>
        <v/>
      </c>
      <c r="V7" s="242" t="str">
        <f t="shared" si="10"/>
        <v/>
      </c>
      <c r="W7" s="242" t="str">
        <f t="shared" si="11"/>
        <v/>
      </c>
    </row>
    <row r="8" spans="1:147" ht="6.75" customHeight="1" x14ac:dyDescent="0.2">
      <c r="A8" s="250"/>
      <c r="B8" s="251"/>
      <c r="C8" s="251"/>
      <c r="D8" s="251"/>
      <c r="E8" s="251"/>
      <c r="F8" s="251"/>
      <c r="G8" s="252"/>
      <c r="I8" s="242" t="s">
        <v>62</v>
      </c>
      <c r="K8" s="242">
        <v>7</v>
      </c>
      <c r="L8" s="242" t="str">
        <f t="shared" si="0"/>
        <v/>
      </c>
      <c r="M8" s="242" t="str">
        <f t="shared" si="1"/>
        <v/>
      </c>
      <c r="N8" s="242" t="str">
        <f t="shared" si="2"/>
        <v/>
      </c>
      <c r="O8" s="242" t="str">
        <f t="shared" si="3"/>
        <v/>
      </c>
      <c r="P8" s="242" t="str">
        <f t="shared" si="4"/>
        <v/>
      </c>
      <c r="Q8" s="242" t="str">
        <f t="shared" si="5"/>
        <v/>
      </c>
      <c r="R8" s="242" t="str">
        <f t="shared" si="6"/>
        <v/>
      </c>
      <c r="S8" s="242" t="str">
        <f t="shared" si="7"/>
        <v/>
      </c>
      <c r="T8" s="242" t="str">
        <f t="shared" si="8"/>
        <v/>
      </c>
      <c r="U8" s="242" t="str">
        <f t="shared" si="9"/>
        <v/>
      </c>
      <c r="V8" s="242" t="str">
        <f t="shared" si="10"/>
        <v/>
      </c>
      <c r="W8" s="242" t="str">
        <f t="shared" si="11"/>
        <v/>
      </c>
    </row>
    <row r="9" spans="1:147" ht="6.75" customHeight="1" thickBot="1" x14ac:dyDescent="0.25">
      <c r="A9" s="250"/>
      <c r="B9" s="253"/>
      <c r="C9" s="253"/>
      <c r="D9" s="251"/>
      <c r="E9" s="253"/>
      <c r="F9" s="253"/>
      <c r="G9" s="252"/>
      <c r="I9" s="242" t="s">
        <v>63</v>
      </c>
      <c r="K9" s="242">
        <v>8</v>
      </c>
      <c r="L9" s="242" t="str">
        <f t="shared" si="0"/>
        <v/>
      </c>
      <c r="M9" s="242" t="str">
        <f t="shared" si="1"/>
        <v/>
      </c>
      <c r="N9" s="242" t="str">
        <f t="shared" si="2"/>
        <v/>
      </c>
      <c r="O9" s="242" t="str">
        <f t="shared" si="3"/>
        <v/>
      </c>
      <c r="P9" s="242" t="str">
        <f t="shared" si="4"/>
        <v/>
      </c>
      <c r="Q9" s="242" t="str">
        <f t="shared" si="5"/>
        <v/>
      </c>
      <c r="R9" s="242" t="str">
        <f t="shared" si="6"/>
        <v/>
      </c>
      <c r="S9" s="242" t="str">
        <f t="shared" si="7"/>
        <v/>
      </c>
      <c r="T9" s="242" t="str">
        <f t="shared" si="8"/>
        <v/>
      </c>
      <c r="U9" s="242" t="str">
        <f t="shared" si="9"/>
        <v/>
      </c>
      <c r="V9" s="242" t="str">
        <f t="shared" si="10"/>
        <v/>
      </c>
      <c r="W9" s="242" t="str">
        <f t="shared" si="11"/>
        <v/>
      </c>
    </row>
    <row r="10" spans="1:147" ht="12.75" customHeight="1" thickBot="1" x14ac:dyDescent="0.25">
      <c r="A10" s="250"/>
      <c r="B10" s="254" t="s">
        <v>35</v>
      </c>
      <c r="C10" s="255" t="s">
        <v>33</v>
      </c>
      <c r="D10" s="548" t="s">
        <v>34</v>
      </c>
      <c r="E10" s="549"/>
      <c r="F10" s="550"/>
      <c r="G10" s="252"/>
      <c r="K10" s="242">
        <v>9</v>
      </c>
      <c r="L10" s="242" t="str">
        <f t="shared" si="0"/>
        <v/>
      </c>
      <c r="M10" s="242" t="str">
        <f t="shared" si="1"/>
        <v/>
      </c>
      <c r="N10" s="242" t="str">
        <f t="shared" si="2"/>
        <v/>
      </c>
      <c r="O10" s="242" t="str">
        <f t="shared" si="3"/>
        <v/>
      </c>
      <c r="P10" s="242" t="str">
        <f t="shared" si="4"/>
        <v/>
      </c>
      <c r="Q10" s="242" t="str">
        <f t="shared" si="5"/>
        <v/>
      </c>
      <c r="R10" s="242" t="str">
        <f t="shared" si="6"/>
        <v/>
      </c>
      <c r="S10" s="242" t="str">
        <f t="shared" si="7"/>
        <v/>
      </c>
      <c r="T10" s="242" t="str">
        <f t="shared" si="8"/>
        <v/>
      </c>
      <c r="U10" s="242" t="str">
        <f t="shared" si="9"/>
        <v/>
      </c>
      <c r="V10" s="242" t="str">
        <f t="shared" si="10"/>
        <v/>
      </c>
      <c r="W10" s="242" t="str">
        <f t="shared" si="11"/>
        <v/>
      </c>
    </row>
    <row r="11" spans="1:147" ht="33.75" customHeight="1" thickBot="1" x14ac:dyDescent="0.25">
      <c r="A11" s="250"/>
      <c r="B11" s="256" t="s">
        <v>90</v>
      </c>
      <c r="C11" s="257"/>
      <c r="D11" s="545"/>
      <c r="E11" s="546"/>
      <c r="F11" s="547"/>
      <c r="G11" s="252"/>
      <c r="K11" s="242">
        <v>10</v>
      </c>
      <c r="L11" s="242" t="str">
        <f t="shared" si="0"/>
        <v/>
      </c>
      <c r="M11" s="242" t="str">
        <f t="shared" si="1"/>
        <v/>
      </c>
      <c r="N11" s="242" t="str">
        <f t="shared" si="2"/>
        <v/>
      </c>
      <c r="O11" s="242" t="str">
        <f t="shared" si="3"/>
        <v/>
      </c>
      <c r="P11" s="242" t="str">
        <f t="shared" si="4"/>
        <v/>
      </c>
      <c r="Q11" s="242" t="str">
        <f t="shared" si="5"/>
        <v/>
      </c>
      <c r="R11" s="242" t="str">
        <f t="shared" si="6"/>
        <v/>
      </c>
      <c r="S11" s="242" t="str">
        <f t="shared" si="7"/>
        <v/>
      </c>
      <c r="T11" s="242" t="str">
        <f t="shared" si="8"/>
        <v/>
      </c>
      <c r="U11" s="242" t="str">
        <f t="shared" si="9"/>
        <v/>
      </c>
      <c r="V11" s="242" t="str">
        <f t="shared" si="10"/>
        <v/>
      </c>
      <c r="W11" s="242" t="str">
        <f t="shared" si="11"/>
        <v/>
      </c>
    </row>
    <row r="12" spans="1:147" ht="13.5" thickBot="1" x14ac:dyDescent="0.25">
      <c r="A12" s="250"/>
      <c r="B12" s="258" t="s">
        <v>143</v>
      </c>
      <c r="C12" s="259" t="s">
        <v>36</v>
      </c>
      <c r="D12" s="260" t="s">
        <v>64</v>
      </c>
      <c r="E12" s="537" t="s">
        <v>41</v>
      </c>
      <c r="F12" s="538"/>
      <c r="G12" s="252"/>
      <c r="K12" s="242">
        <v>11</v>
      </c>
      <c r="L12" s="242" t="str">
        <f t="shared" si="0"/>
        <v/>
      </c>
      <c r="M12" s="242" t="str">
        <f t="shared" si="1"/>
        <v/>
      </c>
      <c r="N12" s="242" t="str">
        <f t="shared" si="2"/>
        <v/>
      </c>
      <c r="O12" s="242" t="str">
        <f t="shared" si="3"/>
        <v/>
      </c>
      <c r="P12" s="242" t="str">
        <f t="shared" si="4"/>
        <v/>
      </c>
      <c r="Q12" s="242" t="str">
        <f t="shared" si="5"/>
        <v/>
      </c>
      <c r="R12" s="242" t="str">
        <f t="shared" si="6"/>
        <v/>
      </c>
      <c r="S12" s="242" t="str">
        <f t="shared" si="7"/>
        <v/>
      </c>
      <c r="T12" s="242" t="str">
        <f t="shared" si="8"/>
        <v/>
      </c>
      <c r="U12" s="242" t="str">
        <f t="shared" si="9"/>
        <v/>
      </c>
      <c r="V12" s="242" t="str">
        <f t="shared" si="10"/>
        <v/>
      </c>
      <c r="W12" s="242" t="str">
        <f t="shared" si="11"/>
        <v/>
      </c>
    </row>
    <row r="13" spans="1:147" ht="17.25" customHeight="1" thickBot="1" x14ac:dyDescent="0.25">
      <c r="A13" s="250"/>
      <c r="B13" s="539"/>
      <c r="C13" s="542"/>
      <c r="D13" s="261"/>
      <c r="E13" s="262" t="s">
        <v>44</v>
      </c>
      <c r="F13" s="263" t="s">
        <v>48</v>
      </c>
      <c r="G13" s="252"/>
      <c r="K13" s="242">
        <v>12</v>
      </c>
      <c r="L13" s="242" t="str">
        <f t="shared" si="0"/>
        <v/>
      </c>
      <c r="M13" s="242" t="str">
        <f t="shared" si="1"/>
        <v/>
      </c>
      <c r="N13" s="242" t="str">
        <f t="shared" si="2"/>
        <v/>
      </c>
      <c r="O13" s="242" t="str">
        <f t="shared" si="3"/>
        <v/>
      </c>
      <c r="P13" s="242" t="str">
        <f t="shared" si="4"/>
        <v/>
      </c>
      <c r="Q13" s="242" t="str">
        <f t="shared" si="5"/>
        <v/>
      </c>
      <c r="R13" s="242" t="str">
        <f t="shared" si="6"/>
        <v/>
      </c>
      <c r="S13" s="242" t="str">
        <f t="shared" si="7"/>
        <v/>
      </c>
      <c r="T13" s="242" t="str">
        <f t="shared" si="8"/>
        <v/>
      </c>
      <c r="U13" s="242" t="str">
        <f t="shared" si="9"/>
        <v/>
      </c>
      <c r="V13" s="242" t="str">
        <f t="shared" si="10"/>
        <v/>
      </c>
      <c r="W13" s="242" t="str">
        <f t="shared" si="11"/>
        <v/>
      </c>
    </row>
    <row r="14" spans="1:147" ht="17.25" customHeight="1" thickBot="1" x14ac:dyDescent="0.25">
      <c r="A14" s="250"/>
      <c r="B14" s="540"/>
      <c r="C14" s="543"/>
      <c r="D14" s="260" t="s">
        <v>60</v>
      </c>
      <c r="E14" s="264"/>
      <c r="F14" s="265"/>
      <c r="G14" s="252"/>
      <c r="K14" s="242">
        <v>13</v>
      </c>
      <c r="L14" s="242" t="str">
        <f t="shared" si="0"/>
        <v/>
      </c>
      <c r="M14" s="242" t="str">
        <f t="shared" si="1"/>
        <v/>
      </c>
      <c r="N14" s="242" t="str">
        <f t="shared" si="2"/>
        <v/>
      </c>
      <c r="O14" s="242" t="str">
        <f t="shared" si="3"/>
        <v/>
      </c>
      <c r="P14" s="242" t="str">
        <f t="shared" si="4"/>
        <v/>
      </c>
      <c r="Q14" s="242" t="str">
        <f t="shared" si="5"/>
        <v/>
      </c>
      <c r="R14" s="242" t="str">
        <f t="shared" si="6"/>
        <v/>
      </c>
      <c r="S14" s="242" t="str">
        <f t="shared" si="7"/>
        <v/>
      </c>
      <c r="T14" s="242" t="str">
        <f t="shared" si="8"/>
        <v/>
      </c>
      <c r="U14" s="242" t="str">
        <f t="shared" si="9"/>
        <v/>
      </c>
      <c r="V14" s="242" t="str">
        <f t="shared" si="10"/>
        <v/>
      </c>
      <c r="W14" s="242" t="str">
        <f t="shared" si="11"/>
        <v/>
      </c>
    </row>
    <row r="15" spans="1:147" ht="18" customHeight="1" thickBot="1" x14ac:dyDescent="0.25">
      <c r="A15" s="250"/>
      <c r="B15" s="541"/>
      <c r="C15" s="544"/>
      <c r="D15" s="266"/>
      <c r="E15" s="267"/>
      <c r="F15" s="268" t="str">
        <f>IF(B13="","",IF(E15="","",IF(F14="None","",B13-E15)))</f>
        <v/>
      </c>
      <c r="G15" s="252"/>
      <c r="K15" s="242">
        <v>14</v>
      </c>
      <c r="L15" s="242" t="str">
        <f t="shared" si="0"/>
        <v/>
      </c>
      <c r="M15" s="242" t="str">
        <f t="shared" si="1"/>
        <v/>
      </c>
      <c r="N15" s="242" t="str">
        <f t="shared" si="2"/>
        <v/>
      </c>
      <c r="O15" s="242" t="str">
        <f t="shared" si="3"/>
        <v/>
      </c>
      <c r="P15" s="242" t="str">
        <f t="shared" si="4"/>
        <v/>
      </c>
      <c r="Q15" s="242" t="str">
        <f t="shared" si="5"/>
        <v/>
      </c>
      <c r="R15" s="242" t="str">
        <f t="shared" si="6"/>
        <v/>
      </c>
      <c r="S15" s="242" t="str">
        <f t="shared" si="7"/>
        <v/>
      </c>
      <c r="T15" s="242" t="str">
        <f t="shared" si="8"/>
        <v/>
      </c>
      <c r="U15" s="242" t="str">
        <f t="shared" si="9"/>
        <v/>
      </c>
      <c r="V15" s="242" t="str">
        <f t="shared" si="10"/>
        <v/>
      </c>
      <c r="W15" s="242" t="str">
        <f t="shared" si="11"/>
        <v/>
      </c>
    </row>
    <row r="16" spans="1:147" ht="20.25" customHeight="1" thickBot="1" x14ac:dyDescent="0.25">
      <c r="A16" s="250"/>
      <c r="B16" s="253"/>
      <c r="C16" s="253"/>
      <c r="D16" s="269"/>
      <c r="E16" s="270"/>
      <c r="F16" s="270"/>
      <c r="G16" s="252"/>
      <c r="K16" s="242">
        <v>15</v>
      </c>
      <c r="L16" s="242" t="str">
        <f t="shared" si="0"/>
        <v/>
      </c>
      <c r="M16" s="242" t="str">
        <f t="shared" si="1"/>
        <v/>
      </c>
      <c r="N16" s="242" t="str">
        <f t="shared" si="2"/>
        <v/>
      </c>
      <c r="O16" s="242" t="str">
        <f t="shared" si="3"/>
        <v/>
      </c>
      <c r="P16" s="242" t="str">
        <f t="shared" si="4"/>
        <v/>
      </c>
      <c r="Q16" s="242" t="str">
        <f t="shared" si="5"/>
        <v/>
      </c>
      <c r="R16" s="242" t="str">
        <f t="shared" si="6"/>
        <v/>
      </c>
      <c r="S16" s="242" t="str">
        <f t="shared" si="7"/>
        <v/>
      </c>
      <c r="T16" s="242" t="str">
        <f t="shared" si="8"/>
        <v/>
      </c>
      <c r="U16" s="242" t="str">
        <f t="shared" si="9"/>
        <v/>
      </c>
      <c r="V16" s="242" t="str">
        <f t="shared" si="10"/>
        <v/>
      </c>
      <c r="W16" s="242" t="str">
        <f t="shared" si="11"/>
        <v/>
      </c>
    </row>
    <row r="17" spans="1:23" ht="13.5" thickBot="1" x14ac:dyDescent="0.25">
      <c r="A17" s="250"/>
      <c r="B17" s="254" t="s">
        <v>35</v>
      </c>
      <c r="C17" s="255" t="s">
        <v>33</v>
      </c>
      <c r="D17" s="548" t="s">
        <v>34</v>
      </c>
      <c r="E17" s="549"/>
      <c r="F17" s="550"/>
      <c r="G17" s="252"/>
      <c r="K17" s="242">
        <v>16</v>
      </c>
      <c r="L17" s="242" t="str">
        <f t="shared" si="0"/>
        <v/>
      </c>
      <c r="M17" s="242" t="str">
        <f t="shared" si="1"/>
        <v/>
      </c>
      <c r="N17" s="242" t="str">
        <f t="shared" si="2"/>
        <v/>
      </c>
      <c r="O17" s="242" t="str">
        <f t="shared" si="3"/>
        <v/>
      </c>
      <c r="P17" s="242" t="str">
        <f t="shared" si="4"/>
        <v/>
      </c>
      <c r="Q17" s="242" t="str">
        <f t="shared" si="5"/>
        <v/>
      </c>
      <c r="R17" s="242" t="str">
        <f t="shared" si="6"/>
        <v/>
      </c>
      <c r="S17" s="242" t="str">
        <f t="shared" si="7"/>
        <v/>
      </c>
      <c r="T17" s="242" t="str">
        <f t="shared" si="8"/>
        <v/>
      </c>
      <c r="U17" s="242" t="str">
        <f t="shared" si="9"/>
        <v/>
      </c>
      <c r="V17" s="242" t="str">
        <f t="shared" si="10"/>
        <v/>
      </c>
      <c r="W17" s="242" t="str">
        <f t="shared" si="11"/>
        <v/>
      </c>
    </row>
    <row r="18" spans="1:23" ht="33.75" customHeight="1" thickBot="1" x14ac:dyDescent="0.25">
      <c r="A18" s="250"/>
      <c r="B18" s="271" t="s">
        <v>91</v>
      </c>
      <c r="C18" s="257"/>
      <c r="D18" s="545"/>
      <c r="E18" s="546"/>
      <c r="F18" s="547"/>
      <c r="G18" s="252"/>
      <c r="K18" s="242">
        <v>17</v>
      </c>
      <c r="L18" s="242" t="str">
        <f t="shared" si="0"/>
        <v/>
      </c>
      <c r="M18" s="242" t="str">
        <f t="shared" si="1"/>
        <v/>
      </c>
      <c r="N18" s="242" t="str">
        <f t="shared" si="2"/>
        <v/>
      </c>
      <c r="O18" s="242" t="str">
        <f t="shared" si="3"/>
        <v/>
      </c>
      <c r="P18" s="242" t="str">
        <f t="shared" si="4"/>
        <v/>
      </c>
      <c r="Q18" s="242" t="str">
        <f t="shared" si="5"/>
        <v/>
      </c>
      <c r="R18" s="242" t="str">
        <f t="shared" si="6"/>
        <v/>
      </c>
      <c r="S18" s="242" t="str">
        <f t="shared" si="7"/>
        <v/>
      </c>
      <c r="T18" s="242" t="str">
        <f t="shared" si="8"/>
        <v/>
      </c>
      <c r="U18" s="242" t="str">
        <f t="shared" si="9"/>
        <v/>
      </c>
      <c r="V18" s="242" t="str">
        <f t="shared" si="10"/>
        <v/>
      </c>
      <c r="W18" s="242" t="str">
        <f t="shared" si="11"/>
        <v/>
      </c>
    </row>
    <row r="19" spans="1:23" ht="13.5" customHeight="1" thickBot="1" x14ac:dyDescent="0.25">
      <c r="A19" s="250"/>
      <c r="B19" s="258" t="s">
        <v>143</v>
      </c>
      <c r="C19" s="259" t="s">
        <v>36</v>
      </c>
      <c r="D19" s="260" t="s">
        <v>64</v>
      </c>
      <c r="E19" s="537" t="s">
        <v>41</v>
      </c>
      <c r="F19" s="538"/>
      <c r="G19" s="252"/>
      <c r="K19" s="242">
        <v>18</v>
      </c>
      <c r="L19" s="242" t="str">
        <f t="shared" si="0"/>
        <v/>
      </c>
      <c r="M19" s="242" t="str">
        <f t="shared" si="1"/>
        <v/>
      </c>
      <c r="N19" s="242" t="str">
        <f t="shared" si="2"/>
        <v/>
      </c>
      <c r="O19" s="242" t="str">
        <f t="shared" si="3"/>
        <v/>
      </c>
      <c r="P19" s="242" t="str">
        <f t="shared" si="4"/>
        <v/>
      </c>
      <c r="Q19" s="242" t="str">
        <f t="shared" si="5"/>
        <v/>
      </c>
      <c r="R19" s="242" t="str">
        <f t="shared" si="6"/>
        <v/>
      </c>
      <c r="S19" s="242" t="str">
        <f t="shared" si="7"/>
        <v/>
      </c>
      <c r="T19" s="242" t="str">
        <f t="shared" si="8"/>
        <v/>
      </c>
      <c r="U19" s="242" t="str">
        <f t="shared" si="9"/>
        <v/>
      </c>
      <c r="V19" s="242" t="str">
        <f t="shared" si="10"/>
        <v/>
      </c>
      <c r="W19" s="242" t="str">
        <f t="shared" si="11"/>
        <v/>
      </c>
    </row>
    <row r="20" spans="1:23" ht="17.25" customHeight="1" thickBot="1" x14ac:dyDescent="0.25">
      <c r="A20" s="250"/>
      <c r="B20" s="539"/>
      <c r="C20" s="542"/>
      <c r="D20" s="261"/>
      <c r="E20" s="262" t="s">
        <v>44</v>
      </c>
      <c r="F20" s="263" t="s">
        <v>48</v>
      </c>
      <c r="G20" s="252"/>
      <c r="K20" s="242">
        <v>19</v>
      </c>
      <c r="L20" s="242" t="str">
        <f t="shared" si="0"/>
        <v/>
      </c>
      <c r="M20" s="242" t="str">
        <f t="shared" si="1"/>
        <v/>
      </c>
      <c r="N20" s="242" t="str">
        <f t="shared" si="2"/>
        <v/>
      </c>
      <c r="O20" s="242" t="str">
        <f t="shared" si="3"/>
        <v/>
      </c>
      <c r="P20" s="242" t="str">
        <f t="shared" si="4"/>
        <v/>
      </c>
      <c r="Q20" s="242" t="str">
        <f t="shared" si="5"/>
        <v/>
      </c>
      <c r="R20" s="242" t="str">
        <f t="shared" si="6"/>
        <v/>
      </c>
      <c r="S20" s="242" t="str">
        <f t="shared" si="7"/>
        <v/>
      </c>
      <c r="T20" s="242" t="str">
        <f t="shared" si="8"/>
        <v/>
      </c>
      <c r="U20" s="242" t="str">
        <f t="shared" si="9"/>
        <v/>
      </c>
      <c r="V20" s="242" t="str">
        <f t="shared" si="10"/>
        <v/>
      </c>
      <c r="W20" s="242" t="str">
        <f t="shared" si="11"/>
        <v/>
      </c>
    </row>
    <row r="21" spans="1:23" ht="17.25" customHeight="1" thickBot="1" x14ac:dyDescent="0.25">
      <c r="A21" s="250"/>
      <c r="B21" s="540"/>
      <c r="C21" s="543"/>
      <c r="D21" s="260" t="s">
        <v>60</v>
      </c>
      <c r="E21" s="264"/>
      <c r="F21" s="265"/>
      <c r="G21" s="252"/>
      <c r="K21" s="242">
        <v>20</v>
      </c>
      <c r="L21" s="242" t="str">
        <f t="shared" si="0"/>
        <v/>
      </c>
      <c r="M21" s="242" t="str">
        <f t="shared" si="1"/>
        <v/>
      </c>
      <c r="N21" s="242" t="str">
        <f t="shared" si="2"/>
        <v/>
      </c>
      <c r="O21" s="242" t="str">
        <f t="shared" si="3"/>
        <v/>
      </c>
      <c r="P21" s="242" t="str">
        <f t="shared" si="4"/>
        <v/>
      </c>
      <c r="Q21" s="242" t="str">
        <f t="shared" si="5"/>
        <v/>
      </c>
      <c r="R21" s="242" t="str">
        <f t="shared" si="6"/>
        <v/>
      </c>
      <c r="S21" s="242" t="str">
        <f t="shared" si="7"/>
        <v/>
      </c>
      <c r="T21" s="242" t="str">
        <f t="shared" si="8"/>
        <v/>
      </c>
      <c r="U21" s="242" t="str">
        <f t="shared" si="9"/>
        <v/>
      </c>
      <c r="V21" s="242" t="str">
        <f t="shared" si="10"/>
        <v/>
      </c>
      <c r="W21" s="242" t="str">
        <f t="shared" si="11"/>
        <v/>
      </c>
    </row>
    <row r="22" spans="1:23" ht="18" customHeight="1" thickBot="1" x14ac:dyDescent="0.25">
      <c r="A22" s="250"/>
      <c r="B22" s="541"/>
      <c r="C22" s="544"/>
      <c r="D22" s="272"/>
      <c r="E22" s="267"/>
      <c r="F22" s="268" t="str">
        <f>IF(B20="","",IF(E22="","",IF(F21="None","",B20-E22)))</f>
        <v/>
      </c>
      <c r="G22" s="252"/>
      <c r="K22" s="242">
        <v>21</v>
      </c>
      <c r="L22" s="242" t="str">
        <f t="shared" si="0"/>
        <v/>
      </c>
      <c r="M22" s="242" t="str">
        <f t="shared" si="1"/>
        <v/>
      </c>
      <c r="N22" s="242" t="str">
        <f t="shared" si="2"/>
        <v/>
      </c>
      <c r="O22" s="242" t="str">
        <f t="shared" si="3"/>
        <v/>
      </c>
      <c r="P22" s="242" t="str">
        <f t="shared" si="4"/>
        <v/>
      </c>
      <c r="Q22" s="242" t="str">
        <f t="shared" si="5"/>
        <v/>
      </c>
      <c r="R22" s="242" t="str">
        <f t="shared" si="6"/>
        <v/>
      </c>
      <c r="S22" s="242" t="str">
        <f t="shared" si="7"/>
        <v/>
      </c>
      <c r="T22" s="242" t="str">
        <f t="shared" si="8"/>
        <v/>
      </c>
      <c r="U22" s="242" t="str">
        <f t="shared" si="9"/>
        <v/>
      </c>
      <c r="V22" s="242" t="str">
        <f t="shared" si="10"/>
        <v/>
      </c>
      <c r="W22" s="242" t="str">
        <f t="shared" si="11"/>
        <v/>
      </c>
    </row>
    <row r="23" spans="1:23" ht="20.25" customHeight="1" thickBot="1" x14ac:dyDescent="0.25">
      <c r="A23" s="250"/>
      <c r="B23" s="253"/>
      <c r="C23" s="253"/>
      <c r="D23" s="251"/>
      <c r="E23" s="253"/>
      <c r="F23" s="253"/>
      <c r="G23" s="252"/>
      <c r="K23" s="242">
        <v>22</v>
      </c>
      <c r="L23" s="242" t="str">
        <f t="shared" si="0"/>
        <v/>
      </c>
      <c r="M23" s="242" t="str">
        <f t="shared" si="1"/>
        <v/>
      </c>
      <c r="N23" s="242" t="str">
        <f t="shared" si="2"/>
        <v/>
      </c>
      <c r="O23" s="242" t="str">
        <f t="shared" si="3"/>
        <v/>
      </c>
      <c r="P23" s="242" t="str">
        <f t="shared" si="4"/>
        <v/>
      </c>
      <c r="Q23" s="242" t="str">
        <f t="shared" si="5"/>
        <v/>
      </c>
      <c r="R23" s="242" t="str">
        <f t="shared" si="6"/>
        <v/>
      </c>
      <c r="S23" s="242" t="str">
        <f t="shared" si="7"/>
        <v/>
      </c>
      <c r="T23" s="242" t="str">
        <f t="shared" si="8"/>
        <v/>
      </c>
      <c r="U23" s="242" t="str">
        <f t="shared" si="9"/>
        <v/>
      </c>
      <c r="V23" s="242" t="str">
        <f t="shared" si="10"/>
        <v/>
      </c>
      <c r="W23" s="242" t="str">
        <f t="shared" si="11"/>
        <v/>
      </c>
    </row>
    <row r="24" spans="1:23" ht="12.75" customHeight="1" thickBot="1" x14ac:dyDescent="0.25">
      <c r="A24" s="250"/>
      <c r="B24" s="254" t="s">
        <v>35</v>
      </c>
      <c r="C24" s="255" t="s">
        <v>33</v>
      </c>
      <c r="D24" s="548" t="s">
        <v>34</v>
      </c>
      <c r="E24" s="549"/>
      <c r="F24" s="550"/>
      <c r="G24" s="252"/>
      <c r="K24" s="242">
        <v>23</v>
      </c>
      <c r="L24" s="242" t="str">
        <f t="shared" si="0"/>
        <v/>
      </c>
      <c r="M24" s="242" t="str">
        <f t="shared" si="1"/>
        <v/>
      </c>
      <c r="N24" s="242" t="str">
        <f t="shared" si="2"/>
        <v/>
      </c>
      <c r="O24" s="242" t="str">
        <f t="shared" si="3"/>
        <v/>
      </c>
      <c r="P24" s="242" t="str">
        <f t="shared" si="4"/>
        <v/>
      </c>
      <c r="Q24" s="242" t="str">
        <f t="shared" si="5"/>
        <v/>
      </c>
      <c r="R24" s="242" t="str">
        <f t="shared" si="6"/>
        <v/>
      </c>
      <c r="S24" s="242" t="str">
        <f t="shared" si="7"/>
        <v/>
      </c>
      <c r="T24" s="242" t="str">
        <f t="shared" si="8"/>
        <v/>
      </c>
      <c r="U24" s="242" t="str">
        <f t="shared" si="9"/>
        <v/>
      </c>
      <c r="V24" s="242" t="str">
        <f t="shared" si="10"/>
        <v/>
      </c>
      <c r="W24" s="242" t="str">
        <f t="shared" si="11"/>
        <v/>
      </c>
    </row>
    <row r="25" spans="1:23" ht="33.75" customHeight="1" thickBot="1" x14ac:dyDescent="0.25">
      <c r="A25" s="250"/>
      <c r="B25" s="271" t="s">
        <v>92</v>
      </c>
      <c r="C25" s="257"/>
      <c r="D25" s="545"/>
      <c r="E25" s="546"/>
      <c r="F25" s="547"/>
      <c r="G25" s="252"/>
      <c r="K25" s="242">
        <v>24</v>
      </c>
      <c r="L25" s="242" t="str">
        <f t="shared" si="0"/>
        <v/>
      </c>
      <c r="M25" s="242" t="str">
        <f t="shared" si="1"/>
        <v/>
      </c>
      <c r="N25" s="242" t="str">
        <f t="shared" si="2"/>
        <v/>
      </c>
      <c r="O25" s="242" t="str">
        <f t="shared" si="3"/>
        <v/>
      </c>
      <c r="P25" s="242" t="str">
        <f t="shared" si="4"/>
        <v/>
      </c>
      <c r="Q25" s="242" t="str">
        <f t="shared" si="5"/>
        <v/>
      </c>
      <c r="R25" s="242" t="str">
        <f t="shared" si="6"/>
        <v/>
      </c>
      <c r="S25" s="242" t="str">
        <f t="shared" si="7"/>
        <v/>
      </c>
      <c r="T25" s="242" t="str">
        <f t="shared" si="8"/>
        <v/>
      </c>
      <c r="U25" s="242" t="str">
        <f t="shared" si="9"/>
        <v/>
      </c>
      <c r="V25" s="242" t="str">
        <f t="shared" si="10"/>
        <v/>
      </c>
      <c r="W25" s="242" t="str">
        <f t="shared" si="11"/>
        <v/>
      </c>
    </row>
    <row r="26" spans="1:23" ht="13.5" customHeight="1" thickBot="1" x14ac:dyDescent="0.25">
      <c r="A26" s="250"/>
      <c r="B26" s="258" t="s">
        <v>143</v>
      </c>
      <c r="C26" s="259" t="s">
        <v>36</v>
      </c>
      <c r="D26" s="260" t="s">
        <v>64</v>
      </c>
      <c r="E26" s="537" t="s">
        <v>41</v>
      </c>
      <c r="F26" s="538"/>
      <c r="G26" s="252"/>
      <c r="K26" s="242">
        <v>25</v>
      </c>
      <c r="L26" s="242" t="str">
        <f t="shared" si="0"/>
        <v/>
      </c>
      <c r="M26" s="242" t="str">
        <f t="shared" si="1"/>
        <v/>
      </c>
      <c r="N26" s="242" t="str">
        <f t="shared" si="2"/>
        <v/>
      </c>
      <c r="O26" s="242" t="str">
        <f t="shared" si="3"/>
        <v/>
      </c>
      <c r="P26" s="242" t="str">
        <f t="shared" si="4"/>
        <v/>
      </c>
      <c r="Q26" s="242" t="str">
        <f t="shared" si="5"/>
        <v/>
      </c>
      <c r="R26" s="242" t="str">
        <f t="shared" si="6"/>
        <v/>
      </c>
      <c r="S26" s="242" t="str">
        <f t="shared" si="7"/>
        <v/>
      </c>
      <c r="T26" s="242" t="str">
        <f t="shared" si="8"/>
        <v/>
      </c>
      <c r="U26" s="242" t="str">
        <f t="shared" si="9"/>
        <v/>
      </c>
      <c r="V26" s="242" t="str">
        <f t="shared" si="10"/>
        <v/>
      </c>
      <c r="W26" s="242" t="str">
        <f t="shared" si="11"/>
        <v/>
      </c>
    </row>
    <row r="27" spans="1:23" ht="17.25" customHeight="1" thickBot="1" x14ac:dyDescent="0.25">
      <c r="A27" s="250"/>
      <c r="B27" s="539"/>
      <c r="C27" s="542"/>
      <c r="D27" s="261"/>
      <c r="E27" s="262" t="s">
        <v>44</v>
      </c>
      <c r="F27" s="263" t="s">
        <v>48</v>
      </c>
      <c r="G27" s="252"/>
      <c r="K27" s="242">
        <v>26</v>
      </c>
      <c r="L27" s="242" t="str">
        <f t="shared" si="0"/>
        <v/>
      </c>
      <c r="M27" s="242" t="str">
        <f t="shared" si="1"/>
        <v/>
      </c>
      <c r="N27" s="242" t="str">
        <f t="shared" si="2"/>
        <v/>
      </c>
      <c r="O27" s="242" t="str">
        <f t="shared" si="3"/>
        <v/>
      </c>
      <c r="P27" s="242" t="str">
        <f t="shared" si="4"/>
        <v/>
      </c>
      <c r="Q27" s="242" t="str">
        <f t="shared" si="5"/>
        <v/>
      </c>
      <c r="R27" s="242" t="str">
        <f t="shared" si="6"/>
        <v/>
      </c>
      <c r="S27" s="242" t="str">
        <f t="shared" si="7"/>
        <v/>
      </c>
      <c r="T27" s="242" t="str">
        <f t="shared" si="8"/>
        <v/>
      </c>
      <c r="U27" s="242" t="str">
        <f t="shared" si="9"/>
        <v/>
      </c>
      <c r="V27" s="242" t="str">
        <f t="shared" si="10"/>
        <v/>
      </c>
      <c r="W27" s="242" t="str">
        <f t="shared" si="11"/>
        <v/>
      </c>
    </row>
    <row r="28" spans="1:23" ht="17.25" customHeight="1" thickBot="1" x14ac:dyDescent="0.25">
      <c r="A28" s="250"/>
      <c r="B28" s="540"/>
      <c r="C28" s="543"/>
      <c r="D28" s="260" t="s">
        <v>60</v>
      </c>
      <c r="E28" s="264"/>
      <c r="F28" s="265"/>
      <c r="G28" s="252"/>
      <c r="K28" s="242">
        <v>27</v>
      </c>
      <c r="L28" s="242" t="str">
        <f t="shared" si="0"/>
        <v/>
      </c>
      <c r="M28" s="242" t="str">
        <f t="shared" si="1"/>
        <v/>
      </c>
      <c r="N28" s="242" t="str">
        <f t="shared" si="2"/>
        <v/>
      </c>
      <c r="O28" s="242" t="str">
        <f t="shared" si="3"/>
        <v/>
      </c>
      <c r="P28" s="242" t="str">
        <f t="shared" si="4"/>
        <v/>
      </c>
      <c r="Q28" s="242" t="str">
        <f t="shared" si="5"/>
        <v/>
      </c>
      <c r="R28" s="242" t="str">
        <f t="shared" si="6"/>
        <v/>
      </c>
      <c r="S28" s="242" t="str">
        <f t="shared" si="7"/>
        <v/>
      </c>
      <c r="T28" s="242" t="str">
        <f t="shared" si="8"/>
        <v/>
      </c>
      <c r="U28" s="242" t="str">
        <f t="shared" si="9"/>
        <v/>
      </c>
      <c r="V28" s="242" t="str">
        <f t="shared" si="10"/>
        <v/>
      </c>
      <c r="W28" s="242" t="str">
        <f t="shared" si="11"/>
        <v/>
      </c>
    </row>
    <row r="29" spans="1:23" ht="18" customHeight="1" thickBot="1" x14ac:dyDescent="0.25">
      <c r="A29" s="250"/>
      <c r="B29" s="541"/>
      <c r="C29" s="544"/>
      <c r="D29" s="272"/>
      <c r="E29" s="267"/>
      <c r="F29" s="268" t="str">
        <f>IF(B27="","",IF(E29="","",IF(F28="None","",B27-E29)))</f>
        <v/>
      </c>
      <c r="G29" s="252"/>
      <c r="K29" s="242">
        <v>28</v>
      </c>
      <c r="L29" s="242" t="str">
        <f t="shared" si="0"/>
        <v/>
      </c>
      <c r="M29" s="242" t="str">
        <f t="shared" si="1"/>
        <v/>
      </c>
      <c r="N29" s="242" t="str">
        <f t="shared" si="2"/>
        <v/>
      </c>
      <c r="O29" s="242" t="str">
        <f t="shared" si="3"/>
        <v/>
      </c>
      <c r="P29" s="242" t="str">
        <f t="shared" si="4"/>
        <v/>
      </c>
      <c r="Q29" s="242" t="str">
        <f t="shared" si="5"/>
        <v/>
      </c>
      <c r="R29" s="242" t="str">
        <f t="shared" si="6"/>
        <v/>
      </c>
      <c r="S29" s="242" t="str">
        <f t="shared" si="7"/>
        <v/>
      </c>
      <c r="T29" s="242" t="str">
        <f t="shared" si="8"/>
        <v/>
      </c>
      <c r="U29" s="242" t="str">
        <f t="shared" si="9"/>
        <v/>
      </c>
      <c r="V29" s="242" t="str">
        <f t="shared" si="10"/>
        <v/>
      </c>
      <c r="W29" s="242" t="str">
        <f t="shared" si="11"/>
        <v/>
      </c>
    </row>
    <row r="30" spans="1:23" ht="20.25" customHeight="1" thickBot="1" x14ac:dyDescent="0.25">
      <c r="A30" s="250"/>
      <c r="B30" s="273"/>
      <c r="C30" s="273"/>
      <c r="D30" s="251"/>
      <c r="E30" s="273"/>
      <c r="F30" s="273"/>
      <c r="G30" s="252"/>
      <c r="K30" s="242">
        <v>29</v>
      </c>
      <c r="L30" s="242" t="str">
        <f t="shared" si="0"/>
        <v/>
      </c>
      <c r="M30" s="242" t="str">
        <f t="shared" si="1"/>
        <v/>
      </c>
      <c r="N30" s="242" t="str">
        <f t="shared" si="2"/>
        <v/>
      </c>
      <c r="O30" s="242" t="str">
        <f t="shared" si="3"/>
        <v/>
      </c>
      <c r="P30" s="242" t="str">
        <f t="shared" si="4"/>
        <v/>
      </c>
      <c r="Q30" s="242" t="str">
        <f t="shared" si="5"/>
        <v/>
      </c>
      <c r="R30" s="242" t="str">
        <f t="shared" si="6"/>
        <v/>
      </c>
      <c r="S30" s="242" t="str">
        <f t="shared" si="7"/>
        <v/>
      </c>
      <c r="T30" s="242" t="str">
        <f t="shared" si="8"/>
        <v/>
      </c>
      <c r="U30" s="242" t="str">
        <f t="shared" si="9"/>
        <v/>
      </c>
      <c r="V30" s="242" t="str">
        <f t="shared" si="10"/>
        <v/>
      </c>
      <c r="W30" s="242" t="str">
        <f t="shared" si="11"/>
        <v/>
      </c>
    </row>
    <row r="31" spans="1:23" ht="13.5" thickBot="1" x14ac:dyDescent="0.25">
      <c r="A31" s="250"/>
      <c r="B31" s="254" t="s">
        <v>35</v>
      </c>
      <c r="C31" s="255" t="s">
        <v>33</v>
      </c>
      <c r="D31" s="548" t="s">
        <v>34</v>
      </c>
      <c r="E31" s="549"/>
      <c r="F31" s="550"/>
      <c r="G31" s="252"/>
      <c r="K31" s="242">
        <v>30</v>
      </c>
      <c r="L31" s="242" t="str">
        <f t="shared" si="0"/>
        <v/>
      </c>
      <c r="M31" s="242" t="str">
        <f t="shared" si="1"/>
        <v/>
      </c>
      <c r="N31" s="242" t="str">
        <f t="shared" si="2"/>
        <v/>
      </c>
      <c r="O31" s="242" t="str">
        <f t="shared" si="3"/>
        <v/>
      </c>
      <c r="P31" s="242" t="str">
        <f t="shared" si="4"/>
        <v/>
      </c>
      <c r="Q31" s="242" t="str">
        <f t="shared" si="5"/>
        <v/>
      </c>
      <c r="R31" s="242" t="str">
        <f t="shared" si="6"/>
        <v/>
      </c>
      <c r="S31" s="242" t="str">
        <f t="shared" si="7"/>
        <v/>
      </c>
      <c r="T31" s="242" t="str">
        <f t="shared" si="8"/>
        <v/>
      </c>
      <c r="U31" s="242" t="str">
        <f t="shared" si="9"/>
        <v/>
      </c>
      <c r="V31" s="242" t="str">
        <f t="shared" si="10"/>
        <v/>
      </c>
      <c r="W31" s="242" t="str">
        <f t="shared" si="11"/>
        <v/>
      </c>
    </row>
    <row r="32" spans="1:23" ht="33.75" customHeight="1" thickBot="1" x14ac:dyDescent="0.25">
      <c r="A32" s="250"/>
      <c r="B32" s="271" t="s">
        <v>93</v>
      </c>
      <c r="C32" s="257"/>
      <c r="D32" s="545"/>
      <c r="E32" s="546"/>
      <c r="F32" s="547"/>
      <c r="G32" s="252"/>
      <c r="K32" s="242">
        <v>31</v>
      </c>
      <c r="L32" s="242" t="str">
        <f t="shared" si="0"/>
        <v/>
      </c>
      <c r="M32" s="242" t="str">
        <f t="shared" si="1"/>
        <v/>
      </c>
      <c r="N32" s="242" t="str">
        <f t="shared" si="2"/>
        <v/>
      </c>
      <c r="O32" s="242" t="str">
        <f t="shared" si="3"/>
        <v/>
      </c>
      <c r="P32" s="242" t="str">
        <f t="shared" si="4"/>
        <v/>
      </c>
      <c r="Q32" s="242" t="str">
        <f t="shared" si="5"/>
        <v/>
      </c>
      <c r="R32" s="242" t="str">
        <f t="shared" si="6"/>
        <v/>
      </c>
      <c r="S32" s="242" t="str">
        <f t="shared" si="7"/>
        <v/>
      </c>
      <c r="T32" s="242" t="str">
        <f t="shared" si="8"/>
        <v/>
      </c>
      <c r="U32" s="242" t="str">
        <f t="shared" si="9"/>
        <v/>
      </c>
      <c r="V32" s="242" t="str">
        <f t="shared" si="10"/>
        <v/>
      </c>
      <c r="W32" s="242" t="str">
        <f t="shared" si="11"/>
        <v/>
      </c>
    </row>
    <row r="33" spans="1:23" ht="13.5" customHeight="1" thickBot="1" x14ac:dyDescent="0.25">
      <c r="A33" s="250"/>
      <c r="B33" s="258" t="s">
        <v>143</v>
      </c>
      <c r="C33" s="259" t="s">
        <v>36</v>
      </c>
      <c r="D33" s="260" t="s">
        <v>64</v>
      </c>
      <c r="E33" s="537" t="s">
        <v>41</v>
      </c>
      <c r="F33" s="538"/>
      <c r="G33" s="252"/>
      <c r="K33" s="242">
        <v>32</v>
      </c>
      <c r="L33" s="242" t="str">
        <f t="shared" si="0"/>
        <v/>
      </c>
      <c r="M33" s="242" t="str">
        <f t="shared" si="1"/>
        <v/>
      </c>
      <c r="N33" s="242" t="str">
        <f t="shared" si="2"/>
        <v/>
      </c>
      <c r="O33" s="242" t="str">
        <f t="shared" si="3"/>
        <v/>
      </c>
      <c r="P33" s="242" t="str">
        <f t="shared" si="4"/>
        <v/>
      </c>
      <c r="Q33" s="242" t="str">
        <f t="shared" si="5"/>
        <v/>
      </c>
      <c r="R33" s="242" t="str">
        <f t="shared" si="6"/>
        <v/>
      </c>
      <c r="S33" s="242" t="str">
        <f t="shared" si="7"/>
        <v/>
      </c>
      <c r="T33" s="242" t="str">
        <f t="shared" si="8"/>
        <v/>
      </c>
      <c r="U33" s="242" t="str">
        <f t="shared" si="9"/>
        <v/>
      </c>
      <c r="V33" s="242" t="str">
        <f t="shared" si="10"/>
        <v/>
      </c>
      <c r="W33" s="242" t="str">
        <f t="shared" si="11"/>
        <v/>
      </c>
    </row>
    <row r="34" spans="1:23" ht="17.25" customHeight="1" thickBot="1" x14ac:dyDescent="0.25">
      <c r="A34" s="250"/>
      <c r="B34" s="539"/>
      <c r="C34" s="542"/>
      <c r="D34" s="261"/>
      <c r="E34" s="262" t="s">
        <v>44</v>
      </c>
      <c r="F34" s="263" t="s">
        <v>48</v>
      </c>
      <c r="G34" s="252"/>
      <c r="K34" s="242">
        <v>33</v>
      </c>
      <c r="L34" s="242" t="str">
        <f t="shared" si="0"/>
        <v/>
      </c>
      <c r="M34" s="242" t="str">
        <f t="shared" si="1"/>
        <v/>
      </c>
      <c r="N34" s="242" t="str">
        <f t="shared" si="2"/>
        <v/>
      </c>
      <c r="O34" s="242" t="str">
        <f t="shared" si="3"/>
        <v/>
      </c>
      <c r="P34" s="242" t="str">
        <f t="shared" si="4"/>
        <v/>
      </c>
      <c r="Q34" s="242" t="str">
        <f t="shared" si="5"/>
        <v/>
      </c>
      <c r="R34" s="242" t="str">
        <f t="shared" si="6"/>
        <v/>
      </c>
      <c r="S34" s="242" t="str">
        <f t="shared" si="7"/>
        <v/>
      </c>
      <c r="T34" s="242" t="str">
        <f t="shared" si="8"/>
        <v/>
      </c>
      <c r="U34" s="242" t="str">
        <f t="shared" si="9"/>
        <v/>
      </c>
      <c r="V34" s="242" t="str">
        <f t="shared" si="10"/>
        <v/>
      </c>
      <c r="W34" s="242" t="str">
        <f t="shared" si="11"/>
        <v/>
      </c>
    </row>
    <row r="35" spans="1:23" ht="17.25" customHeight="1" thickBot="1" x14ac:dyDescent="0.25">
      <c r="A35" s="250"/>
      <c r="B35" s="540"/>
      <c r="C35" s="543"/>
      <c r="D35" s="260" t="s">
        <v>60</v>
      </c>
      <c r="E35" s="264"/>
      <c r="F35" s="265"/>
      <c r="G35" s="252"/>
      <c r="K35" s="242">
        <v>34</v>
      </c>
      <c r="L35" s="242" t="str">
        <f t="shared" si="0"/>
        <v/>
      </c>
      <c r="M35" s="242" t="str">
        <f t="shared" si="1"/>
        <v/>
      </c>
      <c r="N35" s="242" t="str">
        <f t="shared" si="2"/>
        <v/>
      </c>
      <c r="O35" s="242" t="str">
        <f t="shared" si="3"/>
        <v/>
      </c>
      <c r="P35" s="242" t="str">
        <f t="shared" si="4"/>
        <v/>
      </c>
      <c r="Q35" s="242" t="str">
        <f t="shared" si="5"/>
        <v/>
      </c>
      <c r="R35" s="242" t="str">
        <f t="shared" si="6"/>
        <v/>
      </c>
      <c r="S35" s="242" t="str">
        <f t="shared" si="7"/>
        <v/>
      </c>
      <c r="T35" s="242" t="str">
        <f t="shared" si="8"/>
        <v/>
      </c>
      <c r="U35" s="242" t="str">
        <f t="shared" si="9"/>
        <v/>
      </c>
      <c r="V35" s="242" t="str">
        <f t="shared" si="10"/>
        <v/>
      </c>
      <c r="W35" s="242" t="str">
        <f t="shared" si="11"/>
        <v/>
      </c>
    </row>
    <row r="36" spans="1:23" ht="18" customHeight="1" thickBot="1" x14ac:dyDescent="0.25">
      <c r="A36" s="250"/>
      <c r="B36" s="541"/>
      <c r="C36" s="544"/>
      <c r="D36" s="272"/>
      <c r="E36" s="267"/>
      <c r="F36" s="268" t="str">
        <f>IF(B34="","",IF(E36="","",IF(F35="None","",B34-E36)))</f>
        <v/>
      </c>
      <c r="G36" s="252"/>
      <c r="K36" s="242">
        <v>35</v>
      </c>
      <c r="L36" s="242" t="str">
        <f t="shared" si="0"/>
        <v/>
      </c>
      <c r="M36" s="242" t="str">
        <f t="shared" si="1"/>
        <v/>
      </c>
      <c r="N36" s="242" t="str">
        <f t="shared" si="2"/>
        <v/>
      </c>
      <c r="O36" s="242" t="str">
        <f t="shared" si="3"/>
        <v/>
      </c>
      <c r="P36" s="242" t="str">
        <f t="shared" si="4"/>
        <v/>
      </c>
      <c r="Q36" s="242" t="str">
        <f t="shared" si="5"/>
        <v/>
      </c>
      <c r="R36" s="242" t="str">
        <f t="shared" si="6"/>
        <v/>
      </c>
      <c r="S36" s="242" t="str">
        <f t="shared" si="7"/>
        <v/>
      </c>
      <c r="T36" s="242" t="str">
        <f t="shared" si="8"/>
        <v/>
      </c>
      <c r="U36" s="242" t="str">
        <f t="shared" si="9"/>
        <v/>
      </c>
      <c r="V36" s="242" t="str">
        <f t="shared" si="10"/>
        <v/>
      </c>
      <c r="W36" s="242" t="str">
        <f t="shared" si="11"/>
        <v/>
      </c>
    </row>
    <row r="37" spans="1:23" ht="20.25" customHeight="1" thickBot="1" x14ac:dyDescent="0.25">
      <c r="A37" s="250"/>
      <c r="B37" s="273"/>
      <c r="C37" s="274"/>
      <c r="D37" s="251"/>
      <c r="E37" s="273"/>
      <c r="F37" s="274"/>
      <c r="G37" s="252"/>
      <c r="K37" s="242">
        <v>36</v>
      </c>
      <c r="L37" s="242" t="str">
        <f t="shared" si="0"/>
        <v/>
      </c>
      <c r="M37" s="242" t="str">
        <f t="shared" si="1"/>
        <v/>
      </c>
      <c r="N37" s="242" t="str">
        <f t="shared" si="2"/>
        <v/>
      </c>
      <c r="O37" s="242" t="str">
        <f t="shared" si="3"/>
        <v/>
      </c>
      <c r="P37" s="242" t="str">
        <f t="shared" si="4"/>
        <v/>
      </c>
      <c r="Q37" s="242" t="str">
        <f t="shared" si="5"/>
        <v/>
      </c>
      <c r="R37" s="242" t="str">
        <f t="shared" si="6"/>
        <v/>
      </c>
      <c r="S37" s="242" t="str">
        <f t="shared" si="7"/>
        <v/>
      </c>
      <c r="T37" s="242" t="str">
        <f t="shared" si="8"/>
        <v/>
      </c>
      <c r="U37" s="242" t="str">
        <f t="shared" si="9"/>
        <v/>
      </c>
      <c r="V37" s="242" t="str">
        <f t="shared" si="10"/>
        <v/>
      </c>
      <c r="W37" s="242" t="str">
        <f t="shared" si="11"/>
        <v/>
      </c>
    </row>
    <row r="38" spans="1:23" ht="13.5" thickBot="1" x14ac:dyDescent="0.25">
      <c r="A38" s="250"/>
      <c r="B38" s="254" t="s">
        <v>35</v>
      </c>
      <c r="C38" s="255" t="s">
        <v>33</v>
      </c>
      <c r="D38" s="548" t="s">
        <v>34</v>
      </c>
      <c r="E38" s="549"/>
      <c r="F38" s="550"/>
      <c r="G38" s="252"/>
      <c r="K38" s="242">
        <v>37</v>
      </c>
      <c r="L38" s="242" t="str">
        <f t="shared" si="0"/>
        <v/>
      </c>
      <c r="M38" s="242" t="str">
        <f t="shared" si="1"/>
        <v/>
      </c>
      <c r="N38" s="242" t="str">
        <f t="shared" si="2"/>
        <v/>
      </c>
      <c r="O38" s="242" t="str">
        <f t="shared" si="3"/>
        <v/>
      </c>
      <c r="P38" s="242" t="str">
        <f t="shared" si="4"/>
        <v/>
      </c>
      <c r="Q38" s="242" t="str">
        <f t="shared" si="5"/>
        <v/>
      </c>
      <c r="R38" s="242" t="str">
        <f t="shared" si="6"/>
        <v/>
      </c>
      <c r="S38" s="242" t="str">
        <f t="shared" si="7"/>
        <v/>
      </c>
      <c r="T38" s="242" t="str">
        <f t="shared" si="8"/>
        <v/>
      </c>
      <c r="U38" s="242" t="str">
        <f t="shared" si="9"/>
        <v/>
      </c>
      <c r="V38" s="242" t="str">
        <f t="shared" si="10"/>
        <v/>
      </c>
      <c r="W38" s="242" t="str">
        <f t="shared" si="11"/>
        <v/>
      </c>
    </row>
    <row r="39" spans="1:23" ht="33.75" customHeight="1" thickBot="1" x14ac:dyDescent="0.25">
      <c r="A39" s="250"/>
      <c r="B39" s="271" t="s">
        <v>94</v>
      </c>
      <c r="C39" s="257"/>
      <c r="D39" s="545"/>
      <c r="E39" s="546"/>
      <c r="F39" s="547"/>
      <c r="G39" s="252"/>
      <c r="K39" s="242">
        <v>38</v>
      </c>
      <c r="L39" s="242" t="str">
        <f t="shared" si="0"/>
        <v/>
      </c>
      <c r="M39" s="242" t="str">
        <f t="shared" si="1"/>
        <v/>
      </c>
      <c r="N39" s="242" t="str">
        <f t="shared" si="2"/>
        <v/>
      </c>
      <c r="O39" s="242" t="str">
        <f t="shared" si="3"/>
        <v/>
      </c>
      <c r="P39" s="242" t="str">
        <f t="shared" si="4"/>
        <v/>
      </c>
      <c r="Q39" s="242" t="str">
        <f t="shared" si="5"/>
        <v/>
      </c>
      <c r="R39" s="242" t="str">
        <f t="shared" si="6"/>
        <v/>
      </c>
      <c r="S39" s="242" t="str">
        <f t="shared" si="7"/>
        <v/>
      </c>
      <c r="T39" s="242" t="str">
        <f t="shared" si="8"/>
        <v/>
      </c>
      <c r="U39" s="242" t="str">
        <f t="shared" si="9"/>
        <v/>
      </c>
      <c r="V39" s="242" t="str">
        <f t="shared" si="10"/>
        <v/>
      </c>
      <c r="W39" s="242" t="str">
        <f t="shared" si="11"/>
        <v/>
      </c>
    </row>
    <row r="40" spans="1:23" ht="12.75" customHeight="1" thickBot="1" x14ac:dyDescent="0.25">
      <c r="A40" s="250"/>
      <c r="B40" s="258" t="s">
        <v>143</v>
      </c>
      <c r="C40" s="259" t="s">
        <v>36</v>
      </c>
      <c r="D40" s="260" t="s">
        <v>64</v>
      </c>
      <c r="E40" s="537" t="s">
        <v>41</v>
      </c>
      <c r="F40" s="538"/>
      <c r="G40" s="252"/>
      <c r="K40" s="242">
        <v>39</v>
      </c>
      <c r="L40" s="242" t="str">
        <f t="shared" si="0"/>
        <v/>
      </c>
      <c r="M40" s="242" t="str">
        <f t="shared" si="1"/>
        <v/>
      </c>
      <c r="N40" s="242" t="str">
        <f t="shared" si="2"/>
        <v/>
      </c>
      <c r="O40" s="242" t="str">
        <f t="shared" si="3"/>
        <v/>
      </c>
      <c r="P40" s="242" t="str">
        <f t="shared" si="4"/>
        <v/>
      </c>
      <c r="Q40" s="242" t="str">
        <f t="shared" si="5"/>
        <v/>
      </c>
      <c r="R40" s="242" t="str">
        <f t="shared" si="6"/>
        <v/>
      </c>
      <c r="S40" s="242" t="str">
        <f t="shared" si="7"/>
        <v/>
      </c>
      <c r="T40" s="242" t="str">
        <f t="shared" si="8"/>
        <v/>
      </c>
      <c r="U40" s="242" t="str">
        <f t="shared" si="9"/>
        <v/>
      </c>
      <c r="V40" s="242" t="str">
        <f t="shared" si="10"/>
        <v/>
      </c>
      <c r="W40" s="242" t="str">
        <f t="shared" si="11"/>
        <v/>
      </c>
    </row>
    <row r="41" spans="1:23" ht="17.25" customHeight="1" thickBot="1" x14ac:dyDescent="0.25">
      <c r="A41" s="250"/>
      <c r="B41" s="539"/>
      <c r="C41" s="542"/>
      <c r="D41" s="261"/>
      <c r="E41" s="262" t="s">
        <v>44</v>
      </c>
      <c r="F41" s="263" t="s">
        <v>48</v>
      </c>
      <c r="G41" s="252"/>
      <c r="K41" s="242">
        <v>40</v>
      </c>
      <c r="L41" s="242" t="str">
        <f t="shared" si="0"/>
        <v/>
      </c>
      <c r="M41" s="242" t="str">
        <f t="shared" si="1"/>
        <v/>
      </c>
      <c r="N41" s="242" t="str">
        <f t="shared" si="2"/>
        <v/>
      </c>
      <c r="O41" s="242" t="str">
        <f t="shared" si="3"/>
        <v/>
      </c>
      <c r="P41" s="242" t="str">
        <f t="shared" si="4"/>
        <v/>
      </c>
      <c r="Q41" s="242" t="str">
        <f t="shared" si="5"/>
        <v/>
      </c>
      <c r="R41" s="242" t="str">
        <f t="shared" si="6"/>
        <v/>
      </c>
      <c r="S41" s="242" t="str">
        <f t="shared" si="7"/>
        <v/>
      </c>
      <c r="T41" s="242" t="str">
        <f t="shared" si="8"/>
        <v/>
      </c>
      <c r="U41" s="242" t="str">
        <f t="shared" si="9"/>
        <v/>
      </c>
      <c r="V41" s="242" t="str">
        <f t="shared" si="10"/>
        <v/>
      </c>
      <c r="W41" s="242" t="str">
        <f t="shared" si="11"/>
        <v/>
      </c>
    </row>
    <row r="42" spans="1:23" ht="17.25" customHeight="1" thickBot="1" x14ac:dyDescent="0.25">
      <c r="A42" s="250"/>
      <c r="B42" s="540"/>
      <c r="C42" s="543"/>
      <c r="D42" s="260" t="s">
        <v>60</v>
      </c>
      <c r="E42" s="264"/>
      <c r="F42" s="265"/>
      <c r="G42" s="252"/>
      <c r="K42" s="242">
        <v>41</v>
      </c>
      <c r="L42" s="242" t="str">
        <f t="shared" si="0"/>
        <v/>
      </c>
      <c r="M42" s="242" t="str">
        <f t="shared" si="1"/>
        <v/>
      </c>
      <c r="N42" s="242" t="str">
        <f t="shared" si="2"/>
        <v/>
      </c>
      <c r="O42" s="242" t="str">
        <f t="shared" si="3"/>
        <v/>
      </c>
      <c r="P42" s="242" t="str">
        <f t="shared" si="4"/>
        <v/>
      </c>
      <c r="Q42" s="242" t="str">
        <f t="shared" si="5"/>
        <v/>
      </c>
      <c r="R42" s="242" t="str">
        <f t="shared" si="6"/>
        <v/>
      </c>
      <c r="S42" s="242" t="str">
        <f t="shared" si="7"/>
        <v/>
      </c>
      <c r="T42" s="242" t="str">
        <f t="shared" si="8"/>
        <v/>
      </c>
      <c r="U42" s="242" t="str">
        <f t="shared" si="9"/>
        <v/>
      </c>
      <c r="V42" s="242" t="str">
        <f t="shared" si="10"/>
        <v/>
      </c>
      <c r="W42" s="242" t="str">
        <f t="shared" si="11"/>
        <v/>
      </c>
    </row>
    <row r="43" spans="1:23" ht="18" customHeight="1" thickBot="1" x14ac:dyDescent="0.25">
      <c r="A43" s="250"/>
      <c r="B43" s="541"/>
      <c r="C43" s="544"/>
      <c r="D43" s="272"/>
      <c r="E43" s="267"/>
      <c r="F43" s="268" t="str">
        <f>IF(B41="","",IF(E43="","",IF(F42="None","",B41-E43)))</f>
        <v/>
      </c>
      <c r="G43" s="252"/>
      <c r="K43" s="242">
        <v>42</v>
      </c>
      <c r="L43" s="242" t="str">
        <f t="shared" si="0"/>
        <v/>
      </c>
      <c r="M43" s="242" t="str">
        <f t="shared" si="1"/>
        <v/>
      </c>
      <c r="N43" s="242" t="str">
        <f t="shared" si="2"/>
        <v/>
      </c>
      <c r="O43" s="242" t="str">
        <f t="shared" si="3"/>
        <v/>
      </c>
      <c r="P43" s="242" t="str">
        <f t="shared" si="4"/>
        <v/>
      </c>
      <c r="Q43" s="242" t="str">
        <f t="shared" si="5"/>
        <v/>
      </c>
      <c r="R43" s="242" t="str">
        <f t="shared" si="6"/>
        <v/>
      </c>
      <c r="S43" s="242" t="str">
        <f t="shared" si="7"/>
        <v/>
      </c>
      <c r="T43" s="242" t="str">
        <f t="shared" si="8"/>
        <v/>
      </c>
      <c r="U43" s="242" t="str">
        <f t="shared" si="9"/>
        <v/>
      </c>
      <c r="V43" s="242" t="str">
        <f t="shared" si="10"/>
        <v/>
      </c>
      <c r="W43" s="242" t="str">
        <f t="shared" si="11"/>
        <v/>
      </c>
    </row>
    <row r="44" spans="1:23" ht="21" customHeight="1" thickBot="1" x14ac:dyDescent="0.25">
      <c r="A44" s="250"/>
      <c r="B44" s="273"/>
      <c r="C44" s="275"/>
      <c r="D44" s="251"/>
      <c r="E44" s="273"/>
      <c r="F44" s="275"/>
      <c r="G44" s="252"/>
      <c r="K44" s="242">
        <v>43</v>
      </c>
      <c r="L44" s="242" t="str">
        <f t="shared" si="0"/>
        <v/>
      </c>
      <c r="M44" s="242" t="str">
        <f t="shared" si="1"/>
        <v/>
      </c>
      <c r="N44" s="242" t="str">
        <f t="shared" si="2"/>
        <v/>
      </c>
      <c r="O44" s="242" t="str">
        <f t="shared" si="3"/>
        <v/>
      </c>
      <c r="P44" s="242" t="str">
        <f t="shared" si="4"/>
        <v/>
      </c>
      <c r="Q44" s="242" t="str">
        <f t="shared" si="5"/>
        <v/>
      </c>
      <c r="R44" s="242" t="str">
        <f t="shared" si="6"/>
        <v/>
      </c>
      <c r="S44" s="242" t="str">
        <f t="shared" si="7"/>
        <v/>
      </c>
      <c r="T44" s="242" t="str">
        <f t="shared" si="8"/>
        <v/>
      </c>
      <c r="U44" s="242" t="str">
        <f t="shared" si="9"/>
        <v/>
      </c>
      <c r="V44" s="242" t="str">
        <f t="shared" si="10"/>
        <v/>
      </c>
      <c r="W44" s="242" t="str">
        <f t="shared" si="11"/>
        <v/>
      </c>
    </row>
    <row r="45" spans="1:23" ht="13.5" thickBot="1" x14ac:dyDescent="0.25">
      <c r="A45" s="250"/>
      <c r="B45" s="254" t="s">
        <v>35</v>
      </c>
      <c r="C45" s="255" t="s">
        <v>33</v>
      </c>
      <c r="D45" s="548" t="s">
        <v>34</v>
      </c>
      <c r="E45" s="549"/>
      <c r="F45" s="550"/>
      <c r="G45" s="252"/>
      <c r="K45" s="242">
        <v>44</v>
      </c>
      <c r="L45" s="242" t="str">
        <f t="shared" si="0"/>
        <v/>
      </c>
      <c r="M45" s="242" t="str">
        <f t="shared" si="1"/>
        <v/>
      </c>
      <c r="N45" s="242" t="str">
        <f t="shared" si="2"/>
        <v/>
      </c>
      <c r="O45" s="242" t="str">
        <f t="shared" si="3"/>
        <v/>
      </c>
      <c r="P45" s="242" t="str">
        <f t="shared" si="4"/>
        <v/>
      </c>
      <c r="Q45" s="242" t="str">
        <f t="shared" si="5"/>
        <v/>
      </c>
      <c r="R45" s="242" t="str">
        <f t="shared" si="6"/>
        <v/>
      </c>
      <c r="S45" s="242" t="str">
        <f t="shared" si="7"/>
        <v/>
      </c>
      <c r="T45" s="242" t="str">
        <f t="shared" si="8"/>
        <v/>
      </c>
      <c r="U45" s="242" t="str">
        <f t="shared" si="9"/>
        <v/>
      </c>
      <c r="V45" s="242" t="str">
        <f t="shared" si="10"/>
        <v/>
      </c>
      <c r="W45" s="242" t="str">
        <f t="shared" si="11"/>
        <v/>
      </c>
    </row>
    <row r="46" spans="1:23" ht="33.75" customHeight="1" thickBot="1" x14ac:dyDescent="0.25">
      <c r="A46" s="250"/>
      <c r="B46" s="271" t="s">
        <v>95</v>
      </c>
      <c r="C46" s="257"/>
      <c r="D46" s="545"/>
      <c r="E46" s="546"/>
      <c r="F46" s="547"/>
      <c r="G46" s="252"/>
      <c r="K46" s="242">
        <v>45</v>
      </c>
      <c r="L46" s="242" t="str">
        <f t="shared" si="0"/>
        <v/>
      </c>
      <c r="M46" s="242" t="str">
        <f t="shared" si="1"/>
        <v/>
      </c>
      <c r="N46" s="242" t="str">
        <f t="shared" si="2"/>
        <v/>
      </c>
      <c r="O46" s="242" t="str">
        <f t="shared" si="3"/>
        <v/>
      </c>
      <c r="P46" s="242" t="str">
        <f t="shared" si="4"/>
        <v/>
      </c>
      <c r="Q46" s="242" t="str">
        <f t="shared" si="5"/>
        <v/>
      </c>
      <c r="R46" s="242" t="str">
        <f t="shared" si="6"/>
        <v/>
      </c>
      <c r="S46" s="242" t="str">
        <f t="shared" si="7"/>
        <v/>
      </c>
      <c r="T46" s="242" t="str">
        <f t="shared" si="8"/>
        <v/>
      </c>
      <c r="U46" s="242" t="str">
        <f t="shared" si="9"/>
        <v/>
      </c>
      <c r="V46" s="242" t="str">
        <f t="shared" si="10"/>
        <v/>
      </c>
      <c r="W46" s="242" t="str">
        <f t="shared" si="11"/>
        <v/>
      </c>
    </row>
    <row r="47" spans="1:23" ht="12.75" customHeight="1" thickBot="1" x14ac:dyDescent="0.25">
      <c r="A47" s="250"/>
      <c r="B47" s="258" t="s">
        <v>143</v>
      </c>
      <c r="C47" s="259" t="s">
        <v>36</v>
      </c>
      <c r="D47" s="260" t="s">
        <v>64</v>
      </c>
      <c r="E47" s="537" t="s">
        <v>41</v>
      </c>
      <c r="F47" s="538"/>
      <c r="G47" s="252"/>
      <c r="K47" s="242">
        <v>46</v>
      </c>
      <c r="L47" s="242" t="str">
        <f t="shared" si="0"/>
        <v/>
      </c>
      <c r="M47" s="242" t="str">
        <f t="shared" si="1"/>
        <v/>
      </c>
      <c r="N47" s="242" t="str">
        <f t="shared" si="2"/>
        <v/>
      </c>
      <c r="O47" s="242" t="str">
        <f t="shared" si="3"/>
        <v/>
      </c>
      <c r="P47" s="242" t="str">
        <f t="shared" si="4"/>
        <v/>
      </c>
      <c r="Q47" s="242" t="str">
        <f t="shared" si="5"/>
        <v/>
      </c>
      <c r="R47" s="242" t="str">
        <f t="shared" si="6"/>
        <v/>
      </c>
      <c r="S47" s="242" t="str">
        <f t="shared" si="7"/>
        <v/>
      </c>
      <c r="T47" s="242" t="str">
        <f t="shared" si="8"/>
        <v/>
      </c>
      <c r="U47" s="242" t="str">
        <f t="shared" si="9"/>
        <v/>
      </c>
      <c r="V47" s="242" t="str">
        <f t="shared" si="10"/>
        <v/>
      </c>
      <c r="W47" s="242" t="str">
        <f t="shared" si="11"/>
        <v/>
      </c>
    </row>
    <row r="48" spans="1:23" ht="17.25" customHeight="1" thickBot="1" x14ac:dyDescent="0.25">
      <c r="A48" s="250"/>
      <c r="B48" s="539"/>
      <c r="C48" s="542"/>
      <c r="D48" s="261"/>
      <c r="E48" s="262" t="s">
        <v>44</v>
      </c>
      <c r="F48" s="263" t="s">
        <v>48</v>
      </c>
      <c r="G48" s="252"/>
      <c r="K48" s="242">
        <v>47</v>
      </c>
      <c r="L48" s="242" t="str">
        <f t="shared" si="0"/>
        <v/>
      </c>
      <c r="M48" s="242" t="str">
        <f t="shared" si="1"/>
        <v/>
      </c>
      <c r="N48" s="242" t="str">
        <f t="shared" si="2"/>
        <v/>
      </c>
      <c r="O48" s="242" t="str">
        <f t="shared" si="3"/>
        <v/>
      </c>
      <c r="P48" s="242" t="str">
        <f t="shared" si="4"/>
        <v/>
      </c>
      <c r="Q48" s="242" t="str">
        <f t="shared" si="5"/>
        <v/>
      </c>
      <c r="R48" s="242" t="str">
        <f t="shared" si="6"/>
        <v/>
      </c>
      <c r="S48" s="242" t="str">
        <f t="shared" si="7"/>
        <v/>
      </c>
      <c r="T48" s="242" t="str">
        <f t="shared" si="8"/>
        <v/>
      </c>
      <c r="U48" s="242" t="str">
        <f t="shared" si="9"/>
        <v/>
      </c>
      <c r="V48" s="242" t="str">
        <f t="shared" si="10"/>
        <v/>
      </c>
      <c r="W48" s="242" t="str">
        <f t="shared" si="11"/>
        <v/>
      </c>
    </row>
    <row r="49" spans="1:23" ht="17.25" customHeight="1" thickBot="1" x14ac:dyDescent="0.25">
      <c r="A49" s="250"/>
      <c r="B49" s="540"/>
      <c r="C49" s="543"/>
      <c r="D49" s="260" t="s">
        <v>60</v>
      </c>
      <c r="E49" s="264"/>
      <c r="F49" s="265"/>
      <c r="G49" s="252"/>
      <c r="K49" s="242">
        <v>48</v>
      </c>
      <c r="L49" s="242" t="str">
        <f t="shared" si="0"/>
        <v/>
      </c>
      <c r="M49" s="242" t="str">
        <f t="shared" si="1"/>
        <v/>
      </c>
      <c r="N49" s="242" t="str">
        <f t="shared" si="2"/>
        <v/>
      </c>
      <c r="O49" s="242" t="str">
        <f t="shared" si="3"/>
        <v/>
      </c>
      <c r="P49" s="242" t="str">
        <f t="shared" si="4"/>
        <v/>
      </c>
      <c r="Q49" s="242" t="str">
        <f t="shared" si="5"/>
        <v/>
      </c>
      <c r="R49" s="242" t="str">
        <f t="shared" si="6"/>
        <v/>
      </c>
      <c r="S49" s="242" t="str">
        <f t="shared" si="7"/>
        <v/>
      </c>
      <c r="T49" s="242" t="str">
        <f t="shared" si="8"/>
        <v/>
      </c>
      <c r="U49" s="242" t="str">
        <f t="shared" si="9"/>
        <v/>
      </c>
      <c r="V49" s="242" t="str">
        <f t="shared" si="10"/>
        <v/>
      </c>
      <c r="W49" s="242" t="str">
        <f t="shared" si="11"/>
        <v/>
      </c>
    </row>
    <row r="50" spans="1:23" ht="18" customHeight="1" thickBot="1" x14ac:dyDescent="0.25">
      <c r="A50" s="250"/>
      <c r="B50" s="541"/>
      <c r="C50" s="544"/>
      <c r="D50" s="272"/>
      <c r="E50" s="267"/>
      <c r="F50" s="268" t="str">
        <f>IF(B48="","",IF(E50="","",IF(F49="None","",B48-E50)))</f>
        <v/>
      </c>
      <c r="G50" s="252"/>
      <c r="K50" s="242">
        <v>49</v>
      </c>
      <c r="L50" s="242" t="str">
        <f t="shared" si="0"/>
        <v/>
      </c>
      <c r="M50" s="242" t="str">
        <f t="shared" si="1"/>
        <v/>
      </c>
      <c r="N50" s="242" t="str">
        <f t="shared" si="2"/>
        <v/>
      </c>
      <c r="O50" s="242" t="str">
        <f t="shared" si="3"/>
        <v/>
      </c>
      <c r="P50" s="242" t="str">
        <f t="shared" si="4"/>
        <v/>
      </c>
      <c r="Q50" s="242" t="str">
        <f t="shared" si="5"/>
        <v/>
      </c>
      <c r="R50" s="242" t="str">
        <f t="shared" si="6"/>
        <v/>
      </c>
      <c r="S50" s="242" t="str">
        <f t="shared" si="7"/>
        <v/>
      </c>
      <c r="T50" s="242" t="str">
        <f t="shared" si="8"/>
        <v/>
      </c>
      <c r="U50" s="242" t="str">
        <f t="shared" si="9"/>
        <v/>
      </c>
      <c r="V50" s="242" t="str">
        <f t="shared" si="10"/>
        <v/>
      </c>
      <c r="W50" s="242" t="str">
        <f t="shared" si="11"/>
        <v/>
      </c>
    </row>
    <row r="51" spans="1:23" ht="26.25" customHeight="1" thickBot="1" x14ac:dyDescent="0.25">
      <c r="A51" s="276"/>
      <c r="B51" s="277"/>
      <c r="C51" s="277"/>
      <c r="D51" s="278"/>
      <c r="E51" s="277"/>
      <c r="F51" s="277"/>
      <c r="G51" s="279"/>
      <c r="K51" s="242">
        <v>50</v>
      </c>
      <c r="L51" s="242" t="str">
        <f t="shared" si="0"/>
        <v/>
      </c>
      <c r="M51" s="242" t="str">
        <f t="shared" si="1"/>
        <v/>
      </c>
      <c r="N51" s="242" t="str">
        <f t="shared" si="2"/>
        <v/>
      </c>
      <c r="O51" s="242" t="str">
        <f t="shared" si="3"/>
        <v/>
      </c>
      <c r="P51" s="242" t="str">
        <f t="shared" si="4"/>
        <v/>
      </c>
      <c r="Q51" s="242" t="str">
        <f t="shared" si="5"/>
        <v/>
      </c>
      <c r="R51" s="242" t="str">
        <f t="shared" si="6"/>
        <v/>
      </c>
      <c r="S51" s="242" t="str">
        <f t="shared" si="7"/>
        <v/>
      </c>
      <c r="T51" s="242" t="str">
        <f t="shared" si="8"/>
        <v/>
      </c>
      <c r="U51" s="242" t="str">
        <f t="shared" si="9"/>
        <v/>
      </c>
      <c r="V51" s="242" t="str">
        <f t="shared" si="10"/>
        <v/>
      </c>
      <c r="W51" s="242" t="str">
        <f t="shared" si="11"/>
        <v/>
      </c>
    </row>
    <row r="52" spans="1:23" ht="13.5" thickTop="1" x14ac:dyDescent="0.2">
      <c r="A52" s="280"/>
      <c r="B52" s="281"/>
      <c r="C52" s="282"/>
      <c r="D52" s="280"/>
      <c r="E52" s="281"/>
      <c r="F52" s="282"/>
      <c r="G52" s="280"/>
      <c r="H52" s="243"/>
      <c r="K52" s="242">
        <v>51</v>
      </c>
      <c r="L52" s="242" t="str">
        <f t="shared" si="0"/>
        <v/>
      </c>
      <c r="M52" s="242" t="str">
        <f t="shared" si="1"/>
        <v/>
      </c>
      <c r="N52" s="242" t="str">
        <f t="shared" si="2"/>
        <v/>
      </c>
      <c r="O52" s="242" t="str">
        <f t="shared" si="3"/>
        <v/>
      </c>
      <c r="P52" s="242" t="str">
        <f t="shared" si="4"/>
        <v/>
      </c>
      <c r="Q52" s="242" t="str">
        <f t="shared" si="5"/>
        <v/>
      </c>
      <c r="R52" s="242" t="str">
        <f t="shared" si="6"/>
        <v/>
      </c>
      <c r="S52" s="242" t="str">
        <f t="shared" si="7"/>
        <v/>
      </c>
      <c r="T52" s="242" t="str">
        <f t="shared" si="8"/>
        <v/>
      </c>
      <c r="U52" s="242" t="str">
        <f t="shared" si="9"/>
        <v/>
      </c>
      <c r="V52" s="242" t="str">
        <f t="shared" si="10"/>
        <v/>
      </c>
      <c r="W52" s="242" t="str">
        <f t="shared" si="11"/>
        <v/>
      </c>
    </row>
    <row r="53" spans="1:23" x14ac:dyDescent="0.2">
      <c r="A53" s="280"/>
      <c r="B53" s="281"/>
      <c r="C53" s="282"/>
      <c r="D53" s="280"/>
      <c r="E53" s="281"/>
      <c r="F53" s="282"/>
      <c r="G53" s="280"/>
      <c r="H53" s="243"/>
      <c r="K53" s="242">
        <v>52</v>
      </c>
      <c r="L53" s="242" t="str">
        <f t="shared" si="0"/>
        <v/>
      </c>
      <c r="M53" s="242" t="str">
        <f t="shared" si="1"/>
        <v/>
      </c>
      <c r="N53" s="242" t="str">
        <f t="shared" si="2"/>
        <v/>
      </c>
      <c r="O53" s="242" t="str">
        <f t="shared" si="3"/>
        <v/>
      </c>
      <c r="P53" s="242" t="str">
        <f t="shared" si="4"/>
        <v/>
      </c>
      <c r="Q53" s="242" t="str">
        <f t="shared" si="5"/>
        <v/>
      </c>
      <c r="R53" s="242" t="str">
        <f t="shared" si="6"/>
        <v/>
      </c>
      <c r="S53" s="242" t="str">
        <f t="shared" si="7"/>
        <v/>
      </c>
      <c r="T53" s="242" t="str">
        <f t="shared" si="8"/>
        <v/>
      </c>
      <c r="U53" s="242" t="str">
        <f t="shared" si="9"/>
        <v/>
      </c>
      <c r="V53" s="242" t="str">
        <f t="shared" si="10"/>
        <v/>
      </c>
      <c r="W53" s="242" t="str">
        <f t="shared" si="11"/>
        <v/>
      </c>
    </row>
    <row r="54" spans="1:23" x14ac:dyDescent="0.2">
      <c r="A54" s="280"/>
      <c r="B54" s="280"/>
      <c r="C54" s="280"/>
      <c r="D54" s="280"/>
      <c r="E54" s="280"/>
      <c r="F54" s="280"/>
      <c r="G54" s="280"/>
      <c r="H54" s="243"/>
      <c r="K54" s="242">
        <v>53</v>
      </c>
      <c r="L54" s="242" t="str">
        <f t="shared" si="0"/>
        <v/>
      </c>
      <c r="M54" s="242" t="str">
        <f t="shared" si="1"/>
        <v/>
      </c>
      <c r="N54" s="242" t="str">
        <f t="shared" si="2"/>
        <v/>
      </c>
      <c r="O54" s="242" t="str">
        <f t="shared" si="3"/>
        <v/>
      </c>
      <c r="P54" s="242" t="str">
        <f t="shared" si="4"/>
        <v/>
      </c>
      <c r="Q54" s="242" t="str">
        <f t="shared" si="5"/>
        <v/>
      </c>
      <c r="R54" s="242" t="str">
        <f t="shared" si="6"/>
        <v/>
      </c>
      <c r="S54" s="242" t="str">
        <f t="shared" si="7"/>
        <v/>
      </c>
      <c r="T54" s="242" t="str">
        <f t="shared" si="8"/>
        <v/>
      </c>
      <c r="U54" s="242" t="str">
        <f t="shared" si="9"/>
        <v/>
      </c>
      <c r="V54" s="242" t="str">
        <f t="shared" si="10"/>
        <v/>
      </c>
      <c r="W54" s="242" t="str">
        <f t="shared" si="11"/>
        <v/>
      </c>
    </row>
    <row r="55" spans="1:23" x14ac:dyDescent="0.2">
      <c r="A55" s="280"/>
      <c r="B55" s="280"/>
      <c r="C55" s="280"/>
      <c r="D55" s="280"/>
      <c r="E55" s="280"/>
      <c r="F55" s="280"/>
      <c r="G55" s="280"/>
      <c r="H55" s="243"/>
      <c r="K55" s="242">
        <v>54</v>
      </c>
      <c r="L55" s="242" t="str">
        <f t="shared" si="0"/>
        <v/>
      </c>
      <c r="M55" s="242" t="str">
        <f t="shared" si="1"/>
        <v/>
      </c>
      <c r="N55" s="242" t="str">
        <f t="shared" si="2"/>
        <v/>
      </c>
      <c r="O55" s="242" t="str">
        <f t="shared" si="3"/>
        <v/>
      </c>
      <c r="P55" s="242" t="str">
        <f t="shared" si="4"/>
        <v/>
      </c>
      <c r="Q55" s="242" t="str">
        <f t="shared" si="5"/>
        <v/>
      </c>
      <c r="R55" s="242" t="str">
        <f t="shared" si="6"/>
        <v/>
      </c>
      <c r="S55" s="242" t="str">
        <f t="shared" si="7"/>
        <v/>
      </c>
      <c r="T55" s="242" t="str">
        <f t="shared" si="8"/>
        <v/>
      </c>
      <c r="U55" s="242" t="str">
        <f t="shared" si="9"/>
        <v/>
      </c>
      <c r="V55" s="242" t="str">
        <f t="shared" si="10"/>
        <v/>
      </c>
      <c r="W55" s="242" t="str">
        <f t="shared" si="11"/>
        <v/>
      </c>
    </row>
    <row r="56" spans="1:23" x14ac:dyDescent="0.2">
      <c r="A56" s="280"/>
      <c r="B56" s="280"/>
      <c r="C56" s="280"/>
      <c r="D56" s="280"/>
      <c r="E56" s="280"/>
      <c r="F56" s="280"/>
      <c r="G56" s="280"/>
      <c r="H56" s="243"/>
      <c r="K56" s="242">
        <v>55</v>
      </c>
      <c r="L56" s="242" t="str">
        <f t="shared" si="0"/>
        <v/>
      </c>
      <c r="M56" s="242" t="str">
        <f t="shared" si="1"/>
        <v/>
      </c>
      <c r="N56" s="242" t="str">
        <f t="shared" si="2"/>
        <v/>
      </c>
      <c r="O56" s="242" t="str">
        <f t="shared" si="3"/>
        <v/>
      </c>
      <c r="P56" s="242" t="str">
        <f t="shared" si="4"/>
        <v/>
      </c>
      <c r="Q56" s="242" t="str">
        <f t="shared" si="5"/>
        <v/>
      </c>
      <c r="R56" s="242" t="str">
        <f t="shared" si="6"/>
        <v/>
      </c>
      <c r="S56" s="242" t="str">
        <f t="shared" si="7"/>
        <v/>
      </c>
      <c r="T56" s="242" t="str">
        <f t="shared" si="8"/>
        <v/>
      </c>
      <c r="U56" s="242" t="str">
        <f t="shared" si="9"/>
        <v/>
      </c>
      <c r="V56" s="242" t="str">
        <f t="shared" si="10"/>
        <v/>
      </c>
      <c r="W56" s="242" t="str">
        <f t="shared" si="11"/>
        <v/>
      </c>
    </row>
    <row r="57" spans="1:23" x14ac:dyDescent="0.2">
      <c r="A57" s="280"/>
      <c r="B57" s="280"/>
      <c r="C57" s="280"/>
      <c r="D57" s="280"/>
      <c r="E57" s="280"/>
      <c r="F57" s="280"/>
      <c r="G57" s="280"/>
      <c r="H57" s="243"/>
      <c r="K57" s="242">
        <v>56</v>
      </c>
      <c r="L57" s="242" t="str">
        <f t="shared" si="0"/>
        <v/>
      </c>
      <c r="M57" s="242" t="str">
        <f t="shared" si="1"/>
        <v/>
      </c>
      <c r="N57" s="242" t="str">
        <f t="shared" si="2"/>
        <v/>
      </c>
      <c r="O57" s="242" t="str">
        <f t="shared" si="3"/>
        <v/>
      </c>
      <c r="P57" s="242" t="str">
        <f t="shared" si="4"/>
        <v/>
      </c>
      <c r="Q57" s="242" t="str">
        <f t="shared" si="5"/>
        <v/>
      </c>
      <c r="R57" s="242" t="str">
        <f t="shared" si="6"/>
        <v/>
      </c>
      <c r="S57" s="242" t="str">
        <f t="shared" si="7"/>
        <v/>
      </c>
      <c r="T57" s="242" t="str">
        <f t="shared" si="8"/>
        <v/>
      </c>
      <c r="U57" s="242" t="str">
        <f t="shared" si="9"/>
        <v/>
      </c>
      <c r="V57" s="242" t="str">
        <f t="shared" si="10"/>
        <v/>
      </c>
      <c r="W57" s="242" t="str">
        <f t="shared" si="11"/>
        <v/>
      </c>
    </row>
    <row r="58" spans="1:23" x14ac:dyDescent="0.2">
      <c r="A58" s="280"/>
      <c r="B58" s="280"/>
      <c r="C58" s="280"/>
      <c r="D58" s="280"/>
      <c r="E58" s="280"/>
      <c r="F58" s="280"/>
      <c r="G58" s="280"/>
      <c r="H58" s="243"/>
      <c r="K58" s="242">
        <v>57</v>
      </c>
      <c r="L58" s="242" t="str">
        <f t="shared" si="0"/>
        <v/>
      </c>
      <c r="M58" s="242" t="str">
        <f t="shared" si="1"/>
        <v/>
      </c>
      <c r="N58" s="242" t="str">
        <f t="shared" si="2"/>
        <v/>
      </c>
      <c r="O58" s="242" t="str">
        <f t="shared" si="3"/>
        <v/>
      </c>
      <c r="P58" s="242" t="str">
        <f t="shared" si="4"/>
        <v/>
      </c>
      <c r="Q58" s="242" t="str">
        <f t="shared" si="5"/>
        <v/>
      </c>
      <c r="R58" s="242" t="str">
        <f t="shared" si="6"/>
        <v/>
      </c>
      <c r="S58" s="242" t="str">
        <f t="shared" si="7"/>
        <v/>
      </c>
      <c r="T58" s="242" t="str">
        <f t="shared" si="8"/>
        <v/>
      </c>
      <c r="U58" s="242" t="str">
        <f t="shared" si="9"/>
        <v/>
      </c>
      <c r="V58" s="242" t="str">
        <f t="shared" si="10"/>
        <v/>
      </c>
      <c r="W58" s="242" t="str">
        <f t="shared" si="11"/>
        <v/>
      </c>
    </row>
    <row r="59" spans="1:23" x14ac:dyDescent="0.2">
      <c r="A59" s="280"/>
      <c r="B59" s="280"/>
      <c r="C59" s="280"/>
      <c r="D59" s="280"/>
      <c r="E59" s="280"/>
      <c r="F59" s="280"/>
      <c r="G59" s="280"/>
      <c r="H59" s="243"/>
      <c r="K59" s="242">
        <v>58</v>
      </c>
      <c r="L59" s="242" t="str">
        <f t="shared" si="0"/>
        <v/>
      </c>
      <c r="M59" s="242" t="str">
        <f t="shared" si="1"/>
        <v/>
      </c>
      <c r="N59" s="242" t="str">
        <f t="shared" si="2"/>
        <v/>
      </c>
      <c r="O59" s="242" t="str">
        <f t="shared" si="3"/>
        <v/>
      </c>
      <c r="P59" s="242" t="str">
        <f t="shared" si="4"/>
        <v/>
      </c>
      <c r="Q59" s="242" t="str">
        <f t="shared" si="5"/>
        <v/>
      </c>
      <c r="R59" s="242" t="str">
        <f t="shared" si="6"/>
        <v/>
      </c>
      <c r="S59" s="242" t="str">
        <f t="shared" si="7"/>
        <v/>
      </c>
      <c r="T59" s="242" t="str">
        <f t="shared" si="8"/>
        <v/>
      </c>
      <c r="U59" s="242" t="str">
        <f t="shared" si="9"/>
        <v/>
      </c>
      <c r="V59" s="242" t="str">
        <f t="shared" si="10"/>
        <v/>
      </c>
      <c r="W59" s="242" t="str">
        <f t="shared" si="11"/>
        <v/>
      </c>
    </row>
    <row r="60" spans="1:23" x14ac:dyDescent="0.2">
      <c r="A60" s="283"/>
      <c r="B60" s="283"/>
      <c r="C60" s="283"/>
      <c r="D60" s="283"/>
      <c r="E60" s="283"/>
      <c r="F60" s="283"/>
      <c r="G60" s="283"/>
      <c r="K60" s="242">
        <v>59</v>
      </c>
      <c r="L60" s="242" t="str">
        <f t="shared" si="0"/>
        <v/>
      </c>
      <c r="M60" s="242" t="str">
        <f t="shared" si="1"/>
        <v/>
      </c>
      <c r="N60" s="242" t="str">
        <f t="shared" si="2"/>
        <v/>
      </c>
      <c r="O60" s="242" t="str">
        <f t="shared" si="3"/>
        <v/>
      </c>
      <c r="P60" s="242" t="str">
        <f t="shared" si="4"/>
        <v/>
      </c>
      <c r="Q60" s="242" t="str">
        <f t="shared" si="5"/>
        <v/>
      </c>
      <c r="R60" s="242" t="str">
        <f t="shared" si="6"/>
        <v/>
      </c>
      <c r="S60" s="242" t="str">
        <f t="shared" si="7"/>
        <v/>
      </c>
      <c r="T60" s="242" t="str">
        <f t="shared" si="8"/>
        <v/>
      </c>
      <c r="U60" s="242" t="str">
        <f t="shared" si="9"/>
        <v/>
      </c>
      <c r="V60" s="242" t="str">
        <f t="shared" si="10"/>
        <v/>
      </c>
      <c r="W60" s="242" t="str">
        <f t="shared" si="11"/>
        <v/>
      </c>
    </row>
    <row r="61" spans="1:23" x14ac:dyDescent="0.2">
      <c r="A61" s="283"/>
      <c r="B61" s="283"/>
      <c r="C61" s="283"/>
      <c r="D61" s="283"/>
      <c r="E61" s="283"/>
      <c r="F61" s="283"/>
      <c r="G61" s="283"/>
      <c r="K61" s="242">
        <v>60</v>
      </c>
      <c r="L61" s="242" t="str">
        <f t="shared" si="0"/>
        <v/>
      </c>
      <c r="M61" s="242" t="str">
        <f t="shared" si="1"/>
        <v/>
      </c>
      <c r="N61" s="242" t="str">
        <f t="shared" si="2"/>
        <v/>
      </c>
      <c r="O61" s="242" t="str">
        <f t="shared" si="3"/>
        <v/>
      </c>
      <c r="P61" s="242" t="str">
        <f t="shared" si="4"/>
        <v/>
      </c>
      <c r="Q61" s="242" t="str">
        <f t="shared" si="5"/>
        <v/>
      </c>
      <c r="R61" s="242" t="str">
        <f t="shared" si="6"/>
        <v/>
      </c>
      <c r="S61" s="242" t="str">
        <f t="shared" si="7"/>
        <v/>
      </c>
      <c r="T61" s="242" t="str">
        <f t="shared" si="8"/>
        <v/>
      </c>
      <c r="U61" s="242" t="str">
        <f t="shared" si="9"/>
        <v/>
      </c>
      <c r="V61" s="242" t="str">
        <f t="shared" si="10"/>
        <v/>
      </c>
      <c r="W61" s="242" t="str">
        <f t="shared" si="11"/>
        <v/>
      </c>
    </row>
    <row r="62" spans="1:23" x14ac:dyDescent="0.2">
      <c r="A62" s="283"/>
      <c r="B62" s="283"/>
      <c r="C62" s="283"/>
      <c r="D62" s="283"/>
      <c r="E62" s="283"/>
      <c r="F62" s="283"/>
      <c r="G62" s="283"/>
      <c r="K62" s="242">
        <v>61</v>
      </c>
      <c r="L62" s="242" t="str">
        <f t="shared" si="0"/>
        <v/>
      </c>
      <c r="M62" s="242" t="str">
        <f t="shared" si="1"/>
        <v/>
      </c>
      <c r="N62" s="242" t="str">
        <f t="shared" si="2"/>
        <v/>
      </c>
      <c r="O62" s="242" t="str">
        <f t="shared" si="3"/>
        <v/>
      </c>
      <c r="P62" s="242" t="str">
        <f t="shared" si="4"/>
        <v/>
      </c>
      <c r="Q62" s="242" t="str">
        <f t="shared" si="5"/>
        <v/>
      </c>
      <c r="R62" s="242" t="str">
        <f t="shared" si="6"/>
        <v/>
      </c>
      <c r="S62" s="242" t="str">
        <f t="shared" si="7"/>
        <v/>
      </c>
      <c r="T62" s="242" t="str">
        <f t="shared" si="8"/>
        <v/>
      </c>
      <c r="U62" s="242" t="str">
        <f t="shared" si="9"/>
        <v/>
      </c>
      <c r="V62" s="242" t="str">
        <f t="shared" si="10"/>
        <v/>
      </c>
      <c r="W62" s="242" t="str">
        <f t="shared" si="11"/>
        <v/>
      </c>
    </row>
    <row r="63" spans="1:23" x14ac:dyDescent="0.2">
      <c r="A63" s="283"/>
      <c r="B63" s="283"/>
      <c r="C63" s="283"/>
      <c r="D63" s="283"/>
      <c r="E63" s="283"/>
      <c r="F63" s="283"/>
      <c r="G63" s="283"/>
      <c r="K63" s="242">
        <v>62</v>
      </c>
      <c r="L63" s="242" t="str">
        <f t="shared" si="0"/>
        <v/>
      </c>
      <c r="M63" s="242" t="str">
        <f t="shared" si="1"/>
        <v/>
      </c>
      <c r="N63" s="242" t="str">
        <f t="shared" si="2"/>
        <v/>
      </c>
      <c r="O63" s="242" t="str">
        <f t="shared" si="3"/>
        <v/>
      </c>
      <c r="P63" s="242" t="str">
        <f t="shared" si="4"/>
        <v/>
      </c>
      <c r="Q63" s="242" t="str">
        <f t="shared" si="5"/>
        <v/>
      </c>
      <c r="R63" s="242" t="str">
        <f t="shared" si="6"/>
        <v/>
      </c>
      <c r="S63" s="242" t="str">
        <f t="shared" si="7"/>
        <v/>
      </c>
      <c r="T63" s="242" t="str">
        <f t="shared" si="8"/>
        <v/>
      </c>
      <c r="U63" s="242" t="str">
        <f t="shared" si="9"/>
        <v/>
      </c>
      <c r="V63" s="242" t="str">
        <f t="shared" si="10"/>
        <v/>
      </c>
      <c r="W63" s="242" t="str">
        <f t="shared" si="11"/>
        <v/>
      </c>
    </row>
    <row r="64" spans="1:23" x14ac:dyDescent="0.2">
      <c r="A64" s="283"/>
      <c r="B64" s="283"/>
      <c r="C64" s="283"/>
      <c r="D64" s="283"/>
      <c r="E64" s="283"/>
      <c r="F64" s="283"/>
      <c r="G64" s="283"/>
      <c r="K64" s="242">
        <v>63</v>
      </c>
      <c r="L64" s="242" t="str">
        <f t="shared" si="0"/>
        <v/>
      </c>
      <c r="M64" s="242" t="str">
        <f t="shared" si="1"/>
        <v/>
      </c>
      <c r="N64" s="242" t="str">
        <f t="shared" si="2"/>
        <v/>
      </c>
      <c r="O64" s="242" t="str">
        <f t="shared" si="3"/>
        <v/>
      </c>
      <c r="P64" s="242" t="str">
        <f t="shared" si="4"/>
        <v/>
      </c>
      <c r="Q64" s="242" t="str">
        <f t="shared" si="5"/>
        <v/>
      </c>
      <c r="R64" s="242" t="str">
        <f t="shared" si="6"/>
        <v/>
      </c>
      <c r="S64" s="242" t="str">
        <f t="shared" si="7"/>
        <v/>
      </c>
      <c r="T64" s="242" t="str">
        <f t="shared" si="8"/>
        <v/>
      </c>
      <c r="U64" s="242" t="str">
        <f t="shared" si="9"/>
        <v/>
      </c>
      <c r="V64" s="242" t="str">
        <f t="shared" si="10"/>
        <v/>
      </c>
      <c r="W64" s="242" t="str">
        <f t="shared" si="11"/>
        <v/>
      </c>
    </row>
    <row r="65" spans="1:23" x14ac:dyDescent="0.2">
      <c r="A65" s="283"/>
      <c r="B65" s="283"/>
      <c r="C65" s="283"/>
      <c r="D65" s="283"/>
      <c r="E65" s="283"/>
      <c r="F65" s="283"/>
      <c r="G65" s="283"/>
      <c r="K65" s="242">
        <v>64</v>
      </c>
      <c r="L65" s="242" t="str">
        <f t="shared" si="0"/>
        <v/>
      </c>
      <c r="M65" s="242" t="str">
        <f t="shared" si="1"/>
        <v/>
      </c>
      <c r="N65" s="242" t="str">
        <f t="shared" si="2"/>
        <v/>
      </c>
      <c r="O65" s="242" t="str">
        <f t="shared" si="3"/>
        <v/>
      </c>
      <c r="P65" s="242" t="str">
        <f t="shared" si="4"/>
        <v/>
      </c>
      <c r="Q65" s="242" t="str">
        <f t="shared" si="5"/>
        <v/>
      </c>
      <c r="R65" s="242" t="str">
        <f t="shared" si="6"/>
        <v/>
      </c>
      <c r="S65" s="242" t="str">
        <f t="shared" si="7"/>
        <v/>
      </c>
      <c r="T65" s="242" t="str">
        <f t="shared" si="8"/>
        <v/>
      </c>
      <c r="U65" s="242" t="str">
        <f t="shared" si="9"/>
        <v/>
      </c>
      <c r="V65" s="242" t="str">
        <f t="shared" si="10"/>
        <v/>
      </c>
      <c r="W65" s="242" t="str">
        <f t="shared" si="11"/>
        <v/>
      </c>
    </row>
    <row r="66" spans="1:23" x14ac:dyDescent="0.2">
      <c r="A66" s="283"/>
      <c r="B66" s="283"/>
      <c r="C66" s="283"/>
      <c r="D66" s="283"/>
      <c r="E66" s="283"/>
      <c r="F66" s="283"/>
      <c r="G66" s="283"/>
      <c r="K66" s="242">
        <v>65</v>
      </c>
      <c r="L66" s="242" t="str">
        <f t="shared" si="0"/>
        <v/>
      </c>
      <c r="M66" s="242" t="str">
        <f t="shared" si="1"/>
        <v/>
      </c>
      <c r="N66" s="242" t="str">
        <f t="shared" si="2"/>
        <v/>
      </c>
      <c r="O66" s="242" t="str">
        <f t="shared" si="3"/>
        <v/>
      </c>
      <c r="P66" s="242" t="str">
        <f t="shared" si="4"/>
        <v/>
      </c>
      <c r="Q66" s="242" t="str">
        <f t="shared" si="5"/>
        <v/>
      </c>
      <c r="R66" s="242" t="str">
        <f t="shared" si="6"/>
        <v/>
      </c>
      <c r="S66" s="242" t="str">
        <f t="shared" si="7"/>
        <v/>
      </c>
      <c r="T66" s="242" t="str">
        <f t="shared" si="8"/>
        <v/>
      </c>
      <c r="U66" s="242" t="str">
        <f t="shared" si="9"/>
        <v/>
      </c>
      <c r="V66" s="242" t="str">
        <f t="shared" si="10"/>
        <v/>
      </c>
      <c r="W66" s="242" t="str">
        <f t="shared" si="11"/>
        <v/>
      </c>
    </row>
    <row r="67" spans="1:23" x14ac:dyDescent="0.2">
      <c r="A67" s="283"/>
      <c r="B67" s="283"/>
      <c r="C67" s="283"/>
      <c r="D67" s="283"/>
      <c r="E67" s="283"/>
      <c r="F67" s="283"/>
      <c r="G67" s="283"/>
      <c r="K67" s="242">
        <v>66</v>
      </c>
      <c r="L67" s="242" t="str">
        <f t="shared" ref="L67:L130" si="12">IF($B$13&gt;=K67,K67,"")</f>
        <v/>
      </c>
      <c r="M67" s="242" t="str">
        <f t="shared" ref="M67:M130" si="13">IF(L67="","",IF(L67&lt;=$E$15,VLOOKUP($E$14,$I$1:$J$4,2,FALSE),VLOOKUP($F$14,$I$1:$J$4,2,FALSE)))</f>
        <v/>
      </c>
      <c r="N67" s="242" t="str">
        <f t="shared" ref="N67:N130" si="14">IF($B$20&gt;=K67,K67,"")</f>
        <v/>
      </c>
      <c r="O67" s="242" t="str">
        <f t="shared" ref="O67:O130" si="15">IF(N67="","",IF(N67&lt;=$E$22,VLOOKUP($E$21,$I$1:$J$4,2,FALSE),VLOOKUP($F$21,$I$1:$J$4,2,FALSE)))</f>
        <v/>
      </c>
      <c r="P67" s="242" t="str">
        <f t="shared" ref="P67:P130" si="16">IF($B$27&gt;=K67,K67,"")</f>
        <v/>
      </c>
      <c r="Q67" s="242" t="str">
        <f t="shared" ref="Q67:Q130" si="17">IF(P67="","",IF(P67&lt;=$E$29,VLOOKUP($E$28,$I$1:$J$4,2,FALSE),VLOOKUP($F$28,$I$1:$J$4,2,FALSE)))</f>
        <v/>
      </c>
      <c r="R67" s="242" t="str">
        <f t="shared" ref="R67:R130" si="18">IF($B$34&gt;=K67,K67,"")</f>
        <v/>
      </c>
      <c r="S67" s="242" t="str">
        <f t="shared" ref="S67:S130" si="19">IF(R67="","",IF(R67&lt;=$E$36,VLOOKUP($E$35,$I$1:$J$4,2,FALSE),VLOOKUP($F$35,$I$1:$J$4,2,FALSE)))</f>
        <v/>
      </c>
      <c r="T67" s="242" t="str">
        <f t="shared" ref="T67:T130" si="20">IF($B$41&gt;=K67,K67,"")</f>
        <v/>
      </c>
      <c r="U67" s="242" t="str">
        <f t="shared" ref="U67:U130" si="21">IF(T67="","",IF(T67&lt;=$E$43,VLOOKUP($E$42,$I$1:$J$4,2,FALSE),VLOOKUP($F$42,$I$1:$J$4,2,FALSE)))</f>
        <v/>
      </c>
      <c r="V67" s="242" t="str">
        <f t="shared" ref="V67:V130" si="22">IF($B$48&gt;=K67,K67,"")</f>
        <v/>
      </c>
      <c r="W67" s="242" t="str">
        <f t="shared" ref="W67:W130" si="23">IF(V67="","",IF(V67&lt;=$E$50,VLOOKUP($E$49,$I$1:$J$4,2,FALSE),VLOOKUP($F$49,$I$1:$J$4,2,FALSE)))</f>
        <v/>
      </c>
    </row>
    <row r="68" spans="1:23" x14ac:dyDescent="0.2">
      <c r="A68" s="283"/>
      <c r="B68" s="283"/>
      <c r="C68" s="283"/>
      <c r="D68" s="283"/>
      <c r="E68" s="283"/>
      <c r="F68" s="283"/>
      <c r="G68" s="283"/>
      <c r="K68" s="242">
        <v>67</v>
      </c>
      <c r="L68" s="242" t="str">
        <f t="shared" si="12"/>
        <v/>
      </c>
      <c r="M68" s="242" t="str">
        <f t="shared" si="13"/>
        <v/>
      </c>
      <c r="N68" s="242" t="str">
        <f t="shared" si="14"/>
        <v/>
      </c>
      <c r="O68" s="242" t="str">
        <f t="shared" si="15"/>
        <v/>
      </c>
      <c r="P68" s="242" t="str">
        <f t="shared" si="16"/>
        <v/>
      </c>
      <c r="Q68" s="242" t="str">
        <f t="shared" si="17"/>
        <v/>
      </c>
      <c r="R68" s="242" t="str">
        <f t="shared" si="18"/>
        <v/>
      </c>
      <c r="S68" s="242" t="str">
        <f t="shared" si="19"/>
        <v/>
      </c>
      <c r="T68" s="242" t="str">
        <f t="shared" si="20"/>
        <v/>
      </c>
      <c r="U68" s="242" t="str">
        <f t="shared" si="21"/>
        <v/>
      </c>
      <c r="V68" s="242" t="str">
        <f t="shared" si="22"/>
        <v/>
      </c>
      <c r="W68" s="242" t="str">
        <f t="shared" si="23"/>
        <v/>
      </c>
    </row>
    <row r="69" spans="1:23" x14ac:dyDescent="0.2">
      <c r="A69" s="283"/>
      <c r="B69" s="283"/>
      <c r="C69" s="283"/>
      <c r="D69" s="283"/>
      <c r="E69" s="283"/>
      <c r="F69" s="283"/>
      <c r="G69" s="283"/>
      <c r="K69" s="242">
        <v>68</v>
      </c>
      <c r="L69" s="242" t="str">
        <f t="shared" si="12"/>
        <v/>
      </c>
      <c r="M69" s="242" t="str">
        <f t="shared" si="13"/>
        <v/>
      </c>
      <c r="N69" s="242" t="str">
        <f t="shared" si="14"/>
        <v/>
      </c>
      <c r="O69" s="242" t="str">
        <f t="shared" si="15"/>
        <v/>
      </c>
      <c r="P69" s="242" t="str">
        <f t="shared" si="16"/>
        <v/>
      </c>
      <c r="Q69" s="242" t="str">
        <f t="shared" si="17"/>
        <v/>
      </c>
      <c r="R69" s="242" t="str">
        <f t="shared" si="18"/>
        <v/>
      </c>
      <c r="S69" s="242" t="str">
        <f t="shared" si="19"/>
        <v/>
      </c>
      <c r="T69" s="242" t="str">
        <f t="shared" si="20"/>
        <v/>
      </c>
      <c r="U69" s="242" t="str">
        <f t="shared" si="21"/>
        <v/>
      </c>
      <c r="V69" s="242" t="str">
        <f t="shared" si="22"/>
        <v/>
      </c>
      <c r="W69" s="242" t="str">
        <f t="shared" si="23"/>
        <v/>
      </c>
    </row>
    <row r="70" spans="1:23" x14ac:dyDescent="0.2">
      <c r="A70" s="283"/>
      <c r="B70" s="283"/>
      <c r="C70" s="283"/>
      <c r="D70" s="283"/>
      <c r="E70" s="283"/>
      <c r="F70" s="283"/>
      <c r="G70" s="283"/>
      <c r="K70" s="242">
        <v>69</v>
      </c>
      <c r="L70" s="242" t="str">
        <f t="shared" si="12"/>
        <v/>
      </c>
      <c r="M70" s="242" t="str">
        <f t="shared" si="13"/>
        <v/>
      </c>
      <c r="N70" s="242" t="str">
        <f t="shared" si="14"/>
        <v/>
      </c>
      <c r="O70" s="242" t="str">
        <f t="shared" si="15"/>
        <v/>
      </c>
      <c r="P70" s="242" t="str">
        <f t="shared" si="16"/>
        <v/>
      </c>
      <c r="Q70" s="242" t="str">
        <f t="shared" si="17"/>
        <v/>
      </c>
      <c r="R70" s="242" t="str">
        <f t="shared" si="18"/>
        <v/>
      </c>
      <c r="S70" s="242" t="str">
        <f t="shared" si="19"/>
        <v/>
      </c>
      <c r="T70" s="242" t="str">
        <f t="shared" si="20"/>
        <v/>
      </c>
      <c r="U70" s="242" t="str">
        <f t="shared" si="21"/>
        <v/>
      </c>
      <c r="V70" s="242" t="str">
        <f t="shared" si="22"/>
        <v/>
      </c>
      <c r="W70" s="242" t="str">
        <f t="shared" si="23"/>
        <v/>
      </c>
    </row>
    <row r="71" spans="1:23" x14ac:dyDescent="0.2">
      <c r="A71" s="283"/>
      <c r="B71" s="283"/>
      <c r="C71" s="283"/>
      <c r="D71" s="283"/>
      <c r="E71" s="283"/>
      <c r="F71" s="283"/>
      <c r="G71" s="283"/>
      <c r="K71" s="242">
        <v>70</v>
      </c>
      <c r="L71" s="242" t="str">
        <f t="shared" si="12"/>
        <v/>
      </c>
      <c r="M71" s="242" t="str">
        <f t="shared" si="13"/>
        <v/>
      </c>
      <c r="N71" s="242" t="str">
        <f t="shared" si="14"/>
        <v/>
      </c>
      <c r="O71" s="242" t="str">
        <f t="shared" si="15"/>
        <v/>
      </c>
      <c r="P71" s="242" t="str">
        <f t="shared" si="16"/>
        <v/>
      </c>
      <c r="Q71" s="242" t="str">
        <f t="shared" si="17"/>
        <v/>
      </c>
      <c r="R71" s="242" t="str">
        <f t="shared" si="18"/>
        <v/>
      </c>
      <c r="S71" s="242" t="str">
        <f t="shared" si="19"/>
        <v/>
      </c>
      <c r="T71" s="242" t="str">
        <f t="shared" si="20"/>
        <v/>
      </c>
      <c r="U71" s="242" t="str">
        <f t="shared" si="21"/>
        <v/>
      </c>
      <c r="V71" s="242" t="str">
        <f t="shared" si="22"/>
        <v/>
      </c>
      <c r="W71" s="242" t="str">
        <f t="shared" si="23"/>
        <v/>
      </c>
    </row>
    <row r="72" spans="1:23" x14ac:dyDescent="0.2">
      <c r="A72" s="283"/>
      <c r="B72" s="283"/>
      <c r="C72" s="283"/>
      <c r="D72" s="283"/>
      <c r="E72" s="283"/>
      <c r="F72" s="283"/>
      <c r="G72" s="283"/>
      <c r="K72" s="242">
        <v>71</v>
      </c>
      <c r="L72" s="242" t="str">
        <f t="shared" si="12"/>
        <v/>
      </c>
      <c r="M72" s="242" t="str">
        <f t="shared" si="13"/>
        <v/>
      </c>
      <c r="N72" s="242" t="str">
        <f t="shared" si="14"/>
        <v/>
      </c>
      <c r="O72" s="242" t="str">
        <f t="shared" si="15"/>
        <v/>
      </c>
      <c r="P72" s="242" t="str">
        <f t="shared" si="16"/>
        <v/>
      </c>
      <c r="Q72" s="242" t="str">
        <f t="shared" si="17"/>
        <v/>
      </c>
      <c r="R72" s="242" t="str">
        <f t="shared" si="18"/>
        <v/>
      </c>
      <c r="S72" s="242" t="str">
        <f t="shared" si="19"/>
        <v/>
      </c>
      <c r="T72" s="242" t="str">
        <f t="shared" si="20"/>
        <v/>
      </c>
      <c r="U72" s="242" t="str">
        <f t="shared" si="21"/>
        <v/>
      </c>
      <c r="V72" s="242" t="str">
        <f t="shared" si="22"/>
        <v/>
      </c>
      <c r="W72" s="242" t="str">
        <f t="shared" si="23"/>
        <v/>
      </c>
    </row>
    <row r="73" spans="1:23" x14ac:dyDescent="0.2">
      <c r="A73" s="283"/>
      <c r="B73" s="283"/>
      <c r="C73" s="283"/>
      <c r="D73" s="283"/>
      <c r="E73" s="283"/>
      <c r="F73" s="283"/>
      <c r="G73" s="283"/>
      <c r="K73" s="242">
        <v>72</v>
      </c>
      <c r="L73" s="242" t="str">
        <f t="shared" si="12"/>
        <v/>
      </c>
      <c r="M73" s="242" t="str">
        <f t="shared" si="13"/>
        <v/>
      </c>
      <c r="N73" s="242" t="str">
        <f t="shared" si="14"/>
        <v/>
      </c>
      <c r="O73" s="242" t="str">
        <f t="shared" si="15"/>
        <v/>
      </c>
      <c r="P73" s="242" t="str">
        <f t="shared" si="16"/>
        <v/>
      </c>
      <c r="Q73" s="242" t="str">
        <f t="shared" si="17"/>
        <v/>
      </c>
      <c r="R73" s="242" t="str">
        <f t="shared" si="18"/>
        <v/>
      </c>
      <c r="S73" s="242" t="str">
        <f t="shared" si="19"/>
        <v/>
      </c>
      <c r="T73" s="242" t="str">
        <f t="shared" si="20"/>
        <v/>
      </c>
      <c r="U73" s="242" t="str">
        <f t="shared" si="21"/>
        <v/>
      </c>
      <c r="V73" s="242" t="str">
        <f t="shared" si="22"/>
        <v/>
      </c>
      <c r="W73" s="242" t="str">
        <f t="shared" si="23"/>
        <v/>
      </c>
    </row>
    <row r="74" spans="1:23" x14ac:dyDescent="0.2">
      <c r="A74" s="283"/>
      <c r="B74" s="283"/>
      <c r="C74" s="283"/>
      <c r="D74" s="283"/>
      <c r="E74" s="283"/>
      <c r="F74" s="283"/>
      <c r="G74" s="283"/>
      <c r="K74" s="242">
        <v>73</v>
      </c>
      <c r="L74" s="242" t="str">
        <f t="shared" si="12"/>
        <v/>
      </c>
      <c r="M74" s="242" t="str">
        <f t="shared" si="13"/>
        <v/>
      </c>
      <c r="N74" s="242" t="str">
        <f t="shared" si="14"/>
        <v/>
      </c>
      <c r="O74" s="242" t="str">
        <f t="shared" si="15"/>
        <v/>
      </c>
      <c r="P74" s="242" t="str">
        <f t="shared" si="16"/>
        <v/>
      </c>
      <c r="Q74" s="242" t="str">
        <f t="shared" si="17"/>
        <v/>
      </c>
      <c r="R74" s="242" t="str">
        <f t="shared" si="18"/>
        <v/>
      </c>
      <c r="S74" s="242" t="str">
        <f t="shared" si="19"/>
        <v/>
      </c>
      <c r="T74" s="242" t="str">
        <f t="shared" si="20"/>
        <v/>
      </c>
      <c r="U74" s="242" t="str">
        <f t="shared" si="21"/>
        <v/>
      </c>
      <c r="V74" s="242" t="str">
        <f t="shared" si="22"/>
        <v/>
      </c>
      <c r="W74" s="242" t="str">
        <f t="shared" si="23"/>
        <v/>
      </c>
    </row>
    <row r="75" spans="1:23" x14ac:dyDescent="0.2">
      <c r="A75" s="283"/>
      <c r="B75" s="283"/>
      <c r="C75" s="283"/>
      <c r="D75" s="283"/>
      <c r="E75" s="283"/>
      <c r="F75" s="283"/>
      <c r="G75" s="283"/>
      <c r="K75" s="242">
        <v>74</v>
      </c>
      <c r="L75" s="242" t="str">
        <f t="shared" si="12"/>
        <v/>
      </c>
      <c r="M75" s="242" t="str">
        <f t="shared" si="13"/>
        <v/>
      </c>
      <c r="N75" s="242" t="str">
        <f t="shared" si="14"/>
        <v/>
      </c>
      <c r="O75" s="242" t="str">
        <f t="shared" si="15"/>
        <v/>
      </c>
      <c r="P75" s="242" t="str">
        <f t="shared" si="16"/>
        <v/>
      </c>
      <c r="Q75" s="242" t="str">
        <f t="shared" si="17"/>
        <v/>
      </c>
      <c r="R75" s="242" t="str">
        <f t="shared" si="18"/>
        <v/>
      </c>
      <c r="S75" s="242" t="str">
        <f t="shared" si="19"/>
        <v/>
      </c>
      <c r="T75" s="242" t="str">
        <f t="shared" si="20"/>
        <v/>
      </c>
      <c r="U75" s="242" t="str">
        <f t="shared" si="21"/>
        <v/>
      </c>
      <c r="V75" s="242" t="str">
        <f t="shared" si="22"/>
        <v/>
      </c>
      <c r="W75" s="242" t="str">
        <f t="shared" si="23"/>
        <v/>
      </c>
    </row>
    <row r="76" spans="1:23" x14ac:dyDescent="0.2">
      <c r="A76" s="283"/>
      <c r="B76" s="283"/>
      <c r="C76" s="283"/>
      <c r="D76" s="283"/>
      <c r="E76" s="283"/>
      <c r="F76" s="283"/>
      <c r="G76" s="283"/>
      <c r="K76" s="242">
        <v>75</v>
      </c>
      <c r="L76" s="242" t="str">
        <f t="shared" si="12"/>
        <v/>
      </c>
      <c r="M76" s="242" t="str">
        <f t="shared" si="13"/>
        <v/>
      </c>
      <c r="N76" s="242" t="str">
        <f t="shared" si="14"/>
        <v/>
      </c>
      <c r="O76" s="242" t="str">
        <f t="shared" si="15"/>
        <v/>
      </c>
      <c r="P76" s="242" t="str">
        <f t="shared" si="16"/>
        <v/>
      </c>
      <c r="Q76" s="242" t="str">
        <f t="shared" si="17"/>
        <v/>
      </c>
      <c r="R76" s="242" t="str">
        <f t="shared" si="18"/>
        <v/>
      </c>
      <c r="S76" s="242" t="str">
        <f t="shared" si="19"/>
        <v/>
      </c>
      <c r="T76" s="242" t="str">
        <f t="shared" si="20"/>
        <v/>
      </c>
      <c r="U76" s="242" t="str">
        <f t="shared" si="21"/>
        <v/>
      </c>
      <c r="V76" s="242" t="str">
        <f t="shared" si="22"/>
        <v/>
      </c>
      <c r="W76" s="242" t="str">
        <f t="shared" si="23"/>
        <v/>
      </c>
    </row>
    <row r="77" spans="1:23" x14ac:dyDescent="0.2">
      <c r="A77" s="283"/>
      <c r="B77" s="283"/>
      <c r="C77" s="283"/>
      <c r="D77" s="283"/>
      <c r="E77" s="283"/>
      <c r="F77" s="283"/>
      <c r="G77" s="283"/>
      <c r="K77" s="242">
        <v>76</v>
      </c>
      <c r="L77" s="242" t="str">
        <f t="shared" si="12"/>
        <v/>
      </c>
      <c r="M77" s="242" t="str">
        <f t="shared" si="13"/>
        <v/>
      </c>
      <c r="N77" s="242" t="str">
        <f t="shared" si="14"/>
        <v/>
      </c>
      <c r="O77" s="242" t="str">
        <f t="shared" si="15"/>
        <v/>
      </c>
      <c r="P77" s="242" t="str">
        <f t="shared" si="16"/>
        <v/>
      </c>
      <c r="Q77" s="242" t="str">
        <f t="shared" si="17"/>
        <v/>
      </c>
      <c r="R77" s="242" t="str">
        <f t="shared" si="18"/>
        <v/>
      </c>
      <c r="S77" s="242" t="str">
        <f t="shared" si="19"/>
        <v/>
      </c>
      <c r="T77" s="242" t="str">
        <f t="shared" si="20"/>
        <v/>
      </c>
      <c r="U77" s="242" t="str">
        <f t="shared" si="21"/>
        <v/>
      </c>
      <c r="V77" s="242" t="str">
        <f t="shared" si="22"/>
        <v/>
      </c>
      <c r="W77" s="242" t="str">
        <f t="shared" si="23"/>
        <v/>
      </c>
    </row>
    <row r="78" spans="1:23" x14ac:dyDescent="0.2">
      <c r="A78" s="283"/>
      <c r="B78" s="283"/>
      <c r="C78" s="283"/>
      <c r="D78" s="283"/>
      <c r="E78" s="283"/>
      <c r="F78" s="283"/>
      <c r="G78" s="283"/>
      <c r="K78" s="242">
        <v>77</v>
      </c>
      <c r="L78" s="242" t="str">
        <f t="shared" si="12"/>
        <v/>
      </c>
      <c r="M78" s="242" t="str">
        <f t="shared" si="13"/>
        <v/>
      </c>
      <c r="N78" s="242" t="str">
        <f t="shared" si="14"/>
        <v/>
      </c>
      <c r="O78" s="242" t="str">
        <f t="shared" si="15"/>
        <v/>
      </c>
      <c r="P78" s="242" t="str">
        <f t="shared" si="16"/>
        <v/>
      </c>
      <c r="Q78" s="242" t="str">
        <f t="shared" si="17"/>
        <v/>
      </c>
      <c r="R78" s="242" t="str">
        <f t="shared" si="18"/>
        <v/>
      </c>
      <c r="S78" s="242" t="str">
        <f t="shared" si="19"/>
        <v/>
      </c>
      <c r="T78" s="242" t="str">
        <f t="shared" si="20"/>
        <v/>
      </c>
      <c r="U78" s="242" t="str">
        <f t="shared" si="21"/>
        <v/>
      </c>
      <c r="V78" s="242" t="str">
        <f t="shared" si="22"/>
        <v/>
      </c>
      <c r="W78" s="242" t="str">
        <f t="shared" si="23"/>
        <v/>
      </c>
    </row>
    <row r="79" spans="1:23" x14ac:dyDescent="0.2">
      <c r="A79" s="283"/>
      <c r="B79" s="283"/>
      <c r="C79" s="283"/>
      <c r="D79" s="283"/>
      <c r="E79" s="283"/>
      <c r="F79" s="283"/>
      <c r="G79" s="283"/>
      <c r="K79" s="242">
        <v>78</v>
      </c>
      <c r="L79" s="242" t="str">
        <f t="shared" si="12"/>
        <v/>
      </c>
      <c r="M79" s="242" t="str">
        <f t="shared" si="13"/>
        <v/>
      </c>
      <c r="N79" s="242" t="str">
        <f t="shared" si="14"/>
        <v/>
      </c>
      <c r="O79" s="242" t="str">
        <f t="shared" si="15"/>
        <v/>
      </c>
      <c r="P79" s="242" t="str">
        <f t="shared" si="16"/>
        <v/>
      </c>
      <c r="Q79" s="242" t="str">
        <f t="shared" si="17"/>
        <v/>
      </c>
      <c r="R79" s="242" t="str">
        <f t="shared" si="18"/>
        <v/>
      </c>
      <c r="S79" s="242" t="str">
        <f t="shared" si="19"/>
        <v/>
      </c>
      <c r="T79" s="242" t="str">
        <f t="shared" si="20"/>
        <v/>
      </c>
      <c r="U79" s="242" t="str">
        <f t="shared" si="21"/>
        <v/>
      </c>
      <c r="V79" s="242" t="str">
        <f t="shared" si="22"/>
        <v/>
      </c>
      <c r="W79" s="242" t="str">
        <f t="shared" si="23"/>
        <v/>
      </c>
    </row>
    <row r="80" spans="1:23" x14ac:dyDescent="0.2">
      <c r="A80" s="283"/>
      <c r="B80" s="283"/>
      <c r="C80" s="283"/>
      <c r="D80" s="283"/>
      <c r="E80" s="283"/>
      <c r="F80" s="283"/>
      <c r="G80" s="283"/>
      <c r="K80" s="242">
        <v>79</v>
      </c>
      <c r="L80" s="242" t="str">
        <f t="shared" si="12"/>
        <v/>
      </c>
      <c r="M80" s="242" t="str">
        <f t="shared" si="13"/>
        <v/>
      </c>
      <c r="N80" s="242" t="str">
        <f t="shared" si="14"/>
        <v/>
      </c>
      <c r="O80" s="242" t="str">
        <f t="shared" si="15"/>
        <v/>
      </c>
      <c r="P80" s="242" t="str">
        <f t="shared" si="16"/>
        <v/>
      </c>
      <c r="Q80" s="242" t="str">
        <f t="shared" si="17"/>
        <v/>
      </c>
      <c r="R80" s="242" t="str">
        <f t="shared" si="18"/>
        <v/>
      </c>
      <c r="S80" s="242" t="str">
        <f t="shared" si="19"/>
        <v/>
      </c>
      <c r="T80" s="242" t="str">
        <f t="shared" si="20"/>
        <v/>
      </c>
      <c r="U80" s="242" t="str">
        <f t="shared" si="21"/>
        <v/>
      </c>
      <c r="V80" s="242" t="str">
        <f t="shared" si="22"/>
        <v/>
      </c>
      <c r="W80" s="242" t="str">
        <f t="shared" si="23"/>
        <v/>
      </c>
    </row>
    <row r="81" spans="1:23" x14ac:dyDescent="0.2">
      <c r="A81" s="283"/>
      <c r="B81" s="283"/>
      <c r="C81" s="283"/>
      <c r="D81" s="283"/>
      <c r="E81" s="283"/>
      <c r="F81" s="283"/>
      <c r="G81" s="283"/>
      <c r="K81" s="242">
        <v>80</v>
      </c>
      <c r="L81" s="242" t="str">
        <f t="shared" si="12"/>
        <v/>
      </c>
      <c r="M81" s="242" t="str">
        <f t="shared" si="13"/>
        <v/>
      </c>
      <c r="N81" s="242" t="str">
        <f t="shared" si="14"/>
        <v/>
      </c>
      <c r="O81" s="242" t="str">
        <f t="shared" si="15"/>
        <v/>
      </c>
      <c r="P81" s="242" t="str">
        <f t="shared" si="16"/>
        <v/>
      </c>
      <c r="Q81" s="242" t="str">
        <f t="shared" si="17"/>
        <v/>
      </c>
      <c r="R81" s="242" t="str">
        <f t="shared" si="18"/>
        <v/>
      </c>
      <c r="S81" s="242" t="str">
        <f t="shared" si="19"/>
        <v/>
      </c>
      <c r="T81" s="242" t="str">
        <f t="shared" si="20"/>
        <v/>
      </c>
      <c r="U81" s="242" t="str">
        <f t="shared" si="21"/>
        <v/>
      </c>
      <c r="V81" s="242" t="str">
        <f t="shared" si="22"/>
        <v/>
      </c>
      <c r="W81" s="242" t="str">
        <f t="shared" si="23"/>
        <v/>
      </c>
    </row>
    <row r="82" spans="1:23" x14ac:dyDescent="0.2">
      <c r="A82" s="283"/>
      <c r="B82" s="283"/>
      <c r="C82" s="283"/>
      <c r="D82" s="283"/>
      <c r="E82" s="283"/>
      <c r="F82" s="283"/>
      <c r="G82" s="283"/>
      <c r="K82" s="242">
        <v>81</v>
      </c>
      <c r="L82" s="242" t="str">
        <f t="shared" si="12"/>
        <v/>
      </c>
      <c r="M82" s="242" t="str">
        <f t="shared" si="13"/>
        <v/>
      </c>
      <c r="N82" s="242" t="str">
        <f t="shared" si="14"/>
        <v/>
      </c>
      <c r="O82" s="242" t="str">
        <f t="shared" si="15"/>
        <v/>
      </c>
      <c r="P82" s="242" t="str">
        <f t="shared" si="16"/>
        <v/>
      </c>
      <c r="Q82" s="242" t="str">
        <f t="shared" si="17"/>
        <v/>
      </c>
      <c r="R82" s="242" t="str">
        <f t="shared" si="18"/>
        <v/>
      </c>
      <c r="S82" s="242" t="str">
        <f t="shared" si="19"/>
        <v/>
      </c>
      <c r="T82" s="242" t="str">
        <f t="shared" si="20"/>
        <v/>
      </c>
      <c r="U82" s="242" t="str">
        <f t="shared" si="21"/>
        <v/>
      </c>
      <c r="V82" s="242" t="str">
        <f t="shared" si="22"/>
        <v/>
      </c>
      <c r="W82" s="242" t="str">
        <f t="shared" si="23"/>
        <v/>
      </c>
    </row>
    <row r="83" spans="1:23" x14ac:dyDescent="0.2">
      <c r="A83" s="283"/>
      <c r="B83" s="283"/>
      <c r="C83" s="283"/>
      <c r="D83" s="283"/>
      <c r="E83" s="283"/>
      <c r="F83" s="283"/>
      <c r="G83" s="283"/>
      <c r="K83" s="242">
        <v>82</v>
      </c>
      <c r="L83" s="242" t="str">
        <f t="shared" si="12"/>
        <v/>
      </c>
      <c r="M83" s="242" t="str">
        <f t="shared" si="13"/>
        <v/>
      </c>
      <c r="N83" s="242" t="str">
        <f t="shared" si="14"/>
        <v/>
      </c>
      <c r="O83" s="242" t="str">
        <f t="shared" si="15"/>
        <v/>
      </c>
      <c r="P83" s="242" t="str">
        <f t="shared" si="16"/>
        <v/>
      </c>
      <c r="Q83" s="242" t="str">
        <f t="shared" si="17"/>
        <v/>
      </c>
      <c r="R83" s="242" t="str">
        <f t="shared" si="18"/>
        <v/>
      </c>
      <c r="S83" s="242" t="str">
        <f t="shared" si="19"/>
        <v/>
      </c>
      <c r="T83" s="242" t="str">
        <f t="shared" si="20"/>
        <v/>
      </c>
      <c r="U83" s="242" t="str">
        <f t="shared" si="21"/>
        <v/>
      </c>
      <c r="V83" s="242" t="str">
        <f t="shared" si="22"/>
        <v/>
      </c>
      <c r="W83" s="242" t="str">
        <f t="shared" si="23"/>
        <v/>
      </c>
    </row>
    <row r="84" spans="1:23" x14ac:dyDescent="0.2">
      <c r="A84" s="283"/>
      <c r="B84" s="283"/>
      <c r="C84" s="283"/>
      <c r="D84" s="283"/>
      <c r="E84" s="283"/>
      <c r="F84" s="283"/>
      <c r="G84" s="283"/>
      <c r="K84" s="242">
        <v>83</v>
      </c>
      <c r="L84" s="242" t="str">
        <f t="shared" si="12"/>
        <v/>
      </c>
      <c r="M84" s="242" t="str">
        <f t="shared" si="13"/>
        <v/>
      </c>
      <c r="N84" s="242" t="str">
        <f t="shared" si="14"/>
        <v/>
      </c>
      <c r="O84" s="242" t="str">
        <f t="shared" si="15"/>
        <v/>
      </c>
      <c r="P84" s="242" t="str">
        <f t="shared" si="16"/>
        <v/>
      </c>
      <c r="Q84" s="242" t="str">
        <f t="shared" si="17"/>
        <v/>
      </c>
      <c r="R84" s="242" t="str">
        <f t="shared" si="18"/>
        <v/>
      </c>
      <c r="S84" s="242" t="str">
        <f t="shared" si="19"/>
        <v/>
      </c>
      <c r="T84" s="242" t="str">
        <f t="shared" si="20"/>
        <v/>
      </c>
      <c r="U84" s="242" t="str">
        <f t="shared" si="21"/>
        <v/>
      </c>
      <c r="V84" s="242" t="str">
        <f t="shared" si="22"/>
        <v/>
      </c>
      <c r="W84" s="242" t="str">
        <f t="shared" si="23"/>
        <v/>
      </c>
    </row>
    <row r="85" spans="1:23" x14ac:dyDescent="0.2">
      <c r="A85" s="283"/>
      <c r="B85" s="283"/>
      <c r="C85" s="283"/>
      <c r="D85" s="283"/>
      <c r="E85" s="283"/>
      <c r="F85" s="283"/>
      <c r="G85" s="283"/>
      <c r="K85" s="242">
        <v>84</v>
      </c>
      <c r="L85" s="242" t="str">
        <f t="shared" si="12"/>
        <v/>
      </c>
      <c r="M85" s="242" t="str">
        <f t="shared" si="13"/>
        <v/>
      </c>
      <c r="N85" s="242" t="str">
        <f t="shared" si="14"/>
        <v/>
      </c>
      <c r="O85" s="242" t="str">
        <f t="shared" si="15"/>
        <v/>
      </c>
      <c r="P85" s="242" t="str">
        <f t="shared" si="16"/>
        <v/>
      </c>
      <c r="Q85" s="242" t="str">
        <f t="shared" si="17"/>
        <v/>
      </c>
      <c r="R85" s="242" t="str">
        <f t="shared" si="18"/>
        <v/>
      </c>
      <c r="S85" s="242" t="str">
        <f t="shared" si="19"/>
        <v/>
      </c>
      <c r="T85" s="242" t="str">
        <f t="shared" si="20"/>
        <v/>
      </c>
      <c r="U85" s="242" t="str">
        <f t="shared" si="21"/>
        <v/>
      </c>
      <c r="V85" s="242" t="str">
        <f t="shared" si="22"/>
        <v/>
      </c>
      <c r="W85" s="242" t="str">
        <f t="shared" si="23"/>
        <v/>
      </c>
    </row>
    <row r="86" spans="1:23" x14ac:dyDescent="0.2">
      <c r="A86" s="283"/>
      <c r="B86" s="283"/>
      <c r="C86" s="283"/>
      <c r="D86" s="283"/>
      <c r="E86" s="283"/>
      <c r="F86" s="283"/>
      <c r="G86" s="283"/>
      <c r="K86" s="242">
        <v>85</v>
      </c>
      <c r="L86" s="242" t="str">
        <f t="shared" si="12"/>
        <v/>
      </c>
      <c r="M86" s="242" t="str">
        <f t="shared" si="13"/>
        <v/>
      </c>
      <c r="N86" s="242" t="str">
        <f t="shared" si="14"/>
        <v/>
      </c>
      <c r="O86" s="242" t="str">
        <f t="shared" si="15"/>
        <v/>
      </c>
      <c r="P86" s="242" t="str">
        <f t="shared" si="16"/>
        <v/>
      </c>
      <c r="Q86" s="242" t="str">
        <f t="shared" si="17"/>
        <v/>
      </c>
      <c r="R86" s="242" t="str">
        <f t="shared" si="18"/>
        <v/>
      </c>
      <c r="S86" s="242" t="str">
        <f t="shared" si="19"/>
        <v/>
      </c>
      <c r="T86" s="242" t="str">
        <f t="shared" si="20"/>
        <v/>
      </c>
      <c r="U86" s="242" t="str">
        <f t="shared" si="21"/>
        <v/>
      </c>
      <c r="V86" s="242" t="str">
        <f t="shared" si="22"/>
        <v/>
      </c>
      <c r="W86" s="242" t="str">
        <f t="shared" si="23"/>
        <v/>
      </c>
    </row>
    <row r="87" spans="1:23" x14ac:dyDescent="0.2">
      <c r="A87" s="283"/>
      <c r="B87" s="283"/>
      <c r="C87" s="283"/>
      <c r="D87" s="283"/>
      <c r="E87" s="283"/>
      <c r="F87" s="283"/>
      <c r="G87" s="283"/>
      <c r="K87" s="242">
        <v>86</v>
      </c>
      <c r="L87" s="242" t="str">
        <f t="shared" si="12"/>
        <v/>
      </c>
      <c r="M87" s="242" t="str">
        <f t="shared" si="13"/>
        <v/>
      </c>
      <c r="N87" s="242" t="str">
        <f t="shared" si="14"/>
        <v/>
      </c>
      <c r="O87" s="242" t="str">
        <f t="shared" si="15"/>
        <v/>
      </c>
      <c r="P87" s="242" t="str">
        <f t="shared" si="16"/>
        <v/>
      </c>
      <c r="Q87" s="242" t="str">
        <f t="shared" si="17"/>
        <v/>
      </c>
      <c r="R87" s="242" t="str">
        <f t="shared" si="18"/>
        <v/>
      </c>
      <c r="S87" s="242" t="str">
        <f t="shared" si="19"/>
        <v/>
      </c>
      <c r="T87" s="242" t="str">
        <f t="shared" si="20"/>
        <v/>
      </c>
      <c r="U87" s="242" t="str">
        <f t="shared" si="21"/>
        <v/>
      </c>
      <c r="V87" s="242" t="str">
        <f t="shared" si="22"/>
        <v/>
      </c>
      <c r="W87" s="242" t="str">
        <f t="shared" si="23"/>
        <v/>
      </c>
    </row>
    <row r="88" spans="1:23" x14ac:dyDescent="0.2">
      <c r="A88" s="283"/>
      <c r="B88" s="283"/>
      <c r="C88" s="283"/>
      <c r="D88" s="283"/>
      <c r="E88" s="283"/>
      <c r="F88" s="283"/>
      <c r="G88" s="283"/>
      <c r="K88" s="242">
        <v>87</v>
      </c>
      <c r="L88" s="242" t="str">
        <f t="shared" si="12"/>
        <v/>
      </c>
      <c r="M88" s="242" t="str">
        <f t="shared" si="13"/>
        <v/>
      </c>
      <c r="N88" s="242" t="str">
        <f t="shared" si="14"/>
        <v/>
      </c>
      <c r="O88" s="242" t="str">
        <f t="shared" si="15"/>
        <v/>
      </c>
      <c r="P88" s="242" t="str">
        <f t="shared" si="16"/>
        <v/>
      </c>
      <c r="Q88" s="242" t="str">
        <f t="shared" si="17"/>
        <v/>
      </c>
      <c r="R88" s="242" t="str">
        <f t="shared" si="18"/>
        <v/>
      </c>
      <c r="S88" s="242" t="str">
        <f t="shared" si="19"/>
        <v/>
      </c>
      <c r="T88" s="242" t="str">
        <f t="shared" si="20"/>
        <v/>
      </c>
      <c r="U88" s="242" t="str">
        <f t="shared" si="21"/>
        <v/>
      </c>
      <c r="V88" s="242" t="str">
        <f t="shared" si="22"/>
        <v/>
      </c>
      <c r="W88" s="242" t="str">
        <f t="shared" si="23"/>
        <v/>
      </c>
    </row>
    <row r="89" spans="1:23" x14ac:dyDescent="0.2">
      <c r="A89" s="283"/>
      <c r="B89" s="283"/>
      <c r="C89" s="283"/>
      <c r="D89" s="283"/>
      <c r="E89" s="283"/>
      <c r="F89" s="283"/>
      <c r="G89" s="283"/>
      <c r="K89" s="242">
        <v>88</v>
      </c>
      <c r="L89" s="242" t="str">
        <f t="shared" si="12"/>
        <v/>
      </c>
      <c r="M89" s="242" t="str">
        <f t="shared" si="13"/>
        <v/>
      </c>
      <c r="N89" s="242" t="str">
        <f t="shared" si="14"/>
        <v/>
      </c>
      <c r="O89" s="242" t="str">
        <f t="shared" si="15"/>
        <v/>
      </c>
      <c r="P89" s="242" t="str">
        <f t="shared" si="16"/>
        <v/>
      </c>
      <c r="Q89" s="242" t="str">
        <f t="shared" si="17"/>
        <v/>
      </c>
      <c r="R89" s="242" t="str">
        <f t="shared" si="18"/>
        <v/>
      </c>
      <c r="S89" s="242" t="str">
        <f t="shared" si="19"/>
        <v/>
      </c>
      <c r="T89" s="242" t="str">
        <f t="shared" si="20"/>
        <v/>
      </c>
      <c r="U89" s="242" t="str">
        <f t="shared" si="21"/>
        <v/>
      </c>
      <c r="V89" s="242" t="str">
        <f t="shared" si="22"/>
        <v/>
      </c>
      <c r="W89" s="242" t="str">
        <f t="shared" si="23"/>
        <v/>
      </c>
    </row>
    <row r="90" spans="1:23" x14ac:dyDescent="0.2">
      <c r="A90" s="283"/>
      <c r="B90" s="283"/>
      <c r="C90" s="283"/>
      <c r="D90" s="283"/>
      <c r="E90" s="283"/>
      <c r="F90" s="283"/>
      <c r="G90" s="283"/>
      <c r="K90" s="242">
        <v>89</v>
      </c>
      <c r="L90" s="242" t="str">
        <f t="shared" si="12"/>
        <v/>
      </c>
      <c r="M90" s="242" t="str">
        <f t="shared" si="13"/>
        <v/>
      </c>
      <c r="N90" s="242" t="str">
        <f t="shared" si="14"/>
        <v/>
      </c>
      <c r="O90" s="242" t="str">
        <f t="shared" si="15"/>
        <v/>
      </c>
      <c r="P90" s="242" t="str">
        <f t="shared" si="16"/>
        <v/>
      </c>
      <c r="Q90" s="242" t="str">
        <f t="shared" si="17"/>
        <v/>
      </c>
      <c r="R90" s="242" t="str">
        <f t="shared" si="18"/>
        <v/>
      </c>
      <c r="S90" s="242" t="str">
        <f t="shared" si="19"/>
        <v/>
      </c>
      <c r="T90" s="242" t="str">
        <f t="shared" si="20"/>
        <v/>
      </c>
      <c r="U90" s="242" t="str">
        <f t="shared" si="21"/>
        <v/>
      </c>
      <c r="V90" s="242" t="str">
        <f t="shared" si="22"/>
        <v/>
      </c>
      <c r="W90" s="242" t="str">
        <f t="shared" si="23"/>
        <v/>
      </c>
    </row>
    <row r="91" spans="1:23" x14ac:dyDescent="0.2">
      <c r="A91" s="283"/>
      <c r="B91" s="283"/>
      <c r="C91" s="283"/>
      <c r="D91" s="283"/>
      <c r="E91" s="283"/>
      <c r="F91" s="283"/>
      <c r="G91" s="283"/>
      <c r="K91" s="242">
        <v>90</v>
      </c>
      <c r="L91" s="242" t="str">
        <f t="shared" si="12"/>
        <v/>
      </c>
      <c r="M91" s="242" t="str">
        <f t="shared" si="13"/>
        <v/>
      </c>
      <c r="N91" s="242" t="str">
        <f t="shared" si="14"/>
        <v/>
      </c>
      <c r="O91" s="242" t="str">
        <f t="shared" si="15"/>
        <v/>
      </c>
      <c r="P91" s="242" t="str">
        <f t="shared" si="16"/>
        <v/>
      </c>
      <c r="Q91" s="242" t="str">
        <f t="shared" si="17"/>
        <v/>
      </c>
      <c r="R91" s="242" t="str">
        <f t="shared" si="18"/>
        <v/>
      </c>
      <c r="S91" s="242" t="str">
        <f t="shared" si="19"/>
        <v/>
      </c>
      <c r="T91" s="242" t="str">
        <f t="shared" si="20"/>
        <v/>
      </c>
      <c r="U91" s="242" t="str">
        <f t="shared" si="21"/>
        <v/>
      </c>
      <c r="V91" s="242" t="str">
        <f t="shared" si="22"/>
        <v/>
      </c>
      <c r="W91" s="242" t="str">
        <f t="shared" si="23"/>
        <v/>
      </c>
    </row>
    <row r="92" spans="1:23" x14ac:dyDescent="0.2">
      <c r="A92" s="283"/>
      <c r="B92" s="283"/>
      <c r="C92" s="283"/>
      <c r="D92" s="283"/>
      <c r="E92" s="283"/>
      <c r="F92" s="283"/>
      <c r="G92" s="283"/>
      <c r="K92" s="242">
        <v>91</v>
      </c>
      <c r="L92" s="242" t="str">
        <f t="shared" si="12"/>
        <v/>
      </c>
      <c r="M92" s="242" t="str">
        <f t="shared" si="13"/>
        <v/>
      </c>
      <c r="N92" s="242" t="str">
        <f t="shared" si="14"/>
        <v/>
      </c>
      <c r="O92" s="242" t="str">
        <f t="shared" si="15"/>
        <v/>
      </c>
      <c r="P92" s="242" t="str">
        <f t="shared" si="16"/>
        <v/>
      </c>
      <c r="Q92" s="242" t="str">
        <f t="shared" si="17"/>
        <v/>
      </c>
      <c r="R92" s="242" t="str">
        <f t="shared" si="18"/>
        <v/>
      </c>
      <c r="S92" s="242" t="str">
        <f t="shared" si="19"/>
        <v/>
      </c>
      <c r="T92" s="242" t="str">
        <f t="shared" si="20"/>
        <v/>
      </c>
      <c r="U92" s="242" t="str">
        <f t="shared" si="21"/>
        <v/>
      </c>
      <c r="V92" s="242" t="str">
        <f t="shared" si="22"/>
        <v/>
      </c>
      <c r="W92" s="242" t="str">
        <f t="shared" si="23"/>
        <v/>
      </c>
    </row>
    <row r="93" spans="1:23" x14ac:dyDescent="0.2">
      <c r="A93" s="283"/>
      <c r="B93" s="283"/>
      <c r="C93" s="283"/>
      <c r="D93" s="283"/>
      <c r="E93" s="283"/>
      <c r="F93" s="283"/>
      <c r="G93" s="283"/>
      <c r="K93" s="242">
        <v>92</v>
      </c>
      <c r="L93" s="242" t="str">
        <f t="shared" si="12"/>
        <v/>
      </c>
      <c r="M93" s="242" t="str">
        <f t="shared" si="13"/>
        <v/>
      </c>
      <c r="N93" s="242" t="str">
        <f t="shared" si="14"/>
        <v/>
      </c>
      <c r="O93" s="242" t="str">
        <f t="shared" si="15"/>
        <v/>
      </c>
      <c r="P93" s="242" t="str">
        <f t="shared" si="16"/>
        <v/>
      </c>
      <c r="Q93" s="242" t="str">
        <f t="shared" si="17"/>
        <v/>
      </c>
      <c r="R93" s="242" t="str">
        <f t="shared" si="18"/>
        <v/>
      </c>
      <c r="S93" s="242" t="str">
        <f t="shared" si="19"/>
        <v/>
      </c>
      <c r="T93" s="242" t="str">
        <f t="shared" si="20"/>
        <v/>
      </c>
      <c r="U93" s="242" t="str">
        <f t="shared" si="21"/>
        <v/>
      </c>
      <c r="V93" s="242" t="str">
        <f t="shared" si="22"/>
        <v/>
      </c>
      <c r="W93" s="242" t="str">
        <f t="shared" si="23"/>
        <v/>
      </c>
    </row>
    <row r="94" spans="1:23" x14ac:dyDescent="0.2">
      <c r="A94" s="283"/>
      <c r="B94" s="283"/>
      <c r="C94" s="283"/>
      <c r="D94" s="283"/>
      <c r="E94" s="283"/>
      <c r="F94" s="283"/>
      <c r="G94" s="283"/>
      <c r="K94" s="242">
        <v>93</v>
      </c>
      <c r="L94" s="242" t="str">
        <f t="shared" si="12"/>
        <v/>
      </c>
      <c r="M94" s="242" t="str">
        <f t="shared" si="13"/>
        <v/>
      </c>
      <c r="N94" s="242" t="str">
        <f t="shared" si="14"/>
        <v/>
      </c>
      <c r="O94" s="242" t="str">
        <f t="shared" si="15"/>
        <v/>
      </c>
      <c r="P94" s="242" t="str">
        <f t="shared" si="16"/>
        <v/>
      </c>
      <c r="Q94" s="242" t="str">
        <f t="shared" si="17"/>
        <v/>
      </c>
      <c r="R94" s="242" t="str">
        <f t="shared" si="18"/>
        <v/>
      </c>
      <c r="S94" s="242" t="str">
        <f t="shared" si="19"/>
        <v/>
      </c>
      <c r="T94" s="242" t="str">
        <f t="shared" si="20"/>
        <v/>
      </c>
      <c r="U94" s="242" t="str">
        <f t="shared" si="21"/>
        <v/>
      </c>
      <c r="V94" s="242" t="str">
        <f t="shared" si="22"/>
        <v/>
      </c>
      <c r="W94" s="242" t="str">
        <f t="shared" si="23"/>
        <v/>
      </c>
    </row>
    <row r="95" spans="1:23" x14ac:dyDescent="0.2">
      <c r="A95" s="283"/>
      <c r="B95" s="283"/>
      <c r="C95" s="283"/>
      <c r="D95" s="283"/>
      <c r="E95" s="283"/>
      <c r="F95" s="283"/>
      <c r="G95" s="283"/>
      <c r="K95" s="242">
        <v>94</v>
      </c>
      <c r="L95" s="242" t="str">
        <f t="shared" si="12"/>
        <v/>
      </c>
      <c r="M95" s="242" t="str">
        <f t="shared" si="13"/>
        <v/>
      </c>
      <c r="N95" s="242" t="str">
        <f t="shared" si="14"/>
        <v/>
      </c>
      <c r="O95" s="242" t="str">
        <f t="shared" si="15"/>
        <v/>
      </c>
      <c r="P95" s="242" t="str">
        <f t="shared" si="16"/>
        <v/>
      </c>
      <c r="Q95" s="242" t="str">
        <f t="shared" si="17"/>
        <v/>
      </c>
      <c r="R95" s="242" t="str">
        <f t="shared" si="18"/>
        <v/>
      </c>
      <c r="S95" s="242" t="str">
        <f t="shared" si="19"/>
        <v/>
      </c>
      <c r="T95" s="242" t="str">
        <f t="shared" si="20"/>
        <v/>
      </c>
      <c r="U95" s="242" t="str">
        <f t="shared" si="21"/>
        <v/>
      </c>
      <c r="V95" s="242" t="str">
        <f t="shared" si="22"/>
        <v/>
      </c>
      <c r="W95" s="242" t="str">
        <f t="shared" si="23"/>
        <v/>
      </c>
    </row>
    <row r="96" spans="1:23" x14ac:dyDescent="0.2">
      <c r="A96" s="283"/>
      <c r="B96" s="283"/>
      <c r="C96" s="283"/>
      <c r="D96" s="283"/>
      <c r="E96" s="283"/>
      <c r="F96" s="283"/>
      <c r="G96" s="283"/>
      <c r="K96" s="242">
        <v>95</v>
      </c>
      <c r="L96" s="242" t="str">
        <f t="shared" si="12"/>
        <v/>
      </c>
      <c r="M96" s="242" t="str">
        <f t="shared" si="13"/>
        <v/>
      </c>
      <c r="N96" s="242" t="str">
        <f t="shared" si="14"/>
        <v/>
      </c>
      <c r="O96" s="242" t="str">
        <f t="shared" si="15"/>
        <v/>
      </c>
      <c r="P96" s="242" t="str">
        <f t="shared" si="16"/>
        <v/>
      </c>
      <c r="Q96" s="242" t="str">
        <f t="shared" si="17"/>
        <v/>
      </c>
      <c r="R96" s="242" t="str">
        <f t="shared" si="18"/>
        <v/>
      </c>
      <c r="S96" s="242" t="str">
        <f t="shared" si="19"/>
        <v/>
      </c>
      <c r="T96" s="242" t="str">
        <f t="shared" si="20"/>
        <v/>
      </c>
      <c r="U96" s="242" t="str">
        <f t="shared" si="21"/>
        <v/>
      </c>
      <c r="V96" s="242" t="str">
        <f t="shared" si="22"/>
        <v/>
      </c>
      <c r="W96" s="242" t="str">
        <f t="shared" si="23"/>
        <v/>
      </c>
    </row>
    <row r="97" spans="1:23" x14ac:dyDescent="0.2">
      <c r="A97" s="283"/>
      <c r="B97" s="283"/>
      <c r="C97" s="283"/>
      <c r="D97" s="283"/>
      <c r="E97" s="283"/>
      <c r="F97" s="283"/>
      <c r="G97" s="283"/>
      <c r="K97" s="242">
        <v>96</v>
      </c>
      <c r="L97" s="242" t="str">
        <f t="shared" si="12"/>
        <v/>
      </c>
      <c r="M97" s="242" t="str">
        <f t="shared" si="13"/>
        <v/>
      </c>
      <c r="N97" s="242" t="str">
        <f t="shared" si="14"/>
        <v/>
      </c>
      <c r="O97" s="242" t="str">
        <f t="shared" si="15"/>
        <v/>
      </c>
      <c r="P97" s="242" t="str">
        <f t="shared" si="16"/>
        <v/>
      </c>
      <c r="Q97" s="242" t="str">
        <f t="shared" si="17"/>
        <v/>
      </c>
      <c r="R97" s="242" t="str">
        <f t="shared" si="18"/>
        <v/>
      </c>
      <c r="S97" s="242" t="str">
        <f t="shared" si="19"/>
        <v/>
      </c>
      <c r="T97" s="242" t="str">
        <f t="shared" si="20"/>
        <v/>
      </c>
      <c r="U97" s="242" t="str">
        <f t="shared" si="21"/>
        <v/>
      </c>
      <c r="V97" s="242" t="str">
        <f t="shared" si="22"/>
        <v/>
      </c>
      <c r="W97" s="242" t="str">
        <f t="shared" si="23"/>
        <v/>
      </c>
    </row>
    <row r="98" spans="1:23" x14ac:dyDescent="0.2">
      <c r="A98" s="283"/>
      <c r="B98" s="283"/>
      <c r="C98" s="283"/>
      <c r="D98" s="283"/>
      <c r="E98" s="283"/>
      <c r="F98" s="283"/>
      <c r="G98" s="283"/>
      <c r="K98" s="242">
        <v>97</v>
      </c>
      <c r="L98" s="242" t="str">
        <f t="shared" si="12"/>
        <v/>
      </c>
      <c r="M98" s="242" t="str">
        <f t="shared" si="13"/>
        <v/>
      </c>
      <c r="N98" s="242" t="str">
        <f t="shared" si="14"/>
        <v/>
      </c>
      <c r="O98" s="242" t="str">
        <f t="shared" si="15"/>
        <v/>
      </c>
      <c r="P98" s="242" t="str">
        <f t="shared" si="16"/>
        <v/>
      </c>
      <c r="Q98" s="242" t="str">
        <f t="shared" si="17"/>
        <v/>
      </c>
      <c r="R98" s="242" t="str">
        <f t="shared" si="18"/>
        <v/>
      </c>
      <c r="S98" s="242" t="str">
        <f t="shared" si="19"/>
        <v/>
      </c>
      <c r="T98" s="242" t="str">
        <f t="shared" si="20"/>
        <v/>
      </c>
      <c r="U98" s="242" t="str">
        <f t="shared" si="21"/>
        <v/>
      </c>
      <c r="V98" s="242" t="str">
        <f t="shared" si="22"/>
        <v/>
      </c>
      <c r="W98" s="242" t="str">
        <f t="shared" si="23"/>
        <v/>
      </c>
    </row>
    <row r="99" spans="1:23" x14ac:dyDescent="0.2">
      <c r="A99" s="283"/>
      <c r="B99" s="283"/>
      <c r="C99" s="283"/>
      <c r="D99" s="283"/>
      <c r="E99" s="283"/>
      <c r="F99" s="283"/>
      <c r="G99" s="283"/>
      <c r="K99" s="242">
        <v>98</v>
      </c>
      <c r="L99" s="242" t="str">
        <f t="shared" si="12"/>
        <v/>
      </c>
      <c r="M99" s="242" t="str">
        <f t="shared" si="13"/>
        <v/>
      </c>
      <c r="N99" s="242" t="str">
        <f t="shared" si="14"/>
        <v/>
      </c>
      <c r="O99" s="242" t="str">
        <f t="shared" si="15"/>
        <v/>
      </c>
      <c r="P99" s="242" t="str">
        <f t="shared" si="16"/>
        <v/>
      </c>
      <c r="Q99" s="242" t="str">
        <f t="shared" si="17"/>
        <v/>
      </c>
      <c r="R99" s="242" t="str">
        <f t="shared" si="18"/>
        <v/>
      </c>
      <c r="S99" s="242" t="str">
        <f t="shared" si="19"/>
        <v/>
      </c>
      <c r="T99" s="242" t="str">
        <f t="shared" si="20"/>
        <v/>
      </c>
      <c r="U99" s="242" t="str">
        <f t="shared" si="21"/>
        <v/>
      </c>
      <c r="V99" s="242" t="str">
        <f t="shared" si="22"/>
        <v/>
      </c>
      <c r="W99" s="242" t="str">
        <f t="shared" si="23"/>
        <v/>
      </c>
    </row>
    <row r="100" spans="1:23" x14ac:dyDescent="0.2">
      <c r="A100" s="283"/>
      <c r="B100" s="283"/>
      <c r="C100" s="283"/>
      <c r="D100" s="283"/>
      <c r="E100" s="283"/>
      <c r="F100" s="283"/>
      <c r="G100" s="283"/>
      <c r="K100" s="242">
        <v>99</v>
      </c>
      <c r="L100" s="242" t="str">
        <f t="shared" si="12"/>
        <v/>
      </c>
      <c r="M100" s="242" t="str">
        <f t="shared" si="13"/>
        <v/>
      </c>
      <c r="N100" s="242" t="str">
        <f t="shared" si="14"/>
        <v/>
      </c>
      <c r="O100" s="242" t="str">
        <f t="shared" si="15"/>
        <v/>
      </c>
      <c r="P100" s="242" t="str">
        <f t="shared" si="16"/>
        <v/>
      </c>
      <c r="Q100" s="242" t="str">
        <f t="shared" si="17"/>
        <v/>
      </c>
      <c r="R100" s="242" t="str">
        <f t="shared" si="18"/>
        <v/>
      </c>
      <c r="S100" s="242" t="str">
        <f t="shared" si="19"/>
        <v/>
      </c>
      <c r="T100" s="242" t="str">
        <f t="shared" si="20"/>
        <v/>
      </c>
      <c r="U100" s="242" t="str">
        <f t="shared" si="21"/>
        <v/>
      </c>
      <c r="V100" s="242" t="str">
        <f t="shared" si="22"/>
        <v/>
      </c>
      <c r="W100" s="242" t="str">
        <f t="shared" si="23"/>
        <v/>
      </c>
    </row>
    <row r="101" spans="1:23" x14ac:dyDescent="0.2">
      <c r="A101" s="283"/>
      <c r="B101" s="283"/>
      <c r="C101" s="283"/>
      <c r="D101" s="283"/>
      <c r="E101" s="283"/>
      <c r="F101" s="283"/>
      <c r="G101" s="283"/>
      <c r="K101" s="242">
        <v>100</v>
      </c>
      <c r="L101" s="242" t="str">
        <f t="shared" si="12"/>
        <v/>
      </c>
      <c r="M101" s="242" t="str">
        <f t="shared" si="13"/>
        <v/>
      </c>
      <c r="N101" s="242" t="str">
        <f t="shared" si="14"/>
        <v/>
      </c>
      <c r="O101" s="242" t="str">
        <f t="shared" si="15"/>
        <v/>
      </c>
      <c r="P101" s="242" t="str">
        <f t="shared" si="16"/>
        <v/>
      </c>
      <c r="Q101" s="242" t="str">
        <f t="shared" si="17"/>
        <v/>
      </c>
      <c r="R101" s="242" t="str">
        <f t="shared" si="18"/>
        <v/>
      </c>
      <c r="S101" s="242" t="str">
        <f t="shared" si="19"/>
        <v/>
      </c>
      <c r="T101" s="242" t="str">
        <f t="shared" si="20"/>
        <v/>
      </c>
      <c r="U101" s="242" t="str">
        <f t="shared" si="21"/>
        <v/>
      </c>
      <c r="V101" s="242" t="str">
        <f t="shared" si="22"/>
        <v/>
      </c>
      <c r="W101" s="242" t="str">
        <f t="shared" si="23"/>
        <v/>
      </c>
    </row>
    <row r="102" spans="1:23" x14ac:dyDescent="0.2">
      <c r="A102" s="283"/>
      <c r="B102" s="283"/>
      <c r="C102" s="283"/>
      <c r="D102" s="283"/>
      <c r="E102" s="283"/>
      <c r="F102" s="283"/>
      <c r="G102" s="283"/>
      <c r="K102" s="242">
        <v>101</v>
      </c>
      <c r="L102" s="242" t="str">
        <f t="shared" si="12"/>
        <v/>
      </c>
      <c r="M102" s="242" t="str">
        <f t="shared" si="13"/>
        <v/>
      </c>
      <c r="N102" s="242" t="str">
        <f t="shared" si="14"/>
        <v/>
      </c>
      <c r="O102" s="242" t="str">
        <f t="shared" si="15"/>
        <v/>
      </c>
      <c r="P102" s="242" t="str">
        <f t="shared" si="16"/>
        <v/>
      </c>
      <c r="Q102" s="242" t="str">
        <f t="shared" si="17"/>
        <v/>
      </c>
      <c r="R102" s="242" t="str">
        <f t="shared" si="18"/>
        <v/>
      </c>
      <c r="S102" s="242" t="str">
        <f t="shared" si="19"/>
        <v/>
      </c>
      <c r="T102" s="242" t="str">
        <f t="shared" si="20"/>
        <v/>
      </c>
      <c r="U102" s="242" t="str">
        <f t="shared" si="21"/>
        <v/>
      </c>
      <c r="V102" s="242" t="str">
        <f t="shared" si="22"/>
        <v/>
      </c>
      <c r="W102" s="242" t="str">
        <f t="shared" si="23"/>
        <v/>
      </c>
    </row>
    <row r="103" spans="1:23" x14ac:dyDescent="0.2">
      <c r="A103" s="283"/>
      <c r="B103" s="283"/>
      <c r="C103" s="283"/>
      <c r="D103" s="283"/>
      <c r="E103" s="283"/>
      <c r="F103" s="283"/>
      <c r="G103" s="283"/>
      <c r="K103" s="242">
        <v>102</v>
      </c>
      <c r="L103" s="242" t="str">
        <f t="shared" si="12"/>
        <v/>
      </c>
      <c r="M103" s="242" t="str">
        <f t="shared" si="13"/>
        <v/>
      </c>
      <c r="N103" s="242" t="str">
        <f t="shared" si="14"/>
        <v/>
      </c>
      <c r="O103" s="242" t="str">
        <f t="shared" si="15"/>
        <v/>
      </c>
      <c r="P103" s="242" t="str">
        <f t="shared" si="16"/>
        <v/>
      </c>
      <c r="Q103" s="242" t="str">
        <f t="shared" si="17"/>
        <v/>
      </c>
      <c r="R103" s="242" t="str">
        <f t="shared" si="18"/>
        <v/>
      </c>
      <c r="S103" s="242" t="str">
        <f t="shared" si="19"/>
        <v/>
      </c>
      <c r="T103" s="242" t="str">
        <f t="shared" si="20"/>
        <v/>
      </c>
      <c r="U103" s="242" t="str">
        <f t="shared" si="21"/>
        <v/>
      </c>
      <c r="V103" s="242" t="str">
        <f t="shared" si="22"/>
        <v/>
      </c>
      <c r="W103" s="242" t="str">
        <f t="shared" si="23"/>
        <v/>
      </c>
    </row>
    <row r="104" spans="1:23" x14ac:dyDescent="0.2">
      <c r="A104" s="283"/>
      <c r="B104" s="283"/>
      <c r="C104" s="283"/>
      <c r="D104" s="283"/>
      <c r="E104" s="283"/>
      <c r="F104" s="283"/>
      <c r="G104" s="283"/>
      <c r="K104" s="242">
        <v>103</v>
      </c>
      <c r="L104" s="242" t="str">
        <f t="shared" si="12"/>
        <v/>
      </c>
      <c r="M104" s="242" t="str">
        <f t="shared" si="13"/>
        <v/>
      </c>
      <c r="N104" s="242" t="str">
        <f t="shared" si="14"/>
        <v/>
      </c>
      <c r="O104" s="242" t="str">
        <f t="shared" si="15"/>
        <v/>
      </c>
      <c r="P104" s="242" t="str">
        <f t="shared" si="16"/>
        <v/>
      </c>
      <c r="Q104" s="242" t="str">
        <f t="shared" si="17"/>
        <v/>
      </c>
      <c r="R104" s="242" t="str">
        <f t="shared" si="18"/>
        <v/>
      </c>
      <c r="S104" s="242" t="str">
        <f t="shared" si="19"/>
        <v/>
      </c>
      <c r="T104" s="242" t="str">
        <f t="shared" si="20"/>
        <v/>
      </c>
      <c r="U104" s="242" t="str">
        <f t="shared" si="21"/>
        <v/>
      </c>
      <c r="V104" s="242" t="str">
        <f t="shared" si="22"/>
        <v/>
      </c>
      <c r="W104" s="242" t="str">
        <f t="shared" si="23"/>
        <v/>
      </c>
    </row>
    <row r="105" spans="1:23" x14ac:dyDescent="0.2">
      <c r="A105" s="283"/>
      <c r="B105" s="283"/>
      <c r="C105" s="283"/>
      <c r="D105" s="283"/>
      <c r="E105" s="283"/>
      <c r="F105" s="283"/>
      <c r="G105" s="283"/>
      <c r="K105" s="242">
        <v>104</v>
      </c>
      <c r="L105" s="242" t="str">
        <f t="shared" si="12"/>
        <v/>
      </c>
      <c r="M105" s="242" t="str">
        <f t="shared" si="13"/>
        <v/>
      </c>
      <c r="N105" s="242" t="str">
        <f t="shared" si="14"/>
        <v/>
      </c>
      <c r="O105" s="242" t="str">
        <f t="shared" si="15"/>
        <v/>
      </c>
      <c r="P105" s="242" t="str">
        <f t="shared" si="16"/>
        <v/>
      </c>
      <c r="Q105" s="242" t="str">
        <f t="shared" si="17"/>
        <v/>
      </c>
      <c r="R105" s="242" t="str">
        <f t="shared" si="18"/>
        <v/>
      </c>
      <c r="S105" s="242" t="str">
        <f t="shared" si="19"/>
        <v/>
      </c>
      <c r="T105" s="242" t="str">
        <f t="shared" si="20"/>
        <v/>
      </c>
      <c r="U105" s="242" t="str">
        <f t="shared" si="21"/>
        <v/>
      </c>
      <c r="V105" s="242" t="str">
        <f t="shared" si="22"/>
        <v/>
      </c>
      <c r="W105" s="242" t="str">
        <f t="shared" si="23"/>
        <v/>
      </c>
    </row>
    <row r="106" spans="1:23" x14ac:dyDescent="0.2">
      <c r="A106" s="283"/>
      <c r="B106" s="283"/>
      <c r="C106" s="283"/>
      <c r="D106" s="283"/>
      <c r="E106" s="283"/>
      <c r="F106" s="283"/>
      <c r="G106" s="283"/>
      <c r="K106" s="242">
        <v>105</v>
      </c>
      <c r="L106" s="242" t="str">
        <f t="shared" si="12"/>
        <v/>
      </c>
      <c r="M106" s="242" t="str">
        <f t="shared" si="13"/>
        <v/>
      </c>
      <c r="N106" s="242" t="str">
        <f t="shared" si="14"/>
        <v/>
      </c>
      <c r="O106" s="242" t="str">
        <f t="shared" si="15"/>
        <v/>
      </c>
      <c r="P106" s="242" t="str">
        <f t="shared" si="16"/>
        <v/>
      </c>
      <c r="Q106" s="242" t="str">
        <f t="shared" si="17"/>
        <v/>
      </c>
      <c r="R106" s="242" t="str">
        <f t="shared" si="18"/>
        <v/>
      </c>
      <c r="S106" s="242" t="str">
        <f t="shared" si="19"/>
        <v/>
      </c>
      <c r="T106" s="242" t="str">
        <f t="shared" si="20"/>
        <v/>
      </c>
      <c r="U106" s="242" t="str">
        <f t="shared" si="21"/>
        <v/>
      </c>
      <c r="V106" s="242" t="str">
        <f t="shared" si="22"/>
        <v/>
      </c>
      <c r="W106" s="242" t="str">
        <f t="shared" si="23"/>
        <v/>
      </c>
    </row>
    <row r="107" spans="1:23" x14ac:dyDescent="0.2">
      <c r="A107" s="283"/>
      <c r="B107" s="283"/>
      <c r="C107" s="283"/>
      <c r="D107" s="283"/>
      <c r="E107" s="283"/>
      <c r="F107" s="283"/>
      <c r="G107" s="283"/>
      <c r="K107" s="242">
        <v>106</v>
      </c>
      <c r="L107" s="242" t="str">
        <f t="shared" si="12"/>
        <v/>
      </c>
      <c r="M107" s="242" t="str">
        <f t="shared" si="13"/>
        <v/>
      </c>
      <c r="N107" s="242" t="str">
        <f t="shared" si="14"/>
        <v/>
      </c>
      <c r="O107" s="242" t="str">
        <f t="shared" si="15"/>
        <v/>
      </c>
      <c r="P107" s="242" t="str">
        <f t="shared" si="16"/>
        <v/>
      </c>
      <c r="Q107" s="242" t="str">
        <f t="shared" si="17"/>
        <v/>
      </c>
      <c r="R107" s="242" t="str">
        <f t="shared" si="18"/>
        <v/>
      </c>
      <c r="S107" s="242" t="str">
        <f t="shared" si="19"/>
        <v/>
      </c>
      <c r="T107" s="242" t="str">
        <f t="shared" si="20"/>
        <v/>
      </c>
      <c r="U107" s="242" t="str">
        <f t="shared" si="21"/>
        <v/>
      </c>
      <c r="V107" s="242" t="str">
        <f t="shared" si="22"/>
        <v/>
      </c>
      <c r="W107" s="242" t="str">
        <f t="shared" si="23"/>
        <v/>
      </c>
    </row>
    <row r="108" spans="1:23" x14ac:dyDescent="0.2">
      <c r="A108" s="283"/>
      <c r="B108" s="283"/>
      <c r="C108" s="283"/>
      <c r="D108" s="283"/>
      <c r="E108" s="283"/>
      <c r="F108" s="283"/>
      <c r="G108" s="283"/>
      <c r="K108" s="242">
        <v>107</v>
      </c>
      <c r="L108" s="242" t="str">
        <f t="shared" si="12"/>
        <v/>
      </c>
      <c r="M108" s="242" t="str">
        <f t="shared" si="13"/>
        <v/>
      </c>
      <c r="N108" s="242" t="str">
        <f t="shared" si="14"/>
        <v/>
      </c>
      <c r="O108" s="242" t="str">
        <f t="shared" si="15"/>
        <v/>
      </c>
      <c r="P108" s="242" t="str">
        <f t="shared" si="16"/>
        <v/>
      </c>
      <c r="Q108" s="242" t="str">
        <f t="shared" si="17"/>
        <v/>
      </c>
      <c r="R108" s="242" t="str">
        <f t="shared" si="18"/>
        <v/>
      </c>
      <c r="S108" s="242" t="str">
        <f t="shared" si="19"/>
        <v/>
      </c>
      <c r="T108" s="242" t="str">
        <f t="shared" si="20"/>
        <v/>
      </c>
      <c r="U108" s="242" t="str">
        <f t="shared" si="21"/>
        <v/>
      </c>
      <c r="V108" s="242" t="str">
        <f t="shared" si="22"/>
        <v/>
      </c>
      <c r="W108" s="242" t="str">
        <f t="shared" si="23"/>
        <v/>
      </c>
    </row>
    <row r="109" spans="1:23" x14ac:dyDescent="0.2">
      <c r="A109" s="283"/>
      <c r="B109" s="283"/>
      <c r="C109" s="283"/>
      <c r="D109" s="283"/>
      <c r="E109" s="283"/>
      <c r="F109" s="283"/>
      <c r="G109" s="283"/>
      <c r="K109" s="242">
        <v>108</v>
      </c>
      <c r="L109" s="242" t="str">
        <f t="shared" si="12"/>
        <v/>
      </c>
      <c r="M109" s="242" t="str">
        <f t="shared" si="13"/>
        <v/>
      </c>
      <c r="N109" s="242" t="str">
        <f t="shared" si="14"/>
        <v/>
      </c>
      <c r="O109" s="242" t="str">
        <f t="shared" si="15"/>
        <v/>
      </c>
      <c r="P109" s="242" t="str">
        <f t="shared" si="16"/>
        <v/>
      </c>
      <c r="Q109" s="242" t="str">
        <f t="shared" si="17"/>
        <v/>
      </c>
      <c r="R109" s="242" t="str">
        <f t="shared" si="18"/>
        <v/>
      </c>
      <c r="S109" s="242" t="str">
        <f t="shared" si="19"/>
        <v/>
      </c>
      <c r="T109" s="242" t="str">
        <f t="shared" si="20"/>
        <v/>
      </c>
      <c r="U109" s="242" t="str">
        <f t="shared" si="21"/>
        <v/>
      </c>
      <c r="V109" s="242" t="str">
        <f t="shared" si="22"/>
        <v/>
      </c>
      <c r="W109" s="242" t="str">
        <f t="shared" si="23"/>
        <v/>
      </c>
    </row>
    <row r="110" spans="1:23" x14ac:dyDescent="0.2">
      <c r="A110" s="283"/>
      <c r="B110" s="283"/>
      <c r="C110" s="283"/>
      <c r="D110" s="283"/>
      <c r="E110" s="283"/>
      <c r="F110" s="283"/>
      <c r="G110" s="283"/>
      <c r="K110" s="242">
        <v>109</v>
      </c>
      <c r="L110" s="242" t="str">
        <f t="shared" si="12"/>
        <v/>
      </c>
      <c r="M110" s="242" t="str">
        <f t="shared" si="13"/>
        <v/>
      </c>
      <c r="N110" s="242" t="str">
        <f t="shared" si="14"/>
        <v/>
      </c>
      <c r="O110" s="242" t="str">
        <f t="shared" si="15"/>
        <v/>
      </c>
      <c r="P110" s="242" t="str">
        <f t="shared" si="16"/>
        <v/>
      </c>
      <c r="Q110" s="242" t="str">
        <f t="shared" si="17"/>
        <v/>
      </c>
      <c r="R110" s="242" t="str">
        <f t="shared" si="18"/>
        <v/>
      </c>
      <c r="S110" s="242" t="str">
        <f t="shared" si="19"/>
        <v/>
      </c>
      <c r="T110" s="242" t="str">
        <f t="shared" si="20"/>
        <v/>
      </c>
      <c r="U110" s="242" t="str">
        <f t="shared" si="21"/>
        <v/>
      </c>
      <c r="V110" s="242" t="str">
        <f t="shared" si="22"/>
        <v/>
      </c>
      <c r="W110" s="242" t="str">
        <f t="shared" si="23"/>
        <v/>
      </c>
    </row>
    <row r="111" spans="1:23" x14ac:dyDescent="0.2">
      <c r="A111" s="283"/>
      <c r="B111" s="283"/>
      <c r="C111" s="283"/>
      <c r="D111" s="283"/>
      <c r="E111" s="283"/>
      <c r="F111" s="283"/>
      <c r="G111" s="283"/>
      <c r="K111" s="242">
        <v>110</v>
      </c>
      <c r="L111" s="242" t="str">
        <f t="shared" si="12"/>
        <v/>
      </c>
      <c r="M111" s="242" t="str">
        <f t="shared" si="13"/>
        <v/>
      </c>
      <c r="N111" s="242" t="str">
        <f t="shared" si="14"/>
        <v/>
      </c>
      <c r="O111" s="242" t="str">
        <f t="shared" si="15"/>
        <v/>
      </c>
      <c r="P111" s="242" t="str">
        <f t="shared" si="16"/>
        <v/>
      </c>
      <c r="Q111" s="242" t="str">
        <f t="shared" si="17"/>
        <v/>
      </c>
      <c r="R111" s="242" t="str">
        <f t="shared" si="18"/>
        <v/>
      </c>
      <c r="S111" s="242" t="str">
        <f t="shared" si="19"/>
        <v/>
      </c>
      <c r="T111" s="242" t="str">
        <f t="shared" si="20"/>
        <v/>
      </c>
      <c r="U111" s="242" t="str">
        <f t="shared" si="21"/>
        <v/>
      </c>
      <c r="V111" s="242" t="str">
        <f t="shared" si="22"/>
        <v/>
      </c>
      <c r="W111" s="242" t="str">
        <f t="shared" si="23"/>
        <v/>
      </c>
    </row>
    <row r="112" spans="1:23" x14ac:dyDescent="0.2">
      <c r="A112" s="283"/>
      <c r="B112" s="283"/>
      <c r="C112" s="283"/>
      <c r="D112" s="283"/>
      <c r="E112" s="283"/>
      <c r="F112" s="283"/>
      <c r="G112" s="283"/>
      <c r="K112" s="242">
        <v>111</v>
      </c>
      <c r="L112" s="242" t="str">
        <f t="shared" si="12"/>
        <v/>
      </c>
      <c r="M112" s="242" t="str">
        <f t="shared" si="13"/>
        <v/>
      </c>
      <c r="N112" s="242" t="str">
        <f t="shared" si="14"/>
        <v/>
      </c>
      <c r="O112" s="242" t="str">
        <f t="shared" si="15"/>
        <v/>
      </c>
      <c r="P112" s="242" t="str">
        <f t="shared" si="16"/>
        <v/>
      </c>
      <c r="Q112" s="242" t="str">
        <f t="shared" si="17"/>
        <v/>
      </c>
      <c r="R112" s="242" t="str">
        <f t="shared" si="18"/>
        <v/>
      </c>
      <c r="S112" s="242" t="str">
        <f t="shared" si="19"/>
        <v/>
      </c>
      <c r="T112" s="242" t="str">
        <f t="shared" si="20"/>
        <v/>
      </c>
      <c r="U112" s="242" t="str">
        <f t="shared" si="21"/>
        <v/>
      </c>
      <c r="V112" s="242" t="str">
        <f t="shared" si="22"/>
        <v/>
      </c>
      <c r="W112" s="242" t="str">
        <f t="shared" si="23"/>
        <v/>
      </c>
    </row>
    <row r="113" spans="1:23" x14ac:dyDescent="0.2">
      <c r="A113" s="283"/>
      <c r="B113" s="283"/>
      <c r="C113" s="283"/>
      <c r="D113" s="283"/>
      <c r="E113" s="283"/>
      <c r="F113" s="283"/>
      <c r="G113" s="283"/>
      <c r="K113" s="242">
        <v>112</v>
      </c>
      <c r="L113" s="242" t="str">
        <f t="shared" si="12"/>
        <v/>
      </c>
      <c r="M113" s="242" t="str">
        <f t="shared" si="13"/>
        <v/>
      </c>
      <c r="N113" s="242" t="str">
        <f t="shared" si="14"/>
        <v/>
      </c>
      <c r="O113" s="242" t="str">
        <f t="shared" si="15"/>
        <v/>
      </c>
      <c r="P113" s="242" t="str">
        <f t="shared" si="16"/>
        <v/>
      </c>
      <c r="Q113" s="242" t="str">
        <f t="shared" si="17"/>
        <v/>
      </c>
      <c r="R113" s="242" t="str">
        <f t="shared" si="18"/>
        <v/>
      </c>
      <c r="S113" s="242" t="str">
        <f t="shared" si="19"/>
        <v/>
      </c>
      <c r="T113" s="242" t="str">
        <f t="shared" si="20"/>
        <v/>
      </c>
      <c r="U113" s="242" t="str">
        <f t="shared" si="21"/>
        <v/>
      </c>
      <c r="V113" s="242" t="str">
        <f t="shared" si="22"/>
        <v/>
      </c>
      <c r="W113" s="242" t="str">
        <f t="shared" si="23"/>
        <v/>
      </c>
    </row>
    <row r="114" spans="1:23" x14ac:dyDescent="0.2">
      <c r="A114" s="283"/>
      <c r="B114" s="283"/>
      <c r="C114" s="283"/>
      <c r="D114" s="283"/>
      <c r="E114" s="283"/>
      <c r="F114" s="283"/>
      <c r="G114" s="283"/>
      <c r="K114" s="242">
        <v>113</v>
      </c>
      <c r="L114" s="242" t="str">
        <f t="shared" si="12"/>
        <v/>
      </c>
      <c r="M114" s="242" t="str">
        <f t="shared" si="13"/>
        <v/>
      </c>
      <c r="N114" s="242" t="str">
        <f t="shared" si="14"/>
        <v/>
      </c>
      <c r="O114" s="242" t="str">
        <f t="shared" si="15"/>
        <v/>
      </c>
      <c r="P114" s="242" t="str">
        <f t="shared" si="16"/>
        <v/>
      </c>
      <c r="Q114" s="242" t="str">
        <f t="shared" si="17"/>
        <v/>
      </c>
      <c r="R114" s="242" t="str">
        <f t="shared" si="18"/>
        <v/>
      </c>
      <c r="S114" s="242" t="str">
        <f t="shared" si="19"/>
        <v/>
      </c>
      <c r="T114" s="242" t="str">
        <f t="shared" si="20"/>
        <v/>
      </c>
      <c r="U114" s="242" t="str">
        <f t="shared" si="21"/>
        <v/>
      </c>
      <c r="V114" s="242" t="str">
        <f t="shared" si="22"/>
        <v/>
      </c>
      <c r="W114" s="242" t="str">
        <f t="shared" si="23"/>
        <v/>
      </c>
    </row>
    <row r="115" spans="1:23" x14ac:dyDescent="0.2">
      <c r="A115" s="283"/>
      <c r="B115" s="283"/>
      <c r="C115" s="283"/>
      <c r="D115" s="283"/>
      <c r="E115" s="283"/>
      <c r="F115" s="283"/>
      <c r="G115" s="283"/>
      <c r="K115" s="242">
        <v>114</v>
      </c>
      <c r="L115" s="242" t="str">
        <f t="shared" si="12"/>
        <v/>
      </c>
      <c r="M115" s="242" t="str">
        <f t="shared" si="13"/>
        <v/>
      </c>
      <c r="N115" s="242" t="str">
        <f t="shared" si="14"/>
        <v/>
      </c>
      <c r="O115" s="242" t="str">
        <f t="shared" si="15"/>
        <v/>
      </c>
      <c r="P115" s="242" t="str">
        <f t="shared" si="16"/>
        <v/>
      </c>
      <c r="Q115" s="242" t="str">
        <f t="shared" si="17"/>
        <v/>
      </c>
      <c r="R115" s="242" t="str">
        <f t="shared" si="18"/>
        <v/>
      </c>
      <c r="S115" s="242" t="str">
        <f t="shared" si="19"/>
        <v/>
      </c>
      <c r="T115" s="242" t="str">
        <f t="shared" si="20"/>
        <v/>
      </c>
      <c r="U115" s="242" t="str">
        <f t="shared" si="21"/>
        <v/>
      </c>
      <c r="V115" s="242" t="str">
        <f t="shared" si="22"/>
        <v/>
      </c>
      <c r="W115" s="242" t="str">
        <f t="shared" si="23"/>
        <v/>
      </c>
    </row>
    <row r="116" spans="1:23" x14ac:dyDescent="0.2">
      <c r="A116" s="283"/>
      <c r="B116" s="283"/>
      <c r="C116" s="283"/>
      <c r="D116" s="283"/>
      <c r="E116" s="283"/>
      <c r="F116" s="283"/>
      <c r="G116" s="283"/>
      <c r="K116" s="242">
        <v>115</v>
      </c>
      <c r="L116" s="242" t="str">
        <f t="shared" si="12"/>
        <v/>
      </c>
      <c r="M116" s="242" t="str">
        <f t="shared" si="13"/>
        <v/>
      </c>
      <c r="N116" s="242" t="str">
        <f t="shared" si="14"/>
        <v/>
      </c>
      <c r="O116" s="242" t="str">
        <f t="shared" si="15"/>
        <v/>
      </c>
      <c r="P116" s="242" t="str">
        <f t="shared" si="16"/>
        <v/>
      </c>
      <c r="Q116" s="242" t="str">
        <f t="shared" si="17"/>
        <v/>
      </c>
      <c r="R116" s="242" t="str">
        <f t="shared" si="18"/>
        <v/>
      </c>
      <c r="S116" s="242" t="str">
        <f t="shared" si="19"/>
        <v/>
      </c>
      <c r="T116" s="242" t="str">
        <f t="shared" si="20"/>
        <v/>
      </c>
      <c r="U116" s="242" t="str">
        <f t="shared" si="21"/>
        <v/>
      </c>
      <c r="V116" s="242" t="str">
        <f t="shared" si="22"/>
        <v/>
      </c>
      <c r="W116" s="242" t="str">
        <f t="shared" si="23"/>
        <v/>
      </c>
    </row>
    <row r="117" spans="1:23" x14ac:dyDescent="0.2">
      <c r="A117" s="283"/>
      <c r="B117" s="283"/>
      <c r="C117" s="283"/>
      <c r="D117" s="283"/>
      <c r="E117" s="283"/>
      <c r="F117" s="283"/>
      <c r="G117" s="283"/>
      <c r="K117" s="242">
        <v>116</v>
      </c>
      <c r="L117" s="242" t="str">
        <f t="shared" si="12"/>
        <v/>
      </c>
      <c r="M117" s="242" t="str">
        <f t="shared" si="13"/>
        <v/>
      </c>
      <c r="N117" s="242" t="str">
        <f t="shared" si="14"/>
        <v/>
      </c>
      <c r="O117" s="242" t="str">
        <f t="shared" si="15"/>
        <v/>
      </c>
      <c r="P117" s="242" t="str">
        <f t="shared" si="16"/>
        <v/>
      </c>
      <c r="Q117" s="242" t="str">
        <f t="shared" si="17"/>
        <v/>
      </c>
      <c r="R117" s="242" t="str">
        <f t="shared" si="18"/>
        <v/>
      </c>
      <c r="S117" s="242" t="str">
        <f t="shared" si="19"/>
        <v/>
      </c>
      <c r="T117" s="242" t="str">
        <f t="shared" si="20"/>
        <v/>
      </c>
      <c r="U117" s="242" t="str">
        <f t="shared" si="21"/>
        <v/>
      </c>
      <c r="V117" s="242" t="str">
        <f t="shared" si="22"/>
        <v/>
      </c>
      <c r="W117" s="242" t="str">
        <f t="shared" si="23"/>
        <v/>
      </c>
    </row>
    <row r="118" spans="1:23" x14ac:dyDescent="0.2">
      <c r="A118" s="283"/>
      <c r="B118" s="283"/>
      <c r="C118" s="283"/>
      <c r="D118" s="283"/>
      <c r="E118" s="283"/>
      <c r="F118" s="283"/>
      <c r="G118" s="283"/>
      <c r="K118" s="242">
        <v>117</v>
      </c>
      <c r="L118" s="242" t="str">
        <f t="shared" si="12"/>
        <v/>
      </c>
      <c r="M118" s="242" t="str">
        <f t="shared" si="13"/>
        <v/>
      </c>
      <c r="N118" s="242" t="str">
        <f t="shared" si="14"/>
        <v/>
      </c>
      <c r="O118" s="242" t="str">
        <f t="shared" si="15"/>
        <v/>
      </c>
      <c r="P118" s="242" t="str">
        <f t="shared" si="16"/>
        <v/>
      </c>
      <c r="Q118" s="242" t="str">
        <f t="shared" si="17"/>
        <v/>
      </c>
      <c r="R118" s="242" t="str">
        <f t="shared" si="18"/>
        <v/>
      </c>
      <c r="S118" s="242" t="str">
        <f t="shared" si="19"/>
        <v/>
      </c>
      <c r="T118" s="242" t="str">
        <f t="shared" si="20"/>
        <v/>
      </c>
      <c r="U118" s="242" t="str">
        <f t="shared" si="21"/>
        <v/>
      </c>
      <c r="V118" s="242" t="str">
        <f t="shared" si="22"/>
        <v/>
      </c>
      <c r="W118" s="242" t="str">
        <f t="shared" si="23"/>
        <v/>
      </c>
    </row>
    <row r="119" spans="1:23" x14ac:dyDescent="0.2">
      <c r="A119" s="283"/>
      <c r="B119" s="283"/>
      <c r="C119" s="283"/>
      <c r="D119" s="283"/>
      <c r="E119" s="283"/>
      <c r="F119" s="283"/>
      <c r="G119" s="283"/>
      <c r="K119" s="242">
        <v>118</v>
      </c>
      <c r="L119" s="242" t="str">
        <f t="shared" si="12"/>
        <v/>
      </c>
      <c r="M119" s="242" t="str">
        <f t="shared" si="13"/>
        <v/>
      </c>
      <c r="N119" s="242" t="str">
        <f t="shared" si="14"/>
        <v/>
      </c>
      <c r="O119" s="242" t="str">
        <f t="shared" si="15"/>
        <v/>
      </c>
      <c r="P119" s="242" t="str">
        <f t="shared" si="16"/>
        <v/>
      </c>
      <c r="Q119" s="242" t="str">
        <f t="shared" si="17"/>
        <v/>
      </c>
      <c r="R119" s="242" t="str">
        <f t="shared" si="18"/>
        <v/>
      </c>
      <c r="S119" s="242" t="str">
        <f t="shared" si="19"/>
        <v/>
      </c>
      <c r="T119" s="242" t="str">
        <f t="shared" si="20"/>
        <v/>
      </c>
      <c r="U119" s="242" t="str">
        <f t="shared" si="21"/>
        <v/>
      </c>
      <c r="V119" s="242" t="str">
        <f t="shared" si="22"/>
        <v/>
      </c>
      <c r="W119" s="242" t="str">
        <f t="shared" si="23"/>
        <v/>
      </c>
    </row>
    <row r="120" spans="1:23" x14ac:dyDescent="0.2">
      <c r="A120" s="283"/>
      <c r="B120" s="283"/>
      <c r="C120" s="283"/>
      <c r="D120" s="283"/>
      <c r="E120" s="283"/>
      <c r="F120" s="283"/>
      <c r="G120" s="283"/>
      <c r="K120" s="242">
        <v>119</v>
      </c>
      <c r="L120" s="242" t="str">
        <f t="shared" si="12"/>
        <v/>
      </c>
      <c r="M120" s="242" t="str">
        <f t="shared" si="13"/>
        <v/>
      </c>
      <c r="N120" s="242" t="str">
        <f t="shared" si="14"/>
        <v/>
      </c>
      <c r="O120" s="242" t="str">
        <f t="shared" si="15"/>
        <v/>
      </c>
      <c r="P120" s="242" t="str">
        <f t="shared" si="16"/>
        <v/>
      </c>
      <c r="Q120" s="242" t="str">
        <f t="shared" si="17"/>
        <v/>
      </c>
      <c r="R120" s="242" t="str">
        <f t="shared" si="18"/>
        <v/>
      </c>
      <c r="S120" s="242" t="str">
        <f t="shared" si="19"/>
        <v/>
      </c>
      <c r="T120" s="242" t="str">
        <f t="shared" si="20"/>
        <v/>
      </c>
      <c r="U120" s="242" t="str">
        <f t="shared" si="21"/>
        <v/>
      </c>
      <c r="V120" s="242" t="str">
        <f t="shared" si="22"/>
        <v/>
      </c>
      <c r="W120" s="242" t="str">
        <f t="shared" si="23"/>
        <v/>
      </c>
    </row>
    <row r="121" spans="1:23" x14ac:dyDescent="0.2">
      <c r="A121" s="283"/>
      <c r="B121" s="283"/>
      <c r="C121" s="283"/>
      <c r="D121" s="283"/>
      <c r="E121" s="283"/>
      <c r="F121" s="283"/>
      <c r="G121" s="283"/>
      <c r="K121" s="242">
        <v>120</v>
      </c>
      <c r="L121" s="242" t="str">
        <f t="shared" si="12"/>
        <v/>
      </c>
      <c r="M121" s="242" t="str">
        <f t="shared" si="13"/>
        <v/>
      </c>
      <c r="N121" s="242" t="str">
        <f t="shared" si="14"/>
        <v/>
      </c>
      <c r="O121" s="242" t="str">
        <f t="shared" si="15"/>
        <v/>
      </c>
      <c r="P121" s="242" t="str">
        <f t="shared" si="16"/>
        <v/>
      </c>
      <c r="Q121" s="242" t="str">
        <f t="shared" si="17"/>
        <v/>
      </c>
      <c r="R121" s="242" t="str">
        <f t="shared" si="18"/>
        <v/>
      </c>
      <c r="S121" s="242" t="str">
        <f t="shared" si="19"/>
        <v/>
      </c>
      <c r="T121" s="242" t="str">
        <f t="shared" si="20"/>
        <v/>
      </c>
      <c r="U121" s="242" t="str">
        <f t="shared" si="21"/>
        <v/>
      </c>
      <c r="V121" s="242" t="str">
        <f t="shared" si="22"/>
        <v/>
      </c>
      <c r="W121" s="242" t="str">
        <f t="shared" si="23"/>
        <v/>
      </c>
    </row>
    <row r="122" spans="1:23" x14ac:dyDescent="0.2">
      <c r="A122" s="283"/>
      <c r="B122" s="283"/>
      <c r="C122" s="283"/>
      <c r="D122" s="283"/>
      <c r="E122" s="283"/>
      <c r="F122" s="283"/>
      <c r="G122" s="283"/>
      <c r="K122" s="242">
        <v>121</v>
      </c>
      <c r="L122" s="242" t="str">
        <f t="shared" si="12"/>
        <v/>
      </c>
      <c r="M122" s="242" t="str">
        <f t="shared" si="13"/>
        <v/>
      </c>
      <c r="N122" s="242" t="str">
        <f t="shared" si="14"/>
        <v/>
      </c>
      <c r="O122" s="242" t="str">
        <f t="shared" si="15"/>
        <v/>
      </c>
      <c r="P122" s="242" t="str">
        <f t="shared" si="16"/>
        <v/>
      </c>
      <c r="Q122" s="242" t="str">
        <f t="shared" si="17"/>
        <v/>
      </c>
      <c r="R122" s="242" t="str">
        <f t="shared" si="18"/>
        <v/>
      </c>
      <c r="S122" s="242" t="str">
        <f t="shared" si="19"/>
        <v/>
      </c>
      <c r="T122" s="242" t="str">
        <f t="shared" si="20"/>
        <v/>
      </c>
      <c r="U122" s="242" t="str">
        <f t="shared" si="21"/>
        <v/>
      </c>
      <c r="V122" s="242" t="str">
        <f t="shared" si="22"/>
        <v/>
      </c>
      <c r="W122" s="242" t="str">
        <f t="shared" si="23"/>
        <v/>
      </c>
    </row>
    <row r="123" spans="1:23" x14ac:dyDescent="0.2">
      <c r="A123" s="283"/>
      <c r="B123" s="283"/>
      <c r="C123" s="283"/>
      <c r="D123" s="283"/>
      <c r="E123" s="283"/>
      <c r="F123" s="283"/>
      <c r="G123" s="283"/>
      <c r="K123" s="242">
        <v>122</v>
      </c>
      <c r="L123" s="242" t="str">
        <f t="shared" si="12"/>
        <v/>
      </c>
      <c r="M123" s="242" t="str">
        <f t="shared" si="13"/>
        <v/>
      </c>
      <c r="N123" s="242" t="str">
        <f t="shared" si="14"/>
        <v/>
      </c>
      <c r="O123" s="242" t="str">
        <f t="shared" si="15"/>
        <v/>
      </c>
      <c r="P123" s="242" t="str">
        <f t="shared" si="16"/>
        <v/>
      </c>
      <c r="Q123" s="242" t="str">
        <f t="shared" si="17"/>
        <v/>
      </c>
      <c r="R123" s="242" t="str">
        <f t="shared" si="18"/>
        <v/>
      </c>
      <c r="S123" s="242" t="str">
        <f t="shared" si="19"/>
        <v/>
      </c>
      <c r="T123" s="242" t="str">
        <f t="shared" si="20"/>
        <v/>
      </c>
      <c r="U123" s="242" t="str">
        <f t="shared" si="21"/>
        <v/>
      </c>
      <c r="V123" s="242" t="str">
        <f t="shared" si="22"/>
        <v/>
      </c>
      <c r="W123" s="242" t="str">
        <f t="shared" si="23"/>
        <v/>
      </c>
    </row>
    <row r="124" spans="1:23" x14ac:dyDescent="0.2">
      <c r="A124" s="283"/>
      <c r="B124" s="283"/>
      <c r="C124" s="283"/>
      <c r="D124" s="283"/>
      <c r="E124" s="283"/>
      <c r="F124" s="283"/>
      <c r="G124" s="283"/>
      <c r="K124" s="242">
        <v>123</v>
      </c>
      <c r="L124" s="242" t="str">
        <f t="shared" si="12"/>
        <v/>
      </c>
      <c r="M124" s="242" t="str">
        <f t="shared" si="13"/>
        <v/>
      </c>
      <c r="N124" s="242" t="str">
        <f t="shared" si="14"/>
        <v/>
      </c>
      <c r="O124" s="242" t="str">
        <f t="shared" si="15"/>
        <v/>
      </c>
      <c r="P124" s="242" t="str">
        <f t="shared" si="16"/>
        <v/>
      </c>
      <c r="Q124" s="242" t="str">
        <f t="shared" si="17"/>
        <v/>
      </c>
      <c r="R124" s="242" t="str">
        <f t="shared" si="18"/>
        <v/>
      </c>
      <c r="S124" s="242" t="str">
        <f t="shared" si="19"/>
        <v/>
      </c>
      <c r="T124" s="242" t="str">
        <f t="shared" si="20"/>
        <v/>
      </c>
      <c r="U124" s="242" t="str">
        <f t="shared" si="21"/>
        <v/>
      </c>
      <c r="V124" s="242" t="str">
        <f t="shared" si="22"/>
        <v/>
      </c>
      <c r="W124" s="242" t="str">
        <f t="shared" si="23"/>
        <v/>
      </c>
    </row>
    <row r="125" spans="1:23" x14ac:dyDescent="0.2">
      <c r="A125" s="283"/>
      <c r="B125" s="283"/>
      <c r="C125" s="283"/>
      <c r="D125" s="283"/>
      <c r="E125" s="283"/>
      <c r="F125" s="283"/>
      <c r="G125" s="283"/>
      <c r="K125" s="242">
        <v>124</v>
      </c>
      <c r="L125" s="242" t="str">
        <f t="shared" si="12"/>
        <v/>
      </c>
      <c r="M125" s="242" t="str">
        <f t="shared" si="13"/>
        <v/>
      </c>
      <c r="N125" s="242" t="str">
        <f t="shared" si="14"/>
        <v/>
      </c>
      <c r="O125" s="242" t="str">
        <f t="shared" si="15"/>
        <v/>
      </c>
      <c r="P125" s="242" t="str">
        <f t="shared" si="16"/>
        <v/>
      </c>
      <c r="Q125" s="242" t="str">
        <f t="shared" si="17"/>
        <v/>
      </c>
      <c r="R125" s="242" t="str">
        <f t="shared" si="18"/>
        <v/>
      </c>
      <c r="S125" s="242" t="str">
        <f t="shared" si="19"/>
        <v/>
      </c>
      <c r="T125" s="242" t="str">
        <f t="shared" si="20"/>
        <v/>
      </c>
      <c r="U125" s="242" t="str">
        <f t="shared" si="21"/>
        <v/>
      </c>
      <c r="V125" s="242" t="str">
        <f t="shared" si="22"/>
        <v/>
      </c>
      <c r="W125" s="242" t="str">
        <f t="shared" si="23"/>
        <v/>
      </c>
    </row>
    <row r="126" spans="1:23" x14ac:dyDescent="0.2">
      <c r="A126" s="283"/>
      <c r="B126" s="283"/>
      <c r="C126" s="283"/>
      <c r="D126" s="283"/>
      <c r="E126" s="283"/>
      <c r="F126" s="283"/>
      <c r="G126" s="283"/>
      <c r="K126" s="242">
        <v>125</v>
      </c>
      <c r="L126" s="242" t="str">
        <f t="shared" si="12"/>
        <v/>
      </c>
      <c r="M126" s="242" t="str">
        <f t="shared" si="13"/>
        <v/>
      </c>
      <c r="N126" s="242" t="str">
        <f t="shared" si="14"/>
        <v/>
      </c>
      <c r="O126" s="242" t="str">
        <f t="shared" si="15"/>
        <v/>
      </c>
      <c r="P126" s="242" t="str">
        <f t="shared" si="16"/>
        <v/>
      </c>
      <c r="Q126" s="242" t="str">
        <f t="shared" si="17"/>
        <v/>
      </c>
      <c r="R126" s="242" t="str">
        <f t="shared" si="18"/>
        <v/>
      </c>
      <c r="S126" s="242" t="str">
        <f t="shared" si="19"/>
        <v/>
      </c>
      <c r="T126" s="242" t="str">
        <f t="shared" si="20"/>
        <v/>
      </c>
      <c r="U126" s="242" t="str">
        <f t="shared" si="21"/>
        <v/>
      </c>
      <c r="V126" s="242" t="str">
        <f t="shared" si="22"/>
        <v/>
      </c>
      <c r="W126" s="242" t="str">
        <f t="shared" si="23"/>
        <v/>
      </c>
    </row>
    <row r="127" spans="1:23" x14ac:dyDescent="0.2">
      <c r="A127" s="283"/>
      <c r="B127" s="283"/>
      <c r="C127" s="283"/>
      <c r="D127" s="283"/>
      <c r="E127" s="283"/>
      <c r="F127" s="283"/>
      <c r="G127" s="283"/>
      <c r="K127" s="242">
        <v>126</v>
      </c>
      <c r="L127" s="242" t="str">
        <f t="shared" si="12"/>
        <v/>
      </c>
      <c r="M127" s="242" t="str">
        <f t="shared" si="13"/>
        <v/>
      </c>
      <c r="N127" s="242" t="str">
        <f t="shared" si="14"/>
        <v/>
      </c>
      <c r="O127" s="242" t="str">
        <f t="shared" si="15"/>
        <v/>
      </c>
      <c r="P127" s="242" t="str">
        <f t="shared" si="16"/>
        <v/>
      </c>
      <c r="Q127" s="242" t="str">
        <f t="shared" si="17"/>
        <v/>
      </c>
      <c r="R127" s="242" t="str">
        <f t="shared" si="18"/>
        <v/>
      </c>
      <c r="S127" s="242" t="str">
        <f t="shared" si="19"/>
        <v/>
      </c>
      <c r="T127" s="242" t="str">
        <f t="shared" si="20"/>
        <v/>
      </c>
      <c r="U127" s="242" t="str">
        <f t="shared" si="21"/>
        <v/>
      </c>
      <c r="V127" s="242" t="str">
        <f t="shared" si="22"/>
        <v/>
      </c>
      <c r="W127" s="242" t="str">
        <f t="shared" si="23"/>
        <v/>
      </c>
    </row>
    <row r="128" spans="1:23" x14ac:dyDescent="0.2">
      <c r="A128" s="283"/>
      <c r="B128" s="283"/>
      <c r="C128" s="283"/>
      <c r="D128" s="283"/>
      <c r="E128" s="283"/>
      <c r="F128" s="283"/>
      <c r="G128" s="283"/>
      <c r="K128" s="242">
        <v>127</v>
      </c>
      <c r="L128" s="242" t="str">
        <f t="shared" si="12"/>
        <v/>
      </c>
      <c r="M128" s="242" t="str">
        <f t="shared" si="13"/>
        <v/>
      </c>
      <c r="N128" s="242" t="str">
        <f t="shared" si="14"/>
        <v/>
      </c>
      <c r="O128" s="242" t="str">
        <f t="shared" si="15"/>
        <v/>
      </c>
      <c r="P128" s="242" t="str">
        <f t="shared" si="16"/>
        <v/>
      </c>
      <c r="Q128" s="242" t="str">
        <f t="shared" si="17"/>
        <v/>
      </c>
      <c r="R128" s="242" t="str">
        <f t="shared" si="18"/>
        <v/>
      </c>
      <c r="S128" s="242" t="str">
        <f t="shared" si="19"/>
        <v/>
      </c>
      <c r="T128" s="242" t="str">
        <f t="shared" si="20"/>
        <v/>
      </c>
      <c r="U128" s="242" t="str">
        <f t="shared" si="21"/>
        <v/>
      </c>
      <c r="V128" s="242" t="str">
        <f t="shared" si="22"/>
        <v/>
      </c>
      <c r="W128" s="242" t="str">
        <f t="shared" si="23"/>
        <v/>
      </c>
    </row>
    <row r="129" spans="1:23" x14ac:dyDescent="0.2">
      <c r="A129" s="283"/>
      <c r="B129" s="283"/>
      <c r="C129" s="283"/>
      <c r="D129" s="283"/>
      <c r="E129" s="283"/>
      <c r="F129" s="283"/>
      <c r="G129" s="283"/>
      <c r="K129" s="242">
        <v>128</v>
      </c>
      <c r="L129" s="242" t="str">
        <f t="shared" si="12"/>
        <v/>
      </c>
      <c r="M129" s="242" t="str">
        <f t="shared" si="13"/>
        <v/>
      </c>
      <c r="N129" s="242" t="str">
        <f t="shared" si="14"/>
        <v/>
      </c>
      <c r="O129" s="242" t="str">
        <f t="shared" si="15"/>
        <v/>
      </c>
      <c r="P129" s="242" t="str">
        <f t="shared" si="16"/>
        <v/>
      </c>
      <c r="Q129" s="242" t="str">
        <f t="shared" si="17"/>
        <v/>
      </c>
      <c r="R129" s="242" t="str">
        <f t="shared" si="18"/>
        <v/>
      </c>
      <c r="S129" s="242" t="str">
        <f t="shared" si="19"/>
        <v/>
      </c>
      <c r="T129" s="242" t="str">
        <f t="shared" si="20"/>
        <v/>
      </c>
      <c r="U129" s="242" t="str">
        <f t="shared" si="21"/>
        <v/>
      </c>
      <c r="V129" s="242" t="str">
        <f t="shared" si="22"/>
        <v/>
      </c>
      <c r="W129" s="242" t="str">
        <f t="shared" si="23"/>
        <v/>
      </c>
    </row>
    <row r="130" spans="1:23" x14ac:dyDescent="0.2">
      <c r="A130" s="283"/>
      <c r="B130" s="283"/>
      <c r="C130" s="283"/>
      <c r="D130" s="283"/>
      <c r="E130" s="283"/>
      <c r="F130" s="283"/>
      <c r="G130" s="283"/>
      <c r="K130" s="242">
        <v>129</v>
      </c>
      <c r="L130" s="242" t="str">
        <f t="shared" si="12"/>
        <v/>
      </c>
      <c r="M130" s="242" t="str">
        <f t="shared" si="13"/>
        <v/>
      </c>
      <c r="N130" s="242" t="str">
        <f t="shared" si="14"/>
        <v/>
      </c>
      <c r="O130" s="242" t="str">
        <f t="shared" si="15"/>
        <v/>
      </c>
      <c r="P130" s="242" t="str">
        <f t="shared" si="16"/>
        <v/>
      </c>
      <c r="Q130" s="242" t="str">
        <f t="shared" si="17"/>
        <v/>
      </c>
      <c r="R130" s="242" t="str">
        <f t="shared" si="18"/>
        <v/>
      </c>
      <c r="S130" s="242" t="str">
        <f t="shared" si="19"/>
        <v/>
      </c>
      <c r="T130" s="242" t="str">
        <f t="shared" si="20"/>
        <v/>
      </c>
      <c r="U130" s="242" t="str">
        <f t="shared" si="21"/>
        <v/>
      </c>
      <c r="V130" s="242" t="str">
        <f t="shared" si="22"/>
        <v/>
      </c>
      <c r="W130" s="242" t="str">
        <f t="shared" si="23"/>
        <v/>
      </c>
    </row>
    <row r="131" spans="1:23" x14ac:dyDescent="0.2">
      <c r="A131" s="283"/>
      <c r="B131" s="283"/>
      <c r="C131" s="283"/>
      <c r="D131" s="283"/>
      <c r="E131" s="283"/>
      <c r="F131" s="283"/>
      <c r="G131" s="283"/>
      <c r="K131" s="242">
        <v>130</v>
      </c>
      <c r="L131" s="242" t="str">
        <f t="shared" ref="L131:L194" si="24">IF($B$13&gt;=K131,K131,"")</f>
        <v/>
      </c>
      <c r="M131" s="242" t="str">
        <f t="shared" ref="M131:M194" si="25">IF(L131="","",IF(L131&lt;=$E$15,VLOOKUP($E$14,$I$1:$J$4,2,FALSE),VLOOKUP($F$14,$I$1:$J$4,2,FALSE)))</f>
        <v/>
      </c>
      <c r="N131" s="242" t="str">
        <f t="shared" ref="N131:N194" si="26">IF($B$20&gt;=K131,K131,"")</f>
        <v/>
      </c>
      <c r="O131" s="242" t="str">
        <f t="shared" ref="O131:O194" si="27">IF(N131="","",IF(N131&lt;=$E$22,VLOOKUP($E$21,$I$1:$J$4,2,FALSE),VLOOKUP($F$21,$I$1:$J$4,2,FALSE)))</f>
        <v/>
      </c>
      <c r="P131" s="242" t="str">
        <f t="shared" ref="P131:P194" si="28">IF($B$27&gt;=K131,K131,"")</f>
        <v/>
      </c>
      <c r="Q131" s="242" t="str">
        <f t="shared" ref="Q131:Q194" si="29">IF(P131="","",IF(P131&lt;=$E$29,VLOOKUP($E$28,$I$1:$J$4,2,FALSE),VLOOKUP($F$28,$I$1:$J$4,2,FALSE)))</f>
        <v/>
      </c>
      <c r="R131" s="242" t="str">
        <f t="shared" ref="R131:R194" si="30">IF($B$34&gt;=K131,K131,"")</f>
        <v/>
      </c>
      <c r="S131" s="242" t="str">
        <f t="shared" ref="S131:S194" si="31">IF(R131="","",IF(R131&lt;=$E$36,VLOOKUP($E$35,$I$1:$J$4,2,FALSE),VLOOKUP($F$35,$I$1:$J$4,2,FALSE)))</f>
        <v/>
      </c>
      <c r="T131" s="242" t="str">
        <f t="shared" ref="T131:T194" si="32">IF($B$41&gt;=K131,K131,"")</f>
        <v/>
      </c>
      <c r="U131" s="242" t="str">
        <f t="shared" ref="U131:U194" si="33">IF(T131="","",IF(T131&lt;=$E$43,VLOOKUP($E$42,$I$1:$J$4,2,FALSE),VLOOKUP($F$42,$I$1:$J$4,2,FALSE)))</f>
        <v/>
      </c>
      <c r="V131" s="242" t="str">
        <f t="shared" ref="V131:V194" si="34">IF($B$48&gt;=K131,K131,"")</f>
        <v/>
      </c>
      <c r="W131" s="242" t="str">
        <f t="shared" ref="W131:W194" si="35">IF(V131="","",IF(V131&lt;=$E$50,VLOOKUP($E$49,$I$1:$J$4,2,FALSE),VLOOKUP($F$49,$I$1:$J$4,2,FALSE)))</f>
        <v/>
      </c>
    </row>
    <row r="132" spans="1:23" x14ac:dyDescent="0.2">
      <c r="A132" s="283"/>
      <c r="B132" s="283"/>
      <c r="C132" s="283"/>
      <c r="D132" s="283"/>
      <c r="E132" s="283"/>
      <c r="F132" s="283"/>
      <c r="G132" s="283"/>
      <c r="K132" s="242">
        <v>131</v>
      </c>
      <c r="L132" s="242" t="str">
        <f t="shared" si="24"/>
        <v/>
      </c>
      <c r="M132" s="242" t="str">
        <f t="shared" si="25"/>
        <v/>
      </c>
      <c r="N132" s="242" t="str">
        <f t="shared" si="26"/>
        <v/>
      </c>
      <c r="O132" s="242" t="str">
        <f t="shared" si="27"/>
        <v/>
      </c>
      <c r="P132" s="242" t="str">
        <f t="shared" si="28"/>
        <v/>
      </c>
      <c r="Q132" s="242" t="str">
        <f t="shared" si="29"/>
        <v/>
      </c>
      <c r="R132" s="242" t="str">
        <f t="shared" si="30"/>
        <v/>
      </c>
      <c r="S132" s="242" t="str">
        <f t="shared" si="31"/>
        <v/>
      </c>
      <c r="T132" s="242" t="str">
        <f t="shared" si="32"/>
        <v/>
      </c>
      <c r="U132" s="242" t="str">
        <f t="shared" si="33"/>
        <v/>
      </c>
      <c r="V132" s="242" t="str">
        <f t="shared" si="34"/>
        <v/>
      </c>
      <c r="W132" s="242" t="str">
        <f t="shared" si="35"/>
        <v/>
      </c>
    </row>
    <row r="133" spans="1:23" x14ac:dyDescent="0.2">
      <c r="A133" s="283"/>
      <c r="B133" s="283"/>
      <c r="C133" s="283"/>
      <c r="D133" s="283"/>
      <c r="E133" s="283"/>
      <c r="F133" s="283"/>
      <c r="G133" s="283"/>
      <c r="K133" s="242">
        <v>132</v>
      </c>
      <c r="L133" s="242" t="str">
        <f t="shared" si="24"/>
        <v/>
      </c>
      <c r="M133" s="242" t="str">
        <f t="shared" si="25"/>
        <v/>
      </c>
      <c r="N133" s="242" t="str">
        <f t="shared" si="26"/>
        <v/>
      </c>
      <c r="O133" s="242" t="str">
        <f t="shared" si="27"/>
        <v/>
      </c>
      <c r="P133" s="242" t="str">
        <f t="shared" si="28"/>
        <v/>
      </c>
      <c r="Q133" s="242" t="str">
        <f t="shared" si="29"/>
        <v/>
      </c>
      <c r="R133" s="242" t="str">
        <f t="shared" si="30"/>
        <v/>
      </c>
      <c r="S133" s="242" t="str">
        <f t="shared" si="31"/>
        <v/>
      </c>
      <c r="T133" s="242" t="str">
        <f t="shared" si="32"/>
        <v/>
      </c>
      <c r="U133" s="242" t="str">
        <f t="shared" si="33"/>
        <v/>
      </c>
      <c r="V133" s="242" t="str">
        <f t="shared" si="34"/>
        <v/>
      </c>
      <c r="W133" s="242" t="str">
        <f t="shared" si="35"/>
        <v/>
      </c>
    </row>
    <row r="134" spans="1:23" x14ac:dyDescent="0.2">
      <c r="A134" s="283"/>
      <c r="B134" s="283"/>
      <c r="C134" s="283"/>
      <c r="D134" s="283"/>
      <c r="E134" s="283"/>
      <c r="F134" s="283"/>
      <c r="G134" s="283"/>
      <c r="K134" s="242">
        <v>133</v>
      </c>
      <c r="L134" s="242" t="str">
        <f t="shared" si="24"/>
        <v/>
      </c>
      <c r="M134" s="242" t="str">
        <f t="shared" si="25"/>
        <v/>
      </c>
      <c r="N134" s="242" t="str">
        <f t="shared" si="26"/>
        <v/>
      </c>
      <c r="O134" s="242" t="str">
        <f t="shared" si="27"/>
        <v/>
      </c>
      <c r="P134" s="242" t="str">
        <f t="shared" si="28"/>
        <v/>
      </c>
      <c r="Q134" s="242" t="str">
        <f t="shared" si="29"/>
        <v/>
      </c>
      <c r="R134" s="242" t="str">
        <f t="shared" si="30"/>
        <v/>
      </c>
      <c r="S134" s="242" t="str">
        <f t="shared" si="31"/>
        <v/>
      </c>
      <c r="T134" s="242" t="str">
        <f t="shared" si="32"/>
        <v/>
      </c>
      <c r="U134" s="242" t="str">
        <f t="shared" si="33"/>
        <v/>
      </c>
      <c r="V134" s="242" t="str">
        <f t="shared" si="34"/>
        <v/>
      </c>
      <c r="W134" s="242" t="str">
        <f t="shared" si="35"/>
        <v/>
      </c>
    </row>
    <row r="135" spans="1:23" x14ac:dyDescent="0.2">
      <c r="A135" s="283"/>
      <c r="B135" s="283"/>
      <c r="C135" s="283"/>
      <c r="D135" s="283"/>
      <c r="E135" s="283"/>
      <c r="F135" s="283"/>
      <c r="G135" s="283"/>
      <c r="K135" s="242">
        <v>134</v>
      </c>
      <c r="L135" s="242" t="str">
        <f t="shared" si="24"/>
        <v/>
      </c>
      <c r="M135" s="242" t="str">
        <f t="shared" si="25"/>
        <v/>
      </c>
      <c r="N135" s="242" t="str">
        <f t="shared" si="26"/>
        <v/>
      </c>
      <c r="O135" s="242" t="str">
        <f t="shared" si="27"/>
        <v/>
      </c>
      <c r="P135" s="242" t="str">
        <f t="shared" si="28"/>
        <v/>
      </c>
      <c r="Q135" s="242" t="str">
        <f t="shared" si="29"/>
        <v/>
      </c>
      <c r="R135" s="242" t="str">
        <f t="shared" si="30"/>
        <v/>
      </c>
      <c r="S135" s="242" t="str">
        <f t="shared" si="31"/>
        <v/>
      </c>
      <c r="T135" s="242" t="str">
        <f t="shared" si="32"/>
        <v/>
      </c>
      <c r="U135" s="242" t="str">
        <f t="shared" si="33"/>
        <v/>
      </c>
      <c r="V135" s="242" t="str">
        <f t="shared" si="34"/>
        <v/>
      </c>
      <c r="W135" s="242" t="str">
        <f t="shared" si="35"/>
        <v/>
      </c>
    </row>
    <row r="136" spans="1:23" x14ac:dyDescent="0.2">
      <c r="A136" s="283"/>
      <c r="B136" s="283"/>
      <c r="C136" s="283"/>
      <c r="D136" s="283"/>
      <c r="E136" s="283"/>
      <c r="F136" s="283"/>
      <c r="G136" s="283"/>
      <c r="K136" s="242">
        <v>135</v>
      </c>
      <c r="L136" s="242" t="str">
        <f t="shared" si="24"/>
        <v/>
      </c>
      <c r="M136" s="242" t="str">
        <f t="shared" si="25"/>
        <v/>
      </c>
      <c r="N136" s="242" t="str">
        <f t="shared" si="26"/>
        <v/>
      </c>
      <c r="O136" s="242" t="str">
        <f t="shared" si="27"/>
        <v/>
      </c>
      <c r="P136" s="242" t="str">
        <f t="shared" si="28"/>
        <v/>
      </c>
      <c r="Q136" s="242" t="str">
        <f t="shared" si="29"/>
        <v/>
      </c>
      <c r="R136" s="242" t="str">
        <f t="shared" si="30"/>
        <v/>
      </c>
      <c r="S136" s="242" t="str">
        <f t="shared" si="31"/>
        <v/>
      </c>
      <c r="T136" s="242" t="str">
        <f t="shared" si="32"/>
        <v/>
      </c>
      <c r="U136" s="242" t="str">
        <f t="shared" si="33"/>
        <v/>
      </c>
      <c r="V136" s="242" t="str">
        <f t="shared" si="34"/>
        <v/>
      </c>
      <c r="W136" s="242" t="str">
        <f t="shared" si="35"/>
        <v/>
      </c>
    </row>
    <row r="137" spans="1:23" x14ac:dyDescent="0.2">
      <c r="A137" s="283"/>
      <c r="B137" s="283"/>
      <c r="C137" s="283"/>
      <c r="D137" s="283"/>
      <c r="E137" s="283"/>
      <c r="F137" s="283"/>
      <c r="G137" s="283"/>
      <c r="K137" s="242">
        <v>136</v>
      </c>
      <c r="L137" s="242" t="str">
        <f t="shared" si="24"/>
        <v/>
      </c>
      <c r="M137" s="242" t="str">
        <f t="shared" si="25"/>
        <v/>
      </c>
      <c r="N137" s="242" t="str">
        <f t="shared" si="26"/>
        <v/>
      </c>
      <c r="O137" s="242" t="str">
        <f t="shared" si="27"/>
        <v/>
      </c>
      <c r="P137" s="242" t="str">
        <f t="shared" si="28"/>
        <v/>
      </c>
      <c r="Q137" s="242" t="str">
        <f t="shared" si="29"/>
        <v/>
      </c>
      <c r="R137" s="242" t="str">
        <f t="shared" si="30"/>
        <v/>
      </c>
      <c r="S137" s="242" t="str">
        <f t="shared" si="31"/>
        <v/>
      </c>
      <c r="T137" s="242" t="str">
        <f t="shared" si="32"/>
        <v/>
      </c>
      <c r="U137" s="242" t="str">
        <f t="shared" si="33"/>
        <v/>
      </c>
      <c r="V137" s="242" t="str">
        <f t="shared" si="34"/>
        <v/>
      </c>
      <c r="W137" s="242" t="str">
        <f t="shared" si="35"/>
        <v/>
      </c>
    </row>
    <row r="138" spans="1:23" x14ac:dyDescent="0.2">
      <c r="A138" s="283"/>
      <c r="B138" s="283"/>
      <c r="C138" s="283"/>
      <c r="D138" s="283"/>
      <c r="E138" s="283"/>
      <c r="F138" s="283"/>
      <c r="G138" s="283"/>
      <c r="K138" s="242">
        <v>137</v>
      </c>
      <c r="L138" s="242" t="str">
        <f t="shared" si="24"/>
        <v/>
      </c>
      <c r="M138" s="242" t="str">
        <f t="shared" si="25"/>
        <v/>
      </c>
      <c r="N138" s="242" t="str">
        <f t="shared" si="26"/>
        <v/>
      </c>
      <c r="O138" s="242" t="str">
        <f t="shared" si="27"/>
        <v/>
      </c>
      <c r="P138" s="242" t="str">
        <f t="shared" si="28"/>
        <v/>
      </c>
      <c r="Q138" s="242" t="str">
        <f t="shared" si="29"/>
        <v/>
      </c>
      <c r="R138" s="242" t="str">
        <f t="shared" si="30"/>
        <v/>
      </c>
      <c r="S138" s="242" t="str">
        <f t="shared" si="31"/>
        <v/>
      </c>
      <c r="T138" s="242" t="str">
        <f t="shared" si="32"/>
        <v/>
      </c>
      <c r="U138" s="242" t="str">
        <f t="shared" si="33"/>
        <v/>
      </c>
      <c r="V138" s="242" t="str">
        <f t="shared" si="34"/>
        <v/>
      </c>
      <c r="W138" s="242" t="str">
        <f t="shared" si="35"/>
        <v/>
      </c>
    </row>
    <row r="139" spans="1:23" x14ac:dyDescent="0.2">
      <c r="A139" s="283"/>
      <c r="B139" s="283"/>
      <c r="C139" s="283"/>
      <c r="D139" s="283"/>
      <c r="E139" s="283"/>
      <c r="F139" s="283"/>
      <c r="G139" s="283"/>
      <c r="K139" s="242">
        <v>138</v>
      </c>
      <c r="L139" s="242" t="str">
        <f t="shared" si="24"/>
        <v/>
      </c>
      <c r="M139" s="242" t="str">
        <f t="shared" si="25"/>
        <v/>
      </c>
      <c r="N139" s="242" t="str">
        <f t="shared" si="26"/>
        <v/>
      </c>
      <c r="O139" s="242" t="str">
        <f t="shared" si="27"/>
        <v/>
      </c>
      <c r="P139" s="242" t="str">
        <f t="shared" si="28"/>
        <v/>
      </c>
      <c r="Q139" s="242" t="str">
        <f t="shared" si="29"/>
        <v/>
      </c>
      <c r="R139" s="242" t="str">
        <f t="shared" si="30"/>
        <v/>
      </c>
      <c r="S139" s="242" t="str">
        <f t="shared" si="31"/>
        <v/>
      </c>
      <c r="T139" s="242" t="str">
        <f t="shared" si="32"/>
        <v/>
      </c>
      <c r="U139" s="242" t="str">
        <f t="shared" si="33"/>
        <v/>
      </c>
      <c r="V139" s="242" t="str">
        <f t="shared" si="34"/>
        <v/>
      </c>
      <c r="W139" s="242" t="str">
        <f t="shared" si="35"/>
        <v/>
      </c>
    </row>
    <row r="140" spans="1:23" x14ac:dyDescent="0.2">
      <c r="A140" s="283"/>
      <c r="B140" s="283"/>
      <c r="C140" s="283"/>
      <c r="D140" s="283"/>
      <c r="E140" s="283"/>
      <c r="F140" s="283"/>
      <c r="G140" s="283"/>
      <c r="K140" s="242">
        <v>139</v>
      </c>
      <c r="L140" s="242" t="str">
        <f t="shared" si="24"/>
        <v/>
      </c>
      <c r="M140" s="242" t="str">
        <f t="shared" si="25"/>
        <v/>
      </c>
      <c r="N140" s="242" t="str">
        <f t="shared" si="26"/>
        <v/>
      </c>
      <c r="O140" s="242" t="str">
        <f t="shared" si="27"/>
        <v/>
      </c>
      <c r="P140" s="242" t="str">
        <f t="shared" si="28"/>
        <v/>
      </c>
      <c r="Q140" s="242" t="str">
        <f t="shared" si="29"/>
        <v/>
      </c>
      <c r="R140" s="242" t="str">
        <f t="shared" si="30"/>
        <v/>
      </c>
      <c r="S140" s="242" t="str">
        <f t="shared" si="31"/>
        <v/>
      </c>
      <c r="T140" s="242" t="str">
        <f t="shared" si="32"/>
        <v/>
      </c>
      <c r="U140" s="242" t="str">
        <f t="shared" si="33"/>
        <v/>
      </c>
      <c r="V140" s="242" t="str">
        <f t="shared" si="34"/>
        <v/>
      </c>
      <c r="W140" s="242" t="str">
        <f t="shared" si="35"/>
        <v/>
      </c>
    </row>
    <row r="141" spans="1:23" x14ac:dyDescent="0.2">
      <c r="A141" s="283"/>
      <c r="B141" s="283"/>
      <c r="C141" s="283"/>
      <c r="D141" s="283"/>
      <c r="E141" s="283"/>
      <c r="F141" s="283"/>
      <c r="G141" s="283"/>
      <c r="K141" s="242">
        <v>140</v>
      </c>
      <c r="L141" s="242" t="str">
        <f t="shared" si="24"/>
        <v/>
      </c>
      <c r="M141" s="242" t="str">
        <f t="shared" si="25"/>
        <v/>
      </c>
      <c r="N141" s="242" t="str">
        <f t="shared" si="26"/>
        <v/>
      </c>
      <c r="O141" s="242" t="str">
        <f t="shared" si="27"/>
        <v/>
      </c>
      <c r="P141" s="242" t="str">
        <f t="shared" si="28"/>
        <v/>
      </c>
      <c r="Q141" s="242" t="str">
        <f t="shared" si="29"/>
        <v/>
      </c>
      <c r="R141" s="242" t="str">
        <f t="shared" si="30"/>
        <v/>
      </c>
      <c r="S141" s="242" t="str">
        <f t="shared" si="31"/>
        <v/>
      </c>
      <c r="T141" s="242" t="str">
        <f t="shared" si="32"/>
        <v/>
      </c>
      <c r="U141" s="242" t="str">
        <f t="shared" si="33"/>
        <v/>
      </c>
      <c r="V141" s="242" t="str">
        <f t="shared" si="34"/>
        <v/>
      </c>
      <c r="W141" s="242" t="str">
        <f t="shared" si="35"/>
        <v/>
      </c>
    </row>
    <row r="142" spans="1:23" x14ac:dyDescent="0.2">
      <c r="A142" s="283"/>
      <c r="B142" s="283"/>
      <c r="C142" s="283"/>
      <c r="D142" s="283"/>
      <c r="E142" s="283"/>
      <c r="F142" s="283"/>
      <c r="G142" s="283"/>
      <c r="K142" s="242">
        <v>141</v>
      </c>
      <c r="L142" s="242" t="str">
        <f t="shared" si="24"/>
        <v/>
      </c>
      <c r="M142" s="242" t="str">
        <f t="shared" si="25"/>
        <v/>
      </c>
      <c r="N142" s="242" t="str">
        <f t="shared" si="26"/>
        <v/>
      </c>
      <c r="O142" s="242" t="str">
        <f t="shared" si="27"/>
        <v/>
      </c>
      <c r="P142" s="242" t="str">
        <f t="shared" si="28"/>
        <v/>
      </c>
      <c r="Q142" s="242" t="str">
        <f t="shared" si="29"/>
        <v/>
      </c>
      <c r="R142" s="242" t="str">
        <f t="shared" si="30"/>
        <v/>
      </c>
      <c r="S142" s="242" t="str">
        <f t="shared" si="31"/>
        <v/>
      </c>
      <c r="T142" s="242" t="str">
        <f t="shared" si="32"/>
        <v/>
      </c>
      <c r="U142" s="242" t="str">
        <f t="shared" si="33"/>
        <v/>
      </c>
      <c r="V142" s="242" t="str">
        <f t="shared" si="34"/>
        <v/>
      </c>
      <c r="W142" s="242" t="str">
        <f t="shared" si="35"/>
        <v/>
      </c>
    </row>
    <row r="143" spans="1:23" x14ac:dyDescent="0.2">
      <c r="A143" s="283"/>
      <c r="B143" s="283"/>
      <c r="C143" s="283"/>
      <c r="D143" s="283"/>
      <c r="E143" s="283"/>
      <c r="F143" s="283"/>
      <c r="G143" s="283"/>
      <c r="K143" s="242">
        <v>142</v>
      </c>
      <c r="L143" s="242" t="str">
        <f t="shared" si="24"/>
        <v/>
      </c>
      <c r="M143" s="242" t="str">
        <f t="shared" si="25"/>
        <v/>
      </c>
      <c r="N143" s="242" t="str">
        <f t="shared" si="26"/>
        <v/>
      </c>
      <c r="O143" s="242" t="str">
        <f t="shared" si="27"/>
        <v/>
      </c>
      <c r="P143" s="242" t="str">
        <f t="shared" si="28"/>
        <v/>
      </c>
      <c r="Q143" s="242" t="str">
        <f t="shared" si="29"/>
        <v/>
      </c>
      <c r="R143" s="242" t="str">
        <f t="shared" si="30"/>
        <v/>
      </c>
      <c r="S143" s="242" t="str">
        <f t="shared" si="31"/>
        <v/>
      </c>
      <c r="T143" s="242" t="str">
        <f t="shared" si="32"/>
        <v/>
      </c>
      <c r="U143" s="242" t="str">
        <f t="shared" si="33"/>
        <v/>
      </c>
      <c r="V143" s="242" t="str">
        <f t="shared" si="34"/>
        <v/>
      </c>
      <c r="W143" s="242" t="str">
        <f t="shared" si="35"/>
        <v/>
      </c>
    </row>
    <row r="144" spans="1:23" x14ac:dyDescent="0.2">
      <c r="A144" s="283"/>
      <c r="B144" s="283"/>
      <c r="C144" s="283"/>
      <c r="D144" s="283"/>
      <c r="E144" s="283"/>
      <c r="F144" s="283"/>
      <c r="G144" s="283"/>
      <c r="K144" s="242">
        <v>143</v>
      </c>
      <c r="L144" s="242" t="str">
        <f t="shared" si="24"/>
        <v/>
      </c>
      <c r="M144" s="242" t="str">
        <f t="shared" si="25"/>
        <v/>
      </c>
      <c r="N144" s="242" t="str">
        <f t="shared" si="26"/>
        <v/>
      </c>
      <c r="O144" s="242" t="str">
        <f t="shared" si="27"/>
        <v/>
      </c>
      <c r="P144" s="242" t="str">
        <f t="shared" si="28"/>
        <v/>
      </c>
      <c r="Q144" s="242" t="str">
        <f t="shared" si="29"/>
        <v/>
      </c>
      <c r="R144" s="242" t="str">
        <f t="shared" si="30"/>
        <v/>
      </c>
      <c r="S144" s="242" t="str">
        <f t="shared" si="31"/>
        <v/>
      </c>
      <c r="T144" s="242" t="str">
        <f t="shared" si="32"/>
        <v/>
      </c>
      <c r="U144" s="242" t="str">
        <f t="shared" si="33"/>
        <v/>
      </c>
      <c r="V144" s="242" t="str">
        <f t="shared" si="34"/>
        <v/>
      </c>
      <c r="W144" s="242" t="str">
        <f t="shared" si="35"/>
        <v/>
      </c>
    </row>
    <row r="145" spans="1:23" x14ac:dyDescent="0.2">
      <c r="A145" s="283"/>
      <c r="B145" s="283"/>
      <c r="C145" s="283"/>
      <c r="D145" s="283"/>
      <c r="E145" s="283"/>
      <c r="F145" s="283"/>
      <c r="G145" s="283"/>
      <c r="K145" s="242">
        <v>144</v>
      </c>
      <c r="L145" s="242" t="str">
        <f t="shared" si="24"/>
        <v/>
      </c>
      <c r="M145" s="242" t="str">
        <f t="shared" si="25"/>
        <v/>
      </c>
      <c r="N145" s="242" t="str">
        <f t="shared" si="26"/>
        <v/>
      </c>
      <c r="O145" s="242" t="str">
        <f t="shared" si="27"/>
        <v/>
      </c>
      <c r="P145" s="242" t="str">
        <f t="shared" si="28"/>
        <v/>
      </c>
      <c r="Q145" s="242" t="str">
        <f t="shared" si="29"/>
        <v/>
      </c>
      <c r="R145" s="242" t="str">
        <f t="shared" si="30"/>
        <v/>
      </c>
      <c r="S145" s="242" t="str">
        <f t="shared" si="31"/>
        <v/>
      </c>
      <c r="T145" s="242" t="str">
        <f t="shared" si="32"/>
        <v/>
      </c>
      <c r="U145" s="242" t="str">
        <f t="shared" si="33"/>
        <v/>
      </c>
      <c r="V145" s="242" t="str">
        <f t="shared" si="34"/>
        <v/>
      </c>
      <c r="W145" s="242" t="str">
        <f t="shared" si="35"/>
        <v/>
      </c>
    </row>
    <row r="146" spans="1:23" x14ac:dyDescent="0.2">
      <c r="A146" s="283"/>
      <c r="B146" s="283"/>
      <c r="C146" s="283"/>
      <c r="D146" s="283"/>
      <c r="E146" s="283"/>
      <c r="F146" s="283"/>
      <c r="G146" s="283"/>
      <c r="K146" s="242">
        <v>145</v>
      </c>
      <c r="L146" s="242" t="str">
        <f t="shared" si="24"/>
        <v/>
      </c>
      <c r="M146" s="242" t="str">
        <f t="shared" si="25"/>
        <v/>
      </c>
      <c r="N146" s="242" t="str">
        <f t="shared" si="26"/>
        <v/>
      </c>
      <c r="O146" s="242" t="str">
        <f t="shared" si="27"/>
        <v/>
      </c>
      <c r="P146" s="242" t="str">
        <f t="shared" si="28"/>
        <v/>
      </c>
      <c r="Q146" s="242" t="str">
        <f t="shared" si="29"/>
        <v/>
      </c>
      <c r="R146" s="242" t="str">
        <f t="shared" si="30"/>
        <v/>
      </c>
      <c r="S146" s="242" t="str">
        <f t="shared" si="31"/>
        <v/>
      </c>
      <c r="T146" s="242" t="str">
        <f t="shared" si="32"/>
        <v/>
      </c>
      <c r="U146" s="242" t="str">
        <f t="shared" si="33"/>
        <v/>
      </c>
      <c r="V146" s="242" t="str">
        <f t="shared" si="34"/>
        <v/>
      </c>
      <c r="W146" s="242" t="str">
        <f t="shared" si="35"/>
        <v/>
      </c>
    </row>
    <row r="147" spans="1:23" x14ac:dyDescent="0.2">
      <c r="A147" s="283"/>
      <c r="B147" s="283"/>
      <c r="C147" s="283"/>
      <c r="D147" s="283"/>
      <c r="E147" s="283"/>
      <c r="F147" s="283"/>
      <c r="G147" s="283"/>
      <c r="K147" s="242">
        <v>146</v>
      </c>
      <c r="L147" s="242" t="str">
        <f t="shared" si="24"/>
        <v/>
      </c>
      <c r="M147" s="242" t="str">
        <f t="shared" si="25"/>
        <v/>
      </c>
      <c r="N147" s="242" t="str">
        <f t="shared" si="26"/>
        <v/>
      </c>
      <c r="O147" s="242" t="str">
        <f t="shared" si="27"/>
        <v/>
      </c>
      <c r="P147" s="242" t="str">
        <f t="shared" si="28"/>
        <v/>
      </c>
      <c r="Q147" s="242" t="str">
        <f t="shared" si="29"/>
        <v/>
      </c>
      <c r="R147" s="242" t="str">
        <f t="shared" si="30"/>
        <v/>
      </c>
      <c r="S147" s="242" t="str">
        <f t="shared" si="31"/>
        <v/>
      </c>
      <c r="T147" s="242" t="str">
        <f t="shared" si="32"/>
        <v/>
      </c>
      <c r="U147" s="242" t="str">
        <f t="shared" si="33"/>
        <v/>
      </c>
      <c r="V147" s="242" t="str">
        <f t="shared" si="34"/>
        <v/>
      </c>
      <c r="W147" s="242" t="str">
        <f t="shared" si="35"/>
        <v/>
      </c>
    </row>
    <row r="148" spans="1:23" x14ac:dyDescent="0.2">
      <c r="A148" s="283"/>
      <c r="B148" s="283"/>
      <c r="C148" s="283"/>
      <c r="D148" s="283"/>
      <c r="E148" s="283"/>
      <c r="F148" s="283"/>
      <c r="G148" s="283"/>
      <c r="K148" s="242">
        <v>147</v>
      </c>
      <c r="L148" s="242" t="str">
        <f t="shared" si="24"/>
        <v/>
      </c>
      <c r="M148" s="242" t="str">
        <f t="shared" si="25"/>
        <v/>
      </c>
      <c r="N148" s="242" t="str">
        <f t="shared" si="26"/>
        <v/>
      </c>
      <c r="O148" s="242" t="str">
        <f t="shared" si="27"/>
        <v/>
      </c>
      <c r="P148" s="242" t="str">
        <f t="shared" si="28"/>
        <v/>
      </c>
      <c r="Q148" s="242" t="str">
        <f t="shared" si="29"/>
        <v/>
      </c>
      <c r="R148" s="242" t="str">
        <f t="shared" si="30"/>
        <v/>
      </c>
      <c r="S148" s="242" t="str">
        <f t="shared" si="31"/>
        <v/>
      </c>
      <c r="T148" s="242" t="str">
        <f t="shared" si="32"/>
        <v/>
      </c>
      <c r="U148" s="242" t="str">
        <f t="shared" si="33"/>
        <v/>
      </c>
      <c r="V148" s="242" t="str">
        <f t="shared" si="34"/>
        <v/>
      </c>
      <c r="W148" s="242" t="str">
        <f t="shared" si="35"/>
        <v/>
      </c>
    </row>
    <row r="149" spans="1:23" x14ac:dyDescent="0.2">
      <c r="A149" s="283"/>
      <c r="B149" s="283"/>
      <c r="C149" s="283"/>
      <c r="D149" s="283"/>
      <c r="E149" s="283"/>
      <c r="F149" s="283"/>
      <c r="G149" s="283"/>
      <c r="K149" s="242">
        <v>148</v>
      </c>
      <c r="L149" s="242" t="str">
        <f t="shared" si="24"/>
        <v/>
      </c>
      <c r="M149" s="242" t="str">
        <f t="shared" si="25"/>
        <v/>
      </c>
      <c r="N149" s="242" t="str">
        <f t="shared" si="26"/>
        <v/>
      </c>
      <c r="O149" s="242" t="str">
        <f t="shared" si="27"/>
        <v/>
      </c>
      <c r="P149" s="242" t="str">
        <f t="shared" si="28"/>
        <v/>
      </c>
      <c r="Q149" s="242" t="str">
        <f t="shared" si="29"/>
        <v/>
      </c>
      <c r="R149" s="242" t="str">
        <f t="shared" si="30"/>
        <v/>
      </c>
      <c r="S149" s="242" t="str">
        <f t="shared" si="31"/>
        <v/>
      </c>
      <c r="T149" s="242" t="str">
        <f t="shared" si="32"/>
        <v/>
      </c>
      <c r="U149" s="242" t="str">
        <f t="shared" si="33"/>
        <v/>
      </c>
      <c r="V149" s="242" t="str">
        <f t="shared" si="34"/>
        <v/>
      </c>
      <c r="W149" s="242" t="str">
        <f t="shared" si="35"/>
        <v/>
      </c>
    </row>
    <row r="150" spans="1:23" x14ac:dyDescent="0.2">
      <c r="A150" s="283"/>
      <c r="B150" s="283"/>
      <c r="C150" s="283"/>
      <c r="D150" s="283"/>
      <c r="E150" s="283"/>
      <c r="F150" s="283"/>
      <c r="G150" s="283"/>
      <c r="K150" s="242">
        <v>149</v>
      </c>
      <c r="L150" s="242" t="str">
        <f t="shared" si="24"/>
        <v/>
      </c>
      <c r="M150" s="242" t="str">
        <f t="shared" si="25"/>
        <v/>
      </c>
      <c r="N150" s="242" t="str">
        <f t="shared" si="26"/>
        <v/>
      </c>
      <c r="O150" s="242" t="str">
        <f t="shared" si="27"/>
        <v/>
      </c>
      <c r="P150" s="242" t="str">
        <f t="shared" si="28"/>
        <v/>
      </c>
      <c r="Q150" s="242" t="str">
        <f t="shared" si="29"/>
        <v/>
      </c>
      <c r="R150" s="242" t="str">
        <f t="shared" si="30"/>
        <v/>
      </c>
      <c r="S150" s="242" t="str">
        <f t="shared" si="31"/>
        <v/>
      </c>
      <c r="T150" s="242" t="str">
        <f t="shared" si="32"/>
        <v/>
      </c>
      <c r="U150" s="242" t="str">
        <f t="shared" si="33"/>
        <v/>
      </c>
      <c r="V150" s="242" t="str">
        <f t="shared" si="34"/>
        <v/>
      </c>
      <c r="W150" s="242" t="str">
        <f t="shared" si="35"/>
        <v/>
      </c>
    </row>
    <row r="151" spans="1:23" x14ac:dyDescent="0.2">
      <c r="A151" s="283"/>
      <c r="B151" s="283"/>
      <c r="C151" s="283"/>
      <c r="D151" s="283"/>
      <c r="E151" s="283"/>
      <c r="F151" s="283"/>
      <c r="G151" s="283"/>
      <c r="K151" s="242">
        <v>150</v>
      </c>
      <c r="L151" s="242" t="str">
        <f t="shared" si="24"/>
        <v/>
      </c>
      <c r="M151" s="242" t="str">
        <f t="shared" si="25"/>
        <v/>
      </c>
      <c r="N151" s="242" t="str">
        <f t="shared" si="26"/>
        <v/>
      </c>
      <c r="O151" s="242" t="str">
        <f t="shared" si="27"/>
        <v/>
      </c>
      <c r="P151" s="242" t="str">
        <f t="shared" si="28"/>
        <v/>
      </c>
      <c r="Q151" s="242" t="str">
        <f t="shared" si="29"/>
        <v/>
      </c>
      <c r="R151" s="242" t="str">
        <f t="shared" si="30"/>
        <v/>
      </c>
      <c r="S151" s="242" t="str">
        <f t="shared" si="31"/>
        <v/>
      </c>
      <c r="T151" s="242" t="str">
        <f t="shared" si="32"/>
        <v/>
      </c>
      <c r="U151" s="242" t="str">
        <f t="shared" si="33"/>
        <v/>
      </c>
      <c r="V151" s="242" t="str">
        <f t="shared" si="34"/>
        <v/>
      </c>
      <c r="W151" s="242" t="str">
        <f t="shared" si="35"/>
        <v/>
      </c>
    </row>
    <row r="152" spans="1:23" x14ac:dyDescent="0.2">
      <c r="A152" s="283"/>
      <c r="B152" s="283"/>
      <c r="C152" s="283"/>
      <c r="D152" s="283"/>
      <c r="E152" s="283"/>
      <c r="F152" s="283"/>
      <c r="G152" s="283"/>
      <c r="K152" s="242">
        <v>151</v>
      </c>
      <c r="L152" s="242" t="str">
        <f t="shared" si="24"/>
        <v/>
      </c>
      <c r="M152" s="242" t="str">
        <f t="shared" si="25"/>
        <v/>
      </c>
      <c r="N152" s="242" t="str">
        <f t="shared" si="26"/>
        <v/>
      </c>
      <c r="O152" s="242" t="str">
        <f t="shared" si="27"/>
        <v/>
      </c>
      <c r="P152" s="242" t="str">
        <f t="shared" si="28"/>
        <v/>
      </c>
      <c r="Q152" s="242" t="str">
        <f t="shared" si="29"/>
        <v/>
      </c>
      <c r="R152" s="242" t="str">
        <f t="shared" si="30"/>
        <v/>
      </c>
      <c r="S152" s="242" t="str">
        <f t="shared" si="31"/>
        <v/>
      </c>
      <c r="T152" s="242" t="str">
        <f t="shared" si="32"/>
        <v/>
      </c>
      <c r="U152" s="242" t="str">
        <f t="shared" si="33"/>
        <v/>
      </c>
      <c r="V152" s="242" t="str">
        <f t="shared" si="34"/>
        <v/>
      </c>
      <c r="W152" s="242" t="str">
        <f t="shared" si="35"/>
        <v/>
      </c>
    </row>
    <row r="153" spans="1:23" x14ac:dyDescent="0.2">
      <c r="A153" s="283"/>
      <c r="B153" s="283"/>
      <c r="C153" s="283"/>
      <c r="D153" s="283"/>
      <c r="E153" s="283"/>
      <c r="F153" s="283"/>
      <c r="G153" s="283"/>
      <c r="K153" s="242">
        <v>152</v>
      </c>
      <c r="L153" s="242" t="str">
        <f t="shared" si="24"/>
        <v/>
      </c>
      <c r="M153" s="242" t="str">
        <f t="shared" si="25"/>
        <v/>
      </c>
      <c r="N153" s="242" t="str">
        <f t="shared" si="26"/>
        <v/>
      </c>
      <c r="O153" s="242" t="str">
        <f t="shared" si="27"/>
        <v/>
      </c>
      <c r="P153" s="242" t="str">
        <f t="shared" si="28"/>
        <v/>
      </c>
      <c r="Q153" s="242" t="str">
        <f t="shared" si="29"/>
        <v/>
      </c>
      <c r="R153" s="242" t="str">
        <f t="shared" si="30"/>
        <v/>
      </c>
      <c r="S153" s="242" t="str">
        <f t="shared" si="31"/>
        <v/>
      </c>
      <c r="T153" s="242" t="str">
        <f t="shared" si="32"/>
        <v/>
      </c>
      <c r="U153" s="242" t="str">
        <f t="shared" si="33"/>
        <v/>
      </c>
      <c r="V153" s="242" t="str">
        <f t="shared" si="34"/>
        <v/>
      </c>
      <c r="W153" s="242" t="str">
        <f t="shared" si="35"/>
        <v/>
      </c>
    </row>
    <row r="154" spans="1:23" x14ac:dyDescent="0.2">
      <c r="A154" s="283"/>
      <c r="B154" s="283"/>
      <c r="C154" s="283"/>
      <c r="D154" s="283"/>
      <c r="E154" s="283"/>
      <c r="F154" s="283"/>
      <c r="G154" s="283"/>
      <c r="K154" s="242">
        <v>153</v>
      </c>
      <c r="L154" s="242" t="str">
        <f t="shared" si="24"/>
        <v/>
      </c>
      <c r="M154" s="242" t="str">
        <f t="shared" si="25"/>
        <v/>
      </c>
      <c r="N154" s="242" t="str">
        <f t="shared" si="26"/>
        <v/>
      </c>
      <c r="O154" s="242" t="str">
        <f t="shared" si="27"/>
        <v/>
      </c>
      <c r="P154" s="242" t="str">
        <f t="shared" si="28"/>
        <v/>
      </c>
      <c r="Q154" s="242" t="str">
        <f t="shared" si="29"/>
        <v/>
      </c>
      <c r="R154" s="242" t="str">
        <f t="shared" si="30"/>
        <v/>
      </c>
      <c r="S154" s="242" t="str">
        <f t="shared" si="31"/>
        <v/>
      </c>
      <c r="T154" s="242" t="str">
        <f t="shared" si="32"/>
        <v/>
      </c>
      <c r="U154" s="242" t="str">
        <f t="shared" si="33"/>
        <v/>
      </c>
      <c r="V154" s="242" t="str">
        <f t="shared" si="34"/>
        <v/>
      </c>
      <c r="W154" s="242" t="str">
        <f t="shared" si="35"/>
        <v/>
      </c>
    </row>
    <row r="155" spans="1:23" x14ac:dyDescent="0.2">
      <c r="A155" s="283"/>
      <c r="B155" s="283"/>
      <c r="C155" s="283"/>
      <c r="D155" s="283"/>
      <c r="E155" s="283"/>
      <c r="F155" s="283"/>
      <c r="G155" s="283"/>
      <c r="K155" s="242">
        <v>154</v>
      </c>
      <c r="L155" s="242" t="str">
        <f t="shared" si="24"/>
        <v/>
      </c>
      <c r="M155" s="242" t="str">
        <f t="shared" si="25"/>
        <v/>
      </c>
      <c r="N155" s="242" t="str">
        <f t="shared" si="26"/>
        <v/>
      </c>
      <c r="O155" s="242" t="str">
        <f t="shared" si="27"/>
        <v/>
      </c>
      <c r="P155" s="242" t="str">
        <f t="shared" si="28"/>
        <v/>
      </c>
      <c r="Q155" s="242" t="str">
        <f t="shared" si="29"/>
        <v/>
      </c>
      <c r="R155" s="242" t="str">
        <f t="shared" si="30"/>
        <v/>
      </c>
      <c r="S155" s="242" t="str">
        <f t="shared" si="31"/>
        <v/>
      </c>
      <c r="T155" s="242" t="str">
        <f t="shared" si="32"/>
        <v/>
      </c>
      <c r="U155" s="242" t="str">
        <f t="shared" si="33"/>
        <v/>
      </c>
      <c r="V155" s="242" t="str">
        <f t="shared" si="34"/>
        <v/>
      </c>
      <c r="W155" s="242" t="str">
        <f t="shared" si="35"/>
        <v/>
      </c>
    </row>
    <row r="156" spans="1:23" x14ac:dyDescent="0.2">
      <c r="A156" s="283"/>
      <c r="B156" s="283"/>
      <c r="C156" s="283"/>
      <c r="D156" s="283"/>
      <c r="E156" s="283"/>
      <c r="F156" s="283"/>
      <c r="G156" s="283"/>
      <c r="K156" s="242">
        <v>155</v>
      </c>
      <c r="L156" s="242" t="str">
        <f t="shared" si="24"/>
        <v/>
      </c>
      <c r="M156" s="242" t="str">
        <f t="shared" si="25"/>
        <v/>
      </c>
      <c r="N156" s="242" t="str">
        <f t="shared" si="26"/>
        <v/>
      </c>
      <c r="O156" s="242" t="str">
        <f t="shared" si="27"/>
        <v/>
      </c>
      <c r="P156" s="242" t="str">
        <f t="shared" si="28"/>
        <v/>
      </c>
      <c r="Q156" s="242" t="str">
        <f t="shared" si="29"/>
        <v/>
      </c>
      <c r="R156" s="242" t="str">
        <f t="shared" si="30"/>
        <v/>
      </c>
      <c r="S156" s="242" t="str">
        <f t="shared" si="31"/>
        <v/>
      </c>
      <c r="T156" s="242" t="str">
        <f t="shared" si="32"/>
        <v/>
      </c>
      <c r="U156" s="242" t="str">
        <f t="shared" si="33"/>
        <v/>
      </c>
      <c r="V156" s="242" t="str">
        <f t="shared" si="34"/>
        <v/>
      </c>
      <c r="W156" s="242" t="str">
        <f t="shared" si="35"/>
        <v/>
      </c>
    </row>
    <row r="157" spans="1:23" x14ac:dyDescent="0.2">
      <c r="A157" s="283"/>
      <c r="B157" s="283"/>
      <c r="C157" s="283"/>
      <c r="D157" s="283"/>
      <c r="E157" s="283"/>
      <c r="F157" s="283"/>
      <c r="G157" s="283"/>
      <c r="K157" s="242">
        <v>156</v>
      </c>
      <c r="L157" s="242" t="str">
        <f t="shared" si="24"/>
        <v/>
      </c>
      <c r="M157" s="242" t="str">
        <f t="shared" si="25"/>
        <v/>
      </c>
      <c r="N157" s="242" t="str">
        <f t="shared" si="26"/>
        <v/>
      </c>
      <c r="O157" s="242" t="str">
        <f t="shared" si="27"/>
        <v/>
      </c>
      <c r="P157" s="242" t="str">
        <f t="shared" si="28"/>
        <v/>
      </c>
      <c r="Q157" s="242" t="str">
        <f t="shared" si="29"/>
        <v/>
      </c>
      <c r="R157" s="242" t="str">
        <f t="shared" si="30"/>
        <v/>
      </c>
      <c r="S157" s="242" t="str">
        <f t="shared" si="31"/>
        <v/>
      </c>
      <c r="T157" s="242" t="str">
        <f t="shared" si="32"/>
        <v/>
      </c>
      <c r="U157" s="242" t="str">
        <f t="shared" si="33"/>
        <v/>
      </c>
      <c r="V157" s="242" t="str">
        <f t="shared" si="34"/>
        <v/>
      </c>
      <c r="W157" s="242" t="str">
        <f t="shared" si="35"/>
        <v/>
      </c>
    </row>
    <row r="158" spans="1:23" x14ac:dyDescent="0.2">
      <c r="A158" s="283"/>
      <c r="B158" s="283"/>
      <c r="C158" s="283"/>
      <c r="D158" s="283"/>
      <c r="E158" s="283"/>
      <c r="F158" s="283"/>
      <c r="G158" s="283"/>
      <c r="K158" s="242">
        <v>157</v>
      </c>
      <c r="L158" s="242" t="str">
        <f t="shared" si="24"/>
        <v/>
      </c>
      <c r="M158" s="242" t="str">
        <f t="shared" si="25"/>
        <v/>
      </c>
      <c r="N158" s="242" t="str">
        <f t="shared" si="26"/>
        <v/>
      </c>
      <c r="O158" s="242" t="str">
        <f t="shared" si="27"/>
        <v/>
      </c>
      <c r="P158" s="242" t="str">
        <f t="shared" si="28"/>
        <v/>
      </c>
      <c r="Q158" s="242" t="str">
        <f t="shared" si="29"/>
        <v/>
      </c>
      <c r="R158" s="242" t="str">
        <f t="shared" si="30"/>
        <v/>
      </c>
      <c r="S158" s="242" t="str">
        <f t="shared" si="31"/>
        <v/>
      </c>
      <c r="T158" s="242" t="str">
        <f t="shared" si="32"/>
        <v/>
      </c>
      <c r="U158" s="242" t="str">
        <f t="shared" si="33"/>
        <v/>
      </c>
      <c r="V158" s="242" t="str">
        <f t="shared" si="34"/>
        <v/>
      </c>
      <c r="W158" s="242" t="str">
        <f t="shared" si="35"/>
        <v/>
      </c>
    </row>
    <row r="159" spans="1:23" x14ac:dyDescent="0.2">
      <c r="A159" s="283"/>
      <c r="B159" s="283"/>
      <c r="C159" s="283"/>
      <c r="D159" s="283"/>
      <c r="E159" s="283"/>
      <c r="F159" s="283"/>
      <c r="G159" s="283"/>
      <c r="K159" s="242">
        <v>158</v>
      </c>
      <c r="L159" s="242" t="str">
        <f t="shared" si="24"/>
        <v/>
      </c>
      <c r="M159" s="242" t="str">
        <f t="shared" si="25"/>
        <v/>
      </c>
      <c r="N159" s="242" t="str">
        <f t="shared" si="26"/>
        <v/>
      </c>
      <c r="O159" s="242" t="str">
        <f t="shared" si="27"/>
        <v/>
      </c>
      <c r="P159" s="242" t="str">
        <f t="shared" si="28"/>
        <v/>
      </c>
      <c r="Q159" s="242" t="str">
        <f t="shared" si="29"/>
        <v/>
      </c>
      <c r="R159" s="242" t="str">
        <f t="shared" si="30"/>
        <v/>
      </c>
      <c r="S159" s="242" t="str">
        <f t="shared" si="31"/>
        <v/>
      </c>
      <c r="T159" s="242" t="str">
        <f t="shared" si="32"/>
        <v/>
      </c>
      <c r="U159" s="242" t="str">
        <f t="shared" si="33"/>
        <v/>
      </c>
      <c r="V159" s="242" t="str">
        <f t="shared" si="34"/>
        <v/>
      </c>
      <c r="W159" s="242" t="str">
        <f t="shared" si="35"/>
        <v/>
      </c>
    </row>
    <row r="160" spans="1:23" x14ac:dyDescent="0.2">
      <c r="A160" s="283"/>
      <c r="B160" s="283"/>
      <c r="C160" s="283"/>
      <c r="D160" s="283"/>
      <c r="E160" s="283"/>
      <c r="F160" s="283"/>
      <c r="G160" s="283"/>
      <c r="K160" s="242">
        <v>159</v>
      </c>
      <c r="L160" s="242" t="str">
        <f t="shared" si="24"/>
        <v/>
      </c>
      <c r="M160" s="242" t="str">
        <f t="shared" si="25"/>
        <v/>
      </c>
      <c r="N160" s="242" t="str">
        <f t="shared" si="26"/>
        <v/>
      </c>
      <c r="O160" s="242" t="str">
        <f t="shared" si="27"/>
        <v/>
      </c>
      <c r="P160" s="242" t="str">
        <f t="shared" si="28"/>
        <v/>
      </c>
      <c r="Q160" s="242" t="str">
        <f t="shared" si="29"/>
        <v/>
      </c>
      <c r="R160" s="242" t="str">
        <f t="shared" si="30"/>
        <v/>
      </c>
      <c r="S160" s="242" t="str">
        <f t="shared" si="31"/>
        <v/>
      </c>
      <c r="T160" s="242" t="str">
        <f t="shared" si="32"/>
        <v/>
      </c>
      <c r="U160" s="242" t="str">
        <f t="shared" si="33"/>
        <v/>
      </c>
      <c r="V160" s="242" t="str">
        <f t="shared" si="34"/>
        <v/>
      </c>
      <c r="W160" s="242" t="str">
        <f t="shared" si="35"/>
        <v/>
      </c>
    </row>
    <row r="161" spans="1:23" x14ac:dyDescent="0.2">
      <c r="A161" s="283"/>
      <c r="B161" s="283"/>
      <c r="C161" s="283"/>
      <c r="D161" s="283"/>
      <c r="E161" s="283"/>
      <c r="F161" s="283"/>
      <c r="G161" s="283"/>
      <c r="K161" s="242">
        <v>160</v>
      </c>
      <c r="L161" s="242" t="str">
        <f t="shared" si="24"/>
        <v/>
      </c>
      <c r="M161" s="242" t="str">
        <f t="shared" si="25"/>
        <v/>
      </c>
      <c r="N161" s="242" t="str">
        <f t="shared" si="26"/>
        <v/>
      </c>
      <c r="O161" s="242" t="str">
        <f t="shared" si="27"/>
        <v/>
      </c>
      <c r="P161" s="242" t="str">
        <f t="shared" si="28"/>
        <v/>
      </c>
      <c r="Q161" s="242" t="str">
        <f t="shared" si="29"/>
        <v/>
      </c>
      <c r="R161" s="242" t="str">
        <f t="shared" si="30"/>
        <v/>
      </c>
      <c r="S161" s="242" t="str">
        <f t="shared" si="31"/>
        <v/>
      </c>
      <c r="T161" s="242" t="str">
        <f t="shared" si="32"/>
        <v/>
      </c>
      <c r="U161" s="242" t="str">
        <f t="shared" si="33"/>
        <v/>
      </c>
      <c r="V161" s="242" t="str">
        <f t="shared" si="34"/>
        <v/>
      </c>
      <c r="W161" s="242" t="str">
        <f t="shared" si="35"/>
        <v/>
      </c>
    </row>
    <row r="162" spans="1:23" x14ac:dyDescent="0.2">
      <c r="A162" s="283"/>
      <c r="B162" s="283"/>
      <c r="C162" s="283"/>
      <c r="D162" s="283"/>
      <c r="E162" s="283"/>
      <c r="F162" s="283"/>
      <c r="G162" s="283"/>
      <c r="K162" s="242">
        <v>161</v>
      </c>
      <c r="L162" s="242" t="str">
        <f t="shared" si="24"/>
        <v/>
      </c>
      <c r="M162" s="242" t="str">
        <f t="shared" si="25"/>
        <v/>
      </c>
      <c r="N162" s="242" t="str">
        <f t="shared" si="26"/>
        <v/>
      </c>
      <c r="O162" s="242" t="str">
        <f t="shared" si="27"/>
        <v/>
      </c>
      <c r="P162" s="242" t="str">
        <f t="shared" si="28"/>
        <v/>
      </c>
      <c r="Q162" s="242" t="str">
        <f t="shared" si="29"/>
        <v/>
      </c>
      <c r="R162" s="242" t="str">
        <f t="shared" si="30"/>
        <v/>
      </c>
      <c r="S162" s="242" t="str">
        <f t="shared" si="31"/>
        <v/>
      </c>
      <c r="T162" s="242" t="str">
        <f t="shared" si="32"/>
        <v/>
      </c>
      <c r="U162" s="242" t="str">
        <f t="shared" si="33"/>
        <v/>
      </c>
      <c r="V162" s="242" t="str">
        <f t="shared" si="34"/>
        <v/>
      </c>
      <c r="W162" s="242" t="str">
        <f t="shared" si="35"/>
        <v/>
      </c>
    </row>
    <row r="163" spans="1:23" x14ac:dyDescent="0.2">
      <c r="A163" s="283"/>
      <c r="B163" s="283"/>
      <c r="C163" s="283"/>
      <c r="D163" s="283"/>
      <c r="E163" s="283"/>
      <c r="F163" s="283"/>
      <c r="G163" s="283"/>
      <c r="K163" s="242">
        <v>162</v>
      </c>
      <c r="L163" s="242" t="str">
        <f t="shared" si="24"/>
        <v/>
      </c>
      <c r="M163" s="242" t="str">
        <f t="shared" si="25"/>
        <v/>
      </c>
      <c r="N163" s="242" t="str">
        <f t="shared" si="26"/>
        <v/>
      </c>
      <c r="O163" s="242" t="str">
        <f t="shared" si="27"/>
        <v/>
      </c>
      <c r="P163" s="242" t="str">
        <f t="shared" si="28"/>
        <v/>
      </c>
      <c r="Q163" s="242" t="str">
        <f t="shared" si="29"/>
        <v/>
      </c>
      <c r="R163" s="242" t="str">
        <f t="shared" si="30"/>
        <v/>
      </c>
      <c r="S163" s="242" t="str">
        <f t="shared" si="31"/>
        <v/>
      </c>
      <c r="T163" s="242" t="str">
        <f t="shared" si="32"/>
        <v/>
      </c>
      <c r="U163" s="242" t="str">
        <f t="shared" si="33"/>
        <v/>
      </c>
      <c r="V163" s="242" t="str">
        <f t="shared" si="34"/>
        <v/>
      </c>
      <c r="W163" s="242" t="str">
        <f t="shared" si="35"/>
        <v/>
      </c>
    </row>
    <row r="164" spans="1:23" x14ac:dyDescent="0.2">
      <c r="A164" s="283"/>
      <c r="B164" s="283"/>
      <c r="C164" s="283"/>
      <c r="D164" s="283"/>
      <c r="E164" s="283"/>
      <c r="F164" s="283"/>
      <c r="G164" s="283"/>
      <c r="K164" s="242">
        <v>163</v>
      </c>
      <c r="L164" s="242" t="str">
        <f t="shared" si="24"/>
        <v/>
      </c>
      <c r="M164" s="242" t="str">
        <f t="shared" si="25"/>
        <v/>
      </c>
      <c r="N164" s="242" t="str">
        <f t="shared" si="26"/>
        <v/>
      </c>
      <c r="O164" s="242" t="str">
        <f t="shared" si="27"/>
        <v/>
      </c>
      <c r="P164" s="242" t="str">
        <f t="shared" si="28"/>
        <v/>
      </c>
      <c r="Q164" s="242" t="str">
        <f t="shared" si="29"/>
        <v/>
      </c>
      <c r="R164" s="242" t="str">
        <f t="shared" si="30"/>
        <v/>
      </c>
      <c r="S164" s="242" t="str">
        <f t="shared" si="31"/>
        <v/>
      </c>
      <c r="T164" s="242" t="str">
        <f t="shared" si="32"/>
        <v/>
      </c>
      <c r="U164" s="242" t="str">
        <f t="shared" si="33"/>
        <v/>
      </c>
      <c r="V164" s="242" t="str">
        <f t="shared" si="34"/>
        <v/>
      </c>
      <c r="W164" s="242" t="str">
        <f t="shared" si="35"/>
        <v/>
      </c>
    </row>
    <row r="165" spans="1:23" x14ac:dyDescent="0.2">
      <c r="A165" s="283"/>
      <c r="B165" s="283"/>
      <c r="C165" s="283"/>
      <c r="D165" s="283"/>
      <c r="E165" s="283"/>
      <c r="F165" s="283"/>
      <c r="G165" s="283"/>
      <c r="K165" s="242">
        <v>164</v>
      </c>
      <c r="L165" s="242" t="str">
        <f t="shared" si="24"/>
        <v/>
      </c>
      <c r="M165" s="242" t="str">
        <f t="shared" si="25"/>
        <v/>
      </c>
      <c r="N165" s="242" t="str">
        <f t="shared" si="26"/>
        <v/>
      </c>
      <c r="O165" s="242" t="str">
        <f t="shared" si="27"/>
        <v/>
      </c>
      <c r="P165" s="242" t="str">
        <f t="shared" si="28"/>
        <v/>
      </c>
      <c r="Q165" s="242" t="str">
        <f t="shared" si="29"/>
        <v/>
      </c>
      <c r="R165" s="242" t="str">
        <f t="shared" si="30"/>
        <v/>
      </c>
      <c r="S165" s="242" t="str">
        <f t="shared" si="31"/>
        <v/>
      </c>
      <c r="T165" s="242" t="str">
        <f t="shared" si="32"/>
        <v/>
      </c>
      <c r="U165" s="242" t="str">
        <f t="shared" si="33"/>
        <v/>
      </c>
      <c r="V165" s="242" t="str">
        <f t="shared" si="34"/>
        <v/>
      </c>
      <c r="W165" s="242" t="str">
        <f t="shared" si="35"/>
        <v/>
      </c>
    </row>
    <row r="166" spans="1:23" x14ac:dyDescent="0.2">
      <c r="A166" s="283"/>
      <c r="B166" s="283"/>
      <c r="C166" s="283"/>
      <c r="D166" s="283"/>
      <c r="E166" s="283"/>
      <c r="F166" s="283"/>
      <c r="G166" s="283"/>
      <c r="K166" s="242">
        <v>165</v>
      </c>
      <c r="L166" s="242" t="str">
        <f t="shared" si="24"/>
        <v/>
      </c>
      <c r="M166" s="242" t="str">
        <f t="shared" si="25"/>
        <v/>
      </c>
      <c r="N166" s="242" t="str">
        <f t="shared" si="26"/>
        <v/>
      </c>
      <c r="O166" s="242" t="str">
        <f t="shared" si="27"/>
        <v/>
      </c>
      <c r="P166" s="242" t="str">
        <f t="shared" si="28"/>
        <v/>
      </c>
      <c r="Q166" s="242" t="str">
        <f t="shared" si="29"/>
        <v/>
      </c>
      <c r="R166" s="242" t="str">
        <f t="shared" si="30"/>
        <v/>
      </c>
      <c r="S166" s="242" t="str">
        <f t="shared" si="31"/>
        <v/>
      </c>
      <c r="T166" s="242" t="str">
        <f t="shared" si="32"/>
        <v/>
      </c>
      <c r="U166" s="242" t="str">
        <f t="shared" si="33"/>
        <v/>
      </c>
      <c r="V166" s="242" t="str">
        <f t="shared" si="34"/>
        <v/>
      </c>
      <c r="W166" s="242" t="str">
        <f t="shared" si="35"/>
        <v/>
      </c>
    </row>
    <row r="167" spans="1:23" x14ac:dyDescent="0.2">
      <c r="A167" s="283"/>
      <c r="B167" s="283"/>
      <c r="C167" s="283"/>
      <c r="D167" s="283"/>
      <c r="E167" s="283"/>
      <c r="F167" s="283"/>
      <c r="G167" s="283"/>
      <c r="K167" s="242">
        <v>166</v>
      </c>
      <c r="L167" s="242" t="str">
        <f t="shared" si="24"/>
        <v/>
      </c>
      <c r="M167" s="242" t="str">
        <f t="shared" si="25"/>
        <v/>
      </c>
      <c r="N167" s="242" t="str">
        <f t="shared" si="26"/>
        <v/>
      </c>
      <c r="O167" s="242" t="str">
        <f t="shared" si="27"/>
        <v/>
      </c>
      <c r="P167" s="242" t="str">
        <f t="shared" si="28"/>
        <v/>
      </c>
      <c r="Q167" s="242" t="str">
        <f t="shared" si="29"/>
        <v/>
      </c>
      <c r="R167" s="242" t="str">
        <f t="shared" si="30"/>
        <v/>
      </c>
      <c r="S167" s="242" t="str">
        <f t="shared" si="31"/>
        <v/>
      </c>
      <c r="T167" s="242" t="str">
        <f t="shared" si="32"/>
        <v/>
      </c>
      <c r="U167" s="242" t="str">
        <f t="shared" si="33"/>
        <v/>
      </c>
      <c r="V167" s="242" t="str">
        <f t="shared" si="34"/>
        <v/>
      </c>
      <c r="W167" s="242" t="str">
        <f t="shared" si="35"/>
        <v/>
      </c>
    </row>
    <row r="168" spans="1:23" x14ac:dyDescent="0.2">
      <c r="A168" s="283"/>
      <c r="B168" s="283"/>
      <c r="C168" s="283"/>
      <c r="D168" s="283"/>
      <c r="E168" s="283"/>
      <c r="F168" s="283"/>
      <c r="G168" s="283"/>
      <c r="K168" s="242">
        <v>167</v>
      </c>
      <c r="L168" s="242" t="str">
        <f t="shared" si="24"/>
        <v/>
      </c>
      <c r="M168" s="242" t="str">
        <f t="shared" si="25"/>
        <v/>
      </c>
      <c r="N168" s="242" t="str">
        <f t="shared" si="26"/>
        <v/>
      </c>
      <c r="O168" s="242" t="str">
        <f t="shared" si="27"/>
        <v/>
      </c>
      <c r="P168" s="242" t="str">
        <f t="shared" si="28"/>
        <v/>
      </c>
      <c r="Q168" s="242" t="str">
        <f t="shared" si="29"/>
        <v/>
      </c>
      <c r="R168" s="242" t="str">
        <f t="shared" si="30"/>
        <v/>
      </c>
      <c r="S168" s="242" t="str">
        <f t="shared" si="31"/>
        <v/>
      </c>
      <c r="T168" s="242" t="str">
        <f t="shared" si="32"/>
        <v/>
      </c>
      <c r="U168" s="242" t="str">
        <f t="shared" si="33"/>
        <v/>
      </c>
      <c r="V168" s="242" t="str">
        <f t="shared" si="34"/>
        <v/>
      </c>
      <c r="W168" s="242" t="str">
        <f t="shared" si="35"/>
        <v/>
      </c>
    </row>
    <row r="169" spans="1:23" x14ac:dyDescent="0.2">
      <c r="A169" s="283"/>
      <c r="B169" s="283"/>
      <c r="C169" s="283"/>
      <c r="D169" s="283"/>
      <c r="E169" s="283"/>
      <c r="F169" s="283"/>
      <c r="G169" s="283"/>
      <c r="K169" s="242">
        <v>168</v>
      </c>
      <c r="L169" s="242" t="str">
        <f t="shared" si="24"/>
        <v/>
      </c>
      <c r="M169" s="242" t="str">
        <f t="shared" si="25"/>
        <v/>
      </c>
      <c r="N169" s="242" t="str">
        <f t="shared" si="26"/>
        <v/>
      </c>
      <c r="O169" s="242" t="str">
        <f t="shared" si="27"/>
        <v/>
      </c>
      <c r="P169" s="242" t="str">
        <f t="shared" si="28"/>
        <v/>
      </c>
      <c r="Q169" s="242" t="str">
        <f t="shared" si="29"/>
        <v/>
      </c>
      <c r="R169" s="242" t="str">
        <f t="shared" si="30"/>
        <v/>
      </c>
      <c r="S169" s="242" t="str">
        <f t="shared" si="31"/>
        <v/>
      </c>
      <c r="T169" s="242" t="str">
        <f t="shared" si="32"/>
        <v/>
      </c>
      <c r="U169" s="242" t="str">
        <f t="shared" si="33"/>
        <v/>
      </c>
      <c r="V169" s="242" t="str">
        <f t="shared" si="34"/>
        <v/>
      </c>
      <c r="W169" s="242" t="str">
        <f t="shared" si="35"/>
        <v/>
      </c>
    </row>
    <row r="170" spans="1:23" x14ac:dyDescent="0.2">
      <c r="A170" s="283"/>
      <c r="B170" s="283"/>
      <c r="C170" s="283"/>
      <c r="D170" s="283"/>
      <c r="E170" s="283"/>
      <c r="F170" s="283"/>
      <c r="G170" s="283"/>
      <c r="K170" s="242">
        <v>169</v>
      </c>
      <c r="L170" s="242" t="str">
        <f t="shared" si="24"/>
        <v/>
      </c>
      <c r="M170" s="242" t="str">
        <f t="shared" si="25"/>
        <v/>
      </c>
      <c r="N170" s="242" t="str">
        <f t="shared" si="26"/>
        <v/>
      </c>
      <c r="O170" s="242" t="str">
        <f t="shared" si="27"/>
        <v/>
      </c>
      <c r="P170" s="242" t="str">
        <f t="shared" si="28"/>
        <v/>
      </c>
      <c r="Q170" s="242" t="str">
        <f t="shared" si="29"/>
        <v/>
      </c>
      <c r="R170" s="242" t="str">
        <f t="shared" si="30"/>
        <v/>
      </c>
      <c r="S170" s="242" t="str">
        <f t="shared" si="31"/>
        <v/>
      </c>
      <c r="T170" s="242" t="str">
        <f t="shared" si="32"/>
        <v/>
      </c>
      <c r="U170" s="242" t="str">
        <f t="shared" si="33"/>
        <v/>
      </c>
      <c r="V170" s="242" t="str">
        <f t="shared" si="34"/>
        <v/>
      </c>
      <c r="W170" s="242" t="str">
        <f t="shared" si="35"/>
        <v/>
      </c>
    </row>
    <row r="171" spans="1:23" x14ac:dyDescent="0.2">
      <c r="A171" s="283"/>
      <c r="B171" s="283"/>
      <c r="C171" s="283"/>
      <c r="D171" s="283"/>
      <c r="E171" s="283"/>
      <c r="F171" s="283"/>
      <c r="G171" s="283"/>
      <c r="K171" s="242">
        <v>170</v>
      </c>
      <c r="L171" s="242" t="str">
        <f t="shared" si="24"/>
        <v/>
      </c>
      <c r="M171" s="242" t="str">
        <f t="shared" si="25"/>
        <v/>
      </c>
      <c r="N171" s="242" t="str">
        <f t="shared" si="26"/>
        <v/>
      </c>
      <c r="O171" s="242" t="str">
        <f t="shared" si="27"/>
        <v/>
      </c>
      <c r="P171" s="242" t="str">
        <f t="shared" si="28"/>
        <v/>
      </c>
      <c r="Q171" s="242" t="str">
        <f t="shared" si="29"/>
        <v/>
      </c>
      <c r="R171" s="242" t="str">
        <f t="shared" si="30"/>
        <v/>
      </c>
      <c r="S171" s="242" t="str">
        <f t="shared" si="31"/>
        <v/>
      </c>
      <c r="T171" s="242" t="str">
        <f t="shared" si="32"/>
        <v/>
      </c>
      <c r="U171" s="242" t="str">
        <f t="shared" si="33"/>
        <v/>
      </c>
      <c r="V171" s="242" t="str">
        <f t="shared" si="34"/>
        <v/>
      </c>
      <c r="W171" s="242" t="str">
        <f t="shared" si="35"/>
        <v/>
      </c>
    </row>
    <row r="172" spans="1:23" x14ac:dyDescent="0.2">
      <c r="A172" s="283"/>
      <c r="B172" s="283"/>
      <c r="C172" s="283"/>
      <c r="D172" s="283"/>
      <c r="E172" s="283"/>
      <c r="F172" s="283"/>
      <c r="G172" s="283"/>
      <c r="K172" s="242">
        <v>171</v>
      </c>
      <c r="L172" s="242" t="str">
        <f t="shared" si="24"/>
        <v/>
      </c>
      <c r="M172" s="242" t="str">
        <f t="shared" si="25"/>
        <v/>
      </c>
      <c r="N172" s="242" t="str">
        <f t="shared" si="26"/>
        <v/>
      </c>
      <c r="O172" s="242" t="str">
        <f t="shared" si="27"/>
        <v/>
      </c>
      <c r="P172" s="242" t="str">
        <f t="shared" si="28"/>
        <v/>
      </c>
      <c r="Q172" s="242" t="str">
        <f t="shared" si="29"/>
        <v/>
      </c>
      <c r="R172" s="242" t="str">
        <f t="shared" si="30"/>
        <v/>
      </c>
      <c r="S172" s="242" t="str">
        <f t="shared" si="31"/>
        <v/>
      </c>
      <c r="T172" s="242" t="str">
        <f t="shared" si="32"/>
        <v/>
      </c>
      <c r="U172" s="242" t="str">
        <f t="shared" si="33"/>
        <v/>
      </c>
      <c r="V172" s="242" t="str">
        <f t="shared" si="34"/>
        <v/>
      </c>
      <c r="W172" s="242" t="str">
        <f t="shared" si="35"/>
        <v/>
      </c>
    </row>
    <row r="173" spans="1:23" x14ac:dyDescent="0.2">
      <c r="A173" s="283"/>
      <c r="B173" s="283"/>
      <c r="C173" s="283"/>
      <c r="D173" s="283"/>
      <c r="E173" s="283"/>
      <c r="F173" s="283"/>
      <c r="G173" s="283"/>
      <c r="K173" s="242">
        <v>172</v>
      </c>
      <c r="L173" s="242" t="str">
        <f t="shared" si="24"/>
        <v/>
      </c>
      <c r="M173" s="242" t="str">
        <f t="shared" si="25"/>
        <v/>
      </c>
      <c r="N173" s="242" t="str">
        <f t="shared" si="26"/>
        <v/>
      </c>
      <c r="O173" s="242" t="str">
        <f t="shared" si="27"/>
        <v/>
      </c>
      <c r="P173" s="242" t="str">
        <f t="shared" si="28"/>
        <v/>
      </c>
      <c r="Q173" s="242" t="str">
        <f t="shared" si="29"/>
        <v/>
      </c>
      <c r="R173" s="242" t="str">
        <f t="shared" si="30"/>
        <v/>
      </c>
      <c r="S173" s="242" t="str">
        <f t="shared" si="31"/>
        <v/>
      </c>
      <c r="T173" s="242" t="str">
        <f t="shared" si="32"/>
        <v/>
      </c>
      <c r="U173" s="242" t="str">
        <f t="shared" si="33"/>
        <v/>
      </c>
      <c r="V173" s="242" t="str">
        <f t="shared" si="34"/>
        <v/>
      </c>
      <c r="W173" s="242" t="str">
        <f t="shared" si="35"/>
        <v/>
      </c>
    </row>
    <row r="174" spans="1:23" x14ac:dyDescent="0.2">
      <c r="A174" s="283"/>
      <c r="B174" s="283"/>
      <c r="C174" s="283"/>
      <c r="D174" s="283"/>
      <c r="E174" s="283"/>
      <c r="F174" s="283"/>
      <c r="G174" s="283"/>
      <c r="K174" s="242">
        <v>173</v>
      </c>
      <c r="L174" s="242" t="str">
        <f t="shared" si="24"/>
        <v/>
      </c>
      <c r="M174" s="242" t="str">
        <f t="shared" si="25"/>
        <v/>
      </c>
      <c r="N174" s="242" t="str">
        <f t="shared" si="26"/>
        <v/>
      </c>
      <c r="O174" s="242" t="str">
        <f t="shared" si="27"/>
        <v/>
      </c>
      <c r="P174" s="242" t="str">
        <f t="shared" si="28"/>
        <v/>
      </c>
      <c r="Q174" s="242" t="str">
        <f t="shared" si="29"/>
        <v/>
      </c>
      <c r="R174" s="242" t="str">
        <f t="shared" si="30"/>
        <v/>
      </c>
      <c r="S174" s="242" t="str">
        <f t="shared" si="31"/>
        <v/>
      </c>
      <c r="T174" s="242" t="str">
        <f t="shared" si="32"/>
        <v/>
      </c>
      <c r="U174" s="242" t="str">
        <f t="shared" si="33"/>
        <v/>
      </c>
      <c r="V174" s="242" t="str">
        <f t="shared" si="34"/>
        <v/>
      </c>
      <c r="W174" s="242" t="str">
        <f t="shared" si="35"/>
        <v/>
      </c>
    </row>
    <row r="175" spans="1:23" x14ac:dyDescent="0.2">
      <c r="A175" s="283"/>
      <c r="B175" s="283"/>
      <c r="C175" s="283"/>
      <c r="D175" s="283"/>
      <c r="E175" s="283"/>
      <c r="F175" s="283"/>
      <c r="G175" s="283"/>
      <c r="K175" s="242">
        <v>174</v>
      </c>
      <c r="L175" s="242" t="str">
        <f t="shared" si="24"/>
        <v/>
      </c>
      <c r="M175" s="242" t="str">
        <f t="shared" si="25"/>
        <v/>
      </c>
      <c r="N175" s="242" t="str">
        <f t="shared" si="26"/>
        <v/>
      </c>
      <c r="O175" s="242" t="str">
        <f t="shared" si="27"/>
        <v/>
      </c>
      <c r="P175" s="242" t="str">
        <f t="shared" si="28"/>
        <v/>
      </c>
      <c r="Q175" s="242" t="str">
        <f t="shared" si="29"/>
        <v/>
      </c>
      <c r="R175" s="242" t="str">
        <f t="shared" si="30"/>
        <v/>
      </c>
      <c r="S175" s="242" t="str">
        <f t="shared" si="31"/>
        <v/>
      </c>
      <c r="T175" s="242" t="str">
        <f t="shared" si="32"/>
        <v/>
      </c>
      <c r="U175" s="242" t="str">
        <f t="shared" si="33"/>
        <v/>
      </c>
      <c r="V175" s="242" t="str">
        <f t="shared" si="34"/>
        <v/>
      </c>
      <c r="W175" s="242" t="str">
        <f t="shared" si="35"/>
        <v/>
      </c>
    </row>
    <row r="176" spans="1:23" x14ac:dyDescent="0.2">
      <c r="A176" s="283"/>
      <c r="B176" s="283"/>
      <c r="C176" s="283"/>
      <c r="D176" s="283"/>
      <c r="E176" s="283"/>
      <c r="F176" s="283"/>
      <c r="G176" s="283"/>
      <c r="K176" s="242">
        <v>175</v>
      </c>
      <c r="L176" s="242" t="str">
        <f t="shared" si="24"/>
        <v/>
      </c>
      <c r="M176" s="242" t="str">
        <f t="shared" si="25"/>
        <v/>
      </c>
      <c r="N176" s="242" t="str">
        <f t="shared" si="26"/>
        <v/>
      </c>
      <c r="O176" s="242" t="str">
        <f t="shared" si="27"/>
        <v/>
      </c>
      <c r="P176" s="242" t="str">
        <f t="shared" si="28"/>
        <v/>
      </c>
      <c r="Q176" s="242" t="str">
        <f t="shared" si="29"/>
        <v/>
      </c>
      <c r="R176" s="242" t="str">
        <f t="shared" si="30"/>
        <v/>
      </c>
      <c r="S176" s="242" t="str">
        <f t="shared" si="31"/>
        <v/>
      </c>
      <c r="T176" s="242" t="str">
        <f t="shared" si="32"/>
        <v/>
      </c>
      <c r="U176" s="242" t="str">
        <f t="shared" si="33"/>
        <v/>
      </c>
      <c r="V176" s="242" t="str">
        <f t="shared" si="34"/>
        <v/>
      </c>
      <c r="W176" s="242" t="str">
        <f t="shared" si="35"/>
        <v/>
      </c>
    </row>
    <row r="177" spans="1:23" x14ac:dyDescent="0.2">
      <c r="A177" s="283"/>
      <c r="B177" s="283"/>
      <c r="C177" s="283"/>
      <c r="D177" s="283"/>
      <c r="E177" s="283"/>
      <c r="F177" s="283"/>
      <c r="G177" s="283"/>
      <c r="K177" s="242">
        <v>176</v>
      </c>
      <c r="L177" s="242" t="str">
        <f t="shared" si="24"/>
        <v/>
      </c>
      <c r="M177" s="242" t="str">
        <f t="shared" si="25"/>
        <v/>
      </c>
      <c r="N177" s="242" t="str">
        <f t="shared" si="26"/>
        <v/>
      </c>
      <c r="O177" s="242" t="str">
        <f t="shared" si="27"/>
        <v/>
      </c>
      <c r="P177" s="242" t="str">
        <f t="shared" si="28"/>
        <v/>
      </c>
      <c r="Q177" s="242" t="str">
        <f t="shared" si="29"/>
        <v/>
      </c>
      <c r="R177" s="242" t="str">
        <f t="shared" si="30"/>
        <v/>
      </c>
      <c r="S177" s="242" t="str">
        <f t="shared" si="31"/>
        <v/>
      </c>
      <c r="T177" s="242" t="str">
        <f t="shared" si="32"/>
        <v/>
      </c>
      <c r="U177" s="242" t="str">
        <f t="shared" si="33"/>
        <v/>
      </c>
      <c r="V177" s="242" t="str">
        <f t="shared" si="34"/>
        <v/>
      </c>
      <c r="W177" s="242" t="str">
        <f t="shared" si="35"/>
        <v/>
      </c>
    </row>
    <row r="178" spans="1:23" x14ac:dyDescent="0.2">
      <c r="A178" s="283"/>
      <c r="B178" s="283"/>
      <c r="C178" s="283"/>
      <c r="D178" s="283"/>
      <c r="E178" s="283"/>
      <c r="F178" s="283"/>
      <c r="G178" s="283"/>
      <c r="K178" s="242">
        <v>177</v>
      </c>
      <c r="L178" s="242" t="str">
        <f t="shared" si="24"/>
        <v/>
      </c>
      <c r="M178" s="242" t="str">
        <f t="shared" si="25"/>
        <v/>
      </c>
      <c r="N178" s="242" t="str">
        <f t="shared" si="26"/>
        <v/>
      </c>
      <c r="O178" s="242" t="str">
        <f t="shared" si="27"/>
        <v/>
      </c>
      <c r="P178" s="242" t="str">
        <f t="shared" si="28"/>
        <v/>
      </c>
      <c r="Q178" s="242" t="str">
        <f t="shared" si="29"/>
        <v/>
      </c>
      <c r="R178" s="242" t="str">
        <f t="shared" si="30"/>
        <v/>
      </c>
      <c r="S178" s="242" t="str">
        <f t="shared" si="31"/>
        <v/>
      </c>
      <c r="T178" s="242" t="str">
        <f t="shared" si="32"/>
        <v/>
      </c>
      <c r="U178" s="242" t="str">
        <f t="shared" si="33"/>
        <v/>
      </c>
      <c r="V178" s="242" t="str">
        <f t="shared" si="34"/>
        <v/>
      </c>
      <c r="W178" s="242" t="str">
        <f t="shared" si="35"/>
        <v/>
      </c>
    </row>
    <row r="179" spans="1:23" x14ac:dyDescent="0.2">
      <c r="A179" s="283"/>
      <c r="B179" s="283"/>
      <c r="C179" s="283"/>
      <c r="D179" s="283"/>
      <c r="E179" s="283"/>
      <c r="F179" s="283"/>
      <c r="G179" s="283"/>
      <c r="K179" s="242">
        <v>178</v>
      </c>
      <c r="L179" s="242" t="str">
        <f t="shared" si="24"/>
        <v/>
      </c>
      <c r="M179" s="242" t="str">
        <f t="shared" si="25"/>
        <v/>
      </c>
      <c r="N179" s="242" t="str">
        <f t="shared" si="26"/>
        <v/>
      </c>
      <c r="O179" s="242" t="str">
        <f t="shared" si="27"/>
        <v/>
      </c>
      <c r="P179" s="242" t="str">
        <f t="shared" si="28"/>
        <v/>
      </c>
      <c r="Q179" s="242" t="str">
        <f t="shared" si="29"/>
        <v/>
      </c>
      <c r="R179" s="242" t="str">
        <f t="shared" si="30"/>
        <v/>
      </c>
      <c r="S179" s="242" t="str">
        <f t="shared" si="31"/>
        <v/>
      </c>
      <c r="T179" s="242" t="str">
        <f t="shared" si="32"/>
        <v/>
      </c>
      <c r="U179" s="242" t="str">
        <f t="shared" si="33"/>
        <v/>
      </c>
      <c r="V179" s="242" t="str">
        <f t="shared" si="34"/>
        <v/>
      </c>
      <c r="W179" s="242" t="str">
        <f t="shared" si="35"/>
        <v/>
      </c>
    </row>
    <row r="180" spans="1:23" x14ac:dyDescent="0.2">
      <c r="A180" s="283"/>
      <c r="B180" s="283"/>
      <c r="C180" s="283"/>
      <c r="D180" s="283"/>
      <c r="E180" s="283"/>
      <c r="F180" s="283"/>
      <c r="G180" s="283"/>
      <c r="K180" s="242">
        <v>179</v>
      </c>
      <c r="L180" s="242" t="str">
        <f t="shared" si="24"/>
        <v/>
      </c>
      <c r="M180" s="242" t="str">
        <f t="shared" si="25"/>
        <v/>
      </c>
      <c r="N180" s="242" t="str">
        <f t="shared" si="26"/>
        <v/>
      </c>
      <c r="O180" s="242" t="str">
        <f t="shared" si="27"/>
        <v/>
      </c>
      <c r="P180" s="242" t="str">
        <f t="shared" si="28"/>
        <v/>
      </c>
      <c r="Q180" s="242" t="str">
        <f t="shared" si="29"/>
        <v/>
      </c>
      <c r="R180" s="242" t="str">
        <f t="shared" si="30"/>
        <v/>
      </c>
      <c r="S180" s="242" t="str">
        <f t="shared" si="31"/>
        <v/>
      </c>
      <c r="T180" s="242" t="str">
        <f t="shared" si="32"/>
        <v/>
      </c>
      <c r="U180" s="242" t="str">
        <f t="shared" si="33"/>
        <v/>
      </c>
      <c r="V180" s="242" t="str">
        <f t="shared" si="34"/>
        <v/>
      </c>
      <c r="W180" s="242" t="str">
        <f t="shared" si="35"/>
        <v/>
      </c>
    </row>
    <row r="181" spans="1:23" x14ac:dyDescent="0.2">
      <c r="A181" s="283"/>
      <c r="B181" s="283"/>
      <c r="C181" s="283"/>
      <c r="D181" s="283"/>
      <c r="E181" s="283"/>
      <c r="F181" s="283"/>
      <c r="G181" s="283"/>
      <c r="K181" s="242">
        <v>180</v>
      </c>
      <c r="L181" s="242" t="str">
        <f t="shared" si="24"/>
        <v/>
      </c>
      <c r="M181" s="242" t="str">
        <f t="shared" si="25"/>
        <v/>
      </c>
      <c r="N181" s="242" t="str">
        <f t="shared" si="26"/>
        <v/>
      </c>
      <c r="O181" s="242" t="str">
        <f t="shared" si="27"/>
        <v/>
      </c>
      <c r="P181" s="242" t="str">
        <f t="shared" si="28"/>
        <v/>
      </c>
      <c r="Q181" s="242" t="str">
        <f t="shared" si="29"/>
        <v/>
      </c>
      <c r="R181" s="242" t="str">
        <f t="shared" si="30"/>
        <v/>
      </c>
      <c r="S181" s="242" t="str">
        <f t="shared" si="31"/>
        <v/>
      </c>
      <c r="T181" s="242" t="str">
        <f t="shared" si="32"/>
        <v/>
      </c>
      <c r="U181" s="242" t="str">
        <f t="shared" si="33"/>
        <v/>
      </c>
      <c r="V181" s="242" t="str">
        <f t="shared" si="34"/>
        <v/>
      </c>
      <c r="W181" s="242" t="str">
        <f t="shared" si="35"/>
        <v/>
      </c>
    </row>
    <row r="182" spans="1:23" x14ac:dyDescent="0.2">
      <c r="A182" s="283"/>
      <c r="B182" s="283"/>
      <c r="C182" s="283"/>
      <c r="D182" s="283"/>
      <c r="E182" s="283"/>
      <c r="F182" s="283"/>
      <c r="G182" s="283"/>
      <c r="K182" s="242">
        <v>181</v>
      </c>
      <c r="L182" s="242" t="str">
        <f t="shared" si="24"/>
        <v/>
      </c>
      <c r="M182" s="242" t="str">
        <f t="shared" si="25"/>
        <v/>
      </c>
      <c r="N182" s="242" t="str">
        <f t="shared" si="26"/>
        <v/>
      </c>
      <c r="O182" s="242" t="str">
        <f t="shared" si="27"/>
        <v/>
      </c>
      <c r="P182" s="242" t="str">
        <f t="shared" si="28"/>
        <v/>
      </c>
      <c r="Q182" s="242" t="str">
        <f t="shared" si="29"/>
        <v/>
      </c>
      <c r="R182" s="242" t="str">
        <f t="shared" si="30"/>
        <v/>
      </c>
      <c r="S182" s="242" t="str">
        <f t="shared" si="31"/>
        <v/>
      </c>
      <c r="T182" s="242" t="str">
        <f t="shared" si="32"/>
        <v/>
      </c>
      <c r="U182" s="242" t="str">
        <f t="shared" si="33"/>
        <v/>
      </c>
      <c r="V182" s="242" t="str">
        <f t="shared" si="34"/>
        <v/>
      </c>
      <c r="W182" s="242" t="str">
        <f t="shared" si="35"/>
        <v/>
      </c>
    </row>
    <row r="183" spans="1:23" x14ac:dyDescent="0.2">
      <c r="A183" s="283"/>
      <c r="B183" s="283"/>
      <c r="C183" s="283"/>
      <c r="D183" s="283"/>
      <c r="E183" s="283"/>
      <c r="F183" s="283"/>
      <c r="G183" s="283"/>
      <c r="K183" s="242">
        <v>182</v>
      </c>
      <c r="L183" s="242" t="str">
        <f t="shared" si="24"/>
        <v/>
      </c>
      <c r="M183" s="242" t="str">
        <f t="shared" si="25"/>
        <v/>
      </c>
      <c r="N183" s="242" t="str">
        <f t="shared" si="26"/>
        <v/>
      </c>
      <c r="O183" s="242" t="str">
        <f t="shared" si="27"/>
        <v/>
      </c>
      <c r="P183" s="242" t="str">
        <f t="shared" si="28"/>
        <v/>
      </c>
      <c r="Q183" s="242" t="str">
        <f t="shared" si="29"/>
        <v/>
      </c>
      <c r="R183" s="242" t="str">
        <f t="shared" si="30"/>
        <v/>
      </c>
      <c r="S183" s="242" t="str">
        <f t="shared" si="31"/>
        <v/>
      </c>
      <c r="T183" s="242" t="str">
        <f t="shared" si="32"/>
        <v/>
      </c>
      <c r="U183" s="242" t="str">
        <f t="shared" si="33"/>
        <v/>
      </c>
      <c r="V183" s="242" t="str">
        <f t="shared" si="34"/>
        <v/>
      </c>
      <c r="W183" s="242" t="str">
        <f t="shared" si="35"/>
        <v/>
      </c>
    </row>
    <row r="184" spans="1:23" x14ac:dyDescent="0.2">
      <c r="A184" s="283"/>
      <c r="B184" s="283"/>
      <c r="C184" s="283"/>
      <c r="D184" s="283"/>
      <c r="E184" s="283"/>
      <c r="F184" s="283"/>
      <c r="G184" s="283"/>
      <c r="K184" s="242">
        <v>183</v>
      </c>
      <c r="L184" s="242" t="str">
        <f t="shared" si="24"/>
        <v/>
      </c>
      <c r="M184" s="242" t="str">
        <f t="shared" si="25"/>
        <v/>
      </c>
      <c r="N184" s="242" t="str">
        <f t="shared" si="26"/>
        <v/>
      </c>
      <c r="O184" s="242" t="str">
        <f t="shared" si="27"/>
        <v/>
      </c>
      <c r="P184" s="242" t="str">
        <f t="shared" si="28"/>
        <v/>
      </c>
      <c r="Q184" s="242" t="str">
        <f t="shared" si="29"/>
        <v/>
      </c>
      <c r="R184" s="242" t="str">
        <f t="shared" si="30"/>
        <v/>
      </c>
      <c r="S184" s="242" t="str">
        <f t="shared" si="31"/>
        <v/>
      </c>
      <c r="T184" s="242" t="str">
        <f t="shared" si="32"/>
        <v/>
      </c>
      <c r="U184" s="242" t="str">
        <f t="shared" si="33"/>
        <v/>
      </c>
      <c r="V184" s="242" t="str">
        <f t="shared" si="34"/>
        <v/>
      </c>
      <c r="W184" s="242" t="str">
        <f t="shared" si="35"/>
        <v/>
      </c>
    </row>
    <row r="185" spans="1:23" x14ac:dyDescent="0.2">
      <c r="A185" s="283"/>
      <c r="B185" s="283"/>
      <c r="C185" s="283"/>
      <c r="D185" s="283"/>
      <c r="E185" s="283"/>
      <c r="F185" s="283"/>
      <c r="G185" s="283"/>
      <c r="K185" s="242">
        <v>184</v>
      </c>
      <c r="L185" s="242" t="str">
        <f t="shared" si="24"/>
        <v/>
      </c>
      <c r="M185" s="242" t="str">
        <f t="shared" si="25"/>
        <v/>
      </c>
      <c r="N185" s="242" t="str">
        <f t="shared" si="26"/>
        <v/>
      </c>
      <c r="O185" s="242" t="str">
        <f t="shared" si="27"/>
        <v/>
      </c>
      <c r="P185" s="242" t="str">
        <f t="shared" si="28"/>
        <v/>
      </c>
      <c r="Q185" s="242" t="str">
        <f t="shared" si="29"/>
        <v/>
      </c>
      <c r="R185" s="242" t="str">
        <f t="shared" si="30"/>
        <v/>
      </c>
      <c r="S185" s="242" t="str">
        <f t="shared" si="31"/>
        <v/>
      </c>
      <c r="T185" s="242" t="str">
        <f t="shared" si="32"/>
        <v/>
      </c>
      <c r="U185" s="242" t="str">
        <f t="shared" si="33"/>
        <v/>
      </c>
      <c r="V185" s="242" t="str">
        <f t="shared" si="34"/>
        <v/>
      </c>
      <c r="W185" s="242" t="str">
        <f t="shared" si="35"/>
        <v/>
      </c>
    </row>
    <row r="186" spans="1:23" x14ac:dyDescent="0.2">
      <c r="A186" s="283"/>
      <c r="B186" s="283"/>
      <c r="C186" s="283"/>
      <c r="D186" s="283"/>
      <c r="E186" s="283"/>
      <c r="F186" s="283"/>
      <c r="G186" s="283"/>
      <c r="K186" s="242">
        <v>185</v>
      </c>
      <c r="L186" s="242" t="str">
        <f t="shared" si="24"/>
        <v/>
      </c>
      <c r="M186" s="242" t="str">
        <f t="shared" si="25"/>
        <v/>
      </c>
      <c r="N186" s="242" t="str">
        <f t="shared" si="26"/>
        <v/>
      </c>
      <c r="O186" s="242" t="str">
        <f t="shared" si="27"/>
        <v/>
      </c>
      <c r="P186" s="242" t="str">
        <f t="shared" si="28"/>
        <v/>
      </c>
      <c r="Q186" s="242" t="str">
        <f t="shared" si="29"/>
        <v/>
      </c>
      <c r="R186" s="242" t="str">
        <f t="shared" si="30"/>
        <v/>
      </c>
      <c r="S186" s="242" t="str">
        <f t="shared" si="31"/>
        <v/>
      </c>
      <c r="T186" s="242" t="str">
        <f t="shared" si="32"/>
        <v/>
      </c>
      <c r="U186" s="242" t="str">
        <f t="shared" si="33"/>
        <v/>
      </c>
      <c r="V186" s="242" t="str">
        <f t="shared" si="34"/>
        <v/>
      </c>
      <c r="W186" s="242" t="str">
        <f t="shared" si="35"/>
        <v/>
      </c>
    </row>
    <row r="187" spans="1:23" x14ac:dyDescent="0.2">
      <c r="A187" s="283"/>
      <c r="B187" s="283"/>
      <c r="C187" s="283"/>
      <c r="D187" s="283"/>
      <c r="E187" s="283"/>
      <c r="F187" s="283"/>
      <c r="G187" s="283"/>
      <c r="K187" s="242">
        <v>186</v>
      </c>
      <c r="L187" s="242" t="str">
        <f t="shared" si="24"/>
        <v/>
      </c>
      <c r="M187" s="242" t="str">
        <f t="shared" si="25"/>
        <v/>
      </c>
      <c r="N187" s="242" t="str">
        <f t="shared" si="26"/>
        <v/>
      </c>
      <c r="O187" s="242" t="str">
        <f t="shared" si="27"/>
        <v/>
      </c>
      <c r="P187" s="242" t="str">
        <f t="shared" si="28"/>
        <v/>
      </c>
      <c r="Q187" s="242" t="str">
        <f t="shared" si="29"/>
        <v/>
      </c>
      <c r="R187" s="242" t="str">
        <f t="shared" si="30"/>
        <v/>
      </c>
      <c r="S187" s="242" t="str">
        <f t="shared" si="31"/>
        <v/>
      </c>
      <c r="T187" s="242" t="str">
        <f t="shared" si="32"/>
        <v/>
      </c>
      <c r="U187" s="242" t="str">
        <f t="shared" si="33"/>
        <v/>
      </c>
      <c r="V187" s="242" t="str">
        <f t="shared" si="34"/>
        <v/>
      </c>
      <c r="W187" s="242" t="str">
        <f t="shared" si="35"/>
        <v/>
      </c>
    </row>
    <row r="188" spans="1:23" x14ac:dyDescent="0.2">
      <c r="A188" s="283"/>
      <c r="B188" s="283"/>
      <c r="C188" s="283"/>
      <c r="D188" s="283"/>
      <c r="E188" s="283"/>
      <c r="F188" s="283"/>
      <c r="G188" s="283"/>
      <c r="K188" s="242">
        <v>187</v>
      </c>
      <c r="L188" s="242" t="str">
        <f t="shared" si="24"/>
        <v/>
      </c>
      <c r="M188" s="242" t="str">
        <f t="shared" si="25"/>
        <v/>
      </c>
      <c r="N188" s="242" t="str">
        <f t="shared" si="26"/>
        <v/>
      </c>
      <c r="O188" s="242" t="str">
        <f t="shared" si="27"/>
        <v/>
      </c>
      <c r="P188" s="242" t="str">
        <f t="shared" si="28"/>
        <v/>
      </c>
      <c r="Q188" s="242" t="str">
        <f t="shared" si="29"/>
        <v/>
      </c>
      <c r="R188" s="242" t="str">
        <f t="shared" si="30"/>
        <v/>
      </c>
      <c r="S188" s="242" t="str">
        <f t="shared" si="31"/>
        <v/>
      </c>
      <c r="T188" s="242" t="str">
        <f t="shared" si="32"/>
        <v/>
      </c>
      <c r="U188" s="242" t="str">
        <f t="shared" si="33"/>
        <v/>
      </c>
      <c r="V188" s="242" t="str">
        <f t="shared" si="34"/>
        <v/>
      </c>
      <c r="W188" s="242" t="str">
        <f t="shared" si="35"/>
        <v/>
      </c>
    </row>
    <row r="189" spans="1:23" x14ac:dyDescent="0.2">
      <c r="A189" s="283"/>
      <c r="B189" s="283"/>
      <c r="C189" s="283"/>
      <c r="D189" s="283"/>
      <c r="E189" s="283"/>
      <c r="F189" s="283"/>
      <c r="G189" s="283"/>
      <c r="K189" s="242">
        <v>188</v>
      </c>
      <c r="L189" s="242" t="str">
        <f t="shared" si="24"/>
        <v/>
      </c>
      <c r="M189" s="242" t="str">
        <f t="shared" si="25"/>
        <v/>
      </c>
      <c r="N189" s="242" t="str">
        <f t="shared" si="26"/>
        <v/>
      </c>
      <c r="O189" s="242" t="str">
        <f t="shared" si="27"/>
        <v/>
      </c>
      <c r="P189" s="242" t="str">
        <f t="shared" si="28"/>
        <v/>
      </c>
      <c r="Q189" s="242" t="str">
        <f t="shared" si="29"/>
        <v/>
      </c>
      <c r="R189" s="242" t="str">
        <f t="shared" si="30"/>
        <v/>
      </c>
      <c r="S189" s="242" t="str">
        <f t="shared" si="31"/>
        <v/>
      </c>
      <c r="T189" s="242" t="str">
        <f t="shared" si="32"/>
        <v/>
      </c>
      <c r="U189" s="242" t="str">
        <f t="shared" si="33"/>
        <v/>
      </c>
      <c r="V189" s="242" t="str">
        <f t="shared" si="34"/>
        <v/>
      </c>
      <c r="W189" s="242" t="str">
        <f t="shared" si="35"/>
        <v/>
      </c>
    </row>
    <row r="190" spans="1:23" x14ac:dyDescent="0.2">
      <c r="A190" s="283"/>
      <c r="B190" s="283"/>
      <c r="C190" s="283"/>
      <c r="D190" s="283"/>
      <c r="E190" s="283"/>
      <c r="F190" s="283"/>
      <c r="G190" s="283"/>
      <c r="K190" s="242">
        <v>189</v>
      </c>
      <c r="L190" s="242" t="str">
        <f t="shared" si="24"/>
        <v/>
      </c>
      <c r="M190" s="242" t="str">
        <f t="shared" si="25"/>
        <v/>
      </c>
      <c r="N190" s="242" t="str">
        <f t="shared" si="26"/>
        <v/>
      </c>
      <c r="O190" s="242" t="str">
        <f t="shared" si="27"/>
        <v/>
      </c>
      <c r="P190" s="242" t="str">
        <f t="shared" si="28"/>
        <v/>
      </c>
      <c r="Q190" s="242" t="str">
        <f t="shared" si="29"/>
        <v/>
      </c>
      <c r="R190" s="242" t="str">
        <f t="shared" si="30"/>
        <v/>
      </c>
      <c r="S190" s="242" t="str">
        <f t="shared" si="31"/>
        <v/>
      </c>
      <c r="T190" s="242" t="str">
        <f t="shared" si="32"/>
        <v/>
      </c>
      <c r="U190" s="242" t="str">
        <f t="shared" si="33"/>
        <v/>
      </c>
      <c r="V190" s="242" t="str">
        <f t="shared" si="34"/>
        <v/>
      </c>
      <c r="W190" s="242" t="str">
        <f t="shared" si="35"/>
        <v/>
      </c>
    </row>
    <row r="191" spans="1:23" x14ac:dyDescent="0.2">
      <c r="A191" s="283"/>
      <c r="B191" s="283"/>
      <c r="C191" s="283"/>
      <c r="D191" s="283"/>
      <c r="E191" s="283"/>
      <c r="F191" s="283"/>
      <c r="G191" s="283"/>
      <c r="K191" s="242">
        <v>190</v>
      </c>
      <c r="L191" s="242" t="str">
        <f t="shared" si="24"/>
        <v/>
      </c>
      <c r="M191" s="242" t="str">
        <f t="shared" si="25"/>
        <v/>
      </c>
      <c r="N191" s="242" t="str">
        <f t="shared" si="26"/>
        <v/>
      </c>
      <c r="O191" s="242" t="str">
        <f t="shared" si="27"/>
        <v/>
      </c>
      <c r="P191" s="242" t="str">
        <f t="shared" si="28"/>
        <v/>
      </c>
      <c r="Q191" s="242" t="str">
        <f t="shared" si="29"/>
        <v/>
      </c>
      <c r="R191" s="242" t="str">
        <f t="shared" si="30"/>
        <v/>
      </c>
      <c r="S191" s="242" t="str">
        <f t="shared" si="31"/>
        <v/>
      </c>
      <c r="T191" s="242" t="str">
        <f t="shared" si="32"/>
        <v/>
      </c>
      <c r="U191" s="242" t="str">
        <f t="shared" si="33"/>
        <v/>
      </c>
      <c r="V191" s="242" t="str">
        <f t="shared" si="34"/>
        <v/>
      </c>
      <c r="W191" s="242" t="str">
        <f t="shared" si="35"/>
        <v/>
      </c>
    </row>
    <row r="192" spans="1:23" x14ac:dyDescent="0.2">
      <c r="A192" s="283"/>
      <c r="B192" s="283"/>
      <c r="C192" s="283"/>
      <c r="D192" s="283"/>
      <c r="E192" s="283"/>
      <c r="F192" s="283"/>
      <c r="G192" s="283"/>
      <c r="K192" s="242">
        <v>191</v>
      </c>
      <c r="L192" s="242" t="str">
        <f t="shared" si="24"/>
        <v/>
      </c>
      <c r="M192" s="242" t="str">
        <f t="shared" si="25"/>
        <v/>
      </c>
      <c r="N192" s="242" t="str">
        <f t="shared" si="26"/>
        <v/>
      </c>
      <c r="O192" s="242" t="str">
        <f t="shared" si="27"/>
        <v/>
      </c>
      <c r="P192" s="242" t="str">
        <f t="shared" si="28"/>
        <v/>
      </c>
      <c r="Q192" s="242" t="str">
        <f t="shared" si="29"/>
        <v/>
      </c>
      <c r="R192" s="242" t="str">
        <f t="shared" si="30"/>
        <v/>
      </c>
      <c r="S192" s="242" t="str">
        <f t="shared" si="31"/>
        <v/>
      </c>
      <c r="T192" s="242" t="str">
        <f t="shared" si="32"/>
        <v/>
      </c>
      <c r="U192" s="242" t="str">
        <f t="shared" si="33"/>
        <v/>
      </c>
      <c r="V192" s="242" t="str">
        <f t="shared" si="34"/>
        <v/>
      </c>
      <c r="W192" s="242" t="str">
        <f t="shared" si="35"/>
        <v/>
      </c>
    </row>
    <row r="193" spans="1:23" x14ac:dyDescent="0.2">
      <c r="A193" s="283"/>
      <c r="B193" s="283"/>
      <c r="C193" s="283"/>
      <c r="D193" s="283"/>
      <c r="E193" s="283"/>
      <c r="F193" s="283"/>
      <c r="G193" s="283"/>
      <c r="K193" s="242">
        <v>192</v>
      </c>
      <c r="L193" s="242" t="str">
        <f t="shared" si="24"/>
        <v/>
      </c>
      <c r="M193" s="242" t="str">
        <f t="shared" si="25"/>
        <v/>
      </c>
      <c r="N193" s="242" t="str">
        <f t="shared" si="26"/>
        <v/>
      </c>
      <c r="O193" s="242" t="str">
        <f t="shared" si="27"/>
        <v/>
      </c>
      <c r="P193" s="242" t="str">
        <f t="shared" si="28"/>
        <v/>
      </c>
      <c r="Q193" s="242" t="str">
        <f t="shared" si="29"/>
        <v/>
      </c>
      <c r="R193" s="242" t="str">
        <f t="shared" si="30"/>
        <v/>
      </c>
      <c r="S193" s="242" t="str">
        <f t="shared" si="31"/>
        <v/>
      </c>
      <c r="T193" s="242" t="str">
        <f t="shared" si="32"/>
        <v/>
      </c>
      <c r="U193" s="242" t="str">
        <f t="shared" si="33"/>
        <v/>
      </c>
      <c r="V193" s="242" t="str">
        <f t="shared" si="34"/>
        <v/>
      </c>
      <c r="W193" s="242" t="str">
        <f t="shared" si="35"/>
        <v/>
      </c>
    </row>
    <row r="194" spans="1:23" x14ac:dyDescent="0.2">
      <c r="A194" s="283"/>
      <c r="B194" s="283"/>
      <c r="C194" s="283"/>
      <c r="D194" s="283"/>
      <c r="E194" s="283"/>
      <c r="F194" s="283"/>
      <c r="G194" s="283"/>
      <c r="K194" s="242">
        <v>193</v>
      </c>
      <c r="L194" s="242" t="str">
        <f t="shared" si="24"/>
        <v/>
      </c>
      <c r="M194" s="242" t="str">
        <f t="shared" si="25"/>
        <v/>
      </c>
      <c r="N194" s="242" t="str">
        <f t="shared" si="26"/>
        <v/>
      </c>
      <c r="O194" s="242" t="str">
        <f t="shared" si="27"/>
        <v/>
      </c>
      <c r="P194" s="242" t="str">
        <f t="shared" si="28"/>
        <v/>
      </c>
      <c r="Q194" s="242" t="str">
        <f t="shared" si="29"/>
        <v/>
      </c>
      <c r="R194" s="242" t="str">
        <f t="shared" si="30"/>
        <v/>
      </c>
      <c r="S194" s="242" t="str">
        <f t="shared" si="31"/>
        <v/>
      </c>
      <c r="T194" s="242" t="str">
        <f t="shared" si="32"/>
        <v/>
      </c>
      <c r="U194" s="242" t="str">
        <f t="shared" si="33"/>
        <v/>
      </c>
      <c r="V194" s="242" t="str">
        <f t="shared" si="34"/>
        <v/>
      </c>
      <c r="W194" s="242" t="str">
        <f t="shared" si="35"/>
        <v/>
      </c>
    </row>
    <row r="195" spans="1:23" x14ac:dyDescent="0.2">
      <c r="A195" s="283"/>
      <c r="B195" s="283"/>
      <c r="C195" s="283"/>
      <c r="D195" s="283"/>
      <c r="E195" s="283"/>
      <c r="F195" s="283"/>
      <c r="G195" s="283"/>
      <c r="K195" s="242">
        <v>194</v>
      </c>
      <c r="L195" s="242" t="str">
        <f t="shared" ref="L195:L258" si="36">IF($B$13&gt;=K195,K195,"")</f>
        <v/>
      </c>
      <c r="M195" s="242" t="str">
        <f t="shared" ref="M195:M258" si="37">IF(L195="","",IF(L195&lt;=$E$15,VLOOKUP($E$14,$I$1:$J$4,2,FALSE),VLOOKUP($F$14,$I$1:$J$4,2,FALSE)))</f>
        <v/>
      </c>
      <c r="N195" s="242" t="str">
        <f t="shared" ref="N195:N258" si="38">IF($B$20&gt;=K195,K195,"")</f>
        <v/>
      </c>
      <c r="O195" s="242" t="str">
        <f t="shared" ref="O195:O258" si="39">IF(N195="","",IF(N195&lt;=$E$22,VLOOKUP($E$21,$I$1:$J$4,2,FALSE),VLOOKUP($F$21,$I$1:$J$4,2,FALSE)))</f>
        <v/>
      </c>
      <c r="P195" s="242" t="str">
        <f t="shared" ref="P195:P258" si="40">IF($B$27&gt;=K195,K195,"")</f>
        <v/>
      </c>
      <c r="Q195" s="242" t="str">
        <f t="shared" ref="Q195:Q258" si="41">IF(P195="","",IF(P195&lt;=$E$29,VLOOKUP($E$28,$I$1:$J$4,2,FALSE),VLOOKUP($F$28,$I$1:$J$4,2,FALSE)))</f>
        <v/>
      </c>
      <c r="R195" s="242" t="str">
        <f t="shared" ref="R195:R258" si="42">IF($B$34&gt;=K195,K195,"")</f>
        <v/>
      </c>
      <c r="S195" s="242" t="str">
        <f t="shared" ref="S195:S258" si="43">IF(R195="","",IF(R195&lt;=$E$36,VLOOKUP($E$35,$I$1:$J$4,2,FALSE),VLOOKUP($F$35,$I$1:$J$4,2,FALSE)))</f>
        <v/>
      </c>
      <c r="T195" s="242" t="str">
        <f t="shared" ref="T195:T258" si="44">IF($B$41&gt;=K195,K195,"")</f>
        <v/>
      </c>
      <c r="U195" s="242" t="str">
        <f t="shared" ref="U195:U258" si="45">IF(T195="","",IF(T195&lt;=$E$43,VLOOKUP($E$42,$I$1:$J$4,2,FALSE),VLOOKUP($F$42,$I$1:$J$4,2,FALSE)))</f>
        <v/>
      </c>
      <c r="V195" s="242" t="str">
        <f t="shared" ref="V195:V258" si="46">IF($B$48&gt;=K195,K195,"")</f>
        <v/>
      </c>
      <c r="W195" s="242" t="str">
        <f t="shared" ref="W195:W258" si="47">IF(V195="","",IF(V195&lt;=$E$50,VLOOKUP($E$49,$I$1:$J$4,2,FALSE),VLOOKUP($F$49,$I$1:$J$4,2,FALSE)))</f>
        <v/>
      </c>
    </row>
    <row r="196" spans="1:23" x14ac:dyDescent="0.2">
      <c r="A196" s="283"/>
      <c r="B196" s="283"/>
      <c r="C196" s="283"/>
      <c r="D196" s="283"/>
      <c r="E196" s="283"/>
      <c r="F196" s="283"/>
      <c r="G196" s="283"/>
      <c r="K196" s="242">
        <v>195</v>
      </c>
      <c r="L196" s="242" t="str">
        <f t="shared" si="36"/>
        <v/>
      </c>
      <c r="M196" s="242" t="str">
        <f t="shared" si="37"/>
        <v/>
      </c>
      <c r="N196" s="242" t="str">
        <f t="shared" si="38"/>
        <v/>
      </c>
      <c r="O196" s="242" t="str">
        <f t="shared" si="39"/>
        <v/>
      </c>
      <c r="P196" s="242" t="str">
        <f t="shared" si="40"/>
        <v/>
      </c>
      <c r="Q196" s="242" t="str">
        <f t="shared" si="41"/>
        <v/>
      </c>
      <c r="R196" s="242" t="str">
        <f t="shared" si="42"/>
        <v/>
      </c>
      <c r="S196" s="242" t="str">
        <f t="shared" si="43"/>
        <v/>
      </c>
      <c r="T196" s="242" t="str">
        <f t="shared" si="44"/>
        <v/>
      </c>
      <c r="U196" s="242" t="str">
        <f t="shared" si="45"/>
        <v/>
      </c>
      <c r="V196" s="242" t="str">
        <f t="shared" si="46"/>
        <v/>
      </c>
      <c r="W196" s="242" t="str">
        <f t="shared" si="47"/>
        <v/>
      </c>
    </row>
    <row r="197" spans="1:23" x14ac:dyDescent="0.2">
      <c r="A197" s="283"/>
      <c r="B197" s="283"/>
      <c r="C197" s="283"/>
      <c r="D197" s="283"/>
      <c r="E197" s="283"/>
      <c r="F197" s="283"/>
      <c r="G197" s="283"/>
      <c r="K197" s="242">
        <v>196</v>
      </c>
      <c r="L197" s="242" t="str">
        <f t="shared" si="36"/>
        <v/>
      </c>
      <c r="M197" s="242" t="str">
        <f t="shared" si="37"/>
        <v/>
      </c>
      <c r="N197" s="242" t="str">
        <f t="shared" si="38"/>
        <v/>
      </c>
      <c r="O197" s="242" t="str">
        <f t="shared" si="39"/>
        <v/>
      </c>
      <c r="P197" s="242" t="str">
        <f t="shared" si="40"/>
        <v/>
      </c>
      <c r="Q197" s="242" t="str">
        <f t="shared" si="41"/>
        <v/>
      </c>
      <c r="R197" s="242" t="str">
        <f t="shared" si="42"/>
        <v/>
      </c>
      <c r="S197" s="242" t="str">
        <f t="shared" si="43"/>
        <v/>
      </c>
      <c r="T197" s="242" t="str">
        <f t="shared" si="44"/>
        <v/>
      </c>
      <c r="U197" s="242" t="str">
        <f t="shared" si="45"/>
        <v/>
      </c>
      <c r="V197" s="242" t="str">
        <f t="shared" si="46"/>
        <v/>
      </c>
      <c r="W197" s="242" t="str">
        <f t="shared" si="47"/>
        <v/>
      </c>
    </row>
    <row r="198" spans="1:23" x14ac:dyDescent="0.2">
      <c r="A198" s="283"/>
      <c r="B198" s="283"/>
      <c r="C198" s="283"/>
      <c r="D198" s="283"/>
      <c r="E198" s="283"/>
      <c r="F198" s="283"/>
      <c r="G198" s="283"/>
      <c r="K198" s="242">
        <v>197</v>
      </c>
      <c r="L198" s="242" t="str">
        <f t="shared" si="36"/>
        <v/>
      </c>
      <c r="M198" s="242" t="str">
        <f t="shared" si="37"/>
        <v/>
      </c>
      <c r="N198" s="242" t="str">
        <f t="shared" si="38"/>
        <v/>
      </c>
      <c r="O198" s="242" t="str">
        <f t="shared" si="39"/>
        <v/>
      </c>
      <c r="P198" s="242" t="str">
        <f t="shared" si="40"/>
        <v/>
      </c>
      <c r="Q198" s="242" t="str">
        <f t="shared" si="41"/>
        <v/>
      </c>
      <c r="R198" s="242" t="str">
        <f t="shared" si="42"/>
        <v/>
      </c>
      <c r="S198" s="242" t="str">
        <f t="shared" si="43"/>
        <v/>
      </c>
      <c r="T198" s="242" t="str">
        <f t="shared" si="44"/>
        <v/>
      </c>
      <c r="U198" s="242" t="str">
        <f t="shared" si="45"/>
        <v/>
      </c>
      <c r="V198" s="242" t="str">
        <f t="shared" si="46"/>
        <v/>
      </c>
      <c r="W198" s="242" t="str">
        <f t="shared" si="47"/>
        <v/>
      </c>
    </row>
    <row r="199" spans="1:23" x14ac:dyDescent="0.2">
      <c r="A199" s="283"/>
      <c r="B199" s="283"/>
      <c r="C199" s="283"/>
      <c r="D199" s="283"/>
      <c r="E199" s="283"/>
      <c r="F199" s="283"/>
      <c r="G199" s="283"/>
      <c r="K199" s="242">
        <v>198</v>
      </c>
      <c r="L199" s="242" t="str">
        <f t="shared" si="36"/>
        <v/>
      </c>
      <c r="M199" s="242" t="str">
        <f t="shared" si="37"/>
        <v/>
      </c>
      <c r="N199" s="242" t="str">
        <f t="shared" si="38"/>
        <v/>
      </c>
      <c r="O199" s="242" t="str">
        <f t="shared" si="39"/>
        <v/>
      </c>
      <c r="P199" s="242" t="str">
        <f t="shared" si="40"/>
        <v/>
      </c>
      <c r="Q199" s="242" t="str">
        <f t="shared" si="41"/>
        <v/>
      </c>
      <c r="R199" s="242" t="str">
        <f t="shared" si="42"/>
        <v/>
      </c>
      <c r="S199" s="242" t="str">
        <f t="shared" si="43"/>
        <v/>
      </c>
      <c r="T199" s="242" t="str">
        <f t="shared" si="44"/>
        <v/>
      </c>
      <c r="U199" s="242" t="str">
        <f t="shared" si="45"/>
        <v/>
      </c>
      <c r="V199" s="242" t="str">
        <f t="shared" si="46"/>
        <v/>
      </c>
      <c r="W199" s="242" t="str">
        <f t="shared" si="47"/>
        <v/>
      </c>
    </row>
    <row r="200" spans="1:23" x14ac:dyDescent="0.2">
      <c r="A200" s="283"/>
      <c r="B200" s="283"/>
      <c r="C200" s="283"/>
      <c r="D200" s="283"/>
      <c r="E200" s="283"/>
      <c r="F200" s="283"/>
      <c r="G200" s="283"/>
      <c r="K200" s="242">
        <v>199</v>
      </c>
      <c r="L200" s="242" t="str">
        <f t="shared" si="36"/>
        <v/>
      </c>
      <c r="M200" s="242" t="str">
        <f t="shared" si="37"/>
        <v/>
      </c>
      <c r="N200" s="242" t="str">
        <f t="shared" si="38"/>
        <v/>
      </c>
      <c r="O200" s="242" t="str">
        <f t="shared" si="39"/>
        <v/>
      </c>
      <c r="P200" s="242" t="str">
        <f t="shared" si="40"/>
        <v/>
      </c>
      <c r="Q200" s="242" t="str">
        <f t="shared" si="41"/>
        <v/>
      </c>
      <c r="R200" s="242" t="str">
        <f t="shared" si="42"/>
        <v/>
      </c>
      <c r="S200" s="242" t="str">
        <f t="shared" si="43"/>
        <v/>
      </c>
      <c r="T200" s="242" t="str">
        <f t="shared" si="44"/>
        <v/>
      </c>
      <c r="U200" s="242" t="str">
        <f t="shared" si="45"/>
        <v/>
      </c>
      <c r="V200" s="242" t="str">
        <f t="shared" si="46"/>
        <v/>
      </c>
      <c r="W200" s="242" t="str">
        <f t="shared" si="47"/>
        <v/>
      </c>
    </row>
    <row r="201" spans="1:23" x14ac:dyDescent="0.2">
      <c r="A201" s="283"/>
      <c r="B201" s="283"/>
      <c r="C201" s="283"/>
      <c r="D201" s="283"/>
      <c r="E201" s="283"/>
      <c r="F201" s="283"/>
      <c r="G201" s="283"/>
      <c r="K201" s="242">
        <v>200</v>
      </c>
      <c r="L201" s="242" t="str">
        <f t="shared" si="36"/>
        <v/>
      </c>
      <c r="M201" s="242" t="str">
        <f t="shared" si="37"/>
        <v/>
      </c>
      <c r="N201" s="242" t="str">
        <f t="shared" si="38"/>
        <v/>
      </c>
      <c r="O201" s="242" t="str">
        <f t="shared" si="39"/>
        <v/>
      </c>
      <c r="P201" s="242" t="str">
        <f t="shared" si="40"/>
        <v/>
      </c>
      <c r="Q201" s="242" t="str">
        <f t="shared" si="41"/>
        <v/>
      </c>
      <c r="R201" s="242" t="str">
        <f t="shared" si="42"/>
        <v/>
      </c>
      <c r="S201" s="242" t="str">
        <f t="shared" si="43"/>
        <v/>
      </c>
      <c r="T201" s="242" t="str">
        <f t="shared" si="44"/>
        <v/>
      </c>
      <c r="U201" s="242" t="str">
        <f t="shared" si="45"/>
        <v/>
      </c>
      <c r="V201" s="242" t="str">
        <f t="shared" si="46"/>
        <v/>
      </c>
      <c r="W201" s="242" t="str">
        <f t="shared" si="47"/>
        <v/>
      </c>
    </row>
    <row r="202" spans="1:23" x14ac:dyDescent="0.2">
      <c r="A202" s="283"/>
      <c r="B202" s="283"/>
      <c r="C202" s="283"/>
      <c r="D202" s="283"/>
      <c r="E202" s="283"/>
      <c r="F202" s="283"/>
      <c r="G202" s="283"/>
      <c r="K202" s="242">
        <v>201</v>
      </c>
      <c r="L202" s="242" t="str">
        <f t="shared" si="36"/>
        <v/>
      </c>
      <c r="M202" s="242" t="str">
        <f t="shared" si="37"/>
        <v/>
      </c>
      <c r="N202" s="242" t="str">
        <f t="shared" si="38"/>
        <v/>
      </c>
      <c r="O202" s="242" t="str">
        <f t="shared" si="39"/>
        <v/>
      </c>
      <c r="P202" s="242" t="str">
        <f t="shared" si="40"/>
        <v/>
      </c>
      <c r="Q202" s="242" t="str">
        <f t="shared" si="41"/>
        <v/>
      </c>
      <c r="R202" s="242" t="str">
        <f t="shared" si="42"/>
        <v/>
      </c>
      <c r="S202" s="242" t="str">
        <f t="shared" si="43"/>
        <v/>
      </c>
      <c r="T202" s="242" t="str">
        <f t="shared" si="44"/>
        <v/>
      </c>
      <c r="U202" s="242" t="str">
        <f t="shared" si="45"/>
        <v/>
      </c>
      <c r="V202" s="242" t="str">
        <f t="shared" si="46"/>
        <v/>
      </c>
      <c r="W202" s="242" t="str">
        <f t="shared" si="47"/>
        <v/>
      </c>
    </row>
    <row r="203" spans="1:23" x14ac:dyDescent="0.2">
      <c r="A203" s="283"/>
      <c r="B203" s="283"/>
      <c r="C203" s="283"/>
      <c r="D203" s="283"/>
      <c r="E203" s="283"/>
      <c r="F203" s="283"/>
      <c r="G203" s="283"/>
      <c r="K203" s="242">
        <v>202</v>
      </c>
      <c r="L203" s="242" t="str">
        <f t="shared" si="36"/>
        <v/>
      </c>
      <c r="M203" s="242" t="str">
        <f t="shared" si="37"/>
        <v/>
      </c>
      <c r="N203" s="242" t="str">
        <f t="shared" si="38"/>
        <v/>
      </c>
      <c r="O203" s="242" t="str">
        <f t="shared" si="39"/>
        <v/>
      </c>
      <c r="P203" s="242" t="str">
        <f t="shared" si="40"/>
        <v/>
      </c>
      <c r="Q203" s="242" t="str">
        <f t="shared" si="41"/>
        <v/>
      </c>
      <c r="R203" s="242" t="str">
        <f t="shared" si="42"/>
        <v/>
      </c>
      <c r="S203" s="242" t="str">
        <f t="shared" si="43"/>
        <v/>
      </c>
      <c r="T203" s="242" t="str">
        <f t="shared" si="44"/>
        <v/>
      </c>
      <c r="U203" s="242" t="str">
        <f t="shared" si="45"/>
        <v/>
      </c>
      <c r="V203" s="242" t="str">
        <f t="shared" si="46"/>
        <v/>
      </c>
      <c r="W203" s="242" t="str">
        <f t="shared" si="47"/>
        <v/>
      </c>
    </row>
    <row r="204" spans="1:23" x14ac:dyDescent="0.2">
      <c r="A204" s="283"/>
      <c r="B204" s="283"/>
      <c r="C204" s="283"/>
      <c r="D204" s="283"/>
      <c r="E204" s="283"/>
      <c r="F204" s="283"/>
      <c r="G204" s="283"/>
      <c r="K204" s="242">
        <v>203</v>
      </c>
      <c r="L204" s="242" t="str">
        <f t="shared" si="36"/>
        <v/>
      </c>
      <c r="M204" s="242" t="str">
        <f t="shared" si="37"/>
        <v/>
      </c>
      <c r="N204" s="242" t="str">
        <f t="shared" si="38"/>
        <v/>
      </c>
      <c r="O204" s="242" t="str">
        <f t="shared" si="39"/>
        <v/>
      </c>
      <c r="P204" s="242" t="str">
        <f t="shared" si="40"/>
        <v/>
      </c>
      <c r="Q204" s="242" t="str">
        <f t="shared" si="41"/>
        <v/>
      </c>
      <c r="R204" s="242" t="str">
        <f t="shared" si="42"/>
        <v/>
      </c>
      <c r="S204" s="242" t="str">
        <f t="shared" si="43"/>
        <v/>
      </c>
      <c r="T204" s="242" t="str">
        <f t="shared" si="44"/>
        <v/>
      </c>
      <c r="U204" s="242" t="str">
        <f t="shared" si="45"/>
        <v/>
      </c>
      <c r="V204" s="242" t="str">
        <f t="shared" si="46"/>
        <v/>
      </c>
      <c r="W204" s="242" t="str">
        <f t="shared" si="47"/>
        <v/>
      </c>
    </row>
    <row r="205" spans="1:23" x14ac:dyDescent="0.2">
      <c r="A205" s="283"/>
      <c r="B205" s="283"/>
      <c r="C205" s="283"/>
      <c r="D205" s="283"/>
      <c r="E205" s="283"/>
      <c r="F205" s="283"/>
      <c r="G205" s="283"/>
      <c r="K205" s="242">
        <v>204</v>
      </c>
      <c r="L205" s="242" t="str">
        <f t="shared" si="36"/>
        <v/>
      </c>
      <c r="M205" s="242" t="str">
        <f t="shared" si="37"/>
        <v/>
      </c>
      <c r="N205" s="242" t="str">
        <f t="shared" si="38"/>
        <v/>
      </c>
      <c r="O205" s="242" t="str">
        <f t="shared" si="39"/>
        <v/>
      </c>
      <c r="P205" s="242" t="str">
        <f t="shared" si="40"/>
        <v/>
      </c>
      <c r="Q205" s="242" t="str">
        <f t="shared" si="41"/>
        <v/>
      </c>
      <c r="R205" s="242" t="str">
        <f t="shared" si="42"/>
        <v/>
      </c>
      <c r="S205" s="242" t="str">
        <f t="shared" si="43"/>
        <v/>
      </c>
      <c r="T205" s="242" t="str">
        <f t="shared" si="44"/>
        <v/>
      </c>
      <c r="U205" s="242" t="str">
        <f t="shared" si="45"/>
        <v/>
      </c>
      <c r="V205" s="242" t="str">
        <f t="shared" si="46"/>
        <v/>
      </c>
      <c r="W205" s="242" t="str">
        <f t="shared" si="47"/>
        <v/>
      </c>
    </row>
    <row r="206" spans="1:23" x14ac:dyDescent="0.2">
      <c r="A206" s="283"/>
      <c r="B206" s="283"/>
      <c r="C206" s="283"/>
      <c r="D206" s="283"/>
      <c r="E206" s="283"/>
      <c r="F206" s="283"/>
      <c r="G206" s="283"/>
      <c r="K206" s="242">
        <v>205</v>
      </c>
      <c r="L206" s="242" t="str">
        <f t="shared" si="36"/>
        <v/>
      </c>
      <c r="M206" s="242" t="str">
        <f t="shared" si="37"/>
        <v/>
      </c>
      <c r="N206" s="242" t="str">
        <f t="shared" si="38"/>
        <v/>
      </c>
      <c r="O206" s="242" t="str">
        <f t="shared" si="39"/>
        <v/>
      </c>
      <c r="P206" s="242" t="str">
        <f t="shared" si="40"/>
        <v/>
      </c>
      <c r="Q206" s="242" t="str">
        <f t="shared" si="41"/>
        <v/>
      </c>
      <c r="R206" s="242" t="str">
        <f t="shared" si="42"/>
        <v/>
      </c>
      <c r="S206" s="242" t="str">
        <f t="shared" si="43"/>
        <v/>
      </c>
      <c r="T206" s="242" t="str">
        <f t="shared" si="44"/>
        <v/>
      </c>
      <c r="U206" s="242" t="str">
        <f t="shared" si="45"/>
        <v/>
      </c>
      <c r="V206" s="242" t="str">
        <f t="shared" si="46"/>
        <v/>
      </c>
      <c r="W206" s="242" t="str">
        <f t="shared" si="47"/>
        <v/>
      </c>
    </row>
    <row r="207" spans="1:23" x14ac:dyDescent="0.2">
      <c r="A207" s="283"/>
      <c r="B207" s="283"/>
      <c r="C207" s="283"/>
      <c r="D207" s="283"/>
      <c r="E207" s="283"/>
      <c r="F207" s="283"/>
      <c r="G207" s="283"/>
      <c r="K207" s="242">
        <v>206</v>
      </c>
      <c r="L207" s="242" t="str">
        <f t="shared" si="36"/>
        <v/>
      </c>
      <c r="M207" s="242" t="str">
        <f t="shared" si="37"/>
        <v/>
      </c>
      <c r="N207" s="242" t="str">
        <f t="shared" si="38"/>
        <v/>
      </c>
      <c r="O207" s="242" t="str">
        <f t="shared" si="39"/>
        <v/>
      </c>
      <c r="P207" s="242" t="str">
        <f t="shared" si="40"/>
        <v/>
      </c>
      <c r="Q207" s="242" t="str">
        <f t="shared" si="41"/>
        <v/>
      </c>
      <c r="R207" s="242" t="str">
        <f t="shared" si="42"/>
        <v/>
      </c>
      <c r="S207" s="242" t="str">
        <f t="shared" si="43"/>
        <v/>
      </c>
      <c r="T207" s="242" t="str">
        <f t="shared" si="44"/>
        <v/>
      </c>
      <c r="U207" s="242" t="str">
        <f t="shared" si="45"/>
        <v/>
      </c>
      <c r="V207" s="242" t="str">
        <f t="shared" si="46"/>
        <v/>
      </c>
      <c r="W207" s="242" t="str">
        <f t="shared" si="47"/>
        <v/>
      </c>
    </row>
    <row r="208" spans="1:23" x14ac:dyDescent="0.2">
      <c r="A208" s="283"/>
      <c r="B208" s="283"/>
      <c r="C208" s="283"/>
      <c r="D208" s="283"/>
      <c r="E208" s="283"/>
      <c r="F208" s="283"/>
      <c r="G208" s="283"/>
      <c r="K208" s="242">
        <v>207</v>
      </c>
      <c r="L208" s="242" t="str">
        <f t="shared" si="36"/>
        <v/>
      </c>
      <c r="M208" s="242" t="str">
        <f t="shared" si="37"/>
        <v/>
      </c>
      <c r="N208" s="242" t="str">
        <f t="shared" si="38"/>
        <v/>
      </c>
      <c r="O208" s="242" t="str">
        <f t="shared" si="39"/>
        <v/>
      </c>
      <c r="P208" s="242" t="str">
        <f t="shared" si="40"/>
        <v/>
      </c>
      <c r="Q208" s="242" t="str">
        <f t="shared" si="41"/>
        <v/>
      </c>
      <c r="R208" s="242" t="str">
        <f t="shared" si="42"/>
        <v/>
      </c>
      <c r="S208" s="242" t="str">
        <f t="shared" si="43"/>
        <v/>
      </c>
      <c r="T208" s="242" t="str">
        <f t="shared" si="44"/>
        <v/>
      </c>
      <c r="U208" s="242" t="str">
        <f t="shared" si="45"/>
        <v/>
      </c>
      <c r="V208" s="242" t="str">
        <f t="shared" si="46"/>
        <v/>
      </c>
      <c r="W208" s="242" t="str">
        <f t="shared" si="47"/>
        <v/>
      </c>
    </row>
    <row r="209" spans="1:23" x14ac:dyDescent="0.2">
      <c r="A209" s="283"/>
      <c r="B209" s="283"/>
      <c r="C209" s="283"/>
      <c r="D209" s="283"/>
      <c r="E209" s="283"/>
      <c r="F209" s="283"/>
      <c r="G209" s="283"/>
      <c r="K209" s="242">
        <v>208</v>
      </c>
      <c r="L209" s="242" t="str">
        <f t="shared" si="36"/>
        <v/>
      </c>
      <c r="M209" s="242" t="str">
        <f t="shared" si="37"/>
        <v/>
      </c>
      <c r="N209" s="242" t="str">
        <f t="shared" si="38"/>
        <v/>
      </c>
      <c r="O209" s="242" t="str">
        <f t="shared" si="39"/>
        <v/>
      </c>
      <c r="P209" s="242" t="str">
        <f t="shared" si="40"/>
        <v/>
      </c>
      <c r="Q209" s="242" t="str">
        <f t="shared" si="41"/>
        <v/>
      </c>
      <c r="R209" s="242" t="str">
        <f t="shared" si="42"/>
        <v/>
      </c>
      <c r="S209" s="242" t="str">
        <f t="shared" si="43"/>
        <v/>
      </c>
      <c r="T209" s="242" t="str">
        <f t="shared" si="44"/>
        <v/>
      </c>
      <c r="U209" s="242" t="str">
        <f t="shared" si="45"/>
        <v/>
      </c>
      <c r="V209" s="242" t="str">
        <f t="shared" si="46"/>
        <v/>
      </c>
      <c r="W209" s="242" t="str">
        <f t="shared" si="47"/>
        <v/>
      </c>
    </row>
    <row r="210" spans="1:23" x14ac:dyDescent="0.2">
      <c r="A210" s="283"/>
      <c r="B210" s="283"/>
      <c r="C210" s="283"/>
      <c r="D210" s="283"/>
      <c r="E210" s="283"/>
      <c r="F210" s="283"/>
      <c r="G210" s="283"/>
      <c r="K210" s="242">
        <v>209</v>
      </c>
      <c r="L210" s="242" t="str">
        <f t="shared" si="36"/>
        <v/>
      </c>
      <c r="M210" s="242" t="str">
        <f t="shared" si="37"/>
        <v/>
      </c>
      <c r="N210" s="242" t="str">
        <f t="shared" si="38"/>
        <v/>
      </c>
      <c r="O210" s="242" t="str">
        <f t="shared" si="39"/>
        <v/>
      </c>
      <c r="P210" s="242" t="str">
        <f t="shared" si="40"/>
        <v/>
      </c>
      <c r="Q210" s="242" t="str">
        <f t="shared" si="41"/>
        <v/>
      </c>
      <c r="R210" s="242" t="str">
        <f t="shared" si="42"/>
        <v/>
      </c>
      <c r="S210" s="242" t="str">
        <f t="shared" si="43"/>
        <v/>
      </c>
      <c r="T210" s="242" t="str">
        <f t="shared" si="44"/>
        <v/>
      </c>
      <c r="U210" s="242" t="str">
        <f t="shared" si="45"/>
        <v/>
      </c>
      <c r="V210" s="242" t="str">
        <f t="shared" si="46"/>
        <v/>
      </c>
      <c r="W210" s="242" t="str">
        <f t="shared" si="47"/>
        <v/>
      </c>
    </row>
    <row r="211" spans="1:23" x14ac:dyDescent="0.2">
      <c r="A211" s="283"/>
      <c r="B211" s="283"/>
      <c r="C211" s="283"/>
      <c r="D211" s="283"/>
      <c r="E211" s="283"/>
      <c r="F211" s="283"/>
      <c r="G211" s="283"/>
      <c r="K211" s="242">
        <v>210</v>
      </c>
      <c r="L211" s="242" t="str">
        <f t="shared" si="36"/>
        <v/>
      </c>
      <c r="M211" s="242" t="str">
        <f t="shared" si="37"/>
        <v/>
      </c>
      <c r="N211" s="242" t="str">
        <f t="shared" si="38"/>
        <v/>
      </c>
      <c r="O211" s="242" t="str">
        <f t="shared" si="39"/>
        <v/>
      </c>
      <c r="P211" s="242" t="str">
        <f t="shared" si="40"/>
        <v/>
      </c>
      <c r="Q211" s="242" t="str">
        <f t="shared" si="41"/>
        <v/>
      </c>
      <c r="R211" s="242" t="str">
        <f t="shared" si="42"/>
        <v/>
      </c>
      <c r="S211" s="242" t="str">
        <f t="shared" si="43"/>
        <v/>
      </c>
      <c r="T211" s="242" t="str">
        <f t="shared" si="44"/>
        <v/>
      </c>
      <c r="U211" s="242" t="str">
        <f t="shared" si="45"/>
        <v/>
      </c>
      <c r="V211" s="242" t="str">
        <f t="shared" si="46"/>
        <v/>
      </c>
      <c r="W211" s="242" t="str">
        <f t="shared" si="47"/>
        <v/>
      </c>
    </row>
    <row r="212" spans="1:23" x14ac:dyDescent="0.2">
      <c r="A212" s="283"/>
      <c r="B212" s="283"/>
      <c r="C212" s="283"/>
      <c r="D212" s="283"/>
      <c r="E212" s="283"/>
      <c r="F212" s="283"/>
      <c r="G212" s="283"/>
      <c r="K212" s="242">
        <v>211</v>
      </c>
      <c r="L212" s="242" t="str">
        <f t="shared" si="36"/>
        <v/>
      </c>
      <c r="M212" s="242" t="str">
        <f t="shared" si="37"/>
        <v/>
      </c>
      <c r="N212" s="242" t="str">
        <f t="shared" si="38"/>
        <v/>
      </c>
      <c r="O212" s="242" t="str">
        <f t="shared" si="39"/>
        <v/>
      </c>
      <c r="P212" s="242" t="str">
        <f t="shared" si="40"/>
        <v/>
      </c>
      <c r="Q212" s="242" t="str">
        <f t="shared" si="41"/>
        <v/>
      </c>
      <c r="R212" s="242" t="str">
        <f t="shared" si="42"/>
        <v/>
      </c>
      <c r="S212" s="242" t="str">
        <f t="shared" si="43"/>
        <v/>
      </c>
      <c r="T212" s="242" t="str">
        <f t="shared" si="44"/>
        <v/>
      </c>
      <c r="U212" s="242" t="str">
        <f t="shared" si="45"/>
        <v/>
      </c>
      <c r="V212" s="242" t="str">
        <f t="shared" si="46"/>
        <v/>
      </c>
      <c r="W212" s="242" t="str">
        <f t="shared" si="47"/>
        <v/>
      </c>
    </row>
    <row r="213" spans="1:23" x14ac:dyDescent="0.2">
      <c r="A213" s="283"/>
      <c r="B213" s="283"/>
      <c r="C213" s="283"/>
      <c r="D213" s="283"/>
      <c r="E213" s="283"/>
      <c r="F213" s="283"/>
      <c r="G213" s="283"/>
      <c r="K213" s="242">
        <v>212</v>
      </c>
      <c r="L213" s="242" t="str">
        <f t="shared" si="36"/>
        <v/>
      </c>
      <c r="M213" s="242" t="str">
        <f t="shared" si="37"/>
        <v/>
      </c>
      <c r="N213" s="242" t="str">
        <f t="shared" si="38"/>
        <v/>
      </c>
      <c r="O213" s="242" t="str">
        <f t="shared" si="39"/>
        <v/>
      </c>
      <c r="P213" s="242" t="str">
        <f t="shared" si="40"/>
        <v/>
      </c>
      <c r="Q213" s="242" t="str">
        <f t="shared" si="41"/>
        <v/>
      </c>
      <c r="R213" s="242" t="str">
        <f t="shared" si="42"/>
        <v/>
      </c>
      <c r="S213" s="242" t="str">
        <f t="shared" si="43"/>
        <v/>
      </c>
      <c r="T213" s="242" t="str">
        <f t="shared" si="44"/>
        <v/>
      </c>
      <c r="U213" s="242" t="str">
        <f t="shared" si="45"/>
        <v/>
      </c>
      <c r="V213" s="242" t="str">
        <f t="shared" si="46"/>
        <v/>
      </c>
      <c r="W213" s="242" t="str">
        <f t="shared" si="47"/>
        <v/>
      </c>
    </row>
    <row r="214" spans="1:23" x14ac:dyDescent="0.2">
      <c r="A214" s="283"/>
      <c r="B214" s="283"/>
      <c r="C214" s="283"/>
      <c r="D214" s="283"/>
      <c r="E214" s="283"/>
      <c r="F214" s="283"/>
      <c r="G214" s="283"/>
      <c r="K214" s="242">
        <v>213</v>
      </c>
      <c r="L214" s="242" t="str">
        <f t="shared" si="36"/>
        <v/>
      </c>
      <c r="M214" s="242" t="str">
        <f t="shared" si="37"/>
        <v/>
      </c>
      <c r="N214" s="242" t="str">
        <f t="shared" si="38"/>
        <v/>
      </c>
      <c r="O214" s="242" t="str">
        <f t="shared" si="39"/>
        <v/>
      </c>
      <c r="P214" s="242" t="str">
        <f t="shared" si="40"/>
        <v/>
      </c>
      <c r="Q214" s="242" t="str">
        <f t="shared" si="41"/>
        <v/>
      </c>
      <c r="R214" s="242" t="str">
        <f t="shared" si="42"/>
        <v/>
      </c>
      <c r="S214" s="242" t="str">
        <f t="shared" si="43"/>
        <v/>
      </c>
      <c r="T214" s="242" t="str">
        <f t="shared" si="44"/>
        <v/>
      </c>
      <c r="U214" s="242" t="str">
        <f t="shared" si="45"/>
        <v/>
      </c>
      <c r="V214" s="242" t="str">
        <f t="shared" si="46"/>
        <v/>
      </c>
      <c r="W214" s="242" t="str">
        <f t="shared" si="47"/>
        <v/>
      </c>
    </row>
    <row r="215" spans="1:23" x14ac:dyDescent="0.2">
      <c r="A215" s="283"/>
      <c r="B215" s="283"/>
      <c r="C215" s="283"/>
      <c r="D215" s="283"/>
      <c r="E215" s="283"/>
      <c r="F215" s="283"/>
      <c r="G215" s="283"/>
      <c r="K215" s="242">
        <v>214</v>
      </c>
      <c r="L215" s="242" t="str">
        <f t="shared" si="36"/>
        <v/>
      </c>
      <c r="M215" s="242" t="str">
        <f t="shared" si="37"/>
        <v/>
      </c>
      <c r="N215" s="242" t="str">
        <f t="shared" si="38"/>
        <v/>
      </c>
      <c r="O215" s="242" t="str">
        <f t="shared" si="39"/>
        <v/>
      </c>
      <c r="P215" s="242" t="str">
        <f t="shared" si="40"/>
        <v/>
      </c>
      <c r="Q215" s="242" t="str">
        <f t="shared" si="41"/>
        <v/>
      </c>
      <c r="R215" s="242" t="str">
        <f t="shared" si="42"/>
        <v/>
      </c>
      <c r="S215" s="242" t="str">
        <f t="shared" si="43"/>
        <v/>
      </c>
      <c r="T215" s="242" t="str">
        <f t="shared" si="44"/>
        <v/>
      </c>
      <c r="U215" s="242" t="str">
        <f t="shared" si="45"/>
        <v/>
      </c>
      <c r="V215" s="242" t="str">
        <f t="shared" si="46"/>
        <v/>
      </c>
      <c r="W215" s="242" t="str">
        <f t="shared" si="47"/>
        <v/>
      </c>
    </row>
    <row r="216" spans="1:23" x14ac:dyDescent="0.2">
      <c r="A216" s="283"/>
      <c r="B216" s="283"/>
      <c r="C216" s="283"/>
      <c r="D216" s="283"/>
      <c r="E216" s="283"/>
      <c r="F216" s="283"/>
      <c r="G216" s="283"/>
      <c r="K216" s="242">
        <v>215</v>
      </c>
      <c r="L216" s="242" t="str">
        <f t="shared" si="36"/>
        <v/>
      </c>
      <c r="M216" s="242" t="str">
        <f t="shared" si="37"/>
        <v/>
      </c>
      <c r="N216" s="242" t="str">
        <f t="shared" si="38"/>
        <v/>
      </c>
      <c r="O216" s="242" t="str">
        <f t="shared" si="39"/>
        <v/>
      </c>
      <c r="P216" s="242" t="str">
        <f t="shared" si="40"/>
        <v/>
      </c>
      <c r="Q216" s="242" t="str">
        <f t="shared" si="41"/>
        <v/>
      </c>
      <c r="R216" s="242" t="str">
        <f t="shared" si="42"/>
        <v/>
      </c>
      <c r="S216" s="242" t="str">
        <f t="shared" si="43"/>
        <v/>
      </c>
      <c r="T216" s="242" t="str">
        <f t="shared" si="44"/>
        <v/>
      </c>
      <c r="U216" s="242" t="str">
        <f t="shared" si="45"/>
        <v/>
      </c>
      <c r="V216" s="242" t="str">
        <f t="shared" si="46"/>
        <v/>
      </c>
      <c r="W216" s="242" t="str">
        <f t="shared" si="47"/>
        <v/>
      </c>
    </row>
    <row r="217" spans="1:23" x14ac:dyDescent="0.2">
      <c r="A217" s="283"/>
      <c r="B217" s="283"/>
      <c r="C217" s="283"/>
      <c r="D217" s="283"/>
      <c r="E217" s="283"/>
      <c r="F217" s="283"/>
      <c r="G217" s="283"/>
      <c r="K217" s="242">
        <v>216</v>
      </c>
      <c r="L217" s="242" t="str">
        <f t="shared" si="36"/>
        <v/>
      </c>
      <c r="M217" s="242" t="str">
        <f t="shared" si="37"/>
        <v/>
      </c>
      <c r="N217" s="242" t="str">
        <f t="shared" si="38"/>
        <v/>
      </c>
      <c r="O217" s="242" t="str">
        <f t="shared" si="39"/>
        <v/>
      </c>
      <c r="P217" s="242" t="str">
        <f t="shared" si="40"/>
        <v/>
      </c>
      <c r="Q217" s="242" t="str">
        <f t="shared" si="41"/>
        <v/>
      </c>
      <c r="R217" s="242" t="str">
        <f t="shared" si="42"/>
        <v/>
      </c>
      <c r="S217" s="242" t="str">
        <f t="shared" si="43"/>
        <v/>
      </c>
      <c r="T217" s="242" t="str">
        <f t="shared" si="44"/>
        <v/>
      </c>
      <c r="U217" s="242" t="str">
        <f t="shared" si="45"/>
        <v/>
      </c>
      <c r="V217" s="242" t="str">
        <f t="shared" si="46"/>
        <v/>
      </c>
      <c r="W217" s="242" t="str">
        <f t="shared" si="47"/>
        <v/>
      </c>
    </row>
    <row r="218" spans="1:23" x14ac:dyDescent="0.2">
      <c r="A218" s="283"/>
      <c r="B218" s="283"/>
      <c r="C218" s="283"/>
      <c r="D218" s="283"/>
      <c r="E218" s="283"/>
      <c r="F218" s="283"/>
      <c r="G218" s="283"/>
      <c r="K218" s="242">
        <v>217</v>
      </c>
      <c r="L218" s="242" t="str">
        <f t="shared" si="36"/>
        <v/>
      </c>
      <c r="M218" s="242" t="str">
        <f t="shared" si="37"/>
        <v/>
      </c>
      <c r="N218" s="242" t="str">
        <f t="shared" si="38"/>
        <v/>
      </c>
      <c r="O218" s="242" t="str">
        <f t="shared" si="39"/>
        <v/>
      </c>
      <c r="P218" s="242" t="str">
        <f t="shared" si="40"/>
        <v/>
      </c>
      <c r="Q218" s="242" t="str">
        <f t="shared" si="41"/>
        <v/>
      </c>
      <c r="R218" s="242" t="str">
        <f t="shared" si="42"/>
        <v/>
      </c>
      <c r="S218" s="242" t="str">
        <f t="shared" si="43"/>
        <v/>
      </c>
      <c r="T218" s="242" t="str">
        <f t="shared" si="44"/>
        <v/>
      </c>
      <c r="U218" s="242" t="str">
        <f t="shared" si="45"/>
        <v/>
      </c>
      <c r="V218" s="242" t="str">
        <f t="shared" si="46"/>
        <v/>
      </c>
      <c r="W218" s="242" t="str">
        <f t="shared" si="47"/>
        <v/>
      </c>
    </row>
    <row r="219" spans="1:23" x14ac:dyDescent="0.2">
      <c r="A219" s="283"/>
      <c r="B219" s="283"/>
      <c r="C219" s="283"/>
      <c r="D219" s="283"/>
      <c r="E219" s="283"/>
      <c r="F219" s="283"/>
      <c r="G219" s="283"/>
      <c r="K219" s="242">
        <v>218</v>
      </c>
      <c r="L219" s="242" t="str">
        <f t="shared" si="36"/>
        <v/>
      </c>
      <c r="M219" s="242" t="str">
        <f t="shared" si="37"/>
        <v/>
      </c>
      <c r="N219" s="242" t="str">
        <f t="shared" si="38"/>
        <v/>
      </c>
      <c r="O219" s="242" t="str">
        <f t="shared" si="39"/>
        <v/>
      </c>
      <c r="P219" s="242" t="str">
        <f t="shared" si="40"/>
        <v/>
      </c>
      <c r="Q219" s="242" t="str">
        <f t="shared" si="41"/>
        <v/>
      </c>
      <c r="R219" s="242" t="str">
        <f t="shared" si="42"/>
        <v/>
      </c>
      <c r="S219" s="242" t="str">
        <f t="shared" si="43"/>
        <v/>
      </c>
      <c r="T219" s="242" t="str">
        <f t="shared" si="44"/>
        <v/>
      </c>
      <c r="U219" s="242" t="str">
        <f t="shared" si="45"/>
        <v/>
      </c>
      <c r="V219" s="242" t="str">
        <f t="shared" si="46"/>
        <v/>
      </c>
      <c r="W219" s="242" t="str">
        <f t="shared" si="47"/>
        <v/>
      </c>
    </row>
    <row r="220" spans="1:23" x14ac:dyDescent="0.2">
      <c r="A220" s="283"/>
      <c r="B220" s="283"/>
      <c r="C220" s="283"/>
      <c r="D220" s="283"/>
      <c r="E220" s="283"/>
      <c r="F220" s="283"/>
      <c r="G220" s="283"/>
      <c r="K220" s="242">
        <v>219</v>
      </c>
      <c r="L220" s="242" t="str">
        <f t="shared" si="36"/>
        <v/>
      </c>
      <c r="M220" s="242" t="str">
        <f t="shared" si="37"/>
        <v/>
      </c>
      <c r="N220" s="242" t="str">
        <f t="shared" si="38"/>
        <v/>
      </c>
      <c r="O220" s="242" t="str">
        <f t="shared" si="39"/>
        <v/>
      </c>
      <c r="P220" s="242" t="str">
        <f t="shared" si="40"/>
        <v/>
      </c>
      <c r="Q220" s="242" t="str">
        <f t="shared" si="41"/>
        <v/>
      </c>
      <c r="R220" s="242" t="str">
        <f t="shared" si="42"/>
        <v/>
      </c>
      <c r="S220" s="242" t="str">
        <f t="shared" si="43"/>
        <v/>
      </c>
      <c r="T220" s="242" t="str">
        <f t="shared" si="44"/>
        <v/>
      </c>
      <c r="U220" s="242" t="str">
        <f t="shared" si="45"/>
        <v/>
      </c>
      <c r="V220" s="242" t="str">
        <f t="shared" si="46"/>
        <v/>
      </c>
      <c r="W220" s="242" t="str">
        <f t="shared" si="47"/>
        <v/>
      </c>
    </row>
    <row r="221" spans="1:23" x14ac:dyDescent="0.2">
      <c r="A221" s="283"/>
      <c r="B221" s="283"/>
      <c r="C221" s="283"/>
      <c r="D221" s="283"/>
      <c r="E221" s="283"/>
      <c r="F221" s="283"/>
      <c r="G221" s="283"/>
      <c r="K221" s="242">
        <v>220</v>
      </c>
      <c r="L221" s="242" t="str">
        <f t="shared" si="36"/>
        <v/>
      </c>
      <c r="M221" s="242" t="str">
        <f t="shared" si="37"/>
        <v/>
      </c>
      <c r="N221" s="242" t="str">
        <f t="shared" si="38"/>
        <v/>
      </c>
      <c r="O221" s="242" t="str">
        <f t="shared" si="39"/>
        <v/>
      </c>
      <c r="P221" s="242" t="str">
        <f t="shared" si="40"/>
        <v/>
      </c>
      <c r="Q221" s="242" t="str">
        <f t="shared" si="41"/>
        <v/>
      </c>
      <c r="R221" s="242" t="str">
        <f t="shared" si="42"/>
        <v/>
      </c>
      <c r="S221" s="242" t="str">
        <f t="shared" si="43"/>
        <v/>
      </c>
      <c r="T221" s="242" t="str">
        <f t="shared" si="44"/>
        <v/>
      </c>
      <c r="U221" s="242" t="str">
        <f t="shared" si="45"/>
        <v/>
      </c>
      <c r="V221" s="242" t="str">
        <f t="shared" si="46"/>
        <v/>
      </c>
      <c r="W221" s="242" t="str">
        <f t="shared" si="47"/>
        <v/>
      </c>
    </row>
    <row r="222" spans="1:23" x14ac:dyDescent="0.2">
      <c r="A222" s="283"/>
      <c r="B222" s="283"/>
      <c r="C222" s="283"/>
      <c r="D222" s="283"/>
      <c r="E222" s="283"/>
      <c r="F222" s="283"/>
      <c r="G222" s="283"/>
      <c r="K222" s="242">
        <v>221</v>
      </c>
      <c r="L222" s="242" t="str">
        <f t="shared" si="36"/>
        <v/>
      </c>
      <c r="M222" s="242" t="str">
        <f t="shared" si="37"/>
        <v/>
      </c>
      <c r="N222" s="242" t="str">
        <f t="shared" si="38"/>
        <v/>
      </c>
      <c r="O222" s="242" t="str">
        <f t="shared" si="39"/>
        <v/>
      </c>
      <c r="P222" s="242" t="str">
        <f t="shared" si="40"/>
        <v/>
      </c>
      <c r="Q222" s="242" t="str">
        <f t="shared" si="41"/>
        <v/>
      </c>
      <c r="R222" s="242" t="str">
        <f t="shared" si="42"/>
        <v/>
      </c>
      <c r="S222" s="242" t="str">
        <f t="shared" si="43"/>
        <v/>
      </c>
      <c r="T222" s="242" t="str">
        <f t="shared" si="44"/>
        <v/>
      </c>
      <c r="U222" s="242" t="str">
        <f t="shared" si="45"/>
        <v/>
      </c>
      <c r="V222" s="242" t="str">
        <f t="shared" si="46"/>
        <v/>
      </c>
      <c r="W222" s="242" t="str">
        <f t="shared" si="47"/>
        <v/>
      </c>
    </row>
    <row r="223" spans="1:23" x14ac:dyDescent="0.2">
      <c r="A223" s="283"/>
      <c r="B223" s="283"/>
      <c r="C223" s="283"/>
      <c r="D223" s="283"/>
      <c r="E223" s="283"/>
      <c r="F223" s="283"/>
      <c r="G223" s="283"/>
      <c r="K223" s="242">
        <v>222</v>
      </c>
      <c r="L223" s="242" t="str">
        <f t="shared" si="36"/>
        <v/>
      </c>
      <c r="M223" s="242" t="str">
        <f t="shared" si="37"/>
        <v/>
      </c>
      <c r="N223" s="242" t="str">
        <f t="shared" si="38"/>
        <v/>
      </c>
      <c r="O223" s="242" t="str">
        <f t="shared" si="39"/>
        <v/>
      </c>
      <c r="P223" s="242" t="str">
        <f t="shared" si="40"/>
        <v/>
      </c>
      <c r="Q223" s="242" t="str">
        <f t="shared" si="41"/>
        <v/>
      </c>
      <c r="R223" s="242" t="str">
        <f t="shared" si="42"/>
        <v/>
      </c>
      <c r="S223" s="242" t="str">
        <f t="shared" si="43"/>
        <v/>
      </c>
      <c r="T223" s="242" t="str">
        <f t="shared" si="44"/>
        <v/>
      </c>
      <c r="U223" s="242" t="str">
        <f t="shared" si="45"/>
        <v/>
      </c>
      <c r="V223" s="242" t="str">
        <f t="shared" si="46"/>
        <v/>
      </c>
      <c r="W223" s="242" t="str">
        <f t="shared" si="47"/>
        <v/>
      </c>
    </row>
    <row r="224" spans="1:23" x14ac:dyDescent="0.2">
      <c r="A224" s="283"/>
      <c r="B224" s="283"/>
      <c r="C224" s="283"/>
      <c r="D224" s="283"/>
      <c r="E224" s="283"/>
      <c r="F224" s="283"/>
      <c r="G224" s="283"/>
      <c r="K224" s="242">
        <v>223</v>
      </c>
      <c r="L224" s="242" t="str">
        <f t="shared" si="36"/>
        <v/>
      </c>
      <c r="M224" s="242" t="str">
        <f t="shared" si="37"/>
        <v/>
      </c>
      <c r="N224" s="242" t="str">
        <f t="shared" si="38"/>
        <v/>
      </c>
      <c r="O224" s="242" t="str">
        <f t="shared" si="39"/>
        <v/>
      </c>
      <c r="P224" s="242" t="str">
        <f t="shared" si="40"/>
        <v/>
      </c>
      <c r="Q224" s="242" t="str">
        <f t="shared" si="41"/>
        <v/>
      </c>
      <c r="R224" s="242" t="str">
        <f t="shared" si="42"/>
        <v/>
      </c>
      <c r="S224" s="242" t="str">
        <f t="shared" si="43"/>
        <v/>
      </c>
      <c r="T224" s="242" t="str">
        <f t="shared" si="44"/>
        <v/>
      </c>
      <c r="U224" s="242" t="str">
        <f t="shared" si="45"/>
        <v/>
      </c>
      <c r="V224" s="242" t="str">
        <f t="shared" si="46"/>
        <v/>
      </c>
      <c r="W224" s="242" t="str">
        <f t="shared" si="47"/>
        <v/>
      </c>
    </row>
    <row r="225" spans="1:23" x14ac:dyDescent="0.2">
      <c r="A225" s="283"/>
      <c r="B225" s="283"/>
      <c r="C225" s="283"/>
      <c r="D225" s="283"/>
      <c r="E225" s="283"/>
      <c r="F225" s="283"/>
      <c r="G225" s="283"/>
      <c r="K225" s="242">
        <v>224</v>
      </c>
      <c r="L225" s="242" t="str">
        <f t="shared" si="36"/>
        <v/>
      </c>
      <c r="M225" s="242" t="str">
        <f t="shared" si="37"/>
        <v/>
      </c>
      <c r="N225" s="242" t="str">
        <f t="shared" si="38"/>
        <v/>
      </c>
      <c r="O225" s="242" t="str">
        <f t="shared" si="39"/>
        <v/>
      </c>
      <c r="P225" s="242" t="str">
        <f t="shared" si="40"/>
        <v/>
      </c>
      <c r="Q225" s="242" t="str">
        <f t="shared" si="41"/>
        <v/>
      </c>
      <c r="R225" s="242" t="str">
        <f t="shared" si="42"/>
        <v/>
      </c>
      <c r="S225" s="242" t="str">
        <f t="shared" si="43"/>
        <v/>
      </c>
      <c r="T225" s="242" t="str">
        <f t="shared" si="44"/>
        <v/>
      </c>
      <c r="U225" s="242" t="str">
        <f t="shared" si="45"/>
        <v/>
      </c>
      <c r="V225" s="242" t="str">
        <f t="shared" si="46"/>
        <v/>
      </c>
      <c r="W225" s="242" t="str">
        <f t="shared" si="47"/>
        <v/>
      </c>
    </row>
    <row r="226" spans="1:23" x14ac:dyDescent="0.2">
      <c r="A226" s="283"/>
      <c r="B226" s="283"/>
      <c r="C226" s="283"/>
      <c r="D226" s="283"/>
      <c r="E226" s="283"/>
      <c r="F226" s="283"/>
      <c r="G226" s="283"/>
      <c r="K226" s="242">
        <v>225</v>
      </c>
      <c r="L226" s="242" t="str">
        <f t="shared" si="36"/>
        <v/>
      </c>
      <c r="M226" s="242" t="str">
        <f t="shared" si="37"/>
        <v/>
      </c>
      <c r="N226" s="242" t="str">
        <f t="shared" si="38"/>
        <v/>
      </c>
      <c r="O226" s="242" t="str">
        <f t="shared" si="39"/>
        <v/>
      </c>
      <c r="P226" s="242" t="str">
        <f t="shared" si="40"/>
        <v/>
      </c>
      <c r="Q226" s="242" t="str">
        <f t="shared" si="41"/>
        <v/>
      </c>
      <c r="R226" s="242" t="str">
        <f t="shared" si="42"/>
        <v/>
      </c>
      <c r="S226" s="242" t="str">
        <f t="shared" si="43"/>
        <v/>
      </c>
      <c r="T226" s="242" t="str">
        <f t="shared" si="44"/>
        <v/>
      </c>
      <c r="U226" s="242" t="str">
        <f t="shared" si="45"/>
        <v/>
      </c>
      <c r="V226" s="242" t="str">
        <f t="shared" si="46"/>
        <v/>
      </c>
      <c r="W226" s="242" t="str">
        <f t="shared" si="47"/>
        <v/>
      </c>
    </row>
    <row r="227" spans="1:23" x14ac:dyDescent="0.2">
      <c r="A227" s="283"/>
      <c r="B227" s="283"/>
      <c r="C227" s="283"/>
      <c r="D227" s="283"/>
      <c r="E227" s="283"/>
      <c r="F227" s="283"/>
      <c r="G227" s="283"/>
      <c r="K227" s="242">
        <v>226</v>
      </c>
      <c r="L227" s="242" t="str">
        <f t="shared" si="36"/>
        <v/>
      </c>
      <c r="M227" s="242" t="str">
        <f t="shared" si="37"/>
        <v/>
      </c>
      <c r="N227" s="242" t="str">
        <f t="shared" si="38"/>
        <v/>
      </c>
      <c r="O227" s="242" t="str">
        <f t="shared" si="39"/>
        <v/>
      </c>
      <c r="P227" s="242" t="str">
        <f t="shared" si="40"/>
        <v/>
      </c>
      <c r="Q227" s="242" t="str">
        <f t="shared" si="41"/>
        <v/>
      </c>
      <c r="R227" s="242" t="str">
        <f t="shared" si="42"/>
        <v/>
      </c>
      <c r="S227" s="242" t="str">
        <f t="shared" si="43"/>
        <v/>
      </c>
      <c r="T227" s="242" t="str">
        <f t="shared" si="44"/>
        <v/>
      </c>
      <c r="U227" s="242" t="str">
        <f t="shared" si="45"/>
        <v/>
      </c>
      <c r="V227" s="242" t="str">
        <f t="shared" si="46"/>
        <v/>
      </c>
      <c r="W227" s="242" t="str">
        <f t="shared" si="47"/>
        <v/>
      </c>
    </row>
    <row r="228" spans="1:23" x14ac:dyDescent="0.2">
      <c r="A228" s="283"/>
      <c r="B228" s="283"/>
      <c r="C228" s="283"/>
      <c r="D228" s="283"/>
      <c r="E228" s="283"/>
      <c r="F228" s="283"/>
      <c r="G228" s="283"/>
      <c r="K228" s="242">
        <v>227</v>
      </c>
      <c r="L228" s="242" t="str">
        <f t="shared" si="36"/>
        <v/>
      </c>
      <c r="M228" s="242" t="str">
        <f t="shared" si="37"/>
        <v/>
      </c>
      <c r="N228" s="242" t="str">
        <f t="shared" si="38"/>
        <v/>
      </c>
      <c r="O228" s="242" t="str">
        <f t="shared" si="39"/>
        <v/>
      </c>
      <c r="P228" s="242" t="str">
        <f t="shared" si="40"/>
        <v/>
      </c>
      <c r="Q228" s="242" t="str">
        <f t="shared" si="41"/>
        <v/>
      </c>
      <c r="R228" s="242" t="str">
        <f t="shared" si="42"/>
        <v/>
      </c>
      <c r="S228" s="242" t="str">
        <f t="shared" si="43"/>
        <v/>
      </c>
      <c r="T228" s="242" t="str">
        <f t="shared" si="44"/>
        <v/>
      </c>
      <c r="U228" s="242" t="str">
        <f t="shared" si="45"/>
        <v/>
      </c>
      <c r="V228" s="242" t="str">
        <f t="shared" si="46"/>
        <v/>
      </c>
      <c r="W228" s="242" t="str">
        <f t="shared" si="47"/>
        <v/>
      </c>
    </row>
    <row r="229" spans="1:23" x14ac:dyDescent="0.2">
      <c r="A229" s="283"/>
      <c r="B229" s="283"/>
      <c r="C229" s="283"/>
      <c r="D229" s="283"/>
      <c r="E229" s="283"/>
      <c r="F229" s="283"/>
      <c r="G229" s="283"/>
      <c r="K229" s="242">
        <v>228</v>
      </c>
      <c r="L229" s="242" t="str">
        <f t="shared" si="36"/>
        <v/>
      </c>
      <c r="M229" s="242" t="str">
        <f t="shared" si="37"/>
        <v/>
      </c>
      <c r="N229" s="242" t="str">
        <f t="shared" si="38"/>
        <v/>
      </c>
      <c r="O229" s="242" t="str">
        <f t="shared" si="39"/>
        <v/>
      </c>
      <c r="P229" s="242" t="str">
        <f t="shared" si="40"/>
        <v/>
      </c>
      <c r="Q229" s="242" t="str">
        <f t="shared" si="41"/>
        <v/>
      </c>
      <c r="R229" s="242" t="str">
        <f t="shared" si="42"/>
        <v/>
      </c>
      <c r="S229" s="242" t="str">
        <f t="shared" si="43"/>
        <v/>
      </c>
      <c r="T229" s="242" t="str">
        <f t="shared" si="44"/>
        <v/>
      </c>
      <c r="U229" s="242" t="str">
        <f t="shared" si="45"/>
        <v/>
      </c>
      <c r="V229" s="242" t="str">
        <f t="shared" si="46"/>
        <v/>
      </c>
      <c r="W229" s="242" t="str">
        <f t="shared" si="47"/>
        <v/>
      </c>
    </row>
    <row r="230" spans="1:23" x14ac:dyDescent="0.2">
      <c r="A230" s="283"/>
      <c r="B230" s="283"/>
      <c r="C230" s="283"/>
      <c r="D230" s="283"/>
      <c r="E230" s="283"/>
      <c r="F230" s="283"/>
      <c r="G230" s="283"/>
      <c r="K230" s="242">
        <v>229</v>
      </c>
      <c r="L230" s="242" t="str">
        <f t="shared" si="36"/>
        <v/>
      </c>
      <c r="M230" s="242" t="str">
        <f t="shared" si="37"/>
        <v/>
      </c>
      <c r="N230" s="242" t="str">
        <f t="shared" si="38"/>
        <v/>
      </c>
      <c r="O230" s="242" t="str">
        <f t="shared" si="39"/>
        <v/>
      </c>
      <c r="P230" s="242" t="str">
        <f t="shared" si="40"/>
        <v/>
      </c>
      <c r="Q230" s="242" t="str">
        <f t="shared" si="41"/>
        <v/>
      </c>
      <c r="R230" s="242" t="str">
        <f t="shared" si="42"/>
        <v/>
      </c>
      <c r="S230" s="242" t="str">
        <f t="shared" si="43"/>
        <v/>
      </c>
      <c r="T230" s="242" t="str">
        <f t="shared" si="44"/>
        <v/>
      </c>
      <c r="U230" s="242" t="str">
        <f t="shared" si="45"/>
        <v/>
      </c>
      <c r="V230" s="242" t="str">
        <f t="shared" si="46"/>
        <v/>
      </c>
      <c r="W230" s="242" t="str">
        <f t="shared" si="47"/>
        <v/>
      </c>
    </row>
    <row r="231" spans="1:23" x14ac:dyDescent="0.2">
      <c r="A231" s="283"/>
      <c r="B231" s="283"/>
      <c r="C231" s="283"/>
      <c r="D231" s="283"/>
      <c r="E231" s="283"/>
      <c r="F231" s="283"/>
      <c r="G231" s="283"/>
      <c r="K231" s="242">
        <v>230</v>
      </c>
      <c r="L231" s="242" t="str">
        <f t="shared" si="36"/>
        <v/>
      </c>
      <c r="M231" s="242" t="str">
        <f t="shared" si="37"/>
        <v/>
      </c>
      <c r="N231" s="242" t="str">
        <f t="shared" si="38"/>
        <v/>
      </c>
      <c r="O231" s="242" t="str">
        <f t="shared" si="39"/>
        <v/>
      </c>
      <c r="P231" s="242" t="str">
        <f t="shared" si="40"/>
        <v/>
      </c>
      <c r="Q231" s="242" t="str">
        <f t="shared" si="41"/>
        <v/>
      </c>
      <c r="R231" s="242" t="str">
        <f t="shared" si="42"/>
        <v/>
      </c>
      <c r="S231" s="242" t="str">
        <f t="shared" si="43"/>
        <v/>
      </c>
      <c r="T231" s="242" t="str">
        <f t="shared" si="44"/>
        <v/>
      </c>
      <c r="U231" s="242" t="str">
        <f t="shared" si="45"/>
        <v/>
      </c>
      <c r="V231" s="242" t="str">
        <f t="shared" si="46"/>
        <v/>
      </c>
      <c r="W231" s="242" t="str">
        <f t="shared" si="47"/>
        <v/>
      </c>
    </row>
    <row r="232" spans="1:23" x14ac:dyDescent="0.2">
      <c r="A232" s="283"/>
      <c r="B232" s="283"/>
      <c r="C232" s="283"/>
      <c r="D232" s="283"/>
      <c r="E232" s="283"/>
      <c r="F232" s="283"/>
      <c r="G232" s="283"/>
      <c r="K232" s="242">
        <v>231</v>
      </c>
      <c r="L232" s="242" t="str">
        <f t="shared" si="36"/>
        <v/>
      </c>
      <c r="M232" s="242" t="str">
        <f t="shared" si="37"/>
        <v/>
      </c>
      <c r="N232" s="242" t="str">
        <f t="shared" si="38"/>
        <v/>
      </c>
      <c r="O232" s="242" t="str">
        <f t="shared" si="39"/>
        <v/>
      </c>
      <c r="P232" s="242" t="str">
        <f t="shared" si="40"/>
        <v/>
      </c>
      <c r="Q232" s="242" t="str">
        <f t="shared" si="41"/>
        <v/>
      </c>
      <c r="R232" s="242" t="str">
        <f t="shared" si="42"/>
        <v/>
      </c>
      <c r="S232" s="242" t="str">
        <f t="shared" si="43"/>
        <v/>
      </c>
      <c r="T232" s="242" t="str">
        <f t="shared" si="44"/>
        <v/>
      </c>
      <c r="U232" s="242" t="str">
        <f t="shared" si="45"/>
        <v/>
      </c>
      <c r="V232" s="242" t="str">
        <f t="shared" si="46"/>
        <v/>
      </c>
      <c r="W232" s="242" t="str">
        <f t="shared" si="47"/>
        <v/>
      </c>
    </row>
    <row r="233" spans="1:23" x14ac:dyDescent="0.2">
      <c r="A233" s="283"/>
      <c r="B233" s="283"/>
      <c r="C233" s="283"/>
      <c r="D233" s="283"/>
      <c r="E233" s="283"/>
      <c r="F233" s="283"/>
      <c r="G233" s="283"/>
      <c r="K233" s="242">
        <v>232</v>
      </c>
      <c r="L233" s="242" t="str">
        <f t="shared" si="36"/>
        <v/>
      </c>
      <c r="M233" s="242" t="str">
        <f t="shared" si="37"/>
        <v/>
      </c>
      <c r="N233" s="242" t="str">
        <f t="shared" si="38"/>
        <v/>
      </c>
      <c r="O233" s="242" t="str">
        <f t="shared" si="39"/>
        <v/>
      </c>
      <c r="P233" s="242" t="str">
        <f t="shared" si="40"/>
        <v/>
      </c>
      <c r="Q233" s="242" t="str">
        <f t="shared" si="41"/>
        <v/>
      </c>
      <c r="R233" s="242" t="str">
        <f t="shared" si="42"/>
        <v/>
      </c>
      <c r="S233" s="242" t="str">
        <f t="shared" si="43"/>
        <v/>
      </c>
      <c r="T233" s="242" t="str">
        <f t="shared" si="44"/>
        <v/>
      </c>
      <c r="U233" s="242" t="str">
        <f t="shared" si="45"/>
        <v/>
      </c>
      <c r="V233" s="242" t="str">
        <f t="shared" si="46"/>
        <v/>
      </c>
      <c r="W233" s="242" t="str">
        <f t="shared" si="47"/>
        <v/>
      </c>
    </row>
    <row r="234" spans="1:23" x14ac:dyDescent="0.2">
      <c r="A234" s="283"/>
      <c r="B234" s="283"/>
      <c r="C234" s="283"/>
      <c r="D234" s="283"/>
      <c r="E234" s="283"/>
      <c r="F234" s="283"/>
      <c r="G234" s="283"/>
      <c r="K234" s="242">
        <v>233</v>
      </c>
      <c r="L234" s="242" t="str">
        <f t="shared" si="36"/>
        <v/>
      </c>
      <c r="M234" s="242" t="str">
        <f t="shared" si="37"/>
        <v/>
      </c>
      <c r="N234" s="242" t="str">
        <f t="shared" si="38"/>
        <v/>
      </c>
      <c r="O234" s="242" t="str">
        <f t="shared" si="39"/>
        <v/>
      </c>
      <c r="P234" s="242" t="str">
        <f t="shared" si="40"/>
        <v/>
      </c>
      <c r="Q234" s="242" t="str">
        <f t="shared" si="41"/>
        <v/>
      </c>
      <c r="R234" s="242" t="str">
        <f t="shared" si="42"/>
        <v/>
      </c>
      <c r="S234" s="242" t="str">
        <f t="shared" si="43"/>
        <v/>
      </c>
      <c r="T234" s="242" t="str">
        <f t="shared" si="44"/>
        <v/>
      </c>
      <c r="U234" s="242" t="str">
        <f t="shared" si="45"/>
        <v/>
      </c>
      <c r="V234" s="242" t="str">
        <f t="shared" si="46"/>
        <v/>
      </c>
      <c r="W234" s="242" t="str">
        <f t="shared" si="47"/>
        <v/>
      </c>
    </row>
    <row r="235" spans="1:23" x14ac:dyDescent="0.2">
      <c r="A235" s="283"/>
      <c r="B235" s="283"/>
      <c r="C235" s="283"/>
      <c r="D235" s="283"/>
      <c r="E235" s="283"/>
      <c r="F235" s="283"/>
      <c r="G235" s="283"/>
      <c r="K235" s="242">
        <v>234</v>
      </c>
      <c r="L235" s="242" t="str">
        <f t="shared" si="36"/>
        <v/>
      </c>
      <c r="M235" s="242" t="str">
        <f t="shared" si="37"/>
        <v/>
      </c>
      <c r="N235" s="242" t="str">
        <f t="shared" si="38"/>
        <v/>
      </c>
      <c r="O235" s="242" t="str">
        <f t="shared" si="39"/>
        <v/>
      </c>
      <c r="P235" s="242" t="str">
        <f t="shared" si="40"/>
        <v/>
      </c>
      <c r="Q235" s="242" t="str">
        <f t="shared" si="41"/>
        <v/>
      </c>
      <c r="R235" s="242" t="str">
        <f t="shared" si="42"/>
        <v/>
      </c>
      <c r="S235" s="242" t="str">
        <f t="shared" si="43"/>
        <v/>
      </c>
      <c r="T235" s="242" t="str">
        <f t="shared" si="44"/>
        <v/>
      </c>
      <c r="U235" s="242" t="str">
        <f t="shared" si="45"/>
        <v/>
      </c>
      <c r="V235" s="242" t="str">
        <f t="shared" si="46"/>
        <v/>
      </c>
      <c r="W235" s="242" t="str">
        <f t="shared" si="47"/>
        <v/>
      </c>
    </row>
    <row r="236" spans="1:23" x14ac:dyDescent="0.2">
      <c r="A236" s="283"/>
      <c r="B236" s="283"/>
      <c r="C236" s="283"/>
      <c r="D236" s="283"/>
      <c r="E236" s="283"/>
      <c r="F236" s="283"/>
      <c r="G236" s="283"/>
      <c r="K236" s="242">
        <v>235</v>
      </c>
      <c r="L236" s="242" t="str">
        <f t="shared" si="36"/>
        <v/>
      </c>
      <c r="M236" s="242" t="str">
        <f t="shared" si="37"/>
        <v/>
      </c>
      <c r="N236" s="242" t="str">
        <f t="shared" si="38"/>
        <v/>
      </c>
      <c r="O236" s="242" t="str">
        <f t="shared" si="39"/>
        <v/>
      </c>
      <c r="P236" s="242" t="str">
        <f t="shared" si="40"/>
        <v/>
      </c>
      <c r="Q236" s="242" t="str">
        <f t="shared" si="41"/>
        <v/>
      </c>
      <c r="R236" s="242" t="str">
        <f t="shared" si="42"/>
        <v/>
      </c>
      <c r="S236" s="242" t="str">
        <f t="shared" si="43"/>
        <v/>
      </c>
      <c r="T236" s="242" t="str">
        <f t="shared" si="44"/>
        <v/>
      </c>
      <c r="U236" s="242" t="str">
        <f t="shared" si="45"/>
        <v/>
      </c>
      <c r="V236" s="242" t="str">
        <f t="shared" si="46"/>
        <v/>
      </c>
      <c r="W236" s="242" t="str">
        <f t="shared" si="47"/>
        <v/>
      </c>
    </row>
    <row r="237" spans="1:23" x14ac:dyDescent="0.2">
      <c r="A237" s="283"/>
      <c r="B237" s="283"/>
      <c r="C237" s="283"/>
      <c r="D237" s="283"/>
      <c r="E237" s="283"/>
      <c r="F237" s="283"/>
      <c r="G237" s="283"/>
      <c r="K237" s="242">
        <v>236</v>
      </c>
      <c r="L237" s="242" t="str">
        <f t="shared" si="36"/>
        <v/>
      </c>
      <c r="M237" s="242" t="str">
        <f t="shared" si="37"/>
        <v/>
      </c>
      <c r="N237" s="242" t="str">
        <f t="shared" si="38"/>
        <v/>
      </c>
      <c r="O237" s="242" t="str">
        <f t="shared" si="39"/>
        <v/>
      </c>
      <c r="P237" s="242" t="str">
        <f t="shared" si="40"/>
        <v/>
      </c>
      <c r="Q237" s="242" t="str">
        <f t="shared" si="41"/>
        <v/>
      </c>
      <c r="R237" s="242" t="str">
        <f t="shared" si="42"/>
        <v/>
      </c>
      <c r="S237" s="242" t="str">
        <f t="shared" si="43"/>
        <v/>
      </c>
      <c r="T237" s="242" t="str">
        <f t="shared" si="44"/>
        <v/>
      </c>
      <c r="U237" s="242" t="str">
        <f t="shared" si="45"/>
        <v/>
      </c>
      <c r="V237" s="242" t="str">
        <f t="shared" si="46"/>
        <v/>
      </c>
      <c r="W237" s="242" t="str">
        <f t="shared" si="47"/>
        <v/>
      </c>
    </row>
    <row r="238" spans="1:23" x14ac:dyDescent="0.2">
      <c r="A238" s="283"/>
      <c r="B238" s="283"/>
      <c r="C238" s="283"/>
      <c r="D238" s="283"/>
      <c r="E238" s="283"/>
      <c r="F238" s="283"/>
      <c r="G238" s="283"/>
      <c r="K238" s="242">
        <v>237</v>
      </c>
      <c r="L238" s="242" t="str">
        <f t="shared" si="36"/>
        <v/>
      </c>
      <c r="M238" s="242" t="str">
        <f t="shared" si="37"/>
        <v/>
      </c>
      <c r="N238" s="242" t="str">
        <f t="shared" si="38"/>
        <v/>
      </c>
      <c r="O238" s="242" t="str">
        <f t="shared" si="39"/>
        <v/>
      </c>
      <c r="P238" s="242" t="str">
        <f t="shared" si="40"/>
        <v/>
      </c>
      <c r="Q238" s="242" t="str">
        <f t="shared" si="41"/>
        <v/>
      </c>
      <c r="R238" s="242" t="str">
        <f t="shared" si="42"/>
        <v/>
      </c>
      <c r="S238" s="242" t="str">
        <f t="shared" si="43"/>
        <v/>
      </c>
      <c r="T238" s="242" t="str">
        <f t="shared" si="44"/>
        <v/>
      </c>
      <c r="U238" s="242" t="str">
        <f t="shared" si="45"/>
        <v/>
      </c>
      <c r="V238" s="242" t="str">
        <f t="shared" si="46"/>
        <v/>
      </c>
      <c r="W238" s="242" t="str">
        <f t="shared" si="47"/>
        <v/>
      </c>
    </row>
    <row r="239" spans="1:23" x14ac:dyDescent="0.2">
      <c r="A239" s="283"/>
      <c r="B239" s="283"/>
      <c r="C239" s="283"/>
      <c r="D239" s="283"/>
      <c r="E239" s="283"/>
      <c r="F239" s="283"/>
      <c r="G239" s="283"/>
      <c r="K239" s="242">
        <v>238</v>
      </c>
      <c r="L239" s="242" t="str">
        <f t="shared" si="36"/>
        <v/>
      </c>
      <c r="M239" s="242" t="str">
        <f t="shared" si="37"/>
        <v/>
      </c>
      <c r="N239" s="242" t="str">
        <f t="shared" si="38"/>
        <v/>
      </c>
      <c r="O239" s="242" t="str">
        <f t="shared" si="39"/>
        <v/>
      </c>
      <c r="P239" s="242" t="str">
        <f t="shared" si="40"/>
        <v/>
      </c>
      <c r="Q239" s="242" t="str">
        <f t="shared" si="41"/>
        <v/>
      </c>
      <c r="R239" s="242" t="str">
        <f t="shared" si="42"/>
        <v/>
      </c>
      <c r="S239" s="242" t="str">
        <f t="shared" si="43"/>
        <v/>
      </c>
      <c r="T239" s="242" t="str">
        <f t="shared" si="44"/>
        <v/>
      </c>
      <c r="U239" s="242" t="str">
        <f t="shared" si="45"/>
        <v/>
      </c>
      <c r="V239" s="242" t="str">
        <f t="shared" si="46"/>
        <v/>
      </c>
      <c r="W239" s="242" t="str">
        <f t="shared" si="47"/>
        <v/>
      </c>
    </row>
    <row r="240" spans="1:23" x14ac:dyDescent="0.2">
      <c r="A240" s="283"/>
      <c r="B240" s="283"/>
      <c r="C240" s="283"/>
      <c r="D240" s="283"/>
      <c r="E240" s="283"/>
      <c r="F240" s="283"/>
      <c r="G240" s="283"/>
      <c r="K240" s="242">
        <v>239</v>
      </c>
      <c r="L240" s="242" t="str">
        <f t="shared" si="36"/>
        <v/>
      </c>
      <c r="M240" s="242" t="str">
        <f t="shared" si="37"/>
        <v/>
      </c>
      <c r="N240" s="242" t="str">
        <f t="shared" si="38"/>
        <v/>
      </c>
      <c r="O240" s="242" t="str">
        <f t="shared" si="39"/>
        <v/>
      </c>
      <c r="P240" s="242" t="str">
        <f t="shared" si="40"/>
        <v/>
      </c>
      <c r="Q240" s="242" t="str">
        <f t="shared" si="41"/>
        <v/>
      </c>
      <c r="R240" s="242" t="str">
        <f t="shared" si="42"/>
        <v/>
      </c>
      <c r="S240" s="242" t="str">
        <f t="shared" si="43"/>
        <v/>
      </c>
      <c r="T240" s="242" t="str">
        <f t="shared" si="44"/>
        <v/>
      </c>
      <c r="U240" s="242" t="str">
        <f t="shared" si="45"/>
        <v/>
      </c>
      <c r="V240" s="242" t="str">
        <f t="shared" si="46"/>
        <v/>
      </c>
      <c r="W240" s="242" t="str">
        <f t="shared" si="47"/>
        <v/>
      </c>
    </row>
    <row r="241" spans="1:23" x14ac:dyDescent="0.2">
      <c r="A241" s="283"/>
      <c r="B241" s="283"/>
      <c r="C241" s="283"/>
      <c r="D241" s="283"/>
      <c r="E241" s="283"/>
      <c r="F241" s="283"/>
      <c r="G241" s="283"/>
      <c r="K241" s="242">
        <v>240</v>
      </c>
      <c r="L241" s="242" t="str">
        <f t="shared" si="36"/>
        <v/>
      </c>
      <c r="M241" s="242" t="str">
        <f t="shared" si="37"/>
        <v/>
      </c>
      <c r="N241" s="242" t="str">
        <f t="shared" si="38"/>
        <v/>
      </c>
      <c r="O241" s="242" t="str">
        <f t="shared" si="39"/>
        <v/>
      </c>
      <c r="P241" s="242" t="str">
        <f t="shared" si="40"/>
        <v/>
      </c>
      <c r="Q241" s="242" t="str">
        <f t="shared" si="41"/>
        <v/>
      </c>
      <c r="R241" s="242" t="str">
        <f t="shared" si="42"/>
        <v/>
      </c>
      <c r="S241" s="242" t="str">
        <f t="shared" si="43"/>
        <v/>
      </c>
      <c r="T241" s="242" t="str">
        <f t="shared" si="44"/>
        <v/>
      </c>
      <c r="U241" s="242" t="str">
        <f t="shared" si="45"/>
        <v/>
      </c>
      <c r="V241" s="242" t="str">
        <f t="shared" si="46"/>
        <v/>
      </c>
      <c r="W241" s="242" t="str">
        <f t="shared" si="47"/>
        <v/>
      </c>
    </row>
    <row r="242" spans="1:23" x14ac:dyDescent="0.2">
      <c r="A242" s="283"/>
      <c r="B242" s="283"/>
      <c r="C242" s="283"/>
      <c r="D242" s="283"/>
      <c r="E242" s="283"/>
      <c r="F242" s="283"/>
      <c r="G242" s="283"/>
      <c r="K242" s="242">
        <v>241</v>
      </c>
      <c r="L242" s="242" t="str">
        <f t="shared" si="36"/>
        <v/>
      </c>
      <c r="M242" s="242" t="str">
        <f t="shared" si="37"/>
        <v/>
      </c>
      <c r="N242" s="242" t="str">
        <f t="shared" si="38"/>
        <v/>
      </c>
      <c r="O242" s="242" t="str">
        <f t="shared" si="39"/>
        <v/>
      </c>
      <c r="P242" s="242" t="str">
        <f t="shared" si="40"/>
        <v/>
      </c>
      <c r="Q242" s="242" t="str">
        <f t="shared" si="41"/>
        <v/>
      </c>
      <c r="R242" s="242" t="str">
        <f t="shared" si="42"/>
        <v/>
      </c>
      <c r="S242" s="242" t="str">
        <f t="shared" si="43"/>
        <v/>
      </c>
      <c r="T242" s="242" t="str">
        <f t="shared" si="44"/>
        <v/>
      </c>
      <c r="U242" s="242" t="str">
        <f t="shared" si="45"/>
        <v/>
      </c>
      <c r="V242" s="242" t="str">
        <f t="shared" si="46"/>
        <v/>
      </c>
      <c r="W242" s="242" t="str">
        <f t="shared" si="47"/>
        <v/>
      </c>
    </row>
    <row r="243" spans="1:23" x14ac:dyDescent="0.2">
      <c r="A243" s="283"/>
      <c r="B243" s="283"/>
      <c r="C243" s="283"/>
      <c r="D243" s="283"/>
      <c r="E243" s="283"/>
      <c r="F243" s="283"/>
      <c r="G243" s="283"/>
      <c r="K243" s="242">
        <v>242</v>
      </c>
      <c r="L243" s="242" t="str">
        <f t="shared" si="36"/>
        <v/>
      </c>
      <c r="M243" s="242" t="str">
        <f t="shared" si="37"/>
        <v/>
      </c>
      <c r="N243" s="242" t="str">
        <f t="shared" si="38"/>
        <v/>
      </c>
      <c r="O243" s="242" t="str">
        <f t="shared" si="39"/>
        <v/>
      </c>
      <c r="P243" s="242" t="str">
        <f t="shared" si="40"/>
        <v/>
      </c>
      <c r="Q243" s="242" t="str">
        <f t="shared" si="41"/>
        <v/>
      </c>
      <c r="R243" s="242" t="str">
        <f t="shared" si="42"/>
        <v/>
      </c>
      <c r="S243" s="242" t="str">
        <f t="shared" si="43"/>
        <v/>
      </c>
      <c r="T243" s="242" t="str">
        <f t="shared" si="44"/>
        <v/>
      </c>
      <c r="U243" s="242" t="str">
        <f t="shared" si="45"/>
        <v/>
      </c>
      <c r="V243" s="242" t="str">
        <f t="shared" si="46"/>
        <v/>
      </c>
      <c r="W243" s="242" t="str">
        <f t="shared" si="47"/>
        <v/>
      </c>
    </row>
    <row r="244" spans="1:23" x14ac:dyDescent="0.2">
      <c r="A244" s="283"/>
      <c r="B244" s="283"/>
      <c r="C244" s="283"/>
      <c r="D244" s="283"/>
      <c r="E244" s="283"/>
      <c r="F244" s="283"/>
      <c r="G244" s="283"/>
      <c r="K244" s="242">
        <v>243</v>
      </c>
      <c r="L244" s="242" t="str">
        <f t="shared" si="36"/>
        <v/>
      </c>
      <c r="M244" s="242" t="str">
        <f t="shared" si="37"/>
        <v/>
      </c>
      <c r="N244" s="242" t="str">
        <f t="shared" si="38"/>
        <v/>
      </c>
      <c r="O244" s="242" t="str">
        <f t="shared" si="39"/>
        <v/>
      </c>
      <c r="P244" s="242" t="str">
        <f t="shared" si="40"/>
        <v/>
      </c>
      <c r="Q244" s="242" t="str">
        <f t="shared" si="41"/>
        <v/>
      </c>
      <c r="R244" s="242" t="str">
        <f t="shared" si="42"/>
        <v/>
      </c>
      <c r="S244" s="242" t="str">
        <f t="shared" si="43"/>
        <v/>
      </c>
      <c r="T244" s="242" t="str">
        <f t="shared" si="44"/>
        <v/>
      </c>
      <c r="U244" s="242" t="str">
        <f t="shared" si="45"/>
        <v/>
      </c>
      <c r="V244" s="242" t="str">
        <f t="shared" si="46"/>
        <v/>
      </c>
      <c r="W244" s="242" t="str">
        <f t="shared" si="47"/>
        <v/>
      </c>
    </row>
    <row r="245" spans="1:23" x14ac:dyDescent="0.2">
      <c r="A245" s="283"/>
      <c r="B245" s="283"/>
      <c r="C245" s="283"/>
      <c r="D245" s="283"/>
      <c r="E245" s="283"/>
      <c r="F245" s="283"/>
      <c r="G245" s="283"/>
      <c r="K245" s="242">
        <v>244</v>
      </c>
      <c r="L245" s="242" t="str">
        <f t="shared" si="36"/>
        <v/>
      </c>
      <c r="M245" s="242" t="str">
        <f t="shared" si="37"/>
        <v/>
      </c>
      <c r="N245" s="242" t="str">
        <f t="shared" si="38"/>
        <v/>
      </c>
      <c r="O245" s="242" t="str">
        <f t="shared" si="39"/>
        <v/>
      </c>
      <c r="P245" s="242" t="str">
        <f t="shared" si="40"/>
        <v/>
      </c>
      <c r="Q245" s="242" t="str">
        <f t="shared" si="41"/>
        <v/>
      </c>
      <c r="R245" s="242" t="str">
        <f t="shared" si="42"/>
        <v/>
      </c>
      <c r="S245" s="242" t="str">
        <f t="shared" si="43"/>
        <v/>
      </c>
      <c r="T245" s="242" t="str">
        <f t="shared" si="44"/>
        <v/>
      </c>
      <c r="U245" s="242" t="str">
        <f t="shared" si="45"/>
        <v/>
      </c>
      <c r="V245" s="242" t="str">
        <f t="shared" si="46"/>
        <v/>
      </c>
      <c r="W245" s="242" t="str">
        <f t="shared" si="47"/>
        <v/>
      </c>
    </row>
    <row r="246" spans="1:23" x14ac:dyDescent="0.2">
      <c r="A246" s="283"/>
      <c r="B246" s="283"/>
      <c r="C246" s="283"/>
      <c r="D246" s="283"/>
      <c r="E246" s="283"/>
      <c r="F246" s="283"/>
      <c r="G246" s="283"/>
      <c r="K246" s="242">
        <v>245</v>
      </c>
      <c r="L246" s="242" t="str">
        <f t="shared" si="36"/>
        <v/>
      </c>
      <c r="M246" s="242" t="str">
        <f t="shared" si="37"/>
        <v/>
      </c>
      <c r="N246" s="242" t="str">
        <f t="shared" si="38"/>
        <v/>
      </c>
      <c r="O246" s="242" t="str">
        <f t="shared" si="39"/>
        <v/>
      </c>
      <c r="P246" s="242" t="str">
        <f t="shared" si="40"/>
        <v/>
      </c>
      <c r="Q246" s="242" t="str">
        <f t="shared" si="41"/>
        <v/>
      </c>
      <c r="R246" s="242" t="str">
        <f t="shared" si="42"/>
        <v/>
      </c>
      <c r="S246" s="242" t="str">
        <f t="shared" si="43"/>
        <v/>
      </c>
      <c r="T246" s="242" t="str">
        <f t="shared" si="44"/>
        <v/>
      </c>
      <c r="U246" s="242" t="str">
        <f t="shared" si="45"/>
        <v/>
      </c>
      <c r="V246" s="242" t="str">
        <f t="shared" si="46"/>
        <v/>
      </c>
      <c r="W246" s="242" t="str">
        <f t="shared" si="47"/>
        <v/>
      </c>
    </row>
    <row r="247" spans="1:23" x14ac:dyDescent="0.2">
      <c r="A247" s="283"/>
      <c r="B247" s="283"/>
      <c r="C247" s="283"/>
      <c r="D247" s="283"/>
      <c r="E247" s="283"/>
      <c r="F247" s="283"/>
      <c r="G247" s="283"/>
      <c r="K247" s="242">
        <v>246</v>
      </c>
      <c r="L247" s="242" t="str">
        <f t="shared" si="36"/>
        <v/>
      </c>
      <c r="M247" s="242" t="str">
        <f t="shared" si="37"/>
        <v/>
      </c>
      <c r="N247" s="242" t="str">
        <f t="shared" si="38"/>
        <v/>
      </c>
      <c r="O247" s="242" t="str">
        <f t="shared" si="39"/>
        <v/>
      </c>
      <c r="P247" s="242" t="str">
        <f t="shared" si="40"/>
        <v/>
      </c>
      <c r="Q247" s="242" t="str">
        <f t="shared" si="41"/>
        <v/>
      </c>
      <c r="R247" s="242" t="str">
        <f t="shared" si="42"/>
        <v/>
      </c>
      <c r="S247" s="242" t="str">
        <f t="shared" si="43"/>
        <v/>
      </c>
      <c r="T247" s="242" t="str">
        <f t="shared" si="44"/>
        <v/>
      </c>
      <c r="U247" s="242" t="str">
        <f t="shared" si="45"/>
        <v/>
      </c>
      <c r="V247" s="242" t="str">
        <f t="shared" si="46"/>
        <v/>
      </c>
      <c r="W247" s="242" t="str">
        <f t="shared" si="47"/>
        <v/>
      </c>
    </row>
    <row r="248" spans="1:23" x14ac:dyDescent="0.2">
      <c r="A248" s="283"/>
      <c r="B248" s="283"/>
      <c r="C248" s="283"/>
      <c r="D248" s="283"/>
      <c r="E248" s="283"/>
      <c r="F248" s="283"/>
      <c r="G248" s="283"/>
      <c r="K248" s="242">
        <v>247</v>
      </c>
      <c r="L248" s="242" t="str">
        <f t="shared" si="36"/>
        <v/>
      </c>
      <c r="M248" s="242" t="str">
        <f t="shared" si="37"/>
        <v/>
      </c>
      <c r="N248" s="242" t="str">
        <f t="shared" si="38"/>
        <v/>
      </c>
      <c r="O248" s="242" t="str">
        <f t="shared" si="39"/>
        <v/>
      </c>
      <c r="P248" s="242" t="str">
        <f t="shared" si="40"/>
        <v/>
      </c>
      <c r="Q248" s="242" t="str">
        <f t="shared" si="41"/>
        <v/>
      </c>
      <c r="R248" s="242" t="str">
        <f t="shared" si="42"/>
        <v/>
      </c>
      <c r="S248" s="242" t="str">
        <f t="shared" si="43"/>
        <v/>
      </c>
      <c r="T248" s="242" t="str">
        <f t="shared" si="44"/>
        <v/>
      </c>
      <c r="U248" s="242" t="str">
        <f t="shared" si="45"/>
        <v/>
      </c>
      <c r="V248" s="242" t="str">
        <f t="shared" si="46"/>
        <v/>
      </c>
      <c r="W248" s="242" t="str">
        <f t="shared" si="47"/>
        <v/>
      </c>
    </row>
    <row r="249" spans="1:23" x14ac:dyDescent="0.2">
      <c r="A249" s="283"/>
      <c r="B249" s="283"/>
      <c r="C249" s="283"/>
      <c r="D249" s="283"/>
      <c r="E249" s="283"/>
      <c r="F249" s="283"/>
      <c r="G249" s="283"/>
      <c r="K249" s="242">
        <v>248</v>
      </c>
      <c r="L249" s="242" t="str">
        <f t="shared" si="36"/>
        <v/>
      </c>
      <c r="M249" s="242" t="str">
        <f t="shared" si="37"/>
        <v/>
      </c>
      <c r="N249" s="242" t="str">
        <f t="shared" si="38"/>
        <v/>
      </c>
      <c r="O249" s="242" t="str">
        <f t="shared" si="39"/>
        <v/>
      </c>
      <c r="P249" s="242" t="str">
        <f t="shared" si="40"/>
        <v/>
      </c>
      <c r="Q249" s="242" t="str">
        <f t="shared" si="41"/>
        <v/>
      </c>
      <c r="R249" s="242" t="str">
        <f t="shared" si="42"/>
        <v/>
      </c>
      <c r="S249" s="242" t="str">
        <f t="shared" si="43"/>
        <v/>
      </c>
      <c r="T249" s="242" t="str">
        <f t="shared" si="44"/>
        <v/>
      </c>
      <c r="U249" s="242" t="str">
        <f t="shared" si="45"/>
        <v/>
      </c>
      <c r="V249" s="242" t="str">
        <f t="shared" si="46"/>
        <v/>
      </c>
      <c r="W249" s="242" t="str">
        <f t="shared" si="47"/>
        <v/>
      </c>
    </row>
    <row r="250" spans="1:23" x14ac:dyDescent="0.2">
      <c r="A250" s="283"/>
      <c r="B250" s="283"/>
      <c r="C250" s="283"/>
      <c r="D250" s="283"/>
      <c r="E250" s="283"/>
      <c r="F250" s="283"/>
      <c r="G250" s="283"/>
      <c r="K250" s="242">
        <v>249</v>
      </c>
      <c r="L250" s="242" t="str">
        <f t="shared" si="36"/>
        <v/>
      </c>
      <c r="M250" s="242" t="str">
        <f t="shared" si="37"/>
        <v/>
      </c>
      <c r="N250" s="242" t="str">
        <f t="shared" si="38"/>
        <v/>
      </c>
      <c r="O250" s="242" t="str">
        <f t="shared" si="39"/>
        <v/>
      </c>
      <c r="P250" s="242" t="str">
        <f t="shared" si="40"/>
        <v/>
      </c>
      <c r="Q250" s="242" t="str">
        <f t="shared" si="41"/>
        <v/>
      </c>
      <c r="R250" s="242" t="str">
        <f t="shared" si="42"/>
        <v/>
      </c>
      <c r="S250" s="242" t="str">
        <f t="shared" si="43"/>
        <v/>
      </c>
      <c r="T250" s="242" t="str">
        <f t="shared" si="44"/>
        <v/>
      </c>
      <c r="U250" s="242" t="str">
        <f t="shared" si="45"/>
        <v/>
      </c>
      <c r="V250" s="242" t="str">
        <f t="shared" si="46"/>
        <v/>
      </c>
      <c r="W250" s="242" t="str">
        <f t="shared" si="47"/>
        <v/>
      </c>
    </row>
    <row r="251" spans="1:23" x14ac:dyDescent="0.2">
      <c r="A251" s="283"/>
      <c r="B251" s="283"/>
      <c r="C251" s="283"/>
      <c r="D251" s="283"/>
      <c r="E251" s="283"/>
      <c r="F251" s="283"/>
      <c r="G251" s="283"/>
      <c r="K251" s="242">
        <v>250</v>
      </c>
      <c r="L251" s="242" t="str">
        <f t="shared" si="36"/>
        <v/>
      </c>
      <c r="M251" s="242" t="str">
        <f t="shared" si="37"/>
        <v/>
      </c>
      <c r="N251" s="242" t="str">
        <f t="shared" si="38"/>
        <v/>
      </c>
      <c r="O251" s="242" t="str">
        <f t="shared" si="39"/>
        <v/>
      </c>
      <c r="P251" s="242" t="str">
        <f t="shared" si="40"/>
        <v/>
      </c>
      <c r="Q251" s="242" t="str">
        <f t="shared" si="41"/>
        <v/>
      </c>
      <c r="R251" s="242" t="str">
        <f t="shared" si="42"/>
        <v/>
      </c>
      <c r="S251" s="242" t="str">
        <f t="shared" si="43"/>
        <v/>
      </c>
      <c r="T251" s="242" t="str">
        <f t="shared" si="44"/>
        <v/>
      </c>
      <c r="U251" s="242" t="str">
        <f t="shared" si="45"/>
        <v/>
      </c>
      <c r="V251" s="242" t="str">
        <f t="shared" si="46"/>
        <v/>
      </c>
      <c r="W251" s="242" t="str">
        <f t="shared" si="47"/>
        <v/>
      </c>
    </row>
    <row r="252" spans="1:23" x14ac:dyDescent="0.2">
      <c r="A252" s="283"/>
      <c r="B252" s="283"/>
      <c r="C252" s="283"/>
      <c r="D252" s="283"/>
      <c r="E252" s="283"/>
      <c r="F252" s="283"/>
      <c r="G252" s="283"/>
      <c r="K252" s="242">
        <v>251</v>
      </c>
      <c r="L252" s="242" t="str">
        <f t="shared" si="36"/>
        <v/>
      </c>
      <c r="M252" s="242" t="str">
        <f t="shared" si="37"/>
        <v/>
      </c>
      <c r="N252" s="242" t="str">
        <f t="shared" si="38"/>
        <v/>
      </c>
      <c r="O252" s="242" t="str">
        <f t="shared" si="39"/>
        <v/>
      </c>
      <c r="P252" s="242" t="str">
        <f t="shared" si="40"/>
        <v/>
      </c>
      <c r="Q252" s="242" t="str">
        <f t="shared" si="41"/>
        <v/>
      </c>
      <c r="R252" s="242" t="str">
        <f t="shared" si="42"/>
        <v/>
      </c>
      <c r="S252" s="242" t="str">
        <f t="shared" si="43"/>
        <v/>
      </c>
      <c r="T252" s="242" t="str">
        <f t="shared" si="44"/>
        <v/>
      </c>
      <c r="U252" s="242" t="str">
        <f t="shared" si="45"/>
        <v/>
      </c>
      <c r="V252" s="242" t="str">
        <f t="shared" si="46"/>
        <v/>
      </c>
      <c r="W252" s="242" t="str">
        <f t="shared" si="47"/>
        <v/>
      </c>
    </row>
    <row r="253" spans="1:23" x14ac:dyDescent="0.2">
      <c r="A253" s="283"/>
      <c r="B253" s="283"/>
      <c r="C253" s="283"/>
      <c r="D253" s="283"/>
      <c r="E253" s="283"/>
      <c r="F253" s="283"/>
      <c r="G253" s="283"/>
      <c r="K253" s="242">
        <v>252</v>
      </c>
      <c r="L253" s="242" t="str">
        <f t="shared" si="36"/>
        <v/>
      </c>
      <c r="M253" s="242" t="str">
        <f t="shared" si="37"/>
        <v/>
      </c>
      <c r="N253" s="242" t="str">
        <f t="shared" si="38"/>
        <v/>
      </c>
      <c r="O253" s="242" t="str">
        <f t="shared" si="39"/>
        <v/>
      </c>
      <c r="P253" s="242" t="str">
        <f t="shared" si="40"/>
        <v/>
      </c>
      <c r="Q253" s="242" t="str">
        <f t="shared" si="41"/>
        <v/>
      </c>
      <c r="R253" s="242" t="str">
        <f t="shared" si="42"/>
        <v/>
      </c>
      <c r="S253" s="242" t="str">
        <f t="shared" si="43"/>
        <v/>
      </c>
      <c r="T253" s="242" t="str">
        <f t="shared" si="44"/>
        <v/>
      </c>
      <c r="U253" s="242" t="str">
        <f t="shared" si="45"/>
        <v/>
      </c>
      <c r="V253" s="242" t="str">
        <f t="shared" si="46"/>
        <v/>
      </c>
      <c r="W253" s="242" t="str">
        <f t="shared" si="47"/>
        <v/>
      </c>
    </row>
    <row r="254" spans="1:23" x14ac:dyDescent="0.2">
      <c r="A254" s="283"/>
      <c r="B254" s="283"/>
      <c r="C254" s="283"/>
      <c r="D254" s="283"/>
      <c r="E254" s="283"/>
      <c r="F254" s="283"/>
      <c r="G254" s="283"/>
      <c r="K254" s="242">
        <v>253</v>
      </c>
      <c r="L254" s="242" t="str">
        <f t="shared" si="36"/>
        <v/>
      </c>
      <c r="M254" s="242" t="str">
        <f t="shared" si="37"/>
        <v/>
      </c>
      <c r="N254" s="242" t="str">
        <f t="shared" si="38"/>
        <v/>
      </c>
      <c r="O254" s="242" t="str">
        <f t="shared" si="39"/>
        <v/>
      </c>
      <c r="P254" s="242" t="str">
        <f t="shared" si="40"/>
        <v/>
      </c>
      <c r="Q254" s="242" t="str">
        <f t="shared" si="41"/>
        <v/>
      </c>
      <c r="R254" s="242" t="str">
        <f t="shared" si="42"/>
        <v/>
      </c>
      <c r="S254" s="242" t="str">
        <f t="shared" si="43"/>
        <v/>
      </c>
      <c r="T254" s="242" t="str">
        <f t="shared" si="44"/>
        <v/>
      </c>
      <c r="U254" s="242" t="str">
        <f t="shared" si="45"/>
        <v/>
      </c>
      <c r="V254" s="242" t="str">
        <f t="shared" si="46"/>
        <v/>
      </c>
      <c r="W254" s="242" t="str">
        <f t="shared" si="47"/>
        <v/>
      </c>
    </row>
    <row r="255" spans="1:23" x14ac:dyDescent="0.2">
      <c r="A255" s="283"/>
      <c r="B255" s="283"/>
      <c r="C255" s="283"/>
      <c r="D255" s="283"/>
      <c r="E255" s="283"/>
      <c r="F255" s="283"/>
      <c r="G255" s="283"/>
      <c r="K255" s="242">
        <v>254</v>
      </c>
      <c r="L255" s="242" t="str">
        <f t="shared" si="36"/>
        <v/>
      </c>
      <c r="M255" s="242" t="str">
        <f t="shared" si="37"/>
        <v/>
      </c>
      <c r="N255" s="242" t="str">
        <f t="shared" si="38"/>
        <v/>
      </c>
      <c r="O255" s="242" t="str">
        <f t="shared" si="39"/>
        <v/>
      </c>
      <c r="P255" s="242" t="str">
        <f t="shared" si="40"/>
        <v/>
      </c>
      <c r="Q255" s="242" t="str">
        <f t="shared" si="41"/>
        <v/>
      </c>
      <c r="R255" s="242" t="str">
        <f t="shared" si="42"/>
        <v/>
      </c>
      <c r="S255" s="242" t="str">
        <f t="shared" si="43"/>
        <v/>
      </c>
      <c r="T255" s="242" t="str">
        <f t="shared" si="44"/>
        <v/>
      </c>
      <c r="U255" s="242" t="str">
        <f t="shared" si="45"/>
        <v/>
      </c>
      <c r="V255" s="242" t="str">
        <f t="shared" si="46"/>
        <v/>
      </c>
      <c r="W255" s="242" t="str">
        <f t="shared" si="47"/>
        <v/>
      </c>
    </row>
    <row r="256" spans="1:23" x14ac:dyDescent="0.2">
      <c r="A256" s="283"/>
      <c r="B256" s="283"/>
      <c r="C256" s="283"/>
      <c r="D256" s="283"/>
      <c r="E256" s="283"/>
      <c r="F256" s="283"/>
      <c r="G256" s="283"/>
      <c r="K256" s="242">
        <v>255</v>
      </c>
      <c r="L256" s="242" t="str">
        <f t="shared" si="36"/>
        <v/>
      </c>
      <c r="M256" s="242" t="str">
        <f t="shared" si="37"/>
        <v/>
      </c>
      <c r="N256" s="242" t="str">
        <f t="shared" si="38"/>
        <v/>
      </c>
      <c r="O256" s="242" t="str">
        <f t="shared" si="39"/>
        <v/>
      </c>
      <c r="P256" s="242" t="str">
        <f t="shared" si="40"/>
        <v/>
      </c>
      <c r="Q256" s="242" t="str">
        <f t="shared" si="41"/>
        <v/>
      </c>
      <c r="R256" s="242" t="str">
        <f t="shared" si="42"/>
        <v/>
      </c>
      <c r="S256" s="242" t="str">
        <f t="shared" si="43"/>
        <v/>
      </c>
      <c r="T256" s="242" t="str">
        <f t="shared" si="44"/>
        <v/>
      </c>
      <c r="U256" s="242" t="str">
        <f t="shared" si="45"/>
        <v/>
      </c>
      <c r="V256" s="242" t="str">
        <f t="shared" si="46"/>
        <v/>
      </c>
      <c r="W256" s="242" t="str">
        <f t="shared" si="47"/>
        <v/>
      </c>
    </row>
    <row r="257" spans="1:23" x14ac:dyDescent="0.2">
      <c r="A257" s="283"/>
      <c r="B257" s="283"/>
      <c r="C257" s="283"/>
      <c r="D257" s="283"/>
      <c r="E257" s="283"/>
      <c r="F257" s="283"/>
      <c r="G257" s="283"/>
      <c r="K257" s="242">
        <v>256</v>
      </c>
      <c r="L257" s="242" t="str">
        <f t="shared" si="36"/>
        <v/>
      </c>
      <c r="M257" s="242" t="str">
        <f t="shared" si="37"/>
        <v/>
      </c>
      <c r="N257" s="242" t="str">
        <f t="shared" si="38"/>
        <v/>
      </c>
      <c r="O257" s="242" t="str">
        <f t="shared" si="39"/>
        <v/>
      </c>
      <c r="P257" s="242" t="str">
        <f t="shared" si="40"/>
        <v/>
      </c>
      <c r="Q257" s="242" t="str">
        <f t="shared" si="41"/>
        <v/>
      </c>
      <c r="R257" s="242" t="str">
        <f t="shared" si="42"/>
        <v/>
      </c>
      <c r="S257" s="242" t="str">
        <f t="shared" si="43"/>
        <v/>
      </c>
      <c r="T257" s="242" t="str">
        <f t="shared" si="44"/>
        <v/>
      </c>
      <c r="U257" s="242" t="str">
        <f t="shared" si="45"/>
        <v/>
      </c>
      <c r="V257" s="242" t="str">
        <f t="shared" si="46"/>
        <v/>
      </c>
      <c r="W257" s="242" t="str">
        <f t="shared" si="47"/>
        <v/>
      </c>
    </row>
    <row r="258" spans="1:23" x14ac:dyDescent="0.2">
      <c r="A258" s="283"/>
      <c r="B258" s="283"/>
      <c r="C258" s="283"/>
      <c r="D258" s="283"/>
      <c r="E258" s="283"/>
      <c r="F258" s="283"/>
      <c r="G258" s="283"/>
      <c r="K258" s="242">
        <v>257</v>
      </c>
      <c r="L258" s="242" t="str">
        <f t="shared" si="36"/>
        <v/>
      </c>
      <c r="M258" s="242" t="str">
        <f t="shared" si="37"/>
        <v/>
      </c>
      <c r="N258" s="242" t="str">
        <f t="shared" si="38"/>
        <v/>
      </c>
      <c r="O258" s="242" t="str">
        <f t="shared" si="39"/>
        <v/>
      </c>
      <c r="P258" s="242" t="str">
        <f t="shared" si="40"/>
        <v/>
      </c>
      <c r="Q258" s="242" t="str">
        <f t="shared" si="41"/>
        <v/>
      </c>
      <c r="R258" s="242" t="str">
        <f t="shared" si="42"/>
        <v/>
      </c>
      <c r="S258" s="242" t="str">
        <f t="shared" si="43"/>
        <v/>
      </c>
      <c r="T258" s="242" t="str">
        <f t="shared" si="44"/>
        <v/>
      </c>
      <c r="U258" s="242" t="str">
        <f t="shared" si="45"/>
        <v/>
      </c>
      <c r="V258" s="242" t="str">
        <f t="shared" si="46"/>
        <v/>
      </c>
      <c r="W258" s="242" t="str">
        <f t="shared" si="47"/>
        <v/>
      </c>
    </row>
    <row r="259" spans="1:23" x14ac:dyDescent="0.2">
      <c r="A259" s="283"/>
      <c r="B259" s="283"/>
      <c r="C259" s="283"/>
      <c r="D259" s="283"/>
      <c r="E259" s="283"/>
      <c r="F259" s="283"/>
      <c r="G259" s="283"/>
      <c r="K259" s="242">
        <v>258</v>
      </c>
      <c r="L259" s="242" t="str">
        <f t="shared" ref="L259:L322" si="48">IF($B$13&gt;=K259,K259,"")</f>
        <v/>
      </c>
      <c r="M259" s="242" t="str">
        <f t="shared" ref="M259:M322" si="49">IF(L259="","",IF(L259&lt;=$E$15,VLOOKUP($E$14,$I$1:$J$4,2,FALSE),VLOOKUP($F$14,$I$1:$J$4,2,FALSE)))</f>
        <v/>
      </c>
      <c r="N259" s="242" t="str">
        <f t="shared" ref="N259:N322" si="50">IF($B$20&gt;=K259,K259,"")</f>
        <v/>
      </c>
      <c r="O259" s="242" t="str">
        <f t="shared" ref="O259:O322" si="51">IF(N259="","",IF(N259&lt;=$E$22,VLOOKUP($E$21,$I$1:$J$4,2,FALSE),VLOOKUP($F$21,$I$1:$J$4,2,FALSE)))</f>
        <v/>
      </c>
      <c r="P259" s="242" t="str">
        <f t="shared" ref="P259:P322" si="52">IF($B$27&gt;=K259,K259,"")</f>
        <v/>
      </c>
      <c r="Q259" s="242" t="str">
        <f t="shared" ref="Q259:Q322" si="53">IF(P259="","",IF(P259&lt;=$E$29,VLOOKUP($E$28,$I$1:$J$4,2,FALSE),VLOOKUP($F$28,$I$1:$J$4,2,FALSE)))</f>
        <v/>
      </c>
      <c r="R259" s="242" t="str">
        <f t="shared" ref="R259:R322" si="54">IF($B$34&gt;=K259,K259,"")</f>
        <v/>
      </c>
      <c r="S259" s="242" t="str">
        <f t="shared" ref="S259:S322" si="55">IF(R259="","",IF(R259&lt;=$E$36,VLOOKUP($E$35,$I$1:$J$4,2,FALSE),VLOOKUP($F$35,$I$1:$J$4,2,FALSE)))</f>
        <v/>
      </c>
      <c r="T259" s="242" t="str">
        <f t="shared" ref="T259:T322" si="56">IF($B$41&gt;=K259,K259,"")</f>
        <v/>
      </c>
      <c r="U259" s="242" t="str">
        <f t="shared" ref="U259:U322" si="57">IF(T259="","",IF(T259&lt;=$E$43,VLOOKUP($E$42,$I$1:$J$4,2,FALSE),VLOOKUP($F$42,$I$1:$J$4,2,FALSE)))</f>
        <v/>
      </c>
      <c r="V259" s="242" t="str">
        <f t="shared" ref="V259:V322" si="58">IF($B$48&gt;=K259,K259,"")</f>
        <v/>
      </c>
      <c r="W259" s="242" t="str">
        <f t="shared" ref="W259:W322" si="59">IF(V259="","",IF(V259&lt;=$E$50,VLOOKUP($E$49,$I$1:$J$4,2,FALSE),VLOOKUP($F$49,$I$1:$J$4,2,FALSE)))</f>
        <v/>
      </c>
    </row>
    <row r="260" spans="1:23" x14ac:dyDescent="0.2">
      <c r="A260" s="283"/>
      <c r="B260" s="283"/>
      <c r="C260" s="283"/>
      <c r="D260" s="283"/>
      <c r="E260" s="283"/>
      <c r="F260" s="283"/>
      <c r="G260" s="283"/>
      <c r="K260" s="242">
        <v>259</v>
      </c>
      <c r="L260" s="242" t="str">
        <f t="shared" si="48"/>
        <v/>
      </c>
      <c r="M260" s="242" t="str">
        <f t="shared" si="49"/>
        <v/>
      </c>
      <c r="N260" s="242" t="str">
        <f t="shared" si="50"/>
        <v/>
      </c>
      <c r="O260" s="242" t="str">
        <f t="shared" si="51"/>
        <v/>
      </c>
      <c r="P260" s="242" t="str">
        <f t="shared" si="52"/>
        <v/>
      </c>
      <c r="Q260" s="242" t="str">
        <f t="shared" si="53"/>
        <v/>
      </c>
      <c r="R260" s="242" t="str">
        <f t="shared" si="54"/>
        <v/>
      </c>
      <c r="S260" s="242" t="str">
        <f t="shared" si="55"/>
        <v/>
      </c>
      <c r="T260" s="242" t="str">
        <f t="shared" si="56"/>
        <v/>
      </c>
      <c r="U260" s="242" t="str">
        <f t="shared" si="57"/>
        <v/>
      </c>
      <c r="V260" s="242" t="str">
        <f t="shared" si="58"/>
        <v/>
      </c>
      <c r="W260" s="242" t="str">
        <f t="shared" si="59"/>
        <v/>
      </c>
    </row>
    <row r="261" spans="1:23" x14ac:dyDescent="0.2">
      <c r="A261" s="283"/>
      <c r="B261" s="283"/>
      <c r="C261" s="283"/>
      <c r="D261" s="283"/>
      <c r="E261" s="283"/>
      <c r="F261" s="283"/>
      <c r="G261" s="283"/>
      <c r="K261" s="242">
        <v>260</v>
      </c>
      <c r="L261" s="242" t="str">
        <f t="shared" si="48"/>
        <v/>
      </c>
      <c r="M261" s="242" t="str">
        <f t="shared" si="49"/>
        <v/>
      </c>
      <c r="N261" s="242" t="str">
        <f t="shared" si="50"/>
        <v/>
      </c>
      <c r="O261" s="242" t="str">
        <f t="shared" si="51"/>
        <v/>
      </c>
      <c r="P261" s="242" t="str">
        <f t="shared" si="52"/>
        <v/>
      </c>
      <c r="Q261" s="242" t="str">
        <f t="shared" si="53"/>
        <v/>
      </c>
      <c r="R261" s="242" t="str">
        <f t="shared" si="54"/>
        <v/>
      </c>
      <c r="S261" s="242" t="str">
        <f t="shared" si="55"/>
        <v/>
      </c>
      <c r="T261" s="242" t="str">
        <f t="shared" si="56"/>
        <v/>
      </c>
      <c r="U261" s="242" t="str">
        <f t="shared" si="57"/>
        <v/>
      </c>
      <c r="V261" s="242" t="str">
        <f t="shared" si="58"/>
        <v/>
      </c>
      <c r="W261" s="242" t="str">
        <f t="shared" si="59"/>
        <v/>
      </c>
    </row>
    <row r="262" spans="1:23" x14ac:dyDescent="0.2">
      <c r="A262" s="283"/>
      <c r="B262" s="283"/>
      <c r="C262" s="283"/>
      <c r="D262" s="283"/>
      <c r="E262" s="283"/>
      <c r="F262" s="283"/>
      <c r="G262" s="283"/>
      <c r="K262" s="242">
        <v>261</v>
      </c>
      <c r="L262" s="242" t="str">
        <f t="shared" si="48"/>
        <v/>
      </c>
      <c r="M262" s="242" t="str">
        <f t="shared" si="49"/>
        <v/>
      </c>
      <c r="N262" s="242" t="str">
        <f t="shared" si="50"/>
        <v/>
      </c>
      <c r="O262" s="242" t="str">
        <f t="shared" si="51"/>
        <v/>
      </c>
      <c r="P262" s="242" t="str">
        <f t="shared" si="52"/>
        <v/>
      </c>
      <c r="Q262" s="242" t="str">
        <f t="shared" si="53"/>
        <v/>
      </c>
      <c r="R262" s="242" t="str">
        <f t="shared" si="54"/>
        <v/>
      </c>
      <c r="S262" s="242" t="str">
        <f t="shared" si="55"/>
        <v/>
      </c>
      <c r="T262" s="242" t="str">
        <f t="shared" si="56"/>
        <v/>
      </c>
      <c r="U262" s="242" t="str">
        <f t="shared" si="57"/>
        <v/>
      </c>
      <c r="V262" s="242" t="str">
        <f t="shared" si="58"/>
        <v/>
      </c>
      <c r="W262" s="242" t="str">
        <f t="shared" si="59"/>
        <v/>
      </c>
    </row>
    <row r="263" spans="1:23" x14ac:dyDescent="0.2">
      <c r="A263" s="283"/>
      <c r="B263" s="283"/>
      <c r="C263" s="283"/>
      <c r="D263" s="283"/>
      <c r="E263" s="283"/>
      <c r="F263" s="283"/>
      <c r="G263" s="283"/>
      <c r="K263" s="242">
        <v>262</v>
      </c>
      <c r="L263" s="242" t="str">
        <f t="shared" si="48"/>
        <v/>
      </c>
      <c r="M263" s="242" t="str">
        <f t="shared" si="49"/>
        <v/>
      </c>
      <c r="N263" s="242" t="str">
        <f t="shared" si="50"/>
        <v/>
      </c>
      <c r="O263" s="242" t="str">
        <f t="shared" si="51"/>
        <v/>
      </c>
      <c r="P263" s="242" t="str">
        <f t="shared" si="52"/>
        <v/>
      </c>
      <c r="Q263" s="242" t="str">
        <f t="shared" si="53"/>
        <v/>
      </c>
      <c r="R263" s="242" t="str">
        <f t="shared" si="54"/>
        <v/>
      </c>
      <c r="S263" s="242" t="str">
        <f t="shared" si="55"/>
        <v/>
      </c>
      <c r="T263" s="242" t="str">
        <f t="shared" si="56"/>
        <v/>
      </c>
      <c r="U263" s="242" t="str">
        <f t="shared" si="57"/>
        <v/>
      </c>
      <c r="V263" s="242" t="str">
        <f t="shared" si="58"/>
        <v/>
      </c>
      <c r="W263" s="242" t="str">
        <f t="shared" si="59"/>
        <v/>
      </c>
    </row>
    <row r="264" spans="1:23" x14ac:dyDescent="0.2">
      <c r="A264" s="283"/>
      <c r="B264" s="283"/>
      <c r="C264" s="283"/>
      <c r="D264" s="283"/>
      <c r="E264" s="283"/>
      <c r="F264" s="283"/>
      <c r="G264" s="283"/>
      <c r="K264" s="242">
        <v>263</v>
      </c>
      <c r="L264" s="242" t="str">
        <f t="shared" si="48"/>
        <v/>
      </c>
      <c r="M264" s="242" t="str">
        <f t="shared" si="49"/>
        <v/>
      </c>
      <c r="N264" s="242" t="str">
        <f t="shared" si="50"/>
        <v/>
      </c>
      <c r="O264" s="242" t="str">
        <f t="shared" si="51"/>
        <v/>
      </c>
      <c r="P264" s="242" t="str">
        <f t="shared" si="52"/>
        <v/>
      </c>
      <c r="Q264" s="242" t="str">
        <f t="shared" si="53"/>
        <v/>
      </c>
      <c r="R264" s="242" t="str">
        <f t="shared" si="54"/>
        <v/>
      </c>
      <c r="S264" s="242" t="str">
        <f t="shared" si="55"/>
        <v/>
      </c>
      <c r="T264" s="242" t="str">
        <f t="shared" si="56"/>
        <v/>
      </c>
      <c r="U264" s="242" t="str">
        <f t="shared" si="57"/>
        <v/>
      </c>
      <c r="V264" s="242" t="str">
        <f t="shared" si="58"/>
        <v/>
      </c>
      <c r="W264" s="242" t="str">
        <f t="shared" si="59"/>
        <v/>
      </c>
    </row>
    <row r="265" spans="1:23" x14ac:dyDescent="0.2">
      <c r="A265" s="283"/>
      <c r="B265" s="283"/>
      <c r="C265" s="283"/>
      <c r="D265" s="283"/>
      <c r="E265" s="283"/>
      <c r="F265" s="283"/>
      <c r="G265" s="283"/>
      <c r="K265" s="242">
        <v>264</v>
      </c>
      <c r="L265" s="242" t="str">
        <f t="shared" si="48"/>
        <v/>
      </c>
      <c r="M265" s="242" t="str">
        <f t="shared" si="49"/>
        <v/>
      </c>
      <c r="N265" s="242" t="str">
        <f t="shared" si="50"/>
        <v/>
      </c>
      <c r="O265" s="242" t="str">
        <f t="shared" si="51"/>
        <v/>
      </c>
      <c r="P265" s="242" t="str">
        <f t="shared" si="52"/>
        <v/>
      </c>
      <c r="Q265" s="242" t="str">
        <f t="shared" si="53"/>
        <v/>
      </c>
      <c r="R265" s="242" t="str">
        <f t="shared" si="54"/>
        <v/>
      </c>
      <c r="S265" s="242" t="str">
        <f t="shared" si="55"/>
        <v/>
      </c>
      <c r="T265" s="242" t="str">
        <f t="shared" si="56"/>
        <v/>
      </c>
      <c r="U265" s="242" t="str">
        <f t="shared" si="57"/>
        <v/>
      </c>
      <c r="V265" s="242" t="str">
        <f t="shared" si="58"/>
        <v/>
      </c>
      <c r="W265" s="242" t="str">
        <f t="shared" si="59"/>
        <v/>
      </c>
    </row>
    <row r="266" spans="1:23" x14ac:dyDescent="0.2">
      <c r="A266" s="283"/>
      <c r="B266" s="283"/>
      <c r="C266" s="283"/>
      <c r="D266" s="283"/>
      <c r="E266" s="283"/>
      <c r="F266" s="283"/>
      <c r="G266" s="283"/>
      <c r="K266" s="242">
        <v>265</v>
      </c>
      <c r="L266" s="242" t="str">
        <f t="shared" si="48"/>
        <v/>
      </c>
      <c r="M266" s="242" t="str">
        <f t="shared" si="49"/>
        <v/>
      </c>
      <c r="N266" s="242" t="str">
        <f t="shared" si="50"/>
        <v/>
      </c>
      <c r="O266" s="242" t="str">
        <f t="shared" si="51"/>
        <v/>
      </c>
      <c r="P266" s="242" t="str">
        <f t="shared" si="52"/>
        <v/>
      </c>
      <c r="Q266" s="242" t="str">
        <f t="shared" si="53"/>
        <v/>
      </c>
      <c r="R266" s="242" t="str">
        <f t="shared" si="54"/>
        <v/>
      </c>
      <c r="S266" s="242" t="str">
        <f t="shared" si="55"/>
        <v/>
      </c>
      <c r="T266" s="242" t="str">
        <f t="shared" si="56"/>
        <v/>
      </c>
      <c r="U266" s="242" t="str">
        <f t="shared" si="57"/>
        <v/>
      </c>
      <c r="V266" s="242" t="str">
        <f t="shared" si="58"/>
        <v/>
      </c>
      <c r="W266" s="242" t="str">
        <f t="shared" si="59"/>
        <v/>
      </c>
    </row>
    <row r="267" spans="1:23" x14ac:dyDescent="0.2">
      <c r="A267" s="283"/>
      <c r="B267" s="283"/>
      <c r="C267" s="283"/>
      <c r="D267" s="283"/>
      <c r="E267" s="283"/>
      <c r="F267" s="283"/>
      <c r="G267" s="283"/>
      <c r="K267" s="242">
        <v>266</v>
      </c>
      <c r="L267" s="242" t="str">
        <f t="shared" si="48"/>
        <v/>
      </c>
      <c r="M267" s="242" t="str">
        <f t="shared" si="49"/>
        <v/>
      </c>
      <c r="N267" s="242" t="str">
        <f t="shared" si="50"/>
        <v/>
      </c>
      <c r="O267" s="242" t="str">
        <f t="shared" si="51"/>
        <v/>
      </c>
      <c r="P267" s="242" t="str">
        <f t="shared" si="52"/>
        <v/>
      </c>
      <c r="Q267" s="242" t="str">
        <f t="shared" si="53"/>
        <v/>
      </c>
      <c r="R267" s="242" t="str">
        <f t="shared" si="54"/>
        <v/>
      </c>
      <c r="S267" s="242" t="str">
        <f t="shared" si="55"/>
        <v/>
      </c>
      <c r="T267" s="242" t="str">
        <f t="shared" si="56"/>
        <v/>
      </c>
      <c r="U267" s="242" t="str">
        <f t="shared" si="57"/>
        <v/>
      </c>
      <c r="V267" s="242" t="str">
        <f t="shared" si="58"/>
        <v/>
      </c>
      <c r="W267" s="242" t="str">
        <f t="shared" si="59"/>
        <v/>
      </c>
    </row>
    <row r="268" spans="1:23" x14ac:dyDescent="0.2">
      <c r="A268" s="283"/>
      <c r="B268" s="283"/>
      <c r="C268" s="283"/>
      <c r="D268" s="283"/>
      <c r="E268" s="283"/>
      <c r="F268" s="283"/>
      <c r="G268" s="283"/>
      <c r="K268" s="242">
        <v>267</v>
      </c>
      <c r="L268" s="242" t="str">
        <f t="shared" si="48"/>
        <v/>
      </c>
      <c r="M268" s="242" t="str">
        <f t="shared" si="49"/>
        <v/>
      </c>
      <c r="N268" s="242" t="str">
        <f t="shared" si="50"/>
        <v/>
      </c>
      <c r="O268" s="242" t="str">
        <f t="shared" si="51"/>
        <v/>
      </c>
      <c r="P268" s="242" t="str">
        <f t="shared" si="52"/>
        <v/>
      </c>
      <c r="Q268" s="242" t="str">
        <f t="shared" si="53"/>
        <v/>
      </c>
      <c r="R268" s="242" t="str">
        <f t="shared" si="54"/>
        <v/>
      </c>
      <c r="S268" s="242" t="str">
        <f t="shared" si="55"/>
        <v/>
      </c>
      <c r="T268" s="242" t="str">
        <f t="shared" si="56"/>
        <v/>
      </c>
      <c r="U268" s="242" t="str">
        <f t="shared" si="57"/>
        <v/>
      </c>
      <c r="V268" s="242" t="str">
        <f t="shared" si="58"/>
        <v/>
      </c>
      <c r="W268" s="242" t="str">
        <f t="shared" si="59"/>
        <v/>
      </c>
    </row>
    <row r="269" spans="1:23" x14ac:dyDescent="0.2">
      <c r="A269" s="283"/>
      <c r="B269" s="283"/>
      <c r="C269" s="283"/>
      <c r="D269" s="283"/>
      <c r="E269" s="283"/>
      <c r="F269" s="283"/>
      <c r="G269" s="283"/>
      <c r="K269" s="242">
        <v>268</v>
      </c>
      <c r="L269" s="242" t="str">
        <f t="shared" si="48"/>
        <v/>
      </c>
      <c r="M269" s="242" t="str">
        <f t="shared" si="49"/>
        <v/>
      </c>
      <c r="N269" s="242" t="str">
        <f t="shared" si="50"/>
        <v/>
      </c>
      <c r="O269" s="242" t="str">
        <f t="shared" si="51"/>
        <v/>
      </c>
      <c r="P269" s="242" t="str">
        <f t="shared" si="52"/>
        <v/>
      </c>
      <c r="Q269" s="242" t="str">
        <f t="shared" si="53"/>
        <v/>
      </c>
      <c r="R269" s="242" t="str">
        <f t="shared" si="54"/>
        <v/>
      </c>
      <c r="S269" s="242" t="str">
        <f t="shared" si="55"/>
        <v/>
      </c>
      <c r="T269" s="242" t="str">
        <f t="shared" si="56"/>
        <v/>
      </c>
      <c r="U269" s="242" t="str">
        <f t="shared" si="57"/>
        <v/>
      </c>
      <c r="V269" s="242" t="str">
        <f t="shared" si="58"/>
        <v/>
      </c>
      <c r="W269" s="242" t="str">
        <f t="shared" si="59"/>
        <v/>
      </c>
    </row>
    <row r="270" spans="1:23" x14ac:dyDescent="0.2">
      <c r="A270" s="283"/>
      <c r="B270" s="283"/>
      <c r="C270" s="283"/>
      <c r="D270" s="283"/>
      <c r="E270" s="283"/>
      <c r="F270" s="283"/>
      <c r="G270" s="283"/>
      <c r="K270" s="242">
        <v>269</v>
      </c>
      <c r="L270" s="242" t="str">
        <f t="shared" si="48"/>
        <v/>
      </c>
      <c r="M270" s="242" t="str">
        <f t="shared" si="49"/>
        <v/>
      </c>
      <c r="N270" s="242" t="str">
        <f t="shared" si="50"/>
        <v/>
      </c>
      <c r="O270" s="242" t="str">
        <f t="shared" si="51"/>
        <v/>
      </c>
      <c r="P270" s="242" t="str">
        <f t="shared" si="52"/>
        <v/>
      </c>
      <c r="Q270" s="242" t="str">
        <f t="shared" si="53"/>
        <v/>
      </c>
      <c r="R270" s="242" t="str">
        <f t="shared" si="54"/>
        <v/>
      </c>
      <c r="S270" s="242" t="str">
        <f t="shared" si="55"/>
        <v/>
      </c>
      <c r="T270" s="242" t="str">
        <f t="shared" si="56"/>
        <v/>
      </c>
      <c r="U270" s="242" t="str">
        <f t="shared" si="57"/>
        <v/>
      </c>
      <c r="V270" s="242" t="str">
        <f t="shared" si="58"/>
        <v/>
      </c>
      <c r="W270" s="242" t="str">
        <f t="shared" si="59"/>
        <v/>
      </c>
    </row>
    <row r="271" spans="1:23" x14ac:dyDescent="0.2">
      <c r="A271" s="283"/>
      <c r="B271" s="283"/>
      <c r="C271" s="283"/>
      <c r="D271" s="283"/>
      <c r="E271" s="283"/>
      <c r="F271" s="283"/>
      <c r="G271" s="283"/>
      <c r="K271" s="242">
        <v>270</v>
      </c>
      <c r="L271" s="242" t="str">
        <f t="shared" si="48"/>
        <v/>
      </c>
      <c r="M271" s="242" t="str">
        <f t="shared" si="49"/>
        <v/>
      </c>
      <c r="N271" s="242" t="str">
        <f t="shared" si="50"/>
        <v/>
      </c>
      <c r="O271" s="242" t="str">
        <f t="shared" si="51"/>
        <v/>
      </c>
      <c r="P271" s="242" t="str">
        <f t="shared" si="52"/>
        <v/>
      </c>
      <c r="Q271" s="242" t="str">
        <f t="shared" si="53"/>
        <v/>
      </c>
      <c r="R271" s="242" t="str">
        <f t="shared" si="54"/>
        <v/>
      </c>
      <c r="S271" s="242" t="str">
        <f t="shared" si="55"/>
        <v/>
      </c>
      <c r="T271" s="242" t="str">
        <f t="shared" si="56"/>
        <v/>
      </c>
      <c r="U271" s="242" t="str">
        <f t="shared" si="57"/>
        <v/>
      </c>
      <c r="V271" s="242" t="str">
        <f t="shared" si="58"/>
        <v/>
      </c>
      <c r="W271" s="242" t="str">
        <f t="shared" si="59"/>
        <v/>
      </c>
    </row>
    <row r="272" spans="1:23" x14ac:dyDescent="0.2">
      <c r="A272" s="283"/>
      <c r="B272" s="283"/>
      <c r="C272" s="283"/>
      <c r="D272" s="283"/>
      <c r="E272" s="283"/>
      <c r="F272" s="283"/>
      <c r="G272" s="283"/>
      <c r="K272" s="242">
        <v>271</v>
      </c>
      <c r="L272" s="242" t="str">
        <f t="shared" si="48"/>
        <v/>
      </c>
      <c r="M272" s="242" t="str">
        <f t="shared" si="49"/>
        <v/>
      </c>
      <c r="N272" s="242" t="str">
        <f t="shared" si="50"/>
        <v/>
      </c>
      <c r="O272" s="242" t="str">
        <f t="shared" si="51"/>
        <v/>
      </c>
      <c r="P272" s="242" t="str">
        <f t="shared" si="52"/>
        <v/>
      </c>
      <c r="Q272" s="242" t="str">
        <f t="shared" si="53"/>
        <v/>
      </c>
      <c r="R272" s="242" t="str">
        <f t="shared" si="54"/>
        <v/>
      </c>
      <c r="S272" s="242" t="str">
        <f t="shared" si="55"/>
        <v/>
      </c>
      <c r="T272" s="242" t="str">
        <f t="shared" si="56"/>
        <v/>
      </c>
      <c r="U272" s="242" t="str">
        <f t="shared" si="57"/>
        <v/>
      </c>
      <c r="V272" s="242" t="str">
        <f t="shared" si="58"/>
        <v/>
      </c>
      <c r="W272" s="242" t="str">
        <f t="shared" si="59"/>
        <v/>
      </c>
    </row>
    <row r="273" spans="1:23" x14ac:dyDescent="0.2">
      <c r="A273" s="283"/>
      <c r="B273" s="283"/>
      <c r="C273" s="283"/>
      <c r="D273" s="283"/>
      <c r="E273" s="283"/>
      <c r="F273" s="283"/>
      <c r="G273" s="283"/>
      <c r="K273" s="242">
        <v>272</v>
      </c>
      <c r="L273" s="242" t="str">
        <f t="shared" si="48"/>
        <v/>
      </c>
      <c r="M273" s="242" t="str">
        <f t="shared" si="49"/>
        <v/>
      </c>
      <c r="N273" s="242" t="str">
        <f t="shared" si="50"/>
        <v/>
      </c>
      <c r="O273" s="242" t="str">
        <f t="shared" si="51"/>
        <v/>
      </c>
      <c r="P273" s="242" t="str">
        <f t="shared" si="52"/>
        <v/>
      </c>
      <c r="Q273" s="242" t="str">
        <f t="shared" si="53"/>
        <v/>
      </c>
      <c r="R273" s="242" t="str">
        <f t="shared" si="54"/>
        <v/>
      </c>
      <c r="S273" s="242" t="str">
        <f t="shared" si="55"/>
        <v/>
      </c>
      <c r="T273" s="242" t="str">
        <f t="shared" si="56"/>
        <v/>
      </c>
      <c r="U273" s="242" t="str">
        <f t="shared" si="57"/>
        <v/>
      </c>
      <c r="V273" s="242" t="str">
        <f t="shared" si="58"/>
        <v/>
      </c>
      <c r="W273" s="242" t="str">
        <f t="shared" si="59"/>
        <v/>
      </c>
    </row>
    <row r="274" spans="1:23" x14ac:dyDescent="0.2">
      <c r="A274" s="283"/>
      <c r="B274" s="283"/>
      <c r="C274" s="283"/>
      <c r="D274" s="283"/>
      <c r="E274" s="283"/>
      <c r="F274" s="283"/>
      <c r="G274" s="283"/>
      <c r="K274" s="242">
        <v>273</v>
      </c>
      <c r="L274" s="242" t="str">
        <f t="shared" si="48"/>
        <v/>
      </c>
      <c r="M274" s="242" t="str">
        <f t="shared" si="49"/>
        <v/>
      </c>
      <c r="N274" s="242" t="str">
        <f t="shared" si="50"/>
        <v/>
      </c>
      <c r="O274" s="242" t="str">
        <f t="shared" si="51"/>
        <v/>
      </c>
      <c r="P274" s="242" t="str">
        <f t="shared" si="52"/>
        <v/>
      </c>
      <c r="Q274" s="242" t="str">
        <f t="shared" si="53"/>
        <v/>
      </c>
      <c r="R274" s="242" t="str">
        <f t="shared" si="54"/>
        <v/>
      </c>
      <c r="S274" s="242" t="str">
        <f t="shared" si="55"/>
        <v/>
      </c>
      <c r="T274" s="242" t="str">
        <f t="shared" si="56"/>
        <v/>
      </c>
      <c r="U274" s="242" t="str">
        <f t="shared" si="57"/>
        <v/>
      </c>
      <c r="V274" s="242" t="str">
        <f t="shared" si="58"/>
        <v/>
      </c>
      <c r="W274" s="242" t="str">
        <f t="shared" si="59"/>
        <v/>
      </c>
    </row>
    <row r="275" spans="1:23" x14ac:dyDescent="0.2">
      <c r="A275" s="283"/>
      <c r="B275" s="283"/>
      <c r="C275" s="283"/>
      <c r="D275" s="283"/>
      <c r="E275" s="283"/>
      <c r="F275" s="283"/>
      <c r="G275" s="283"/>
      <c r="K275" s="242">
        <v>274</v>
      </c>
      <c r="L275" s="242" t="str">
        <f t="shared" si="48"/>
        <v/>
      </c>
      <c r="M275" s="242" t="str">
        <f t="shared" si="49"/>
        <v/>
      </c>
      <c r="N275" s="242" t="str">
        <f t="shared" si="50"/>
        <v/>
      </c>
      <c r="O275" s="242" t="str">
        <f t="shared" si="51"/>
        <v/>
      </c>
      <c r="P275" s="242" t="str">
        <f t="shared" si="52"/>
        <v/>
      </c>
      <c r="Q275" s="242" t="str">
        <f t="shared" si="53"/>
        <v/>
      </c>
      <c r="R275" s="242" t="str">
        <f t="shared" si="54"/>
        <v/>
      </c>
      <c r="S275" s="242" t="str">
        <f t="shared" si="55"/>
        <v/>
      </c>
      <c r="T275" s="242" t="str">
        <f t="shared" si="56"/>
        <v/>
      </c>
      <c r="U275" s="242" t="str">
        <f t="shared" si="57"/>
        <v/>
      </c>
      <c r="V275" s="242" t="str">
        <f t="shared" si="58"/>
        <v/>
      </c>
      <c r="W275" s="242" t="str">
        <f t="shared" si="59"/>
        <v/>
      </c>
    </row>
    <row r="276" spans="1:23" x14ac:dyDescent="0.2">
      <c r="A276" s="283"/>
      <c r="B276" s="283"/>
      <c r="C276" s="283"/>
      <c r="D276" s="283"/>
      <c r="E276" s="283"/>
      <c r="F276" s="283"/>
      <c r="G276" s="283"/>
      <c r="K276" s="242">
        <v>275</v>
      </c>
      <c r="L276" s="242" t="str">
        <f t="shared" si="48"/>
        <v/>
      </c>
      <c r="M276" s="242" t="str">
        <f t="shared" si="49"/>
        <v/>
      </c>
      <c r="N276" s="242" t="str">
        <f t="shared" si="50"/>
        <v/>
      </c>
      <c r="O276" s="242" t="str">
        <f t="shared" si="51"/>
        <v/>
      </c>
      <c r="P276" s="242" t="str">
        <f t="shared" si="52"/>
        <v/>
      </c>
      <c r="Q276" s="242" t="str">
        <f t="shared" si="53"/>
        <v/>
      </c>
      <c r="R276" s="242" t="str">
        <f t="shared" si="54"/>
        <v/>
      </c>
      <c r="S276" s="242" t="str">
        <f t="shared" si="55"/>
        <v/>
      </c>
      <c r="T276" s="242" t="str">
        <f t="shared" si="56"/>
        <v/>
      </c>
      <c r="U276" s="242" t="str">
        <f t="shared" si="57"/>
        <v/>
      </c>
      <c r="V276" s="242" t="str">
        <f t="shared" si="58"/>
        <v/>
      </c>
      <c r="W276" s="242" t="str">
        <f t="shared" si="59"/>
        <v/>
      </c>
    </row>
    <row r="277" spans="1:23" x14ac:dyDescent="0.2">
      <c r="A277" s="283"/>
      <c r="B277" s="283"/>
      <c r="C277" s="283"/>
      <c r="D277" s="283"/>
      <c r="E277" s="283"/>
      <c r="F277" s="283"/>
      <c r="G277" s="283"/>
      <c r="K277" s="242">
        <v>276</v>
      </c>
      <c r="L277" s="242" t="str">
        <f t="shared" si="48"/>
        <v/>
      </c>
      <c r="M277" s="242" t="str">
        <f t="shared" si="49"/>
        <v/>
      </c>
      <c r="N277" s="242" t="str">
        <f t="shared" si="50"/>
        <v/>
      </c>
      <c r="O277" s="242" t="str">
        <f t="shared" si="51"/>
        <v/>
      </c>
      <c r="P277" s="242" t="str">
        <f t="shared" si="52"/>
        <v/>
      </c>
      <c r="Q277" s="242" t="str">
        <f t="shared" si="53"/>
        <v/>
      </c>
      <c r="R277" s="242" t="str">
        <f t="shared" si="54"/>
        <v/>
      </c>
      <c r="S277" s="242" t="str">
        <f t="shared" si="55"/>
        <v/>
      </c>
      <c r="T277" s="242" t="str">
        <f t="shared" si="56"/>
        <v/>
      </c>
      <c r="U277" s="242" t="str">
        <f t="shared" si="57"/>
        <v/>
      </c>
      <c r="V277" s="242" t="str">
        <f t="shared" si="58"/>
        <v/>
      </c>
      <c r="W277" s="242" t="str">
        <f t="shared" si="59"/>
        <v/>
      </c>
    </row>
    <row r="278" spans="1:23" x14ac:dyDescent="0.2">
      <c r="A278" s="283"/>
      <c r="B278" s="283"/>
      <c r="C278" s="283"/>
      <c r="D278" s="283"/>
      <c r="E278" s="283"/>
      <c r="F278" s="283"/>
      <c r="G278" s="283"/>
      <c r="K278" s="242">
        <v>277</v>
      </c>
      <c r="L278" s="242" t="str">
        <f t="shared" si="48"/>
        <v/>
      </c>
      <c r="M278" s="242" t="str">
        <f t="shared" si="49"/>
        <v/>
      </c>
      <c r="N278" s="242" t="str">
        <f t="shared" si="50"/>
        <v/>
      </c>
      <c r="O278" s="242" t="str">
        <f t="shared" si="51"/>
        <v/>
      </c>
      <c r="P278" s="242" t="str">
        <f t="shared" si="52"/>
        <v/>
      </c>
      <c r="Q278" s="242" t="str">
        <f t="shared" si="53"/>
        <v/>
      </c>
      <c r="R278" s="242" t="str">
        <f t="shared" si="54"/>
        <v/>
      </c>
      <c r="S278" s="242" t="str">
        <f t="shared" si="55"/>
        <v/>
      </c>
      <c r="T278" s="242" t="str">
        <f t="shared" si="56"/>
        <v/>
      </c>
      <c r="U278" s="242" t="str">
        <f t="shared" si="57"/>
        <v/>
      </c>
      <c r="V278" s="242" t="str">
        <f t="shared" si="58"/>
        <v/>
      </c>
      <c r="W278" s="242" t="str">
        <f t="shared" si="59"/>
        <v/>
      </c>
    </row>
    <row r="279" spans="1:23" x14ac:dyDescent="0.2">
      <c r="A279" s="283"/>
      <c r="B279" s="283"/>
      <c r="C279" s="283"/>
      <c r="D279" s="283"/>
      <c r="E279" s="283"/>
      <c r="F279" s="283"/>
      <c r="G279" s="283"/>
      <c r="K279" s="242">
        <v>278</v>
      </c>
      <c r="L279" s="242" t="str">
        <f t="shared" si="48"/>
        <v/>
      </c>
      <c r="M279" s="242" t="str">
        <f t="shared" si="49"/>
        <v/>
      </c>
      <c r="N279" s="242" t="str">
        <f t="shared" si="50"/>
        <v/>
      </c>
      <c r="O279" s="242" t="str">
        <f t="shared" si="51"/>
        <v/>
      </c>
      <c r="P279" s="242" t="str">
        <f t="shared" si="52"/>
        <v/>
      </c>
      <c r="Q279" s="242" t="str">
        <f t="shared" si="53"/>
        <v/>
      </c>
      <c r="R279" s="242" t="str">
        <f t="shared" si="54"/>
        <v/>
      </c>
      <c r="S279" s="242" t="str">
        <f t="shared" si="55"/>
        <v/>
      </c>
      <c r="T279" s="242" t="str">
        <f t="shared" si="56"/>
        <v/>
      </c>
      <c r="U279" s="242" t="str">
        <f t="shared" si="57"/>
        <v/>
      </c>
      <c r="V279" s="242" t="str">
        <f t="shared" si="58"/>
        <v/>
      </c>
      <c r="W279" s="242" t="str">
        <f t="shared" si="59"/>
        <v/>
      </c>
    </row>
    <row r="280" spans="1:23" x14ac:dyDescent="0.2">
      <c r="A280" s="283"/>
      <c r="B280" s="283"/>
      <c r="C280" s="283"/>
      <c r="D280" s="283"/>
      <c r="E280" s="283"/>
      <c r="F280" s="283"/>
      <c r="G280" s="283"/>
      <c r="K280" s="242">
        <v>279</v>
      </c>
      <c r="L280" s="242" t="str">
        <f t="shared" si="48"/>
        <v/>
      </c>
      <c r="M280" s="242" t="str">
        <f t="shared" si="49"/>
        <v/>
      </c>
      <c r="N280" s="242" t="str">
        <f t="shared" si="50"/>
        <v/>
      </c>
      <c r="O280" s="242" t="str">
        <f t="shared" si="51"/>
        <v/>
      </c>
      <c r="P280" s="242" t="str">
        <f t="shared" si="52"/>
        <v/>
      </c>
      <c r="Q280" s="242" t="str">
        <f t="shared" si="53"/>
        <v/>
      </c>
      <c r="R280" s="242" t="str">
        <f t="shared" si="54"/>
        <v/>
      </c>
      <c r="S280" s="242" t="str">
        <f t="shared" si="55"/>
        <v/>
      </c>
      <c r="T280" s="242" t="str">
        <f t="shared" si="56"/>
        <v/>
      </c>
      <c r="U280" s="242" t="str">
        <f t="shared" si="57"/>
        <v/>
      </c>
      <c r="V280" s="242" t="str">
        <f t="shared" si="58"/>
        <v/>
      </c>
      <c r="W280" s="242" t="str">
        <f t="shared" si="59"/>
        <v/>
      </c>
    </row>
    <row r="281" spans="1:23" x14ac:dyDescent="0.2">
      <c r="A281" s="283"/>
      <c r="B281" s="283"/>
      <c r="C281" s="283"/>
      <c r="D281" s="283"/>
      <c r="E281" s="283"/>
      <c r="F281" s="283"/>
      <c r="G281" s="283"/>
      <c r="K281" s="242">
        <v>280</v>
      </c>
      <c r="L281" s="242" t="str">
        <f t="shared" si="48"/>
        <v/>
      </c>
      <c r="M281" s="242" t="str">
        <f t="shared" si="49"/>
        <v/>
      </c>
      <c r="N281" s="242" t="str">
        <f t="shared" si="50"/>
        <v/>
      </c>
      <c r="O281" s="242" t="str">
        <f t="shared" si="51"/>
        <v/>
      </c>
      <c r="P281" s="242" t="str">
        <f t="shared" si="52"/>
        <v/>
      </c>
      <c r="Q281" s="242" t="str">
        <f t="shared" si="53"/>
        <v/>
      </c>
      <c r="R281" s="242" t="str">
        <f t="shared" si="54"/>
        <v/>
      </c>
      <c r="S281" s="242" t="str">
        <f t="shared" si="55"/>
        <v/>
      </c>
      <c r="T281" s="242" t="str">
        <f t="shared" si="56"/>
        <v/>
      </c>
      <c r="U281" s="242" t="str">
        <f t="shared" si="57"/>
        <v/>
      </c>
      <c r="V281" s="242" t="str">
        <f t="shared" si="58"/>
        <v/>
      </c>
      <c r="W281" s="242" t="str">
        <f t="shared" si="59"/>
        <v/>
      </c>
    </row>
    <row r="282" spans="1:23" x14ac:dyDescent="0.2">
      <c r="A282" s="283"/>
      <c r="B282" s="283"/>
      <c r="C282" s="283"/>
      <c r="D282" s="283"/>
      <c r="E282" s="283"/>
      <c r="F282" s="283"/>
      <c r="G282" s="283"/>
      <c r="K282" s="242">
        <v>281</v>
      </c>
      <c r="L282" s="242" t="str">
        <f t="shared" si="48"/>
        <v/>
      </c>
      <c r="M282" s="242" t="str">
        <f t="shared" si="49"/>
        <v/>
      </c>
      <c r="N282" s="242" t="str">
        <f t="shared" si="50"/>
        <v/>
      </c>
      <c r="O282" s="242" t="str">
        <f t="shared" si="51"/>
        <v/>
      </c>
      <c r="P282" s="242" t="str">
        <f t="shared" si="52"/>
        <v/>
      </c>
      <c r="Q282" s="242" t="str">
        <f t="shared" si="53"/>
        <v/>
      </c>
      <c r="R282" s="242" t="str">
        <f t="shared" si="54"/>
        <v/>
      </c>
      <c r="S282" s="242" t="str">
        <f t="shared" si="55"/>
        <v/>
      </c>
      <c r="T282" s="242" t="str">
        <f t="shared" si="56"/>
        <v/>
      </c>
      <c r="U282" s="242" t="str">
        <f t="shared" si="57"/>
        <v/>
      </c>
      <c r="V282" s="242" t="str">
        <f t="shared" si="58"/>
        <v/>
      </c>
      <c r="W282" s="242" t="str">
        <f t="shared" si="59"/>
        <v/>
      </c>
    </row>
    <row r="283" spans="1:23" x14ac:dyDescent="0.2">
      <c r="A283" s="283"/>
      <c r="B283" s="283"/>
      <c r="C283" s="283"/>
      <c r="D283" s="283"/>
      <c r="E283" s="283"/>
      <c r="F283" s="283"/>
      <c r="G283" s="283"/>
      <c r="K283" s="242">
        <v>282</v>
      </c>
      <c r="L283" s="242" t="str">
        <f t="shared" si="48"/>
        <v/>
      </c>
      <c r="M283" s="242" t="str">
        <f t="shared" si="49"/>
        <v/>
      </c>
      <c r="N283" s="242" t="str">
        <f t="shared" si="50"/>
        <v/>
      </c>
      <c r="O283" s="242" t="str">
        <f t="shared" si="51"/>
        <v/>
      </c>
      <c r="P283" s="242" t="str">
        <f t="shared" si="52"/>
        <v/>
      </c>
      <c r="Q283" s="242" t="str">
        <f t="shared" si="53"/>
        <v/>
      </c>
      <c r="R283" s="242" t="str">
        <f t="shared" si="54"/>
        <v/>
      </c>
      <c r="S283" s="242" t="str">
        <f t="shared" si="55"/>
        <v/>
      </c>
      <c r="T283" s="242" t="str">
        <f t="shared" si="56"/>
        <v/>
      </c>
      <c r="U283" s="242" t="str">
        <f t="shared" si="57"/>
        <v/>
      </c>
      <c r="V283" s="242" t="str">
        <f t="shared" si="58"/>
        <v/>
      </c>
      <c r="W283" s="242" t="str">
        <f t="shared" si="59"/>
        <v/>
      </c>
    </row>
    <row r="284" spans="1:23" x14ac:dyDescent="0.2">
      <c r="A284" s="283"/>
      <c r="B284" s="283"/>
      <c r="C284" s="283"/>
      <c r="D284" s="283"/>
      <c r="E284" s="283"/>
      <c r="F284" s="283"/>
      <c r="G284" s="283"/>
      <c r="K284" s="242">
        <v>283</v>
      </c>
      <c r="L284" s="242" t="str">
        <f t="shared" si="48"/>
        <v/>
      </c>
      <c r="M284" s="242" t="str">
        <f t="shared" si="49"/>
        <v/>
      </c>
      <c r="N284" s="242" t="str">
        <f t="shared" si="50"/>
        <v/>
      </c>
      <c r="O284" s="242" t="str">
        <f t="shared" si="51"/>
        <v/>
      </c>
      <c r="P284" s="242" t="str">
        <f t="shared" si="52"/>
        <v/>
      </c>
      <c r="Q284" s="242" t="str">
        <f t="shared" si="53"/>
        <v/>
      </c>
      <c r="R284" s="242" t="str">
        <f t="shared" si="54"/>
        <v/>
      </c>
      <c r="S284" s="242" t="str">
        <f t="shared" si="55"/>
        <v/>
      </c>
      <c r="T284" s="242" t="str">
        <f t="shared" si="56"/>
        <v/>
      </c>
      <c r="U284" s="242" t="str">
        <f t="shared" si="57"/>
        <v/>
      </c>
      <c r="V284" s="242" t="str">
        <f t="shared" si="58"/>
        <v/>
      </c>
      <c r="W284" s="242" t="str">
        <f t="shared" si="59"/>
        <v/>
      </c>
    </row>
    <row r="285" spans="1:23" x14ac:dyDescent="0.2">
      <c r="A285" s="283"/>
      <c r="B285" s="283"/>
      <c r="C285" s="283"/>
      <c r="D285" s="283"/>
      <c r="E285" s="283"/>
      <c r="F285" s="283"/>
      <c r="G285" s="283"/>
      <c r="K285" s="242">
        <v>284</v>
      </c>
      <c r="L285" s="242" t="str">
        <f t="shared" si="48"/>
        <v/>
      </c>
      <c r="M285" s="242" t="str">
        <f t="shared" si="49"/>
        <v/>
      </c>
      <c r="N285" s="242" t="str">
        <f t="shared" si="50"/>
        <v/>
      </c>
      <c r="O285" s="242" t="str">
        <f t="shared" si="51"/>
        <v/>
      </c>
      <c r="P285" s="242" t="str">
        <f t="shared" si="52"/>
        <v/>
      </c>
      <c r="Q285" s="242" t="str">
        <f t="shared" si="53"/>
        <v/>
      </c>
      <c r="R285" s="242" t="str">
        <f t="shared" si="54"/>
        <v/>
      </c>
      <c r="S285" s="242" t="str">
        <f t="shared" si="55"/>
        <v/>
      </c>
      <c r="T285" s="242" t="str">
        <f t="shared" si="56"/>
        <v/>
      </c>
      <c r="U285" s="242" t="str">
        <f t="shared" si="57"/>
        <v/>
      </c>
      <c r="V285" s="242" t="str">
        <f t="shared" si="58"/>
        <v/>
      </c>
      <c r="W285" s="242" t="str">
        <f t="shared" si="59"/>
        <v/>
      </c>
    </row>
    <row r="286" spans="1:23" x14ac:dyDescent="0.2">
      <c r="A286" s="283"/>
      <c r="B286" s="283"/>
      <c r="C286" s="283"/>
      <c r="D286" s="283"/>
      <c r="E286" s="283"/>
      <c r="F286" s="283"/>
      <c r="G286" s="283"/>
      <c r="K286" s="242">
        <v>285</v>
      </c>
      <c r="L286" s="242" t="str">
        <f t="shared" si="48"/>
        <v/>
      </c>
      <c r="M286" s="242" t="str">
        <f t="shared" si="49"/>
        <v/>
      </c>
      <c r="N286" s="242" t="str">
        <f t="shared" si="50"/>
        <v/>
      </c>
      <c r="O286" s="242" t="str">
        <f t="shared" si="51"/>
        <v/>
      </c>
      <c r="P286" s="242" t="str">
        <f t="shared" si="52"/>
        <v/>
      </c>
      <c r="Q286" s="242" t="str">
        <f t="shared" si="53"/>
        <v/>
      </c>
      <c r="R286" s="242" t="str">
        <f t="shared" si="54"/>
        <v/>
      </c>
      <c r="S286" s="242" t="str">
        <f t="shared" si="55"/>
        <v/>
      </c>
      <c r="T286" s="242" t="str">
        <f t="shared" si="56"/>
        <v/>
      </c>
      <c r="U286" s="242" t="str">
        <f t="shared" si="57"/>
        <v/>
      </c>
      <c r="V286" s="242" t="str">
        <f t="shared" si="58"/>
        <v/>
      </c>
      <c r="W286" s="242" t="str">
        <f t="shared" si="59"/>
        <v/>
      </c>
    </row>
    <row r="287" spans="1:23" x14ac:dyDescent="0.2">
      <c r="A287" s="283"/>
      <c r="B287" s="283"/>
      <c r="C287" s="283"/>
      <c r="D287" s="283"/>
      <c r="E287" s="283"/>
      <c r="F287" s="283"/>
      <c r="G287" s="283"/>
      <c r="K287" s="242">
        <v>286</v>
      </c>
      <c r="L287" s="242" t="str">
        <f t="shared" si="48"/>
        <v/>
      </c>
      <c r="M287" s="242" t="str">
        <f t="shared" si="49"/>
        <v/>
      </c>
      <c r="N287" s="242" t="str">
        <f t="shared" si="50"/>
        <v/>
      </c>
      <c r="O287" s="242" t="str">
        <f t="shared" si="51"/>
        <v/>
      </c>
      <c r="P287" s="242" t="str">
        <f t="shared" si="52"/>
        <v/>
      </c>
      <c r="Q287" s="242" t="str">
        <f t="shared" si="53"/>
        <v/>
      </c>
      <c r="R287" s="242" t="str">
        <f t="shared" si="54"/>
        <v/>
      </c>
      <c r="S287" s="242" t="str">
        <f t="shared" si="55"/>
        <v/>
      </c>
      <c r="T287" s="242" t="str">
        <f t="shared" si="56"/>
        <v/>
      </c>
      <c r="U287" s="242" t="str">
        <f t="shared" si="57"/>
        <v/>
      </c>
      <c r="V287" s="242" t="str">
        <f t="shared" si="58"/>
        <v/>
      </c>
      <c r="W287" s="242" t="str">
        <f t="shared" si="59"/>
        <v/>
      </c>
    </row>
    <row r="288" spans="1:23" x14ac:dyDescent="0.2">
      <c r="A288" s="283"/>
      <c r="B288" s="283"/>
      <c r="C288" s="283"/>
      <c r="D288" s="283"/>
      <c r="E288" s="283"/>
      <c r="F288" s="283"/>
      <c r="G288" s="283"/>
      <c r="K288" s="242">
        <v>287</v>
      </c>
      <c r="L288" s="242" t="str">
        <f t="shared" si="48"/>
        <v/>
      </c>
      <c r="M288" s="242" t="str">
        <f t="shared" si="49"/>
        <v/>
      </c>
      <c r="N288" s="242" t="str">
        <f t="shared" si="50"/>
        <v/>
      </c>
      <c r="O288" s="242" t="str">
        <f t="shared" si="51"/>
        <v/>
      </c>
      <c r="P288" s="242" t="str">
        <f t="shared" si="52"/>
        <v/>
      </c>
      <c r="Q288" s="242" t="str">
        <f t="shared" si="53"/>
        <v/>
      </c>
      <c r="R288" s="242" t="str">
        <f t="shared" si="54"/>
        <v/>
      </c>
      <c r="S288" s="242" t="str">
        <f t="shared" si="55"/>
        <v/>
      </c>
      <c r="T288" s="242" t="str">
        <f t="shared" si="56"/>
        <v/>
      </c>
      <c r="U288" s="242" t="str">
        <f t="shared" si="57"/>
        <v/>
      </c>
      <c r="V288" s="242" t="str">
        <f t="shared" si="58"/>
        <v/>
      </c>
      <c r="W288" s="242" t="str">
        <f t="shared" si="59"/>
        <v/>
      </c>
    </row>
    <row r="289" spans="1:23" x14ac:dyDescent="0.2">
      <c r="A289" s="283"/>
      <c r="B289" s="283"/>
      <c r="C289" s="283"/>
      <c r="D289" s="283"/>
      <c r="E289" s="283"/>
      <c r="F289" s="283"/>
      <c r="G289" s="283"/>
      <c r="K289" s="242">
        <v>288</v>
      </c>
      <c r="L289" s="242" t="str">
        <f t="shared" si="48"/>
        <v/>
      </c>
      <c r="M289" s="242" t="str">
        <f t="shared" si="49"/>
        <v/>
      </c>
      <c r="N289" s="242" t="str">
        <f t="shared" si="50"/>
        <v/>
      </c>
      <c r="O289" s="242" t="str">
        <f t="shared" si="51"/>
        <v/>
      </c>
      <c r="P289" s="242" t="str">
        <f t="shared" si="52"/>
        <v/>
      </c>
      <c r="Q289" s="242" t="str">
        <f t="shared" si="53"/>
        <v/>
      </c>
      <c r="R289" s="242" t="str">
        <f t="shared" si="54"/>
        <v/>
      </c>
      <c r="S289" s="242" t="str">
        <f t="shared" si="55"/>
        <v/>
      </c>
      <c r="T289" s="242" t="str">
        <f t="shared" si="56"/>
        <v/>
      </c>
      <c r="U289" s="242" t="str">
        <f t="shared" si="57"/>
        <v/>
      </c>
      <c r="V289" s="242" t="str">
        <f t="shared" si="58"/>
        <v/>
      </c>
      <c r="W289" s="242" t="str">
        <f t="shared" si="59"/>
        <v/>
      </c>
    </row>
    <row r="290" spans="1:23" x14ac:dyDescent="0.2">
      <c r="A290" s="283"/>
      <c r="B290" s="283"/>
      <c r="C290" s="283"/>
      <c r="D290" s="283"/>
      <c r="E290" s="283"/>
      <c r="F290" s="283"/>
      <c r="G290" s="283"/>
      <c r="K290" s="242">
        <v>289</v>
      </c>
      <c r="L290" s="242" t="str">
        <f t="shared" si="48"/>
        <v/>
      </c>
      <c r="M290" s="242" t="str">
        <f t="shared" si="49"/>
        <v/>
      </c>
      <c r="N290" s="242" t="str">
        <f t="shared" si="50"/>
        <v/>
      </c>
      <c r="O290" s="242" t="str">
        <f t="shared" si="51"/>
        <v/>
      </c>
      <c r="P290" s="242" t="str">
        <f t="shared" si="52"/>
        <v/>
      </c>
      <c r="Q290" s="242" t="str">
        <f t="shared" si="53"/>
        <v/>
      </c>
      <c r="R290" s="242" t="str">
        <f t="shared" si="54"/>
        <v/>
      </c>
      <c r="S290" s="242" t="str">
        <f t="shared" si="55"/>
        <v/>
      </c>
      <c r="T290" s="242" t="str">
        <f t="shared" si="56"/>
        <v/>
      </c>
      <c r="U290" s="242" t="str">
        <f t="shared" si="57"/>
        <v/>
      </c>
      <c r="V290" s="242" t="str">
        <f t="shared" si="58"/>
        <v/>
      </c>
      <c r="W290" s="242" t="str">
        <f t="shared" si="59"/>
        <v/>
      </c>
    </row>
    <row r="291" spans="1:23" x14ac:dyDescent="0.2">
      <c r="A291" s="283"/>
      <c r="B291" s="283"/>
      <c r="C291" s="283"/>
      <c r="D291" s="283"/>
      <c r="E291" s="283"/>
      <c r="F291" s="283"/>
      <c r="G291" s="283"/>
      <c r="K291" s="242">
        <v>290</v>
      </c>
      <c r="L291" s="242" t="str">
        <f t="shared" si="48"/>
        <v/>
      </c>
      <c r="M291" s="242" t="str">
        <f t="shared" si="49"/>
        <v/>
      </c>
      <c r="N291" s="242" t="str">
        <f t="shared" si="50"/>
        <v/>
      </c>
      <c r="O291" s="242" t="str">
        <f t="shared" si="51"/>
        <v/>
      </c>
      <c r="P291" s="242" t="str">
        <f t="shared" si="52"/>
        <v/>
      </c>
      <c r="Q291" s="242" t="str">
        <f t="shared" si="53"/>
        <v/>
      </c>
      <c r="R291" s="242" t="str">
        <f t="shared" si="54"/>
        <v/>
      </c>
      <c r="S291" s="242" t="str">
        <f t="shared" si="55"/>
        <v/>
      </c>
      <c r="T291" s="242" t="str">
        <f t="shared" si="56"/>
        <v/>
      </c>
      <c r="U291" s="242" t="str">
        <f t="shared" si="57"/>
        <v/>
      </c>
      <c r="V291" s="242" t="str">
        <f t="shared" si="58"/>
        <v/>
      </c>
      <c r="W291" s="242" t="str">
        <f t="shared" si="59"/>
        <v/>
      </c>
    </row>
    <row r="292" spans="1:23" x14ac:dyDescent="0.2">
      <c r="A292" s="283"/>
      <c r="B292" s="283"/>
      <c r="C292" s="283"/>
      <c r="D292" s="283"/>
      <c r="E292" s="283"/>
      <c r="F292" s="283"/>
      <c r="G292" s="283"/>
      <c r="K292" s="242">
        <v>291</v>
      </c>
      <c r="L292" s="242" t="str">
        <f t="shared" si="48"/>
        <v/>
      </c>
      <c r="M292" s="242" t="str">
        <f t="shared" si="49"/>
        <v/>
      </c>
      <c r="N292" s="242" t="str">
        <f t="shared" si="50"/>
        <v/>
      </c>
      <c r="O292" s="242" t="str">
        <f t="shared" si="51"/>
        <v/>
      </c>
      <c r="P292" s="242" t="str">
        <f t="shared" si="52"/>
        <v/>
      </c>
      <c r="Q292" s="242" t="str">
        <f t="shared" si="53"/>
        <v/>
      </c>
      <c r="R292" s="242" t="str">
        <f t="shared" si="54"/>
        <v/>
      </c>
      <c r="S292" s="242" t="str">
        <f t="shared" si="55"/>
        <v/>
      </c>
      <c r="T292" s="242" t="str">
        <f t="shared" si="56"/>
        <v/>
      </c>
      <c r="U292" s="242" t="str">
        <f t="shared" si="57"/>
        <v/>
      </c>
      <c r="V292" s="242" t="str">
        <f t="shared" si="58"/>
        <v/>
      </c>
      <c r="W292" s="242" t="str">
        <f t="shared" si="59"/>
        <v/>
      </c>
    </row>
    <row r="293" spans="1:23" x14ac:dyDescent="0.2">
      <c r="A293" s="283"/>
      <c r="B293" s="283"/>
      <c r="C293" s="283"/>
      <c r="D293" s="283"/>
      <c r="E293" s="283"/>
      <c r="F293" s="283"/>
      <c r="G293" s="283"/>
      <c r="K293" s="242">
        <v>292</v>
      </c>
      <c r="L293" s="242" t="str">
        <f t="shared" si="48"/>
        <v/>
      </c>
      <c r="M293" s="242" t="str">
        <f t="shared" si="49"/>
        <v/>
      </c>
      <c r="N293" s="242" t="str">
        <f t="shared" si="50"/>
        <v/>
      </c>
      <c r="O293" s="242" t="str">
        <f t="shared" si="51"/>
        <v/>
      </c>
      <c r="P293" s="242" t="str">
        <f t="shared" si="52"/>
        <v/>
      </c>
      <c r="Q293" s="242" t="str">
        <f t="shared" si="53"/>
        <v/>
      </c>
      <c r="R293" s="242" t="str">
        <f t="shared" si="54"/>
        <v/>
      </c>
      <c r="S293" s="242" t="str">
        <f t="shared" si="55"/>
        <v/>
      </c>
      <c r="T293" s="242" t="str">
        <f t="shared" si="56"/>
        <v/>
      </c>
      <c r="U293" s="242" t="str">
        <f t="shared" si="57"/>
        <v/>
      </c>
      <c r="V293" s="242" t="str">
        <f t="shared" si="58"/>
        <v/>
      </c>
      <c r="W293" s="242" t="str">
        <f t="shared" si="59"/>
        <v/>
      </c>
    </row>
    <row r="294" spans="1:23" x14ac:dyDescent="0.2">
      <c r="A294" s="283"/>
      <c r="B294" s="283"/>
      <c r="C294" s="283"/>
      <c r="D294" s="283"/>
      <c r="E294" s="283"/>
      <c r="F294" s="283"/>
      <c r="G294" s="283"/>
      <c r="K294" s="242">
        <v>293</v>
      </c>
      <c r="L294" s="242" t="str">
        <f t="shared" si="48"/>
        <v/>
      </c>
      <c r="M294" s="242" t="str">
        <f t="shared" si="49"/>
        <v/>
      </c>
      <c r="N294" s="242" t="str">
        <f t="shared" si="50"/>
        <v/>
      </c>
      <c r="O294" s="242" t="str">
        <f t="shared" si="51"/>
        <v/>
      </c>
      <c r="P294" s="242" t="str">
        <f t="shared" si="52"/>
        <v/>
      </c>
      <c r="Q294" s="242" t="str">
        <f t="shared" si="53"/>
        <v/>
      </c>
      <c r="R294" s="242" t="str">
        <f t="shared" si="54"/>
        <v/>
      </c>
      <c r="S294" s="242" t="str">
        <f t="shared" si="55"/>
        <v/>
      </c>
      <c r="T294" s="242" t="str">
        <f t="shared" si="56"/>
        <v/>
      </c>
      <c r="U294" s="242" t="str">
        <f t="shared" si="57"/>
        <v/>
      </c>
      <c r="V294" s="242" t="str">
        <f t="shared" si="58"/>
        <v/>
      </c>
      <c r="W294" s="242" t="str">
        <f t="shared" si="59"/>
        <v/>
      </c>
    </row>
    <row r="295" spans="1:23" x14ac:dyDescent="0.2">
      <c r="A295" s="283"/>
      <c r="B295" s="283"/>
      <c r="C295" s="283"/>
      <c r="D295" s="283"/>
      <c r="E295" s="283"/>
      <c r="F295" s="283"/>
      <c r="G295" s="283"/>
      <c r="K295" s="242">
        <v>294</v>
      </c>
      <c r="L295" s="242" t="str">
        <f t="shared" si="48"/>
        <v/>
      </c>
      <c r="M295" s="242" t="str">
        <f t="shared" si="49"/>
        <v/>
      </c>
      <c r="N295" s="242" t="str">
        <f t="shared" si="50"/>
        <v/>
      </c>
      <c r="O295" s="242" t="str">
        <f t="shared" si="51"/>
        <v/>
      </c>
      <c r="P295" s="242" t="str">
        <f t="shared" si="52"/>
        <v/>
      </c>
      <c r="Q295" s="242" t="str">
        <f t="shared" si="53"/>
        <v/>
      </c>
      <c r="R295" s="242" t="str">
        <f t="shared" si="54"/>
        <v/>
      </c>
      <c r="S295" s="242" t="str">
        <f t="shared" si="55"/>
        <v/>
      </c>
      <c r="T295" s="242" t="str">
        <f t="shared" si="56"/>
        <v/>
      </c>
      <c r="U295" s="242" t="str">
        <f t="shared" si="57"/>
        <v/>
      </c>
      <c r="V295" s="242" t="str">
        <f t="shared" si="58"/>
        <v/>
      </c>
      <c r="W295" s="242" t="str">
        <f t="shared" si="59"/>
        <v/>
      </c>
    </row>
    <row r="296" spans="1:23" x14ac:dyDescent="0.2">
      <c r="A296" s="283"/>
      <c r="B296" s="283"/>
      <c r="C296" s="283"/>
      <c r="D296" s="283"/>
      <c r="E296" s="283"/>
      <c r="F296" s="283"/>
      <c r="G296" s="283"/>
      <c r="K296" s="242">
        <v>295</v>
      </c>
      <c r="L296" s="242" t="str">
        <f t="shared" si="48"/>
        <v/>
      </c>
      <c r="M296" s="242" t="str">
        <f t="shared" si="49"/>
        <v/>
      </c>
      <c r="N296" s="242" t="str">
        <f t="shared" si="50"/>
        <v/>
      </c>
      <c r="O296" s="242" t="str">
        <f t="shared" si="51"/>
        <v/>
      </c>
      <c r="P296" s="242" t="str">
        <f t="shared" si="52"/>
        <v/>
      </c>
      <c r="Q296" s="242" t="str">
        <f t="shared" si="53"/>
        <v/>
      </c>
      <c r="R296" s="242" t="str">
        <f t="shared" si="54"/>
        <v/>
      </c>
      <c r="S296" s="242" t="str">
        <f t="shared" si="55"/>
        <v/>
      </c>
      <c r="T296" s="242" t="str">
        <f t="shared" si="56"/>
        <v/>
      </c>
      <c r="U296" s="242" t="str">
        <f t="shared" si="57"/>
        <v/>
      </c>
      <c r="V296" s="242" t="str">
        <f t="shared" si="58"/>
        <v/>
      </c>
      <c r="W296" s="242" t="str">
        <f t="shared" si="59"/>
        <v/>
      </c>
    </row>
    <row r="297" spans="1:23" x14ac:dyDescent="0.2">
      <c r="A297" s="283"/>
      <c r="B297" s="283"/>
      <c r="C297" s="283"/>
      <c r="D297" s="283"/>
      <c r="E297" s="283"/>
      <c r="F297" s="283"/>
      <c r="G297" s="283"/>
      <c r="K297" s="242">
        <v>296</v>
      </c>
      <c r="L297" s="242" t="str">
        <f t="shared" si="48"/>
        <v/>
      </c>
      <c r="M297" s="242" t="str">
        <f t="shared" si="49"/>
        <v/>
      </c>
      <c r="N297" s="242" t="str">
        <f t="shared" si="50"/>
        <v/>
      </c>
      <c r="O297" s="242" t="str">
        <f t="shared" si="51"/>
        <v/>
      </c>
      <c r="P297" s="242" t="str">
        <f t="shared" si="52"/>
        <v/>
      </c>
      <c r="Q297" s="242" t="str">
        <f t="shared" si="53"/>
        <v/>
      </c>
      <c r="R297" s="242" t="str">
        <f t="shared" si="54"/>
        <v/>
      </c>
      <c r="S297" s="242" t="str">
        <f t="shared" si="55"/>
        <v/>
      </c>
      <c r="T297" s="242" t="str">
        <f t="shared" si="56"/>
        <v/>
      </c>
      <c r="U297" s="242" t="str">
        <f t="shared" si="57"/>
        <v/>
      </c>
      <c r="V297" s="242" t="str">
        <f t="shared" si="58"/>
        <v/>
      </c>
      <c r="W297" s="242" t="str">
        <f t="shared" si="59"/>
        <v/>
      </c>
    </row>
    <row r="298" spans="1:23" x14ac:dyDescent="0.2">
      <c r="A298" s="283"/>
      <c r="B298" s="283"/>
      <c r="C298" s="283"/>
      <c r="D298" s="283"/>
      <c r="E298" s="283"/>
      <c r="F298" s="283"/>
      <c r="G298" s="283"/>
      <c r="K298" s="242">
        <v>297</v>
      </c>
      <c r="L298" s="242" t="str">
        <f t="shared" si="48"/>
        <v/>
      </c>
      <c r="M298" s="242" t="str">
        <f t="shared" si="49"/>
        <v/>
      </c>
      <c r="N298" s="242" t="str">
        <f t="shared" si="50"/>
        <v/>
      </c>
      <c r="O298" s="242" t="str">
        <f t="shared" si="51"/>
        <v/>
      </c>
      <c r="P298" s="242" t="str">
        <f t="shared" si="52"/>
        <v/>
      </c>
      <c r="Q298" s="242" t="str">
        <f t="shared" si="53"/>
        <v/>
      </c>
      <c r="R298" s="242" t="str">
        <f t="shared" si="54"/>
        <v/>
      </c>
      <c r="S298" s="242" t="str">
        <f t="shared" si="55"/>
        <v/>
      </c>
      <c r="T298" s="242" t="str">
        <f t="shared" si="56"/>
        <v/>
      </c>
      <c r="U298" s="242" t="str">
        <f t="shared" si="57"/>
        <v/>
      </c>
      <c r="V298" s="242" t="str">
        <f t="shared" si="58"/>
        <v/>
      </c>
      <c r="W298" s="242" t="str">
        <f t="shared" si="59"/>
        <v/>
      </c>
    </row>
    <row r="299" spans="1:23" x14ac:dyDescent="0.2">
      <c r="A299" s="283"/>
      <c r="B299" s="283"/>
      <c r="C299" s="283"/>
      <c r="D299" s="283"/>
      <c r="E299" s="283"/>
      <c r="F299" s="283"/>
      <c r="G299" s="283"/>
      <c r="K299" s="242">
        <v>298</v>
      </c>
      <c r="L299" s="242" t="str">
        <f t="shared" si="48"/>
        <v/>
      </c>
      <c r="M299" s="242" t="str">
        <f t="shared" si="49"/>
        <v/>
      </c>
      <c r="N299" s="242" t="str">
        <f t="shared" si="50"/>
        <v/>
      </c>
      <c r="O299" s="242" t="str">
        <f t="shared" si="51"/>
        <v/>
      </c>
      <c r="P299" s="242" t="str">
        <f t="shared" si="52"/>
        <v/>
      </c>
      <c r="Q299" s="242" t="str">
        <f t="shared" si="53"/>
        <v/>
      </c>
      <c r="R299" s="242" t="str">
        <f t="shared" si="54"/>
        <v/>
      </c>
      <c r="S299" s="242" t="str">
        <f t="shared" si="55"/>
        <v/>
      </c>
      <c r="T299" s="242" t="str">
        <f t="shared" si="56"/>
        <v/>
      </c>
      <c r="U299" s="242" t="str">
        <f t="shared" si="57"/>
        <v/>
      </c>
      <c r="V299" s="242" t="str">
        <f t="shared" si="58"/>
        <v/>
      </c>
      <c r="W299" s="242" t="str">
        <f t="shared" si="59"/>
        <v/>
      </c>
    </row>
    <row r="300" spans="1:23" x14ac:dyDescent="0.2">
      <c r="A300" s="283"/>
      <c r="B300" s="283"/>
      <c r="C300" s="283"/>
      <c r="D300" s="283"/>
      <c r="E300" s="283"/>
      <c r="F300" s="283"/>
      <c r="G300" s="283"/>
      <c r="K300" s="242">
        <v>299</v>
      </c>
      <c r="L300" s="242" t="str">
        <f t="shared" si="48"/>
        <v/>
      </c>
      <c r="M300" s="242" t="str">
        <f t="shared" si="49"/>
        <v/>
      </c>
      <c r="N300" s="242" t="str">
        <f t="shared" si="50"/>
        <v/>
      </c>
      <c r="O300" s="242" t="str">
        <f t="shared" si="51"/>
        <v/>
      </c>
      <c r="P300" s="242" t="str">
        <f t="shared" si="52"/>
        <v/>
      </c>
      <c r="Q300" s="242" t="str">
        <f t="shared" si="53"/>
        <v/>
      </c>
      <c r="R300" s="242" t="str">
        <f t="shared" si="54"/>
        <v/>
      </c>
      <c r="S300" s="242" t="str">
        <f t="shared" si="55"/>
        <v/>
      </c>
      <c r="T300" s="242" t="str">
        <f t="shared" si="56"/>
        <v/>
      </c>
      <c r="U300" s="242" t="str">
        <f t="shared" si="57"/>
        <v/>
      </c>
      <c r="V300" s="242" t="str">
        <f t="shared" si="58"/>
        <v/>
      </c>
      <c r="W300" s="242" t="str">
        <f t="shared" si="59"/>
        <v/>
      </c>
    </row>
    <row r="301" spans="1:23" x14ac:dyDescent="0.2">
      <c r="A301" s="283"/>
      <c r="B301" s="283"/>
      <c r="C301" s="283"/>
      <c r="D301" s="283"/>
      <c r="E301" s="283"/>
      <c r="F301" s="283"/>
      <c r="G301" s="283"/>
      <c r="K301" s="242">
        <v>300</v>
      </c>
      <c r="L301" s="242" t="str">
        <f t="shared" si="48"/>
        <v/>
      </c>
      <c r="M301" s="242" t="str">
        <f t="shared" si="49"/>
        <v/>
      </c>
      <c r="N301" s="242" t="str">
        <f t="shared" si="50"/>
        <v/>
      </c>
      <c r="O301" s="242" t="str">
        <f t="shared" si="51"/>
        <v/>
      </c>
      <c r="P301" s="242" t="str">
        <f t="shared" si="52"/>
        <v/>
      </c>
      <c r="Q301" s="242" t="str">
        <f t="shared" si="53"/>
        <v/>
      </c>
      <c r="R301" s="242" t="str">
        <f t="shared" si="54"/>
        <v/>
      </c>
      <c r="S301" s="242" t="str">
        <f t="shared" si="55"/>
        <v/>
      </c>
      <c r="T301" s="242" t="str">
        <f t="shared" si="56"/>
        <v/>
      </c>
      <c r="U301" s="242" t="str">
        <f t="shared" si="57"/>
        <v/>
      </c>
      <c r="V301" s="242" t="str">
        <f t="shared" si="58"/>
        <v/>
      </c>
      <c r="W301" s="242" t="str">
        <f t="shared" si="59"/>
        <v/>
      </c>
    </row>
    <row r="302" spans="1:23" x14ac:dyDescent="0.2">
      <c r="A302" s="283"/>
      <c r="B302" s="283"/>
      <c r="C302" s="283"/>
      <c r="D302" s="283"/>
      <c r="E302" s="283"/>
      <c r="F302" s="283"/>
      <c r="G302" s="283"/>
      <c r="K302" s="242">
        <v>301</v>
      </c>
      <c r="L302" s="242" t="str">
        <f t="shared" si="48"/>
        <v/>
      </c>
      <c r="M302" s="242" t="str">
        <f t="shared" si="49"/>
        <v/>
      </c>
      <c r="N302" s="242" t="str">
        <f t="shared" si="50"/>
        <v/>
      </c>
      <c r="O302" s="242" t="str">
        <f t="shared" si="51"/>
        <v/>
      </c>
      <c r="P302" s="242" t="str">
        <f t="shared" si="52"/>
        <v/>
      </c>
      <c r="Q302" s="242" t="str">
        <f t="shared" si="53"/>
        <v/>
      </c>
      <c r="R302" s="242" t="str">
        <f t="shared" si="54"/>
        <v/>
      </c>
      <c r="S302" s="242" t="str">
        <f t="shared" si="55"/>
        <v/>
      </c>
      <c r="T302" s="242" t="str">
        <f t="shared" si="56"/>
        <v/>
      </c>
      <c r="U302" s="242" t="str">
        <f t="shared" si="57"/>
        <v/>
      </c>
      <c r="V302" s="242" t="str">
        <f t="shared" si="58"/>
        <v/>
      </c>
      <c r="W302" s="242" t="str">
        <f t="shared" si="59"/>
        <v/>
      </c>
    </row>
    <row r="303" spans="1:23" x14ac:dyDescent="0.2">
      <c r="A303" s="283"/>
      <c r="B303" s="283"/>
      <c r="C303" s="283"/>
      <c r="D303" s="283"/>
      <c r="E303" s="283"/>
      <c r="F303" s="283"/>
      <c r="G303" s="283"/>
      <c r="K303" s="242">
        <v>302</v>
      </c>
      <c r="L303" s="242" t="str">
        <f t="shared" si="48"/>
        <v/>
      </c>
      <c r="M303" s="242" t="str">
        <f t="shared" si="49"/>
        <v/>
      </c>
      <c r="N303" s="242" t="str">
        <f t="shared" si="50"/>
        <v/>
      </c>
      <c r="O303" s="242" t="str">
        <f t="shared" si="51"/>
        <v/>
      </c>
      <c r="P303" s="242" t="str">
        <f t="shared" si="52"/>
        <v/>
      </c>
      <c r="Q303" s="242" t="str">
        <f t="shared" si="53"/>
        <v/>
      </c>
      <c r="R303" s="242" t="str">
        <f t="shared" si="54"/>
        <v/>
      </c>
      <c r="S303" s="242" t="str">
        <f t="shared" si="55"/>
        <v/>
      </c>
      <c r="T303" s="242" t="str">
        <f t="shared" si="56"/>
        <v/>
      </c>
      <c r="U303" s="242" t="str">
        <f t="shared" si="57"/>
        <v/>
      </c>
      <c r="V303" s="242" t="str">
        <f t="shared" si="58"/>
        <v/>
      </c>
      <c r="W303" s="242" t="str">
        <f t="shared" si="59"/>
        <v/>
      </c>
    </row>
    <row r="304" spans="1:23" x14ac:dyDescent="0.2">
      <c r="A304" s="283"/>
      <c r="B304" s="283"/>
      <c r="C304" s="283"/>
      <c r="D304" s="283"/>
      <c r="E304" s="283"/>
      <c r="F304" s="283"/>
      <c r="G304" s="283"/>
      <c r="K304" s="242">
        <v>303</v>
      </c>
      <c r="L304" s="242" t="str">
        <f t="shared" si="48"/>
        <v/>
      </c>
      <c r="M304" s="242" t="str">
        <f t="shared" si="49"/>
        <v/>
      </c>
      <c r="N304" s="242" t="str">
        <f t="shared" si="50"/>
        <v/>
      </c>
      <c r="O304" s="242" t="str">
        <f t="shared" si="51"/>
        <v/>
      </c>
      <c r="P304" s="242" t="str">
        <f t="shared" si="52"/>
        <v/>
      </c>
      <c r="Q304" s="242" t="str">
        <f t="shared" si="53"/>
        <v/>
      </c>
      <c r="R304" s="242" t="str">
        <f t="shared" si="54"/>
        <v/>
      </c>
      <c r="S304" s="242" t="str">
        <f t="shared" si="55"/>
        <v/>
      </c>
      <c r="T304" s="242" t="str">
        <f t="shared" si="56"/>
        <v/>
      </c>
      <c r="U304" s="242" t="str">
        <f t="shared" si="57"/>
        <v/>
      </c>
      <c r="V304" s="242" t="str">
        <f t="shared" si="58"/>
        <v/>
      </c>
      <c r="W304" s="242" t="str">
        <f t="shared" si="59"/>
        <v/>
      </c>
    </row>
    <row r="305" spans="1:23" x14ac:dyDescent="0.2">
      <c r="A305" s="283"/>
      <c r="B305" s="283"/>
      <c r="C305" s="283"/>
      <c r="D305" s="283"/>
      <c r="E305" s="283"/>
      <c r="F305" s="283"/>
      <c r="G305" s="283"/>
      <c r="K305" s="242">
        <v>304</v>
      </c>
      <c r="L305" s="242" t="str">
        <f t="shared" si="48"/>
        <v/>
      </c>
      <c r="M305" s="242" t="str">
        <f t="shared" si="49"/>
        <v/>
      </c>
      <c r="N305" s="242" t="str">
        <f t="shared" si="50"/>
        <v/>
      </c>
      <c r="O305" s="242" t="str">
        <f t="shared" si="51"/>
        <v/>
      </c>
      <c r="P305" s="242" t="str">
        <f t="shared" si="52"/>
        <v/>
      </c>
      <c r="Q305" s="242" t="str">
        <f t="shared" si="53"/>
        <v/>
      </c>
      <c r="R305" s="242" t="str">
        <f t="shared" si="54"/>
        <v/>
      </c>
      <c r="S305" s="242" t="str">
        <f t="shared" si="55"/>
        <v/>
      </c>
      <c r="T305" s="242" t="str">
        <f t="shared" si="56"/>
        <v/>
      </c>
      <c r="U305" s="242" t="str">
        <f t="shared" si="57"/>
        <v/>
      </c>
      <c r="V305" s="242" t="str">
        <f t="shared" si="58"/>
        <v/>
      </c>
      <c r="W305" s="242" t="str">
        <f t="shared" si="59"/>
        <v/>
      </c>
    </row>
    <row r="306" spans="1:23" x14ac:dyDescent="0.2">
      <c r="A306" s="283"/>
      <c r="B306" s="283"/>
      <c r="C306" s="283"/>
      <c r="D306" s="283"/>
      <c r="E306" s="283"/>
      <c r="F306" s="283"/>
      <c r="G306" s="283"/>
      <c r="K306" s="242">
        <v>305</v>
      </c>
      <c r="L306" s="242" t="str">
        <f t="shared" si="48"/>
        <v/>
      </c>
      <c r="M306" s="242" t="str">
        <f t="shared" si="49"/>
        <v/>
      </c>
      <c r="N306" s="242" t="str">
        <f t="shared" si="50"/>
        <v/>
      </c>
      <c r="O306" s="242" t="str">
        <f t="shared" si="51"/>
        <v/>
      </c>
      <c r="P306" s="242" t="str">
        <f t="shared" si="52"/>
        <v/>
      </c>
      <c r="Q306" s="242" t="str">
        <f t="shared" si="53"/>
        <v/>
      </c>
      <c r="R306" s="242" t="str">
        <f t="shared" si="54"/>
        <v/>
      </c>
      <c r="S306" s="242" t="str">
        <f t="shared" si="55"/>
        <v/>
      </c>
      <c r="T306" s="242" t="str">
        <f t="shared" si="56"/>
        <v/>
      </c>
      <c r="U306" s="242" t="str">
        <f t="shared" si="57"/>
        <v/>
      </c>
      <c r="V306" s="242" t="str">
        <f t="shared" si="58"/>
        <v/>
      </c>
      <c r="W306" s="242" t="str">
        <f t="shared" si="59"/>
        <v/>
      </c>
    </row>
    <row r="307" spans="1:23" x14ac:dyDescent="0.2">
      <c r="A307" s="283"/>
      <c r="B307" s="283"/>
      <c r="C307" s="283"/>
      <c r="D307" s="283"/>
      <c r="E307" s="283"/>
      <c r="F307" s="283"/>
      <c r="G307" s="283"/>
      <c r="K307" s="242">
        <v>306</v>
      </c>
      <c r="L307" s="242" t="str">
        <f t="shared" si="48"/>
        <v/>
      </c>
      <c r="M307" s="242" t="str">
        <f t="shared" si="49"/>
        <v/>
      </c>
      <c r="N307" s="242" t="str">
        <f t="shared" si="50"/>
        <v/>
      </c>
      <c r="O307" s="242" t="str">
        <f t="shared" si="51"/>
        <v/>
      </c>
      <c r="P307" s="242" t="str">
        <f t="shared" si="52"/>
        <v/>
      </c>
      <c r="Q307" s="242" t="str">
        <f t="shared" si="53"/>
        <v/>
      </c>
      <c r="R307" s="242" t="str">
        <f t="shared" si="54"/>
        <v/>
      </c>
      <c r="S307" s="242" t="str">
        <f t="shared" si="55"/>
        <v/>
      </c>
      <c r="T307" s="242" t="str">
        <f t="shared" si="56"/>
        <v/>
      </c>
      <c r="U307" s="242" t="str">
        <f t="shared" si="57"/>
        <v/>
      </c>
      <c r="V307" s="242" t="str">
        <f t="shared" si="58"/>
        <v/>
      </c>
      <c r="W307" s="242" t="str">
        <f t="shared" si="59"/>
        <v/>
      </c>
    </row>
    <row r="308" spans="1:23" x14ac:dyDescent="0.2">
      <c r="A308" s="283"/>
      <c r="B308" s="283"/>
      <c r="C308" s="283"/>
      <c r="D308" s="283"/>
      <c r="E308" s="283"/>
      <c r="F308" s="283"/>
      <c r="G308" s="283"/>
      <c r="K308" s="242">
        <v>307</v>
      </c>
      <c r="L308" s="242" t="str">
        <f t="shared" si="48"/>
        <v/>
      </c>
      <c r="M308" s="242" t="str">
        <f t="shared" si="49"/>
        <v/>
      </c>
      <c r="N308" s="242" t="str">
        <f t="shared" si="50"/>
        <v/>
      </c>
      <c r="O308" s="242" t="str">
        <f t="shared" si="51"/>
        <v/>
      </c>
      <c r="P308" s="242" t="str">
        <f t="shared" si="52"/>
        <v/>
      </c>
      <c r="Q308" s="242" t="str">
        <f t="shared" si="53"/>
        <v/>
      </c>
      <c r="R308" s="242" t="str">
        <f t="shared" si="54"/>
        <v/>
      </c>
      <c r="S308" s="242" t="str">
        <f t="shared" si="55"/>
        <v/>
      </c>
      <c r="T308" s="242" t="str">
        <f t="shared" si="56"/>
        <v/>
      </c>
      <c r="U308" s="242" t="str">
        <f t="shared" si="57"/>
        <v/>
      </c>
      <c r="V308" s="242" t="str">
        <f t="shared" si="58"/>
        <v/>
      </c>
      <c r="W308" s="242" t="str">
        <f t="shared" si="59"/>
        <v/>
      </c>
    </row>
    <row r="309" spans="1:23" x14ac:dyDescent="0.2">
      <c r="A309" s="283"/>
      <c r="B309" s="283"/>
      <c r="C309" s="283"/>
      <c r="D309" s="283"/>
      <c r="E309" s="283"/>
      <c r="F309" s="283"/>
      <c r="G309" s="283"/>
      <c r="K309" s="242">
        <v>308</v>
      </c>
      <c r="L309" s="242" t="str">
        <f t="shared" si="48"/>
        <v/>
      </c>
      <c r="M309" s="242" t="str">
        <f t="shared" si="49"/>
        <v/>
      </c>
      <c r="N309" s="242" t="str">
        <f t="shared" si="50"/>
        <v/>
      </c>
      <c r="O309" s="242" t="str">
        <f t="shared" si="51"/>
        <v/>
      </c>
      <c r="P309" s="242" t="str">
        <f t="shared" si="52"/>
        <v/>
      </c>
      <c r="Q309" s="242" t="str">
        <f t="shared" si="53"/>
        <v/>
      </c>
      <c r="R309" s="242" t="str">
        <f t="shared" si="54"/>
        <v/>
      </c>
      <c r="S309" s="242" t="str">
        <f t="shared" si="55"/>
        <v/>
      </c>
      <c r="T309" s="242" t="str">
        <f t="shared" si="56"/>
        <v/>
      </c>
      <c r="U309" s="242" t="str">
        <f t="shared" si="57"/>
        <v/>
      </c>
      <c r="V309" s="242" t="str">
        <f t="shared" si="58"/>
        <v/>
      </c>
      <c r="W309" s="242" t="str">
        <f t="shared" si="59"/>
        <v/>
      </c>
    </row>
    <row r="310" spans="1:23" x14ac:dyDescent="0.2">
      <c r="A310" s="283"/>
      <c r="B310" s="283"/>
      <c r="C310" s="283"/>
      <c r="D310" s="283"/>
      <c r="E310" s="283"/>
      <c r="F310" s="283"/>
      <c r="G310" s="283"/>
      <c r="K310" s="242">
        <v>309</v>
      </c>
      <c r="L310" s="242" t="str">
        <f t="shared" si="48"/>
        <v/>
      </c>
      <c r="M310" s="242" t="str">
        <f t="shared" si="49"/>
        <v/>
      </c>
      <c r="N310" s="242" t="str">
        <f t="shared" si="50"/>
        <v/>
      </c>
      <c r="O310" s="242" t="str">
        <f t="shared" si="51"/>
        <v/>
      </c>
      <c r="P310" s="242" t="str">
        <f t="shared" si="52"/>
        <v/>
      </c>
      <c r="Q310" s="242" t="str">
        <f t="shared" si="53"/>
        <v/>
      </c>
      <c r="R310" s="242" t="str">
        <f t="shared" si="54"/>
        <v/>
      </c>
      <c r="S310" s="242" t="str">
        <f t="shared" si="55"/>
        <v/>
      </c>
      <c r="T310" s="242" t="str">
        <f t="shared" si="56"/>
        <v/>
      </c>
      <c r="U310" s="242" t="str">
        <f t="shared" si="57"/>
        <v/>
      </c>
      <c r="V310" s="242" t="str">
        <f t="shared" si="58"/>
        <v/>
      </c>
      <c r="W310" s="242" t="str">
        <f t="shared" si="59"/>
        <v/>
      </c>
    </row>
    <row r="311" spans="1:23" x14ac:dyDescent="0.2">
      <c r="A311" s="283"/>
      <c r="B311" s="283"/>
      <c r="C311" s="283"/>
      <c r="D311" s="283"/>
      <c r="E311" s="283"/>
      <c r="F311" s="283"/>
      <c r="G311" s="283"/>
      <c r="K311" s="242">
        <v>310</v>
      </c>
      <c r="L311" s="242" t="str">
        <f t="shared" si="48"/>
        <v/>
      </c>
      <c r="M311" s="242" t="str">
        <f t="shared" si="49"/>
        <v/>
      </c>
      <c r="N311" s="242" t="str">
        <f t="shared" si="50"/>
        <v/>
      </c>
      <c r="O311" s="242" t="str">
        <f t="shared" si="51"/>
        <v/>
      </c>
      <c r="P311" s="242" t="str">
        <f t="shared" si="52"/>
        <v/>
      </c>
      <c r="Q311" s="242" t="str">
        <f t="shared" si="53"/>
        <v/>
      </c>
      <c r="R311" s="242" t="str">
        <f t="shared" si="54"/>
        <v/>
      </c>
      <c r="S311" s="242" t="str">
        <f t="shared" si="55"/>
        <v/>
      </c>
      <c r="T311" s="242" t="str">
        <f t="shared" si="56"/>
        <v/>
      </c>
      <c r="U311" s="242" t="str">
        <f t="shared" si="57"/>
        <v/>
      </c>
      <c r="V311" s="242" t="str">
        <f t="shared" si="58"/>
        <v/>
      </c>
      <c r="W311" s="242" t="str">
        <f t="shared" si="59"/>
        <v/>
      </c>
    </row>
    <row r="312" spans="1:23" x14ac:dyDescent="0.2">
      <c r="A312" s="283"/>
      <c r="B312" s="283"/>
      <c r="C312" s="283"/>
      <c r="D312" s="283"/>
      <c r="E312" s="283"/>
      <c r="F312" s="283"/>
      <c r="G312" s="283"/>
      <c r="K312" s="242">
        <v>311</v>
      </c>
      <c r="L312" s="242" t="str">
        <f t="shared" si="48"/>
        <v/>
      </c>
      <c r="M312" s="242" t="str">
        <f t="shared" si="49"/>
        <v/>
      </c>
      <c r="N312" s="242" t="str">
        <f t="shared" si="50"/>
        <v/>
      </c>
      <c r="O312" s="242" t="str">
        <f t="shared" si="51"/>
        <v/>
      </c>
      <c r="P312" s="242" t="str">
        <f t="shared" si="52"/>
        <v/>
      </c>
      <c r="Q312" s="242" t="str">
        <f t="shared" si="53"/>
        <v/>
      </c>
      <c r="R312" s="242" t="str">
        <f t="shared" si="54"/>
        <v/>
      </c>
      <c r="S312" s="242" t="str">
        <f t="shared" si="55"/>
        <v/>
      </c>
      <c r="T312" s="242" t="str">
        <f t="shared" si="56"/>
        <v/>
      </c>
      <c r="U312" s="242" t="str">
        <f t="shared" si="57"/>
        <v/>
      </c>
      <c r="V312" s="242" t="str">
        <f t="shared" si="58"/>
        <v/>
      </c>
      <c r="W312" s="242" t="str">
        <f t="shared" si="59"/>
        <v/>
      </c>
    </row>
    <row r="313" spans="1:23" x14ac:dyDescent="0.2">
      <c r="A313" s="283"/>
      <c r="B313" s="283"/>
      <c r="C313" s="283"/>
      <c r="D313" s="283"/>
      <c r="E313" s="283"/>
      <c r="F313" s="283"/>
      <c r="G313" s="283"/>
      <c r="K313" s="242">
        <v>312</v>
      </c>
      <c r="L313" s="242" t="str">
        <f t="shared" si="48"/>
        <v/>
      </c>
      <c r="M313" s="242" t="str">
        <f t="shared" si="49"/>
        <v/>
      </c>
      <c r="N313" s="242" t="str">
        <f t="shared" si="50"/>
        <v/>
      </c>
      <c r="O313" s="242" t="str">
        <f t="shared" si="51"/>
        <v/>
      </c>
      <c r="P313" s="242" t="str">
        <f t="shared" si="52"/>
        <v/>
      </c>
      <c r="Q313" s="242" t="str">
        <f t="shared" si="53"/>
        <v/>
      </c>
      <c r="R313" s="242" t="str">
        <f t="shared" si="54"/>
        <v/>
      </c>
      <c r="S313" s="242" t="str">
        <f t="shared" si="55"/>
        <v/>
      </c>
      <c r="T313" s="242" t="str">
        <f t="shared" si="56"/>
        <v/>
      </c>
      <c r="U313" s="242" t="str">
        <f t="shared" si="57"/>
        <v/>
      </c>
      <c r="V313" s="242" t="str">
        <f t="shared" si="58"/>
        <v/>
      </c>
      <c r="W313" s="242" t="str">
        <f t="shared" si="59"/>
        <v/>
      </c>
    </row>
    <row r="314" spans="1:23" x14ac:dyDescent="0.2">
      <c r="A314" s="283"/>
      <c r="B314" s="283"/>
      <c r="C314" s="283"/>
      <c r="D314" s="283"/>
      <c r="E314" s="283"/>
      <c r="F314" s="283"/>
      <c r="G314" s="283"/>
      <c r="K314" s="242">
        <v>313</v>
      </c>
      <c r="L314" s="242" t="str">
        <f t="shared" si="48"/>
        <v/>
      </c>
      <c r="M314" s="242" t="str">
        <f t="shared" si="49"/>
        <v/>
      </c>
      <c r="N314" s="242" t="str">
        <f t="shared" si="50"/>
        <v/>
      </c>
      <c r="O314" s="242" t="str">
        <f t="shared" si="51"/>
        <v/>
      </c>
      <c r="P314" s="242" t="str">
        <f t="shared" si="52"/>
        <v/>
      </c>
      <c r="Q314" s="242" t="str">
        <f t="shared" si="53"/>
        <v/>
      </c>
      <c r="R314" s="242" t="str">
        <f t="shared" si="54"/>
        <v/>
      </c>
      <c r="S314" s="242" t="str">
        <f t="shared" si="55"/>
        <v/>
      </c>
      <c r="T314" s="242" t="str">
        <f t="shared" si="56"/>
        <v/>
      </c>
      <c r="U314" s="242" t="str">
        <f t="shared" si="57"/>
        <v/>
      </c>
      <c r="V314" s="242" t="str">
        <f t="shared" si="58"/>
        <v/>
      </c>
      <c r="W314" s="242" t="str">
        <f t="shared" si="59"/>
        <v/>
      </c>
    </row>
    <row r="315" spans="1:23" x14ac:dyDescent="0.2">
      <c r="A315" s="283"/>
      <c r="B315" s="283"/>
      <c r="C315" s="283"/>
      <c r="D315" s="283"/>
      <c r="E315" s="283"/>
      <c r="F315" s="283"/>
      <c r="G315" s="283"/>
      <c r="K315" s="242">
        <v>314</v>
      </c>
      <c r="L315" s="242" t="str">
        <f t="shared" si="48"/>
        <v/>
      </c>
      <c r="M315" s="242" t="str">
        <f t="shared" si="49"/>
        <v/>
      </c>
      <c r="N315" s="242" t="str">
        <f t="shared" si="50"/>
        <v/>
      </c>
      <c r="O315" s="242" t="str">
        <f t="shared" si="51"/>
        <v/>
      </c>
      <c r="P315" s="242" t="str">
        <f t="shared" si="52"/>
        <v/>
      </c>
      <c r="Q315" s="242" t="str">
        <f t="shared" si="53"/>
        <v/>
      </c>
      <c r="R315" s="242" t="str">
        <f t="shared" si="54"/>
        <v/>
      </c>
      <c r="S315" s="242" t="str">
        <f t="shared" si="55"/>
        <v/>
      </c>
      <c r="T315" s="242" t="str">
        <f t="shared" si="56"/>
        <v/>
      </c>
      <c r="U315" s="242" t="str">
        <f t="shared" si="57"/>
        <v/>
      </c>
      <c r="V315" s="242" t="str">
        <f t="shared" si="58"/>
        <v/>
      </c>
      <c r="W315" s="242" t="str">
        <f t="shared" si="59"/>
        <v/>
      </c>
    </row>
    <row r="316" spans="1:23" x14ac:dyDescent="0.2">
      <c r="A316" s="283"/>
      <c r="B316" s="283"/>
      <c r="C316" s="283"/>
      <c r="D316" s="283"/>
      <c r="E316" s="283"/>
      <c r="F316" s="283"/>
      <c r="G316" s="283"/>
      <c r="K316" s="242">
        <v>315</v>
      </c>
      <c r="L316" s="242" t="str">
        <f t="shared" si="48"/>
        <v/>
      </c>
      <c r="M316" s="242" t="str">
        <f t="shared" si="49"/>
        <v/>
      </c>
      <c r="N316" s="242" t="str">
        <f t="shared" si="50"/>
        <v/>
      </c>
      <c r="O316" s="242" t="str">
        <f t="shared" si="51"/>
        <v/>
      </c>
      <c r="P316" s="242" t="str">
        <f t="shared" si="52"/>
        <v/>
      </c>
      <c r="Q316" s="242" t="str">
        <f t="shared" si="53"/>
        <v/>
      </c>
      <c r="R316" s="242" t="str">
        <f t="shared" si="54"/>
        <v/>
      </c>
      <c r="S316" s="242" t="str">
        <f t="shared" si="55"/>
        <v/>
      </c>
      <c r="T316" s="242" t="str">
        <f t="shared" si="56"/>
        <v/>
      </c>
      <c r="U316" s="242" t="str">
        <f t="shared" si="57"/>
        <v/>
      </c>
      <c r="V316" s="242" t="str">
        <f t="shared" si="58"/>
        <v/>
      </c>
      <c r="W316" s="242" t="str">
        <f t="shared" si="59"/>
        <v/>
      </c>
    </row>
    <row r="317" spans="1:23" x14ac:dyDescent="0.2">
      <c r="A317" s="283"/>
      <c r="B317" s="283"/>
      <c r="C317" s="283"/>
      <c r="D317" s="283"/>
      <c r="E317" s="283"/>
      <c r="F317" s="283"/>
      <c r="G317" s="283"/>
      <c r="K317" s="242">
        <v>316</v>
      </c>
      <c r="L317" s="242" t="str">
        <f t="shared" si="48"/>
        <v/>
      </c>
      <c r="M317" s="242" t="str">
        <f t="shared" si="49"/>
        <v/>
      </c>
      <c r="N317" s="242" t="str">
        <f t="shared" si="50"/>
        <v/>
      </c>
      <c r="O317" s="242" t="str">
        <f t="shared" si="51"/>
        <v/>
      </c>
      <c r="P317" s="242" t="str">
        <f t="shared" si="52"/>
        <v/>
      </c>
      <c r="Q317" s="242" t="str">
        <f t="shared" si="53"/>
        <v/>
      </c>
      <c r="R317" s="242" t="str">
        <f t="shared" si="54"/>
        <v/>
      </c>
      <c r="S317" s="242" t="str">
        <f t="shared" si="55"/>
        <v/>
      </c>
      <c r="T317" s="242" t="str">
        <f t="shared" si="56"/>
        <v/>
      </c>
      <c r="U317" s="242" t="str">
        <f t="shared" si="57"/>
        <v/>
      </c>
      <c r="V317" s="242" t="str">
        <f t="shared" si="58"/>
        <v/>
      </c>
      <c r="W317" s="242" t="str">
        <f t="shared" si="59"/>
        <v/>
      </c>
    </row>
    <row r="318" spans="1:23" x14ac:dyDescent="0.2">
      <c r="A318" s="283"/>
      <c r="B318" s="283"/>
      <c r="C318" s="283"/>
      <c r="D318" s="283"/>
      <c r="E318" s="283"/>
      <c r="F318" s="283"/>
      <c r="G318" s="283"/>
      <c r="K318" s="242">
        <v>317</v>
      </c>
      <c r="L318" s="242" t="str">
        <f t="shared" si="48"/>
        <v/>
      </c>
      <c r="M318" s="242" t="str">
        <f t="shared" si="49"/>
        <v/>
      </c>
      <c r="N318" s="242" t="str">
        <f t="shared" si="50"/>
        <v/>
      </c>
      <c r="O318" s="242" t="str">
        <f t="shared" si="51"/>
        <v/>
      </c>
      <c r="P318" s="242" t="str">
        <f t="shared" si="52"/>
        <v/>
      </c>
      <c r="Q318" s="242" t="str">
        <f t="shared" si="53"/>
        <v/>
      </c>
      <c r="R318" s="242" t="str">
        <f t="shared" si="54"/>
        <v/>
      </c>
      <c r="S318" s="242" t="str">
        <f t="shared" si="55"/>
        <v/>
      </c>
      <c r="T318" s="242" t="str">
        <f t="shared" si="56"/>
        <v/>
      </c>
      <c r="U318" s="242" t="str">
        <f t="shared" si="57"/>
        <v/>
      </c>
      <c r="V318" s="242" t="str">
        <f t="shared" si="58"/>
        <v/>
      </c>
      <c r="W318" s="242" t="str">
        <f t="shared" si="59"/>
        <v/>
      </c>
    </row>
    <row r="319" spans="1:23" x14ac:dyDescent="0.2">
      <c r="A319" s="283"/>
      <c r="B319" s="283"/>
      <c r="C319" s="283"/>
      <c r="D319" s="283"/>
      <c r="E319" s="283"/>
      <c r="F319" s="283"/>
      <c r="G319" s="283"/>
      <c r="K319" s="242">
        <v>318</v>
      </c>
      <c r="L319" s="242" t="str">
        <f t="shared" si="48"/>
        <v/>
      </c>
      <c r="M319" s="242" t="str">
        <f t="shared" si="49"/>
        <v/>
      </c>
      <c r="N319" s="242" t="str">
        <f t="shared" si="50"/>
        <v/>
      </c>
      <c r="O319" s="242" t="str">
        <f t="shared" si="51"/>
        <v/>
      </c>
      <c r="P319" s="242" t="str">
        <f t="shared" si="52"/>
        <v/>
      </c>
      <c r="Q319" s="242" t="str">
        <f t="shared" si="53"/>
        <v/>
      </c>
      <c r="R319" s="242" t="str">
        <f t="shared" si="54"/>
        <v/>
      </c>
      <c r="S319" s="242" t="str">
        <f t="shared" si="55"/>
        <v/>
      </c>
      <c r="T319" s="242" t="str">
        <f t="shared" si="56"/>
        <v/>
      </c>
      <c r="U319" s="242" t="str">
        <f t="shared" si="57"/>
        <v/>
      </c>
      <c r="V319" s="242" t="str">
        <f t="shared" si="58"/>
        <v/>
      </c>
      <c r="W319" s="242" t="str">
        <f t="shared" si="59"/>
        <v/>
      </c>
    </row>
    <row r="320" spans="1:23" x14ac:dyDescent="0.2">
      <c r="A320" s="283"/>
      <c r="B320" s="283"/>
      <c r="C320" s="283"/>
      <c r="D320" s="283"/>
      <c r="E320" s="283"/>
      <c r="F320" s="283"/>
      <c r="G320" s="283"/>
      <c r="K320" s="242">
        <v>319</v>
      </c>
      <c r="L320" s="242" t="str">
        <f t="shared" si="48"/>
        <v/>
      </c>
      <c r="M320" s="242" t="str">
        <f t="shared" si="49"/>
        <v/>
      </c>
      <c r="N320" s="242" t="str">
        <f t="shared" si="50"/>
        <v/>
      </c>
      <c r="O320" s="242" t="str">
        <f t="shared" si="51"/>
        <v/>
      </c>
      <c r="P320" s="242" t="str">
        <f t="shared" si="52"/>
        <v/>
      </c>
      <c r="Q320" s="242" t="str">
        <f t="shared" si="53"/>
        <v/>
      </c>
      <c r="R320" s="242" t="str">
        <f t="shared" si="54"/>
        <v/>
      </c>
      <c r="S320" s="242" t="str">
        <f t="shared" si="55"/>
        <v/>
      </c>
      <c r="T320" s="242" t="str">
        <f t="shared" si="56"/>
        <v/>
      </c>
      <c r="U320" s="242" t="str">
        <f t="shared" si="57"/>
        <v/>
      </c>
      <c r="V320" s="242" t="str">
        <f t="shared" si="58"/>
        <v/>
      </c>
      <c r="W320" s="242" t="str">
        <f t="shared" si="59"/>
        <v/>
      </c>
    </row>
    <row r="321" spans="1:23" x14ac:dyDescent="0.2">
      <c r="A321" s="283"/>
      <c r="B321" s="283"/>
      <c r="C321" s="283"/>
      <c r="D321" s="283"/>
      <c r="E321" s="283"/>
      <c r="F321" s="283"/>
      <c r="G321" s="283"/>
      <c r="K321" s="242">
        <v>320</v>
      </c>
      <c r="L321" s="242" t="str">
        <f t="shared" si="48"/>
        <v/>
      </c>
      <c r="M321" s="242" t="str">
        <f t="shared" si="49"/>
        <v/>
      </c>
      <c r="N321" s="242" t="str">
        <f t="shared" si="50"/>
        <v/>
      </c>
      <c r="O321" s="242" t="str">
        <f t="shared" si="51"/>
        <v/>
      </c>
      <c r="P321" s="242" t="str">
        <f t="shared" si="52"/>
        <v/>
      </c>
      <c r="Q321" s="242" t="str">
        <f t="shared" si="53"/>
        <v/>
      </c>
      <c r="R321" s="242" t="str">
        <f t="shared" si="54"/>
        <v/>
      </c>
      <c r="S321" s="242" t="str">
        <f t="shared" si="55"/>
        <v/>
      </c>
      <c r="T321" s="242" t="str">
        <f t="shared" si="56"/>
        <v/>
      </c>
      <c r="U321" s="242" t="str">
        <f t="shared" si="57"/>
        <v/>
      </c>
      <c r="V321" s="242" t="str">
        <f t="shared" si="58"/>
        <v/>
      </c>
      <c r="W321" s="242" t="str">
        <f t="shared" si="59"/>
        <v/>
      </c>
    </row>
    <row r="322" spans="1:23" x14ac:dyDescent="0.2">
      <c r="A322" s="283"/>
      <c r="B322" s="283"/>
      <c r="C322" s="283"/>
      <c r="D322" s="283"/>
      <c r="E322" s="283"/>
      <c r="F322" s="283"/>
      <c r="G322" s="283"/>
      <c r="K322" s="242">
        <v>321</v>
      </c>
      <c r="L322" s="242" t="str">
        <f t="shared" si="48"/>
        <v/>
      </c>
      <c r="M322" s="242" t="str">
        <f t="shared" si="49"/>
        <v/>
      </c>
      <c r="N322" s="242" t="str">
        <f t="shared" si="50"/>
        <v/>
      </c>
      <c r="O322" s="242" t="str">
        <f t="shared" si="51"/>
        <v/>
      </c>
      <c r="P322" s="242" t="str">
        <f t="shared" si="52"/>
        <v/>
      </c>
      <c r="Q322" s="242" t="str">
        <f t="shared" si="53"/>
        <v/>
      </c>
      <c r="R322" s="242" t="str">
        <f t="shared" si="54"/>
        <v/>
      </c>
      <c r="S322" s="242" t="str">
        <f t="shared" si="55"/>
        <v/>
      </c>
      <c r="T322" s="242" t="str">
        <f t="shared" si="56"/>
        <v/>
      </c>
      <c r="U322" s="242" t="str">
        <f t="shared" si="57"/>
        <v/>
      </c>
      <c r="V322" s="242" t="str">
        <f t="shared" si="58"/>
        <v/>
      </c>
      <c r="W322" s="242" t="str">
        <f t="shared" si="59"/>
        <v/>
      </c>
    </row>
    <row r="323" spans="1:23" x14ac:dyDescent="0.2">
      <c r="A323" s="283"/>
      <c r="B323" s="283"/>
      <c r="C323" s="283"/>
      <c r="D323" s="283"/>
      <c r="E323" s="283"/>
      <c r="F323" s="283"/>
      <c r="G323" s="283"/>
      <c r="K323" s="242">
        <v>322</v>
      </c>
      <c r="L323" s="242" t="str">
        <f t="shared" ref="L323:L386" si="60">IF($B$13&gt;=K323,K323,"")</f>
        <v/>
      </c>
      <c r="M323" s="242" t="str">
        <f t="shared" ref="M323:M386" si="61">IF(L323="","",IF(L323&lt;=$E$15,VLOOKUP($E$14,$I$1:$J$4,2,FALSE),VLOOKUP($F$14,$I$1:$J$4,2,FALSE)))</f>
        <v/>
      </c>
      <c r="N323" s="242" t="str">
        <f t="shared" ref="N323:N386" si="62">IF($B$20&gt;=K323,K323,"")</f>
        <v/>
      </c>
      <c r="O323" s="242" t="str">
        <f t="shared" ref="O323:O386" si="63">IF(N323="","",IF(N323&lt;=$E$22,VLOOKUP($E$21,$I$1:$J$4,2,FALSE),VLOOKUP($F$21,$I$1:$J$4,2,FALSE)))</f>
        <v/>
      </c>
      <c r="P323" s="242" t="str">
        <f t="shared" ref="P323:P386" si="64">IF($B$27&gt;=K323,K323,"")</f>
        <v/>
      </c>
      <c r="Q323" s="242" t="str">
        <f t="shared" ref="Q323:Q386" si="65">IF(P323="","",IF(P323&lt;=$E$29,VLOOKUP($E$28,$I$1:$J$4,2,FALSE),VLOOKUP($F$28,$I$1:$J$4,2,FALSE)))</f>
        <v/>
      </c>
      <c r="R323" s="242" t="str">
        <f t="shared" ref="R323:R386" si="66">IF($B$34&gt;=K323,K323,"")</f>
        <v/>
      </c>
      <c r="S323" s="242" t="str">
        <f t="shared" ref="S323:S386" si="67">IF(R323="","",IF(R323&lt;=$E$36,VLOOKUP($E$35,$I$1:$J$4,2,FALSE),VLOOKUP($F$35,$I$1:$J$4,2,FALSE)))</f>
        <v/>
      </c>
      <c r="T323" s="242" t="str">
        <f t="shared" ref="T323:T386" si="68">IF($B$41&gt;=K323,K323,"")</f>
        <v/>
      </c>
      <c r="U323" s="242" t="str">
        <f t="shared" ref="U323:U386" si="69">IF(T323="","",IF(T323&lt;=$E$43,VLOOKUP($E$42,$I$1:$J$4,2,FALSE),VLOOKUP($F$42,$I$1:$J$4,2,FALSE)))</f>
        <v/>
      </c>
      <c r="V323" s="242" t="str">
        <f t="shared" ref="V323:V386" si="70">IF($B$48&gt;=K323,K323,"")</f>
        <v/>
      </c>
      <c r="W323" s="242" t="str">
        <f t="shared" ref="W323:W386" si="71">IF(V323="","",IF(V323&lt;=$E$50,VLOOKUP($E$49,$I$1:$J$4,2,FALSE),VLOOKUP($F$49,$I$1:$J$4,2,FALSE)))</f>
        <v/>
      </c>
    </row>
    <row r="324" spans="1:23" x14ac:dyDescent="0.2">
      <c r="A324" s="283"/>
      <c r="B324" s="283"/>
      <c r="C324" s="283"/>
      <c r="D324" s="283"/>
      <c r="E324" s="283"/>
      <c r="F324" s="283"/>
      <c r="G324" s="283"/>
      <c r="K324" s="242">
        <v>323</v>
      </c>
      <c r="L324" s="242" t="str">
        <f t="shared" si="60"/>
        <v/>
      </c>
      <c r="M324" s="242" t="str">
        <f t="shared" si="61"/>
        <v/>
      </c>
      <c r="N324" s="242" t="str">
        <f t="shared" si="62"/>
        <v/>
      </c>
      <c r="O324" s="242" t="str">
        <f t="shared" si="63"/>
        <v/>
      </c>
      <c r="P324" s="242" t="str">
        <f t="shared" si="64"/>
        <v/>
      </c>
      <c r="Q324" s="242" t="str">
        <f t="shared" si="65"/>
        <v/>
      </c>
      <c r="R324" s="242" t="str">
        <f t="shared" si="66"/>
        <v/>
      </c>
      <c r="S324" s="242" t="str">
        <f t="shared" si="67"/>
        <v/>
      </c>
      <c r="T324" s="242" t="str">
        <f t="shared" si="68"/>
        <v/>
      </c>
      <c r="U324" s="242" t="str">
        <f t="shared" si="69"/>
        <v/>
      </c>
      <c r="V324" s="242" t="str">
        <f t="shared" si="70"/>
        <v/>
      </c>
      <c r="W324" s="242" t="str">
        <f t="shared" si="71"/>
        <v/>
      </c>
    </row>
    <row r="325" spans="1:23" x14ac:dyDescent="0.2">
      <c r="A325" s="283"/>
      <c r="B325" s="283"/>
      <c r="C325" s="283"/>
      <c r="D325" s="283"/>
      <c r="E325" s="283"/>
      <c r="F325" s="283"/>
      <c r="G325" s="283"/>
      <c r="K325" s="242">
        <v>324</v>
      </c>
      <c r="L325" s="242" t="str">
        <f t="shared" si="60"/>
        <v/>
      </c>
      <c r="M325" s="242" t="str">
        <f t="shared" si="61"/>
        <v/>
      </c>
      <c r="N325" s="242" t="str">
        <f t="shared" si="62"/>
        <v/>
      </c>
      <c r="O325" s="242" t="str">
        <f t="shared" si="63"/>
        <v/>
      </c>
      <c r="P325" s="242" t="str">
        <f t="shared" si="64"/>
        <v/>
      </c>
      <c r="Q325" s="242" t="str">
        <f t="shared" si="65"/>
        <v/>
      </c>
      <c r="R325" s="242" t="str">
        <f t="shared" si="66"/>
        <v/>
      </c>
      <c r="S325" s="242" t="str">
        <f t="shared" si="67"/>
        <v/>
      </c>
      <c r="T325" s="242" t="str">
        <f t="shared" si="68"/>
        <v/>
      </c>
      <c r="U325" s="242" t="str">
        <f t="shared" si="69"/>
        <v/>
      </c>
      <c r="V325" s="242" t="str">
        <f t="shared" si="70"/>
        <v/>
      </c>
      <c r="W325" s="242" t="str">
        <f t="shared" si="71"/>
        <v/>
      </c>
    </row>
    <row r="326" spans="1:23" x14ac:dyDescent="0.2">
      <c r="A326" s="283"/>
      <c r="B326" s="283"/>
      <c r="C326" s="283"/>
      <c r="D326" s="283"/>
      <c r="E326" s="283"/>
      <c r="F326" s="283"/>
      <c r="G326" s="283"/>
      <c r="K326" s="242">
        <v>325</v>
      </c>
      <c r="L326" s="242" t="str">
        <f t="shared" si="60"/>
        <v/>
      </c>
      <c r="M326" s="242" t="str">
        <f t="shared" si="61"/>
        <v/>
      </c>
      <c r="N326" s="242" t="str">
        <f t="shared" si="62"/>
        <v/>
      </c>
      <c r="O326" s="242" t="str">
        <f t="shared" si="63"/>
        <v/>
      </c>
      <c r="P326" s="242" t="str">
        <f t="shared" si="64"/>
        <v/>
      </c>
      <c r="Q326" s="242" t="str">
        <f t="shared" si="65"/>
        <v/>
      </c>
      <c r="R326" s="242" t="str">
        <f t="shared" si="66"/>
        <v/>
      </c>
      <c r="S326" s="242" t="str">
        <f t="shared" si="67"/>
        <v/>
      </c>
      <c r="T326" s="242" t="str">
        <f t="shared" si="68"/>
        <v/>
      </c>
      <c r="U326" s="242" t="str">
        <f t="shared" si="69"/>
        <v/>
      </c>
      <c r="V326" s="242" t="str">
        <f t="shared" si="70"/>
        <v/>
      </c>
      <c r="W326" s="242" t="str">
        <f t="shared" si="71"/>
        <v/>
      </c>
    </row>
    <row r="327" spans="1:23" x14ac:dyDescent="0.2">
      <c r="A327" s="283"/>
      <c r="B327" s="283"/>
      <c r="C327" s="283"/>
      <c r="D327" s="283"/>
      <c r="E327" s="283"/>
      <c r="F327" s="283"/>
      <c r="G327" s="283"/>
      <c r="K327" s="242">
        <v>326</v>
      </c>
      <c r="L327" s="242" t="str">
        <f t="shared" si="60"/>
        <v/>
      </c>
      <c r="M327" s="242" t="str">
        <f t="shared" si="61"/>
        <v/>
      </c>
      <c r="N327" s="242" t="str">
        <f t="shared" si="62"/>
        <v/>
      </c>
      <c r="O327" s="242" t="str">
        <f t="shared" si="63"/>
        <v/>
      </c>
      <c r="P327" s="242" t="str">
        <f t="shared" si="64"/>
        <v/>
      </c>
      <c r="Q327" s="242" t="str">
        <f t="shared" si="65"/>
        <v/>
      </c>
      <c r="R327" s="242" t="str">
        <f t="shared" si="66"/>
        <v/>
      </c>
      <c r="S327" s="242" t="str">
        <f t="shared" si="67"/>
        <v/>
      </c>
      <c r="T327" s="242" t="str">
        <f t="shared" si="68"/>
        <v/>
      </c>
      <c r="U327" s="242" t="str">
        <f t="shared" si="69"/>
        <v/>
      </c>
      <c r="V327" s="242" t="str">
        <f t="shared" si="70"/>
        <v/>
      </c>
      <c r="W327" s="242" t="str">
        <f t="shared" si="71"/>
        <v/>
      </c>
    </row>
    <row r="328" spans="1:23" x14ac:dyDescent="0.2">
      <c r="A328" s="283"/>
      <c r="B328" s="283"/>
      <c r="C328" s="283"/>
      <c r="D328" s="283"/>
      <c r="E328" s="283"/>
      <c r="F328" s="283"/>
      <c r="G328" s="283"/>
      <c r="K328" s="242">
        <v>327</v>
      </c>
      <c r="L328" s="242" t="str">
        <f t="shared" si="60"/>
        <v/>
      </c>
      <c r="M328" s="242" t="str">
        <f t="shared" si="61"/>
        <v/>
      </c>
      <c r="N328" s="242" t="str">
        <f t="shared" si="62"/>
        <v/>
      </c>
      <c r="O328" s="242" t="str">
        <f t="shared" si="63"/>
        <v/>
      </c>
      <c r="P328" s="242" t="str">
        <f t="shared" si="64"/>
        <v/>
      </c>
      <c r="Q328" s="242" t="str">
        <f t="shared" si="65"/>
        <v/>
      </c>
      <c r="R328" s="242" t="str">
        <f t="shared" si="66"/>
        <v/>
      </c>
      <c r="S328" s="242" t="str">
        <f t="shared" si="67"/>
        <v/>
      </c>
      <c r="T328" s="242" t="str">
        <f t="shared" si="68"/>
        <v/>
      </c>
      <c r="U328" s="242" t="str">
        <f t="shared" si="69"/>
        <v/>
      </c>
      <c r="V328" s="242" t="str">
        <f t="shared" si="70"/>
        <v/>
      </c>
      <c r="W328" s="242" t="str">
        <f t="shared" si="71"/>
        <v/>
      </c>
    </row>
    <row r="329" spans="1:23" x14ac:dyDescent="0.2">
      <c r="A329" s="283"/>
      <c r="B329" s="283"/>
      <c r="C329" s="283"/>
      <c r="D329" s="283"/>
      <c r="E329" s="283"/>
      <c r="F329" s="283"/>
      <c r="G329" s="283"/>
      <c r="K329" s="242">
        <v>328</v>
      </c>
      <c r="L329" s="242" t="str">
        <f t="shared" si="60"/>
        <v/>
      </c>
      <c r="M329" s="242" t="str">
        <f t="shared" si="61"/>
        <v/>
      </c>
      <c r="N329" s="242" t="str">
        <f t="shared" si="62"/>
        <v/>
      </c>
      <c r="O329" s="242" t="str">
        <f t="shared" si="63"/>
        <v/>
      </c>
      <c r="P329" s="242" t="str">
        <f t="shared" si="64"/>
        <v/>
      </c>
      <c r="Q329" s="242" t="str">
        <f t="shared" si="65"/>
        <v/>
      </c>
      <c r="R329" s="242" t="str">
        <f t="shared" si="66"/>
        <v/>
      </c>
      <c r="S329" s="242" t="str">
        <f t="shared" si="67"/>
        <v/>
      </c>
      <c r="T329" s="242" t="str">
        <f t="shared" si="68"/>
        <v/>
      </c>
      <c r="U329" s="242" t="str">
        <f t="shared" si="69"/>
        <v/>
      </c>
      <c r="V329" s="242" t="str">
        <f t="shared" si="70"/>
        <v/>
      </c>
      <c r="W329" s="242" t="str">
        <f t="shared" si="71"/>
        <v/>
      </c>
    </row>
    <row r="330" spans="1:23" x14ac:dyDescent="0.2">
      <c r="A330" s="283"/>
      <c r="B330" s="283"/>
      <c r="C330" s="283"/>
      <c r="D330" s="283"/>
      <c r="E330" s="283"/>
      <c r="F330" s="283"/>
      <c r="G330" s="283"/>
      <c r="K330" s="242">
        <v>329</v>
      </c>
      <c r="L330" s="242" t="str">
        <f t="shared" si="60"/>
        <v/>
      </c>
      <c r="M330" s="242" t="str">
        <f t="shared" si="61"/>
        <v/>
      </c>
      <c r="N330" s="242" t="str">
        <f t="shared" si="62"/>
        <v/>
      </c>
      <c r="O330" s="242" t="str">
        <f t="shared" si="63"/>
        <v/>
      </c>
      <c r="P330" s="242" t="str">
        <f t="shared" si="64"/>
        <v/>
      </c>
      <c r="Q330" s="242" t="str">
        <f t="shared" si="65"/>
        <v/>
      </c>
      <c r="R330" s="242" t="str">
        <f t="shared" si="66"/>
        <v/>
      </c>
      <c r="S330" s="242" t="str">
        <f t="shared" si="67"/>
        <v/>
      </c>
      <c r="T330" s="242" t="str">
        <f t="shared" si="68"/>
        <v/>
      </c>
      <c r="U330" s="242" t="str">
        <f t="shared" si="69"/>
        <v/>
      </c>
      <c r="V330" s="242" t="str">
        <f t="shared" si="70"/>
        <v/>
      </c>
      <c r="W330" s="242" t="str">
        <f t="shared" si="71"/>
        <v/>
      </c>
    </row>
    <row r="331" spans="1:23" x14ac:dyDescent="0.2">
      <c r="A331" s="283"/>
      <c r="B331" s="283"/>
      <c r="C331" s="283"/>
      <c r="D331" s="283"/>
      <c r="E331" s="283"/>
      <c r="F331" s="283"/>
      <c r="G331" s="283"/>
      <c r="K331" s="242">
        <v>330</v>
      </c>
      <c r="L331" s="242" t="str">
        <f t="shared" si="60"/>
        <v/>
      </c>
      <c r="M331" s="242" t="str">
        <f t="shared" si="61"/>
        <v/>
      </c>
      <c r="N331" s="242" t="str">
        <f t="shared" si="62"/>
        <v/>
      </c>
      <c r="O331" s="242" t="str">
        <f t="shared" si="63"/>
        <v/>
      </c>
      <c r="P331" s="242" t="str">
        <f t="shared" si="64"/>
        <v/>
      </c>
      <c r="Q331" s="242" t="str">
        <f t="shared" si="65"/>
        <v/>
      </c>
      <c r="R331" s="242" t="str">
        <f t="shared" si="66"/>
        <v/>
      </c>
      <c r="S331" s="242" t="str">
        <f t="shared" si="67"/>
        <v/>
      </c>
      <c r="T331" s="242" t="str">
        <f t="shared" si="68"/>
        <v/>
      </c>
      <c r="U331" s="242" t="str">
        <f t="shared" si="69"/>
        <v/>
      </c>
      <c r="V331" s="242" t="str">
        <f t="shared" si="70"/>
        <v/>
      </c>
      <c r="W331" s="242" t="str">
        <f t="shared" si="71"/>
        <v/>
      </c>
    </row>
    <row r="332" spans="1:23" x14ac:dyDescent="0.2">
      <c r="A332" s="283"/>
      <c r="B332" s="283"/>
      <c r="C332" s="283"/>
      <c r="D332" s="283"/>
      <c r="E332" s="283"/>
      <c r="F332" s="283"/>
      <c r="G332" s="283"/>
      <c r="K332" s="242">
        <v>331</v>
      </c>
      <c r="L332" s="242" t="str">
        <f t="shared" si="60"/>
        <v/>
      </c>
      <c r="M332" s="242" t="str">
        <f t="shared" si="61"/>
        <v/>
      </c>
      <c r="N332" s="242" t="str">
        <f t="shared" si="62"/>
        <v/>
      </c>
      <c r="O332" s="242" t="str">
        <f t="shared" si="63"/>
        <v/>
      </c>
      <c r="P332" s="242" t="str">
        <f t="shared" si="64"/>
        <v/>
      </c>
      <c r="Q332" s="242" t="str">
        <f t="shared" si="65"/>
        <v/>
      </c>
      <c r="R332" s="242" t="str">
        <f t="shared" si="66"/>
        <v/>
      </c>
      <c r="S332" s="242" t="str">
        <f t="shared" si="67"/>
        <v/>
      </c>
      <c r="T332" s="242" t="str">
        <f t="shared" si="68"/>
        <v/>
      </c>
      <c r="U332" s="242" t="str">
        <f t="shared" si="69"/>
        <v/>
      </c>
      <c r="V332" s="242" t="str">
        <f t="shared" si="70"/>
        <v/>
      </c>
      <c r="W332" s="242" t="str">
        <f t="shared" si="71"/>
        <v/>
      </c>
    </row>
    <row r="333" spans="1:23" x14ac:dyDescent="0.2">
      <c r="A333" s="283"/>
      <c r="B333" s="283"/>
      <c r="C333" s="283"/>
      <c r="D333" s="283"/>
      <c r="E333" s="283"/>
      <c r="F333" s="283"/>
      <c r="G333" s="283"/>
      <c r="K333" s="242">
        <v>332</v>
      </c>
      <c r="L333" s="242" t="str">
        <f t="shared" si="60"/>
        <v/>
      </c>
      <c r="M333" s="242" t="str">
        <f t="shared" si="61"/>
        <v/>
      </c>
      <c r="N333" s="242" t="str">
        <f t="shared" si="62"/>
        <v/>
      </c>
      <c r="O333" s="242" t="str">
        <f t="shared" si="63"/>
        <v/>
      </c>
      <c r="P333" s="242" t="str">
        <f t="shared" si="64"/>
        <v/>
      </c>
      <c r="Q333" s="242" t="str">
        <f t="shared" si="65"/>
        <v/>
      </c>
      <c r="R333" s="242" t="str">
        <f t="shared" si="66"/>
        <v/>
      </c>
      <c r="S333" s="242" t="str">
        <f t="shared" si="67"/>
        <v/>
      </c>
      <c r="T333" s="242" t="str">
        <f t="shared" si="68"/>
        <v/>
      </c>
      <c r="U333" s="242" t="str">
        <f t="shared" si="69"/>
        <v/>
      </c>
      <c r="V333" s="242" t="str">
        <f t="shared" si="70"/>
        <v/>
      </c>
      <c r="W333" s="242" t="str">
        <f t="shared" si="71"/>
        <v/>
      </c>
    </row>
    <row r="334" spans="1:23" x14ac:dyDescent="0.2">
      <c r="A334" s="283"/>
      <c r="B334" s="283"/>
      <c r="C334" s="283"/>
      <c r="D334" s="283"/>
      <c r="E334" s="283"/>
      <c r="F334" s="283"/>
      <c r="G334" s="283"/>
      <c r="K334" s="242">
        <v>333</v>
      </c>
      <c r="L334" s="242" t="str">
        <f t="shared" si="60"/>
        <v/>
      </c>
      <c r="M334" s="242" t="str">
        <f t="shared" si="61"/>
        <v/>
      </c>
      <c r="N334" s="242" t="str">
        <f t="shared" si="62"/>
        <v/>
      </c>
      <c r="O334" s="242" t="str">
        <f t="shared" si="63"/>
        <v/>
      </c>
      <c r="P334" s="242" t="str">
        <f t="shared" si="64"/>
        <v/>
      </c>
      <c r="Q334" s="242" t="str">
        <f t="shared" si="65"/>
        <v/>
      </c>
      <c r="R334" s="242" t="str">
        <f t="shared" si="66"/>
        <v/>
      </c>
      <c r="S334" s="242" t="str">
        <f t="shared" si="67"/>
        <v/>
      </c>
      <c r="T334" s="242" t="str">
        <f t="shared" si="68"/>
        <v/>
      </c>
      <c r="U334" s="242" t="str">
        <f t="shared" si="69"/>
        <v/>
      </c>
      <c r="V334" s="242" t="str">
        <f t="shared" si="70"/>
        <v/>
      </c>
      <c r="W334" s="242" t="str">
        <f t="shared" si="71"/>
        <v/>
      </c>
    </row>
    <row r="335" spans="1:23" x14ac:dyDescent="0.2">
      <c r="A335" s="283"/>
      <c r="B335" s="283"/>
      <c r="C335" s="283"/>
      <c r="D335" s="283"/>
      <c r="E335" s="283"/>
      <c r="F335" s="283"/>
      <c r="G335" s="283"/>
      <c r="K335" s="242">
        <v>334</v>
      </c>
      <c r="L335" s="242" t="str">
        <f t="shared" si="60"/>
        <v/>
      </c>
      <c r="M335" s="242" t="str">
        <f t="shared" si="61"/>
        <v/>
      </c>
      <c r="N335" s="242" t="str">
        <f t="shared" si="62"/>
        <v/>
      </c>
      <c r="O335" s="242" t="str">
        <f t="shared" si="63"/>
        <v/>
      </c>
      <c r="P335" s="242" t="str">
        <f t="shared" si="64"/>
        <v/>
      </c>
      <c r="Q335" s="242" t="str">
        <f t="shared" si="65"/>
        <v/>
      </c>
      <c r="R335" s="242" t="str">
        <f t="shared" si="66"/>
        <v/>
      </c>
      <c r="S335" s="242" t="str">
        <f t="shared" si="67"/>
        <v/>
      </c>
      <c r="T335" s="242" t="str">
        <f t="shared" si="68"/>
        <v/>
      </c>
      <c r="U335" s="242" t="str">
        <f t="shared" si="69"/>
        <v/>
      </c>
      <c r="V335" s="242" t="str">
        <f t="shared" si="70"/>
        <v/>
      </c>
      <c r="W335" s="242" t="str">
        <f t="shared" si="71"/>
        <v/>
      </c>
    </row>
    <row r="336" spans="1:23" x14ac:dyDescent="0.2">
      <c r="A336" s="283"/>
      <c r="B336" s="283"/>
      <c r="C336" s="283"/>
      <c r="D336" s="283"/>
      <c r="E336" s="283"/>
      <c r="F336" s="283"/>
      <c r="G336" s="283"/>
      <c r="K336" s="242">
        <v>335</v>
      </c>
      <c r="L336" s="242" t="str">
        <f t="shared" si="60"/>
        <v/>
      </c>
      <c r="M336" s="242" t="str">
        <f t="shared" si="61"/>
        <v/>
      </c>
      <c r="N336" s="242" t="str">
        <f t="shared" si="62"/>
        <v/>
      </c>
      <c r="O336" s="242" t="str">
        <f t="shared" si="63"/>
        <v/>
      </c>
      <c r="P336" s="242" t="str">
        <f t="shared" si="64"/>
        <v/>
      </c>
      <c r="Q336" s="242" t="str">
        <f t="shared" si="65"/>
        <v/>
      </c>
      <c r="R336" s="242" t="str">
        <f t="shared" si="66"/>
        <v/>
      </c>
      <c r="S336" s="242" t="str">
        <f t="shared" si="67"/>
        <v/>
      </c>
      <c r="T336" s="242" t="str">
        <f t="shared" si="68"/>
        <v/>
      </c>
      <c r="U336" s="242" t="str">
        <f t="shared" si="69"/>
        <v/>
      </c>
      <c r="V336" s="242" t="str">
        <f t="shared" si="70"/>
        <v/>
      </c>
      <c r="W336" s="242" t="str">
        <f t="shared" si="71"/>
        <v/>
      </c>
    </row>
    <row r="337" spans="1:23" x14ac:dyDescent="0.2">
      <c r="A337" s="283"/>
      <c r="B337" s="283"/>
      <c r="C337" s="283"/>
      <c r="D337" s="283"/>
      <c r="E337" s="283"/>
      <c r="F337" s="283"/>
      <c r="G337" s="283"/>
      <c r="K337" s="242">
        <v>336</v>
      </c>
      <c r="L337" s="242" t="str">
        <f t="shared" si="60"/>
        <v/>
      </c>
      <c r="M337" s="242" t="str">
        <f t="shared" si="61"/>
        <v/>
      </c>
      <c r="N337" s="242" t="str">
        <f t="shared" si="62"/>
        <v/>
      </c>
      <c r="O337" s="242" t="str">
        <f t="shared" si="63"/>
        <v/>
      </c>
      <c r="P337" s="242" t="str">
        <f t="shared" si="64"/>
        <v/>
      </c>
      <c r="Q337" s="242" t="str">
        <f t="shared" si="65"/>
        <v/>
      </c>
      <c r="R337" s="242" t="str">
        <f t="shared" si="66"/>
        <v/>
      </c>
      <c r="S337" s="242" t="str">
        <f t="shared" si="67"/>
        <v/>
      </c>
      <c r="T337" s="242" t="str">
        <f t="shared" si="68"/>
        <v/>
      </c>
      <c r="U337" s="242" t="str">
        <f t="shared" si="69"/>
        <v/>
      </c>
      <c r="V337" s="242" t="str">
        <f t="shared" si="70"/>
        <v/>
      </c>
      <c r="W337" s="242" t="str">
        <f t="shared" si="71"/>
        <v/>
      </c>
    </row>
    <row r="338" spans="1:23" x14ac:dyDescent="0.2">
      <c r="A338" s="283"/>
      <c r="B338" s="283"/>
      <c r="C338" s="283"/>
      <c r="D338" s="283"/>
      <c r="E338" s="283"/>
      <c r="F338" s="283"/>
      <c r="G338" s="283"/>
      <c r="K338" s="242">
        <v>337</v>
      </c>
      <c r="L338" s="242" t="str">
        <f t="shared" si="60"/>
        <v/>
      </c>
      <c r="M338" s="242" t="str">
        <f t="shared" si="61"/>
        <v/>
      </c>
      <c r="N338" s="242" t="str">
        <f t="shared" si="62"/>
        <v/>
      </c>
      <c r="O338" s="242" t="str">
        <f t="shared" si="63"/>
        <v/>
      </c>
      <c r="P338" s="242" t="str">
        <f t="shared" si="64"/>
        <v/>
      </c>
      <c r="Q338" s="242" t="str">
        <f t="shared" si="65"/>
        <v/>
      </c>
      <c r="R338" s="242" t="str">
        <f t="shared" si="66"/>
        <v/>
      </c>
      <c r="S338" s="242" t="str">
        <f t="shared" si="67"/>
        <v/>
      </c>
      <c r="T338" s="242" t="str">
        <f t="shared" si="68"/>
        <v/>
      </c>
      <c r="U338" s="242" t="str">
        <f t="shared" si="69"/>
        <v/>
      </c>
      <c r="V338" s="242" t="str">
        <f t="shared" si="70"/>
        <v/>
      </c>
      <c r="W338" s="242" t="str">
        <f t="shared" si="71"/>
        <v/>
      </c>
    </row>
    <row r="339" spans="1:23" x14ac:dyDescent="0.2">
      <c r="A339" s="283"/>
      <c r="B339" s="283"/>
      <c r="C339" s="283"/>
      <c r="D339" s="283"/>
      <c r="E339" s="283"/>
      <c r="F339" s="283"/>
      <c r="G339" s="283"/>
      <c r="K339" s="242">
        <v>338</v>
      </c>
      <c r="L339" s="242" t="str">
        <f t="shared" si="60"/>
        <v/>
      </c>
      <c r="M339" s="242" t="str">
        <f t="shared" si="61"/>
        <v/>
      </c>
      <c r="N339" s="242" t="str">
        <f t="shared" si="62"/>
        <v/>
      </c>
      <c r="O339" s="242" t="str">
        <f t="shared" si="63"/>
        <v/>
      </c>
      <c r="P339" s="242" t="str">
        <f t="shared" si="64"/>
        <v/>
      </c>
      <c r="Q339" s="242" t="str">
        <f t="shared" si="65"/>
        <v/>
      </c>
      <c r="R339" s="242" t="str">
        <f t="shared" si="66"/>
        <v/>
      </c>
      <c r="S339" s="242" t="str">
        <f t="shared" si="67"/>
        <v/>
      </c>
      <c r="T339" s="242" t="str">
        <f t="shared" si="68"/>
        <v/>
      </c>
      <c r="U339" s="242" t="str">
        <f t="shared" si="69"/>
        <v/>
      </c>
      <c r="V339" s="242" t="str">
        <f t="shared" si="70"/>
        <v/>
      </c>
      <c r="W339" s="242" t="str">
        <f t="shared" si="71"/>
        <v/>
      </c>
    </row>
    <row r="340" spans="1:23" x14ac:dyDescent="0.2">
      <c r="A340" s="283"/>
      <c r="B340" s="283"/>
      <c r="C340" s="283"/>
      <c r="D340" s="283"/>
      <c r="E340" s="283"/>
      <c r="F340" s="283"/>
      <c r="G340" s="283"/>
      <c r="K340" s="242">
        <v>339</v>
      </c>
      <c r="L340" s="242" t="str">
        <f t="shared" si="60"/>
        <v/>
      </c>
      <c r="M340" s="242" t="str">
        <f t="shared" si="61"/>
        <v/>
      </c>
      <c r="N340" s="242" t="str">
        <f t="shared" si="62"/>
        <v/>
      </c>
      <c r="O340" s="242" t="str">
        <f t="shared" si="63"/>
        <v/>
      </c>
      <c r="P340" s="242" t="str">
        <f t="shared" si="64"/>
        <v/>
      </c>
      <c r="Q340" s="242" t="str">
        <f t="shared" si="65"/>
        <v/>
      </c>
      <c r="R340" s="242" t="str">
        <f t="shared" si="66"/>
        <v/>
      </c>
      <c r="S340" s="242" t="str">
        <f t="shared" si="67"/>
        <v/>
      </c>
      <c r="T340" s="242" t="str">
        <f t="shared" si="68"/>
        <v/>
      </c>
      <c r="U340" s="242" t="str">
        <f t="shared" si="69"/>
        <v/>
      </c>
      <c r="V340" s="242" t="str">
        <f t="shared" si="70"/>
        <v/>
      </c>
      <c r="W340" s="242" t="str">
        <f t="shared" si="71"/>
        <v/>
      </c>
    </row>
    <row r="341" spans="1:23" x14ac:dyDescent="0.2">
      <c r="A341" s="283"/>
      <c r="B341" s="283"/>
      <c r="C341" s="283"/>
      <c r="D341" s="283"/>
      <c r="E341" s="283"/>
      <c r="F341" s="283"/>
      <c r="G341" s="283"/>
      <c r="K341" s="242">
        <v>340</v>
      </c>
      <c r="L341" s="242" t="str">
        <f t="shared" si="60"/>
        <v/>
      </c>
      <c r="M341" s="242" t="str">
        <f t="shared" si="61"/>
        <v/>
      </c>
      <c r="N341" s="242" t="str">
        <f t="shared" si="62"/>
        <v/>
      </c>
      <c r="O341" s="242" t="str">
        <f t="shared" si="63"/>
        <v/>
      </c>
      <c r="P341" s="242" t="str">
        <f t="shared" si="64"/>
        <v/>
      </c>
      <c r="Q341" s="242" t="str">
        <f t="shared" si="65"/>
        <v/>
      </c>
      <c r="R341" s="242" t="str">
        <f t="shared" si="66"/>
        <v/>
      </c>
      <c r="S341" s="242" t="str">
        <f t="shared" si="67"/>
        <v/>
      </c>
      <c r="T341" s="242" t="str">
        <f t="shared" si="68"/>
        <v/>
      </c>
      <c r="U341" s="242" t="str">
        <f t="shared" si="69"/>
        <v/>
      </c>
      <c r="V341" s="242" t="str">
        <f t="shared" si="70"/>
        <v/>
      </c>
      <c r="W341" s="242" t="str">
        <f t="shared" si="71"/>
        <v/>
      </c>
    </row>
    <row r="342" spans="1:23" x14ac:dyDescent="0.2">
      <c r="A342" s="283"/>
      <c r="B342" s="283"/>
      <c r="C342" s="283"/>
      <c r="D342" s="283"/>
      <c r="E342" s="283"/>
      <c r="F342" s="283"/>
      <c r="G342" s="283"/>
      <c r="K342" s="242">
        <v>341</v>
      </c>
      <c r="L342" s="242" t="str">
        <f t="shared" si="60"/>
        <v/>
      </c>
      <c r="M342" s="242" t="str">
        <f t="shared" si="61"/>
        <v/>
      </c>
      <c r="N342" s="242" t="str">
        <f t="shared" si="62"/>
        <v/>
      </c>
      <c r="O342" s="242" t="str">
        <f t="shared" si="63"/>
        <v/>
      </c>
      <c r="P342" s="242" t="str">
        <f t="shared" si="64"/>
        <v/>
      </c>
      <c r="Q342" s="242" t="str">
        <f t="shared" si="65"/>
        <v/>
      </c>
      <c r="R342" s="242" t="str">
        <f t="shared" si="66"/>
        <v/>
      </c>
      <c r="S342" s="242" t="str">
        <f t="shared" si="67"/>
        <v/>
      </c>
      <c r="T342" s="242" t="str">
        <f t="shared" si="68"/>
        <v/>
      </c>
      <c r="U342" s="242" t="str">
        <f t="shared" si="69"/>
        <v/>
      </c>
      <c r="V342" s="242" t="str">
        <f t="shared" si="70"/>
        <v/>
      </c>
      <c r="W342" s="242" t="str">
        <f t="shared" si="71"/>
        <v/>
      </c>
    </row>
    <row r="343" spans="1:23" x14ac:dyDescent="0.2">
      <c r="A343" s="283"/>
      <c r="B343" s="283"/>
      <c r="C343" s="283"/>
      <c r="D343" s="283"/>
      <c r="E343" s="283"/>
      <c r="F343" s="283"/>
      <c r="G343" s="283"/>
      <c r="K343" s="242">
        <v>342</v>
      </c>
      <c r="L343" s="242" t="str">
        <f t="shared" si="60"/>
        <v/>
      </c>
      <c r="M343" s="242" t="str">
        <f t="shared" si="61"/>
        <v/>
      </c>
      <c r="N343" s="242" t="str">
        <f t="shared" si="62"/>
        <v/>
      </c>
      <c r="O343" s="242" t="str">
        <f t="shared" si="63"/>
        <v/>
      </c>
      <c r="P343" s="242" t="str">
        <f t="shared" si="64"/>
        <v/>
      </c>
      <c r="Q343" s="242" t="str">
        <f t="shared" si="65"/>
        <v/>
      </c>
      <c r="R343" s="242" t="str">
        <f t="shared" si="66"/>
        <v/>
      </c>
      <c r="S343" s="242" t="str">
        <f t="shared" si="67"/>
        <v/>
      </c>
      <c r="T343" s="242" t="str">
        <f t="shared" si="68"/>
        <v/>
      </c>
      <c r="U343" s="242" t="str">
        <f t="shared" si="69"/>
        <v/>
      </c>
      <c r="V343" s="242" t="str">
        <f t="shared" si="70"/>
        <v/>
      </c>
      <c r="W343" s="242" t="str">
        <f t="shared" si="71"/>
        <v/>
      </c>
    </row>
    <row r="344" spans="1:23" x14ac:dyDescent="0.2">
      <c r="A344" s="283"/>
      <c r="B344" s="283"/>
      <c r="C344" s="283"/>
      <c r="D344" s="283"/>
      <c r="E344" s="283"/>
      <c r="F344" s="283"/>
      <c r="G344" s="283"/>
      <c r="K344" s="242">
        <v>343</v>
      </c>
      <c r="L344" s="242" t="str">
        <f t="shared" si="60"/>
        <v/>
      </c>
      <c r="M344" s="242" t="str">
        <f t="shared" si="61"/>
        <v/>
      </c>
      <c r="N344" s="242" t="str">
        <f t="shared" si="62"/>
        <v/>
      </c>
      <c r="O344" s="242" t="str">
        <f t="shared" si="63"/>
        <v/>
      </c>
      <c r="P344" s="242" t="str">
        <f t="shared" si="64"/>
        <v/>
      </c>
      <c r="Q344" s="242" t="str">
        <f t="shared" si="65"/>
        <v/>
      </c>
      <c r="R344" s="242" t="str">
        <f t="shared" si="66"/>
        <v/>
      </c>
      <c r="S344" s="242" t="str">
        <f t="shared" si="67"/>
        <v/>
      </c>
      <c r="T344" s="242" t="str">
        <f t="shared" si="68"/>
        <v/>
      </c>
      <c r="U344" s="242" t="str">
        <f t="shared" si="69"/>
        <v/>
      </c>
      <c r="V344" s="242" t="str">
        <f t="shared" si="70"/>
        <v/>
      </c>
      <c r="W344" s="242" t="str">
        <f t="shared" si="71"/>
        <v/>
      </c>
    </row>
    <row r="345" spans="1:23" x14ac:dyDescent="0.2">
      <c r="A345" s="283"/>
      <c r="B345" s="283"/>
      <c r="C345" s="283"/>
      <c r="D345" s="283"/>
      <c r="E345" s="283"/>
      <c r="F345" s="283"/>
      <c r="G345" s="283"/>
      <c r="K345" s="242">
        <v>344</v>
      </c>
      <c r="L345" s="242" t="str">
        <f t="shared" si="60"/>
        <v/>
      </c>
      <c r="M345" s="242" t="str">
        <f t="shared" si="61"/>
        <v/>
      </c>
      <c r="N345" s="242" t="str">
        <f t="shared" si="62"/>
        <v/>
      </c>
      <c r="O345" s="242" t="str">
        <f t="shared" si="63"/>
        <v/>
      </c>
      <c r="P345" s="242" t="str">
        <f t="shared" si="64"/>
        <v/>
      </c>
      <c r="Q345" s="242" t="str">
        <f t="shared" si="65"/>
        <v/>
      </c>
      <c r="R345" s="242" t="str">
        <f t="shared" si="66"/>
        <v/>
      </c>
      <c r="S345" s="242" t="str">
        <f t="shared" si="67"/>
        <v/>
      </c>
      <c r="T345" s="242" t="str">
        <f t="shared" si="68"/>
        <v/>
      </c>
      <c r="U345" s="242" t="str">
        <f t="shared" si="69"/>
        <v/>
      </c>
      <c r="V345" s="242" t="str">
        <f t="shared" si="70"/>
        <v/>
      </c>
      <c r="W345" s="242" t="str">
        <f t="shared" si="71"/>
        <v/>
      </c>
    </row>
    <row r="346" spans="1:23" x14ac:dyDescent="0.2">
      <c r="A346" s="283"/>
      <c r="B346" s="283"/>
      <c r="C346" s="283"/>
      <c r="D346" s="283"/>
      <c r="E346" s="283"/>
      <c r="F346" s="283"/>
      <c r="G346" s="283"/>
      <c r="K346" s="242">
        <v>345</v>
      </c>
      <c r="L346" s="242" t="str">
        <f t="shared" si="60"/>
        <v/>
      </c>
      <c r="M346" s="242" t="str">
        <f t="shared" si="61"/>
        <v/>
      </c>
      <c r="N346" s="242" t="str">
        <f t="shared" si="62"/>
        <v/>
      </c>
      <c r="O346" s="242" t="str">
        <f t="shared" si="63"/>
        <v/>
      </c>
      <c r="P346" s="242" t="str">
        <f t="shared" si="64"/>
        <v/>
      </c>
      <c r="Q346" s="242" t="str">
        <f t="shared" si="65"/>
        <v/>
      </c>
      <c r="R346" s="242" t="str">
        <f t="shared" si="66"/>
        <v/>
      </c>
      <c r="S346" s="242" t="str">
        <f t="shared" si="67"/>
        <v/>
      </c>
      <c r="T346" s="242" t="str">
        <f t="shared" si="68"/>
        <v/>
      </c>
      <c r="U346" s="242" t="str">
        <f t="shared" si="69"/>
        <v/>
      </c>
      <c r="V346" s="242" t="str">
        <f t="shared" si="70"/>
        <v/>
      </c>
      <c r="W346" s="242" t="str">
        <f t="shared" si="71"/>
        <v/>
      </c>
    </row>
    <row r="347" spans="1:23" x14ac:dyDescent="0.2">
      <c r="A347" s="283"/>
      <c r="B347" s="283"/>
      <c r="C347" s="283"/>
      <c r="D347" s="283"/>
      <c r="E347" s="283"/>
      <c r="F347" s="283"/>
      <c r="G347" s="283"/>
      <c r="K347" s="242">
        <v>346</v>
      </c>
      <c r="L347" s="242" t="str">
        <f t="shared" si="60"/>
        <v/>
      </c>
      <c r="M347" s="242" t="str">
        <f t="shared" si="61"/>
        <v/>
      </c>
      <c r="N347" s="242" t="str">
        <f t="shared" si="62"/>
        <v/>
      </c>
      <c r="O347" s="242" t="str">
        <f t="shared" si="63"/>
        <v/>
      </c>
      <c r="P347" s="242" t="str">
        <f t="shared" si="64"/>
        <v/>
      </c>
      <c r="Q347" s="242" t="str">
        <f t="shared" si="65"/>
        <v/>
      </c>
      <c r="R347" s="242" t="str">
        <f t="shared" si="66"/>
        <v/>
      </c>
      <c r="S347" s="242" t="str">
        <f t="shared" si="67"/>
        <v/>
      </c>
      <c r="T347" s="242" t="str">
        <f t="shared" si="68"/>
        <v/>
      </c>
      <c r="U347" s="242" t="str">
        <f t="shared" si="69"/>
        <v/>
      </c>
      <c r="V347" s="242" t="str">
        <f t="shared" si="70"/>
        <v/>
      </c>
      <c r="W347" s="242" t="str">
        <f t="shared" si="71"/>
        <v/>
      </c>
    </row>
    <row r="348" spans="1:23" x14ac:dyDescent="0.2">
      <c r="A348" s="283"/>
      <c r="B348" s="283"/>
      <c r="C348" s="283"/>
      <c r="D348" s="283"/>
      <c r="E348" s="283"/>
      <c r="F348" s="283"/>
      <c r="G348" s="283"/>
      <c r="K348" s="242">
        <v>347</v>
      </c>
      <c r="L348" s="242" t="str">
        <f t="shared" si="60"/>
        <v/>
      </c>
      <c r="M348" s="242" t="str">
        <f t="shared" si="61"/>
        <v/>
      </c>
      <c r="N348" s="242" t="str">
        <f t="shared" si="62"/>
        <v/>
      </c>
      <c r="O348" s="242" t="str">
        <f t="shared" si="63"/>
        <v/>
      </c>
      <c r="P348" s="242" t="str">
        <f t="shared" si="64"/>
        <v/>
      </c>
      <c r="Q348" s="242" t="str">
        <f t="shared" si="65"/>
        <v/>
      </c>
      <c r="R348" s="242" t="str">
        <f t="shared" si="66"/>
        <v/>
      </c>
      <c r="S348" s="242" t="str">
        <f t="shared" si="67"/>
        <v/>
      </c>
      <c r="T348" s="242" t="str">
        <f t="shared" si="68"/>
        <v/>
      </c>
      <c r="U348" s="242" t="str">
        <f t="shared" si="69"/>
        <v/>
      </c>
      <c r="V348" s="242" t="str">
        <f t="shared" si="70"/>
        <v/>
      </c>
      <c r="W348" s="242" t="str">
        <f t="shared" si="71"/>
        <v/>
      </c>
    </row>
    <row r="349" spans="1:23" x14ac:dyDescent="0.2">
      <c r="A349" s="283"/>
      <c r="B349" s="283"/>
      <c r="C349" s="283"/>
      <c r="D349" s="283"/>
      <c r="E349" s="283"/>
      <c r="F349" s="283"/>
      <c r="G349" s="283"/>
      <c r="K349" s="242">
        <v>348</v>
      </c>
      <c r="L349" s="242" t="str">
        <f t="shared" si="60"/>
        <v/>
      </c>
      <c r="M349" s="242" t="str">
        <f t="shared" si="61"/>
        <v/>
      </c>
      <c r="N349" s="242" t="str">
        <f t="shared" si="62"/>
        <v/>
      </c>
      <c r="O349" s="242" t="str">
        <f t="shared" si="63"/>
        <v/>
      </c>
      <c r="P349" s="242" t="str">
        <f t="shared" si="64"/>
        <v/>
      </c>
      <c r="Q349" s="242" t="str">
        <f t="shared" si="65"/>
        <v/>
      </c>
      <c r="R349" s="242" t="str">
        <f t="shared" si="66"/>
        <v/>
      </c>
      <c r="S349" s="242" t="str">
        <f t="shared" si="67"/>
        <v/>
      </c>
      <c r="T349" s="242" t="str">
        <f t="shared" si="68"/>
        <v/>
      </c>
      <c r="U349" s="242" t="str">
        <f t="shared" si="69"/>
        <v/>
      </c>
      <c r="V349" s="242" t="str">
        <f t="shared" si="70"/>
        <v/>
      </c>
      <c r="W349" s="242" t="str">
        <f t="shared" si="71"/>
        <v/>
      </c>
    </row>
    <row r="350" spans="1:23" x14ac:dyDescent="0.2">
      <c r="A350" s="283"/>
      <c r="B350" s="283"/>
      <c r="C350" s="283"/>
      <c r="D350" s="283"/>
      <c r="E350" s="283"/>
      <c r="F350" s="283"/>
      <c r="G350" s="283"/>
      <c r="K350" s="242">
        <v>349</v>
      </c>
      <c r="L350" s="242" t="str">
        <f t="shared" si="60"/>
        <v/>
      </c>
      <c r="M350" s="242" t="str">
        <f t="shared" si="61"/>
        <v/>
      </c>
      <c r="N350" s="242" t="str">
        <f t="shared" si="62"/>
        <v/>
      </c>
      <c r="O350" s="242" t="str">
        <f t="shared" si="63"/>
        <v/>
      </c>
      <c r="P350" s="242" t="str">
        <f t="shared" si="64"/>
        <v/>
      </c>
      <c r="Q350" s="242" t="str">
        <f t="shared" si="65"/>
        <v/>
      </c>
      <c r="R350" s="242" t="str">
        <f t="shared" si="66"/>
        <v/>
      </c>
      <c r="S350" s="242" t="str">
        <f t="shared" si="67"/>
        <v/>
      </c>
      <c r="T350" s="242" t="str">
        <f t="shared" si="68"/>
        <v/>
      </c>
      <c r="U350" s="242" t="str">
        <f t="shared" si="69"/>
        <v/>
      </c>
      <c r="V350" s="242" t="str">
        <f t="shared" si="70"/>
        <v/>
      </c>
      <c r="W350" s="242" t="str">
        <f t="shared" si="71"/>
        <v/>
      </c>
    </row>
    <row r="351" spans="1:23" x14ac:dyDescent="0.2">
      <c r="A351" s="283"/>
      <c r="B351" s="283"/>
      <c r="C351" s="283"/>
      <c r="D351" s="283"/>
      <c r="E351" s="283"/>
      <c r="F351" s="283"/>
      <c r="G351" s="283"/>
      <c r="K351" s="242">
        <v>350</v>
      </c>
      <c r="L351" s="242" t="str">
        <f t="shared" si="60"/>
        <v/>
      </c>
      <c r="M351" s="242" t="str">
        <f t="shared" si="61"/>
        <v/>
      </c>
      <c r="N351" s="242" t="str">
        <f t="shared" si="62"/>
        <v/>
      </c>
      <c r="O351" s="242" t="str">
        <f t="shared" si="63"/>
        <v/>
      </c>
      <c r="P351" s="242" t="str">
        <f t="shared" si="64"/>
        <v/>
      </c>
      <c r="Q351" s="242" t="str">
        <f t="shared" si="65"/>
        <v/>
      </c>
      <c r="R351" s="242" t="str">
        <f t="shared" si="66"/>
        <v/>
      </c>
      <c r="S351" s="242" t="str">
        <f t="shared" si="67"/>
        <v/>
      </c>
      <c r="T351" s="242" t="str">
        <f t="shared" si="68"/>
        <v/>
      </c>
      <c r="U351" s="242" t="str">
        <f t="shared" si="69"/>
        <v/>
      </c>
      <c r="V351" s="242" t="str">
        <f t="shared" si="70"/>
        <v/>
      </c>
      <c r="W351" s="242" t="str">
        <f t="shared" si="71"/>
        <v/>
      </c>
    </row>
    <row r="352" spans="1:23" x14ac:dyDescent="0.2">
      <c r="A352" s="283"/>
      <c r="B352" s="283"/>
      <c r="C352" s="283"/>
      <c r="D352" s="283"/>
      <c r="E352" s="283"/>
      <c r="F352" s="283"/>
      <c r="G352" s="283"/>
      <c r="K352" s="242">
        <v>351</v>
      </c>
      <c r="L352" s="242" t="str">
        <f t="shared" si="60"/>
        <v/>
      </c>
      <c r="M352" s="242" t="str">
        <f t="shared" si="61"/>
        <v/>
      </c>
      <c r="N352" s="242" t="str">
        <f t="shared" si="62"/>
        <v/>
      </c>
      <c r="O352" s="242" t="str">
        <f t="shared" si="63"/>
        <v/>
      </c>
      <c r="P352" s="242" t="str">
        <f t="shared" si="64"/>
        <v/>
      </c>
      <c r="Q352" s="242" t="str">
        <f t="shared" si="65"/>
        <v/>
      </c>
      <c r="R352" s="242" t="str">
        <f t="shared" si="66"/>
        <v/>
      </c>
      <c r="S352" s="242" t="str">
        <f t="shared" si="67"/>
        <v/>
      </c>
      <c r="T352" s="242" t="str">
        <f t="shared" si="68"/>
        <v/>
      </c>
      <c r="U352" s="242" t="str">
        <f t="shared" si="69"/>
        <v/>
      </c>
      <c r="V352" s="242" t="str">
        <f t="shared" si="70"/>
        <v/>
      </c>
      <c r="W352" s="242" t="str">
        <f t="shared" si="71"/>
        <v/>
      </c>
    </row>
    <row r="353" spans="1:23" x14ac:dyDescent="0.2">
      <c r="A353" s="283"/>
      <c r="B353" s="283"/>
      <c r="C353" s="283"/>
      <c r="D353" s="283"/>
      <c r="E353" s="283"/>
      <c r="F353" s="283"/>
      <c r="G353" s="283"/>
      <c r="K353" s="242">
        <v>352</v>
      </c>
      <c r="L353" s="242" t="str">
        <f t="shared" si="60"/>
        <v/>
      </c>
      <c r="M353" s="242" t="str">
        <f t="shared" si="61"/>
        <v/>
      </c>
      <c r="N353" s="242" t="str">
        <f t="shared" si="62"/>
        <v/>
      </c>
      <c r="O353" s="242" t="str">
        <f t="shared" si="63"/>
        <v/>
      </c>
      <c r="P353" s="242" t="str">
        <f t="shared" si="64"/>
        <v/>
      </c>
      <c r="Q353" s="242" t="str">
        <f t="shared" si="65"/>
        <v/>
      </c>
      <c r="R353" s="242" t="str">
        <f t="shared" si="66"/>
        <v/>
      </c>
      <c r="S353" s="242" t="str">
        <f t="shared" si="67"/>
        <v/>
      </c>
      <c r="T353" s="242" t="str">
        <f t="shared" si="68"/>
        <v/>
      </c>
      <c r="U353" s="242" t="str">
        <f t="shared" si="69"/>
        <v/>
      </c>
      <c r="V353" s="242" t="str">
        <f t="shared" si="70"/>
        <v/>
      </c>
      <c r="W353" s="242" t="str">
        <f t="shared" si="71"/>
        <v/>
      </c>
    </row>
    <row r="354" spans="1:23" x14ac:dyDescent="0.2">
      <c r="A354" s="283"/>
      <c r="B354" s="283"/>
      <c r="C354" s="283"/>
      <c r="D354" s="283"/>
      <c r="E354" s="283"/>
      <c r="F354" s="283"/>
      <c r="G354" s="283"/>
      <c r="K354" s="242">
        <v>353</v>
      </c>
      <c r="L354" s="242" t="str">
        <f t="shared" si="60"/>
        <v/>
      </c>
      <c r="M354" s="242" t="str">
        <f t="shared" si="61"/>
        <v/>
      </c>
      <c r="N354" s="242" t="str">
        <f t="shared" si="62"/>
        <v/>
      </c>
      <c r="O354" s="242" t="str">
        <f t="shared" si="63"/>
        <v/>
      </c>
      <c r="P354" s="242" t="str">
        <f t="shared" si="64"/>
        <v/>
      </c>
      <c r="Q354" s="242" t="str">
        <f t="shared" si="65"/>
        <v/>
      </c>
      <c r="R354" s="242" t="str">
        <f t="shared" si="66"/>
        <v/>
      </c>
      <c r="S354" s="242" t="str">
        <f t="shared" si="67"/>
        <v/>
      </c>
      <c r="T354" s="242" t="str">
        <f t="shared" si="68"/>
        <v/>
      </c>
      <c r="U354" s="242" t="str">
        <f t="shared" si="69"/>
        <v/>
      </c>
      <c r="V354" s="242" t="str">
        <f t="shared" si="70"/>
        <v/>
      </c>
      <c r="W354" s="242" t="str">
        <f t="shared" si="71"/>
        <v/>
      </c>
    </row>
    <row r="355" spans="1:23" x14ac:dyDescent="0.2">
      <c r="A355" s="283"/>
      <c r="B355" s="283"/>
      <c r="C355" s="283"/>
      <c r="D355" s="283"/>
      <c r="E355" s="283"/>
      <c r="F355" s="283"/>
      <c r="G355" s="283"/>
      <c r="K355" s="242">
        <v>354</v>
      </c>
      <c r="L355" s="242" t="str">
        <f t="shared" si="60"/>
        <v/>
      </c>
      <c r="M355" s="242" t="str">
        <f t="shared" si="61"/>
        <v/>
      </c>
      <c r="N355" s="242" t="str">
        <f t="shared" si="62"/>
        <v/>
      </c>
      <c r="O355" s="242" t="str">
        <f t="shared" si="63"/>
        <v/>
      </c>
      <c r="P355" s="242" t="str">
        <f t="shared" si="64"/>
        <v/>
      </c>
      <c r="Q355" s="242" t="str">
        <f t="shared" si="65"/>
        <v/>
      </c>
      <c r="R355" s="242" t="str">
        <f t="shared" si="66"/>
        <v/>
      </c>
      <c r="S355" s="242" t="str">
        <f t="shared" si="67"/>
        <v/>
      </c>
      <c r="T355" s="242" t="str">
        <f t="shared" si="68"/>
        <v/>
      </c>
      <c r="U355" s="242" t="str">
        <f t="shared" si="69"/>
        <v/>
      </c>
      <c r="V355" s="242" t="str">
        <f t="shared" si="70"/>
        <v/>
      </c>
      <c r="W355" s="242" t="str">
        <f t="shared" si="71"/>
        <v/>
      </c>
    </row>
    <row r="356" spans="1:23" x14ac:dyDescent="0.2">
      <c r="A356" s="283"/>
      <c r="B356" s="283"/>
      <c r="C356" s="283"/>
      <c r="D356" s="283"/>
      <c r="E356" s="283"/>
      <c r="F356" s="283"/>
      <c r="G356" s="283"/>
      <c r="K356" s="242">
        <v>355</v>
      </c>
      <c r="L356" s="242" t="str">
        <f t="shared" si="60"/>
        <v/>
      </c>
      <c r="M356" s="242" t="str">
        <f t="shared" si="61"/>
        <v/>
      </c>
      <c r="N356" s="242" t="str">
        <f t="shared" si="62"/>
        <v/>
      </c>
      <c r="O356" s="242" t="str">
        <f t="shared" si="63"/>
        <v/>
      </c>
      <c r="P356" s="242" t="str">
        <f t="shared" si="64"/>
        <v/>
      </c>
      <c r="Q356" s="242" t="str">
        <f t="shared" si="65"/>
        <v/>
      </c>
      <c r="R356" s="242" t="str">
        <f t="shared" si="66"/>
        <v/>
      </c>
      <c r="S356" s="242" t="str">
        <f t="shared" si="67"/>
        <v/>
      </c>
      <c r="T356" s="242" t="str">
        <f t="shared" si="68"/>
        <v/>
      </c>
      <c r="U356" s="242" t="str">
        <f t="shared" si="69"/>
        <v/>
      </c>
      <c r="V356" s="242" t="str">
        <f t="shared" si="70"/>
        <v/>
      </c>
      <c r="W356" s="242" t="str">
        <f t="shared" si="71"/>
        <v/>
      </c>
    </row>
    <row r="357" spans="1:23" x14ac:dyDescent="0.2">
      <c r="A357" s="283"/>
      <c r="B357" s="283"/>
      <c r="C357" s="283"/>
      <c r="D357" s="283"/>
      <c r="E357" s="283"/>
      <c r="F357" s="283"/>
      <c r="G357" s="283"/>
      <c r="K357" s="242">
        <v>356</v>
      </c>
      <c r="L357" s="242" t="str">
        <f t="shared" si="60"/>
        <v/>
      </c>
      <c r="M357" s="242" t="str">
        <f t="shared" si="61"/>
        <v/>
      </c>
      <c r="N357" s="242" t="str">
        <f t="shared" si="62"/>
        <v/>
      </c>
      <c r="O357" s="242" t="str">
        <f t="shared" si="63"/>
        <v/>
      </c>
      <c r="P357" s="242" t="str">
        <f t="shared" si="64"/>
        <v/>
      </c>
      <c r="Q357" s="242" t="str">
        <f t="shared" si="65"/>
        <v/>
      </c>
      <c r="R357" s="242" t="str">
        <f t="shared" si="66"/>
        <v/>
      </c>
      <c r="S357" s="242" t="str">
        <f t="shared" si="67"/>
        <v/>
      </c>
      <c r="T357" s="242" t="str">
        <f t="shared" si="68"/>
        <v/>
      </c>
      <c r="U357" s="242" t="str">
        <f t="shared" si="69"/>
        <v/>
      </c>
      <c r="V357" s="242" t="str">
        <f t="shared" si="70"/>
        <v/>
      </c>
      <c r="W357" s="242" t="str">
        <f t="shared" si="71"/>
        <v/>
      </c>
    </row>
    <row r="358" spans="1:23" x14ac:dyDescent="0.2">
      <c r="A358" s="283"/>
      <c r="B358" s="283"/>
      <c r="C358" s="283"/>
      <c r="D358" s="283"/>
      <c r="E358" s="283"/>
      <c r="F358" s="283"/>
      <c r="G358" s="283"/>
      <c r="K358" s="242">
        <v>357</v>
      </c>
      <c r="L358" s="242" t="str">
        <f t="shared" si="60"/>
        <v/>
      </c>
      <c r="M358" s="242" t="str">
        <f t="shared" si="61"/>
        <v/>
      </c>
      <c r="N358" s="242" t="str">
        <f t="shared" si="62"/>
        <v/>
      </c>
      <c r="O358" s="242" t="str">
        <f t="shared" si="63"/>
        <v/>
      </c>
      <c r="P358" s="242" t="str">
        <f t="shared" si="64"/>
        <v/>
      </c>
      <c r="Q358" s="242" t="str">
        <f t="shared" si="65"/>
        <v/>
      </c>
      <c r="R358" s="242" t="str">
        <f t="shared" si="66"/>
        <v/>
      </c>
      <c r="S358" s="242" t="str">
        <f t="shared" si="67"/>
        <v/>
      </c>
      <c r="T358" s="242" t="str">
        <f t="shared" si="68"/>
        <v/>
      </c>
      <c r="U358" s="242" t="str">
        <f t="shared" si="69"/>
        <v/>
      </c>
      <c r="V358" s="242" t="str">
        <f t="shared" si="70"/>
        <v/>
      </c>
      <c r="W358" s="242" t="str">
        <f t="shared" si="71"/>
        <v/>
      </c>
    </row>
    <row r="359" spans="1:23" x14ac:dyDescent="0.2">
      <c r="A359" s="283"/>
      <c r="B359" s="283"/>
      <c r="C359" s="283"/>
      <c r="D359" s="283"/>
      <c r="E359" s="283"/>
      <c r="F359" s="283"/>
      <c r="G359" s="283"/>
      <c r="K359" s="242">
        <v>358</v>
      </c>
      <c r="L359" s="242" t="str">
        <f t="shared" si="60"/>
        <v/>
      </c>
      <c r="M359" s="242" t="str">
        <f t="shared" si="61"/>
        <v/>
      </c>
      <c r="N359" s="242" t="str">
        <f t="shared" si="62"/>
        <v/>
      </c>
      <c r="O359" s="242" t="str">
        <f t="shared" si="63"/>
        <v/>
      </c>
      <c r="P359" s="242" t="str">
        <f t="shared" si="64"/>
        <v/>
      </c>
      <c r="Q359" s="242" t="str">
        <f t="shared" si="65"/>
        <v/>
      </c>
      <c r="R359" s="242" t="str">
        <f t="shared" si="66"/>
        <v/>
      </c>
      <c r="S359" s="242" t="str">
        <f t="shared" si="67"/>
        <v/>
      </c>
      <c r="T359" s="242" t="str">
        <f t="shared" si="68"/>
        <v/>
      </c>
      <c r="U359" s="242" t="str">
        <f t="shared" si="69"/>
        <v/>
      </c>
      <c r="V359" s="242" t="str">
        <f t="shared" si="70"/>
        <v/>
      </c>
      <c r="W359" s="242" t="str">
        <f t="shared" si="71"/>
        <v/>
      </c>
    </row>
    <row r="360" spans="1:23" x14ac:dyDescent="0.2">
      <c r="A360" s="283"/>
      <c r="B360" s="283"/>
      <c r="C360" s="283"/>
      <c r="D360" s="283"/>
      <c r="E360" s="283"/>
      <c r="F360" s="283"/>
      <c r="G360" s="283"/>
      <c r="K360" s="242">
        <v>359</v>
      </c>
      <c r="L360" s="242" t="str">
        <f t="shared" si="60"/>
        <v/>
      </c>
      <c r="M360" s="242" t="str">
        <f t="shared" si="61"/>
        <v/>
      </c>
      <c r="N360" s="242" t="str">
        <f t="shared" si="62"/>
        <v/>
      </c>
      <c r="O360" s="242" t="str">
        <f t="shared" si="63"/>
        <v/>
      </c>
      <c r="P360" s="242" t="str">
        <f t="shared" si="64"/>
        <v/>
      </c>
      <c r="Q360" s="242" t="str">
        <f t="shared" si="65"/>
        <v/>
      </c>
      <c r="R360" s="242" t="str">
        <f t="shared" si="66"/>
        <v/>
      </c>
      <c r="S360" s="242" t="str">
        <f t="shared" si="67"/>
        <v/>
      </c>
      <c r="T360" s="242" t="str">
        <f t="shared" si="68"/>
        <v/>
      </c>
      <c r="U360" s="242" t="str">
        <f t="shared" si="69"/>
        <v/>
      </c>
      <c r="V360" s="242" t="str">
        <f t="shared" si="70"/>
        <v/>
      </c>
      <c r="W360" s="242" t="str">
        <f t="shared" si="71"/>
        <v/>
      </c>
    </row>
    <row r="361" spans="1:23" x14ac:dyDescent="0.2">
      <c r="A361" s="283"/>
      <c r="B361" s="283"/>
      <c r="C361" s="283"/>
      <c r="D361" s="283"/>
      <c r="E361" s="283"/>
      <c r="F361" s="283"/>
      <c r="G361" s="283"/>
      <c r="K361" s="242">
        <v>360</v>
      </c>
      <c r="L361" s="242" t="str">
        <f t="shared" si="60"/>
        <v/>
      </c>
      <c r="M361" s="242" t="str">
        <f t="shared" si="61"/>
        <v/>
      </c>
      <c r="N361" s="242" t="str">
        <f t="shared" si="62"/>
        <v/>
      </c>
      <c r="O361" s="242" t="str">
        <f t="shared" si="63"/>
        <v/>
      </c>
      <c r="P361" s="242" t="str">
        <f t="shared" si="64"/>
        <v/>
      </c>
      <c r="Q361" s="242" t="str">
        <f t="shared" si="65"/>
        <v/>
      </c>
      <c r="R361" s="242" t="str">
        <f t="shared" si="66"/>
        <v/>
      </c>
      <c r="S361" s="242" t="str">
        <f t="shared" si="67"/>
        <v/>
      </c>
      <c r="T361" s="242" t="str">
        <f t="shared" si="68"/>
        <v/>
      </c>
      <c r="U361" s="242" t="str">
        <f t="shared" si="69"/>
        <v/>
      </c>
      <c r="V361" s="242" t="str">
        <f t="shared" si="70"/>
        <v/>
      </c>
      <c r="W361" s="242" t="str">
        <f t="shared" si="71"/>
        <v/>
      </c>
    </row>
    <row r="362" spans="1:23" x14ac:dyDescent="0.2">
      <c r="A362" s="283"/>
      <c r="B362" s="283"/>
      <c r="C362" s="283"/>
      <c r="D362" s="283"/>
      <c r="E362" s="283"/>
      <c r="F362" s="283"/>
      <c r="G362" s="283"/>
      <c r="K362" s="242">
        <v>361</v>
      </c>
      <c r="L362" s="242" t="str">
        <f t="shared" si="60"/>
        <v/>
      </c>
      <c r="M362" s="242" t="str">
        <f t="shared" si="61"/>
        <v/>
      </c>
      <c r="N362" s="242" t="str">
        <f t="shared" si="62"/>
        <v/>
      </c>
      <c r="O362" s="242" t="str">
        <f t="shared" si="63"/>
        <v/>
      </c>
      <c r="P362" s="242" t="str">
        <f t="shared" si="64"/>
        <v/>
      </c>
      <c r="Q362" s="242" t="str">
        <f t="shared" si="65"/>
        <v/>
      </c>
      <c r="R362" s="242" t="str">
        <f t="shared" si="66"/>
        <v/>
      </c>
      <c r="S362" s="242" t="str">
        <f t="shared" si="67"/>
        <v/>
      </c>
      <c r="T362" s="242" t="str">
        <f t="shared" si="68"/>
        <v/>
      </c>
      <c r="U362" s="242" t="str">
        <f t="shared" si="69"/>
        <v/>
      </c>
      <c r="V362" s="242" t="str">
        <f t="shared" si="70"/>
        <v/>
      </c>
      <c r="W362" s="242" t="str">
        <f t="shared" si="71"/>
        <v/>
      </c>
    </row>
    <row r="363" spans="1:23" x14ac:dyDescent="0.2">
      <c r="A363" s="283"/>
      <c r="B363" s="283"/>
      <c r="C363" s="283"/>
      <c r="D363" s="283"/>
      <c r="E363" s="283"/>
      <c r="F363" s="283"/>
      <c r="G363" s="283"/>
      <c r="K363" s="242">
        <v>362</v>
      </c>
      <c r="L363" s="242" t="str">
        <f t="shared" si="60"/>
        <v/>
      </c>
      <c r="M363" s="242" t="str">
        <f t="shared" si="61"/>
        <v/>
      </c>
      <c r="N363" s="242" t="str">
        <f t="shared" si="62"/>
        <v/>
      </c>
      <c r="O363" s="242" t="str">
        <f t="shared" si="63"/>
        <v/>
      </c>
      <c r="P363" s="242" t="str">
        <f t="shared" si="64"/>
        <v/>
      </c>
      <c r="Q363" s="242" t="str">
        <f t="shared" si="65"/>
        <v/>
      </c>
      <c r="R363" s="242" t="str">
        <f t="shared" si="66"/>
        <v/>
      </c>
      <c r="S363" s="242" t="str">
        <f t="shared" si="67"/>
        <v/>
      </c>
      <c r="T363" s="242" t="str">
        <f t="shared" si="68"/>
        <v/>
      </c>
      <c r="U363" s="242" t="str">
        <f t="shared" si="69"/>
        <v/>
      </c>
      <c r="V363" s="242" t="str">
        <f t="shared" si="70"/>
        <v/>
      </c>
      <c r="W363" s="242" t="str">
        <f t="shared" si="71"/>
        <v/>
      </c>
    </row>
    <row r="364" spans="1:23" x14ac:dyDescent="0.2">
      <c r="A364" s="283"/>
      <c r="B364" s="283"/>
      <c r="C364" s="283"/>
      <c r="D364" s="283"/>
      <c r="E364" s="283"/>
      <c r="F364" s="283"/>
      <c r="G364" s="283"/>
      <c r="K364" s="242">
        <v>363</v>
      </c>
      <c r="L364" s="242" t="str">
        <f t="shared" si="60"/>
        <v/>
      </c>
      <c r="M364" s="242" t="str">
        <f t="shared" si="61"/>
        <v/>
      </c>
      <c r="N364" s="242" t="str">
        <f t="shared" si="62"/>
        <v/>
      </c>
      <c r="O364" s="242" t="str">
        <f t="shared" si="63"/>
        <v/>
      </c>
      <c r="P364" s="242" t="str">
        <f t="shared" si="64"/>
        <v/>
      </c>
      <c r="Q364" s="242" t="str">
        <f t="shared" si="65"/>
        <v/>
      </c>
      <c r="R364" s="242" t="str">
        <f t="shared" si="66"/>
        <v/>
      </c>
      <c r="S364" s="242" t="str">
        <f t="shared" si="67"/>
        <v/>
      </c>
      <c r="T364" s="242" t="str">
        <f t="shared" si="68"/>
        <v/>
      </c>
      <c r="U364" s="242" t="str">
        <f t="shared" si="69"/>
        <v/>
      </c>
      <c r="V364" s="242" t="str">
        <f t="shared" si="70"/>
        <v/>
      </c>
      <c r="W364" s="242" t="str">
        <f t="shared" si="71"/>
        <v/>
      </c>
    </row>
    <row r="365" spans="1:23" x14ac:dyDescent="0.2">
      <c r="A365" s="283"/>
      <c r="B365" s="283"/>
      <c r="C365" s="283"/>
      <c r="D365" s="283"/>
      <c r="E365" s="283"/>
      <c r="F365" s="283"/>
      <c r="G365" s="283"/>
      <c r="K365" s="242">
        <v>364</v>
      </c>
      <c r="L365" s="242" t="str">
        <f t="shared" si="60"/>
        <v/>
      </c>
      <c r="M365" s="242" t="str">
        <f t="shared" si="61"/>
        <v/>
      </c>
      <c r="N365" s="242" t="str">
        <f t="shared" si="62"/>
        <v/>
      </c>
      <c r="O365" s="242" t="str">
        <f t="shared" si="63"/>
        <v/>
      </c>
      <c r="P365" s="242" t="str">
        <f t="shared" si="64"/>
        <v/>
      </c>
      <c r="Q365" s="242" t="str">
        <f t="shared" si="65"/>
        <v/>
      </c>
      <c r="R365" s="242" t="str">
        <f t="shared" si="66"/>
        <v/>
      </c>
      <c r="S365" s="242" t="str">
        <f t="shared" si="67"/>
        <v/>
      </c>
      <c r="T365" s="242" t="str">
        <f t="shared" si="68"/>
        <v/>
      </c>
      <c r="U365" s="242" t="str">
        <f t="shared" si="69"/>
        <v/>
      </c>
      <c r="V365" s="242" t="str">
        <f t="shared" si="70"/>
        <v/>
      </c>
      <c r="W365" s="242" t="str">
        <f t="shared" si="71"/>
        <v/>
      </c>
    </row>
    <row r="366" spans="1:23" x14ac:dyDescent="0.2">
      <c r="A366" s="283"/>
      <c r="B366" s="283"/>
      <c r="C366" s="283"/>
      <c r="D366" s="283"/>
      <c r="E366" s="283"/>
      <c r="F366" s="283"/>
      <c r="G366" s="283"/>
      <c r="K366" s="242">
        <v>365</v>
      </c>
      <c r="L366" s="242" t="str">
        <f t="shared" si="60"/>
        <v/>
      </c>
      <c r="M366" s="242" t="str">
        <f t="shared" si="61"/>
        <v/>
      </c>
      <c r="N366" s="242" t="str">
        <f t="shared" si="62"/>
        <v/>
      </c>
      <c r="O366" s="242" t="str">
        <f t="shared" si="63"/>
        <v/>
      </c>
      <c r="P366" s="242" t="str">
        <f t="shared" si="64"/>
        <v/>
      </c>
      <c r="Q366" s="242" t="str">
        <f t="shared" si="65"/>
        <v/>
      </c>
      <c r="R366" s="242" t="str">
        <f t="shared" si="66"/>
        <v/>
      </c>
      <c r="S366" s="242" t="str">
        <f t="shared" si="67"/>
        <v/>
      </c>
      <c r="T366" s="242" t="str">
        <f t="shared" si="68"/>
        <v/>
      </c>
      <c r="U366" s="242" t="str">
        <f t="shared" si="69"/>
        <v/>
      </c>
      <c r="V366" s="242" t="str">
        <f t="shared" si="70"/>
        <v/>
      </c>
      <c r="W366" s="242" t="str">
        <f t="shared" si="71"/>
        <v/>
      </c>
    </row>
    <row r="367" spans="1:23" x14ac:dyDescent="0.2">
      <c r="A367" s="283"/>
      <c r="B367" s="283"/>
      <c r="C367" s="283"/>
      <c r="D367" s="283"/>
      <c r="E367" s="283"/>
      <c r="F367" s="283"/>
      <c r="G367" s="283"/>
      <c r="K367" s="242">
        <v>366</v>
      </c>
      <c r="L367" s="242" t="str">
        <f t="shared" si="60"/>
        <v/>
      </c>
      <c r="M367" s="242" t="str">
        <f t="shared" si="61"/>
        <v/>
      </c>
      <c r="N367" s="242" t="str">
        <f t="shared" si="62"/>
        <v/>
      </c>
      <c r="O367" s="242" t="str">
        <f t="shared" si="63"/>
        <v/>
      </c>
      <c r="P367" s="242" t="str">
        <f t="shared" si="64"/>
        <v/>
      </c>
      <c r="Q367" s="242" t="str">
        <f t="shared" si="65"/>
        <v/>
      </c>
      <c r="R367" s="242" t="str">
        <f t="shared" si="66"/>
        <v/>
      </c>
      <c r="S367" s="242" t="str">
        <f t="shared" si="67"/>
        <v/>
      </c>
      <c r="T367" s="242" t="str">
        <f t="shared" si="68"/>
        <v/>
      </c>
      <c r="U367" s="242" t="str">
        <f t="shared" si="69"/>
        <v/>
      </c>
      <c r="V367" s="242" t="str">
        <f t="shared" si="70"/>
        <v/>
      </c>
      <c r="W367" s="242" t="str">
        <f t="shared" si="71"/>
        <v/>
      </c>
    </row>
    <row r="368" spans="1:23" x14ac:dyDescent="0.2">
      <c r="A368" s="283"/>
      <c r="B368" s="283"/>
      <c r="C368" s="283"/>
      <c r="D368" s="283"/>
      <c r="E368" s="283"/>
      <c r="F368" s="283"/>
      <c r="G368" s="283"/>
      <c r="K368" s="242">
        <v>367</v>
      </c>
      <c r="L368" s="242" t="str">
        <f t="shared" si="60"/>
        <v/>
      </c>
      <c r="M368" s="242" t="str">
        <f t="shared" si="61"/>
        <v/>
      </c>
      <c r="N368" s="242" t="str">
        <f t="shared" si="62"/>
        <v/>
      </c>
      <c r="O368" s="242" t="str">
        <f t="shared" si="63"/>
        <v/>
      </c>
      <c r="P368" s="242" t="str">
        <f t="shared" si="64"/>
        <v/>
      </c>
      <c r="Q368" s="242" t="str">
        <f t="shared" si="65"/>
        <v/>
      </c>
      <c r="R368" s="242" t="str">
        <f t="shared" si="66"/>
        <v/>
      </c>
      <c r="S368" s="242" t="str">
        <f t="shared" si="67"/>
        <v/>
      </c>
      <c r="T368" s="242" t="str">
        <f t="shared" si="68"/>
        <v/>
      </c>
      <c r="U368" s="242" t="str">
        <f t="shared" si="69"/>
        <v/>
      </c>
      <c r="V368" s="242" t="str">
        <f t="shared" si="70"/>
        <v/>
      </c>
      <c r="W368" s="242" t="str">
        <f t="shared" si="71"/>
        <v/>
      </c>
    </row>
    <row r="369" spans="1:23" x14ac:dyDescent="0.2">
      <c r="A369" s="283"/>
      <c r="B369" s="283"/>
      <c r="C369" s="283"/>
      <c r="D369" s="283"/>
      <c r="E369" s="283"/>
      <c r="F369" s="283"/>
      <c r="G369" s="283"/>
      <c r="K369" s="242">
        <v>368</v>
      </c>
      <c r="L369" s="242" t="str">
        <f t="shared" si="60"/>
        <v/>
      </c>
      <c r="M369" s="242" t="str">
        <f t="shared" si="61"/>
        <v/>
      </c>
      <c r="N369" s="242" t="str">
        <f t="shared" si="62"/>
        <v/>
      </c>
      <c r="O369" s="242" t="str">
        <f t="shared" si="63"/>
        <v/>
      </c>
      <c r="P369" s="242" t="str">
        <f t="shared" si="64"/>
        <v/>
      </c>
      <c r="Q369" s="242" t="str">
        <f t="shared" si="65"/>
        <v/>
      </c>
      <c r="R369" s="242" t="str">
        <f t="shared" si="66"/>
        <v/>
      </c>
      <c r="S369" s="242" t="str">
        <f t="shared" si="67"/>
        <v/>
      </c>
      <c r="T369" s="242" t="str">
        <f t="shared" si="68"/>
        <v/>
      </c>
      <c r="U369" s="242" t="str">
        <f t="shared" si="69"/>
        <v/>
      </c>
      <c r="V369" s="242" t="str">
        <f t="shared" si="70"/>
        <v/>
      </c>
      <c r="W369" s="242" t="str">
        <f t="shared" si="71"/>
        <v/>
      </c>
    </row>
    <row r="370" spans="1:23" x14ac:dyDescent="0.2">
      <c r="A370" s="283"/>
      <c r="B370" s="283"/>
      <c r="C370" s="283"/>
      <c r="D370" s="283"/>
      <c r="E370" s="283"/>
      <c r="F370" s="283"/>
      <c r="G370" s="283"/>
      <c r="K370" s="242">
        <v>369</v>
      </c>
      <c r="L370" s="242" t="str">
        <f t="shared" si="60"/>
        <v/>
      </c>
      <c r="M370" s="242" t="str">
        <f t="shared" si="61"/>
        <v/>
      </c>
      <c r="N370" s="242" t="str">
        <f t="shared" si="62"/>
        <v/>
      </c>
      <c r="O370" s="242" t="str">
        <f t="shared" si="63"/>
        <v/>
      </c>
      <c r="P370" s="242" t="str">
        <f t="shared" si="64"/>
        <v/>
      </c>
      <c r="Q370" s="242" t="str">
        <f t="shared" si="65"/>
        <v/>
      </c>
      <c r="R370" s="242" t="str">
        <f t="shared" si="66"/>
        <v/>
      </c>
      <c r="S370" s="242" t="str">
        <f t="shared" si="67"/>
        <v/>
      </c>
      <c r="T370" s="242" t="str">
        <f t="shared" si="68"/>
        <v/>
      </c>
      <c r="U370" s="242" t="str">
        <f t="shared" si="69"/>
        <v/>
      </c>
      <c r="V370" s="242" t="str">
        <f t="shared" si="70"/>
        <v/>
      </c>
      <c r="W370" s="242" t="str">
        <f t="shared" si="71"/>
        <v/>
      </c>
    </row>
    <row r="371" spans="1:23" x14ac:dyDescent="0.2">
      <c r="A371" s="283"/>
      <c r="B371" s="283"/>
      <c r="C371" s="283"/>
      <c r="D371" s="283"/>
      <c r="E371" s="283"/>
      <c r="F371" s="283"/>
      <c r="G371" s="283"/>
      <c r="K371" s="242">
        <v>370</v>
      </c>
      <c r="L371" s="242" t="str">
        <f t="shared" si="60"/>
        <v/>
      </c>
      <c r="M371" s="242" t="str">
        <f t="shared" si="61"/>
        <v/>
      </c>
      <c r="N371" s="242" t="str">
        <f t="shared" si="62"/>
        <v/>
      </c>
      <c r="O371" s="242" t="str">
        <f t="shared" si="63"/>
        <v/>
      </c>
      <c r="P371" s="242" t="str">
        <f t="shared" si="64"/>
        <v/>
      </c>
      <c r="Q371" s="242" t="str">
        <f t="shared" si="65"/>
        <v/>
      </c>
      <c r="R371" s="242" t="str">
        <f t="shared" si="66"/>
        <v/>
      </c>
      <c r="S371" s="242" t="str">
        <f t="shared" si="67"/>
        <v/>
      </c>
      <c r="T371" s="242" t="str">
        <f t="shared" si="68"/>
        <v/>
      </c>
      <c r="U371" s="242" t="str">
        <f t="shared" si="69"/>
        <v/>
      </c>
      <c r="V371" s="242" t="str">
        <f t="shared" si="70"/>
        <v/>
      </c>
      <c r="W371" s="242" t="str">
        <f t="shared" si="71"/>
        <v/>
      </c>
    </row>
    <row r="372" spans="1:23" x14ac:dyDescent="0.2">
      <c r="A372" s="283"/>
      <c r="B372" s="283"/>
      <c r="C372" s="283"/>
      <c r="D372" s="283"/>
      <c r="E372" s="283"/>
      <c r="F372" s="283"/>
      <c r="G372" s="283"/>
      <c r="K372" s="242">
        <v>371</v>
      </c>
      <c r="L372" s="242" t="str">
        <f t="shared" si="60"/>
        <v/>
      </c>
      <c r="M372" s="242" t="str">
        <f t="shared" si="61"/>
        <v/>
      </c>
      <c r="N372" s="242" t="str">
        <f t="shared" si="62"/>
        <v/>
      </c>
      <c r="O372" s="242" t="str">
        <f t="shared" si="63"/>
        <v/>
      </c>
      <c r="P372" s="242" t="str">
        <f t="shared" si="64"/>
        <v/>
      </c>
      <c r="Q372" s="242" t="str">
        <f t="shared" si="65"/>
        <v/>
      </c>
      <c r="R372" s="242" t="str">
        <f t="shared" si="66"/>
        <v/>
      </c>
      <c r="S372" s="242" t="str">
        <f t="shared" si="67"/>
        <v/>
      </c>
      <c r="T372" s="242" t="str">
        <f t="shared" si="68"/>
        <v/>
      </c>
      <c r="U372" s="242" t="str">
        <f t="shared" si="69"/>
        <v/>
      </c>
      <c r="V372" s="242" t="str">
        <f t="shared" si="70"/>
        <v/>
      </c>
      <c r="W372" s="242" t="str">
        <f t="shared" si="71"/>
        <v/>
      </c>
    </row>
    <row r="373" spans="1:23" x14ac:dyDescent="0.2">
      <c r="A373" s="283"/>
      <c r="B373" s="283"/>
      <c r="C373" s="283"/>
      <c r="D373" s="283"/>
      <c r="E373" s="283"/>
      <c r="F373" s="283"/>
      <c r="G373" s="283"/>
      <c r="K373" s="242">
        <v>372</v>
      </c>
      <c r="L373" s="242" t="str">
        <f t="shared" si="60"/>
        <v/>
      </c>
      <c r="M373" s="242" t="str">
        <f t="shared" si="61"/>
        <v/>
      </c>
      <c r="N373" s="242" t="str">
        <f t="shared" si="62"/>
        <v/>
      </c>
      <c r="O373" s="242" t="str">
        <f t="shared" si="63"/>
        <v/>
      </c>
      <c r="P373" s="242" t="str">
        <f t="shared" si="64"/>
        <v/>
      </c>
      <c r="Q373" s="242" t="str">
        <f t="shared" si="65"/>
        <v/>
      </c>
      <c r="R373" s="242" t="str">
        <f t="shared" si="66"/>
        <v/>
      </c>
      <c r="S373" s="242" t="str">
        <f t="shared" si="67"/>
        <v/>
      </c>
      <c r="T373" s="242" t="str">
        <f t="shared" si="68"/>
        <v/>
      </c>
      <c r="U373" s="242" t="str">
        <f t="shared" si="69"/>
        <v/>
      </c>
      <c r="V373" s="242" t="str">
        <f t="shared" si="70"/>
        <v/>
      </c>
      <c r="W373" s="242" t="str">
        <f t="shared" si="71"/>
        <v/>
      </c>
    </row>
    <row r="374" spans="1:23" x14ac:dyDescent="0.2">
      <c r="A374" s="283"/>
      <c r="B374" s="283"/>
      <c r="C374" s="283"/>
      <c r="D374" s="283"/>
      <c r="E374" s="283"/>
      <c r="F374" s="283"/>
      <c r="G374" s="283"/>
      <c r="K374" s="242">
        <v>373</v>
      </c>
      <c r="L374" s="242" t="str">
        <f t="shared" si="60"/>
        <v/>
      </c>
      <c r="M374" s="242" t="str">
        <f t="shared" si="61"/>
        <v/>
      </c>
      <c r="N374" s="242" t="str">
        <f t="shared" si="62"/>
        <v/>
      </c>
      <c r="O374" s="242" t="str">
        <f t="shared" si="63"/>
        <v/>
      </c>
      <c r="P374" s="242" t="str">
        <f t="shared" si="64"/>
        <v/>
      </c>
      <c r="Q374" s="242" t="str">
        <f t="shared" si="65"/>
        <v/>
      </c>
      <c r="R374" s="242" t="str">
        <f t="shared" si="66"/>
        <v/>
      </c>
      <c r="S374" s="242" t="str">
        <f t="shared" si="67"/>
        <v/>
      </c>
      <c r="T374" s="242" t="str">
        <f t="shared" si="68"/>
        <v/>
      </c>
      <c r="U374" s="242" t="str">
        <f t="shared" si="69"/>
        <v/>
      </c>
      <c r="V374" s="242" t="str">
        <f t="shared" si="70"/>
        <v/>
      </c>
      <c r="W374" s="242" t="str">
        <f t="shared" si="71"/>
        <v/>
      </c>
    </row>
    <row r="375" spans="1:23" x14ac:dyDescent="0.2">
      <c r="A375" s="283"/>
      <c r="B375" s="283"/>
      <c r="C375" s="283"/>
      <c r="D375" s="283"/>
      <c r="E375" s="283"/>
      <c r="F375" s="283"/>
      <c r="G375" s="283"/>
      <c r="K375" s="242">
        <v>374</v>
      </c>
      <c r="L375" s="242" t="str">
        <f t="shared" si="60"/>
        <v/>
      </c>
      <c r="M375" s="242" t="str">
        <f t="shared" si="61"/>
        <v/>
      </c>
      <c r="N375" s="242" t="str">
        <f t="shared" si="62"/>
        <v/>
      </c>
      <c r="O375" s="242" t="str">
        <f t="shared" si="63"/>
        <v/>
      </c>
      <c r="P375" s="242" t="str">
        <f t="shared" si="64"/>
        <v/>
      </c>
      <c r="Q375" s="242" t="str">
        <f t="shared" si="65"/>
        <v/>
      </c>
      <c r="R375" s="242" t="str">
        <f t="shared" si="66"/>
        <v/>
      </c>
      <c r="S375" s="242" t="str">
        <f t="shared" si="67"/>
        <v/>
      </c>
      <c r="T375" s="242" t="str">
        <f t="shared" si="68"/>
        <v/>
      </c>
      <c r="U375" s="242" t="str">
        <f t="shared" si="69"/>
        <v/>
      </c>
      <c r="V375" s="242" t="str">
        <f t="shared" si="70"/>
        <v/>
      </c>
      <c r="W375" s="242" t="str">
        <f t="shared" si="71"/>
        <v/>
      </c>
    </row>
    <row r="376" spans="1:23" x14ac:dyDescent="0.2">
      <c r="A376" s="283"/>
      <c r="B376" s="283"/>
      <c r="C376" s="283"/>
      <c r="D376" s="283"/>
      <c r="E376" s="283"/>
      <c r="F376" s="283"/>
      <c r="G376" s="283"/>
      <c r="K376" s="242">
        <v>375</v>
      </c>
      <c r="L376" s="242" t="str">
        <f t="shared" si="60"/>
        <v/>
      </c>
      <c r="M376" s="242" t="str">
        <f t="shared" si="61"/>
        <v/>
      </c>
      <c r="N376" s="242" t="str">
        <f t="shared" si="62"/>
        <v/>
      </c>
      <c r="O376" s="242" t="str">
        <f t="shared" si="63"/>
        <v/>
      </c>
      <c r="P376" s="242" t="str">
        <f t="shared" si="64"/>
        <v/>
      </c>
      <c r="Q376" s="242" t="str">
        <f t="shared" si="65"/>
        <v/>
      </c>
      <c r="R376" s="242" t="str">
        <f t="shared" si="66"/>
        <v/>
      </c>
      <c r="S376" s="242" t="str">
        <f t="shared" si="67"/>
        <v/>
      </c>
      <c r="T376" s="242" t="str">
        <f t="shared" si="68"/>
        <v/>
      </c>
      <c r="U376" s="242" t="str">
        <f t="shared" si="69"/>
        <v/>
      </c>
      <c r="V376" s="242" t="str">
        <f t="shared" si="70"/>
        <v/>
      </c>
      <c r="W376" s="242" t="str">
        <f t="shared" si="71"/>
        <v/>
      </c>
    </row>
    <row r="377" spans="1:23" x14ac:dyDescent="0.2">
      <c r="A377" s="283"/>
      <c r="B377" s="283"/>
      <c r="C377" s="283"/>
      <c r="D377" s="283"/>
      <c r="E377" s="283"/>
      <c r="F377" s="283"/>
      <c r="G377" s="283"/>
      <c r="K377" s="242">
        <v>376</v>
      </c>
      <c r="L377" s="242" t="str">
        <f t="shared" si="60"/>
        <v/>
      </c>
      <c r="M377" s="242" t="str">
        <f t="shared" si="61"/>
        <v/>
      </c>
      <c r="N377" s="242" t="str">
        <f t="shared" si="62"/>
        <v/>
      </c>
      <c r="O377" s="242" t="str">
        <f t="shared" si="63"/>
        <v/>
      </c>
      <c r="P377" s="242" t="str">
        <f t="shared" si="64"/>
        <v/>
      </c>
      <c r="Q377" s="242" t="str">
        <f t="shared" si="65"/>
        <v/>
      </c>
      <c r="R377" s="242" t="str">
        <f t="shared" si="66"/>
        <v/>
      </c>
      <c r="S377" s="242" t="str">
        <f t="shared" si="67"/>
        <v/>
      </c>
      <c r="T377" s="242" t="str">
        <f t="shared" si="68"/>
        <v/>
      </c>
      <c r="U377" s="242" t="str">
        <f t="shared" si="69"/>
        <v/>
      </c>
      <c r="V377" s="242" t="str">
        <f t="shared" si="70"/>
        <v/>
      </c>
      <c r="W377" s="242" t="str">
        <f t="shared" si="71"/>
        <v/>
      </c>
    </row>
    <row r="378" spans="1:23" x14ac:dyDescent="0.2">
      <c r="A378" s="283"/>
      <c r="B378" s="283"/>
      <c r="C378" s="283"/>
      <c r="D378" s="283"/>
      <c r="E378" s="283"/>
      <c r="F378" s="283"/>
      <c r="G378" s="283"/>
      <c r="K378" s="242">
        <v>377</v>
      </c>
      <c r="L378" s="242" t="str">
        <f t="shared" si="60"/>
        <v/>
      </c>
      <c r="M378" s="242" t="str">
        <f t="shared" si="61"/>
        <v/>
      </c>
      <c r="N378" s="242" t="str">
        <f t="shared" si="62"/>
        <v/>
      </c>
      <c r="O378" s="242" t="str">
        <f t="shared" si="63"/>
        <v/>
      </c>
      <c r="P378" s="242" t="str">
        <f t="shared" si="64"/>
        <v/>
      </c>
      <c r="Q378" s="242" t="str">
        <f t="shared" si="65"/>
        <v/>
      </c>
      <c r="R378" s="242" t="str">
        <f t="shared" si="66"/>
        <v/>
      </c>
      <c r="S378" s="242" t="str">
        <f t="shared" si="67"/>
        <v/>
      </c>
      <c r="T378" s="242" t="str">
        <f t="shared" si="68"/>
        <v/>
      </c>
      <c r="U378" s="242" t="str">
        <f t="shared" si="69"/>
        <v/>
      </c>
      <c r="V378" s="242" t="str">
        <f t="shared" si="70"/>
        <v/>
      </c>
      <c r="W378" s="242" t="str">
        <f t="shared" si="71"/>
        <v/>
      </c>
    </row>
    <row r="379" spans="1:23" x14ac:dyDescent="0.2">
      <c r="A379" s="283"/>
      <c r="B379" s="283"/>
      <c r="C379" s="283"/>
      <c r="D379" s="283"/>
      <c r="E379" s="283"/>
      <c r="F379" s="283"/>
      <c r="G379" s="283"/>
      <c r="K379" s="242">
        <v>378</v>
      </c>
      <c r="L379" s="242" t="str">
        <f t="shared" si="60"/>
        <v/>
      </c>
      <c r="M379" s="242" t="str">
        <f t="shared" si="61"/>
        <v/>
      </c>
      <c r="N379" s="242" t="str">
        <f t="shared" si="62"/>
        <v/>
      </c>
      <c r="O379" s="242" t="str">
        <f t="shared" si="63"/>
        <v/>
      </c>
      <c r="P379" s="242" t="str">
        <f t="shared" si="64"/>
        <v/>
      </c>
      <c r="Q379" s="242" t="str">
        <f t="shared" si="65"/>
        <v/>
      </c>
      <c r="R379" s="242" t="str">
        <f t="shared" si="66"/>
        <v/>
      </c>
      <c r="S379" s="242" t="str">
        <f t="shared" si="67"/>
        <v/>
      </c>
      <c r="T379" s="242" t="str">
        <f t="shared" si="68"/>
        <v/>
      </c>
      <c r="U379" s="242" t="str">
        <f t="shared" si="69"/>
        <v/>
      </c>
      <c r="V379" s="242" t="str">
        <f t="shared" si="70"/>
        <v/>
      </c>
      <c r="W379" s="242" t="str">
        <f t="shared" si="71"/>
        <v/>
      </c>
    </row>
    <row r="380" spans="1:23" x14ac:dyDescent="0.2">
      <c r="A380" s="283"/>
      <c r="B380" s="283"/>
      <c r="C380" s="283"/>
      <c r="D380" s="283"/>
      <c r="E380" s="283"/>
      <c r="F380" s="283"/>
      <c r="G380" s="283"/>
      <c r="K380" s="242">
        <v>379</v>
      </c>
      <c r="L380" s="242" t="str">
        <f t="shared" si="60"/>
        <v/>
      </c>
      <c r="M380" s="242" t="str">
        <f t="shared" si="61"/>
        <v/>
      </c>
      <c r="N380" s="242" t="str">
        <f t="shared" si="62"/>
        <v/>
      </c>
      <c r="O380" s="242" t="str">
        <f t="shared" si="63"/>
        <v/>
      </c>
      <c r="P380" s="242" t="str">
        <f t="shared" si="64"/>
        <v/>
      </c>
      <c r="Q380" s="242" t="str">
        <f t="shared" si="65"/>
        <v/>
      </c>
      <c r="R380" s="242" t="str">
        <f t="shared" si="66"/>
        <v/>
      </c>
      <c r="S380" s="242" t="str">
        <f t="shared" si="67"/>
        <v/>
      </c>
      <c r="T380" s="242" t="str">
        <f t="shared" si="68"/>
        <v/>
      </c>
      <c r="U380" s="242" t="str">
        <f t="shared" si="69"/>
        <v/>
      </c>
      <c r="V380" s="242" t="str">
        <f t="shared" si="70"/>
        <v/>
      </c>
      <c r="W380" s="242" t="str">
        <f t="shared" si="71"/>
        <v/>
      </c>
    </row>
    <row r="381" spans="1:23" x14ac:dyDescent="0.2">
      <c r="A381" s="283"/>
      <c r="B381" s="283"/>
      <c r="C381" s="283"/>
      <c r="D381" s="283"/>
      <c r="E381" s="283"/>
      <c r="F381" s="283"/>
      <c r="G381" s="283"/>
      <c r="K381" s="242">
        <v>380</v>
      </c>
      <c r="L381" s="242" t="str">
        <f t="shared" si="60"/>
        <v/>
      </c>
      <c r="M381" s="242" t="str">
        <f t="shared" si="61"/>
        <v/>
      </c>
      <c r="N381" s="242" t="str">
        <f t="shared" si="62"/>
        <v/>
      </c>
      <c r="O381" s="242" t="str">
        <f t="shared" si="63"/>
        <v/>
      </c>
      <c r="P381" s="242" t="str">
        <f t="shared" si="64"/>
        <v/>
      </c>
      <c r="Q381" s="242" t="str">
        <f t="shared" si="65"/>
        <v/>
      </c>
      <c r="R381" s="242" t="str">
        <f t="shared" si="66"/>
        <v/>
      </c>
      <c r="S381" s="242" t="str">
        <f t="shared" si="67"/>
        <v/>
      </c>
      <c r="T381" s="242" t="str">
        <f t="shared" si="68"/>
        <v/>
      </c>
      <c r="U381" s="242" t="str">
        <f t="shared" si="69"/>
        <v/>
      </c>
      <c r="V381" s="242" t="str">
        <f t="shared" si="70"/>
        <v/>
      </c>
      <c r="W381" s="242" t="str">
        <f t="shared" si="71"/>
        <v/>
      </c>
    </row>
    <row r="382" spans="1:23" x14ac:dyDescent="0.2">
      <c r="A382" s="283"/>
      <c r="B382" s="283"/>
      <c r="C382" s="283"/>
      <c r="D382" s="283"/>
      <c r="E382" s="283"/>
      <c r="F382" s="283"/>
      <c r="G382" s="283"/>
      <c r="K382" s="242">
        <v>381</v>
      </c>
      <c r="L382" s="242" t="str">
        <f t="shared" si="60"/>
        <v/>
      </c>
      <c r="M382" s="242" t="str">
        <f t="shared" si="61"/>
        <v/>
      </c>
      <c r="N382" s="242" t="str">
        <f t="shared" si="62"/>
        <v/>
      </c>
      <c r="O382" s="242" t="str">
        <f t="shared" si="63"/>
        <v/>
      </c>
      <c r="P382" s="242" t="str">
        <f t="shared" si="64"/>
        <v/>
      </c>
      <c r="Q382" s="242" t="str">
        <f t="shared" si="65"/>
        <v/>
      </c>
      <c r="R382" s="242" t="str">
        <f t="shared" si="66"/>
        <v/>
      </c>
      <c r="S382" s="242" t="str">
        <f t="shared" si="67"/>
        <v/>
      </c>
      <c r="T382" s="242" t="str">
        <f t="shared" si="68"/>
        <v/>
      </c>
      <c r="U382" s="242" t="str">
        <f t="shared" si="69"/>
        <v/>
      </c>
      <c r="V382" s="242" t="str">
        <f t="shared" si="70"/>
        <v/>
      </c>
      <c r="W382" s="242" t="str">
        <f t="shared" si="71"/>
        <v/>
      </c>
    </row>
    <row r="383" spans="1:23" x14ac:dyDescent="0.2">
      <c r="A383" s="283"/>
      <c r="B383" s="283"/>
      <c r="C383" s="283"/>
      <c r="D383" s="283"/>
      <c r="E383" s="283"/>
      <c r="F383" s="283"/>
      <c r="G383" s="283"/>
      <c r="K383" s="242">
        <v>382</v>
      </c>
      <c r="L383" s="242" t="str">
        <f t="shared" si="60"/>
        <v/>
      </c>
      <c r="M383" s="242" t="str">
        <f t="shared" si="61"/>
        <v/>
      </c>
      <c r="N383" s="242" t="str">
        <f t="shared" si="62"/>
        <v/>
      </c>
      <c r="O383" s="242" t="str">
        <f t="shared" si="63"/>
        <v/>
      </c>
      <c r="P383" s="242" t="str">
        <f t="shared" si="64"/>
        <v/>
      </c>
      <c r="Q383" s="242" t="str">
        <f t="shared" si="65"/>
        <v/>
      </c>
      <c r="R383" s="242" t="str">
        <f t="shared" si="66"/>
        <v/>
      </c>
      <c r="S383" s="242" t="str">
        <f t="shared" si="67"/>
        <v/>
      </c>
      <c r="T383" s="242" t="str">
        <f t="shared" si="68"/>
        <v/>
      </c>
      <c r="U383" s="242" t="str">
        <f t="shared" si="69"/>
        <v/>
      </c>
      <c r="V383" s="242" t="str">
        <f t="shared" si="70"/>
        <v/>
      </c>
      <c r="W383" s="242" t="str">
        <f t="shared" si="71"/>
        <v/>
      </c>
    </row>
    <row r="384" spans="1:23" x14ac:dyDescent="0.2">
      <c r="A384" s="283"/>
      <c r="B384" s="283"/>
      <c r="C384" s="283"/>
      <c r="D384" s="283"/>
      <c r="E384" s="283"/>
      <c r="F384" s="283"/>
      <c r="G384" s="283"/>
      <c r="K384" s="242">
        <v>383</v>
      </c>
      <c r="L384" s="242" t="str">
        <f t="shared" si="60"/>
        <v/>
      </c>
      <c r="M384" s="242" t="str">
        <f t="shared" si="61"/>
        <v/>
      </c>
      <c r="N384" s="242" t="str">
        <f t="shared" si="62"/>
        <v/>
      </c>
      <c r="O384" s="242" t="str">
        <f t="shared" si="63"/>
        <v/>
      </c>
      <c r="P384" s="242" t="str">
        <f t="shared" si="64"/>
        <v/>
      </c>
      <c r="Q384" s="242" t="str">
        <f t="shared" si="65"/>
        <v/>
      </c>
      <c r="R384" s="242" t="str">
        <f t="shared" si="66"/>
        <v/>
      </c>
      <c r="S384" s="242" t="str">
        <f t="shared" si="67"/>
        <v/>
      </c>
      <c r="T384" s="242" t="str">
        <f t="shared" si="68"/>
        <v/>
      </c>
      <c r="U384" s="242" t="str">
        <f t="shared" si="69"/>
        <v/>
      </c>
      <c r="V384" s="242" t="str">
        <f t="shared" si="70"/>
        <v/>
      </c>
      <c r="W384" s="242" t="str">
        <f t="shared" si="71"/>
        <v/>
      </c>
    </row>
    <row r="385" spans="1:23" x14ac:dyDescent="0.2">
      <c r="A385" s="283"/>
      <c r="B385" s="283"/>
      <c r="C385" s="283"/>
      <c r="D385" s="283"/>
      <c r="E385" s="283"/>
      <c r="F385" s="283"/>
      <c r="G385" s="283"/>
      <c r="K385" s="242">
        <v>384</v>
      </c>
      <c r="L385" s="242" t="str">
        <f t="shared" si="60"/>
        <v/>
      </c>
      <c r="M385" s="242" t="str">
        <f t="shared" si="61"/>
        <v/>
      </c>
      <c r="N385" s="242" t="str">
        <f t="shared" si="62"/>
        <v/>
      </c>
      <c r="O385" s="242" t="str">
        <f t="shared" si="63"/>
        <v/>
      </c>
      <c r="P385" s="242" t="str">
        <f t="shared" si="64"/>
        <v/>
      </c>
      <c r="Q385" s="242" t="str">
        <f t="shared" si="65"/>
        <v/>
      </c>
      <c r="R385" s="242" t="str">
        <f t="shared" si="66"/>
        <v/>
      </c>
      <c r="S385" s="242" t="str">
        <f t="shared" si="67"/>
        <v/>
      </c>
      <c r="T385" s="242" t="str">
        <f t="shared" si="68"/>
        <v/>
      </c>
      <c r="U385" s="242" t="str">
        <f t="shared" si="69"/>
        <v/>
      </c>
      <c r="V385" s="242" t="str">
        <f t="shared" si="70"/>
        <v/>
      </c>
      <c r="W385" s="242" t="str">
        <f t="shared" si="71"/>
        <v/>
      </c>
    </row>
    <row r="386" spans="1:23" x14ac:dyDescent="0.2">
      <c r="A386" s="283"/>
      <c r="B386" s="283"/>
      <c r="C386" s="283"/>
      <c r="D386" s="283"/>
      <c r="E386" s="283"/>
      <c r="F386" s="283"/>
      <c r="G386" s="283"/>
      <c r="K386" s="242">
        <v>385</v>
      </c>
      <c r="L386" s="242" t="str">
        <f t="shared" si="60"/>
        <v/>
      </c>
      <c r="M386" s="242" t="str">
        <f t="shared" si="61"/>
        <v/>
      </c>
      <c r="N386" s="242" t="str">
        <f t="shared" si="62"/>
        <v/>
      </c>
      <c r="O386" s="242" t="str">
        <f t="shared" si="63"/>
        <v/>
      </c>
      <c r="P386" s="242" t="str">
        <f t="shared" si="64"/>
        <v/>
      </c>
      <c r="Q386" s="242" t="str">
        <f t="shared" si="65"/>
        <v/>
      </c>
      <c r="R386" s="242" t="str">
        <f t="shared" si="66"/>
        <v/>
      </c>
      <c r="S386" s="242" t="str">
        <f t="shared" si="67"/>
        <v/>
      </c>
      <c r="T386" s="242" t="str">
        <f t="shared" si="68"/>
        <v/>
      </c>
      <c r="U386" s="242" t="str">
        <f t="shared" si="69"/>
        <v/>
      </c>
      <c r="V386" s="242" t="str">
        <f t="shared" si="70"/>
        <v/>
      </c>
      <c r="W386" s="242" t="str">
        <f t="shared" si="71"/>
        <v/>
      </c>
    </row>
    <row r="387" spans="1:23" x14ac:dyDescent="0.2">
      <c r="A387" s="283"/>
      <c r="B387" s="283"/>
      <c r="C387" s="283"/>
      <c r="D387" s="283"/>
      <c r="E387" s="283"/>
      <c r="F387" s="283"/>
      <c r="G387" s="283"/>
      <c r="K387" s="242">
        <v>386</v>
      </c>
      <c r="L387" s="242" t="str">
        <f t="shared" ref="L387:L450" si="72">IF($B$13&gt;=K387,K387,"")</f>
        <v/>
      </c>
      <c r="M387" s="242" t="str">
        <f t="shared" ref="M387:M450" si="73">IF(L387="","",IF(L387&lt;=$E$15,VLOOKUP($E$14,$I$1:$J$4,2,FALSE),VLOOKUP($F$14,$I$1:$J$4,2,FALSE)))</f>
        <v/>
      </c>
      <c r="N387" s="242" t="str">
        <f t="shared" ref="N387:N450" si="74">IF($B$20&gt;=K387,K387,"")</f>
        <v/>
      </c>
      <c r="O387" s="242" t="str">
        <f t="shared" ref="O387:O450" si="75">IF(N387="","",IF(N387&lt;=$E$22,VLOOKUP($E$21,$I$1:$J$4,2,FALSE),VLOOKUP($F$21,$I$1:$J$4,2,FALSE)))</f>
        <v/>
      </c>
      <c r="P387" s="242" t="str">
        <f t="shared" ref="P387:P450" si="76">IF($B$27&gt;=K387,K387,"")</f>
        <v/>
      </c>
      <c r="Q387" s="242" t="str">
        <f t="shared" ref="Q387:Q450" si="77">IF(P387="","",IF(P387&lt;=$E$29,VLOOKUP($E$28,$I$1:$J$4,2,FALSE),VLOOKUP($F$28,$I$1:$J$4,2,FALSE)))</f>
        <v/>
      </c>
      <c r="R387" s="242" t="str">
        <f t="shared" ref="R387:R450" si="78">IF($B$34&gt;=K387,K387,"")</f>
        <v/>
      </c>
      <c r="S387" s="242" t="str">
        <f t="shared" ref="S387:S450" si="79">IF(R387="","",IF(R387&lt;=$E$36,VLOOKUP($E$35,$I$1:$J$4,2,FALSE),VLOOKUP($F$35,$I$1:$J$4,2,FALSE)))</f>
        <v/>
      </c>
      <c r="T387" s="242" t="str">
        <f t="shared" ref="T387:T450" si="80">IF($B$41&gt;=K387,K387,"")</f>
        <v/>
      </c>
      <c r="U387" s="242" t="str">
        <f t="shared" ref="U387:U450" si="81">IF(T387="","",IF(T387&lt;=$E$43,VLOOKUP($E$42,$I$1:$J$4,2,FALSE),VLOOKUP($F$42,$I$1:$J$4,2,FALSE)))</f>
        <v/>
      </c>
      <c r="V387" s="242" t="str">
        <f t="shared" ref="V387:V450" si="82">IF($B$48&gt;=K387,K387,"")</f>
        <v/>
      </c>
      <c r="W387" s="242" t="str">
        <f t="shared" ref="W387:W450" si="83">IF(V387="","",IF(V387&lt;=$E$50,VLOOKUP($E$49,$I$1:$J$4,2,FALSE),VLOOKUP($F$49,$I$1:$J$4,2,FALSE)))</f>
        <v/>
      </c>
    </row>
    <row r="388" spans="1:23" x14ac:dyDescent="0.2">
      <c r="A388" s="283"/>
      <c r="B388" s="283"/>
      <c r="C388" s="283"/>
      <c r="D388" s="283"/>
      <c r="E388" s="283"/>
      <c r="F388" s="283"/>
      <c r="G388" s="283"/>
      <c r="K388" s="242">
        <v>387</v>
      </c>
      <c r="L388" s="242" t="str">
        <f t="shared" si="72"/>
        <v/>
      </c>
      <c r="M388" s="242" t="str">
        <f t="shared" si="73"/>
        <v/>
      </c>
      <c r="N388" s="242" t="str">
        <f t="shared" si="74"/>
        <v/>
      </c>
      <c r="O388" s="242" t="str">
        <f t="shared" si="75"/>
        <v/>
      </c>
      <c r="P388" s="242" t="str">
        <f t="shared" si="76"/>
        <v/>
      </c>
      <c r="Q388" s="242" t="str">
        <f t="shared" si="77"/>
        <v/>
      </c>
      <c r="R388" s="242" t="str">
        <f t="shared" si="78"/>
        <v/>
      </c>
      <c r="S388" s="242" t="str">
        <f t="shared" si="79"/>
        <v/>
      </c>
      <c r="T388" s="242" t="str">
        <f t="shared" si="80"/>
        <v/>
      </c>
      <c r="U388" s="242" t="str">
        <f t="shared" si="81"/>
        <v/>
      </c>
      <c r="V388" s="242" t="str">
        <f t="shared" si="82"/>
        <v/>
      </c>
      <c r="W388" s="242" t="str">
        <f t="shared" si="83"/>
        <v/>
      </c>
    </row>
    <row r="389" spans="1:23" x14ac:dyDescent="0.2">
      <c r="A389" s="283"/>
      <c r="B389" s="283"/>
      <c r="C389" s="283"/>
      <c r="D389" s="283"/>
      <c r="E389" s="283"/>
      <c r="F389" s="283"/>
      <c r="G389" s="283"/>
      <c r="K389" s="242">
        <v>388</v>
      </c>
      <c r="L389" s="242" t="str">
        <f t="shared" si="72"/>
        <v/>
      </c>
      <c r="M389" s="242" t="str">
        <f t="shared" si="73"/>
        <v/>
      </c>
      <c r="N389" s="242" t="str">
        <f t="shared" si="74"/>
        <v/>
      </c>
      <c r="O389" s="242" t="str">
        <f t="shared" si="75"/>
        <v/>
      </c>
      <c r="P389" s="242" t="str">
        <f t="shared" si="76"/>
        <v/>
      </c>
      <c r="Q389" s="242" t="str">
        <f t="shared" si="77"/>
        <v/>
      </c>
      <c r="R389" s="242" t="str">
        <f t="shared" si="78"/>
        <v/>
      </c>
      <c r="S389" s="242" t="str">
        <f t="shared" si="79"/>
        <v/>
      </c>
      <c r="T389" s="242" t="str">
        <f t="shared" si="80"/>
        <v/>
      </c>
      <c r="U389" s="242" t="str">
        <f t="shared" si="81"/>
        <v/>
      </c>
      <c r="V389" s="242" t="str">
        <f t="shared" si="82"/>
        <v/>
      </c>
      <c r="W389" s="242" t="str">
        <f t="shared" si="83"/>
        <v/>
      </c>
    </row>
    <row r="390" spans="1:23" x14ac:dyDescent="0.2">
      <c r="A390" s="283"/>
      <c r="B390" s="283"/>
      <c r="C390" s="283"/>
      <c r="D390" s="283"/>
      <c r="E390" s="283"/>
      <c r="F390" s="283"/>
      <c r="G390" s="283"/>
      <c r="K390" s="242">
        <v>389</v>
      </c>
      <c r="L390" s="242" t="str">
        <f t="shared" si="72"/>
        <v/>
      </c>
      <c r="M390" s="242" t="str">
        <f t="shared" si="73"/>
        <v/>
      </c>
      <c r="N390" s="242" t="str">
        <f t="shared" si="74"/>
        <v/>
      </c>
      <c r="O390" s="242" t="str">
        <f t="shared" si="75"/>
        <v/>
      </c>
      <c r="P390" s="242" t="str">
        <f t="shared" si="76"/>
        <v/>
      </c>
      <c r="Q390" s="242" t="str">
        <f t="shared" si="77"/>
        <v/>
      </c>
      <c r="R390" s="242" t="str">
        <f t="shared" si="78"/>
        <v/>
      </c>
      <c r="S390" s="242" t="str">
        <f t="shared" si="79"/>
        <v/>
      </c>
      <c r="T390" s="242" t="str">
        <f t="shared" si="80"/>
        <v/>
      </c>
      <c r="U390" s="242" t="str">
        <f t="shared" si="81"/>
        <v/>
      </c>
      <c r="V390" s="242" t="str">
        <f t="shared" si="82"/>
        <v/>
      </c>
      <c r="W390" s="242" t="str">
        <f t="shared" si="83"/>
        <v/>
      </c>
    </row>
    <row r="391" spans="1:23" x14ac:dyDescent="0.2">
      <c r="A391" s="283"/>
      <c r="B391" s="283"/>
      <c r="C391" s="283"/>
      <c r="D391" s="283"/>
      <c r="E391" s="283"/>
      <c r="F391" s="283"/>
      <c r="G391" s="283"/>
      <c r="K391" s="242">
        <v>390</v>
      </c>
      <c r="L391" s="242" t="str">
        <f t="shared" si="72"/>
        <v/>
      </c>
      <c r="M391" s="242" t="str">
        <f t="shared" si="73"/>
        <v/>
      </c>
      <c r="N391" s="242" t="str">
        <f t="shared" si="74"/>
        <v/>
      </c>
      <c r="O391" s="242" t="str">
        <f t="shared" si="75"/>
        <v/>
      </c>
      <c r="P391" s="242" t="str">
        <f t="shared" si="76"/>
        <v/>
      </c>
      <c r="Q391" s="242" t="str">
        <f t="shared" si="77"/>
        <v/>
      </c>
      <c r="R391" s="242" t="str">
        <f t="shared" si="78"/>
        <v/>
      </c>
      <c r="S391" s="242" t="str">
        <f t="shared" si="79"/>
        <v/>
      </c>
      <c r="T391" s="242" t="str">
        <f t="shared" si="80"/>
        <v/>
      </c>
      <c r="U391" s="242" t="str">
        <f t="shared" si="81"/>
        <v/>
      </c>
      <c r="V391" s="242" t="str">
        <f t="shared" si="82"/>
        <v/>
      </c>
      <c r="W391" s="242" t="str">
        <f t="shared" si="83"/>
        <v/>
      </c>
    </row>
    <row r="392" spans="1:23" x14ac:dyDescent="0.2">
      <c r="A392" s="283"/>
      <c r="B392" s="283"/>
      <c r="C392" s="283"/>
      <c r="D392" s="283"/>
      <c r="E392" s="283"/>
      <c r="F392" s="283"/>
      <c r="G392" s="283"/>
      <c r="K392" s="242">
        <v>391</v>
      </c>
      <c r="L392" s="242" t="str">
        <f t="shared" si="72"/>
        <v/>
      </c>
      <c r="M392" s="242" t="str">
        <f t="shared" si="73"/>
        <v/>
      </c>
      <c r="N392" s="242" t="str">
        <f t="shared" si="74"/>
        <v/>
      </c>
      <c r="O392" s="242" t="str">
        <f t="shared" si="75"/>
        <v/>
      </c>
      <c r="P392" s="242" t="str">
        <f t="shared" si="76"/>
        <v/>
      </c>
      <c r="Q392" s="242" t="str">
        <f t="shared" si="77"/>
        <v/>
      </c>
      <c r="R392" s="242" t="str">
        <f t="shared" si="78"/>
        <v/>
      </c>
      <c r="S392" s="242" t="str">
        <f t="shared" si="79"/>
        <v/>
      </c>
      <c r="T392" s="242" t="str">
        <f t="shared" si="80"/>
        <v/>
      </c>
      <c r="U392" s="242" t="str">
        <f t="shared" si="81"/>
        <v/>
      </c>
      <c r="V392" s="242" t="str">
        <f t="shared" si="82"/>
        <v/>
      </c>
      <c r="W392" s="242" t="str">
        <f t="shared" si="83"/>
        <v/>
      </c>
    </row>
    <row r="393" spans="1:23" x14ac:dyDescent="0.2">
      <c r="A393" s="283"/>
      <c r="B393" s="283"/>
      <c r="C393" s="283"/>
      <c r="D393" s="283"/>
      <c r="E393" s="283"/>
      <c r="F393" s="283"/>
      <c r="G393" s="283"/>
      <c r="K393" s="242">
        <v>392</v>
      </c>
      <c r="L393" s="242" t="str">
        <f t="shared" si="72"/>
        <v/>
      </c>
      <c r="M393" s="242" t="str">
        <f t="shared" si="73"/>
        <v/>
      </c>
      <c r="N393" s="242" t="str">
        <f t="shared" si="74"/>
        <v/>
      </c>
      <c r="O393" s="242" t="str">
        <f t="shared" si="75"/>
        <v/>
      </c>
      <c r="P393" s="242" t="str">
        <f t="shared" si="76"/>
        <v/>
      </c>
      <c r="Q393" s="242" t="str">
        <f t="shared" si="77"/>
        <v/>
      </c>
      <c r="R393" s="242" t="str">
        <f t="shared" si="78"/>
        <v/>
      </c>
      <c r="S393" s="242" t="str">
        <f t="shared" si="79"/>
        <v/>
      </c>
      <c r="T393" s="242" t="str">
        <f t="shared" si="80"/>
        <v/>
      </c>
      <c r="U393" s="242" t="str">
        <f t="shared" si="81"/>
        <v/>
      </c>
      <c r="V393" s="242" t="str">
        <f t="shared" si="82"/>
        <v/>
      </c>
      <c r="W393" s="242" t="str">
        <f t="shared" si="83"/>
        <v/>
      </c>
    </row>
    <row r="394" spans="1:23" x14ac:dyDescent="0.2">
      <c r="A394" s="283"/>
      <c r="B394" s="283"/>
      <c r="C394" s="283"/>
      <c r="D394" s="283"/>
      <c r="E394" s="283"/>
      <c r="F394" s="283"/>
      <c r="G394" s="283"/>
      <c r="K394" s="242">
        <v>393</v>
      </c>
      <c r="L394" s="242" t="str">
        <f t="shared" si="72"/>
        <v/>
      </c>
      <c r="M394" s="242" t="str">
        <f t="shared" si="73"/>
        <v/>
      </c>
      <c r="N394" s="242" t="str">
        <f t="shared" si="74"/>
        <v/>
      </c>
      <c r="O394" s="242" t="str">
        <f t="shared" si="75"/>
        <v/>
      </c>
      <c r="P394" s="242" t="str">
        <f t="shared" si="76"/>
        <v/>
      </c>
      <c r="Q394" s="242" t="str">
        <f t="shared" si="77"/>
        <v/>
      </c>
      <c r="R394" s="242" t="str">
        <f t="shared" si="78"/>
        <v/>
      </c>
      <c r="S394" s="242" t="str">
        <f t="shared" si="79"/>
        <v/>
      </c>
      <c r="T394" s="242" t="str">
        <f t="shared" si="80"/>
        <v/>
      </c>
      <c r="U394" s="242" t="str">
        <f t="shared" si="81"/>
        <v/>
      </c>
      <c r="V394" s="242" t="str">
        <f t="shared" si="82"/>
        <v/>
      </c>
      <c r="W394" s="242" t="str">
        <f t="shared" si="83"/>
        <v/>
      </c>
    </row>
    <row r="395" spans="1:23" x14ac:dyDescent="0.2">
      <c r="A395" s="283"/>
      <c r="B395" s="283"/>
      <c r="C395" s="283"/>
      <c r="D395" s="283"/>
      <c r="E395" s="283"/>
      <c r="F395" s="283"/>
      <c r="G395" s="283"/>
      <c r="K395" s="242">
        <v>394</v>
      </c>
      <c r="L395" s="242" t="str">
        <f t="shared" si="72"/>
        <v/>
      </c>
      <c r="M395" s="242" t="str">
        <f t="shared" si="73"/>
        <v/>
      </c>
      <c r="N395" s="242" t="str">
        <f t="shared" si="74"/>
        <v/>
      </c>
      <c r="O395" s="242" t="str">
        <f t="shared" si="75"/>
        <v/>
      </c>
      <c r="P395" s="242" t="str">
        <f t="shared" si="76"/>
        <v/>
      </c>
      <c r="Q395" s="242" t="str">
        <f t="shared" si="77"/>
        <v/>
      </c>
      <c r="R395" s="242" t="str">
        <f t="shared" si="78"/>
        <v/>
      </c>
      <c r="S395" s="242" t="str">
        <f t="shared" si="79"/>
        <v/>
      </c>
      <c r="T395" s="242" t="str">
        <f t="shared" si="80"/>
        <v/>
      </c>
      <c r="U395" s="242" t="str">
        <f t="shared" si="81"/>
        <v/>
      </c>
      <c r="V395" s="242" t="str">
        <f t="shared" si="82"/>
        <v/>
      </c>
      <c r="W395" s="242" t="str">
        <f t="shared" si="83"/>
        <v/>
      </c>
    </row>
    <row r="396" spans="1:23" x14ac:dyDescent="0.2">
      <c r="A396" s="283"/>
      <c r="B396" s="283"/>
      <c r="C396" s="283"/>
      <c r="D396" s="283"/>
      <c r="E396" s="283"/>
      <c r="F396" s="283"/>
      <c r="G396" s="283"/>
      <c r="K396" s="242">
        <v>395</v>
      </c>
      <c r="L396" s="242" t="str">
        <f t="shared" si="72"/>
        <v/>
      </c>
      <c r="M396" s="242" t="str">
        <f t="shared" si="73"/>
        <v/>
      </c>
      <c r="N396" s="242" t="str">
        <f t="shared" si="74"/>
        <v/>
      </c>
      <c r="O396" s="242" t="str">
        <f t="shared" si="75"/>
        <v/>
      </c>
      <c r="P396" s="242" t="str">
        <f t="shared" si="76"/>
        <v/>
      </c>
      <c r="Q396" s="242" t="str">
        <f t="shared" si="77"/>
        <v/>
      </c>
      <c r="R396" s="242" t="str">
        <f t="shared" si="78"/>
        <v/>
      </c>
      <c r="S396" s="242" t="str">
        <f t="shared" si="79"/>
        <v/>
      </c>
      <c r="T396" s="242" t="str">
        <f t="shared" si="80"/>
        <v/>
      </c>
      <c r="U396" s="242" t="str">
        <f t="shared" si="81"/>
        <v/>
      </c>
      <c r="V396" s="242" t="str">
        <f t="shared" si="82"/>
        <v/>
      </c>
      <c r="W396" s="242" t="str">
        <f t="shared" si="83"/>
        <v/>
      </c>
    </row>
    <row r="397" spans="1:23" x14ac:dyDescent="0.2">
      <c r="A397" s="283"/>
      <c r="B397" s="283"/>
      <c r="C397" s="283"/>
      <c r="D397" s="283"/>
      <c r="E397" s="283"/>
      <c r="F397" s="283"/>
      <c r="G397" s="283"/>
      <c r="K397" s="242">
        <v>396</v>
      </c>
      <c r="L397" s="242" t="str">
        <f t="shared" si="72"/>
        <v/>
      </c>
      <c r="M397" s="242" t="str">
        <f t="shared" si="73"/>
        <v/>
      </c>
      <c r="N397" s="242" t="str">
        <f t="shared" si="74"/>
        <v/>
      </c>
      <c r="O397" s="242" t="str">
        <f t="shared" si="75"/>
        <v/>
      </c>
      <c r="P397" s="242" t="str">
        <f t="shared" si="76"/>
        <v/>
      </c>
      <c r="Q397" s="242" t="str">
        <f t="shared" si="77"/>
        <v/>
      </c>
      <c r="R397" s="242" t="str">
        <f t="shared" si="78"/>
        <v/>
      </c>
      <c r="S397" s="242" t="str">
        <f t="shared" si="79"/>
        <v/>
      </c>
      <c r="T397" s="242" t="str">
        <f t="shared" si="80"/>
        <v/>
      </c>
      <c r="U397" s="242" t="str">
        <f t="shared" si="81"/>
        <v/>
      </c>
      <c r="V397" s="242" t="str">
        <f t="shared" si="82"/>
        <v/>
      </c>
      <c r="W397" s="242" t="str">
        <f t="shared" si="83"/>
        <v/>
      </c>
    </row>
    <row r="398" spans="1:23" x14ac:dyDescent="0.2">
      <c r="A398" s="283"/>
      <c r="B398" s="283"/>
      <c r="C398" s="283"/>
      <c r="D398" s="283"/>
      <c r="E398" s="283"/>
      <c r="F398" s="283"/>
      <c r="G398" s="283"/>
      <c r="K398" s="242">
        <v>397</v>
      </c>
      <c r="L398" s="242" t="str">
        <f t="shared" si="72"/>
        <v/>
      </c>
      <c r="M398" s="242" t="str">
        <f t="shared" si="73"/>
        <v/>
      </c>
      <c r="N398" s="242" t="str">
        <f t="shared" si="74"/>
        <v/>
      </c>
      <c r="O398" s="242" t="str">
        <f t="shared" si="75"/>
        <v/>
      </c>
      <c r="P398" s="242" t="str">
        <f t="shared" si="76"/>
        <v/>
      </c>
      <c r="Q398" s="242" t="str">
        <f t="shared" si="77"/>
        <v/>
      </c>
      <c r="R398" s="242" t="str">
        <f t="shared" si="78"/>
        <v/>
      </c>
      <c r="S398" s="242" t="str">
        <f t="shared" si="79"/>
        <v/>
      </c>
      <c r="T398" s="242" t="str">
        <f t="shared" si="80"/>
        <v/>
      </c>
      <c r="U398" s="242" t="str">
        <f t="shared" si="81"/>
        <v/>
      </c>
      <c r="V398" s="242" t="str">
        <f t="shared" si="82"/>
        <v/>
      </c>
      <c r="W398" s="242" t="str">
        <f t="shared" si="83"/>
        <v/>
      </c>
    </row>
    <row r="399" spans="1:23" x14ac:dyDescent="0.2">
      <c r="A399" s="283"/>
      <c r="B399" s="283"/>
      <c r="C399" s="283"/>
      <c r="D399" s="283"/>
      <c r="E399" s="283"/>
      <c r="F399" s="283"/>
      <c r="G399" s="283"/>
      <c r="K399" s="242">
        <v>398</v>
      </c>
      <c r="L399" s="242" t="str">
        <f t="shared" si="72"/>
        <v/>
      </c>
      <c r="M399" s="242" t="str">
        <f t="shared" si="73"/>
        <v/>
      </c>
      <c r="N399" s="242" t="str">
        <f t="shared" si="74"/>
        <v/>
      </c>
      <c r="O399" s="242" t="str">
        <f t="shared" si="75"/>
        <v/>
      </c>
      <c r="P399" s="242" t="str">
        <f t="shared" si="76"/>
        <v/>
      </c>
      <c r="Q399" s="242" t="str">
        <f t="shared" si="77"/>
        <v/>
      </c>
      <c r="R399" s="242" t="str">
        <f t="shared" si="78"/>
        <v/>
      </c>
      <c r="S399" s="242" t="str">
        <f t="shared" si="79"/>
        <v/>
      </c>
      <c r="T399" s="242" t="str">
        <f t="shared" si="80"/>
        <v/>
      </c>
      <c r="U399" s="242" t="str">
        <f t="shared" si="81"/>
        <v/>
      </c>
      <c r="V399" s="242" t="str">
        <f t="shared" si="82"/>
        <v/>
      </c>
      <c r="W399" s="242" t="str">
        <f t="shared" si="83"/>
        <v/>
      </c>
    </row>
    <row r="400" spans="1:23" x14ac:dyDescent="0.2">
      <c r="A400" s="283"/>
      <c r="B400" s="283"/>
      <c r="C400" s="283"/>
      <c r="D400" s="283"/>
      <c r="E400" s="283"/>
      <c r="F400" s="283"/>
      <c r="G400" s="283"/>
      <c r="K400" s="242">
        <v>399</v>
      </c>
      <c r="L400" s="242" t="str">
        <f t="shared" si="72"/>
        <v/>
      </c>
      <c r="M400" s="242" t="str">
        <f t="shared" si="73"/>
        <v/>
      </c>
      <c r="N400" s="242" t="str">
        <f t="shared" si="74"/>
        <v/>
      </c>
      <c r="O400" s="242" t="str">
        <f t="shared" si="75"/>
        <v/>
      </c>
      <c r="P400" s="242" t="str">
        <f t="shared" si="76"/>
        <v/>
      </c>
      <c r="Q400" s="242" t="str">
        <f t="shared" si="77"/>
        <v/>
      </c>
      <c r="R400" s="242" t="str">
        <f t="shared" si="78"/>
        <v/>
      </c>
      <c r="S400" s="242" t="str">
        <f t="shared" si="79"/>
        <v/>
      </c>
      <c r="T400" s="242" t="str">
        <f t="shared" si="80"/>
        <v/>
      </c>
      <c r="U400" s="242" t="str">
        <f t="shared" si="81"/>
        <v/>
      </c>
      <c r="V400" s="242" t="str">
        <f t="shared" si="82"/>
        <v/>
      </c>
      <c r="W400" s="242" t="str">
        <f t="shared" si="83"/>
        <v/>
      </c>
    </row>
    <row r="401" spans="1:23" x14ac:dyDescent="0.2">
      <c r="A401" s="283"/>
      <c r="B401" s="283"/>
      <c r="C401" s="283"/>
      <c r="D401" s="283"/>
      <c r="E401" s="283"/>
      <c r="F401" s="283"/>
      <c r="G401" s="283"/>
      <c r="K401" s="242">
        <v>400</v>
      </c>
      <c r="L401" s="242" t="str">
        <f t="shared" si="72"/>
        <v/>
      </c>
      <c r="M401" s="242" t="str">
        <f t="shared" si="73"/>
        <v/>
      </c>
      <c r="N401" s="242" t="str">
        <f t="shared" si="74"/>
        <v/>
      </c>
      <c r="O401" s="242" t="str">
        <f t="shared" si="75"/>
        <v/>
      </c>
      <c r="P401" s="242" t="str">
        <f t="shared" si="76"/>
        <v/>
      </c>
      <c r="Q401" s="242" t="str">
        <f t="shared" si="77"/>
        <v/>
      </c>
      <c r="R401" s="242" t="str">
        <f t="shared" si="78"/>
        <v/>
      </c>
      <c r="S401" s="242" t="str">
        <f t="shared" si="79"/>
        <v/>
      </c>
      <c r="T401" s="242" t="str">
        <f t="shared" si="80"/>
        <v/>
      </c>
      <c r="U401" s="242" t="str">
        <f t="shared" si="81"/>
        <v/>
      </c>
      <c r="V401" s="242" t="str">
        <f t="shared" si="82"/>
        <v/>
      </c>
      <c r="W401" s="242" t="str">
        <f t="shared" si="83"/>
        <v/>
      </c>
    </row>
    <row r="402" spans="1:23" x14ac:dyDescent="0.2">
      <c r="A402" s="283"/>
      <c r="B402" s="283"/>
      <c r="C402" s="283"/>
      <c r="D402" s="283"/>
      <c r="E402" s="283"/>
      <c r="F402" s="283"/>
      <c r="G402" s="283"/>
      <c r="K402" s="242">
        <v>401</v>
      </c>
      <c r="L402" s="242" t="str">
        <f t="shared" si="72"/>
        <v/>
      </c>
      <c r="M402" s="242" t="str">
        <f t="shared" si="73"/>
        <v/>
      </c>
      <c r="N402" s="242" t="str">
        <f t="shared" si="74"/>
        <v/>
      </c>
      <c r="O402" s="242" t="str">
        <f t="shared" si="75"/>
        <v/>
      </c>
      <c r="P402" s="242" t="str">
        <f t="shared" si="76"/>
        <v/>
      </c>
      <c r="Q402" s="242" t="str">
        <f t="shared" si="77"/>
        <v/>
      </c>
      <c r="R402" s="242" t="str">
        <f t="shared" si="78"/>
        <v/>
      </c>
      <c r="S402" s="242" t="str">
        <f t="shared" si="79"/>
        <v/>
      </c>
      <c r="T402" s="242" t="str">
        <f t="shared" si="80"/>
        <v/>
      </c>
      <c r="U402" s="242" t="str">
        <f t="shared" si="81"/>
        <v/>
      </c>
      <c r="V402" s="242" t="str">
        <f t="shared" si="82"/>
        <v/>
      </c>
      <c r="W402" s="242" t="str">
        <f t="shared" si="83"/>
        <v/>
      </c>
    </row>
    <row r="403" spans="1:23" x14ac:dyDescent="0.2">
      <c r="A403" s="283"/>
      <c r="B403" s="283"/>
      <c r="C403" s="283"/>
      <c r="D403" s="283"/>
      <c r="E403" s="283"/>
      <c r="F403" s="283"/>
      <c r="G403" s="283"/>
      <c r="K403" s="242">
        <v>402</v>
      </c>
      <c r="L403" s="242" t="str">
        <f t="shared" si="72"/>
        <v/>
      </c>
      <c r="M403" s="242" t="str">
        <f t="shared" si="73"/>
        <v/>
      </c>
      <c r="N403" s="242" t="str">
        <f t="shared" si="74"/>
        <v/>
      </c>
      <c r="O403" s="242" t="str">
        <f t="shared" si="75"/>
        <v/>
      </c>
      <c r="P403" s="242" t="str">
        <f t="shared" si="76"/>
        <v/>
      </c>
      <c r="Q403" s="242" t="str">
        <f t="shared" si="77"/>
        <v/>
      </c>
      <c r="R403" s="242" t="str">
        <f t="shared" si="78"/>
        <v/>
      </c>
      <c r="S403" s="242" t="str">
        <f t="shared" si="79"/>
        <v/>
      </c>
      <c r="T403" s="242" t="str">
        <f t="shared" si="80"/>
        <v/>
      </c>
      <c r="U403" s="242" t="str">
        <f t="shared" si="81"/>
        <v/>
      </c>
      <c r="V403" s="242" t="str">
        <f t="shared" si="82"/>
        <v/>
      </c>
      <c r="W403" s="242" t="str">
        <f t="shared" si="83"/>
        <v/>
      </c>
    </row>
    <row r="404" spans="1:23" x14ac:dyDescent="0.2">
      <c r="A404" s="283"/>
      <c r="B404" s="283"/>
      <c r="C404" s="283"/>
      <c r="D404" s="283"/>
      <c r="E404" s="283"/>
      <c r="F404" s="283"/>
      <c r="G404" s="283"/>
      <c r="K404" s="242">
        <v>403</v>
      </c>
      <c r="L404" s="242" t="str">
        <f t="shared" si="72"/>
        <v/>
      </c>
      <c r="M404" s="242" t="str">
        <f t="shared" si="73"/>
        <v/>
      </c>
      <c r="N404" s="242" t="str">
        <f t="shared" si="74"/>
        <v/>
      </c>
      <c r="O404" s="242" t="str">
        <f t="shared" si="75"/>
        <v/>
      </c>
      <c r="P404" s="242" t="str">
        <f t="shared" si="76"/>
        <v/>
      </c>
      <c r="Q404" s="242" t="str">
        <f t="shared" si="77"/>
        <v/>
      </c>
      <c r="R404" s="242" t="str">
        <f t="shared" si="78"/>
        <v/>
      </c>
      <c r="S404" s="242" t="str">
        <f t="shared" si="79"/>
        <v/>
      </c>
      <c r="T404" s="242" t="str">
        <f t="shared" si="80"/>
        <v/>
      </c>
      <c r="U404" s="242" t="str">
        <f t="shared" si="81"/>
        <v/>
      </c>
      <c r="V404" s="242" t="str">
        <f t="shared" si="82"/>
        <v/>
      </c>
      <c r="W404" s="242" t="str">
        <f t="shared" si="83"/>
        <v/>
      </c>
    </row>
    <row r="405" spans="1:23" x14ac:dyDescent="0.2">
      <c r="A405" s="283"/>
      <c r="B405" s="283"/>
      <c r="C405" s="283"/>
      <c r="D405" s="283"/>
      <c r="E405" s="283"/>
      <c r="F405" s="283"/>
      <c r="G405" s="283"/>
      <c r="K405" s="242">
        <v>404</v>
      </c>
      <c r="L405" s="242" t="str">
        <f t="shared" si="72"/>
        <v/>
      </c>
      <c r="M405" s="242" t="str">
        <f t="shared" si="73"/>
        <v/>
      </c>
      <c r="N405" s="242" t="str">
        <f t="shared" si="74"/>
        <v/>
      </c>
      <c r="O405" s="242" t="str">
        <f t="shared" si="75"/>
        <v/>
      </c>
      <c r="P405" s="242" t="str">
        <f t="shared" si="76"/>
        <v/>
      </c>
      <c r="Q405" s="242" t="str">
        <f t="shared" si="77"/>
        <v/>
      </c>
      <c r="R405" s="242" t="str">
        <f t="shared" si="78"/>
        <v/>
      </c>
      <c r="S405" s="242" t="str">
        <f t="shared" si="79"/>
        <v/>
      </c>
      <c r="T405" s="242" t="str">
        <f t="shared" si="80"/>
        <v/>
      </c>
      <c r="U405" s="242" t="str">
        <f t="shared" si="81"/>
        <v/>
      </c>
      <c r="V405" s="242" t="str">
        <f t="shared" si="82"/>
        <v/>
      </c>
      <c r="W405" s="242" t="str">
        <f t="shared" si="83"/>
        <v/>
      </c>
    </row>
    <row r="406" spans="1:23" x14ac:dyDescent="0.2">
      <c r="A406" s="283"/>
      <c r="B406" s="283"/>
      <c r="C406" s="283"/>
      <c r="D406" s="283"/>
      <c r="E406" s="283"/>
      <c r="F406" s="283"/>
      <c r="G406" s="283"/>
      <c r="K406" s="242">
        <v>405</v>
      </c>
      <c r="L406" s="242" t="str">
        <f t="shared" si="72"/>
        <v/>
      </c>
      <c r="M406" s="242" t="str">
        <f t="shared" si="73"/>
        <v/>
      </c>
      <c r="N406" s="242" t="str">
        <f t="shared" si="74"/>
        <v/>
      </c>
      <c r="O406" s="242" t="str">
        <f t="shared" si="75"/>
        <v/>
      </c>
      <c r="P406" s="242" t="str">
        <f t="shared" si="76"/>
        <v/>
      </c>
      <c r="Q406" s="242" t="str">
        <f t="shared" si="77"/>
        <v/>
      </c>
      <c r="R406" s="242" t="str">
        <f t="shared" si="78"/>
        <v/>
      </c>
      <c r="S406" s="242" t="str">
        <f t="shared" si="79"/>
        <v/>
      </c>
      <c r="T406" s="242" t="str">
        <f t="shared" si="80"/>
        <v/>
      </c>
      <c r="U406" s="242" t="str">
        <f t="shared" si="81"/>
        <v/>
      </c>
      <c r="V406" s="242" t="str">
        <f t="shared" si="82"/>
        <v/>
      </c>
      <c r="W406" s="242" t="str">
        <f t="shared" si="83"/>
        <v/>
      </c>
    </row>
    <row r="407" spans="1:23" x14ac:dyDescent="0.2">
      <c r="A407" s="283"/>
      <c r="B407" s="283"/>
      <c r="C407" s="283"/>
      <c r="D407" s="283"/>
      <c r="E407" s="283"/>
      <c r="F407" s="283"/>
      <c r="G407" s="283"/>
      <c r="K407" s="242">
        <v>406</v>
      </c>
      <c r="L407" s="242" t="str">
        <f t="shared" si="72"/>
        <v/>
      </c>
      <c r="M407" s="242" t="str">
        <f t="shared" si="73"/>
        <v/>
      </c>
      <c r="N407" s="242" t="str">
        <f t="shared" si="74"/>
        <v/>
      </c>
      <c r="O407" s="242" t="str">
        <f t="shared" si="75"/>
        <v/>
      </c>
      <c r="P407" s="242" t="str">
        <f t="shared" si="76"/>
        <v/>
      </c>
      <c r="Q407" s="242" t="str">
        <f t="shared" si="77"/>
        <v/>
      </c>
      <c r="R407" s="242" t="str">
        <f t="shared" si="78"/>
        <v/>
      </c>
      <c r="S407" s="242" t="str">
        <f t="shared" si="79"/>
        <v/>
      </c>
      <c r="T407" s="242" t="str">
        <f t="shared" si="80"/>
        <v/>
      </c>
      <c r="U407" s="242" t="str">
        <f t="shared" si="81"/>
        <v/>
      </c>
      <c r="V407" s="242" t="str">
        <f t="shared" si="82"/>
        <v/>
      </c>
      <c r="W407" s="242" t="str">
        <f t="shared" si="83"/>
        <v/>
      </c>
    </row>
    <row r="408" spans="1:23" x14ac:dyDescent="0.2">
      <c r="A408" s="283"/>
      <c r="B408" s="283"/>
      <c r="C408" s="283"/>
      <c r="D408" s="283"/>
      <c r="E408" s="283"/>
      <c r="F408" s="283"/>
      <c r="G408" s="283"/>
      <c r="K408" s="242">
        <v>407</v>
      </c>
      <c r="L408" s="242" t="str">
        <f t="shared" si="72"/>
        <v/>
      </c>
      <c r="M408" s="242" t="str">
        <f t="shared" si="73"/>
        <v/>
      </c>
      <c r="N408" s="242" t="str">
        <f t="shared" si="74"/>
        <v/>
      </c>
      <c r="O408" s="242" t="str">
        <f t="shared" si="75"/>
        <v/>
      </c>
      <c r="P408" s="242" t="str">
        <f t="shared" si="76"/>
        <v/>
      </c>
      <c r="Q408" s="242" t="str">
        <f t="shared" si="77"/>
        <v/>
      </c>
      <c r="R408" s="242" t="str">
        <f t="shared" si="78"/>
        <v/>
      </c>
      <c r="S408" s="242" t="str">
        <f t="shared" si="79"/>
        <v/>
      </c>
      <c r="T408" s="242" t="str">
        <f t="shared" si="80"/>
        <v/>
      </c>
      <c r="U408" s="242" t="str">
        <f t="shared" si="81"/>
        <v/>
      </c>
      <c r="V408" s="242" t="str">
        <f t="shared" si="82"/>
        <v/>
      </c>
      <c r="W408" s="242" t="str">
        <f t="shared" si="83"/>
        <v/>
      </c>
    </row>
    <row r="409" spans="1:23" x14ac:dyDescent="0.2">
      <c r="A409" s="283"/>
      <c r="B409" s="283"/>
      <c r="C409" s="283"/>
      <c r="D409" s="283"/>
      <c r="E409" s="283"/>
      <c r="F409" s="283"/>
      <c r="G409" s="283"/>
      <c r="K409" s="242">
        <v>408</v>
      </c>
      <c r="L409" s="242" t="str">
        <f t="shared" si="72"/>
        <v/>
      </c>
      <c r="M409" s="242" t="str">
        <f t="shared" si="73"/>
        <v/>
      </c>
      <c r="N409" s="242" t="str">
        <f t="shared" si="74"/>
        <v/>
      </c>
      <c r="O409" s="242" t="str">
        <f t="shared" si="75"/>
        <v/>
      </c>
      <c r="P409" s="242" t="str">
        <f t="shared" si="76"/>
        <v/>
      </c>
      <c r="Q409" s="242" t="str">
        <f t="shared" si="77"/>
        <v/>
      </c>
      <c r="R409" s="242" t="str">
        <f t="shared" si="78"/>
        <v/>
      </c>
      <c r="S409" s="242" t="str">
        <f t="shared" si="79"/>
        <v/>
      </c>
      <c r="T409" s="242" t="str">
        <f t="shared" si="80"/>
        <v/>
      </c>
      <c r="U409" s="242" t="str">
        <f t="shared" si="81"/>
        <v/>
      </c>
      <c r="V409" s="242" t="str">
        <f t="shared" si="82"/>
        <v/>
      </c>
      <c r="W409" s="242" t="str">
        <f t="shared" si="83"/>
        <v/>
      </c>
    </row>
    <row r="410" spans="1:23" x14ac:dyDescent="0.2">
      <c r="A410" s="283"/>
      <c r="B410" s="283"/>
      <c r="C410" s="283"/>
      <c r="D410" s="283"/>
      <c r="E410" s="283"/>
      <c r="F410" s="283"/>
      <c r="G410" s="283"/>
      <c r="K410" s="242">
        <v>409</v>
      </c>
      <c r="L410" s="242" t="str">
        <f t="shared" si="72"/>
        <v/>
      </c>
      <c r="M410" s="242" t="str">
        <f t="shared" si="73"/>
        <v/>
      </c>
      <c r="N410" s="242" t="str">
        <f t="shared" si="74"/>
        <v/>
      </c>
      <c r="O410" s="242" t="str">
        <f t="shared" si="75"/>
        <v/>
      </c>
      <c r="P410" s="242" t="str">
        <f t="shared" si="76"/>
        <v/>
      </c>
      <c r="Q410" s="242" t="str">
        <f t="shared" si="77"/>
        <v/>
      </c>
      <c r="R410" s="242" t="str">
        <f t="shared" si="78"/>
        <v/>
      </c>
      <c r="S410" s="242" t="str">
        <f t="shared" si="79"/>
        <v/>
      </c>
      <c r="T410" s="242" t="str">
        <f t="shared" si="80"/>
        <v/>
      </c>
      <c r="U410" s="242" t="str">
        <f t="shared" si="81"/>
        <v/>
      </c>
      <c r="V410" s="242" t="str">
        <f t="shared" si="82"/>
        <v/>
      </c>
      <c r="W410" s="242" t="str">
        <f t="shared" si="83"/>
        <v/>
      </c>
    </row>
    <row r="411" spans="1:23" x14ac:dyDescent="0.2">
      <c r="A411" s="283"/>
      <c r="B411" s="283"/>
      <c r="C411" s="283"/>
      <c r="D411" s="283"/>
      <c r="E411" s="283"/>
      <c r="F411" s="283"/>
      <c r="G411" s="283"/>
      <c r="K411" s="242">
        <v>410</v>
      </c>
      <c r="L411" s="242" t="str">
        <f t="shared" si="72"/>
        <v/>
      </c>
      <c r="M411" s="242" t="str">
        <f t="shared" si="73"/>
        <v/>
      </c>
      <c r="N411" s="242" t="str">
        <f t="shared" si="74"/>
        <v/>
      </c>
      <c r="O411" s="242" t="str">
        <f t="shared" si="75"/>
        <v/>
      </c>
      <c r="P411" s="242" t="str">
        <f t="shared" si="76"/>
        <v/>
      </c>
      <c r="Q411" s="242" t="str">
        <f t="shared" si="77"/>
        <v/>
      </c>
      <c r="R411" s="242" t="str">
        <f t="shared" si="78"/>
        <v/>
      </c>
      <c r="S411" s="242" t="str">
        <f t="shared" si="79"/>
        <v/>
      </c>
      <c r="T411" s="242" t="str">
        <f t="shared" si="80"/>
        <v/>
      </c>
      <c r="U411" s="242" t="str">
        <f t="shared" si="81"/>
        <v/>
      </c>
      <c r="V411" s="242" t="str">
        <f t="shared" si="82"/>
        <v/>
      </c>
      <c r="W411" s="242" t="str">
        <f t="shared" si="83"/>
        <v/>
      </c>
    </row>
    <row r="412" spans="1:23" x14ac:dyDescent="0.2">
      <c r="A412" s="283"/>
      <c r="B412" s="283"/>
      <c r="C412" s="283"/>
      <c r="D412" s="283"/>
      <c r="E412" s="283"/>
      <c r="F412" s="283"/>
      <c r="G412" s="283"/>
      <c r="K412" s="242">
        <v>411</v>
      </c>
      <c r="L412" s="242" t="str">
        <f t="shared" si="72"/>
        <v/>
      </c>
      <c r="M412" s="242" t="str">
        <f t="shared" si="73"/>
        <v/>
      </c>
      <c r="N412" s="242" t="str">
        <f t="shared" si="74"/>
        <v/>
      </c>
      <c r="O412" s="242" t="str">
        <f t="shared" si="75"/>
        <v/>
      </c>
      <c r="P412" s="242" t="str">
        <f t="shared" si="76"/>
        <v/>
      </c>
      <c r="Q412" s="242" t="str">
        <f t="shared" si="77"/>
        <v/>
      </c>
      <c r="R412" s="242" t="str">
        <f t="shared" si="78"/>
        <v/>
      </c>
      <c r="S412" s="242" t="str">
        <f t="shared" si="79"/>
        <v/>
      </c>
      <c r="T412" s="242" t="str">
        <f t="shared" si="80"/>
        <v/>
      </c>
      <c r="U412" s="242" t="str">
        <f t="shared" si="81"/>
        <v/>
      </c>
      <c r="V412" s="242" t="str">
        <f t="shared" si="82"/>
        <v/>
      </c>
      <c r="W412" s="242" t="str">
        <f t="shared" si="83"/>
        <v/>
      </c>
    </row>
    <row r="413" spans="1:23" x14ac:dyDescent="0.2">
      <c r="A413" s="283"/>
      <c r="B413" s="283"/>
      <c r="C413" s="283"/>
      <c r="D413" s="283"/>
      <c r="E413" s="283"/>
      <c r="F413" s="283"/>
      <c r="G413" s="283"/>
      <c r="K413" s="242">
        <v>412</v>
      </c>
      <c r="L413" s="242" t="str">
        <f t="shared" si="72"/>
        <v/>
      </c>
      <c r="M413" s="242" t="str">
        <f t="shared" si="73"/>
        <v/>
      </c>
      <c r="N413" s="242" t="str">
        <f t="shared" si="74"/>
        <v/>
      </c>
      <c r="O413" s="242" t="str">
        <f t="shared" si="75"/>
        <v/>
      </c>
      <c r="P413" s="242" t="str">
        <f t="shared" si="76"/>
        <v/>
      </c>
      <c r="Q413" s="242" t="str">
        <f t="shared" si="77"/>
        <v/>
      </c>
      <c r="R413" s="242" t="str">
        <f t="shared" si="78"/>
        <v/>
      </c>
      <c r="S413" s="242" t="str">
        <f t="shared" si="79"/>
        <v/>
      </c>
      <c r="T413" s="242" t="str">
        <f t="shared" si="80"/>
        <v/>
      </c>
      <c r="U413" s="242" t="str">
        <f t="shared" si="81"/>
        <v/>
      </c>
      <c r="V413" s="242" t="str">
        <f t="shared" si="82"/>
        <v/>
      </c>
      <c r="W413" s="242" t="str">
        <f t="shared" si="83"/>
        <v/>
      </c>
    </row>
    <row r="414" spans="1:23" x14ac:dyDescent="0.2">
      <c r="A414" s="283"/>
      <c r="B414" s="283"/>
      <c r="C414" s="283"/>
      <c r="D414" s="283"/>
      <c r="E414" s="283"/>
      <c r="F414" s="283"/>
      <c r="G414" s="283"/>
      <c r="K414" s="242">
        <v>413</v>
      </c>
      <c r="L414" s="242" t="str">
        <f t="shared" si="72"/>
        <v/>
      </c>
      <c r="M414" s="242" t="str">
        <f t="shared" si="73"/>
        <v/>
      </c>
      <c r="N414" s="242" t="str">
        <f t="shared" si="74"/>
        <v/>
      </c>
      <c r="O414" s="242" t="str">
        <f t="shared" si="75"/>
        <v/>
      </c>
      <c r="P414" s="242" t="str">
        <f t="shared" si="76"/>
        <v/>
      </c>
      <c r="Q414" s="242" t="str">
        <f t="shared" si="77"/>
        <v/>
      </c>
      <c r="R414" s="242" t="str">
        <f t="shared" si="78"/>
        <v/>
      </c>
      <c r="S414" s="242" t="str">
        <f t="shared" si="79"/>
        <v/>
      </c>
      <c r="T414" s="242" t="str">
        <f t="shared" si="80"/>
        <v/>
      </c>
      <c r="U414" s="242" t="str">
        <f t="shared" si="81"/>
        <v/>
      </c>
      <c r="V414" s="242" t="str">
        <f t="shared" si="82"/>
        <v/>
      </c>
      <c r="W414" s="242" t="str">
        <f t="shared" si="83"/>
        <v/>
      </c>
    </row>
    <row r="415" spans="1:23" x14ac:dyDescent="0.2">
      <c r="A415" s="283"/>
      <c r="B415" s="283"/>
      <c r="C415" s="283"/>
      <c r="D415" s="283"/>
      <c r="E415" s="283"/>
      <c r="F415" s="283"/>
      <c r="G415" s="283"/>
      <c r="K415" s="242">
        <v>414</v>
      </c>
      <c r="L415" s="242" t="str">
        <f t="shared" si="72"/>
        <v/>
      </c>
      <c r="M415" s="242" t="str">
        <f t="shared" si="73"/>
        <v/>
      </c>
      <c r="N415" s="242" t="str">
        <f t="shared" si="74"/>
        <v/>
      </c>
      <c r="O415" s="242" t="str">
        <f t="shared" si="75"/>
        <v/>
      </c>
      <c r="P415" s="242" t="str">
        <f t="shared" si="76"/>
        <v/>
      </c>
      <c r="Q415" s="242" t="str">
        <f t="shared" si="77"/>
        <v/>
      </c>
      <c r="R415" s="242" t="str">
        <f t="shared" si="78"/>
        <v/>
      </c>
      <c r="S415" s="242" t="str">
        <f t="shared" si="79"/>
        <v/>
      </c>
      <c r="T415" s="242" t="str">
        <f t="shared" si="80"/>
        <v/>
      </c>
      <c r="U415" s="242" t="str">
        <f t="shared" si="81"/>
        <v/>
      </c>
      <c r="V415" s="242" t="str">
        <f t="shared" si="82"/>
        <v/>
      </c>
      <c r="W415" s="242" t="str">
        <f t="shared" si="83"/>
        <v/>
      </c>
    </row>
    <row r="416" spans="1:23" x14ac:dyDescent="0.2">
      <c r="A416" s="283"/>
      <c r="B416" s="283"/>
      <c r="C416" s="283"/>
      <c r="D416" s="283"/>
      <c r="E416" s="283"/>
      <c r="F416" s="283"/>
      <c r="G416" s="283"/>
      <c r="K416" s="242">
        <v>415</v>
      </c>
      <c r="L416" s="242" t="str">
        <f t="shared" si="72"/>
        <v/>
      </c>
      <c r="M416" s="242" t="str">
        <f t="shared" si="73"/>
        <v/>
      </c>
      <c r="N416" s="242" t="str">
        <f t="shared" si="74"/>
        <v/>
      </c>
      <c r="O416" s="242" t="str">
        <f t="shared" si="75"/>
        <v/>
      </c>
      <c r="P416" s="242" t="str">
        <f t="shared" si="76"/>
        <v/>
      </c>
      <c r="Q416" s="242" t="str">
        <f t="shared" si="77"/>
        <v/>
      </c>
      <c r="R416" s="242" t="str">
        <f t="shared" si="78"/>
        <v/>
      </c>
      <c r="S416" s="242" t="str">
        <f t="shared" si="79"/>
        <v/>
      </c>
      <c r="T416" s="242" t="str">
        <f t="shared" si="80"/>
        <v/>
      </c>
      <c r="U416" s="242" t="str">
        <f t="shared" si="81"/>
        <v/>
      </c>
      <c r="V416" s="242" t="str">
        <f t="shared" si="82"/>
        <v/>
      </c>
      <c r="W416" s="242" t="str">
        <f t="shared" si="83"/>
        <v/>
      </c>
    </row>
    <row r="417" spans="1:23" x14ac:dyDescent="0.2">
      <c r="A417" s="283"/>
      <c r="B417" s="283"/>
      <c r="C417" s="283"/>
      <c r="D417" s="283"/>
      <c r="E417" s="283"/>
      <c r="F417" s="283"/>
      <c r="G417" s="283"/>
      <c r="K417" s="242">
        <v>416</v>
      </c>
      <c r="L417" s="242" t="str">
        <f t="shared" si="72"/>
        <v/>
      </c>
      <c r="M417" s="242" t="str">
        <f t="shared" si="73"/>
        <v/>
      </c>
      <c r="N417" s="242" t="str">
        <f t="shared" si="74"/>
        <v/>
      </c>
      <c r="O417" s="242" t="str">
        <f t="shared" si="75"/>
        <v/>
      </c>
      <c r="P417" s="242" t="str">
        <f t="shared" si="76"/>
        <v/>
      </c>
      <c r="Q417" s="242" t="str">
        <f t="shared" si="77"/>
        <v/>
      </c>
      <c r="R417" s="242" t="str">
        <f t="shared" si="78"/>
        <v/>
      </c>
      <c r="S417" s="242" t="str">
        <f t="shared" si="79"/>
        <v/>
      </c>
      <c r="T417" s="242" t="str">
        <f t="shared" si="80"/>
        <v/>
      </c>
      <c r="U417" s="242" t="str">
        <f t="shared" si="81"/>
        <v/>
      </c>
      <c r="V417" s="242" t="str">
        <f t="shared" si="82"/>
        <v/>
      </c>
      <c r="W417" s="242" t="str">
        <f t="shared" si="83"/>
        <v/>
      </c>
    </row>
    <row r="418" spans="1:23" x14ac:dyDescent="0.2">
      <c r="A418" s="283"/>
      <c r="B418" s="283"/>
      <c r="C418" s="283"/>
      <c r="D418" s="283"/>
      <c r="E418" s="283"/>
      <c r="F418" s="283"/>
      <c r="G418" s="283"/>
      <c r="K418" s="242">
        <v>417</v>
      </c>
      <c r="L418" s="242" t="str">
        <f t="shared" si="72"/>
        <v/>
      </c>
      <c r="M418" s="242" t="str">
        <f t="shared" si="73"/>
        <v/>
      </c>
      <c r="N418" s="242" t="str">
        <f t="shared" si="74"/>
        <v/>
      </c>
      <c r="O418" s="242" t="str">
        <f t="shared" si="75"/>
        <v/>
      </c>
      <c r="P418" s="242" t="str">
        <f t="shared" si="76"/>
        <v/>
      </c>
      <c r="Q418" s="242" t="str">
        <f t="shared" si="77"/>
        <v/>
      </c>
      <c r="R418" s="242" t="str">
        <f t="shared" si="78"/>
        <v/>
      </c>
      <c r="S418" s="242" t="str">
        <f t="shared" si="79"/>
        <v/>
      </c>
      <c r="T418" s="242" t="str">
        <f t="shared" si="80"/>
        <v/>
      </c>
      <c r="U418" s="242" t="str">
        <f t="shared" si="81"/>
        <v/>
      </c>
      <c r="V418" s="242" t="str">
        <f t="shared" si="82"/>
        <v/>
      </c>
      <c r="W418" s="242" t="str">
        <f t="shared" si="83"/>
        <v/>
      </c>
    </row>
    <row r="419" spans="1:23" x14ac:dyDescent="0.2">
      <c r="A419" s="283"/>
      <c r="B419" s="283"/>
      <c r="C419" s="283"/>
      <c r="D419" s="283"/>
      <c r="E419" s="283"/>
      <c r="F419" s="283"/>
      <c r="G419" s="283"/>
      <c r="K419" s="242">
        <v>418</v>
      </c>
      <c r="L419" s="242" t="str">
        <f t="shared" si="72"/>
        <v/>
      </c>
      <c r="M419" s="242" t="str">
        <f t="shared" si="73"/>
        <v/>
      </c>
      <c r="N419" s="242" t="str">
        <f t="shared" si="74"/>
        <v/>
      </c>
      <c r="O419" s="242" t="str">
        <f t="shared" si="75"/>
        <v/>
      </c>
      <c r="P419" s="242" t="str">
        <f t="shared" si="76"/>
        <v/>
      </c>
      <c r="Q419" s="242" t="str">
        <f t="shared" si="77"/>
        <v/>
      </c>
      <c r="R419" s="242" t="str">
        <f t="shared" si="78"/>
        <v/>
      </c>
      <c r="S419" s="242" t="str">
        <f t="shared" si="79"/>
        <v/>
      </c>
      <c r="T419" s="242" t="str">
        <f t="shared" si="80"/>
        <v/>
      </c>
      <c r="U419" s="242" t="str">
        <f t="shared" si="81"/>
        <v/>
      </c>
      <c r="V419" s="242" t="str">
        <f t="shared" si="82"/>
        <v/>
      </c>
      <c r="W419" s="242" t="str">
        <f t="shared" si="83"/>
        <v/>
      </c>
    </row>
    <row r="420" spans="1:23" x14ac:dyDescent="0.2">
      <c r="A420" s="283"/>
      <c r="B420" s="283"/>
      <c r="C420" s="283"/>
      <c r="D420" s="283"/>
      <c r="E420" s="283"/>
      <c r="F420" s="283"/>
      <c r="G420" s="283"/>
      <c r="K420" s="242">
        <v>419</v>
      </c>
      <c r="L420" s="242" t="str">
        <f t="shared" si="72"/>
        <v/>
      </c>
      <c r="M420" s="242" t="str">
        <f t="shared" si="73"/>
        <v/>
      </c>
      <c r="N420" s="242" t="str">
        <f t="shared" si="74"/>
        <v/>
      </c>
      <c r="O420" s="242" t="str">
        <f t="shared" si="75"/>
        <v/>
      </c>
      <c r="P420" s="242" t="str">
        <f t="shared" si="76"/>
        <v/>
      </c>
      <c r="Q420" s="242" t="str">
        <f t="shared" si="77"/>
        <v/>
      </c>
      <c r="R420" s="242" t="str">
        <f t="shared" si="78"/>
        <v/>
      </c>
      <c r="S420" s="242" t="str">
        <f t="shared" si="79"/>
        <v/>
      </c>
      <c r="T420" s="242" t="str">
        <f t="shared" si="80"/>
        <v/>
      </c>
      <c r="U420" s="242" t="str">
        <f t="shared" si="81"/>
        <v/>
      </c>
      <c r="V420" s="242" t="str">
        <f t="shared" si="82"/>
        <v/>
      </c>
      <c r="W420" s="242" t="str">
        <f t="shared" si="83"/>
        <v/>
      </c>
    </row>
    <row r="421" spans="1:23" x14ac:dyDescent="0.2">
      <c r="A421" s="283"/>
      <c r="B421" s="283"/>
      <c r="C421" s="283"/>
      <c r="D421" s="283"/>
      <c r="E421" s="283"/>
      <c r="F421" s="283"/>
      <c r="G421" s="283"/>
      <c r="K421" s="242">
        <v>420</v>
      </c>
      <c r="L421" s="242" t="str">
        <f t="shared" si="72"/>
        <v/>
      </c>
      <c r="M421" s="242" t="str">
        <f t="shared" si="73"/>
        <v/>
      </c>
      <c r="N421" s="242" t="str">
        <f t="shared" si="74"/>
        <v/>
      </c>
      <c r="O421" s="242" t="str">
        <f t="shared" si="75"/>
        <v/>
      </c>
      <c r="P421" s="242" t="str">
        <f t="shared" si="76"/>
        <v/>
      </c>
      <c r="Q421" s="242" t="str">
        <f t="shared" si="77"/>
        <v/>
      </c>
      <c r="R421" s="242" t="str">
        <f t="shared" si="78"/>
        <v/>
      </c>
      <c r="S421" s="242" t="str">
        <f t="shared" si="79"/>
        <v/>
      </c>
      <c r="T421" s="242" t="str">
        <f t="shared" si="80"/>
        <v/>
      </c>
      <c r="U421" s="242" t="str">
        <f t="shared" si="81"/>
        <v/>
      </c>
      <c r="V421" s="242" t="str">
        <f t="shared" si="82"/>
        <v/>
      </c>
      <c r="W421" s="242" t="str">
        <f t="shared" si="83"/>
        <v/>
      </c>
    </row>
    <row r="422" spans="1:23" x14ac:dyDescent="0.2">
      <c r="A422" s="283"/>
      <c r="B422" s="283"/>
      <c r="C422" s="283"/>
      <c r="D422" s="283"/>
      <c r="E422" s="283"/>
      <c r="F422" s="283"/>
      <c r="G422" s="283"/>
      <c r="K422" s="242">
        <v>421</v>
      </c>
      <c r="L422" s="242" t="str">
        <f t="shared" si="72"/>
        <v/>
      </c>
      <c r="M422" s="242" t="str">
        <f t="shared" si="73"/>
        <v/>
      </c>
      <c r="N422" s="242" t="str">
        <f t="shared" si="74"/>
        <v/>
      </c>
      <c r="O422" s="242" t="str">
        <f t="shared" si="75"/>
        <v/>
      </c>
      <c r="P422" s="242" t="str">
        <f t="shared" si="76"/>
        <v/>
      </c>
      <c r="Q422" s="242" t="str">
        <f t="shared" si="77"/>
        <v/>
      </c>
      <c r="R422" s="242" t="str">
        <f t="shared" si="78"/>
        <v/>
      </c>
      <c r="S422" s="242" t="str">
        <f t="shared" si="79"/>
        <v/>
      </c>
      <c r="T422" s="242" t="str">
        <f t="shared" si="80"/>
        <v/>
      </c>
      <c r="U422" s="242" t="str">
        <f t="shared" si="81"/>
        <v/>
      </c>
      <c r="V422" s="242" t="str">
        <f t="shared" si="82"/>
        <v/>
      </c>
      <c r="W422" s="242" t="str">
        <f t="shared" si="83"/>
        <v/>
      </c>
    </row>
    <row r="423" spans="1:23" x14ac:dyDescent="0.2">
      <c r="A423" s="283"/>
      <c r="B423" s="283"/>
      <c r="C423" s="283"/>
      <c r="D423" s="283"/>
      <c r="E423" s="283"/>
      <c r="F423" s="283"/>
      <c r="G423" s="283"/>
      <c r="K423" s="242">
        <v>422</v>
      </c>
      <c r="L423" s="242" t="str">
        <f t="shared" si="72"/>
        <v/>
      </c>
      <c r="M423" s="242" t="str">
        <f t="shared" si="73"/>
        <v/>
      </c>
      <c r="N423" s="242" t="str">
        <f t="shared" si="74"/>
        <v/>
      </c>
      <c r="O423" s="242" t="str">
        <f t="shared" si="75"/>
        <v/>
      </c>
      <c r="P423" s="242" t="str">
        <f t="shared" si="76"/>
        <v/>
      </c>
      <c r="Q423" s="242" t="str">
        <f t="shared" si="77"/>
        <v/>
      </c>
      <c r="R423" s="242" t="str">
        <f t="shared" si="78"/>
        <v/>
      </c>
      <c r="S423" s="242" t="str">
        <f t="shared" si="79"/>
        <v/>
      </c>
      <c r="T423" s="242" t="str">
        <f t="shared" si="80"/>
        <v/>
      </c>
      <c r="U423" s="242" t="str">
        <f t="shared" si="81"/>
        <v/>
      </c>
      <c r="V423" s="242" t="str">
        <f t="shared" si="82"/>
        <v/>
      </c>
      <c r="W423" s="242" t="str">
        <f t="shared" si="83"/>
        <v/>
      </c>
    </row>
    <row r="424" spans="1:23" x14ac:dyDescent="0.2">
      <c r="A424" s="283"/>
      <c r="B424" s="283"/>
      <c r="C424" s="283"/>
      <c r="D424" s="283"/>
      <c r="E424" s="283"/>
      <c r="F424" s="283"/>
      <c r="G424" s="283"/>
      <c r="K424" s="242">
        <v>423</v>
      </c>
      <c r="L424" s="242" t="str">
        <f t="shared" si="72"/>
        <v/>
      </c>
      <c r="M424" s="242" t="str">
        <f t="shared" si="73"/>
        <v/>
      </c>
      <c r="N424" s="242" t="str">
        <f t="shared" si="74"/>
        <v/>
      </c>
      <c r="O424" s="242" t="str">
        <f t="shared" si="75"/>
        <v/>
      </c>
      <c r="P424" s="242" t="str">
        <f t="shared" si="76"/>
        <v/>
      </c>
      <c r="Q424" s="242" t="str">
        <f t="shared" si="77"/>
        <v/>
      </c>
      <c r="R424" s="242" t="str">
        <f t="shared" si="78"/>
        <v/>
      </c>
      <c r="S424" s="242" t="str">
        <f t="shared" si="79"/>
        <v/>
      </c>
      <c r="T424" s="242" t="str">
        <f t="shared" si="80"/>
        <v/>
      </c>
      <c r="U424" s="242" t="str">
        <f t="shared" si="81"/>
        <v/>
      </c>
      <c r="V424" s="242" t="str">
        <f t="shared" si="82"/>
        <v/>
      </c>
      <c r="W424" s="242" t="str">
        <f t="shared" si="83"/>
        <v/>
      </c>
    </row>
    <row r="425" spans="1:23" x14ac:dyDescent="0.2">
      <c r="A425" s="283"/>
      <c r="B425" s="283"/>
      <c r="C425" s="283"/>
      <c r="D425" s="283"/>
      <c r="E425" s="283"/>
      <c r="F425" s="283"/>
      <c r="G425" s="283"/>
      <c r="K425" s="242">
        <v>424</v>
      </c>
      <c r="L425" s="242" t="str">
        <f t="shared" si="72"/>
        <v/>
      </c>
      <c r="M425" s="242" t="str">
        <f t="shared" si="73"/>
        <v/>
      </c>
      <c r="N425" s="242" t="str">
        <f t="shared" si="74"/>
        <v/>
      </c>
      <c r="O425" s="242" t="str">
        <f t="shared" si="75"/>
        <v/>
      </c>
      <c r="P425" s="242" t="str">
        <f t="shared" si="76"/>
        <v/>
      </c>
      <c r="Q425" s="242" t="str">
        <f t="shared" si="77"/>
        <v/>
      </c>
      <c r="R425" s="242" t="str">
        <f t="shared" si="78"/>
        <v/>
      </c>
      <c r="S425" s="242" t="str">
        <f t="shared" si="79"/>
        <v/>
      </c>
      <c r="T425" s="242" t="str">
        <f t="shared" si="80"/>
        <v/>
      </c>
      <c r="U425" s="242" t="str">
        <f t="shared" si="81"/>
        <v/>
      </c>
      <c r="V425" s="242" t="str">
        <f t="shared" si="82"/>
        <v/>
      </c>
      <c r="W425" s="242" t="str">
        <f t="shared" si="83"/>
        <v/>
      </c>
    </row>
    <row r="426" spans="1:23" x14ac:dyDescent="0.2">
      <c r="A426" s="283"/>
      <c r="B426" s="283"/>
      <c r="C426" s="283"/>
      <c r="D426" s="283"/>
      <c r="E426" s="283"/>
      <c r="F426" s="283"/>
      <c r="G426" s="283"/>
      <c r="K426" s="242">
        <v>425</v>
      </c>
      <c r="L426" s="242" t="str">
        <f t="shared" si="72"/>
        <v/>
      </c>
      <c r="M426" s="242" t="str">
        <f t="shared" si="73"/>
        <v/>
      </c>
      <c r="N426" s="242" t="str">
        <f t="shared" si="74"/>
        <v/>
      </c>
      <c r="O426" s="242" t="str">
        <f t="shared" si="75"/>
        <v/>
      </c>
      <c r="P426" s="242" t="str">
        <f t="shared" si="76"/>
        <v/>
      </c>
      <c r="Q426" s="242" t="str">
        <f t="shared" si="77"/>
        <v/>
      </c>
      <c r="R426" s="242" t="str">
        <f t="shared" si="78"/>
        <v/>
      </c>
      <c r="S426" s="242" t="str">
        <f t="shared" si="79"/>
        <v/>
      </c>
      <c r="T426" s="242" t="str">
        <f t="shared" si="80"/>
        <v/>
      </c>
      <c r="U426" s="242" t="str">
        <f t="shared" si="81"/>
        <v/>
      </c>
      <c r="V426" s="242" t="str">
        <f t="shared" si="82"/>
        <v/>
      </c>
      <c r="W426" s="242" t="str">
        <f t="shared" si="83"/>
        <v/>
      </c>
    </row>
    <row r="427" spans="1:23" x14ac:dyDescent="0.2">
      <c r="A427" s="283"/>
      <c r="B427" s="283"/>
      <c r="C427" s="283"/>
      <c r="D427" s="283"/>
      <c r="E427" s="283"/>
      <c r="F427" s="283"/>
      <c r="G427" s="283"/>
      <c r="K427" s="242">
        <v>426</v>
      </c>
      <c r="L427" s="242" t="str">
        <f t="shared" si="72"/>
        <v/>
      </c>
      <c r="M427" s="242" t="str">
        <f t="shared" si="73"/>
        <v/>
      </c>
      <c r="N427" s="242" t="str">
        <f t="shared" si="74"/>
        <v/>
      </c>
      <c r="O427" s="242" t="str">
        <f t="shared" si="75"/>
        <v/>
      </c>
      <c r="P427" s="242" t="str">
        <f t="shared" si="76"/>
        <v/>
      </c>
      <c r="Q427" s="242" t="str">
        <f t="shared" si="77"/>
        <v/>
      </c>
      <c r="R427" s="242" t="str">
        <f t="shared" si="78"/>
        <v/>
      </c>
      <c r="S427" s="242" t="str">
        <f t="shared" si="79"/>
        <v/>
      </c>
      <c r="T427" s="242" t="str">
        <f t="shared" si="80"/>
        <v/>
      </c>
      <c r="U427" s="242" t="str">
        <f t="shared" si="81"/>
        <v/>
      </c>
      <c r="V427" s="242" t="str">
        <f t="shared" si="82"/>
        <v/>
      </c>
      <c r="W427" s="242" t="str">
        <f t="shared" si="83"/>
        <v/>
      </c>
    </row>
    <row r="428" spans="1:23" x14ac:dyDescent="0.2">
      <c r="A428" s="283"/>
      <c r="B428" s="283"/>
      <c r="C428" s="283"/>
      <c r="D428" s="283"/>
      <c r="E428" s="283"/>
      <c r="F428" s="283"/>
      <c r="G428" s="283"/>
      <c r="K428" s="242">
        <v>427</v>
      </c>
      <c r="L428" s="242" t="str">
        <f t="shared" si="72"/>
        <v/>
      </c>
      <c r="M428" s="242" t="str">
        <f t="shared" si="73"/>
        <v/>
      </c>
      <c r="N428" s="242" t="str">
        <f t="shared" si="74"/>
        <v/>
      </c>
      <c r="O428" s="242" t="str">
        <f t="shared" si="75"/>
        <v/>
      </c>
      <c r="P428" s="242" t="str">
        <f t="shared" si="76"/>
        <v/>
      </c>
      <c r="Q428" s="242" t="str">
        <f t="shared" si="77"/>
        <v/>
      </c>
      <c r="R428" s="242" t="str">
        <f t="shared" si="78"/>
        <v/>
      </c>
      <c r="S428" s="242" t="str">
        <f t="shared" si="79"/>
        <v/>
      </c>
      <c r="T428" s="242" t="str">
        <f t="shared" si="80"/>
        <v/>
      </c>
      <c r="U428" s="242" t="str">
        <f t="shared" si="81"/>
        <v/>
      </c>
      <c r="V428" s="242" t="str">
        <f t="shared" si="82"/>
        <v/>
      </c>
      <c r="W428" s="242" t="str">
        <f t="shared" si="83"/>
        <v/>
      </c>
    </row>
    <row r="429" spans="1:23" x14ac:dyDescent="0.2">
      <c r="A429" s="283"/>
      <c r="B429" s="283"/>
      <c r="C429" s="283"/>
      <c r="D429" s="283"/>
      <c r="E429" s="283"/>
      <c r="F429" s="283"/>
      <c r="G429" s="283"/>
      <c r="K429" s="242">
        <v>428</v>
      </c>
      <c r="L429" s="242" t="str">
        <f t="shared" si="72"/>
        <v/>
      </c>
      <c r="M429" s="242" t="str">
        <f t="shared" si="73"/>
        <v/>
      </c>
      <c r="N429" s="242" t="str">
        <f t="shared" si="74"/>
        <v/>
      </c>
      <c r="O429" s="242" t="str">
        <f t="shared" si="75"/>
        <v/>
      </c>
      <c r="P429" s="242" t="str">
        <f t="shared" si="76"/>
        <v/>
      </c>
      <c r="Q429" s="242" t="str">
        <f t="shared" si="77"/>
        <v/>
      </c>
      <c r="R429" s="242" t="str">
        <f t="shared" si="78"/>
        <v/>
      </c>
      <c r="S429" s="242" t="str">
        <f t="shared" si="79"/>
        <v/>
      </c>
      <c r="T429" s="242" t="str">
        <f t="shared" si="80"/>
        <v/>
      </c>
      <c r="U429" s="242" t="str">
        <f t="shared" si="81"/>
        <v/>
      </c>
      <c r="V429" s="242" t="str">
        <f t="shared" si="82"/>
        <v/>
      </c>
      <c r="W429" s="242" t="str">
        <f t="shared" si="83"/>
        <v/>
      </c>
    </row>
    <row r="430" spans="1:23" x14ac:dyDescent="0.2">
      <c r="A430" s="283"/>
      <c r="B430" s="283"/>
      <c r="C430" s="283"/>
      <c r="D430" s="283"/>
      <c r="E430" s="283"/>
      <c r="F430" s="283"/>
      <c r="G430" s="283"/>
      <c r="K430" s="242">
        <v>429</v>
      </c>
      <c r="L430" s="242" t="str">
        <f t="shared" si="72"/>
        <v/>
      </c>
      <c r="M430" s="242" t="str">
        <f t="shared" si="73"/>
        <v/>
      </c>
      <c r="N430" s="242" t="str">
        <f t="shared" si="74"/>
        <v/>
      </c>
      <c r="O430" s="242" t="str">
        <f t="shared" si="75"/>
        <v/>
      </c>
      <c r="P430" s="242" t="str">
        <f t="shared" si="76"/>
        <v/>
      </c>
      <c r="Q430" s="242" t="str">
        <f t="shared" si="77"/>
        <v/>
      </c>
      <c r="R430" s="242" t="str">
        <f t="shared" si="78"/>
        <v/>
      </c>
      <c r="S430" s="242" t="str">
        <f t="shared" si="79"/>
        <v/>
      </c>
      <c r="T430" s="242" t="str">
        <f t="shared" si="80"/>
        <v/>
      </c>
      <c r="U430" s="242" t="str">
        <f t="shared" si="81"/>
        <v/>
      </c>
      <c r="V430" s="242" t="str">
        <f t="shared" si="82"/>
        <v/>
      </c>
      <c r="W430" s="242" t="str">
        <f t="shared" si="83"/>
        <v/>
      </c>
    </row>
    <row r="431" spans="1:23" x14ac:dyDescent="0.2">
      <c r="A431" s="283"/>
      <c r="B431" s="283"/>
      <c r="C431" s="283"/>
      <c r="D431" s="283"/>
      <c r="E431" s="283"/>
      <c r="F431" s="283"/>
      <c r="G431" s="283"/>
      <c r="K431" s="242">
        <v>430</v>
      </c>
      <c r="L431" s="242" t="str">
        <f t="shared" si="72"/>
        <v/>
      </c>
      <c r="M431" s="242" t="str">
        <f t="shared" si="73"/>
        <v/>
      </c>
      <c r="N431" s="242" t="str">
        <f t="shared" si="74"/>
        <v/>
      </c>
      <c r="O431" s="242" t="str">
        <f t="shared" si="75"/>
        <v/>
      </c>
      <c r="P431" s="242" t="str">
        <f t="shared" si="76"/>
        <v/>
      </c>
      <c r="Q431" s="242" t="str">
        <f t="shared" si="77"/>
        <v/>
      </c>
      <c r="R431" s="242" t="str">
        <f t="shared" si="78"/>
        <v/>
      </c>
      <c r="S431" s="242" t="str">
        <f t="shared" si="79"/>
        <v/>
      </c>
      <c r="T431" s="242" t="str">
        <f t="shared" si="80"/>
        <v/>
      </c>
      <c r="U431" s="242" t="str">
        <f t="shared" si="81"/>
        <v/>
      </c>
      <c r="V431" s="242" t="str">
        <f t="shared" si="82"/>
        <v/>
      </c>
      <c r="W431" s="242" t="str">
        <f t="shared" si="83"/>
        <v/>
      </c>
    </row>
    <row r="432" spans="1:23" x14ac:dyDescent="0.2">
      <c r="A432" s="283"/>
      <c r="B432" s="283"/>
      <c r="C432" s="283"/>
      <c r="D432" s="283"/>
      <c r="E432" s="283"/>
      <c r="F432" s="283"/>
      <c r="G432" s="283"/>
      <c r="K432" s="242">
        <v>431</v>
      </c>
      <c r="L432" s="242" t="str">
        <f t="shared" si="72"/>
        <v/>
      </c>
      <c r="M432" s="242" t="str">
        <f t="shared" si="73"/>
        <v/>
      </c>
      <c r="N432" s="242" t="str">
        <f t="shared" si="74"/>
        <v/>
      </c>
      <c r="O432" s="242" t="str">
        <f t="shared" si="75"/>
        <v/>
      </c>
      <c r="P432" s="242" t="str">
        <f t="shared" si="76"/>
        <v/>
      </c>
      <c r="Q432" s="242" t="str">
        <f t="shared" si="77"/>
        <v/>
      </c>
      <c r="R432" s="242" t="str">
        <f t="shared" si="78"/>
        <v/>
      </c>
      <c r="S432" s="242" t="str">
        <f t="shared" si="79"/>
        <v/>
      </c>
      <c r="T432" s="242" t="str">
        <f t="shared" si="80"/>
        <v/>
      </c>
      <c r="U432" s="242" t="str">
        <f t="shared" si="81"/>
        <v/>
      </c>
      <c r="V432" s="242" t="str">
        <f t="shared" si="82"/>
        <v/>
      </c>
      <c r="W432" s="242" t="str">
        <f t="shared" si="83"/>
        <v/>
      </c>
    </row>
    <row r="433" spans="1:23" x14ac:dyDescent="0.2">
      <c r="A433" s="283"/>
      <c r="B433" s="283"/>
      <c r="C433" s="283"/>
      <c r="D433" s="283"/>
      <c r="E433" s="283"/>
      <c r="F433" s="283"/>
      <c r="G433" s="283"/>
      <c r="K433" s="242">
        <v>432</v>
      </c>
      <c r="L433" s="242" t="str">
        <f t="shared" si="72"/>
        <v/>
      </c>
      <c r="M433" s="242" t="str">
        <f t="shared" si="73"/>
        <v/>
      </c>
      <c r="N433" s="242" t="str">
        <f t="shared" si="74"/>
        <v/>
      </c>
      <c r="O433" s="242" t="str">
        <f t="shared" si="75"/>
        <v/>
      </c>
      <c r="P433" s="242" t="str">
        <f t="shared" si="76"/>
        <v/>
      </c>
      <c r="Q433" s="242" t="str">
        <f t="shared" si="77"/>
        <v/>
      </c>
      <c r="R433" s="242" t="str">
        <f t="shared" si="78"/>
        <v/>
      </c>
      <c r="S433" s="242" t="str">
        <f t="shared" si="79"/>
        <v/>
      </c>
      <c r="T433" s="242" t="str">
        <f t="shared" si="80"/>
        <v/>
      </c>
      <c r="U433" s="242" t="str">
        <f t="shared" si="81"/>
        <v/>
      </c>
      <c r="V433" s="242" t="str">
        <f t="shared" si="82"/>
        <v/>
      </c>
      <c r="W433" s="242" t="str">
        <f t="shared" si="83"/>
        <v/>
      </c>
    </row>
    <row r="434" spans="1:23" x14ac:dyDescent="0.2">
      <c r="A434" s="283"/>
      <c r="B434" s="283"/>
      <c r="C434" s="283"/>
      <c r="D434" s="283"/>
      <c r="E434" s="283"/>
      <c r="F434" s="283"/>
      <c r="G434" s="283"/>
      <c r="K434" s="242">
        <v>433</v>
      </c>
      <c r="L434" s="242" t="str">
        <f t="shared" si="72"/>
        <v/>
      </c>
      <c r="M434" s="242" t="str">
        <f t="shared" si="73"/>
        <v/>
      </c>
      <c r="N434" s="242" t="str">
        <f t="shared" si="74"/>
        <v/>
      </c>
      <c r="O434" s="242" t="str">
        <f t="shared" si="75"/>
        <v/>
      </c>
      <c r="P434" s="242" t="str">
        <f t="shared" si="76"/>
        <v/>
      </c>
      <c r="Q434" s="242" t="str">
        <f t="shared" si="77"/>
        <v/>
      </c>
      <c r="R434" s="242" t="str">
        <f t="shared" si="78"/>
        <v/>
      </c>
      <c r="S434" s="242" t="str">
        <f t="shared" si="79"/>
        <v/>
      </c>
      <c r="T434" s="242" t="str">
        <f t="shared" si="80"/>
        <v/>
      </c>
      <c r="U434" s="242" t="str">
        <f t="shared" si="81"/>
        <v/>
      </c>
      <c r="V434" s="242" t="str">
        <f t="shared" si="82"/>
        <v/>
      </c>
      <c r="W434" s="242" t="str">
        <f t="shared" si="83"/>
        <v/>
      </c>
    </row>
    <row r="435" spans="1:23" x14ac:dyDescent="0.2">
      <c r="A435" s="283"/>
      <c r="B435" s="283"/>
      <c r="C435" s="283"/>
      <c r="D435" s="283"/>
      <c r="E435" s="283"/>
      <c r="F435" s="283"/>
      <c r="G435" s="283"/>
      <c r="K435" s="242">
        <v>434</v>
      </c>
      <c r="L435" s="242" t="str">
        <f t="shared" si="72"/>
        <v/>
      </c>
      <c r="M435" s="242" t="str">
        <f t="shared" si="73"/>
        <v/>
      </c>
      <c r="N435" s="242" t="str">
        <f t="shared" si="74"/>
        <v/>
      </c>
      <c r="O435" s="242" t="str">
        <f t="shared" si="75"/>
        <v/>
      </c>
      <c r="P435" s="242" t="str">
        <f t="shared" si="76"/>
        <v/>
      </c>
      <c r="Q435" s="242" t="str">
        <f t="shared" si="77"/>
        <v/>
      </c>
      <c r="R435" s="242" t="str">
        <f t="shared" si="78"/>
        <v/>
      </c>
      <c r="S435" s="242" t="str">
        <f t="shared" si="79"/>
        <v/>
      </c>
      <c r="T435" s="242" t="str">
        <f t="shared" si="80"/>
        <v/>
      </c>
      <c r="U435" s="242" t="str">
        <f t="shared" si="81"/>
        <v/>
      </c>
      <c r="V435" s="242" t="str">
        <f t="shared" si="82"/>
        <v/>
      </c>
      <c r="W435" s="242" t="str">
        <f t="shared" si="83"/>
        <v/>
      </c>
    </row>
    <row r="436" spans="1:23" x14ac:dyDescent="0.2">
      <c r="A436" s="283"/>
      <c r="B436" s="283"/>
      <c r="C436" s="283"/>
      <c r="D436" s="283"/>
      <c r="E436" s="283"/>
      <c r="F436" s="283"/>
      <c r="G436" s="283"/>
      <c r="K436" s="242">
        <v>435</v>
      </c>
      <c r="L436" s="242" t="str">
        <f t="shared" si="72"/>
        <v/>
      </c>
      <c r="M436" s="242" t="str">
        <f t="shared" si="73"/>
        <v/>
      </c>
      <c r="N436" s="242" t="str">
        <f t="shared" si="74"/>
        <v/>
      </c>
      <c r="O436" s="242" t="str">
        <f t="shared" si="75"/>
        <v/>
      </c>
      <c r="P436" s="242" t="str">
        <f t="shared" si="76"/>
        <v/>
      </c>
      <c r="Q436" s="242" t="str">
        <f t="shared" si="77"/>
        <v/>
      </c>
      <c r="R436" s="242" t="str">
        <f t="shared" si="78"/>
        <v/>
      </c>
      <c r="S436" s="242" t="str">
        <f t="shared" si="79"/>
        <v/>
      </c>
      <c r="T436" s="242" t="str">
        <f t="shared" si="80"/>
        <v/>
      </c>
      <c r="U436" s="242" t="str">
        <f t="shared" si="81"/>
        <v/>
      </c>
      <c r="V436" s="242" t="str">
        <f t="shared" si="82"/>
        <v/>
      </c>
      <c r="W436" s="242" t="str">
        <f t="shared" si="83"/>
        <v/>
      </c>
    </row>
    <row r="437" spans="1:23" x14ac:dyDescent="0.2">
      <c r="A437" s="283"/>
      <c r="B437" s="283"/>
      <c r="C437" s="283"/>
      <c r="D437" s="283"/>
      <c r="E437" s="283"/>
      <c r="F437" s="283"/>
      <c r="G437" s="283"/>
      <c r="K437" s="242">
        <v>436</v>
      </c>
      <c r="L437" s="242" t="str">
        <f t="shared" si="72"/>
        <v/>
      </c>
      <c r="M437" s="242" t="str">
        <f t="shared" si="73"/>
        <v/>
      </c>
      <c r="N437" s="242" t="str">
        <f t="shared" si="74"/>
        <v/>
      </c>
      <c r="O437" s="242" t="str">
        <f t="shared" si="75"/>
        <v/>
      </c>
      <c r="P437" s="242" t="str">
        <f t="shared" si="76"/>
        <v/>
      </c>
      <c r="Q437" s="242" t="str">
        <f t="shared" si="77"/>
        <v/>
      </c>
      <c r="R437" s="242" t="str">
        <f t="shared" si="78"/>
        <v/>
      </c>
      <c r="S437" s="242" t="str">
        <f t="shared" si="79"/>
        <v/>
      </c>
      <c r="T437" s="242" t="str">
        <f t="shared" si="80"/>
        <v/>
      </c>
      <c r="U437" s="242" t="str">
        <f t="shared" si="81"/>
        <v/>
      </c>
      <c r="V437" s="242" t="str">
        <f t="shared" si="82"/>
        <v/>
      </c>
      <c r="W437" s="242" t="str">
        <f t="shared" si="83"/>
        <v/>
      </c>
    </row>
    <row r="438" spans="1:23" x14ac:dyDescent="0.2">
      <c r="A438" s="283"/>
      <c r="B438" s="283"/>
      <c r="C438" s="283"/>
      <c r="D438" s="283"/>
      <c r="E438" s="283"/>
      <c r="F438" s="283"/>
      <c r="G438" s="283"/>
      <c r="K438" s="242">
        <v>437</v>
      </c>
      <c r="L438" s="242" t="str">
        <f t="shared" si="72"/>
        <v/>
      </c>
      <c r="M438" s="242" t="str">
        <f t="shared" si="73"/>
        <v/>
      </c>
      <c r="N438" s="242" t="str">
        <f t="shared" si="74"/>
        <v/>
      </c>
      <c r="O438" s="242" t="str">
        <f t="shared" si="75"/>
        <v/>
      </c>
      <c r="P438" s="242" t="str">
        <f t="shared" si="76"/>
        <v/>
      </c>
      <c r="Q438" s="242" t="str">
        <f t="shared" si="77"/>
        <v/>
      </c>
      <c r="R438" s="242" t="str">
        <f t="shared" si="78"/>
        <v/>
      </c>
      <c r="S438" s="242" t="str">
        <f t="shared" si="79"/>
        <v/>
      </c>
      <c r="T438" s="242" t="str">
        <f t="shared" si="80"/>
        <v/>
      </c>
      <c r="U438" s="242" t="str">
        <f t="shared" si="81"/>
        <v/>
      </c>
      <c r="V438" s="242" t="str">
        <f t="shared" si="82"/>
        <v/>
      </c>
      <c r="W438" s="242" t="str">
        <f t="shared" si="83"/>
        <v/>
      </c>
    </row>
    <row r="439" spans="1:23" x14ac:dyDescent="0.2">
      <c r="A439" s="283"/>
      <c r="B439" s="283"/>
      <c r="C439" s="283"/>
      <c r="D439" s="283"/>
      <c r="E439" s="283"/>
      <c r="F439" s="283"/>
      <c r="G439" s="283"/>
      <c r="K439" s="242">
        <v>438</v>
      </c>
      <c r="L439" s="242" t="str">
        <f t="shared" si="72"/>
        <v/>
      </c>
      <c r="M439" s="242" t="str">
        <f t="shared" si="73"/>
        <v/>
      </c>
      <c r="N439" s="242" t="str">
        <f t="shared" si="74"/>
        <v/>
      </c>
      <c r="O439" s="242" t="str">
        <f t="shared" si="75"/>
        <v/>
      </c>
      <c r="P439" s="242" t="str">
        <f t="shared" si="76"/>
        <v/>
      </c>
      <c r="Q439" s="242" t="str">
        <f t="shared" si="77"/>
        <v/>
      </c>
      <c r="R439" s="242" t="str">
        <f t="shared" si="78"/>
        <v/>
      </c>
      <c r="S439" s="242" t="str">
        <f t="shared" si="79"/>
        <v/>
      </c>
      <c r="T439" s="242" t="str">
        <f t="shared" si="80"/>
        <v/>
      </c>
      <c r="U439" s="242" t="str">
        <f t="shared" si="81"/>
        <v/>
      </c>
      <c r="V439" s="242" t="str">
        <f t="shared" si="82"/>
        <v/>
      </c>
      <c r="W439" s="242" t="str">
        <f t="shared" si="83"/>
        <v/>
      </c>
    </row>
    <row r="440" spans="1:23" x14ac:dyDescent="0.2">
      <c r="A440" s="283"/>
      <c r="B440" s="283"/>
      <c r="C440" s="283"/>
      <c r="D440" s="283"/>
      <c r="E440" s="283"/>
      <c r="F440" s="283"/>
      <c r="G440" s="283"/>
      <c r="K440" s="242">
        <v>439</v>
      </c>
      <c r="L440" s="242" t="str">
        <f t="shared" si="72"/>
        <v/>
      </c>
      <c r="M440" s="242" t="str">
        <f t="shared" si="73"/>
        <v/>
      </c>
      <c r="N440" s="242" t="str">
        <f t="shared" si="74"/>
        <v/>
      </c>
      <c r="O440" s="242" t="str">
        <f t="shared" si="75"/>
        <v/>
      </c>
      <c r="P440" s="242" t="str">
        <f t="shared" si="76"/>
        <v/>
      </c>
      <c r="Q440" s="242" t="str">
        <f t="shared" si="77"/>
        <v/>
      </c>
      <c r="R440" s="242" t="str">
        <f t="shared" si="78"/>
        <v/>
      </c>
      <c r="S440" s="242" t="str">
        <f t="shared" si="79"/>
        <v/>
      </c>
      <c r="T440" s="242" t="str">
        <f t="shared" si="80"/>
        <v/>
      </c>
      <c r="U440" s="242" t="str">
        <f t="shared" si="81"/>
        <v/>
      </c>
      <c r="V440" s="242" t="str">
        <f t="shared" si="82"/>
        <v/>
      </c>
      <c r="W440" s="242" t="str">
        <f t="shared" si="83"/>
        <v/>
      </c>
    </row>
    <row r="441" spans="1:23" x14ac:dyDescent="0.2">
      <c r="A441" s="283"/>
      <c r="B441" s="283"/>
      <c r="C441" s="283"/>
      <c r="D441" s="283"/>
      <c r="E441" s="283"/>
      <c r="F441" s="283"/>
      <c r="G441" s="283"/>
      <c r="K441" s="242">
        <v>440</v>
      </c>
      <c r="L441" s="242" t="str">
        <f t="shared" si="72"/>
        <v/>
      </c>
      <c r="M441" s="242" t="str">
        <f t="shared" si="73"/>
        <v/>
      </c>
      <c r="N441" s="242" t="str">
        <f t="shared" si="74"/>
        <v/>
      </c>
      <c r="O441" s="242" t="str">
        <f t="shared" si="75"/>
        <v/>
      </c>
      <c r="P441" s="242" t="str">
        <f t="shared" si="76"/>
        <v/>
      </c>
      <c r="Q441" s="242" t="str">
        <f t="shared" si="77"/>
        <v/>
      </c>
      <c r="R441" s="242" t="str">
        <f t="shared" si="78"/>
        <v/>
      </c>
      <c r="S441" s="242" t="str">
        <f t="shared" si="79"/>
        <v/>
      </c>
      <c r="T441" s="242" t="str">
        <f t="shared" si="80"/>
        <v/>
      </c>
      <c r="U441" s="242" t="str">
        <f t="shared" si="81"/>
        <v/>
      </c>
      <c r="V441" s="242" t="str">
        <f t="shared" si="82"/>
        <v/>
      </c>
      <c r="W441" s="242" t="str">
        <f t="shared" si="83"/>
        <v/>
      </c>
    </row>
    <row r="442" spans="1:23" x14ac:dyDescent="0.2">
      <c r="A442" s="283"/>
      <c r="B442" s="283"/>
      <c r="C442" s="283"/>
      <c r="D442" s="283"/>
      <c r="E442" s="283"/>
      <c r="F442" s="283"/>
      <c r="G442" s="283"/>
      <c r="K442" s="242">
        <v>441</v>
      </c>
      <c r="L442" s="242" t="str">
        <f t="shared" si="72"/>
        <v/>
      </c>
      <c r="M442" s="242" t="str">
        <f t="shared" si="73"/>
        <v/>
      </c>
      <c r="N442" s="242" t="str">
        <f t="shared" si="74"/>
        <v/>
      </c>
      <c r="O442" s="242" t="str">
        <f t="shared" si="75"/>
        <v/>
      </c>
      <c r="P442" s="242" t="str">
        <f t="shared" si="76"/>
        <v/>
      </c>
      <c r="Q442" s="242" t="str">
        <f t="shared" si="77"/>
        <v/>
      </c>
      <c r="R442" s="242" t="str">
        <f t="shared" si="78"/>
        <v/>
      </c>
      <c r="S442" s="242" t="str">
        <f t="shared" si="79"/>
        <v/>
      </c>
      <c r="T442" s="242" t="str">
        <f t="shared" si="80"/>
        <v/>
      </c>
      <c r="U442" s="242" t="str">
        <f t="shared" si="81"/>
        <v/>
      </c>
      <c r="V442" s="242" t="str">
        <f t="shared" si="82"/>
        <v/>
      </c>
      <c r="W442" s="242" t="str">
        <f t="shared" si="83"/>
        <v/>
      </c>
    </row>
    <row r="443" spans="1:23" x14ac:dyDescent="0.2">
      <c r="A443" s="283"/>
      <c r="B443" s="283"/>
      <c r="C443" s="283"/>
      <c r="D443" s="283"/>
      <c r="E443" s="283"/>
      <c r="F443" s="283"/>
      <c r="G443" s="283"/>
      <c r="K443" s="242">
        <v>442</v>
      </c>
      <c r="L443" s="242" t="str">
        <f t="shared" si="72"/>
        <v/>
      </c>
      <c r="M443" s="242" t="str">
        <f t="shared" si="73"/>
        <v/>
      </c>
      <c r="N443" s="242" t="str">
        <f t="shared" si="74"/>
        <v/>
      </c>
      <c r="O443" s="242" t="str">
        <f t="shared" si="75"/>
        <v/>
      </c>
      <c r="P443" s="242" t="str">
        <f t="shared" si="76"/>
        <v/>
      </c>
      <c r="Q443" s="242" t="str">
        <f t="shared" si="77"/>
        <v/>
      </c>
      <c r="R443" s="242" t="str">
        <f t="shared" si="78"/>
        <v/>
      </c>
      <c r="S443" s="242" t="str">
        <f t="shared" si="79"/>
        <v/>
      </c>
      <c r="T443" s="242" t="str">
        <f t="shared" si="80"/>
        <v/>
      </c>
      <c r="U443" s="242" t="str">
        <f t="shared" si="81"/>
        <v/>
      </c>
      <c r="V443" s="242" t="str">
        <f t="shared" si="82"/>
        <v/>
      </c>
      <c r="W443" s="242" t="str">
        <f t="shared" si="83"/>
        <v/>
      </c>
    </row>
    <row r="444" spans="1:23" x14ac:dyDescent="0.2">
      <c r="A444" s="283"/>
      <c r="B444" s="283"/>
      <c r="C444" s="283"/>
      <c r="D444" s="283"/>
      <c r="E444" s="283"/>
      <c r="F444" s="283"/>
      <c r="G444" s="283"/>
      <c r="K444" s="242">
        <v>443</v>
      </c>
      <c r="L444" s="242" t="str">
        <f t="shared" si="72"/>
        <v/>
      </c>
      <c r="M444" s="242" t="str">
        <f t="shared" si="73"/>
        <v/>
      </c>
      <c r="N444" s="242" t="str">
        <f t="shared" si="74"/>
        <v/>
      </c>
      <c r="O444" s="242" t="str">
        <f t="shared" si="75"/>
        <v/>
      </c>
      <c r="P444" s="242" t="str">
        <f t="shared" si="76"/>
        <v/>
      </c>
      <c r="Q444" s="242" t="str">
        <f t="shared" si="77"/>
        <v/>
      </c>
      <c r="R444" s="242" t="str">
        <f t="shared" si="78"/>
        <v/>
      </c>
      <c r="S444" s="242" t="str">
        <f t="shared" si="79"/>
        <v/>
      </c>
      <c r="T444" s="242" t="str">
        <f t="shared" si="80"/>
        <v/>
      </c>
      <c r="U444" s="242" t="str">
        <f t="shared" si="81"/>
        <v/>
      </c>
      <c r="V444" s="242" t="str">
        <f t="shared" si="82"/>
        <v/>
      </c>
      <c r="W444" s="242" t="str">
        <f t="shared" si="83"/>
        <v/>
      </c>
    </row>
    <row r="445" spans="1:23" x14ac:dyDescent="0.2">
      <c r="A445" s="283"/>
      <c r="B445" s="283"/>
      <c r="C445" s="283"/>
      <c r="D445" s="283"/>
      <c r="E445" s="283"/>
      <c r="F445" s="283"/>
      <c r="G445" s="283"/>
      <c r="K445" s="242">
        <v>444</v>
      </c>
      <c r="L445" s="242" t="str">
        <f t="shared" si="72"/>
        <v/>
      </c>
      <c r="M445" s="242" t="str">
        <f t="shared" si="73"/>
        <v/>
      </c>
      <c r="N445" s="242" t="str">
        <f t="shared" si="74"/>
        <v/>
      </c>
      <c r="O445" s="242" t="str">
        <f t="shared" si="75"/>
        <v/>
      </c>
      <c r="P445" s="242" t="str">
        <f t="shared" si="76"/>
        <v/>
      </c>
      <c r="Q445" s="242" t="str">
        <f t="shared" si="77"/>
        <v/>
      </c>
      <c r="R445" s="242" t="str">
        <f t="shared" si="78"/>
        <v/>
      </c>
      <c r="S445" s="242" t="str">
        <f t="shared" si="79"/>
        <v/>
      </c>
      <c r="T445" s="242" t="str">
        <f t="shared" si="80"/>
        <v/>
      </c>
      <c r="U445" s="242" t="str">
        <f t="shared" si="81"/>
        <v/>
      </c>
      <c r="V445" s="242" t="str">
        <f t="shared" si="82"/>
        <v/>
      </c>
      <c r="W445" s="242" t="str">
        <f t="shared" si="83"/>
        <v/>
      </c>
    </row>
    <row r="446" spans="1:23" x14ac:dyDescent="0.2">
      <c r="A446" s="283"/>
      <c r="B446" s="283"/>
      <c r="C446" s="283"/>
      <c r="D446" s="283"/>
      <c r="E446" s="283"/>
      <c r="F446" s="283"/>
      <c r="G446" s="283"/>
      <c r="K446" s="242">
        <v>445</v>
      </c>
      <c r="L446" s="242" t="str">
        <f t="shared" si="72"/>
        <v/>
      </c>
      <c r="M446" s="242" t="str">
        <f t="shared" si="73"/>
        <v/>
      </c>
      <c r="N446" s="242" t="str">
        <f t="shared" si="74"/>
        <v/>
      </c>
      <c r="O446" s="242" t="str">
        <f t="shared" si="75"/>
        <v/>
      </c>
      <c r="P446" s="242" t="str">
        <f t="shared" si="76"/>
        <v/>
      </c>
      <c r="Q446" s="242" t="str">
        <f t="shared" si="77"/>
        <v/>
      </c>
      <c r="R446" s="242" t="str">
        <f t="shared" si="78"/>
        <v/>
      </c>
      <c r="S446" s="242" t="str">
        <f t="shared" si="79"/>
        <v/>
      </c>
      <c r="T446" s="242" t="str">
        <f t="shared" si="80"/>
        <v/>
      </c>
      <c r="U446" s="242" t="str">
        <f t="shared" si="81"/>
        <v/>
      </c>
      <c r="V446" s="242" t="str">
        <f t="shared" si="82"/>
        <v/>
      </c>
      <c r="W446" s="242" t="str">
        <f t="shared" si="83"/>
        <v/>
      </c>
    </row>
    <row r="447" spans="1:23" x14ac:dyDescent="0.2">
      <c r="A447" s="283"/>
      <c r="B447" s="283"/>
      <c r="C447" s="283"/>
      <c r="D447" s="283"/>
      <c r="E447" s="283"/>
      <c r="F447" s="283"/>
      <c r="G447" s="283"/>
      <c r="K447" s="242">
        <v>446</v>
      </c>
      <c r="L447" s="242" t="str">
        <f t="shared" si="72"/>
        <v/>
      </c>
      <c r="M447" s="242" t="str">
        <f t="shared" si="73"/>
        <v/>
      </c>
      <c r="N447" s="242" t="str">
        <f t="shared" si="74"/>
        <v/>
      </c>
      <c r="O447" s="242" t="str">
        <f t="shared" si="75"/>
        <v/>
      </c>
      <c r="P447" s="242" t="str">
        <f t="shared" si="76"/>
        <v/>
      </c>
      <c r="Q447" s="242" t="str">
        <f t="shared" si="77"/>
        <v/>
      </c>
      <c r="R447" s="242" t="str">
        <f t="shared" si="78"/>
        <v/>
      </c>
      <c r="S447" s="242" t="str">
        <f t="shared" si="79"/>
        <v/>
      </c>
      <c r="T447" s="242" t="str">
        <f t="shared" si="80"/>
        <v/>
      </c>
      <c r="U447" s="242" t="str">
        <f t="shared" si="81"/>
        <v/>
      </c>
      <c r="V447" s="242" t="str">
        <f t="shared" si="82"/>
        <v/>
      </c>
      <c r="W447" s="242" t="str">
        <f t="shared" si="83"/>
        <v/>
      </c>
    </row>
    <row r="448" spans="1:23" x14ac:dyDescent="0.2">
      <c r="A448" s="283"/>
      <c r="B448" s="283"/>
      <c r="C448" s="283"/>
      <c r="D448" s="283"/>
      <c r="E448" s="283"/>
      <c r="F448" s="283"/>
      <c r="G448" s="283"/>
      <c r="K448" s="242">
        <v>447</v>
      </c>
      <c r="L448" s="242" t="str">
        <f t="shared" si="72"/>
        <v/>
      </c>
      <c r="M448" s="242" t="str">
        <f t="shared" si="73"/>
        <v/>
      </c>
      <c r="N448" s="242" t="str">
        <f t="shared" si="74"/>
        <v/>
      </c>
      <c r="O448" s="242" t="str">
        <f t="shared" si="75"/>
        <v/>
      </c>
      <c r="P448" s="242" t="str">
        <f t="shared" si="76"/>
        <v/>
      </c>
      <c r="Q448" s="242" t="str">
        <f t="shared" si="77"/>
        <v/>
      </c>
      <c r="R448" s="242" t="str">
        <f t="shared" si="78"/>
        <v/>
      </c>
      <c r="S448" s="242" t="str">
        <f t="shared" si="79"/>
        <v/>
      </c>
      <c r="T448" s="242" t="str">
        <f t="shared" si="80"/>
        <v/>
      </c>
      <c r="U448" s="242" t="str">
        <f t="shared" si="81"/>
        <v/>
      </c>
      <c r="V448" s="242" t="str">
        <f t="shared" si="82"/>
        <v/>
      </c>
      <c r="W448" s="242" t="str">
        <f t="shared" si="83"/>
        <v/>
      </c>
    </row>
    <row r="449" spans="1:23" x14ac:dyDescent="0.2">
      <c r="A449" s="283"/>
      <c r="B449" s="283"/>
      <c r="C449" s="283"/>
      <c r="D449" s="283"/>
      <c r="E449" s="283"/>
      <c r="F449" s="283"/>
      <c r="G449" s="283"/>
      <c r="K449" s="242">
        <v>448</v>
      </c>
      <c r="L449" s="242" t="str">
        <f t="shared" si="72"/>
        <v/>
      </c>
      <c r="M449" s="242" t="str">
        <f t="shared" si="73"/>
        <v/>
      </c>
      <c r="N449" s="242" t="str">
        <f t="shared" si="74"/>
        <v/>
      </c>
      <c r="O449" s="242" t="str">
        <f t="shared" si="75"/>
        <v/>
      </c>
      <c r="P449" s="242" t="str">
        <f t="shared" si="76"/>
        <v/>
      </c>
      <c r="Q449" s="242" t="str">
        <f t="shared" si="77"/>
        <v/>
      </c>
      <c r="R449" s="242" t="str">
        <f t="shared" si="78"/>
        <v/>
      </c>
      <c r="S449" s="242" t="str">
        <f t="shared" si="79"/>
        <v/>
      </c>
      <c r="T449" s="242" t="str">
        <f t="shared" si="80"/>
        <v/>
      </c>
      <c r="U449" s="242" t="str">
        <f t="shared" si="81"/>
        <v/>
      </c>
      <c r="V449" s="242" t="str">
        <f t="shared" si="82"/>
        <v/>
      </c>
      <c r="W449" s="242" t="str">
        <f t="shared" si="83"/>
        <v/>
      </c>
    </row>
    <row r="450" spans="1:23" x14ac:dyDescent="0.2">
      <c r="A450" s="283"/>
      <c r="B450" s="283"/>
      <c r="C450" s="283"/>
      <c r="D450" s="283"/>
      <c r="E450" s="283"/>
      <c r="F450" s="283"/>
      <c r="G450" s="283"/>
      <c r="K450" s="242">
        <v>449</v>
      </c>
      <c r="L450" s="242" t="str">
        <f t="shared" si="72"/>
        <v/>
      </c>
      <c r="M450" s="242" t="str">
        <f t="shared" si="73"/>
        <v/>
      </c>
      <c r="N450" s="242" t="str">
        <f t="shared" si="74"/>
        <v/>
      </c>
      <c r="O450" s="242" t="str">
        <f t="shared" si="75"/>
        <v/>
      </c>
      <c r="P450" s="242" t="str">
        <f t="shared" si="76"/>
        <v/>
      </c>
      <c r="Q450" s="242" t="str">
        <f t="shared" si="77"/>
        <v/>
      </c>
      <c r="R450" s="242" t="str">
        <f t="shared" si="78"/>
        <v/>
      </c>
      <c r="S450" s="242" t="str">
        <f t="shared" si="79"/>
        <v/>
      </c>
      <c r="T450" s="242" t="str">
        <f t="shared" si="80"/>
        <v/>
      </c>
      <c r="U450" s="242" t="str">
        <f t="shared" si="81"/>
        <v/>
      </c>
      <c r="V450" s="242" t="str">
        <f t="shared" si="82"/>
        <v/>
      </c>
      <c r="W450" s="242" t="str">
        <f t="shared" si="83"/>
        <v/>
      </c>
    </row>
    <row r="451" spans="1:23" x14ac:dyDescent="0.2">
      <c r="A451" s="283"/>
      <c r="B451" s="283"/>
      <c r="C451" s="283"/>
      <c r="D451" s="283"/>
      <c r="E451" s="283"/>
      <c r="F451" s="283"/>
      <c r="G451" s="283"/>
      <c r="K451" s="242">
        <v>450</v>
      </c>
      <c r="L451" s="242" t="str">
        <f t="shared" ref="L451:L514" si="84">IF($B$13&gt;=K451,K451,"")</f>
        <v/>
      </c>
      <c r="M451" s="242" t="str">
        <f t="shared" ref="M451:M514" si="85">IF(L451="","",IF(L451&lt;=$E$15,VLOOKUP($E$14,$I$1:$J$4,2,FALSE),VLOOKUP($F$14,$I$1:$J$4,2,FALSE)))</f>
        <v/>
      </c>
      <c r="N451" s="242" t="str">
        <f t="shared" ref="N451:N514" si="86">IF($B$20&gt;=K451,K451,"")</f>
        <v/>
      </c>
      <c r="O451" s="242" t="str">
        <f t="shared" ref="O451:O514" si="87">IF(N451="","",IF(N451&lt;=$E$22,VLOOKUP($E$21,$I$1:$J$4,2,FALSE),VLOOKUP($F$21,$I$1:$J$4,2,FALSE)))</f>
        <v/>
      </c>
      <c r="P451" s="242" t="str">
        <f t="shared" ref="P451:P514" si="88">IF($B$27&gt;=K451,K451,"")</f>
        <v/>
      </c>
      <c r="Q451" s="242" t="str">
        <f t="shared" ref="Q451:Q514" si="89">IF(P451="","",IF(P451&lt;=$E$29,VLOOKUP($E$28,$I$1:$J$4,2,FALSE),VLOOKUP($F$28,$I$1:$J$4,2,FALSE)))</f>
        <v/>
      </c>
      <c r="R451" s="242" t="str">
        <f t="shared" ref="R451:R514" si="90">IF($B$34&gt;=K451,K451,"")</f>
        <v/>
      </c>
      <c r="S451" s="242" t="str">
        <f t="shared" ref="S451:S514" si="91">IF(R451="","",IF(R451&lt;=$E$36,VLOOKUP($E$35,$I$1:$J$4,2,FALSE),VLOOKUP($F$35,$I$1:$J$4,2,FALSE)))</f>
        <v/>
      </c>
      <c r="T451" s="242" t="str">
        <f t="shared" ref="T451:T514" si="92">IF($B$41&gt;=K451,K451,"")</f>
        <v/>
      </c>
      <c r="U451" s="242" t="str">
        <f t="shared" ref="U451:U514" si="93">IF(T451="","",IF(T451&lt;=$E$43,VLOOKUP($E$42,$I$1:$J$4,2,FALSE),VLOOKUP($F$42,$I$1:$J$4,2,FALSE)))</f>
        <v/>
      </c>
      <c r="V451" s="242" t="str">
        <f t="shared" ref="V451:V514" si="94">IF($B$48&gt;=K451,K451,"")</f>
        <v/>
      </c>
      <c r="W451" s="242" t="str">
        <f t="shared" ref="W451:W514" si="95">IF(V451="","",IF(V451&lt;=$E$50,VLOOKUP($E$49,$I$1:$J$4,2,FALSE),VLOOKUP($F$49,$I$1:$J$4,2,FALSE)))</f>
        <v/>
      </c>
    </row>
    <row r="452" spans="1:23" x14ac:dyDescent="0.2">
      <c r="A452" s="283"/>
      <c r="B452" s="283"/>
      <c r="C452" s="283"/>
      <c r="D452" s="283"/>
      <c r="E452" s="283"/>
      <c r="F452" s="283"/>
      <c r="G452" s="283"/>
      <c r="K452" s="242">
        <v>451</v>
      </c>
      <c r="L452" s="242" t="str">
        <f t="shared" si="84"/>
        <v/>
      </c>
      <c r="M452" s="242" t="str">
        <f t="shared" si="85"/>
        <v/>
      </c>
      <c r="N452" s="242" t="str">
        <f t="shared" si="86"/>
        <v/>
      </c>
      <c r="O452" s="242" t="str">
        <f t="shared" si="87"/>
        <v/>
      </c>
      <c r="P452" s="242" t="str">
        <f t="shared" si="88"/>
        <v/>
      </c>
      <c r="Q452" s="242" t="str">
        <f t="shared" si="89"/>
        <v/>
      </c>
      <c r="R452" s="242" t="str">
        <f t="shared" si="90"/>
        <v/>
      </c>
      <c r="S452" s="242" t="str">
        <f t="shared" si="91"/>
        <v/>
      </c>
      <c r="T452" s="242" t="str">
        <f t="shared" si="92"/>
        <v/>
      </c>
      <c r="U452" s="242" t="str">
        <f t="shared" si="93"/>
        <v/>
      </c>
      <c r="V452" s="242" t="str">
        <f t="shared" si="94"/>
        <v/>
      </c>
      <c r="W452" s="242" t="str">
        <f t="shared" si="95"/>
        <v/>
      </c>
    </row>
    <row r="453" spans="1:23" x14ac:dyDescent="0.2">
      <c r="A453" s="283"/>
      <c r="B453" s="283"/>
      <c r="C453" s="283"/>
      <c r="D453" s="283"/>
      <c r="E453" s="283"/>
      <c r="F453" s="283"/>
      <c r="G453" s="283"/>
      <c r="K453" s="242">
        <v>452</v>
      </c>
      <c r="L453" s="242" t="str">
        <f t="shared" si="84"/>
        <v/>
      </c>
      <c r="M453" s="242" t="str">
        <f t="shared" si="85"/>
        <v/>
      </c>
      <c r="N453" s="242" t="str">
        <f t="shared" si="86"/>
        <v/>
      </c>
      <c r="O453" s="242" t="str">
        <f t="shared" si="87"/>
        <v/>
      </c>
      <c r="P453" s="242" t="str">
        <f t="shared" si="88"/>
        <v/>
      </c>
      <c r="Q453" s="242" t="str">
        <f t="shared" si="89"/>
        <v/>
      </c>
      <c r="R453" s="242" t="str">
        <f t="shared" si="90"/>
        <v/>
      </c>
      <c r="S453" s="242" t="str">
        <f t="shared" si="91"/>
        <v/>
      </c>
      <c r="T453" s="242" t="str">
        <f t="shared" si="92"/>
        <v/>
      </c>
      <c r="U453" s="242" t="str">
        <f t="shared" si="93"/>
        <v/>
      </c>
      <c r="V453" s="242" t="str">
        <f t="shared" si="94"/>
        <v/>
      </c>
      <c r="W453" s="242" t="str">
        <f t="shared" si="95"/>
        <v/>
      </c>
    </row>
    <row r="454" spans="1:23" x14ac:dyDescent="0.2">
      <c r="A454" s="283"/>
      <c r="B454" s="283"/>
      <c r="C454" s="283"/>
      <c r="D454" s="283"/>
      <c r="E454" s="283"/>
      <c r="F454" s="283"/>
      <c r="G454" s="283"/>
      <c r="K454" s="242">
        <v>453</v>
      </c>
      <c r="L454" s="242" t="str">
        <f t="shared" si="84"/>
        <v/>
      </c>
      <c r="M454" s="242" t="str">
        <f t="shared" si="85"/>
        <v/>
      </c>
      <c r="N454" s="242" t="str">
        <f t="shared" si="86"/>
        <v/>
      </c>
      <c r="O454" s="242" t="str">
        <f t="shared" si="87"/>
        <v/>
      </c>
      <c r="P454" s="242" t="str">
        <f t="shared" si="88"/>
        <v/>
      </c>
      <c r="Q454" s="242" t="str">
        <f t="shared" si="89"/>
        <v/>
      </c>
      <c r="R454" s="242" t="str">
        <f t="shared" si="90"/>
        <v/>
      </c>
      <c r="S454" s="242" t="str">
        <f t="shared" si="91"/>
        <v/>
      </c>
      <c r="T454" s="242" t="str">
        <f t="shared" si="92"/>
        <v/>
      </c>
      <c r="U454" s="242" t="str">
        <f t="shared" si="93"/>
        <v/>
      </c>
      <c r="V454" s="242" t="str">
        <f t="shared" si="94"/>
        <v/>
      </c>
      <c r="W454" s="242" t="str">
        <f t="shared" si="95"/>
        <v/>
      </c>
    </row>
    <row r="455" spans="1:23" x14ac:dyDescent="0.2">
      <c r="A455" s="283"/>
      <c r="B455" s="283"/>
      <c r="C455" s="283"/>
      <c r="D455" s="283"/>
      <c r="E455" s="283"/>
      <c r="F455" s="283"/>
      <c r="G455" s="283"/>
      <c r="K455" s="242">
        <v>454</v>
      </c>
      <c r="L455" s="242" t="str">
        <f t="shared" si="84"/>
        <v/>
      </c>
      <c r="M455" s="242" t="str">
        <f t="shared" si="85"/>
        <v/>
      </c>
      <c r="N455" s="242" t="str">
        <f t="shared" si="86"/>
        <v/>
      </c>
      <c r="O455" s="242" t="str">
        <f t="shared" si="87"/>
        <v/>
      </c>
      <c r="P455" s="242" t="str">
        <f t="shared" si="88"/>
        <v/>
      </c>
      <c r="Q455" s="242" t="str">
        <f t="shared" si="89"/>
        <v/>
      </c>
      <c r="R455" s="242" t="str">
        <f t="shared" si="90"/>
        <v/>
      </c>
      <c r="S455" s="242" t="str">
        <f t="shared" si="91"/>
        <v/>
      </c>
      <c r="T455" s="242" t="str">
        <f t="shared" si="92"/>
        <v/>
      </c>
      <c r="U455" s="242" t="str">
        <f t="shared" si="93"/>
        <v/>
      </c>
      <c r="V455" s="242" t="str">
        <f t="shared" si="94"/>
        <v/>
      </c>
      <c r="W455" s="242" t="str">
        <f t="shared" si="95"/>
        <v/>
      </c>
    </row>
    <row r="456" spans="1:23" x14ac:dyDescent="0.2">
      <c r="A456" s="283"/>
      <c r="B456" s="283"/>
      <c r="C456" s="283"/>
      <c r="D456" s="283"/>
      <c r="E456" s="283"/>
      <c r="F456" s="283"/>
      <c r="G456" s="283"/>
      <c r="K456" s="242">
        <v>455</v>
      </c>
      <c r="L456" s="242" t="str">
        <f t="shared" si="84"/>
        <v/>
      </c>
      <c r="M456" s="242" t="str">
        <f t="shared" si="85"/>
        <v/>
      </c>
      <c r="N456" s="242" t="str">
        <f t="shared" si="86"/>
        <v/>
      </c>
      <c r="O456" s="242" t="str">
        <f t="shared" si="87"/>
        <v/>
      </c>
      <c r="P456" s="242" t="str">
        <f t="shared" si="88"/>
        <v/>
      </c>
      <c r="Q456" s="242" t="str">
        <f t="shared" si="89"/>
        <v/>
      </c>
      <c r="R456" s="242" t="str">
        <f t="shared" si="90"/>
        <v/>
      </c>
      <c r="S456" s="242" t="str">
        <f t="shared" si="91"/>
        <v/>
      </c>
      <c r="T456" s="242" t="str">
        <f t="shared" si="92"/>
        <v/>
      </c>
      <c r="U456" s="242" t="str">
        <f t="shared" si="93"/>
        <v/>
      </c>
      <c r="V456" s="242" t="str">
        <f t="shared" si="94"/>
        <v/>
      </c>
      <c r="W456" s="242" t="str">
        <f t="shared" si="95"/>
        <v/>
      </c>
    </row>
    <row r="457" spans="1:23" x14ac:dyDescent="0.2">
      <c r="A457" s="283"/>
      <c r="B457" s="283"/>
      <c r="C457" s="283"/>
      <c r="D457" s="283"/>
      <c r="E457" s="283"/>
      <c r="F457" s="283"/>
      <c r="G457" s="283"/>
      <c r="K457" s="242">
        <v>456</v>
      </c>
      <c r="L457" s="242" t="str">
        <f t="shared" si="84"/>
        <v/>
      </c>
      <c r="M457" s="242" t="str">
        <f t="shared" si="85"/>
        <v/>
      </c>
      <c r="N457" s="242" t="str">
        <f t="shared" si="86"/>
        <v/>
      </c>
      <c r="O457" s="242" t="str">
        <f t="shared" si="87"/>
        <v/>
      </c>
      <c r="P457" s="242" t="str">
        <f t="shared" si="88"/>
        <v/>
      </c>
      <c r="Q457" s="242" t="str">
        <f t="shared" si="89"/>
        <v/>
      </c>
      <c r="R457" s="242" t="str">
        <f t="shared" si="90"/>
        <v/>
      </c>
      <c r="S457" s="242" t="str">
        <f t="shared" si="91"/>
        <v/>
      </c>
      <c r="T457" s="242" t="str">
        <f t="shared" si="92"/>
        <v/>
      </c>
      <c r="U457" s="242" t="str">
        <f t="shared" si="93"/>
        <v/>
      </c>
      <c r="V457" s="242" t="str">
        <f t="shared" si="94"/>
        <v/>
      </c>
      <c r="W457" s="242" t="str">
        <f t="shared" si="95"/>
        <v/>
      </c>
    </row>
    <row r="458" spans="1:23" x14ac:dyDescent="0.2">
      <c r="A458" s="283"/>
      <c r="B458" s="283"/>
      <c r="C458" s="283"/>
      <c r="D458" s="283"/>
      <c r="E458" s="283"/>
      <c r="F458" s="283"/>
      <c r="G458" s="283"/>
      <c r="K458" s="242">
        <v>457</v>
      </c>
      <c r="L458" s="242" t="str">
        <f t="shared" si="84"/>
        <v/>
      </c>
      <c r="M458" s="242" t="str">
        <f t="shared" si="85"/>
        <v/>
      </c>
      <c r="N458" s="242" t="str">
        <f t="shared" si="86"/>
        <v/>
      </c>
      <c r="O458" s="242" t="str">
        <f t="shared" si="87"/>
        <v/>
      </c>
      <c r="P458" s="242" t="str">
        <f t="shared" si="88"/>
        <v/>
      </c>
      <c r="Q458" s="242" t="str">
        <f t="shared" si="89"/>
        <v/>
      </c>
      <c r="R458" s="242" t="str">
        <f t="shared" si="90"/>
        <v/>
      </c>
      <c r="S458" s="242" t="str">
        <f t="shared" si="91"/>
        <v/>
      </c>
      <c r="T458" s="242" t="str">
        <f t="shared" si="92"/>
        <v/>
      </c>
      <c r="U458" s="242" t="str">
        <f t="shared" si="93"/>
        <v/>
      </c>
      <c r="V458" s="242" t="str">
        <f t="shared" si="94"/>
        <v/>
      </c>
      <c r="W458" s="242" t="str">
        <f t="shared" si="95"/>
        <v/>
      </c>
    </row>
    <row r="459" spans="1:23" x14ac:dyDescent="0.2">
      <c r="A459" s="283"/>
      <c r="B459" s="283"/>
      <c r="C459" s="283"/>
      <c r="D459" s="283"/>
      <c r="E459" s="283"/>
      <c r="F459" s="283"/>
      <c r="G459" s="283"/>
      <c r="K459" s="242">
        <v>458</v>
      </c>
      <c r="L459" s="242" t="str">
        <f t="shared" si="84"/>
        <v/>
      </c>
      <c r="M459" s="242" t="str">
        <f t="shared" si="85"/>
        <v/>
      </c>
      <c r="N459" s="242" t="str">
        <f t="shared" si="86"/>
        <v/>
      </c>
      <c r="O459" s="242" t="str">
        <f t="shared" si="87"/>
        <v/>
      </c>
      <c r="P459" s="242" t="str">
        <f t="shared" si="88"/>
        <v/>
      </c>
      <c r="Q459" s="242" t="str">
        <f t="shared" si="89"/>
        <v/>
      </c>
      <c r="R459" s="242" t="str">
        <f t="shared" si="90"/>
        <v/>
      </c>
      <c r="S459" s="242" t="str">
        <f t="shared" si="91"/>
        <v/>
      </c>
      <c r="T459" s="242" t="str">
        <f t="shared" si="92"/>
        <v/>
      </c>
      <c r="U459" s="242" t="str">
        <f t="shared" si="93"/>
        <v/>
      </c>
      <c r="V459" s="242" t="str">
        <f t="shared" si="94"/>
        <v/>
      </c>
      <c r="W459" s="242" t="str">
        <f t="shared" si="95"/>
        <v/>
      </c>
    </row>
    <row r="460" spans="1:23" x14ac:dyDescent="0.2">
      <c r="A460" s="283"/>
      <c r="B460" s="283"/>
      <c r="C460" s="283"/>
      <c r="D460" s="283"/>
      <c r="E460" s="283"/>
      <c r="F460" s="283"/>
      <c r="G460" s="283"/>
      <c r="K460" s="242">
        <v>459</v>
      </c>
      <c r="L460" s="242" t="str">
        <f t="shared" si="84"/>
        <v/>
      </c>
      <c r="M460" s="242" t="str">
        <f t="shared" si="85"/>
        <v/>
      </c>
      <c r="N460" s="242" t="str">
        <f t="shared" si="86"/>
        <v/>
      </c>
      <c r="O460" s="242" t="str">
        <f t="shared" si="87"/>
        <v/>
      </c>
      <c r="P460" s="242" t="str">
        <f t="shared" si="88"/>
        <v/>
      </c>
      <c r="Q460" s="242" t="str">
        <f t="shared" si="89"/>
        <v/>
      </c>
      <c r="R460" s="242" t="str">
        <f t="shared" si="90"/>
        <v/>
      </c>
      <c r="S460" s="242" t="str">
        <f t="shared" si="91"/>
        <v/>
      </c>
      <c r="T460" s="242" t="str">
        <f t="shared" si="92"/>
        <v/>
      </c>
      <c r="U460" s="242" t="str">
        <f t="shared" si="93"/>
        <v/>
      </c>
      <c r="V460" s="242" t="str">
        <f t="shared" si="94"/>
        <v/>
      </c>
      <c r="W460" s="242" t="str">
        <f t="shared" si="95"/>
        <v/>
      </c>
    </row>
    <row r="461" spans="1:23" x14ac:dyDescent="0.2">
      <c r="A461" s="283"/>
      <c r="B461" s="283"/>
      <c r="C461" s="283"/>
      <c r="D461" s="283"/>
      <c r="E461" s="283"/>
      <c r="F461" s="283"/>
      <c r="G461" s="283"/>
      <c r="K461" s="242">
        <v>460</v>
      </c>
      <c r="L461" s="242" t="str">
        <f t="shared" si="84"/>
        <v/>
      </c>
      <c r="M461" s="242" t="str">
        <f t="shared" si="85"/>
        <v/>
      </c>
      <c r="N461" s="242" t="str">
        <f t="shared" si="86"/>
        <v/>
      </c>
      <c r="O461" s="242" t="str">
        <f t="shared" si="87"/>
        <v/>
      </c>
      <c r="P461" s="242" t="str">
        <f t="shared" si="88"/>
        <v/>
      </c>
      <c r="Q461" s="242" t="str">
        <f t="shared" si="89"/>
        <v/>
      </c>
      <c r="R461" s="242" t="str">
        <f t="shared" si="90"/>
        <v/>
      </c>
      <c r="S461" s="242" t="str">
        <f t="shared" si="91"/>
        <v/>
      </c>
      <c r="T461" s="242" t="str">
        <f t="shared" si="92"/>
        <v/>
      </c>
      <c r="U461" s="242" t="str">
        <f t="shared" si="93"/>
        <v/>
      </c>
      <c r="V461" s="242" t="str">
        <f t="shared" si="94"/>
        <v/>
      </c>
      <c r="W461" s="242" t="str">
        <f t="shared" si="95"/>
        <v/>
      </c>
    </row>
    <row r="462" spans="1:23" x14ac:dyDescent="0.2">
      <c r="A462" s="283"/>
      <c r="B462" s="283"/>
      <c r="C462" s="283"/>
      <c r="D462" s="283"/>
      <c r="E462" s="283"/>
      <c r="F462" s="283"/>
      <c r="G462" s="283"/>
      <c r="K462" s="242">
        <v>461</v>
      </c>
      <c r="L462" s="242" t="str">
        <f t="shared" si="84"/>
        <v/>
      </c>
      <c r="M462" s="242" t="str">
        <f t="shared" si="85"/>
        <v/>
      </c>
      <c r="N462" s="242" t="str">
        <f t="shared" si="86"/>
        <v/>
      </c>
      <c r="O462" s="242" t="str">
        <f t="shared" si="87"/>
        <v/>
      </c>
      <c r="P462" s="242" t="str">
        <f t="shared" si="88"/>
        <v/>
      </c>
      <c r="Q462" s="242" t="str">
        <f t="shared" si="89"/>
        <v/>
      </c>
      <c r="R462" s="242" t="str">
        <f t="shared" si="90"/>
        <v/>
      </c>
      <c r="S462" s="242" t="str">
        <f t="shared" si="91"/>
        <v/>
      </c>
      <c r="T462" s="242" t="str">
        <f t="shared" si="92"/>
        <v/>
      </c>
      <c r="U462" s="242" t="str">
        <f t="shared" si="93"/>
        <v/>
      </c>
      <c r="V462" s="242" t="str">
        <f t="shared" si="94"/>
        <v/>
      </c>
      <c r="W462" s="242" t="str">
        <f t="shared" si="95"/>
        <v/>
      </c>
    </row>
    <row r="463" spans="1:23" x14ac:dyDescent="0.2">
      <c r="A463" s="283"/>
      <c r="B463" s="283"/>
      <c r="C463" s="283"/>
      <c r="D463" s="283"/>
      <c r="E463" s="283"/>
      <c r="F463" s="283"/>
      <c r="G463" s="283"/>
      <c r="K463" s="242">
        <v>462</v>
      </c>
      <c r="L463" s="242" t="str">
        <f t="shared" si="84"/>
        <v/>
      </c>
      <c r="M463" s="242" t="str">
        <f t="shared" si="85"/>
        <v/>
      </c>
      <c r="N463" s="242" t="str">
        <f t="shared" si="86"/>
        <v/>
      </c>
      <c r="O463" s="242" t="str">
        <f t="shared" si="87"/>
        <v/>
      </c>
      <c r="P463" s="242" t="str">
        <f t="shared" si="88"/>
        <v/>
      </c>
      <c r="Q463" s="242" t="str">
        <f t="shared" si="89"/>
        <v/>
      </c>
      <c r="R463" s="242" t="str">
        <f t="shared" si="90"/>
        <v/>
      </c>
      <c r="S463" s="242" t="str">
        <f t="shared" si="91"/>
        <v/>
      </c>
      <c r="T463" s="242" t="str">
        <f t="shared" si="92"/>
        <v/>
      </c>
      <c r="U463" s="242" t="str">
        <f t="shared" si="93"/>
        <v/>
      </c>
      <c r="V463" s="242" t="str">
        <f t="shared" si="94"/>
        <v/>
      </c>
      <c r="W463" s="242" t="str">
        <f t="shared" si="95"/>
        <v/>
      </c>
    </row>
    <row r="464" spans="1:23" x14ac:dyDescent="0.2">
      <c r="A464" s="283"/>
      <c r="B464" s="283"/>
      <c r="C464" s="283"/>
      <c r="D464" s="283"/>
      <c r="E464" s="283"/>
      <c r="F464" s="283"/>
      <c r="G464" s="283"/>
      <c r="K464" s="242">
        <v>463</v>
      </c>
      <c r="L464" s="242" t="str">
        <f t="shared" si="84"/>
        <v/>
      </c>
      <c r="M464" s="242" t="str">
        <f t="shared" si="85"/>
        <v/>
      </c>
      <c r="N464" s="242" t="str">
        <f t="shared" si="86"/>
        <v/>
      </c>
      <c r="O464" s="242" t="str">
        <f t="shared" si="87"/>
        <v/>
      </c>
      <c r="P464" s="242" t="str">
        <f t="shared" si="88"/>
        <v/>
      </c>
      <c r="Q464" s="242" t="str">
        <f t="shared" si="89"/>
        <v/>
      </c>
      <c r="R464" s="242" t="str">
        <f t="shared" si="90"/>
        <v/>
      </c>
      <c r="S464" s="242" t="str">
        <f t="shared" si="91"/>
        <v/>
      </c>
      <c r="T464" s="242" t="str">
        <f t="shared" si="92"/>
        <v/>
      </c>
      <c r="U464" s="242" t="str">
        <f t="shared" si="93"/>
        <v/>
      </c>
      <c r="V464" s="242" t="str">
        <f t="shared" si="94"/>
        <v/>
      </c>
      <c r="W464" s="242" t="str">
        <f t="shared" si="95"/>
        <v/>
      </c>
    </row>
    <row r="465" spans="1:23" x14ac:dyDescent="0.2">
      <c r="A465" s="283"/>
      <c r="B465" s="283"/>
      <c r="C465" s="283"/>
      <c r="D465" s="283"/>
      <c r="E465" s="283"/>
      <c r="F465" s="283"/>
      <c r="G465" s="283"/>
      <c r="K465" s="242">
        <v>464</v>
      </c>
      <c r="L465" s="242" t="str">
        <f t="shared" si="84"/>
        <v/>
      </c>
      <c r="M465" s="242" t="str">
        <f t="shared" si="85"/>
        <v/>
      </c>
      <c r="N465" s="242" t="str">
        <f t="shared" si="86"/>
        <v/>
      </c>
      <c r="O465" s="242" t="str">
        <f t="shared" si="87"/>
        <v/>
      </c>
      <c r="P465" s="242" t="str">
        <f t="shared" si="88"/>
        <v/>
      </c>
      <c r="Q465" s="242" t="str">
        <f t="shared" si="89"/>
        <v/>
      </c>
      <c r="R465" s="242" t="str">
        <f t="shared" si="90"/>
        <v/>
      </c>
      <c r="S465" s="242" t="str">
        <f t="shared" si="91"/>
        <v/>
      </c>
      <c r="T465" s="242" t="str">
        <f t="shared" si="92"/>
        <v/>
      </c>
      <c r="U465" s="242" t="str">
        <f t="shared" si="93"/>
        <v/>
      </c>
      <c r="V465" s="242" t="str">
        <f t="shared" si="94"/>
        <v/>
      </c>
      <c r="W465" s="242" t="str">
        <f t="shared" si="95"/>
        <v/>
      </c>
    </row>
    <row r="466" spans="1:23" x14ac:dyDescent="0.2">
      <c r="A466" s="283"/>
      <c r="B466" s="283"/>
      <c r="C466" s="283"/>
      <c r="D466" s="283"/>
      <c r="E466" s="283"/>
      <c r="F466" s="283"/>
      <c r="G466" s="283"/>
      <c r="K466" s="242">
        <v>465</v>
      </c>
      <c r="L466" s="242" t="str">
        <f t="shared" si="84"/>
        <v/>
      </c>
      <c r="M466" s="242" t="str">
        <f t="shared" si="85"/>
        <v/>
      </c>
      <c r="N466" s="242" t="str">
        <f t="shared" si="86"/>
        <v/>
      </c>
      <c r="O466" s="242" t="str">
        <f t="shared" si="87"/>
        <v/>
      </c>
      <c r="P466" s="242" t="str">
        <f t="shared" si="88"/>
        <v/>
      </c>
      <c r="Q466" s="242" t="str">
        <f t="shared" si="89"/>
        <v/>
      </c>
      <c r="R466" s="242" t="str">
        <f t="shared" si="90"/>
        <v/>
      </c>
      <c r="S466" s="242" t="str">
        <f t="shared" si="91"/>
        <v/>
      </c>
      <c r="T466" s="242" t="str">
        <f t="shared" si="92"/>
        <v/>
      </c>
      <c r="U466" s="242" t="str">
        <f t="shared" si="93"/>
        <v/>
      </c>
      <c r="V466" s="242" t="str">
        <f t="shared" si="94"/>
        <v/>
      </c>
      <c r="W466" s="242" t="str">
        <f t="shared" si="95"/>
        <v/>
      </c>
    </row>
    <row r="467" spans="1:23" x14ac:dyDescent="0.2">
      <c r="A467" s="283"/>
      <c r="B467" s="283"/>
      <c r="C467" s="283"/>
      <c r="D467" s="283"/>
      <c r="E467" s="283"/>
      <c r="F467" s="283"/>
      <c r="G467" s="283"/>
      <c r="K467" s="242">
        <v>466</v>
      </c>
      <c r="L467" s="242" t="str">
        <f t="shared" si="84"/>
        <v/>
      </c>
      <c r="M467" s="242" t="str">
        <f t="shared" si="85"/>
        <v/>
      </c>
      <c r="N467" s="242" t="str">
        <f t="shared" si="86"/>
        <v/>
      </c>
      <c r="O467" s="242" t="str">
        <f t="shared" si="87"/>
        <v/>
      </c>
      <c r="P467" s="242" t="str">
        <f t="shared" si="88"/>
        <v/>
      </c>
      <c r="Q467" s="242" t="str">
        <f t="shared" si="89"/>
        <v/>
      </c>
      <c r="R467" s="242" t="str">
        <f t="shared" si="90"/>
        <v/>
      </c>
      <c r="S467" s="242" t="str">
        <f t="shared" si="91"/>
        <v/>
      </c>
      <c r="T467" s="242" t="str">
        <f t="shared" si="92"/>
        <v/>
      </c>
      <c r="U467" s="242" t="str">
        <f t="shared" si="93"/>
        <v/>
      </c>
      <c r="V467" s="242" t="str">
        <f t="shared" si="94"/>
        <v/>
      </c>
      <c r="W467" s="242" t="str">
        <f t="shared" si="95"/>
        <v/>
      </c>
    </row>
    <row r="468" spans="1:23" x14ac:dyDescent="0.2">
      <c r="A468" s="283"/>
      <c r="B468" s="283"/>
      <c r="C468" s="283"/>
      <c r="D468" s="283"/>
      <c r="E468" s="283"/>
      <c r="F468" s="283"/>
      <c r="G468" s="283"/>
      <c r="K468" s="242">
        <v>467</v>
      </c>
      <c r="L468" s="242" t="str">
        <f t="shared" si="84"/>
        <v/>
      </c>
      <c r="M468" s="242" t="str">
        <f t="shared" si="85"/>
        <v/>
      </c>
      <c r="N468" s="242" t="str">
        <f t="shared" si="86"/>
        <v/>
      </c>
      <c r="O468" s="242" t="str">
        <f t="shared" si="87"/>
        <v/>
      </c>
      <c r="P468" s="242" t="str">
        <f t="shared" si="88"/>
        <v/>
      </c>
      <c r="Q468" s="242" t="str">
        <f t="shared" si="89"/>
        <v/>
      </c>
      <c r="R468" s="242" t="str">
        <f t="shared" si="90"/>
        <v/>
      </c>
      <c r="S468" s="242" t="str">
        <f t="shared" si="91"/>
        <v/>
      </c>
      <c r="T468" s="242" t="str">
        <f t="shared" si="92"/>
        <v/>
      </c>
      <c r="U468" s="242" t="str">
        <f t="shared" si="93"/>
        <v/>
      </c>
      <c r="V468" s="242" t="str">
        <f t="shared" si="94"/>
        <v/>
      </c>
      <c r="W468" s="242" t="str">
        <f t="shared" si="95"/>
        <v/>
      </c>
    </row>
    <row r="469" spans="1:23" x14ac:dyDescent="0.2">
      <c r="A469" s="283"/>
      <c r="B469" s="283"/>
      <c r="C469" s="283"/>
      <c r="D469" s="283"/>
      <c r="E469" s="283"/>
      <c r="F469" s="283"/>
      <c r="G469" s="283"/>
      <c r="K469" s="242">
        <v>468</v>
      </c>
      <c r="L469" s="242" t="str">
        <f t="shared" si="84"/>
        <v/>
      </c>
      <c r="M469" s="242" t="str">
        <f t="shared" si="85"/>
        <v/>
      </c>
      <c r="N469" s="242" t="str">
        <f t="shared" si="86"/>
        <v/>
      </c>
      <c r="O469" s="242" t="str">
        <f t="shared" si="87"/>
        <v/>
      </c>
      <c r="P469" s="242" t="str">
        <f t="shared" si="88"/>
        <v/>
      </c>
      <c r="Q469" s="242" t="str">
        <f t="shared" si="89"/>
        <v/>
      </c>
      <c r="R469" s="242" t="str">
        <f t="shared" si="90"/>
        <v/>
      </c>
      <c r="S469" s="242" t="str">
        <f t="shared" si="91"/>
        <v/>
      </c>
      <c r="T469" s="242" t="str">
        <f t="shared" si="92"/>
        <v/>
      </c>
      <c r="U469" s="242" t="str">
        <f t="shared" si="93"/>
        <v/>
      </c>
      <c r="V469" s="242" t="str">
        <f t="shared" si="94"/>
        <v/>
      </c>
      <c r="W469" s="242" t="str">
        <f t="shared" si="95"/>
        <v/>
      </c>
    </row>
    <row r="470" spans="1:23" x14ac:dyDescent="0.2">
      <c r="A470" s="283"/>
      <c r="B470" s="283"/>
      <c r="C470" s="283"/>
      <c r="D470" s="283"/>
      <c r="E470" s="283"/>
      <c r="F470" s="283"/>
      <c r="G470" s="283"/>
      <c r="K470" s="242">
        <v>469</v>
      </c>
      <c r="L470" s="242" t="str">
        <f t="shared" si="84"/>
        <v/>
      </c>
      <c r="M470" s="242" t="str">
        <f t="shared" si="85"/>
        <v/>
      </c>
      <c r="N470" s="242" t="str">
        <f t="shared" si="86"/>
        <v/>
      </c>
      <c r="O470" s="242" t="str">
        <f t="shared" si="87"/>
        <v/>
      </c>
      <c r="P470" s="242" t="str">
        <f t="shared" si="88"/>
        <v/>
      </c>
      <c r="Q470" s="242" t="str">
        <f t="shared" si="89"/>
        <v/>
      </c>
      <c r="R470" s="242" t="str">
        <f t="shared" si="90"/>
        <v/>
      </c>
      <c r="S470" s="242" t="str">
        <f t="shared" si="91"/>
        <v/>
      </c>
      <c r="T470" s="242" t="str">
        <f t="shared" si="92"/>
        <v/>
      </c>
      <c r="U470" s="242" t="str">
        <f t="shared" si="93"/>
        <v/>
      </c>
      <c r="V470" s="242" t="str">
        <f t="shared" si="94"/>
        <v/>
      </c>
      <c r="W470" s="242" t="str">
        <f t="shared" si="95"/>
        <v/>
      </c>
    </row>
    <row r="471" spans="1:23" x14ac:dyDescent="0.2">
      <c r="A471" s="283"/>
      <c r="B471" s="283"/>
      <c r="C471" s="283"/>
      <c r="D471" s="283"/>
      <c r="E471" s="283"/>
      <c r="F471" s="283"/>
      <c r="G471" s="283"/>
      <c r="K471" s="242">
        <v>470</v>
      </c>
      <c r="L471" s="242" t="str">
        <f t="shared" si="84"/>
        <v/>
      </c>
      <c r="M471" s="242" t="str">
        <f t="shared" si="85"/>
        <v/>
      </c>
      <c r="N471" s="242" t="str">
        <f t="shared" si="86"/>
        <v/>
      </c>
      <c r="O471" s="242" t="str">
        <f t="shared" si="87"/>
        <v/>
      </c>
      <c r="P471" s="242" t="str">
        <f t="shared" si="88"/>
        <v/>
      </c>
      <c r="Q471" s="242" t="str">
        <f t="shared" si="89"/>
        <v/>
      </c>
      <c r="R471" s="242" t="str">
        <f t="shared" si="90"/>
        <v/>
      </c>
      <c r="S471" s="242" t="str">
        <f t="shared" si="91"/>
        <v/>
      </c>
      <c r="T471" s="242" t="str">
        <f t="shared" si="92"/>
        <v/>
      </c>
      <c r="U471" s="242" t="str">
        <f t="shared" si="93"/>
        <v/>
      </c>
      <c r="V471" s="242" t="str">
        <f t="shared" si="94"/>
        <v/>
      </c>
      <c r="W471" s="242" t="str">
        <f t="shared" si="95"/>
        <v/>
      </c>
    </row>
    <row r="472" spans="1:23" x14ac:dyDescent="0.2">
      <c r="A472" s="283"/>
      <c r="B472" s="283"/>
      <c r="C472" s="283"/>
      <c r="D472" s="283"/>
      <c r="E472" s="283"/>
      <c r="F472" s="283"/>
      <c r="G472" s="283"/>
      <c r="K472" s="242">
        <v>471</v>
      </c>
      <c r="L472" s="242" t="str">
        <f t="shared" si="84"/>
        <v/>
      </c>
      <c r="M472" s="242" t="str">
        <f t="shared" si="85"/>
        <v/>
      </c>
      <c r="N472" s="242" t="str">
        <f t="shared" si="86"/>
        <v/>
      </c>
      <c r="O472" s="242" t="str">
        <f t="shared" si="87"/>
        <v/>
      </c>
      <c r="P472" s="242" t="str">
        <f t="shared" si="88"/>
        <v/>
      </c>
      <c r="Q472" s="242" t="str">
        <f t="shared" si="89"/>
        <v/>
      </c>
      <c r="R472" s="242" t="str">
        <f t="shared" si="90"/>
        <v/>
      </c>
      <c r="S472" s="242" t="str">
        <f t="shared" si="91"/>
        <v/>
      </c>
      <c r="T472" s="242" t="str">
        <f t="shared" si="92"/>
        <v/>
      </c>
      <c r="U472" s="242" t="str">
        <f t="shared" si="93"/>
        <v/>
      </c>
      <c r="V472" s="242" t="str">
        <f t="shared" si="94"/>
        <v/>
      </c>
      <c r="W472" s="242" t="str">
        <f t="shared" si="95"/>
        <v/>
      </c>
    </row>
    <row r="473" spans="1:23" x14ac:dyDescent="0.2">
      <c r="A473" s="283"/>
      <c r="B473" s="283"/>
      <c r="C473" s="283"/>
      <c r="D473" s="283"/>
      <c r="E473" s="283"/>
      <c r="F473" s="283"/>
      <c r="G473" s="283"/>
      <c r="K473" s="242">
        <v>472</v>
      </c>
      <c r="L473" s="242" t="str">
        <f t="shared" si="84"/>
        <v/>
      </c>
      <c r="M473" s="242" t="str">
        <f t="shared" si="85"/>
        <v/>
      </c>
      <c r="N473" s="242" t="str">
        <f t="shared" si="86"/>
        <v/>
      </c>
      <c r="O473" s="242" t="str">
        <f t="shared" si="87"/>
        <v/>
      </c>
      <c r="P473" s="242" t="str">
        <f t="shared" si="88"/>
        <v/>
      </c>
      <c r="Q473" s="242" t="str">
        <f t="shared" si="89"/>
        <v/>
      </c>
      <c r="R473" s="242" t="str">
        <f t="shared" si="90"/>
        <v/>
      </c>
      <c r="S473" s="242" t="str">
        <f t="shared" si="91"/>
        <v/>
      </c>
      <c r="T473" s="242" t="str">
        <f t="shared" si="92"/>
        <v/>
      </c>
      <c r="U473" s="242" t="str">
        <f t="shared" si="93"/>
        <v/>
      </c>
      <c r="V473" s="242" t="str">
        <f t="shared" si="94"/>
        <v/>
      </c>
      <c r="W473" s="242" t="str">
        <f t="shared" si="95"/>
        <v/>
      </c>
    </row>
    <row r="474" spans="1:23" x14ac:dyDescent="0.2">
      <c r="A474" s="283"/>
      <c r="B474" s="283"/>
      <c r="C474" s="283"/>
      <c r="D474" s="283"/>
      <c r="E474" s="283"/>
      <c r="F474" s="283"/>
      <c r="G474" s="283"/>
      <c r="K474" s="242">
        <v>473</v>
      </c>
      <c r="L474" s="242" t="str">
        <f t="shared" si="84"/>
        <v/>
      </c>
      <c r="M474" s="242" t="str">
        <f t="shared" si="85"/>
        <v/>
      </c>
      <c r="N474" s="242" t="str">
        <f t="shared" si="86"/>
        <v/>
      </c>
      <c r="O474" s="242" t="str">
        <f t="shared" si="87"/>
        <v/>
      </c>
      <c r="P474" s="242" t="str">
        <f t="shared" si="88"/>
        <v/>
      </c>
      <c r="Q474" s="242" t="str">
        <f t="shared" si="89"/>
        <v/>
      </c>
      <c r="R474" s="242" t="str">
        <f t="shared" si="90"/>
        <v/>
      </c>
      <c r="S474" s="242" t="str">
        <f t="shared" si="91"/>
        <v/>
      </c>
      <c r="T474" s="242" t="str">
        <f t="shared" si="92"/>
        <v/>
      </c>
      <c r="U474" s="242" t="str">
        <f t="shared" si="93"/>
        <v/>
      </c>
      <c r="V474" s="242" t="str">
        <f t="shared" si="94"/>
        <v/>
      </c>
      <c r="W474" s="242" t="str">
        <f t="shared" si="95"/>
        <v/>
      </c>
    </row>
    <row r="475" spans="1:23" x14ac:dyDescent="0.2">
      <c r="A475" s="283"/>
      <c r="B475" s="283"/>
      <c r="C475" s="283"/>
      <c r="D475" s="283"/>
      <c r="E475" s="283"/>
      <c r="F475" s="283"/>
      <c r="G475" s="283"/>
      <c r="K475" s="242">
        <v>474</v>
      </c>
      <c r="L475" s="242" t="str">
        <f t="shared" si="84"/>
        <v/>
      </c>
      <c r="M475" s="242" t="str">
        <f t="shared" si="85"/>
        <v/>
      </c>
      <c r="N475" s="242" t="str">
        <f t="shared" si="86"/>
        <v/>
      </c>
      <c r="O475" s="242" t="str">
        <f t="shared" si="87"/>
        <v/>
      </c>
      <c r="P475" s="242" t="str">
        <f t="shared" si="88"/>
        <v/>
      </c>
      <c r="Q475" s="242" t="str">
        <f t="shared" si="89"/>
        <v/>
      </c>
      <c r="R475" s="242" t="str">
        <f t="shared" si="90"/>
        <v/>
      </c>
      <c r="S475" s="242" t="str">
        <f t="shared" si="91"/>
        <v/>
      </c>
      <c r="T475" s="242" t="str">
        <f t="shared" si="92"/>
        <v/>
      </c>
      <c r="U475" s="242" t="str">
        <f t="shared" si="93"/>
        <v/>
      </c>
      <c r="V475" s="242" t="str">
        <f t="shared" si="94"/>
        <v/>
      </c>
      <c r="W475" s="242" t="str">
        <f t="shared" si="95"/>
        <v/>
      </c>
    </row>
    <row r="476" spans="1:23" x14ac:dyDescent="0.2">
      <c r="A476" s="283"/>
      <c r="B476" s="283"/>
      <c r="C476" s="283"/>
      <c r="D476" s="283"/>
      <c r="E476" s="283"/>
      <c r="F476" s="283"/>
      <c r="G476" s="283"/>
      <c r="K476" s="242">
        <v>475</v>
      </c>
      <c r="L476" s="242" t="str">
        <f t="shared" si="84"/>
        <v/>
      </c>
      <c r="M476" s="242" t="str">
        <f t="shared" si="85"/>
        <v/>
      </c>
      <c r="N476" s="242" t="str">
        <f t="shared" si="86"/>
        <v/>
      </c>
      <c r="O476" s="242" t="str">
        <f t="shared" si="87"/>
        <v/>
      </c>
      <c r="P476" s="242" t="str">
        <f t="shared" si="88"/>
        <v/>
      </c>
      <c r="Q476" s="242" t="str">
        <f t="shared" si="89"/>
        <v/>
      </c>
      <c r="R476" s="242" t="str">
        <f t="shared" si="90"/>
        <v/>
      </c>
      <c r="S476" s="242" t="str">
        <f t="shared" si="91"/>
        <v/>
      </c>
      <c r="T476" s="242" t="str">
        <f t="shared" si="92"/>
        <v/>
      </c>
      <c r="U476" s="242" t="str">
        <f t="shared" si="93"/>
        <v/>
      </c>
      <c r="V476" s="242" t="str">
        <f t="shared" si="94"/>
        <v/>
      </c>
      <c r="W476" s="242" t="str">
        <f t="shared" si="95"/>
        <v/>
      </c>
    </row>
    <row r="477" spans="1:23" x14ac:dyDescent="0.2">
      <c r="A477" s="283"/>
      <c r="B477" s="283"/>
      <c r="C477" s="283"/>
      <c r="D477" s="283"/>
      <c r="E477" s="283"/>
      <c r="F477" s="283"/>
      <c r="G477" s="283"/>
      <c r="K477" s="242">
        <v>476</v>
      </c>
      <c r="L477" s="242" t="str">
        <f t="shared" si="84"/>
        <v/>
      </c>
      <c r="M477" s="242" t="str">
        <f t="shared" si="85"/>
        <v/>
      </c>
      <c r="N477" s="242" t="str">
        <f t="shared" si="86"/>
        <v/>
      </c>
      <c r="O477" s="242" t="str">
        <f t="shared" si="87"/>
        <v/>
      </c>
      <c r="P477" s="242" t="str">
        <f t="shared" si="88"/>
        <v/>
      </c>
      <c r="Q477" s="242" t="str">
        <f t="shared" si="89"/>
        <v/>
      </c>
      <c r="R477" s="242" t="str">
        <f t="shared" si="90"/>
        <v/>
      </c>
      <c r="S477" s="242" t="str">
        <f t="shared" si="91"/>
        <v/>
      </c>
      <c r="T477" s="242" t="str">
        <f t="shared" si="92"/>
        <v/>
      </c>
      <c r="U477" s="242" t="str">
        <f t="shared" si="93"/>
        <v/>
      </c>
      <c r="V477" s="242" t="str">
        <f t="shared" si="94"/>
        <v/>
      </c>
      <c r="W477" s="242" t="str">
        <f t="shared" si="95"/>
        <v/>
      </c>
    </row>
    <row r="478" spans="1:23" x14ac:dyDescent="0.2">
      <c r="A478" s="283"/>
      <c r="B478" s="283"/>
      <c r="C478" s="283"/>
      <c r="D478" s="283"/>
      <c r="E478" s="283"/>
      <c r="F478" s="283"/>
      <c r="G478" s="283"/>
      <c r="K478" s="242">
        <v>477</v>
      </c>
      <c r="L478" s="242" t="str">
        <f t="shared" si="84"/>
        <v/>
      </c>
      <c r="M478" s="242" t="str">
        <f t="shared" si="85"/>
        <v/>
      </c>
      <c r="N478" s="242" t="str">
        <f t="shared" si="86"/>
        <v/>
      </c>
      <c r="O478" s="242" t="str">
        <f t="shared" si="87"/>
        <v/>
      </c>
      <c r="P478" s="242" t="str">
        <f t="shared" si="88"/>
        <v/>
      </c>
      <c r="Q478" s="242" t="str">
        <f t="shared" si="89"/>
        <v/>
      </c>
      <c r="R478" s="242" t="str">
        <f t="shared" si="90"/>
        <v/>
      </c>
      <c r="S478" s="242" t="str">
        <f t="shared" si="91"/>
        <v/>
      </c>
      <c r="T478" s="242" t="str">
        <f t="shared" si="92"/>
        <v/>
      </c>
      <c r="U478" s="242" t="str">
        <f t="shared" si="93"/>
        <v/>
      </c>
      <c r="V478" s="242" t="str">
        <f t="shared" si="94"/>
        <v/>
      </c>
      <c r="W478" s="242" t="str">
        <f t="shared" si="95"/>
        <v/>
      </c>
    </row>
    <row r="479" spans="1:23" x14ac:dyDescent="0.2">
      <c r="A479" s="283"/>
      <c r="B479" s="283"/>
      <c r="C479" s="283"/>
      <c r="D479" s="283"/>
      <c r="E479" s="283"/>
      <c r="F479" s="283"/>
      <c r="G479" s="283"/>
      <c r="K479" s="242">
        <v>478</v>
      </c>
      <c r="L479" s="242" t="str">
        <f t="shared" si="84"/>
        <v/>
      </c>
      <c r="M479" s="242" t="str">
        <f t="shared" si="85"/>
        <v/>
      </c>
      <c r="N479" s="242" t="str">
        <f t="shared" si="86"/>
        <v/>
      </c>
      <c r="O479" s="242" t="str">
        <f t="shared" si="87"/>
        <v/>
      </c>
      <c r="P479" s="242" t="str">
        <f t="shared" si="88"/>
        <v/>
      </c>
      <c r="Q479" s="242" t="str">
        <f t="shared" si="89"/>
        <v/>
      </c>
      <c r="R479" s="242" t="str">
        <f t="shared" si="90"/>
        <v/>
      </c>
      <c r="S479" s="242" t="str">
        <f t="shared" si="91"/>
        <v/>
      </c>
      <c r="T479" s="242" t="str">
        <f t="shared" si="92"/>
        <v/>
      </c>
      <c r="U479" s="242" t="str">
        <f t="shared" si="93"/>
        <v/>
      </c>
      <c r="V479" s="242" t="str">
        <f t="shared" si="94"/>
        <v/>
      </c>
      <c r="W479" s="242" t="str">
        <f t="shared" si="95"/>
        <v/>
      </c>
    </row>
    <row r="480" spans="1:23" x14ac:dyDescent="0.2">
      <c r="A480" s="283"/>
      <c r="B480" s="283"/>
      <c r="C480" s="283"/>
      <c r="D480" s="283"/>
      <c r="E480" s="283"/>
      <c r="F480" s="283"/>
      <c r="G480" s="283"/>
      <c r="K480" s="242">
        <v>479</v>
      </c>
      <c r="L480" s="242" t="str">
        <f t="shared" si="84"/>
        <v/>
      </c>
      <c r="M480" s="242" t="str">
        <f t="shared" si="85"/>
        <v/>
      </c>
      <c r="N480" s="242" t="str">
        <f t="shared" si="86"/>
        <v/>
      </c>
      <c r="O480" s="242" t="str">
        <f t="shared" si="87"/>
        <v/>
      </c>
      <c r="P480" s="242" t="str">
        <f t="shared" si="88"/>
        <v/>
      </c>
      <c r="Q480" s="242" t="str">
        <f t="shared" si="89"/>
        <v/>
      </c>
      <c r="R480" s="242" t="str">
        <f t="shared" si="90"/>
        <v/>
      </c>
      <c r="S480" s="242" t="str">
        <f t="shared" si="91"/>
        <v/>
      </c>
      <c r="T480" s="242" t="str">
        <f t="shared" si="92"/>
        <v/>
      </c>
      <c r="U480" s="242" t="str">
        <f t="shared" si="93"/>
        <v/>
      </c>
      <c r="V480" s="242" t="str">
        <f t="shared" si="94"/>
        <v/>
      </c>
      <c r="W480" s="242" t="str">
        <f t="shared" si="95"/>
        <v/>
      </c>
    </row>
    <row r="481" spans="1:23" x14ac:dyDescent="0.2">
      <c r="A481" s="283"/>
      <c r="B481" s="283"/>
      <c r="C481" s="283"/>
      <c r="D481" s="283"/>
      <c r="E481" s="283"/>
      <c r="F481" s="283"/>
      <c r="G481" s="283"/>
      <c r="K481" s="242">
        <v>480</v>
      </c>
      <c r="L481" s="242" t="str">
        <f t="shared" si="84"/>
        <v/>
      </c>
      <c r="M481" s="242" t="str">
        <f t="shared" si="85"/>
        <v/>
      </c>
      <c r="N481" s="242" t="str">
        <f t="shared" si="86"/>
        <v/>
      </c>
      <c r="O481" s="242" t="str">
        <f t="shared" si="87"/>
        <v/>
      </c>
      <c r="P481" s="242" t="str">
        <f t="shared" si="88"/>
        <v/>
      </c>
      <c r="Q481" s="242" t="str">
        <f t="shared" si="89"/>
        <v/>
      </c>
      <c r="R481" s="242" t="str">
        <f t="shared" si="90"/>
        <v/>
      </c>
      <c r="S481" s="242" t="str">
        <f t="shared" si="91"/>
        <v/>
      </c>
      <c r="T481" s="242" t="str">
        <f t="shared" si="92"/>
        <v/>
      </c>
      <c r="U481" s="242" t="str">
        <f t="shared" si="93"/>
        <v/>
      </c>
      <c r="V481" s="242" t="str">
        <f t="shared" si="94"/>
        <v/>
      </c>
      <c r="W481" s="242" t="str">
        <f t="shared" si="95"/>
        <v/>
      </c>
    </row>
    <row r="482" spans="1:23" x14ac:dyDescent="0.2">
      <c r="A482" s="283"/>
      <c r="B482" s="283"/>
      <c r="C482" s="283"/>
      <c r="D482" s="283"/>
      <c r="E482" s="283"/>
      <c r="F482" s="283"/>
      <c r="G482" s="283"/>
      <c r="K482" s="242">
        <v>481</v>
      </c>
      <c r="L482" s="242" t="str">
        <f t="shared" si="84"/>
        <v/>
      </c>
      <c r="M482" s="242" t="str">
        <f t="shared" si="85"/>
        <v/>
      </c>
      <c r="N482" s="242" t="str">
        <f t="shared" si="86"/>
        <v/>
      </c>
      <c r="O482" s="242" t="str">
        <f t="shared" si="87"/>
        <v/>
      </c>
      <c r="P482" s="242" t="str">
        <f t="shared" si="88"/>
        <v/>
      </c>
      <c r="Q482" s="242" t="str">
        <f t="shared" si="89"/>
        <v/>
      </c>
      <c r="R482" s="242" t="str">
        <f t="shared" si="90"/>
        <v/>
      </c>
      <c r="S482" s="242" t="str">
        <f t="shared" si="91"/>
        <v/>
      </c>
      <c r="T482" s="242" t="str">
        <f t="shared" si="92"/>
        <v/>
      </c>
      <c r="U482" s="242" t="str">
        <f t="shared" si="93"/>
        <v/>
      </c>
      <c r="V482" s="242" t="str">
        <f t="shared" si="94"/>
        <v/>
      </c>
      <c r="W482" s="242" t="str">
        <f t="shared" si="95"/>
        <v/>
      </c>
    </row>
    <row r="483" spans="1:23" x14ac:dyDescent="0.2">
      <c r="A483" s="283"/>
      <c r="B483" s="283"/>
      <c r="C483" s="283"/>
      <c r="D483" s="283"/>
      <c r="E483" s="283"/>
      <c r="F483" s="283"/>
      <c r="G483" s="283"/>
      <c r="K483" s="242">
        <v>482</v>
      </c>
      <c r="L483" s="242" t="str">
        <f t="shared" si="84"/>
        <v/>
      </c>
      <c r="M483" s="242" t="str">
        <f t="shared" si="85"/>
        <v/>
      </c>
      <c r="N483" s="242" t="str">
        <f t="shared" si="86"/>
        <v/>
      </c>
      <c r="O483" s="242" t="str">
        <f t="shared" si="87"/>
        <v/>
      </c>
      <c r="P483" s="242" t="str">
        <f t="shared" si="88"/>
        <v/>
      </c>
      <c r="Q483" s="242" t="str">
        <f t="shared" si="89"/>
        <v/>
      </c>
      <c r="R483" s="242" t="str">
        <f t="shared" si="90"/>
        <v/>
      </c>
      <c r="S483" s="242" t="str">
        <f t="shared" si="91"/>
        <v/>
      </c>
      <c r="T483" s="242" t="str">
        <f t="shared" si="92"/>
        <v/>
      </c>
      <c r="U483" s="242" t="str">
        <f t="shared" si="93"/>
        <v/>
      </c>
      <c r="V483" s="242" t="str">
        <f t="shared" si="94"/>
        <v/>
      </c>
      <c r="W483" s="242" t="str">
        <f t="shared" si="95"/>
        <v/>
      </c>
    </row>
    <row r="484" spans="1:23" x14ac:dyDescent="0.2">
      <c r="A484" s="283"/>
      <c r="B484" s="283"/>
      <c r="C484" s="283"/>
      <c r="D484" s="283"/>
      <c r="E484" s="283"/>
      <c r="F484" s="283"/>
      <c r="G484" s="283"/>
      <c r="K484" s="242">
        <v>483</v>
      </c>
      <c r="L484" s="242" t="str">
        <f t="shared" si="84"/>
        <v/>
      </c>
      <c r="M484" s="242" t="str">
        <f t="shared" si="85"/>
        <v/>
      </c>
      <c r="N484" s="242" t="str">
        <f t="shared" si="86"/>
        <v/>
      </c>
      <c r="O484" s="242" t="str">
        <f t="shared" si="87"/>
        <v/>
      </c>
      <c r="P484" s="242" t="str">
        <f t="shared" si="88"/>
        <v/>
      </c>
      <c r="Q484" s="242" t="str">
        <f t="shared" si="89"/>
        <v/>
      </c>
      <c r="R484" s="242" t="str">
        <f t="shared" si="90"/>
        <v/>
      </c>
      <c r="S484" s="242" t="str">
        <f t="shared" si="91"/>
        <v/>
      </c>
      <c r="T484" s="242" t="str">
        <f t="shared" si="92"/>
        <v/>
      </c>
      <c r="U484" s="242" t="str">
        <f t="shared" si="93"/>
        <v/>
      </c>
      <c r="V484" s="242" t="str">
        <f t="shared" si="94"/>
        <v/>
      </c>
      <c r="W484" s="242" t="str">
        <f t="shared" si="95"/>
        <v/>
      </c>
    </row>
    <row r="485" spans="1:23" x14ac:dyDescent="0.2">
      <c r="A485" s="283"/>
      <c r="B485" s="283"/>
      <c r="C485" s="283"/>
      <c r="D485" s="283"/>
      <c r="E485" s="283"/>
      <c r="F485" s="283"/>
      <c r="G485" s="283"/>
      <c r="K485" s="242">
        <v>484</v>
      </c>
      <c r="L485" s="242" t="str">
        <f t="shared" si="84"/>
        <v/>
      </c>
      <c r="M485" s="242" t="str">
        <f t="shared" si="85"/>
        <v/>
      </c>
      <c r="N485" s="242" t="str">
        <f t="shared" si="86"/>
        <v/>
      </c>
      <c r="O485" s="242" t="str">
        <f t="shared" si="87"/>
        <v/>
      </c>
      <c r="P485" s="242" t="str">
        <f t="shared" si="88"/>
        <v/>
      </c>
      <c r="Q485" s="242" t="str">
        <f t="shared" si="89"/>
        <v/>
      </c>
      <c r="R485" s="242" t="str">
        <f t="shared" si="90"/>
        <v/>
      </c>
      <c r="S485" s="242" t="str">
        <f t="shared" si="91"/>
        <v/>
      </c>
      <c r="T485" s="242" t="str">
        <f t="shared" si="92"/>
        <v/>
      </c>
      <c r="U485" s="242" t="str">
        <f t="shared" si="93"/>
        <v/>
      </c>
      <c r="V485" s="242" t="str">
        <f t="shared" si="94"/>
        <v/>
      </c>
      <c r="W485" s="242" t="str">
        <f t="shared" si="95"/>
        <v/>
      </c>
    </row>
    <row r="486" spans="1:23" x14ac:dyDescent="0.2">
      <c r="A486" s="283"/>
      <c r="B486" s="283"/>
      <c r="C486" s="283"/>
      <c r="D486" s="283"/>
      <c r="E486" s="283"/>
      <c r="F486" s="283"/>
      <c r="G486" s="283"/>
      <c r="K486" s="242">
        <v>485</v>
      </c>
      <c r="L486" s="242" t="str">
        <f t="shared" si="84"/>
        <v/>
      </c>
      <c r="M486" s="242" t="str">
        <f t="shared" si="85"/>
        <v/>
      </c>
      <c r="N486" s="242" t="str">
        <f t="shared" si="86"/>
        <v/>
      </c>
      <c r="O486" s="242" t="str">
        <f t="shared" si="87"/>
        <v/>
      </c>
      <c r="P486" s="242" t="str">
        <f t="shared" si="88"/>
        <v/>
      </c>
      <c r="Q486" s="242" t="str">
        <f t="shared" si="89"/>
        <v/>
      </c>
      <c r="R486" s="242" t="str">
        <f t="shared" si="90"/>
        <v/>
      </c>
      <c r="S486" s="242" t="str">
        <f t="shared" si="91"/>
        <v/>
      </c>
      <c r="T486" s="242" t="str">
        <f t="shared" si="92"/>
        <v/>
      </c>
      <c r="U486" s="242" t="str">
        <f t="shared" si="93"/>
        <v/>
      </c>
      <c r="V486" s="242" t="str">
        <f t="shared" si="94"/>
        <v/>
      </c>
      <c r="W486" s="242" t="str">
        <f t="shared" si="95"/>
        <v/>
      </c>
    </row>
    <row r="487" spans="1:23" x14ac:dyDescent="0.2">
      <c r="A487" s="283"/>
      <c r="B487" s="283"/>
      <c r="C487" s="283"/>
      <c r="D487" s="283"/>
      <c r="E487" s="283"/>
      <c r="F487" s="283"/>
      <c r="G487" s="283"/>
      <c r="K487" s="242">
        <v>486</v>
      </c>
      <c r="L487" s="242" t="str">
        <f t="shared" si="84"/>
        <v/>
      </c>
      <c r="M487" s="242" t="str">
        <f t="shared" si="85"/>
        <v/>
      </c>
      <c r="N487" s="242" t="str">
        <f t="shared" si="86"/>
        <v/>
      </c>
      <c r="O487" s="242" t="str">
        <f t="shared" si="87"/>
        <v/>
      </c>
      <c r="P487" s="242" t="str">
        <f t="shared" si="88"/>
        <v/>
      </c>
      <c r="Q487" s="242" t="str">
        <f t="shared" si="89"/>
        <v/>
      </c>
      <c r="R487" s="242" t="str">
        <f t="shared" si="90"/>
        <v/>
      </c>
      <c r="S487" s="242" t="str">
        <f t="shared" si="91"/>
        <v/>
      </c>
      <c r="T487" s="242" t="str">
        <f t="shared" si="92"/>
        <v/>
      </c>
      <c r="U487" s="242" t="str">
        <f t="shared" si="93"/>
        <v/>
      </c>
      <c r="V487" s="242" t="str">
        <f t="shared" si="94"/>
        <v/>
      </c>
      <c r="W487" s="242" t="str">
        <f t="shared" si="95"/>
        <v/>
      </c>
    </row>
    <row r="488" spans="1:23" x14ac:dyDescent="0.2">
      <c r="A488" s="283"/>
      <c r="B488" s="283"/>
      <c r="C488" s="283"/>
      <c r="D488" s="283"/>
      <c r="E488" s="283"/>
      <c r="F488" s="283"/>
      <c r="G488" s="283"/>
      <c r="K488" s="242">
        <v>487</v>
      </c>
      <c r="L488" s="242" t="str">
        <f t="shared" si="84"/>
        <v/>
      </c>
      <c r="M488" s="242" t="str">
        <f t="shared" si="85"/>
        <v/>
      </c>
      <c r="N488" s="242" t="str">
        <f t="shared" si="86"/>
        <v/>
      </c>
      <c r="O488" s="242" t="str">
        <f t="shared" si="87"/>
        <v/>
      </c>
      <c r="P488" s="242" t="str">
        <f t="shared" si="88"/>
        <v/>
      </c>
      <c r="Q488" s="242" t="str">
        <f t="shared" si="89"/>
        <v/>
      </c>
      <c r="R488" s="242" t="str">
        <f t="shared" si="90"/>
        <v/>
      </c>
      <c r="S488" s="242" t="str">
        <f t="shared" si="91"/>
        <v/>
      </c>
      <c r="T488" s="242" t="str">
        <f t="shared" si="92"/>
        <v/>
      </c>
      <c r="U488" s="242" t="str">
        <f t="shared" si="93"/>
        <v/>
      </c>
      <c r="V488" s="242" t="str">
        <f t="shared" si="94"/>
        <v/>
      </c>
      <c r="W488" s="242" t="str">
        <f t="shared" si="95"/>
        <v/>
      </c>
    </row>
    <row r="489" spans="1:23" x14ac:dyDescent="0.2">
      <c r="A489" s="283"/>
      <c r="B489" s="283"/>
      <c r="C489" s="283"/>
      <c r="D489" s="283"/>
      <c r="E489" s="283"/>
      <c r="F489" s="283"/>
      <c r="G489" s="283"/>
      <c r="K489" s="242">
        <v>488</v>
      </c>
      <c r="L489" s="242" t="str">
        <f t="shared" si="84"/>
        <v/>
      </c>
      <c r="M489" s="242" t="str">
        <f t="shared" si="85"/>
        <v/>
      </c>
      <c r="N489" s="242" t="str">
        <f t="shared" si="86"/>
        <v/>
      </c>
      <c r="O489" s="242" t="str">
        <f t="shared" si="87"/>
        <v/>
      </c>
      <c r="P489" s="242" t="str">
        <f t="shared" si="88"/>
        <v/>
      </c>
      <c r="Q489" s="242" t="str">
        <f t="shared" si="89"/>
        <v/>
      </c>
      <c r="R489" s="242" t="str">
        <f t="shared" si="90"/>
        <v/>
      </c>
      <c r="S489" s="242" t="str">
        <f t="shared" si="91"/>
        <v/>
      </c>
      <c r="T489" s="242" t="str">
        <f t="shared" si="92"/>
        <v/>
      </c>
      <c r="U489" s="242" t="str">
        <f t="shared" si="93"/>
        <v/>
      </c>
      <c r="V489" s="242" t="str">
        <f t="shared" si="94"/>
        <v/>
      </c>
      <c r="W489" s="242" t="str">
        <f t="shared" si="95"/>
        <v/>
      </c>
    </row>
    <row r="490" spans="1:23" x14ac:dyDescent="0.2">
      <c r="A490" s="283"/>
      <c r="B490" s="283"/>
      <c r="C490" s="283"/>
      <c r="D490" s="283"/>
      <c r="E490" s="283"/>
      <c r="F490" s="283"/>
      <c r="G490" s="283"/>
      <c r="K490" s="242">
        <v>489</v>
      </c>
      <c r="L490" s="242" t="str">
        <f t="shared" si="84"/>
        <v/>
      </c>
      <c r="M490" s="242" t="str">
        <f t="shared" si="85"/>
        <v/>
      </c>
      <c r="N490" s="242" t="str">
        <f t="shared" si="86"/>
        <v/>
      </c>
      <c r="O490" s="242" t="str">
        <f t="shared" si="87"/>
        <v/>
      </c>
      <c r="P490" s="242" t="str">
        <f t="shared" si="88"/>
        <v/>
      </c>
      <c r="Q490" s="242" t="str">
        <f t="shared" si="89"/>
        <v/>
      </c>
      <c r="R490" s="242" t="str">
        <f t="shared" si="90"/>
        <v/>
      </c>
      <c r="S490" s="242" t="str">
        <f t="shared" si="91"/>
        <v/>
      </c>
      <c r="T490" s="242" t="str">
        <f t="shared" si="92"/>
        <v/>
      </c>
      <c r="U490" s="242" t="str">
        <f t="shared" si="93"/>
        <v/>
      </c>
      <c r="V490" s="242" t="str">
        <f t="shared" si="94"/>
        <v/>
      </c>
      <c r="W490" s="242" t="str">
        <f t="shared" si="95"/>
        <v/>
      </c>
    </row>
    <row r="491" spans="1:23" x14ac:dyDescent="0.2">
      <c r="A491" s="283"/>
      <c r="B491" s="283"/>
      <c r="C491" s="283"/>
      <c r="D491" s="283"/>
      <c r="E491" s="283"/>
      <c r="F491" s="283"/>
      <c r="G491" s="283"/>
      <c r="K491" s="242">
        <v>490</v>
      </c>
      <c r="L491" s="242" t="str">
        <f t="shared" si="84"/>
        <v/>
      </c>
      <c r="M491" s="242" t="str">
        <f t="shared" si="85"/>
        <v/>
      </c>
      <c r="N491" s="242" t="str">
        <f t="shared" si="86"/>
        <v/>
      </c>
      <c r="O491" s="242" t="str">
        <f t="shared" si="87"/>
        <v/>
      </c>
      <c r="P491" s="242" t="str">
        <f t="shared" si="88"/>
        <v/>
      </c>
      <c r="Q491" s="242" t="str">
        <f t="shared" si="89"/>
        <v/>
      </c>
      <c r="R491" s="242" t="str">
        <f t="shared" si="90"/>
        <v/>
      </c>
      <c r="S491" s="242" t="str">
        <f t="shared" si="91"/>
        <v/>
      </c>
      <c r="T491" s="242" t="str">
        <f t="shared" si="92"/>
        <v/>
      </c>
      <c r="U491" s="242" t="str">
        <f t="shared" si="93"/>
        <v/>
      </c>
      <c r="V491" s="242" t="str">
        <f t="shared" si="94"/>
        <v/>
      </c>
      <c r="W491" s="242" t="str">
        <f t="shared" si="95"/>
        <v/>
      </c>
    </row>
    <row r="492" spans="1:23" x14ac:dyDescent="0.2">
      <c r="A492" s="283"/>
      <c r="B492" s="283"/>
      <c r="C492" s="283"/>
      <c r="D492" s="283"/>
      <c r="E492" s="283"/>
      <c r="F492" s="283"/>
      <c r="G492" s="283"/>
      <c r="K492" s="242">
        <v>491</v>
      </c>
      <c r="L492" s="242" t="str">
        <f t="shared" si="84"/>
        <v/>
      </c>
      <c r="M492" s="242" t="str">
        <f t="shared" si="85"/>
        <v/>
      </c>
      <c r="N492" s="242" t="str">
        <f t="shared" si="86"/>
        <v/>
      </c>
      <c r="O492" s="242" t="str">
        <f t="shared" si="87"/>
        <v/>
      </c>
      <c r="P492" s="242" t="str">
        <f t="shared" si="88"/>
        <v/>
      </c>
      <c r="Q492" s="242" t="str">
        <f t="shared" si="89"/>
        <v/>
      </c>
      <c r="R492" s="242" t="str">
        <f t="shared" si="90"/>
        <v/>
      </c>
      <c r="S492" s="242" t="str">
        <f t="shared" si="91"/>
        <v/>
      </c>
      <c r="T492" s="242" t="str">
        <f t="shared" si="92"/>
        <v/>
      </c>
      <c r="U492" s="242" t="str">
        <f t="shared" si="93"/>
        <v/>
      </c>
      <c r="V492" s="242" t="str">
        <f t="shared" si="94"/>
        <v/>
      </c>
      <c r="W492" s="242" t="str">
        <f t="shared" si="95"/>
        <v/>
      </c>
    </row>
    <row r="493" spans="1:23" x14ac:dyDescent="0.2">
      <c r="A493" s="283"/>
      <c r="B493" s="283"/>
      <c r="C493" s="283"/>
      <c r="D493" s="283"/>
      <c r="E493" s="283"/>
      <c r="F493" s="283"/>
      <c r="G493" s="283"/>
      <c r="K493" s="242">
        <v>492</v>
      </c>
      <c r="L493" s="242" t="str">
        <f t="shared" si="84"/>
        <v/>
      </c>
      <c r="M493" s="242" t="str">
        <f t="shared" si="85"/>
        <v/>
      </c>
      <c r="N493" s="242" t="str">
        <f t="shared" si="86"/>
        <v/>
      </c>
      <c r="O493" s="242" t="str">
        <f t="shared" si="87"/>
        <v/>
      </c>
      <c r="P493" s="242" t="str">
        <f t="shared" si="88"/>
        <v/>
      </c>
      <c r="Q493" s="242" t="str">
        <f t="shared" si="89"/>
        <v/>
      </c>
      <c r="R493" s="242" t="str">
        <f t="shared" si="90"/>
        <v/>
      </c>
      <c r="S493" s="242" t="str">
        <f t="shared" si="91"/>
        <v/>
      </c>
      <c r="T493" s="242" t="str">
        <f t="shared" si="92"/>
        <v/>
      </c>
      <c r="U493" s="242" t="str">
        <f t="shared" si="93"/>
        <v/>
      </c>
      <c r="V493" s="242" t="str">
        <f t="shared" si="94"/>
        <v/>
      </c>
      <c r="W493" s="242" t="str">
        <f t="shared" si="95"/>
        <v/>
      </c>
    </row>
    <row r="494" spans="1:23" x14ac:dyDescent="0.2">
      <c r="A494" s="283"/>
      <c r="B494" s="283"/>
      <c r="C494" s="283"/>
      <c r="D494" s="283"/>
      <c r="E494" s="283"/>
      <c r="F494" s="283"/>
      <c r="G494" s="283"/>
      <c r="K494" s="242">
        <v>493</v>
      </c>
      <c r="L494" s="242" t="str">
        <f t="shared" si="84"/>
        <v/>
      </c>
      <c r="M494" s="242" t="str">
        <f t="shared" si="85"/>
        <v/>
      </c>
      <c r="N494" s="242" t="str">
        <f t="shared" si="86"/>
        <v/>
      </c>
      <c r="O494" s="242" t="str">
        <f t="shared" si="87"/>
        <v/>
      </c>
      <c r="P494" s="242" t="str">
        <f t="shared" si="88"/>
        <v/>
      </c>
      <c r="Q494" s="242" t="str">
        <f t="shared" si="89"/>
        <v/>
      </c>
      <c r="R494" s="242" t="str">
        <f t="shared" si="90"/>
        <v/>
      </c>
      <c r="S494" s="242" t="str">
        <f t="shared" si="91"/>
        <v/>
      </c>
      <c r="T494" s="242" t="str">
        <f t="shared" si="92"/>
        <v/>
      </c>
      <c r="U494" s="242" t="str">
        <f t="shared" si="93"/>
        <v/>
      </c>
      <c r="V494" s="242" t="str">
        <f t="shared" si="94"/>
        <v/>
      </c>
      <c r="W494" s="242" t="str">
        <f t="shared" si="95"/>
        <v/>
      </c>
    </row>
    <row r="495" spans="1:23" x14ac:dyDescent="0.2">
      <c r="A495" s="283"/>
      <c r="B495" s="283"/>
      <c r="C495" s="283"/>
      <c r="D495" s="283"/>
      <c r="E495" s="283"/>
      <c r="F495" s="283"/>
      <c r="G495" s="283"/>
      <c r="K495" s="242">
        <v>494</v>
      </c>
      <c r="L495" s="242" t="str">
        <f t="shared" si="84"/>
        <v/>
      </c>
      <c r="M495" s="242" t="str">
        <f t="shared" si="85"/>
        <v/>
      </c>
      <c r="N495" s="242" t="str">
        <f t="shared" si="86"/>
        <v/>
      </c>
      <c r="O495" s="242" t="str">
        <f t="shared" si="87"/>
        <v/>
      </c>
      <c r="P495" s="242" t="str">
        <f t="shared" si="88"/>
        <v/>
      </c>
      <c r="Q495" s="242" t="str">
        <f t="shared" si="89"/>
        <v/>
      </c>
      <c r="R495" s="242" t="str">
        <f t="shared" si="90"/>
        <v/>
      </c>
      <c r="S495" s="242" t="str">
        <f t="shared" si="91"/>
        <v/>
      </c>
      <c r="T495" s="242" t="str">
        <f t="shared" si="92"/>
        <v/>
      </c>
      <c r="U495" s="242" t="str">
        <f t="shared" si="93"/>
        <v/>
      </c>
      <c r="V495" s="242" t="str">
        <f t="shared" si="94"/>
        <v/>
      </c>
      <c r="W495" s="242" t="str">
        <f t="shared" si="95"/>
        <v/>
      </c>
    </row>
    <row r="496" spans="1:23" x14ac:dyDescent="0.2">
      <c r="A496" s="283"/>
      <c r="B496" s="283"/>
      <c r="C496" s="283"/>
      <c r="D496" s="283"/>
      <c r="E496" s="283"/>
      <c r="F496" s="283"/>
      <c r="G496" s="283"/>
      <c r="K496" s="242">
        <v>495</v>
      </c>
      <c r="L496" s="242" t="str">
        <f t="shared" si="84"/>
        <v/>
      </c>
      <c r="M496" s="242" t="str">
        <f t="shared" si="85"/>
        <v/>
      </c>
      <c r="N496" s="242" t="str">
        <f t="shared" si="86"/>
        <v/>
      </c>
      <c r="O496" s="242" t="str">
        <f t="shared" si="87"/>
        <v/>
      </c>
      <c r="P496" s="242" t="str">
        <f t="shared" si="88"/>
        <v/>
      </c>
      <c r="Q496" s="242" t="str">
        <f t="shared" si="89"/>
        <v/>
      </c>
      <c r="R496" s="242" t="str">
        <f t="shared" si="90"/>
        <v/>
      </c>
      <c r="S496" s="242" t="str">
        <f t="shared" si="91"/>
        <v/>
      </c>
      <c r="T496" s="242" t="str">
        <f t="shared" si="92"/>
        <v/>
      </c>
      <c r="U496" s="242" t="str">
        <f t="shared" si="93"/>
        <v/>
      </c>
      <c r="V496" s="242" t="str">
        <f t="shared" si="94"/>
        <v/>
      </c>
      <c r="W496" s="242" t="str">
        <f t="shared" si="95"/>
        <v/>
      </c>
    </row>
    <row r="497" spans="1:23" x14ac:dyDescent="0.2">
      <c r="A497" s="283"/>
      <c r="B497" s="283"/>
      <c r="C497" s="283"/>
      <c r="D497" s="283"/>
      <c r="E497" s="283"/>
      <c r="F497" s="283"/>
      <c r="G497" s="283"/>
      <c r="K497" s="242">
        <v>496</v>
      </c>
      <c r="L497" s="242" t="str">
        <f t="shared" si="84"/>
        <v/>
      </c>
      <c r="M497" s="242" t="str">
        <f t="shared" si="85"/>
        <v/>
      </c>
      <c r="N497" s="242" t="str">
        <f t="shared" si="86"/>
        <v/>
      </c>
      <c r="O497" s="242" t="str">
        <f t="shared" si="87"/>
        <v/>
      </c>
      <c r="P497" s="242" t="str">
        <f t="shared" si="88"/>
        <v/>
      </c>
      <c r="Q497" s="242" t="str">
        <f t="shared" si="89"/>
        <v/>
      </c>
      <c r="R497" s="242" t="str">
        <f t="shared" si="90"/>
        <v/>
      </c>
      <c r="S497" s="242" t="str">
        <f t="shared" si="91"/>
        <v/>
      </c>
      <c r="T497" s="242" t="str">
        <f t="shared" si="92"/>
        <v/>
      </c>
      <c r="U497" s="242" t="str">
        <f t="shared" si="93"/>
        <v/>
      </c>
      <c r="V497" s="242" t="str">
        <f t="shared" si="94"/>
        <v/>
      </c>
      <c r="W497" s="242" t="str">
        <f t="shared" si="95"/>
        <v/>
      </c>
    </row>
    <row r="498" spans="1:23" x14ac:dyDescent="0.2">
      <c r="A498" s="283"/>
      <c r="B498" s="283"/>
      <c r="C498" s="283"/>
      <c r="D498" s="283"/>
      <c r="E498" s="283"/>
      <c r="F498" s="283"/>
      <c r="G498" s="283"/>
      <c r="K498" s="242">
        <v>497</v>
      </c>
      <c r="L498" s="242" t="str">
        <f t="shared" si="84"/>
        <v/>
      </c>
      <c r="M498" s="242" t="str">
        <f t="shared" si="85"/>
        <v/>
      </c>
      <c r="N498" s="242" t="str">
        <f t="shared" si="86"/>
        <v/>
      </c>
      <c r="O498" s="242" t="str">
        <f t="shared" si="87"/>
        <v/>
      </c>
      <c r="P498" s="242" t="str">
        <f t="shared" si="88"/>
        <v/>
      </c>
      <c r="Q498" s="242" t="str">
        <f t="shared" si="89"/>
        <v/>
      </c>
      <c r="R498" s="242" t="str">
        <f t="shared" si="90"/>
        <v/>
      </c>
      <c r="S498" s="242" t="str">
        <f t="shared" si="91"/>
        <v/>
      </c>
      <c r="T498" s="242" t="str">
        <f t="shared" si="92"/>
        <v/>
      </c>
      <c r="U498" s="242" t="str">
        <f t="shared" si="93"/>
        <v/>
      </c>
      <c r="V498" s="242" t="str">
        <f t="shared" si="94"/>
        <v/>
      </c>
      <c r="W498" s="242" t="str">
        <f t="shared" si="95"/>
        <v/>
      </c>
    </row>
    <row r="499" spans="1:23" x14ac:dyDescent="0.2">
      <c r="A499" s="283"/>
      <c r="B499" s="283"/>
      <c r="C499" s="283"/>
      <c r="D499" s="283"/>
      <c r="E499" s="283"/>
      <c r="F499" s="283"/>
      <c r="G499" s="283"/>
      <c r="K499" s="242">
        <v>498</v>
      </c>
      <c r="L499" s="242" t="str">
        <f t="shared" si="84"/>
        <v/>
      </c>
      <c r="M499" s="242" t="str">
        <f t="shared" si="85"/>
        <v/>
      </c>
      <c r="N499" s="242" t="str">
        <f t="shared" si="86"/>
        <v/>
      </c>
      <c r="O499" s="242" t="str">
        <f t="shared" si="87"/>
        <v/>
      </c>
      <c r="P499" s="242" t="str">
        <f t="shared" si="88"/>
        <v/>
      </c>
      <c r="Q499" s="242" t="str">
        <f t="shared" si="89"/>
        <v/>
      </c>
      <c r="R499" s="242" t="str">
        <f t="shared" si="90"/>
        <v/>
      </c>
      <c r="S499" s="242" t="str">
        <f t="shared" si="91"/>
        <v/>
      </c>
      <c r="T499" s="242" t="str">
        <f t="shared" si="92"/>
        <v/>
      </c>
      <c r="U499" s="242" t="str">
        <f t="shared" si="93"/>
        <v/>
      </c>
      <c r="V499" s="242" t="str">
        <f t="shared" si="94"/>
        <v/>
      </c>
      <c r="W499" s="242" t="str">
        <f t="shared" si="95"/>
        <v/>
      </c>
    </row>
    <row r="500" spans="1:23" x14ac:dyDescent="0.2">
      <c r="A500" s="283"/>
      <c r="B500" s="283"/>
      <c r="C500" s="283"/>
      <c r="D500" s="283"/>
      <c r="E500" s="283"/>
      <c r="F500" s="283"/>
      <c r="G500" s="283"/>
      <c r="K500" s="242">
        <v>499</v>
      </c>
      <c r="L500" s="242" t="str">
        <f t="shared" si="84"/>
        <v/>
      </c>
      <c r="M500" s="242" t="str">
        <f t="shared" si="85"/>
        <v/>
      </c>
      <c r="N500" s="242" t="str">
        <f t="shared" si="86"/>
        <v/>
      </c>
      <c r="O500" s="242" t="str">
        <f t="shared" si="87"/>
        <v/>
      </c>
      <c r="P500" s="242" t="str">
        <f t="shared" si="88"/>
        <v/>
      </c>
      <c r="Q500" s="242" t="str">
        <f t="shared" si="89"/>
        <v/>
      </c>
      <c r="R500" s="242" t="str">
        <f t="shared" si="90"/>
        <v/>
      </c>
      <c r="S500" s="242" t="str">
        <f t="shared" si="91"/>
        <v/>
      </c>
      <c r="T500" s="242" t="str">
        <f t="shared" si="92"/>
        <v/>
      </c>
      <c r="U500" s="242" t="str">
        <f t="shared" si="93"/>
        <v/>
      </c>
      <c r="V500" s="242" t="str">
        <f t="shared" si="94"/>
        <v/>
      </c>
      <c r="W500" s="242" t="str">
        <f t="shared" si="95"/>
        <v/>
      </c>
    </row>
    <row r="501" spans="1:23" x14ac:dyDescent="0.2">
      <c r="A501" s="283"/>
      <c r="B501" s="283"/>
      <c r="C501" s="283"/>
      <c r="D501" s="283"/>
      <c r="E501" s="283"/>
      <c r="F501" s="283"/>
      <c r="G501" s="283"/>
      <c r="K501" s="242">
        <v>500</v>
      </c>
      <c r="L501" s="242" t="str">
        <f t="shared" si="84"/>
        <v/>
      </c>
      <c r="M501" s="242" t="str">
        <f t="shared" si="85"/>
        <v/>
      </c>
      <c r="N501" s="242" t="str">
        <f t="shared" si="86"/>
        <v/>
      </c>
      <c r="O501" s="242" t="str">
        <f t="shared" si="87"/>
        <v/>
      </c>
      <c r="P501" s="242" t="str">
        <f t="shared" si="88"/>
        <v/>
      </c>
      <c r="Q501" s="242" t="str">
        <f t="shared" si="89"/>
        <v/>
      </c>
      <c r="R501" s="242" t="str">
        <f t="shared" si="90"/>
        <v/>
      </c>
      <c r="S501" s="242" t="str">
        <f t="shared" si="91"/>
        <v/>
      </c>
      <c r="T501" s="242" t="str">
        <f t="shared" si="92"/>
        <v/>
      </c>
      <c r="U501" s="242" t="str">
        <f t="shared" si="93"/>
        <v/>
      </c>
      <c r="V501" s="242" t="str">
        <f t="shared" si="94"/>
        <v/>
      </c>
      <c r="W501" s="242" t="str">
        <f t="shared" si="95"/>
        <v/>
      </c>
    </row>
    <row r="502" spans="1:23" x14ac:dyDescent="0.2">
      <c r="A502" s="283"/>
      <c r="B502" s="283"/>
      <c r="C502" s="283"/>
      <c r="D502" s="283"/>
      <c r="E502" s="283"/>
      <c r="F502" s="283"/>
      <c r="G502" s="283"/>
      <c r="K502" s="242">
        <v>501</v>
      </c>
      <c r="L502" s="242" t="str">
        <f t="shared" si="84"/>
        <v/>
      </c>
      <c r="M502" s="242" t="str">
        <f t="shared" si="85"/>
        <v/>
      </c>
      <c r="N502" s="242" t="str">
        <f t="shared" si="86"/>
        <v/>
      </c>
      <c r="O502" s="242" t="str">
        <f t="shared" si="87"/>
        <v/>
      </c>
      <c r="P502" s="242" t="str">
        <f t="shared" si="88"/>
        <v/>
      </c>
      <c r="Q502" s="242" t="str">
        <f t="shared" si="89"/>
        <v/>
      </c>
      <c r="R502" s="242" t="str">
        <f t="shared" si="90"/>
        <v/>
      </c>
      <c r="S502" s="242" t="str">
        <f t="shared" si="91"/>
        <v/>
      </c>
      <c r="T502" s="242" t="str">
        <f t="shared" si="92"/>
        <v/>
      </c>
      <c r="U502" s="242" t="str">
        <f t="shared" si="93"/>
        <v/>
      </c>
      <c r="V502" s="242" t="str">
        <f t="shared" si="94"/>
        <v/>
      </c>
      <c r="W502" s="242" t="str">
        <f t="shared" si="95"/>
        <v/>
      </c>
    </row>
    <row r="503" spans="1:23" x14ac:dyDescent="0.2">
      <c r="A503" s="283"/>
      <c r="B503" s="283"/>
      <c r="C503" s="283"/>
      <c r="D503" s="283"/>
      <c r="E503" s="283"/>
      <c r="F503" s="283"/>
      <c r="G503" s="283"/>
      <c r="K503" s="242">
        <v>502</v>
      </c>
      <c r="L503" s="242" t="str">
        <f t="shared" si="84"/>
        <v/>
      </c>
      <c r="M503" s="242" t="str">
        <f t="shared" si="85"/>
        <v/>
      </c>
      <c r="N503" s="242" t="str">
        <f t="shared" si="86"/>
        <v/>
      </c>
      <c r="O503" s="242" t="str">
        <f t="shared" si="87"/>
        <v/>
      </c>
      <c r="P503" s="242" t="str">
        <f t="shared" si="88"/>
        <v/>
      </c>
      <c r="Q503" s="242" t="str">
        <f t="shared" si="89"/>
        <v/>
      </c>
      <c r="R503" s="242" t="str">
        <f t="shared" si="90"/>
        <v/>
      </c>
      <c r="S503" s="242" t="str">
        <f t="shared" si="91"/>
        <v/>
      </c>
      <c r="T503" s="242" t="str">
        <f t="shared" si="92"/>
        <v/>
      </c>
      <c r="U503" s="242" t="str">
        <f t="shared" si="93"/>
        <v/>
      </c>
      <c r="V503" s="242" t="str">
        <f t="shared" si="94"/>
        <v/>
      </c>
      <c r="W503" s="242" t="str">
        <f t="shared" si="95"/>
        <v/>
      </c>
    </row>
    <row r="504" spans="1:23" x14ac:dyDescent="0.2">
      <c r="A504" s="283"/>
      <c r="B504" s="283"/>
      <c r="C504" s="283"/>
      <c r="D504" s="283"/>
      <c r="E504" s="283"/>
      <c r="F504" s="283"/>
      <c r="G504" s="283"/>
      <c r="K504" s="242">
        <v>503</v>
      </c>
      <c r="L504" s="242" t="str">
        <f t="shared" si="84"/>
        <v/>
      </c>
      <c r="M504" s="242" t="str">
        <f t="shared" si="85"/>
        <v/>
      </c>
      <c r="N504" s="242" t="str">
        <f t="shared" si="86"/>
        <v/>
      </c>
      <c r="O504" s="242" t="str">
        <f t="shared" si="87"/>
        <v/>
      </c>
      <c r="P504" s="242" t="str">
        <f t="shared" si="88"/>
        <v/>
      </c>
      <c r="Q504" s="242" t="str">
        <f t="shared" si="89"/>
        <v/>
      </c>
      <c r="R504" s="242" t="str">
        <f t="shared" si="90"/>
        <v/>
      </c>
      <c r="S504" s="242" t="str">
        <f t="shared" si="91"/>
        <v/>
      </c>
      <c r="T504" s="242" t="str">
        <f t="shared" si="92"/>
        <v/>
      </c>
      <c r="U504" s="242" t="str">
        <f t="shared" si="93"/>
        <v/>
      </c>
      <c r="V504" s="242" t="str">
        <f t="shared" si="94"/>
        <v/>
      </c>
      <c r="W504" s="242" t="str">
        <f t="shared" si="95"/>
        <v/>
      </c>
    </row>
    <row r="505" spans="1:23" x14ac:dyDescent="0.2">
      <c r="A505" s="283"/>
      <c r="B505" s="283"/>
      <c r="C505" s="283"/>
      <c r="D505" s="283"/>
      <c r="E505" s="283"/>
      <c r="F505" s="283"/>
      <c r="G505" s="283"/>
      <c r="K505" s="242">
        <v>504</v>
      </c>
      <c r="L505" s="242" t="str">
        <f t="shared" si="84"/>
        <v/>
      </c>
      <c r="M505" s="242" t="str">
        <f t="shared" si="85"/>
        <v/>
      </c>
      <c r="N505" s="242" t="str">
        <f t="shared" si="86"/>
        <v/>
      </c>
      <c r="O505" s="242" t="str">
        <f t="shared" si="87"/>
        <v/>
      </c>
      <c r="P505" s="242" t="str">
        <f t="shared" si="88"/>
        <v/>
      </c>
      <c r="Q505" s="242" t="str">
        <f t="shared" si="89"/>
        <v/>
      </c>
      <c r="R505" s="242" t="str">
        <f t="shared" si="90"/>
        <v/>
      </c>
      <c r="S505" s="242" t="str">
        <f t="shared" si="91"/>
        <v/>
      </c>
      <c r="T505" s="242" t="str">
        <f t="shared" si="92"/>
        <v/>
      </c>
      <c r="U505" s="242" t="str">
        <f t="shared" si="93"/>
        <v/>
      </c>
      <c r="V505" s="242" t="str">
        <f t="shared" si="94"/>
        <v/>
      </c>
      <c r="W505" s="242" t="str">
        <f t="shared" si="95"/>
        <v/>
      </c>
    </row>
    <row r="506" spans="1:23" x14ac:dyDescent="0.2">
      <c r="A506" s="283"/>
      <c r="B506" s="283"/>
      <c r="C506" s="283"/>
      <c r="D506" s="283"/>
      <c r="E506" s="283"/>
      <c r="F506" s="283"/>
      <c r="G506" s="283"/>
      <c r="K506" s="242">
        <v>505</v>
      </c>
      <c r="L506" s="242" t="str">
        <f t="shared" si="84"/>
        <v/>
      </c>
      <c r="M506" s="242" t="str">
        <f t="shared" si="85"/>
        <v/>
      </c>
      <c r="N506" s="242" t="str">
        <f t="shared" si="86"/>
        <v/>
      </c>
      <c r="O506" s="242" t="str">
        <f t="shared" si="87"/>
        <v/>
      </c>
      <c r="P506" s="242" t="str">
        <f t="shared" si="88"/>
        <v/>
      </c>
      <c r="Q506" s="242" t="str">
        <f t="shared" si="89"/>
        <v/>
      </c>
      <c r="R506" s="242" t="str">
        <f t="shared" si="90"/>
        <v/>
      </c>
      <c r="S506" s="242" t="str">
        <f t="shared" si="91"/>
        <v/>
      </c>
      <c r="T506" s="242" t="str">
        <f t="shared" si="92"/>
        <v/>
      </c>
      <c r="U506" s="242" t="str">
        <f t="shared" si="93"/>
        <v/>
      </c>
      <c r="V506" s="242" t="str">
        <f t="shared" si="94"/>
        <v/>
      </c>
      <c r="W506" s="242" t="str">
        <f t="shared" si="95"/>
        <v/>
      </c>
    </row>
    <row r="507" spans="1:23" x14ac:dyDescent="0.2">
      <c r="A507" s="283"/>
      <c r="B507" s="283"/>
      <c r="C507" s="283"/>
      <c r="D507" s="283"/>
      <c r="E507" s="283"/>
      <c r="F507" s="283"/>
      <c r="G507" s="283"/>
      <c r="K507" s="242">
        <v>506</v>
      </c>
      <c r="L507" s="242" t="str">
        <f t="shared" si="84"/>
        <v/>
      </c>
      <c r="M507" s="242" t="str">
        <f t="shared" si="85"/>
        <v/>
      </c>
      <c r="N507" s="242" t="str">
        <f t="shared" si="86"/>
        <v/>
      </c>
      <c r="O507" s="242" t="str">
        <f t="shared" si="87"/>
        <v/>
      </c>
      <c r="P507" s="242" t="str">
        <f t="shared" si="88"/>
        <v/>
      </c>
      <c r="Q507" s="242" t="str">
        <f t="shared" si="89"/>
        <v/>
      </c>
      <c r="R507" s="242" t="str">
        <f t="shared" si="90"/>
        <v/>
      </c>
      <c r="S507" s="242" t="str">
        <f t="shared" si="91"/>
        <v/>
      </c>
      <c r="T507" s="242" t="str">
        <f t="shared" si="92"/>
        <v/>
      </c>
      <c r="U507" s="242" t="str">
        <f t="shared" si="93"/>
        <v/>
      </c>
      <c r="V507" s="242" t="str">
        <f t="shared" si="94"/>
        <v/>
      </c>
      <c r="W507" s="242" t="str">
        <f t="shared" si="95"/>
        <v/>
      </c>
    </row>
    <row r="508" spans="1:23" x14ac:dyDescent="0.2">
      <c r="A508" s="283"/>
      <c r="B508" s="283"/>
      <c r="C508" s="283"/>
      <c r="D508" s="283"/>
      <c r="E508" s="283"/>
      <c r="F508" s="283"/>
      <c r="G508" s="283"/>
      <c r="K508" s="242">
        <v>507</v>
      </c>
      <c r="L508" s="242" t="str">
        <f t="shared" si="84"/>
        <v/>
      </c>
      <c r="M508" s="242" t="str">
        <f t="shared" si="85"/>
        <v/>
      </c>
      <c r="N508" s="242" t="str">
        <f t="shared" si="86"/>
        <v/>
      </c>
      <c r="O508" s="242" t="str">
        <f t="shared" si="87"/>
        <v/>
      </c>
      <c r="P508" s="242" t="str">
        <f t="shared" si="88"/>
        <v/>
      </c>
      <c r="Q508" s="242" t="str">
        <f t="shared" si="89"/>
        <v/>
      </c>
      <c r="R508" s="242" t="str">
        <f t="shared" si="90"/>
        <v/>
      </c>
      <c r="S508" s="242" t="str">
        <f t="shared" si="91"/>
        <v/>
      </c>
      <c r="T508" s="242" t="str">
        <f t="shared" si="92"/>
        <v/>
      </c>
      <c r="U508" s="242" t="str">
        <f t="shared" si="93"/>
        <v/>
      </c>
      <c r="V508" s="242" t="str">
        <f t="shared" si="94"/>
        <v/>
      </c>
      <c r="W508" s="242" t="str">
        <f t="shared" si="95"/>
        <v/>
      </c>
    </row>
    <row r="509" spans="1:23" x14ac:dyDescent="0.2">
      <c r="A509" s="283"/>
      <c r="B509" s="283"/>
      <c r="C509" s="283"/>
      <c r="D509" s="283"/>
      <c r="E509" s="283"/>
      <c r="F509" s="283"/>
      <c r="G509" s="283"/>
      <c r="K509" s="242">
        <v>508</v>
      </c>
      <c r="L509" s="242" t="str">
        <f t="shared" si="84"/>
        <v/>
      </c>
      <c r="M509" s="242" t="str">
        <f t="shared" si="85"/>
        <v/>
      </c>
      <c r="N509" s="242" t="str">
        <f t="shared" si="86"/>
        <v/>
      </c>
      <c r="O509" s="242" t="str">
        <f t="shared" si="87"/>
        <v/>
      </c>
      <c r="P509" s="242" t="str">
        <f t="shared" si="88"/>
        <v/>
      </c>
      <c r="Q509" s="242" t="str">
        <f t="shared" si="89"/>
        <v/>
      </c>
      <c r="R509" s="242" t="str">
        <f t="shared" si="90"/>
        <v/>
      </c>
      <c r="S509" s="242" t="str">
        <f t="shared" si="91"/>
        <v/>
      </c>
      <c r="T509" s="242" t="str">
        <f t="shared" si="92"/>
        <v/>
      </c>
      <c r="U509" s="242" t="str">
        <f t="shared" si="93"/>
        <v/>
      </c>
      <c r="V509" s="242" t="str">
        <f t="shared" si="94"/>
        <v/>
      </c>
      <c r="W509" s="242" t="str">
        <f t="shared" si="95"/>
        <v/>
      </c>
    </row>
    <row r="510" spans="1:23" x14ac:dyDescent="0.2">
      <c r="A510" s="283"/>
      <c r="B510" s="283"/>
      <c r="C510" s="283"/>
      <c r="D510" s="283"/>
      <c r="E510" s="283"/>
      <c r="F510" s="283"/>
      <c r="G510" s="283"/>
      <c r="K510" s="242">
        <v>509</v>
      </c>
      <c r="L510" s="242" t="str">
        <f t="shared" si="84"/>
        <v/>
      </c>
      <c r="M510" s="242" t="str">
        <f t="shared" si="85"/>
        <v/>
      </c>
      <c r="N510" s="242" t="str">
        <f t="shared" si="86"/>
        <v/>
      </c>
      <c r="O510" s="242" t="str">
        <f t="shared" si="87"/>
        <v/>
      </c>
      <c r="P510" s="242" t="str">
        <f t="shared" si="88"/>
        <v/>
      </c>
      <c r="Q510" s="242" t="str">
        <f t="shared" si="89"/>
        <v/>
      </c>
      <c r="R510" s="242" t="str">
        <f t="shared" si="90"/>
        <v/>
      </c>
      <c r="S510" s="242" t="str">
        <f t="shared" si="91"/>
        <v/>
      </c>
      <c r="T510" s="242" t="str">
        <f t="shared" si="92"/>
        <v/>
      </c>
      <c r="U510" s="242" t="str">
        <f t="shared" si="93"/>
        <v/>
      </c>
      <c r="V510" s="242" t="str">
        <f t="shared" si="94"/>
        <v/>
      </c>
      <c r="W510" s="242" t="str">
        <f t="shared" si="95"/>
        <v/>
      </c>
    </row>
    <row r="511" spans="1:23" x14ac:dyDescent="0.2">
      <c r="A511" s="283"/>
      <c r="B511" s="283"/>
      <c r="C511" s="283"/>
      <c r="D511" s="283"/>
      <c r="E511" s="283"/>
      <c r="F511" s="283"/>
      <c r="G511" s="283"/>
      <c r="K511" s="242">
        <v>510</v>
      </c>
      <c r="L511" s="242" t="str">
        <f t="shared" si="84"/>
        <v/>
      </c>
      <c r="M511" s="242" t="str">
        <f t="shared" si="85"/>
        <v/>
      </c>
      <c r="N511" s="242" t="str">
        <f t="shared" si="86"/>
        <v/>
      </c>
      <c r="O511" s="242" t="str">
        <f t="shared" si="87"/>
        <v/>
      </c>
      <c r="P511" s="242" t="str">
        <f t="shared" si="88"/>
        <v/>
      </c>
      <c r="Q511" s="242" t="str">
        <f t="shared" si="89"/>
        <v/>
      </c>
      <c r="R511" s="242" t="str">
        <f t="shared" si="90"/>
        <v/>
      </c>
      <c r="S511" s="242" t="str">
        <f t="shared" si="91"/>
        <v/>
      </c>
      <c r="T511" s="242" t="str">
        <f t="shared" si="92"/>
        <v/>
      </c>
      <c r="U511" s="242" t="str">
        <f t="shared" si="93"/>
        <v/>
      </c>
      <c r="V511" s="242" t="str">
        <f t="shared" si="94"/>
        <v/>
      </c>
      <c r="W511" s="242" t="str">
        <f t="shared" si="95"/>
        <v/>
      </c>
    </row>
    <row r="512" spans="1:23" x14ac:dyDescent="0.2">
      <c r="A512" s="283"/>
      <c r="B512" s="283"/>
      <c r="C512" s="283"/>
      <c r="D512" s="283"/>
      <c r="E512" s="283"/>
      <c r="F512" s="283"/>
      <c r="G512" s="283"/>
      <c r="K512" s="242">
        <v>511</v>
      </c>
      <c r="L512" s="242" t="str">
        <f t="shared" si="84"/>
        <v/>
      </c>
      <c r="M512" s="242" t="str">
        <f t="shared" si="85"/>
        <v/>
      </c>
      <c r="N512" s="242" t="str">
        <f t="shared" si="86"/>
        <v/>
      </c>
      <c r="O512" s="242" t="str">
        <f t="shared" si="87"/>
        <v/>
      </c>
      <c r="P512" s="242" t="str">
        <f t="shared" si="88"/>
        <v/>
      </c>
      <c r="Q512" s="242" t="str">
        <f t="shared" si="89"/>
        <v/>
      </c>
      <c r="R512" s="242" t="str">
        <f t="shared" si="90"/>
        <v/>
      </c>
      <c r="S512" s="242" t="str">
        <f t="shared" si="91"/>
        <v/>
      </c>
      <c r="T512" s="242" t="str">
        <f t="shared" si="92"/>
        <v/>
      </c>
      <c r="U512" s="242" t="str">
        <f t="shared" si="93"/>
        <v/>
      </c>
      <c r="V512" s="242" t="str">
        <f t="shared" si="94"/>
        <v/>
      </c>
      <c r="W512" s="242" t="str">
        <f t="shared" si="95"/>
        <v/>
      </c>
    </row>
    <row r="513" spans="1:23" x14ac:dyDescent="0.2">
      <c r="A513" s="283"/>
      <c r="B513" s="283"/>
      <c r="C513" s="283"/>
      <c r="D513" s="283"/>
      <c r="E513" s="283"/>
      <c r="F513" s="283"/>
      <c r="G513" s="283"/>
      <c r="K513" s="242">
        <v>512</v>
      </c>
      <c r="L513" s="242" t="str">
        <f t="shared" si="84"/>
        <v/>
      </c>
      <c r="M513" s="242" t="str">
        <f t="shared" si="85"/>
        <v/>
      </c>
      <c r="N513" s="242" t="str">
        <f t="shared" si="86"/>
        <v/>
      </c>
      <c r="O513" s="242" t="str">
        <f t="shared" si="87"/>
        <v/>
      </c>
      <c r="P513" s="242" t="str">
        <f t="shared" si="88"/>
        <v/>
      </c>
      <c r="Q513" s="242" t="str">
        <f t="shared" si="89"/>
        <v/>
      </c>
      <c r="R513" s="242" t="str">
        <f t="shared" si="90"/>
        <v/>
      </c>
      <c r="S513" s="242" t="str">
        <f t="shared" si="91"/>
        <v/>
      </c>
      <c r="T513" s="242" t="str">
        <f t="shared" si="92"/>
        <v/>
      </c>
      <c r="U513" s="242" t="str">
        <f t="shared" si="93"/>
        <v/>
      </c>
      <c r="V513" s="242" t="str">
        <f t="shared" si="94"/>
        <v/>
      </c>
      <c r="W513" s="242" t="str">
        <f t="shared" si="95"/>
        <v/>
      </c>
    </row>
    <row r="514" spans="1:23" x14ac:dyDescent="0.2">
      <c r="A514" s="283"/>
      <c r="B514" s="283"/>
      <c r="C514" s="283"/>
      <c r="D514" s="283"/>
      <c r="E514" s="283"/>
      <c r="F514" s="283"/>
      <c r="G514" s="283"/>
      <c r="K514" s="242">
        <v>513</v>
      </c>
      <c r="L514" s="242" t="str">
        <f t="shared" si="84"/>
        <v/>
      </c>
      <c r="M514" s="242" t="str">
        <f t="shared" si="85"/>
        <v/>
      </c>
      <c r="N514" s="242" t="str">
        <f t="shared" si="86"/>
        <v/>
      </c>
      <c r="O514" s="242" t="str">
        <f t="shared" si="87"/>
        <v/>
      </c>
      <c r="P514" s="242" t="str">
        <f t="shared" si="88"/>
        <v/>
      </c>
      <c r="Q514" s="242" t="str">
        <f t="shared" si="89"/>
        <v/>
      </c>
      <c r="R514" s="242" t="str">
        <f t="shared" si="90"/>
        <v/>
      </c>
      <c r="S514" s="242" t="str">
        <f t="shared" si="91"/>
        <v/>
      </c>
      <c r="T514" s="242" t="str">
        <f t="shared" si="92"/>
        <v/>
      </c>
      <c r="U514" s="242" t="str">
        <f t="shared" si="93"/>
        <v/>
      </c>
      <c r="V514" s="242" t="str">
        <f t="shared" si="94"/>
        <v/>
      </c>
      <c r="W514" s="242" t="str">
        <f t="shared" si="95"/>
        <v/>
      </c>
    </row>
    <row r="515" spans="1:23" x14ac:dyDescent="0.2">
      <c r="A515" s="283"/>
      <c r="B515" s="283"/>
      <c r="C515" s="283"/>
      <c r="D515" s="283"/>
      <c r="E515" s="283"/>
      <c r="F515" s="283"/>
      <c r="G515" s="283"/>
      <c r="K515" s="242">
        <v>514</v>
      </c>
      <c r="L515" s="242" t="str">
        <f t="shared" ref="L515:L578" si="96">IF($B$13&gt;=K515,K515,"")</f>
        <v/>
      </c>
      <c r="M515" s="242" t="str">
        <f t="shared" ref="M515:M578" si="97">IF(L515="","",IF(L515&lt;=$E$15,VLOOKUP($E$14,$I$1:$J$4,2,FALSE),VLOOKUP($F$14,$I$1:$J$4,2,FALSE)))</f>
        <v/>
      </c>
      <c r="N515" s="242" t="str">
        <f t="shared" ref="N515:N578" si="98">IF($B$20&gt;=K515,K515,"")</f>
        <v/>
      </c>
      <c r="O515" s="242" t="str">
        <f t="shared" ref="O515:O578" si="99">IF(N515="","",IF(N515&lt;=$E$22,VLOOKUP($E$21,$I$1:$J$4,2,FALSE),VLOOKUP($F$21,$I$1:$J$4,2,FALSE)))</f>
        <v/>
      </c>
      <c r="P515" s="242" t="str">
        <f t="shared" ref="P515:P578" si="100">IF($B$27&gt;=K515,K515,"")</f>
        <v/>
      </c>
      <c r="Q515" s="242" t="str">
        <f t="shared" ref="Q515:Q578" si="101">IF(P515="","",IF(P515&lt;=$E$29,VLOOKUP($E$28,$I$1:$J$4,2,FALSE),VLOOKUP($F$28,$I$1:$J$4,2,FALSE)))</f>
        <v/>
      </c>
      <c r="R515" s="242" t="str">
        <f t="shared" ref="R515:R578" si="102">IF($B$34&gt;=K515,K515,"")</f>
        <v/>
      </c>
      <c r="S515" s="242" t="str">
        <f t="shared" ref="S515:S578" si="103">IF(R515="","",IF(R515&lt;=$E$36,VLOOKUP($E$35,$I$1:$J$4,2,FALSE),VLOOKUP($F$35,$I$1:$J$4,2,FALSE)))</f>
        <v/>
      </c>
      <c r="T515" s="242" t="str">
        <f t="shared" ref="T515:T578" si="104">IF($B$41&gt;=K515,K515,"")</f>
        <v/>
      </c>
      <c r="U515" s="242" t="str">
        <f t="shared" ref="U515:U578" si="105">IF(T515="","",IF(T515&lt;=$E$43,VLOOKUP($E$42,$I$1:$J$4,2,FALSE),VLOOKUP($F$42,$I$1:$J$4,2,FALSE)))</f>
        <v/>
      </c>
      <c r="V515" s="242" t="str">
        <f t="shared" ref="V515:V578" si="106">IF($B$48&gt;=K515,K515,"")</f>
        <v/>
      </c>
      <c r="W515" s="242" t="str">
        <f t="shared" ref="W515:W578" si="107">IF(V515="","",IF(V515&lt;=$E$50,VLOOKUP($E$49,$I$1:$J$4,2,FALSE),VLOOKUP($F$49,$I$1:$J$4,2,FALSE)))</f>
        <v/>
      </c>
    </row>
    <row r="516" spans="1:23" x14ac:dyDescent="0.2">
      <c r="A516" s="283"/>
      <c r="B516" s="283"/>
      <c r="C516" s="283"/>
      <c r="D516" s="283"/>
      <c r="E516" s="283"/>
      <c r="F516" s="283"/>
      <c r="G516" s="283"/>
      <c r="K516" s="242">
        <v>515</v>
      </c>
      <c r="L516" s="242" t="str">
        <f t="shared" si="96"/>
        <v/>
      </c>
      <c r="M516" s="242" t="str">
        <f t="shared" si="97"/>
        <v/>
      </c>
      <c r="N516" s="242" t="str">
        <f t="shared" si="98"/>
        <v/>
      </c>
      <c r="O516" s="242" t="str">
        <f t="shared" si="99"/>
        <v/>
      </c>
      <c r="P516" s="242" t="str">
        <f t="shared" si="100"/>
        <v/>
      </c>
      <c r="Q516" s="242" t="str">
        <f t="shared" si="101"/>
        <v/>
      </c>
      <c r="R516" s="242" t="str">
        <f t="shared" si="102"/>
        <v/>
      </c>
      <c r="S516" s="242" t="str">
        <f t="shared" si="103"/>
        <v/>
      </c>
      <c r="T516" s="242" t="str">
        <f t="shared" si="104"/>
        <v/>
      </c>
      <c r="U516" s="242" t="str">
        <f t="shared" si="105"/>
        <v/>
      </c>
      <c r="V516" s="242" t="str">
        <f t="shared" si="106"/>
        <v/>
      </c>
      <c r="W516" s="242" t="str">
        <f t="shared" si="107"/>
        <v/>
      </c>
    </row>
    <row r="517" spans="1:23" x14ac:dyDescent="0.2">
      <c r="A517" s="283"/>
      <c r="B517" s="283"/>
      <c r="C517" s="283"/>
      <c r="D517" s="283"/>
      <c r="E517" s="283"/>
      <c r="F517" s="283"/>
      <c r="G517" s="283"/>
      <c r="K517" s="242">
        <v>516</v>
      </c>
      <c r="L517" s="242" t="str">
        <f t="shared" si="96"/>
        <v/>
      </c>
      <c r="M517" s="242" t="str">
        <f t="shared" si="97"/>
        <v/>
      </c>
      <c r="N517" s="242" t="str">
        <f t="shared" si="98"/>
        <v/>
      </c>
      <c r="O517" s="242" t="str">
        <f t="shared" si="99"/>
        <v/>
      </c>
      <c r="P517" s="242" t="str">
        <f t="shared" si="100"/>
        <v/>
      </c>
      <c r="Q517" s="242" t="str">
        <f t="shared" si="101"/>
        <v/>
      </c>
      <c r="R517" s="242" t="str">
        <f t="shared" si="102"/>
        <v/>
      </c>
      <c r="S517" s="242" t="str">
        <f t="shared" si="103"/>
        <v/>
      </c>
      <c r="T517" s="242" t="str">
        <f t="shared" si="104"/>
        <v/>
      </c>
      <c r="U517" s="242" t="str">
        <f t="shared" si="105"/>
        <v/>
      </c>
      <c r="V517" s="242" t="str">
        <f t="shared" si="106"/>
        <v/>
      </c>
      <c r="W517" s="242" t="str">
        <f t="shared" si="107"/>
        <v/>
      </c>
    </row>
    <row r="518" spans="1:23" x14ac:dyDescent="0.2">
      <c r="A518" s="283"/>
      <c r="B518" s="283"/>
      <c r="C518" s="283"/>
      <c r="D518" s="283"/>
      <c r="E518" s="283"/>
      <c r="F518" s="283"/>
      <c r="G518" s="283"/>
      <c r="K518" s="242">
        <v>517</v>
      </c>
      <c r="L518" s="242" t="str">
        <f t="shared" si="96"/>
        <v/>
      </c>
      <c r="M518" s="242" t="str">
        <f t="shared" si="97"/>
        <v/>
      </c>
      <c r="N518" s="242" t="str">
        <f t="shared" si="98"/>
        <v/>
      </c>
      <c r="O518" s="242" t="str">
        <f t="shared" si="99"/>
        <v/>
      </c>
      <c r="P518" s="242" t="str">
        <f t="shared" si="100"/>
        <v/>
      </c>
      <c r="Q518" s="242" t="str">
        <f t="shared" si="101"/>
        <v/>
      </c>
      <c r="R518" s="242" t="str">
        <f t="shared" si="102"/>
        <v/>
      </c>
      <c r="S518" s="242" t="str">
        <f t="shared" si="103"/>
        <v/>
      </c>
      <c r="T518" s="242" t="str">
        <f t="shared" si="104"/>
        <v/>
      </c>
      <c r="U518" s="242" t="str">
        <f t="shared" si="105"/>
        <v/>
      </c>
      <c r="V518" s="242" t="str">
        <f t="shared" si="106"/>
        <v/>
      </c>
      <c r="W518" s="242" t="str">
        <f t="shared" si="107"/>
        <v/>
      </c>
    </row>
    <row r="519" spans="1:23" x14ac:dyDescent="0.2">
      <c r="A519" s="283"/>
      <c r="B519" s="283"/>
      <c r="C519" s="283"/>
      <c r="D519" s="283"/>
      <c r="E519" s="283"/>
      <c r="F519" s="283"/>
      <c r="G519" s="283"/>
      <c r="K519" s="242">
        <v>518</v>
      </c>
      <c r="L519" s="242" t="str">
        <f t="shared" si="96"/>
        <v/>
      </c>
      <c r="M519" s="242" t="str">
        <f t="shared" si="97"/>
        <v/>
      </c>
      <c r="N519" s="242" t="str">
        <f t="shared" si="98"/>
        <v/>
      </c>
      <c r="O519" s="242" t="str">
        <f t="shared" si="99"/>
        <v/>
      </c>
      <c r="P519" s="242" t="str">
        <f t="shared" si="100"/>
        <v/>
      </c>
      <c r="Q519" s="242" t="str">
        <f t="shared" si="101"/>
        <v/>
      </c>
      <c r="R519" s="242" t="str">
        <f t="shared" si="102"/>
        <v/>
      </c>
      <c r="S519" s="242" t="str">
        <f t="shared" si="103"/>
        <v/>
      </c>
      <c r="T519" s="242" t="str">
        <f t="shared" si="104"/>
        <v/>
      </c>
      <c r="U519" s="242" t="str">
        <f t="shared" si="105"/>
        <v/>
      </c>
      <c r="V519" s="242" t="str">
        <f t="shared" si="106"/>
        <v/>
      </c>
      <c r="W519" s="242" t="str">
        <f t="shared" si="107"/>
        <v/>
      </c>
    </row>
    <row r="520" spans="1:23" x14ac:dyDescent="0.2">
      <c r="A520" s="283"/>
      <c r="B520" s="283"/>
      <c r="C520" s="283"/>
      <c r="D520" s="283"/>
      <c r="E520" s="283"/>
      <c r="F520" s="283"/>
      <c r="G520" s="283"/>
      <c r="K520" s="242">
        <v>519</v>
      </c>
      <c r="L520" s="242" t="str">
        <f t="shared" si="96"/>
        <v/>
      </c>
      <c r="M520" s="242" t="str">
        <f t="shared" si="97"/>
        <v/>
      </c>
      <c r="N520" s="242" t="str">
        <f t="shared" si="98"/>
        <v/>
      </c>
      <c r="O520" s="242" t="str">
        <f t="shared" si="99"/>
        <v/>
      </c>
      <c r="P520" s="242" t="str">
        <f t="shared" si="100"/>
        <v/>
      </c>
      <c r="Q520" s="242" t="str">
        <f t="shared" si="101"/>
        <v/>
      </c>
      <c r="R520" s="242" t="str">
        <f t="shared" si="102"/>
        <v/>
      </c>
      <c r="S520" s="242" t="str">
        <f t="shared" si="103"/>
        <v/>
      </c>
      <c r="T520" s="242" t="str">
        <f t="shared" si="104"/>
        <v/>
      </c>
      <c r="U520" s="242" t="str">
        <f t="shared" si="105"/>
        <v/>
      </c>
      <c r="V520" s="242" t="str">
        <f t="shared" si="106"/>
        <v/>
      </c>
      <c r="W520" s="242" t="str">
        <f t="shared" si="107"/>
        <v/>
      </c>
    </row>
    <row r="521" spans="1:23" x14ac:dyDescent="0.2">
      <c r="A521" s="283"/>
      <c r="B521" s="283"/>
      <c r="C521" s="283"/>
      <c r="D521" s="283"/>
      <c r="E521" s="283"/>
      <c r="F521" s="283"/>
      <c r="G521" s="283"/>
      <c r="K521" s="242">
        <v>520</v>
      </c>
      <c r="L521" s="242" t="str">
        <f t="shared" si="96"/>
        <v/>
      </c>
      <c r="M521" s="242" t="str">
        <f t="shared" si="97"/>
        <v/>
      </c>
      <c r="N521" s="242" t="str">
        <f t="shared" si="98"/>
        <v/>
      </c>
      <c r="O521" s="242" t="str">
        <f t="shared" si="99"/>
        <v/>
      </c>
      <c r="P521" s="242" t="str">
        <f t="shared" si="100"/>
        <v/>
      </c>
      <c r="Q521" s="242" t="str">
        <f t="shared" si="101"/>
        <v/>
      </c>
      <c r="R521" s="242" t="str">
        <f t="shared" si="102"/>
        <v/>
      </c>
      <c r="S521" s="242" t="str">
        <f t="shared" si="103"/>
        <v/>
      </c>
      <c r="T521" s="242" t="str">
        <f t="shared" si="104"/>
        <v/>
      </c>
      <c r="U521" s="242" t="str">
        <f t="shared" si="105"/>
        <v/>
      </c>
      <c r="V521" s="242" t="str">
        <f t="shared" si="106"/>
        <v/>
      </c>
      <c r="W521" s="242" t="str">
        <f t="shared" si="107"/>
        <v/>
      </c>
    </row>
    <row r="522" spans="1:23" x14ac:dyDescent="0.2">
      <c r="A522" s="283"/>
      <c r="B522" s="283"/>
      <c r="C522" s="283"/>
      <c r="D522" s="283"/>
      <c r="E522" s="283"/>
      <c r="F522" s="283"/>
      <c r="G522" s="283"/>
      <c r="K522" s="242">
        <v>521</v>
      </c>
      <c r="L522" s="242" t="str">
        <f t="shared" si="96"/>
        <v/>
      </c>
      <c r="M522" s="242" t="str">
        <f t="shared" si="97"/>
        <v/>
      </c>
      <c r="N522" s="242" t="str">
        <f t="shared" si="98"/>
        <v/>
      </c>
      <c r="O522" s="242" t="str">
        <f t="shared" si="99"/>
        <v/>
      </c>
      <c r="P522" s="242" t="str">
        <f t="shared" si="100"/>
        <v/>
      </c>
      <c r="Q522" s="242" t="str">
        <f t="shared" si="101"/>
        <v/>
      </c>
      <c r="R522" s="242" t="str">
        <f t="shared" si="102"/>
        <v/>
      </c>
      <c r="S522" s="242" t="str">
        <f t="shared" si="103"/>
        <v/>
      </c>
      <c r="T522" s="242" t="str">
        <f t="shared" si="104"/>
        <v/>
      </c>
      <c r="U522" s="242" t="str">
        <f t="shared" si="105"/>
        <v/>
      </c>
      <c r="V522" s="242" t="str">
        <f t="shared" si="106"/>
        <v/>
      </c>
      <c r="W522" s="242" t="str">
        <f t="shared" si="107"/>
        <v/>
      </c>
    </row>
    <row r="523" spans="1:23" x14ac:dyDescent="0.2">
      <c r="A523" s="283"/>
      <c r="B523" s="283"/>
      <c r="C523" s="283"/>
      <c r="D523" s="283"/>
      <c r="E523" s="283"/>
      <c r="F523" s="283"/>
      <c r="G523" s="283"/>
      <c r="K523" s="242">
        <v>522</v>
      </c>
      <c r="L523" s="242" t="str">
        <f t="shared" si="96"/>
        <v/>
      </c>
      <c r="M523" s="242" t="str">
        <f t="shared" si="97"/>
        <v/>
      </c>
      <c r="N523" s="242" t="str">
        <f t="shared" si="98"/>
        <v/>
      </c>
      <c r="O523" s="242" t="str">
        <f t="shared" si="99"/>
        <v/>
      </c>
      <c r="P523" s="242" t="str">
        <f t="shared" si="100"/>
        <v/>
      </c>
      <c r="Q523" s="242" t="str">
        <f t="shared" si="101"/>
        <v/>
      </c>
      <c r="R523" s="242" t="str">
        <f t="shared" si="102"/>
        <v/>
      </c>
      <c r="S523" s="242" t="str">
        <f t="shared" si="103"/>
        <v/>
      </c>
      <c r="T523" s="242" t="str">
        <f t="shared" si="104"/>
        <v/>
      </c>
      <c r="U523" s="242" t="str">
        <f t="shared" si="105"/>
        <v/>
      </c>
      <c r="V523" s="242" t="str">
        <f t="shared" si="106"/>
        <v/>
      </c>
      <c r="W523" s="242" t="str">
        <f t="shared" si="107"/>
        <v/>
      </c>
    </row>
    <row r="524" spans="1:23" x14ac:dyDescent="0.2">
      <c r="A524" s="283"/>
      <c r="B524" s="283"/>
      <c r="C524" s="283"/>
      <c r="D524" s="283"/>
      <c r="E524" s="283"/>
      <c r="F524" s="283"/>
      <c r="G524" s="283"/>
      <c r="K524" s="242">
        <v>523</v>
      </c>
      <c r="L524" s="242" t="str">
        <f t="shared" si="96"/>
        <v/>
      </c>
      <c r="M524" s="242" t="str">
        <f t="shared" si="97"/>
        <v/>
      </c>
      <c r="N524" s="242" t="str">
        <f t="shared" si="98"/>
        <v/>
      </c>
      <c r="O524" s="242" t="str">
        <f t="shared" si="99"/>
        <v/>
      </c>
      <c r="P524" s="242" t="str">
        <f t="shared" si="100"/>
        <v/>
      </c>
      <c r="Q524" s="242" t="str">
        <f t="shared" si="101"/>
        <v/>
      </c>
      <c r="R524" s="242" t="str">
        <f t="shared" si="102"/>
        <v/>
      </c>
      <c r="S524" s="242" t="str">
        <f t="shared" si="103"/>
        <v/>
      </c>
      <c r="T524" s="242" t="str">
        <f t="shared" si="104"/>
        <v/>
      </c>
      <c r="U524" s="242" t="str">
        <f t="shared" si="105"/>
        <v/>
      </c>
      <c r="V524" s="242" t="str">
        <f t="shared" si="106"/>
        <v/>
      </c>
      <c r="W524" s="242" t="str">
        <f t="shared" si="107"/>
        <v/>
      </c>
    </row>
    <row r="525" spans="1:23" x14ac:dyDescent="0.2">
      <c r="A525" s="283"/>
      <c r="B525" s="283"/>
      <c r="C525" s="283"/>
      <c r="D525" s="283"/>
      <c r="E525" s="283"/>
      <c r="F525" s="283"/>
      <c r="G525" s="283"/>
      <c r="K525" s="242">
        <v>524</v>
      </c>
      <c r="L525" s="242" t="str">
        <f t="shared" si="96"/>
        <v/>
      </c>
      <c r="M525" s="242" t="str">
        <f t="shared" si="97"/>
        <v/>
      </c>
      <c r="N525" s="242" t="str">
        <f t="shared" si="98"/>
        <v/>
      </c>
      <c r="O525" s="242" t="str">
        <f t="shared" si="99"/>
        <v/>
      </c>
      <c r="P525" s="242" t="str">
        <f t="shared" si="100"/>
        <v/>
      </c>
      <c r="Q525" s="242" t="str">
        <f t="shared" si="101"/>
        <v/>
      </c>
      <c r="R525" s="242" t="str">
        <f t="shared" si="102"/>
        <v/>
      </c>
      <c r="S525" s="242" t="str">
        <f t="shared" si="103"/>
        <v/>
      </c>
      <c r="T525" s="242" t="str">
        <f t="shared" si="104"/>
        <v/>
      </c>
      <c r="U525" s="242" t="str">
        <f t="shared" si="105"/>
        <v/>
      </c>
      <c r="V525" s="242" t="str">
        <f t="shared" si="106"/>
        <v/>
      </c>
      <c r="W525" s="242" t="str">
        <f t="shared" si="107"/>
        <v/>
      </c>
    </row>
    <row r="526" spans="1:23" x14ac:dyDescent="0.2">
      <c r="A526" s="283"/>
      <c r="B526" s="283"/>
      <c r="C526" s="283"/>
      <c r="D526" s="283"/>
      <c r="E526" s="283"/>
      <c r="F526" s="283"/>
      <c r="G526" s="283"/>
      <c r="K526" s="242">
        <v>525</v>
      </c>
      <c r="L526" s="242" t="str">
        <f t="shared" si="96"/>
        <v/>
      </c>
      <c r="M526" s="242" t="str">
        <f t="shared" si="97"/>
        <v/>
      </c>
      <c r="N526" s="242" t="str">
        <f t="shared" si="98"/>
        <v/>
      </c>
      <c r="O526" s="242" t="str">
        <f t="shared" si="99"/>
        <v/>
      </c>
      <c r="P526" s="242" t="str">
        <f t="shared" si="100"/>
        <v/>
      </c>
      <c r="Q526" s="242" t="str">
        <f t="shared" si="101"/>
        <v/>
      </c>
      <c r="R526" s="242" t="str">
        <f t="shared" si="102"/>
        <v/>
      </c>
      <c r="S526" s="242" t="str">
        <f t="shared" si="103"/>
        <v/>
      </c>
      <c r="T526" s="242" t="str">
        <f t="shared" si="104"/>
        <v/>
      </c>
      <c r="U526" s="242" t="str">
        <f t="shared" si="105"/>
        <v/>
      </c>
      <c r="V526" s="242" t="str">
        <f t="shared" si="106"/>
        <v/>
      </c>
      <c r="W526" s="242" t="str">
        <f t="shared" si="107"/>
        <v/>
      </c>
    </row>
    <row r="527" spans="1:23" x14ac:dyDescent="0.2">
      <c r="A527" s="283"/>
      <c r="B527" s="283"/>
      <c r="C527" s="283"/>
      <c r="D527" s="283"/>
      <c r="E527" s="283"/>
      <c r="F527" s="283"/>
      <c r="G527" s="283"/>
      <c r="K527" s="242">
        <v>526</v>
      </c>
      <c r="L527" s="242" t="str">
        <f t="shared" si="96"/>
        <v/>
      </c>
      <c r="M527" s="242" t="str">
        <f t="shared" si="97"/>
        <v/>
      </c>
      <c r="N527" s="242" t="str">
        <f t="shared" si="98"/>
        <v/>
      </c>
      <c r="O527" s="242" t="str">
        <f t="shared" si="99"/>
        <v/>
      </c>
      <c r="P527" s="242" t="str">
        <f t="shared" si="100"/>
        <v/>
      </c>
      <c r="Q527" s="242" t="str">
        <f t="shared" si="101"/>
        <v/>
      </c>
      <c r="R527" s="242" t="str">
        <f t="shared" si="102"/>
        <v/>
      </c>
      <c r="S527" s="242" t="str">
        <f t="shared" si="103"/>
        <v/>
      </c>
      <c r="T527" s="242" t="str">
        <f t="shared" si="104"/>
        <v/>
      </c>
      <c r="U527" s="242" t="str">
        <f t="shared" si="105"/>
        <v/>
      </c>
      <c r="V527" s="242" t="str">
        <f t="shared" si="106"/>
        <v/>
      </c>
      <c r="W527" s="242" t="str">
        <f t="shared" si="107"/>
        <v/>
      </c>
    </row>
    <row r="528" spans="1:23" x14ac:dyDescent="0.2">
      <c r="A528" s="283"/>
      <c r="B528" s="283"/>
      <c r="C528" s="283"/>
      <c r="D528" s="283"/>
      <c r="E528" s="283"/>
      <c r="F528" s="283"/>
      <c r="G528" s="283"/>
      <c r="K528" s="242">
        <v>527</v>
      </c>
      <c r="L528" s="242" t="str">
        <f t="shared" si="96"/>
        <v/>
      </c>
      <c r="M528" s="242" t="str">
        <f t="shared" si="97"/>
        <v/>
      </c>
      <c r="N528" s="242" t="str">
        <f t="shared" si="98"/>
        <v/>
      </c>
      <c r="O528" s="242" t="str">
        <f t="shared" si="99"/>
        <v/>
      </c>
      <c r="P528" s="242" t="str">
        <f t="shared" si="100"/>
        <v/>
      </c>
      <c r="Q528" s="242" t="str">
        <f t="shared" si="101"/>
        <v/>
      </c>
      <c r="R528" s="242" t="str">
        <f t="shared" si="102"/>
        <v/>
      </c>
      <c r="S528" s="242" t="str">
        <f t="shared" si="103"/>
        <v/>
      </c>
      <c r="T528" s="242" t="str">
        <f t="shared" si="104"/>
        <v/>
      </c>
      <c r="U528" s="242" t="str">
        <f t="shared" si="105"/>
        <v/>
      </c>
      <c r="V528" s="242" t="str">
        <f t="shared" si="106"/>
        <v/>
      </c>
      <c r="W528" s="242" t="str">
        <f t="shared" si="107"/>
        <v/>
      </c>
    </row>
    <row r="529" spans="1:23" x14ac:dyDescent="0.2">
      <c r="A529" s="283"/>
      <c r="B529" s="283"/>
      <c r="C529" s="283"/>
      <c r="D529" s="283"/>
      <c r="E529" s="283"/>
      <c r="F529" s="283"/>
      <c r="G529" s="283"/>
      <c r="K529" s="242">
        <v>528</v>
      </c>
      <c r="L529" s="242" t="str">
        <f t="shared" si="96"/>
        <v/>
      </c>
      <c r="M529" s="242" t="str">
        <f t="shared" si="97"/>
        <v/>
      </c>
      <c r="N529" s="242" t="str">
        <f t="shared" si="98"/>
        <v/>
      </c>
      <c r="O529" s="242" t="str">
        <f t="shared" si="99"/>
        <v/>
      </c>
      <c r="P529" s="242" t="str">
        <f t="shared" si="100"/>
        <v/>
      </c>
      <c r="Q529" s="242" t="str">
        <f t="shared" si="101"/>
        <v/>
      </c>
      <c r="R529" s="242" t="str">
        <f t="shared" si="102"/>
        <v/>
      </c>
      <c r="S529" s="242" t="str">
        <f t="shared" si="103"/>
        <v/>
      </c>
      <c r="T529" s="242" t="str">
        <f t="shared" si="104"/>
        <v/>
      </c>
      <c r="U529" s="242" t="str">
        <f t="shared" si="105"/>
        <v/>
      </c>
      <c r="V529" s="242" t="str">
        <f t="shared" si="106"/>
        <v/>
      </c>
      <c r="W529" s="242" t="str">
        <f t="shared" si="107"/>
        <v/>
      </c>
    </row>
    <row r="530" spans="1:23" x14ac:dyDescent="0.2">
      <c r="A530" s="283"/>
      <c r="B530" s="283"/>
      <c r="C530" s="283"/>
      <c r="D530" s="283"/>
      <c r="E530" s="283"/>
      <c r="F530" s="283"/>
      <c r="G530" s="283"/>
      <c r="K530" s="242">
        <v>529</v>
      </c>
      <c r="L530" s="242" t="str">
        <f t="shared" si="96"/>
        <v/>
      </c>
      <c r="M530" s="242" t="str">
        <f t="shared" si="97"/>
        <v/>
      </c>
      <c r="N530" s="242" t="str">
        <f t="shared" si="98"/>
        <v/>
      </c>
      <c r="O530" s="242" t="str">
        <f t="shared" si="99"/>
        <v/>
      </c>
      <c r="P530" s="242" t="str">
        <f t="shared" si="100"/>
        <v/>
      </c>
      <c r="Q530" s="242" t="str">
        <f t="shared" si="101"/>
        <v/>
      </c>
      <c r="R530" s="242" t="str">
        <f t="shared" si="102"/>
        <v/>
      </c>
      <c r="S530" s="242" t="str">
        <f t="shared" si="103"/>
        <v/>
      </c>
      <c r="T530" s="242" t="str">
        <f t="shared" si="104"/>
        <v/>
      </c>
      <c r="U530" s="242" t="str">
        <f t="shared" si="105"/>
        <v/>
      </c>
      <c r="V530" s="242" t="str">
        <f t="shared" si="106"/>
        <v/>
      </c>
      <c r="W530" s="242" t="str">
        <f t="shared" si="107"/>
        <v/>
      </c>
    </row>
    <row r="531" spans="1:23" x14ac:dyDescent="0.2">
      <c r="A531" s="283"/>
      <c r="B531" s="283"/>
      <c r="C531" s="283"/>
      <c r="D531" s="283"/>
      <c r="E531" s="283"/>
      <c r="F531" s="283"/>
      <c r="G531" s="283"/>
      <c r="K531" s="242">
        <v>530</v>
      </c>
      <c r="L531" s="242" t="str">
        <f t="shared" si="96"/>
        <v/>
      </c>
      <c r="M531" s="242" t="str">
        <f t="shared" si="97"/>
        <v/>
      </c>
      <c r="N531" s="242" t="str">
        <f t="shared" si="98"/>
        <v/>
      </c>
      <c r="O531" s="242" t="str">
        <f t="shared" si="99"/>
        <v/>
      </c>
      <c r="P531" s="242" t="str">
        <f t="shared" si="100"/>
        <v/>
      </c>
      <c r="Q531" s="242" t="str">
        <f t="shared" si="101"/>
        <v/>
      </c>
      <c r="R531" s="242" t="str">
        <f t="shared" si="102"/>
        <v/>
      </c>
      <c r="S531" s="242" t="str">
        <f t="shared" si="103"/>
        <v/>
      </c>
      <c r="T531" s="242" t="str">
        <f t="shared" si="104"/>
        <v/>
      </c>
      <c r="U531" s="242" t="str">
        <f t="shared" si="105"/>
        <v/>
      </c>
      <c r="V531" s="242" t="str">
        <f t="shared" si="106"/>
        <v/>
      </c>
      <c r="W531" s="242" t="str">
        <f t="shared" si="107"/>
        <v/>
      </c>
    </row>
    <row r="532" spans="1:23" x14ac:dyDescent="0.2">
      <c r="A532" s="283"/>
      <c r="B532" s="283"/>
      <c r="C532" s="283"/>
      <c r="D532" s="283"/>
      <c r="E532" s="283"/>
      <c r="F532" s="283"/>
      <c r="G532" s="283"/>
      <c r="K532" s="242">
        <v>531</v>
      </c>
      <c r="L532" s="242" t="str">
        <f t="shared" si="96"/>
        <v/>
      </c>
      <c r="M532" s="242" t="str">
        <f t="shared" si="97"/>
        <v/>
      </c>
      <c r="N532" s="242" t="str">
        <f t="shared" si="98"/>
        <v/>
      </c>
      <c r="O532" s="242" t="str">
        <f t="shared" si="99"/>
        <v/>
      </c>
      <c r="P532" s="242" t="str">
        <f t="shared" si="100"/>
        <v/>
      </c>
      <c r="Q532" s="242" t="str">
        <f t="shared" si="101"/>
        <v/>
      </c>
      <c r="R532" s="242" t="str">
        <f t="shared" si="102"/>
        <v/>
      </c>
      <c r="S532" s="242" t="str">
        <f t="shared" si="103"/>
        <v/>
      </c>
      <c r="T532" s="242" t="str">
        <f t="shared" si="104"/>
        <v/>
      </c>
      <c r="U532" s="242" t="str">
        <f t="shared" si="105"/>
        <v/>
      </c>
      <c r="V532" s="242" t="str">
        <f t="shared" si="106"/>
        <v/>
      </c>
      <c r="W532" s="242" t="str">
        <f t="shared" si="107"/>
        <v/>
      </c>
    </row>
    <row r="533" spans="1:23" x14ac:dyDescent="0.2">
      <c r="A533" s="283"/>
      <c r="B533" s="283"/>
      <c r="C533" s="283"/>
      <c r="D533" s="283"/>
      <c r="E533" s="283"/>
      <c r="F533" s="283"/>
      <c r="G533" s="283"/>
      <c r="K533" s="242">
        <v>532</v>
      </c>
      <c r="L533" s="242" t="str">
        <f t="shared" si="96"/>
        <v/>
      </c>
      <c r="M533" s="242" t="str">
        <f t="shared" si="97"/>
        <v/>
      </c>
      <c r="N533" s="242" t="str">
        <f t="shared" si="98"/>
        <v/>
      </c>
      <c r="O533" s="242" t="str">
        <f t="shared" si="99"/>
        <v/>
      </c>
      <c r="P533" s="242" t="str">
        <f t="shared" si="100"/>
        <v/>
      </c>
      <c r="Q533" s="242" t="str">
        <f t="shared" si="101"/>
        <v/>
      </c>
      <c r="R533" s="242" t="str">
        <f t="shared" si="102"/>
        <v/>
      </c>
      <c r="S533" s="242" t="str">
        <f t="shared" si="103"/>
        <v/>
      </c>
      <c r="T533" s="242" t="str">
        <f t="shared" si="104"/>
        <v/>
      </c>
      <c r="U533" s="242" t="str">
        <f t="shared" si="105"/>
        <v/>
      </c>
      <c r="V533" s="242" t="str">
        <f t="shared" si="106"/>
        <v/>
      </c>
      <c r="W533" s="242" t="str">
        <f t="shared" si="107"/>
        <v/>
      </c>
    </row>
    <row r="534" spans="1:23" x14ac:dyDescent="0.2">
      <c r="A534" s="283"/>
      <c r="B534" s="283"/>
      <c r="C534" s="283"/>
      <c r="D534" s="283"/>
      <c r="E534" s="283"/>
      <c r="F534" s="283"/>
      <c r="G534" s="283"/>
      <c r="K534" s="242">
        <v>533</v>
      </c>
      <c r="L534" s="242" t="str">
        <f t="shared" si="96"/>
        <v/>
      </c>
      <c r="M534" s="242" t="str">
        <f t="shared" si="97"/>
        <v/>
      </c>
      <c r="N534" s="242" t="str">
        <f t="shared" si="98"/>
        <v/>
      </c>
      <c r="O534" s="242" t="str">
        <f t="shared" si="99"/>
        <v/>
      </c>
      <c r="P534" s="242" t="str">
        <f t="shared" si="100"/>
        <v/>
      </c>
      <c r="Q534" s="242" t="str">
        <f t="shared" si="101"/>
        <v/>
      </c>
      <c r="R534" s="242" t="str">
        <f t="shared" si="102"/>
        <v/>
      </c>
      <c r="S534" s="242" t="str">
        <f t="shared" si="103"/>
        <v/>
      </c>
      <c r="T534" s="242" t="str">
        <f t="shared" si="104"/>
        <v/>
      </c>
      <c r="U534" s="242" t="str">
        <f t="shared" si="105"/>
        <v/>
      </c>
      <c r="V534" s="242" t="str">
        <f t="shared" si="106"/>
        <v/>
      </c>
      <c r="W534" s="242" t="str">
        <f t="shared" si="107"/>
        <v/>
      </c>
    </row>
    <row r="535" spans="1:23" x14ac:dyDescent="0.2">
      <c r="A535" s="283"/>
      <c r="B535" s="283"/>
      <c r="C535" s="283"/>
      <c r="D535" s="283"/>
      <c r="E535" s="283"/>
      <c r="F535" s="283"/>
      <c r="G535" s="283"/>
      <c r="K535" s="242">
        <v>534</v>
      </c>
      <c r="L535" s="242" t="str">
        <f t="shared" si="96"/>
        <v/>
      </c>
      <c r="M535" s="242" t="str">
        <f t="shared" si="97"/>
        <v/>
      </c>
      <c r="N535" s="242" t="str">
        <f t="shared" si="98"/>
        <v/>
      </c>
      <c r="O535" s="242" t="str">
        <f t="shared" si="99"/>
        <v/>
      </c>
      <c r="P535" s="242" t="str">
        <f t="shared" si="100"/>
        <v/>
      </c>
      <c r="Q535" s="242" t="str">
        <f t="shared" si="101"/>
        <v/>
      </c>
      <c r="R535" s="242" t="str">
        <f t="shared" si="102"/>
        <v/>
      </c>
      <c r="S535" s="242" t="str">
        <f t="shared" si="103"/>
        <v/>
      </c>
      <c r="T535" s="242" t="str">
        <f t="shared" si="104"/>
        <v/>
      </c>
      <c r="U535" s="242" t="str">
        <f t="shared" si="105"/>
        <v/>
      </c>
      <c r="V535" s="242" t="str">
        <f t="shared" si="106"/>
        <v/>
      </c>
      <c r="W535" s="242" t="str">
        <f t="shared" si="107"/>
        <v/>
      </c>
    </row>
    <row r="536" spans="1:23" x14ac:dyDescent="0.2">
      <c r="A536" s="283"/>
      <c r="B536" s="283"/>
      <c r="C536" s="283"/>
      <c r="D536" s="283"/>
      <c r="E536" s="283"/>
      <c r="F536" s="283"/>
      <c r="G536" s="283"/>
      <c r="K536" s="242">
        <v>535</v>
      </c>
      <c r="L536" s="242" t="str">
        <f t="shared" si="96"/>
        <v/>
      </c>
      <c r="M536" s="242" t="str">
        <f t="shared" si="97"/>
        <v/>
      </c>
      <c r="N536" s="242" t="str">
        <f t="shared" si="98"/>
        <v/>
      </c>
      <c r="O536" s="242" t="str">
        <f t="shared" si="99"/>
        <v/>
      </c>
      <c r="P536" s="242" t="str">
        <f t="shared" si="100"/>
        <v/>
      </c>
      <c r="Q536" s="242" t="str">
        <f t="shared" si="101"/>
        <v/>
      </c>
      <c r="R536" s="242" t="str">
        <f t="shared" si="102"/>
        <v/>
      </c>
      <c r="S536" s="242" t="str">
        <f t="shared" si="103"/>
        <v/>
      </c>
      <c r="T536" s="242" t="str">
        <f t="shared" si="104"/>
        <v/>
      </c>
      <c r="U536" s="242" t="str">
        <f t="shared" si="105"/>
        <v/>
      </c>
      <c r="V536" s="242" t="str">
        <f t="shared" si="106"/>
        <v/>
      </c>
      <c r="W536" s="242" t="str">
        <f t="shared" si="107"/>
        <v/>
      </c>
    </row>
    <row r="537" spans="1:23" x14ac:dyDescent="0.2">
      <c r="A537" s="283"/>
      <c r="B537" s="283"/>
      <c r="C537" s="283"/>
      <c r="D537" s="283"/>
      <c r="E537" s="283"/>
      <c r="F537" s="283"/>
      <c r="G537" s="283"/>
      <c r="K537" s="242">
        <v>536</v>
      </c>
      <c r="L537" s="242" t="str">
        <f t="shared" si="96"/>
        <v/>
      </c>
      <c r="M537" s="242" t="str">
        <f t="shared" si="97"/>
        <v/>
      </c>
      <c r="N537" s="242" t="str">
        <f t="shared" si="98"/>
        <v/>
      </c>
      <c r="O537" s="242" t="str">
        <f t="shared" si="99"/>
        <v/>
      </c>
      <c r="P537" s="242" t="str">
        <f t="shared" si="100"/>
        <v/>
      </c>
      <c r="Q537" s="242" t="str">
        <f t="shared" si="101"/>
        <v/>
      </c>
      <c r="R537" s="242" t="str">
        <f t="shared" si="102"/>
        <v/>
      </c>
      <c r="S537" s="242" t="str">
        <f t="shared" si="103"/>
        <v/>
      </c>
      <c r="T537" s="242" t="str">
        <f t="shared" si="104"/>
        <v/>
      </c>
      <c r="U537" s="242" t="str">
        <f t="shared" si="105"/>
        <v/>
      </c>
      <c r="V537" s="242" t="str">
        <f t="shared" si="106"/>
        <v/>
      </c>
      <c r="W537" s="242" t="str">
        <f t="shared" si="107"/>
        <v/>
      </c>
    </row>
    <row r="538" spans="1:23" x14ac:dyDescent="0.2">
      <c r="A538" s="283"/>
      <c r="B538" s="283"/>
      <c r="C538" s="283"/>
      <c r="D538" s="283"/>
      <c r="E538" s="283"/>
      <c r="F538" s="283"/>
      <c r="G538" s="283"/>
      <c r="K538" s="242">
        <v>537</v>
      </c>
      <c r="L538" s="242" t="str">
        <f t="shared" si="96"/>
        <v/>
      </c>
      <c r="M538" s="242" t="str">
        <f t="shared" si="97"/>
        <v/>
      </c>
      <c r="N538" s="242" t="str">
        <f t="shared" si="98"/>
        <v/>
      </c>
      <c r="O538" s="242" t="str">
        <f t="shared" si="99"/>
        <v/>
      </c>
      <c r="P538" s="242" t="str">
        <f t="shared" si="100"/>
        <v/>
      </c>
      <c r="Q538" s="242" t="str">
        <f t="shared" si="101"/>
        <v/>
      </c>
      <c r="R538" s="242" t="str">
        <f t="shared" si="102"/>
        <v/>
      </c>
      <c r="S538" s="242" t="str">
        <f t="shared" si="103"/>
        <v/>
      </c>
      <c r="T538" s="242" t="str">
        <f t="shared" si="104"/>
        <v/>
      </c>
      <c r="U538" s="242" t="str">
        <f t="shared" si="105"/>
        <v/>
      </c>
      <c r="V538" s="242" t="str">
        <f t="shared" si="106"/>
        <v/>
      </c>
      <c r="W538" s="242" t="str">
        <f t="shared" si="107"/>
        <v/>
      </c>
    </row>
    <row r="539" spans="1:23" x14ac:dyDescent="0.2">
      <c r="A539" s="283"/>
      <c r="B539" s="283"/>
      <c r="C539" s="283"/>
      <c r="D539" s="283"/>
      <c r="E539" s="283"/>
      <c r="F539" s="283"/>
      <c r="G539" s="283"/>
      <c r="K539" s="242">
        <v>538</v>
      </c>
      <c r="L539" s="242" t="str">
        <f t="shared" si="96"/>
        <v/>
      </c>
      <c r="M539" s="242" t="str">
        <f t="shared" si="97"/>
        <v/>
      </c>
      <c r="N539" s="242" t="str">
        <f t="shared" si="98"/>
        <v/>
      </c>
      <c r="O539" s="242" t="str">
        <f t="shared" si="99"/>
        <v/>
      </c>
      <c r="P539" s="242" t="str">
        <f t="shared" si="100"/>
        <v/>
      </c>
      <c r="Q539" s="242" t="str">
        <f t="shared" si="101"/>
        <v/>
      </c>
      <c r="R539" s="242" t="str">
        <f t="shared" si="102"/>
        <v/>
      </c>
      <c r="S539" s="242" t="str">
        <f t="shared" si="103"/>
        <v/>
      </c>
      <c r="T539" s="242" t="str">
        <f t="shared" si="104"/>
        <v/>
      </c>
      <c r="U539" s="242" t="str">
        <f t="shared" si="105"/>
        <v/>
      </c>
      <c r="V539" s="242" t="str">
        <f t="shared" si="106"/>
        <v/>
      </c>
      <c r="W539" s="242" t="str">
        <f t="shared" si="107"/>
        <v/>
      </c>
    </row>
    <row r="540" spans="1:23" x14ac:dyDescent="0.2">
      <c r="A540" s="283"/>
      <c r="B540" s="283"/>
      <c r="C540" s="283"/>
      <c r="D540" s="283"/>
      <c r="E540" s="283"/>
      <c r="F540" s="283"/>
      <c r="G540" s="283"/>
      <c r="K540" s="242">
        <v>539</v>
      </c>
      <c r="L540" s="242" t="str">
        <f t="shared" si="96"/>
        <v/>
      </c>
      <c r="M540" s="242" t="str">
        <f t="shared" si="97"/>
        <v/>
      </c>
      <c r="N540" s="242" t="str">
        <f t="shared" si="98"/>
        <v/>
      </c>
      <c r="O540" s="242" t="str">
        <f t="shared" si="99"/>
        <v/>
      </c>
      <c r="P540" s="242" t="str">
        <f t="shared" si="100"/>
        <v/>
      </c>
      <c r="Q540" s="242" t="str">
        <f t="shared" si="101"/>
        <v/>
      </c>
      <c r="R540" s="242" t="str">
        <f t="shared" si="102"/>
        <v/>
      </c>
      <c r="S540" s="242" t="str">
        <f t="shared" si="103"/>
        <v/>
      </c>
      <c r="T540" s="242" t="str">
        <f t="shared" si="104"/>
        <v/>
      </c>
      <c r="U540" s="242" t="str">
        <f t="shared" si="105"/>
        <v/>
      </c>
      <c r="V540" s="242" t="str">
        <f t="shared" si="106"/>
        <v/>
      </c>
      <c r="W540" s="242" t="str">
        <f t="shared" si="107"/>
        <v/>
      </c>
    </row>
    <row r="541" spans="1:23" x14ac:dyDescent="0.2">
      <c r="A541" s="283"/>
      <c r="B541" s="283"/>
      <c r="C541" s="283"/>
      <c r="D541" s="283"/>
      <c r="E541" s="283"/>
      <c r="F541" s="283"/>
      <c r="G541" s="283"/>
      <c r="K541" s="242">
        <v>540</v>
      </c>
      <c r="L541" s="242" t="str">
        <f t="shared" si="96"/>
        <v/>
      </c>
      <c r="M541" s="242" t="str">
        <f t="shared" si="97"/>
        <v/>
      </c>
      <c r="N541" s="242" t="str">
        <f t="shared" si="98"/>
        <v/>
      </c>
      <c r="O541" s="242" t="str">
        <f t="shared" si="99"/>
        <v/>
      </c>
      <c r="P541" s="242" t="str">
        <f t="shared" si="100"/>
        <v/>
      </c>
      <c r="Q541" s="242" t="str">
        <f t="shared" si="101"/>
        <v/>
      </c>
      <c r="R541" s="242" t="str">
        <f t="shared" si="102"/>
        <v/>
      </c>
      <c r="S541" s="242" t="str">
        <f t="shared" si="103"/>
        <v/>
      </c>
      <c r="T541" s="242" t="str">
        <f t="shared" si="104"/>
        <v/>
      </c>
      <c r="U541" s="242" t="str">
        <f t="shared" si="105"/>
        <v/>
      </c>
      <c r="V541" s="242" t="str">
        <f t="shared" si="106"/>
        <v/>
      </c>
      <c r="W541" s="242" t="str">
        <f t="shared" si="107"/>
        <v/>
      </c>
    </row>
    <row r="542" spans="1:23" x14ac:dyDescent="0.2">
      <c r="A542" s="283"/>
      <c r="B542" s="283"/>
      <c r="C542" s="283"/>
      <c r="D542" s="283"/>
      <c r="E542" s="283"/>
      <c r="F542" s="283"/>
      <c r="G542" s="283"/>
      <c r="K542" s="242">
        <v>541</v>
      </c>
      <c r="L542" s="242" t="str">
        <f t="shared" si="96"/>
        <v/>
      </c>
      <c r="M542" s="242" t="str">
        <f t="shared" si="97"/>
        <v/>
      </c>
      <c r="N542" s="242" t="str">
        <f t="shared" si="98"/>
        <v/>
      </c>
      <c r="O542" s="242" t="str">
        <f t="shared" si="99"/>
        <v/>
      </c>
      <c r="P542" s="242" t="str">
        <f t="shared" si="100"/>
        <v/>
      </c>
      <c r="Q542" s="242" t="str">
        <f t="shared" si="101"/>
        <v/>
      </c>
      <c r="R542" s="242" t="str">
        <f t="shared" si="102"/>
        <v/>
      </c>
      <c r="S542" s="242" t="str">
        <f t="shared" si="103"/>
        <v/>
      </c>
      <c r="T542" s="242" t="str">
        <f t="shared" si="104"/>
        <v/>
      </c>
      <c r="U542" s="242" t="str">
        <f t="shared" si="105"/>
        <v/>
      </c>
      <c r="V542" s="242" t="str">
        <f t="shared" si="106"/>
        <v/>
      </c>
      <c r="W542" s="242" t="str">
        <f t="shared" si="107"/>
        <v/>
      </c>
    </row>
    <row r="543" spans="1:23" x14ac:dyDescent="0.2">
      <c r="A543" s="283"/>
      <c r="B543" s="283"/>
      <c r="C543" s="283"/>
      <c r="D543" s="283"/>
      <c r="E543" s="283"/>
      <c r="F543" s="283"/>
      <c r="G543" s="283"/>
      <c r="K543" s="242">
        <v>542</v>
      </c>
      <c r="L543" s="242" t="str">
        <f t="shared" si="96"/>
        <v/>
      </c>
      <c r="M543" s="242" t="str">
        <f t="shared" si="97"/>
        <v/>
      </c>
      <c r="N543" s="242" t="str">
        <f t="shared" si="98"/>
        <v/>
      </c>
      <c r="O543" s="242" t="str">
        <f t="shared" si="99"/>
        <v/>
      </c>
      <c r="P543" s="242" t="str">
        <f t="shared" si="100"/>
        <v/>
      </c>
      <c r="Q543" s="242" t="str">
        <f t="shared" si="101"/>
        <v/>
      </c>
      <c r="R543" s="242" t="str">
        <f t="shared" si="102"/>
        <v/>
      </c>
      <c r="S543" s="242" t="str">
        <f t="shared" si="103"/>
        <v/>
      </c>
      <c r="T543" s="242" t="str">
        <f t="shared" si="104"/>
        <v/>
      </c>
      <c r="U543" s="242" t="str">
        <f t="shared" si="105"/>
        <v/>
      </c>
      <c r="V543" s="242" t="str">
        <f t="shared" si="106"/>
        <v/>
      </c>
      <c r="W543" s="242" t="str">
        <f t="shared" si="107"/>
        <v/>
      </c>
    </row>
    <row r="544" spans="1:23" x14ac:dyDescent="0.2">
      <c r="A544" s="283"/>
      <c r="B544" s="283"/>
      <c r="C544" s="283"/>
      <c r="D544" s="283"/>
      <c r="E544" s="283"/>
      <c r="F544" s="283"/>
      <c r="G544" s="283"/>
      <c r="K544" s="242">
        <v>543</v>
      </c>
      <c r="L544" s="242" t="str">
        <f t="shared" si="96"/>
        <v/>
      </c>
      <c r="M544" s="242" t="str">
        <f t="shared" si="97"/>
        <v/>
      </c>
      <c r="N544" s="242" t="str">
        <f t="shared" si="98"/>
        <v/>
      </c>
      <c r="O544" s="242" t="str">
        <f t="shared" si="99"/>
        <v/>
      </c>
      <c r="P544" s="242" t="str">
        <f t="shared" si="100"/>
        <v/>
      </c>
      <c r="Q544" s="242" t="str">
        <f t="shared" si="101"/>
        <v/>
      </c>
      <c r="R544" s="242" t="str">
        <f t="shared" si="102"/>
        <v/>
      </c>
      <c r="S544" s="242" t="str">
        <f t="shared" si="103"/>
        <v/>
      </c>
      <c r="T544" s="242" t="str">
        <f t="shared" si="104"/>
        <v/>
      </c>
      <c r="U544" s="242" t="str">
        <f t="shared" si="105"/>
        <v/>
      </c>
      <c r="V544" s="242" t="str">
        <f t="shared" si="106"/>
        <v/>
      </c>
      <c r="W544" s="242" t="str">
        <f t="shared" si="107"/>
        <v/>
      </c>
    </row>
    <row r="545" spans="1:23" x14ac:dyDescent="0.2">
      <c r="A545" s="283"/>
      <c r="B545" s="283"/>
      <c r="C545" s="283"/>
      <c r="D545" s="283"/>
      <c r="E545" s="283"/>
      <c r="F545" s="283"/>
      <c r="G545" s="283"/>
      <c r="K545" s="242">
        <v>544</v>
      </c>
      <c r="L545" s="242" t="str">
        <f t="shared" si="96"/>
        <v/>
      </c>
      <c r="M545" s="242" t="str">
        <f t="shared" si="97"/>
        <v/>
      </c>
      <c r="N545" s="242" t="str">
        <f t="shared" si="98"/>
        <v/>
      </c>
      <c r="O545" s="242" t="str">
        <f t="shared" si="99"/>
        <v/>
      </c>
      <c r="P545" s="242" t="str">
        <f t="shared" si="100"/>
        <v/>
      </c>
      <c r="Q545" s="242" t="str">
        <f t="shared" si="101"/>
        <v/>
      </c>
      <c r="R545" s="242" t="str">
        <f t="shared" si="102"/>
        <v/>
      </c>
      <c r="S545" s="242" t="str">
        <f t="shared" si="103"/>
        <v/>
      </c>
      <c r="T545" s="242" t="str">
        <f t="shared" si="104"/>
        <v/>
      </c>
      <c r="U545" s="242" t="str">
        <f t="shared" si="105"/>
        <v/>
      </c>
      <c r="V545" s="242" t="str">
        <f t="shared" si="106"/>
        <v/>
      </c>
      <c r="W545" s="242" t="str">
        <f t="shared" si="107"/>
        <v/>
      </c>
    </row>
    <row r="546" spans="1:23" x14ac:dyDescent="0.2">
      <c r="A546" s="283"/>
      <c r="B546" s="283"/>
      <c r="C546" s="283"/>
      <c r="D546" s="283"/>
      <c r="E546" s="283"/>
      <c r="F546" s="283"/>
      <c r="G546" s="283"/>
      <c r="K546" s="242">
        <v>545</v>
      </c>
      <c r="L546" s="242" t="str">
        <f t="shared" si="96"/>
        <v/>
      </c>
      <c r="M546" s="242" t="str">
        <f t="shared" si="97"/>
        <v/>
      </c>
      <c r="N546" s="242" t="str">
        <f t="shared" si="98"/>
        <v/>
      </c>
      <c r="O546" s="242" t="str">
        <f t="shared" si="99"/>
        <v/>
      </c>
      <c r="P546" s="242" t="str">
        <f t="shared" si="100"/>
        <v/>
      </c>
      <c r="Q546" s="242" t="str">
        <f t="shared" si="101"/>
        <v/>
      </c>
      <c r="R546" s="242" t="str">
        <f t="shared" si="102"/>
        <v/>
      </c>
      <c r="S546" s="242" t="str">
        <f t="shared" si="103"/>
        <v/>
      </c>
      <c r="T546" s="242" t="str">
        <f t="shared" si="104"/>
        <v/>
      </c>
      <c r="U546" s="242" t="str">
        <f t="shared" si="105"/>
        <v/>
      </c>
      <c r="V546" s="242" t="str">
        <f t="shared" si="106"/>
        <v/>
      </c>
      <c r="W546" s="242" t="str">
        <f t="shared" si="107"/>
        <v/>
      </c>
    </row>
    <row r="547" spans="1:23" x14ac:dyDescent="0.2">
      <c r="A547" s="283"/>
      <c r="B547" s="283"/>
      <c r="C547" s="283"/>
      <c r="D547" s="283"/>
      <c r="E547" s="283"/>
      <c r="F547" s="283"/>
      <c r="G547" s="283"/>
      <c r="K547" s="242">
        <v>546</v>
      </c>
      <c r="L547" s="242" t="str">
        <f t="shared" si="96"/>
        <v/>
      </c>
      <c r="M547" s="242" t="str">
        <f t="shared" si="97"/>
        <v/>
      </c>
      <c r="N547" s="242" t="str">
        <f t="shared" si="98"/>
        <v/>
      </c>
      <c r="O547" s="242" t="str">
        <f t="shared" si="99"/>
        <v/>
      </c>
      <c r="P547" s="242" t="str">
        <f t="shared" si="100"/>
        <v/>
      </c>
      <c r="Q547" s="242" t="str">
        <f t="shared" si="101"/>
        <v/>
      </c>
      <c r="R547" s="242" t="str">
        <f t="shared" si="102"/>
        <v/>
      </c>
      <c r="S547" s="242" t="str">
        <f t="shared" si="103"/>
        <v/>
      </c>
      <c r="T547" s="242" t="str">
        <f t="shared" si="104"/>
        <v/>
      </c>
      <c r="U547" s="242" t="str">
        <f t="shared" si="105"/>
        <v/>
      </c>
      <c r="V547" s="242" t="str">
        <f t="shared" si="106"/>
        <v/>
      </c>
      <c r="W547" s="242" t="str">
        <f t="shared" si="107"/>
        <v/>
      </c>
    </row>
    <row r="548" spans="1:23" x14ac:dyDescent="0.2">
      <c r="A548" s="283"/>
      <c r="B548" s="283"/>
      <c r="C548" s="283"/>
      <c r="D548" s="283"/>
      <c r="E548" s="283"/>
      <c r="F548" s="283"/>
      <c r="G548" s="283"/>
      <c r="K548" s="242">
        <v>547</v>
      </c>
      <c r="L548" s="242" t="str">
        <f t="shared" si="96"/>
        <v/>
      </c>
      <c r="M548" s="242" t="str">
        <f t="shared" si="97"/>
        <v/>
      </c>
      <c r="N548" s="242" t="str">
        <f t="shared" si="98"/>
        <v/>
      </c>
      <c r="O548" s="242" t="str">
        <f t="shared" si="99"/>
        <v/>
      </c>
      <c r="P548" s="242" t="str">
        <f t="shared" si="100"/>
        <v/>
      </c>
      <c r="Q548" s="242" t="str">
        <f t="shared" si="101"/>
        <v/>
      </c>
      <c r="R548" s="242" t="str">
        <f t="shared" si="102"/>
        <v/>
      </c>
      <c r="S548" s="242" t="str">
        <f t="shared" si="103"/>
        <v/>
      </c>
      <c r="T548" s="242" t="str">
        <f t="shared" si="104"/>
        <v/>
      </c>
      <c r="U548" s="242" t="str">
        <f t="shared" si="105"/>
        <v/>
      </c>
      <c r="V548" s="242" t="str">
        <f t="shared" si="106"/>
        <v/>
      </c>
      <c r="W548" s="242" t="str">
        <f t="shared" si="107"/>
        <v/>
      </c>
    </row>
    <row r="549" spans="1:23" x14ac:dyDescent="0.2">
      <c r="A549" s="283"/>
      <c r="B549" s="283"/>
      <c r="C549" s="283"/>
      <c r="D549" s="283"/>
      <c r="E549" s="283"/>
      <c r="F549" s="283"/>
      <c r="G549" s="283"/>
      <c r="K549" s="242">
        <v>548</v>
      </c>
      <c r="L549" s="242" t="str">
        <f t="shared" si="96"/>
        <v/>
      </c>
      <c r="M549" s="242" t="str">
        <f t="shared" si="97"/>
        <v/>
      </c>
      <c r="N549" s="242" t="str">
        <f t="shared" si="98"/>
        <v/>
      </c>
      <c r="O549" s="242" t="str">
        <f t="shared" si="99"/>
        <v/>
      </c>
      <c r="P549" s="242" t="str">
        <f t="shared" si="100"/>
        <v/>
      </c>
      <c r="Q549" s="242" t="str">
        <f t="shared" si="101"/>
        <v/>
      </c>
      <c r="R549" s="242" t="str">
        <f t="shared" si="102"/>
        <v/>
      </c>
      <c r="S549" s="242" t="str">
        <f t="shared" si="103"/>
        <v/>
      </c>
      <c r="T549" s="242" t="str">
        <f t="shared" si="104"/>
        <v/>
      </c>
      <c r="U549" s="242" t="str">
        <f t="shared" si="105"/>
        <v/>
      </c>
      <c r="V549" s="242" t="str">
        <f t="shared" si="106"/>
        <v/>
      </c>
      <c r="W549" s="242" t="str">
        <f t="shared" si="107"/>
        <v/>
      </c>
    </row>
    <row r="550" spans="1:23" x14ac:dyDescent="0.2">
      <c r="A550" s="283"/>
      <c r="B550" s="283"/>
      <c r="C550" s="283"/>
      <c r="D550" s="283"/>
      <c r="E550" s="283"/>
      <c r="F550" s="283"/>
      <c r="G550" s="283"/>
      <c r="K550" s="242">
        <v>549</v>
      </c>
      <c r="L550" s="242" t="str">
        <f t="shared" si="96"/>
        <v/>
      </c>
      <c r="M550" s="242" t="str">
        <f t="shared" si="97"/>
        <v/>
      </c>
      <c r="N550" s="242" t="str">
        <f t="shared" si="98"/>
        <v/>
      </c>
      <c r="O550" s="242" t="str">
        <f t="shared" si="99"/>
        <v/>
      </c>
      <c r="P550" s="242" t="str">
        <f t="shared" si="100"/>
        <v/>
      </c>
      <c r="Q550" s="242" t="str">
        <f t="shared" si="101"/>
        <v/>
      </c>
      <c r="R550" s="242" t="str">
        <f t="shared" si="102"/>
        <v/>
      </c>
      <c r="S550" s="242" t="str">
        <f t="shared" si="103"/>
        <v/>
      </c>
      <c r="T550" s="242" t="str">
        <f t="shared" si="104"/>
        <v/>
      </c>
      <c r="U550" s="242" t="str">
        <f t="shared" si="105"/>
        <v/>
      </c>
      <c r="V550" s="242" t="str">
        <f t="shared" si="106"/>
        <v/>
      </c>
      <c r="W550" s="242" t="str">
        <f t="shared" si="107"/>
        <v/>
      </c>
    </row>
    <row r="551" spans="1:23" x14ac:dyDescent="0.2">
      <c r="A551" s="283"/>
      <c r="B551" s="283"/>
      <c r="C551" s="283"/>
      <c r="D551" s="283"/>
      <c r="E551" s="283"/>
      <c r="F551" s="283"/>
      <c r="G551" s="283"/>
      <c r="K551" s="242">
        <v>550</v>
      </c>
      <c r="L551" s="242" t="str">
        <f t="shared" si="96"/>
        <v/>
      </c>
      <c r="M551" s="242" t="str">
        <f t="shared" si="97"/>
        <v/>
      </c>
      <c r="N551" s="242" t="str">
        <f t="shared" si="98"/>
        <v/>
      </c>
      <c r="O551" s="242" t="str">
        <f t="shared" si="99"/>
        <v/>
      </c>
      <c r="P551" s="242" t="str">
        <f t="shared" si="100"/>
        <v/>
      </c>
      <c r="Q551" s="242" t="str">
        <f t="shared" si="101"/>
        <v/>
      </c>
      <c r="R551" s="242" t="str">
        <f t="shared" si="102"/>
        <v/>
      </c>
      <c r="S551" s="242" t="str">
        <f t="shared" si="103"/>
        <v/>
      </c>
      <c r="T551" s="242" t="str">
        <f t="shared" si="104"/>
        <v/>
      </c>
      <c r="U551" s="242" t="str">
        <f t="shared" si="105"/>
        <v/>
      </c>
      <c r="V551" s="242" t="str">
        <f t="shared" si="106"/>
        <v/>
      </c>
      <c r="W551" s="242" t="str">
        <f t="shared" si="107"/>
        <v/>
      </c>
    </row>
    <row r="552" spans="1:23" x14ac:dyDescent="0.2">
      <c r="A552" s="283"/>
      <c r="B552" s="283"/>
      <c r="C552" s="283"/>
      <c r="D552" s="283"/>
      <c r="E552" s="283"/>
      <c r="F552" s="283"/>
      <c r="G552" s="283"/>
      <c r="K552" s="242">
        <v>551</v>
      </c>
      <c r="L552" s="242" t="str">
        <f t="shared" si="96"/>
        <v/>
      </c>
      <c r="M552" s="242" t="str">
        <f t="shared" si="97"/>
        <v/>
      </c>
      <c r="N552" s="242" t="str">
        <f t="shared" si="98"/>
        <v/>
      </c>
      <c r="O552" s="242" t="str">
        <f t="shared" si="99"/>
        <v/>
      </c>
      <c r="P552" s="242" t="str">
        <f t="shared" si="100"/>
        <v/>
      </c>
      <c r="Q552" s="242" t="str">
        <f t="shared" si="101"/>
        <v/>
      </c>
      <c r="R552" s="242" t="str">
        <f t="shared" si="102"/>
        <v/>
      </c>
      <c r="S552" s="242" t="str">
        <f t="shared" si="103"/>
        <v/>
      </c>
      <c r="T552" s="242" t="str">
        <f t="shared" si="104"/>
        <v/>
      </c>
      <c r="U552" s="242" t="str">
        <f t="shared" si="105"/>
        <v/>
      </c>
      <c r="V552" s="242" t="str">
        <f t="shared" si="106"/>
        <v/>
      </c>
      <c r="W552" s="242" t="str">
        <f t="shared" si="107"/>
        <v/>
      </c>
    </row>
    <row r="553" spans="1:23" x14ac:dyDescent="0.2">
      <c r="A553" s="283"/>
      <c r="B553" s="283"/>
      <c r="C553" s="283"/>
      <c r="D553" s="283"/>
      <c r="E553" s="283"/>
      <c r="F553" s="283"/>
      <c r="G553" s="283"/>
      <c r="K553" s="242">
        <v>552</v>
      </c>
      <c r="L553" s="242" t="str">
        <f t="shared" si="96"/>
        <v/>
      </c>
      <c r="M553" s="242" t="str">
        <f t="shared" si="97"/>
        <v/>
      </c>
      <c r="N553" s="242" t="str">
        <f t="shared" si="98"/>
        <v/>
      </c>
      <c r="O553" s="242" t="str">
        <f t="shared" si="99"/>
        <v/>
      </c>
      <c r="P553" s="242" t="str">
        <f t="shared" si="100"/>
        <v/>
      </c>
      <c r="Q553" s="242" t="str">
        <f t="shared" si="101"/>
        <v/>
      </c>
      <c r="R553" s="242" t="str">
        <f t="shared" si="102"/>
        <v/>
      </c>
      <c r="S553" s="242" t="str">
        <f t="shared" si="103"/>
        <v/>
      </c>
      <c r="T553" s="242" t="str">
        <f t="shared" si="104"/>
        <v/>
      </c>
      <c r="U553" s="242" t="str">
        <f t="shared" si="105"/>
        <v/>
      </c>
      <c r="V553" s="242" t="str">
        <f t="shared" si="106"/>
        <v/>
      </c>
      <c r="W553" s="242" t="str">
        <f t="shared" si="107"/>
        <v/>
      </c>
    </row>
    <row r="554" spans="1:23" x14ac:dyDescent="0.2">
      <c r="A554" s="283"/>
      <c r="B554" s="283"/>
      <c r="C554" s="283"/>
      <c r="D554" s="283"/>
      <c r="E554" s="283"/>
      <c r="F554" s="283"/>
      <c r="G554" s="283"/>
      <c r="K554" s="242">
        <v>553</v>
      </c>
      <c r="L554" s="242" t="str">
        <f t="shared" si="96"/>
        <v/>
      </c>
      <c r="M554" s="242" t="str">
        <f t="shared" si="97"/>
        <v/>
      </c>
      <c r="N554" s="242" t="str">
        <f t="shared" si="98"/>
        <v/>
      </c>
      <c r="O554" s="242" t="str">
        <f t="shared" si="99"/>
        <v/>
      </c>
      <c r="P554" s="242" t="str">
        <f t="shared" si="100"/>
        <v/>
      </c>
      <c r="Q554" s="242" t="str">
        <f t="shared" si="101"/>
        <v/>
      </c>
      <c r="R554" s="242" t="str">
        <f t="shared" si="102"/>
        <v/>
      </c>
      <c r="S554" s="242" t="str">
        <f t="shared" si="103"/>
        <v/>
      </c>
      <c r="T554" s="242" t="str">
        <f t="shared" si="104"/>
        <v/>
      </c>
      <c r="U554" s="242" t="str">
        <f t="shared" si="105"/>
        <v/>
      </c>
      <c r="V554" s="242" t="str">
        <f t="shared" si="106"/>
        <v/>
      </c>
      <c r="W554" s="242" t="str">
        <f t="shared" si="107"/>
        <v/>
      </c>
    </row>
    <row r="555" spans="1:23" x14ac:dyDescent="0.2">
      <c r="A555" s="283"/>
      <c r="B555" s="283"/>
      <c r="C555" s="283"/>
      <c r="D555" s="283"/>
      <c r="E555" s="283"/>
      <c r="F555" s="283"/>
      <c r="G555" s="283"/>
      <c r="K555" s="242">
        <v>554</v>
      </c>
      <c r="L555" s="242" t="str">
        <f t="shared" si="96"/>
        <v/>
      </c>
      <c r="M555" s="242" t="str">
        <f t="shared" si="97"/>
        <v/>
      </c>
      <c r="N555" s="242" t="str">
        <f t="shared" si="98"/>
        <v/>
      </c>
      <c r="O555" s="242" t="str">
        <f t="shared" si="99"/>
        <v/>
      </c>
      <c r="P555" s="242" t="str">
        <f t="shared" si="100"/>
        <v/>
      </c>
      <c r="Q555" s="242" t="str">
        <f t="shared" si="101"/>
        <v/>
      </c>
      <c r="R555" s="242" t="str">
        <f t="shared" si="102"/>
        <v/>
      </c>
      <c r="S555" s="242" t="str">
        <f t="shared" si="103"/>
        <v/>
      </c>
      <c r="T555" s="242" t="str">
        <f t="shared" si="104"/>
        <v/>
      </c>
      <c r="U555" s="242" t="str">
        <f t="shared" si="105"/>
        <v/>
      </c>
      <c r="V555" s="242" t="str">
        <f t="shared" si="106"/>
        <v/>
      </c>
      <c r="W555" s="242" t="str">
        <f t="shared" si="107"/>
        <v/>
      </c>
    </row>
    <row r="556" spans="1:23" x14ac:dyDescent="0.2">
      <c r="A556" s="283"/>
      <c r="B556" s="283"/>
      <c r="C556" s="283"/>
      <c r="D556" s="283"/>
      <c r="E556" s="283"/>
      <c r="F556" s="283"/>
      <c r="G556" s="283"/>
      <c r="K556" s="242">
        <v>555</v>
      </c>
      <c r="L556" s="242" t="str">
        <f t="shared" si="96"/>
        <v/>
      </c>
      <c r="M556" s="242" t="str">
        <f t="shared" si="97"/>
        <v/>
      </c>
      <c r="N556" s="242" t="str">
        <f t="shared" si="98"/>
        <v/>
      </c>
      <c r="O556" s="242" t="str">
        <f t="shared" si="99"/>
        <v/>
      </c>
      <c r="P556" s="242" t="str">
        <f t="shared" si="100"/>
        <v/>
      </c>
      <c r="Q556" s="242" t="str">
        <f t="shared" si="101"/>
        <v/>
      </c>
      <c r="R556" s="242" t="str">
        <f t="shared" si="102"/>
        <v/>
      </c>
      <c r="S556" s="242" t="str">
        <f t="shared" si="103"/>
        <v/>
      </c>
      <c r="T556" s="242" t="str">
        <f t="shared" si="104"/>
        <v/>
      </c>
      <c r="U556" s="242" t="str">
        <f t="shared" si="105"/>
        <v/>
      </c>
      <c r="V556" s="242" t="str">
        <f t="shared" si="106"/>
        <v/>
      </c>
      <c r="W556" s="242" t="str">
        <f t="shared" si="107"/>
        <v/>
      </c>
    </row>
    <row r="557" spans="1:23" x14ac:dyDescent="0.2">
      <c r="A557" s="283"/>
      <c r="B557" s="283"/>
      <c r="C557" s="283"/>
      <c r="D557" s="283"/>
      <c r="E557" s="283"/>
      <c r="F557" s="283"/>
      <c r="G557" s="283"/>
      <c r="K557" s="242">
        <v>556</v>
      </c>
      <c r="L557" s="242" t="str">
        <f t="shared" si="96"/>
        <v/>
      </c>
      <c r="M557" s="242" t="str">
        <f t="shared" si="97"/>
        <v/>
      </c>
      <c r="N557" s="242" t="str">
        <f t="shared" si="98"/>
        <v/>
      </c>
      <c r="O557" s="242" t="str">
        <f t="shared" si="99"/>
        <v/>
      </c>
      <c r="P557" s="242" t="str">
        <f t="shared" si="100"/>
        <v/>
      </c>
      <c r="Q557" s="242" t="str">
        <f t="shared" si="101"/>
        <v/>
      </c>
      <c r="R557" s="242" t="str">
        <f t="shared" si="102"/>
        <v/>
      </c>
      <c r="S557" s="242" t="str">
        <f t="shared" si="103"/>
        <v/>
      </c>
      <c r="T557" s="242" t="str">
        <f t="shared" si="104"/>
        <v/>
      </c>
      <c r="U557" s="242" t="str">
        <f t="shared" si="105"/>
        <v/>
      </c>
      <c r="V557" s="242" t="str">
        <f t="shared" si="106"/>
        <v/>
      </c>
      <c r="W557" s="242" t="str">
        <f t="shared" si="107"/>
        <v/>
      </c>
    </row>
    <row r="558" spans="1:23" x14ac:dyDescent="0.2">
      <c r="A558" s="283"/>
      <c r="B558" s="283"/>
      <c r="C558" s="283"/>
      <c r="D558" s="283"/>
      <c r="E558" s="283"/>
      <c r="F558" s="283"/>
      <c r="G558" s="283"/>
      <c r="K558" s="242">
        <v>557</v>
      </c>
      <c r="L558" s="242" t="str">
        <f t="shared" si="96"/>
        <v/>
      </c>
      <c r="M558" s="242" t="str">
        <f t="shared" si="97"/>
        <v/>
      </c>
      <c r="N558" s="242" t="str">
        <f t="shared" si="98"/>
        <v/>
      </c>
      <c r="O558" s="242" t="str">
        <f t="shared" si="99"/>
        <v/>
      </c>
      <c r="P558" s="242" t="str">
        <f t="shared" si="100"/>
        <v/>
      </c>
      <c r="Q558" s="242" t="str">
        <f t="shared" si="101"/>
        <v/>
      </c>
      <c r="R558" s="242" t="str">
        <f t="shared" si="102"/>
        <v/>
      </c>
      <c r="S558" s="242" t="str">
        <f t="shared" si="103"/>
        <v/>
      </c>
      <c r="T558" s="242" t="str">
        <f t="shared" si="104"/>
        <v/>
      </c>
      <c r="U558" s="242" t="str">
        <f t="shared" si="105"/>
        <v/>
      </c>
      <c r="V558" s="242" t="str">
        <f t="shared" si="106"/>
        <v/>
      </c>
      <c r="W558" s="242" t="str">
        <f t="shared" si="107"/>
        <v/>
      </c>
    </row>
    <row r="559" spans="1:23" x14ac:dyDescent="0.2">
      <c r="A559" s="283"/>
      <c r="B559" s="283"/>
      <c r="C559" s="283"/>
      <c r="D559" s="283"/>
      <c r="E559" s="283"/>
      <c r="F559" s="283"/>
      <c r="G559" s="283"/>
      <c r="K559" s="242">
        <v>558</v>
      </c>
      <c r="L559" s="242" t="str">
        <f t="shared" si="96"/>
        <v/>
      </c>
      <c r="M559" s="242" t="str">
        <f t="shared" si="97"/>
        <v/>
      </c>
      <c r="N559" s="242" t="str">
        <f t="shared" si="98"/>
        <v/>
      </c>
      <c r="O559" s="242" t="str">
        <f t="shared" si="99"/>
        <v/>
      </c>
      <c r="P559" s="242" t="str">
        <f t="shared" si="100"/>
        <v/>
      </c>
      <c r="Q559" s="242" t="str">
        <f t="shared" si="101"/>
        <v/>
      </c>
      <c r="R559" s="242" t="str">
        <f t="shared" si="102"/>
        <v/>
      </c>
      <c r="S559" s="242" t="str">
        <f t="shared" si="103"/>
        <v/>
      </c>
      <c r="T559" s="242" t="str">
        <f t="shared" si="104"/>
        <v/>
      </c>
      <c r="U559" s="242" t="str">
        <f t="shared" si="105"/>
        <v/>
      </c>
      <c r="V559" s="242" t="str">
        <f t="shared" si="106"/>
        <v/>
      </c>
      <c r="W559" s="242" t="str">
        <f t="shared" si="107"/>
        <v/>
      </c>
    </row>
    <row r="560" spans="1:23" x14ac:dyDescent="0.2">
      <c r="A560" s="283"/>
      <c r="B560" s="283"/>
      <c r="C560" s="283"/>
      <c r="D560" s="283"/>
      <c r="E560" s="283"/>
      <c r="F560" s="283"/>
      <c r="G560" s="283"/>
      <c r="K560" s="242">
        <v>559</v>
      </c>
      <c r="L560" s="242" t="str">
        <f t="shared" si="96"/>
        <v/>
      </c>
      <c r="M560" s="242" t="str">
        <f t="shared" si="97"/>
        <v/>
      </c>
      <c r="N560" s="242" t="str">
        <f t="shared" si="98"/>
        <v/>
      </c>
      <c r="O560" s="242" t="str">
        <f t="shared" si="99"/>
        <v/>
      </c>
      <c r="P560" s="242" t="str">
        <f t="shared" si="100"/>
        <v/>
      </c>
      <c r="Q560" s="242" t="str">
        <f t="shared" si="101"/>
        <v/>
      </c>
      <c r="R560" s="242" t="str">
        <f t="shared" si="102"/>
        <v/>
      </c>
      <c r="S560" s="242" t="str">
        <f t="shared" si="103"/>
        <v/>
      </c>
      <c r="T560" s="242" t="str">
        <f t="shared" si="104"/>
        <v/>
      </c>
      <c r="U560" s="242" t="str">
        <f t="shared" si="105"/>
        <v/>
      </c>
      <c r="V560" s="242" t="str">
        <f t="shared" si="106"/>
        <v/>
      </c>
      <c r="W560" s="242" t="str">
        <f t="shared" si="107"/>
        <v/>
      </c>
    </row>
    <row r="561" spans="1:23" x14ac:dyDescent="0.2">
      <c r="A561" s="283"/>
      <c r="B561" s="283"/>
      <c r="C561" s="283"/>
      <c r="D561" s="283"/>
      <c r="E561" s="283"/>
      <c r="F561" s="283"/>
      <c r="G561" s="283"/>
      <c r="K561" s="242">
        <v>560</v>
      </c>
      <c r="L561" s="242" t="str">
        <f t="shared" si="96"/>
        <v/>
      </c>
      <c r="M561" s="242" t="str">
        <f t="shared" si="97"/>
        <v/>
      </c>
      <c r="N561" s="242" t="str">
        <f t="shared" si="98"/>
        <v/>
      </c>
      <c r="O561" s="242" t="str">
        <f t="shared" si="99"/>
        <v/>
      </c>
      <c r="P561" s="242" t="str">
        <f t="shared" si="100"/>
        <v/>
      </c>
      <c r="Q561" s="242" t="str">
        <f t="shared" si="101"/>
        <v/>
      </c>
      <c r="R561" s="242" t="str">
        <f t="shared" si="102"/>
        <v/>
      </c>
      <c r="S561" s="242" t="str">
        <f t="shared" si="103"/>
        <v/>
      </c>
      <c r="T561" s="242" t="str">
        <f t="shared" si="104"/>
        <v/>
      </c>
      <c r="U561" s="242" t="str">
        <f t="shared" si="105"/>
        <v/>
      </c>
      <c r="V561" s="242" t="str">
        <f t="shared" si="106"/>
        <v/>
      </c>
      <c r="W561" s="242" t="str">
        <f t="shared" si="107"/>
        <v/>
      </c>
    </row>
    <row r="562" spans="1:23" x14ac:dyDescent="0.2">
      <c r="A562" s="283"/>
      <c r="B562" s="283"/>
      <c r="C562" s="283"/>
      <c r="D562" s="283"/>
      <c r="E562" s="283"/>
      <c r="F562" s="283"/>
      <c r="G562" s="283"/>
      <c r="K562" s="242">
        <v>561</v>
      </c>
      <c r="L562" s="242" t="str">
        <f t="shared" si="96"/>
        <v/>
      </c>
      <c r="M562" s="242" t="str">
        <f t="shared" si="97"/>
        <v/>
      </c>
      <c r="N562" s="242" t="str">
        <f t="shared" si="98"/>
        <v/>
      </c>
      <c r="O562" s="242" t="str">
        <f t="shared" si="99"/>
        <v/>
      </c>
      <c r="P562" s="242" t="str">
        <f t="shared" si="100"/>
        <v/>
      </c>
      <c r="Q562" s="242" t="str">
        <f t="shared" si="101"/>
        <v/>
      </c>
      <c r="R562" s="242" t="str">
        <f t="shared" si="102"/>
        <v/>
      </c>
      <c r="S562" s="242" t="str">
        <f t="shared" si="103"/>
        <v/>
      </c>
      <c r="T562" s="242" t="str">
        <f t="shared" si="104"/>
        <v/>
      </c>
      <c r="U562" s="242" t="str">
        <f t="shared" si="105"/>
        <v/>
      </c>
      <c r="V562" s="242" t="str">
        <f t="shared" si="106"/>
        <v/>
      </c>
      <c r="W562" s="242" t="str">
        <f t="shared" si="107"/>
        <v/>
      </c>
    </row>
    <row r="563" spans="1:23" x14ac:dyDescent="0.2">
      <c r="A563" s="283"/>
      <c r="B563" s="283"/>
      <c r="C563" s="283"/>
      <c r="D563" s="283"/>
      <c r="E563" s="283"/>
      <c r="F563" s="283"/>
      <c r="G563" s="283"/>
      <c r="K563" s="242">
        <v>562</v>
      </c>
      <c r="L563" s="242" t="str">
        <f t="shared" si="96"/>
        <v/>
      </c>
      <c r="M563" s="242" t="str">
        <f t="shared" si="97"/>
        <v/>
      </c>
      <c r="N563" s="242" t="str">
        <f t="shared" si="98"/>
        <v/>
      </c>
      <c r="O563" s="242" t="str">
        <f t="shared" si="99"/>
        <v/>
      </c>
      <c r="P563" s="242" t="str">
        <f t="shared" si="100"/>
        <v/>
      </c>
      <c r="Q563" s="242" t="str">
        <f t="shared" si="101"/>
        <v/>
      </c>
      <c r="R563" s="242" t="str">
        <f t="shared" si="102"/>
        <v/>
      </c>
      <c r="S563" s="242" t="str">
        <f t="shared" si="103"/>
        <v/>
      </c>
      <c r="T563" s="242" t="str">
        <f t="shared" si="104"/>
        <v/>
      </c>
      <c r="U563" s="242" t="str">
        <f t="shared" si="105"/>
        <v/>
      </c>
      <c r="V563" s="242" t="str">
        <f t="shared" si="106"/>
        <v/>
      </c>
      <c r="W563" s="242" t="str">
        <f t="shared" si="107"/>
        <v/>
      </c>
    </row>
    <row r="564" spans="1:23" x14ac:dyDescent="0.2">
      <c r="A564" s="283"/>
      <c r="B564" s="283"/>
      <c r="C564" s="283"/>
      <c r="D564" s="283"/>
      <c r="E564" s="283"/>
      <c r="F564" s="283"/>
      <c r="G564" s="283"/>
      <c r="K564" s="242">
        <v>563</v>
      </c>
      <c r="L564" s="242" t="str">
        <f t="shared" si="96"/>
        <v/>
      </c>
      <c r="M564" s="242" t="str">
        <f t="shared" si="97"/>
        <v/>
      </c>
      <c r="N564" s="242" t="str">
        <f t="shared" si="98"/>
        <v/>
      </c>
      <c r="O564" s="242" t="str">
        <f t="shared" si="99"/>
        <v/>
      </c>
      <c r="P564" s="242" t="str">
        <f t="shared" si="100"/>
        <v/>
      </c>
      <c r="Q564" s="242" t="str">
        <f t="shared" si="101"/>
        <v/>
      </c>
      <c r="R564" s="242" t="str">
        <f t="shared" si="102"/>
        <v/>
      </c>
      <c r="S564" s="242" t="str">
        <f t="shared" si="103"/>
        <v/>
      </c>
      <c r="T564" s="242" t="str">
        <f t="shared" si="104"/>
        <v/>
      </c>
      <c r="U564" s="242" t="str">
        <f t="shared" si="105"/>
        <v/>
      </c>
      <c r="V564" s="242" t="str">
        <f t="shared" si="106"/>
        <v/>
      </c>
      <c r="W564" s="242" t="str">
        <f t="shared" si="107"/>
        <v/>
      </c>
    </row>
    <row r="565" spans="1:23" x14ac:dyDescent="0.2">
      <c r="A565" s="283"/>
      <c r="B565" s="283"/>
      <c r="C565" s="283"/>
      <c r="D565" s="283"/>
      <c r="E565" s="283"/>
      <c r="F565" s="283"/>
      <c r="G565" s="283"/>
      <c r="K565" s="242">
        <v>564</v>
      </c>
      <c r="L565" s="242" t="str">
        <f t="shared" si="96"/>
        <v/>
      </c>
      <c r="M565" s="242" t="str">
        <f t="shared" si="97"/>
        <v/>
      </c>
      <c r="N565" s="242" t="str">
        <f t="shared" si="98"/>
        <v/>
      </c>
      <c r="O565" s="242" t="str">
        <f t="shared" si="99"/>
        <v/>
      </c>
      <c r="P565" s="242" t="str">
        <f t="shared" si="100"/>
        <v/>
      </c>
      <c r="Q565" s="242" t="str">
        <f t="shared" si="101"/>
        <v/>
      </c>
      <c r="R565" s="242" t="str">
        <f t="shared" si="102"/>
        <v/>
      </c>
      <c r="S565" s="242" t="str">
        <f t="shared" si="103"/>
        <v/>
      </c>
      <c r="T565" s="242" t="str">
        <f t="shared" si="104"/>
        <v/>
      </c>
      <c r="U565" s="242" t="str">
        <f t="shared" si="105"/>
        <v/>
      </c>
      <c r="V565" s="242" t="str">
        <f t="shared" si="106"/>
        <v/>
      </c>
      <c r="W565" s="242" t="str">
        <f t="shared" si="107"/>
        <v/>
      </c>
    </row>
    <row r="566" spans="1:23" x14ac:dyDescent="0.2">
      <c r="A566" s="283"/>
      <c r="B566" s="283"/>
      <c r="C566" s="283"/>
      <c r="D566" s="283"/>
      <c r="E566" s="283"/>
      <c r="F566" s="283"/>
      <c r="G566" s="283"/>
      <c r="K566" s="242">
        <v>565</v>
      </c>
      <c r="L566" s="242" t="str">
        <f t="shared" si="96"/>
        <v/>
      </c>
      <c r="M566" s="242" t="str">
        <f t="shared" si="97"/>
        <v/>
      </c>
      <c r="N566" s="242" t="str">
        <f t="shared" si="98"/>
        <v/>
      </c>
      <c r="O566" s="242" t="str">
        <f t="shared" si="99"/>
        <v/>
      </c>
      <c r="P566" s="242" t="str">
        <f t="shared" si="100"/>
        <v/>
      </c>
      <c r="Q566" s="242" t="str">
        <f t="shared" si="101"/>
        <v/>
      </c>
      <c r="R566" s="242" t="str">
        <f t="shared" si="102"/>
        <v/>
      </c>
      <c r="S566" s="242" t="str">
        <f t="shared" si="103"/>
        <v/>
      </c>
      <c r="T566" s="242" t="str">
        <f t="shared" si="104"/>
        <v/>
      </c>
      <c r="U566" s="242" t="str">
        <f t="shared" si="105"/>
        <v/>
      </c>
      <c r="V566" s="242" t="str">
        <f t="shared" si="106"/>
        <v/>
      </c>
      <c r="W566" s="242" t="str">
        <f t="shared" si="107"/>
        <v/>
      </c>
    </row>
    <row r="567" spans="1:23" x14ac:dyDescent="0.2">
      <c r="A567" s="283"/>
      <c r="B567" s="283"/>
      <c r="C567" s="283"/>
      <c r="D567" s="283"/>
      <c r="E567" s="283"/>
      <c r="F567" s="283"/>
      <c r="G567" s="283"/>
      <c r="K567" s="242">
        <v>566</v>
      </c>
      <c r="L567" s="242" t="str">
        <f t="shared" si="96"/>
        <v/>
      </c>
      <c r="M567" s="242" t="str">
        <f t="shared" si="97"/>
        <v/>
      </c>
      <c r="N567" s="242" t="str">
        <f t="shared" si="98"/>
        <v/>
      </c>
      <c r="O567" s="242" t="str">
        <f t="shared" si="99"/>
        <v/>
      </c>
      <c r="P567" s="242" t="str">
        <f t="shared" si="100"/>
        <v/>
      </c>
      <c r="Q567" s="242" t="str">
        <f t="shared" si="101"/>
        <v/>
      </c>
      <c r="R567" s="242" t="str">
        <f t="shared" si="102"/>
        <v/>
      </c>
      <c r="S567" s="242" t="str">
        <f t="shared" si="103"/>
        <v/>
      </c>
      <c r="T567" s="242" t="str">
        <f t="shared" si="104"/>
        <v/>
      </c>
      <c r="U567" s="242" t="str">
        <f t="shared" si="105"/>
        <v/>
      </c>
      <c r="V567" s="242" t="str">
        <f t="shared" si="106"/>
        <v/>
      </c>
      <c r="W567" s="242" t="str">
        <f t="shared" si="107"/>
        <v/>
      </c>
    </row>
    <row r="568" spans="1:23" x14ac:dyDescent="0.2">
      <c r="A568" s="283"/>
      <c r="B568" s="283"/>
      <c r="C568" s="283"/>
      <c r="D568" s="283"/>
      <c r="E568" s="283"/>
      <c r="F568" s="283"/>
      <c r="G568" s="283"/>
      <c r="K568" s="242">
        <v>567</v>
      </c>
      <c r="L568" s="242" t="str">
        <f t="shared" si="96"/>
        <v/>
      </c>
      <c r="M568" s="242" t="str">
        <f t="shared" si="97"/>
        <v/>
      </c>
      <c r="N568" s="242" t="str">
        <f t="shared" si="98"/>
        <v/>
      </c>
      <c r="O568" s="242" t="str">
        <f t="shared" si="99"/>
        <v/>
      </c>
      <c r="P568" s="242" t="str">
        <f t="shared" si="100"/>
        <v/>
      </c>
      <c r="Q568" s="242" t="str">
        <f t="shared" si="101"/>
        <v/>
      </c>
      <c r="R568" s="242" t="str">
        <f t="shared" si="102"/>
        <v/>
      </c>
      <c r="S568" s="242" t="str">
        <f t="shared" si="103"/>
        <v/>
      </c>
      <c r="T568" s="242" t="str">
        <f t="shared" si="104"/>
        <v/>
      </c>
      <c r="U568" s="242" t="str">
        <f t="shared" si="105"/>
        <v/>
      </c>
      <c r="V568" s="242" t="str">
        <f t="shared" si="106"/>
        <v/>
      </c>
      <c r="W568" s="242" t="str">
        <f t="shared" si="107"/>
        <v/>
      </c>
    </row>
    <row r="569" spans="1:23" x14ac:dyDescent="0.2">
      <c r="A569" s="283"/>
      <c r="B569" s="283"/>
      <c r="C569" s="283"/>
      <c r="D569" s="283"/>
      <c r="E569" s="283"/>
      <c r="F569" s="283"/>
      <c r="G569" s="283"/>
      <c r="K569" s="242">
        <v>568</v>
      </c>
      <c r="L569" s="242" t="str">
        <f t="shared" si="96"/>
        <v/>
      </c>
      <c r="M569" s="242" t="str">
        <f t="shared" si="97"/>
        <v/>
      </c>
      <c r="N569" s="242" t="str">
        <f t="shared" si="98"/>
        <v/>
      </c>
      <c r="O569" s="242" t="str">
        <f t="shared" si="99"/>
        <v/>
      </c>
      <c r="P569" s="242" t="str">
        <f t="shared" si="100"/>
        <v/>
      </c>
      <c r="Q569" s="242" t="str">
        <f t="shared" si="101"/>
        <v/>
      </c>
      <c r="R569" s="242" t="str">
        <f t="shared" si="102"/>
        <v/>
      </c>
      <c r="S569" s="242" t="str">
        <f t="shared" si="103"/>
        <v/>
      </c>
      <c r="T569" s="242" t="str">
        <f t="shared" si="104"/>
        <v/>
      </c>
      <c r="U569" s="242" t="str">
        <f t="shared" si="105"/>
        <v/>
      </c>
      <c r="V569" s="242" t="str">
        <f t="shared" si="106"/>
        <v/>
      </c>
      <c r="W569" s="242" t="str">
        <f t="shared" si="107"/>
        <v/>
      </c>
    </row>
    <row r="570" spans="1:23" x14ac:dyDescent="0.2">
      <c r="A570" s="283"/>
      <c r="B570" s="283"/>
      <c r="C570" s="283"/>
      <c r="D570" s="283"/>
      <c r="E570" s="283"/>
      <c r="F570" s="283"/>
      <c r="G570" s="283"/>
      <c r="K570" s="242">
        <v>569</v>
      </c>
      <c r="L570" s="242" t="str">
        <f t="shared" si="96"/>
        <v/>
      </c>
      <c r="M570" s="242" t="str">
        <f t="shared" si="97"/>
        <v/>
      </c>
      <c r="N570" s="242" t="str">
        <f t="shared" si="98"/>
        <v/>
      </c>
      <c r="O570" s="242" t="str">
        <f t="shared" si="99"/>
        <v/>
      </c>
      <c r="P570" s="242" t="str">
        <f t="shared" si="100"/>
        <v/>
      </c>
      <c r="Q570" s="242" t="str">
        <f t="shared" si="101"/>
        <v/>
      </c>
      <c r="R570" s="242" t="str">
        <f t="shared" si="102"/>
        <v/>
      </c>
      <c r="S570" s="242" t="str">
        <f t="shared" si="103"/>
        <v/>
      </c>
      <c r="T570" s="242" t="str">
        <f t="shared" si="104"/>
        <v/>
      </c>
      <c r="U570" s="242" t="str">
        <f t="shared" si="105"/>
        <v/>
      </c>
      <c r="V570" s="242" t="str">
        <f t="shared" si="106"/>
        <v/>
      </c>
      <c r="W570" s="242" t="str">
        <f t="shared" si="107"/>
        <v/>
      </c>
    </row>
    <row r="571" spans="1:23" x14ac:dyDescent="0.2">
      <c r="A571" s="283"/>
      <c r="B571" s="283"/>
      <c r="C571" s="283"/>
      <c r="D571" s="283"/>
      <c r="E571" s="283"/>
      <c r="F571" s="283"/>
      <c r="G571" s="283"/>
      <c r="K571" s="242">
        <v>570</v>
      </c>
      <c r="L571" s="242" t="str">
        <f t="shared" si="96"/>
        <v/>
      </c>
      <c r="M571" s="242" t="str">
        <f t="shared" si="97"/>
        <v/>
      </c>
      <c r="N571" s="242" t="str">
        <f t="shared" si="98"/>
        <v/>
      </c>
      <c r="O571" s="242" t="str">
        <f t="shared" si="99"/>
        <v/>
      </c>
      <c r="P571" s="242" t="str">
        <f t="shared" si="100"/>
        <v/>
      </c>
      <c r="Q571" s="242" t="str">
        <f t="shared" si="101"/>
        <v/>
      </c>
      <c r="R571" s="242" t="str">
        <f t="shared" si="102"/>
        <v/>
      </c>
      <c r="S571" s="242" t="str">
        <f t="shared" si="103"/>
        <v/>
      </c>
      <c r="T571" s="242" t="str">
        <f t="shared" si="104"/>
        <v/>
      </c>
      <c r="U571" s="242" t="str">
        <f t="shared" si="105"/>
        <v/>
      </c>
      <c r="V571" s="242" t="str">
        <f t="shared" si="106"/>
        <v/>
      </c>
      <c r="W571" s="242" t="str">
        <f t="shared" si="107"/>
        <v/>
      </c>
    </row>
    <row r="572" spans="1:23" x14ac:dyDescent="0.2">
      <c r="A572" s="283"/>
      <c r="B572" s="283"/>
      <c r="C572" s="283"/>
      <c r="D572" s="283"/>
      <c r="E572" s="283"/>
      <c r="F572" s="283"/>
      <c r="G572" s="283"/>
      <c r="K572" s="242">
        <v>571</v>
      </c>
      <c r="L572" s="242" t="str">
        <f t="shared" si="96"/>
        <v/>
      </c>
      <c r="M572" s="242" t="str">
        <f t="shared" si="97"/>
        <v/>
      </c>
      <c r="N572" s="242" t="str">
        <f t="shared" si="98"/>
        <v/>
      </c>
      <c r="O572" s="242" t="str">
        <f t="shared" si="99"/>
        <v/>
      </c>
      <c r="P572" s="242" t="str">
        <f t="shared" si="100"/>
        <v/>
      </c>
      <c r="Q572" s="242" t="str">
        <f t="shared" si="101"/>
        <v/>
      </c>
      <c r="R572" s="242" t="str">
        <f t="shared" si="102"/>
        <v/>
      </c>
      <c r="S572" s="242" t="str">
        <f t="shared" si="103"/>
        <v/>
      </c>
      <c r="T572" s="242" t="str">
        <f t="shared" si="104"/>
        <v/>
      </c>
      <c r="U572" s="242" t="str">
        <f t="shared" si="105"/>
        <v/>
      </c>
      <c r="V572" s="242" t="str">
        <f t="shared" si="106"/>
        <v/>
      </c>
      <c r="W572" s="242" t="str">
        <f t="shared" si="107"/>
        <v/>
      </c>
    </row>
    <row r="573" spans="1:23" x14ac:dyDescent="0.2">
      <c r="A573" s="283"/>
      <c r="B573" s="283"/>
      <c r="C573" s="283"/>
      <c r="D573" s="283"/>
      <c r="E573" s="283"/>
      <c r="F573" s="283"/>
      <c r="G573" s="283"/>
      <c r="K573" s="242">
        <v>572</v>
      </c>
      <c r="L573" s="242" t="str">
        <f t="shared" si="96"/>
        <v/>
      </c>
      <c r="M573" s="242" t="str">
        <f t="shared" si="97"/>
        <v/>
      </c>
      <c r="N573" s="242" t="str">
        <f t="shared" si="98"/>
        <v/>
      </c>
      <c r="O573" s="242" t="str">
        <f t="shared" si="99"/>
        <v/>
      </c>
      <c r="P573" s="242" t="str">
        <f t="shared" si="100"/>
        <v/>
      </c>
      <c r="Q573" s="242" t="str">
        <f t="shared" si="101"/>
        <v/>
      </c>
      <c r="R573" s="242" t="str">
        <f t="shared" si="102"/>
        <v/>
      </c>
      <c r="S573" s="242" t="str">
        <f t="shared" si="103"/>
        <v/>
      </c>
      <c r="T573" s="242" t="str">
        <f t="shared" si="104"/>
        <v/>
      </c>
      <c r="U573" s="242" t="str">
        <f t="shared" si="105"/>
        <v/>
      </c>
      <c r="V573" s="242" t="str">
        <f t="shared" si="106"/>
        <v/>
      </c>
      <c r="W573" s="242" t="str">
        <f t="shared" si="107"/>
        <v/>
      </c>
    </row>
    <row r="574" spans="1:23" x14ac:dyDescent="0.2">
      <c r="A574" s="283"/>
      <c r="B574" s="283"/>
      <c r="C574" s="283"/>
      <c r="D574" s="283"/>
      <c r="E574" s="283"/>
      <c r="F574" s="283"/>
      <c r="G574" s="283"/>
      <c r="K574" s="242">
        <v>573</v>
      </c>
      <c r="L574" s="242" t="str">
        <f t="shared" si="96"/>
        <v/>
      </c>
      <c r="M574" s="242" t="str">
        <f t="shared" si="97"/>
        <v/>
      </c>
      <c r="N574" s="242" t="str">
        <f t="shared" si="98"/>
        <v/>
      </c>
      <c r="O574" s="242" t="str">
        <f t="shared" si="99"/>
        <v/>
      </c>
      <c r="P574" s="242" t="str">
        <f t="shared" si="100"/>
        <v/>
      </c>
      <c r="Q574" s="242" t="str">
        <f t="shared" si="101"/>
        <v/>
      </c>
      <c r="R574" s="242" t="str">
        <f t="shared" si="102"/>
        <v/>
      </c>
      <c r="S574" s="242" t="str">
        <f t="shared" si="103"/>
        <v/>
      </c>
      <c r="T574" s="242" t="str">
        <f t="shared" si="104"/>
        <v/>
      </c>
      <c r="U574" s="242" t="str">
        <f t="shared" si="105"/>
        <v/>
      </c>
      <c r="V574" s="242" t="str">
        <f t="shared" si="106"/>
        <v/>
      </c>
      <c r="W574" s="242" t="str">
        <f t="shared" si="107"/>
        <v/>
      </c>
    </row>
    <row r="575" spans="1:23" x14ac:dyDescent="0.2">
      <c r="A575" s="283"/>
      <c r="B575" s="283"/>
      <c r="C575" s="283"/>
      <c r="D575" s="283"/>
      <c r="E575" s="283"/>
      <c r="F575" s="283"/>
      <c r="G575" s="283"/>
      <c r="K575" s="242">
        <v>574</v>
      </c>
      <c r="L575" s="242" t="str">
        <f t="shared" si="96"/>
        <v/>
      </c>
      <c r="M575" s="242" t="str">
        <f t="shared" si="97"/>
        <v/>
      </c>
      <c r="N575" s="242" t="str">
        <f t="shared" si="98"/>
        <v/>
      </c>
      <c r="O575" s="242" t="str">
        <f t="shared" si="99"/>
        <v/>
      </c>
      <c r="P575" s="242" t="str">
        <f t="shared" si="100"/>
        <v/>
      </c>
      <c r="Q575" s="242" t="str">
        <f t="shared" si="101"/>
        <v/>
      </c>
      <c r="R575" s="242" t="str">
        <f t="shared" si="102"/>
        <v/>
      </c>
      <c r="S575" s="242" t="str">
        <f t="shared" si="103"/>
        <v/>
      </c>
      <c r="T575" s="242" t="str">
        <f t="shared" si="104"/>
        <v/>
      </c>
      <c r="U575" s="242" t="str">
        <f t="shared" si="105"/>
        <v/>
      </c>
      <c r="V575" s="242" t="str">
        <f t="shared" si="106"/>
        <v/>
      </c>
      <c r="W575" s="242" t="str">
        <f t="shared" si="107"/>
        <v/>
      </c>
    </row>
    <row r="576" spans="1:23" x14ac:dyDescent="0.2">
      <c r="A576" s="283"/>
      <c r="B576" s="283"/>
      <c r="C576" s="283"/>
      <c r="D576" s="283"/>
      <c r="E576" s="283"/>
      <c r="F576" s="283"/>
      <c r="G576" s="283"/>
      <c r="K576" s="242">
        <v>575</v>
      </c>
      <c r="L576" s="242" t="str">
        <f t="shared" si="96"/>
        <v/>
      </c>
      <c r="M576" s="242" t="str">
        <f t="shared" si="97"/>
        <v/>
      </c>
      <c r="N576" s="242" t="str">
        <f t="shared" si="98"/>
        <v/>
      </c>
      <c r="O576" s="242" t="str">
        <f t="shared" si="99"/>
        <v/>
      </c>
      <c r="P576" s="242" t="str">
        <f t="shared" si="100"/>
        <v/>
      </c>
      <c r="Q576" s="242" t="str">
        <f t="shared" si="101"/>
        <v/>
      </c>
      <c r="R576" s="242" t="str">
        <f t="shared" si="102"/>
        <v/>
      </c>
      <c r="S576" s="242" t="str">
        <f t="shared" si="103"/>
        <v/>
      </c>
      <c r="T576" s="242" t="str">
        <f t="shared" si="104"/>
        <v/>
      </c>
      <c r="U576" s="242" t="str">
        <f t="shared" si="105"/>
        <v/>
      </c>
      <c r="V576" s="242" t="str">
        <f t="shared" si="106"/>
        <v/>
      </c>
      <c r="W576" s="242" t="str">
        <f t="shared" si="107"/>
        <v/>
      </c>
    </row>
    <row r="577" spans="1:23" x14ac:dyDescent="0.2">
      <c r="A577" s="283"/>
      <c r="B577" s="283"/>
      <c r="C577" s="283"/>
      <c r="D577" s="283"/>
      <c r="E577" s="283"/>
      <c r="F577" s="283"/>
      <c r="G577" s="283"/>
      <c r="K577" s="242">
        <v>576</v>
      </c>
      <c r="L577" s="242" t="str">
        <f t="shared" si="96"/>
        <v/>
      </c>
      <c r="M577" s="242" t="str">
        <f t="shared" si="97"/>
        <v/>
      </c>
      <c r="N577" s="242" t="str">
        <f t="shared" si="98"/>
        <v/>
      </c>
      <c r="O577" s="242" t="str">
        <f t="shared" si="99"/>
        <v/>
      </c>
      <c r="P577" s="242" t="str">
        <f t="shared" si="100"/>
        <v/>
      </c>
      <c r="Q577" s="242" t="str">
        <f t="shared" si="101"/>
        <v/>
      </c>
      <c r="R577" s="242" t="str">
        <f t="shared" si="102"/>
        <v/>
      </c>
      <c r="S577" s="242" t="str">
        <f t="shared" si="103"/>
        <v/>
      </c>
      <c r="T577" s="242" t="str">
        <f t="shared" si="104"/>
        <v/>
      </c>
      <c r="U577" s="242" t="str">
        <f t="shared" si="105"/>
        <v/>
      </c>
      <c r="V577" s="242" t="str">
        <f t="shared" si="106"/>
        <v/>
      </c>
      <c r="W577" s="242" t="str">
        <f t="shared" si="107"/>
        <v/>
      </c>
    </row>
    <row r="578" spans="1:23" x14ac:dyDescent="0.2">
      <c r="A578" s="283"/>
      <c r="B578" s="283"/>
      <c r="C578" s="283"/>
      <c r="D578" s="283"/>
      <c r="E578" s="283"/>
      <c r="F578" s="283"/>
      <c r="G578" s="283"/>
      <c r="K578" s="242">
        <v>577</v>
      </c>
      <c r="L578" s="242" t="str">
        <f t="shared" si="96"/>
        <v/>
      </c>
      <c r="M578" s="242" t="str">
        <f t="shared" si="97"/>
        <v/>
      </c>
      <c r="N578" s="242" t="str">
        <f t="shared" si="98"/>
        <v/>
      </c>
      <c r="O578" s="242" t="str">
        <f t="shared" si="99"/>
        <v/>
      </c>
      <c r="P578" s="242" t="str">
        <f t="shared" si="100"/>
        <v/>
      </c>
      <c r="Q578" s="242" t="str">
        <f t="shared" si="101"/>
        <v/>
      </c>
      <c r="R578" s="242" t="str">
        <f t="shared" si="102"/>
        <v/>
      </c>
      <c r="S578" s="242" t="str">
        <f t="shared" si="103"/>
        <v/>
      </c>
      <c r="T578" s="242" t="str">
        <f t="shared" si="104"/>
        <v/>
      </c>
      <c r="U578" s="242" t="str">
        <f t="shared" si="105"/>
        <v/>
      </c>
      <c r="V578" s="242" t="str">
        <f t="shared" si="106"/>
        <v/>
      </c>
      <c r="W578" s="242" t="str">
        <f t="shared" si="107"/>
        <v/>
      </c>
    </row>
    <row r="579" spans="1:23" x14ac:dyDescent="0.2">
      <c r="A579" s="283"/>
      <c r="B579" s="283"/>
      <c r="C579" s="283"/>
      <c r="D579" s="283"/>
      <c r="E579" s="283"/>
      <c r="F579" s="283"/>
      <c r="G579" s="283"/>
      <c r="K579" s="242">
        <v>578</v>
      </c>
      <c r="L579" s="242" t="str">
        <f t="shared" ref="L579:L642" si="108">IF($B$13&gt;=K579,K579,"")</f>
        <v/>
      </c>
      <c r="M579" s="242" t="str">
        <f t="shared" ref="M579:M642" si="109">IF(L579="","",IF(L579&lt;=$E$15,VLOOKUP($E$14,$I$1:$J$4,2,FALSE),VLOOKUP($F$14,$I$1:$J$4,2,FALSE)))</f>
        <v/>
      </c>
      <c r="N579" s="242" t="str">
        <f t="shared" ref="N579:N642" si="110">IF($B$20&gt;=K579,K579,"")</f>
        <v/>
      </c>
      <c r="O579" s="242" t="str">
        <f t="shared" ref="O579:O642" si="111">IF(N579="","",IF(N579&lt;=$E$22,VLOOKUP($E$21,$I$1:$J$4,2,FALSE),VLOOKUP($F$21,$I$1:$J$4,2,FALSE)))</f>
        <v/>
      </c>
      <c r="P579" s="242" t="str">
        <f t="shared" ref="P579:P642" si="112">IF($B$27&gt;=K579,K579,"")</f>
        <v/>
      </c>
      <c r="Q579" s="242" t="str">
        <f t="shared" ref="Q579:Q642" si="113">IF(P579="","",IF(P579&lt;=$E$29,VLOOKUP($E$28,$I$1:$J$4,2,FALSE),VLOOKUP($F$28,$I$1:$J$4,2,FALSE)))</f>
        <v/>
      </c>
      <c r="R579" s="242" t="str">
        <f t="shared" ref="R579:R642" si="114">IF($B$34&gt;=K579,K579,"")</f>
        <v/>
      </c>
      <c r="S579" s="242" t="str">
        <f t="shared" ref="S579:S642" si="115">IF(R579="","",IF(R579&lt;=$E$36,VLOOKUP($E$35,$I$1:$J$4,2,FALSE),VLOOKUP($F$35,$I$1:$J$4,2,FALSE)))</f>
        <v/>
      </c>
      <c r="T579" s="242" t="str">
        <f t="shared" ref="T579:T642" si="116">IF($B$41&gt;=K579,K579,"")</f>
        <v/>
      </c>
      <c r="U579" s="242" t="str">
        <f t="shared" ref="U579:U642" si="117">IF(T579="","",IF(T579&lt;=$E$43,VLOOKUP($E$42,$I$1:$J$4,2,FALSE),VLOOKUP($F$42,$I$1:$J$4,2,FALSE)))</f>
        <v/>
      </c>
      <c r="V579" s="242" t="str">
        <f t="shared" ref="V579:V642" si="118">IF($B$48&gt;=K579,K579,"")</f>
        <v/>
      </c>
      <c r="W579" s="242" t="str">
        <f t="shared" ref="W579:W642" si="119">IF(V579="","",IF(V579&lt;=$E$50,VLOOKUP($E$49,$I$1:$J$4,2,FALSE),VLOOKUP($F$49,$I$1:$J$4,2,FALSE)))</f>
        <v/>
      </c>
    </row>
    <row r="580" spans="1:23" x14ac:dyDescent="0.2">
      <c r="A580" s="283"/>
      <c r="B580" s="283"/>
      <c r="C580" s="283"/>
      <c r="D580" s="283"/>
      <c r="E580" s="283"/>
      <c r="F580" s="283"/>
      <c r="G580" s="283"/>
      <c r="K580" s="242">
        <v>579</v>
      </c>
      <c r="L580" s="242" t="str">
        <f t="shared" si="108"/>
        <v/>
      </c>
      <c r="M580" s="242" t="str">
        <f t="shared" si="109"/>
        <v/>
      </c>
      <c r="N580" s="242" t="str">
        <f t="shared" si="110"/>
        <v/>
      </c>
      <c r="O580" s="242" t="str">
        <f t="shared" si="111"/>
        <v/>
      </c>
      <c r="P580" s="242" t="str">
        <f t="shared" si="112"/>
        <v/>
      </c>
      <c r="Q580" s="242" t="str">
        <f t="shared" si="113"/>
        <v/>
      </c>
      <c r="R580" s="242" t="str">
        <f t="shared" si="114"/>
        <v/>
      </c>
      <c r="S580" s="242" t="str">
        <f t="shared" si="115"/>
        <v/>
      </c>
      <c r="T580" s="242" t="str">
        <f t="shared" si="116"/>
        <v/>
      </c>
      <c r="U580" s="242" t="str">
        <f t="shared" si="117"/>
        <v/>
      </c>
      <c r="V580" s="242" t="str">
        <f t="shared" si="118"/>
        <v/>
      </c>
      <c r="W580" s="242" t="str">
        <f t="shared" si="119"/>
        <v/>
      </c>
    </row>
    <row r="581" spans="1:23" x14ac:dyDescent="0.2">
      <c r="A581" s="283"/>
      <c r="B581" s="283"/>
      <c r="C581" s="283"/>
      <c r="D581" s="283"/>
      <c r="E581" s="283"/>
      <c r="F581" s="283"/>
      <c r="G581" s="283"/>
      <c r="K581" s="242">
        <v>580</v>
      </c>
      <c r="L581" s="242" t="str">
        <f t="shared" si="108"/>
        <v/>
      </c>
      <c r="M581" s="242" t="str">
        <f t="shared" si="109"/>
        <v/>
      </c>
      <c r="N581" s="242" t="str">
        <f t="shared" si="110"/>
        <v/>
      </c>
      <c r="O581" s="242" t="str">
        <f t="shared" si="111"/>
        <v/>
      </c>
      <c r="P581" s="242" t="str">
        <f t="shared" si="112"/>
        <v/>
      </c>
      <c r="Q581" s="242" t="str">
        <f t="shared" si="113"/>
        <v/>
      </c>
      <c r="R581" s="242" t="str">
        <f t="shared" si="114"/>
        <v/>
      </c>
      <c r="S581" s="242" t="str">
        <f t="shared" si="115"/>
        <v/>
      </c>
      <c r="T581" s="242" t="str">
        <f t="shared" si="116"/>
        <v/>
      </c>
      <c r="U581" s="242" t="str">
        <f t="shared" si="117"/>
        <v/>
      </c>
      <c r="V581" s="242" t="str">
        <f t="shared" si="118"/>
        <v/>
      </c>
      <c r="W581" s="242" t="str">
        <f t="shared" si="119"/>
        <v/>
      </c>
    </row>
    <row r="582" spans="1:23" x14ac:dyDescent="0.2">
      <c r="A582" s="283"/>
      <c r="B582" s="283"/>
      <c r="C582" s="283"/>
      <c r="D582" s="283"/>
      <c r="E582" s="283"/>
      <c r="F582" s="283"/>
      <c r="G582" s="283"/>
      <c r="K582" s="242">
        <v>581</v>
      </c>
      <c r="L582" s="242" t="str">
        <f t="shared" si="108"/>
        <v/>
      </c>
      <c r="M582" s="242" t="str">
        <f t="shared" si="109"/>
        <v/>
      </c>
      <c r="N582" s="242" t="str">
        <f t="shared" si="110"/>
        <v/>
      </c>
      <c r="O582" s="242" t="str">
        <f t="shared" si="111"/>
        <v/>
      </c>
      <c r="P582" s="242" t="str">
        <f t="shared" si="112"/>
        <v/>
      </c>
      <c r="Q582" s="242" t="str">
        <f t="shared" si="113"/>
        <v/>
      </c>
      <c r="R582" s="242" t="str">
        <f t="shared" si="114"/>
        <v/>
      </c>
      <c r="S582" s="242" t="str">
        <f t="shared" si="115"/>
        <v/>
      </c>
      <c r="T582" s="242" t="str">
        <f t="shared" si="116"/>
        <v/>
      </c>
      <c r="U582" s="242" t="str">
        <f t="shared" si="117"/>
        <v/>
      </c>
      <c r="V582" s="242" t="str">
        <f t="shared" si="118"/>
        <v/>
      </c>
      <c r="W582" s="242" t="str">
        <f t="shared" si="119"/>
        <v/>
      </c>
    </row>
    <row r="583" spans="1:23" x14ac:dyDescent="0.2">
      <c r="A583" s="283"/>
      <c r="B583" s="283"/>
      <c r="C583" s="283"/>
      <c r="D583" s="283"/>
      <c r="E583" s="283"/>
      <c r="F583" s="283"/>
      <c r="G583" s="283"/>
      <c r="K583" s="242">
        <v>582</v>
      </c>
      <c r="L583" s="242" t="str">
        <f t="shared" si="108"/>
        <v/>
      </c>
      <c r="M583" s="242" t="str">
        <f t="shared" si="109"/>
        <v/>
      </c>
      <c r="N583" s="242" t="str">
        <f t="shared" si="110"/>
        <v/>
      </c>
      <c r="O583" s="242" t="str">
        <f t="shared" si="111"/>
        <v/>
      </c>
      <c r="P583" s="242" t="str">
        <f t="shared" si="112"/>
        <v/>
      </c>
      <c r="Q583" s="242" t="str">
        <f t="shared" si="113"/>
        <v/>
      </c>
      <c r="R583" s="242" t="str">
        <f t="shared" si="114"/>
        <v/>
      </c>
      <c r="S583" s="242" t="str">
        <f t="shared" si="115"/>
        <v/>
      </c>
      <c r="T583" s="242" t="str">
        <f t="shared" si="116"/>
        <v/>
      </c>
      <c r="U583" s="242" t="str">
        <f t="shared" si="117"/>
        <v/>
      </c>
      <c r="V583" s="242" t="str">
        <f t="shared" si="118"/>
        <v/>
      </c>
      <c r="W583" s="242" t="str">
        <f t="shared" si="119"/>
        <v/>
      </c>
    </row>
    <row r="584" spans="1:23" x14ac:dyDescent="0.2">
      <c r="A584" s="283"/>
      <c r="B584" s="283"/>
      <c r="C584" s="283"/>
      <c r="D584" s="283"/>
      <c r="E584" s="283"/>
      <c r="F584" s="283"/>
      <c r="G584" s="283"/>
      <c r="K584" s="242">
        <v>583</v>
      </c>
      <c r="L584" s="242" t="str">
        <f t="shared" si="108"/>
        <v/>
      </c>
      <c r="M584" s="242" t="str">
        <f t="shared" si="109"/>
        <v/>
      </c>
      <c r="N584" s="242" t="str">
        <f t="shared" si="110"/>
        <v/>
      </c>
      <c r="O584" s="242" t="str">
        <f t="shared" si="111"/>
        <v/>
      </c>
      <c r="P584" s="242" t="str">
        <f t="shared" si="112"/>
        <v/>
      </c>
      <c r="Q584" s="242" t="str">
        <f t="shared" si="113"/>
        <v/>
      </c>
      <c r="R584" s="242" t="str">
        <f t="shared" si="114"/>
        <v/>
      </c>
      <c r="S584" s="242" t="str">
        <f t="shared" si="115"/>
        <v/>
      </c>
      <c r="T584" s="242" t="str">
        <f t="shared" si="116"/>
        <v/>
      </c>
      <c r="U584" s="242" t="str">
        <f t="shared" si="117"/>
        <v/>
      </c>
      <c r="V584" s="242" t="str">
        <f t="shared" si="118"/>
        <v/>
      </c>
      <c r="W584" s="242" t="str">
        <f t="shared" si="119"/>
        <v/>
      </c>
    </row>
    <row r="585" spans="1:23" x14ac:dyDescent="0.2">
      <c r="A585" s="283"/>
      <c r="B585" s="283"/>
      <c r="C585" s="283"/>
      <c r="D585" s="283"/>
      <c r="E585" s="283"/>
      <c r="F585" s="283"/>
      <c r="G585" s="283"/>
      <c r="K585" s="242">
        <v>584</v>
      </c>
      <c r="L585" s="242" t="str">
        <f t="shared" si="108"/>
        <v/>
      </c>
      <c r="M585" s="242" t="str">
        <f t="shared" si="109"/>
        <v/>
      </c>
      <c r="N585" s="242" t="str">
        <f t="shared" si="110"/>
        <v/>
      </c>
      <c r="O585" s="242" t="str">
        <f t="shared" si="111"/>
        <v/>
      </c>
      <c r="P585" s="242" t="str">
        <f t="shared" si="112"/>
        <v/>
      </c>
      <c r="Q585" s="242" t="str">
        <f t="shared" si="113"/>
        <v/>
      </c>
      <c r="R585" s="242" t="str">
        <f t="shared" si="114"/>
        <v/>
      </c>
      <c r="S585" s="242" t="str">
        <f t="shared" si="115"/>
        <v/>
      </c>
      <c r="T585" s="242" t="str">
        <f t="shared" si="116"/>
        <v/>
      </c>
      <c r="U585" s="242" t="str">
        <f t="shared" si="117"/>
        <v/>
      </c>
      <c r="V585" s="242" t="str">
        <f t="shared" si="118"/>
        <v/>
      </c>
      <c r="W585" s="242" t="str">
        <f t="shared" si="119"/>
        <v/>
      </c>
    </row>
    <row r="586" spans="1:23" x14ac:dyDescent="0.2">
      <c r="A586" s="283"/>
      <c r="B586" s="283"/>
      <c r="C586" s="283"/>
      <c r="D586" s="283"/>
      <c r="E586" s="283"/>
      <c r="F586" s="283"/>
      <c r="G586" s="283"/>
      <c r="K586" s="242">
        <v>585</v>
      </c>
      <c r="L586" s="242" t="str">
        <f t="shared" si="108"/>
        <v/>
      </c>
      <c r="M586" s="242" t="str">
        <f t="shared" si="109"/>
        <v/>
      </c>
      <c r="N586" s="242" t="str">
        <f t="shared" si="110"/>
        <v/>
      </c>
      <c r="O586" s="242" t="str">
        <f t="shared" si="111"/>
        <v/>
      </c>
      <c r="P586" s="242" t="str">
        <f t="shared" si="112"/>
        <v/>
      </c>
      <c r="Q586" s="242" t="str">
        <f t="shared" si="113"/>
        <v/>
      </c>
      <c r="R586" s="242" t="str">
        <f t="shared" si="114"/>
        <v/>
      </c>
      <c r="S586" s="242" t="str">
        <f t="shared" si="115"/>
        <v/>
      </c>
      <c r="T586" s="242" t="str">
        <f t="shared" si="116"/>
        <v/>
      </c>
      <c r="U586" s="242" t="str">
        <f t="shared" si="117"/>
        <v/>
      </c>
      <c r="V586" s="242" t="str">
        <f t="shared" si="118"/>
        <v/>
      </c>
      <c r="W586" s="242" t="str">
        <f t="shared" si="119"/>
        <v/>
      </c>
    </row>
    <row r="587" spans="1:23" x14ac:dyDescent="0.2">
      <c r="A587" s="283"/>
      <c r="B587" s="283"/>
      <c r="C587" s="283"/>
      <c r="D587" s="283"/>
      <c r="E587" s="283"/>
      <c r="F587" s="283"/>
      <c r="G587" s="283"/>
      <c r="K587" s="242">
        <v>586</v>
      </c>
      <c r="L587" s="242" t="str">
        <f t="shared" si="108"/>
        <v/>
      </c>
      <c r="M587" s="242" t="str">
        <f t="shared" si="109"/>
        <v/>
      </c>
      <c r="N587" s="242" t="str">
        <f t="shared" si="110"/>
        <v/>
      </c>
      <c r="O587" s="242" t="str">
        <f t="shared" si="111"/>
        <v/>
      </c>
      <c r="P587" s="242" t="str">
        <f t="shared" si="112"/>
        <v/>
      </c>
      <c r="Q587" s="242" t="str">
        <f t="shared" si="113"/>
        <v/>
      </c>
      <c r="R587" s="242" t="str">
        <f t="shared" si="114"/>
        <v/>
      </c>
      <c r="S587" s="242" t="str">
        <f t="shared" si="115"/>
        <v/>
      </c>
      <c r="T587" s="242" t="str">
        <f t="shared" si="116"/>
        <v/>
      </c>
      <c r="U587" s="242" t="str">
        <f t="shared" si="117"/>
        <v/>
      </c>
      <c r="V587" s="242" t="str">
        <f t="shared" si="118"/>
        <v/>
      </c>
      <c r="W587" s="242" t="str">
        <f t="shared" si="119"/>
        <v/>
      </c>
    </row>
    <row r="588" spans="1:23" x14ac:dyDescent="0.2">
      <c r="A588" s="283"/>
      <c r="B588" s="283"/>
      <c r="C588" s="283"/>
      <c r="D588" s="283"/>
      <c r="E588" s="283"/>
      <c r="F588" s="283"/>
      <c r="G588" s="283"/>
      <c r="K588" s="242">
        <v>587</v>
      </c>
      <c r="L588" s="242" t="str">
        <f t="shared" si="108"/>
        <v/>
      </c>
      <c r="M588" s="242" t="str">
        <f t="shared" si="109"/>
        <v/>
      </c>
      <c r="N588" s="242" t="str">
        <f t="shared" si="110"/>
        <v/>
      </c>
      <c r="O588" s="242" t="str">
        <f t="shared" si="111"/>
        <v/>
      </c>
      <c r="P588" s="242" t="str">
        <f t="shared" si="112"/>
        <v/>
      </c>
      <c r="Q588" s="242" t="str">
        <f t="shared" si="113"/>
        <v/>
      </c>
      <c r="R588" s="242" t="str">
        <f t="shared" si="114"/>
        <v/>
      </c>
      <c r="S588" s="242" t="str">
        <f t="shared" si="115"/>
        <v/>
      </c>
      <c r="T588" s="242" t="str">
        <f t="shared" si="116"/>
        <v/>
      </c>
      <c r="U588" s="242" t="str">
        <f t="shared" si="117"/>
        <v/>
      </c>
      <c r="V588" s="242" t="str">
        <f t="shared" si="118"/>
        <v/>
      </c>
      <c r="W588" s="242" t="str">
        <f t="shared" si="119"/>
        <v/>
      </c>
    </row>
    <row r="589" spans="1:23" x14ac:dyDescent="0.2">
      <c r="A589" s="283"/>
      <c r="B589" s="283"/>
      <c r="C589" s="283"/>
      <c r="D589" s="283"/>
      <c r="E589" s="283"/>
      <c r="F589" s="283"/>
      <c r="G589" s="283"/>
      <c r="K589" s="242">
        <v>588</v>
      </c>
      <c r="L589" s="242" t="str">
        <f t="shared" si="108"/>
        <v/>
      </c>
      <c r="M589" s="242" t="str">
        <f t="shared" si="109"/>
        <v/>
      </c>
      <c r="N589" s="242" t="str">
        <f t="shared" si="110"/>
        <v/>
      </c>
      <c r="O589" s="242" t="str">
        <f t="shared" si="111"/>
        <v/>
      </c>
      <c r="P589" s="242" t="str">
        <f t="shared" si="112"/>
        <v/>
      </c>
      <c r="Q589" s="242" t="str">
        <f t="shared" si="113"/>
        <v/>
      </c>
      <c r="R589" s="242" t="str">
        <f t="shared" si="114"/>
        <v/>
      </c>
      <c r="S589" s="242" t="str">
        <f t="shared" si="115"/>
        <v/>
      </c>
      <c r="T589" s="242" t="str">
        <f t="shared" si="116"/>
        <v/>
      </c>
      <c r="U589" s="242" t="str">
        <f t="shared" si="117"/>
        <v/>
      </c>
      <c r="V589" s="242" t="str">
        <f t="shared" si="118"/>
        <v/>
      </c>
      <c r="W589" s="242" t="str">
        <f t="shared" si="119"/>
        <v/>
      </c>
    </row>
    <row r="590" spans="1:23" x14ac:dyDescent="0.2">
      <c r="A590" s="283"/>
      <c r="B590" s="283"/>
      <c r="C590" s="283"/>
      <c r="D590" s="283"/>
      <c r="E590" s="283"/>
      <c r="F590" s="283"/>
      <c r="G590" s="283"/>
      <c r="K590" s="242">
        <v>589</v>
      </c>
      <c r="L590" s="242" t="str">
        <f t="shared" si="108"/>
        <v/>
      </c>
      <c r="M590" s="242" t="str">
        <f t="shared" si="109"/>
        <v/>
      </c>
      <c r="N590" s="242" t="str">
        <f t="shared" si="110"/>
        <v/>
      </c>
      <c r="O590" s="242" t="str">
        <f t="shared" si="111"/>
        <v/>
      </c>
      <c r="P590" s="242" t="str">
        <f t="shared" si="112"/>
        <v/>
      </c>
      <c r="Q590" s="242" t="str">
        <f t="shared" si="113"/>
        <v/>
      </c>
      <c r="R590" s="242" t="str">
        <f t="shared" si="114"/>
        <v/>
      </c>
      <c r="S590" s="242" t="str">
        <f t="shared" si="115"/>
        <v/>
      </c>
      <c r="T590" s="242" t="str">
        <f t="shared" si="116"/>
        <v/>
      </c>
      <c r="U590" s="242" t="str">
        <f t="shared" si="117"/>
        <v/>
      </c>
      <c r="V590" s="242" t="str">
        <f t="shared" si="118"/>
        <v/>
      </c>
      <c r="W590" s="242" t="str">
        <f t="shared" si="119"/>
        <v/>
      </c>
    </row>
    <row r="591" spans="1:23" x14ac:dyDescent="0.2">
      <c r="A591" s="283"/>
      <c r="B591" s="283"/>
      <c r="C591" s="283"/>
      <c r="D591" s="283"/>
      <c r="E591" s="283"/>
      <c r="F591" s="283"/>
      <c r="G591" s="283"/>
      <c r="K591" s="242">
        <v>590</v>
      </c>
      <c r="L591" s="242" t="str">
        <f t="shared" si="108"/>
        <v/>
      </c>
      <c r="M591" s="242" t="str">
        <f t="shared" si="109"/>
        <v/>
      </c>
      <c r="N591" s="242" t="str">
        <f t="shared" si="110"/>
        <v/>
      </c>
      <c r="O591" s="242" t="str">
        <f t="shared" si="111"/>
        <v/>
      </c>
      <c r="P591" s="242" t="str">
        <f t="shared" si="112"/>
        <v/>
      </c>
      <c r="Q591" s="242" t="str">
        <f t="shared" si="113"/>
        <v/>
      </c>
      <c r="R591" s="242" t="str">
        <f t="shared" si="114"/>
        <v/>
      </c>
      <c r="S591" s="242" t="str">
        <f t="shared" si="115"/>
        <v/>
      </c>
      <c r="T591" s="242" t="str">
        <f t="shared" si="116"/>
        <v/>
      </c>
      <c r="U591" s="242" t="str">
        <f t="shared" si="117"/>
        <v/>
      </c>
      <c r="V591" s="242" t="str">
        <f t="shared" si="118"/>
        <v/>
      </c>
      <c r="W591" s="242" t="str">
        <f t="shared" si="119"/>
        <v/>
      </c>
    </row>
    <row r="592" spans="1:23" x14ac:dyDescent="0.2">
      <c r="A592" s="283"/>
      <c r="B592" s="283"/>
      <c r="C592" s="283"/>
      <c r="D592" s="283"/>
      <c r="E592" s="283"/>
      <c r="F592" s="283"/>
      <c r="G592" s="283"/>
      <c r="K592" s="242">
        <v>591</v>
      </c>
      <c r="L592" s="242" t="str">
        <f t="shared" si="108"/>
        <v/>
      </c>
      <c r="M592" s="242" t="str">
        <f t="shared" si="109"/>
        <v/>
      </c>
      <c r="N592" s="242" t="str">
        <f t="shared" si="110"/>
        <v/>
      </c>
      <c r="O592" s="242" t="str">
        <f t="shared" si="111"/>
        <v/>
      </c>
      <c r="P592" s="242" t="str">
        <f t="shared" si="112"/>
        <v/>
      </c>
      <c r="Q592" s="242" t="str">
        <f t="shared" si="113"/>
        <v/>
      </c>
      <c r="R592" s="242" t="str">
        <f t="shared" si="114"/>
        <v/>
      </c>
      <c r="S592" s="242" t="str">
        <f t="shared" si="115"/>
        <v/>
      </c>
      <c r="T592" s="242" t="str">
        <f t="shared" si="116"/>
        <v/>
      </c>
      <c r="U592" s="242" t="str">
        <f t="shared" si="117"/>
        <v/>
      </c>
      <c r="V592" s="242" t="str">
        <f t="shared" si="118"/>
        <v/>
      </c>
      <c r="W592" s="242" t="str">
        <f t="shared" si="119"/>
        <v/>
      </c>
    </row>
    <row r="593" spans="1:23" x14ac:dyDescent="0.2">
      <c r="A593" s="283"/>
      <c r="B593" s="283"/>
      <c r="C593" s="283"/>
      <c r="D593" s="283"/>
      <c r="E593" s="283"/>
      <c r="F593" s="283"/>
      <c r="G593" s="283"/>
      <c r="K593" s="242">
        <v>592</v>
      </c>
      <c r="L593" s="242" t="str">
        <f t="shared" si="108"/>
        <v/>
      </c>
      <c r="M593" s="242" t="str">
        <f t="shared" si="109"/>
        <v/>
      </c>
      <c r="N593" s="242" t="str">
        <f t="shared" si="110"/>
        <v/>
      </c>
      <c r="O593" s="242" t="str">
        <f t="shared" si="111"/>
        <v/>
      </c>
      <c r="P593" s="242" t="str">
        <f t="shared" si="112"/>
        <v/>
      </c>
      <c r="Q593" s="242" t="str">
        <f t="shared" si="113"/>
        <v/>
      </c>
      <c r="R593" s="242" t="str">
        <f t="shared" si="114"/>
        <v/>
      </c>
      <c r="S593" s="242" t="str">
        <f t="shared" si="115"/>
        <v/>
      </c>
      <c r="T593" s="242" t="str">
        <f t="shared" si="116"/>
        <v/>
      </c>
      <c r="U593" s="242" t="str">
        <f t="shared" si="117"/>
        <v/>
      </c>
      <c r="V593" s="242" t="str">
        <f t="shared" si="118"/>
        <v/>
      </c>
      <c r="W593" s="242" t="str">
        <f t="shared" si="119"/>
        <v/>
      </c>
    </row>
    <row r="594" spans="1:23" x14ac:dyDescent="0.2">
      <c r="A594" s="283"/>
      <c r="B594" s="283"/>
      <c r="C594" s="283"/>
      <c r="D594" s="283"/>
      <c r="E594" s="283"/>
      <c r="F594" s="283"/>
      <c r="G594" s="283"/>
      <c r="K594" s="242">
        <v>593</v>
      </c>
      <c r="L594" s="242" t="str">
        <f t="shared" si="108"/>
        <v/>
      </c>
      <c r="M594" s="242" t="str">
        <f t="shared" si="109"/>
        <v/>
      </c>
      <c r="N594" s="242" t="str">
        <f t="shared" si="110"/>
        <v/>
      </c>
      <c r="O594" s="242" t="str">
        <f t="shared" si="111"/>
        <v/>
      </c>
      <c r="P594" s="242" t="str">
        <f t="shared" si="112"/>
        <v/>
      </c>
      <c r="Q594" s="242" t="str">
        <f t="shared" si="113"/>
        <v/>
      </c>
      <c r="R594" s="242" t="str">
        <f t="shared" si="114"/>
        <v/>
      </c>
      <c r="S594" s="242" t="str">
        <f t="shared" si="115"/>
        <v/>
      </c>
      <c r="T594" s="242" t="str">
        <f t="shared" si="116"/>
        <v/>
      </c>
      <c r="U594" s="242" t="str">
        <f t="shared" si="117"/>
        <v/>
      </c>
      <c r="V594" s="242" t="str">
        <f t="shared" si="118"/>
        <v/>
      </c>
      <c r="W594" s="242" t="str">
        <f t="shared" si="119"/>
        <v/>
      </c>
    </row>
    <row r="595" spans="1:23" x14ac:dyDescent="0.2">
      <c r="A595" s="283"/>
      <c r="B595" s="283"/>
      <c r="C595" s="283"/>
      <c r="D595" s="283"/>
      <c r="E595" s="283"/>
      <c r="F595" s="283"/>
      <c r="G595" s="283"/>
      <c r="K595" s="242">
        <v>594</v>
      </c>
      <c r="L595" s="242" t="str">
        <f t="shared" si="108"/>
        <v/>
      </c>
      <c r="M595" s="242" t="str">
        <f t="shared" si="109"/>
        <v/>
      </c>
      <c r="N595" s="242" t="str">
        <f t="shared" si="110"/>
        <v/>
      </c>
      <c r="O595" s="242" t="str">
        <f t="shared" si="111"/>
        <v/>
      </c>
      <c r="P595" s="242" t="str">
        <f t="shared" si="112"/>
        <v/>
      </c>
      <c r="Q595" s="242" t="str">
        <f t="shared" si="113"/>
        <v/>
      </c>
      <c r="R595" s="242" t="str">
        <f t="shared" si="114"/>
        <v/>
      </c>
      <c r="S595" s="242" t="str">
        <f t="shared" si="115"/>
        <v/>
      </c>
      <c r="T595" s="242" t="str">
        <f t="shared" si="116"/>
        <v/>
      </c>
      <c r="U595" s="242" t="str">
        <f t="shared" si="117"/>
        <v/>
      </c>
      <c r="V595" s="242" t="str">
        <f t="shared" si="118"/>
        <v/>
      </c>
      <c r="W595" s="242" t="str">
        <f t="shared" si="119"/>
        <v/>
      </c>
    </row>
    <row r="596" spans="1:23" x14ac:dyDescent="0.2">
      <c r="A596" s="283"/>
      <c r="B596" s="283"/>
      <c r="C596" s="283"/>
      <c r="D596" s="283"/>
      <c r="E596" s="283"/>
      <c r="F596" s="283"/>
      <c r="G596" s="283"/>
      <c r="K596" s="242">
        <v>595</v>
      </c>
      <c r="L596" s="242" t="str">
        <f t="shared" si="108"/>
        <v/>
      </c>
      <c r="M596" s="242" t="str">
        <f t="shared" si="109"/>
        <v/>
      </c>
      <c r="N596" s="242" t="str">
        <f t="shared" si="110"/>
        <v/>
      </c>
      <c r="O596" s="242" t="str">
        <f t="shared" si="111"/>
        <v/>
      </c>
      <c r="P596" s="242" t="str">
        <f t="shared" si="112"/>
        <v/>
      </c>
      <c r="Q596" s="242" t="str">
        <f t="shared" si="113"/>
        <v/>
      </c>
      <c r="R596" s="242" t="str">
        <f t="shared" si="114"/>
        <v/>
      </c>
      <c r="S596" s="242" t="str">
        <f t="shared" si="115"/>
        <v/>
      </c>
      <c r="T596" s="242" t="str">
        <f t="shared" si="116"/>
        <v/>
      </c>
      <c r="U596" s="242" t="str">
        <f t="shared" si="117"/>
        <v/>
      </c>
      <c r="V596" s="242" t="str">
        <f t="shared" si="118"/>
        <v/>
      </c>
      <c r="W596" s="242" t="str">
        <f t="shared" si="119"/>
        <v/>
      </c>
    </row>
    <row r="597" spans="1:23" x14ac:dyDescent="0.2">
      <c r="A597" s="283"/>
      <c r="B597" s="283"/>
      <c r="C597" s="283"/>
      <c r="D597" s="283"/>
      <c r="E597" s="283"/>
      <c r="F597" s="283"/>
      <c r="G597" s="283"/>
      <c r="K597" s="242">
        <v>596</v>
      </c>
      <c r="L597" s="242" t="str">
        <f t="shared" si="108"/>
        <v/>
      </c>
      <c r="M597" s="242" t="str">
        <f t="shared" si="109"/>
        <v/>
      </c>
      <c r="N597" s="242" t="str">
        <f t="shared" si="110"/>
        <v/>
      </c>
      <c r="O597" s="242" t="str">
        <f t="shared" si="111"/>
        <v/>
      </c>
      <c r="P597" s="242" t="str">
        <f t="shared" si="112"/>
        <v/>
      </c>
      <c r="Q597" s="242" t="str">
        <f t="shared" si="113"/>
        <v/>
      </c>
      <c r="R597" s="242" t="str">
        <f t="shared" si="114"/>
        <v/>
      </c>
      <c r="S597" s="242" t="str">
        <f t="shared" si="115"/>
        <v/>
      </c>
      <c r="T597" s="242" t="str">
        <f t="shared" si="116"/>
        <v/>
      </c>
      <c r="U597" s="242" t="str">
        <f t="shared" si="117"/>
        <v/>
      </c>
      <c r="V597" s="242" t="str">
        <f t="shared" si="118"/>
        <v/>
      </c>
      <c r="W597" s="242" t="str">
        <f t="shared" si="119"/>
        <v/>
      </c>
    </row>
    <row r="598" spans="1:23" x14ac:dyDescent="0.2">
      <c r="A598" s="283"/>
      <c r="B598" s="283"/>
      <c r="C598" s="283"/>
      <c r="D598" s="283"/>
      <c r="E598" s="283"/>
      <c r="F598" s="283"/>
      <c r="G598" s="283"/>
      <c r="K598" s="242">
        <v>597</v>
      </c>
      <c r="L598" s="242" t="str">
        <f t="shared" si="108"/>
        <v/>
      </c>
      <c r="M598" s="242" t="str">
        <f t="shared" si="109"/>
        <v/>
      </c>
      <c r="N598" s="242" t="str">
        <f t="shared" si="110"/>
        <v/>
      </c>
      <c r="O598" s="242" t="str">
        <f t="shared" si="111"/>
        <v/>
      </c>
      <c r="P598" s="242" t="str">
        <f t="shared" si="112"/>
        <v/>
      </c>
      <c r="Q598" s="242" t="str">
        <f t="shared" si="113"/>
        <v/>
      </c>
      <c r="R598" s="242" t="str">
        <f t="shared" si="114"/>
        <v/>
      </c>
      <c r="S598" s="242" t="str">
        <f t="shared" si="115"/>
        <v/>
      </c>
      <c r="T598" s="242" t="str">
        <f t="shared" si="116"/>
        <v/>
      </c>
      <c r="U598" s="242" t="str">
        <f t="shared" si="117"/>
        <v/>
      </c>
      <c r="V598" s="242" t="str">
        <f t="shared" si="118"/>
        <v/>
      </c>
      <c r="W598" s="242" t="str">
        <f t="shared" si="119"/>
        <v/>
      </c>
    </row>
    <row r="599" spans="1:23" x14ac:dyDescent="0.2">
      <c r="A599" s="283"/>
      <c r="B599" s="283"/>
      <c r="C599" s="283"/>
      <c r="D599" s="283"/>
      <c r="E599" s="283"/>
      <c r="F599" s="283"/>
      <c r="G599" s="283"/>
      <c r="K599" s="242">
        <v>598</v>
      </c>
      <c r="L599" s="242" t="str">
        <f t="shared" si="108"/>
        <v/>
      </c>
      <c r="M599" s="242" t="str">
        <f t="shared" si="109"/>
        <v/>
      </c>
      <c r="N599" s="242" t="str">
        <f t="shared" si="110"/>
        <v/>
      </c>
      <c r="O599" s="242" t="str">
        <f t="shared" si="111"/>
        <v/>
      </c>
      <c r="P599" s="242" t="str">
        <f t="shared" si="112"/>
        <v/>
      </c>
      <c r="Q599" s="242" t="str">
        <f t="shared" si="113"/>
        <v/>
      </c>
      <c r="R599" s="242" t="str">
        <f t="shared" si="114"/>
        <v/>
      </c>
      <c r="S599" s="242" t="str">
        <f t="shared" si="115"/>
        <v/>
      </c>
      <c r="T599" s="242" t="str">
        <f t="shared" si="116"/>
        <v/>
      </c>
      <c r="U599" s="242" t="str">
        <f t="shared" si="117"/>
        <v/>
      </c>
      <c r="V599" s="242" t="str">
        <f t="shared" si="118"/>
        <v/>
      </c>
      <c r="W599" s="242" t="str">
        <f t="shared" si="119"/>
        <v/>
      </c>
    </row>
    <row r="600" spans="1:23" x14ac:dyDescent="0.2">
      <c r="A600" s="283"/>
      <c r="B600" s="283"/>
      <c r="C600" s="283"/>
      <c r="D600" s="283"/>
      <c r="E600" s="283"/>
      <c r="F600" s="283"/>
      <c r="G600" s="283"/>
      <c r="K600" s="242">
        <v>599</v>
      </c>
      <c r="L600" s="242" t="str">
        <f t="shared" si="108"/>
        <v/>
      </c>
      <c r="M600" s="242" t="str">
        <f t="shared" si="109"/>
        <v/>
      </c>
      <c r="N600" s="242" t="str">
        <f t="shared" si="110"/>
        <v/>
      </c>
      <c r="O600" s="242" t="str">
        <f t="shared" si="111"/>
        <v/>
      </c>
      <c r="P600" s="242" t="str">
        <f t="shared" si="112"/>
        <v/>
      </c>
      <c r="Q600" s="242" t="str">
        <f t="shared" si="113"/>
        <v/>
      </c>
      <c r="R600" s="242" t="str">
        <f t="shared" si="114"/>
        <v/>
      </c>
      <c r="S600" s="242" t="str">
        <f t="shared" si="115"/>
        <v/>
      </c>
      <c r="T600" s="242" t="str">
        <f t="shared" si="116"/>
        <v/>
      </c>
      <c r="U600" s="242" t="str">
        <f t="shared" si="117"/>
        <v/>
      </c>
      <c r="V600" s="242" t="str">
        <f t="shared" si="118"/>
        <v/>
      </c>
      <c r="W600" s="242" t="str">
        <f t="shared" si="119"/>
        <v/>
      </c>
    </row>
    <row r="601" spans="1:23" x14ac:dyDescent="0.2">
      <c r="A601" s="283"/>
      <c r="B601" s="283"/>
      <c r="C601" s="283"/>
      <c r="D601" s="283"/>
      <c r="E601" s="283"/>
      <c r="F601" s="283"/>
      <c r="G601" s="283"/>
      <c r="K601" s="242">
        <v>600</v>
      </c>
      <c r="L601" s="242" t="str">
        <f t="shared" si="108"/>
        <v/>
      </c>
      <c r="M601" s="242" t="str">
        <f t="shared" si="109"/>
        <v/>
      </c>
      <c r="N601" s="242" t="str">
        <f t="shared" si="110"/>
        <v/>
      </c>
      <c r="O601" s="242" t="str">
        <f t="shared" si="111"/>
        <v/>
      </c>
      <c r="P601" s="242" t="str">
        <f t="shared" si="112"/>
        <v/>
      </c>
      <c r="Q601" s="242" t="str">
        <f t="shared" si="113"/>
        <v/>
      </c>
      <c r="R601" s="242" t="str">
        <f t="shared" si="114"/>
        <v/>
      </c>
      <c r="S601" s="242" t="str">
        <f t="shared" si="115"/>
        <v/>
      </c>
      <c r="T601" s="242" t="str">
        <f t="shared" si="116"/>
        <v/>
      </c>
      <c r="U601" s="242" t="str">
        <f t="shared" si="117"/>
        <v/>
      </c>
      <c r="V601" s="242" t="str">
        <f t="shared" si="118"/>
        <v/>
      </c>
      <c r="W601" s="242" t="str">
        <f t="shared" si="119"/>
        <v/>
      </c>
    </row>
    <row r="602" spans="1:23" x14ac:dyDescent="0.2">
      <c r="A602" s="283"/>
      <c r="B602" s="283"/>
      <c r="C602" s="283"/>
      <c r="D602" s="283"/>
      <c r="E602" s="283"/>
      <c r="F602" s="283"/>
      <c r="G602" s="283"/>
      <c r="K602" s="242">
        <v>601</v>
      </c>
      <c r="L602" s="242" t="str">
        <f t="shared" si="108"/>
        <v/>
      </c>
      <c r="M602" s="242" t="str">
        <f t="shared" si="109"/>
        <v/>
      </c>
      <c r="N602" s="242" t="str">
        <f t="shared" si="110"/>
        <v/>
      </c>
      <c r="O602" s="242" t="str">
        <f t="shared" si="111"/>
        <v/>
      </c>
      <c r="P602" s="242" t="str">
        <f t="shared" si="112"/>
        <v/>
      </c>
      <c r="Q602" s="242" t="str">
        <f t="shared" si="113"/>
        <v/>
      </c>
      <c r="R602" s="242" t="str">
        <f t="shared" si="114"/>
        <v/>
      </c>
      <c r="S602" s="242" t="str">
        <f t="shared" si="115"/>
        <v/>
      </c>
      <c r="T602" s="242" t="str">
        <f t="shared" si="116"/>
        <v/>
      </c>
      <c r="U602" s="242" t="str">
        <f t="shared" si="117"/>
        <v/>
      </c>
      <c r="V602" s="242" t="str">
        <f t="shared" si="118"/>
        <v/>
      </c>
      <c r="W602" s="242" t="str">
        <f t="shared" si="119"/>
        <v/>
      </c>
    </row>
    <row r="603" spans="1:23" x14ac:dyDescent="0.2">
      <c r="A603" s="283"/>
      <c r="B603" s="283"/>
      <c r="C603" s="283"/>
      <c r="D603" s="283"/>
      <c r="E603" s="283"/>
      <c r="F603" s="283"/>
      <c r="G603" s="283"/>
      <c r="K603" s="242">
        <v>602</v>
      </c>
      <c r="L603" s="242" t="str">
        <f t="shared" si="108"/>
        <v/>
      </c>
      <c r="M603" s="242" t="str">
        <f t="shared" si="109"/>
        <v/>
      </c>
      <c r="N603" s="242" t="str">
        <f t="shared" si="110"/>
        <v/>
      </c>
      <c r="O603" s="242" t="str">
        <f t="shared" si="111"/>
        <v/>
      </c>
      <c r="P603" s="242" t="str">
        <f t="shared" si="112"/>
        <v/>
      </c>
      <c r="Q603" s="242" t="str">
        <f t="shared" si="113"/>
        <v/>
      </c>
      <c r="R603" s="242" t="str">
        <f t="shared" si="114"/>
        <v/>
      </c>
      <c r="S603" s="242" t="str">
        <f t="shared" si="115"/>
        <v/>
      </c>
      <c r="T603" s="242" t="str">
        <f t="shared" si="116"/>
        <v/>
      </c>
      <c r="U603" s="242" t="str">
        <f t="shared" si="117"/>
        <v/>
      </c>
      <c r="V603" s="242" t="str">
        <f t="shared" si="118"/>
        <v/>
      </c>
      <c r="W603" s="242" t="str">
        <f t="shared" si="119"/>
        <v/>
      </c>
    </row>
    <row r="604" spans="1:23" x14ac:dyDescent="0.2">
      <c r="A604" s="283"/>
      <c r="B604" s="283"/>
      <c r="C604" s="283"/>
      <c r="D604" s="283"/>
      <c r="E604" s="283"/>
      <c r="F604" s="283"/>
      <c r="G604" s="283"/>
      <c r="K604" s="242">
        <v>603</v>
      </c>
      <c r="L604" s="242" t="str">
        <f t="shared" si="108"/>
        <v/>
      </c>
      <c r="M604" s="242" t="str">
        <f t="shared" si="109"/>
        <v/>
      </c>
      <c r="N604" s="242" t="str">
        <f t="shared" si="110"/>
        <v/>
      </c>
      <c r="O604" s="242" t="str">
        <f t="shared" si="111"/>
        <v/>
      </c>
      <c r="P604" s="242" t="str">
        <f t="shared" si="112"/>
        <v/>
      </c>
      <c r="Q604" s="242" t="str">
        <f t="shared" si="113"/>
        <v/>
      </c>
      <c r="R604" s="242" t="str">
        <f t="shared" si="114"/>
        <v/>
      </c>
      <c r="S604" s="242" t="str">
        <f t="shared" si="115"/>
        <v/>
      </c>
      <c r="T604" s="242" t="str">
        <f t="shared" si="116"/>
        <v/>
      </c>
      <c r="U604" s="242" t="str">
        <f t="shared" si="117"/>
        <v/>
      </c>
      <c r="V604" s="242" t="str">
        <f t="shared" si="118"/>
        <v/>
      </c>
      <c r="W604" s="242" t="str">
        <f t="shared" si="119"/>
        <v/>
      </c>
    </row>
    <row r="605" spans="1:23" x14ac:dyDescent="0.2">
      <c r="A605" s="283"/>
      <c r="B605" s="283"/>
      <c r="C605" s="283"/>
      <c r="D605" s="283"/>
      <c r="E605" s="283"/>
      <c r="F605" s="283"/>
      <c r="G605" s="283"/>
      <c r="K605" s="242">
        <v>604</v>
      </c>
      <c r="L605" s="242" t="str">
        <f t="shared" si="108"/>
        <v/>
      </c>
      <c r="M605" s="242" t="str">
        <f t="shared" si="109"/>
        <v/>
      </c>
      <c r="N605" s="242" t="str">
        <f t="shared" si="110"/>
        <v/>
      </c>
      <c r="O605" s="242" t="str">
        <f t="shared" si="111"/>
        <v/>
      </c>
      <c r="P605" s="242" t="str">
        <f t="shared" si="112"/>
        <v/>
      </c>
      <c r="Q605" s="242" t="str">
        <f t="shared" si="113"/>
        <v/>
      </c>
      <c r="R605" s="242" t="str">
        <f t="shared" si="114"/>
        <v/>
      </c>
      <c r="S605" s="242" t="str">
        <f t="shared" si="115"/>
        <v/>
      </c>
      <c r="T605" s="242" t="str">
        <f t="shared" si="116"/>
        <v/>
      </c>
      <c r="U605" s="242" t="str">
        <f t="shared" si="117"/>
        <v/>
      </c>
      <c r="V605" s="242" t="str">
        <f t="shared" si="118"/>
        <v/>
      </c>
      <c r="W605" s="242" t="str">
        <f t="shared" si="119"/>
        <v/>
      </c>
    </row>
    <row r="606" spans="1:23" x14ac:dyDescent="0.2">
      <c r="A606" s="283"/>
      <c r="B606" s="283"/>
      <c r="C606" s="283"/>
      <c r="D606" s="283"/>
      <c r="E606" s="283"/>
      <c r="F606" s="283"/>
      <c r="G606" s="283"/>
      <c r="K606" s="242">
        <v>605</v>
      </c>
      <c r="L606" s="242" t="str">
        <f t="shared" si="108"/>
        <v/>
      </c>
      <c r="M606" s="242" t="str">
        <f t="shared" si="109"/>
        <v/>
      </c>
      <c r="N606" s="242" t="str">
        <f t="shared" si="110"/>
        <v/>
      </c>
      <c r="O606" s="242" t="str">
        <f t="shared" si="111"/>
        <v/>
      </c>
      <c r="P606" s="242" t="str">
        <f t="shared" si="112"/>
        <v/>
      </c>
      <c r="Q606" s="242" t="str">
        <f t="shared" si="113"/>
        <v/>
      </c>
      <c r="R606" s="242" t="str">
        <f t="shared" si="114"/>
        <v/>
      </c>
      <c r="S606" s="242" t="str">
        <f t="shared" si="115"/>
        <v/>
      </c>
      <c r="T606" s="242" t="str">
        <f t="shared" si="116"/>
        <v/>
      </c>
      <c r="U606" s="242" t="str">
        <f t="shared" si="117"/>
        <v/>
      </c>
      <c r="V606" s="242" t="str">
        <f t="shared" si="118"/>
        <v/>
      </c>
      <c r="W606" s="242" t="str">
        <f t="shared" si="119"/>
        <v/>
      </c>
    </row>
    <row r="607" spans="1:23" x14ac:dyDescent="0.2">
      <c r="A607" s="283"/>
      <c r="B607" s="283"/>
      <c r="C607" s="283"/>
      <c r="D607" s="283"/>
      <c r="E607" s="283"/>
      <c r="F607" s="283"/>
      <c r="G607" s="283"/>
      <c r="K607" s="242">
        <v>606</v>
      </c>
      <c r="L607" s="242" t="str">
        <f t="shared" si="108"/>
        <v/>
      </c>
      <c r="M607" s="242" t="str">
        <f t="shared" si="109"/>
        <v/>
      </c>
      <c r="N607" s="242" t="str">
        <f t="shared" si="110"/>
        <v/>
      </c>
      <c r="O607" s="242" t="str">
        <f t="shared" si="111"/>
        <v/>
      </c>
      <c r="P607" s="242" t="str">
        <f t="shared" si="112"/>
        <v/>
      </c>
      <c r="Q607" s="242" t="str">
        <f t="shared" si="113"/>
        <v/>
      </c>
      <c r="R607" s="242" t="str">
        <f t="shared" si="114"/>
        <v/>
      </c>
      <c r="S607" s="242" t="str">
        <f t="shared" si="115"/>
        <v/>
      </c>
      <c r="T607" s="242" t="str">
        <f t="shared" si="116"/>
        <v/>
      </c>
      <c r="U607" s="242" t="str">
        <f t="shared" si="117"/>
        <v/>
      </c>
      <c r="V607" s="242" t="str">
        <f t="shared" si="118"/>
        <v/>
      </c>
      <c r="W607" s="242" t="str">
        <f t="shared" si="119"/>
        <v/>
      </c>
    </row>
    <row r="608" spans="1:23" x14ac:dyDescent="0.2">
      <c r="A608" s="283"/>
      <c r="B608" s="283"/>
      <c r="C608" s="283"/>
      <c r="D608" s="283"/>
      <c r="E608" s="283"/>
      <c r="F608" s="283"/>
      <c r="G608" s="283"/>
      <c r="K608" s="242">
        <v>607</v>
      </c>
      <c r="L608" s="242" t="str">
        <f t="shared" si="108"/>
        <v/>
      </c>
      <c r="M608" s="242" t="str">
        <f t="shared" si="109"/>
        <v/>
      </c>
      <c r="N608" s="242" t="str">
        <f t="shared" si="110"/>
        <v/>
      </c>
      <c r="O608" s="242" t="str">
        <f t="shared" si="111"/>
        <v/>
      </c>
      <c r="P608" s="242" t="str">
        <f t="shared" si="112"/>
        <v/>
      </c>
      <c r="Q608" s="242" t="str">
        <f t="shared" si="113"/>
        <v/>
      </c>
      <c r="R608" s="242" t="str">
        <f t="shared" si="114"/>
        <v/>
      </c>
      <c r="S608" s="242" t="str">
        <f t="shared" si="115"/>
        <v/>
      </c>
      <c r="T608" s="242" t="str">
        <f t="shared" si="116"/>
        <v/>
      </c>
      <c r="U608" s="242" t="str">
        <f t="shared" si="117"/>
        <v/>
      </c>
      <c r="V608" s="242" t="str">
        <f t="shared" si="118"/>
        <v/>
      </c>
      <c r="W608" s="242" t="str">
        <f t="shared" si="119"/>
        <v/>
      </c>
    </row>
    <row r="609" spans="1:23" x14ac:dyDescent="0.2">
      <c r="A609" s="283"/>
      <c r="B609" s="283"/>
      <c r="C609" s="283"/>
      <c r="D609" s="283"/>
      <c r="E609" s="283"/>
      <c r="F609" s="283"/>
      <c r="G609" s="283"/>
      <c r="K609" s="242">
        <v>608</v>
      </c>
      <c r="L609" s="242" t="str">
        <f t="shared" si="108"/>
        <v/>
      </c>
      <c r="M609" s="242" t="str">
        <f t="shared" si="109"/>
        <v/>
      </c>
      <c r="N609" s="242" t="str">
        <f t="shared" si="110"/>
        <v/>
      </c>
      <c r="O609" s="242" t="str">
        <f t="shared" si="111"/>
        <v/>
      </c>
      <c r="P609" s="242" t="str">
        <f t="shared" si="112"/>
        <v/>
      </c>
      <c r="Q609" s="242" t="str">
        <f t="shared" si="113"/>
        <v/>
      </c>
      <c r="R609" s="242" t="str">
        <f t="shared" si="114"/>
        <v/>
      </c>
      <c r="S609" s="242" t="str">
        <f t="shared" si="115"/>
        <v/>
      </c>
      <c r="T609" s="242" t="str">
        <f t="shared" si="116"/>
        <v/>
      </c>
      <c r="U609" s="242" t="str">
        <f t="shared" si="117"/>
        <v/>
      </c>
      <c r="V609" s="242" t="str">
        <f t="shared" si="118"/>
        <v/>
      </c>
      <c r="W609" s="242" t="str">
        <f t="shared" si="119"/>
        <v/>
      </c>
    </row>
    <row r="610" spans="1:23" x14ac:dyDescent="0.2">
      <c r="A610" s="283"/>
      <c r="B610" s="283"/>
      <c r="C610" s="283"/>
      <c r="D610" s="283"/>
      <c r="E610" s="283"/>
      <c r="F610" s="283"/>
      <c r="G610" s="283"/>
      <c r="K610" s="242">
        <v>609</v>
      </c>
      <c r="L610" s="242" t="str">
        <f t="shared" si="108"/>
        <v/>
      </c>
      <c r="M610" s="242" t="str">
        <f t="shared" si="109"/>
        <v/>
      </c>
      <c r="N610" s="242" t="str">
        <f t="shared" si="110"/>
        <v/>
      </c>
      <c r="O610" s="242" t="str">
        <f t="shared" si="111"/>
        <v/>
      </c>
      <c r="P610" s="242" t="str">
        <f t="shared" si="112"/>
        <v/>
      </c>
      <c r="Q610" s="242" t="str">
        <f t="shared" si="113"/>
        <v/>
      </c>
      <c r="R610" s="242" t="str">
        <f t="shared" si="114"/>
        <v/>
      </c>
      <c r="S610" s="242" t="str">
        <f t="shared" si="115"/>
        <v/>
      </c>
      <c r="T610" s="242" t="str">
        <f t="shared" si="116"/>
        <v/>
      </c>
      <c r="U610" s="242" t="str">
        <f t="shared" si="117"/>
        <v/>
      </c>
      <c r="V610" s="242" t="str">
        <f t="shared" si="118"/>
        <v/>
      </c>
      <c r="W610" s="242" t="str">
        <f t="shared" si="119"/>
        <v/>
      </c>
    </row>
    <row r="611" spans="1:23" x14ac:dyDescent="0.2">
      <c r="A611" s="283"/>
      <c r="B611" s="283"/>
      <c r="C611" s="283"/>
      <c r="D611" s="283"/>
      <c r="E611" s="283"/>
      <c r="F611" s="283"/>
      <c r="G611" s="283"/>
      <c r="K611" s="242">
        <v>610</v>
      </c>
      <c r="L611" s="242" t="str">
        <f t="shared" si="108"/>
        <v/>
      </c>
      <c r="M611" s="242" t="str">
        <f t="shared" si="109"/>
        <v/>
      </c>
      <c r="N611" s="242" t="str">
        <f t="shared" si="110"/>
        <v/>
      </c>
      <c r="O611" s="242" t="str">
        <f t="shared" si="111"/>
        <v/>
      </c>
      <c r="P611" s="242" t="str">
        <f t="shared" si="112"/>
        <v/>
      </c>
      <c r="Q611" s="242" t="str">
        <f t="shared" si="113"/>
        <v/>
      </c>
      <c r="R611" s="242" t="str">
        <f t="shared" si="114"/>
        <v/>
      </c>
      <c r="S611" s="242" t="str">
        <f t="shared" si="115"/>
        <v/>
      </c>
      <c r="T611" s="242" t="str">
        <f t="shared" si="116"/>
        <v/>
      </c>
      <c r="U611" s="242" t="str">
        <f t="shared" si="117"/>
        <v/>
      </c>
      <c r="V611" s="242" t="str">
        <f t="shared" si="118"/>
        <v/>
      </c>
      <c r="W611" s="242" t="str">
        <f t="shared" si="119"/>
        <v/>
      </c>
    </row>
    <row r="612" spans="1:23" x14ac:dyDescent="0.2">
      <c r="A612" s="283"/>
      <c r="B612" s="283"/>
      <c r="C612" s="283"/>
      <c r="D612" s="283"/>
      <c r="E612" s="283"/>
      <c r="F612" s="283"/>
      <c r="G612" s="283"/>
      <c r="K612" s="242">
        <v>611</v>
      </c>
      <c r="L612" s="242" t="str">
        <f t="shared" si="108"/>
        <v/>
      </c>
      <c r="M612" s="242" t="str">
        <f t="shared" si="109"/>
        <v/>
      </c>
      <c r="N612" s="242" t="str">
        <f t="shared" si="110"/>
        <v/>
      </c>
      <c r="O612" s="242" t="str">
        <f t="shared" si="111"/>
        <v/>
      </c>
      <c r="P612" s="242" t="str">
        <f t="shared" si="112"/>
        <v/>
      </c>
      <c r="Q612" s="242" t="str">
        <f t="shared" si="113"/>
        <v/>
      </c>
      <c r="R612" s="242" t="str">
        <f t="shared" si="114"/>
        <v/>
      </c>
      <c r="S612" s="242" t="str">
        <f t="shared" si="115"/>
        <v/>
      </c>
      <c r="T612" s="242" t="str">
        <f t="shared" si="116"/>
        <v/>
      </c>
      <c r="U612" s="242" t="str">
        <f t="shared" si="117"/>
        <v/>
      </c>
      <c r="V612" s="242" t="str">
        <f t="shared" si="118"/>
        <v/>
      </c>
      <c r="W612" s="242" t="str">
        <f t="shared" si="119"/>
        <v/>
      </c>
    </row>
    <row r="613" spans="1:23" x14ac:dyDescent="0.2">
      <c r="A613" s="283"/>
      <c r="B613" s="283"/>
      <c r="C613" s="283"/>
      <c r="D613" s="283"/>
      <c r="E613" s="283"/>
      <c r="F613" s="283"/>
      <c r="G613" s="283"/>
      <c r="K613" s="242">
        <v>612</v>
      </c>
      <c r="L613" s="242" t="str">
        <f t="shared" si="108"/>
        <v/>
      </c>
      <c r="M613" s="242" t="str">
        <f t="shared" si="109"/>
        <v/>
      </c>
      <c r="N613" s="242" t="str">
        <f t="shared" si="110"/>
        <v/>
      </c>
      <c r="O613" s="242" t="str">
        <f t="shared" si="111"/>
        <v/>
      </c>
      <c r="P613" s="242" t="str">
        <f t="shared" si="112"/>
        <v/>
      </c>
      <c r="Q613" s="242" t="str">
        <f t="shared" si="113"/>
        <v/>
      </c>
      <c r="R613" s="242" t="str">
        <f t="shared" si="114"/>
        <v/>
      </c>
      <c r="S613" s="242" t="str">
        <f t="shared" si="115"/>
        <v/>
      </c>
      <c r="T613" s="242" t="str">
        <f t="shared" si="116"/>
        <v/>
      </c>
      <c r="U613" s="242" t="str">
        <f t="shared" si="117"/>
        <v/>
      </c>
      <c r="V613" s="242" t="str">
        <f t="shared" si="118"/>
        <v/>
      </c>
      <c r="W613" s="242" t="str">
        <f t="shared" si="119"/>
        <v/>
      </c>
    </row>
    <row r="614" spans="1:23" x14ac:dyDescent="0.2">
      <c r="A614" s="283"/>
      <c r="B614" s="283"/>
      <c r="C614" s="283"/>
      <c r="D614" s="283"/>
      <c r="E614" s="283"/>
      <c r="F614" s="283"/>
      <c r="G614" s="283"/>
      <c r="K614" s="242">
        <v>613</v>
      </c>
      <c r="L614" s="242" t="str">
        <f t="shared" si="108"/>
        <v/>
      </c>
      <c r="M614" s="242" t="str">
        <f t="shared" si="109"/>
        <v/>
      </c>
      <c r="N614" s="242" t="str">
        <f t="shared" si="110"/>
        <v/>
      </c>
      <c r="O614" s="242" t="str">
        <f t="shared" si="111"/>
        <v/>
      </c>
      <c r="P614" s="242" t="str">
        <f t="shared" si="112"/>
        <v/>
      </c>
      <c r="Q614" s="242" t="str">
        <f t="shared" si="113"/>
        <v/>
      </c>
      <c r="R614" s="242" t="str">
        <f t="shared" si="114"/>
        <v/>
      </c>
      <c r="S614" s="242" t="str">
        <f t="shared" si="115"/>
        <v/>
      </c>
      <c r="T614" s="242" t="str">
        <f t="shared" si="116"/>
        <v/>
      </c>
      <c r="U614" s="242" t="str">
        <f t="shared" si="117"/>
        <v/>
      </c>
      <c r="V614" s="242" t="str">
        <f t="shared" si="118"/>
        <v/>
      </c>
      <c r="W614" s="242" t="str">
        <f t="shared" si="119"/>
        <v/>
      </c>
    </row>
    <row r="615" spans="1:23" x14ac:dyDescent="0.2">
      <c r="A615" s="283"/>
      <c r="B615" s="283"/>
      <c r="C615" s="283"/>
      <c r="D615" s="283"/>
      <c r="E615" s="283"/>
      <c r="F615" s="283"/>
      <c r="G615" s="283"/>
      <c r="K615" s="242">
        <v>614</v>
      </c>
      <c r="L615" s="242" t="str">
        <f t="shared" si="108"/>
        <v/>
      </c>
      <c r="M615" s="242" t="str">
        <f t="shared" si="109"/>
        <v/>
      </c>
      <c r="N615" s="242" t="str">
        <f t="shared" si="110"/>
        <v/>
      </c>
      <c r="O615" s="242" t="str">
        <f t="shared" si="111"/>
        <v/>
      </c>
      <c r="P615" s="242" t="str">
        <f t="shared" si="112"/>
        <v/>
      </c>
      <c r="Q615" s="242" t="str">
        <f t="shared" si="113"/>
        <v/>
      </c>
      <c r="R615" s="242" t="str">
        <f t="shared" si="114"/>
        <v/>
      </c>
      <c r="S615" s="242" t="str">
        <f t="shared" si="115"/>
        <v/>
      </c>
      <c r="T615" s="242" t="str">
        <f t="shared" si="116"/>
        <v/>
      </c>
      <c r="U615" s="242" t="str">
        <f t="shared" si="117"/>
        <v/>
      </c>
      <c r="V615" s="242" t="str">
        <f t="shared" si="118"/>
        <v/>
      </c>
      <c r="W615" s="242" t="str">
        <f t="shared" si="119"/>
        <v/>
      </c>
    </row>
    <row r="616" spans="1:23" x14ac:dyDescent="0.2">
      <c r="A616" s="283"/>
      <c r="B616" s="283"/>
      <c r="C616" s="283"/>
      <c r="D616" s="283"/>
      <c r="E616" s="283"/>
      <c r="F616" s="283"/>
      <c r="G616" s="283"/>
      <c r="K616" s="242">
        <v>615</v>
      </c>
      <c r="L616" s="242" t="str">
        <f t="shared" si="108"/>
        <v/>
      </c>
      <c r="M616" s="242" t="str">
        <f t="shared" si="109"/>
        <v/>
      </c>
      <c r="N616" s="242" t="str">
        <f t="shared" si="110"/>
        <v/>
      </c>
      <c r="O616" s="242" t="str">
        <f t="shared" si="111"/>
        <v/>
      </c>
      <c r="P616" s="242" t="str">
        <f t="shared" si="112"/>
        <v/>
      </c>
      <c r="Q616" s="242" t="str">
        <f t="shared" si="113"/>
        <v/>
      </c>
      <c r="R616" s="242" t="str">
        <f t="shared" si="114"/>
        <v/>
      </c>
      <c r="S616" s="242" t="str">
        <f t="shared" si="115"/>
        <v/>
      </c>
      <c r="T616" s="242" t="str">
        <f t="shared" si="116"/>
        <v/>
      </c>
      <c r="U616" s="242" t="str">
        <f t="shared" si="117"/>
        <v/>
      </c>
      <c r="V616" s="242" t="str">
        <f t="shared" si="118"/>
        <v/>
      </c>
      <c r="W616" s="242" t="str">
        <f t="shared" si="119"/>
        <v/>
      </c>
    </row>
    <row r="617" spans="1:23" x14ac:dyDescent="0.2">
      <c r="A617" s="283"/>
      <c r="B617" s="283"/>
      <c r="C617" s="283"/>
      <c r="D617" s="283"/>
      <c r="E617" s="283"/>
      <c r="F617" s="283"/>
      <c r="G617" s="283"/>
      <c r="K617" s="242">
        <v>616</v>
      </c>
      <c r="L617" s="242" t="str">
        <f t="shared" si="108"/>
        <v/>
      </c>
      <c r="M617" s="242" t="str">
        <f t="shared" si="109"/>
        <v/>
      </c>
      <c r="N617" s="242" t="str">
        <f t="shared" si="110"/>
        <v/>
      </c>
      <c r="O617" s="242" t="str">
        <f t="shared" si="111"/>
        <v/>
      </c>
      <c r="P617" s="242" t="str">
        <f t="shared" si="112"/>
        <v/>
      </c>
      <c r="Q617" s="242" t="str">
        <f t="shared" si="113"/>
        <v/>
      </c>
      <c r="R617" s="242" t="str">
        <f t="shared" si="114"/>
        <v/>
      </c>
      <c r="S617" s="242" t="str">
        <f t="shared" si="115"/>
        <v/>
      </c>
      <c r="T617" s="242" t="str">
        <f t="shared" si="116"/>
        <v/>
      </c>
      <c r="U617" s="242" t="str">
        <f t="shared" si="117"/>
        <v/>
      </c>
      <c r="V617" s="242" t="str">
        <f t="shared" si="118"/>
        <v/>
      </c>
      <c r="W617" s="242" t="str">
        <f t="shared" si="119"/>
        <v/>
      </c>
    </row>
    <row r="618" spans="1:23" x14ac:dyDescent="0.2">
      <c r="A618" s="283"/>
      <c r="B618" s="283"/>
      <c r="C618" s="283"/>
      <c r="D618" s="283"/>
      <c r="E618" s="283"/>
      <c r="F618" s="283"/>
      <c r="G618" s="283"/>
      <c r="K618" s="242">
        <v>617</v>
      </c>
      <c r="L618" s="242" t="str">
        <f t="shared" si="108"/>
        <v/>
      </c>
      <c r="M618" s="242" t="str">
        <f t="shared" si="109"/>
        <v/>
      </c>
      <c r="N618" s="242" t="str">
        <f t="shared" si="110"/>
        <v/>
      </c>
      <c r="O618" s="242" t="str">
        <f t="shared" si="111"/>
        <v/>
      </c>
      <c r="P618" s="242" t="str">
        <f t="shared" si="112"/>
        <v/>
      </c>
      <c r="Q618" s="242" t="str">
        <f t="shared" si="113"/>
        <v/>
      </c>
      <c r="R618" s="242" t="str">
        <f t="shared" si="114"/>
        <v/>
      </c>
      <c r="S618" s="242" t="str">
        <f t="shared" si="115"/>
        <v/>
      </c>
      <c r="T618" s="242" t="str">
        <f t="shared" si="116"/>
        <v/>
      </c>
      <c r="U618" s="242" t="str">
        <f t="shared" si="117"/>
        <v/>
      </c>
      <c r="V618" s="242" t="str">
        <f t="shared" si="118"/>
        <v/>
      </c>
      <c r="W618" s="242" t="str">
        <f t="shared" si="119"/>
        <v/>
      </c>
    </row>
    <row r="619" spans="1:23" x14ac:dyDescent="0.2">
      <c r="A619" s="283"/>
      <c r="B619" s="283"/>
      <c r="C619" s="283"/>
      <c r="D619" s="283"/>
      <c r="E619" s="283"/>
      <c r="F619" s="283"/>
      <c r="G619" s="283"/>
      <c r="K619" s="242">
        <v>618</v>
      </c>
      <c r="L619" s="242" t="str">
        <f t="shared" si="108"/>
        <v/>
      </c>
      <c r="M619" s="242" t="str">
        <f t="shared" si="109"/>
        <v/>
      </c>
      <c r="N619" s="242" t="str">
        <f t="shared" si="110"/>
        <v/>
      </c>
      <c r="O619" s="242" t="str">
        <f t="shared" si="111"/>
        <v/>
      </c>
      <c r="P619" s="242" t="str">
        <f t="shared" si="112"/>
        <v/>
      </c>
      <c r="Q619" s="242" t="str">
        <f t="shared" si="113"/>
        <v/>
      </c>
      <c r="R619" s="242" t="str">
        <f t="shared" si="114"/>
        <v/>
      </c>
      <c r="S619" s="242" t="str">
        <f t="shared" si="115"/>
        <v/>
      </c>
      <c r="T619" s="242" t="str">
        <f t="shared" si="116"/>
        <v/>
      </c>
      <c r="U619" s="242" t="str">
        <f t="shared" si="117"/>
        <v/>
      </c>
      <c r="V619" s="242" t="str">
        <f t="shared" si="118"/>
        <v/>
      </c>
      <c r="W619" s="242" t="str">
        <f t="shared" si="119"/>
        <v/>
      </c>
    </row>
    <row r="620" spans="1:23" x14ac:dyDescent="0.2">
      <c r="A620" s="283"/>
      <c r="B620" s="283"/>
      <c r="C620" s="283"/>
      <c r="D620" s="283"/>
      <c r="E620" s="283"/>
      <c r="F620" s="283"/>
      <c r="G620" s="283"/>
      <c r="K620" s="242">
        <v>619</v>
      </c>
      <c r="L620" s="242" t="str">
        <f t="shared" si="108"/>
        <v/>
      </c>
      <c r="M620" s="242" t="str">
        <f t="shared" si="109"/>
        <v/>
      </c>
      <c r="N620" s="242" t="str">
        <f t="shared" si="110"/>
        <v/>
      </c>
      <c r="O620" s="242" t="str">
        <f t="shared" si="111"/>
        <v/>
      </c>
      <c r="P620" s="242" t="str">
        <f t="shared" si="112"/>
        <v/>
      </c>
      <c r="Q620" s="242" t="str">
        <f t="shared" si="113"/>
        <v/>
      </c>
      <c r="R620" s="242" t="str">
        <f t="shared" si="114"/>
        <v/>
      </c>
      <c r="S620" s="242" t="str">
        <f t="shared" si="115"/>
        <v/>
      </c>
      <c r="T620" s="242" t="str">
        <f t="shared" si="116"/>
        <v/>
      </c>
      <c r="U620" s="242" t="str">
        <f t="shared" si="117"/>
        <v/>
      </c>
      <c r="V620" s="242" t="str">
        <f t="shared" si="118"/>
        <v/>
      </c>
      <c r="W620" s="242" t="str">
        <f t="shared" si="119"/>
        <v/>
      </c>
    </row>
    <row r="621" spans="1:23" x14ac:dyDescent="0.2">
      <c r="A621" s="283"/>
      <c r="B621" s="283"/>
      <c r="C621" s="283"/>
      <c r="D621" s="283"/>
      <c r="E621" s="283"/>
      <c r="F621" s="283"/>
      <c r="G621" s="283"/>
      <c r="K621" s="242">
        <v>620</v>
      </c>
      <c r="L621" s="242" t="str">
        <f t="shared" si="108"/>
        <v/>
      </c>
      <c r="M621" s="242" t="str">
        <f t="shared" si="109"/>
        <v/>
      </c>
      <c r="N621" s="242" t="str">
        <f t="shared" si="110"/>
        <v/>
      </c>
      <c r="O621" s="242" t="str">
        <f t="shared" si="111"/>
        <v/>
      </c>
      <c r="P621" s="242" t="str">
        <f t="shared" si="112"/>
        <v/>
      </c>
      <c r="Q621" s="242" t="str">
        <f t="shared" si="113"/>
        <v/>
      </c>
      <c r="R621" s="242" t="str">
        <f t="shared" si="114"/>
        <v/>
      </c>
      <c r="S621" s="242" t="str">
        <f t="shared" si="115"/>
        <v/>
      </c>
      <c r="T621" s="242" t="str">
        <f t="shared" si="116"/>
        <v/>
      </c>
      <c r="U621" s="242" t="str">
        <f t="shared" si="117"/>
        <v/>
      </c>
      <c r="V621" s="242" t="str">
        <f t="shared" si="118"/>
        <v/>
      </c>
      <c r="W621" s="242" t="str">
        <f t="shared" si="119"/>
        <v/>
      </c>
    </row>
    <row r="622" spans="1:23" x14ac:dyDescent="0.2">
      <c r="A622" s="283"/>
      <c r="B622" s="283"/>
      <c r="C622" s="283"/>
      <c r="D622" s="283"/>
      <c r="E622" s="283"/>
      <c r="F622" s="283"/>
      <c r="G622" s="283"/>
      <c r="K622" s="242">
        <v>621</v>
      </c>
      <c r="L622" s="242" t="str">
        <f t="shared" si="108"/>
        <v/>
      </c>
      <c r="M622" s="242" t="str">
        <f t="shared" si="109"/>
        <v/>
      </c>
      <c r="N622" s="242" t="str">
        <f t="shared" si="110"/>
        <v/>
      </c>
      <c r="O622" s="242" t="str">
        <f t="shared" si="111"/>
        <v/>
      </c>
      <c r="P622" s="242" t="str">
        <f t="shared" si="112"/>
        <v/>
      </c>
      <c r="Q622" s="242" t="str">
        <f t="shared" si="113"/>
        <v/>
      </c>
      <c r="R622" s="242" t="str">
        <f t="shared" si="114"/>
        <v/>
      </c>
      <c r="S622" s="242" t="str">
        <f t="shared" si="115"/>
        <v/>
      </c>
      <c r="T622" s="242" t="str">
        <f t="shared" si="116"/>
        <v/>
      </c>
      <c r="U622" s="242" t="str">
        <f t="shared" si="117"/>
        <v/>
      </c>
      <c r="V622" s="242" t="str">
        <f t="shared" si="118"/>
        <v/>
      </c>
      <c r="W622" s="242" t="str">
        <f t="shared" si="119"/>
        <v/>
      </c>
    </row>
    <row r="623" spans="1:23" x14ac:dyDescent="0.2">
      <c r="A623" s="283"/>
      <c r="B623" s="283"/>
      <c r="C623" s="283"/>
      <c r="D623" s="283"/>
      <c r="E623" s="283"/>
      <c r="F623" s="283"/>
      <c r="G623" s="283"/>
      <c r="K623" s="242">
        <v>622</v>
      </c>
      <c r="L623" s="242" t="str">
        <f t="shared" si="108"/>
        <v/>
      </c>
      <c r="M623" s="242" t="str">
        <f t="shared" si="109"/>
        <v/>
      </c>
      <c r="N623" s="242" t="str">
        <f t="shared" si="110"/>
        <v/>
      </c>
      <c r="O623" s="242" t="str">
        <f t="shared" si="111"/>
        <v/>
      </c>
      <c r="P623" s="242" t="str">
        <f t="shared" si="112"/>
        <v/>
      </c>
      <c r="Q623" s="242" t="str">
        <f t="shared" si="113"/>
        <v/>
      </c>
      <c r="R623" s="242" t="str">
        <f t="shared" si="114"/>
        <v/>
      </c>
      <c r="S623" s="242" t="str">
        <f t="shared" si="115"/>
        <v/>
      </c>
      <c r="T623" s="242" t="str">
        <f t="shared" si="116"/>
        <v/>
      </c>
      <c r="U623" s="242" t="str">
        <f t="shared" si="117"/>
        <v/>
      </c>
      <c r="V623" s="242" t="str">
        <f t="shared" si="118"/>
        <v/>
      </c>
      <c r="W623" s="242" t="str">
        <f t="shared" si="119"/>
        <v/>
      </c>
    </row>
    <row r="624" spans="1:23" x14ac:dyDescent="0.2">
      <c r="A624" s="283"/>
      <c r="B624" s="283"/>
      <c r="C624" s="283"/>
      <c r="D624" s="283"/>
      <c r="E624" s="283"/>
      <c r="F624" s="283"/>
      <c r="G624" s="283"/>
      <c r="K624" s="242">
        <v>623</v>
      </c>
      <c r="L624" s="242" t="str">
        <f t="shared" si="108"/>
        <v/>
      </c>
      <c r="M624" s="242" t="str">
        <f t="shared" si="109"/>
        <v/>
      </c>
      <c r="N624" s="242" t="str">
        <f t="shared" si="110"/>
        <v/>
      </c>
      <c r="O624" s="242" t="str">
        <f t="shared" si="111"/>
        <v/>
      </c>
      <c r="P624" s="242" t="str">
        <f t="shared" si="112"/>
        <v/>
      </c>
      <c r="Q624" s="242" t="str">
        <f t="shared" si="113"/>
        <v/>
      </c>
      <c r="R624" s="242" t="str">
        <f t="shared" si="114"/>
        <v/>
      </c>
      <c r="S624" s="242" t="str">
        <f t="shared" si="115"/>
        <v/>
      </c>
      <c r="T624" s="242" t="str">
        <f t="shared" si="116"/>
        <v/>
      </c>
      <c r="U624" s="242" t="str">
        <f t="shared" si="117"/>
        <v/>
      </c>
      <c r="V624" s="242" t="str">
        <f t="shared" si="118"/>
        <v/>
      </c>
      <c r="W624" s="242" t="str">
        <f t="shared" si="119"/>
        <v/>
      </c>
    </row>
    <row r="625" spans="1:23" x14ac:dyDescent="0.2">
      <c r="A625" s="283"/>
      <c r="B625" s="283"/>
      <c r="C625" s="283"/>
      <c r="D625" s="283"/>
      <c r="E625" s="283"/>
      <c r="F625" s="283"/>
      <c r="G625" s="283"/>
      <c r="K625" s="242">
        <v>624</v>
      </c>
      <c r="L625" s="242" t="str">
        <f t="shared" si="108"/>
        <v/>
      </c>
      <c r="M625" s="242" t="str">
        <f t="shared" si="109"/>
        <v/>
      </c>
      <c r="N625" s="242" t="str">
        <f t="shared" si="110"/>
        <v/>
      </c>
      <c r="O625" s="242" t="str">
        <f t="shared" si="111"/>
        <v/>
      </c>
      <c r="P625" s="242" t="str">
        <f t="shared" si="112"/>
        <v/>
      </c>
      <c r="Q625" s="242" t="str">
        <f t="shared" si="113"/>
        <v/>
      </c>
      <c r="R625" s="242" t="str">
        <f t="shared" si="114"/>
        <v/>
      </c>
      <c r="S625" s="242" t="str">
        <f t="shared" si="115"/>
        <v/>
      </c>
      <c r="T625" s="242" t="str">
        <f t="shared" si="116"/>
        <v/>
      </c>
      <c r="U625" s="242" t="str">
        <f t="shared" si="117"/>
        <v/>
      </c>
      <c r="V625" s="242" t="str">
        <f t="shared" si="118"/>
        <v/>
      </c>
      <c r="W625" s="242" t="str">
        <f t="shared" si="119"/>
        <v/>
      </c>
    </row>
    <row r="626" spans="1:23" x14ac:dyDescent="0.2">
      <c r="A626" s="283"/>
      <c r="B626" s="283"/>
      <c r="C626" s="283"/>
      <c r="D626" s="283"/>
      <c r="E626" s="283"/>
      <c r="F626" s="283"/>
      <c r="G626" s="283"/>
      <c r="K626" s="242">
        <v>625</v>
      </c>
      <c r="L626" s="242" t="str">
        <f t="shared" si="108"/>
        <v/>
      </c>
      <c r="M626" s="242" t="str">
        <f t="shared" si="109"/>
        <v/>
      </c>
      <c r="N626" s="242" t="str">
        <f t="shared" si="110"/>
        <v/>
      </c>
      <c r="O626" s="242" t="str">
        <f t="shared" si="111"/>
        <v/>
      </c>
      <c r="P626" s="242" t="str">
        <f t="shared" si="112"/>
        <v/>
      </c>
      <c r="Q626" s="242" t="str">
        <f t="shared" si="113"/>
        <v/>
      </c>
      <c r="R626" s="242" t="str">
        <f t="shared" si="114"/>
        <v/>
      </c>
      <c r="S626" s="242" t="str">
        <f t="shared" si="115"/>
        <v/>
      </c>
      <c r="T626" s="242" t="str">
        <f t="shared" si="116"/>
        <v/>
      </c>
      <c r="U626" s="242" t="str">
        <f t="shared" si="117"/>
        <v/>
      </c>
      <c r="V626" s="242" t="str">
        <f t="shared" si="118"/>
        <v/>
      </c>
      <c r="W626" s="242" t="str">
        <f t="shared" si="119"/>
        <v/>
      </c>
    </row>
    <row r="627" spans="1:23" x14ac:dyDescent="0.2">
      <c r="A627" s="283"/>
      <c r="B627" s="283"/>
      <c r="C627" s="283"/>
      <c r="D627" s="283"/>
      <c r="E627" s="283"/>
      <c r="F627" s="283"/>
      <c r="G627" s="283"/>
      <c r="K627" s="242">
        <v>626</v>
      </c>
      <c r="L627" s="242" t="str">
        <f t="shared" si="108"/>
        <v/>
      </c>
      <c r="M627" s="242" t="str">
        <f t="shared" si="109"/>
        <v/>
      </c>
      <c r="N627" s="242" t="str">
        <f t="shared" si="110"/>
        <v/>
      </c>
      <c r="O627" s="242" t="str">
        <f t="shared" si="111"/>
        <v/>
      </c>
      <c r="P627" s="242" t="str">
        <f t="shared" si="112"/>
        <v/>
      </c>
      <c r="Q627" s="242" t="str">
        <f t="shared" si="113"/>
        <v/>
      </c>
      <c r="R627" s="242" t="str">
        <f t="shared" si="114"/>
        <v/>
      </c>
      <c r="S627" s="242" t="str">
        <f t="shared" si="115"/>
        <v/>
      </c>
      <c r="T627" s="242" t="str">
        <f t="shared" si="116"/>
        <v/>
      </c>
      <c r="U627" s="242" t="str">
        <f t="shared" si="117"/>
        <v/>
      </c>
      <c r="V627" s="242" t="str">
        <f t="shared" si="118"/>
        <v/>
      </c>
      <c r="W627" s="242" t="str">
        <f t="shared" si="119"/>
        <v/>
      </c>
    </row>
    <row r="628" spans="1:23" x14ac:dyDescent="0.2">
      <c r="A628" s="283"/>
      <c r="B628" s="283"/>
      <c r="C628" s="283"/>
      <c r="D628" s="283"/>
      <c r="E628" s="283"/>
      <c r="F628" s="283"/>
      <c r="G628" s="283"/>
      <c r="K628" s="242">
        <v>627</v>
      </c>
      <c r="L628" s="242" t="str">
        <f t="shared" si="108"/>
        <v/>
      </c>
      <c r="M628" s="242" t="str">
        <f t="shared" si="109"/>
        <v/>
      </c>
      <c r="N628" s="242" t="str">
        <f t="shared" si="110"/>
        <v/>
      </c>
      <c r="O628" s="242" t="str">
        <f t="shared" si="111"/>
        <v/>
      </c>
      <c r="P628" s="242" t="str">
        <f t="shared" si="112"/>
        <v/>
      </c>
      <c r="Q628" s="242" t="str">
        <f t="shared" si="113"/>
        <v/>
      </c>
      <c r="R628" s="242" t="str">
        <f t="shared" si="114"/>
        <v/>
      </c>
      <c r="S628" s="242" t="str">
        <f t="shared" si="115"/>
        <v/>
      </c>
      <c r="T628" s="242" t="str">
        <f t="shared" si="116"/>
        <v/>
      </c>
      <c r="U628" s="242" t="str">
        <f t="shared" si="117"/>
        <v/>
      </c>
      <c r="V628" s="242" t="str">
        <f t="shared" si="118"/>
        <v/>
      </c>
      <c r="W628" s="242" t="str">
        <f t="shared" si="119"/>
        <v/>
      </c>
    </row>
    <row r="629" spans="1:23" x14ac:dyDescent="0.2">
      <c r="A629" s="283"/>
      <c r="B629" s="283"/>
      <c r="C629" s="283"/>
      <c r="D629" s="283"/>
      <c r="E629" s="283"/>
      <c r="F629" s="283"/>
      <c r="G629" s="283"/>
      <c r="K629" s="242">
        <v>628</v>
      </c>
      <c r="L629" s="242" t="str">
        <f t="shared" si="108"/>
        <v/>
      </c>
      <c r="M629" s="242" t="str">
        <f t="shared" si="109"/>
        <v/>
      </c>
      <c r="N629" s="242" t="str">
        <f t="shared" si="110"/>
        <v/>
      </c>
      <c r="O629" s="242" t="str">
        <f t="shared" si="111"/>
        <v/>
      </c>
      <c r="P629" s="242" t="str">
        <f t="shared" si="112"/>
        <v/>
      </c>
      <c r="Q629" s="242" t="str">
        <f t="shared" si="113"/>
        <v/>
      </c>
      <c r="R629" s="242" t="str">
        <f t="shared" si="114"/>
        <v/>
      </c>
      <c r="S629" s="242" t="str">
        <f t="shared" si="115"/>
        <v/>
      </c>
      <c r="T629" s="242" t="str">
        <f t="shared" si="116"/>
        <v/>
      </c>
      <c r="U629" s="242" t="str">
        <f t="shared" si="117"/>
        <v/>
      </c>
      <c r="V629" s="242" t="str">
        <f t="shared" si="118"/>
        <v/>
      </c>
      <c r="W629" s="242" t="str">
        <f t="shared" si="119"/>
        <v/>
      </c>
    </row>
    <row r="630" spans="1:23" x14ac:dyDescent="0.2">
      <c r="A630" s="283"/>
      <c r="B630" s="283"/>
      <c r="C630" s="283"/>
      <c r="D630" s="283"/>
      <c r="E630" s="283"/>
      <c r="F630" s="283"/>
      <c r="G630" s="283"/>
      <c r="K630" s="242">
        <v>629</v>
      </c>
      <c r="L630" s="242" t="str">
        <f t="shared" si="108"/>
        <v/>
      </c>
      <c r="M630" s="242" t="str">
        <f t="shared" si="109"/>
        <v/>
      </c>
      <c r="N630" s="242" t="str">
        <f t="shared" si="110"/>
        <v/>
      </c>
      <c r="O630" s="242" t="str">
        <f t="shared" si="111"/>
        <v/>
      </c>
      <c r="P630" s="242" t="str">
        <f t="shared" si="112"/>
        <v/>
      </c>
      <c r="Q630" s="242" t="str">
        <f t="shared" si="113"/>
        <v/>
      </c>
      <c r="R630" s="242" t="str">
        <f t="shared" si="114"/>
        <v/>
      </c>
      <c r="S630" s="242" t="str">
        <f t="shared" si="115"/>
        <v/>
      </c>
      <c r="T630" s="242" t="str">
        <f t="shared" si="116"/>
        <v/>
      </c>
      <c r="U630" s="242" t="str">
        <f t="shared" si="117"/>
        <v/>
      </c>
      <c r="V630" s="242" t="str">
        <f t="shared" si="118"/>
        <v/>
      </c>
      <c r="W630" s="242" t="str">
        <f t="shared" si="119"/>
        <v/>
      </c>
    </row>
    <row r="631" spans="1:23" x14ac:dyDescent="0.2">
      <c r="A631" s="283"/>
      <c r="B631" s="283"/>
      <c r="C631" s="283"/>
      <c r="D631" s="283"/>
      <c r="E631" s="283"/>
      <c r="F631" s="283"/>
      <c r="G631" s="283"/>
      <c r="K631" s="242">
        <v>630</v>
      </c>
      <c r="L631" s="242" t="str">
        <f t="shared" si="108"/>
        <v/>
      </c>
      <c r="M631" s="242" t="str">
        <f t="shared" si="109"/>
        <v/>
      </c>
      <c r="N631" s="242" t="str">
        <f t="shared" si="110"/>
        <v/>
      </c>
      <c r="O631" s="242" t="str">
        <f t="shared" si="111"/>
        <v/>
      </c>
      <c r="P631" s="242" t="str">
        <f t="shared" si="112"/>
        <v/>
      </c>
      <c r="Q631" s="242" t="str">
        <f t="shared" si="113"/>
        <v/>
      </c>
      <c r="R631" s="242" t="str">
        <f t="shared" si="114"/>
        <v/>
      </c>
      <c r="S631" s="242" t="str">
        <f t="shared" si="115"/>
        <v/>
      </c>
      <c r="T631" s="242" t="str">
        <f t="shared" si="116"/>
        <v/>
      </c>
      <c r="U631" s="242" t="str">
        <f t="shared" si="117"/>
        <v/>
      </c>
      <c r="V631" s="242" t="str">
        <f t="shared" si="118"/>
        <v/>
      </c>
      <c r="W631" s="242" t="str">
        <f t="shared" si="119"/>
        <v/>
      </c>
    </row>
    <row r="632" spans="1:23" x14ac:dyDescent="0.2">
      <c r="A632" s="283"/>
      <c r="B632" s="283"/>
      <c r="C632" s="283"/>
      <c r="D632" s="283"/>
      <c r="E632" s="283"/>
      <c r="F632" s="283"/>
      <c r="G632" s="283"/>
      <c r="K632" s="242">
        <v>631</v>
      </c>
      <c r="L632" s="242" t="str">
        <f t="shared" si="108"/>
        <v/>
      </c>
      <c r="M632" s="242" t="str">
        <f t="shared" si="109"/>
        <v/>
      </c>
      <c r="N632" s="242" t="str">
        <f t="shared" si="110"/>
        <v/>
      </c>
      <c r="O632" s="242" t="str">
        <f t="shared" si="111"/>
        <v/>
      </c>
      <c r="P632" s="242" t="str">
        <f t="shared" si="112"/>
        <v/>
      </c>
      <c r="Q632" s="242" t="str">
        <f t="shared" si="113"/>
        <v/>
      </c>
      <c r="R632" s="242" t="str">
        <f t="shared" si="114"/>
        <v/>
      </c>
      <c r="S632" s="242" t="str">
        <f t="shared" si="115"/>
        <v/>
      </c>
      <c r="T632" s="242" t="str">
        <f t="shared" si="116"/>
        <v/>
      </c>
      <c r="U632" s="242" t="str">
        <f t="shared" si="117"/>
        <v/>
      </c>
      <c r="V632" s="242" t="str">
        <f t="shared" si="118"/>
        <v/>
      </c>
      <c r="W632" s="242" t="str">
        <f t="shared" si="119"/>
        <v/>
      </c>
    </row>
    <row r="633" spans="1:23" x14ac:dyDescent="0.2">
      <c r="A633" s="283"/>
      <c r="B633" s="283"/>
      <c r="C633" s="283"/>
      <c r="D633" s="283"/>
      <c r="E633" s="283"/>
      <c r="F633" s="283"/>
      <c r="G633" s="283"/>
      <c r="K633" s="242">
        <v>632</v>
      </c>
      <c r="L633" s="242" t="str">
        <f t="shared" si="108"/>
        <v/>
      </c>
      <c r="M633" s="242" t="str">
        <f t="shared" si="109"/>
        <v/>
      </c>
      <c r="N633" s="242" t="str">
        <f t="shared" si="110"/>
        <v/>
      </c>
      <c r="O633" s="242" t="str">
        <f t="shared" si="111"/>
        <v/>
      </c>
      <c r="P633" s="242" t="str">
        <f t="shared" si="112"/>
        <v/>
      </c>
      <c r="Q633" s="242" t="str">
        <f t="shared" si="113"/>
        <v/>
      </c>
      <c r="R633" s="242" t="str">
        <f t="shared" si="114"/>
        <v/>
      </c>
      <c r="S633" s="242" t="str">
        <f t="shared" si="115"/>
        <v/>
      </c>
      <c r="T633" s="242" t="str">
        <f t="shared" si="116"/>
        <v/>
      </c>
      <c r="U633" s="242" t="str">
        <f t="shared" si="117"/>
        <v/>
      </c>
      <c r="V633" s="242" t="str">
        <f t="shared" si="118"/>
        <v/>
      </c>
      <c r="W633" s="242" t="str">
        <f t="shared" si="119"/>
        <v/>
      </c>
    </row>
    <row r="634" spans="1:23" x14ac:dyDescent="0.2">
      <c r="A634" s="283"/>
      <c r="B634" s="283"/>
      <c r="C634" s="283"/>
      <c r="D634" s="283"/>
      <c r="E634" s="283"/>
      <c r="F634" s="283"/>
      <c r="G634" s="283"/>
      <c r="K634" s="242">
        <v>633</v>
      </c>
      <c r="L634" s="242" t="str">
        <f t="shared" si="108"/>
        <v/>
      </c>
      <c r="M634" s="242" t="str">
        <f t="shared" si="109"/>
        <v/>
      </c>
      <c r="N634" s="242" t="str">
        <f t="shared" si="110"/>
        <v/>
      </c>
      <c r="O634" s="242" t="str">
        <f t="shared" si="111"/>
        <v/>
      </c>
      <c r="P634" s="242" t="str">
        <f t="shared" si="112"/>
        <v/>
      </c>
      <c r="Q634" s="242" t="str">
        <f t="shared" si="113"/>
        <v/>
      </c>
      <c r="R634" s="242" t="str">
        <f t="shared" si="114"/>
        <v/>
      </c>
      <c r="S634" s="242" t="str">
        <f t="shared" si="115"/>
        <v/>
      </c>
      <c r="T634" s="242" t="str">
        <f t="shared" si="116"/>
        <v/>
      </c>
      <c r="U634" s="242" t="str">
        <f t="shared" si="117"/>
        <v/>
      </c>
      <c r="V634" s="242" t="str">
        <f t="shared" si="118"/>
        <v/>
      </c>
      <c r="W634" s="242" t="str">
        <f t="shared" si="119"/>
        <v/>
      </c>
    </row>
    <row r="635" spans="1:23" x14ac:dyDescent="0.2">
      <c r="A635" s="283"/>
      <c r="B635" s="283"/>
      <c r="C635" s="283"/>
      <c r="D635" s="283"/>
      <c r="E635" s="283"/>
      <c r="F635" s="283"/>
      <c r="G635" s="283"/>
      <c r="K635" s="242">
        <v>634</v>
      </c>
      <c r="L635" s="242" t="str">
        <f t="shared" si="108"/>
        <v/>
      </c>
      <c r="M635" s="242" t="str">
        <f t="shared" si="109"/>
        <v/>
      </c>
      <c r="N635" s="242" t="str">
        <f t="shared" si="110"/>
        <v/>
      </c>
      <c r="O635" s="242" t="str">
        <f t="shared" si="111"/>
        <v/>
      </c>
      <c r="P635" s="242" t="str">
        <f t="shared" si="112"/>
        <v/>
      </c>
      <c r="Q635" s="242" t="str">
        <f t="shared" si="113"/>
        <v/>
      </c>
      <c r="R635" s="242" t="str">
        <f t="shared" si="114"/>
        <v/>
      </c>
      <c r="S635" s="242" t="str">
        <f t="shared" si="115"/>
        <v/>
      </c>
      <c r="T635" s="242" t="str">
        <f t="shared" si="116"/>
        <v/>
      </c>
      <c r="U635" s="242" t="str">
        <f t="shared" si="117"/>
        <v/>
      </c>
      <c r="V635" s="242" t="str">
        <f t="shared" si="118"/>
        <v/>
      </c>
      <c r="W635" s="242" t="str">
        <f t="shared" si="119"/>
        <v/>
      </c>
    </row>
    <row r="636" spans="1:23" x14ac:dyDescent="0.2">
      <c r="A636" s="283"/>
      <c r="B636" s="283"/>
      <c r="C636" s="283"/>
      <c r="D636" s="283"/>
      <c r="E636" s="283"/>
      <c r="F636" s="283"/>
      <c r="G636" s="283"/>
      <c r="K636" s="242">
        <v>635</v>
      </c>
      <c r="L636" s="242" t="str">
        <f t="shared" si="108"/>
        <v/>
      </c>
      <c r="M636" s="242" t="str">
        <f t="shared" si="109"/>
        <v/>
      </c>
      <c r="N636" s="242" t="str">
        <f t="shared" si="110"/>
        <v/>
      </c>
      <c r="O636" s="242" t="str">
        <f t="shared" si="111"/>
        <v/>
      </c>
      <c r="P636" s="242" t="str">
        <f t="shared" si="112"/>
        <v/>
      </c>
      <c r="Q636" s="242" t="str">
        <f t="shared" si="113"/>
        <v/>
      </c>
      <c r="R636" s="242" t="str">
        <f t="shared" si="114"/>
        <v/>
      </c>
      <c r="S636" s="242" t="str">
        <f t="shared" si="115"/>
        <v/>
      </c>
      <c r="T636" s="242" t="str">
        <f t="shared" si="116"/>
        <v/>
      </c>
      <c r="U636" s="242" t="str">
        <f t="shared" si="117"/>
        <v/>
      </c>
      <c r="V636" s="242" t="str">
        <f t="shared" si="118"/>
        <v/>
      </c>
      <c r="W636" s="242" t="str">
        <f t="shared" si="119"/>
        <v/>
      </c>
    </row>
    <row r="637" spans="1:23" x14ac:dyDescent="0.2">
      <c r="A637" s="283"/>
      <c r="B637" s="283"/>
      <c r="C637" s="283"/>
      <c r="D637" s="283"/>
      <c r="E637" s="283"/>
      <c r="F637" s="283"/>
      <c r="G637" s="283"/>
      <c r="K637" s="242">
        <v>636</v>
      </c>
      <c r="L637" s="242" t="str">
        <f t="shared" si="108"/>
        <v/>
      </c>
      <c r="M637" s="242" t="str">
        <f t="shared" si="109"/>
        <v/>
      </c>
      <c r="N637" s="242" t="str">
        <f t="shared" si="110"/>
        <v/>
      </c>
      <c r="O637" s="242" t="str">
        <f t="shared" si="111"/>
        <v/>
      </c>
      <c r="P637" s="242" t="str">
        <f t="shared" si="112"/>
        <v/>
      </c>
      <c r="Q637" s="242" t="str">
        <f t="shared" si="113"/>
        <v/>
      </c>
      <c r="R637" s="242" t="str">
        <f t="shared" si="114"/>
        <v/>
      </c>
      <c r="S637" s="242" t="str">
        <f t="shared" si="115"/>
        <v/>
      </c>
      <c r="T637" s="242" t="str">
        <f t="shared" si="116"/>
        <v/>
      </c>
      <c r="U637" s="242" t="str">
        <f t="shared" si="117"/>
        <v/>
      </c>
      <c r="V637" s="242" t="str">
        <f t="shared" si="118"/>
        <v/>
      </c>
      <c r="W637" s="242" t="str">
        <f t="shared" si="119"/>
        <v/>
      </c>
    </row>
    <row r="638" spans="1:23" x14ac:dyDescent="0.2">
      <c r="A638" s="283"/>
      <c r="B638" s="283"/>
      <c r="C638" s="283"/>
      <c r="D638" s="283"/>
      <c r="E638" s="283"/>
      <c r="F638" s="283"/>
      <c r="G638" s="283"/>
      <c r="K638" s="242">
        <v>637</v>
      </c>
      <c r="L638" s="242" t="str">
        <f t="shared" si="108"/>
        <v/>
      </c>
      <c r="M638" s="242" t="str">
        <f t="shared" si="109"/>
        <v/>
      </c>
      <c r="N638" s="242" t="str">
        <f t="shared" si="110"/>
        <v/>
      </c>
      <c r="O638" s="242" t="str">
        <f t="shared" si="111"/>
        <v/>
      </c>
      <c r="P638" s="242" t="str">
        <f t="shared" si="112"/>
        <v/>
      </c>
      <c r="Q638" s="242" t="str">
        <f t="shared" si="113"/>
        <v/>
      </c>
      <c r="R638" s="242" t="str">
        <f t="shared" si="114"/>
        <v/>
      </c>
      <c r="S638" s="242" t="str">
        <f t="shared" si="115"/>
        <v/>
      </c>
      <c r="T638" s="242" t="str">
        <f t="shared" si="116"/>
        <v/>
      </c>
      <c r="U638" s="242" t="str">
        <f t="shared" si="117"/>
        <v/>
      </c>
      <c r="V638" s="242" t="str">
        <f t="shared" si="118"/>
        <v/>
      </c>
      <c r="W638" s="242" t="str">
        <f t="shared" si="119"/>
        <v/>
      </c>
    </row>
    <row r="639" spans="1:23" x14ac:dyDescent="0.2">
      <c r="A639" s="283"/>
      <c r="B639" s="283"/>
      <c r="C639" s="283"/>
      <c r="D639" s="283"/>
      <c r="E639" s="283"/>
      <c r="F639" s="283"/>
      <c r="G639" s="283"/>
      <c r="K639" s="242">
        <v>638</v>
      </c>
      <c r="L639" s="242" t="str">
        <f t="shared" si="108"/>
        <v/>
      </c>
      <c r="M639" s="242" t="str">
        <f t="shared" si="109"/>
        <v/>
      </c>
      <c r="N639" s="242" t="str">
        <f t="shared" si="110"/>
        <v/>
      </c>
      <c r="O639" s="242" t="str">
        <f t="shared" si="111"/>
        <v/>
      </c>
      <c r="P639" s="242" t="str">
        <f t="shared" si="112"/>
        <v/>
      </c>
      <c r="Q639" s="242" t="str">
        <f t="shared" si="113"/>
        <v/>
      </c>
      <c r="R639" s="242" t="str">
        <f t="shared" si="114"/>
        <v/>
      </c>
      <c r="S639" s="242" t="str">
        <f t="shared" si="115"/>
        <v/>
      </c>
      <c r="T639" s="242" t="str">
        <f t="shared" si="116"/>
        <v/>
      </c>
      <c r="U639" s="242" t="str">
        <f t="shared" si="117"/>
        <v/>
      </c>
      <c r="V639" s="242" t="str">
        <f t="shared" si="118"/>
        <v/>
      </c>
      <c r="W639" s="242" t="str">
        <f t="shared" si="119"/>
        <v/>
      </c>
    </row>
    <row r="640" spans="1:23" x14ac:dyDescent="0.2">
      <c r="A640" s="283"/>
      <c r="B640" s="283"/>
      <c r="C640" s="283"/>
      <c r="D640" s="283"/>
      <c r="E640" s="283"/>
      <c r="F640" s="283"/>
      <c r="G640" s="283"/>
      <c r="K640" s="242">
        <v>639</v>
      </c>
      <c r="L640" s="242" t="str">
        <f t="shared" si="108"/>
        <v/>
      </c>
      <c r="M640" s="242" t="str">
        <f t="shared" si="109"/>
        <v/>
      </c>
      <c r="N640" s="242" t="str">
        <f t="shared" si="110"/>
        <v/>
      </c>
      <c r="O640" s="242" t="str">
        <f t="shared" si="111"/>
        <v/>
      </c>
      <c r="P640" s="242" t="str">
        <f t="shared" si="112"/>
        <v/>
      </c>
      <c r="Q640" s="242" t="str">
        <f t="shared" si="113"/>
        <v/>
      </c>
      <c r="R640" s="242" t="str">
        <f t="shared" si="114"/>
        <v/>
      </c>
      <c r="S640" s="242" t="str">
        <f t="shared" si="115"/>
        <v/>
      </c>
      <c r="T640" s="242" t="str">
        <f t="shared" si="116"/>
        <v/>
      </c>
      <c r="U640" s="242" t="str">
        <f t="shared" si="117"/>
        <v/>
      </c>
      <c r="V640" s="242" t="str">
        <f t="shared" si="118"/>
        <v/>
      </c>
      <c r="W640" s="242" t="str">
        <f t="shared" si="119"/>
        <v/>
      </c>
    </row>
    <row r="641" spans="1:23" x14ac:dyDescent="0.2">
      <c r="A641" s="283"/>
      <c r="B641" s="283"/>
      <c r="C641" s="283"/>
      <c r="D641" s="283"/>
      <c r="E641" s="283"/>
      <c r="F641" s="283"/>
      <c r="G641" s="283"/>
      <c r="K641" s="242">
        <v>640</v>
      </c>
      <c r="L641" s="242" t="str">
        <f t="shared" si="108"/>
        <v/>
      </c>
      <c r="M641" s="242" t="str">
        <f t="shared" si="109"/>
        <v/>
      </c>
      <c r="N641" s="242" t="str">
        <f t="shared" si="110"/>
        <v/>
      </c>
      <c r="O641" s="242" t="str">
        <f t="shared" si="111"/>
        <v/>
      </c>
      <c r="P641" s="242" t="str">
        <f t="shared" si="112"/>
        <v/>
      </c>
      <c r="Q641" s="242" t="str">
        <f t="shared" si="113"/>
        <v/>
      </c>
      <c r="R641" s="242" t="str">
        <f t="shared" si="114"/>
        <v/>
      </c>
      <c r="S641" s="242" t="str">
        <f t="shared" si="115"/>
        <v/>
      </c>
      <c r="T641" s="242" t="str">
        <f t="shared" si="116"/>
        <v/>
      </c>
      <c r="U641" s="242" t="str">
        <f t="shared" si="117"/>
        <v/>
      </c>
      <c r="V641" s="242" t="str">
        <f t="shared" si="118"/>
        <v/>
      </c>
      <c r="W641" s="242" t="str">
        <f t="shared" si="119"/>
        <v/>
      </c>
    </row>
    <row r="642" spans="1:23" x14ac:dyDescent="0.2">
      <c r="A642" s="283"/>
      <c r="B642" s="283"/>
      <c r="C642" s="283"/>
      <c r="D642" s="283"/>
      <c r="E642" s="283"/>
      <c r="F642" s="283"/>
      <c r="G642" s="283"/>
      <c r="K642" s="242">
        <v>641</v>
      </c>
      <c r="L642" s="242" t="str">
        <f t="shared" si="108"/>
        <v/>
      </c>
      <c r="M642" s="242" t="str">
        <f t="shared" si="109"/>
        <v/>
      </c>
      <c r="N642" s="242" t="str">
        <f t="shared" si="110"/>
        <v/>
      </c>
      <c r="O642" s="242" t="str">
        <f t="shared" si="111"/>
        <v/>
      </c>
      <c r="P642" s="242" t="str">
        <f t="shared" si="112"/>
        <v/>
      </c>
      <c r="Q642" s="242" t="str">
        <f t="shared" si="113"/>
        <v/>
      </c>
      <c r="R642" s="242" t="str">
        <f t="shared" si="114"/>
        <v/>
      </c>
      <c r="S642" s="242" t="str">
        <f t="shared" si="115"/>
        <v/>
      </c>
      <c r="T642" s="242" t="str">
        <f t="shared" si="116"/>
        <v/>
      </c>
      <c r="U642" s="242" t="str">
        <f t="shared" si="117"/>
        <v/>
      </c>
      <c r="V642" s="242" t="str">
        <f t="shared" si="118"/>
        <v/>
      </c>
      <c r="W642" s="242" t="str">
        <f t="shared" si="119"/>
        <v/>
      </c>
    </row>
    <row r="643" spans="1:23" x14ac:dyDescent="0.2">
      <c r="A643" s="283"/>
      <c r="B643" s="283"/>
      <c r="C643" s="283"/>
      <c r="D643" s="283"/>
      <c r="E643" s="283"/>
      <c r="F643" s="283"/>
      <c r="G643" s="283"/>
      <c r="K643" s="242">
        <v>642</v>
      </c>
      <c r="L643" s="242" t="str">
        <f t="shared" ref="L643:L706" si="120">IF($B$13&gt;=K643,K643,"")</f>
        <v/>
      </c>
      <c r="M643" s="242" t="str">
        <f t="shared" ref="M643:M706" si="121">IF(L643="","",IF(L643&lt;=$E$15,VLOOKUP($E$14,$I$1:$J$4,2,FALSE),VLOOKUP($F$14,$I$1:$J$4,2,FALSE)))</f>
        <v/>
      </c>
      <c r="N643" s="242" t="str">
        <f t="shared" ref="N643:N706" si="122">IF($B$20&gt;=K643,K643,"")</f>
        <v/>
      </c>
      <c r="O643" s="242" t="str">
        <f t="shared" ref="O643:O706" si="123">IF(N643="","",IF(N643&lt;=$E$22,VLOOKUP($E$21,$I$1:$J$4,2,FALSE),VLOOKUP($F$21,$I$1:$J$4,2,FALSE)))</f>
        <v/>
      </c>
      <c r="P643" s="242" t="str">
        <f t="shared" ref="P643:P706" si="124">IF($B$27&gt;=K643,K643,"")</f>
        <v/>
      </c>
      <c r="Q643" s="242" t="str">
        <f t="shared" ref="Q643:Q706" si="125">IF(P643="","",IF(P643&lt;=$E$29,VLOOKUP($E$28,$I$1:$J$4,2,FALSE),VLOOKUP($F$28,$I$1:$J$4,2,FALSE)))</f>
        <v/>
      </c>
      <c r="R643" s="242" t="str">
        <f t="shared" ref="R643:R706" si="126">IF($B$34&gt;=K643,K643,"")</f>
        <v/>
      </c>
      <c r="S643" s="242" t="str">
        <f t="shared" ref="S643:S706" si="127">IF(R643="","",IF(R643&lt;=$E$36,VLOOKUP($E$35,$I$1:$J$4,2,FALSE),VLOOKUP($F$35,$I$1:$J$4,2,FALSE)))</f>
        <v/>
      </c>
      <c r="T643" s="242" t="str">
        <f t="shared" ref="T643:T706" si="128">IF($B$41&gt;=K643,K643,"")</f>
        <v/>
      </c>
      <c r="U643" s="242" t="str">
        <f t="shared" ref="U643:U706" si="129">IF(T643="","",IF(T643&lt;=$E$43,VLOOKUP($E$42,$I$1:$J$4,2,FALSE),VLOOKUP($F$42,$I$1:$J$4,2,FALSE)))</f>
        <v/>
      </c>
      <c r="V643" s="242" t="str">
        <f t="shared" ref="V643:V706" si="130">IF($B$48&gt;=K643,K643,"")</f>
        <v/>
      </c>
      <c r="W643" s="242" t="str">
        <f t="shared" ref="W643:W706" si="131">IF(V643="","",IF(V643&lt;=$E$50,VLOOKUP($E$49,$I$1:$J$4,2,FALSE),VLOOKUP($F$49,$I$1:$J$4,2,FALSE)))</f>
        <v/>
      </c>
    </row>
    <row r="644" spans="1:23" x14ac:dyDescent="0.2">
      <c r="A644" s="283"/>
      <c r="B644" s="283"/>
      <c r="C644" s="283"/>
      <c r="D644" s="283"/>
      <c r="E644" s="283"/>
      <c r="F644" s="283"/>
      <c r="G644" s="283"/>
      <c r="K644" s="242">
        <v>643</v>
      </c>
      <c r="L644" s="242" t="str">
        <f t="shared" si="120"/>
        <v/>
      </c>
      <c r="M644" s="242" t="str">
        <f t="shared" si="121"/>
        <v/>
      </c>
      <c r="N644" s="242" t="str">
        <f t="shared" si="122"/>
        <v/>
      </c>
      <c r="O644" s="242" t="str">
        <f t="shared" si="123"/>
        <v/>
      </c>
      <c r="P644" s="242" t="str">
        <f t="shared" si="124"/>
        <v/>
      </c>
      <c r="Q644" s="242" t="str">
        <f t="shared" si="125"/>
        <v/>
      </c>
      <c r="R644" s="242" t="str">
        <f t="shared" si="126"/>
        <v/>
      </c>
      <c r="S644" s="242" t="str">
        <f t="shared" si="127"/>
        <v/>
      </c>
      <c r="T644" s="242" t="str">
        <f t="shared" si="128"/>
        <v/>
      </c>
      <c r="U644" s="242" t="str">
        <f t="shared" si="129"/>
        <v/>
      </c>
      <c r="V644" s="242" t="str">
        <f t="shared" si="130"/>
        <v/>
      </c>
      <c r="W644" s="242" t="str">
        <f t="shared" si="131"/>
        <v/>
      </c>
    </row>
    <row r="645" spans="1:23" x14ac:dyDescent="0.2">
      <c r="A645" s="283"/>
      <c r="B645" s="283"/>
      <c r="C645" s="283"/>
      <c r="D645" s="283"/>
      <c r="E645" s="283"/>
      <c r="F645" s="283"/>
      <c r="G645" s="283"/>
      <c r="K645" s="242">
        <v>644</v>
      </c>
      <c r="L645" s="242" t="str">
        <f t="shared" si="120"/>
        <v/>
      </c>
      <c r="M645" s="242" t="str">
        <f t="shared" si="121"/>
        <v/>
      </c>
      <c r="N645" s="242" t="str">
        <f t="shared" si="122"/>
        <v/>
      </c>
      <c r="O645" s="242" t="str">
        <f t="shared" si="123"/>
        <v/>
      </c>
      <c r="P645" s="242" t="str">
        <f t="shared" si="124"/>
        <v/>
      </c>
      <c r="Q645" s="242" t="str">
        <f t="shared" si="125"/>
        <v/>
      </c>
      <c r="R645" s="242" t="str">
        <f t="shared" si="126"/>
        <v/>
      </c>
      <c r="S645" s="242" t="str">
        <f t="shared" si="127"/>
        <v/>
      </c>
      <c r="T645" s="242" t="str">
        <f t="shared" si="128"/>
        <v/>
      </c>
      <c r="U645" s="242" t="str">
        <f t="shared" si="129"/>
        <v/>
      </c>
      <c r="V645" s="242" t="str">
        <f t="shared" si="130"/>
        <v/>
      </c>
      <c r="W645" s="242" t="str">
        <f t="shared" si="131"/>
        <v/>
      </c>
    </row>
    <row r="646" spans="1:23" x14ac:dyDescent="0.2">
      <c r="A646" s="283"/>
      <c r="B646" s="283"/>
      <c r="C646" s="283"/>
      <c r="D646" s="283"/>
      <c r="E646" s="283"/>
      <c r="F646" s="283"/>
      <c r="G646" s="283"/>
      <c r="K646" s="242">
        <v>645</v>
      </c>
      <c r="L646" s="242" t="str">
        <f t="shared" si="120"/>
        <v/>
      </c>
      <c r="M646" s="242" t="str">
        <f t="shared" si="121"/>
        <v/>
      </c>
      <c r="N646" s="242" t="str">
        <f t="shared" si="122"/>
        <v/>
      </c>
      <c r="O646" s="242" t="str">
        <f t="shared" si="123"/>
        <v/>
      </c>
      <c r="P646" s="242" t="str">
        <f t="shared" si="124"/>
        <v/>
      </c>
      <c r="Q646" s="242" t="str">
        <f t="shared" si="125"/>
        <v/>
      </c>
      <c r="R646" s="242" t="str">
        <f t="shared" si="126"/>
        <v/>
      </c>
      <c r="S646" s="242" t="str">
        <f t="shared" si="127"/>
        <v/>
      </c>
      <c r="T646" s="242" t="str">
        <f t="shared" si="128"/>
        <v/>
      </c>
      <c r="U646" s="242" t="str">
        <f t="shared" si="129"/>
        <v/>
      </c>
      <c r="V646" s="242" t="str">
        <f t="shared" si="130"/>
        <v/>
      </c>
      <c r="W646" s="242" t="str">
        <f t="shared" si="131"/>
        <v/>
      </c>
    </row>
    <row r="647" spans="1:23" x14ac:dyDescent="0.2">
      <c r="A647" s="283"/>
      <c r="B647" s="283"/>
      <c r="C647" s="283"/>
      <c r="D647" s="283"/>
      <c r="E647" s="283"/>
      <c r="F647" s="283"/>
      <c r="G647" s="283"/>
      <c r="K647" s="242">
        <v>646</v>
      </c>
      <c r="L647" s="242" t="str">
        <f t="shared" si="120"/>
        <v/>
      </c>
      <c r="M647" s="242" t="str">
        <f t="shared" si="121"/>
        <v/>
      </c>
      <c r="N647" s="242" t="str">
        <f t="shared" si="122"/>
        <v/>
      </c>
      <c r="O647" s="242" t="str">
        <f t="shared" si="123"/>
        <v/>
      </c>
      <c r="P647" s="242" t="str">
        <f t="shared" si="124"/>
        <v/>
      </c>
      <c r="Q647" s="242" t="str">
        <f t="shared" si="125"/>
        <v/>
      </c>
      <c r="R647" s="242" t="str">
        <f t="shared" si="126"/>
        <v/>
      </c>
      <c r="S647" s="242" t="str">
        <f t="shared" si="127"/>
        <v/>
      </c>
      <c r="T647" s="242" t="str">
        <f t="shared" si="128"/>
        <v/>
      </c>
      <c r="U647" s="242" t="str">
        <f t="shared" si="129"/>
        <v/>
      </c>
      <c r="V647" s="242" t="str">
        <f t="shared" si="130"/>
        <v/>
      </c>
      <c r="W647" s="242" t="str">
        <f t="shared" si="131"/>
        <v/>
      </c>
    </row>
    <row r="648" spans="1:23" x14ac:dyDescent="0.2">
      <c r="A648" s="283"/>
      <c r="B648" s="283"/>
      <c r="C648" s="283"/>
      <c r="D648" s="283"/>
      <c r="E648" s="283"/>
      <c r="F648" s="283"/>
      <c r="G648" s="283"/>
      <c r="K648" s="242">
        <v>647</v>
      </c>
      <c r="L648" s="242" t="str">
        <f t="shared" si="120"/>
        <v/>
      </c>
      <c r="M648" s="242" t="str">
        <f t="shared" si="121"/>
        <v/>
      </c>
      <c r="N648" s="242" t="str">
        <f t="shared" si="122"/>
        <v/>
      </c>
      <c r="O648" s="242" t="str">
        <f t="shared" si="123"/>
        <v/>
      </c>
      <c r="P648" s="242" t="str">
        <f t="shared" si="124"/>
        <v/>
      </c>
      <c r="Q648" s="242" t="str">
        <f t="shared" si="125"/>
        <v/>
      </c>
      <c r="R648" s="242" t="str">
        <f t="shared" si="126"/>
        <v/>
      </c>
      <c r="S648" s="242" t="str">
        <f t="shared" si="127"/>
        <v/>
      </c>
      <c r="T648" s="242" t="str">
        <f t="shared" si="128"/>
        <v/>
      </c>
      <c r="U648" s="242" t="str">
        <f t="shared" si="129"/>
        <v/>
      </c>
      <c r="V648" s="242" t="str">
        <f t="shared" si="130"/>
        <v/>
      </c>
      <c r="W648" s="242" t="str">
        <f t="shared" si="131"/>
        <v/>
      </c>
    </row>
    <row r="649" spans="1:23" x14ac:dyDescent="0.2">
      <c r="A649" s="283"/>
      <c r="B649" s="283"/>
      <c r="C649" s="283"/>
      <c r="D649" s="283"/>
      <c r="E649" s="283"/>
      <c r="F649" s="283"/>
      <c r="G649" s="283"/>
      <c r="K649" s="242">
        <v>648</v>
      </c>
      <c r="L649" s="242" t="str">
        <f t="shared" si="120"/>
        <v/>
      </c>
      <c r="M649" s="242" t="str">
        <f t="shared" si="121"/>
        <v/>
      </c>
      <c r="N649" s="242" t="str">
        <f t="shared" si="122"/>
        <v/>
      </c>
      <c r="O649" s="242" t="str">
        <f t="shared" si="123"/>
        <v/>
      </c>
      <c r="P649" s="242" t="str">
        <f t="shared" si="124"/>
        <v/>
      </c>
      <c r="Q649" s="242" t="str">
        <f t="shared" si="125"/>
        <v/>
      </c>
      <c r="R649" s="242" t="str">
        <f t="shared" si="126"/>
        <v/>
      </c>
      <c r="S649" s="242" t="str">
        <f t="shared" si="127"/>
        <v/>
      </c>
      <c r="T649" s="242" t="str">
        <f t="shared" si="128"/>
        <v/>
      </c>
      <c r="U649" s="242" t="str">
        <f t="shared" si="129"/>
        <v/>
      </c>
      <c r="V649" s="242" t="str">
        <f t="shared" si="130"/>
        <v/>
      </c>
      <c r="W649" s="242" t="str">
        <f t="shared" si="131"/>
        <v/>
      </c>
    </row>
    <row r="650" spans="1:23" x14ac:dyDescent="0.2">
      <c r="A650" s="283"/>
      <c r="B650" s="283"/>
      <c r="C650" s="283"/>
      <c r="D650" s="283"/>
      <c r="E650" s="283"/>
      <c r="F650" s="283"/>
      <c r="G650" s="283"/>
      <c r="K650" s="242">
        <v>649</v>
      </c>
      <c r="L650" s="242" t="str">
        <f t="shared" si="120"/>
        <v/>
      </c>
      <c r="M650" s="242" t="str">
        <f t="shared" si="121"/>
        <v/>
      </c>
      <c r="N650" s="242" t="str">
        <f t="shared" si="122"/>
        <v/>
      </c>
      <c r="O650" s="242" t="str">
        <f t="shared" si="123"/>
        <v/>
      </c>
      <c r="P650" s="242" t="str">
        <f t="shared" si="124"/>
        <v/>
      </c>
      <c r="Q650" s="242" t="str">
        <f t="shared" si="125"/>
        <v/>
      </c>
      <c r="R650" s="242" t="str">
        <f t="shared" si="126"/>
        <v/>
      </c>
      <c r="S650" s="242" t="str">
        <f t="shared" si="127"/>
        <v/>
      </c>
      <c r="T650" s="242" t="str">
        <f t="shared" si="128"/>
        <v/>
      </c>
      <c r="U650" s="242" t="str">
        <f t="shared" si="129"/>
        <v/>
      </c>
      <c r="V650" s="242" t="str">
        <f t="shared" si="130"/>
        <v/>
      </c>
      <c r="W650" s="242" t="str">
        <f t="shared" si="131"/>
        <v/>
      </c>
    </row>
    <row r="651" spans="1:23" x14ac:dyDescent="0.2">
      <c r="A651" s="283"/>
      <c r="B651" s="283"/>
      <c r="C651" s="283"/>
      <c r="D651" s="283"/>
      <c r="E651" s="283"/>
      <c r="F651" s="283"/>
      <c r="G651" s="283"/>
      <c r="K651" s="242">
        <v>650</v>
      </c>
      <c r="L651" s="242" t="str">
        <f t="shared" si="120"/>
        <v/>
      </c>
      <c r="M651" s="242" t="str">
        <f t="shared" si="121"/>
        <v/>
      </c>
      <c r="N651" s="242" t="str">
        <f t="shared" si="122"/>
        <v/>
      </c>
      <c r="O651" s="242" t="str">
        <f t="shared" si="123"/>
        <v/>
      </c>
      <c r="P651" s="242" t="str">
        <f t="shared" si="124"/>
        <v/>
      </c>
      <c r="Q651" s="242" t="str">
        <f t="shared" si="125"/>
        <v/>
      </c>
      <c r="R651" s="242" t="str">
        <f t="shared" si="126"/>
        <v/>
      </c>
      <c r="S651" s="242" t="str">
        <f t="shared" si="127"/>
        <v/>
      </c>
      <c r="T651" s="242" t="str">
        <f t="shared" si="128"/>
        <v/>
      </c>
      <c r="U651" s="242" t="str">
        <f t="shared" si="129"/>
        <v/>
      </c>
      <c r="V651" s="242" t="str">
        <f t="shared" si="130"/>
        <v/>
      </c>
      <c r="W651" s="242" t="str">
        <f t="shared" si="131"/>
        <v/>
      </c>
    </row>
    <row r="652" spans="1:23" x14ac:dyDescent="0.2">
      <c r="A652" s="283"/>
      <c r="B652" s="283"/>
      <c r="C652" s="283"/>
      <c r="D652" s="283"/>
      <c r="E652" s="283"/>
      <c r="F652" s="283"/>
      <c r="G652" s="283"/>
      <c r="K652" s="242">
        <v>651</v>
      </c>
      <c r="L652" s="242" t="str">
        <f t="shared" si="120"/>
        <v/>
      </c>
      <c r="M652" s="242" t="str">
        <f t="shared" si="121"/>
        <v/>
      </c>
      <c r="N652" s="242" t="str">
        <f t="shared" si="122"/>
        <v/>
      </c>
      <c r="O652" s="242" t="str">
        <f t="shared" si="123"/>
        <v/>
      </c>
      <c r="P652" s="242" t="str">
        <f t="shared" si="124"/>
        <v/>
      </c>
      <c r="Q652" s="242" t="str">
        <f t="shared" si="125"/>
        <v/>
      </c>
      <c r="R652" s="242" t="str">
        <f t="shared" si="126"/>
        <v/>
      </c>
      <c r="S652" s="242" t="str">
        <f t="shared" si="127"/>
        <v/>
      </c>
      <c r="T652" s="242" t="str">
        <f t="shared" si="128"/>
        <v/>
      </c>
      <c r="U652" s="242" t="str">
        <f t="shared" si="129"/>
        <v/>
      </c>
      <c r="V652" s="242" t="str">
        <f t="shared" si="130"/>
        <v/>
      </c>
      <c r="W652" s="242" t="str">
        <f t="shared" si="131"/>
        <v/>
      </c>
    </row>
    <row r="653" spans="1:23" x14ac:dyDescent="0.2">
      <c r="A653" s="283"/>
      <c r="B653" s="283"/>
      <c r="C653" s="283"/>
      <c r="D653" s="283"/>
      <c r="E653" s="283"/>
      <c r="F653" s="283"/>
      <c r="G653" s="283"/>
      <c r="K653" s="242">
        <v>652</v>
      </c>
      <c r="L653" s="242" t="str">
        <f t="shared" si="120"/>
        <v/>
      </c>
      <c r="M653" s="242" t="str">
        <f t="shared" si="121"/>
        <v/>
      </c>
      <c r="N653" s="242" t="str">
        <f t="shared" si="122"/>
        <v/>
      </c>
      <c r="O653" s="242" t="str">
        <f t="shared" si="123"/>
        <v/>
      </c>
      <c r="P653" s="242" t="str">
        <f t="shared" si="124"/>
        <v/>
      </c>
      <c r="Q653" s="242" t="str">
        <f t="shared" si="125"/>
        <v/>
      </c>
      <c r="R653" s="242" t="str">
        <f t="shared" si="126"/>
        <v/>
      </c>
      <c r="S653" s="242" t="str">
        <f t="shared" si="127"/>
        <v/>
      </c>
      <c r="T653" s="242" t="str">
        <f t="shared" si="128"/>
        <v/>
      </c>
      <c r="U653" s="242" t="str">
        <f t="shared" si="129"/>
        <v/>
      </c>
      <c r="V653" s="242" t="str">
        <f t="shared" si="130"/>
        <v/>
      </c>
      <c r="W653" s="242" t="str">
        <f t="shared" si="131"/>
        <v/>
      </c>
    </row>
    <row r="654" spans="1:23" x14ac:dyDescent="0.2">
      <c r="A654" s="283"/>
      <c r="B654" s="283"/>
      <c r="C654" s="283"/>
      <c r="D654" s="283"/>
      <c r="E654" s="283"/>
      <c r="F654" s="283"/>
      <c r="G654" s="283"/>
      <c r="K654" s="242">
        <v>653</v>
      </c>
      <c r="L654" s="242" t="str">
        <f t="shared" si="120"/>
        <v/>
      </c>
      <c r="M654" s="242" t="str">
        <f t="shared" si="121"/>
        <v/>
      </c>
      <c r="N654" s="242" t="str">
        <f t="shared" si="122"/>
        <v/>
      </c>
      <c r="O654" s="242" t="str">
        <f t="shared" si="123"/>
        <v/>
      </c>
      <c r="P654" s="242" t="str">
        <f t="shared" si="124"/>
        <v/>
      </c>
      <c r="Q654" s="242" t="str">
        <f t="shared" si="125"/>
        <v/>
      </c>
      <c r="R654" s="242" t="str">
        <f t="shared" si="126"/>
        <v/>
      </c>
      <c r="S654" s="242" t="str">
        <f t="shared" si="127"/>
        <v/>
      </c>
      <c r="T654" s="242" t="str">
        <f t="shared" si="128"/>
        <v/>
      </c>
      <c r="U654" s="242" t="str">
        <f t="shared" si="129"/>
        <v/>
      </c>
      <c r="V654" s="242" t="str">
        <f t="shared" si="130"/>
        <v/>
      </c>
      <c r="W654" s="242" t="str">
        <f t="shared" si="131"/>
        <v/>
      </c>
    </row>
    <row r="655" spans="1:23" x14ac:dyDescent="0.2">
      <c r="A655" s="283"/>
      <c r="B655" s="283"/>
      <c r="C655" s="283"/>
      <c r="D655" s="283"/>
      <c r="E655" s="283"/>
      <c r="F655" s="283"/>
      <c r="G655" s="283"/>
      <c r="K655" s="242">
        <v>654</v>
      </c>
      <c r="L655" s="242" t="str">
        <f t="shared" si="120"/>
        <v/>
      </c>
      <c r="M655" s="242" t="str">
        <f t="shared" si="121"/>
        <v/>
      </c>
      <c r="N655" s="242" t="str">
        <f t="shared" si="122"/>
        <v/>
      </c>
      <c r="O655" s="242" t="str">
        <f t="shared" si="123"/>
        <v/>
      </c>
      <c r="P655" s="242" t="str">
        <f t="shared" si="124"/>
        <v/>
      </c>
      <c r="Q655" s="242" t="str">
        <f t="shared" si="125"/>
        <v/>
      </c>
      <c r="R655" s="242" t="str">
        <f t="shared" si="126"/>
        <v/>
      </c>
      <c r="S655" s="242" t="str">
        <f t="shared" si="127"/>
        <v/>
      </c>
      <c r="T655" s="242" t="str">
        <f t="shared" si="128"/>
        <v/>
      </c>
      <c r="U655" s="242" t="str">
        <f t="shared" si="129"/>
        <v/>
      </c>
      <c r="V655" s="242" t="str">
        <f t="shared" si="130"/>
        <v/>
      </c>
      <c r="W655" s="242" t="str">
        <f t="shared" si="131"/>
        <v/>
      </c>
    </row>
    <row r="656" spans="1:23" x14ac:dyDescent="0.2">
      <c r="A656" s="283"/>
      <c r="B656" s="283"/>
      <c r="C656" s="283"/>
      <c r="D656" s="283"/>
      <c r="E656" s="283"/>
      <c r="F656" s="283"/>
      <c r="G656" s="283"/>
      <c r="K656" s="242">
        <v>655</v>
      </c>
      <c r="L656" s="242" t="str">
        <f t="shared" si="120"/>
        <v/>
      </c>
      <c r="M656" s="242" t="str">
        <f t="shared" si="121"/>
        <v/>
      </c>
      <c r="N656" s="242" t="str">
        <f t="shared" si="122"/>
        <v/>
      </c>
      <c r="O656" s="242" t="str">
        <f t="shared" si="123"/>
        <v/>
      </c>
      <c r="P656" s="242" t="str">
        <f t="shared" si="124"/>
        <v/>
      </c>
      <c r="Q656" s="242" t="str">
        <f t="shared" si="125"/>
        <v/>
      </c>
      <c r="R656" s="242" t="str">
        <f t="shared" si="126"/>
        <v/>
      </c>
      <c r="S656" s="242" t="str">
        <f t="shared" si="127"/>
        <v/>
      </c>
      <c r="T656" s="242" t="str">
        <f t="shared" si="128"/>
        <v/>
      </c>
      <c r="U656" s="242" t="str">
        <f t="shared" si="129"/>
        <v/>
      </c>
      <c r="V656" s="242" t="str">
        <f t="shared" si="130"/>
        <v/>
      </c>
      <c r="W656" s="242" t="str">
        <f t="shared" si="131"/>
        <v/>
      </c>
    </row>
    <row r="657" spans="1:23" x14ac:dyDescent="0.2">
      <c r="A657" s="283"/>
      <c r="B657" s="283"/>
      <c r="C657" s="283"/>
      <c r="D657" s="283"/>
      <c r="E657" s="283"/>
      <c r="F657" s="283"/>
      <c r="G657" s="283"/>
      <c r="K657" s="242">
        <v>656</v>
      </c>
      <c r="L657" s="242" t="str">
        <f t="shared" si="120"/>
        <v/>
      </c>
      <c r="M657" s="242" t="str">
        <f t="shared" si="121"/>
        <v/>
      </c>
      <c r="N657" s="242" t="str">
        <f t="shared" si="122"/>
        <v/>
      </c>
      <c r="O657" s="242" t="str">
        <f t="shared" si="123"/>
        <v/>
      </c>
      <c r="P657" s="242" t="str">
        <f t="shared" si="124"/>
        <v/>
      </c>
      <c r="Q657" s="242" t="str">
        <f t="shared" si="125"/>
        <v/>
      </c>
      <c r="R657" s="242" t="str">
        <f t="shared" si="126"/>
        <v/>
      </c>
      <c r="S657" s="242" t="str">
        <f t="shared" si="127"/>
        <v/>
      </c>
      <c r="T657" s="242" t="str">
        <f t="shared" si="128"/>
        <v/>
      </c>
      <c r="U657" s="242" t="str">
        <f t="shared" si="129"/>
        <v/>
      </c>
      <c r="V657" s="242" t="str">
        <f t="shared" si="130"/>
        <v/>
      </c>
      <c r="W657" s="242" t="str">
        <f t="shared" si="131"/>
        <v/>
      </c>
    </row>
    <row r="658" spans="1:23" x14ac:dyDescent="0.2">
      <c r="A658" s="283"/>
      <c r="B658" s="283"/>
      <c r="C658" s="283"/>
      <c r="D658" s="283"/>
      <c r="E658" s="283"/>
      <c r="F658" s="283"/>
      <c r="G658" s="283"/>
      <c r="K658" s="242">
        <v>657</v>
      </c>
      <c r="L658" s="242" t="str">
        <f t="shared" si="120"/>
        <v/>
      </c>
      <c r="M658" s="242" t="str">
        <f t="shared" si="121"/>
        <v/>
      </c>
      <c r="N658" s="242" t="str">
        <f t="shared" si="122"/>
        <v/>
      </c>
      <c r="O658" s="242" t="str">
        <f t="shared" si="123"/>
        <v/>
      </c>
      <c r="P658" s="242" t="str">
        <f t="shared" si="124"/>
        <v/>
      </c>
      <c r="Q658" s="242" t="str">
        <f t="shared" si="125"/>
        <v/>
      </c>
      <c r="R658" s="242" t="str">
        <f t="shared" si="126"/>
        <v/>
      </c>
      <c r="S658" s="242" t="str">
        <f t="shared" si="127"/>
        <v/>
      </c>
      <c r="T658" s="242" t="str">
        <f t="shared" si="128"/>
        <v/>
      </c>
      <c r="U658" s="242" t="str">
        <f t="shared" si="129"/>
        <v/>
      </c>
      <c r="V658" s="242" t="str">
        <f t="shared" si="130"/>
        <v/>
      </c>
      <c r="W658" s="242" t="str">
        <f t="shared" si="131"/>
        <v/>
      </c>
    </row>
    <row r="659" spans="1:23" x14ac:dyDescent="0.2">
      <c r="A659" s="283"/>
      <c r="B659" s="283"/>
      <c r="C659" s="283"/>
      <c r="D659" s="283"/>
      <c r="E659" s="283"/>
      <c r="F659" s="283"/>
      <c r="G659" s="283"/>
      <c r="K659" s="242">
        <v>658</v>
      </c>
      <c r="L659" s="242" t="str">
        <f t="shared" si="120"/>
        <v/>
      </c>
      <c r="M659" s="242" t="str">
        <f t="shared" si="121"/>
        <v/>
      </c>
      <c r="N659" s="242" t="str">
        <f t="shared" si="122"/>
        <v/>
      </c>
      <c r="O659" s="242" t="str">
        <f t="shared" si="123"/>
        <v/>
      </c>
      <c r="P659" s="242" t="str">
        <f t="shared" si="124"/>
        <v/>
      </c>
      <c r="Q659" s="242" t="str">
        <f t="shared" si="125"/>
        <v/>
      </c>
      <c r="R659" s="242" t="str">
        <f t="shared" si="126"/>
        <v/>
      </c>
      <c r="S659" s="242" t="str">
        <f t="shared" si="127"/>
        <v/>
      </c>
      <c r="T659" s="242" t="str">
        <f t="shared" si="128"/>
        <v/>
      </c>
      <c r="U659" s="242" t="str">
        <f t="shared" si="129"/>
        <v/>
      </c>
      <c r="V659" s="242" t="str">
        <f t="shared" si="130"/>
        <v/>
      </c>
      <c r="W659" s="242" t="str">
        <f t="shared" si="131"/>
        <v/>
      </c>
    </row>
    <row r="660" spans="1:23" x14ac:dyDescent="0.2">
      <c r="A660" s="283"/>
      <c r="B660" s="283"/>
      <c r="C660" s="283"/>
      <c r="D660" s="283"/>
      <c r="E660" s="283"/>
      <c r="F660" s="283"/>
      <c r="G660" s="283"/>
      <c r="K660" s="242">
        <v>659</v>
      </c>
      <c r="L660" s="242" t="str">
        <f t="shared" si="120"/>
        <v/>
      </c>
      <c r="M660" s="242" t="str">
        <f t="shared" si="121"/>
        <v/>
      </c>
      <c r="N660" s="242" t="str">
        <f t="shared" si="122"/>
        <v/>
      </c>
      <c r="O660" s="242" t="str">
        <f t="shared" si="123"/>
        <v/>
      </c>
      <c r="P660" s="242" t="str">
        <f t="shared" si="124"/>
        <v/>
      </c>
      <c r="Q660" s="242" t="str">
        <f t="shared" si="125"/>
        <v/>
      </c>
      <c r="R660" s="242" t="str">
        <f t="shared" si="126"/>
        <v/>
      </c>
      <c r="S660" s="242" t="str">
        <f t="shared" si="127"/>
        <v/>
      </c>
      <c r="T660" s="242" t="str">
        <f t="shared" si="128"/>
        <v/>
      </c>
      <c r="U660" s="242" t="str">
        <f t="shared" si="129"/>
        <v/>
      </c>
      <c r="V660" s="242" t="str">
        <f t="shared" si="130"/>
        <v/>
      </c>
      <c r="W660" s="242" t="str">
        <f t="shared" si="131"/>
        <v/>
      </c>
    </row>
    <row r="661" spans="1:23" x14ac:dyDescent="0.2">
      <c r="A661" s="283"/>
      <c r="B661" s="283"/>
      <c r="C661" s="283"/>
      <c r="D661" s="283"/>
      <c r="E661" s="283"/>
      <c r="F661" s="283"/>
      <c r="G661" s="283"/>
      <c r="K661" s="242">
        <v>660</v>
      </c>
      <c r="L661" s="242" t="str">
        <f t="shared" si="120"/>
        <v/>
      </c>
      <c r="M661" s="242" t="str">
        <f t="shared" si="121"/>
        <v/>
      </c>
      <c r="N661" s="242" t="str">
        <f t="shared" si="122"/>
        <v/>
      </c>
      <c r="O661" s="242" t="str">
        <f t="shared" si="123"/>
        <v/>
      </c>
      <c r="P661" s="242" t="str">
        <f t="shared" si="124"/>
        <v/>
      </c>
      <c r="Q661" s="242" t="str">
        <f t="shared" si="125"/>
        <v/>
      </c>
      <c r="R661" s="242" t="str">
        <f t="shared" si="126"/>
        <v/>
      </c>
      <c r="S661" s="242" t="str">
        <f t="shared" si="127"/>
        <v/>
      </c>
      <c r="T661" s="242" t="str">
        <f t="shared" si="128"/>
        <v/>
      </c>
      <c r="U661" s="242" t="str">
        <f t="shared" si="129"/>
        <v/>
      </c>
      <c r="V661" s="242" t="str">
        <f t="shared" si="130"/>
        <v/>
      </c>
      <c r="W661" s="242" t="str">
        <f t="shared" si="131"/>
        <v/>
      </c>
    </row>
    <row r="662" spans="1:23" x14ac:dyDescent="0.2">
      <c r="A662" s="283"/>
      <c r="B662" s="283"/>
      <c r="C662" s="283"/>
      <c r="D662" s="283"/>
      <c r="E662" s="283"/>
      <c r="F662" s="283"/>
      <c r="G662" s="283"/>
      <c r="K662" s="242">
        <v>661</v>
      </c>
      <c r="L662" s="242" t="str">
        <f t="shared" si="120"/>
        <v/>
      </c>
      <c r="M662" s="242" t="str">
        <f t="shared" si="121"/>
        <v/>
      </c>
      <c r="N662" s="242" t="str">
        <f t="shared" si="122"/>
        <v/>
      </c>
      <c r="O662" s="242" t="str">
        <f t="shared" si="123"/>
        <v/>
      </c>
      <c r="P662" s="242" t="str">
        <f t="shared" si="124"/>
        <v/>
      </c>
      <c r="Q662" s="242" t="str">
        <f t="shared" si="125"/>
        <v/>
      </c>
      <c r="R662" s="242" t="str">
        <f t="shared" si="126"/>
        <v/>
      </c>
      <c r="S662" s="242" t="str">
        <f t="shared" si="127"/>
        <v/>
      </c>
      <c r="T662" s="242" t="str">
        <f t="shared" si="128"/>
        <v/>
      </c>
      <c r="U662" s="242" t="str">
        <f t="shared" si="129"/>
        <v/>
      </c>
      <c r="V662" s="242" t="str">
        <f t="shared" si="130"/>
        <v/>
      </c>
      <c r="W662" s="242" t="str">
        <f t="shared" si="131"/>
        <v/>
      </c>
    </row>
    <row r="663" spans="1:23" x14ac:dyDescent="0.2">
      <c r="A663" s="283"/>
      <c r="B663" s="283"/>
      <c r="C663" s="283"/>
      <c r="D663" s="283"/>
      <c r="E663" s="283"/>
      <c r="F663" s="283"/>
      <c r="G663" s="283"/>
      <c r="K663" s="242">
        <v>662</v>
      </c>
      <c r="L663" s="242" t="str">
        <f t="shared" si="120"/>
        <v/>
      </c>
      <c r="M663" s="242" t="str">
        <f t="shared" si="121"/>
        <v/>
      </c>
      <c r="N663" s="242" t="str">
        <f t="shared" si="122"/>
        <v/>
      </c>
      <c r="O663" s="242" t="str">
        <f t="shared" si="123"/>
        <v/>
      </c>
      <c r="P663" s="242" t="str">
        <f t="shared" si="124"/>
        <v/>
      </c>
      <c r="Q663" s="242" t="str">
        <f t="shared" si="125"/>
        <v/>
      </c>
      <c r="R663" s="242" t="str">
        <f t="shared" si="126"/>
        <v/>
      </c>
      <c r="S663" s="242" t="str">
        <f t="shared" si="127"/>
        <v/>
      </c>
      <c r="T663" s="242" t="str">
        <f t="shared" si="128"/>
        <v/>
      </c>
      <c r="U663" s="242" t="str">
        <f t="shared" si="129"/>
        <v/>
      </c>
      <c r="V663" s="242" t="str">
        <f t="shared" si="130"/>
        <v/>
      </c>
      <c r="W663" s="242" t="str">
        <f t="shared" si="131"/>
        <v/>
      </c>
    </row>
    <row r="664" spans="1:23" x14ac:dyDescent="0.2">
      <c r="A664" s="283"/>
      <c r="B664" s="283"/>
      <c r="C664" s="283"/>
      <c r="D664" s="283"/>
      <c r="E664" s="283"/>
      <c r="F664" s="283"/>
      <c r="G664" s="283"/>
      <c r="K664" s="242">
        <v>663</v>
      </c>
      <c r="L664" s="242" t="str">
        <f t="shared" si="120"/>
        <v/>
      </c>
      <c r="M664" s="242" t="str">
        <f t="shared" si="121"/>
        <v/>
      </c>
      <c r="N664" s="242" t="str">
        <f t="shared" si="122"/>
        <v/>
      </c>
      <c r="O664" s="242" t="str">
        <f t="shared" si="123"/>
        <v/>
      </c>
      <c r="P664" s="242" t="str">
        <f t="shared" si="124"/>
        <v/>
      </c>
      <c r="Q664" s="242" t="str">
        <f t="shared" si="125"/>
        <v/>
      </c>
      <c r="R664" s="242" t="str">
        <f t="shared" si="126"/>
        <v/>
      </c>
      <c r="S664" s="242" t="str">
        <f t="shared" si="127"/>
        <v/>
      </c>
      <c r="T664" s="242" t="str">
        <f t="shared" si="128"/>
        <v/>
      </c>
      <c r="U664" s="242" t="str">
        <f t="shared" si="129"/>
        <v/>
      </c>
      <c r="V664" s="242" t="str">
        <f t="shared" si="130"/>
        <v/>
      </c>
      <c r="W664" s="242" t="str">
        <f t="shared" si="131"/>
        <v/>
      </c>
    </row>
    <row r="665" spans="1:23" x14ac:dyDescent="0.2">
      <c r="A665" s="283"/>
      <c r="B665" s="283"/>
      <c r="C665" s="283"/>
      <c r="D665" s="283"/>
      <c r="E665" s="283"/>
      <c r="F665" s="283"/>
      <c r="G665" s="283"/>
      <c r="K665" s="242">
        <v>664</v>
      </c>
      <c r="L665" s="242" t="str">
        <f t="shared" si="120"/>
        <v/>
      </c>
      <c r="M665" s="242" t="str">
        <f t="shared" si="121"/>
        <v/>
      </c>
      <c r="N665" s="242" t="str">
        <f t="shared" si="122"/>
        <v/>
      </c>
      <c r="O665" s="242" t="str">
        <f t="shared" si="123"/>
        <v/>
      </c>
      <c r="P665" s="242" t="str">
        <f t="shared" si="124"/>
        <v/>
      </c>
      <c r="Q665" s="242" t="str">
        <f t="shared" si="125"/>
        <v/>
      </c>
      <c r="R665" s="242" t="str">
        <f t="shared" si="126"/>
        <v/>
      </c>
      <c r="S665" s="242" t="str">
        <f t="shared" si="127"/>
        <v/>
      </c>
      <c r="T665" s="242" t="str">
        <f t="shared" si="128"/>
        <v/>
      </c>
      <c r="U665" s="242" t="str">
        <f t="shared" si="129"/>
        <v/>
      </c>
      <c r="V665" s="242" t="str">
        <f t="shared" si="130"/>
        <v/>
      </c>
      <c r="W665" s="242" t="str">
        <f t="shared" si="131"/>
        <v/>
      </c>
    </row>
    <row r="666" spans="1:23" x14ac:dyDescent="0.2">
      <c r="A666" s="283"/>
      <c r="B666" s="283"/>
      <c r="C666" s="283"/>
      <c r="D666" s="283"/>
      <c r="E666" s="283"/>
      <c r="F666" s="283"/>
      <c r="G666" s="283"/>
      <c r="K666" s="242">
        <v>665</v>
      </c>
      <c r="L666" s="242" t="str">
        <f t="shared" si="120"/>
        <v/>
      </c>
      <c r="M666" s="242" t="str">
        <f t="shared" si="121"/>
        <v/>
      </c>
      <c r="N666" s="242" t="str">
        <f t="shared" si="122"/>
        <v/>
      </c>
      <c r="O666" s="242" t="str">
        <f t="shared" si="123"/>
        <v/>
      </c>
      <c r="P666" s="242" t="str">
        <f t="shared" si="124"/>
        <v/>
      </c>
      <c r="Q666" s="242" t="str">
        <f t="shared" si="125"/>
        <v/>
      </c>
      <c r="R666" s="242" t="str">
        <f t="shared" si="126"/>
        <v/>
      </c>
      <c r="S666" s="242" t="str">
        <f t="shared" si="127"/>
        <v/>
      </c>
      <c r="T666" s="242" t="str">
        <f t="shared" si="128"/>
        <v/>
      </c>
      <c r="U666" s="242" t="str">
        <f t="shared" si="129"/>
        <v/>
      </c>
      <c r="V666" s="242" t="str">
        <f t="shared" si="130"/>
        <v/>
      </c>
      <c r="W666" s="242" t="str">
        <f t="shared" si="131"/>
        <v/>
      </c>
    </row>
    <row r="667" spans="1:23" x14ac:dyDescent="0.2">
      <c r="A667" s="283"/>
      <c r="B667" s="283"/>
      <c r="C667" s="283"/>
      <c r="D667" s="283"/>
      <c r="E667" s="283"/>
      <c r="F667" s="283"/>
      <c r="G667" s="283"/>
      <c r="K667" s="242">
        <v>666</v>
      </c>
      <c r="L667" s="242" t="str">
        <f t="shared" si="120"/>
        <v/>
      </c>
      <c r="M667" s="242" t="str">
        <f t="shared" si="121"/>
        <v/>
      </c>
      <c r="N667" s="242" t="str">
        <f t="shared" si="122"/>
        <v/>
      </c>
      <c r="O667" s="242" t="str">
        <f t="shared" si="123"/>
        <v/>
      </c>
      <c r="P667" s="242" t="str">
        <f t="shared" si="124"/>
        <v/>
      </c>
      <c r="Q667" s="242" t="str">
        <f t="shared" si="125"/>
        <v/>
      </c>
      <c r="R667" s="242" t="str">
        <f t="shared" si="126"/>
        <v/>
      </c>
      <c r="S667" s="242" t="str">
        <f t="shared" si="127"/>
        <v/>
      </c>
      <c r="T667" s="242" t="str">
        <f t="shared" si="128"/>
        <v/>
      </c>
      <c r="U667" s="242" t="str">
        <f t="shared" si="129"/>
        <v/>
      </c>
      <c r="V667" s="242" t="str">
        <f t="shared" si="130"/>
        <v/>
      </c>
      <c r="W667" s="242" t="str">
        <f t="shared" si="131"/>
        <v/>
      </c>
    </row>
    <row r="668" spans="1:23" x14ac:dyDescent="0.2">
      <c r="A668" s="283"/>
      <c r="B668" s="283"/>
      <c r="C668" s="283"/>
      <c r="D668" s="283"/>
      <c r="E668" s="283"/>
      <c r="F668" s="283"/>
      <c r="G668" s="283"/>
      <c r="K668" s="242">
        <v>667</v>
      </c>
      <c r="L668" s="242" t="str">
        <f t="shared" si="120"/>
        <v/>
      </c>
      <c r="M668" s="242" t="str">
        <f t="shared" si="121"/>
        <v/>
      </c>
      <c r="N668" s="242" t="str">
        <f t="shared" si="122"/>
        <v/>
      </c>
      <c r="O668" s="242" t="str">
        <f t="shared" si="123"/>
        <v/>
      </c>
      <c r="P668" s="242" t="str">
        <f t="shared" si="124"/>
        <v/>
      </c>
      <c r="Q668" s="242" t="str">
        <f t="shared" si="125"/>
        <v/>
      </c>
      <c r="R668" s="242" t="str">
        <f t="shared" si="126"/>
        <v/>
      </c>
      <c r="S668" s="242" t="str">
        <f t="shared" si="127"/>
        <v/>
      </c>
      <c r="T668" s="242" t="str">
        <f t="shared" si="128"/>
        <v/>
      </c>
      <c r="U668" s="242" t="str">
        <f t="shared" si="129"/>
        <v/>
      </c>
      <c r="V668" s="242" t="str">
        <f t="shared" si="130"/>
        <v/>
      </c>
      <c r="W668" s="242" t="str">
        <f t="shared" si="131"/>
        <v/>
      </c>
    </row>
    <row r="669" spans="1:23" x14ac:dyDescent="0.2">
      <c r="A669" s="283"/>
      <c r="B669" s="283"/>
      <c r="C669" s="283"/>
      <c r="D669" s="283"/>
      <c r="E669" s="283"/>
      <c r="F669" s="283"/>
      <c r="G669" s="283"/>
      <c r="K669" s="242">
        <v>668</v>
      </c>
      <c r="L669" s="242" t="str">
        <f t="shared" si="120"/>
        <v/>
      </c>
      <c r="M669" s="242" t="str">
        <f t="shared" si="121"/>
        <v/>
      </c>
      <c r="N669" s="242" t="str">
        <f t="shared" si="122"/>
        <v/>
      </c>
      <c r="O669" s="242" t="str">
        <f t="shared" si="123"/>
        <v/>
      </c>
      <c r="P669" s="242" t="str">
        <f t="shared" si="124"/>
        <v/>
      </c>
      <c r="Q669" s="242" t="str">
        <f t="shared" si="125"/>
        <v/>
      </c>
      <c r="R669" s="242" t="str">
        <f t="shared" si="126"/>
        <v/>
      </c>
      <c r="S669" s="242" t="str">
        <f t="shared" si="127"/>
        <v/>
      </c>
      <c r="T669" s="242" t="str">
        <f t="shared" si="128"/>
        <v/>
      </c>
      <c r="U669" s="242" t="str">
        <f t="shared" si="129"/>
        <v/>
      </c>
      <c r="V669" s="242" t="str">
        <f t="shared" si="130"/>
        <v/>
      </c>
      <c r="W669" s="242" t="str">
        <f t="shared" si="131"/>
        <v/>
      </c>
    </row>
    <row r="670" spans="1:23" x14ac:dyDescent="0.2">
      <c r="A670" s="283"/>
      <c r="B670" s="283"/>
      <c r="C670" s="283"/>
      <c r="D670" s="283"/>
      <c r="E670" s="283"/>
      <c r="F670" s="283"/>
      <c r="G670" s="283"/>
      <c r="K670" s="242">
        <v>669</v>
      </c>
      <c r="L670" s="242" t="str">
        <f t="shared" si="120"/>
        <v/>
      </c>
      <c r="M670" s="242" t="str">
        <f t="shared" si="121"/>
        <v/>
      </c>
      <c r="N670" s="242" t="str">
        <f t="shared" si="122"/>
        <v/>
      </c>
      <c r="O670" s="242" t="str">
        <f t="shared" si="123"/>
        <v/>
      </c>
      <c r="P670" s="242" t="str">
        <f t="shared" si="124"/>
        <v/>
      </c>
      <c r="Q670" s="242" t="str">
        <f t="shared" si="125"/>
        <v/>
      </c>
      <c r="R670" s="242" t="str">
        <f t="shared" si="126"/>
        <v/>
      </c>
      <c r="S670" s="242" t="str">
        <f t="shared" si="127"/>
        <v/>
      </c>
      <c r="T670" s="242" t="str">
        <f t="shared" si="128"/>
        <v/>
      </c>
      <c r="U670" s="242" t="str">
        <f t="shared" si="129"/>
        <v/>
      </c>
      <c r="V670" s="242" t="str">
        <f t="shared" si="130"/>
        <v/>
      </c>
      <c r="W670" s="242" t="str">
        <f t="shared" si="131"/>
        <v/>
      </c>
    </row>
    <row r="671" spans="1:23" x14ac:dyDescent="0.2">
      <c r="A671" s="283"/>
      <c r="B671" s="283"/>
      <c r="C671" s="283"/>
      <c r="D671" s="283"/>
      <c r="E671" s="283"/>
      <c r="F671" s="283"/>
      <c r="G671" s="283"/>
      <c r="K671" s="242">
        <v>670</v>
      </c>
      <c r="L671" s="242" t="str">
        <f t="shared" si="120"/>
        <v/>
      </c>
      <c r="M671" s="242" t="str">
        <f t="shared" si="121"/>
        <v/>
      </c>
      <c r="N671" s="242" t="str">
        <f t="shared" si="122"/>
        <v/>
      </c>
      <c r="O671" s="242" t="str">
        <f t="shared" si="123"/>
        <v/>
      </c>
      <c r="P671" s="242" t="str">
        <f t="shared" si="124"/>
        <v/>
      </c>
      <c r="Q671" s="242" t="str">
        <f t="shared" si="125"/>
        <v/>
      </c>
      <c r="R671" s="242" t="str">
        <f t="shared" si="126"/>
        <v/>
      </c>
      <c r="S671" s="242" t="str">
        <f t="shared" si="127"/>
        <v/>
      </c>
      <c r="T671" s="242" t="str">
        <f t="shared" si="128"/>
        <v/>
      </c>
      <c r="U671" s="242" t="str">
        <f t="shared" si="129"/>
        <v/>
      </c>
      <c r="V671" s="242" t="str">
        <f t="shared" si="130"/>
        <v/>
      </c>
      <c r="W671" s="242" t="str">
        <f t="shared" si="131"/>
        <v/>
      </c>
    </row>
    <row r="672" spans="1:23" x14ac:dyDescent="0.2">
      <c r="A672" s="283"/>
      <c r="B672" s="283"/>
      <c r="C672" s="283"/>
      <c r="D672" s="283"/>
      <c r="E672" s="283"/>
      <c r="F672" s="283"/>
      <c r="G672" s="283"/>
      <c r="K672" s="242">
        <v>671</v>
      </c>
      <c r="L672" s="242" t="str">
        <f t="shared" si="120"/>
        <v/>
      </c>
      <c r="M672" s="242" t="str">
        <f t="shared" si="121"/>
        <v/>
      </c>
      <c r="N672" s="242" t="str">
        <f t="shared" si="122"/>
        <v/>
      </c>
      <c r="O672" s="242" t="str">
        <f t="shared" si="123"/>
        <v/>
      </c>
      <c r="P672" s="242" t="str">
        <f t="shared" si="124"/>
        <v/>
      </c>
      <c r="Q672" s="242" t="str">
        <f t="shared" si="125"/>
        <v/>
      </c>
      <c r="R672" s="242" t="str">
        <f t="shared" si="126"/>
        <v/>
      </c>
      <c r="S672" s="242" t="str">
        <f t="shared" si="127"/>
        <v/>
      </c>
      <c r="T672" s="242" t="str">
        <f t="shared" si="128"/>
        <v/>
      </c>
      <c r="U672" s="242" t="str">
        <f t="shared" si="129"/>
        <v/>
      </c>
      <c r="V672" s="242" t="str">
        <f t="shared" si="130"/>
        <v/>
      </c>
      <c r="W672" s="242" t="str">
        <f t="shared" si="131"/>
        <v/>
      </c>
    </row>
    <row r="673" spans="1:23" x14ac:dyDescent="0.2">
      <c r="A673" s="283"/>
      <c r="B673" s="283"/>
      <c r="C673" s="283"/>
      <c r="D673" s="283"/>
      <c r="E673" s="283"/>
      <c r="F673" s="283"/>
      <c r="G673" s="283"/>
      <c r="K673" s="242">
        <v>672</v>
      </c>
      <c r="L673" s="242" t="str">
        <f t="shared" si="120"/>
        <v/>
      </c>
      <c r="M673" s="242" t="str">
        <f t="shared" si="121"/>
        <v/>
      </c>
      <c r="N673" s="242" t="str">
        <f t="shared" si="122"/>
        <v/>
      </c>
      <c r="O673" s="242" t="str">
        <f t="shared" si="123"/>
        <v/>
      </c>
      <c r="P673" s="242" t="str">
        <f t="shared" si="124"/>
        <v/>
      </c>
      <c r="Q673" s="242" t="str">
        <f t="shared" si="125"/>
        <v/>
      </c>
      <c r="R673" s="242" t="str">
        <f t="shared" si="126"/>
        <v/>
      </c>
      <c r="S673" s="242" t="str">
        <f t="shared" si="127"/>
        <v/>
      </c>
      <c r="T673" s="242" t="str">
        <f t="shared" si="128"/>
        <v/>
      </c>
      <c r="U673" s="242" t="str">
        <f t="shared" si="129"/>
        <v/>
      </c>
      <c r="V673" s="242" t="str">
        <f t="shared" si="130"/>
        <v/>
      </c>
      <c r="W673" s="242" t="str">
        <f t="shared" si="131"/>
        <v/>
      </c>
    </row>
    <row r="674" spans="1:23" x14ac:dyDescent="0.2">
      <c r="A674" s="283"/>
      <c r="B674" s="283"/>
      <c r="C674" s="283"/>
      <c r="D674" s="283"/>
      <c r="E674" s="283"/>
      <c r="F674" s="283"/>
      <c r="G674" s="283"/>
      <c r="K674" s="242">
        <v>673</v>
      </c>
      <c r="L674" s="242" t="str">
        <f t="shared" si="120"/>
        <v/>
      </c>
      <c r="M674" s="242" t="str">
        <f t="shared" si="121"/>
        <v/>
      </c>
      <c r="N674" s="242" t="str">
        <f t="shared" si="122"/>
        <v/>
      </c>
      <c r="O674" s="242" t="str">
        <f t="shared" si="123"/>
        <v/>
      </c>
      <c r="P674" s="242" t="str">
        <f t="shared" si="124"/>
        <v/>
      </c>
      <c r="Q674" s="242" t="str">
        <f t="shared" si="125"/>
        <v/>
      </c>
      <c r="R674" s="242" t="str">
        <f t="shared" si="126"/>
        <v/>
      </c>
      <c r="S674" s="242" t="str">
        <f t="shared" si="127"/>
        <v/>
      </c>
      <c r="T674" s="242" t="str">
        <f t="shared" si="128"/>
        <v/>
      </c>
      <c r="U674" s="242" t="str">
        <f t="shared" si="129"/>
        <v/>
      </c>
      <c r="V674" s="242" t="str">
        <f t="shared" si="130"/>
        <v/>
      </c>
      <c r="W674" s="242" t="str">
        <f t="shared" si="131"/>
        <v/>
      </c>
    </row>
    <row r="675" spans="1:23" x14ac:dyDescent="0.2">
      <c r="A675" s="283"/>
      <c r="B675" s="283"/>
      <c r="C675" s="283"/>
      <c r="D675" s="283"/>
      <c r="E675" s="283"/>
      <c r="F675" s="283"/>
      <c r="G675" s="283"/>
      <c r="K675" s="242">
        <v>674</v>
      </c>
      <c r="L675" s="242" t="str">
        <f t="shared" si="120"/>
        <v/>
      </c>
      <c r="M675" s="242" t="str">
        <f t="shared" si="121"/>
        <v/>
      </c>
      <c r="N675" s="242" t="str">
        <f t="shared" si="122"/>
        <v/>
      </c>
      <c r="O675" s="242" t="str">
        <f t="shared" si="123"/>
        <v/>
      </c>
      <c r="P675" s="242" t="str">
        <f t="shared" si="124"/>
        <v/>
      </c>
      <c r="Q675" s="242" t="str">
        <f t="shared" si="125"/>
        <v/>
      </c>
      <c r="R675" s="242" t="str">
        <f t="shared" si="126"/>
        <v/>
      </c>
      <c r="S675" s="242" t="str">
        <f t="shared" si="127"/>
        <v/>
      </c>
      <c r="T675" s="242" t="str">
        <f t="shared" si="128"/>
        <v/>
      </c>
      <c r="U675" s="242" t="str">
        <f t="shared" si="129"/>
        <v/>
      </c>
      <c r="V675" s="242" t="str">
        <f t="shared" si="130"/>
        <v/>
      </c>
      <c r="W675" s="242" t="str">
        <f t="shared" si="131"/>
        <v/>
      </c>
    </row>
    <row r="676" spans="1:23" x14ac:dyDescent="0.2">
      <c r="A676" s="283"/>
      <c r="B676" s="283"/>
      <c r="C676" s="283"/>
      <c r="D676" s="283"/>
      <c r="E676" s="283"/>
      <c r="F676" s="283"/>
      <c r="G676" s="283"/>
      <c r="K676" s="242">
        <v>675</v>
      </c>
      <c r="L676" s="242" t="str">
        <f t="shared" si="120"/>
        <v/>
      </c>
      <c r="M676" s="242" t="str">
        <f t="shared" si="121"/>
        <v/>
      </c>
      <c r="N676" s="242" t="str">
        <f t="shared" si="122"/>
        <v/>
      </c>
      <c r="O676" s="242" t="str">
        <f t="shared" si="123"/>
        <v/>
      </c>
      <c r="P676" s="242" t="str">
        <f t="shared" si="124"/>
        <v/>
      </c>
      <c r="Q676" s="242" t="str">
        <f t="shared" si="125"/>
        <v/>
      </c>
      <c r="R676" s="242" t="str">
        <f t="shared" si="126"/>
        <v/>
      </c>
      <c r="S676" s="242" t="str">
        <f t="shared" si="127"/>
        <v/>
      </c>
      <c r="T676" s="242" t="str">
        <f t="shared" si="128"/>
        <v/>
      </c>
      <c r="U676" s="242" t="str">
        <f t="shared" si="129"/>
        <v/>
      </c>
      <c r="V676" s="242" t="str">
        <f t="shared" si="130"/>
        <v/>
      </c>
      <c r="W676" s="242" t="str">
        <f t="shared" si="131"/>
        <v/>
      </c>
    </row>
    <row r="677" spans="1:23" x14ac:dyDescent="0.2">
      <c r="A677" s="283"/>
      <c r="B677" s="283"/>
      <c r="C677" s="283"/>
      <c r="D677" s="283"/>
      <c r="E677" s="283"/>
      <c r="F677" s="283"/>
      <c r="G677" s="283"/>
      <c r="K677" s="242">
        <v>676</v>
      </c>
      <c r="L677" s="242" t="str">
        <f t="shared" si="120"/>
        <v/>
      </c>
      <c r="M677" s="242" t="str">
        <f t="shared" si="121"/>
        <v/>
      </c>
      <c r="N677" s="242" t="str">
        <f t="shared" si="122"/>
        <v/>
      </c>
      <c r="O677" s="242" t="str">
        <f t="shared" si="123"/>
        <v/>
      </c>
      <c r="P677" s="242" t="str">
        <f t="shared" si="124"/>
        <v/>
      </c>
      <c r="Q677" s="242" t="str">
        <f t="shared" si="125"/>
        <v/>
      </c>
      <c r="R677" s="242" t="str">
        <f t="shared" si="126"/>
        <v/>
      </c>
      <c r="S677" s="242" t="str">
        <f t="shared" si="127"/>
        <v/>
      </c>
      <c r="T677" s="242" t="str">
        <f t="shared" si="128"/>
        <v/>
      </c>
      <c r="U677" s="242" t="str">
        <f t="shared" si="129"/>
        <v/>
      </c>
      <c r="V677" s="242" t="str">
        <f t="shared" si="130"/>
        <v/>
      </c>
      <c r="W677" s="242" t="str">
        <f t="shared" si="131"/>
        <v/>
      </c>
    </row>
    <row r="678" spans="1:23" x14ac:dyDescent="0.2">
      <c r="A678" s="283"/>
      <c r="B678" s="283"/>
      <c r="C678" s="283"/>
      <c r="D678" s="283"/>
      <c r="E678" s="283"/>
      <c r="F678" s="283"/>
      <c r="G678" s="283"/>
      <c r="K678" s="242">
        <v>677</v>
      </c>
      <c r="L678" s="242" t="str">
        <f t="shared" si="120"/>
        <v/>
      </c>
      <c r="M678" s="242" t="str">
        <f t="shared" si="121"/>
        <v/>
      </c>
      <c r="N678" s="242" t="str">
        <f t="shared" si="122"/>
        <v/>
      </c>
      <c r="O678" s="242" t="str">
        <f t="shared" si="123"/>
        <v/>
      </c>
      <c r="P678" s="242" t="str">
        <f t="shared" si="124"/>
        <v/>
      </c>
      <c r="Q678" s="242" t="str">
        <f t="shared" si="125"/>
        <v/>
      </c>
      <c r="R678" s="242" t="str">
        <f t="shared" si="126"/>
        <v/>
      </c>
      <c r="S678" s="242" t="str">
        <f t="shared" si="127"/>
        <v/>
      </c>
      <c r="T678" s="242" t="str">
        <f t="shared" si="128"/>
        <v/>
      </c>
      <c r="U678" s="242" t="str">
        <f t="shared" si="129"/>
        <v/>
      </c>
      <c r="V678" s="242" t="str">
        <f t="shared" si="130"/>
        <v/>
      </c>
      <c r="W678" s="242" t="str">
        <f t="shared" si="131"/>
        <v/>
      </c>
    </row>
    <row r="679" spans="1:23" x14ac:dyDescent="0.2">
      <c r="A679" s="283"/>
      <c r="B679" s="283"/>
      <c r="C679" s="283"/>
      <c r="D679" s="283"/>
      <c r="E679" s="283"/>
      <c r="F679" s="283"/>
      <c r="G679" s="283"/>
      <c r="K679" s="242">
        <v>678</v>
      </c>
      <c r="L679" s="242" t="str">
        <f t="shared" si="120"/>
        <v/>
      </c>
      <c r="M679" s="242" t="str">
        <f t="shared" si="121"/>
        <v/>
      </c>
      <c r="N679" s="242" t="str">
        <f t="shared" si="122"/>
        <v/>
      </c>
      <c r="O679" s="242" t="str">
        <f t="shared" si="123"/>
        <v/>
      </c>
      <c r="P679" s="242" t="str">
        <f t="shared" si="124"/>
        <v/>
      </c>
      <c r="Q679" s="242" t="str">
        <f t="shared" si="125"/>
        <v/>
      </c>
      <c r="R679" s="242" t="str">
        <f t="shared" si="126"/>
        <v/>
      </c>
      <c r="S679" s="242" t="str">
        <f t="shared" si="127"/>
        <v/>
      </c>
      <c r="T679" s="242" t="str">
        <f t="shared" si="128"/>
        <v/>
      </c>
      <c r="U679" s="242" t="str">
        <f t="shared" si="129"/>
        <v/>
      </c>
      <c r="V679" s="242" t="str">
        <f t="shared" si="130"/>
        <v/>
      </c>
      <c r="W679" s="242" t="str">
        <f t="shared" si="131"/>
        <v/>
      </c>
    </row>
    <row r="680" spans="1:23" x14ac:dyDescent="0.2">
      <c r="A680" s="283"/>
      <c r="B680" s="283"/>
      <c r="C680" s="283"/>
      <c r="D680" s="283"/>
      <c r="E680" s="283"/>
      <c r="F680" s="283"/>
      <c r="G680" s="283"/>
      <c r="K680" s="242">
        <v>679</v>
      </c>
      <c r="L680" s="242" t="str">
        <f t="shared" si="120"/>
        <v/>
      </c>
      <c r="M680" s="242" t="str">
        <f t="shared" si="121"/>
        <v/>
      </c>
      <c r="N680" s="242" t="str">
        <f t="shared" si="122"/>
        <v/>
      </c>
      <c r="O680" s="242" t="str">
        <f t="shared" si="123"/>
        <v/>
      </c>
      <c r="P680" s="242" t="str">
        <f t="shared" si="124"/>
        <v/>
      </c>
      <c r="Q680" s="242" t="str">
        <f t="shared" si="125"/>
        <v/>
      </c>
      <c r="R680" s="242" t="str">
        <f t="shared" si="126"/>
        <v/>
      </c>
      <c r="S680" s="242" t="str">
        <f t="shared" si="127"/>
        <v/>
      </c>
      <c r="T680" s="242" t="str">
        <f t="shared" si="128"/>
        <v/>
      </c>
      <c r="U680" s="242" t="str">
        <f t="shared" si="129"/>
        <v/>
      </c>
      <c r="V680" s="242" t="str">
        <f t="shared" si="130"/>
        <v/>
      </c>
      <c r="W680" s="242" t="str">
        <f t="shared" si="131"/>
        <v/>
      </c>
    </row>
    <row r="681" spans="1:23" x14ac:dyDescent="0.2">
      <c r="A681" s="283"/>
      <c r="B681" s="283"/>
      <c r="C681" s="283"/>
      <c r="D681" s="283"/>
      <c r="E681" s="283"/>
      <c r="F681" s="283"/>
      <c r="G681" s="283"/>
      <c r="K681" s="242">
        <v>680</v>
      </c>
      <c r="L681" s="242" t="str">
        <f t="shared" si="120"/>
        <v/>
      </c>
      <c r="M681" s="242" t="str">
        <f t="shared" si="121"/>
        <v/>
      </c>
      <c r="N681" s="242" t="str">
        <f t="shared" si="122"/>
        <v/>
      </c>
      <c r="O681" s="242" t="str">
        <f t="shared" si="123"/>
        <v/>
      </c>
      <c r="P681" s="242" t="str">
        <f t="shared" si="124"/>
        <v/>
      </c>
      <c r="Q681" s="242" t="str">
        <f t="shared" si="125"/>
        <v/>
      </c>
      <c r="R681" s="242" t="str">
        <f t="shared" si="126"/>
        <v/>
      </c>
      <c r="S681" s="242" t="str">
        <f t="shared" si="127"/>
        <v/>
      </c>
      <c r="T681" s="242" t="str">
        <f t="shared" si="128"/>
        <v/>
      </c>
      <c r="U681" s="242" t="str">
        <f t="shared" si="129"/>
        <v/>
      </c>
      <c r="V681" s="242" t="str">
        <f t="shared" si="130"/>
        <v/>
      </c>
      <c r="W681" s="242" t="str">
        <f t="shared" si="131"/>
        <v/>
      </c>
    </row>
    <row r="682" spans="1:23" x14ac:dyDescent="0.2">
      <c r="A682" s="283"/>
      <c r="B682" s="283"/>
      <c r="C682" s="283"/>
      <c r="D682" s="283"/>
      <c r="E682" s="283"/>
      <c r="F682" s="283"/>
      <c r="G682" s="283"/>
      <c r="K682" s="242">
        <v>681</v>
      </c>
      <c r="L682" s="242" t="str">
        <f t="shared" si="120"/>
        <v/>
      </c>
      <c r="M682" s="242" t="str">
        <f t="shared" si="121"/>
        <v/>
      </c>
      <c r="N682" s="242" t="str">
        <f t="shared" si="122"/>
        <v/>
      </c>
      <c r="O682" s="242" t="str">
        <f t="shared" si="123"/>
        <v/>
      </c>
      <c r="P682" s="242" t="str">
        <f t="shared" si="124"/>
        <v/>
      </c>
      <c r="Q682" s="242" t="str">
        <f t="shared" si="125"/>
        <v/>
      </c>
      <c r="R682" s="242" t="str">
        <f t="shared" si="126"/>
        <v/>
      </c>
      <c r="S682" s="242" t="str">
        <f t="shared" si="127"/>
        <v/>
      </c>
      <c r="T682" s="242" t="str">
        <f t="shared" si="128"/>
        <v/>
      </c>
      <c r="U682" s="242" t="str">
        <f t="shared" si="129"/>
        <v/>
      </c>
      <c r="V682" s="242" t="str">
        <f t="shared" si="130"/>
        <v/>
      </c>
      <c r="W682" s="242" t="str">
        <f t="shared" si="131"/>
        <v/>
      </c>
    </row>
    <row r="683" spans="1:23" x14ac:dyDescent="0.2">
      <c r="A683" s="283"/>
      <c r="B683" s="283"/>
      <c r="C683" s="283"/>
      <c r="D683" s="283"/>
      <c r="E683" s="283"/>
      <c r="F683" s="283"/>
      <c r="G683" s="283"/>
      <c r="K683" s="242">
        <v>682</v>
      </c>
      <c r="L683" s="242" t="str">
        <f t="shared" si="120"/>
        <v/>
      </c>
      <c r="M683" s="242" t="str">
        <f t="shared" si="121"/>
        <v/>
      </c>
      <c r="N683" s="242" t="str">
        <f t="shared" si="122"/>
        <v/>
      </c>
      <c r="O683" s="242" t="str">
        <f t="shared" si="123"/>
        <v/>
      </c>
      <c r="P683" s="242" t="str">
        <f t="shared" si="124"/>
        <v/>
      </c>
      <c r="Q683" s="242" t="str">
        <f t="shared" si="125"/>
        <v/>
      </c>
      <c r="R683" s="242" t="str">
        <f t="shared" si="126"/>
        <v/>
      </c>
      <c r="S683" s="242" t="str">
        <f t="shared" si="127"/>
        <v/>
      </c>
      <c r="T683" s="242" t="str">
        <f t="shared" si="128"/>
        <v/>
      </c>
      <c r="U683" s="242" t="str">
        <f t="shared" si="129"/>
        <v/>
      </c>
      <c r="V683" s="242" t="str">
        <f t="shared" si="130"/>
        <v/>
      </c>
      <c r="W683" s="242" t="str">
        <f t="shared" si="131"/>
        <v/>
      </c>
    </row>
    <row r="684" spans="1:23" x14ac:dyDescent="0.2">
      <c r="A684" s="283"/>
      <c r="B684" s="283"/>
      <c r="C684" s="283"/>
      <c r="D684" s="283"/>
      <c r="E684" s="283"/>
      <c r="F684" s="283"/>
      <c r="G684" s="283"/>
      <c r="K684" s="242">
        <v>683</v>
      </c>
      <c r="L684" s="242" t="str">
        <f t="shared" si="120"/>
        <v/>
      </c>
      <c r="M684" s="242" t="str">
        <f t="shared" si="121"/>
        <v/>
      </c>
      <c r="N684" s="242" t="str">
        <f t="shared" si="122"/>
        <v/>
      </c>
      <c r="O684" s="242" t="str">
        <f t="shared" si="123"/>
        <v/>
      </c>
      <c r="P684" s="242" t="str">
        <f t="shared" si="124"/>
        <v/>
      </c>
      <c r="Q684" s="242" t="str">
        <f t="shared" si="125"/>
        <v/>
      </c>
      <c r="R684" s="242" t="str">
        <f t="shared" si="126"/>
        <v/>
      </c>
      <c r="S684" s="242" t="str">
        <f t="shared" si="127"/>
        <v/>
      </c>
      <c r="T684" s="242" t="str">
        <f t="shared" si="128"/>
        <v/>
      </c>
      <c r="U684" s="242" t="str">
        <f t="shared" si="129"/>
        <v/>
      </c>
      <c r="V684" s="242" t="str">
        <f t="shared" si="130"/>
        <v/>
      </c>
      <c r="W684" s="242" t="str">
        <f t="shared" si="131"/>
        <v/>
      </c>
    </row>
    <row r="685" spans="1:23" x14ac:dyDescent="0.2">
      <c r="A685" s="283"/>
      <c r="B685" s="283"/>
      <c r="C685" s="283"/>
      <c r="D685" s="283"/>
      <c r="E685" s="283"/>
      <c r="F685" s="283"/>
      <c r="G685" s="283"/>
      <c r="K685" s="242">
        <v>684</v>
      </c>
      <c r="L685" s="242" t="str">
        <f t="shared" si="120"/>
        <v/>
      </c>
      <c r="M685" s="242" t="str">
        <f t="shared" si="121"/>
        <v/>
      </c>
      <c r="N685" s="242" t="str">
        <f t="shared" si="122"/>
        <v/>
      </c>
      <c r="O685" s="242" t="str">
        <f t="shared" si="123"/>
        <v/>
      </c>
      <c r="P685" s="242" t="str">
        <f t="shared" si="124"/>
        <v/>
      </c>
      <c r="Q685" s="242" t="str">
        <f t="shared" si="125"/>
        <v/>
      </c>
      <c r="R685" s="242" t="str">
        <f t="shared" si="126"/>
        <v/>
      </c>
      <c r="S685" s="242" t="str">
        <f t="shared" si="127"/>
        <v/>
      </c>
      <c r="T685" s="242" t="str">
        <f t="shared" si="128"/>
        <v/>
      </c>
      <c r="U685" s="242" t="str">
        <f t="shared" si="129"/>
        <v/>
      </c>
      <c r="V685" s="242" t="str">
        <f t="shared" si="130"/>
        <v/>
      </c>
      <c r="W685" s="242" t="str">
        <f t="shared" si="131"/>
        <v/>
      </c>
    </row>
    <row r="686" spans="1:23" x14ac:dyDescent="0.2">
      <c r="A686" s="283"/>
      <c r="B686" s="283"/>
      <c r="C686" s="283"/>
      <c r="D686" s="283"/>
      <c r="E686" s="283"/>
      <c r="F686" s="283"/>
      <c r="G686" s="283"/>
      <c r="K686" s="242">
        <v>685</v>
      </c>
      <c r="L686" s="242" t="str">
        <f t="shared" si="120"/>
        <v/>
      </c>
      <c r="M686" s="242" t="str">
        <f t="shared" si="121"/>
        <v/>
      </c>
      <c r="N686" s="242" t="str">
        <f t="shared" si="122"/>
        <v/>
      </c>
      <c r="O686" s="242" t="str">
        <f t="shared" si="123"/>
        <v/>
      </c>
      <c r="P686" s="242" t="str">
        <f t="shared" si="124"/>
        <v/>
      </c>
      <c r="Q686" s="242" t="str">
        <f t="shared" si="125"/>
        <v/>
      </c>
      <c r="R686" s="242" t="str">
        <f t="shared" si="126"/>
        <v/>
      </c>
      <c r="S686" s="242" t="str">
        <f t="shared" si="127"/>
        <v/>
      </c>
      <c r="T686" s="242" t="str">
        <f t="shared" si="128"/>
        <v/>
      </c>
      <c r="U686" s="242" t="str">
        <f t="shared" si="129"/>
        <v/>
      </c>
      <c r="V686" s="242" t="str">
        <f t="shared" si="130"/>
        <v/>
      </c>
      <c r="W686" s="242" t="str">
        <f t="shared" si="131"/>
        <v/>
      </c>
    </row>
    <row r="687" spans="1:23" x14ac:dyDescent="0.2">
      <c r="A687" s="283"/>
      <c r="B687" s="283"/>
      <c r="C687" s="283"/>
      <c r="D687" s="283"/>
      <c r="E687" s="283"/>
      <c r="F687" s="283"/>
      <c r="G687" s="283"/>
      <c r="K687" s="242">
        <v>686</v>
      </c>
      <c r="L687" s="242" t="str">
        <f t="shared" si="120"/>
        <v/>
      </c>
      <c r="M687" s="242" t="str">
        <f t="shared" si="121"/>
        <v/>
      </c>
      <c r="N687" s="242" t="str">
        <f t="shared" si="122"/>
        <v/>
      </c>
      <c r="O687" s="242" t="str">
        <f t="shared" si="123"/>
        <v/>
      </c>
      <c r="P687" s="242" t="str">
        <f t="shared" si="124"/>
        <v/>
      </c>
      <c r="Q687" s="242" t="str">
        <f t="shared" si="125"/>
        <v/>
      </c>
      <c r="R687" s="242" t="str">
        <f t="shared" si="126"/>
        <v/>
      </c>
      <c r="S687" s="242" t="str">
        <f t="shared" si="127"/>
        <v/>
      </c>
      <c r="T687" s="242" t="str">
        <f t="shared" si="128"/>
        <v/>
      </c>
      <c r="U687" s="242" t="str">
        <f t="shared" si="129"/>
        <v/>
      </c>
      <c r="V687" s="242" t="str">
        <f t="shared" si="130"/>
        <v/>
      </c>
      <c r="W687" s="242" t="str">
        <f t="shared" si="131"/>
        <v/>
      </c>
    </row>
    <row r="688" spans="1:23" x14ac:dyDescent="0.2">
      <c r="A688" s="283"/>
      <c r="B688" s="283"/>
      <c r="C688" s="283"/>
      <c r="D688" s="283"/>
      <c r="E688" s="283"/>
      <c r="F688" s="283"/>
      <c r="G688" s="283"/>
      <c r="K688" s="242">
        <v>687</v>
      </c>
      <c r="L688" s="242" t="str">
        <f t="shared" si="120"/>
        <v/>
      </c>
      <c r="M688" s="242" t="str">
        <f t="shared" si="121"/>
        <v/>
      </c>
      <c r="N688" s="242" t="str">
        <f t="shared" si="122"/>
        <v/>
      </c>
      <c r="O688" s="242" t="str">
        <f t="shared" si="123"/>
        <v/>
      </c>
      <c r="P688" s="242" t="str">
        <f t="shared" si="124"/>
        <v/>
      </c>
      <c r="Q688" s="242" t="str">
        <f t="shared" si="125"/>
        <v/>
      </c>
      <c r="R688" s="242" t="str">
        <f t="shared" si="126"/>
        <v/>
      </c>
      <c r="S688" s="242" t="str">
        <f t="shared" si="127"/>
        <v/>
      </c>
      <c r="T688" s="242" t="str">
        <f t="shared" si="128"/>
        <v/>
      </c>
      <c r="U688" s="242" t="str">
        <f t="shared" si="129"/>
        <v/>
      </c>
      <c r="V688" s="242" t="str">
        <f t="shared" si="130"/>
        <v/>
      </c>
      <c r="W688" s="242" t="str">
        <f t="shared" si="131"/>
        <v/>
      </c>
    </row>
    <row r="689" spans="1:23" x14ac:dyDescent="0.2">
      <c r="A689" s="283"/>
      <c r="B689" s="283"/>
      <c r="C689" s="283"/>
      <c r="D689" s="283"/>
      <c r="E689" s="283"/>
      <c r="F689" s="283"/>
      <c r="G689" s="283"/>
      <c r="K689" s="242">
        <v>688</v>
      </c>
      <c r="L689" s="242" t="str">
        <f t="shared" si="120"/>
        <v/>
      </c>
      <c r="M689" s="242" t="str">
        <f t="shared" si="121"/>
        <v/>
      </c>
      <c r="N689" s="242" t="str">
        <f t="shared" si="122"/>
        <v/>
      </c>
      <c r="O689" s="242" t="str">
        <f t="shared" si="123"/>
        <v/>
      </c>
      <c r="P689" s="242" t="str">
        <f t="shared" si="124"/>
        <v/>
      </c>
      <c r="Q689" s="242" t="str">
        <f t="shared" si="125"/>
        <v/>
      </c>
      <c r="R689" s="242" t="str">
        <f t="shared" si="126"/>
        <v/>
      </c>
      <c r="S689" s="242" t="str">
        <f t="shared" si="127"/>
        <v/>
      </c>
      <c r="T689" s="242" t="str">
        <f t="shared" si="128"/>
        <v/>
      </c>
      <c r="U689" s="242" t="str">
        <f t="shared" si="129"/>
        <v/>
      </c>
      <c r="V689" s="242" t="str">
        <f t="shared" si="130"/>
        <v/>
      </c>
      <c r="W689" s="242" t="str">
        <f t="shared" si="131"/>
        <v/>
      </c>
    </row>
    <row r="690" spans="1:23" x14ac:dyDescent="0.2">
      <c r="A690" s="283"/>
      <c r="B690" s="283"/>
      <c r="C690" s="283"/>
      <c r="D690" s="283"/>
      <c r="E690" s="283"/>
      <c r="F690" s="283"/>
      <c r="G690" s="283"/>
      <c r="K690" s="242">
        <v>689</v>
      </c>
      <c r="L690" s="242" t="str">
        <f t="shared" si="120"/>
        <v/>
      </c>
      <c r="M690" s="242" t="str">
        <f t="shared" si="121"/>
        <v/>
      </c>
      <c r="N690" s="242" t="str">
        <f t="shared" si="122"/>
        <v/>
      </c>
      <c r="O690" s="242" t="str">
        <f t="shared" si="123"/>
        <v/>
      </c>
      <c r="P690" s="242" t="str">
        <f t="shared" si="124"/>
        <v/>
      </c>
      <c r="Q690" s="242" t="str">
        <f t="shared" si="125"/>
        <v/>
      </c>
      <c r="R690" s="242" t="str">
        <f t="shared" si="126"/>
        <v/>
      </c>
      <c r="S690" s="242" t="str">
        <f t="shared" si="127"/>
        <v/>
      </c>
      <c r="T690" s="242" t="str">
        <f t="shared" si="128"/>
        <v/>
      </c>
      <c r="U690" s="242" t="str">
        <f t="shared" si="129"/>
        <v/>
      </c>
      <c r="V690" s="242" t="str">
        <f t="shared" si="130"/>
        <v/>
      </c>
      <c r="W690" s="242" t="str">
        <f t="shared" si="131"/>
        <v/>
      </c>
    </row>
    <row r="691" spans="1:23" x14ac:dyDescent="0.2">
      <c r="A691" s="283"/>
      <c r="B691" s="283"/>
      <c r="C691" s="283"/>
      <c r="D691" s="283"/>
      <c r="E691" s="283"/>
      <c r="F691" s="283"/>
      <c r="G691" s="283"/>
      <c r="K691" s="242">
        <v>690</v>
      </c>
      <c r="L691" s="242" t="str">
        <f t="shared" si="120"/>
        <v/>
      </c>
      <c r="M691" s="242" t="str">
        <f t="shared" si="121"/>
        <v/>
      </c>
      <c r="N691" s="242" t="str">
        <f t="shared" si="122"/>
        <v/>
      </c>
      <c r="O691" s="242" t="str">
        <f t="shared" si="123"/>
        <v/>
      </c>
      <c r="P691" s="242" t="str">
        <f t="shared" si="124"/>
        <v/>
      </c>
      <c r="Q691" s="242" t="str">
        <f t="shared" si="125"/>
        <v/>
      </c>
      <c r="R691" s="242" t="str">
        <f t="shared" si="126"/>
        <v/>
      </c>
      <c r="S691" s="242" t="str">
        <f t="shared" si="127"/>
        <v/>
      </c>
      <c r="T691" s="242" t="str">
        <f t="shared" si="128"/>
        <v/>
      </c>
      <c r="U691" s="242" t="str">
        <f t="shared" si="129"/>
        <v/>
      </c>
      <c r="V691" s="242" t="str">
        <f t="shared" si="130"/>
        <v/>
      </c>
      <c r="W691" s="242" t="str">
        <f t="shared" si="131"/>
        <v/>
      </c>
    </row>
    <row r="692" spans="1:23" x14ac:dyDescent="0.2">
      <c r="A692" s="283"/>
      <c r="B692" s="283"/>
      <c r="C692" s="283"/>
      <c r="D692" s="283"/>
      <c r="E692" s="283"/>
      <c r="F692" s="283"/>
      <c r="G692" s="283"/>
      <c r="K692" s="242">
        <v>691</v>
      </c>
      <c r="L692" s="242" t="str">
        <f t="shared" si="120"/>
        <v/>
      </c>
      <c r="M692" s="242" t="str">
        <f t="shared" si="121"/>
        <v/>
      </c>
      <c r="N692" s="242" t="str">
        <f t="shared" si="122"/>
        <v/>
      </c>
      <c r="O692" s="242" t="str">
        <f t="shared" si="123"/>
        <v/>
      </c>
      <c r="P692" s="242" t="str">
        <f t="shared" si="124"/>
        <v/>
      </c>
      <c r="Q692" s="242" t="str">
        <f t="shared" si="125"/>
        <v/>
      </c>
      <c r="R692" s="242" t="str">
        <f t="shared" si="126"/>
        <v/>
      </c>
      <c r="S692" s="242" t="str">
        <f t="shared" si="127"/>
        <v/>
      </c>
      <c r="T692" s="242" t="str">
        <f t="shared" si="128"/>
        <v/>
      </c>
      <c r="U692" s="242" t="str">
        <f t="shared" si="129"/>
        <v/>
      </c>
      <c r="V692" s="242" t="str">
        <f t="shared" si="130"/>
        <v/>
      </c>
      <c r="W692" s="242" t="str">
        <f t="shared" si="131"/>
        <v/>
      </c>
    </row>
    <row r="693" spans="1:23" x14ac:dyDescent="0.2">
      <c r="A693" s="283"/>
      <c r="B693" s="283"/>
      <c r="C693" s="283"/>
      <c r="D693" s="283"/>
      <c r="E693" s="283"/>
      <c r="F693" s="283"/>
      <c r="G693" s="283"/>
      <c r="K693" s="242">
        <v>692</v>
      </c>
      <c r="L693" s="242" t="str">
        <f t="shared" si="120"/>
        <v/>
      </c>
      <c r="M693" s="242" t="str">
        <f t="shared" si="121"/>
        <v/>
      </c>
      <c r="N693" s="242" t="str">
        <f t="shared" si="122"/>
        <v/>
      </c>
      <c r="O693" s="242" t="str">
        <f t="shared" si="123"/>
        <v/>
      </c>
      <c r="P693" s="242" t="str">
        <f t="shared" si="124"/>
        <v/>
      </c>
      <c r="Q693" s="242" t="str">
        <f t="shared" si="125"/>
        <v/>
      </c>
      <c r="R693" s="242" t="str">
        <f t="shared" si="126"/>
        <v/>
      </c>
      <c r="S693" s="242" t="str">
        <f t="shared" si="127"/>
        <v/>
      </c>
      <c r="T693" s="242" t="str">
        <f t="shared" si="128"/>
        <v/>
      </c>
      <c r="U693" s="242" t="str">
        <f t="shared" si="129"/>
        <v/>
      </c>
      <c r="V693" s="242" t="str">
        <f t="shared" si="130"/>
        <v/>
      </c>
      <c r="W693" s="242" t="str">
        <f t="shared" si="131"/>
        <v/>
      </c>
    </row>
    <row r="694" spans="1:23" x14ac:dyDescent="0.2">
      <c r="A694" s="283"/>
      <c r="B694" s="283"/>
      <c r="C694" s="283"/>
      <c r="D694" s="283"/>
      <c r="E694" s="283"/>
      <c r="F694" s="283"/>
      <c r="G694" s="283"/>
      <c r="K694" s="242">
        <v>693</v>
      </c>
      <c r="L694" s="242" t="str">
        <f t="shared" si="120"/>
        <v/>
      </c>
      <c r="M694" s="242" t="str">
        <f t="shared" si="121"/>
        <v/>
      </c>
      <c r="N694" s="242" t="str">
        <f t="shared" si="122"/>
        <v/>
      </c>
      <c r="O694" s="242" t="str">
        <f t="shared" si="123"/>
        <v/>
      </c>
      <c r="P694" s="242" t="str">
        <f t="shared" si="124"/>
        <v/>
      </c>
      <c r="Q694" s="242" t="str">
        <f t="shared" si="125"/>
        <v/>
      </c>
      <c r="R694" s="242" t="str">
        <f t="shared" si="126"/>
        <v/>
      </c>
      <c r="S694" s="242" t="str">
        <f t="shared" si="127"/>
        <v/>
      </c>
      <c r="T694" s="242" t="str">
        <f t="shared" si="128"/>
        <v/>
      </c>
      <c r="U694" s="242" t="str">
        <f t="shared" si="129"/>
        <v/>
      </c>
      <c r="V694" s="242" t="str">
        <f t="shared" si="130"/>
        <v/>
      </c>
      <c r="W694" s="242" t="str">
        <f t="shared" si="131"/>
        <v/>
      </c>
    </row>
    <row r="695" spans="1:23" x14ac:dyDescent="0.2">
      <c r="A695" s="283"/>
      <c r="B695" s="283"/>
      <c r="C695" s="283"/>
      <c r="D695" s="283"/>
      <c r="E695" s="283"/>
      <c r="F695" s="283"/>
      <c r="G695" s="283"/>
      <c r="K695" s="242">
        <v>694</v>
      </c>
      <c r="L695" s="242" t="str">
        <f t="shared" si="120"/>
        <v/>
      </c>
      <c r="M695" s="242" t="str">
        <f t="shared" si="121"/>
        <v/>
      </c>
      <c r="N695" s="242" t="str">
        <f t="shared" si="122"/>
        <v/>
      </c>
      <c r="O695" s="242" t="str">
        <f t="shared" si="123"/>
        <v/>
      </c>
      <c r="P695" s="242" t="str">
        <f t="shared" si="124"/>
        <v/>
      </c>
      <c r="Q695" s="242" t="str">
        <f t="shared" si="125"/>
        <v/>
      </c>
      <c r="R695" s="242" t="str">
        <f t="shared" si="126"/>
        <v/>
      </c>
      <c r="S695" s="242" t="str">
        <f t="shared" si="127"/>
        <v/>
      </c>
      <c r="T695" s="242" t="str">
        <f t="shared" si="128"/>
        <v/>
      </c>
      <c r="U695" s="242" t="str">
        <f t="shared" si="129"/>
        <v/>
      </c>
      <c r="V695" s="242" t="str">
        <f t="shared" si="130"/>
        <v/>
      </c>
      <c r="W695" s="242" t="str">
        <f t="shared" si="131"/>
        <v/>
      </c>
    </row>
    <row r="696" spans="1:23" x14ac:dyDescent="0.2">
      <c r="A696" s="283"/>
      <c r="B696" s="283"/>
      <c r="C696" s="283"/>
      <c r="D696" s="283"/>
      <c r="E696" s="283"/>
      <c r="F696" s="283"/>
      <c r="G696" s="283"/>
      <c r="K696" s="242">
        <v>695</v>
      </c>
      <c r="L696" s="242" t="str">
        <f t="shared" si="120"/>
        <v/>
      </c>
      <c r="M696" s="242" t="str">
        <f t="shared" si="121"/>
        <v/>
      </c>
      <c r="N696" s="242" t="str">
        <f t="shared" si="122"/>
        <v/>
      </c>
      <c r="O696" s="242" t="str">
        <f t="shared" si="123"/>
        <v/>
      </c>
      <c r="P696" s="242" t="str">
        <f t="shared" si="124"/>
        <v/>
      </c>
      <c r="Q696" s="242" t="str">
        <f t="shared" si="125"/>
        <v/>
      </c>
      <c r="R696" s="242" t="str">
        <f t="shared" si="126"/>
        <v/>
      </c>
      <c r="S696" s="242" t="str">
        <f t="shared" si="127"/>
        <v/>
      </c>
      <c r="T696" s="242" t="str">
        <f t="shared" si="128"/>
        <v/>
      </c>
      <c r="U696" s="242" t="str">
        <f t="shared" si="129"/>
        <v/>
      </c>
      <c r="V696" s="242" t="str">
        <f t="shared" si="130"/>
        <v/>
      </c>
      <c r="W696" s="242" t="str">
        <f t="shared" si="131"/>
        <v/>
      </c>
    </row>
    <row r="697" spans="1:23" x14ac:dyDescent="0.2">
      <c r="A697" s="283"/>
      <c r="B697" s="283"/>
      <c r="C697" s="283"/>
      <c r="D697" s="283"/>
      <c r="E697" s="283"/>
      <c r="F697" s="283"/>
      <c r="G697" s="283"/>
      <c r="K697" s="242">
        <v>696</v>
      </c>
      <c r="L697" s="242" t="str">
        <f t="shared" si="120"/>
        <v/>
      </c>
      <c r="M697" s="242" t="str">
        <f t="shared" si="121"/>
        <v/>
      </c>
      <c r="N697" s="242" t="str">
        <f t="shared" si="122"/>
        <v/>
      </c>
      <c r="O697" s="242" t="str">
        <f t="shared" si="123"/>
        <v/>
      </c>
      <c r="P697" s="242" t="str">
        <f t="shared" si="124"/>
        <v/>
      </c>
      <c r="Q697" s="242" t="str">
        <f t="shared" si="125"/>
        <v/>
      </c>
      <c r="R697" s="242" t="str">
        <f t="shared" si="126"/>
        <v/>
      </c>
      <c r="S697" s="242" t="str">
        <f t="shared" si="127"/>
        <v/>
      </c>
      <c r="T697" s="242" t="str">
        <f t="shared" si="128"/>
        <v/>
      </c>
      <c r="U697" s="242" t="str">
        <f t="shared" si="129"/>
        <v/>
      </c>
      <c r="V697" s="242" t="str">
        <f t="shared" si="130"/>
        <v/>
      </c>
      <c r="W697" s="242" t="str">
        <f t="shared" si="131"/>
        <v/>
      </c>
    </row>
    <row r="698" spans="1:23" x14ac:dyDescent="0.2">
      <c r="A698" s="283"/>
      <c r="B698" s="283"/>
      <c r="C698" s="283"/>
      <c r="D698" s="283"/>
      <c r="E698" s="283"/>
      <c r="F698" s="283"/>
      <c r="G698" s="283"/>
      <c r="K698" s="242">
        <v>697</v>
      </c>
      <c r="L698" s="242" t="str">
        <f t="shared" si="120"/>
        <v/>
      </c>
      <c r="M698" s="242" t="str">
        <f t="shared" si="121"/>
        <v/>
      </c>
      <c r="N698" s="242" t="str">
        <f t="shared" si="122"/>
        <v/>
      </c>
      <c r="O698" s="242" t="str">
        <f t="shared" si="123"/>
        <v/>
      </c>
      <c r="P698" s="242" t="str">
        <f t="shared" si="124"/>
        <v/>
      </c>
      <c r="Q698" s="242" t="str">
        <f t="shared" si="125"/>
        <v/>
      </c>
      <c r="R698" s="242" t="str">
        <f t="shared" si="126"/>
        <v/>
      </c>
      <c r="S698" s="242" t="str">
        <f t="shared" si="127"/>
        <v/>
      </c>
      <c r="T698" s="242" t="str">
        <f t="shared" si="128"/>
        <v/>
      </c>
      <c r="U698" s="242" t="str">
        <f t="shared" si="129"/>
        <v/>
      </c>
      <c r="V698" s="242" t="str">
        <f t="shared" si="130"/>
        <v/>
      </c>
      <c r="W698" s="242" t="str">
        <f t="shared" si="131"/>
        <v/>
      </c>
    </row>
    <row r="699" spans="1:23" x14ac:dyDescent="0.2">
      <c r="A699" s="283"/>
      <c r="B699" s="283"/>
      <c r="C699" s="283"/>
      <c r="D699" s="283"/>
      <c r="E699" s="283"/>
      <c r="F699" s="283"/>
      <c r="G699" s="283"/>
      <c r="K699" s="242">
        <v>698</v>
      </c>
      <c r="L699" s="242" t="str">
        <f t="shared" si="120"/>
        <v/>
      </c>
      <c r="M699" s="242" t="str">
        <f t="shared" si="121"/>
        <v/>
      </c>
      <c r="N699" s="242" t="str">
        <f t="shared" si="122"/>
        <v/>
      </c>
      <c r="O699" s="242" t="str">
        <f t="shared" si="123"/>
        <v/>
      </c>
      <c r="P699" s="242" t="str">
        <f t="shared" si="124"/>
        <v/>
      </c>
      <c r="Q699" s="242" t="str">
        <f t="shared" si="125"/>
        <v/>
      </c>
      <c r="R699" s="242" t="str">
        <f t="shared" si="126"/>
        <v/>
      </c>
      <c r="S699" s="242" t="str">
        <f t="shared" si="127"/>
        <v/>
      </c>
      <c r="T699" s="242" t="str">
        <f t="shared" si="128"/>
        <v/>
      </c>
      <c r="U699" s="242" t="str">
        <f t="shared" si="129"/>
        <v/>
      </c>
      <c r="V699" s="242" t="str">
        <f t="shared" si="130"/>
        <v/>
      </c>
      <c r="W699" s="242" t="str">
        <f t="shared" si="131"/>
        <v/>
      </c>
    </row>
    <row r="700" spans="1:23" x14ac:dyDescent="0.2">
      <c r="A700" s="283"/>
      <c r="B700" s="283"/>
      <c r="C700" s="283"/>
      <c r="D700" s="283"/>
      <c r="E700" s="283"/>
      <c r="F700" s="283"/>
      <c r="G700" s="283"/>
      <c r="K700" s="242">
        <v>699</v>
      </c>
      <c r="L700" s="242" t="str">
        <f t="shared" si="120"/>
        <v/>
      </c>
      <c r="M700" s="242" t="str">
        <f t="shared" si="121"/>
        <v/>
      </c>
      <c r="N700" s="242" t="str">
        <f t="shared" si="122"/>
        <v/>
      </c>
      <c r="O700" s="242" t="str">
        <f t="shared" si="123"/>
        <v/>
      </c>
      <c r="P700" s="242" t="str">
        <f t="shared" si="124"/>
        <v/>
      </c>
      <c r="Q700" s="242" t="str">
        <f t="shared" si="125"/>
        <v/>
      </c>
      <c r="R700" s="242" t="str">
        <f t="shared" si="126"/>
        <v/>
      </c>
      <c r="S700" s="242" t="str">
        <f t="shared" si="127"/>
        <v/>
      </c>
      <c r="T700" s="242" t="str">
        <f t="shared" si="128"/>
        <v/>
      </c>
      <c r="U700" s="242" t="str">
        <f t="shared" si="129"/>
        <v/>
      </c>
      <c r="V700" s="242" t="str">
        <f t="shared" si="130"/>
        <v/>
      </c>
      <c r="W700" s="242" t="str">
        <f t="shared" si="131"/>
        <v/>
      </c>
    </row>
    <row r="701" spans="1:23" x14ac:dyDescent="0.2">
      <c r="A701" s="283"/>
      <c r="B701" s="283"/>
      <c r="C701" s="283"/>
      <c r="D701" s="283"/>
      <c r="E701" s="283"/>
      <c r="F701" s="283"/>
      <c r="G701" s="283"/>
      <c r="K701" s="242">
        <v>700</v>
      </c>
      <c r="L701" s="242" t="str">
        <f t="shared" si="120"/>
        <v/>
      </c>
      <c r="M701" s="242" t="str">
        <f t="shared" si="121"/>
        <v/>
      </c>
      <c r="N701" s="242" t="str">
        <f t="shared" si="122"/>
        <v/>
      </c>
      <c r="O701" s="242" t="str">
        <f t="shared" si="123"/>
        <v/>
      </c>
      <c r="P701" s="242" t="str">
        <f t="shared" si="124"/>
        <v/>
      </c>
      <c r="Q701" s="242" t="str">
        <f t="shared" si="125"/>
        <v/>
      </c>
      <c r="R701" s="242" t="str">
        <f t="shared" si="126"/>
        <v/>
      </c>
      <c r="S701" s="242" t="str">
        <f t="shared" si="127"/>
        <v/>
      </c>
      <c r="T701" s="242" t="str">
        <f t="shared" si="128"/>
        <v/>
      </c>
      <c r="U701" s="242" t="str">
        <f t="shared" si="129"/>
        <v/>
      </c>
      <c r="V701" s="242" t="str">
        <f t="shared" si="130"/>
        <v/>
      </c>
      <c r="W701" s="242" t="str">
        <f t="shared" si="131"/>
        <v/>
      </c>
    </row>
    <row r="702" spans="1:23" x14ac:dyDescent="0.2">
      <c r="A702" s="283"/>
      <c r="B702" s="283"/>
      <c r="C702" s="283"/>
      <c r="D702" s="283"/>
      <c r="E702" s="283"/>
      <c r="F702" s="283"/>
      <c r="G702" s="283"/>
      <c r="K702" s="242">
        <v>701</v>
      </c>
      <c r="L702" s="242" t="str">
        <f t="shared" si="120"/>
        <v/>
      </c>
      <c r="M702" s="242" t="str">
        <f t="shared" si="121"/>
        <v/>
      </c>
      <c r="N702" s="242" t="str">
        <f t="shared" si="122"/>
        <v/>
      </c>
      <c r="O702" s="242" t="str">
        <f t="shared" si="123"/>
        <v/>
      </c>
      <c r="P702" s="242" t="str">
        <f t="shared" si="124"/>
        <v/>
      </c>
      <c r="Q702" s="242" t="str">
        <f t="shared" si="125"/>
        <v/>
      </c>
      <c r="R702" s="242" t="str">
        <f t="shared" si="126"/>
        <v/>
      </c>
      <c r="S702" s="242" t="str">
        <f t="shared" si="127"/>
        <v/>
      </c>
      <c r="T702" s="242" t="str">
        <f t="shared" si="128"/>
        <v/>
      </c>
      <c r="U702" s="242" t="str">
        <f t="shared" si="129"/>
        <v/>
      </c>
      <c r="V702" s="242" t="str">
        <f t="shared" si="130"/>
        <v/>
      </c>
      <c r="W702" s="242" t="str">
        <f t="shared" si="131"/>
        <v/>
      </c>
    </row>
    <row r="703" spans="1:23" x14ac:dyDescent="0.2">
      <c r="A703" s="283"/>
      <c r="B703" s="283"/>
      <c r="C703" s="283"/>
      <c r="D703" s="283"/>
      <c r="E703" s="283"/>
      <c r="F703" s="283"/>
      <c r="G703" s="283"/>
      <c r="K703" s="242">
        <v>702</v>
      </c>
      <c r="L703" s="242" t="str">
        <f t="shared" si="120"/>
        <v/>
      </c>
      <c r="M703" s="242" t="str">
        <f t="shared" si="121"/>
        <v/>
      </c>
      <c r="N703" s="242" t="str">
        <f t="shared" si="122"/>
        <v/>
      </c>
      <c r="O703" s="242" t="str">
        <f t="shared" si="123"/>
        <v/>
      </c>
      <c r="P703" s="242" t="str">
        <f t="shared" si="124"/>
        <v/>
      </c>
      <c r="Q703" s="242" t="str">
        <f t="shared" si="125"/>
        <v/>
      </c>
      <c r="R703" s="242" t="str">
        <f t="shared" si="126"/>
        <v/>
      </c>
      <c r="S703" s="242" t="str">
        <f t="shared" si="127"/>
        <v/>
      </c>
      <c r="T703" s="242" t="str">
        <f t="shared" si="128"/>
        <v/>
      </c>
      <c r="U703" s="242" t="str">
        <f t="shared" si="129"/>
        <v/>
      </c>
      <c r="V703" s="242" t="str">
        <f t="shared" si="130"/>
        <v/>
      </c>
      <c r="W703" s="242" t="str">
        <f t="shared" si="131"/>
        <v/>
      </c>
    </row>
    <row r="704" spans="1:23" x14ac:dyDescent="0.2">
      <c r="A704" s="283"/>
      <c r="B704" s="283"/>
      <c r="C704" s="283"/>
      <c r="D704" s="283"/>
      <c r="E704" s="283"/>
      <c r="F704" s="283"/>
      <c r="G704" s="283"/>
      <c r="K704" s="242">
        <v>703</v>
      </c>
      <c r="L704" s="242" t="str">
        <f t="shared" si="120"/>
        <v/>
      </c>
      <c r="M704" s="242" t="str">
        <f t="shared" si="121"/>
        <v/>
      </c>
      <c r="N704" s="242" t="str">
        <f t="shared" si="122"/>
        <v/>
      </c>
      <c r="O704" s="242" t="str">
        <f t="shared" si="123"/>
        <v/>
      </c>
      <c r="P704" s="242" t="str">
        <f t="shared" si="124"/>
        <v/>
      </c>
      <c r="Q704" s="242" t="str">
        <f t="shared" si="125"/>
        <v/>
      </c>
      <c r="R704" s="242" t="str">
        <f t="shared" si="126"/>
        <v/>
      </c>
      <c r="S704" s="242" t="str">
        <f t="shared" si="127"/>
        <v/>
      </c>
      <c r="T704" s="242" t="str">
        <f t="shared" si="128"/>
        <v/>
      </c>
      <c r="U704" s="242" t="str">
        <f t="shared" si="129"/>
        <v/>
      </c>
      <c r="V704" s="242" t="str">
        <f t="shared" si="130"/>
        <v/>
      </c>
      <c r="W704" s="242" t="str">
        <f t="shared" si="131"/>
        <v/>
      </c>
    </row>
    <row r="705" spans="1:23" x14ac:dyDescent="0.2">
      <c r="A705" s="283"/>
      <c r="B705" s="283"/>
      <c r="C705" s="283"/>
      <c r="D705" s="283"/>
      <c r="E705" s="283"/>
      <c r="F705" s="283"/>
      <c r="G705" s="283"/>
      <c r="K705" s="242">
        <v>704</v>
      </c>
      <c r="L705" s="242" t="str">
        <f t="shared" si="120"/>
        <v/>
      </c>
      <c r="M705" s="242" t="str">
        <f t="shared" si="121"/>
        <v/>
      </c>
      <c r="N705" s="242" t="str">
        <f t="shared" si="122"/>
        <v/>
      </c>
      <c r="O705" s="242" t="str">
        <f t="shared" si="123"/>
        <v/>
      </c>
      <c r="P705" s="242" t="str">
        <f t="shared" si="124"/>
        <v/>
      </c>
      <c r="Q705" s="242" t="str">
        <f t="shared" si="125"/>
        <v/>
      </c>
      <c r="R705" s="242" t="str">
        <f t="shared" si="126"/>
        <v/>
      </c>
      <c r="S705" s="242" t="str">
        <f t="shared" si="127"/>
        <v/>
      </c>
      <c r="T705" s="242" t="str">
        <f t="shared" si="128"/>
        <v/>
      </c>
      <c r="U705" s="242" t="str">
        <f t="shared" si="129"/>
        <v/>
      </c>
      <c r="V705" s="242" t="str">
        <f t="shared" si="130"/>
        <v/>
      </c>
      <c r="W705" s="242" t="str">
        <f t="shared" si="131"/>
        <v/>
      </c>
    </row>
    <row r="706" spans="1:23" x14ac:dyDescent="0.2">
      <c r="A706" s="283"/>
      <c r="B706" s="283"/>
      <c r="C706" s="283"/>
      <c r="D706" s="283"/>
      <c r="E706" s="283"/>
      <c r="F706" s="283"/>
      <c r="G706" s="283"/>
      <c r="K706" s="242">
        <v>705</v>
      </c>
      <c r="L706" s="242" t="str">
        <f t="shared" si="120"/>
        <v/>
      </c>
      <c r="M706" s="242" t="str">
        <f t="shared" si="121"/>
        <v/>
      </c>
      <c r="N706" s="242" t="str">
        <f t="shared" si="122"/>
        <v/>
      </c>
      <c r="O706" s="242" t="str">
        <f t="shared" si="123"/>
        <v/>
      </c>
      <c r="P706" s="242" t="str">
        <f t="shared" si="124"/>
        <v/>
      </c>
      <c r="Q706" s="242" t="str">
        <f t="shared" si="125"/>
        <v/>
      </c>
      <c r="R706" s="242" t="str">
        <f t="shared" si="126"/>
        <v/>
      </c>
      <c r="S706" s="242" t="str">
        <f t="shared" si="127"/>
        <v/>
      </c>
      <c r="T706" s="242" t="str">
        <f t="shared" si="128"/>
        <v/>
      </c>
      <c r="U706" s="242" t="str">
        <f t="shared" si="129"/>
        <v/>
      </c>
      <c r="V706" s="242" t="str">
        <f t="shared" si="130"/>
        <v/>
      </c>
      <c r="W706" s="242" t="str">
        <f t="shared" si="131"/>
        <v/>
      </c>
    </row>
    <row r="707" spans="1:23" x14ac:dyDescent="0.2">
      <c r="A707" s="283"/>
      <c r="B707" s="283"/>
      <c r="C707" s="283"/>
      <c r="D707" s="283"/>
      <c r="E707" s="283"/>
      <c r="F707" s="283"/>
      <c r="G707" s="283"/>
      <c r="K707" s="242">
        <v>706</v>
      </c>
      <c r="L707" s="242" t="str">
        <f t="shared" ref="L707:L770" si="132">IF($B$13&gt;=K707,K707,"")</f>
        <v/>
      </c>
      <c r="M707" s="242" t="str">
        <f t="shared" ref="M707:M770" si="133">IF(L707="","",IF(L707&lt;=$E$15,VLOOKUP($E$14,$I$1:$J$4,2,FALSE),VLOOKUP($F$14,$I$1:$J$4,2,FALSE)))</f>
        <v/>
      </c>
      <c r="N707" s="242" t="str">
        <f t="shared" ref="N707:N770" si="134">IF($B$20&gt;=K707,K707,"")</f>
        <v/>
      </c>
      <c r="O707" s="242" t="str">
        <f t="shared" ref="O707:O770" si="135">IF(N707="","",IF(N707&lt;=$E$22,VLOOKUP($E$21,$I$1:$J$4,2,FALSE),VLOOKUP($F$21,$I$1:$J$4,2,FALSE)))</f>
        <v/>
      </c>
      <c r="P707" s="242" t="str">
        <f t="shared" ref="P707:P770" si="136">IF($B$27&gt;=K707,K707,"")</f>
        <v/>
      </c>
      <c r="Q707" s="242" t="str">
        <f t="shared" ref="Q707:Q770" si="137">IF(P707="","",IF(P707&lt;=$E$29,VLOOKUP($E$28,$I$1:$J$4,2,FALSE),VLOOKUP($F$28,$I$1:$J$4,2,FALSE)))</f>
        <v/>
      </c>
      <c r="R707" s="242" t="str">
        <f t="shared" ref="R707:R770" si="138">IF($B$34&gt;=K707,K707,"")</f>
        <v/>
      </c>
      <c r="S707" s="242" t="str">
        <f t="shared" ref="S707:S770" si="139">IF(R707="","",IF(R707&lt;=$E$36,VLOOKUP($E$35,$I$1:$J$4,2,FALSE),VLOOKUP($F$35,$I$1:$J$4,2,FALSE)))</f>
        <v/>
      </c>
      <c r="T707" s="242" t="str">
        <f t="shared" ref="T707:T770" si="140">IF($B$41&gt;=K707,K707,"")</f>
        <v/>
      </c>
      <c r="U707" s="242" t="str">
        <f t="shared" ref="U707:U770" si="141">IF(T707="","",IF(T707&lt;=$E$43,VLOOKUP($E$42,$I$1:$J$4,2,FALSE),VLOOKUP($F$42,$I$1:$J$4,2,FALSE)))</f>
        <v/>
      </c>
      <c r="V707" s="242" t="str">
        <f t="shared" ref="V707:V770" si="142">IF($B$48&gt;=K707,K707,"")</f>
        <v/>
      </c>
      <c r="W707" s="242" t="str">
        <f t="shared" ref="W707:W770" si="143">IF(V707="","",IF(V707&lt;=$E$50,VLOOKUP($E$49,$I$1:$J$4,2,FALSE),VLOOKUP($F$49,$I$1:$J$4,2,FALSE)))</f>
        <v/>
      </c>
    </row>
    <row r="708" spans="1:23" x14ac:dyDescent="0.2">
      <c r="A708" s="283"/>
      <c r="B708" s="283"/>
      <c r="C708" s="283"/>
      <c r="D708" s="283"/>
      <c r="E708" s="283"/>
      <c r="F708" s="283"/>
      <c r="G708" s="283"/>
      <c r="K708" s="242">
        <v>707</v>
      </c>
      <c r="L708" s="242" t="str">
        <f t="shared" si="132"/>
        <v/>
      </c>
      <c r="M708" s="242" t="str">
        <f t="shared" si="133"/>
        <v/>
      </c>
      <c r="N708" s="242" t="str">
        <f t="shared" si="134"/>
        <v/>
      </c>
      <c r="O708" s="242" t="str">
        <f t="shared" si="135"/>
        <v/>
      </c>
      <c r="P708" s="242" t="str">
        <f t="shared" si="136"/>
        <v/>
      </c>
      <c r="Q708" s="242" t="str">
        <f t="shared" si="137"/>
        <v/>
      </c>
      <c r="R708" s="242" t="str">
        <f t="shared" si="138"/>
        <v/>
      </c>
      <c r="S708" s="242" t="str">
        <f t="shared" si="139"/>
        <v/>
      </c>
      <c r="T708" s="242" t="str">
        <f t="shared" si="140"/>
        <v/>
      </c>
      <c r="U708" s="242" t="str">
        <f t="shared" si="141"/>
        <v/>
      </c>
      <c r="V708" s="242" t="str">
        <f t="shared" si="142"/>
        <v/>
      </c>
      <c r="W708" s="242" t="str">
        <f t="shared" si="143"/>
        <v/>
      </c>
    </row>
    <row r="709" spans="1:23" x14ac:dyDescent="0.2">
      <c r="A709" s="283"/>
      <c r="B709" s="283"/>
      <c r="C709" s="283"/>
      <c r="D709" s="283"/>
      <c r="E709" s="283"/>
      <c r="F709" s="283"/>
      <c r="G709" s="283"/>
      <c r="K709" s="242">
        <v>708</v>
      </c>
      <c r="L709" s="242" t="str">
        <f t="shared" si="132"/>
        <v/>
      </c>
      <c r="M709" s="242" t="str">
        <f t="shared" si="133"/>
        <v/>
      </c>
      <c r="N709" s="242" t="str">
        <f t="shared" si="134"/>
        <v/>
      </c>
      <c r="O709" s="242" t="str">
        <f t="shared" si="135"/>
        <v/>
      </c>
      <c r="P709" s="242" t="str">
        <f t="shared" si="136"/>
        <v/>
      </c>
      <c r="Q709" s="242" t="str">
        <f t="shared" si="137"/>
        <v/>
      </c>
      <c r="R709" s="242" t="str">
        <f t="shared" si="138"/>
        <v/>
      </c>
      <c r="S709" s="242" t="str">
        <f t="shared" si="139"/>
        <v/>
      </c>
      <c r="T709" s="242" t="str">
        <f t="shared" si="140"/>
        <v/>
      </c>
      <c r="U709" s="242" t="str">
        <f t="shared" si="141"/>
        <v/>
      </c>
      <c r="V709" s="242" t="str">
        <f t="shared" si="142"/>
        <v/>
      </c>
      <c r="W709" s="242" t="str">
        <f t="shared" si="143"/>
        <v/>
      </c>
    </row>
    <row r="710" spans="1:23" x14ac:dyDescent="0.2">
      <c r="A710" s="283"/>
      <c r="B710" s="283"/>
      <c r="C710" s="283"/>
      <c r="D710" s="283"/>
      <c r="E710" s="283"/>
      <c r="F710" s="283"/>
      <c r="G710" s="283"/>
      <c r="K710" s="242">
        <v>709</v>
      </c>
      <c r="L710" s="242" t="str">
        <f t="shared" si="132"/>
        <v/>
      </c>
      <c r="M710" s="242" t="str">
        <f t="shared" si="133"/>
        <v/>
      </c>
      <c r="N710" s="242" t="str">
        <f t="shared" si="134"/>
        <v/>
      </c>
      <c r="O710" s="242" t="str">
        <f t="shared" si="135"/>
        <v/>
      </c>
      <c r="P710" s="242" t="str">
        <f t="shared" si="136"/>
        <v/>
      </c>
      <c r="Q710" s="242" t="str">
        <f t="shared" si="137"/>
        <v/>
      </c>
      <c r="R710" s="242" t="str">
        <f t="shared" si="138"/>
        <v/>
      </c>
      <c r="S710" s="242" t="str">
        <f t="shared" si="139"/>
        <v/>
      </c>
      <c r="T710" s="242" t="str">
        <f t="shared" si="140"/>
        <v/>
      </c>
      <c r="U710" s="242" t="str">
        <f t="shared" si="141"/>
        <v/>
      </c>
      <c r="V710" s="242" t="str">
        <f t="shared" si="142"/>
        <v/>
      </c>
      <c r="W710" s="242" t="str">
        <f t="shared" si="143"/>
        <v/>
      </c>
    </row>
    <row r="711" spans="1:23" x14ac:dyDescent="0.2">
      <c r="A711" s="283"/>
      <c r="B711" s="283"/>
      <c r="C711" s="283"/>
      <c r="D711" s="283"/>
      <c r="E711" s="283"/>
      <c r="F711" s="283"/>
      <c r="G711" s="283"/>
      <c r="K711" s="242">
        <v>710</v>
      </c>
      <c r="L711" s="242" t="str">
        <f t="shared" si="132"/>
        <v/>
      </c>
      <c r="M711" s="242" t="str">
        <f t="shared" si="133"/>
        <v/>
      </c>
      <c r="N711" s="242" t="str">
        <f t="shared" si="134"/>
        <v/>
      </c>
      <c r="O711" s="242" t="str">
        <f t="shared" si="135"/>
        <v/>
      </c>
      <c r="P711" s="242" t="str">
        <f t="shared" si="136"/>
        <v/>
      </c>
      <c r="Q711" s="242" t="str">
        <f t="shared" si="137"/>
        <v/>
      </c>
      <c r="R711" s="242" t="str">
        <f t="shared" si="138"/>
        <v/>
      </c>
      <c r="S711" s="242" t="str">
        <f t="shared" si="139"/>
        <v/>
      </c>
      <c r="T711" s="242" t="str">
        <f t="shared" si="140"/>
        <v/>
      </c>
      <c r="U711" s="242" t="str">
        <f t="shared" si="141"/>
        <v/>
      </c>
      <c r="V711" s="242" t="str">
        <f t="shared" si="142"/>
        <v/>
      </c>
      <c r="W711" s="242" t="str">
        <f t="shared" si="143"/>
        <v/>
      </c>
    </row>
    <row r="712" spans="1:23" x14ac:dyDescent="0.2">
      <c r="A712" s="283"/>
      <c r="B712" s="283"/>
      <c r="C712" s="283"/>
      <c r="D712" s="283"/>
      <c r="E712" s="283"/>
      <c r="F712" s="283"/>
      <c r="G712" s="283"/>
      <c r="K712" s="242">
        <v>711</v>
      </c>
      <c r="L712" s="242" t="str">
        <f t="shared" si="132"/>
        <v/>
      </c>
      <c r="M712" s="242" t="str">
        <f t="shared" si="133"/>
        <v/>
      </c>
      <c r="N712" s="242" t="str">
        <f t="shared" si="134"/>
        <v/>
      </c>
      <c r="O712" s="242" t="str">
        <f t="shared" si="135"/>
        <v/>
      </c>
      <c r="P712" s="242" t="str">
        <f t="shared" si="136"/>
        <v/>
      </c>
      <c r="Q712" s="242" t="str">
        <f t="shared" si="137"/>
        <v/>
      </c>
      <c r="R712" s="242" t="str">
        <f t="shared" si="138"/>
        <v/>
      </c>
      <c r="S712" s="242" t="str">
        <f t="shared" si="139"/>
        <v/>
      </c>
      <c r="T712" s="242" t="str">
        <f t="shared" si="140"/>
        <v/>
      </c>
      <c r="U712" s="242" t="str">
        <f t="shared" si="141"/>
        <v/>
      </c>
      <c r="V712" s="242" t="str">
        <f t="shared" si="142"/>
        <v/>
      </c>
      <c r="W712" s="242" t="str">
        <f t="shared" si="143"/>
        <v/>
      </c>
    </row>
    <row r="713" spans="1:23" x14ac:dyDescent="0.2">
      <c r="A713" s="283"/>
      <c r="B713" s="283"/>
      <c r="C713" s="283"/>
      <c r="D713" s="283"/>
      <c r="E713" s="283"/>
      <c r="F713" s="283"/>
      <c r="G713" s="283"/>
      <c r="K713" s="242">
        <v>712</v>
      </c>
      <c r="L713" s="242" t="str">
        <f t="shared" si="132"/>
        <v/>
      </c>
      <c r="M713" s="242" t="str">
        <f t="shared" si="133"/>
        <v/>
      </c>
      <c r="N713" s="242" t="str">
        <f t="shared" si="134"/>
        <v/>
      </c>
      <c r="O713" s="242" t="str">
        <f t="shared" si="135"/>
        <v/>
      </c>
      <c r="P713" s="242" t="str">
        <f t="shared" si="136"/>
        <v/>
      </c>
      <c r="Q713" s="242" t="str">
        <f t="shared" si="137"/>
        <v/>
      </c>
      <c r="R713" s="242" t="str">
        <f t="shared" si="138"/>
        <v/>
      </c>
      <c r="S713" s="242" t="str">
        <f t="shared" si="139"/>
        <v/>
      </c>
      <c r="T713" s="242" t="str">
        <f t="shared" si="140"/>
        <v/>
      </c>
      <c r="U713" s="242" t="str">
        <f t="shared" si="141"/>
        <v/>
      </c>
      <c r="V713" s="242" t="str">
        <f t="shared" si="142"/>
        <v/>
      </c>
      <c r="W713" s="242" t="str">
        <f t="shared" si="143"/>
        <v/>
      </c>
    </row>
    <row r="714" spans="1:23" x14ac:dyDescent="0.2">
      <c r="A714" s="283"/>
      <c r="B714" s="283"/>
      <c r="C714" s="283"/>
      <c r="D714" s="283"/>
      <c r="E714" s="283"/>
      <c r="F714" s="283"/>
      <c r="G714" s="283"/>
      <c r="K714" s="242">
        <v>713</v>
      </c>
      <c r="L714" s="242" t="str">
        <f t="shared" si="132"/>
        <v/>
      </c>
      <c r="M714" s="242" t="str">
        <f t="shared" si="133"/>
        <v/>
      </c>
      <c r="N714" s="242" t="str">
        <f t="shared" si="134"/>
        <v/>
      </c>
      <c r="O714" s="242" t="str">
        <f t="shared" si="135"/>
        <v/>
      </c>
      <c r="P714" s="242" t="str">
        <f t="shared" si="136"/>
        <v/>
      </c>
      <c r="Q714" s="242" t="str">
        <f t="shared" si="137"/>
        <v/>
      </c>
      <c r="R714" s="242" t="str">
        <f t="shared" si="138"/>
        <v/>
      </c>
      <c r="S714" s="242" t="str">
        <f t="shared" si="139"/>
        <v/>
      </c>
      <c r="T714" s="242" t="str">
        <f t="shared" si="140"/>
        <v/>
      </c>
      <c r="U714" s="242" t="str">
        <f t="shared" si="141"/>
        <v/>
      </c>
      <c r="V714" s="242" t="str">
        <f t="shared" si="142"/>
        <v/>
      </c>
      <c r="W714" s="242" t="str">
        <f t="shared" si="143"/>
        <v/>
      </c>
    </row>
    <row r="715" spans="1:23" x14ac:dyDescent="0.2">
      <c r="A715" s="283"/>
      <c r="B715" s="283"/>
      <c r="C715" s="283"/>
      <c r="D715" s="283"/>
      <c r="E715" s="283"/>
      <c r="F715" s="283"/>
      <c r="G715" s="283"/>
      <c r="K715" s="242">
        <v>714</v>
      </c>
      <c r="L715" s="242" t="str">
        <f t="shared" si="132"/>
        <v/>
      </c>
      <c r="M715" s="242" t="str">
        <f t="shared" si="133"/>
        <v/>
      </c>
      <c r="N715" s="242" t="str">
        <f t="shared" si="134"/>
        <v/>
      </c>
      <c r="O715" s="242" t="str">
        <f t="shared" si="135"/>
        <v/>
      </c>
      <c r="P715" s="242" t="str">
        <f t="shared" si="136"/>
        <v/>
      </c>
      <c r="Q715" s="242" t="str">
        <f t="shared" si="137"/>
        <v/>
      </c>
      <c r="R715" s="242" t="str">
        <f t="shared" si="138"/>
        <v/>
      </c>
      <c r="S715" s="242" t="str">
        <f t="shared" si="139"/>
        <v/>
      </c>
      <c r="T715" s="242" t="str">
        <f t="shared" si="140"/>
        <v/>
      </c>
      <c r="U715" s="242" t="str">
        <f t="shared" si="141"/>
        <v/>
      </c>
      <c r="V715" s="242" t="str">
        <f t="shared" si="142"/>
        <v/>
      </c>
      <c r="W715" s="242" t="str">
        <f t="shared" si="143"/>
        <v/>
      </c>
    </row>
    <row r="716" spans="1:23" x14ac:dyDescent="0.2">
      <c r="A716" s="283"/>
      <c r="B716" s="283"/>
      <c r="C716" s="283"/>
      <c r="D716" s="283"/>
      <c r="E716" s="283"/>
      <c r="F716" s="283"/>
      <c r="G716" s="283"/>
      <c r="K716" s="242">
        <v>715</v>
      </c>
      <c r="L716" s="242" t="str">
        <f t="shared" si="132"/>
        <v/>
      </c>
      <c r="M716" s="242" t="str">
        <f t="shared" si="133"/>
        <v/>
      </c>
      <c r="N716" s="242" t="str">
        <f t="shared" si="134"/>
        <v/>
      </c>
      <c r="O716" s="242" t="str">
        <f t="shared" si="135"/>
        <v/>
      </c>
      <c r="P716" s="242" t="str">
        <f t="shared" si="136"/>
        <v/>
      </c>
      <c r="Q716" s="242" t="str">
        <f t="shared" si="137"/>
        <v/>
      </c>
      <c r="R716" s="242" t="str">
        <f t="shared" si="138"/>
        <v/>
      </c>
      <c r="S716" s="242" t="str">
        <f t="shared" si="139"/>
        <v/>
      </c>
      <c r="T716" s="242" t="str">
        <f t="shared" si="140"/>
        <v/>
      </c>
      <c r="U716" s="242" t="str">
        <f t="shared" si="141"/>
        <v/>
      </c>
      <c r="V716" s="242" t="str">
        <f t="shared" si="142"/>
        <v/>
      </c>
      <c r="W716" s="242" t="str">
        <f t="shared" si="143"/>
        <v/>
      </c>
    </row>
    <row r="717" spans="1:23" x14ac:dyDescent="0.2">
      <c r="A717" s="283"/>
      <c r="B717" s="283"/>
      <c r="C717" s="283"/>
      <c r="D717" s="283"/>
      <c r="E717" s="283"/>
      <c r="F717" s="283"/>
      <c r="G717" s="283"/>
      <c r="K717" s="242">
        <v>716</v>
      </c>
      <c r="L717" s="242" t="str">
        <f t="shared" si="132"/>
        <v/>
      </c>
      <c r="M717" s="242" t="str">
        <f t="shared" si="133"/>
        <v/>
      </c>
      <c r="N717" s="242" t="str">
        <f t="shared" si="134"/>
        <v/>
      </c>
      <c r="O717" s="242" t="str">
        <f t="shared" si="135"/>
        <v/>
      </c>
      <c r="P717" s="242" t="str">
        <f t="shared" si="136"/>
        <v/>
      </c>
      <c r="Q717" s="242" t="str">
        <f t="shared" si="137"/>
        <v/>
      </c>
      <c r="R717" s="242" t="str">
        <f t="shared" si="138"/>
        <v/>
      </c>
      <c r="S717" s="242" t="str">
        <f t="shared" si="139"/>
        <v/>
      </c>
      <c r="T717" s="242" t="str">
        <f t="shared" si="140"/>
        <v/>
      </c>
      <c r="U717" s="242" t="str">
        <f t="shared" si="141"/>
        <v/>
      </c>
      <c r="V717" s="242" t="str">
        <f t="shared" si="142"/>
        <v/>
      </c>
      <c r="W717" s="242" t="str">
        <f t="shared" si="143"/>
        <v/>
      </c>
    </row>
    <row r="718" spans="1:23" x14ac:dyDescent="0.2">
      <c r="A718" s="283"/>
      <c r="B718" s="283"/>
      <c r="C718" s="283"/>
      <c r="D718" s="283"/>
      <c r="E718" s="283"/>
      <c r="F718" s="283"/>
      <c r="G718" s="283"/>
      <c r="K718" s="242">
        <v>717</v>
      </c>
      <c r="L718" s="242" t="str">
        <f t="shared" si="132"/>
        <v/>
      </c>
      <c r="M718" s="242" t="str">
        <f t="shared" si="133"/>
        <v/>
      </c>
      <c r="N718" s="242" t="str">
        <f t="shared" si="134"/>
        <v/>
      </c>
      <c r="O718" s="242" t="str">
        <f t="shared" si="135"/>
        <v/>
      </c>
      <c r="P718" s="242" t="str">
        <f t="shared" si="136"/>
        <v/>
      </c>
      <c r="Q718" s="242" t="str">
        <f t="shared" si="137"/>
        <v/>
      </c>
      <c r="R718" s="242" t="str">
        <f t="shared" si="138"/>
        <v/>
      </c>
      <c r="S718" s="242" t="str">
        <f t="shared" si="139"/>
        <v/>
      </c>
      <c r="T718" s="242" t="str">
        <f t="shared" si="140"/>
        <v/>
      </c>
      <c r="U718" s="242" t="str">
        <f t="shared" si="141"/>
        <v/>
      </c>
      <c r="V718" s="242" t="str">
        <f t="shared" si="142"/>
        <v/>
      </c>
      <c r="W718" s="242" t="str">
        <f t="shared" si="143"/>
        <v/>
      </c>
    </row>
    <row r="719" spans="1:23" x14ac:dyDescent="0.2">
      <c r="A719" s="283"/>
      <c r="B719" s="283"/>
      <c r="C719" s="283"/>
      <c r="D719" s="283"/>
      <c r="E719" s="283"/>
      <c r="F719" s="283"/>
      <c r="G719" s="283"/>
      <c r="K719" s="242">
        <v>718</v>
      </c>
      <c r="L719" s="242" t="str">
        <f t="shared" si="132"/>
        <v/>
      </c>
      <c r="M719" s="242" t="str">
        <f t="shared" si="133"/>
        <v/>
      </c>
      <c r="N719" s="242" t="str">
        <f t="shared" si="134"/>
        <v/>
      </c>
      <c r="O719" s="242" t="str">
        <f t="shared" si="135"/>
        <v/>
      </c>
      <c r="P719" s="242" t="str">
        <f t="shared" si="136"/>
        <v/>
      </c>
      <c r="Q719" s="242" t="str">
        <f t="shared" si="137"/>
        <v/>
      </c>
      <c r="R719" s="242" t="str">
        <f t="shared" si="138"/>
        <v/>
      </c>
      <c r="S719" s="242" t="str">
        <f t="shared" si="139"/>
        <v/>
      </c>
      <c r="T719" s="242" t="str">
        <f t="shared" si="140"/>
        <v/>
      </c>
      <c r="U719" s="242" t="str">
        <f t="shared" si="141"/>
        <v/>
      </c>
      <c r="V719" s="242" t="str">
        <f t="shared" si="142"/>
        <v/>
      </c>
      <c r="W719" s="242" t="str">
        <f t="shared" si="143"/>
        <v/>
      </c>
    </row>
    <row r="720" spans="1:23" x14ac:dyDescent="0.2">
      <c r="A720" s="283"/>
      <c r="B720" s="283"/>
      <c r="C720" s="283"/>
      <c r="D720" s="283"/>
      <c r="E720" s="283"/>
      <c r="F720" s="283"/>
      <c r="G720" s="283"/>
      <c r="K720" s="242">
        <v>719</v>
      </c>
      <c r="L720" s="242" t="str">
        <f t="shared" si="132"/>
        <v/>
      </c>
      <c r="M720" s="242" t="str">
        <f t="shared" si="133"/>
        <v/>
      </c>
      <c r="N720" s="242" t="str">
        <f t="shared" si="134"/>
        <v/>
      </c>
      <c r="O720" s="242" t="str">
        <f t="shared" si="135"/>
        <v/>
      </c>
      <c r="P720" s="242" t="str">
        <f t="shared" si="136"/>
        <v/>
      </c>
      <c r="Q720" s="242" t="str">
        <f t="shared" si="137"/>
        <v/>
      </c>
      <c r="R720" s="242" t="str">
        <f t="shared" si="138"/>
        <v/>
      </c>
      <c r="S720" s="242" t="str">
        <f t="shared" si="139"/>
        <v/>
      </c>
      <c r="T720" s="242" t="str">
        <f t="shared" si="140"/>
        <v/>
      </c>
      <c r="U720" s="242" t="str">
        <f t="shared" si="141"/>
        <v/>
      </c>
      <c r="V720" s="242" t="str">
        <f t="shared" si="142"/>
        <v/>
      </c>
      <c r="W720" s="242" t="str">
        <f t="shared" si="143"/>
        <v/>
      </c>
    </row>
    <row r="721" spans="1:23" x14ac:dyDescent="0.2">
      <c r="A721" s="283"/>
      <c r="B721" s="283"/>
      <c r="C721" s="283"/>
      <c r="D721" s="283"/>
      <c r="E721" s="283"/>
      <c r="F721" s="283"/>
      <c r="G721" s="283"/>
      <c r="K721" s="242">
        <v>720</v>
      </c>
      <c r="L721" s="242" t="str">
        <f t="shared" si="132"/>
        <v/>
      </c>
      <c r="M721" s="242" t="str">
        <f t="shared" si="133"/>
        <v/>
      </c>
      <c r="N721" s="242" t="str">
        <f t="shared" si="134"/>
        <v/>
      </c>
      <c r="O721" s="242" t="str">
        <f t="shared" si="135"/>
        <v/>
      </c>
      <c r="P721" s="242" t="str">
        <f t="shared" si="136"/>
        <v/>
      </c>
      <c r="Q721" s="242" t="str">
        <f t="shared" si="137"/>
        <v/>
      </c>
      <c r="R721" s="242" t="str">
        <f t="shared" si="138"/>
        <v/>
      </c>
      <c r="S721" s="242" t="str">
        <f t="shared" si="139"/>
        <v/>
      </c>
      <c r="T721" s="242" t="str">
        <f t="shared" si="140"/>
        <v/>
      </c>
      <c r="U721" s="242" t="str">
        <f t="shared" si="141"/>
        <v/>
      </c>
      <c r="V721" s="242" t="str">
        <f t="shared" si="142"/>
        <v/>
      </c>
      <c r="W721" s="242" t="str">
        <f t="shared" si="143"/>
        <v/>
      </c>
    </row>
    <row r="722" spans="1:23" x14ac:dyDescent="0.2">
      <c r="A722" s="283"/>
      <c r="B722" s="283"/>
      <c r="C722" s="283"/>
      <c r="D722" s="283"/>
      <c r="E722" s="283"/>
      <c r="F722" s="283"/>
      <c r="G722" s="283"/>
      <c r="K722" s="242">
        <v>721</v>
      </c>
      <c r="L722" s="242" t="str">
        <f t="shared" si="132"/>
        <v/>
      </c>
      <c r="M722" s="242" t="str">
        <f t="shared" si="133"/>
        <v/>
      </c>
      <c r="N722" s="242" t="str">
        <f t="shared" si="134"/>
        <v/>
      </c>
      <c r="O722" s="242" t="str">
        <f t="shared" si="135"/>
        <v/>
      </c>
      <c r="P722" s="242" t="str">
        <f t="shared" si="136"/>
        <v/>
      </c>
      <c r="Q722" s="242" t="str">
        <f t="shared" si="137"/>
        <v/>
      </c>
      <c r="R722" s="242" t="str">
        <f t="shared" si="138"/>
        <v/>
      </c>
      <c r="S722" s="242" t="str">
        <f t="shared" si="139"/>
        <v/>
      </c>
      <c r="T722" s="242" t="str">
        <f t="shared" si="140"/>
        <v/>
      </c>
      <c r="U722" s="242" t="str">
        <f t="shared" si="141"/>
        <v/>
      </c>
      <c r="V722" s="242" t="str">
        <f t="shared" si="142"/>
        <v/>
      </c>
      <c r="W722" s="242" t="str">
        <f t="shared" si="143"/>
        <v/>
      </c>
    </row>
    <row r="723" spans="1:23" x14ac:dyDescent="0.2">
      <c r="A723" s="283"/>
      <c r="B723" s="283"/>
      <c r="C723" s="283"/>
      <c r="D723" s="283"/>
      <c r="E723" s="283"/>
      <c r="F723" s="283"/>
      <c r="G723" s="283"/>
      <c r="K723" s="242">
        <v>722</v>
      </c>
      <c r="L723" s="242" t="str">
        <f t="shared" si="132"/>
        <v/>
      </c>
      <c r="M723" s="242" t="str">
        <f t="shared" si="133"/>
        <v/>
      </c>
      <c r="N723" s="242" t="str">
        <f t="shared" si="134"/>
        <v/>
      </c>
      <c r="O723" s="242" t="str">
        <f t="shared" si="135"/>
        <v/>
      </c>
      <c r="P723" s="242" t="str">
        <f t="shared" si="136"/>
        <v/>
      </c>
      <c r="Q723" s="242" t="str">
        <f t="shared" si="137"/>
        <v/>
      </c>
      <c r="R723" s="242" t="str">
        <f t="shared" si="138"/>
        <v/>
      </c>
      <c r="S723" s="242" t="str">
        <f t="shared" si="139"/>
        <v/>
      </c>
      <c r="T723" s="242" t="str">
        <f t="shared" si="140"/>
        <v/>
      </c>
      <c r="U723" s="242" t="str">
        <f t="shared" si="141"/>
        <v/>
      </c>
      <c r="V723" s="242" t="str">
        <f t="shared" si="142"/>
        <v/>
      </c>
      <c r="W723" s="242" t="str">
        <f t="shared" si="143"/>
        <v/>
      </c>
    </row>
    <row r="724" spans="1:23" x14ac:dyDescent="0.2">
      <c r="A724" s="283"/>
      <c r="B724" s="283"/>
      <c r="C724" s="283"/>
      <c r="D724" s="283"/>
      <c r="E724" s="283"/>
      <c r="F724" s="283"/>
      <c r="G724" s="283"/>
      <c r="K724" s="242">
        <v>723</v>
      </c>
      <c r="L724" s="242" t="str">
        <f t="shared" si="132"/>
        <v/>
      </c>
      <c r="M724" s="242" t="str">
        <f t="shared" si="133"/>
        <v/>
      </c>
      <c r="N724" s="242" t="str">
        <f t="shared" si="134"/>
        <v/>
      </c>
      <c r="O724" s="242" t="str">
        <f t="shared" si="135"/>
        <v/>
      </c>
      <c r="P724" s="242" t="str">
        <f t="shared" si="136"/>
        <v/>
      </c>
      <c r="Q724" s="242" t="str">
        <f t="shared" si="137"/>
        <v/>
      </c>
      <c r="R724" s="242" t="str">
        <f t="shared" si="138"/>
        <v/>
      </c>
      <c r="S724" s="242" t="str">
        <f t="shared" si="139"/>
        <v/>
      </c>
      <c r="T724" s="242" t="str">
        <f t="shared" si="140"/>
        <v/>
      </c>
      <c r="U724" s="242" t="str">
        <f t="shared" si="141"/>
        <v/>
      </c>
      <c r="V724" s="242" t="str">
        <f t="shared" si="142"/>
        <v/>
      </c>
      <c r="W724" s="242" t="str">
        <f t="shared" si="143"/>
        <v/>
      </c>
    </row>
    <row r="725" spans="1:23" x14ac:dyDescent="0.2">
      <c r="A725" s="283"/>
      <c r="B725" s="283"/>
      <c r="C725" s="283"/>
      <c r="D725" s="283"/>
      <c r="E725" s="283"/>
      <c r="F725" s="283"/>
      <c r="G725" s="283"/>
      <c r="K725" s="242">
        <v>724</v>
      </c>
      <c r="L725" s="242" t="str">
        <f t="shared" si="132"/>
        <v/>
      </c>
      <c r="M725" s="242" t="str">
        <f t="shared" si="133"/>
        <v/>
      </c>
      <c r="N725" s="242" t="str">
        <f t="shared" si="134"/>
        <v/>
      </c>
      <c r="O725" s="242" t="str">
        <f t="shared" si="135"/>
        <v/>
      </c>
      <c r="P725" s="242" t="str">
        <f t="shared" si="136"/>
        <v/>
      </c>
      <c r="Q725" s="242" t="str">
        <f t="shared" si="137"/>
        <v/>
      </c>
      <c r="R725" s="242" t="str">
        <f t="shared" si="138"/>
        <v/>
      </c>
      <c r="S725" s="242" t="str">
        <f t="shared" si="139"/>
        <v/>
      </c>
      <c r="T725" s="242" t="str">
        <f t="shared" si="140"/>
        <v/>
      </c>
      <c r="U725" s="242" t="str">
        <f t="shared" si="141"/>
        <v/>
      </c>
      <c r="V725" s="242" t="str">
        <f t="shared" si="142"/>
        <v/>
      </c>
      <c r="W725" s="242" t="str">
        <f t="shared" si="143"/>
        <v/>
      </c>
    </row>
    <row r="726" spans="1:23" x14ac:dyDescent="0.2">
      <c r="A726" s="283"/>
      <c r="B726" s="283"/>
      <c r="C726" s="283"/>
      <c r="D726" s="283"/>
      <c r="E726" s="283"/>
      <c r="F726" s="283"/>
      <c r="G726" s="283"/>
      <c r="K726" s="242">
        <v>725</v>
      </c>
      <c r="L726" s="242" t="str">
        <f t="shared" si="132"/>
        <v/>
      </c>
      <c r="M726" s="242" t="str">
        <f t="shared" si="133"/>
        <v/>
      </c>
      <c r="N726" s="242" t="str">
        <f t="shared" si="134"/>
        <v/>
      </c>
      <c r="O726" s="242" t="str">
        <f t="shared" si="135"/>
        <v/>
      </c>
      <c r="P726" s="242" t="str">
        <f t="shared" si="136"/>
        <v/>
      </c>
      <c r="Q726" s="242" t="str">
        <f t="shared" si="137"/>
        <v/>
      </c>
      <c r="R726" s="242" t="str">
        <f t="shared" si="138"/>
        <v/>
      </c>
      <c r="S726" s="242" t="str">
        <f t="shared" si="139"/>
        <v/>
      </c>
      <c r="T726" s="242" t="str">
        <f t="shared" si="140"/>
        <v/>
      </c>
      <c r="U726" s="242" t="str">
        <f t="shared" si="141"/>
        <v/>
      </c>
      <c r="V726" s="242" t="str">
        <f t="shared" si="142"/>
        <v/>
      </c>
      <c r="W726" s="242" t="str">
        <f t="shared" si="143"/>
        <v/>
      </c>
    </row>
    <row r="727" spans="1:23" x14ac:dyDescent="0.2">
      <c r="A727" s="283"/>
      <c r="B727" s="283"/>
      <c r="C727" s="283"/>
      <c r="D727" s="283"/>
      <c r="E727" s="283"/>
      <c r="F727" s="283"/>
      <c r="G727" s="283"/>
      <c r="K727" s="242">
        <v>726</v>
      </c>
      <c r="L727" s="242" t="str">
        <f t="shared" si="132"/>
        <v/>
      </c>
      <c r="M727" s="242" t="str">
        <f t="shared" si="133"/>
        <v/>
      </c>
      <c r="N727" s="242" t="str">
        <f t="shared" si="134"/>
        <v/>
      </c>
      <c r="O727" s="242" t="str">
        <f t="shared" si="135"/>
        <v/>
      </c>
      <c r="P727" s="242" t="str">
        <f t="shared" si="136"/>
        <v/>
      </c>
      <c r="Q727" s="242" t="str">
        <f t="shared" si="137"/>
        <v/>
      </c>
      <c r="R727" s="242" t="str">
        <f t="shared" si="138"/>
        <v/>
      </c>
      <c r="S727" s="242" t="str">
        <f t="shared" si="139"/>
        <v/>
      </c>
      <c r="T727" s="242" t="str">
        <f t="shared" si="140"/>
        <v/>
      </c>
      <c r="U727" s="242" t="str">
        <f t="shared" si="141"/>
        <v/>
      </c>
      <c r="V727" s="242" t="str">
        <f t="shared" si="142"/>
        <v/>
      </c>
      <c r="W727" s="242" t="str">
        <f t="shared" si="143"/>
        <v/>
      </c>
    </row>
    <row r="728" spans="1:23" x14ac:dyDescent="0.2">
      <c r="A728" s="283"/>
      <c r="B728" s="283"/>
      <c r="C728" s="283"/>
      <c r="D728" s="283"/>
      <c r="E728" s="283"/>
      <c r="F728" s="283"/>
      <c r="G728" s="283"/>
      <c r="K728" s="242">
        <v>727</v>
      </c>
      <c r="L728" s="242" t="str">
        <f t="shared" si="132"/>
        <v/>
      </c>
      <c r="M728" s="242" t="str">
        <f t="shared" si="133"/>
        <v/>
      </c>
      <c r="N728" s="242" t="str">
        <f t="shared" si="134"/>
        <v/>
      </c>
      <c r="O728" s="242" t="str">
        <f t="shared" si="135"/>
        <v/>
      </c>
      <c r="P728" s="242" t="str">
        <f t="shared" si="136"/>
        <v/>
      </c>
      <c r="Q728" s="242" t="str">
        <f t="shared" si="137"/>
        <v/>
      </c>
      <c r="R728" s="242" t="str">
        <f t="shared" si="138"/>
        <v/>
      </c>
      <c r="S728" s="242" t="str">
        <f t="shared" si="139"/>
        <v/>
      </c>
      <c r="T728" s="242" t="str">
        <f t="shared" si="140"/>
        <v/>
      </c>
      <c r="U728" s="242" t="str">
        <f t="shared" si="141"/>
        <v/>
      </c>
      <c r="V728" s="242" t="str">
        <f t="shared" si="142"/>
        <v/>
      </c>
      <c r="W728" s="242" t="str">
        <f t="shared" si="143"/>
        <v/>
      </c>
    </row>
    <row r="729" spans="1:23" x14ac:dyDescent="0.2">
      <c r="A729" s="283"/>
      <c r="B729" s="283"/>
      <c r="C729" s="283"/>
      <c r="D729" s="283"/>
      <c r="E729" s="283"/>
      <c r="F729" s="283"/>
      <c r="G729" s="283"/>
      <c r="K729" s="242">
        <v>728</v>
      </c>
      <c r="L729" s="242" t="str">
        <f t="shared" si="132"/>
        <v/>
      </c>
      <c r="M729" s="242" t="str">
        <f t="shared" si="133"/>
        <v/>
      </c>
      <c r="N729" s="242" t="str">
        <f t="shared" si="134"/>
        <v/>
      </c>
      <c r="O729" s="242" t="str">
        <f t="shared" si="135"/>
        <v/>
      </c>
      <c r="P729" s="242" t="str">
        <f t="shared" si="136"/>
        <v/>
      </c>
      <c r="Q729" s="242" t="str">
        <f t="shared" si="137"/>
        <v/>
      </c>
      <c r="R729" s="242" t="str">
        <f t="shared" si="138"/>
        <v/>
      </c>
      <c r="S729" s="242" t="str">
        <f t="shared" si="139"/>
        <v/>
      </c>
      <c r="T729" s="242" t="str">
        <f t="shared" si="140"/>
        <v/>
      </c>
      <c r="U729" s="242" t="str">
        <f t="shared" si="141"/>
        <v/>
      </c>
      <c r="V729" s="242" t="str">
        <f t="shared" si="142"/>
        <v/>
      </c>
      <c r="W729" s="242" t="str">
        <f t="shared" si="143"/>
        <v/>
      </c>
    </row>
    <row r="730" spans="1:23" x14ac:dyDescent="0.2">
      <c r="A730" s="283"/>
      <c r="B730" s="283"/>
      <c r="C730" s="283"/>
      <c r="D730" s="283"/>
      <c r="E730" s="283"/>
      <c r="F730" s="283"/>
      <c r="G730" s="283"/>
      <c r="K730" s="242">
        <v>729</v>
      </c>
      <c r="L730" s="242" t="str">
        <f t="shared" si="132"/>
        <v/>
      </c>
      <c r="M730" s="242" t="str">
        <f t="shared" si="133"/>
        <v/>
      </c>
      <c r="N730" s="242" t="str">
        <f t="shared" si="134"/>
        <v/>
      </c>
      <c r="O730" s="242" t="str">
        <f t="shared" si="135"/>
        <v/>
      </c>
      <c r="P730" s="242" t="str">
        <f t="shared" si="136"/>
        <v/>
      </c>
      <c r="Q730" s="242" t="str">
        <f t="shared" si="137"/>
        <v/>
      </c>
      <c r="R730" s="242" t="str">
        <f t="shared" si="138"/>
        <v/>
      </c>
      <c r="S730" s="242" t="str">
        <f t="shared" si="139"/>
        <v/>
      </c>
      <c r="T730" s="242" t="str">
        <f t="shared" si="140"/>
        <v/>
      </c>
      <c r="U730" s="242" t="str">
        <f t="shared" si="141"/>
        <v/>
      </c>
      <c r="V730" s="242" t="str">
        <f t="shared" si="142"/>
        <v/>
      </c>
      <c r="W730" s="242" t="str">
        <f t="shared" si="143"/>
        <v/>
      </c>
    </row>
    <row r="731" spans="1:23" x14ac:dyDescent="0.2">
      <c r="A731" s="283"/>
      <c r="B731" s="283"/>
      <c r="C731" s="283"/>
      <c r="D731" s="283"/>
      <c r="E731" s="283"/>
      <c r="F731" s="283"/>
      <c r="G731" s="283"/>
      <c r="K731" s="242">
        <v>730</v>
      </c>
      <c r="L731" s="242" t="str">
        <f t="shared" si="132"/>
        <v/>
      </c>
      <c r="M731" s="242" t="str">
        <f t="shared" si="133"/>
        <v/>
      </c>
      <c r="N731" s="242" t="str">
        <f t="shared" si="134"/>
        <v/>
      </c>
      <c r="O731" s="242" t="str">
        <f t="shared" si="135"/>
        <v/>
      </c>
      <c r="P731" s="242" t="str">
        <f t="shared" si="136"/>
        <v/>
      </c>
      <c r="Q731" s="242" t="str">
        <f t="shared" si="137"/>
        <v/>
      </c>
      <c r="R731" s="242" t="str">
        <f t="shared" si="138"/>
        <v/>
      </c>
      <c r="S731" s="242" t="str">
        <f t="shared" si="139"/>
        <v/>
      </c>
      <c r="T731" s="242" t="str">
        <f t="shared" si="140"/>
        <v/>
      </c>
      <c r="U731" s="242" t="str">
        <f t="shared" si="141"/>
        <v/>
      </c>
      <c r="V731" s="242" t="str">
        <f t="shared" si="142"/>
        <v/>
      </c>
      <c r="W731" s="242" t="str">
        <f t="shared" si="143"/>
        <v/>
      </c>
    </row>
    <row r="732" spans="1:23" x14ac:dyDescent="0.2">
      <c r="A732" s="283"/>
      <c r="B732" s="283"/>
      <c r="C732" s="283"/>
      <c r="D732" s="283"/>
      <c r="E732" s="283"/>
      <c r="F732" s="283"/>
      <c r="G732" s="283"/>
      <c r="K732" s="242">
        <v>731</v>
      </c>
      <c r="L732" s="242" t="str">
        <f t="shared" si="132"/>
        <v/>
      </c>
      <c r="M732" s="242" t="str">
        <f t="shared" si="133"/>
        <v/>
      </c>
      <c r="N732" s="242" t="str">
        <f t="shared" si="134"/>
        <v/>
      </c>
      <c r="O732" s="242" t="str">
        <f t="shared" si="135"/>
        <v/>
      </c>
      <c r="P732" s="242" t="str">
        <f t="shared" si="136"/>
        <v/>
      </c>
      <c r="Q732" s="242" t="str">
        <f t="shared" si="137"/>
        <v/>
      </c>
      <c r="R732" s="242" t="str">
        <f t="shared" si="138"/>
        <v/>
      </c>
      <c r="S732" s="242" t="str">
        <f t="shared" si="139"/>
        <v/>
      </c>
      <c r="T732" s="242" t="str">
        <f t="shared" si="140"/>
        <v/>
      </c>
      <c r="U732" s="242" t="str">
        <f t="shared" si="141"/>
        <v/>
      </c>
      <c r="V732" s="242" t="str">
        <f t="shared" si="142"/>
        <v/>
      </c>
      <c r="W732" s="242" t="str">
        <f t="shared" si="143"/>
        <v/>
      </c>
    </row>
    <row r="733" spans="1:23" x14ac:dyDescent="0.2">
      <c r="A733" s="283"/>
      <c r="B733" s="283"/>
      <c r="C733" s="283"/>
      <c r="D733" s="283"/>
      <c r="E733" s="283"/>
      <c r="F733" s="283"/>
      <c r="G733" s="283"/>
      <c r="K733" s="242">
        <v>732</v>
      </c>
      <c r="L733" s="242" t="str">
        <f t="shared" si="132"/>
        <v/>
      </c>
      <c r="M733" s="242" t="str">
        <f t="shared" si="133"/>
        <v/>
      </c>
      <c r="N733" s="242" t="str">
        <f t="shared" si="134"/>
        <v/>
      </c>
      <c r="O733" s="242" t="str">
        <f t="shared" si="135"/>
        <v/>
      </c>
      <c r="P733" s="242" t="str">
        <f t="shared" si="136"/>
        <v/>
      </c>
      <c r="Q733" s="242" t="str">
        <f t="shared" si="137"/>
        <v/>
      </c>
      <c r="R733" s="242" t="str">
        <f t="shared" si="138"/>
        <v/>
      </c>
      <c r="S733" s="242" t="str">
        <f t="shared" si="139"/>
        <v/>
      </c>
      <c r="T733" s="242" t="str">
        <f t="shared" si="140"/>
        <v/>
      </c>
      <c r="U733" s="242" t="str">
        <f t="shared" si="141"/>
        <v/>
      </c>
      <c r="V733" s="242" t="str">
        <f t="shared" si="142"/>
        <v/>
      </c>
      <c r="W733" s="242" t="str">
        <f t="shared" si="143"/>
        <v/>
      </c>
    </row>
    <row r="734" spans="1:23" x14ac:dyDescent="0.2">
      <c r="A734" s="283"/>
      <c r="B734" s="283"/>
      <c r="C734" s="283"/>
      <c r="D734" s="283"/>
      <c r="E734" s="283"/>
      <c r="F734" s="283"/>
      <c r="G734" s="283"/>
      <c r="K734" s="242">
        <v>733</v>
      </c>
      <c r="L734" s="242" t="str">
        <f t="shared" si="132"/>
        <v/>
      </c>
      <c r="M734" s="242" t="str">
        <f t="shared" si="133"/>
        <v/>
      </c>
      <c r="N734" s="242" t="str">
        <f t="shared" si="134"/>
        <v/>
      </c>
      <c r="O734" s="242" t="str">
        <f t="shared" si="135"/>
        <v/>
      </c>
      <c r="P734" s="242" t="str">
        <f t="shared" si="136"/>
        <v/>
      </c>
      <c r="Q734" s="242" t="str">
        <f t="shared" si="137"/>
        <v/>
      </c>
      <c r="R734" s="242" t="str">
        <f t="shared" si="138"/>
        <v/>
      </c>
      <c r="S734" s="242" t="str">
        <f t="shared" si="139"/>
        <v/>
      </c>
      <c r="T734" s="242" t="str">
        <f t="shared" si="140"/>
        <v/>
      </c>
      <c r="U734" s="242" t="str">
        <f t="shared" si="141"/>
        <v/>
      </c>
      <c r="V734" s="242" t="str">
        <f t="shared" si="142"/>
        <v/>
      </c>
      <c r="W734" s="242" t="str">
        <f t="shared" si="143"/>
        <v/>
      </c>
    </row>
    <row r="735" spans="1:23" x14ac:dyDescent="0.2">
      <c r="A735" s="283"/>
      <c r="B735" s="283"/>
      <c r="C735" s="283"/>
      <c r="D735" s="283"/>
      <c r="E735" s="283"/>
      <c r="F735" s="283"/>
      <c r="G735" s="283"/>
      <c r="K735" s="242">
        <v>734</v>
      </c>
      <c r="L735" s="242" t="str">
        <f t="shared" si="132"/>
        <v/>
      </c>
      <c r="M735" s="242" t="str">
        <f t="shared" si="133"/>
        <v/>
      </c>
      <c r="N735" s="242" t="str">
        <f t="shared" si="134"/>
        <v/>
      </c>
      <c r="O735" s="242" t="str">
        <f t="shared" si="135"/>
        <v/>
      </c>
      <c r="P735" s="242" t="str">
        <f t="shared" si="136"/>
        <v/>
      </c>
      <c r="Q735" s="242" t="str">
        <f t="shared" si="137"/>
        <v/>
      </c>
      <c r="R735" s="242" t="str">
        <f t="shared" si="138"/>
        <v/>
      </c>
      <c r="S735" s="242" t="str">
        <f t="shared" si="139"/>
        <v/>
      </c>
      <c r="T735" s="242" t="str">
        <f t="shared" si="140"/>
        <v/>
      </c>
      <c r="U735" s="242" t="str">
        <f t="shared" si="141"/>
        <v/>
      </c>
      <c r="V735" s="242" t="str">
        <f t="shared" si="142"/>
        <v/>
      </c>
      <c r="W735" s="242" t="str">
        <f t="shared" si="143"/>
        <v/>
      </c>
    </row>
    <row r="736" spans="1:23" x14ac:dyDescent="0.2">
      <c r="A736" s="283"/>
      <c r="B736" s="283"/>
      <c r="C736" s="283"/>
      <c r="D736" s="283"/>
      <c r="E736" s="283"/>
      <c r="F736" s="283"/>
      <c r="G736" s="283"/>
      <c r="K736" s="242">
        <v>735</v>
      </c>
      <c r="L736" s="242" t="str">
        <f t="shared" si="132"/>
        <v/>
      </c>
      <c r="M736" s="242" t="str">
        <f t="shared" si="133"/>
        <v/>
      </c>
      <c r="N736" s="242" t="str">
        <f t="shared" si="134"/>
        <v/>
      </c>
      <c r="O736" s="242" t="str">
        <f t="shared" si="135"/>
        <v/>
      </c>
      <c r="P736" s="242" t="str">
        <f t="shared" si="136"/>
        <v/>
      </c>
      <c r="Q736" s="242" t="str">
        <f t="shared" si="137"/>
        <v/>
      </c>
      <c r="R736" s="242" t="str">
        <f t="shared" si="138"/>
        <v/>
      </c>
      <c r="S736" s="242" t="str">
        <f t="shared" si="139"/>
        <v/>
      </c>
      <c r="T736" s="242" t="str">
        <f t="shared" si="140"/>
        <v/>
      </c>
      <c r="U736" s="242" t="str">
        <f t="shared" si="141"/>
        <v/>
      </c>
      <c r="V736" s="242" t="str">
        <f t="shared" si="142"/>
        <v/>
      </c>
      <c r="W736" s="242" t="str">
        <f t="shared" si="143"/>
        <v/>
      </c>
    </row>
    <row r="737" spans="1:23" x14ac:dyDescent="0.2">
      <c r="A737" s="283"/>
      <c r="B737" s="283"/>
      <c r="C737" s="283"/>
      <c r="D737" s="283"/>
      <c r="E737" s="283"/>
      <c r="F737" s="283"/>
      <c r="G737" s="283"/>
      <c r="K737" s="242">
        <v>736</v>
      </c>
      <c r="L737" s="242" t="str">
        <f t="shared" si="132"/>
        <v/>
      </c>
      <c r="M737" s="242" t="str">
        <f t="shared" si="133"/>
        <v/>
      </c>
      <c r="N737" s="242" t="str">
        <f t="shared" si="134"/>
        <v/>
      </c>
      <c r="O737" s="242" t="str">
        <f t="shared" si="135"/>
        <v/>
      </c>
      <c r="P737" s="242" t="str">
        <f t="shared" si="136"/>
        <v/>
      </c>
      <c r="Q737" s="242" t="str">
        <f t="shared" si="137"/>
        <v/>
      </c>
      <c r="R737" s="242" t="str">
        <f t="shared" si="138"/>
        <v/>
      </c>
      <c r="S737" s="242" t="str">
        <f t="shared" si="139"/>
        <v/>
      </c>
      <c r="T737" s="242" t="str">
        <f t="shared" si="140"/>
        <v/>
      </c>
      <c r="U737" s="242" t="str">
        <f t="shared" si="141"/>
        <v/>
      </c>
      <c r="V737" s="242" t="str">
        <f t="shared" si="142"/>
        <v/>
      </c>
      <c r="W737" s="242" t="str">
        <f t="shared" si="143"/>
        <v/>
      </c>
    </row>
    <row r="738" spans="1:23" x14ac:dyDescent="0.2">
      <c r="A738" s="283"/>
      <c r="B738" s="283"/>
      <c r="C738" s="283"/>
      <c r="D738" s="283"/>
      <c r="E738" s="283"/>
      <c r="F738" s="283"/>
      <c r="G738" s="283"/>
      <c r="K738" s="242">
        <v>737</v>
      </c>
      <c r="L738" s="242" t="str">
        <f t="shared" si="132"/>
        <v/>
      </c>
      <c r="M738" s="242" t="str">
        <f t="shared" si="133"/>
        <v/>
      </c>
      <c r="N738" s="242" t="str">
        <f t="shared" si="134"/>
        <v/>
      </c>
      <c r="O738" s="242" t="str">
        <f t="shared" si="135"/>
        <v/>
      </c>
      <c r="P738" s="242" t="str">
        <f t="shared" si="136"/>
        <v/>
      </c>
      <c r="Q738" s="242" t="str">
        <f t="shared" si="137"/>
        <v/>
      </c>
      <c r="R738" s="242" t="str">
        <f t="shared" si="138"/>
        <v/>
      </c>
      <c r="S738" s="242" t="str">
        <f t="shared" si="139"/>
        <v/>
      </c>
      <c r="T738" s="242" t="str">
        <f t="shared" si="140"/>
        <v/>
      </c>
      <c r="U738" s="242" t="str">
        <f t="shared" si="141"/>
        <v/>
      </c>
      <c r="V738" s="242" t="str">
        <f t="shared" si="142"/>
        <v/>
      </c>
      <c r="W738" s="242" t="str">
        <f t="shared" si="143"/>
        <v/>
      </c>
    </row>
    <row r="739" spans="1:23" x14ac:dyDescent="0.2">
      <c r="A739" s="283"/>
      <c r="B739" s="283"/>
      <c r="C739" s="283"/>
      <c r="D739" s="283"/>
      <c r="E739" s="283"/>
      <c r="F739" s="283"/>
      <c r="G739" s="283"/>
      <c r="K739" s="242">
        <v>738</v>
      </c>
      <c r="L739" s="242" t="str">
        <f t="shared" si="132"/>
        <v/>
      </c>
      <c r="M739" s="242" t="str">
        <f t="shared" si="133"/>
        <v/>
      </c>
      <c r="N739" s="242" t="str">
        <f t="shared" si="134"/>
        <v/>
      </c>
      <c r="O739" s="242" t="str">
        <f t="shared" si="135"/>
        <v/>
      </c>
      <c r="P739" s="242" t="str">
        <f t="shared" si="136"/>
        <v/>
      </c>
      <c r="Q739" s="242" t="str">
        <f t="shared" si="137"/>
        <v/>
      </c>
      <c r="R739" s="242" t="str">
        <f t="shared" si="138"/>
        <v/>
      </c>
      <c r="S739" s="242" t="str">
        <f t="shared" si="139"/>
        <v/>
      </c>
      <c r="T739" s="242" t="str">
        <f t="shared" si="140"/>
        <v/>
      </c>
      <c r="U739" s="242" t="str">
        <f t="shared" si="141"/>
        <v/>
      </c>
      <c r="V739" s="242" t="str">
        <f t="shared" si="142"/>
        <v/>
      </c>
      <c r="W739" s="242" t="str">
        <f t="shared" si="143"/>
        <v/>
      </c>
    </row>
    <row r="740" spans="1:23" x14ac:dyDescent="0.2">
      <c r="A740" s="283"/>
      <c r="B740" s="283"/>
      <c r="C740" s="283"/>
      <c r="D740" s="283"/>
      <c r="E740" s="283"/>
      <c r="F740" s="283"/>
      <c r="G740" s="283"/>
      <c r="K740" s="242">
        <v>739</v>
      </c>
      <c r="L740" s="242" t="str">
        <f t="shared" si="132"/>
        <v/>
      </c>
      <c r="M740" s="242" t="str">
        <f t="shared" si="133"/>
        <v/>
      </c>
      <c r="N740" s="242" t="str">
        <f t="shared" si="134"/>
        <v/>
      </c>
      <c r="O740" s="242" t="str">
        <f t="shared" si="135"/>
        <v/>
      </c>
      <c r="P740" s="242" t="str">
        <f t="shared" si="136"/>
        <v/>
      </c>
      <c r="Q740" s="242" t="str">
        <f t="shared" si="137"/>
        <v/>
      </c>
      <c r="R740" s="242" t="str">
        <f t="shared" si="138"/>
        <v/>
      </c>
      <c r="S740" s="242" t="str">
        <f t="shared" si="139"/>
        <v/>
      </c>
      <c r="T740" s="242" t="str">
        <f t="shared" si="140"/>
        <v/>
      </c>
      <c r="U740" s="242" t="str">
        <f t="shared" si="141"/>
        <v/>
      </c>
      <c r="V740" s="242" t="str">
        <f t="shared" si="142"/>
        <v/>
      </c>
      <c r="W740" s="242" t="str">
        <f t="shared" si="143"/>
        <v/>
      </c>
    </row>
    <row r="741" spans="1:23" x14ac:dyDescent="0.2">
      <c r="A741" s="283"/>
      <c r="B741" s="283"/>
      <c r="C741" s="283"/>
      <c r="D741" s="283"/>
      <c r="E741" s="283"/>
      <c r="F741" s="283"/>
      <c r="G741" s="283"/>
      <c r="K741" s="242">
        <v>740</v>
      </c>
      <c r="L741" s="242" t="str">
        <f t="shared" si="132"/>
        <v/>
      </c>
      <c r="M741" s="242" t="str">
        <f t="shared" si="133"/>
        <v/>
      </c>
      <c r="N741" s="242" t="str">
        <f t="shared" si="134"/>
        <v/>
      </c>
      <c r="O741" s="242" t="str">
        <f t="shared" si="135"/>
        <v/>
      </c>
      <c r="P741" s="242" t="str">
        <f t="shared" si="136"/>
        <v/>
      </c>
      <c r="Q741" s="242" t="str">
        <f t="shared" si="137"/>
        <v/>
      </c>
      <c r="R741" s="242" t="str">
        <f t="shared" si="138"/>
        <v/>
      </c>
      <c r="S741" s="242" t="str">
        <f t="shared" si="139"/>
        <v/>
      </c>
      <c r="T741" s="242" t="str">
        <f t="shared" si="140"/>
        <v/>
      </c>
      <c r="U741" s="242" t="str">
        <f t="shared" si="141"/>
        <v/>
      </c>
      <c r="V741" s="242" t="str">
        <f t="shared" si="142"/>
        <v/>
      </c>
      <c r="W741" s="242" t="str">
        <f t="shared" si="143"/>
        <v/>
      </c>
    </row>
    <row r="742" spans="1:23" x14ac:dyDescent="0.2">
      <c r="A742" s="283"/>
      <c r="B742" s="283"/>
      <c r="C742" s="283"/>
      <c r="D742" s="283"/>
      <c r="E742" s="283"/>
      <c r="F742" s="283"/>
      <c r="G742" s="283"/>
      <c r="K742" s="242">
        <v>741</v>
      </c>
      <c r="L742" s="242" t="str">
        <f t="shared" si="132"/>
        <v/>
      </c>
      <c r="M742" s="242" t="str">
        <f t="shared" si="133"/>
        <v/>
      </c>
      <c r="N742" s="242" t="str">
        <f t="shared" si="134"/>
        <v/>
      </c>
      <c r="O742" s="242" t="str">
        <f t="shared" si="135"/>
        <v/>
      </c>
      <c r="P742" s="242" t="str">
        <f t="shared" si="136"/>
        <v/>
      </c>
      <c r="Q742" s="242" t="str">
        <f t="shared" si="137"/>
        <v/>
      </c>
      <c r="R742" s="242" t="str">
        <f t="shared" si="138"/>
        <v/>
      </c>
      <c r="S742" s="242" t="str">
        <f t="shared" si="139"/>
        <v/>
      </c>
      <c r="T742" s="242" t="str">
        <f t="shared" si="140"/>
        <v/>
      </c>
      <c r="U742" s="242" t="str">
        <f t="shared" si="141"/>
        <v/>
      </c>
      <c r="V742" s="242" t="str">
        <f t="shared" si="142"/>
        <v/>
      </c>
      <c r="W742" s="242" t="str">
        <f t="shared" si="143"/>
        <v/>
      </c>
    </row>
    <row r="743" spans="1:23" x14ac:dyDescent="0.2">
      <c r="A743" s="283"/>
      <c r="B743" s="283"/>
      <c r="C743" s="283"/>
      <c r="D743" s="283"/>
      <c r="E743" s="283"/>
      <c r="F743" s="283"/>
      <c r="G743" s="283"/>
      <c r="K743" s="242">
        <v>742</v>
      </c>
      <c r="L743" s="242" t="str">
        <f t="shared" si="132"/>
        <v/>
      </c>
      <c r="M743" s="242" t="str">
        <f t="shared" si="133"/>
        <v/>
      </c>
      <c r="N743" s="242" t="str">
        <f t="shared" si="134"/>
        <v/>
      </c>
      <c r="O743" s="242" t="str">
        <f t="shared" si="135"/>
        <v/>
      </c>
      <c r="P743" s="242" t="str">
        <f t="shared" si="136"/>
        <v/>
      </c>
      <c r="Q743" s="242" t="str">
        <f t="shared" si="137"/>
        <v/>
      </c>
      <c r="R743" s="242" t="str">
        <f t="shared" si="138"/>
        <v/>
      </c>
      <c r="S743" s="242" t="str">
        <f t="shared" si="139"/>
        <v/>
      </c>
      <c r="T743" s="242" t="str">
        <f t="shared" si="140"/>
        <v/>
      </c>
      <c r="U743" s="242" t="str">
        <f t="shared" si="141"/>
        <v/>
      </c>
      <c r="V743" s="242" t="str">
        <f t="shared" si="142"/>
        <v/>
      </c>
      <c r="W743" s="242" t="str">
        <f t="shared" si="143"/>
        <v/>
      </c>
    </row>
    <row r="744" spans="1:23" x14ac:dyDescent="0.2">
      <c r="A744" s="283"/>
      <c r="B744" s="283"/>
      <c r="C744" s="283"/>
      <c r="D744" s="283"/>
      <c r="E744" s="283"/>
      <c r="F744" s="283"/>
      <c r="G744" s="283"/>
      <c r="K744" s="242">
        <v>743</v>
      </c>
      <c r="L744" s="242" t="str">
        <f t="shared" si="132"/>
        <v/>
      </c>
      <c r="M744" s="242" t="str">
        <f t="shared" si="133"/>
        <v/>
      </c>
      <c r="N744" s="242" t="str">
        <f t="shared" si="134"/>
        <v/>
      </c>
      <c r="O744" s="242" t="str">
        <f t="shared" si="135"/>
        <v/>
      </c>
      <c r="P744" s="242" t="str">
        <f t="shared" si="136"/>
        <v/>
      </c>
      <c r="Q744" s="242" t="str">
        <f t="shared" si="137"/>
        <v/>
      </c>
      <c r="R744" s="242" t="str">
        <f t="shared" si="138"/>
        <v/>
      </c>
      <c r="S744" s="242" t="str">
        <f t="shared" si="139"/>
        <v/>
      </c>
      <c r="T744" s="242" t="str">
        <f t="shared" si="140"/>
        <v/>
      </c>
      <c r="U744" s="242" t="str">
        <f t="shared" si="141"/>
        <v/>
      </c>
      <c r="V744" s="242" t="str">
        <f t="shared" si="142"/>
        <v/>
      </c>
      <c r="W744" s="242" t="str">
        <f t="shared" si="143"/>
        <v/>
      </c>
    </row>
    <row r="745" spans="1:23" x14ac:dyDescent="0.2">
      <c r="A745" s="283"/>
      <c r="B745" s="283"/>
      <c r="C745" s="283"/>
      <c r="D745" s="283"/>
      <c r="E745" s="283"/>
      <c r="F745" s="283"/>
      <c r="G745" s="283"/>
      <c r="K745" s="242">
        <v>744</v>
      </c>
      <c r="L745" s="242" t="str">
        <f t="shared" si="132"/>
        <v/>
      </c>
      <c r="M745" s="242" t="str">
        <f t="shared" si="133"/>
        <v/>
      </c>
      <c r="N745" s="242" t="str">
        <f t="shared" si="134"/>
        <v/>
      </c>
      <c r="O745" s="242" t="str">
        <f t="shared" si="135"/>
        <v/>
      </c>
      <c r="P745" s="242" t="str">
        <f t="shared" si="136"/>
        <v/>
      </c>
      <c r="Q745" s="242" t="str">
        <f t="shared" si="137"/>
        <v/>
      </c>
      <c r="R745" s="242" t="str">
        <f t="shared" si="138"/>
        <v/>
      </c>
      <c r="S745" s="242" t="str">
        <f t="shared" si="139"/>
        <v/>
      </c>
      <c r="T745" s="242" t="str">
        <f t="shared" si="140"/>
        <v/>
      </c>
      <c r="U745" s="242" t="str">
        <f t="shared" si="141"/>
        <v/>
      </c>
      <c r="V745" s="242" t="str">
        <f t="shared" si="142"/>
        <v/>
      </c>
      <c r="W745" s="242" t="str">
        <f t="shared" si="143"/>
        <v/>
      </c>
    </row>
    <row r="746" spans="1:23" x14ac:dyDescent="0.2">
      <c r="A746" s="283"/>
      <c r="B746" s="283"/>
      <c r="C746" s="283"/>
      <c r="D746" s="283"/>
      <c r="E746" s="283"/>
      <c r="F746" s="283"/>
      <c r="G746" s="283"/>
      <c r="K746" s="242">
        <v>745</v>
      </c>
      <c r="L746" s="242" t="str">
        <f t="shared" si="132"/>
        <v/>
      </c>
      <c r="M746" s="242" t="str">
        <f t="shared" si="133"/>
        <v/>
      </c>
      <c r="N746" s="242" t="str">
        <f t="shared" si="134"/>
        <v/>
      </c>
      <c r="O746" s="242" t="str">
        <f t="shared" si="135"/>
        <v/>
      </c>
      <c r="P746" s="242" t="str">
        <f t="shared" si="136"/>
        <v/>
      </c>
      <c r="Q746" s="242" t="str">
        <f t="shared" si="137"/>
        <v/>
      </c>
      <c r="R746" s="242" t="str">
        <f t="shared" si="138"/>
        <v/>
      </c>
      <c r="S746" s="242" t="str">
        <f t="shared" si="139"/>
        <v/>
      </c>
      <c r="T746" s="242" t="str">
        <f t="shared" si="140"/>
        <v/>
      </c>
      <c r="U746" s="242" t="str">
        <f t="shared" si="141"/>
        <v/>
      </c>
      <c r="V746" s="242" t="str">
        <f t="shared" si="142"/>
        <v/>
      </c>
      <c r="W746" s="242" t="str">
        <f t="shared" si="143"/>
        <v/>
      </c>
    </row>
    <row r="747" spans="1:23" x14ac:dyDescent="0.2">
      <c r="A747" s="283"/>
      <c r="B747" s="283"/>
      <c r="C747" s="283"/>
      <c r="D747" s="283"/>
      <c r="E747" s="283"/>
      <c r="F747" s="283"/>
      <c r="G747" s="283"/>
      <c r="K747" s="242">
        <v>746</v>
      </c>
      <c r="L747" s="242" t="str">
        <f t="shared" si="132"/>
        <v/>
      </c>
      <c r="M747" s="242" t="str">
        <f t="shared" si="133"/>
        <v/>
      </c>
      <c r="N747" s="242" t="str">
        <f t="shared" si="134"/>
        <v/>
      </c>
      <c r="O747" s="242" t="str">
        <f t="shared" si="135"/>
        <v/>
      </c>
      <c r="P747" s="242" t="str">
        <f t="shared" si="136"/>
        <v/>
      </c>
      <c r="Q747" s="242" t="str">
        <f t="shared" si="137"/>
        <v/>
      </c>
      <c r="R747" s="242" t="str">
        <f t="shared" si="138"/>
        <v/>
      </c>
      <c r="S747" s="242" t="str">
        <f t="shared" si="139"/>
        <v/>
      </c>
      <c r="T747" s="242" t="str">
        <f t="shared" si="140"/>
        <v/>
      </c>
      <c r="U747" s="242" t="str">
        <f t="shared" si="141"/>
        <v/>
      </c>
      <c r="V747" s="242" t="str">
        <f t="shared" si="142"/>
        <v/>
      </c>
      <c r="W747" s="242" t="str">
        <f t="shared" si="143"/>
        <v/>
      </c>
    </row>
    <row r="748" spans="1:23" x14ac:dyDescent="0.2">
      <c r="A748" s="283"/>
      <c r="B748" s="283"/>
      <c r="C748" s="283"/>
      <c r="D748" s="283"/>
      <c r="E748" s="283"/>
      <c r="F748" s="283"/>
      <c r="G748" s="283"/>
      <c r="K748" s="242">
        <v>747</v>
      </c>
      <c r="L748" s="242" t="str">
        <f t="shared" si="132"/>
        <v/>
      </c>
      <c r="M748" s="242" t="str">
        <f t="shared" si="133"/>
        <v/>
      </c>
      <c r="N748" s="242" t="str">
        <f t="shared" si="134"/>
        <v/>
      </c>
      <c r="O748" s="242" t="str">
        <f t="shared" si="135"/>
        <v/>
      </c>
      <c r="P748" s="242" t="str">
        <f t="shared" si="136"/>
        <v/>
      </c>
      <c r="Q748" s="242" t="str">
        <f t="shared" si="137"/>
        <v/>
      </c>
      <c r="R748" s="242" t="str">
        <f t="shared" si="138"/>
        <v/>
      </c>
      <c r="S748" s="242" t="str">
        <f t="shared" si="139"/>
        <v/>
      </c>
      <c r="T748" s="242" t="str">
        <f t="shared" si="140"/>
        <v/>
      </c>
      <c r="U748" s="242" t="str">
        <f t="shared" si="141"/>
        <v/>
      </c>
      <c r="V748" s="242" t="str">
        <f t="shared" si="142"/>
        <v/>
      </c>
      <c r="W748" s="242" t="str">
        <f t="shared" si="143"/>
        <v/>
      </c>
    </row>
    <row r="749" spans="1:23" x14ac:dyDescent="0.2">
      <c r="A749" s="283"/>
      <c r="B749" s="283"/>
      <c r="C749" s="283"/>
      <c r="D749" s="283"/>
      <c r="E749" s="283"/>
      <c r="F749" s="283"/>
      <c r="G749" s="283"/>
      <c r="K749" s="242">
        <v>748</v>
      </c>
      <c r="L749" s="242" t="str">
        <f t="shared" si="132"/>
        <v/>
      </c>
      <c r="M749" s="242" t="str">
        <f t="shared" si="133"/>
        <v/>
      </c>
      <c r="N749" s="242" t="str">
        <f t="shared" si="134"/>
        <v/>
      </c>
      <c r="O749" s="242" t="str">
        <f t="shared" si="135"/>
        <v/>
      </c>
      <c r="P749" s="242" t="str">
        <f t="shared" si="136"/>
        <v/>
      </c>
      <c r="Q749" s="242" t="str">
        <f t="shared" si="137"/>
        <v/>
      </c>
      <c r="R749" s="242" t="str">
        <f t="shared" si="138"/>
        <v/>
      </c>
      <c r="S749" s="242" t="str">
        <f t="shared" si="139"/>
        <v/>
      </c>
      <c r="T749" s="242" t="str">
        <f t="shared" si="140"/>
        <v/>
      </c>
      <c r="U749" s="242" t="str">
        <f t="shared" si="141"/>
        <v/>
      </c>
      <c r="V749" s="242" t="str">
        <f t="shared" si="142"/>
        <v/>
      </c>
      <c r="W749" s="242" t="str">
        <f t="shared" si="143"/>
        <v/>
      </c>
    </row>
    <row r="750" spans="1:23" x14ac:dyDescent="0.2">
      <c r="A750" s="283"/>
      <c r="B750" s="283"/>
      <c r="C750" s="283"/>
      <c r="D750" s="283"/>
      <c r="E750" s="283"/>
      <c r="F750" s="283"/>
      <c r="G750" s="283"/>
      <c r="K750" s="242">
        <v>749</v>
      </c>
      <c r="L750" s="242" t="str">
        <f t="shared" si="132"/>
        <v/>
      </c>
      <c r="M750" s="242" t="str">
        <f t="shared" si="133"/>
        <v/>
      </c>
      <c r="N750" s="242" t="str">
        <f t="shared" si="134"/>
        <v/>
      </c>
      <c r="O750" s="242" t="str">
        <f t="shared" si="135"/>
        <v/>
      </c>
      <c r="P750" s="242" t="str">
        <f t="shared" si="136"/>
        <v/>
      </c>
      <c r="Q750" s="242" t="str">
        <f t="shared" si="137"/>
        <v/>
      </c>
      <c r="R750" s="242" t="str">
        <f t="shared" si="138"/>
        <v/>
      </c>
      <c r="S750" s="242" t="str">
        <f t="shared" si="139"/>
        <v/>
      </c>
      <c r="T750" s="242" t="str">
        <f t="shared" si="140"/>
        <v/>
      </c>
      <c r="U750" s="242" t="str">
        <f t="shared" si="141"/>
        <v/>
      </c>
      <c r="V750" s="242" t="str">
        <f t="shared" si="142"/>
        <v/>
      </c>
      <c r="W750" s="242" t="str">
        <f t="shared" si="143"/>
        <v/>
      </c>
    </row>
    <row r="751" spans="1:23" x14ac:dyDescent="0.2">
      <c r="A751" s="283"/>
      <c r="B751" s="283"/>
      <c r="C751" s="283"/>
      <c r="D751" s="283"/>
      <c r="E751" s="283"/>
      <c r="F751" s="283"/>
      <c r="G751" s="283"/>
      <c r="K751" s="242">
        <v>750</v>
      </c>
      <c r="L751" s="242" t="str">
        <f t="shared" si="132"/>
        <v/>
      </c>
      <c r="M751" s="242" t="str">
        <f t="shared" si="133"/>
        <v/>
      </c>
      <c r="N751" s="242" t="str">
        <f t="shared" si="134"/>
        <v/>
      </c>
      <c r="O751" s="242" t="str">
        <f t="shared" si="135"/>
        <v/>
      </c>
      <c r="P751" s="242" t="str">
        <f t="shared" si="136"/>
        <v/>
      </c>
      <c r="Q751" s="242" t="str">
        <f t="shared" si="137"/>
        <v/>
      </c>
      <c r="R751" s="242" t="str">
        <f t="shared" si="138"/>
        <v/>
      </c>
      <c r="S751" s="242" t="str">
        <f t="shared" si="139"/>
        <v/>
      </c>
      <c r="T751" s="242" t="str">
        <f t="shared" si="140"/>
        <v/>
      </c>
      <c r="U751" s="242" t="str">
        <f t="shared" si="141"/>
        <v/>
      </c>
      <c r="V751" s="242" t="str">
        <f t="shared" si="142"/>
        <v/>
      </c>
      <c r="W751" s="242" t="str">
        <f t="shared" si="143"/>
        <v/>
      </c>
    </row>
    <row r="752" spans="1:23" x14ac:dyDescent="0.2">
      <c r="A752" s="283"/>
      <c r="B752" s="283"/>
      <c r="C752" s="283"/>
      <c r="D752" s="283"/>
      <c r="E752" s="283"/>
      <c r="F752" s="283"/>
      <c r="G752" s="283"/>
      <c r="K752" s="242">
        <v>751</v>
      </c>
      <c r="L752" s="242" t="str">
        <f t="shared" si="132"/>
        <v/>
      </c>
      <c r="M752" s="242" t="str">
        <f t="shared" si="133"/>
        <v/>
      </c>
      <c r="N752" s="242" t="str">
        <f t="shared" si="134"/>
        <v/>
      </c>
      <c r="O752" s="242" t="str">
        <f t="shared" si="135"/>
        <v/>
      </c>
      <c r="P752" s="242" t="str">
        <f t="shared" si="136"/>
        <v/>
      </c>
      <c r="Q752" s="242" t="str">
        <f t="shared" si="137"/>
        <v/>
      </c>
      <c r="R752" s="242" t="str">
        <f t="shared" si="138"/>
        <v/>
      </c>
      <c r="S752" s="242" t="str">
        <f t="shared" si="139"/>
        <v/>
      </c>
      <c r="T752" s="242" t="str">
        <f t="shared" si="140"/>
        <v/>
      </c>
      <c r="U752" s="242" t="str">
        <f t="shared" si="141"/>
        <v/>
      </c>
      <c r="V752" s="242" t="str">
        <f t="shared" si="142"/>
        <v/>
      </c>
      <c r="W752" s="242" t="str">
        <f t="shared" si="143"/>
        <v/>
      </c>
    </row>
    <row r="753" spans="1:23" x14ac:dyDescent="0.2">
      <c r="A753" s="283"/>
      <c r="B753" s="283"/>
      <c r="C753" s="283"/>
      <c r="D753" s="283"/>
      <c r="E753" s="283"/>
      <c r="F753" s="283"/>
      <c r="G753" s="283"/>
      <c r="K753" s="242">
        <v>752</v>
      </c>
      <c r="L753" s="242" t="str">
        <f t="shared" si="132"/>
        <v/>
      </c>
      <c r="M753" s="242" t="str">
        <f t="shared" si="133"/>
        <v/>
      </c>
      <c r="N753" s="242" t="str">
        <f t="shared" si="134"/>
        <v/>
      </c>
      <c r="O753" s="242" t="str">
        <f t="shared" si="135"/>
        <v/>
      </c>
      <c r="P753" s="242" t="str">
        <f t="shared" si="136"/>
        <v/>
      </c>
      <c r="Q753" s="242" t="str">
        <f t="shared" si="137"/>
        <v/>
      </c>
      <c r="R753" s="242" t="str">
        <f t="shared" si="138"/>
        <v/>
      </c>
      <c r="S753" s="242" t="str">
        <f t="shared" si="139"/>
        <v/>
      </c>
      <c r="T753" s="242" t="str">
        <f t="shared" si="140"/>
        <v/>
      </c>
      <c r="U753" s="242" t="str">
        <f t="shared" si="141"/>
        <v/>
      </c>
      <c r="V753" s="242" t="str">
        <f t="shared" si="142"/>
        <v/>
      </c>
      <c r="W753" s="242" t="str">
        <f t="shared" si="143"/>
        <v/>
      </c>
    </row>
    <row r="754" spans="1:23" x14ac:dyDescent="0.2">
      <c r="A754" s="283"/>
      <c r="B754" s="283"/>
      <c r="C754" s="283"/>
      <c r="D754" s="283"/>
      <c r="E754" s="283"/>
      <c r="F754" s="283"/>
      <c r="G754" s="283"/>
      <c r="K754" s="242">
        <v>753</v>
      </c>
      <c r="L754" s="242" t="str">
        <f t="shared" si="132"/>
        <v/>
      </c>
      <c r="M754" s="242" t="str">
        <f t="shared" si="133"/>
        <v/>
      </c>
      <c r="N754" s="242" t="str">
        <f t="shared" si="134"/>
        <v/>
      </c>
      <c r="O754" s="242" t="str">
        <f t="shared" si="135"/>
        <v/>
      </c>
      <c r="P754" s="242" t="str">
        <f t="shared" si="136"/>
        <v/>
      </c>
      <c r="Q754" s="242" t="str">
        <f t="shared" si="137"/>
        <v/>
      </c>
      <c r="R754" s="242" t="str">
        <f t="shared" si="138"/>
        <v/>
      </c>
      <c r="S754" s="242" t="str">
        <f t="shared" si="139"/>
        <v/>
      </c>
      <c r="T754" s="242" t="str">
        <f t="shared" si="140"/>
        <v/>
      </c>
      <c r="U754" s="242" t="str">
        <f t="shared" si="141"/>
        <v/>
      </c>
      <c r="V754" s="242" t="str">
        <f t="shared" si="142"/>
        <v/>
      </c>
      <c r="W754" s="242" t="str">
        <f t="shared" si="143"/>
        <v/>
      </c>
    </row>
    <row r="755" spans="1:23" x14ac:dyDescent="0.2">
      <c r="A755" s="283"/>
      <c r="B755" s="283"/>
      <c r="C755" s="283"/>
      <c r="D755" s="283"/>
      <c r="E755" s="283"/>
      <c r="F755" s="283"/>
      <c r="G755" s="283"/>
      <c r="K755" s="242">
        <v>754</v>
      </c>
      <c r="L755" s="242" t="str">
        <f t="shared" si="132"/>
        <v/>
      </c>
      <c r="M755" s="242" t="str">
        <f t="shared" si="133"/>
        <v/>
      </c>
      <c r="N755" s="242" t="str">
        <f t="shared" si="134"/>
        <v/>
      </c>
      <c r="O755" s="242" t="str">
        <f t="shared" si="135"/>
        <v/>
      </c>
      <c r="P755" s="242" t="str">
        <f t="shared" si="136"/>
        <v/>
      </c>
      <c r="Q755" s="242" t="str">
        <f t="shared" si="137"/>
        <v/>
      </c>
      <c r="R755" s="242" t="str">
        <f t="shared" si="138"/>
        <v/>
      </c>
      <c r="S755" s="242" t="str">
        <f t="shared" si="139"/>
        <v/>
      </c>
      <c r="T755" s="242" t="str">
        <f t="shared" si="140"/>
        <v/>
      </c>
      <c r="U755" s="242" t="str">
        <f t="shared" si="141"/>
        <v/>
      </c>
      <c r="V755" s="242" t="str">
        <f t="shared" si="142"/>
        <v/>
      </c>
      <c r="W755" s="242" t="str">
        <f t="shared" si="143"/>
        <v/>
      </c>
    </row>
    <row r="756" spans="1:23" x14ac:dyDescent="0.2">
      <c r="A756" s="283"/>
      <c r="B756" s="283"/>
      <c r="C756" s="283"/>
      <c r="D756" s="283"/>
      <c r="E756" s="283"/>
      <c r="F756" s="283"/>
      <c r="G756" s="283"/>
      <c r="K756" s="242">
        <v>755</v>
      </c>
      <c r="L756" s="242" t="str">
        <f t="shared" si="132"/>
        <v/>
      </c>
      <c r="M756" s="242" t="str">
        <f t="shared" si="133"/>
        <v/>
      </c>
      <c r="N756" s="242" t="str">
        <f t="shared" si="134"/>
        <v/>
      </c>
      <c r="O756" s="242" t="str">
        <f t="shared" si="135"/>
        <v/>
      </c>
      <c r="P756" s="242" t="str">
        <f t="shared" si="136"/>
        <v/>
      </c>
      <c r="Q756" s="242" t="str">
        <f t="shared" si="137"/>
        <v/>
      </c>
      <c r="R756" s="242" t="str">
        <f t="shared" si="138"/>
        <v/>
      </c>
      <c r="S756" s="242" t="str">
        <f t="shared" si="139"/>
        <v/>
      </c>
      <c r="T756" s="242" t="str">
        <f t="shared" si="140"/>
        <v/>
      </c>
      <c r="U756" s="242" t="str">
        <f t="shared" si="141"/>
        <v/>
      </c>
      <c r="V756" s="242" t="str">
        <f t="shared" si="142"/>
        <v/>
      </c>
      <c r="W756" s="242" t="str">
        <f t="shared" si="143"/>
        <v/>
      </c>
    </row>
    <row r="757" spans="1:23" x14ac:dyDescent="0.2">
      <c r="A757" s="283"/>
      <c r="B757" s="283"/>
      <c r="C757" s="283"/>
      <c r="D757" s="283"/>
      <c r="E757" s="283"/>
      <c r="F757" s="283"/>
      <c r="G757" s="283"/>
      <c r="K757" s="242">
        <v>756</v>
      </c>
      <c r="L757" s="242" t="str">
        <f t="shared" si="132"/>
        <v/>
      </c>
      <c r="M757" s="242" t="str">
        <f t="shared" si="133"/>
        <v/>
      </c>
      <c r="N757" s="242" t="str">
        <f t="shared" si="134"/>
        <v/>
      </c>
      <c r="O757" s="242" t="str">
        <f t="shared" si="135"/>
        <v/>
      </c>
      <c r="P757" s="242" t="str">
        <f t="shared" si="136"/>
        <v/>
      </c>
      <c r="Q757" s="242" t="str">
        <f t="shared" si="137"/>
        <v/>
      </c>
      <c r="R757" s="242" t="str">
        <f t="shared" si="138"/>
        <v/>
      </c>
      <c r="S757" s="242" t="str">
        <f t="shared" si="139"/>
        <v/>
      </c>
      <c r="T757" s="242" t="str">
        <f t="shared" si="140"/>
        <v/>
      </c>
      <c r="U757" s="242" t="str">
        <f t="shared" si="141"/>
        <v/>
      </c>
      <c r="V757" s="242" t="str">
        <f t="shared" si="142"/>
        <v/>
      </c>
      <c r="W757" s="242" t="str">
        <f t="shared" si="143"/>
        <v/>
      </c>
    </row>
    <row r="758" spans="1:23" x14ac:dyDescent="0.2">
      <c r="A758" s="283"/>
      <c r="B758" s="283"/>
      <c r="C758" s="283"/>
      <c r="D758" s="283"/>
      <c r="E758" s="283"/>
      <c r="F758" s="283"/>
      <c r="G758" s="283"/>
      <c r="K758" s="242">
        <v>757</v>
      </c>
      <c r="L758" s="242" t="str">
        <f t="shared" si="132"/>
        <v/>
      </c>
      <c r="M758" s="242" t="str">
        <f t="shared" si="133"/>
        <v/>
      </c>
      <c r="N758" s="242" t="str">
        <f t="shared" si="134"/>
        <v/>
      </c>
      <c r="O758" s="242" t="str">
        <f t="shared" si="135"/>
        <v/>
      </c>
      <c r="P758" s="242" t="str">
        <f t="shared" si="136"/>
        <v/>
      </c>
      <c r="Q758" s="242" t="str">
        <f t="shared" si="137"/>
        <v/>
      </c>
      <c r="R758" s="242" t="str">
        <f t="shared" si="138"/>
        <v/>
      </c>
      <c r="S758" s="242" t="str">
        <f t="shared" si="139"/>
        <v/>
      </c>
      <c r="T758" s="242" t="str">
        <f t="shared" si="140"/>
        <v/>
      </c>
      <c r="U758" s="242" t="str">
        <f t="shared" si="141"/>
        <v/>
      </c>
      <c r="V758" s="242" t="str">
        <f t="shared" si="142"/>
        <v/>
      </c>
      <c r="W758" s="242" t="str">
        <f t="shared" si="143"/>
        <v/>
      </c>
    </row>
    <row r="759" spans="1:23" x14ac:dyDescent="0.2">
      <c r="A759" s="283"/>
      <c r="B759" s="283"/>
      <c r="C759" s="283"/>
      <c r="D759" s="283"/>
      <c r="E759" s="283"/>
      <c r="F759" s="283"/>
      <c r="G759" s="283"/>
      <c r="K759" s="242">
        <v>758</v>
      </c>
      <c r="L759" s="242" t="str">
        <f t="shared" si="132"/>
        <v/>
      </c>
      <c r="M759" s="242" t="str">
        <f t="shared" si="133"/>
        <v/>
      </c>
      <c r="N759" s="242" t="str">
        <f t="shared" si="134"/>
        <v/>
      </c>
      <c r="O759" s="242" t="str">
        <f t="shared" si="135"/>
        <v/>
      </c>
      <c r="P759" s="242" t="str">
        <f t="shared" si="136"/>
        <v/>
      </c>
      <c r="Q759" s="242" t="str">
        <f t="shared" si="137"/>
        <v/>
      </c>
      <c r="R759" s="242" t="str">
        <f t="shared" si="138"/>
        <v/>
      </c>
      <c r="S759" s="242" t="str">
        <f t="shared" si="139"/>
        <v/>
      </c>
      <c r="T759" s="242" t="str">
        <f t="shared" si="140"/>
        <v/>
      </c>
      <c r="U759" s="242" t="str">
        <f t="shared" si="141"/>
        <v/>
      </c>
      <c r="V759" s="242" t="str">
        <f t="shared" si="142"/>
        <v/>
      </c>
      <c r="W759" s="242" t="str">
        <f t="shared" si="143"/>
        <v/>
      </c>
    </row>
    <row r="760" spans="1:23" x14ac:dyDescent="0.2">
      <c r="A760" s="283"/>
      <c r="B760" s="283"/>
      <c r="C760" s="283"/>
      <c r="D760" s="283"/>
      <c r="E760" s="283"/>
      <c r="F760" s="283"/>
      <c r="G760" s="283"/>
      <c r="K760" s="242">
        <v>759</v>
      </c>
      <c r="L760" s="242" t="str">
        <f t="shared" si="132"/>
        <v/>
      </c>
      <c r="M760" s="242" t="str">
        <f t="shared" si="133"/>
        <v/>
      </c>
      <c r="N760" s="242" t="str">
        <f t="shared" si="134"/>
        <v/>
      </c>
      <c r="O760" s="242" t="str">
        <f t="shared" si="135"/>
        <v/>
      </c>
      <c r="P760" s="242" t="str">
        <f t="shared" si="136"/>
        <v/>
      </c>
      <c r="Q760" s="242" t="str">
        <f t="shared" si="137"/>
        <v/>
      </c>
      <c r="R760" s="242" t="str">
        <f t="shared" si="138"/>
        <v/>
      </c>
      <c r="S760" s="242" t="str">
        <f t="shared" si="139"/>
        <v/>
      </c>
      <c r="T760" s="242" t="str">
        <f t="shared" si="140"/>
        <v/>
      </c>
      <c r="U760" s="242" t="str">
        <f t="shared" si="141"/>
        <v/>
      </c>
      <c r="V760" s="242" t="str">
        <f t="shared" si="142"/>
        <v/>
      </c>
      <c r="W760" s="242" t="str">
        <f t="shared" si="143"/>
        <v/>
      </c>
    </row>
    <row r="761" spans="1:23" x14ac:dyDescent="0.2">
      <c r="A761" s="283"/>
      <c r="B761" s="283"/>
      <c r="C761" s="283"/>
      <c r="D761" s="283"/>
      <c r="E761" s="283"/>
      <c r="F761" s="283"/>
      <c r="G761" s="283"/>
      <c r="K761" s="242">
        <v>760</v>
      </c>
      <c r="L761" s="242" t="str">
        <f t="shared" si="132"/>
        <v/>
      </c>
      <c r="M761" s="242" t="str">
        <f t="shared" si="133"/>
        <v/>
      </c>
      <c r="N761" s="242" t="str">
        <f t="shared" si="134"/>
        <v/>
      </c>
      <c r="O761" s="242" t="str">
        <f t="shared" si="135"/>
        <v/>
      </c>
      <c r="P761" s="242" t="str">
        <f t="shared" si="136"/>
        <v/>
      </c>
      <c r="Q761" s="242" t="str">
        <f t="shared" si="137"/>
        <v/>
      </c>
      <c r="R761" s="242" t="str">
        <f t="shared" si="138"/>
        <v/>
      </c>
      <c r="S761" s="242" t="str">
        <f t="shared" si="139"/>
        <v/>
      </c>
      <c r="T761" s="242" t="str">
        <f t="shared" si="140"/>
        <v/>
      </c>
      <c r="U761" s="242" t="str">
        <f t="shared" si="141"/>
        <v/>
      </c>
      <c r="V761" s="242" t="str">
        <f t="shared" si="142"/>
        <v/>
      </c>
      <c r="W761" s="242" t="str">
        <f t="shared" si="143"/>
        <v/>
      </c>
    </row>
    <row r="762" spans="1:23" x14ac:dyDescent="0.2">
      <c r="A762" s="283"/>
      <c r="B762" s="283"/>
      <c r="C762" s="283"/>
      <c r="D762" s="283"/>
      <c r="E762" s="283"/>
      <c r="F762" s="283"/>
      <c r="G762" s="283"/>
      <c r="K762" s="242">
        <v>761</v>
      </c>
      <c r="L762" s="242" t="str">
        <f t="shared" si="132"/>
        <v/>
      </c>
      <c r="M762" s="242" t="str">
        <f t="shared" si="133"/>
        <v/>
      </c>
      <c r="N762" s="242" t="str">
        <f t="shared" si="134"/>
        <v/>
      </c>
      <c r="O762" s="242" t="str">
        <f t="shared" si="135"/>
        <v/>
      </c>
      <c r="P762" s="242" t="str">
        <f t="shared" si="136"/>
        <v/>
      </c>
      <c r="Q762" s="242" t="str">
        <f t="shared" si="137"/>
        <v/>
      </c>
      <c r="R762" s="242" t="str">
        <f t="shared" si="138"/>
        <v/>
      </c>
      <c r="S762" s="242" t="str">
        <f t="shared" si="139"/>
        <v/>
      </c>
      <c r="T762" s="242" t="str">
        <f t="shared" si="140"/>
        <v/>
      </c>
      <c r="U762" s="242" t="str">
        <f t="shared" si="141"/>
        <v/>
      </c>
      <c r="V762" s="242" t="str">
        <f t="shared" si="142"/>
        <v/>
      </c>
      <c r="W762" s="242" t="str">
        <f t="shared" si="143"/>
        <v/>
      </c>
    </row>
    <row r="763" spans="1:23" x14ac:dyDescent="0.2">
      <c r="A763" s="283"/>
      <c r="B763" s="283"/>
      <c r="C763" s="283"/>
      <c r="D763" s="283"/>
      <c r="E763" s="283"/>
      <c r="F763" s="283"/>
      <c r="G763" s="283"/>
      <c r="K763" s="242">
        <v>762</v>
      </c>
      <c r="L763" s="242" t="str">
        <f t="shared" si="132"/>
        <v/>
      </c>
      <c r="M763" s="242" t="str">
        <f t="shared" si="133"/>
        <v/>
      </c>
      <c r="N763" s="242" t="str">
        <f t="shared" si="134"/>
        <v/>
      </c>
      <c r="O763" s="242" t="str">
        <f t="shared" si="135"/>
        <v/>
      </c>
      <c r="P763" s="242" t="str">
        <f t="shared" si="136"/>
        <v/>
      </c>
      <c r="Q763" s="242" t="str">
        <f t="shared" si="137"/>
        <v/>
      </c>
      <c r="R763" s="242" t="str">
        <f t="shared" si="138"/>
        <v/>
      </c>
      <c r="S763" s="242" t="str">
        <f t="shared" si="139"/>
        <v/>
      </c>
      <c r="T763" s="242" t="str">
        <f t="shared" si="140"/>
        <v/>
      </c>
      <c r="U763" s="242" t="str">
        <f t="shared" si="141"/>
        <v/>
      </c>
      <c r="V763" s="242" t="str">
        <f t="shared" si="142"/>
        <v/>
      </c>
      <c r="W763" s="242" t="str">
        <f t="shared" si="143"/>
        <v/>
      </c>
    </row>
    <row r="764" spans="1:23" x14ac:dyDescent="0.2">
      <c r="A764" s="283"/>
      <c r="B764" s="283"/>
      <c r="C764" s="283"/>
      <c r="D764" s="283"/>
      <c r="E764" s="283"/>
      <c r="F764" s="283"/>
      <c r="G764" s="283"/>
      <c r="K764" s="242">
        <v>763</v>
      </c>
      <c r="L764" s="242" t="str">
        <f t="shared" si="132"/>
        <v/>
      </c>
      <c r="M764" s="242" t="str">
        <f t="shared" si="133"/>
        <v/>
      </c>
      <c r="N764" s="242" t="str">
        <f t="shared" si="134"/>
        <v/>
      </c>
      <c r="O764" s="242" t="str">
        <f t="shared" si="135"/>
        <v/>
      </c>
      <c r="P764" s="242" t="str">
        <f t="shared" si="136"/>
        <v/>
      </c>
      <c r="Q764" s="242" t="str">
        <f t="shared" si="137"/>
        <v/>
      </c>
      <c r="R764" s="242" t="str">
        <f t="shared" si="138"/>
        <v/>
      </c>
      <c r="S764" s="242" t="str">
        <f t="shared" si="139"/>
        <v/>
      </c>
      <c r="T764" s="242" t="str">
        <f t="shared" si="140"/>
        <v/>
      </c>
      <c r="U764" s="242" t="str">
        <f t="shared" si="141"/>
        <v/>
      </c>
      <c r="V764" s="242" t="str">
        <f t="shared" si="142"/>
        <v/>
      </c>
      <c r="W764" s="242" t="str">
        <f t="shared" si="143"/>
        <v/>
      </c>
    </row>
    <row r="765" spans="1:23" x14ac:dyDescent="0.2">
      <c r="A765" s="283"/>
      <c r="B765" s="283"/>
      <c r="C765" s="283"/>
      <c r="D765" s="283"/>
      <c r="E765" s="283"/>
      <c r="F765" s="283"/>
      <c r="G765" s="283"/>
      <c r="K765" s="242">
        <v>764</v>
      </c>
      <c r="L765" s="242" t="str">
        <f t="shared" si="132"/>
        <v/>
      </c>
      <c r="M765" s="242" t="str">
        <f t="shared" si="133"/>
        <v/>
      </c>
      <c r="N765" s="242" t="str">
        <f t="shared" si="134"/>
        <v/>
      </c>
      <c r="O765" s="242" t="str">
        <f t="shared" si="135"/>
        <v/>
      </c>
      <c r="P765" s="242" t="str">
        <f t="shared" si="136"/>
        <v/>
      </c>
      <c r="Q765" s="242" t="str">
        <f t="shared" si="137"/>
        <v/>
      </c>
      <c r="R765" s="242" t="str">
        <f t="shared" si="138"/>
        <v/>
      </c>
      <c r="S765" s="242" t="str">
        <f t="shared" si="139"/>
        <v/>
      </c>
      <c r="T765" s="242" t="str">
        <f t="shared" si="140"/>
        <v/>
      </c>
      <c r="U765" s="242" t="str">
        <f t="shared" si="141"/>
        <v/>
      </c>
      <c r="V765" s="242" t="str">
        <f t="shared" si="142"/>
        <v/>
      </c>
      <c r="W765" s="242" t="str">
        <f t="shared" si="143"/>
        <v/>
      </c>
    </row>
    <row r="766" spans="1:23" x14ac:dyDescent="0.2">
      <c r="A766" s="283"/>
      <c r="B766" s="283"/>
      <c r="C766" s="283"/>
      <c r="D766" s="283"/>
      <c r="E766" s="283"/>
      <c r="F766" s="283"/>
      <c r="G766" s="283"/>
      <c r="K766" s="242">
        <v>765</v>
      </c>
      <c r="L766" s="242" t="str">
        <f t="shared" si="132"/>
        <v/>
      </c>
      <c r="M766" s="242" t="str">
        <f t="shared" si="133"/>
        <v/>
      </c>
      <c r="N766" s="242" t="str">
        <f t="shared" si="134"/>
        <v/>
      </c>
      <c r="O766" s="242" t="str">
        <f t="shared" si="135"/>
        <v/>
      </c>
      <c r="P766" s="242" t="str">
        <f t="shared" si="136"/>
        <v/>
      </c>
      <c r="Q766" s="242" t="str">
        <f t="shared" si="137"/>
        <v/>
      </c>
      <c r="R766" s="242" t="str">
        <f t="shared" si="138"/>
        <v/>
      </c>
      <c r="S766" s="242" t="str">
        <f t="shared" si="139"/>
        <v/>
      </c>
      <c r="T766" s="242" t="str">
        <f t="shared" si="140"/>
        <v/>
      </c>
      <c r="U766" s="242" t="str">
        <f t="shared" si="141"/>
        <v/>
      </c>
      <c r="V766" s="242" t="str">
        <f t="shared" si="142"/>
        <v/>
      </c>
      <c r="W766" s="242" t="str">
        <f t="shared" si="143"/>
        <v/>
      </c>
    </row>
    <row r="767" spans="1:23" x14ac:dyDescent="0.2">
      <c r="A767" s="283"/>
      <c r="B767" s="283"/>
      <c r="C767" s="283"/>
      <c r="D767" s="283"/>
      <c r="E767" s="283"/>
      <c r="F767" s="283"/>
      <c r="G767" s="283"/>
      <c r="K767" s="242">
        <v>766</v>
      </c>
      <c r="L767" s="242" t="str">
        <f t="shared" si="132"/>
        <v/>
      </c>
      <c r="M767" s="242" t="str">
        <f t="shared" si="133"/>
        <v/>
      </c>
      <c r="N767" s="242" t="str">
        <f t="shared" si="134"/>
        <v/>
      </c>
      <c r="O767" s="242" t="str">
        <f t="shared" si="135"/>
        <v/>
      </c>
      <c r="P767" s="242" t="str">
        <f t="shared" si="136"/>
        <v/>
      </c>
      <c r="Q767" s="242" t="str">
        <f t="shared" si="137"/>
        <v/>
      </c>
      <c r="R767" s="242" t="str">
        <f t="shared" si="138"/>
        <v/>
      </c>
      <c r="S767" s="242" t="str">
        <f t="shared" si="139"/>
        <v/>
      </c>
      <c r="T767" s="242" t="str">
        <f t="shared" si="140"/>
        <v/>
      </c>
      <c r="U767" s="242" t="str">
        <f t="shared" si="141"/>
        <v/>
      </c>
      <c r="V767" s="242" t="str">
        <f t="shared" si="142"/>
        <v/>
      </c>
      <c r="W767" s="242" t="str">
        <f t="shared" si="143"/>
        <v/>
      </c>
    </row>
    <row r="768" spans="1:23" x14ac:dyDescent="0.2">
      <c r="A768" s="283"/>
      <c r="B768" s="283"/>
      <c r="C768" s="283"/>
      <c r="D768" s="283"/>
      <c r="E768" s="283"/>
      <c r="F768" s="283"/>
      <c r="G768" s="283"/>
      <c r="K768" s="242">
        <v>767</v>
      </c>
      <c r="L768" s="242" t="str">
        <f t="shared" si="132"/>
        <v/>
      </c>
      <c r="M768" s="242" t="str">
        <f t="shared" si="133"/>
        <v/>
      </c>
      <c r="N768" s="242" t="str">
        <f t="shared" si="134"/>
        <v/>
      </c>
      <c r="O768" s="242" t="str">
        <f t="shared" si="135"/>
        <v/>
      </c>
      <c r="P768" s="242" t="str">
        <f t="shared" si="136"/>
        <v/>
      </c>
      <c r="Q768" s="242" t="str">
        <f t="shared" si="137"/>
        <v/>
      </c>
      <c r="R768" s="242" t="str">
        <f t="shared" si="138"/>
        <v/>
      </c>
      <c r="S768" s="242" t="str">
        <f t="shared" si="139"/>
        <v/>
      </c>
      <c r="T768" s="242" t="str">
        <f t="shared" si="140"/>
        <v/>
      </c>
      <c r="U768" s="242" t="str">
        <f t="shared" si="141"/>
        <v/>
      </c>
      <c r="V768" s="242" t="str">
        <f t="shared" si="142"/>
        <v/>
      </c>
      <c r="W768" s="242" t="str">
        <f t="shared" si="143"/>
        <v/>
      </c>
    </row>
    <row r="769" spans="1:23" x14ac:dyDescent="0.2">
      <c r="A769" s="283"/>
      <c r="B769" s="283"/>
      <c r="C769" s="283"/>
      <c r="D769" s="283"/>
      <c r="E769" s="283"/>
      <c r="F769" s="283"/>
      <c r="G769" s="283"/>
      <c r="K769" s="242">
        <v>768</v>
      </c>
      <c r="L769" s="242" t="str">
        <f t="shared" si="132"/>
        <v/>
      </c>
      <c r="M769" s="242" t="str">
        <f t="shared" si="133"/>
        <v/>
      </c>
      <c r="N769" s="242" t="str">
        <f t="shared" si="134"/>
        <v/>
      </c>
      <c r="O769" s="242" t="str">
        <f t="shared" si="135"/>
        <v/>
      </c>
      <c r="P769" s="242" t="str">
        <f t="shared" si="136"/>
        <v/>
      </c>
      <c r="Q769" s="242" t="str">
        <f t="shared" si="137"/>
        <v/>
      </c>
      <c r="R769" s="242" t="str">
        <f t="shared" si="138"/>
        <v/>
      </c>
      <c r="S769" s="242" t="str">
        <f t="shared" si="139"/>
        <v/>
      </c>
      <c r="T769" s="242" t="str">
        <f t="shared" si="140"/>
        <v/>
      </c>
      <c r="U769" s="242" t="str">
        <f t="shared" si="141"/>
        <v/>
      </c>
      <c r="V769" s="242" t="str">
        <f t="shared" si="142"/>
        <v/>
      </c>
      <c r="W769" s="242" t="str">
        <f t="shared" si="143"/>
        <v/>
      </c>
    </row>
    <row r="770" spans="1:23" x14ac:dyDescent="0.2">
      <c r="A770" s="283"/>
      <c r="B770" s="283"/>
      <c r="C770" s="283"/>
      <c r="D770" s="283"/>
      <c r="E770" s="283"/>
      <c r="F770" s="283"/>
      <c r="G770" s="283"/>
      <c r="K770" s="242">
        <v>769</v>
      </c>
      <c r="L770" s="242" t="str">
        <f t="shared" si="132"/>
        <v/>
      </c>
      <c r="M770" s="242" t="str">
        <f t="shared" si="133"/>
        <v/>
      </c>
      <c r="N770" s="242" t="str">
        <f t="shared" si="134"/>
        <v/>
      </c>
      <c r="O770" s="242" t="str">
        <f t="shared" si="135"/>
        <v/>
      </c>
      <c r="P770" s="242" t="str">
        <f t="shared" si="136"/>
        <v/>
      </c>
      <c r="Q770" s="242" t="str">
        <f t="shared" si="137"/>
        <v/>
      </c>
      <c r="R770" s="242" t="str">
        <f t="shared" si="138"/>
        <v/>
      </c>
      <c r="S770" s="242" t="str">
        <f t="shared" si="139"/>
        <v/>
      </c>
      <c r="T770" s="242" t="str">
        <f t="shared" si="140"/>
        <v/>
      </c>
      <c r="U770" s="242" t="str">
        <f t="shared" si="141"/>
        <v/>
      </c>
      <c r="V770" s="242" t="str">
        <f t="shared" si="142"/>
        <v/>
      </c>
      <c r="W770" s="242" t="str">
        <f t="shared" si="143"/>
        <v/>
      </c>
    </row>
    <row r="771" spans="1:23" x14ac:dyDescent="0.2">
      <c r="A771" s="283"/>
      <c r="B771" s="283"/>
      <c r="C771" s="283"/>
      <c r="D771" s="283"/>
      <c r="E771" s="283"/>
      <c r="F771" s="283"/>
      <c r="G771" s="283"/>
      <c r="K771" s="242">
        <v>770</v>
      </c>
      <c r="L771" s="242" t="str">
        <f t="shared" ref="L771:L834" si="144">IF($B$13&gt;=K771,K771,"")</f>
        <v/>
      </c>
      <c r="M771" s="242" t="str">
        <f t="shared" ref="M771:M834" si="145">IF(L771="","",IF(L771&lt;=$E$15,VLOOKUP($E$14,$I$1:$J$4,2,FALSE),VLOOKUP($F$14,$I$1:$J$4,2,FALSE)))</f>
        <v/>
      </c>
      <c r="N771" s="242" t="str">
        <f t="shared" ref="N771:N834" si="146">IF($B$20&gt;=K771,K771,"")</f>
        <v/>
      </c>
      <c r="O771" s="242" t="str">
        <f t="shared" ref="O771:O834" si="147">IF(N771="","",IF(N771&lt;=$E$22,VLOOKUP($E$21,$I$1:$J$4,2,FALSE),VLOOKUP($F$21,$I$1:$J$4,2,FALSE)))</f>
        <v/>
      </c>
      <c r="P771" s="242" t="str">
        <f t="shared" ref="P771:P834" si="148">IF($B$27&gt;=K771,K771,"")</f>
        <v/>
      </c>
      <c r="Q771" s="242" t="str">
        <f t="shared" ref="Q771:Q834" si="149">IF(P771="","",IF(P771&lt;=$E$29,VLOOKUP($E$28,$I$1:$J$4,2,FALSE),VLOOKUP($F$28,$I$1:$J$4,2,FALSE)))</f>
        <v/>
      </c>
      <c r="R771" s="242" t="str">
        <f t="shared" ref="R771:R834" si="150">IF($B$34&gt;=K771,K771,"")</f>
        <v/>
      </c>
      <c r="S771" s="242" t="str">
        <f t="shared" ref="S771:S834" si="151">IF(R771="","",IF(R771&lt;=$E$36,VLOOKUP($E$35,$I$1:$J$4,2,FALSE),VLOOKUP($F$35,$I$1:$J$4,2,FALSE)))</f>
        <v/>
      </c>
      <c r="T771" s="242" t="str">
        <f t="shared" ref="T771:T834" si="152">IF($B$41&gt;=K771,K771,"")</f>
        <v/>
      </c>
      <c r="U771" s="242" t="str">
        <f t="shared" ref="U771:U834" si="153">IF(T771="","",IF(T771&lt;=$E$43,VLOOKUP($E$42,$I$1:$J$4,2,FALSE),VLOOKUP($F$42,$I$1:$J$4,2,FALSE)))</f>
        <v/>
      </c>
      <c r="V771" s="242" t="str">
        <f t="shared" ref="V771:V834" si="154">IF($B$48&gt;=K771,K771,"")</f>
        <v/>
      </c>
      <c r="W771" s="242" t="str">
        <f t="shared" ref="W771:W834" si="155">IF(V771="","",IF(V771&lt;=$E$50,VLOOKUP($E$49,$I$1:$J$4,2,FALSE),VLOOKUP($F$49,$I$1:$J$4,2,FALSE)))</f>
        <v/>
      </c>
    </row>
    <row r="772" spans="1:23" x14ac:dyDescent="0.2">
      <c r="A772" s="283"/>
      <c r="B772" s="283"/>
      <c r="C772" s="283"/>
      <c r="D772" s="283"/>
      <c r="E772" s="283"/>
      <c r="F772" s="283"/>
      <c r="G772" s="283"/>
      <c r="K772" s="242">
        <v>771</v>
      </c>
      <c r="L772" s="242" t="str">
        <f t="shared" si="144"/>
        <v/>
      </c>
      <c r="M772" s="242" t="str">
        <f t="shared" si="145"/>
        <v/>
      </c>
      <c r="N772" s="242" t="str">
        <f t="shared" si="146"/>
        <v/>
      </c>
      <c r="O772" s="242" t="str">
        <f t="shared" si="147"/>
        <v/>
      </c>
      <c r="P772" s="242" t="str">
        <f t="shared" si="148"/>
        <v/>
      </c>
      <c r="Q772" s="242" t="str">
        <f t="shared" si="149"/>
        <v/>
      </c>
      <c r="R772" s="242" t="str">
        <f t="shared" si="150"/>
        <v/>
      </c>
      <c r="S772" s="242" t="str">
        <f t="shared" si="151"/>
        <v/>
      </c>
      <c r="T772" s="242" t="str">
        <f t="shared" si="152"/>
        <v/>
      </c>
      <c r="U772" s="242" t="str">
        <f t="shared" si="153"/>
        <v/>
      </c>
      <c r="V772" s="242" t="str">
        <f t="shared" si="154"/>
        <v/>
      </c>
      <c r="W772" s="242" t="str">
        <f t="shared" si="155"/>
        <v/>
      </c>
    </row>
    <row r="773" spans="1:23" x14ac:dyDescent="0.2">
      <c r="A773" s="283"/>
      <c r="B773" s="283"/>
      <c r="C773" s="283"/>
      <c r="D773" s="283"/>
      <c r="E773" s="283"/>
      <c r="F773" s="283"/>
      <c r="G773" s="283"/>
      <c r="K773" s="242">
        <v>772</v>
      </c>
      <c r="L773" s="242" t="str">
        <f t="shared" si="144"/>
        <v/>
      </c>
      <c r="M773" s="242" t="str">
        <f t="shared" si="145"/>
        <v/>
      </c>
      <c r="N773" s="242" t="str">
        <f t="shared" si="146"/>
        <v/>
      </c>
      <c r="O773" s="242" t="str">
        <f t="shared" si="147"/>
        <v/>
      </c>
      <c r="P773" s="242" t="str">
        <f t="shared" si="148"/>
        <v/>
      </c>
      <c r="Q773" s="242" t="str">
        <f t="shared" si="149"/>
        <v/>
      </c>
      <c r="R773" s="242" t="str">
        <f t="shared" si="150"/>
        <v/>
      </c>
      <c r="S773" s="242" t="str">
        <f t="shared" si="151"/>
        <v/>
      </c>
      <c r="T773" s="242" t="str">
        <f t="shared" si="152"/>
        <v/>
      </c>
      <c r="U773" s="242" t="str">
        <f t="shared" si="153"/>
        <v/>
      </c>
      <c r="V773" s="242" t="str">
        <f t="shared" si="154"/>
        <v/>
      </c>
      <c r="W773" s="242" t="str">
        <f t="shared" si="155"/>
        <v/>
      </c>
    </row>
    <row r="774" spans="1:23" x14ac:dyDescent="0.2">
      <c r="A774" s="283"/>
      <c r="B774" s="283"/>
      <c r="C774" s="283"/>
      <c r="D774" s="283"/>
      <c r="E774" s="283"/>
      <c r="F774" s="283"/>
      <c r="G774" s="283"/>
      <c r="K774" s="242">
        <v>773</v>
      </c>
      <c r="L774" s="242" t="str">
        <f t="shared" si="144"/>
        <v/>
      </c>
      <c r="M774" s="242" t="str">
        <f t="shared" si="145"/>
        <v/>
      </c>
      <c r="N774" s="242" t="str">
        <f t="shared" si="146"/>
        <v/>
      </c>
      <c r="O774" s="242" t="str">
        <f t="shared" si="147"/>
        <v/>
      </c>
      <c r="P774" s="242" t="str">
        <f t="shared" si="148"/>
        <v/>
      </c>
      <c r="Q774" s="242" t="str">
        <f t="shared" si="149"/>
        <v/>
      </c>
      <c r="R774" s="242" t="str">
        <f t="shared" si="150"/>
        <v/>
      </c>
      <c r="S774" s="242" t="str">
        <f t="shared" si="151"/>
        <v/>
      </c>
      <c r="T774" s="242" t="str">
        <f t="shared" si="152"/>
        <v/>
      </c>
      <c r="U774" s="242" t="str">
        <f t="shared" si="153"/>
        <v/>
      </c>
      <c r="V774" s="242" t="str">
        <f t="shared" si="154"/>
        <v/>
      </c>
      <c r="W774" s="242" t="str">
        <f t="shared" si="155"/>
        <v/>
      </c>
    </row>
    <row r="775" spans="1:23" x14ac:dyDescent="0.2">
      <c r="A775" s="283"/>
      <c r="B775" s="283"/>
      <c r="C775" s="283"/>
      <c r="D775" s="283"/>
      <c r="E775" s="283"/>
      <c r="F775" s="283"/>
      <c r="G775" s="283"/>
      <c r="K775" s="242">
        <v>774</v>
      </c>
      <c r="L775" s="242" t="str">
        <f t="shared" si="144"/>
        <v/>
      </c>
      <c r="M775" s="242" t="str">
        <f t="shared" si="145"/>
        <v/>
      </c>
      <c r="N775" s="242" t="str">
        <f t="shared" si="146"/>
        <v/>
      </c>
      <c r="O775" s="242" t="str">
        <f t="shared" si="147"/>
        <v/>
      </c>
      <c r="P775" s="242" t="str">
        <f t="shared" si="148"/>
        <v/>
      </c>
      <c r="Q775" s="242" t="str">
        <f t="shared" si="149"/>
        <v/>
      </c>
      <c r="R775" s="242" t="str">
        <f t="shared" si="150"/>
        <v/>
      </c>
      <c r="S775" s="242" t="str">
        <f t="shared" si="151"/>
        <v/>
      </c>
      <c r="T775" s="242" t="str">
        <f t="shared" si="152"/>
        <v/>
      </c>
      <c r="U775" s="242" t="str">
        <f t="shared" si="153"/>
        <v/>
      </c>
      <c r="V775" s="242" t="str">
        <f t="shared" si="154"/>
        <v/>
      </c>
      <c r="W775" s="242" t="str">
        <f t="shared" si="155"/>
        <v/>
      </c>
    </row>
    <row r="776" spans="1:23" x14ac:dyDescent="0.2">
      <c r="A776" s="283"/>
      <c r="B776" s="283"/>
      <c r="C776" s="283"/>
      <c r="D776" s="283"/>
      <c r="E776" s="283"/>
      <c r="F776" s="283"/>
      <c r="G776" s="283"/>
      <c r="K776" s="242">
        <v>775</v>
      </c>
      <c r="L776" s="242" t="str">
        <f t="shared" si="144"/>
        <v/>
      </c>
      <c r="M776" s="242" t="str">
        <f t="shared" si="145"/>
        <v/>
      </c>
      <c r="N776" s="242" t="str">
        <f t="shared" si="146"/>
        <v/>
      </c>
      <c r="O776" s="242" t="str">
        <f t="shared" si="147"/>
        <v/>
      </c>
      <c r="P776" s="242" t="str">
        <f t="shared" si="148"/>
        <v/>
      </c>
      <c r="Q776" s="242" t="str">
        <f t="shared" si="149"/>
        <v/>
      </c>
      <c r="R776" s="242" t="str">
        <f t="shared" si="150"/>
        <v/>
      </c>
      <c r="S776" s="242" t="str">
        <f t="shared" si="151"/>
        <v/>
      </c>
      <c r="T776" s="242" t="str">
        <f t="shared" si="152"/>
        <v/>
      </c>
      <c r="U776" s="242" t="str">
        <f t="shared" si="153"/>
        <v/>
      </c>
      <c r="V776" s="242" t="str">
        <f t="shared" si="154"/>
        <v/>
      </c>
      <c r="W776" s="242" t="str">
        <f t="shared" si="155"/>
        <v/>
      </c>
    </row>
    <row r="777" spans="1:23" x14ac:dyDescent="0.2">
      <c r="A777" s="283"/>
      <c r="B777" s="283"/>
      <c r="C777" s="283"/>
      <c r="D777" s="283"/>
      <c r="E777" s="283"/>
      <c r="F777" s="283"/>
      <c r="G777" s="283"/>
      <c r="K777" s="242">
        <v>776</v>
      </c>
      <c r="L777" s="242" t="str">
        <f t="shared" si="144"/>
        <v/>
      </c>
      <c r="M777" s="242" t="str">
        <f t="shared" si="145"/>
        <v/>
      </c>
      <c r="N777" s="242" t="str">
        <f t="shared" si="146"/>
        <v/>
      </c>
      <c r="O777" s="242" t="str">
        <f t="shared" si="147"/>
        <v/>
      </c>
      <c r="P777" s="242" t="str">
        <f t="shared" si="148"/>
        <v/>
      </c>
      <c r="Q777" s="242" t="str">
        <f t="shared" si="149"/>
        <v/>
      </c>
      <c r="R777" s="242" t="str">
        <f t="shared" si="150"/>
        <v/>
      </c>
      <c r="S777" s="242" t="str">
        <f t="shared" si="151"/>
        <v/>
      </c>
      <c r="T777" s="242" t="str">
        <f t="shared" si="152"/>
        <v/>
      </c>
      <c r="U777" s="242" t="str">
        <f t="shared" si="153"/>
        <v/>
      </c>
      <c r="V777" s="242" t="str">
        <f t="shared" si="154"/>
        <v/>
      </c>
      <c r="W777" s="242" t="str">
        <f t="shared" si="155"/>
        <v/>
      </c>
    </row>
    <row r="778" spans="1:23" x14ac:dyDescent="0.2">
      <c r="A778" s="283"/>
      <c r="B778" s="283"/>
      <c r="C778" s="283"/>
      <c r="D778" s="283"/>
      <c r="E778" s="283"/>
      <c r="F778" s="283"/>
      <c r="G778" s="283"/>
      <c r="K778" s="242">
        <v>777</v>
      </c>
      <c r="L778" s="242" t="str">
        <f t="shared" si="144"/>
        <v/>
      </c>
      <c r="M778" s="242" t="str">
        <f t="shared" si="145"/>
        <v/>
      </c>
      <c r="N778" s="242" t="str">
        <f t="shared" si="146"/>
        <v/>
      </c>
      <c r="O778" s="242" t="str">
        <f t="shared" si="147"/>
        <v/>
      </c>
      <c r="P778" s="242" t="str">
        <f t="shared" si="148"/>
        <v/>
      </c>
      <c r="Q778" s="242" t="str">
        <f t="shared" si="149"/>
        <v/>
      </c>
      <c r="R778" s="242" t="str">
        <f t="shared" si="150"/>
        <v/>
      </c>
      <c r="S778" s="242" t="str">
        <f t="shared" si="151"/>
        <v/>
      </c>
      <c r="T778" s="242" t="str">
        <f t="shared" si="152"/>
        <v/>
      </c>
      <c r="U778" s="242" t="str">
        <f t="shared" si="153"/>
        <v/>
      </c>
      <c r="V778" s="242" t="str">
        <f t="shared" si="154"/>
        <v/>
      </c>
      <c r="W778" s="242" t="str">
        <f t="shared" si="155"/>
        <v/>
      </c>
    </row>
    <row r="779" spans="1:23" x14ac:dyDescent="0.2">
      <c r="A779" s="283"/>
      <c r="B779" s="283"/>
      <c r="C779" s="283"/>
      <c r="D779" s="283"/>
      <c r="E779" s="283"/>
      <c r="F779" s="283"/>
      <c r="G779" s="283"/>
      <c r="K779" s="242">
        <v>778</v>
      </c>
      <c r="L779" s="242" t="str">
        <f t="shared" si="144"/>
        <v/>
      </c>
      <c r="M779" s="242" t="str">
        <f t="shared" si="145"/>
        <v/>
      </c>
      <c r="N779" s="242" t="str">
        <f t="shared" si="146"/>
        <v/>
      </c>
      <c r="O779" s="242" t="str">
        <f t="shared" si="147"/>
        <v/>
      </c>
      <c r="P779" s="242" t="str">
        <f t="shared" si="148"/>
        <v/>
      </c>
      <c r="Q779" s="242" t="str">
        <f t="shared" si="149"/>
        <v/>
      </c>
      <c r="R779" s="242" t="str">
        <f t="shared" si="150"/>
        <v/>
      </c>
      <c r="S779" s="242" t="str">
        <f t="shared" si="151"/>
        <v/>
      </c>
      <c r="T779" s="242" t="str">
        <f t="shared" si="152"/>
        <v/>
      </c>
      <c r="U779" s="242" t="str">
        <f t="shared" si="153"/>
        <v/>
      </c>
      <c r="V779" s="242" t="str">
        <f t="shared" si="154"/>
        <v/>
      </c>
      <c r="W779" s="242" t="str">
        <f t="shared" si="155"/>
        <v/>
      </c>
    </row>
    <row r="780" spans="1:23" x14ac:dyDescent="0.2">
      <c r="A780" s="283"/>
      <c r="B780" s="283"/>
      <c r="C780" s="283"/>
      <c r="D780" s="283"/>
      <c r="E780" s="283"/>
      <c r="F780" s="283"/>
      <c r="G780" s="283"/>
      <c r="K780" s="242">
        <v>779</v>
      </c>
      <c r="L780" s="242" t="str">
        <f t="shared" si="144"/>
        <v/>
      </c>
      <c r="M780" s="242" t="str">
        <f t="shared" si="145"/>
        <v/>
      </c>
      <c r="N780" s="242" t="str">
        <f t="shared" si="146"/>
        <v/>
      </c>
      <c r="O780" s="242" t="str">
        <f t="shared" si="147"/>
        <v/>
      </c>
      <c r="P780" s="242" t="str">
        <f t="shared" si="148"/>
        <v/>
      </c>
      <c r="Q780" s="242" t="str">
        <f t="shared" si="149"/>
        <v/>
      </c>
      <c r="R780" s="242" t="str">
        <f t="shared" si="150"/>
        <v/>
      </c>
      <c r="S780" s="242" t="str">
        <f t="shared" si="151"/>
        <v/>
      </c>
      <c r="T780" s="242" t="str">
        <f t="shared" si="152"/>
        <v/>
      </c>
      <c r="U780" s="242" t="str">
        <f t="shared" si="153"/>
        <v/>
      </c>
      <c r="V780" s="242" t="str">
        <f t="shared" si="154"/>
        <v/>
      </c>
      <c r="W780" s="242" t="str">
        <f t="shared" si="155"/>
        <v/>
      </c>
    </row>
    <row r="781" spans="1:23" x14ac:dyDescent="0.2">
      <c r="A781" s="283"/>
      <c r="B781" s="283"/>
      <c r="C781" s="283"/>
      <c r="D781" s="283"/>
      <c r="E781" s="283"/>
      <c r="F781" s="283"/>
      <c r="G781" s="283"/>
      <c r="K781" s="242">
        <v>780</v>
      </c>
      <c r="L781" s="242" t="str">
        <f t="shared" si="144"/>
        <v/>
      </c>
      <c r="M781" s="242" t="str">
        <f t="shared" si="145"/>
        <v/>
      </c>
      <c r="N781" s="242" t="str">
        <f t="shared" si="146"/>
        <v/>
      </c>
      <c r="O781" s="242" t="str">
        <f t="shared" si="147"/>
        <v/>
      </c>
      <c r="P781" s="242" t="str">
        <f t="shared" si="148"/>
        <v/>
      </c>
      <c r="Q781" s="242" t="str">
        <f t="shared" si="149"/>
        <v/>
      </c>
      <c r="R781" s="242" t="str">
        <f t="shared" si="150"/>
        <v/>
      </c>
      <c r="S781" s="242" t="str">
        <f t="shared" si="151"/>
        <v/>
      </c>
      <c r="T781" s="242" t="str">
        <f t="shared" si="152"/>
        <v/>
      </c>
      <c r="U781" s="242" t="str">
        <f t="shared" si="153"/>
        <v/>
      </c>
      <c r="V781" s="242" t="str">
        <f t="shared" si="154"/>
        <v/>
      </c>
      <c r="W781" s="242" t="str">
        <f t="shared" si="155"/>
        <v/>
      </c>
    </row>
    <row r="782" spans="1:23" x14ac:dyDescent="0.2">
      <c r="A782" s="283"/>
      <c r="B782" s="283"/>
      <c r="C782" s="283"/>
      <c r="D782" s="283"/>
      <c r="E782" s="283"/>
      <c r="F782" s="283"/>
      <c r="G782" s="283"/>
      <c r="K782" s="242">
        <v>781</v>
      </c>
      <c r="L782" s="242" t="str">
        <f t="shared" si="144"/>
        <v/>
      </c>
      <c r="M782" s="242" t="str">
        <f t="shared" si="145"/>
        <v/>
      </c>
      <c r="N782" s="242" t="str">
        <f t="shared" si="146"/>
        <v/>
      </c>
      <c r="O782" s="242" t="str">
        <f t="shared" si="147"/>
        <v/>
      </c>
      <c r="P782" s="242" t="str">
        <f t="shared" si="148"/>
        <v/>
      </c>
      <c r="Q782" s="242" t="str">
        <f t="shared" si="149"/>
        <v/>
      </c>
      <c r="R782" s="242" t="str">
        <f t="shared" si="150"/>
        <v/>
      </c>
      <c r="S782" s="242" t="str">
        <f t="shared" si="151"/>
        <v/>
      </c>
      <c r="T782" s="242" t="str">
        <f t="shared" si="152"/>
        <v/>
      </c>
      <c r="U782" s="242" t="str">
        <f t="shared" si="153"/>
        <v/>
      </c>
      <c r="V782" s="242" t="str">
        <f t="shared" si="154"/>
        <v/>
      </c>
      <c r="W782" s="242" t="str">
        <f t="shared" si="155"/>
        <v/>
      </c>
    </row>
    <row r="783" spans="1:23" x14ac:dyDescent="0.2">
      <c r="A783" s="283"/>
      <c r="B783" s="283"/>
      <c r="C783" s="283"/>
      <c r="D783" s="283"/>
      <c r="E783" s="283"/>
      <c r="F783" s="283"/>
      <c r="G783" s="283"/>
      <c r="K783" s="242">
        <v>782</v>
      </c>
      <c r="L783" s="242" t="str">
        <f t="shared" si="144"/>
        <v/>
      </c>
      <c r="M783" s="242" t="str">
        <f t="shared" si="145"/>
        <v/>
      </c>
      <c r="N783" s="242" t="str">
        <f t="shared" si="146"/>
        <v/>
      </c>
      <c r="O783" s="242" t="str">
        <f t="shared" si="147"/>
        <v/>
      </c>
      <c r="P783" s="242" t="str">
        <f t="shared" si="148"/>
        <v/>
      </c>
      <c r="Q783" s="242" t="str">
        <f t="shared" si="149"/>
        <v/>
      </c>
      <c r="R783" s="242" t="str">
        <f t="shared" si="150"/>
        <v/>
      </c>
      <c r="S783" s="242" t="str">
        <f t="shared" si="151"/>
        <v/>
      </c>
      <c r="T783" s="242" t="str">
        <f t="shared" si="152"/>
        <v/>
      </c>
      <c r="U783" s="242" t="str">
        <f t="shared" si="153"/>
        <v/>
      </c>
      <c r="V783" s="242" t="str">
        <f t="shared" si="154"/>
        <v/>
      </c>
      <c r="W783" s="242" t="str">
        <f t="shared" si="155"/>
        <v/>
      </c>
    </row>
    <row r="784" spans="1:23" x14ac:dyDescent="0.2">
      <c r="A784" s="283"/>
      <c r="B784" s="283"/>
      <c r="C784" s="283"/>
      <c r="D784" s="283"/>
      <c r="E784" s="283"/>
      <c r="F784" s="283"/>
      <c r="G784" s="283"/>
      <c r="K784" s="242">
        <v>783</v>
      </c>
      <c r="L784" s="242" t="str">
        <f t="shared" si="144"/>
        <v/>
      </c>
      <c r="M784" s="242" t="str">
        <f t="shared" si="145"/>
        <v/>
      </c>
      <c r="N784" s="242" t="str">
        <f t="shared" si="146"/>
        <v/>
      </c>
      <c r="O784" s="242" t="str">
        <f t="shared" si="147"/>
        <v/>
      </c>
      <c r="P784" s="242" t="str">
        <f t="shared" si="148"/>
        <v/>
      </c>
      <c r="Q784" s="242" t="str">
        <f t="shared" si="149"/>
        <v/>
      </c>
      <c r="R784" s="242" t="str">
        <f t="shared" si="150"/>
        <v/>
      </c>
      <c r="S784" s="242" t="str">
        <f t="shared" si="151"/>
        <v/>
      </c>
      <c r="T784" s="242" t="str">
        <f t="shared" si="152"/>
        <v/>
      </c>
      <c r="U784" s="242" t="str">
        <f t="shared" si="153"/>
        <v/>
      </c>
      <c r="V784" s="242" t="str">
        <f t="shared" si="154"/>
        <v/>
      </c>
      <c r="W784" s="242" t="str">
        <f t="shared" si="155"/>
        <v/>
      </c>
    </row>
    <row r="785" spans="1:23" x14ac:dyDescent="0.2">
      <c r="A785" s="283"/>
      <c r="B785" s="283"/>
      <c r="C785" s="283"/>
      <c r="D785" s="283"/>
      <c r="E785" s="283"/>
      <c r="F785" s="283"/>
      <c r="G785" s="283"/>
      <c r="K785" s="242">
        <v>784</v>
      </c>
      <c r="L785" s="242" t="str">
        <f t="shared" si="144"/>
        <v/>
      </c>
      <c r="M785" s="242" t="str">
        <f t="shared" si="145"/>
        <v/>
      </c>
      <c r="N785" s="242" t="str">
        <f t="shared" si="146"/>
        <v/>
      </c>
      <c r="O785" s="242" t="str">
        <f t="shared" si="147"/>
        <v/>
      </c>
      <c r="P785" s="242" t="str">
        <f t="shared" si="148"/>
        <v/>
      </c>
      <c r="Q785" s="242" t="str">
        <f t="shared" si="149"/>
        <v/>
      </c>
      <c r="R785" s="242" t="str">
        <f t="shared" si="150"/>
        <v/>
      </c>
      <c r="S785" s="242" t="str">
        <f t="shared" si="151"/>
        <v/>
      </c>
      <c r="T785" s="242" t="str">
        <f t="shared" si="152"/>
        <v/>
      </c>
      <c r="U785" s="242" t="str">
        <f t="shared" si="153"/>
        <v/>
      </c>
      <c r="V785" s="242" t="str">
        <f t="shared" si="154"/>
        <v/>
      </c>
      <c r="W785" s="242" t="str">
        <f t="shared" si="155"/>
        <v/>
      </c>
    </row>
    <row r="786" spans="1:23" x14ac:dyDescent="0.2">
      <c r="A786" s="283"/>
      <c r="B786" s="283"/>
      <c r="C786" s="283"/>
      <c r="D786" s="283"/>
      <c r="E786" s="283"/>
      <c r="F786" s="283"/>
      <c r="G786" s="283"/>
      <c r="K786" s="242">
        <v>785</v>
      </c>
      <c r="L786" s="242" t="str">
        <f t="shared" si="144"/>
        <v/>
      </c>
      <c r="M786" s="242" t="str">
        <f t="shared" si="145"/>
        <v/>
      </c>
      <c r="N786" s="242" t="str">
        <f t="shared" si="146"/>
        <v/>
      </c>
      <c r="O786" s="242" t="str">
        <f t="shared" si="147"/>
        <v/>
      </c>
      <c r="P786" s="242" t="str">
        <f t="shared" si="148"/>
        <v/>
      </c>
      <c r="Q786" s="242" t="str">
        <f t="shared" si="149"/>
        <v/>
      </c>
      <c r="R786" s="242" t="str">
        <f t="shared" si="150"/>
        <v/>
      </c>
      <c r="S786" s="242" t="str">
        <f t="shared" si="151"/>
        <v/>
      </c>
      <c r="T786" s="242" t="str">
        <f t="shared" si="152"/>
        <v/>
      </c>
      <c r="U786" s="242" t="str">
        <f t="shared" si="153"/>
        <v/>
      </c>
      <c r="V786" s="242" t="str">
        <f t="shared" si="154"/>
        <v/>
      </c>
      <c r="W786" s="242" t="str">
        <f t="shared" si="155"/>
        <v/>
      </c>
    </row>
    <row r="787" spans="1:23" x14ac:dyDescent="0.2">
      <c r="A787" s="283"/>
      <c r="B787" s="283"/>
      <c r="C787" s="283"/>
      <c r="D787" s="283"/>
      <c r="E787" s="283"/>
      <c r="F787" s="283"/>
      <c r="G787" s="283"/>
      <c r="K787" s="242">
        <v>786</v>
      </c>
      <c r="L787" s="242" t="str">
        <f t="shared" si="144"/>
        <v/>
      </c>
      <c r="M787" s="242" t="str">
        <f t="shared" si="145"/>
        <v/>
      </c>
      <c r="N787" s="242" t="str">
        <f t="shared" si="146"/>
        <v/>
      </c>
      <c r="O787" s="242" t="str">
        <f t="shared" si="147"/>
        <v/>
      </c>
      <c r="P787" s="242" t="str">
        <f t="shared" si="148"/>
        <v/>
      </c>
      <c r="Q787" s="242" t="str">
        <f t="shared" si="149"/>
        <v/>
      </c>
      <c r="R787" s="242" t="str">
        <f t="shared" si="150"/>
        <v/>
      </c>
      <c r="S787" s="242" t="str">
        <f t="shared" si="151"/>
        <v/>
      </c>
      <c r="T787" s="242" t="str">
        <f t="shared" si="152"/>
        <v/>
      </c>
      <c r="U787" s="242" t="str">
        <f t="shared" si="153"/>
        <v/>
      </c>
      <c r="V787" s="242" t="str">
        <f t="shared" si="154"/>
        <v/>
      </c>
      <c r="W787" s="242" t="str">
        <f t="shared" si="155"/>
        <v/>
      </c>
    </row>
    <row r="788" spans="1:23" x14ac:dyDescent="0.2">
      <c r="A788" s="283"/>
      <c r="B788" s="283"/>
      <c r="C788" s="283"/>
      <c r="D788" s="283"/>
      <c r="E788" s="283"/>
      <c r="F788" s="283"/>
      <c r="G788" s="283"/>
      <c r="K788" s="242">
        <v>787</v>
      </c>
      <c r="L788" s="242" t="str">
        <f t="shared" si="144"/>
        <v/>
      </c>
      <c r="M788" s="242" t="str">
        <f t="shared" si="145"/>
        <v/>
      </c>
      <c r="N788" s="242" t="str">
        <f t="shared" si="146"/>
        <v/>
      </c>
      <c r="O788" s="242" t="str">
        <f t="shared" si="147"/>
        <v/>
      </c>
      <c r="P788" s="242" t="str">
        <f t="shared" si="148"/>
        <v/>
      </c>
      <c r="Q788" s="242" t="str">
        <f t="shared" si="149"/>
        <v/>
      </c>
      <c r="R788" s="242" t="str">
        <f t="shared" si="150"/>
        <v/>
      </c>
      <c r="S788" s="242" t="str">
        <f t="shared" si="151"/>
        <v/>
      </c>
      <c r="T788" s="242" t="str">
        <f t="shared" si="152"/>
        <v/>
      </c>
      <c r="U788" s="242" t="str">
        <f t="shared" si="153"/>
        <v/>
      </c>
      <c r="V788" s="242" t="str">
        <f t="shared" si="154"/>
        <v/>
      </c>
      <c r="W788" s="242" t="str">
        <f t="shared" si="155"/>
        <v/>
      </c>
    </row>
    <row r="789" spans="1:23" x14ac:dyDescent="0.2">
      <c r="A789" s="283"/>
      <c r="B789" s="283"/>
      <c r="C789" s="283"/>
      <c r="D789" s="283"/>
      <c r="E789" s="283"/>
      <c r="F789" s="283"/>
      <c r="G789" s="283"/>
      <c r="K789" s="242">
        <v>788</v>
      </c>
      <c r="L789" s="242" t="str">
        <f t="shared" si="144"/>
        <v/>
      </c>
      <c r="M789" s="242" t="str">
        <f t="shared" si="145"/>
        <v/>
      </c>
      <c r="N789" s="242" t="str">
        <f t="shared" si="146"/>
        <v/>
      </c>
      <c r="O789" s="242" t="str">
        <f t="shared" si="147"/>
        <v/>
      </c>
      <c r="P789" s="242" t="str">
        <f t="shared" si="148"/>
        <v/>
      </c>
      <c r="Q789" s="242" t="str">
        <f t="shared" si="149"/>
        <v/>
      </c>
      <c r="R789" s="242" t="str">
        <f t="shared" si="150"/>
        <v/>
      </c>
      <c r="S789" s="242" t="str">
        <f t="shared" si="151"/>
        <v/>
      </c>
      <c r="T789" s="242" t="str">
        <f t="shared" si="152"/>
        <v/>
      </c>
      <c r="U789" s="242" t="str">
        <f t="shared" si="153"/>
        <v/>
      </c>
      <c r="V789" s="242" t="str">
        <f t="shared" si="154"/>
        <v/>
      </c>
      <c r="W789" s="242" t="str">
        <f t="shared" si="155"/>
        <v/>
      </c>
    </row>
    <row r="790" spans="1:23" x14ac:dyDescent="0.2">
      <c r="A790" s="283"/>
      <c r="B790" s="283"/>
      <c r="C790" s="283"/>
      <c r="D790" s="283"/>
      <c r="E790" s="283"/>
      <c r="F790" s="283"/>
      <c r="G790" s="283"/>
      <c r="K790" s="242">
        <v>789</v>
      </c>
      <c r="L790" s="242" t="str">
        <f t="shared" si="144"/>
        <v/>
      </c>
      <c r="M790" s="242" t="str">
        <f t="shared" si="145"/>
        <v/>
      </c>
      <c r="N790" s="242" t="str">
        <f t="shared" si="146"/>
        <v/>
      </c>
      <c r="O790" s="242" t="str">
        <f t="shared" si="147"/>
        <v/>
      </c>
      <c r="P790" s="242" t="str">
        <f t="shared" si="148"/>
        <v/>
      </c>
      <c r="Q790" s="242" t="str">
        <f t="shared" si="149"/>
        <v/>
      </c>
      <c r="R790" s="242" t="str">
        <f t="shared" si="150"/>
        <v/>
      </c>
      <c r="S790" s="242" t="str">
        <f t="shared" si="151"/>
        <v/>
      </c>
      <c r="T790" s="242" t="str">
        <f t="shared" si="152"/>
        <v/>
      </c>
      <c r="U790" s="242" t="str">
        <f t="shared" si="153"/>
        <v/>
      </c>
      <c r="V790" s="242" t="str">
        <f t="shared" si="154"/>
        <v/>
      </c>
      <c r="W790" s="242" t="str">
        <f t="shared" si="155"/>
        <v/>
      </c>
    </row>
    <row r="791" spans="1:23" x14ac:dyDescent="0.2">
      <c r="A791" s="283"/>
      <c r="B791" s="283"/>
      <c r="C791" s="283"/>
      <c r="D791" s="283"/>
      <c r="E791" s="283"/>
      <c r="F791" s="283"/>
      <c r="G791" s="283"/>
      <c r="K791" s="242">
        <v>790</v>
      </c>
      <c r="L791" s="242" t="str">
        <f t="shared" si="144"/>
        <v/>
      </c>
      <c r="M791" s="242" t="str">
        <f t="shared" si="145"/>
        <v/>
      </c>
      <c r="N791" s="242" t="str">
        <f t="shared" si="146"/>
        <v/>
      </c>
      <c r="O791" s="242" t="str">
        <f t="shared" si="147"/>
        <v/>
      </c>
      <c r="P791" s="242" t="str">
        <f t="shared" si="148"/>
        <v/>
      </c>
      <c r="Q791" s="242" t="str">
        <f t="shared" si="149"/>
        <v/>
      </c>
      <c r="R791" s="242" t="str">
        <f t="shared" si="150"/>
        <v/>
      </c>
      <c r="S791" s="242" t="str">
        <f t="shared" si="151"/>
        <v/>
      </c>
      <c r="T791" s="242" t="str">
        <f t="shared" si="152"/>
        <v/>
      </c>
      <c r="U791" s="242" t="str">
        <f t="shared" si="153"/>
        <v/>
      </c>
      <c r="V791" s="242" t="str">
        <f t="shared" si="154"/>
        <v/>
      </c>
      <c r="W791" s="242" t="str">
        <f t="shared" si="155"/>
        <v/>
      </c>
    </row>
    <row r="792" spans="1:23" x14ac:dyDescent="0.2">
      <c r="A792" s="283"/>
      <c r="B792" s="283"/>
      <c r="C792" s="283"/>
      <c r="D792" s="283"/>
      <c r="E792" s="283"/>
      <c r="F792" s="283"/>
      <c r="G792" s="283"/>
      <c r="K792" s="242">
        <v>791</v>
      </c>
      <c r="L792" s="242" t="str">
        <f t="shared" si="144"/>
        <v/>
      </c>
      <c r="M792" s="242" t="str">
        <f t="shared" si="145"/>
        <v/>
      </c>
      <c r="N792" s="242" t="str">
        <f t="shared" si="146"/>
        <v/>
      </c>
      <c r="O792" s="242" t="str">
        <f t="shared" si="147"/>
        <v/>
      </c>
      <c r="P792" s="242" t="str">
        <f t="shared" si="148"/>
        <v/>
      </c>
      <c r="Q792" s="242" t="str">
        <f t="shared" si="149"/>
        <v/>
      </c>
      <c r="R792" s="242" t="str">
        <f t="shared" si="150"/>
        <v/>
      </c>
      <c r="S792" s="242" t="str">
        <f t="shared" si="151"/>
        <v/>
      </c>
      <c r="T792" s="242" t="str">
        <f t="shared" si="152"/>
        <v/>
      </c>
      <c r="U792" s="242" t="str">
        <f t="shared" si="153"/>
        <v/>
      </c>
      <c r="V792" s="242" t="str">
        <f t="shared" si="154"/>
        <v/>
      </c>
      <c r="W792" s="242" t="str">
        <f t="shared" si="155"/>
        <v/>
      </c>
    </row>
    <row r="793" spans="1:23" x14ac:dyDescent="0.2">
      <c r="A793" s="283"/>
      <c r="B793" s="283"/>
      <c r="C793" s="283"/>
      <c r="D793" s="283"/>
      <c r="E793" s="283"/>
      <c r="F793" s="283"/>
      <c r="G793" s="283"/>
      <c r="K793" s="242">
        <v>792</v>
      </c>
      <c r="L793" s="242" t="str">
        <f t="shared" si="144"/>
        <v/>
      </c>
      <c r="M793" s="242" t="str">
        <f t="shared" si="145"/>
        <v/>
      </c>
      <c r="N793" s="242" t="str">
        <f t="shared" si="146"/>
        <v/>
      </c>
      <c r="O793" s="242" t="str">
        <f t="shared" si="147"/>
        <v/>
      </c>
      <c r="P793" s="242" t="str">
        <f t="shared" si="148"/>
        <v/>
      </c>
      <c r="Q793" s="242" t="str">
        <f t="shared" si="149"/>
        <v/>
      </c>
      <c r="R793" s="242" t="str">
        <f t="shared" si="150"/>
        <v/>
      </c>
      <c r="S793" s="242" t="str">
        <f t="shared" si="151"/>
        <v/>
      </c>
      <c r="T793" s="242" t="str">
        <f t="shared" si="152"/>
        <v/>
      </c>
      <c r="U793" s="242" t="str">
        <f t="shared" si="153"/>
        <v/>
      </c>
      <c r="V793" s="242" t="str">
        <f t="shared" si="154"/>
        <v/>
      </c>
      <c r="W793" s="242" t="str">
        <f t="shared" si="155"/>
        <v/>
      </c>
    </row>
    <row r="794" spans="1:23" x14ac:dyDescent="0.2">
      <c r="A794" s="283"/>
      <c r="B794" s="283"/>
      <c r="C794" s="283"/>
      <c r="D794" s="283"/>
      <c r="E794" s="283"/>
      <c r="F794" s="283"/>
      <c r="G794" s="283"/>
      <c r="K794" s="242">
        <v>793</v>
      </c>
      <c r="L794" s="242" t="str">
        <f t="shared" si="144"/>
        <v/>
      </c>
      <c r="M794" s="242" t="str">
        <f t="shared" si="145"/>
        <v/>
      </c>
      <c r="N794" s="242" t="str">
        <f t="shared" si="146"/>
        <v/>
      </c>
      <c r="O794" s="242" t="str">
        <f t="shared" si="147"/>
        <v/>
      </c>
      <c r="P794" s="242" t="str">
        <f t="shared" si="148"/>
        <v/>
      </c>
      <c r="Q794" s="242" t="str">
        <f t="shared" si="149"/>
        <v/>
      </c>
      <c r="R794" s="242" t="str">
        <f t="shared" si="150"/>
        <v/>
      </c>
      <c r="S794" s="242" t="str">
        <f t="shared" si="151"/>
        <v/>
      </c>
      <c r="T794" s="242" t="str">
        <f t="shared" si="152"/>
        <v/>
      </c>
      <c r="U794" s="242" t="str">
        <f t="shared" si="153"/>
        <v/>
      </c>
      <c r="V794" s="242" t="str">
        <f t="shared" si="154"/>
        <v/>
      </c>
      <c r="W794" s="242" t="str">
        <f t="shared" si="155"/>
        <v/>
      </c>
    </row>
    <row r="795" spans="1:23" x14ac:dyDescent="0.2">
      <c r="A795" s="283"/>
      <c r="B795" s="283"/>
      <c r="C795" s="283"/>
      <c r="D795" s="283"/>
      <c r="E795" s="283"/>
      <c r="F795" s="283"/>
      <c r="G795" s="283"/>
      <c r="K795" s="242">
        <v>794</v>
      </c>
      <c r="L795" s="242" t="str">
        <f t="shared" si="144"/>
        <v/>
      </c>
      <c r="M795" s="242" t="str">
        <f t="shared" si="145"/>
        <v/>
      </c>
      <c r="N795" s="242" t="str">
        <f t="shared" si="146"/>
        <v/>
      </c>
      <c r="O795" s="242" t="str">
        <f t="shared" si="147"/>
        <v/>
      </c>
      <c r="P795" s="242" t="str">
        <f t="shared" si="148"/>
        <v/>
      </c>
      <c r="Q795" s="242" t="str">
        <f t="shared" si="149"/>
        <v/>
      </c>
      <c r="R795" s="242" t="str">
        <f t="shared" si="150"/>
        <v/>
      </c>
      <c r="S795" s="242" t="str">
        <f t="shared" si="151"/>
        <v/>
      </c>
      <c r="T795" s="242" t="str">
        <f t="shared" si="152"/>
        <v/>
      </c>
      <c r="U795" s="242" t="str">
        <f t="shared" si="153"/>
        <v/>
      </c>
      <c r="V795" s="242" t="str">
        <f t="shared" si="154"/>
        <v/>
      </c>
      <c r="W795" s="242" t="str">
        <f t="shared" si="155"/>
        <v/>
      </c>
    </row>
    <row r="796" spans="1:23" x14ac:dyDescent="0.2">
      <c r="A796" s="283"/>
      <c r="B796" s="283"/>
      <c r="C796" s="283"/>
      <c r="D796" s="283"/>
      <c r="E796" s="283"/>
      <c r="F796" s="283"/>
      <c r="G796" s="283"/>
      <c r="K796" s="242">
        <v>795</v>
      </c>
      <c r="L796" s="242" t="str">
        <f t="shared" si="144"/>
        <v/>
      </c>
      <c r="M796" s="242" t="str">
        <f t="shared" si="145"/>
        <v/>
      </c>
      <c r="N796" s="242" t="str">
        <f t="shared" si="146"/>
        <v/>
      </c>
      <c r="O796" s="242" t="str">
        <f t="shared" si="147"/>
        <v/>
      </c>
      <c r="P796" s="242" t="str">
        <f t="shared" si="148"/>
        <v/>
      </c>
      <c r="Q796" s="242" t="str">
        <f t="shared" si="149"/>
        <v/>
      </c>
      <c r="R796" s="242" t="str">
        <f t="shared" si="150"/>
        <v/>
      </c>
      <c r="S796" s="242" t="str">
        <f t="shared" si="151"/>
        <v/>
      </c>
      <c r="T796" s="242" t="str">
        <f t="shared" si="152"/>
        <v/>
      </c>
      <c r="U796" s="242" t="str">
        <f t="shared" si="153"/>
        <v/>
      </c>
      <c r="V796" s="242" t="str">
        <f t="shared" si="154"/>
        <v/>
      </c>
      <c r="W796" s="242" t="str">
        <f t="shared" si="155"/>
        <v/>
      </c>
    </row>
    <row r="797" spans="1:23" x14ac:dyDescent="0.2">
      <c r="A797" s="283"/>
      <c r="B797" s="283"/>
      <c r="C797" s="283"/>
      <c r="D797" s="283"/>
      <c r="E797" s="283"/>
      <c r="F797" s="283"/>
      <c r="G797" s="283"/>
      <c r="K797" s="242">
        <v>796</v>
      </c>
      <c r="L797" s="242" t="str">
        <f t="shared" si="144"/>
        <v/>
      </c>
      <c r="M797" s="242" t="str">
        <f t="shared" si="145"/>
        <v/>
      </c>
      <c r="N797" s="242" t="str">
        <f t="shared" si="146"/>
        <v/>
      </c>
      <c r="O797" s="242" t="str">
        <f t="shared" si="147"/>
        <v/>
      </c>
      <c r="P797" s="242" t="str">
        <f t="shared" si="148"/>
        <v/>
      </c>
      <c r="Q797" s="242" t="str">
        <f t="shared" si="149"/>
        <v/>
      </c>
      <c r="R797" s="242" t="str">
        <f t="shared" si="150"/>
        <v/>
      </c>
      <c r="S797" s="242" t="str">
        <f t="shared" si="151"/>
        <v/>
      </c>
      <c r="T797" s="242" t="str">
        <f t="shared" si="152"/>
        <v/>
      </c>
      <c r="U797" s="242" t="str">
        <f t="shared" si="153"/>
        <v/>
      </c>
      <c r="V797" s="242" t="str">
        <f t="shared" si="154"/>
        <v/>
      </c>
      <c r="W797" s="242" t="str">
        <f t="shared" si="155"/>
        <v/>
      </c>
    </row>
    <row r="798" spans="1:23" x14ac:dyDescent="0.2">
      <c r="A798" s="283"/>
      <c r="B798" s="283"/>
      <c r="C798" s="283"/>
      <c r="D798" s="283"/>
      <c r="E798" s="283"/>
      <c r="F798" s="283"/>
      <c r="G798" s="283"/>
      <c r="K798" s="242">
        <v>797</v>
      </c>
      <c r="L798" s="242" t="str">
        <f t="shared" si="144"/>
        <v/>
      </c>
      <c r="M798" s="242" t="str">
        <f t="shared" si="145"/>
        <v/>
      </c>
      <c r="N798" s="242" t="str">
        <f t="shared" si="146"/>
        <v/>
      </c>
      <c r="O798" s="242" t="str">
        <f t="shared" si="147"/>
        <v/>
      </c>
      <c r="P798" s="242" t="str">
        <f t="shared" si="148"/>
        <v/>
      </c>
      <c r="Q798" s="242" t="str">
        <f t="shared" si="149"/>
        <v/>
      </c>
      <c r="R798" s="242" t="str">
        <f t="shared" si="150"/>
        <v/>
      </c>
      <c r="S798" s="242" t="str">
        <f t="shared" si="151"/>
        <v/>
      </c>
      <c r="T798" s="242" t="str">
        <f t="shared" si="152"/>
        <v/>
      </c>
      <c r="U798" s="242" t="str">
        <f t="shared" si="153"/>
        <v/>
      </c>
      <c r="V798" s="242" t="str">
        <f t="shared" si="154"/>
        <v/>
      </c>
      <c r="W798" s="242" t="str">
        <f t="shared" si="155"/>
        <v/>
      </c>
    </row>
    <row r="799" spans="1:23" x14ac:dyDescent="0.2">
      <c r="A799" s="283"/>
      <c r="B799" s="283"/>
      <c r="C799" s="283"/>
      <c r="D799" s="283"/>
      <c r="E799" s="283"/>
      <c r="F799" s="283"/>
      <c r="G799" s="283"/>
      <c r="K799" s="242">
        <v>798</v>
      </c>
      <c r="L799" s="242" t="str">
        <f t="shared" si="144"/>
        <v/>
      </c>
      <c r="M799" s="242" t="str">
        <f t="shared" si="145"/>
        <v/>
      </c>
      <c r="N799" s="242" t="str">
        <f t="shared" si="146"/>
        <v/>
      </c>
      <c r="O799" s="242" t="str">
        <f t="shared" si="147"/>
        <v/>
      </c>
      <c r="P799" s="242" t="str">
        <f t="shared" si="148"/>
        <v/>
      </c>
      <c r="Q799" s="242" t="str">
        <f t="shared" si="149"/>
        <v/>
      </c>
      <c r="R799" s="242" t="str">
        <f t="shared" si="150"/>
        <v/>
      </c>
      <c r="S799" s="242" t="str">
        <f t="shared" si="151"/>
        <v/>
      </c>
      <c r="T799" s="242" t="str">
        <f t="shared" si="152"/>
        <v/>
      </c>
      <c r="U799" s="242" t="str">
        <f t="shared" si="153"/>
        <v/>
      </c>
      <c r="V799" s="242" t="str">
        <f t="shared" si="154"/>
        <v/>
      </c>
      <c r="W799" s="242" t="str">
        <f t="shared" si="155"/>
        <v/>
      </c>
    </row>
    <row r="800" spans="1:23" x14ac:dyDescent="0.2">
      <c r="A800" s="283"/>
      <c r="B800" s="283"/>
      <c r="C800" s="283"/>
      <c r="D800" s="283"/>
      <c r="E800" s="283"/>
      <c r="F800" s="283"/>
      <c r="G800" s="283"/>
      <c r="K800" s="242">
        <v>799</v>
      </c>
      <c r="L800" s="242" t="str">
        <f t="shared" si="144"/>
        <v/>
      </c>
      <c r="M800" s="242" t="str">
        <f t="shared" si="145"/>
        <v/>
      </c>
      <c r="N800" s="242" t="str">
        <f t="shared" si="146"/>
        <v/>
      </c>
      <c r="O800" s="242" t="str">
        <f t="shared" si="147"/>
        <v/>
      </c>
      <c r="P800" s="242" t="str">
        <f t="shared" si="148"/>
        <v/>
      </c>
      <c r="Q800" s="242" t="str">
        <f t="shared" si="149"/>
        <v/>
      </c>
      <c r="R800" s="242" t="str">
        <f t="shared" si="150"/>
        <v/>
      </c>
      <c r="S800" s="242" t="str">
        <f t="shared" si="151"/>
        <v/>
      </c>
      <c r="T800" s="242" t="str">
        <f t="shared" si="152"/>
        <v/>
      </c>
      <c r="U800" s="242" t="str">
        <f t="shared" si="153"/>
        <v/>
      </c>
      <c r="V800" s="242" t="str">
        <f t="shared" si="154"/>
        <v/>
      </c>
      <c r="W800" s="242" t="str">
        <f t="shared" si="155"/>
        <v/>
      </c>
    </row>
    <row r="801" spans="1:23" x14ac:dyDescent="0.2">
      <c r="A801" s="283"/>
      <c r="B801" s="283"/>
      <c r="C801" s="283"/>
      <c r="D801" s="283"/>
      <c r="E801" s="283"/>
      <c r="F801" s="283"/>
      <c r="G801" s="283"/>
      <c r="K801" s="242">
        <v>800</v>
      </c>
      <c r="L801" s="242" t="str">
        <f t="shared" si="144"/>
        <v/>
      </c>
      <c r="M801" s="242" t="str">
        <f t="shared" si="145"/>
        <v/>
      </c>
      <c r="N801" s="242" t="str">
        <f t="shared" si="146"/>
        <v/>
      </c>
      <c r="O801" s="242" t="str">
        <f t="shared" si="147"/>
        <v/>
      </c>
      <c r="P801" s="242" t="str">
        <f t="shared" si="148"/>
        <v/>
      </c>
      <c r="Q801" s="242" t="str">
        <f t="shared" si="149"/>
        <v/>
      </c>
      <c r="R801" s="242" t="str">
        <f t="shared" si="150"/>
        <v/>
      </c>
      <c r="S801" s="242" t="str">
        <f t="shared" si="151"/>
        <v/>
      </c>
      <c r="T801" s="242" t="str">
        <f t="shared" si="152"/>
        <v/>
      </c>
      <c r="U801" s="242" t="str">
        <f t="shared" si="153"/>
        <v/>
      </c>
      <c r="V801" s="242" t="str">
        <f t="shared" si="154"/>
        <v/>
      </c>
      <c r="W801" s="242" t="str">
        <f t="shared" si="155"/>
        <v/>
      </c>
    </row>
    <row r="802" spans="1:23" x14ac:dyDescent="0.2">
      <c r="A802" s="283"/>
      <c r="B802" s="283"/>
      <c r="C802" s="283"/>
      <c r="D802" s="283"/>
      <c r="E802" s="283"/>
      <c r="F802" s="283"/>
      <c r="G802" s="283"/>
      <c r="K802" s="242">
        <v>801</v>
      </c>
      <c r="L802" s="242" t="str">
        <f t="shared" si="144"/>
        <v/>
      </c>
      <c r="M802" s="242" t="str">
        <f t="shared" si="145"/>
        <v/>
      </c>
      <c r="N802" s="242" t="str">
        <f t="shared" si="146"/>
        <v/>
      </c>
      <c r="O802" s="242" t="str">
        <f t="shared" si="147"/>
        <v/>
      </c>
      <c r="P802" s="242" t="str">
        <f t="shared" si="148"/>
        <v/>
      </c>
      <c r="Q802" s="242" t="str">
        <f t="shared" si="149"/>
        <v/>
      </c>
      <c r="R802" s="242" t="str">
        <f t="shared" si="150"/>
        <v/>
      </c>
      <c r="S802" s="242" t="str">
        <f t="shared" si="151"/>
        <v/>
      </c>
      <c r="T802" s="242" t="str">
        <f t="shared" si="152"/>
        <v/>
      </c>
      <c r="U802" s="242" t="str">
        <f t="shared" si="153"/>
        <v/>
      </c>
      <c r="V802" s="242" t="str">
        <f t="shared" si="154"/>
        <v/>
      </c>
      <c r="W802" s="242" t="str">
        <f t="shared" si="155"/>
        <v/>
      </c>
    </row>
    <row r="803" spans="1:23" x14ac:dyDescent="0.2">
      <c r="A803" s="283"/>
      <c r="B803" s="283"/>
      <c r="C803" s="283"/>
      <c r="D803" s="283"/>
      <c r="E803" s="283"/>
      <c r="F803" s="283"/>
      <c r="G803" s="283"/>
      <c r="K803" s="242">
        <v>802</v>
      </c>
      <c r="L803" s="242" t="str">
        <f t="shared" si="144"/>
        <v/>
      </c>
      <c r="M803" s="242" t="str">
        <f t="shared" si="145"/>
        <v/>
      </c>
      <c r="N803" s="242" t="str">
        <f t="shared" si="146"/>
        <v/>
      </c>
      <c r="O803" s="242" t="str">
        <f t="shared" si="147"/>
        <v/>
      </c>
      <c r="P803" s="242" t="str">
        <f t="shared" si="148"/>
        <v/>
      </c>
      <c r="Q803" s="242" t="str">
        <f t="shared" si="149"/>
        <v/>
      </c>
      <c r="R803" s="242" t="str">
        <f t="shared" si="150"/>
        <v/>
      </c>
      <c r="S803" s="242" t="str">
        <f t="shared" si="151"/>
        <v/>
      </c>
      <c r="T803" s="242" t="str">
        <f t="shared" si="152"/>
        <v/>
      </c>
      <c r="U803" s="242" t="str">
        <f t="shared" si="153"/>
        <v/>
      </c>
      <c r="V803" s="242" t="str">
        <f t="shared" si="154"/>
        <v/>
      </c>
      <c r="W803" s="242" t="str">
        <f t="shared" si="155"/>
        <v/>
      </c>
    </row>
    <row r="804" spans="1:23" x14ac:dyDescent="0.2">
      <c r="A804" s="283"/>
      <c r="B804" s="283"/>
      <c r="C804" s="283"/>
      <c r="D804" s="283"/>
      <c r="E804" s="283"/>
      <c r="F804" s="283"/>
      <c r="G804" s="283"/>
      <c r="K804" s="242">
        <v>803</v>
      </c>
      <c r="L804" s="242" t="str">
        <f t="shared" si="144"/>
        <v/>
      </c>
      <c r="M804" s="242" t="str">
        <f t="shared" si="145"/>
        <v/>
      </c>
      <c r="N804" s="242" t="str">
        <f t="shared" si="146"/>
        <v/>
      </c>
      <c r="O804" s="242" t="str">
        <f t="shared" si="147"/>
        <v/>
      </c>
      <c r="P804" s="242" t="str">
        <f t="shared" si="148"/>
        <v/>
      </c>
      <c r="Q804" s="242" t="str">
        <f t="shared" si="149"/>
        <v/>
      </c>
      <c r="R804" s="242" t="str">
        <f t="shared" si="150"/>
        <v/>
      </c>
      <c r="S804" s="242" t="str">
        <f t="shared" si="151"/>
        <v/>
      </c>
      <c r="T804" s="242" t="str">
        <f t="shared" si="152"/>
        <v/>
      </c>
      <c r="U804" s="242" t="str">
        <f t="shared" si="153"/>
        <v/>
      </c>
      <c r="V804" s="242" t="str">
        <f t="shared" si="154"/>
        <v/>
      </c>
      <c r="W804" s="242" t="str">
        <f t="shared" si="155"/>
        <v/>
      </c>
    </row>
    <row r="805" spans="1:23" x14ac:dyDescent="0.2">
      <c r="A805" s="283"/>
      <c r="B805" s="283"/>
      <c r="C805" s="283"/>
      <c r="D805" s="283"/>
      <c r="E805" s="283"/>
      <c r="F805" s="283"/>
      <c r="G805" s="283"/>
      <c r="K805" s="242">
        <v>804</v>
      </c>
      <c r="L805" s="242" t="str">
        <f t="shared" si="144"/>
        <v/>
      </c>
      <c r="M805" s="242" t="str">
        <f t="shared" si="145"/>
        <v/>
      </c>
      <c r="N805" s="242" t="str">
        <f t="shared" si="146"/>
        <v/>
      </c>
      <c r="O805" s="242" t="str">
        <f t="shared" si="147"/>
        <v/>
      </c>
      <c r="P805" s="242" t="str">
        <f t="shared" si="148"/>
        <v/>
      </c>
      <c r="Q805" s="242" t="str">
        <f t="shared" si="149"/>
        <v/>
      </c>
      <c r="R805" s="242" t="str">
        <f t="shared" si="150"/>
        <v/>
      </c>
      <c r="S805" s="242" t="str">
        <f t="shared" si="151"/>
        <v/>
      </c>
      <c r="T805" s="242" t="str">
        <f t="shared" si="152"/>
        <v/>
      </c>
      <c r="U805" s="242" t="str">
        <f t="shared" si="153"/>
        <v/>
      </c>
      <c r="V805" s="242" t="str">
        <f t="shared" si="154"/>
        <v/>
      </c>
      <c r="W805" s="242" t="str">
        <f t="shared" si="155"/>
        <v/>
      </c>
    </row>
    <row r="806" spans="1:23" x14ac:dyDescent="0.2">
      <c r="A806" s="283"/>
      <c r="B806" s="283"/>
      <c r="C806" s="283"/>
      <c r="D806" s="283"/>
      <c r="E806" s="283"/>
      <c r="F806" s="283"/>
      <c r="G806" s="283"/>
      <c r="K806" s="242">
        <v>805</v>
      </c>
      <c r="L806" s="242" t="str">
        <f t="shared" si="144"/>
        <v/>
      </c>
      <c r="M806" s="242" t="str">
        <f t="shared" si="145"/>
        <v/>
      </c>
      <c r="N806" s="242" t="str">
        <f t="shared" si="146"/>
        <v/>
      </c>
      <c r="O806" s="242" t="str">
        <f t="shared" si="147"/>
        <v/>
      </c>
      <c r="P806" s="242" t="str">
        <f t="shared" si="148"/>
        <v/>
      </c>
      <c r="Q806" s="242" t="str">
        <f t="shared" si="149"/>
        <v/>
      </c>
      <c r="R806" s="242" t="str">
        <f t="shared" si="150"/>
        <v/>
      </c>
      <c r="S806" s="242" t="str">
        <f t="shared" si="151"/>
        <v/>
      </c>
      <c r="T806" s="242" t="str">
        <f t="shared" si="152"/>
        <v/>
      </c>
      <c r="U806" s="242" t="str">
        <f t="shared" si="153"/>
        <v/>
      </c>
      <c r="V806" s="242" t="str">
        <f t="shared" si="154"/>
        <v/>
      </c>
      <c r="W806" s="242" t="str">
        <f t="shared" si="155"/>
        <v/>
      </c>
    </row>
    <row r="807" spans="1:23" x14ac:dyDescent="0.2">
      <c r="A807" s="283"/>
      <c r="B807" s="283"/>
      <c r="C807" s="283"/>
      <c r="D807" s="283"/>
      <c r="E807" s="283"/>
      <c r="F807" s="283"/>
      <c r="G807" s="283"/>
      <c r="K807" s="242">
        <v>806</v>
      </c>
      <c r="L807" s="242" t="str">
        <f t="shared" si="144"/>
        <v/>
      </c>
      <c r="M807" s="242" t="str">
        <f t="shared" si="145"/>
        <v/>
      </c>
      <c r="N807" s="242" t="str">
        <f t="shared" si="146"/>
        <v/>
      </c>
      <c r="O807" s="242" t="str">
        <f t="shared" si="147"/>
        <v/>
      </c>
      <c r="P807" s="242" t="str">
        <f t="shared" si="148"/>
        <v/>
      </c>
      <c r="Q807" s="242" t="str">
        <f t="shared" si="149"/>
        <v/>
      </c>
      <c r="R807" s="242" t="str">
        <f t="shared" si="150"/>
        <v/>
      </c>
      <c r="S807" s="242" t="str">
        <f t="shared" si="151"/>
        <v/>
      </c>
      <c r="T807" s="242" t="str">
        <f t="shared" si="152"/>
        <v/>
      </c>
      <c r="U807" s="242" t="str">
        <f t="shared" si="153"/>
        <v/>
      </c>
      <c r="V807" s="242" t="str">
        <f t="shared" si="154"/>
        <v/>
      </c>
      <c r="W807" s="242" t="str">
        <f t="shared" si="155"/>
        <v/>
      </c>
    </row>
    <row r="808" spans="1:23" x14ac:dyDescent="0.2">
      <c r="A808" s="283"/>
      <c r="B808" s="283"/>
      <c r="C808" s="283"/>
      <c r="D808" s="283"/>
      <c r="E808" s="283"/>
      <c r="F808" s="283"/>
      <c r="G808" s="283"/>
      <c r="K808" s="242">
        <v>807</v>
      </c>
      <c r="L808" s="242" t="str">
        <f t="shared" si="144"/>
        <v/>
      </c>
      <c r="M808" s="242" t="str">
        <f t="shared" si="145"/>
        <v/>
      </c>
      <c r="N808" s="242" t="str">
        <f t="shared" si="146"/>
        <v/>
      </c>
      <c r="O808" s="242" t="str">
        <f t="shared" si="147"/>
        <v/>
      </c>
      <c r="P808" s="242" t="str">
        <f t="shared" si="148"/>
        <v/>
      </c>
      <c r="Q808" s="242" t="str">
        <f t="shared" si="149"/>
        <v/>
      </c>
      <c r="R808" s="242" t="str">
        <f t="shared" si="150"/>
        <v/>
      </c>
      <c r="S808" s="242" t="str">
        <f t="shared" si="151"/>
        <v/>
      </c>
      <c r="T808" s="242" t="str">
        <f t="shared" si="152"/>
        <v/>
      </c>
      <c r="U808" s="242" t="str">
        <f t="shared" si="153"/>
        <v/>
      </c>
      <c r="V808" s="242" t="str">
        <f t="shared" si="154"/>
        <v/>
      </c>
      <c r="W808" s="242" t="str">
        <f t="shared" si="155"/>
        <v/>
      </c>
    </row>
    <row r="809" spans="1:23" x14ac:dyDescent="0.2">
      <c r="A809" s="283"/>
      <c r="B809" s="283"/>
      <c r="C809" s="283"/>
      <c r="D809" s="283"/>
      <c r="E809" s="283"/>
      <c r="F809" s="283"/>
      <c r="G809" s="283"/>
      <c r="K809" s="242">
        <v>808</v>
      </c>
      <c r="L809" s="242" t="str">
        <f t="shared" si="144"/>
        <v/>
      </c>
      <c r="M809" s="242" t="str">
        <f t="shared" si="145"/>
        <v/>
      </c>
      <c r="N809" s="242" t="str">
        <f t="shared" si="146"/>
        <v/>
      </c>
      <c r="O809" s="242" t="str">
        <f t="shared" si="147"/>
        <v/>
      </c>
      <c r="P809" s="242" t="str">
        <f t="shared" si="148"/>
        <v/>
      </c>
      <c r="Q809" s="242" t="str">
        <f t="shared" si="149"/>
        <v/>
      </c>
      <c r="R809" s="242" t="str">
        <f t="shared" si="150"/>
        <v/>
      </c>
      <c r="S809" s="242" t="str">
        <f t="shared" si="151"/>
        <v/>
      </c>
      <c r="T809" s="242" t="str">
        <f t="shared" si="152"/>
        <v/>
      </c>
      <c r="U809" s="242" t="str">
        <f t="shared" si="153"/>
        <v/>
      </c>
      <c r="V809" s="242" t="str">
        <f t="shared" si="154"/>
        <v/>
      </c>
      <c r="W809" s="242" t="str">
        <f t="shared" si="155"/>
        <v/>
      </c>
    </row>
    <row r="810" spans="1:23" x14ac:dyDescent="0.2">
      <c r="A810" s="283"/>
      <c r="B810" s="283"/>
      <c r="C810" s="283"/>
      <c r="D810" s="283"/>
      <c r="E810" s="283"/>
      <c r="F810" s="283"/>
      <c r="G810" s="283"/>
      <c r="K810" s="242">
        <v>809</v>
      </c>
      <c r="L810" s="242" t="str">
        <f t="shared" si="144"/>
        <v/>
      </c>
      <c r="M810" s="242" t="str">
        <f t="shared" si="145"/>
        <v/>
      </c>
      <c r="N810" s="242" t="str">
        <f t="shared" si="146"/>
        <v/>
      </c>
      <c r="O810" s="242" t="str">
        <f t="shared" si="147"/>
        <v/>
      </c>
      <c r="P810" s="242" t="str">
        <f t="shared" si="148"/>
        <v/>
      </c>
      <c r="Q810" s="242" t="str">
        <f t="shared" si="149"/>
        <v/>
      </c>
      <c r="R810" s="242" t="str">
        <f t="shared" si="150"/>
        <v/>
      </c>
      <c r="S810" s="242" t="str">
        <f t="shared" si="151"/>
        <v/>
      </c>
      <c r="T810" s="242" t="str">
        <f t="shared" si="152"/>
        <v/>
      </c>
      <c r="U810" s="242" t="str">
        <f t="shared" si="153"/>
        <v/>
      </c>
      <c r="V810" s="242" t="str">
        <f t="shared" si="154"/>
        <v/>
      </c>
      <c r="W810" s="242" t="str">
        <f t="shared" si="155"/>
        <v/>
      </c>
    </row>
    <row r="811" spans="1:23" x14ac:dyDescent="0.2">
      <c r="A811" s="283"/>
      <c r="B811" s="283"/>
      <c r="C811" s="283"/>
      <c r="D811" s="283"/>
      <c r="E811" s="283"/>
      <c r="F811" s="283"/>
      <c r="G811" s="283"/>
      <c r="K811" s="242">
        <v>810</v>
      </c>
      <c r="L811" s="242" t="str">
        <f t="shared" si="144"/>
        <v/>
      </c>
      <c r="M811" s="242" t="str">
        <f t="shared" si="145"/>
        <v/>
      </c>
      <c r="N811" s="242" t="str">
        <f t="shared" si="146"/>
        <v/>
      </c>
      <c r="O811" s="242" t="str">
        <f t="shared" si="147"/>
        <v/>
      </c>
      <c r="P811" s="242" t="str">
        <f t="shared" si="148"/>
        <v/>
      </c>
      <c r="Q811" s="242" t="str">
        <f t="shared" si="149"/>
        <v/>
      </c>
      <c r="R811" s="242" t="str">
        <f t="shared" si="150"/>
        <v/>
      </c>
      <c r="S811" s="242" t="str">
        <f t="shared" si="151"/>
        <v/>
      </c>
      <c r="T811" s="242" t="str">
        <f t="shared" si="152"/>
        <v/>
      </c>
      <c r="U811" s="242" t="str">
        <f t="shared" si="153"/>
        <v/>
      </c>
      <c r="V811" s="242" t="str">
        <f t="shared" si="154"/>
        <v/>
      </c>
      <c r="W811" s="242" t="str">
        <f t="shared" si="155"/>
        <v/>
      </c>
    </row>
    <row r="812" spans="1:23" x14ac:dyDescent="0.2">
      <c r="A812" s="283"/>
      <c r="B812" s="283"/>
      <c r="C812" s="283"/>
      <c r="D812" s="283"/>
      <c r="E812" s="283"/>
      <c r="F812" s="283"/>
      <c r="G812" s="283"/>
      <c r="K812" s="242">
        <v>811</v>
      </c>
      <c r="L812" s="242" t="str">
        <f t="shared" si="144"/>
        <v/>
      </c>
      <c r="M812" s="242" t="str">
        <f t="shared" si="145"/>
        <v/>
      </c>
      <c r="N812" s="242" t="str">
        <f t="shared" si="146"/>
        <v/>
      </c>
      <c r="O812" s="242" t="str">
        <f t="shared" si="147"/>
        <v/>
      </c>
      <c r="P812" s="242" t="str">
        <f t="shared" si="148"/>
        <v/>
      </c>
      <c r="Q812" s="242" t="str">
        <f t="shared" si="149"/>
        <v/>
      </c>
      <c r="R812" s="242" t="str">
        <f t="shared" si="150"/>
        <v/>
      </c>
      <c r="S812" s="242" t="str">
        <f t="shared" si="151"/>
        <v/>
      </c>
      <c r="T812" s="242" t="str">
        <f t="shared" si="152"/>
        <v/>
      </c>
      <c r="U812" s="242" t="str">
        <f t="shared" si="153"/>
        <v/>
      </c>
      <c r="V812" s="242" t="str">
        <f t="shared" si="154"/>
        <v/>
      </c>
      <c r="W812" s="242" t="str">
        <f t="shared" si="155"/>
        <v/>
      </c>
    </row>
    <row r="813" spans="1:23" x14ac:dyDescent="0.2">
      <c r="A813" s="283"/>
      <c r="B813" s="283"/>
      <c r="C813" s="283"/>
      <c r="D813" s="283"/>
      <c r="E813" s="283"/>
      <c r="F813" s="283"/>
      <c r="G813" s="283"/>
      <c r="K813" s="242">
        <v>812</v>
      </c>
      <c r="L813" s="242" t="str">
        <f t="shared" si="144"/>
        <v/>
      </c>
      <c r="M813" s="242" t="str">
        <f t="shared" si="145"/>
        <v/>
      </c>
      <c r="N813" s="242" t="str">
        <f t="shared" si="146"/>
        <v/>
      </c>
      <c r="O813" s="242" t="str">
        <f t="shared" si="147"/>
        <v/>
      </c>
      <c r="P813" s="242" t="str">
        <f t="shared" si="148"/>
        <v/>
      </c>
      <c r="Q813" s="242" t="str">
        <f t="shared" si="149"/>
        <v/>
      </c>
      <c r="R813" s="242" t="str">
        <f t="shared" si="150"/>
        <v/>
      </c>
      <c r="S813" s="242" t="str">
        <f t="shared" si="151"/>
        <v/>
      </c>
      <c r="T813" s="242" t="str">
        <f t="shared" si="152"/>
        <v/>
      </c>
      <c r="U813" s="242" t="str">
        <f t="shared" si="153"/>
        <v/>
      </c>
      <c r="V813" s="242" t="str">
        <f t="shared" si="154"/>
        <v/>
      </c>
      <c r="W813" s="242" t="str">
        <f t="shared" si="155"/>
        <v/>
      </c>
    </row>
    <row r="814" spans="1:23" x14ac:dyDescent="0.2">
      <c r="A814" s="283"/>
      <c r="B814" s="283"/>
      <c r="C814" s="283"/>
      <c r="D814" s="283"/>
      <c r="E814" s="283"/>
      <c r="F814" s="283"/>
      <c r="G814" s="283"/>
      <c r="K814" s="242">
        <v>813</v>
      </c>
      <c r="L814" s="242" t="str">
        <f t="shared" si="144"/>
        <v/>
      </c>
      <c r="M814" s="242" t="str">
        <f t="shared" si="145"/>
        <v/>
      </c>
      <c r="N814" s="242" t="str">
        <f t="shared" si="146"/>
        <v/>
      </c>
      <c r="O814" s="242" t="str">
        <f t="shared" si="147"/>
        <v/>
      </c>
      <c r="P814" s="242" t="str">
        <f t="shared" si="148"/>
        <v/>
      </c>
      <c r="Q814" s="242" t="str">
        <f t="shared" si="149"/>
        <v/>
      </c>
      <c r="R814" s="242" t="str">
        <f t="shared" si="150"/>
        <v/>
      </c>
      <c r="S814" s="242" t="str">
        <f t="shared" si="151"/>
        <v/>
      </c>
      <c r="T814" s="242" t="str">
        <f t="shared" si="152"/>
        <v/>
      </c>
      <c r="U814" s="242" t="str">
        <f t="shared" si="153"/>
        <v/>
      </c>
      <c r="V814" s="242" t="str">
        <f t="shared" si="154"/>
        <v/>
      </c>
      <c r="W814" s="242" t="str">
        <f t="shared" si="155"/>
        <v/>
      </c>
    </row>
    <row r="815" spans="1:23" x14ac:dyDescent="0.2">
      <c r="A815" s="283"/>
      <c r="B815" s="283"/>
      <c r="C815" s="283"/>
      <c r="D815" s="283"/>
      <c r="E815" s="283"/>
      <c r="F815" s="283"/>
      <c r="G815" s="283"/>
      <c r="K815" s="242">
        <v>814</v>
      </c>
      <c r="L815" s="242" t="str">
        <f t="shared" si="144"/>
        <v/>
      </c>
      <c r="M815" s="242" t="str">
        <f t="shared" si="145"/>
        <v/>
      </c>
      <c r="N815" s="242" t="str">
        <f t="shared" si="146"/>
        <v/>
      </c>
      <c r="O815" s="242" t="str">
        <f t="shared" si="147"/>
        <v/>
      </c>
      <c r="P815" s="242" t="str">
        <f t="shared" si="148"/>
        <v/>
      </c>
      <c r="Q815" s="242" t="str">
        <f t="shared" si="149"/>
        <v/>
      </c>
      <c r="R815" s="242" t="str">
        <f t="shared" si="150"/>
        <v/>
      </c>
      <c r="S815" s="242" t="str">
        <f t="shared" si="151"/>
        <v/>
      </c>
      <c r="T815" s="242" t="str">
        <f t="shared" si="152"/>
        <v/>
      </c>
      <c r="U815" s="242" t="str">
        <f t="shared" si="153"/>
        <v/>
      </c>
      <c r="V815" s="242" t="str">
        <f t="shared" si="154"/>
        <v/>
      </c>
      <c r="W815" s="242" t="str">
        <f t="shared" si="155"/>
        <v/>
      </c>
    </row>
    <row r="816" spans="1:23" x14ac:dyDescent="0.2">
      <c r="A816" s="283"/>
      <c r="B816" s="283"/>
      <c r="C816" s="283"/>
      <c r="D816" s="283"/>
      <c r="E816" s="283"/>
      <c r="F816" s="283"/>
      <c r="G816" s="283"/>
      <c r="K816" s="242">
        <v>815</v>
      </c>
      <c r="L816" s="242" t="str">
        <f t="shared" si="144"/>
        <v/>
      </c>
      <c r="M816" s="242" t="str">
        <f t="shared" si="145"/>
        <v/>
      </c>
      <c r="N816" s="242" t="str">
        <f t="shared" si="146"/>
        <v/>
      </c>
      <c r="O816" s="242" t="str">
        <f t="shared" si="147"/>
        <v/>
      </c>
      <c r="P816" s="242" t="str">
        <f t="shared" si="148"/>
        <v/>
      </c>
      <c r="Q816" s="242" t="str">
        <f t="shared" si="149"/>
        <v/>
      </c>
      <c r="R816" s="242" t="str">
        <f t="shared" si="150"/>
        <v/>
      </c>
      <c r="S816" s="242" t="str">
        <f t="shared" si="151"/>
        <v/>
      </c>
      <c r="T816" s="242" t="str">
        <f t="shared" si="152"/>
        <v/>
      </c>
      <c r="U816" s="242" t="str">
        <f t="shared" si="153"/>
        <v/>
      </c>
      <c r="V816" s="242" t="str">
        <f t="shared" si="154"/>
        <v/>
      </c>
      <c r="W816" s="242" t="str">
        <f t="shared" si="155"/>
        <v/>
      </c>
    </row>
    <row r="817" spans="1:23" x14ac:dyDescent="0.2">
      <c r="A817" s="283"/>
      <c r="B817" s="283"/>
      <c r="C817" s="283"/>
      <c r="D817" s="283"/>
      <c r="E817" s="283"/>
      <c r="F817" s="283"/>
      <c r="G817" s="283"/>
      <c r="K817" s="242">
        <v>816</v>
      </c>
      <c r="L817" s="242" t="str">
        <f t="shared" si="144"/>
        <v/>
      </c>
      <c r="M817" s="242" t="str">
        <f t="shared" si="145"/>
        <v/>
      </c>
      <c r="N817" s="242" t="str">
        <f t="shared" si="146"/>
        <v/>
      </c>
      <c r="O817" s="242" t="str">
        <f t="shared" si="147"/>
        <v/>
      </c>
      <c r="P817" s="242" t="str">
        <f t="shared" si="148"/>
        <v/>
      </c>
      <c r="Q817" s="242" t="str">
        <f t="shared" si="149"/>
        <v/>
      </c>
      <c r="R817" s="242" t="str">
        <f t="shared" si="150"/>
        <v/>
      </c>
      <c r="S817" s="242" t="str">
        <f t="shared" si="151"/>
        <v/>
      </c>
      <c r="T817" s="242" t="str">
        <f t="shared" si="152"/>
        <v/>
      </c>
      <c r="U817" s="242" t="str">
        <f t="shared" si="153"/>
        <v/>
      </c>
      <c r="V817" s="242" t="str">
        <f t="shared" si="154"/>
        <v/>
      </c>
      <c r="W817" s="242" t="str">
        <f t="shared" si="155"/>
        <v/>
      </c>
    </row>
    <row r="818" spans="1:23" x14ac:dyDescent="0.2">
      <c r="A818" s="283"/>
      <c r="B818" s="283"/>
      <c r="C818" s="283"/>
      <c r="D818" s="283"/>
      <c r="E818" s="283"/>
      <c r="F818" s="283"/>
      <c r="G818" s="283"/>
      <c r="K818" s="242">
        <v>817</v>
      </c>
      <c r="L818" s="242" t="str">
        <f t="shared" si="144"/>
        <v/>
      </c>
      <c r="M818" s="242" t="str">
        <f t="shared" si="145"/>
        <v/>
      </c>
      <c r="N818" s="242" t="str">
        <f t="shared" si="146"/>
        <v/>
      </c>
      <c r="O818" s="242" t="str">
        <f t="shared" si="147"/>
        <v/>
      </c>
      <c r="P818" s="242" t="str">
        <f t="shared" si="148"/>
        <v/>
      </c>
      <c r="Q818" s="242" t="str">
        <f t="shared" si="149"/>
        <v/>
      </c>
      <c r="R818" s="242" t="str">
        <f t="shared" si="150"/>
        <v/>
      </c>
      <c r="S818" s="242" t="str">
        <f t="shared" si="151"/>
        <v/>
      </c>
      <c r="T818" s="242" t="str">
        <f t="shared" si="152"/>
        <v/>
      </c>
      <c r="U818" s="242" t="str">
        <f t="shared" si="153"/>
        <v/>
      </c>
      <c r="V818" s="242" t="str">
        <f t="shared" si="154"/>
        <v/>
      </c>
      <c r="W818" s="242" t="str">
        <f t="shared" si="155"/>
        <v/>
      </c>
    </row>
    <row r="819" spans="1:23" x14ac:dyDescent="0.2">
      <c r="A819" s="283"/>
      <c r="B819" s="283"/>
      <c r="C819" s="283"/>
      <c r="D819" s="283"/>
      <c r="E819" s="283"/>
      <c r="F819" s="283"/>
      <c r="G819" s="283"/>
      <c r="K819" s="242">
        <v>818</v>
      </c>
      <c r="L819" s="242" t="str">
        <f t="shared" si="144"/>
        <v/>
      </c>
      <c r="M819" s="242" t="str">
        <f t="shared" si="145"/>
        <v/>
      </c>
      <c r="N819" s="242" t="str">
        <f t="shared" si="146"/>
        <v/>
      </c>
      <c r="O819" s="242" t="str">
        <f t="shared" si="147"/>
        <v/>
      </c>
      <c r="P819" s="242" t="str">
        <f t="shared" si="148"/>
        <v/>
      </c>
      <c r="Q819" s="242" t="str">
        <f t="shared" si="149"/>
        <v/>
      </c>
      <c r="R819" s="242" t="str">
        <f t="shared" si="150"/>
        <v/>
      </c>
      <c r="S819" s="242" t="str">
        <f t="shared" si="151"/>
        <v/>
      </c>
      <c r="T819" s="242" t="str">
        <f t="shared" si="152"/>
        <v/>
      </c>
      <c r="U819" s="242" t="str">
        <f t="shared" si="153"/>
        <v/>
      </c>
      <c r="V819" s="242" t="str">
        <f t="shared" si="154"/>
        <v/>
      </c>
      <c r="W819" s="242" t="str">
        <f t="shared" si="155"/>
        <v/>
      </c>
    </row>
    <row r="820" spans="1:23" x14ac:dyDescent="0.2">
      <c r="A820" s="283"/>
      <c r="B820" s="283"/>
      <c r="C820" s="283"/>
      <c r="D820" s="283"/>
      <c r="E820" s="283"/>
      <c r="F820" s="283"/>
      <c r="G820" s="283"/>
      <c r="K820" s="242">
        <v>819</v>
      </c>
      <c r="L820" s="242" t="str">
        <f t="shared" si="144"/>
        <v/>
      </c>
      <c r="M820" s="242" t="str">
        <f t="shared" si="145"/>
        <v/>
      </c>
      <c r="N820" s="242" t="str">
        <f t="shared" si="146"/>
        <v/>
      </c>
      <c r="O820" s="242" t="str">
        <f t="shared" si="147"/>
        <v/>
      </c>
      <c r="P820" s="242" t="str">
        <f t="shared" si="148"/>
        <v/>
      </c>
      <c r="Q820" s="242" t="str">
        <f t="shared" si="149"/>
        <v/>
      </c>
      <c r="R820" s="242" t="str">
        <f t="shared" si="150"/>
        <v/>
      </c>
      <c r="S820" s="242" t="str">
        <f t="shared" si="151"/>
        <v/>
      </c>
      <c r="T820" s="242" t="str">
        <f t="shared" si="152"/>
        <v/>
      </c>
      <c r="U820" s="242" t="str">
        <f t="shared" si="153"/>
        <v/>
      </c>
      <c r="V820" s="242" t="str">
        <f t="shared" si="154"/>
        <v/>
      </c>
      <c r="W820" s="242" t="str">
        <f t="shared" si="155"/>
        <v/>
      </c>
    </row>
    <row r="821" spans="1:23" x14ac:dyDescent="0.2">
      <c r="A821" s="283"/>
      <c r="B821" s="283"/>
      <c r="C821" s="283"/>
      <c r="D821" s="283"/>
      <c r="E821" s="283"/>
      <c r="F821" s="283"/>
      <c r="G821" s="283"/>
      <c r="K821" s="242">
        <v>820</v>
      </c>
      <c r="L821" s="242" t="str">
        <f t="shared" si="144"/>
        <v/>
      </c>
      <c r="M821" s="242" t="str">
        <f t="shared" si="145"/>
        <v/>
      </c>
      <c r="N821" s="242" t="str">
        <f t="shared" si="146"/>
        <v/>
      </c>
      <c r="O821" s="242" t="str">
        <f t="shared" si="147"/>
        <v/>
      </c>
      <c r="P821" s="242" t="str">
        <f t="shared" si="148"/>
        <v/>
      </c>
      <c r="Q821" s="242" t="str">
        <f t="shared" si="149"/>
        <v/>
      </c>
      <c r="R821" s="242" t="str">
        <f t="shared" si="150"/>
        <v/>
      </c>
      <c r="S821" s="242" t="str">
        <f t="shared" si="151"/>
        <v/>
      </c>
      <c r="T821" s="242" t="str">
        <f t="shared" si="152"/>
        <v/>
      </c>
      <c r="U821" s="242" t="str">
        <f t="shared" si="153"/>
        <v/>
      </c>
      <c r="V821" s="242" t="str">
        <f t="shared" si="154"/>
        <v/>
      </c>
      <c r="W821" s="242" t="str">
        <f t="shared" si="155"/>
        <v/>
      </c>
    </row>
    <row r="822" spans="1:23" x14ac:dyDescent="0.2">
      <c r="A822" s="283"/>
      <c r="B822" s="283"/>
      <c r="C822" s="283"/>
      <c r="D822" s="283"/>
      <c r="E822" s="283"/>
      <c r="F822" s="283"/>
      <c r="G822" s="283"/>
      <c r="K822" s="242">
        <v>821</v>
      </c>
      <c r="L822" s="242" t="str">
        <f t="shared" si="144"/>
        <v/>
      </c>
      <c r="M822" s="242" t="str">
        <f t="shared" si="145"/>
        <v/>
      </c>
      <c r="N822" s="242" t="str">
        <f t="shared" si="146"/>
        <v/>
      </c>
      <c r="O822" s="242" t="str">
        <f t="shared" si="147"/>
        <v/>
      </c>
      <c r="P822" s="242" t="str">
        <f t="shared" si="148"/>
        <v/>
      </c>
      <c r="Q822" s="242" t="str">
        <f t="shared" si="149"/>
        <v/>
      </c>
      <c r="R822" s="242" t="str">
        <f t="shared" si="150"/>
        <v/>
      </c>
      <c r="S822" s="242" t="str">
        <f t="shared" si="151"/>
        <v/>
      </c>
      <c r="T822" s="242" t="str">
        <f t="shared" si="152"/>
        <v/>
      </c>
      <c r="U822" s="242" t="str">
        <f t="shared" si="153"/>
        <v/>
      </c>
      <c r="V822" s="242" t="str">
        <f t="shared" si="154"/>
        <v/>
      </c>
      <c r="W822" s="242" t="str">
        <f t="shared" si="155"/>
        <v/>
      </c>
    </row>
    <row r="823" spans="1:23" x14ac:dyDescent="0.2">
      <c r="A823" s="283"/>
      <c r="B823" s="283"/>
      <c r="C823" s="283"/>
      <c r="D823" s="283"/>
      <c r="E823" s="283"/>
      <c r="F823" s="283"/>
      <c r="G823" s="283"/>
      <c r="K823" s="242">
        <v>822</v>
      </c>
      <c r="L823" s="242" t="str">
        <f t="shared" si="144"/>
        <v/>
      </c>
      <c r="M823" s="242" t="str">
        <f t="shared" si="145"/>
        <v/>
      </c>
      <c r="N823" s="242" t="str">
        <f t="shared" si="146"/>
        <v/>
      </c>
      <c r="O823" s="242" t="str">
        <f t="shared" si="147"/>
        <v/>
      </c>
      <c r="P823" s="242" t="str">
        <f t="shared" si="148"/>
        <v/>
      </c>
      <c r="Q823" s="242" t="str">
        <f t="shared" si="149"/>
        <v/>
      </c>
      <c r="R823" s="242" t="str">
        <f t="shared" si="150"/>
        <v/>
      </c>
      <c r="S823" s="242" t="str">
        <f t="shared" si="151"/>
        <v/>
      </c>
      <c r="T823" s="242" t="str">
        <f t="shared" si="152"/>
        <v/>
      </c>
      <c r="U823" s="242" t="str">
        <f t="shared" si="153"/>
        <v/>
      </c>
      <c r="V823" s="242" t="str">
        <f t="shared" si="154"/>
        <v/>
      </c>
      <c r="W823" s="242" t="str">
        <f t="shared" si="155"/>
        <v/>
      </c>
    </row>
    <row r="824" spans="1:23" x14ac:dyDescent="0.2">
      <c r="A824" s="283"/>
      <c r="B824" s="283"/>
      <c r="C824" s="283"/>
      <c r="D824" s="283"/>
      <c r="E824" s="283"/>
      <c r="F824" s="283"/>
      <c r="G824" s="283"/>
      <c r="K824" s="242">
        <v>823</v>
      </c>
      <c r="L824" s="242" t="str">
        <f t="shared" si="144"/>
        <v/>
      </c>
      <c r="M824" s="242" t="str">
        <f t="shared" si="145"/>
        <v/>
      </c>
      <c r="N824" s="242" t="str">
        <f t="shared" si="146"/>
        <v/>
      </c>
      <c r="O824" s="242" t="str">
        <f t="shared" si="147"/>
        <v/>
      </c>
      <c r="P824" s="242" t="str">
        <f t="shared" si="148"/>
        <v/>
      </c>
      <c r="Q824" s="242" t="str">
        <f t="shared" si="149"/>
        <v/>
      </c>
      <c r="R824" s="242" t="str">
        <f t="shared" si="150"/>
        <v/>
      </c>
      <c r="S824" s="242" t="str">
        <f t="shared" si="151"/>
        <v/>
      </c>
      <c r="T824" s="242" t="str">
        <f t="shared" si="152"/>
        <v/>
      </c>
      <c r="U824" s="242" t="str">
        <f t="shared" si="153"/>
        <v/>
      </c>
      <c r="V824" s="242" t="str">
        <f t="shared" si="154"/>
        <v/>
      </c>
      <c r="W824" s="242" t="str">
        <f t="shared" si="155"/>
        <v/>
      </c>
    </row>
    <row r="825" spans="1:23" x14ac:dyDescent="0.2">
      <c r="A825" s="283"/>
      <c r="B825" s="283"/>
      <c r="C825" s="283"/>
      <c r="D825" s="283"/>
      <c r="E825" s="283"/>
      <c r="F825" s="283"/>
      <c r="G825" s="283"/>
      <c r="K825" s="242">
        <v>824</v>
      </c>
      <c r="L825" s="242" t="str">
        <f t="shared" si="144"/>
        <v/>
      </c>
      <c r="M825" s="242" t="str">
        <f t="shared" si="145"/>
        <v/>
      </c>
      <c r="N825" s="242" t="str">
        <f t="shared" si="146"/>
        <v/>
      </c>
      <c r="O825" s="242" t="str">
        <f t="shared" si="147"/>
        <v/>
      </c>
      <c r="P825" s="242" t="str">
        <f t="shared" si="148"/>
        <v/>
      </c>
      <c r="Q825" s="242" t="str">
        <f t="shared" si="149"/>
        <v/>
      </c>
      <c r="R825" s="242" t="str">
        <f t="shared" si="150"/>
        <v/>
      </c>
      <c r="S825" s="242" t="str">
        <f t="shared" si="151"/>
        <v/>
      </c>
      <c r="T825" s="242" t="str">
        <f t="shared" si="152"/>
        <v/>
      </c>
      <c r="U825" s="242" t="str">
        <f t="shared" si="153"/>
        <v/>
      </c>
      <c r="V825" s="242" t="str">
        <f t="shared" si="154"/>
        <v/>
      </c>
      <c r="W825" s="242" t="str">
        <f t="shared" si="155"/>
        <v/>
      </c>
    </row>
    <row r="826" spans="1:23" x14ac:dyDescent="0.2">
      <c r="A826" s="283"/>
      <c r="B826" s="283"/>
      <c r="C826" s="283"/>
      <c r="D826" s="283"/>
      <c r="E826" s="283"/>
      <c r="F826" s="283"/>
      <c r="G826" s="283"/>
      <c r="K826" s="242">
        <v>825</v>
      </c>
      <c r="L826" s="242" t="str">
        <f t="shared" si="144"/>
        <v/>
      </c>
      <c r="M826" s="242" t="str">
        <f t="shared" si="145"/>
        <v/>
      </c>
      <c r="N826" s="242" t="str">
        <f t="shared" si="146"/>
        <v/>
      </c>
      <c r="O826" s="242" t="str">
        <f t="shared" si="147"/>
        <v/>
      </c>
      <c r="P826" s="242" t="str">
        <f t="shared" si="148"/>
        <v/>
      </c>
      <c r="Q826" s="242" t="str">
        <f t="shared" si="149"/>
        <v/>
      </c>
      <c r="R826" s="242" t="str">
        <f t="shared" si="150"/>
        <v/>
      </c>
      <c r="S826" s="242" t="str">
        <f t="shared" si="151"/>
        <v/>
      </c>
      <c r="T826" s="242" t="str">
        <f t="shared" si="152"/>
        <v/>
      </c>
      <c r="U826" s="242" t="str">
        <f t="shared" si="153"/>
        <v/>
      </c>
      <c r="V826" s="242" t="str">
        <f t="shared" si="154"/>
        <v/>
      </c>
      <c r="W826" s="242" t="str">
        <f t="shared" si="155"/>
        <v/>
      </c>
    </row>
    <row r="827" spans="1:23" x14ac:dyDescent="0.2">
      <c r="A827" s="283"/>
      <c r="B827" s="283"/>
      <c r="C827" s="283"/>
      <c r="D827" s="283"/>
      <c r="E827" s="283"/>
      <c r="F827" s="283"/>
      <c r="G827" s="283"/>
      <c r="K827" s="242">
        <v>826</v>
      </c>
      <c r="L827" s="242" t="str">
        <f t="shared" si="144"/>
        <v/>
      </c>
      <c r="M827" s="242" t="str">
        <f t="shared" si="145"/>
        <v/>
      </c>
      <c r="N827" s="242" t="str">
        <f t="shared" si="146"/>
        <v/>
      </c>
      <c r="O827" s="242" t="str">
        <f t="shared" si="147"/>
        <v/>
      </c>
      <c r="P827" s="242" t="str">
        <f t="shared" si="148"/>
        <v/>
      </c>
      <c r="Q827" s="242" t="str">
        <f t="shared" si="149"/>
        <v/>
      </c>
      <c r="R827" s="242" t="str">
        <f t="shared" si="150"/>
        <v/>
      </c>
      <c r="S827" s="242" t="str">
        <f t="shared" si="151"/>
        <v/>
      </c>
      <c r="T827" s="242" t="str">
        <f t="shared" si="152"/>
        <v/>
      </c>
      <c r="U827" s="242" t="str">
        <f t="shared" si="153"/>
        <v/>
      </c>
      <c r="V827" s="242" t="str">
        <f t="shared" si="154"/>
        <v/>
      </c>
      <c r="W827" s="242" t="str">
        <f t="shared" si="155"/>
        <v/>
      </c>
    </row>
    <row r="828" spans="1:23" x14ac:dyDescent="0.2">
      <c r="A828" s="283"/>
      <c r="B828" s="283"/>
      <c r="C828" s="283"/>
      <c r="D828" s="283"/>
      <c r="E828" s="283"/>
      <c r="F828" s="283"/>
      <c r="G828" s="283"/>
      <c r="K828" s="242">
        <v>827</v>
      </c>
      <c r="L828" s="242" t="str">
        <f t="shared" si="144"/>
        <v/>
      </c>
      <c r="M828" s="242" t="str">
        <f t="shared" si="145"/>
        <v/>
      </c>
      <c r="N828" s="242" t="str">
        <f t="shared" si="146"/>
        <v/>
      </c>
      <c r="O828" s="242" t="str">
        <f t="shared" si="147"/>
        <v/>
      </c>
      <c r="P828" s="242" t="str">
        <f t="shared" si="148"/>
        <v/>
      </c>
      <c r="Q828" s="242" t="str">
        <f t="shared" si="149"/>
        <v/>
      </c>
      <c r="R828" s="242" t="str">
        <f t="shared" si="150"/>
        <v/>
      </c>
      <c r="S828" s="242" t="str">
        <f t="shared" si="151"/>
        <v/>
      </c>
      <c r="T828" s="242" t="str">
        <f t="shared" si="152"/>
        <v/>
      </c>
      <c r="U828" s="242" t="str">
        <f t="shared" si="153"/>
        <v/>
      </c>
      <c r="V828" s="242" t="str">
        <f t="shared" si="154"/>
        <v/>
      </c>
      <c r="W828" s="242" t="str">
        <f t="shared" si="155"/>
        <v/>
      </c>
    </row>
    <row r="829" spans="1:23" x14ac:dyDescent="0.2">
      <c r="A829" s="283"/>
      <c r="B829" s="283"/>
      <c r="C829" s="283"/>
      <c r="D829" s="283"/>
      <c r="E829" s="283"/>
      <c r="F829" s="283"/>
      <c r="G829" s="283"/>
      <c r="K829" s="242">
        <v>828</v>
      </c>
      <c r="L829" s="242" t="str">
        <f t="shared" si="144"/>
        <v/>
      </c>
      <c r="M829" s="242" t="str">
        <f t="shared" si="145"/>
        <v/>
      </c>
      <c r="N829" s="242" t="str">
        <f t="shared" si="146"/>
        <v/>
      </c>
      <c r="O829" s="242" t="str">
        <f t="shared" si="147"/>
        <v/>
      </c>
      <c r="P829" s="242" t="str">
        <f t="shared" si="148"/>
        <v/>
      </c>
      <c r="Q829" s="242" t="str">
        <f t="shared" si="149"/>
        <v/>
      </c>
      <c r="R829" s="242" t="str">
        <f t="shared" si="150"/>
        <v/>
      </c>
      <c r="S829" s="242" t="str">
        <f t="shared" si="151"/>
        <v/>
      </c>
      <c r="T829" s="242" t="str">
        <f t="shared" si="152"/>
        <v/>
      </c>
      <c r="U829" s="242" t="str">
        <f t="shared" si="153"/>
        <v/>
      </c>
      <c r="V829" s="242" t="str">
        <f t="shared" si="154"/>
        <v/>
      </c>
      <c r="W829" s="242" t="str">
        <f t="shared" si="155"/>
        <v/>
      </c>
    </row>
    <row r="830" spans="1:23" x14ac:dyDescent="0.2">
      <c r="A830" s="283"/>
      <c r="B830" s="283"/>
      <c r="C830" s="283"/>
      <c r="D830" s="283"/>
      <c r="E830" s="283"/>
      <c r="F830" s="283"/>
      <c r="G830" s="283"/>
      <c r="K830" s="242">
        <v>829</v>
      </c>
      <c r="L830" s="242" t="str">
        <f t="shared" si="144"/>
        <v/>
      </c>
      <c r="M830" s="242" t="str">
        <f t="shared" si="145"/>
        <v/>
      </c>
      <c r="N830" s="242" t="str">
        <f t="shared" si="146"/>
        <v/>
      </c>
      <c r="O830" s="242" t="str">
        <f t="shared" si="147"/>
        <v/>
      </c>
      <c r="P830" s="242" t="str">
        <f t="shared" si="148"/>
        <v/>
      </c>
      <c r="Q830" s="242" t="str">
        <f t="shared" si="149"/>
        <v/>
      </c>
      <c r="R830" s="242" t="str">
        <f t="shared" si="150"/>
        <v/>
      </c>
      <c r="S830" s="242" t="str">
        <f t="shared" si="151"/>
        <v/>
      </c>
      <c r="T830" s="242" t="str">
        <f t="shared" si="152"/>
        <v/>
      </c>
      <c r="U830" s="242" t="str">
        <f t="shared" si="153"/>
        <v/>
      </c>
      <c r="V830" s="242" t="str">
        <f t="shared" si="154"/>
        <v/>
      </c>
      <c r="W830" s="242" t="str">
        <f t="shared" si="155"/>
        <v/>
      </c>
    </row>
    <row r="831" spans="1:23" x14ac:dyDescent="0.2">
      <c r="A831" s="283"/>
      <c r="B831" s="283"/>
      <c r="C831" s="283"/>
      <c r="D831" s="283"/>
      <c r="E831" s="283"/>
      <c r="F831" s="283"/>
      <c r="G831" s="283"/>
      <c r="K831" s="242">
        <v>830</v>
      </c>
      <c r="L831" s="242" t="str">
        <f t="shared" si="144"/>
        <v/>
      </c>
      <c r="M831" s="242" t="str">
        <f t="shared" si="145"/>
        <v/>
      </c>
      <c r="N831" s="242" t="str">
        <f t="shared" si="146"/>
        <v/>
      </c>
      <c r="O831" s="242" t="str">
        <f t="shared" si="147"/>
        <v/>
      </c>
      <c r="P831" s="242" t="str">
        <f t="shared" si="148"/>
        <v/>
      </c>
      <c r="Q831" s="242" t="str">
        <f t="shared" si="149"/>
        <v/>
      </c>
      <c r="R831" s="242" t="str">
        <f t="shared" si="150"/>
        <v/>
      </c>
      <c r="S831" s="242" t="str">
        <f t="shared" si="151"/>
        <v/>
      </c>
      <c r="T831" s="242" t="str">
        <f t="shared" si="152"/>
        <v/>
      </c>
      <c r="U831" s="242" t="str">
        <f t="shared" si="153"/>
        <v/>
      </c>
      <c r="V831" s="242" t="str">
        <f t="shared" si="154"/>
        <v/>
      </c>
      <c r="W831" s="242" t="str">
        <f t="shared" si="155"/>
        <v/>
      </c>
    </row>
    <row r="832" spans="1:23" x14ac:dyDescent="0.2">
      <c r="A832" s="283"/>
      <c r="B832" s="283"/>
      <c r="C832" s="283"/>
      <c r="D832" s="283"/>
      <c r="E832" s="283"/>
      <c r="F832" s="283"/>
      <c r="G832" s="283"/>
      <c r="K832" s="242">
        <v>831</v>
      </c>
      <c r="L832" s="242" t="str">
        <f t="shared" si="144"/>
        <v/>
      </c>
      <c r="M832" s="242" t="str">
        <f t="shared" si="145"/>
        <v/>
      </c>
      <c r="N832" s="242" t="str">
        <f t="shared" si="146"/>
        <v/>
      </c>
      <c r="O832" s="242" t="str">
        <f t="shared" si="147"/>
        <v/>
      </c>
      <c r="P832" s="242" t="str">
        <f t="shared" si="148"/>
        <v/>
      </c>
      <c r="Q832" s="242" t="str">
        <f t="shared" si="149"/>
        <v/>
      </c>
      <c r="R832" s="242" t="str">
        <f t="shared" si="150"/>
        <v/>
      </c>
      <c r="S832" s="242" t="str">
        <f t="shared" si="151"/>
        <v/>
      </c>
      <c r="T832" s="242" t="str">
        <f t="shared" si="152"/>
        <v/>
      </c>
      <c r="U832" s="242" t="str">
        <f t="shared" si="153"/>
        <v/>
      </c>
      <c r="V832" s="242" t="str">
        <f t="shared" si="154"/>
        <v/>
      </c>
      <c r="W832" s="242" t="str">
        <f t="shared" si="155"/>
        <v/>
      </c>
    </row>
    <row r="833" spans="1:23" x14ac:dyDescent="0.2">
      <c r="A833" s="283"/>
      <c r="B833" s="283"/>
      <c r="C833" s="283"/>
      <c r="D833" s="283"/>
      <c r="E833" s="283"/>
      <c r="F833" s="283"/>
      <c r="G833" s="283"/>
      <c r="K833" s="242">
        <v>832</v>
      </c>
      <c r="L833" s="242" t="str">
        <f t="shared" si="144"/>
        <v/>
      </c>
      <c r="M833" s="242" t="str">
        <f t="shared" si="145"/>
        <v/>
      </c>
      <c r="N833" s="242" t="str">
        <f t="shared" si="146"/>
        <v/>
      </c>
      <c r="O833" s="242" t="str">
        <f t="shared" si="147"/>
        <v/>
      </c>
      <c r="P833" s="242" t="str">
        <f t="shared" si="148"/>
        <v/>
      </c>
      <c r="Q833" s="242" t="str">
        <f t="shared" si="149"/>
        <v/>
      </c>
      <c r="R833" s="242" t="str">
        <f t="shared" si="150"/>
        <v/>
      </c>
      <c r="S833" s="242" t="str">
        <f t="shared" si="151"/>
        <v/>
      </c>
      <c r="T833" s="242" t="str">
        <f t="shared" si="152"/>
        <v/>
      </c>
      <c r="U833" s="242" t="str">
        <f t="shared" si="153"/>
        <v/>
      </c>
      <c r="V833" s="242" t="str">
        <f t="shared" si="154"/>
        <v/>
      </c>
      <c r="W833" s="242" t="str">
        <f t="shared" si="155"/>
        <v/>
      </c>
    </row>
    <row r="834" spans="1:23" x14ac:dyDescent="0.2">
      <c r="A834" s="283"/>
      <c r="B834" s="283"/>
      <c r="C834" s="283"/>
      <c r="D834" s="283"/>
      <c r="E834" s="283"/>
      <c r="F834" s="283"/>
      <c r="G834" s="283"/>
      <c r="K834" s="242">
        <v>833</v>
      </c>
      <c r="L834" s="242" t="str">
        <f t="shared" si="144"/>
        <v/>
      </c>
      <c r="M834" s="242" t="str">
        <f t="shared" si="145"/>
        <v/>
      </c>
      <c r="N834" s="242" t="str">
        <f t="shared" si="146"/>
        <v/>
      </c>
      <c r="O834" s="242" t="str">
        <f t="shared" si="147"/>
        <v/>
      </c>
      <c r="P834" s="242" t="str">
        <f t="shared" si="148"/>
        <v/>
      </c>
      <c r="Q834" s="242" t="str">
        <f t="shared" si="149"/>
        <v/>
      </c>
      <c r="R834" s="242" t="str">
        <f t="shared" si="150"/>
        <v/>
      </c>
      <c r="S834" s="242" t="str">
        <f t="shared" si="151"/>
        <v/>
      </c>
      <c r="T834" s="242" t="str">
        <f t="shared" si="152"/>
        <v/>
      </c>
      <c r="U834" s="242" t="str">
        <f t="shared" si="153"/>
        <v/>
      </c>
      <c r="V834" s="242" t="str">
        <f t="shared" si="154"/>
        <v/>
      </c>
      <c r="W834" s="242" t="str">
        <f t="shared" si="155"/>
        <v/>
      </c>
    </row>
    <row r="835" spans="1:23" x14ac:dyDescent="0.2">
      <c r="A835" s="283"/>
      <c r="B835" s="283"/>
      <c r="C835" s="283"/>
      <c r="D835" s="283"/>
      <c r="E835" s="283"/>
      <c r="F835" s="283"/>
      <c r="G835" s="283"/>
      <c r="K835" s="242">
        <v>834</v>
      </c>
      <c r="L835" s="242" t="str">
        <f t="shared" ref="L835:L865" si="156">IF($B$13&gt;=K835,K835,"")</f>
        <v/>
      </c>
      <c r="M835" s="242" t="str">
        <f t="shared" ref="M835:M865" si="157">IF(L835="","",IF(L835&lt;=$E$15,VLOOKUP($E$14,$I$1:$J$4,2,FALSE),VLOOKUP($F$14,$I$1:$J$4,2,FALSE)))</f>
        <v/>
      </c>
      <c r="N835" s="242" t="str">
        <f t="shared" ref="N835:N865" si="158">IF($B$20&gt;=K835,K835,"")</f>
        <v/>
      </c>
      <c r="O835" s="242" t="str">
        <f t="shared" ref="O835:O865" si="159">IF(N835="","",IF(N835&lt;=$E$22,VLOOKUP($E$21,$I$1:$J$4,2,FALSE),VLOOKUP($F$21,$I$1:$J$4,2,FALSE)))</f>
        <v/>
      </c>
      <c r="P835" s="242" t="str">
        <f t="shared" ref="P835:P865" si="160">IF($B$27&gt;=K835,K835,"")</f>
        <v/>
      </c>
      <c r="Q835" s="242" t="str">
        <f t="shared" ref="Q835:Q865" si="161">IF(P835="","",IF(P835&lt;=$E$29,VLOOKUP($E$28,$I$1:$J$4,2,FALSE),VLOOKUP($F$28,$I$1:$J$4,2,FALSE)))</f>
        <v/>
      </c>
      <c r="R835" s="242" t="str">
        <f t="shared" ref="R835:R865" si="162">IF($B$34&gt;=K835,K835,"")</f>
        <v/>
      </c>
      <c r="S835" s="242" t="str">
        <f t="shared" ref="S835:S865" si="163">IF(R835="","",IF(R835&lt;=$E$36,VLOOKUP($E$35,$I$1:$J$4,2,FALSE),VLOOKUP($F$35,$I$1:$J$4,2,FALSE)))</f>
        <v/>
      </c>
      <c r="T835" s="242" t="str">
        <f t="shared" ref="T835:T865" si="164">IF($B$41&gt;=K835,K835,"")</f>
        <v/>
      </c>
      <c r="U835" s="242" t="str">
        <f t="shared" ref="U835:U865" si="165">IF(T835="","",IF(T835&lt;=$E$43,VLOOKUP($E$42,$I$1:$J$4,2,FALSE),VLOOKUP($F$42,$I$1:$J$4,2,FALSE)))</f>
        <v/>
      </c>
      <c r="V835" s="242" t="str">
        <f t="shared" ref="V835:V865" si="166">IF($B$48&gt;=K835,K835,"")</f>
        <v/>
      </c>
      <c r="W835" s="242" t="str">
        <f t="shared" ref="W835:W865" si="167">IF(V835="","",IF(V835&lt;=$E$50,VLOOKUP($E$49,$I$1:$J$4,2,FALSE),VLOOKUP($F$49,$I$1:$J$4,2,FALSE)))</f>
        <v/>
      </c>
    </row>
    <row r="836" spans="1:23" x14ac:dyDescent="0.2">
      <c r="A836" s="283"/>
      <c r="B836" s="283"/>
      <c r="C836" s="283"/>
      <c r="D836" s="283"/>
      <c r="E836" s="283"/>
      <c r="F836" s="283"/>
      <c r="G836" s="283"/>
      <c r="K836" s="242">
        <v>835</v>
      </c>
      <c r="L836" s="242" t="str">
        <f t="shared" si="156"/>
        <v/>
      </c>
      <c r="M836" s="242" t="str">
        <f t="shared" si="157"/>
        <v/>
      </c>
      <c r="N836" s="242" t="str">
        <f t="shared" si="158"/>
        <v/>
      </c>
      <c r="O836" s="242" t="str">
        <f t="shared" si="159"/>
        <v/>
      </c>
      <c r="P836" s="242" t="str">
        <f t="shared" si="160"/>
        <v/>
      </c>
      <c r="Q836" s="242" t="str">
        <f t="shared" si="161"/>
        <v/>
      </c>
      <c r="R836" s="242" t="str">
        <f t="shared" si="162"/>
        <v/>
      </c>
      <c r="S836" s="242" t="str">
        <f t="shared" si="163"/>
        <v/>
      </c>
      <c r="T836" s="242" t="str">
        <f t="shared" si="164"/>
        <v/>
      </c>
      <c r="U836" s="242" t="str">
        <f t="shared" si="165"/>
        <v/>
      </c>
      <c r="V836" s="242" t="str">
        <f t="shared" si="166"/>
        <v/>
      </c>
      <c r="W836" s="242" t="str">
        <f t="shared" si="167"/>
        <v/>
      </c>
    </row>
    <row r="837" spans="1:23" x14ac:dyDescent="0.2">
      <c r="A837" s="283"/>
      <c r="B837" s="283"/>
      <c r="C837" s="283"/>
      <c r="D837" s="283"/>
      <c r="E837" s="283"/>
      <c r="F837" s="283"/>
      <c r="G837" s="283"/>
      <c r="K837" s="242">
        <v>836</v>
      </c>
      <c r="L837" s="242" t="str">
        <f t="shared" si="156"/>
        <v/>
      </c>
      <c r="M837" s="242" t="str">
        <f t="shared" si="157"/>
        <v/>
      </c>
      <c r="N837" s="242" t="str">
        <f t="shared" si="158"/>
        <v/>
      </c>
      <c r="O837" s="242" t="str">
        <f t="shared" si="159"/>
        <v/>
      </c>
      <c r="P837" s="242" t="str">
        <f t="shared" si="160"/>
        <v/>
      </c>
      <c r="Q837" s="242" t="str">
        <f t="shared" si="161"/>
        <v/>
      </c>
      <c r="R837" s="242" t="str">
        <f t="shared" si="162"/>
        <v/>
      </c>
      <c r="S837" s="242" t="str">
        <f t="shared" si="163"/>
        <v/>
      </c>
      <c r="T837" s="242" t="str">
        <f t="shared" si="164"/>
        <v/>
      </c>
      <c r="U837" s="242" t="str">
        <f t="shared" si="165"/>
        <v/>
      </c>
      <c r="V837" s="242" t="str">
        <f t="shared" si="166"/>
        <v/>
      </c>
      <c r="W837" s="242" t="str">
        <f t="shared" si="167"/>
        <v/>
      </c>
    </row>
    <row r="838" spans="1:23" x14ac:dyDescent="0.2">
      <c r="A838" s="283"/>
      <c r="B838" s="283"/>
      <c r="C838" s="283"/>
      <c r="D838" s="283"/>
      <c r="E838" s="283"/>
      <c r="F838" s="283"/>
      <c r="G838" s="283"/>
      <c r="K838" s="242">
        <v>837</v>
      </c>
      <c r="L838" s="242" t="str">
        <f t="shared" si="156"/>
        <v/>
      </c>
      <c r="M838" s="242" t="str">
        <f t="shared" si="157"/>
        <v/>
      </c>
      <c r="N838" s="242" t="str">
        <f t="shared" si="158"/>
        <v/>
      </c>
      <c r="O838" s="242" t="str">
        <f t="shared" si="159"/>
        <v/>
      </c>
      <c r="P838" s="242" t="str">
        <f t="shared" si="160"/>
        <v/>
      </c>
      <c r="Q838" s="242" t="str">
        <f t="shared" si="161"/>
        <v/>
      </c>
      <c r="R838" s="242" t="str">
        <f t="shared" si="162"/>
        <v/>
      </c>
      <c r="S838" s="242" t="str">
        <f t="shared" si="163"/>
        <v/>
      </c>
      <c r="T838" s="242" t="str">
        <f t="shared" si="164"/>
        <v/>
      </c>
      <c r="U838" s="242" t="str">
        <f t="shared" si="165"/>
        <v/>
      </c>
      <c r="V838" s="242" t="str">
        <f t="shared" si="166"/>
        <v/>
      </c>
      <c r="W838" s="242" t="str">
        <f t="shared" si="167"/>
        <v/>
      </c>
    </row>
    <row r="839" spans="1:23" x14ac:dyDescent="0.2">
      <c r="A839" s="283"/>
      <c r="B839" s="283"/>
      <c r="C839" s="283"/>
      <c r="D839" s="283"/>
      <c r="E839" s="283"/>
      <c r="F839" s="283"/>
      <c r="G839" s="283"/>
      <c r="K839" s="242">
        <v>838</v>
      </c>
      <c r="L839" s="242" t="str">
        <f t="shared" si="156"/>
        <v/>
      </c>
      <c r="M839" s="242" t="str">
        <f t="shared" si="157"/>
        <v/>
      </c>
      <c r="N839" s="242" t="str">
        <f t="shared" si="158"/>
        <v/>
      </c>
      <c r="O839" s="242" t="str">
        <f t="shared" si="159"/>
        <v/>
      </c>
      <c r="P839" s="242" t="str">
        <f t="shared" si="160"/>
        <v/>
      </c>
      <c r="Q839" s="242" t="str">
        <f t="shared" si="161"/>
        <v/>
      </c>
      <c r="R839" s="242" t="str">
        <f t="shared" si="162"/>
        <v/>
      </c>
      <c r="S839" s="242" t="str">
        <f t="shared" si="163"/>
        <v/>
      </c>
      <c r="T839" s="242" t="str">
        <f t="shared" si="164"/>
        <v/>
      </c>
      <c r="U839" s="242" t="str">
        <f t="shared" si="165"/>
        <v/>
      </c>
      <c r="V839" s="242" t="str">
        <f t="shared" si="166"/>
        <v/>
      </c>
      <c r="W839" s="242" t="str">
        <f t="shared" si="167"/>
        <v/>
      </c>
    </row>
    <row r="840" spans="1:23" x14ac:dyDescent="0.2">
      <c r="K840" s="242">
        <v>839</v>
      </c>
      <c r="L840" s="242" t="str">
        <f t="shared" si="156"/>
        <v/>
      </c>
      <c r="M840" s="242" t="str">
        <f t="shared" si="157"/>
        <v/>
      </c>
      <c r="N840" s="242" t="str">
        <f t="shared" si="158"/>
        <v/>
      </c>
      <c r="O840" s="242" t="str">
        <f t="shared" si="159"/>
        <v/>
      </c>
      <c r="P840" s="242" t="str">
        <f t="shared" si="160"/>
        <v/>
      </c>
      <c r="Q840" s="242" t="str">
        <f t="shared" si="161"/>
        <v/>
      </c>
      <c r="R840" s="242" t="str">
        <f t="shared" si="162"/>
        <v/>
      </c>
      <c r="S840" s="242" t="str">
        <f t="shared" si="163"/>
        <v/>
      </c>
      <c r="T840" s="242" t="str">
        <f t="shared" si="164"/>
        <v/>
      </c>
      <c r="U840" s="242" t="str">
        <f t="shared" si="165"/>
        <v/>
      </c>
      <c r="V840" s="242" t="str">
        <f t="shared" si="166"/>
        <v/>
      </c>
      <c r="W840" s="242" t="str">
        <f t="shared" si="167"/>
        <v/>
      </c>
    </row>
    <row r="841" spans="1:23" x14ac:dyDescent="0.2">
      <c r="K841" s="242">
        <v>840</v>
      </c>
      <c r="L841" s="242" t="str">
        <f t="shared" si="156"/>
        <v/>
      </c>
      <c r="M841" s="242" t="str">
        <f t="shared" si="157"/>
        <v/>
      </c>
      <c r="N841" s="242" t="str">
        <f t="shared" si="158"/>
        <v/>
      </c>
      <c r="O841" s="242" t="str">
        <f t="shared" si="159"/>
        <v/>
      </c>
      <c r="P841" s="242" t="str">
        <f t="shared" si="160"/>
        <v/>
      </c>
      <c r="Q841" s="242" t="str">
        <f t="shared" si="161"/>
        <v/>
      </c>
      <c r="R841" s="242" t="str">
        <f t="shared" si="162"/>
        <v/>
      </c>
      <c r="S841" s="242" t="str">
        <f t="shared" si="163"/>
        <v/>
      </c>
      <c r="T841" s="242" t="str">
        <f t="shared" si="164"/>
        <v/>
      </c>
      <c r="U841" s="242" t="str">
        <f t="shared" si="165"/>
        <v/>
      </c>
      <c r="V841" s="242" t="str">
        <f t="shared" si="166"/>
        <v/>
      </c>
      <c r="W841" s="242" t="str">
        <f t="shared" si="167"/>
        <v/>
      </c>
    </row>
    <row r="842" spans="1:23" x14ac:dyDescent="0.2">
      <c r="K842" s="242">
        <v>841</v>
      </c>
      <c r="L842" s="242" t="str">
        <f t="shared" si="156"/>
        <v/>
      </c>
      <c r="M842" s="242" t="str">
        <f t="shared" si="157"/>
        <v/>
      </c>
      <c r="N842" s="242" t="str">
        <f t="shared" si="158"/>
        <v/>
      </c>
      <c r="O842" s="242" t="str">
        <f t="shared" si="159"/>
        <v/>
      </c>
      <c r="P842" s="242" t="str">
        <f t="shared" si="160"/>
        <v/>
      </c>
      <c r="Q842" s="242" t="str">
        <f t="shared" si="161"/>
        <v/>
      </c>
      <c r="R842" s="242" t="str">
        <f t="shared" si="162"/>
        <v/>
      </c>
      <c r="S842" s="242" t="str">
        <f t="shared" si="163"/>
        <v/>
      </c>
      <c r="T842" s="242" t="str">
        <f t="shared" si="164"/>
        <v/>
      </c>
      <c r="U842" s="242" t="str">
        <f t="shared" si="165"/>
        <v/>
      </c>
      <c r="V842" s="242" t="str">
        <f t="shared" si="166"/>
        <v/>
      </c>
      <c r="W842" s="242" t="str">
        <f t="shared" si="167"/>
        <v/>
      </c>
    </row>
    <row r="843" spans="1:23" x14ac:dyDescent="0.2">
      <c r="K843" s="242">
        <v>842</v>
      </c>
      <c r="L843" s="242" t="str">
        <f t="shared" si="156"/>
        <v/>
      </c>
      <c r="M843" s="242" t="str">
        <f t="shared" si="157"/>
        <v/>
      </c>
      <c r="N843" s="242" t="str">
        <f t="shared" si="158"/>
        <v/>
      </c>
      <c r="O843" s="242" t="str">
        <f t="shared" si="159"/>
        <v/>
      </c>
      <c r="P843" s="242" t="str">
        <f t="shared" si="160"/>
        <v/>
      </c>
      <c r="Q843" s="242" t="str">
        <f t="shared" si="161"/>
        <v/>
      </c>
      <c r="R843" s="242" t="str">
        <f t="shared" si="162"/>
        <v/>
      </c>
      <c r="S843" s="242" t="str">
        <f t="shared" si="163"/>
        <v/>
      </c>
      <c r="T843" s="242" t="str">
        <f t="shared" si="164"/>
        <v/>
      </c>
      <c r="U843" s="242" t="str">
        <f t="shared" si="165"/>
        <v/>
      </c>
      <c r="V843" s="242" t="str">
        <f t="shared" si="166"/>
        <v/>
      </c>
      <c r="W843" s="242" t="str">
        <f t="shared" si="167"/>
        <v/>
      </c>
    </row>
    <row r="844" spans="1:23" x14ac:dyDescent="0.2">
      <c r="K844" s="242">
        <v>843</v>
      </c>
      <c r="L844" s="242" t="str">
        <f t="shared" si="156"/>
        <v/>
      </c>
      <c r="M844" s="242" t="str">
        <f t="shared" si="157"/>
        <v/>
      </c>
      <c r="N844" s="242" t="str">
        <f t="shared" si="158"/>
        <v/>
      </c>
      <c r="O844" s="242" t="str">
        <f t="shared" si="159"/>
        <v/>
      </c>
      <c r="P844" s="242" t="str">
        <f t="shared" si="160"/>
        <v/>
      </c>
      <c r="Q844" s="242" t="str">
        <f t="shared" si="161"/>
        <v/>
      </c>
      <c r="R844" s="242" t="str">
        <f t="shared" si="162"/>
        <v/>
      </c>
      <c r="S844" s="242" t="str">
        <f t="shared" si="163"/>
        <v/>
      </c>
      <c r="T844" s="242" t="str">
        <f t="shared" si="164"/>
        <v/>
      </c>
      <c r="U844" s="242" t="str">
        <f t="shared" si="165"/>
        <v/>
      </c>
      <c r="V844" s="242" t="str">
        <f t="shared" si="166"/>
        <v/>
      </c>
      <c r="W844" s="242" t="str">
        <f t="shared" si="167"/>
        <v/>
      </c>
    </row>
    <row r="845" spans="1:23" x14ac:dyDescent="0.2">
      <c r="K845" s="242">
        <v>844</v>
      </c>
      <c r="L845" s="242" t="str">
        <f t="shared" si="156"/>
        <v/>
      </c>
      <c r="M845" s="242" t="str">
        <f t="shared" si="157"/>
        <v/>
      </c>
      <c r="N845" s="242" t="str">
        <f t="shared" si="158"/>
        <v/>
      </c>
      <c r="O845" s="242" t="str">
        <f t="shared" si="159"/>
        <v/>
      </c>
      <c r="P845" s="242" t="str">
        <f t="shared" si="160"/>
        <v/>
      </c>
      <c r="Q845" s="242" t="str">
        <f t="shared" si="161"/>
        <v/>
      </c>
      <c r="R845" s="242" t="str">
        <f t="shared" si="162"/>
        <v/>
      </c>
      <c r="S845" s="242" t="str">
        <f t="shared" si="163"/>
        <v/>
      </c>
      <c r="T845" s="242" t="str">
        <f t="shared" si="164"/>
        <v/>
      </c>
      <c r="U845" s="242" t="str">
        <f t="shared" si="165"/>
        <v/>
      </c>
      <c r="V845" s="242" t="str">
        <f t="shared" si="166"/>
        <v/>
      </c>
      <c r="W845" s="242" t="str">
        <f t="shared" si="167"/>
        <v/>
      </c>
    </row>
    <row r="846" spans="1:23" x14ac:dyDescent="0.2">
      <c r="K846" s="242">
        <v>845</v>
      </c>
      <c r="L846" s="242" t="str">
        <f t="shared" si="156"/>
        <v/>
      </c>
      <c r="M846" s="242" t="str">
        <f t="shared" si="157"/>
        <v/>
      </c>
      <c r="N846" s="242" t="str">
        <f t="shared" si="158"/>
        <v/>
      </c>
      <c r="O846" s="242" t="str">
        <f t="shared" si="159"/>
        <v/>
      </c>
      <c r="P846" s="242" t="str">
        <f t="shared" si="160"/>
        <v/>
      </c>
      <c r="Q846" s="242" t="str">
        <f t="shared" si="161"/>
        <v/>
      </c>
      <c r="R846" s="242" t="str">
        <f t="shared" si="162"/>
        <v/>
      </c>
      <c r="S846" s="242" t="str">
        <f t="shared" si="163"/>
        <v/>
      </c>
      <c r="T846" s="242" t="str">
        <f t="shared" si="164"/>
        <v/>
      </c>
      <c r="U846" s="242" t="str">
        <f t="shared" si="165"/>
        <v/>
      </c>
      <c r="V846" s="242" t="str">
        <f t="shared" si="166"/>
        <v/>
      </c>
      <c r="W846" s="242" t="str">
        <f t="shared" si="167"/>
        <v/>
      </c>
    </row>
    <row r="847" spans="1:23" x14ac:dyDescent="0.2">
      <c r="K847" s="242">
        <v>846</v>
      </c>
      <c r="L847" s="242" t="str">
        <f t="shared" si="156"/>
        <v/>
      </c>
      <c r="M847" s="242" t="str">
        <f t="shared" si="157"/>
        <v/>
      </c>
      <c r="N847" s="242" t="str">
        <f t="shared" si="158"/>
        <v/>
      </c>
      <c r="O847" s="242" t="str">
        <f t="shared" si="159"/>
        <v/>
      </c>
      <c r="P847" s="242" t="str">
        <f t="shared" si="160"/>
        <v/>
      </c>
      <c r="Q847" s="242" t="str">
        <f t="shared" si="161"/>
        <v/>
      </c>
      <c r="R847" s="242" t="str">
        <f t="shared" si="162"/>
        <v/>
      </c>
      <c r="S847" s="242" t="str">
        <f t="shared" si="163"/>
        <v/>
      </c>
      <c r="T847" s="242" t="str">
        <f t="shared" si="164"/>
        <v/>
      </c>
      <c r="U847" s="242" t="str">
        <f t="shared" si="165"/>
        <v/>
      </c>
      <c r="V847" s="242" t="str">
        <f t="shared" si="166"/>
        <v/>
      </c>
      <c r="W847" s="242" t="str">
        <f t="shared" si="167"/>
        <v/>
      </c>
    </row>
    <row r="848" spans="1:23" x14ac:dyDescent="0.2">
      <c r="K848" s="242">
        <v>847</v>
      </c>
      <c r="L848" s="242" t="str">
        <f t="shared" si="156"/>
        <v/>
      </c>
      <c r="M848" s="242" t="str">
        <f t="shared" si="157"/>
        <v/>
      </c>
      <c r="N848" s="242" t="str">
        <f t="shared" si="158"/>
        <v/>
      </c>
      <c r="O848" s="242" t="str">
        <f t="shared" si="159"/>
        <v/>
      </c>
      <c r="P848" s="242" t="str">
        <f t="shared" si="160"/>
        <v/>
      </c>
      <c r="Q848" s="242" t="str">
        <f t="shared" si="161"/>
        <v/>
      </c>
      <c r="R848" s="242" t="str">
        <f t="shared" si="162"/>
        <v/>
      </c>
      <c r="S848" s="242" t="str">
        <f t="shared" si="163"/>
        <v/>
      </c>
      <c r="T848" s="242" t="str">
        <f t="shared" si="164"/>
        <v/>
      </c>
      <c r="U848" s="242" t="str">
        <f t="shared" si="165"/>
        <v/>
      </c>
      <c r="V848" s="242" t="str">
        <f t="shared" si="166"/>
        <v/>
      </c>
      <c r="W848" s="242" t="str">
        <f t="shared" si="167"/>
        <v/>
      </c>
    </row>
    <row r="849" spans="11:23" x14ac:dyDescent="0.2">
      <c r="K849" s="242">
        <v>848</v>
      </c>
      <c r="L849" s="242" t="str">
        <f t="shared" si="156"/>
        <v/>
      </c>
      <c r="M849" s="242" t="str">
        <f t="shared" si="157"/>
        <v/>
      </c>
      <c r="N849" s="242" t="str">
        <f t="shared" si="158"/>
        <v/>
      </c>
      <c r="O849" s="242" t="str">
        <f t="shared" si="159"/>
        <v/>
      </c>
      <c r="P849" s="242" t="str">
        <f t="shared" si="160"/>
        <v/>
      </c>
      <c r="Q849" s="242" t="str">
        <f t="shared" si="161"/>
        <v/>
      </c>
      <c r="R849" s="242" t="str">
        <f t="shared" si="162"/>
        <v/>
      </c>
      <c r="S849" s="242" t="str">
        <f t="shared" si="163"/>
        <v/>
      </c>
      <c r="T849" s="242" t="str">
        <f t="shared" si="164"/>
        <v/>
      </c>
      <c r="U849" s="242" t="str">
        <f t="shared" si="165"/>
        <v/>
      </c>
      <c r="V849" s="242" t="str">
        <f t="shared" si="166"/>
        <v/>
      </c>
      <c r="W849" s="242" t="str">
        <f t="shared" si="167"/>
        <v/>
      </c>
    </row>
    <row r="850" spans="11:23" x14ac:dyDescent="0.2">
      <c r="K850" s="242">
        <v>849</v>
      </c>
      <c r="L850" s="242" t="str">
        <f t="shared" si="156"/>
        <v/>
      </c>
      <c r="M850" s="242" t="str">
        <f t="shared" si="157"/>
        <v/>
      </c>
      <c r="N850" s="242" t="str">
        <f t="shared" si="158"/>
        <v/>
      </c>
      <c r="O850" s="242" t="str">
        <f t="shared" si="159"/>
        <v/>
      </c>
      <c r="P850" s="242" t="str">
        <f t="shared" si="160"/>
        <v/>
      </c>
      <c r="Q850" s="242" t="str">
        <f t="shared" si="161"/>
        <v/>
      </c>
      <c r="R850" s="242" t="str">
        <f t="shared" si="162"/>
        <v/>
      </c>
      <c r="S850" s="242" t="str">
        <f t="shared" si="163"/>
        <v/>
      </c>
      <c r="T850" s="242" t="str">
        <f t="shared" si="164"/>
        <v/>
      </c>
      <c r="U850" s="242" t="str">
        <f t="shared" si="165"/>
        <v/>
      </c>
      <c r="V850" s="242" t="str">
        <f t="shared" si="166"/>
        <v/>
      </c>
      <c r="W850" s="242" t="str">
        <f t="shared" si="167"/>
        <v/>
      </c>
    </row>
    <row r="851" spans="11:23" x14ac:dyDescent="0.2">
      <c r="K851" s="242">
        <v>850</v>
      </c>
      <c r="L851" s="242" t="str">
        <f t="shared" si="156"/>
        <v/>
      </c>
      <c r="M851" s="242" t="str">
        <f t="shared" si="157"/>
        <v/>
      </c>
      <c r="N851" s="242" t="str">
        <f t="shared" si="158"/>
        <v/>
      </c>
      <c r="O851" s="242" t="str">
        <f t="shared" si="159"/>
        <v/>
      </c>
      <c r="P851" s="242" t="str">
        <f t="shared" si="160"/>
        <v/>
      </c>
      <c r="Q851" s="242" t="str">
        <f t="shared" si="161"/>
        <v/>
      </c>
      <c r="R851" s="242" t="str">
        <f t="shared" si="162"/>
        <v/>
      </c>
      <c r="S851" s="242" t="str">
        <f t="shared" si="163"/>
        <v/>
      </c>
      <c r="T851" s="242" t="str">
        <f t="shared" si="164"/>
        <v/>
      </c>
      <c r="U851" s="242" t="str">
        <f t="shared" si="165"/>
        <v/>
      </c>
      <c r="V851" s="242" t="str">
        <f t="shared" si="166"/>
        <v/>
      </c>
      <c r="W851" s="242" t="str">
        <f t="shared" si="167"/>
        <v/>
      </c>
    </row>
    <row r="852" spans="11:23" x14ac:dyDescent="0.2">
      <c r="K852" s="242">
        <v>851</v>
      </c>
      <c r="L852" s="242" t="str">
        <f t="shared" si="156"/>
        <v/>
      </c>
      <c r="M852" s="242" t="str">
        <f t="shared" si="157"/>
        <v/>
      </c>
      <c r="N852" s="242" t="str">
        <f t="shared" si="158"/>
        <v/>
      </c>
      <c r="O852" s="242" t="str">
        <f t="shared" si="159"/>
        <v/>
      </c>
      <c r="P852" s="242" t="str">
        <f t="shared" si="160"/>
        <v/>
      </c>
      <c r="Q852" s="242" t="str">
        <f t="shared" si="161"/>
        <v/>
      </c>
      <c r="R852" s="242" t="str">
        <f t="shared" si="162"/>
        <v/>
      </c>
      <c r="S852" s="242" t="str">
        <f t="shared" si="163"/>
        <v/>
      </c>
      <c r="T852" s="242" t="str">
        <f t="shared" si="164"/>
        <v/>
      </c>
      <c r="U852" s="242" t="str">
        <f t="shared" si="165"/>
        <v/>
      </c>
      <c r="V852" s="242" t="str">
        <f t="shared" si="166"/>
        <v/>
      </c>
      <c r="W852" s="242" t="str">
        <f t="shared" si="167"/>
        <v/>
      </c>
    </row>
    <row r="853" spans="11:23" x14ac:dyDescent="0.2">
      <c r="K853" s="242">
        <v>852</v>
      </c>
      <c r="L853" s="242" t="str">
        <f t="shared" si="156"/>
        <v/>
      </c>
      <c r="M853" s="242" t="str">
        <f t="shared" si="157"/>
        <v/>
      </c>
      <c r="N853" s="242" t="str">
        <f t="shared" si="158"/>
        <v/>
      </c>
      <c r="O853" s="242" t="str">
        <f t="shared" si="159"/>
        <v/>
      </c>
      <c r="P853" s="242" t="str">
        <f t="shared" si="160"/>
        <v/>
      </c>
      <c r="Q853" s="242" t="str">
        <f t="shared" si="161"/>
        <v/>
      </c>
      <c r="R853" s="242" t="str">
        <f t="shared" si="162"/>
        <v/>
      </c>
      <c r="S853" s="242" t="str">
        <f t="shared" si="163"/>
        <v/>
      </c>
      <c r="T853" s="242" t="str">
        <f t="shared" si="164"/>
        <v/>
      </c>
      <c r="U853" s="242" t="str">
        <f t="shared" si="165"/>
        <v/>
      </c>
      <c r="V853" s="242" t="str">
        <f t="shared" si="166"/>
        <v/>
      </c>
      <c r="W853" s="242" t="str">
        <f t="shared" si="167"/>
        <v/>
      </c>
    </row>
    <row r="854" spans="11:23" x14ac:dyDescent="0.2">
      <c r="K854" s="242">
        <v>853</v>
      </c>
      <c r="L854" s="242" t="str">
        <f t="shared" si="156"/>
        <v/>
      </c>
      <c r="M854" s="242" t="str">
        <f t="shared" si="157"/>
        <v/>
      </c>
      <c r="N854" s="242" t="str">
        <f t="shared" si="158"/>
        <v/>
      </c>
      <c r="O854" s="242" t="str">
        <f t="shared" si="159"/>
        <v/>
      </c>
      <c r="P854" s="242" t="str">
        <f t="shared" si="160"/>
        <v/>
      </c>
      <c r="Q854" s="242" t="str">
        <f t="shared" si="161"/>
        <v/>
      </c>
      <c r="R854" s="242" t="str">
        <f t="shared" si="162"/>
        <v/>
      </c>
      <c r="S854" s="242" t="str">
        <f t="shared" si="163"/>
        <v/>
      </c>
      <c r="T854" s="242" t="str">
        <f t="shared" si="164"/>
        <v/>
      </c>
      <c r="U854" s="242" t="str">
        <f t="shared" si="165"/>
        <v/>
      </c>
      <c r="V854" s="242" t="str">
        <f t="shared" si="166"/>
        <v/>
      </c>
      <c r="W854" s="242" t="str">
        <f t="shared" si="167"/>
        <v/>
      </c>
    </row>
    <row r="855" spans="11:23" x14ac:dyDescent="0.2">
      <c r="K855" s="242">
        <v>854</v>
      </c>
      <c r="L855" s="242" t="str">
        <f t="shared" si="156"/>
        <v/>
      </c>
      <c r="M855" s="242" t="str">
        <f t="shared" si="157"/>
        <v/>
      </c>
      <c r="N855" s="242" t="str">
        <f t="shared" si="158"/>
        <v/>
      </c>
      <c r="O855" s="242" t="str">
        <f t="shared" si="159"/>
        <v/>
      </c>
      <c r="P855" s="242" t="str">
        <f t="shared" si="160"/>
        <v/>
      </c>
      <c r="Q855" s="242" t="str">
        <f t="shared" si="161"/>
        <v/>
      </c>
      <c r="R855" s="242" t="str">
        <f t="shared" si="162"/>
        <v/>
      </c>
      <c r="S855" s="242" t="str">
        <f t="shared" si="163"/>
        <v/>
      </c>
      <c r="T855" s="242" t="str">
        <f t="shared" si="164"/>
        <v/>
      </c>
      <c r="U855" s="242" t="str">
        <f t="shared" si="165"/>
        <v/>
      </c>
      <c r="V855" s="242" t="str">
        <f t="shared" si="166"/>
        <v/>
      </c>
      <c r="W855" s="242" t="str">
        <f t="shared" si="167"/>
        <v/>
      </c>
    </row>
    <row r="856" spans="11:23" x14ac:dyDescent="0.2">
      <c r="K856" s="242">
        <v>855</v>
      </c>
      <c r="L856" s="242" t="str">
        <f t="shared" si="156"/>
        <v/>
      </c>
      <c r="M856" s="242" t="str">
        <f t="shared" si="157"/>
        <v/>
      </c>
      <c r="N856" s="242" t="str">
        <f t="shared" si="158"/>
        <v/>
      </c>
      <c r="O856" s="242" t="str">
        <f t="shared" si="159"/>
        <v/>
      </c>
      <c r="P856" s="242" t="str">
        <f t="shared" si="160"/>
        <v/>
      </c>
      <c r="Q856" s="242" t="str">
        <f t="shared" si="161"/>
        <v/>
      </c>
      <c r="R856" s="242" t="str">
        <f t="shared" si="162"/>
        <v/>
      </c>
      <c r="S856" s="242" t="str">
        <f t="shared" si="163"/>
        <v/>
      </c>
      <c r="T856" s="242" t="str">
        <f t="shared" si="164"/>
        <v/>
      </c>
      <c r="U856" s="242" t="str">
        <f t="shared" si="165"/>
        <v/>
      </c>
      <c r="V856" s="242" t="str">
        <f t="shared" si="166"/>
        <v/>
      </c>
      <c r="W856" s="242" t="str">
        <f t="shared" si="167"/>
        <v/>
      </c>
    </row>
    <row r="857" spans="11:23" x14ac:dyDescent="0.2">
      <c r="K857" s="242">
        <v>856</v>
      </c>
      <c r="L857" s="242" t="str">
        <f t="shared" si="156"/>
        <v/>
      </c>
      <c r="M857" s="242" t="str">
        <f t="shared" si="157"/>
        <v/>
      </c>
      <c r="N857" s="242" t="str">
        <f t="shared" si="158"/>
        <v/>
      </c>
      <c r="O857" s="242" t="str">
        <f t="shared" si="159"/>
        <v/>
      </c>
      <c r="P857" s="242" t="str">
        <f t="shared" si="160"/>
        <v/>
      </c>
      <c r="Q857" s="242" t="str">
        <f t="shared" si="161"/>
        <v/>
      </c>
      <c r="R857" s="242" t="str">
        <f t="shared" si="162"/>
        <v/>
      </c>
      <c r="S857" s="242" t="str">
        <f t="shared" si="163"/>
        <v/>
      </c>
      <c r="T857" s="242" t="str">
        <f t="shared" si="164"/>
        <v/>
      </c>
      <c r="U857" s="242" t="str">
        <f t="shared" si="165"/>
        <v/>
      </c>
      <c r="V857" s="242" t="str">
        <f t="shared" si="166"/>
        <v/>
      </c>
      <c r="W857" s="242" t="str">
        <f t="shared" si="167"/>
        <v/>
      </c>
    </row>
    <row r="858" spans="11:23" x14ac:dyDescent="0.2">
      <c r="K858" s="242">
        <v>857</v>
      </c>
      <c r="L858" s="242" t="str">
        <f t="shared" si="156"/>
        <v/>
      </c>
      <c r="M858" s="242" t="str">
        <f t="shared" si="157"/>
        <v/>
      </c>
      <c r="N858" s="242" t="str">
        <f t="shared" si="158"/>
        <v/>
      </c>
      <c r="O858" s="242" t="str">
        <f t="shared" si="159"/>
        <v/>
      </c>
      <c r="P858" s="242" t="str">
        <f t="shared" si="160"/>
        <v/>
      </c>
      <c r="Q858" s="242" t="str">
        <f t="shared" si="161"/>
        <v/>
      </c>
      <c r="R858" s="242" t="str">
        <f t="shared" si="162"/>
        <v/>
      </c>
      <c r="S858" s="242" t="str">
        <f t="shared" si="163"/>
        <v/>
      </c>
      <c r="T858" s="242" t="str">
        <f t="shared" si="164"/>
        <v/>
      </c>
      <c r="U858" s="242" t="str">
        <f t="shared" si="165"/>
        <v/>
      </c>
      <c r="V858" s="242" t="str">
        <f t="shared" si="166"/>
        <v/>
      </c>
      <c r="W858" s="242" t="str">
        <f t="shared" si="167"/>
        <v/>
      </c>
    </row>
    <row r="859" spans="11:23" x14ac:dyDescent="0.2">
      <c r="K859" s="242">
        <v>858</v>
      </c>
      <c r="L859" s="242" t="str">
        <f t="shared" si="156"/>
        <v/>
      </c>
      <c r="M859" s="242" t="str">
        <f t="shared" si="157"/>
        <v/>
      </c>
      <c r="N859" s="242" t="str">
        <f t="shared" si="158"/>
        <v/>
      </c>
      <c r="O859" s="242" t="str">
        <f t="shared" si="159"/>
        <v/>
      </c>
      <c r="P859" s="242" t="str">
        <f t="shared" si="160"/>
        <v/>
      </c>
      <c r="Q859" s="242" t="str">
        <f t="shared" si="161"/>
        <v/>
      </c>
      <c r="R859" s="242" t="str">
        <f t="shared" si="162"/>
        <v/>
      </c>
      <c r="S859" s="242" t="str">
        <f t="shared" si="163"/>
        <v/>
      </c>
      <c r="T859" s="242" t="str">
        <f t="shared" si="164"/>
        <v/>
      </c>
      <c r="U859" s="242" t="str">
        <f t="shared" si="165"/>
        <v/>
      </c>
      <c r="V859" s="242" t="str">
        <f t="shared" si="166"/>
        <v/>
      </c>
      <c r="W859" s="242" t="str">
        <f t="shared" si="167"/>
        <v/>
      </c>
    </row>
    <row r="860" spans="11:23" x14ac:dyDescent="0.2">
      <c r="K860" s="242">
        <v>859</v>
      </c>
      <c r="L860" s="242" t="str">
        <f t="shared" si="156"/>
        <v/>
      </c>
      <c r="M860" s="242" t="str">
        <f t="shared" si="157"/>
        <v/>
      </c>
      <c r="N860" s="242" t="str">
        <f t="shared" si="158"/>
        <v/>
      </c>
      <c r="O860" s="242" t="str">
        <f t="shared" si="159"/>
        <v/>
      </c>
      <c r="P860" s="242" t="str">
        <f t="shared" si="160"/>
        <v/>
      </c>
      <c r="Q860" s="242" t="str">
        <f t="shared" si="161"/>
        <v/>
      </c>
      <c r="R860" s="242" t="str">
        <f t="shared" si="162"/>
        <v/>
      </c>
      <c r="S860" s="242" t="str">
        <f t="shared" si="163"/>
        <v/>
      </c>
      <c r="T860" s="242" t="str">
        <f t="shared" si="164"/>
        <v/>
      </c>
      <c r="U860" s="242" t="str">
        <f t="shared" si="165"/>
        <v/>
      </c>
      <c r="V860" s="242" t="str">
        <f t="shared" si="166"/>
        <v/>
      </c>
      <c r="W860" s="242" t="str">
        <f t="shared" si="167"/>
        <v/>
      </c>
    </row>
    <row r="861" spans="11:23" x14ac:dyDescent="0.2">
      <c r="K861" s="242">
        <v>860</v>
      </c>
      <c r="L861" s="242" t="str">
        <f t="shared" si="156"/>
        <v/>
      </c>
      <c r="M861" s="242" t="str">
        <f t="shared" si="157"/>
        <v/>
      </c>
      <c r="N861" s="242" t="str">
        <f t="shared" si="158"/>
        <v/>
      </c>
      <c r="O861" s="242" t="str">
        <f t="shared" si="159"/>
        <v/>
      </c>
      <c r="P861" s="242" t="str">
        <f t="shared" si="160"/>
        <v/>
      </c>
      <c r="Q861" s="242" t="str">
        <f t="shared" si="161"/>
        <v/>
      </c>
      <c r="R861" s="242" t="str">
        <f t="shared" si="162"/>
        <v/>
      </c>
      <c r="S861" s="242" t="str">
        <f t="shared" si="163"/>
        <v/>
      </c>
      <c r="T861" s="242" t="str">
        <f t="shared" si="164"/>
        <v/>
      </c>
      <c r="U861" s="242" t="str">
        <f t="shared" si="165"/>
        <v/>
      </c>
      <c r="V861" s="242" t="str">
        <f t="shared" si="166"/>
        <v/>
      </c>
      <c r="W861" s="242" t="str">
        <f t="shared" si="167"/>
        <v/>
      </c>
    </row>
    <row r="862" spans="11:23" x14ac:dyDescent="0.2">
      <c r="K862" s="242">
        <v>861</v>
      </c>
      <c r="L862" s="242" t="str">
        <f t="shared" si="156"/>
        <v/>
      </c>
      <c r="M862" s="242" t="str">
        <f t="shared" si="157"/>
        <v/>
      </c>
      <c r="N862" s="242" t="str">
        <f t="shared" si="158"/>
        <v/>
      </c>
      <c r="O862" s="242" t="str">
        <f t="shared" si="159"/>
        <v/>
      </c>
      <c r="P862" s="242" t="str">
        <f t="shared" si="160"/>
        <v/>
      </c>
      <c r="Q862" s="242" t="str">
        <f t="shared" si="161"/>
        <v/>
      </c>
      <c r="R862" s="242" t="str">
        <f t="shared" si="162"/>
        <v/>
      </c>
      <c r="S862" s="242" t="str">
        <f t="shared" si="163"/>
        <v/>
      </c>
      <c r="T862" s="242" t="str">
        <f t="shared" si="164"/>
        <v/>
      </c>
      <c r="U862" s="242" t="str">
        <f t="shared" si="165"/>
        <v/>
      </c>
      <c r="V862" s="242" t="str">
        <f t="shared" si="166"/>
        <v/>
      </c>
      <c r="W862" s="242" t="str">
        <f t="shared" si="167"/>
        <v/>
      </c>
    </row>
    <row r="863" spans="11:23" x14ac:dyDescent="0.2">
      <c r="K863" s="242">
        <v>862</v>
      </c>
      <c r="L863" s="242" t="str">
        <f t="shared" si="156"/>
        <v/>
      </c>
      <c r="M863" s="242" t="str">
        <f t="shared" si="157"/>
        <v/>
      </c>
      <c r="N863" s="242" t="str">
        <f t="shared" si="158"/>
        <v/>
      </c>
      <c r="O863" s="242" t="str">
        <f t="shared" si="159"/>
        <v/>
      </c>
      <c r="P863" s="242" t="str">
        <f t="shared" si="160"/>
        <v/>
      </c>
      <c r="Q863" s="242" t="str">
        <f t="shared" si="161"/>
        <v/>
      </c>
      <c r="R863" s="242" t="str">
        <f t="shared" si="162"/>
        <v/>
      </c>
      <c r="S863" s="242" t="str">
        <f t="shared" si="163"/>
        <v/>
      </c>
      <c r="T863" s="242" t="str">
        <f t="shared" si="164"/>
        <v/>
      </c>
      <c r="U863" s="242" t="str">
        <f t="shared" si="165"/>
        <v/>
      </c>
      <c r="V863" s="242" t="str">
        <f t="shared" si="166"/>
        <v/>
      </c>
      <c r="W863" s="242" t="str">
        <f t="shared" si="167"/>
        <v/>
      </c>
    </row>
    <row r="864" spans="11:23" x14ac:dyDescent="0.2">
      <c r="K864" s="242">
        <v>863</v>
      </c>
      <c r="L864" s="242" t="str">
        <f t="shared" si="156"/>
        <v/>
      </c>
      <c r="M864" s="242" t="str">
        <f t="shared" si="157"/>
        <v/>
      </c>
      <c r="N864" s="242" t="str">
        <f t="shared" si="158"/>
        <v/>
      </c>
      <c r="O864" s="242" t="str">
        <f t="shared" si="159"/>
        <v/>
      </c>
      <c r="P864" s="242" t="str">
        <f t="shared" si="160"/>
        <v/>
      </c>
      <c r="Q864" s="242" t="str">
        <f t="shared" si="161"/>
        <v/>
      </c>
      <c r="R864" s="242" t="str">
        <f t="shared" si="162"/>
        <v/>
      </c>
      <c r="S864" s="242" t="str">
        <f t="shared" si="163"/>
        <v/>
      </c>
      <c r="T864" s="242" t="str">
        <f t="shared" si="164"/>
        <v/>
      </c>
      <c r="U864" s="242" t="str">
        <f t="shared" si="165"/>
        <v/>
      </c>
      <c r="V864" s="242" t="str">
        <f t="shared" si="166"/>
        <v/>
      </c>
      <c r="W864" s="242" t="str">
        <f t="shared" si="167"/>
        <v/>
      </c>
    </row>
    <row r="865" spans="11:23" x14ac:dyDescent="0.2">
      <c r="K865" s="242">
        <v>864</v>
      </c>
      <c r="L865" s="242" t="str">
        <f t="shared" si="156"/>
        <v/>
      </c>
      <c r="M865" s="242" t="str">
        <f t="shared" si="157"/>
        <v/>
      </c>
      <c r="N865" s="242" t="str">
        <f t="shared" si="158"/>
        <v/>
      </c>
      <c r="O865" s="242" t="str">
        <f t="shared" si="159"/>
        <v/>
      </c>
      <c r="P865" s="242" t="str">
        <f t="shared" si="160"/>
        <v/>
      </c>
      <c r="Q865" s="242" t="str">
        <f t="shared" si="161"/>
        <v/>
      </c>
      <c r="R865" s="242" t="str">
        <f t="shared" si="162"/>
        <v/>
      </c>
      <c r="S865" s="242" t="str">
        <f t="shared" si="163"/>
        <v/>
      </c>
      <c r="T865" s="242" t="str">
        <f t="shared" si="164"/>
        <v/>
      </c>
      <c r="U865" s="242" t="str">
        <f t="shared" si="165"/>
        <v/>
      </c>
      <c r="V865" s="242" t="str">
        <f t="shared" si="166"/>
        <v/>
      </c>
      <c r="W865" s="242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A1:GM1005"/>
  <sheetViews>
    <sheetView showGridLines="0" zoomScaleNormal="100" workbookViewId="0">
      <selection activeCell="U15" sqref="U15"/>
    </sheetView>
  </sheetViews>
  <sheetFormatPr defaultRowHeight="12.75" x14ac:dyDescent="0.2"/>
  <cols>
    <col min="1" max="1" width="1.7109375" style="150" customWidth="1"/>
    <col min="2" max="2" width="5.28515625" style="150" customWidth="1"/>
    <col min="3" max="3" width="25.28515625" style="150" customWidth="1"/>
    <col min="4" max="4" width="8.7109375" style="150" customWidth="1"/>
    <col min="5" max="5" width="6.5703125" style="150" customWidth="1"/>
    <col min="6" max="6" width="1.85546875" style="171" customWidth="1"/>
    <col min="7" max="7" width="6.5703125" style="150" customWidth="1"/>
    <col min="8" max="8" width="10.42578125" style="150" bestFit="1" customWidth="1"/>
    <col min="9" max="9" width="6.5703125" style="150" customWidth="1"/>
    <col min="10" max="10" width="1.85546875" style="171" customWidth="1"/>
    <col min="11" max="11" width="6.5703125" style="150" customWidth="1"/>
    <col min="12" max="12" width="8.7109375" style="150" customWidth="1"/>
    <col min="13" max="13" width="24.140625" style="150" customWidth="1"/>
    <col min="14" max="14" width="15.5703125" style="150" customWidth="1"/>
    <col min="15" max="15" width="9.85546875" style="219" customWidth="1"/>
    <col min="16" max="16" width="5.28515625" style="150" customWidth="1"/>
    <col min="17" max="17" width="2.140625" style="172" customWidth="1"/>
    <col min="18" max="18" width="10.140625" style="150" customWidth="1"/>
    <col min="19" max="19" width="10.28515625" style="150" customWidth="1"/>
    <col min="20" max="21" width="10.5703125" style="150" customWidth="1"/>
    <col min="22" max="22" width="6.7109375" style="150" customWidth="1"/>
    <col min="23" max="23" width="16.42578125" style="150" customWidth="1"/>
    <col min="24" max="24" width="1.7109375" style="202" customWidth="1"/>
    <col min="25" max="25" width="7.85546875" style="149" hidden="1" customWidth="1"/>
    <col min="26" max="30" width="9.140625" style="148" hidden="1" customWidth="1"/>
    <col min="31" max="35" width="9.140625" style="147" hidden="1" customWidth="1"/>
    <col min="36" max="38" width="9.140625" style="149" hidden="1" customWidth="1"/>
    <col min="39" max="39" width="32.42578125" style="149" hidden="1" customWidth="1"/>
    <col min="40" max="40" width="11.7109375" style="149" hidden="1" customWidth="1"/>
    <col min="41" max="41" width="10.7109375" style="149" hidden="1" customWidth="1"/>
    <col min="42" max="43" width="9.140625" style="149" hidden="1" customWidth="1"/>
    <col min="44" max="44" width="27.28515625" style="149" hidden="1" customWidth="1"/>
    <col min="45" max="45" width="11.7109375" style="149" hidden="1" customWidth="1"/>
    <col min="46" max="46" width="10.7109375" style="149" hidden="1" customWidth="1"/>
    <col min="47" max="48" width="9.140625" style="149" hidden="1" customWidth="1"/>
    <col min="49" max="49" width="27.28515625" style="149" hidden="1" customWidth="1"/>
    <col min="50" max="50" width="11.7109375" style="149" hidden="1" customWidth="1"/>
    <col min="51" max="51" width="10.7109375" style="149" hidden="1" customWidth="1"/>
    <col min="52" max="53" width="9.140625" style="149" hidden="1" customWidth="1"/>
    <col min="54" max="54" width="27.28515625" style="149" hidden="1" customWidth="1"/>
    <col min="55" max="55" width="11.7109375" style="149" hidden="1" customWidth="1"/>
    <col min="56" max="56" width="10.7109375" style="149" hidden="1" customWidth="1"/>
    <col min="57" max="58" width="9.140625" style="149" hidden="1" customWidth="1"/>
    <col min="59" max="59" width="27.28515625" style="149" hidden="1" customWidth="1"/>
    <col min="60" max="60" width="11.7109375" style="149" hidden="1" customWidth="1"/>
    <col min="61" max="61" width="10.7109375" style="149" hidden="1" customWidth="1"/>
    <col min="62" max="63" width="9.140625" style="149" hidden="1" customWidth="1"/>
    <col min="64" max="64" width="27.28515625" style="149" hidden="1" customWidth="1"/>
    <col min="65" max="65" width="9.140625" style="149" hidden="1" customWidth="1"/>
    <col min="66" max="88" width="9.140625" style="150" hidden="1" customWidth="1"/>
    <col min="89" max="89" width="2.7109375" style="180" customWidth="1"/>
    <col min="90" max="90" width="112" style="180" customWidth="1"/>
    <col min="91" max="195" width="9.140625" style="180"/>
    <col min="196" max="16384" width="9.140625" style="150"/>
  </cols>
  <sheetData>
    <row r="1" spans="1:90" ht="13.5" thickBot="1" x14ac:dyDescent="0.25">
      <c r="A1" s="143"/>
      <c r="B1" s="144"/>
      <c r="C1" s="144"/>
      <c r="D1" s="144"/>
      <c r="E1" s="144"/>
      <c r="F1" s="145"/>
      <c r="G1" s="144"/>
      <c r="H1" s="144"/>
      <c r="I1" s="144"/>
      <c r="J1" s="145"/>
      <c r="K1" s="144"/>
      <c r="L1" s="144"/>
      <c r="M1" s="144"/>
      <c r="N1" s="144"/>
      <c r="O1" s="211"/>
      <c r="P1" s="144"/>
      <c r="Q1" s="146"/>
      <c r="R1" s="144"/>
      <c r="S1" s="144"/>
      <c r="T1" s="144"/>
      <c r="U1" s="144"/>
      <c r="V1" s="144"/>
      <c r="W1" s="144"/>
      <c r="X1" s="197"/>
      <c r="Y1" s="147" t="s">
        <v>77</v>
      </c>
      <c r="Z1" s="148" t="s">
        <v>79</v>
      </c>
      <c r="AE1" s="147" t="s">
        <v>13</v>
      </c>
      <c r="AF1" s="147" t="str">
        <f>IF('Cable Info'!C11="","",CONCATENATE("[",AE1,"]"," ",'Cable Info'!C11))</f>
        <v>[A] 460-092: ZAYO-ENT-S-1</v>
      </c>
      <c r="AI1" s="147" t="s">
        <v>21</v>
      </c>
      <c r="AJ1" s="149" t="s">
        <v>13</v>
      </c>
      <c r="AM1" s="149" t="str">
        <f>AF1</f>
        <v>[A] 460-092: ZAYO-ENT-S-1</v>
      </c>
      <c r="AN1" s="149" t="s">
        <v>21</v>
      </c>
      <c r="AO1" s="149" t="s">
        <v>14</v>
      </c>
      <c r="AR1" s="149" t="str">
        <f>AF2</f>
        <v/>
      </c>
      <c r="AS1" s="149" t="s">
        <v>21</v>
      </c>
      <c r="AT1" s="149" t="s">
        <v>50</v>
      </c>
      <c r="AW1" s="149" t="str">
        <f>AF3</f>
        <v/>
      </c>
      <c r="AX1" s="149" t="s">
        <v>21</v>
      </c>
      <c r="AY1" s="149" t="s">
        <v>51</v>
      </c>
      <c r="BB1" s="149" t="str">
        <f>AF4</f>
        <v/>
      </c>
      <c r="BC1" s="149" t="s">
        <v>21</v>
      </c>
      <c r="BD1" s="149" t="s">
        <v>52</v>
      </c>
      <c r="BG1" s="149" t="str">
        <f>AF5</f>
        <v/>
      </c>
      <c r="BH1" s="149" t="s">
        <v>21</v>
      </c>
      <c r="BI1" s="149" t="s">
        <v>53</v>
      </c>
      <c r="BL1" s="149" t="str">
        <f>AF6</f>
        <v/>
      </c>
    </row>
    <row r="2" spans="1:90" ht="13.5" thickBot="1" x14ac:dyDescent="0.25">
      <c r="A2" s="151"/>
      <c r="B2" s="566" t="s">
        <v>8</v>
      </c>
      <c r="C2" s="567"/>
      <c r="D2" s="152"/>
      <c r="E2" s="153"/>
      <c r="F2" s="154"/>
      <c r="G2" s="153"/>
      <c r="H2" s="153"/>
      <c r="I2" s="153"/>
      <c r="J2" s="154"/>
      <c r="K2" s="153"/>
      <c r="L2" s="153"/>
      <c r="M2" s="153"/>
      <c r="N2" s="153"/>
      <c r="O2" s="212"/>
      <c r="P2" s="153"/>
      <c r="Q2" s="155"/>
      <c r="R2" s="153"/>
      <c r="S2" s="153"/>
      <c r="T2" s="153"/>
      <c r="U2" s="566" t="s">
        <v>9</v>
      </c>
      <c r="V2" s="575"/>
      <c r="W2" s="567"/>
      <c r="X2" s="198"/>
      <c r="Y2" s="147" t="s">
        <v>78</v>
      </c>
      <c r="Z2" s="148" t="s">
        <v>71</v>
      </c>
      <c r="AE2" s="147" t="s">
        <v>14</v>
      </c>
      <c r="AF2" s="147" t="str">
        <f>IF('Cable Info'!C18="","",CONCATENATE("[",AE2,"]"," ",'Cable Info'!C18))</f>
        <v/>
      </c>
      <c r="AJ2" s="149" t="e">
        <f>IF('Cable Info'!L2="","",CONCATENATE('Cable Info'!L2," - ",'Cable Info'!M2))</f>
        <v>#N/A</v>
      </c>
      <c r="AM2" s="149" t="e">
        <f>IF(AK2="",AJ2,CONCATENATE(AJ2,"  &lt;=&gt; ",AK2," ",AL2))</f>
        <v>#N/A</v>
      </c>
      <c r="AO2" s="149" t="str">
        <f>IF('Cable Info'!N2="","",CONCATENATE('Cable Info'!N2," - ",'Cable Info'!O2))</f>
        <v/>
      </c>
      <c r="AR2" s="149" t="str">
        <f>IF(AP2="",AO2,CONCATENATE(AO2,"  &lt;=&gt; ",AP2," ",AQ2))</f>
        <v/>
      </c>
      <c r="AT2" s="149" t="str">
        <f>IF('Cable Info'!P2="","",CONCATENATE('Cable Info'!P2," - ",'Cable Info'!Q2))</f>
        <v/>
      </c>
      <c r="AW2" s="149" t="str">
        <f>IF(AU2="",AT2,CONCATENATE(AT2,"  &lt;=&gt; ",AU2," ",AV2))</f>
        <v/>
      </c>
      <c r="AY2" s="149" t="str">
        <f>IF('Cable Info'!R2="","",CONCATENATE('Cable Info'!R2," - ",'Cable Info'!S2))</f>
        <v/>
      </c>
      <c r="BB2" s="149" t="str">
        <f>IF(AZ2="",AY2,CONCATENATE(AY2,"  &lt;=&gt; ",AZ2," ",BA2))</f>
        <v/>
      </c>
      <c r="BD2" s="149" t="str">
        <f>IF('Cable Info'!T2="","",CONCATENATE('Cable Info'!T2," - ",'Cable Info'!U2))</f>
        <v/>
      </c>
      <c r="BG2" s="149" t="str">
        <f>IF(BE2="",BD2,CONCATENATE(BD2,"  &lt;=&gt; ",BE2," ",BF2))</f>
        <v/>
      </c>
      <c r="BI2" s="149" t="str">
        <f>IF('Cable Info'!V2="","",CONCATENATE('Cable Info'!V2," - ",'Cable Info'!W2))</f>
        <v/>
      </c>
      <c r="BL2" s="149" t="str">
        <f>IF(BJ2="",BI2,CONCATENATE(BI2,"  &lt;=&gt; ",BJ2," ",BK2))</f>
        <v/>
      </c>
    </row>
    <row r="3" spans="1:90" ht="12.75" customHeight="1" x14ac:dyDescent="0.2">
      <c r="A3" s="151"/>
      <c r="B3" s="568" t="str">
        <f>'Cover - Location Info'!J8</f>
        <v>101536</v>
      </c>
      <c r="C3" s="569"/>
      <c r="D3" s="153"/>
      <c r="E3" s="153"/>
      <c r="F3" s="154"/>
      <c r="G3" s="153"/>
      <c r="H3" s="153"/>
      <c r="I3" s="153"/>
      <c r="J3" s="154"/>
      <c r="K3" s="153"/>
      <c r="L3" s="153"/>
      <c r="M3" s="153"/>
      <c r="N3" s="153"/>
      <c r="O3" s="212"/>
      <c r="P3" s="153"/>
      <c r="Q3" s="155"/>
      <c r="R3" s="153"/>
      <c r="S3" s="153"/>
      <c r="T3" s="153"/>
      <c r="U3" s="576" t="str">
        <f>'Cover - Location Info'!J10</f>
        <v>1.0</v>
      </c>
      <c r="V3" s="577"/>
      <c r="W3" s="578"/>
      <c r="X3" s="198"/>
      <c r="Y3" s="147"/>
      <c r="AE3" s="147" t="s">
        <v>50</v>
      </c>
      <c r="AF3" s="147" t="str">
        <f>IF('Cable Info'!C25="","",CONCATENATE("[",AE3,"]"," ",'Cable Info'!C25))</f>
        <v/>
      </c>
      <c r="AJ3" s="149" t="e">
        <f>IF('Cable Info'!L3="","",CONCATENATE('Cable Info'!L3," - ",'Cable Info'!M3))</f>
        <v>#N/A</v>
      </c>
      <c r="AM3" s="149" t="e">
        <f t="shared" ref="AM3:AM206" si="0">IF(AK3="",AJ3,CONCATENATE(AJ3,"  &lt;=&gt; ",AK3," ",AL3))</f>
        <v>#N/A</v>
      </c>
      <c r="AO3" s="149" t="str">
        <f>IF('Cable Info'!N3="","",CONCATENATE('Cable Info'!N3," - ",'Cable Info'!O3))</f>
        <v/>
      </c>
      <c r="AR3" s="149" t="str">
        <f t="shared" ref="AR3:AR206" si="1">IF(AP3="",AO3,CONCATENATE(AO3,"  &lt;=&gt; ",AP3," ",AQ3))</f>
        <v/>
      </c>
      <c r="AT3" s="149" t="str">
        <f>IF('Cable Info'!P3="","",CONCATENATE('Cable Info'!P3," - ",'Cable Info'!Q3))</f>
        <v/>
      </c>
      <c r="AW3" s="149" t="str">
        <f t="shared" ref="AW3:AW206" si="2">IF(AU3="",AT3,CONCATENATE(AT3,"  &lt;=&gt; ",AU3," ",AV3))</f>
        <v/>
      </c>
      <c r="AY3" s="149" t="str">
        <f>IF('Cable Info'!R3="","",CONCATENATE('Cable Info'!R3," - ",'Cable Info'!S3))</f>
        <v/>
      </c>
      <c r="BB3" s="149" t="str">
        <f t="shared" ref="BB3:BB206" si="3">IF(AZ3="",AY3,CONCATENATE(AY3,"  &lt;=&gt; ",AZ3," ",BA3))</f>
        <v/>
      </c>
      <c r="BD3" s="149" t="str">
        <f>IF('Cable Info'!T3="","",CONCATENATE('Cable Info'!T3," - ",'Cable Info'!U3))</f>
        <v/>
      </c>
      <c r="BG3" s="149" t="str">
        <f t="shared" ref="BG3:BG206" si="4">IF(BE3="",BD3,CONCATENATE(BD3,"  &lt;=&gt; ",BE3," ",BF3))</f>
        <v/>
      </c>
      <c r="BI3" s="149" t="str">
        <f>IF('Cable Info'!V3="","",CONCATENATE('Cable Info'!V3," - ",'Cable Info'!W3))</f>
        <v/>
      </c>
      <c r="BL3" s="149" t="str">
        <f t="shared" ref="BL3:BL206" si="5">IF(BJ3="",BI3,CONCATENATE(BI3,"  &lt;=&gt; ",BJ3," ",BK3))</f>
        <v/>
      </c>
    </row>
    <row r="4" spans="1:90" ht="12.75" customHeight="1" thickBot="1" x14ac:dyDescent="0.25">
      <c r="A4" s="151"/>
      <c r="B4" s="570"/>
      <c r="C4" s="571"/>
      <c r="D4" s="153"/>
      <c r="E4" s="153"/>
      <c r="F4" s="154"/>
      <c r="G4" s="153"/>
      <c r="H4" s="153"/>
      <c r="I4" s="153"/>
      <c r="J4" s="154"/>
      <c r="K4" s="153"/>
      <c r="L4" s="153"/>
      <c r="M4" s="153"/>
      <c r="N4" s="153"/>
      <c r="O4" s="212"/>
      <c r="P4" s="153"/>
      <c r="Q4" s="155"/>
      <c r="R4" s="153"/>
      <c r="S4" s="153"/>
      <c r="T4" s="153"/>
      <c r="U4" s="579"/>
      <c r="V4" s="580"/>
      <c r="W4" s="581"/>
      <c r="X4" s="198"/>
      <c r="Y4" s="147"/>
      <c r="AE4" s="148" t="s">
        <v>51</v>
      </c>
      <c r="AF4" s="147" t="str">
        <f>IF('Cable Info'!C32="","",CONCATENATE("[",AE4,"]"," ",'Cable Info'!C32))</f>
        <v/>
      </c>
      <c r="AJ4" s="149" t="e">
        <f>IF('Cable Info'!L4="","",CONCATENATE('Cable Info'!L4," - ",'Cable Info'!M4))</f>
        <v>#N/A</v>
      </c>
      <c r="AM4" s="149" t="e">
        <f t="shared" si="0"/>
        <v>#N/A</v>
      </c>
      <c r="AO4" s="149" t="str">
        <f>IF('Cable Info'!N4="","",CONCATENATE('Cable Info'!N4," - ",'Cable Info'!O4))</f>
        <v/>
      </c>
      <c r="AR4" s="149" t="str">
        <f t="shared" si="1"/>
        <v/>
      </c>
      <c r="AT4" s="149" t="str">
        <f>IF('Cable Info'!P4="","",CONCATENATE('Cable Info'!P4," - ",'Cable Info'!Q4))</f>
        <v/>
      </c>
      <c r="AW4" s="149" t="str">
        <f t="shared" si="2"/>
        <v/>
      </c>
      <c r="AY4" s="149" t="str">
        <f>IF('Cable Info'!R4="","",CONCATENATE('Cable Info'!R4," - ",'Cable Info'!S4))</f>
        <v/>
      </c>
      <c r="BB4" s="149" t="str">
        <f t="shared" si="3"/>
        <v/>
      </c>
      <c r="BD4" s="149" t="str">
        <f>IF('Cable Info'!T4="","",CONCATENATE('Cable Info'!T4," - ",'Cable Info'!U4))</f>
        <v/>
      </c>
      <c r="BG4" s="149" t="str">
        <f t="shared" si="4"/>
        <v/>
      </c>
      <c r="BI4" s="149" t="str">
        <f>IF('Cable Info'!V4="","",CONCATENATE('Cable Info'!V4," - ",'Cable Info'!W4))</f>
        <v/>
      </c>
      <c r="BL4" s="149" t="str">
        <f t="shared" si="5"/>
        <v/>
      </c>
    </row>
    <row r="5" spans="1:90" ht="18" customHeight="1" x14ac:dyDescent="0.25">
      <c r="A5" s="151"/>
      <c r="B5" s="6"/>
      <c r="C5" s="6"/>
      <c r="D5" s="6"/>
      <c r="E5" s="6"/>
      <c r="F5" s="131"/>
      <c r="G5" s="582" t="str">
        <f>IF(AB9&gt;0,"COUNT MISMATCH","")</f>
        <v/>
      </c>
      <c r="H5" s="582"/>
      <c r="I5" s="582"/>
      <c r="J5" s="131"/>
      <c r="K5" s="6"/>
      <c r="L5" s="6"/>
      <c r="M5" s="6"/>
      <c r="N5" s="6"/>
      <c r="O5" s="213"/>
      <c r="P5" s="6"/>
      <c r="Q5" s="134"/>
      <c r="R5" s="6"/>
      <c r="S5" s="6"/>
      <c r="T5" s="6"/>
      <c r="U5" s="6"/>
      <c r="V5" s="6"/>
      <c r="W5" s="6"/>
      <c r="X5" s="198"/>
      <c r="Y5" s="147"/>
      <c r="Z5" s="148" t="s">
        <v>12</v>
      </c>
      <c r="AE5" s="148" t="s">
        <v>52</v>
      </c>
      <c r="AF5" s="147" t="str">
        <f>IF('Cable Info'!C39="","",CONCATENATE("[",AE5,"]"," ",'Cable Info'!C39))</f>
        <v/>
      </c>
      <c r="AJ5" s="149" t="e">
        <f>IF('Cable Info'!L5="","",CONCATENATE('Cable Info'!L5," - ",'Cable Info'!M5))</f>
        <v>#N/A</v>
      </c>
      <c r="AM5" s="149" t="e">
        <f t="shared" si="0"/>
        <v>#N/A</v>
      </c>
      <c r="AO5" s="149" t="str">
        <f>IF('Cable Info'!N5="","",CONCATENATE('Cable Info'!N5," - ",'Cable Info'!O5))</f>
        <v/>
      </c>
      <c r="AR5" s="149" t="str">
        <f t="shared" si="1"/>
        <v/>
      </c>
      <c r="AT5" s="149" t="str">
        <f>IF('Cable Info'!P5="","",CONCATENATE('Cable Info'!P5," - ",'Cable Info'!Q5))</f>
        <v/>
      </c>
      <c r="AW5" s="149" t="str">
        <f t="shared" si="2"/>
        <v/>
      </c>
      <c r="AY5" s="149" t="str">
        <f>IF('Cable Info'!R5="","",CONCATENATE('Cable Info'!R5," - ",'Cable Info'!S5))</f>
        <v/>
      </c>
      <c r="BB5" s="149" t="str">
        <f t="shared" si="3"/>
        <v/>
      </c>
      <c r="BD5" s="149" t="str">
        <f>IF('Cable Info'!T5="","",CONCATENATE('Cable Info'!T5," - ",'Cable Info'!U5))</f>
        <v/>
      </c>
      <c r="BG5" s="149" t="str">
        <f t="shared" si="4"/>
        <v/>
      </c>
      <c r="BI5" s="149" t="str">
        <f>IF('Cable Info'!V5="","",CONCATENATE('Cable Info'!V5," - ",'Cable Info'!W5))</f>
        <v/>
      </c>
      <c r="BL5" s="149" t="str">
        <f t="shared" si="5"/>
        <v/>
      </c>
    </row>
    <row r="6" spans="1:90" ht="29.25" customHeight="1" thickBot="1" x14ac:dyDescent="0.35">
      <c r="A6" s="151"/>
      <c r="B6" s="6"/>
      <c r="C6" s="15"/>
      <c r="D6" s="583" t="str">
        <f>IF(Y9&gt;0,"FIBERS OUT OF SEQ.","")</f>
        <v/>
      </c>
      <c r="E6" s="583"/>
      <c r="F6" s="583"/>
      <c r="G6" s="583"/>
      <c r="H6" s="136"/>
      <c r="I6" s="584" t="str">
        <f>IF(Z9&gt;0,"FIBERS OUT OF SEQ.","")</f>
        <v/>
      </c>
      <c r="J6" s="584"/>
      <c r="K6" s="584"/>
      <c r="L6" s="584"/>
      <c r="M6" s="133"/>
      <c r="N6" s="133"/>
      <c r="O6" s="214"/>
      <c r="P6" s="133"/>
      <c r="Q6" s="135"/>
      <c r="R6" s="133"/>
      <c r="S6" s="133"/>
      <c r="T6" s="133"/>
      <c r="U6" s="133"/>
      <c r="V6" s="6"/>
      <c r="W6" s="6"/>
      <c r="X6" s="198"/>
      <c r="Y6" s="147"/>
      <c r="AE6" s="148" t="s">
        <v>53</v>
      </c>
      <c r="AF6" s="147" t="str">
        <f>IF('Cable Info'!C46="","",CONCATENATE("[",AE6,"]"," ",'Cable Info'!C46))</f>
        <v/>
      </c>
      <c r="AJ6" s="149" t="e">
        <f>IF('Cable Info'!L6="","",CONCATENATE('Cable Info'!L6," - ",'Cable Info'!M6))</f>
        <v>#N/A</v>
      </c>
      <c r="AM6" s="149" t="e">
        <f t="shared" si="0"/>
        <v>#N/A</v>
      </c>
      <c r="AO6" s="149" t="str">
        <f>IF('Cable Info'!N6="","",CONCATENATE('Cable Info'!N6," - ",'Cable Info'!O6))</f>
        <v/>
      </c>
      <c r="AR6" s="149" t="str">
        <f t="shared" si="1"/>
        <v/>
      </c>
      <c r="AT6" s="149" t="str">
        <f>IF('Cable Info'!P6="","",CONCATENATE('Cable Info'!P6," - ",'Cable Info'!Q6))</f>
        <v/>
      </c>
      <c r="AW6" s="149" t="str">
        <f t="shared" si="2"/>
        <v/>
      </c>
      <c r="AY6" s="149" t="str">
        <f>IF('Cable Info'!R6="","",CONCATENATE('Cable Info'!R6," - ",'Cable Info'!S6))</f>
        <v/>
      </c>
      <c r="BB6" s="149" t="str">
        <f t="shared" si="3"/>
        <v/>
      </c>
      <c r="BD6" s="149" t="str">
        <f>IF('Cable Info'!T6="","",CONCATENATE('Cable Info'!T6," - ",'Cable Info'!U6))</f>
        <v/>
      </c>
      <c r="BG6" s="149" t="str">
        <f t="shared" si="4"/>
        <v/>
      </c>
      <c r="BI6" s="149" t="str">
        <f>IF('Cable Info'!V6="","",CONCATENATE('Cable Info'!V6," - ",'Cable Info'!W6))</f>
        <v/>
      </c>
      <c r="BL6" s="149" t="str">
        <f t="shared" si="5"/>
        <v/>
      </c>
    </row>
    <row r="7" spans="1:90" ht="24.75" customHeight="1" thickBot="1" x14ac:dyDescent="0.25">
      <c r="A7" s="222"/>
      <c r="B7" s="562" t="s">
        <v>40</v>
      </c>
      <c r="C7" s="563"/>
      <c r="D7" s="563"/>
      <c r="E7" s="565"/>
      <c r="F7" s="565"/>
      <c r="G7" s="565"/>
      <c r="H7" s="563"/>
      <c r="I7" s="563"/>
      <c r="J7" s="563"/>
      <c r="K7" s="563"/>
      <c r="L7" s="563"/>
      <c r="M7" s="563"/>
      <c r="N7" s="563"/>
      <c r="O7" s="563"/>
      <c r="P7" s="564"/>
      <c r="Q7" s="224"/>
      <c r="R7" s="562" t="s">
        <v>39</v>
      </c>
      <c r="S7" s="563"/>
      <c r="T7" s="563"/>
      <c r="U7" s="563"/>
      <c r="V7" s="563"/>
      <c r="W7" s="564"/>
      <c r="X7" s="227"/>
      <c r="Y7" s="147"/>
      <c r="AJ7" s="149" t="e">
        <f>IF('Cable Info'!L7="","",CONCATENATE('Cable Info'!L7," - ",'Cable Info'!M7))</f>
        <v>#N/A</v>
      </c>
      <c r="AM7" s="149" t="e">
        <f t="shared" si="0"/>
        <v>#N/A</v>
      </c>
      <c r="AO7" s="149" t="str">
        <f>IF('Cable Info'!N7="","",CONCATENATE('Cable Info'!N7," - ",'Cable Info'!O7))</f>
        <v/>
      </c>
      <c r="AR7" s="149" t="str">
        <f t="shared" si="1"/>
        <v/>
      </c>
      <c r="AT7" s="149" t="str">
        <f>IF('Cable Info'!P7="","",CONCATENATE('Cable Info'!P7," - ",'Cable Info'!Q7))</f>
        <v/>
      </c>
      <c r="AW7" s="149" t="str">
        <f t="shared" si="2"/>
        <v/>
      </c>
      <c r="AY7" s="149" t="str">
        <f>IF('Cable Info'!R7="","",CONCATENATE('Cable Info'!R7," - ",'Cable Info'!S7))</f>
        <v/>
      </c>
      <c r="BB7" s="149" t="str">
        <f t="shared" si="3"/>
        <v/>
      </c>
      <c r="BD7" s="149" t="str">
        <f>IF('Cable Info'!T7="","",CONCATENATE('Cable Info'!T7," - ",'Cable Info'!U7))</f>
        <v/>
      </c>
      <c r="BG7" s="149" t="str">
        <f t="shared" si="4"/>
        <v/>
      </c>
      <c r="BI7" s="149" t="str">
        <f>IF('Cable Info'!V7="","",CONCATENATE('Cable Info'!V7," - ",'Cable Info'!W7))</f>
        <v/>
      </c>
      <c r="BL7" s="149" t="str">
        <f t="shared" si="5"/>
        <v/>
      </c>
    </row>
    <row r="8" spans="1:90" ht="13.5" thickBot="1" x14ac:dyDescent="0.25">
      <c r="A8" s="223"/>
      <c r="B8" s="7"/>
      <c r="C8" s="127" t="s">
        <v>85</v>
      </c>
      <c r="D8" s="129" t="s">
        <v>37</v>
      </c>
      <c r="E8" s="220" t="s">
        <v>74</v>
      </c>
      <c r="F8" s="130"/>
      <c r="G8" s="221" t="s">
        <v>75</v>
      </c>
      <c r="H8" s="128" t="s">
        <v>76</v>
      </c>
      <c r="I8" s="220" t="s">
        <v>74</v>
      </c>
      <c r="J8" s="130"/>
      <c r="K8" s="221" t="s">
        <v>75</v>
      </c>
      <c r="L8" s="8" t="s">
        <v>37</v>
      </c>
      <c r="M8" s="127" t="s">
        <v>84</v>
      </c>
      <c r="N8" s="231"/>
      <c r="O8" s="232"/>
      <c r="P8" s="7"/>
      <c r="Q8" s="224"/>
      <c r="R8" s="9"/>
      <c r="S8" s="9"/>
      <c r="T8" s="10" t="s">
        <v>6</v>
      </c>
      <c r="U8" s="10" t="s">
        <v>6</v>
      </c>
      <c r="V8" s="10"/>
      <c r="W8" s="10"/>
      <c r="X8" s="227"/>
      <c r="Y8" s="147"/>
      <c r="AJ8" s="149" t="e">
        <f>IF('Cable Info'!L8="","",CONCATENATE('Cable Info'!L8," - ",'Cable Info'!M8))</f>
        <v>#N/A</v>
      </c>
      <c r="AM8" s="149" t="e">
        <f t="shared" si="0"/>
        <v>#N/A</v>
      </c>
      <c r="AO8" s="149" t="str">
        <f>IF('Cable Info'!N8="","",CONCATENATE('Cable Info'!N8," - ",'Cable Info'!O8))</f>
        <v/>
      </c>
      <c r="AR8" s="149" t="str">
        <f t="shared" si="1"/>
        <v/>
      </c>
      <c r="AT8" s="149" t="str">
        <f>IF('Cable Info'!P8="","",CONCATENATE('Cable Info'!P8," - ",'Cable Info'!Q8))</f>
        <v/>
      </c>
      <c r="AW8" s="149" t="str">
        <f t="shared" si="2"/>
        <v/>
      </c>
      <c r="AY8" s="149" t="str">
        <f>IF('Cable Info'!R8="","",CONCATENATE('Cable Info'!R8," - ",'Cable Info'!S8))</f>
        <v/>
      </c>
      <c r="BB8" s="149" t="str">
        <f t="shared" si="3"/>
        <v/>
      </c>
      <c r="BD8" s="149" t="str">
        <f>IF('Cable Info'!T8="","",CONCATENATE('Cable Info'!T8," - ",'Cable Info'!U8))</f>
        <v/>
      </c>
      <c r="BG8" s="149" t="str">
        <f t="shared" si="4"/>
        <v/>
      </c>
      <c r="BI8" s="149" t="str">
        <f>IF('Cable Info'!V8="","",CONCATENATE('Cable Info'!V8," - ",'Cable Info'!W8))</f>
        <v/>
      </c>
      <c r="BL8" s="149" t="str">
        <f t="shared" si="5"/>
        <v/>
      </c>
      <c r="CL8" s="560" t="s">
        <v>86</v>
      </c>
    </row>
    <row r="9" spans="1:90" ht="13.5" thickBot="1" x14ac:dyDescent="0.25">
      <c r="A9" s="223"/>
      <c r="B9" s="138" t="s">
        <v>35</v>
      </c>
      <c r="C9" s="139" t="s">
        <v>38</v>
      </c>
      <c r="D9" s="138" t="s">
        <v>3</v>
      </c>
      <c r="E9" s="572" t="s">
        <v>73</v>
      </c>
      <c r="F9" s="573"/>
      <c r="G9" s="574"/>
      <c r="H9" s="140" t="s">
        <v>81</v>
      </c>
      <c r="I9" s="572" t="s">
        <v>73</v>
      </c>
      <c r="J9" s="573"/>
      <c r="K9" s="574"/>
      <c r="L9" s="138" t="s">
        <v>3</v>
      </c>
      <c r="M9" s="139" t="s">
        <v>38</v>
      </c>
      <c r="N9" s="237" t="s">
        <v>88</v>
      </c>
      <c r="O9" s="238" t="s">
        <v>87</v>
      </c>
      <c r="P9" s="138" t="s">
        <v>35</v>
      </c>
      <c r="Q9" s="225"/>
      <c r="R9" s="138" t="s">
        <v>4</v>
      </c>
      <c r="S9" s="138" t="s">
        <v>42</v>
      </c>
      <c r="T9" s="138" t="s">
        <v>5</v>
      </c>
      <c r="U9" s="138" t="s">
        <v>7</v>
      </c>
      <c r="V9" s="138" t="s">
        <v>10</v>
      </c>
      <c r="W9" s="138" t="s">
        <v>43</v>
      </c>
      <c r="X9" s="227"/>
      <c r="Y9" s="148">
        <f>SUM(Y10:Y224)</f>
        <v>0</v>
      </c>
      <c r="Z9" s="148">
        <f>SUM(Z10:Z224)</f>
        <v>0</v>
      </c>
      <c r="AB9" s="148">
        <f>SUM(AB10:AB224)</f>
        <v>0</v>
      </c>
      <c r="AJ9" s="149" t="e">
        <f>IF('Cable Info'!L9="","",CONCATENATE('Cable Info'!L9," - ",'Cable Info'!M9))</f>
        <v>#N/A</v>
      </c>
      <c r="AM9" s="149" t="e">
        <f t="shared" si="0"/>
        <v>#N/A</v>
      </c>
      <c r="AO9" s="149" t="str">
        <f>IF('Cable Info'!N9="","",CONCATENATE('Cable Info'!N9," - ",'Cable Info'!O9))</f>
        <v/>
      </c>
      <c r="AR9" s="149" t="str">
        <f t="shared" si="1"/>
        <v/>
      </c>
      <c r="AT9" s="149" t="str">
        <f>IF('Cable Info'!P9="","",CONCATENATE('Cable Info'!P9," - ",'Cable Info'!Q9))</f>
        <v/>
      </c>
      <c r="AW9" s="149" t="str">
        <f t="shared" si="2"/>
        <v/>
      </c>
      <c r="AY9" s="149" t="str">
        <f>IF('Cable Info'!R9="","",CONCATENATE('Cable Info'!R9," - ",'Cable Info'!S9))</f>
        <v/>
      </c>
      <c r="BB9" s="149" t="str">
        <f t="shared" si="3"/>
        <v/>
      </c>
      <c r="BD9" s="149" t="str">
        <f>IF('Cable Info'!T9="","",CONCATENATE('Cable Info'!T9," - ",'Cable Info'!U9))</f>
        <v/>
      </c>
      <c r="BG9" s="149" t="str">
        <f t="shared" si="4"/>
        <v/>
      </c>
      <c r="BI9" s="149" t="str">
        <f>IF('Cable Info'!V9="","",CONCATENATE('Cable Info'!V9," - ",'Cable Info'!W9))</f>
        <v/>
      </c>
      <c r="BL9" s="149" t="str">
        <f t="shared" si="5"/>
        <v/>
      </c>
      <c r="CL9" s="561"/>
    </row>
    <row r="10" spans="1:90" ht="13.5" thickTop="1" x14ac:dyDescent="0.2">
      <c r="A10" s="222"/>
      <c r="B10" s="156" t="s">
        <v>13</v>
      </c>
      <c r="C10" s="141" t="str">
        <f>IFERROR(IF(B10="","",IF((COUNTIF('Cable Info'!$B$11:$C$50,B10)=0),VLOOKUP(B10,'Cable Info (2)'!$B$11:$C$50,2,FALSE),(VLOOKUP(B10,'Cable Info'!$B$11:$C$50,2,FALSE)))),"NO SUCH EXIT")</f>
        <v>460-092: ZAYO-ENT-S-1</v>
      </c>
      <c r="D10" s="284" t="s">
        <v>155</v>
      </c>
      <c r="E10" s="311">
        <v>1</v>
      </c>
      <c r="F10" s="137" t="s">
        <v>59</v>
      </c>
      <c r="G10" s="314">
        <v>8</v>
      </c>
      <c r="H10" s="141">
        <f>IF(G10="","",((E10-G10)-1)*(-1))</f>
        <v>8</v>
      </c>
      <c r="I10" s="317"/>
      <c r="J10" s="137" t="s">
        <v>59</v>
      </c>
      <c r="K10" s="320"/>
      <c r="L10" s="288"/>
      <c r="M10" s="141" t="str">
        <f>IFERROR(IF(P10="","",IF((COUNTIF('Cable Info'!$B$11:$C$50,P10)=0),VLOOKUP(P10,'Cable Info (2)'!$B$11:$C$50,2,FALSE),(VLOOKUP(P10,'Cable Info'!$B$11:$C$50,2,FALSE)))),"NO SUCH EXIT")</f>
        <v/>
      </c>
      <c r="N10" s="292" t="s">
        <v>156</v>
      </c>
      <c r="O10" s="233" t="s">
        <v>157</v>
      </c>
      <c r="P10" s="157"/>
      <c r="Q10" s="224"/>
      <c r="R10" s="158" t="s">
        <v>78</v>
      </c>
      <c r="S10" s="158" t="s">
        <v>71</v>
      </c>
      <c r="T10" s="159"/>
      <c r="U10" s="159">
        <v>42538</v>
      </c>
      <c r="V10" s="160" t="s">
        <v>11</v>
      </c>
      <c r="W10" s="160" t="s">
        <v>158</v>
      </c>
      <c r="X10" s="228">
        <f>IF(V10="","",IF(R10="","",IF(S10="","",IF(R10="SPLICED",(IF(S10="SPLICE",0,9)),IF(V10=$U$3,(IF(S10="BREAK",12,11)),IF(S10="BREAK",2,1))))))</f>
        <v>0</v>
      </c>
      <c r="Y10" s="147" t="str">
        <f>IF(E10="","",IF(G10="","",IF(E10&gt;G10,1,"")))</f>
        <v/>
      </c>
      <c r="Z10" s="148" t="str">
        <f>IF(I10="","",IF(K10="","",IF(I10&gt;K10,1,"")))</f>
        <v/>
      </c>
      <c r="AA10" s="148" t="str">
        <f>IF(K10="","",((I10-K10)-1)*(-1))</f>
        <v/>
      </c>
      <c r="AB10" s="148" t="str">
        <f>IF(E10="","",IF(G10="","",IF(I10="","",IF(K10="","",IF(AA10&lt;&gt;H10,1,"")))))</f>
        <v/>
      </c>
      <c r="AJ10" s="149" t="e">
        <f>IF('Cable Info'!L10="","",CONCATENATE('Cable Info'!L10," - ",'Cable Info'!M10))</f>
        <v>#N/A</v>
      </c>
      <c r="AM10" s="149" t="e">
        <f t="shared" si="0"/>
        <v>#N/A</v>
      </c>
      <c r="AO10" s="149" t="str">
        <f>IF('Cable Info'!N10="","",CONCATENATE('Cable Info'!N10," - ",'Cable Info'!O10))</f>
        <v/>
      </c>
      <c r="AR10" s="149" t="str">
        <f t="shared" si="1"/>
        <v/>
      </c>
      <c r="AT10" s="149" t="str">
        <f>IF('Cable Info'!P10="","",CONCATENATE('Cable Info'!P10," - ",'Cable Info'!Q10))</f>
        <v/>
      </c>
      <c r="AW10" s="149" t="str">
        <f t="shared" si="2"/>
        <v/>
      </c>
      <c r="AY10" s="149" t="str">
        <f>IF('Cable Info'!R10="","",CONCATENATE('Cable Info'!R10," - ",'Cable Info'!S10))</f>
        <v/>
      </c>
      <c r="AZ10" s="149" t="s">
        <v>51</v>
      </c>
      <c r="BB10" s="149" t="str">
        <f t="shared" si="3"/>
        <v xml:space="preserve">  &lt;=&gt; D </v>
      </c>
      <c r="BD10" s="149" t="str">
        <f>IF('Cable Info'!T10="","",CONCATENATE('Cable Info'!T10," - ",'Cable Info'!U10))</f>
        <v/>
      </c>
      <c r="BG10" s="149" t="str">
        <f t="shared" si="4"/>
        <v/>
      </c>
      <c r="BI10" s="149" t="str">
        <f>IF('Cable Info'!V10="","",CONCATENATE('Cable Info'!V10," - ",'Cable Info'!W10))</f>
        <v/>
      </c>
      <c r="BL10" s="149" t="str">
        <f t="shared" si="5"/>
        <v/>
      </c>
      <c r="CL10" s="308"/>
    </row>
    <row r="11" spans="1:90" x14ac:dyDescent="0.2">
      <c r="A11" s="222"/>
      <c r="B11" s="156"/>
      <c r="C11" s="142" t="str">
        <f>IFERROR(IF(B11="","",IF((COUNTIF('Cable Info'!$B$11:$C$50,B11)=0),VLOOKUP(B11,'Cable Info (2)'!$B$11:$C$50,2,FALSE),(VLOOKUP(B11,'Cable Info'!$B$11:$C$50,2,FALSE)))),"NO SUCH EXIT")</f>
        <v/>
      </c>
      <c r="D11" s="285"/>
      <c r="E11" s="312"/>
      <c r="F11" s="132" t="s">
        <v>59</v>
      </c>
      <c r="G11" s="315"/>
      <c r="H11" s="142" t="str">
        <f>IF(G11="","",((E11-G11)-1)*(-1))</f>
        <v/>
      </c>
      <c r="I11" s="317"/>
      <c r="J11" s="132" t="s">
        <v>59</v>
      </c>
      <c r="K11" s="321"/>
      <c r="L11" s="289"/>
      <c r="M11" s="142" t="str">
        <f>IFERROR(IF(P11="","",IF((COUNTIF('Cable Info'!$B$11:$C$50,P11)=0),VLOOKUP(P11,'Cable Info (2)'!$B$11:$C$50,2,FALSE),(VLOOKUP(P11,'Cable Info'!$B$11:$C$50,2,FALSE)))),"NO SUCH EXIT")</f>
        <v/>
      </c>
      <c r="N11" s="293"/>
      <c r="O11" s="234"/>
      <c r="P11" s="161"/>
      <c r="Q11" s="224"/>
      <c r="R11" s="162"/>
      <c r="S11" s="162"/>
      <c r="T11" s="163"/>
      <c r="U11" s="163"/>
      <c r="V11" s="164"/>
      <c r="W11" s="160"/>
      <c r="X11" s="229" t="str">
        <f t="shared" ref="X11:X214" si="6">IF(V11="","",IF(R11="","",IF(S11="","",IF(R11="SPLICED",(IF(S11="SPLICE",0,9)),IF(V11=$U$3,(IF(S11="BREAK",12,11)),IF(S11="BREAK",2,1))))))</f>
        <v/>
      </c>
      <c r="Y11" s="147" t="str">
        <f t="shared" ref="Y11:Y214" si="7">IF(E11="","",IF(G11="","",IF(E11&gt;G11,1,"")))</f>
        <v/>
      </c>
      <c r="Z11" s="148" t="str">
        <f t="shared" ref="Z11:Z214" si="8">IF(I11="","",IF(K11="","",IF(I11&gt;K11,1,"")))</f>
        <v/>
      </c>
      <c r="AA11" s="148" t="str">
        <f t="shared" ref="AA11:AA214" si="9">IF(K11="","",((I11-K11)-1)*(-1))</f>
        <v/>
      </c>
      <c r="AB11" s="148" t="str">
        <f t="shared" ref="AB11:AB214" si="10">IF(E11="","",IF(G11="","",IF(I11="","",IF(K11="","",IF(AA11&lt;&gt;H11,1,"")))))</f>
        <v/>
      </c>
      <c r="AJ11" s="149" t="e">
        <f>IF('Cable Info'!L11="","",CONCATENATE('Cable Info'!L11," - ",'Cable Info'!M11))</f>
        <v>#N/A</v>
      </c>
      <c r="AM11" s="149" t="e">
        <f t="shared" si="0"/>
        <v>#N/A</v>
      </c>
      <c r="AO11" s="149" t="str">
        <f>IF('Cable Info'!N11="","",CONCATENATE('Cable Info'!N11," - ",'Cable Info'!O11))</f>
        <v/>
      </c>
      <c r="AR11" s="149" t="str">
        <f t="shared" si="1"/>
        <v/>
      </c>
      <c r="AT11" s="149" t="str">
        <f>IF('Cable Info'!P11="","",CONCATENATE('Cable Info'!P11," - ",'Cable Info'!Q11))</f>
        <v/>
      </c>
      <c r="AU11" s="149" t="s">
        <v>68</v>
      </c>
      <c r="AW11" s="149" t="str">
        <f t="shared" si="2"/>
        <v xml:space="preserve">  &lt;=&gt; CABLEC </v>
      </c>
      <c r="AY11" s="149" t="str">
        <f>IF('Cable Info'!R11="","",CONCATENATE('Cable Info'!R11," - ",'Cable Info'!S11))</f>
        <v/>
      </c>
      <c r="BB11" s="149" t="str">
        <f t="shared" si="3"/>
        <v/>
      </c>
      <c r="BD11" s="149" t="str">
        <f>IF('Cable Info'!T11="","",CONCATENATE('Cable Info'!T11," - ",'Cable Info'!U11))</f>
        <v/>
      </c>
      <c r="BG11" s="149" t="str">
        <f t="shared" si="4"/>
        <v/>
      </c>
      <c r="BI11" s="149" t="str">
        <f>IF('Cable Info'!V11="","",CONCATENATE('Cable Info'!V11," - ",'Cable Info'!W11))</f>
        <v/>
      </c>
      <c r="BL11" s="149" t="str">
        <f t="shared" si="5"/>
        <v/>
      </c>
      <c r="CL11" s="309"/>
    </row>
    <row r="12" spans="1:90" x14ac:dyDescent="0.2">
      <c r="A12" s="222"/>
      <c r="B12" s="156"/>
      <c r="C12" s="142" t="str">
        <f>IFERROR(IF(B12="","",IF((COUNTIF('Cable Info'!$B$11:$C$50,B12)=0),VLOOKUP(B12,'Cable Info (2)'!$B$11:$C$50,2,FALSE),(VLOOKUP(B12,'Cable Info'!$B$11:$C$50,2,FALSE)))),"NO SUCH EXIT")</f>
        <v/>
      </c>
      <c r="D12" s="285"/>
      <c r="E12" s="311"/>
      <c r="F12" s="132" t="s">
        <v>59</v>
      </c>
      <c r="G12" s="314"/>
      <c r="H12" s="142" t="str">
        <f>IF(G12="","",((E12-G12)-1)*(-1))</f>
        <v/>
      </c>
      <c r="I12" s="318"/>
      <c r="J12" s="132" t="s">
        <v>59</v>
      </c>
      <c r="K12" s="320"/>
      <c r="L12" s="289"/>
      <c r="M12" s="142" t="str">
        <f>IFERROR(IF(P12="","",IF((COUNTIF('Cable Info'!$B$11:$C$50,P12)=0),VLOOKUP(P12,'Cable Info (2)'!$B$11:$C$50,2,FALSE),(VLOOKUP(P12,'Cable Info'!$B$11:$C$50,2,FALSE)))),"NO SUCH EXIT")</f>
        <v/>
      </c>
      <c r="N12" s="293"/>
      <c r="O12" s="234"/>
      <c r="P12" s="161"/>
      <c r="Q12" s="224"/>
      <c r="R12" s="162"/>
      <c r="S12" s="162"/>
      <c r="T12" s="163"/>
      <c r="U12" s="163"/>
      <c r="V12" s="164"/>
      <c r="W12" s="164"/>
      <c r="X12" s="229" t="str">
        <f t="shared" si="6"/>
        <v/>
      </c>
      <c r="Y12" s="147" t="str">
        <f t="shared" si="7"/>
        <v/>
      </c>
      <c r="Z12" s="148" t="str">
        <f t="shared" si="8"/>
        <v/>
      </c>
      <c r="AA12" s="148" t="str">
        <f t="shared" si="9"/>
        <v/>
      </c>
      <c r="AB12" s="148" t="str">
        <f t="shared" si="10"/>
        <v/>
      </c>
      <c r="AJ12" s="149" t="e">
        <f>IF('Cable Info'!L12="","",CONCATENATE('Cable Info'!L12," - ",'Cable Info'!M12))</f>
        <v>#N/A</v>
      </c>
      <c r="AM12" s="149" t="e">
        <f t="shared" si="0"/>
        <v>#N/A</v>
      </c>
      <c r="AO12" s="149" t="str">
        <f>IF('Cable Info'!N12="","",CONCATENATE('Cable Info'!N12," - ",'Cable Info'!O12))</f>
        <v/>
      </c>
      <c r="AR12" s="149" t="str">
        <f t="shared" si="1"/>
        <v/>
      </c>
      <c r="AT12" s="149" t="str">
        <f>IF('Cable Info'!P12="","",CONCATENATE('Cable Info'!P12," - ",'Cable Info'!Q12))</f>
        <v/>
      </c>
      <c r="AW12" s="149" t="str">
        <f t="shared" si="2"/>
        <v/>
      </c>
      <c r="AY12" s="149" t="str">
        <f>IF('Cable Info'!R12="","",CONCATENATE('Cable Info'!R12," - ",'Cable Info'!S12))</f>
        <v/>
      </c>
      <c r="BB12" s="149" t="str">
        <f t="shared" si="3"/>
        <v/>
      </c>
      <c r="BD12" s="149" t="str">
        <f>IF('Cable Info'!T12="","",CONCATENATE('Cable Info'!T12," - ",'Cable Info'!U12))</f>
        <v/>
      </c>
      <c r="BG12" s="149" t="str">
        <f t="shared" si="4"/>
        <v/>
      </c>
      <c r="BI12" s="149" t="str">
        <f>IF('Cable Info'!V12="","",CONCATENATE('Cable Info'!V12," - ",'Cable Info'!W12))</f>
        <v/>
      </c>
      <c r="BL12" s="149" t="str">
        <f t="shared" si="5"/>
        <v/>
      </c>
      <c r="CL12" s="309"/>
    </row>
    <row r="13" spans="1:90" x14ac:dyDescent="0.2">
      <c r="A13" s="222"/>
      <c r="B13" s="156"/>
      <c r="C13" s="142" t="str">
        <f>IFERROR(IF(B13="","",IF((COUNTIF('Cable Info'!$B$11:$C$50,B13)=0),VLOOKUP(B13,'Cable Info (2)'!$B$11:$C$50,2,FALSE),(VLOOKUP(B13,'Cable Info'!$B$11:$C$50,2,FALSE)))),"NO SUCH EXIT")</f>
        <v/>
      </c>
      <c r="D13" s="285"/>
      <c r="E13" s="312"/>
      <c r="F13" s="132" t="s">
        <v>59</v>
      </c>
      <c r="G13" s="315"/>
      <c r="H13" s="142" t="str">
        <f t="shared" ref="H13:H214" si="11">IF(G13="","",((E13-G13)-1)*(-1))</f>
        <v/>
      </c>
      <c r="I13" s="317"/>
      <c r="J13" s="132" t="s">
        <v>59</v>
      </c>
      <c r="K13" s="321"/>
      <c r="L13" s="289"/>
      <c r="M13" s="142" t="str">
        <f>IFERROR(IF(P13="","",IF((COUNTIF('Cable Info'!$B$11:$C$50,P13)=0),VLOOKUP(P13,'Cable Info (2)'!$B$11:$C$50,2,FALSE),(VLOOKUP(P13,'Cable Info'!$B$11:$C$50,2,FALSE)))),"NO SUCH EXIT")</f>
        <v/>
      </c>
      <c r="N13" s="293"/>
      <c r="O13" s="234"/>
      <c r="P13" s="161"/>
      <c r="Q13" s="224"/>
      <c r="R13" s="162"/>
      <c r="S13" s="162"/>
      <c r="T13" s="163"/>
      <c r="U13" s="163"/>
      <c r="V13" s="164"/>
      <c r="W13" s="164"/>
      <c r="X13" s="229" t="str">
        <f t="shared" si="6"/>
        <v/>
      </c>
      <c r="Y13" s="147" t="str">
        <f t="shared" si="7"/>
        <v/>
      </c>
      <c r="Z13" s="148" t="str">
        <f t="shared" si="8"/>
        <v/>
      </c>
      <c r="AA13" s="148" t="str">
        <f t="shared" si="9"/>
        <v/>
      </c>
      <c r="AB13" s="148" t="str">
        <f t="shared" si="10"/>
        <v/>
      </c>
      <c r="AJ13" s="149" t="e">
        <f>IF('Cable Info'!L13="","",CONCATENATE('Cable Info'!L13," - ",'Cable Info'!M13))</f>
        <v>#N/A</v>
      </c>
      <c r="AK13" s="149" t="s">
        <v>65</v>
      </c>
      <c r="AL13" s="149" t="s">
        <v>66</v>
      </c>
      <c r="AM13" s="149" t="e">
        <f t="shared" si="0"/>
        <v>#N/A</v>
      </c>
      <c r="AO13" s="149" t="str">
        <f>IF('Cable Info'!N13="","",CONCATENATE('Cable Info'!N13," - ",'Cable Info'!O13))</f>
        <v/>
      </c>
      <c r="AR13" s="149" t="str">
        <f t="shared" si="1"/>
        <v/>
      </c>
      <c r="AT13" s="149" t="str">
        <f>IF('Cable Info'!P13="","",CONCATENATE('Cable Info'!P13," - ",'Cable Info'!Q13))</f>
        <v/>
      </c>
      <c r="AW13" s="149" t="str">
        <f t="shared" si="2"/>
        <v/>
      </c>
      <c r="AY13" s="149" t="str">
        <f>IF('Cable Info'!R13="","",CONCATENATE('Cable Info'!R13," - ",'Cable Info'!S13))</f>
        <v/>
      </c>
      <c r="BB13" s="149" t="str">
        <f t="shared" si="3"/>
        <v/>
      </c>
      <c r="BD13" s="149" t="str">
        <f>IF('Cable Info'!T13="","",CONCATENATE('Cable Info'!T13," - ",'Cable Info'!U13))</f>
        <v/>
      </c>
      <c r="BG13" s="149" t="str">
        <f t="shared" si="4"/>
        <v/>
      </c>
      <c r="BI13" s="149" t="str">
        <f>IF('Cable Info'!V13="","",CONCATENATE('Cable Info'!V13," - ",'Cable Info'!W13))</f>
        <v/>
      </c>
      <c r="BL13" s="149" t="str">
        <f t="shared" si="5"/>
        <v/>
      </c>
      <c r="CL13" s="309"/>
    </row>
    <row r="14" spans="1:90" x14ac:dyDescent="0.2">
      <c r="A14" s="222"/>
      <c r="B14" s="165"/>
      <c r="C14" s="142" t="str">
        <f>IFERROR(IF(B14="","",IF((COUNTIF('Cable Info'!$B$11:$C$50,B14)=0),VLOOKUP(B14,'Cable Info (2)'!$B$11:$C$50,2,FALSE),(VLOOKUP(B14,'Cable Info'!$B$11:$C$50,2,FALSE)))),"NO SUCH EXIT")</f>
        <v/>
      </c>
      <c r="D14" s="285"/>
      <c r="E14" s="311"/>
      <c r="F14" s="132" t="s">
        <v>59</v>
      </c>
      <c r="G14" s="314"/>
      <c r="H14" s="142" t="str">
        <f t="shared" si="11"/>
        <v/>
      </c>
      <c r="I14" s="318"/>
      <c r="J14" s="132" t="s">
        <v>59</v>
      </c>
      <c r="K14" s="320"/>
      <c r="L14" s="289"/>
      <c r="M14" s="142" t="str">
        <f>IFERROR(IF(P14="","",IF((COUNTIF('Cable Info'!$B$11:$C$50,P14)=0),VLOOKUP(P14,'Cable Info (2)'!$B$11:$C$50,2,FALSE),(VLOOKUP(P14,'Cable Info'!$B$11:$C$50,2,FALSE)))),"NO SUCH EXIT")</f>
        <v/>
      </c>
      <c r="N14" s="293"/>
      <c r="O14" s="234"/>
      <c r="P14" s="161"/>
      <c r="Q14" s="224"/>
      <c r="R14" s="162"/>
      <c r="S14" s="162"/>
      <c r="T14" s="163"/>
      <c r="U14" s="163"/>
      <c r="V14" s="164"/>
      <c r="W14" s="164"/>
      <c r="X14" s="229" t="str">
        <f t="shared" si="6"/>
        <v/>
      </c>
      <c r="Y14" s="147" t="str">
        <f t="shared" si="7"/>
        <v/>
      </c>
      <c r="Z14" s="148" t="str">
        <f t="shared" si="8"/>
        <v/>
      </c>
      <c r="AA14" s="148" t="str">
        <f t="shared" si="9"/>
        <v/>
      </c>
      <c r="AB14" s="148" t="str">
        <f t="shared" si="10"/>
        <v/>
      </c>
      <c r="AJ14" s="149" t="e">
        <f>IF('Cable Info'!#REF!="","",CONCATENATE('Cable Info'!#REF!," - ",'Cable Info'!#REF!))</f>
        <v>#REF!</v>
      </c>
      <c r="AM14" s="149" t="e">
        <f t="shared" si="0"/>
        <v>#REF!</v>
      </c>
      <c r="AO14" s="149" t="e">
        <f>IF('Cable Info'!#REF!="","",CONCATENATE('Cable Info'!#REF!," - ",'Cable Info'!#REF!))</f>
        <v>#REF!</v>
      </c>
      <c r="AR14" s="149" t="e">
        <f t="shared" si="1"/>
        <v>#REF!</v>
      </c>
      <c r="AT14" s="149" t="e">
        <f>IF('Cable Info'!#REF!="","",CONCATENATE('Cable Info'!#REF!," - ",'Cable Info'!#REF!))</f>
        <v>#REF!</v>
      </c>
      <c r="AW14" s="149" t="e">
        <f t="shared" si="2"/>
        <v>#REF!</v>
      </c>
      <c r="AY14" s="149" t="e">
        <f>IF('Cable Info'!#REF!="","",CONCATENATE('Cable Info'!#REF!," - ",'Cable Info'!#REF!))</f>
        <v>#REF!</v>
      </c>
      <c r="BB14" s="149" t="e">
        <f t="shared" si="3"/>
        <v>#REF!</v>
      </c>
      <c r="BD14" s="149" t="e">
        <f>IF('Cable Info'!#REF!="","",CONCATENATE('Cable Info'!#REF!," - ",'Cable Info'!#REF!))</f>
        <v>#REF!</v>
      </c>
      <c r="BG14" s="149" t="e">
        <f t="shared" si="4"/>
        <v>#REF!</v>
      </c>
      <c r="BI14" s="149" t="e">
        <f>IF('Cable Info'!#REF!="","",CONCATENATE('Cable Info'!#REF!," - ",'Cable Info'!#REF!))</f>
        <v>#REF!</v>
      </c>
      <c r="BL14" s="149" t="e">
        <f t="shared" si="5"/>
        <v>#REF!</v>
      </c>
      <c r="CL14" s="309"/>
    </row>
    <row r="15" spans="1:90" x14ac:dyDescent="0.2">
      <c r="A15" s="222"/>
      <c r="B15" s="165"/>
      <c r="C15" s="142" t="str">
        <f>IFERROR(IF(B15="","",IF((COUNTIF('Cable Info'!$B$11:$C$50,B15)=0),VLOOKUP(B15,'Cable Info (2)'!$B$11:$C$50,2,FALSE),(VLOOKUP(B15,'Cable Info'!$B$11:$C$50,2,FALSE)))),"NO SUCH EXIT")</f>
        <v/>
      </c>
      <c r="D15" s="285"/>
      <c r="E15" s="311"/>
      <c r="F15" s="132" t="s">
        <v>59</v>
      </c>
      <c r="G15" s="314"/>
      <c r="H15" s="142" t="str">
        <f t="shared" si="11"/>
        <v/>
      </c>
      <c r="I15" s="318"/>
      <c r="J15" s="132" t="s">
        <v>59</v>
      </c>
      <c r="K15" s="320"/>
      <c r="L15" s="289"/>
      <c r="M15" s="142" t="str">
        <f>IFERROR(IF(P15="","",IF((COUNTIF('Cable Info'!$B$11:$C$50,P15)=0),VLOOKUP(P15,'Cable Info (2)'!$B$11:$C$50,2,FALSE),(VLOOKUP(P15,'Cable Info'!$B$11:$C$50,2,FALSE)))),"NO SUCH EXIT")</f>
        <v/>
      </c>
      <c r="N15" s="293"/>
      <c r="O15" s="234"/>
      <c r="P15" s="161"/>
      <c r="Q15" s="224"/>
      <c r="R15" s="162"/>
      <c r="S15" s="162"/>
      <c r="T15" s="163"/>
      <c r="U15" s="163"/>
      <c r="V15" s="164"/>
      <c r="W15" s="164"/>
      <c r="X15" s="229" t="str">
        <f t="shared" si="6"/>
        <v/>
      </c>
      <c r="Y15" s="147" t="str">
        <f t="shared" si="7"/>
        <v/>
      </c>
      <c r="Z15" s="148" t="str">
        <f t="shared" si="8"/>
        <v/>
      </c>
      <c r="AA15" s="148" t="str">
        <f t="shared" si="9"/>
        <v/>
      </c>
      <c r="AB15" s="148" t="str">
        <f t="shared" si="10"/>
        <v/>
      </c>
      <c r="AJ15" s="149" t="e">
        <f>IF('Cable Info'!#REF!="","",CONCATENATE('Cable Info'!#REF!," - ",'Cable Info'!#REF!))</f>
        <v>#REF!</v>
      </c>
      <c r="AM15" s="149" t="e">
        <f t="shared" si="0"/>
        <v>#REF!</v>
      </c>
      <c r="AO15" s="149" t="e">
        <f>IF('Cable Info'!#REF!="","",CONCATENATE('Cable Info'!#REF!," - ",'Cable Info'!#REF!))</f>
        <v>#REF!</v>
      </c>
      <c r="AR15" s="149" t="e">
        <f t="shared" si="1"/>
        <v>#REF!</v>
      </c>
      <c r="AT15" s="149" t="e">
        <f>IF('Cable Info'!#REF!="","",CONCATENATE('Cable Info'!#REF!," - ",'Cable Info'!#REF!))</f>
        <v>#REF!</v>
      </c>
      <c r="AW15" s="149" t="e">
        <f t="shared" si="2"/>
        <v>#REF!</v>
      </c>
      <c r="AY15" s="149" t="e">
        <f>IF('Cable Info'!#REF!="","",CONCATENATE('Cable Info'!#REF!," - ",'Cable Info'!#REF!))</f>
        <v>#REF!</v>
      </c>
      <c r="BB15" s="149" t="e">
        <f t="shared" si="3"/>
        <v>#REF!</v>
      </c>
      <c r="BD15" s="149" t="e">
        <f>IF('Cable Info'!#REF!="","",CONCATENATE('Cable Info'!#REF!," - ",'Cable Info'!#REF!))</f>
        <v>#REF!</v>
      </c>
      <c r="BG15" s="149" t="e">
        <f t="shared" si="4"/>
        <v>#REF!</v>
      </c>
      <c r="BI15" s="149" t="e">
        <f>IF('Cable Info'!#REF!="","",CONCATENATE('Cable Info'!#REF!," - ",'Cable Info'!#REF!))</f>
        <v>#REF!</v>
      </c>
      <c r="BL15" s="149" t="e">
        <f t="shared" si="5"/>
        <v>#REF!</v>
      </c>
      <c r="CL15" s="309"/>
    </row>
    <row r="16" spans="1:90" x14ac:dyDescent="0.2">
      <c r="A16" s="222"/>
      <c r="B16" s="165"/>
      <c r="C16" s="142" t="str">
        <f>IFERROR(IF(B16="","",IF((COUNTIF('Cable Info'!$B$11:$C$50,B16)=0),VLOOKUP(B16,'Cable Info (2)'!$B$11:$C$50,2,FALSE),(VLOOKUP(B16,'Cable Info'!$B$11:$C$50,2,FALSE)))),"NO SUCH EXIT")</f>
        <v/>
      </c>
      <c r="D16" s="285"/>
      <c r="E16" s="311"/>
      <c r="F16" s="132" t="s">
        <v>59</v>
      </c>
      <c r="G16" s="314"/>
      <c r="H16" s="142" t="str">
        <f t="shared" si="11"/>
        <v/>
      </c>
      <c r="I16" s="318"/>
      <c r="J16" s="132" t="s">
        <v>59</v>
      </c>
      <c r="K16" s="320"/>
      <c r="L16" s="289"/>
      <c r="M16" s="142" t="str">
        <f>IFERROR(IF(P16="","",IF((COUNTIF('Cable Info'!$B$11:$C$50,P16)=0),VLOOKUP(P16,'Cable Info (2)'!$B$11:$C$50,2,FALSE),(VLOOKUP(P16,'Cable Info'!$B$11:$C$50,2,FALSE)))),"NO SUCH EXIT")</f>
        <v/>
      </c>
      <c r="N16" s="293"/>
      <c r="O16" s="234"/>
      <c r="P16" s="161"/>
      <c r="Q16" s="224"/>
      <c r="R16" s="162"/>
      <c r="S16" s="162"/>
      <c r="T16" s="163"/>
      <c r="U16" s="163"/>
      <c r="V16" s="164"/>
      <c r="W16" s="164"/>
      <c r="X16" s="229" t="str">
        <f t="shared" si="6"/>
        <v/>
      </c>
      <c r="Y16" s="147" t="str">
        <f t="shared" si="7"/>
        <v/>
      </c>
      <c r="Z16" s="148" t="str">
        <f t="shared" si="8"/>
        <v/>
      </c>
      <c r="AA16" s="148" t="str">
        <f t="shared" si="9"/>
        <v/>
      </c>
      <c r="AB16" s="148" t="str">
        <f t="shared" si="10"/>
        <v/>
      </c>
      <c r="AJ16" s="149" t="e">
        <f>IF('Cable Info'!#REF!="","",CONCATENATE('Cable Info'!#REF!," - ",'Cable Info'!#REF!))</f>
        <v>#REF!</v>
      </c>
      <c r="AM16" s="149" t="e">
        <f t="shared" si="0"/>
        <v>#REF!</v>
      </c>
      <c r="AO16" s="149" t="e">
        <f>IF('Cable Info'!#REF!="","",CONCATENATE('Cable Info'!#REF!," - ",'Cable Info'!#REF!))</f>
        <v>#REF!</v>
      </c>
      <c r="AR16" s="149" t="e">
        <f t="shared" si="1"/>
        <v>#REF!</v>
      </c>
      <c r="AT16" s="149" t="e">
        <f>IF('Cable Info'!#REF!="","",CONCATENATE('Cable Info'!#REF!," - ",'Cable Info'!#REF!))</f>
        <v>#REF!</v>
      </c>
      <c r="AW16" s="149" t="e">
        <f t="shared" si="2"/>
        <v>#REF!</v>
      </c>
      <c r="AY16" s="149" t="e">
        <f>IF('Cable Info'!#REF!="","",CONCATENATE('Cable Info'!#REF!," - ",'Cable Info'!#REF!))</f>
        <v>#REF!</v>
      </c>
      <c r="BB16" s="149" t="e">
        <f t="shared" si="3"/>
        <v>#REF!</v>
      </c>
      <c r="BD16" s="149" t="e">
        <f>IF('Cable Info'!#REF!="","",CONCATENATE('Cable Info'!#REF!," - ",'Cable Info'!#REF!))</f>
        <v>#REF!</v>
      </c>
      <c r="BG16" s="149" t="e">
        <f t="shared" si="4"/>
        <v>#REF!</v>
      </c>
      <c r="BI16" s="149" t="e">
        <f>IF('Cable Info'!#REF!="","",CONCATENATE('Cable Info'!#REF!," - ",'Cable Info'!#REF!))</f>
        <v>#REF!</v>
      </c>
      <c r="BL16" s="149" t="e">
        <f t="shared" si="5"/>
        <v>#REF!</v>
      </c>
      <c r="CL16" s="309"/>
    </row>
    <row r="17" spans="1:90" x14ac:dyDescent="0.2">
      <c r="A17" s="222"/>
      <c r="B17" s="165"/>
      <c r="C17" s="142" t="str">
        <f>IFERROR(IF(B17="","",IF((COUNTIF('Cable Info'!$B$11:$C$50,B17)=0),VLOOKUP(B17,'Cable Info (2)'!$B$11:$C$50,2,FALSE),(VLOOKUP(B17,'Cable Info'!$B$11:$C$50,2,FALSE)))),"NO SUCH EXIT")</f>
        <v/>
      </c>
      <c r="D17" s="285"/>
      <c r="E17" s="311"/>
      <c r="F17" s="132" t="s">
        <v>59</v>
      </c>
      <c r="G17" s="314"/>
      <c r="H17" s="142" t="str">
        <f t="shared" si="11"/>
        <v/>
      </c>
      <c r="I17" s="318"/>
      <c r="J17" s="132" t="s">
        <v>59</v>
      </c>
      <c r="K17" s="320"/>
      <c r="L17" s="289"/>
      <c r="M17" s="142" t="str">
        <f>IFERROR(IF(P17="","",IF((COUNTIF('Cable Info'!$B$11:$C$50,P17)=0),VLOOKUP(P17,'Cable Info (2)'!$B$11:$C$50,2,FALSE),(VLOOKUP(P17,'Cable Info'!$B$11:$C$50,2,FALSE)))),"NO SUCH EXIT")</f>
        <v/>
      </c>
      <c r="N17" s="293"/>
      <c r="O17" s="234"/>
      <c r="P17" s="161"/>
      <c r="Q17" s="224"/>
      <c r="R17" s="162"/>
      <c r="S17" s="162"/>
      <c r="T17" s="163"/>
      <c r="U17" s="163"/>
      <c r="V17" s="164"/>
      <c r="W17" s="164"/>
      <c r="X17" s="229" t="str">
        <f t="shared" si="6"/>
        <v/>
      </c>
      <c r="Y17" s="147" t="str">
        <f t="shared" si="7"/>
        <v/>
      </c>
      <c r="Z17" s="148" t="str">
        <f t="shared" si="8"/>
        <v/>
      </c>
      <c r="AA17" s="148" t="str">
        <f t="shared" si="9"/>
        <v/>
      </c>
      <c r="AB17" s="148" t="str">
        <f t="shared" si="10"/>
        <v/>
      </c>
      <c r="AJ17" s="149" t="e">
        <f>IF('Cable Info'!#REF!="","",CONCATENATE('Cable Info'!#REF!," - ",'Cable Info'!#REF!))</f>
        <v>#REF!</v>
      </c>
      <c r="AM17" s="149" t="e">
        <f t="shared" si="0"/>
        <v>#REF!</v>
      </c>
      <c r="AO17" s="149" t="e">
        <f>IF('Cable Info'!#REF!="","",CONCATENATE('Cable Info'!#REF!," - ",'Cable Info'!#REF!))</f>
        <v>#REF!</v>
      </c>
      <c r="AR17" s="149" t="e">
        <f t="shared" si="1"/>
        <v>#REF!</v>
      </c>
      <c r="AT17" s="149" t="e">
        <f>IF('Cable Info'!#REF!="","",CONCATENATE('Cable Info'!#REF!," - ",'Cable Info'!#REF!))</f>
        <v>#REF!</v>
      </c>
      <c r="AW17" s="149" t="e">
        <f t="shared" si="2"/>
        <v>#REF!</v>
      </c>
      <c r="AY17" s="149" t="e">
        <f>IF('Cable Info'!#REF!="","",CONCATENATE('Cable Info'!#REF!," - ",'Cable Info'!#REF!))</f>
        <v>#REF!</v>
      </c>
      <c r="BB17" s="149" t="e">
        <f t="shared" si="3"/>
        <v>#REF!</v>
      </c>
      <c r="BD17" s="149" t="e">
        <f>IF('Cable Info'!#REF!="","",CONCATENATE('Cable Info'!#REF!," - ",'Cable Info'!#REF!))</f>
        <v>#REF!</v>
      </c>
      <c r="BG17" s="149" t="e">
        <f t="shared" si="4"/>
        <v>#REF!</v>
      </c>
      <c r="BI17" s="149" t="e">
        <f>IF('Cable Info'!#REF!="","",CONCATENATE('Cable Info'!#REF!," - ",'Cable Info'!#REF!))</f>
        <v>#REF!</v>
      </c>
      <c r="BL17" s="149" t="e">
        <f t="shared" si="5"/>
        <v>#REF!</v>
      </c>
      <c r="CL17" s="309"/>
    </row>
    <row r="18" spans="1:90" x14ac:dyDescent="0.2">
      <c r="A18" s="222"/>
      <c r="B18" s="165"/>
      <c r="C18" s="142" t="str">
        <f>IFERROR(IF(B18="","",IF((COUNTIF('Cable Info'!$B$11:$C$50,B18)=0),VLOOKUP(B18,'Cable Info (2)'!$B$11:$C$50,2,FALSE),(VLOOKUP(B18,'Cable Info'!$B$11:$C$50,2,FALSE)))),"NO SUCH EXIT")</f>
        <v/>
      </c>
      <c r="D18" s="285"/>
      <c r="E18" s="311"/>
      <c r="F18" s="132" t="s">
        <v>59</v>
      </c>
      <c r="G18" s="314"/>
      <c r="H18" s="142" t="str">
        <f t="shared" si="11"/>
        <v/>
      </c>
      <c r="I18" s="318"/>
      <c r="J18" s="132" t="s">
        <v>59</v>
      </c>
      <c r="K18" s="320"/>
      <c r="L18" s="289"/>
      <c r="M18" s="142" t="str">
        <f>IFERROR(IF(P18="","",IF((COUNTIF('Cable Info'!$B$11:$C$50,P18)=0),VLOOKUP(P18,'Cable Info (2)'!$B$11:$C$50,2,FALSE),(VLOOKUP(P18,'Cable Info'!$B$11:$C$50,2,FALSE)))),"NO SUCH EXIT")</f>
        <v/>
      </c>
      <c r="N18" s="293"/>
      <c r="O18" s="234"/>
      <c r="P18" s="161"/>
      <c r="Q18" s="224"/>
      <c r="R18" s="162"/>
      <c r="S18" s="162"/>
      <c r="T18" s="163"/>
      <c r="U18" s="163"/>
      <c r="V18" s="164"/>
      <c r="W18" s="164"/>
      <c r="X18" s="229" t="str">
        <f t="shared" si="6"/>
        <v/>
      </c>
      <c r="Y18" s="147" t="str">
        <f t="shared" si="7"/>
        <v/>
      </c>
      <c r="Z18" s="148" t="str">
        <f t="shared" si="8"/>
        <v/>
      </c>
      <c r="AA18" s="148" t="str">
        <f t="shared" si="9"/>
        <v/>
      </c>
      <c r="AB18" s="148" t="str">
        <f t="shared" si="10"/>
        <v/>
      </c>
      <c r="AJ18" s="149" t="e">
        <f>IF('Cable Info'!#REF!="","",CONCATENATE('Cable Info'!#REF!," - ",'Cable Info'!#REF!))</f>
        <v>#REF!</v>
      </c>
      <c r="AM18" s="149" t="e">
        <f t="shared" si="0"/>
        <v>#REF!</v>
      </c>
      <c r="AO18" s="149" t="e">
        <f>IF('Cable Info'!#REF!="","",CONCATENATE('Cable Info'!#REF!," - ",'Cable Info'!#REF!))</f>
        <v>#REF!</v>
      </c>
      <c r="AR18" s="149" t="e">
        <f t="shared" si="1"/>
        <v>#REF!</v>
      </c>
      <c r="AT18" s="149" t="e">
        <f>IF('Cable Info'!#REF!="","",CONCATENATE('Cable Info'!#REF!," - ",'Cable Info'!#REF!))</f>
        <v>#REF!</v>
      </c>
      <c r="AW18" s="149" t="e">
        <f t="shared" si="2"/>
        <v>#REF!</v>
      </c>
      <c r="AY18" s="149" t="e">
        <f>IF('Cable Info'!#REF!="","",CONCATENATE('Cable Info'!#REF!," - ",'Cable Info'!#REF!))</f>
        <v>#REF!</v>
      </c>
      <c r="BB18" s="149" t="e">
        <f t="shared" si="3"/>
        <v>#REF!</v>
      </c>
      <c r="BD18" s="149" t="e">
        <f>IF('Cable Info'!#REF!="","",CONCATENATE('Cable Info'!#REF!," - ",'Cable Info'!#REF!))</f>
        <v>#REF!</v>
      </c>
      <c r="BG18" s="149" t="e">
        <f t="shared" si="4"/>
        <v>#REF!</v>
      </c>
      <c r="BI18" s="149" t="e">
        <f>IF('Cable Info'!#REF!="","",CONCATENATE('Cable Info'!#REF!," - ",'Cable Info'!#REF!))</f>
        <v>#REF!</v>
      </c>
      <c r="BL18" s="149" t="e">
        <f t="shared" si="5"/>
        <v>#REF!</v>
      </c>
      <c r="CL18" s="309"/>
    </row>
    <row r="19" spans="1:90" x14ac:dyDescent="0.2">
      <c r="A19" s="222"/>
      <c r="B19" s="165"/>
      <c r="C19" s="142" t="str">
        <f>IFERROR(IF(B19="","",IF((COUNTIF('Cable Info'!$B$11:$C$50,B19)=0),VLOOKUP(B19,'Cable Info (2)'!$B$11:$C$50,2,FALSE),(VLOOKUP(B19,'Cable Info'!$B$11:$C$50,2,FALSE)))),"NO SUCH EXIT")</f>
        <v/>
      </c>
      <c r="D19" s="285"/>
      <c r="E19" s="311"/>
      <c r="F19" s="132" t="s">
        <v>59</v>
      </c>
      <c r="G19" s="314"/>
      <c r="H19" s="142" t="str">
        <f t="shared" si="11"/>
        <v/>
      </c>
      <c r="I19" s="318"/>
      <c r="J19" s="132" t="s">
        <v>59</v>
      </c>
      <c r="K19" s="320"/>
      <c r="L19" s="289"/>
      <c r="M19" s="142" t="str">
        <f>IFERROR(IF(P19="","",IF((COUNTIF('Cable Info'!$B$11:$C$50,P19)=0),VLOOKUP(P19,'Cable Info (2)'!$B$11:$C$50,2,FALSE),(VLOOKUP(P19,'Cable Info'!$B$11:$C$50,2,FALSE)))),"NO SUCH EXIT")</f>
        <v/>
      </c>
      <c r="N19" s="293"/>
      <c r="O19" s="234"/>
      <c r="P19" s="161"/>
      <c r="Q19" s="224"/>
      <c r="R19" s="162"/>
      <c r="S19" s="162"/>
      <c r="T19" s="163"/>
      <c r="U19" s="163"/>
      <c r="V19" s="164"/>
      <c r="W19" s="164"/>
      <c r="X19" s="229" t="str">
        <f t="shared" si="6"/>
        <v/>
      </c>
      <c r="Y19" s="147" t="str">
        <f t="shared" si="7"/>
        <v/>
      </c>
      <c r="Z19" s="148" t="str">
        <f t="shared" si="8"/>
        <v/>
      </c>
      <c r="AA19" s="148" t="str">
        <f t="shared" si="9"/>
        <v/>
      </c>
      <c r="AB19" s="148" t="str">
        <f t="shared" si="10"/>
        <v/>
      </c>
      <c r="AJ19" s="149" t="e">
        <f>IF('Cable Info'!#REF!="","",CONCATENATE('Cable Info'!#REF!," - ",'Cable Info'!#REF!))</f>
        <v>#REF!</v>
      </c>
      <c r="AM19" s="149" t="e">
        <f t="shared" si="0"/>
        <v>#REF!</v>
      </c>
      <c r="AO19" s="149" t="e">
        <f>IF('Cable Info'!#REF!="","",CONCATENATE('Cable Info'!#REF!," - ",'Cable Info'!#REF!))</f>
        <v>#REF!</v>
      </c>
      <c r="AR19" s="149" t="e">
        <f t="shared" si="1"/>
        <v>#REF!</v>
      </c>
      <c r="AT19" s="149" t="e">
        <f>IF('Cable Info'!#REF!="","",CONCATENATE('Cable Info'!#REF!," - ",'Cable Info'!#REF!))</f>
        <v>#REF!</v>
      </c>
      <c r="AW19" s="149" t="e">
        <f t="shared" si="2"/>
        <v>#REF!</v>
      </c>
      <c r="AY19" s="149" t="e">
        <f>IF('Cable Info'!#REF!="","",CONCATENATE('Cable Info'!#REF!," - ",'Cable Info'!#REF!))</f>
        <v>#REF!</v>
      </c>
      <c r="BB19" s="149" t="e">
        <f t="shared" si="3"/>
        <v>#REF!</v>
      </c>
      <c r="BD19" s="149" t="e">
        <f>IF('Cable Info'!#REF!="","",CONCATENATE('Cable Info'!#REF!," - ",'Cable Info'!#REF!))</f>
        <v>#REF!</v>
      </c>
      <c r="BG19" s="149" t="e">
        <f t="shared" si="4"/>
        <v>#REF!</v>
      </c>
      <c r="BI19" s="149" t="e">
        <f>IF('Cable Info'!#REF!="","",CONCATENATE('Cable Info'!#REF!," - ",'Cable Info'!#REF!))</f>
        <v>#REF!</v>
      </c>
      <c r="BL19" s="149" t="e">
        <f t="shared" si="5"/>
        <v>#REF!</v>
      </c>
      <c r="CL19" s="309"/>
    </row>
    <row r="20" spans="1:90" x14ac:dyDescent="0.2">
      <c r="A20" s="222"/>
      <c r="B20" s="165"/>
      <c r="C20" s="142" t="str">
        <f>IFERROR(IF(B20="","",IF((COUNTIF('Cable Info'!$B$11:$C$50,B20)=0),VLOOKUP(B20,'Cable Info (2)'!$B$11:$C$50,2,FALSE),(VLOOKUP(B20,'Cable Info'!$B$11:$C$50,2,FALSE)))),"NO SUCH EXIT")</f>
        <v/>
      </c>
      <c r="D20" s="285"/>
      <c r="E20" s="311"/>
      <c r="F20" s="132" t="s">
        <v>59</v>
      </c>
      <c r="G20" s="314"/>
      <c r="H20" s="142" t="str">
        <f t="shared" si="11"/>
        <v/>
      </c>
      <c r="I20" s="318"/>
      <c r="J20" s="132" t="s">
        <v>59</v>
      </c>
      <c r="K20" s="320"/>
      <c r="L20" s="289"/>
      <c r="M20" s="142" t="str">
        <f>IFERROR(IF(P20="","",IF((COUNTIF('Cable Info'!$B$11:$C$50,P20)=0),VLOOKUP(P20,'Cable Info (2)'!$B$11:$C$50,2,FALSE),(VLOOKUP(P20,'Cable Info'!$B$11:$C$50,2,FALSE)))),"NO SUCH EXIT")</f>
        <v/>
      </c>
      <c r="N20" s="293"/>
      <c r="O20" s="234"/>
      <c r="P20" s="161"/>
      <c r="Q20" s="224"/>
      <c r="R20" s="162"/>
      <c r="S20" s="162"/>
      <c r="T20" s="163"/>
      <c r="U20" s="163"/>
      <c r="V20" s="164"/>
      <c r="W20" s="164"/>
      <c r="X20" s="229" t="str">
        <f t="shared" si="6"/>
        <v/>
      </c>
      <c r="Y20" s="147" t="str">
        <f t="shared" si="7"/>
        <v/>
      </c>
      <c r="Z20" s="148" t="str">
        <f t="shared" si="8"/>
        <v/>
      </c>
      <c r="AA20" s="148" t="str">
        <f t="shared" si="9"/>
        <v/>
      </c>
      <c r="AB20" s="148" t="str">
        <f t="shared" si="10"/>
        <v/>
      </c>
      <c r="AJ20" s="149" t="e">
        <f>IF('Cable Info'!#REF!="","",CONCATENATE('Cable Info'!#REF!," - ",'Cable Info'!#REF!))</f>
        <v>#REF!</v>
      </c>
      <c r="AM20" s="149" t="e">
        <f t="shared" si="0"/>
        <v>#REF!</v>
      </c>
      <c r="AO20" s="149" t="e">
        <f>IF('Cable Info'!#REF!="","",CONCATENATE('Cable Info'!#REF!," - ",'Cable Info'!#REF!))</f>
        <v>#REF!</v>
      </c>
      <c r="AR20" s="149" t="e">
        <f t="shared" si="1"/>
        <v>#REF!</v>
      </c>
      <c r="AT20" s="149" t="e">
        <f>IF('Cable Info'!#REF!="","",CONCATENATE('Cable Info'!#REF!," - ",'Cable Info'!#REF!))</f>
        <v>#REF!</v>
      </c>
      <c r="AW20" s="149" t="e">
        <f t="shared" si="2"/>
        <v>#REF!</v>
      </c>
      <c r="AY20" s="149" t="e">
        <f>IF('Cable Info'!#REF!="","",CONCATENATE('Cable Info'!#REF!," - ",'Cable Info'!#REF!))</f>
        <v>#REF!</v>
      </c>
      <c r="BB20" s="149" t="e">
        <f t="shared" si="3"/>
        <v>#REF!</v>
      </c>
      <c r="BD20" s="149" t="e">
        <f>IF('Cable Info'!#REF!="","",CONCATENATE('Cable Info'!#REF!," - ",'Cable Info'!#REF!))</f>
        <v>#REF!</v>
      </c>
      <c r="BG20" s="149" t="e">
        <f t="shared" si="4"/>
        <v>#REF!</v>
      </c>
      <c r="BI20" s="149" t="e">
        <f>IF('Cable Info'!#REF!="","",CONCATENATE('Cable Info'!#REF!," - ",'Cable Info'!#REF!))</f>
        <v>#REF!</v>
      </c>
      <c r="BL20" s="149" t="e">
        <f t="shared" si="5"/>
        <v>#REF!</v>
      </c>
      <c r="CL20" s="309"/>
    </row>
    <row r="21" spans="1:90" x14ac:dyDescent="0.2">
      <c r="A21" s="222"/>
      <c r="B21" s="165"/>
      <c r="C21" s="142" t="str">
        <f>IFERROR(IF(B21="","",IF((COUNTIF('Cable Info'!$B$11:$C$50,B21)=0),VLOOKUP(B21,'Cable Info (2)'!$B$11:$C$50,2,FALSE),(VLOOKUP(B21,'Cable Info'!$B$11:$C$50,2,FALSE)))),"NO SUCH EXIT")</f>
        <v/>
      </c>
      <c r="D21" s="285"/>
      <c r="E21" s="311"/>
      <c r="F21" s="132" t="s">
        <v>59</v>
      </c>
      <c r="G21" s="314"/>
      <c r="H21" s="142" t="str">
        <f t="shared" si="11"/>
        <v/>
      </c>
      <c r="I21" s="318"/>
      <c r="J21" s="132" t="s">
        <v>59</v>
      </c>
      <c r="K21" s="320"/>
      <c r="L21" s="289"/>
      <c r="M21" s="142" t="str">
        <f>IFERROR(IF(P21="","",IF((COUNTIF('Cable Info'!$B$11:$C$50,P21)=0),VLOOKUP(P21,'Cable Info (2)'!$B$11:$C$50,2,FALSE),(VLOOKUP(P21,'Cable Info'!$B$11:$C$50,2,FALSE)))),"NO SUCH EXIT")</f>
        <v/>
      </c>
      <c r="N21" s="293"/>
      <c r="O21" s="234"/>
      <c r="P21" s="161"/>
      <c r="Q21" s="224"/>
      <c r="R21" s="162"/>
      <c r="S21" s="162"/>
      <c r="T21" s="163"/>
      <c r="U21" s="163"/>
      <c r="V21" s="164"/>
      <c r="W21" s="164"/>
      <c r="X21" s="229" t="str">
        <f t="shared" si="6"/>
        <v/>
      </c>
      <c r="Y21" s="147" t="str">
        <f t="shared" si="7"/>
        <v/>
      </c>
      <c r="Z21" s="148" t="str">
        <f t="shared" si="8"/>
        <v/>
      </c>
      <c r="AA21" s="148" t="str">
        <f t="shared" si="9"/>
        <v/>
      </c>
      <c r="AB21" s="148" t="str">
        <f t="shared" si="10"/>
        <v/>
      </c>
      <c r="AJ21" s="149" t="e">
        <f>IF('Cable Info'!#REF!="","",CONCATENATE('Cable Info'!#REF!," - ",'Cable Info'!#REF!))</f>
        <v>#REF!</v>
      </c>
      <c r="AM21" s="149" t="e">
        <f t="shared" si="0"/>
        <v>#REF!</v>
      </c>
      <c r="AO21" s="149" t="e">
        <f>IF('Cable Info'!#REF!="","",CONCATENATE('Cable Info'!#REF!," - ",'Cable Info'!#REF!))</f>
        <v>#REF!</v>
      </c>
      <c r="AR21" s="149" t="e">
        <f t="shared" si="1"/>
        <v>#REF!</v>
      </c>
      <c r="AT21" s="149" t="e">
        <f>IF('Cable Info'!#REF!="","",CONCATENATE('Cable Info'!#REF!," - ",'Cable Info'!#REF!))</f>
        <v>#REF!</v>
      </c>
      <c r="AW21" s="149" t="e">
        <f t="shared" si="2"/>
        <v>#REF!</v>
      </c>
      <c r="AY21" s="149" t="e">
        <f>IF('Cable Info'!#REF!="","",CONCATENATE('Cable Info'!#REF!," - ",'Cable Info'!#REF!))</f>
        <v>#REF!</v>
      </c>
      <c r="BB21" s="149" t="e">
        <f t="shared" si="3"/>
        <v>#REF!</v>
      </c>
      <c r="BD21" s="149" t="e">
        <f>IF('Cable Info'!#REF!="","",CONCATENATE('Cable Info'!#REF!," - ",'Cable Info'!#REF!))</f>
        <v>#REF!</v>
      </c>
      <c r="BG21" s="149" t="e">
        <f t="shared" si="4"/>
        <v>#REF!</v>
      </c>
      <c r="BI21" s="149" t="e">
        <f>IF('Cable Info'!#REF!="","",CONCATENATE('Cable Info'!#REF!," - ",'Cable Info'!#REF!))</f>
        <v>#REF!</v>
      </c>
      <c r="BL21" s="149" t="e">
        <f t="shared" si="5"/>
        <v>#REF!</v>
      </c>
      <c r="CL21" s="309"/>
    </row>
    <row r="22" spans="1:90" x14ac:dyDescent="0.2">
      <c r="A22" s="222"/>
      <c r="B22" s="165"/>
      <c r="C22" s="142" t="str">
        <f>IFERROR(IF(B22="","",IF((COUNTIF('Cable Info'!$B$11:$C$50,B22)=0),VLOOKUP(B22,'Cable Info (2)'!$B$11:$C$50,2,FALSE),(VLOOKUP(B22,'Cable Info'!$B$11:$C$50,2,FALSE)))),"NO SUCH EXIT")</f>
        <v/>
      </c>
      <c r="D22" s="285"/>
      <c r="E22" s="311"/>
      <c r="F22" s="132" t="s">
        <v>59</v>
      </c>
      <c r="G22" s="314"/>
      <c r="H22" s="142" t="str">
        <f t="shared" si="11"/>
        <v/>
      </c>
      <c r="I22" s="318"/>
      <c r="J22" s="132" t="s">
        <v>59</v>
      </c>
      <c r="K22" s="320"/>
      <c r="L22" s="289"/>
      <c r="M22" s="142" t="str">
        <f>IFERROR(IF(P22="","",IF((COUNTIF('Cable Info'!$B$11:$C$50,P22)=0),VLOOKUP(P22,'Cable Info (2)'!$B$11:$C$50,2,FALSE),(VLOOKUP(P22,'Cable Info'!$B$11:$C$50,2,FALSE)))),"NO SUCH EXIT")</f>
        <v/>
      </c>
      <c r="N22" s="293"/>
      <c r="O22" s="234"/>
      <c r="P22" s="161"/>
      <c r="Q22" s="224"/>
      <c r="R22" s="162"/>
      <c r="S22" s="162"/>
      <c r="T22" s="163"/>
      <c r="U22" s="163"/>
      <c r="V22" s="164"/>
      <c r="W22" s="164"/>
      <c r="X22" s="229" t="str">
        <f t="shared" si="6"/>
        <v/>
      </c>
      <c r="Y22" s="147" t="str">
        <f t="shared" si="7"/>
        <v/>
      </c>
      <c r="Z22" s="148" t="str">
        <f t="shared" si="8"/>
        <v/>
      </c>
      <c r="AA22" s="148" t="str">
        <f t="shared" si="9"/>
        <v/>
      </c>
      <c r="AB22" s="148" t="str">
        <f t="shared" si="10"/>
        <v/>
      </c>
      <c r="AJ22" s="149" t="e">
        <f>IF('Cable Info'!#REF!="","",CONCATENATE('Cable Info'!#REF!," - ",'Cable Info'!#REF!))</f>
        <v>#REF!</v>
      </c>
      <c r="AM22" s="149" t="e">
        <f t="shared" si="0"/>
        <v>#REF!</v>
      </c>
      <c r="AO22" s="149" t="e">
        <f>IF('Cable Info'!#REF!="","",CONCATENATE('Cable Info'!#REF!," - ",'Cable Info'!#REF!))</f>
        <v>#REF!</v>
      </c>
      <c r="AR22" s="149" t="e">
        <f t="shared" si="1"/>
        <v>#REF!</v>
      </c>
      <c r="AT22" s="149" t="e">
        <f>IF('Cable Info'!#REF!="","",CONCATENATE('Cable Info'!#REF!," - ",'Cable Info'!#REF!))</f>
        <v>#REF!</v>
      </c>
      <c r="AW22" s="149" t="e">
        <f t="shared" si="2"/>
        <v>#REF!</v>
      </c>
      <c r="AY22" s="149" t="e">
        <f>IF('Cable Info'!#REF!="","",CONCATENATE('Cable Info'!#REF!," - ",'Cable Info'!#REF!))</f>
        <v>#REF!</v>
      </c>
      <c r="BB22" s="149" t="e">
        <f t="shared" si="3"/>
        <v>#REF!</v>
      </c>
      <c r="BD22" s="149" t="e">
        <f>IF('Cable Info'!#REF!="","",CONCATENATE('Cable Info'!#REF!," - ",'Cable Info'!#REF!))</f>
        <v>#REF!</v>
      </c>
      <c r="BG22" s="149" t="e">
        <f t="shared" si="4"/>
        <v>#REF!</v>
      </c>
      <c r="BI22" s="149" t="e">
        <f>IF('Cable Info'!#REF!="","",CONCATENATE('Cable Info'!#REF!," - ",'Cable Info'!#REF!))</f>
        <v>#REF!</v>
      </c>
      <c r="BL22" s="149" t="e">
        <f t="shared" si="5"/>
        <v>#REF!</v>
      </c>
      <c r="CL22" s="309"/>
    </row>
    <row r="23" spans="1:90" x14ac:dyDescent="0.2">
      <c r="A23" s="222"/>
      <c r="B23" s="165"/>
      <c r="C23" s="142" t="str">
        <f>IFERROR(IF(B23="","",IF((COUNTIF('Cable Info'!$B$11:$C$50,B23)=0),VLOOKUP(B23,'Cable Info (2)'!$B$11:$C$50,2,FALSE),(VLOOKUP(B23,'Cable Info'!$B$11:$C$50,2,FALSE)))),"NO SUCH EXIT")</f>
        <v/>
      </c>
      <c r="D23" s="285"/>
      <c r="E23" s="311"/>
      <c r="F23" s="132" t="s">
        <v>59</v>
      </c>
      <c r="G23" s="314"/>
      <c r="H23" s="142" t="str">
        <f t="shared" si="11"/>
        <v/>
      </c>
      <c r="I23" s="318"/>
      <c r="J23" s="132" t="s">
        <v>59</v>
      </c>
      <c r="K23" s="320"/>
      <c r="L23" s="289"/>
      <c r="M23" s="142" t="str">
        <f>IFERROR(IF(P23="","",IF((COUNTIF('Cable Info'!$B$11:$C$50,P23)=0),VLOOKUP(P23,'Cable Info (2)'!$B$11:$C$50,2,FALSE),(VLOOKUP(P23,'Cable Info'!$B$11:$C$50,2,FALSE)))),"NO SUCH EXIT")</f>
        <v/>
      </c>
      <c r="N23" s="293"/>
      <c r="O23" s="234"/>
      <c r="P23" s="161"/>
      <c r="Q23" s="224"/>
      <c r="R23" s="162"/>
      <c r="S23" s="162"/>
      <c r="T23" s="163"/>
      <c r="U23" s="163"/>
      <c r="V23" s="164"/>
      <c r="W23" s="164"/>
      <c r="X23" s="229" t="str">
        <f t="shared" si="6"/>
        <v/>
      </c>
      <c r="Y23" s="147" t="str">
        <f t="shared" si="7"/>
        <v/>
      </c>
      <c r="Z23" s="148" t="str">
        <f t="shared" si="8"/>
        <v/>
      </c>
      <c r="AA23" s="148" t="str">
        <f t="shared" si="9"/>
        <v/>
      </c>
      <c r="AB23" s="148" t="str">
        <f t="shared" si="10"/>
        <v/>
      </c>
      <c r="AJ23" s="149" t="e">
        <f>IF('Cable Info'!#REF!="","",CONCATENATE('Cable Info'!#REF!," - ",'Cable Info'!#REF!))</f>
        <v>#REF!</v>
      </c>
      <c r="AM23" s="149" t="e">
        <f t="shared" si="0"/>
        <v>#REF!</v>
      </c>
      <c r="AO23" s="149" t="e">
        <f>IF('Cable Info'!#REF!="","",CONCATENATE('Cable Info'!#REF!," - ",'Cable Info'!#REF!))</f>
        <v>#REF!</v>
      </c>
      <c r="AR23" s="149" t="e">
        <f t="shared" si="1"/>
        <v>#REF!</v>
      </c>
      <c r="AT23" s="149" t="e">
        <f>IF('Cable Info'!#REF!="","",CONCATENATE('Cable Info'!#REF!," - ",'Cable Info'!#REF!))</f>
        <v>#REF!</v>
      </c>
      <c r="AW23" s="149" t="e">
        <f t="shared" si="2"/>
        <v>#REF!</v>
      </c>
      <c r="AY23" s="149" t="e">
        <f>IF('Cable Info'!#REF!="","",CONCATENATE('Cable Info'!#REF!," - ",'Cable Info'!#REF!))</f>
        <v>#REF!</v>
      </c>
      <c r="BB23" s="149" t="e">
        <f t="shared" si="3"/>
        <v>#REF!</v>
      </c>
      <c r="BD23" s="149" t="e">
        <f>IF('Cable Info'!#REF!="","",CONCATENATE('Cable Info'!#REF!," - ",'Cable Info'!#REF!))</f>
        <v>#REF!</v>
      </c>
      <c r="BG23" s="149" t="e">
        <f t="shared" si="4"/>
        <v>#REF!</v>
      </c>
      <c r="BI23" s="149" t="e">
        <f>IF('Cable Info'!#REF!="","",CONCATENATE('Cable Info'!#REF!," - ",'Cable Info'!#REF!))</f>
        <v>#REF!</v>
      </c>
      <c r="BL23" s="149" t="e">
        <f t="shared" si="5"/>
        <v>#REF!</v>
      </c>
      <c r="CL23" s="309"/>
    </row>
    <row r="24" spans="1:90" x14ac:dyDescent="0.2">
      <c r="A24" s="222"/>
      <c r="B24" s="165"/>
      <c r="C24" s="142" t="str">
        <f>IFERROR(IF(B24="","",IF((COUNTIF('Cable Info'!$B$11:$C$50,B24)=0),VLOOKUP(B24,'Cable Info (2)'!$B$11:$C$50,2,FALSE),(VLOOKUP(B24,'Cable Info'!$B$11:$C$50,2,FALSE)))),"NO SUCH EXIT")</f>
        <v/>
      </c>
      <c r="D24" s="285"/>
      <c r="E24" s="311"/>
      <c r="F24" s="132" t="s">
        <v>59</v>
      </c>
      <c r="G24" s="314"/>
      <c r="H24" s="142" t="str">
        <f t="shared" si="11"/>
        <v/>
      </c>
      <c r="I24" s="318"/>
      <c r="J24" s="132" t="s">
        <v>59</v>
      </c>
      <c r="K24" s="320"/>
      <c r="L24" s="289"/>
      <c r="M24" s="142" t="str">
        <f>IFERROR(IF(P24="","",IF((COUNTIF('Cable Info'!$B$11:$C$50,P24)=0),VLOOKUP(P24,'Cable Info (2)'!$B$11:$C$50,2,FALSE),(VLOOKUP(P24,'Cable Info'!$B$11:$C$50,2,FALSE)))),"NO SUCH EXIT")</f>
        <v/>
      </c>
      <c r="N24" s="293"/>
      <c r="O24" s="234"/>
      <c r="P24" s="161"/>
      <c r="Q24" s="224"/>
      <c r="R24" s="162"/>
      <c r="S24" s="162"/>
      <c r="T24" s="163"/>
      <c r="U24" s="163"/>
      <c r="V24" s="164"/>
      <c r="W24" s="164"/>
      <c r="X24" s="229" t="str">
        <f t="shared" si="6"/>
        <v/>
      </c>
      <c r="Y24" s="147" t="str">
        <f t="shared" si="7"/>
        <v/>
      </c>
      <c r="Z24" s="148" t="str">
        <f t="shared" si="8"/>
        <v/>
      </c>
      <c r="AA24" s="148" t="str">
        <f t="shared" si="9"/>
        <v/>
      </c>
      <c r="AB24" s="148" t="str">
        <f t="shared" si="10"/>
        <v/>
      </c>
      <c r="AJ24" s="149" t="e">
        <f>IF('Cable Info'!#REF!="","",CONCATENATE('Cable Info'!#REF!," - ",'Cable Info'!#REF!))</f>
        <v>#REF!</v>
      </c>
      <c r="AM24" s="149" t="e">
        <f t="shared" si="0"/>
        <v>#REF!</v>
      </c>
      <c r="AO24" s="149" t="e">
        <f>IF('Cable Info'!#REF!="","",CONCATENATE('Cable Info'!#REF!," - ",'Cable Info'!#REF!))</f>
        <v>#REF!</v>
      </c>
      <c r="AR24" s="149" t="e">
        <f t="shared" si="1"/>
        <v>#REF!</v>
      </c>
      <c r="AT24" s="149" t="e">
        <f>IF('Cable Info'!#REF!="","",CONCATENATE('Cable Info'!#REF!," - ",'Cable Info'!#REF!))</f>
        <v>#REF!</v>
      </c>
      <c r="AW24" s="149" t="e">
        <f t="shared" si="2"/>
        <v>#REF!</v>
      </c>
      <c r="AY24" s="149" t="e">
        <f>IF('Cable Info'!#REF!="","",CONCATENATE('Cable Info'!#REF!," - ",'Cable Info'!#REF!))</f>
        <v>#REF!</v>
      </c>
      <c r="BB24" s="149" t="e">
        <f t="shared" si="3"/>
        <v>#REF!</v>
      </c>
      <c r="BD24" s="149" t="e">
        <f>IF('Cable Info'!#REF!="","",CONCATENATE('Cable Info'!#REF!," - ",'Cable Info'!#REF!))</f>
        <v>#REF!</v>
      </c>
      <c r="BG24" s="149" t="e">
        <f t="shared" si="4"/>
        <v>#REF!</v>
      </c>
      <c r="BI24" s="149" t="e">
        <f>IF('Cable Info'!#REF!="","",CONCATENATE('Cable Info'!#REF!," - ",'Cable Info'!#REF!))</f>
        <v>#REF!</v>
      </c>
      <c r="BL24" s="149" t="e">
        <f t="shared" si="5"/>
        <v>#REF!</v>
      </c>
      <c r="CL24" s="309"/>
    </row>
    <row r="25" spans="1:90" x14ac:dyDescent="0.2">
      <c r="A25" s="222"/>
      <c r="B25" s="165"/>
      <c r="C25" s="142" t="str">
        <f>IFERROR(IF(B25="","",IF((COUNTIF('Cable Info'!$B$11:$C$50,B25)=0),VLOOKUP(B25,'Cable Info (2)'!$B$11:$C$50,2,FALSE),(VLOOKUP(B25,'Cable Info'!$B$11:$C$50,2,FALSE)))),"NO SUCH EXIT")</f>
        <v/>
      </c>
      <c r="D25" s="285"/>
      <c r="E25" s="311"/>
      <c r="F25" s="132" t="s">
        <v>59</v>
      </c>
      <c r="G25" s="314"/>
      <c r="H25" s="142" t="str">
        <f t="shared" si="11"/>
        <v/>
      </c>
      <c r="I25" s="318"/>
      <c r="J25" s="132" t="s">
        <v>59</v>
      </c>
      <c r="K25" s="320"/>
      <c r="L25" s="289"/>
      <c r="M25" s="142" t="str">
        <f>IFERROR(IF(P25="","",IF((COUNTIF('Cable Info'!$B$11:$C$50,P25)=0),VLOOKUP(P25,'Cable Info (2)'!$B$11:$C$50,2,FALSE),(VLOOKUP(P25,'Cable Info'!$B$11:$C$50,2,FALSE)))),"NO SUCH EXIT")</f>
        <v/>
      </c>
      <c r="N25" s="293"/>
      <c r="O25" s="234"/>
      <c r="P25" s="161"/>
      <c r="Q25" s="224"/>
      <c r="R25" s="162"/>
      <c r="S25" s="162"/>
      <c r="T25" s="163"/>
      <c r="U25" s="163"/>
      <c r="V25" s="164"/>
      <c r="W25" s="164"/>
      <c r="X25" s="229" t="str">
        <f t="shared" si="6"/>
        <v/>
      </c>
      <c r="Y25" s="147" t="str">
        <f t="shared" si="7"/>
        <v/>
      </c>
      <c r="Z25" s="148" t="str">
        <f t="shared" si="8"/>
        <v/>
      </c>
      <c r="AA25" s="148" t="str">
        <f t="shared" si="9"/>
        <v/>
      </c>
      <c r="AB25" s="148" t="str">
        <f t="shared" si="10"/>
        <v/>
      </c>
      <c r="AJ25" s="149" t="e">
        <f>IF('Cable Info'!#REF!="","",CONCATENATE('Cable Info'!#REF!," - ",'Cable Info'!#REF!))</f>
        <v>#REF!</v>
      </c>
      <c r="AM25" s="149" t="e">
        <f t="shared" si="0"/>
        <v>#REF!</v>
      </c>
      <c r="AO25" s="149" t="e">
        <f>IF('Cable Info'!#REF!="","",CONCATENATE('Cable Info'!#REF!," - ",'Cable Info'!#REF!))</f>
        <v>#REF!</v>
      </c>
      <c r="AR25" s="149" t="e">
        <f t="shared" si="1"/>
        <v>#REF!</v>
      </c>
      <c r="AT25" s="149" t="e">
        <f>IF('Cable Info'!#REF!="","",CONCATENATE('Cable Info'!#REF!," - ",'Cable Info'!#REF!))</f>
        <v>#REF!</v>
      </c>
      <c r="AW25" s="149" t="e">
        <f t="shared" si="2"/>
        <v>#REF!</v>
      </c>
      <c r="AY25" s="149" t="e">
        <f>IF('Cable Info'!#REF!="","",CONCATENATE('Cable Info'!#REF!," - ",'Cable Info'!#REF!))</f>
        <v>#REF!</v>
      </c>
      <c r="BB25" s="149" t="e">
        <f t="shared" si="3"/>
        <v>#REF!</v>
      </c>
      <c r="BD25" s="149" t="e">
        <f>IF('Cable Info'!#REF!="","",CONCATENATE('Cable Info'!#REF!," - ",'Cable Info'!#REF!))</f>
        <v>#REF!</v>
      </c>
      <c r="BG25" s="149" t="e">
        <f t="shared" si="4"/>
        <v>#REF!</v>
      </c>
      <c r="BI25" s="149" t="e">
        <f>IF('Cable Info'!#REF!="","",CONCATENATE('Cable Info'!#REF!," - ",'Cable Info'!#REF!))</f>
        <v>#REF!</v>
      </c>
      <c r="BL25" s="149" t="e">
        <f t="shared" si="5"/>
        <v>#REF!</v>
      </c>
      <c r="CL25" s="309"/>
    </row>
    <row r="26" spans="1:90" x14ac:dyDescent="0.2">
      <c r="A26" s="222"/>
      <c r="B26" s="165"/>
      <c r="C26" s="142" t="str">
        <f>IFERROR(IF(B26="","",IF((COUNTIF('Cable Info'!$B$11:$C$50,B26)=0),VLOOKUP(B26,'Cable Info (2)'!$B$11:$C$50,2,FALSE),(VLOOKUP(B26,'Cable Info'!$B$11:$C$50,2,FALSE)))),"NO SUCH EXIT")</f>
        <v/>
      </c>
      <c r="D26" s="285"/>
      <c r="E26" s="311"/>
      <c r="F26" s="132" t="s">
        <v>59</v>
      </c>
      <c r="G26" s="314"/>
      <c r="H26" s="142" t="str">
        <f t="shared" si="11"/>
        <v/>
      </c>
      <c r="I26" s="318"/>
      <c r="J26" s="132" t="s">
        <v>59</v>
      </c>
      <c r="K26" s="320"/>
      <c r="L26" s="289"/>
      <c r="M26" s="142" t="str">
        <f>IFERROR(IF(P26="","",IF((COUNTIF('Cable Info'!$B$11:$C$50,P26)=0),VLOOKUP(P26,'Cable Info (2)'!$B$11:$C$50,2,FALSE),(VLOOKUP(P26,'Cable Info'!$B$11:$C$50,2,FALSE)))),"NO SUCH EXIT")</f>
        <v/>
      </c>
      <c r="N26" s="293"/>
      <c r="O26" s="234"/>
      <c r="P26" s="161"/>
      <c r="Q26" s="224"/>
      <c r="R26" s="162"/>
      <c r="S26" s="162"/>
      <c r="T26" s="163"/>
      <c r="U26" s="163"/>
      <c r="V26" s="164"/>
      <c r="W26" s="164"/>
      <c r="X26" s="229" t="str">
        <f t="shared" si="6"/>
        <v/>
      </c>
      <c r="Y26" s="147" t="str">
        <f t="shared" si="7"/>
        <v/>
      </c>
      <c r="Z26" s="148" t="str">
        <f t="shared" si="8"/>
        <v/>
      </c>
      <c r="AA26" s="148" t="str">
        <f t="shared" si="9"/>
        <v/>
      </c>
      <c r="AB26" s="148" t="str">
        <f t="shared" si="10"/>
        <v/>
      </c>
      <c r="AJ26" s="149" t="e">
        <f>IF('Cable Info'!#REF!="","",CONCATENATE('Cable Info'!#REF!," - ",'Cable Info'!#REF!))</f>
        <v>#REF!</v>
      </c>
      <c r="AM26" s="149" t="e">
        <f t="shared" si="0"/>
        <v>#REF!</v>
      </c>
      <c r="AO26" s="149" t="e">
        <f>IF('Cable Info'!#REF!="","",CONCATENATE('Cable Info'!#REF!," - ",'Cable Info'!#REF!))</f>
        <v>#REF!</v>
      </c>
      <c r="AR26" s="149" t="e">
        <f t="shared" si="1"/>
        <v>#REF!</v>
      </c>
      <c r="AT26" s="149" t="e">
        <f>IF('Cable Info'!#REF!="","",CONCATENATE('Cable Info'!#REF!," - ",'Cable Info'!#REF!))</f>
        <v>#REF!</v>
      </c>
      <c r="AW26" s="149" t="e">
        <f t="shared" si="2"/>
        <v>#REF!</v>
      </c>
      <c r="AY26" s="149" t="e">
        <f>IF('Cable Info'!#REF!="","",CONCATENATE('Cable Info'!#REF!," - ",'Cable Info'!#REF!))</f>
        <v>#REF!</v>
      </c>
      <c r="BB26" s="149" t="e">
        <f t="shared" si="3"/>
        <v>#REF!</v>
      </c>
      <c r="BD26" s="149" t="e">
        <f>IF('Cable Info'!#REF!="","",CONCATENATE('Cable Info'!#REF!," - ",'Cable Info'!#REF!))</f>
        <v>#REF!</v>
      </c>
      <c r="BG26" s="149" t="e">
        <f t="shared" si="4"/>
        <v>#REF!</v>
      </c>
      <c r="BI26" s="149" t="e">
        <f>IF('Cable Info'!#REF!="","",CONCATENATE('Cable Info'!#REF!," - ",'Cable Info'!#REF!))</f>
        <v>#REF!</v>
      </c>
      <c r="BL26" s="149" t="e">
        <f t="shared" si="5"/>
        <v>#REF!</v>
      </c>
      <c r="CL26" s="309"/>
    </row>
    <row r="27" spans="1:90" x14ac:dyDescent="0.2">
      <c r="A27" s="222"/>
      <c r="B27" s="165"/>
      <c r="C27" s="142" t="str">
        <f>IFERROR(IF(B27="","",IF((COUNTIF('Cable Info'!$B$11:$C$50,B27)=0),VLOOKUP(B27,'Cable Info (2)'!$B$11:$C$50,2,FALSE),(VLOOKUP(B27,'Cable Info'!$B$11:$C$50,2,FALSE)))),"NO SUCH EXIT")</f>
        <v/>
      </c>
      <c r="D27" s="285"/>
      <c r="E27" s="311"/>
      <c r="F27" s="132" t="s">
        <v>59</v>
      </c>
      <c r="G27" s="314"/>
      <c r="H27" s="142" t="str">
        <f t="shared" si="11"/>
        <v/>
      </c>
      <c r="I27" s="318"/>
      <c r="J27" s="132" t="s">
        <v>59</v>
      </c>
      <c r="K27" s="320"/>
      <c r="L27" s="289"/>
      <c r="M27" s="142" t="str">
        <f>IFERROR(IF(P27="","",IF((COUNTIF('Cable Info'!$B$11:$C$50,P27)=0),VLOOKUP(P27,'Cable Info (2)'!$B$11:$C$50,2,FALSE),(VLOOKUP(P27,'Cable Info'!$B$11:$C$50,2,FALSE)))),"NO SUCH EXIT")</f>
        <v/>
      </c>
      <c r="N27" s="293"/>
      <c r="O27" s="234"/>
      <c r="P27" s="161"/>
      <c r="Q27" s="224"/>
      <c r="R27" s="162"/>
      <c r="S27" s="162"/>
      <c r="T27" s="163"/>
      <c r="U27" s="163"/>
      <c r="V27" s="164"/>
      <c r="W27" s="164"/>
      <c r="X27" s="229" t="str">
        <f t="shared" si="6"/>
        <v/>
      </c>
      <c r="Y27" s="147" t="str">
        <f t="shared" si="7"/>
        <v/>
      </c>
      <c r="Z27" s="148" t="str">
        <f t="shared" si="8"/>
        <v/>
      </c>
      <c r="AA27" s="148" t="str">
        <f t="shared" si="9"/>
        <v/>
      </c>
      <c r="AB27" s="148" t="str">
        <f t="shared" si="10"/>
        <v/>
      </c>
      <c r="AJ27" s="149" t="e">
        <f>IF('Cable Info'!#REF!="","",CONCATENATE('Cable Info'!#REF!," - ",'Cable Info'!#REF!))</f>
        <v>#REF!</v>
      </c>
      <c r="AM27" s="149" t="e">
        <f t="shared" si="0"/>
        <v>#REF!</v>
      </c>
      <c r="AO27" s="149" t="e">
        <f>IF('Cable Info'!#REF!="","",CONCATENATE('Cable Info'!#REF!," - ",'Cable Info'!#REF!))</f>
        <v>#REF!</v>
      </c>
      <c r="AR27" s="149" t="e">
        <f t="shared" si="1"/>
        <v>#REF!</v>
      </c>
      <c r="AT27" s="149" t="e">
        <f>IF('Cable Info'!#REF!="","",CONCATENATE('Cable Info'!#REF!," - ",'Cable Info'!#REF!))</f>
        <v>#REF!</v>
      </c>
      <c r="AW27" s="149" t="e">
        <f t="shared" si="2"/>
        <v>#REF!</v>
      </c>
      <c r="AY27" s="149" t="e">
        <f>IF('Cable Info'!#REF!="","",CONCATENATE('Cable Info'!#REF!," - ",'Cable Info'!#REF!))</f>
        <v>#REF!</v>
      </c>
      <c r="BB27" s="149" t="e">
        <f t="shared" si="3"/>
        <v>#REF!</v>
      </c>
      <c r="BD27" s="149" t="e">
        <f>IF('Cable Info'!#REF!="","",CONCATENATE('Cable Info'!#REF!," - ",'Cable Info'!#REF!))</f>
        <v>#REF!</v>
      </c>
      <c r="BG27" s="149" t="e">
        <f t="shared" si="4"/>
        <v>#REF!</v>
      </c>
      <c r="BI27" s="149" t="e">
        <f>IF('Cable Info'!#REF!="","",CONCATENATE('Cable Info'!#REF!," - ",'Cable Info'!#REF!))</f>
        <v>#REF!</v>
      </c>
      <c r="BL27" s="149" t="e">
        <f t="shared" si="5"/>
        <v>#REF!</v>
      </c>
      <c r="CL27" s="309"/>
    </row>
    <row r="28" spans="1:90" x14ac:dyDescent="0.2">
      <c r="A28" s="222"/>
      <c r="B28" s="165"/>
      <c r="C28" s="142" t="str">
        <f>IFERROR(IF(B28="","",IF((COUNTIF('Cable Info'!$B$11:$C$50,B28)=0),VLOOKUP(B28,'Cable Info (2)'!$B$11:$C$50,2,FALSE),(VLOOKUP(B28,'Cable Info'!$B$11:$C$50,2,FALSE)))),"NO SUCH EXIT")</f>
        <v/>
      </c>
      <c r="D28" s="285"/>
      <c r="E28" s="311"/>
      <c r="F28" s="132" t="s">
        <v>59</v>
      </c>
      <c r="G28" s="314"/>
      <c r="H28" s="142" t="str">
        <f t="shared" si="11"/>
        <v/>
      </c>
      <c r="I28" s="318"/>
      <c r="J28" s="132" t="s">
        <v>59</v>
      </c>
      <c r="K28" s="320"/>
      <c r="L28" s="289"/>
      <c r="M28" s="142" t="str">
        <f>IFERROR(IF(P28="","",IF((COUNTIF('Cable Info'!$B$11:$C$50,P28)=0),VLOOKUP(P28,'Cable Info (2)'!$B$11:$C$50,2,FALSE),(VLOOKUP(P28,'Cable Info'!$B$11:$C$50,2,FALSE)))),"NO SUCH EXIT")</f>
        <v/>
      </c>
      <c r="N28" s="293"/>
      <c r="O28" s="234"/>
      <c r="P28" s="161"/>
      <c r="Q28" s="224"/>
      <c r="R28" s="162"/>
      <c r="S28" s="162"/>
      <c r="T28" s="163"/>
      <c r="U28" s="163"/>
      <c r="V28" s="164"/>
      <c r="W28" s="164"/>
      <c r="X28" s="229" t="str">
        <f t="shared" si="6"/>
        <v/>
      </c>
      <c r="Y28" s="147" t="str">
        <f t="shared" si="7"/>
        <v/>
      </c>
      <c r="Z28" s="148" t="str">
        <f t="shared" si="8"/>
        <v/>
      </c>
      <c r="AA28" s="148" t="str">
        <f t="shared" si="9"/>
        <v/>
      </c>
      <c r="AB28" s="148" t="str">
        <f t="shared" si="10"/>
        <v/>
      </c>
      <c r="AJ28" s="149" t="e">
        <f>IF('Cable Info'!#REF!="","",CONCATENATE('Cable Info'!#REF!," - ",'Cable Info'!#REF!))</f>
        <v>#REF!</v>
      </c>
      <c r="AM28" s="149" t="e">
        <f t="shared" si="0"/>
        <v>#REF!</v>
      </c>
      <c r="AO28" s="149" t="e">
        <f>IF('Cable Info'!#REF!="","",CONCATENATE('Cable Info'!#REF!," - ",'Cable Info'!#REF!))</f>
        <v>#REF!</v>
      </c>
      <c r="AR28" s="149" t="e">
        <f t="shared" si="1"/>
        <v>#REF!</v>
      </c>
      <c r="AT28" s="149" t="e">
        <f>IF('Cable Info'!#REF!="","",CONCATENATE('Cable Info'!#REF!," - ",'Cable Info'!#REF!))</f>
        <v>#REF!</v>
      </c>
      <c r="AW28" s="149" t="e">
        <f t="shared" si="2"/>
        <v>#REF!</v>
      </c>
      <c r="AY28" s="149" t="e">
        <f>IF('Cable Info'!#REF!="","",CONCATENATE('Cable Info'!#REF!," - ",'Cable Info'!#REF!))</f>
        <v>#REF!</v>
      </c>
      <c r="BB28" s="149" t="e">
        <f t="shared" si="3"/>
        <v>#REF!</v>
      </c>
      <c r="BD28" s="149" t="e">
        <f>IF('Cable Info'!#REF!="","",CONCATENATE('Cable Info'!#REF!," - ",'Cable Info'!#REF!))</f>
        <v>#REF!</v>
      </c>
      <c r="BG28" s="149" t="e">
        <f t="shared" si="4"/>
        <v>#REF!</v>
      </c>
      <c r="BI28" s="149" t="e">
        <f>IF('Cable Info'!#REF!="","",CONCATENATE('Cable Info'!#REF!," - ",'Cable Info'!#REF!))</f>
        <v>#REF!</v>
      </c>
      <c r="BL28" s="149" t="e">
        <f t="shared" si="5"/>
        <v>#REF!</v>
      </c>
      <c r="CL28" s="309"/>
    </row>
    <row r="29" spans="1:90" x14ac:dyDescent="0.2">
      <c r="A29" s="222"/>
      <c r="B29" s="165"/>
      <c r="C29" s="142" t="str">
        <f>IFERROR(IF(B29="","",IF((COUNTIF('Cable Info'!$B$11:$C$50,B29)=0),VLOOKUP(B29,'Cable Info (2)'!$B$11:$C$50,2,FALSE),(VLOOKUP(B29,'Cable Info'!$B$11:$C$50,2,FALSE)))),"NO SUCH EXIT")</f>
        <v/>
      </c>
      <c r="D29" s="285"/>
      <c r="E29" s="311"/>
      <c r="F29" s="132" t="s">
        <v>59</v>
      </c>
      <c r="G29" s="314"/>
      <c r="H29" s="142" t="str">
        <f t="shared" si="11"/>
        <v/>
      </c>
      <c r="I29" s="318"/>
      <c r="J29" s="132" t="s">
        <v>59</v>
      </c>
      <c r="K29" s="320"/>
      <c r="L29" s="289"/>
      <c r="M29" s="142" t="str">
        <f>IFERROR(IF(P29="","",IF((COUNTIF('Cable Info'!$B$11:$C$50,P29)=0),VLOOKUP(P29,'Cable Info (2)'!$B$11:$C$50,2,FALSE),(VLOOKUP(P29,'Cable Info'!$B$11:$C$50,2,FALSE)))),"NO SUCH EXIT")</f>
        <v/>
      </c>
      <c r="N29" s="293"/>
      <c r="O29" s="234"/>
      <c r="P29" s="161"/>
      <c r="Q29" s="224"/>
      <c r="R29" s="162"/>
      <c r="S29" s="162"/>
      <c r="T29" s="163"/>
      <c r="U29" s="163"/>
      <c r="V29" s="164"/>
      <c r="W29" s="164"/>
      <c r="X29" s="229" t="str">
        <f t="shared" si="6"/>
        <v/>
      </c>
      <c r="Y29" s="147" t="str">
        <f t="shared" si="7"/>
        <v/>
      </c>
      <c r="Z29" s="148" t="str">
        <f t="shared" si="8"/>
        <v/>
      </c>
      <c r="AA29" s="148" t="str">
        <f t="shared" si="9"/>
        <v/>
      </c>
      <c r="AB29" s="148" t="str">
        <f t="shared" si="10"/>
        <v/>
      </c>
      <c r="AJ29" s="149" t="e">
        <f>IF('Cable Info'!#REF!="","",CONCATENATE('Cable Info'!#REF!," - ",'Cable Info'!#REF!))</f>
        <v>#REF!</v>
      </c>
      <c r="AM29" s="149" t="e">
        <f t="shared" si="0"/>
        <v>#REF!</v>
      </c>
      <c r="AO29" s="149" t="e">
        <f>IF('Cable Info'!#REF!="","",CONCATENATE('Cable Info'!#REF!," - ",'Cable Info'!#REF!))</f>
        <v>#REF!</v>
      </c>
      <c r="AR29" s="149" t="e">
        <f t="shared" si="1"/>
        <v>#REF!</v>
      </c>
      <c r="AT29" s="149" t="e">
        <f>IF('Cable Info'!#REF!="","",CONCATENATE('Cable Info'!#REF!," - ",'Cable Info'!#REF!))</f>
        <v>#REF!</v>
      </c>
      <c r="AW29" s="149" t="e">
        <f t="shared" si="2"/>
        <v>#REF!</v>
      </c>
      <c r="AY29" s="149" t="e">
        <f>IF('Cable Info'!#REF!="","",CONCATENATE('Cable Info'!#REF!," - ",'Cable Info'!#REF!))</f>
        <v>#REF!</v>
      </c>
      <c r="BB29" s="149" t="e">
        <f t="shared" si="3"/>
        <v>#REF!</v>
      </c>
      <c r="BD29" s="149" t="e">
        <f>IF('Cable Info'!#REF!="","",CONCATENATE('Cable Info'!#REF!," - ",'Cable Info'!#REF!))</f>
        <v>#REF!</v>
      </c>
      <c r="BG29" s="149" t="e">
        <f t="shared" si="4"/>
        <v>#REF!</v>
      </c>
      <c r="BI29" s="149" t="e">
        <f>IF('Cable Info'!#REF!="","",CONCATENATE('Cable Info'!#REF!," - ",'Cable Info'!#REF!))</f>
        <v>#REF!</v>
      </c>
      <c r="BL29" s="149" t="e">
        <f t="shared" si="5"/>
        <v>#REF!</v>
      </c>
      <c r="CL29" s="309"/>
    </row>
    <row r="30" spans="1:90" x14ac:dyDescent="0.2">
      <c r="A30" s="222"/>
      <c r="B30" s="165"/>
      <c r="C30" s="142" t="str">
        <f>IFERROR(IF(B30="","",IF((COUNTIF('Cable Info'!$B$11:$C$50,B30)=0),VLOOKUP(B30,'Cable Info (2)'!$B$11:$C$50,2,FALSE),(VLOOKUP(B30,'Cable Info'!$B$11:$C$50,2,FALSE)))),"NO SUCH EXIT")</f>
        <v/>
      </c>
      <c r="D30" s="285"/>
      <c r="E30" s="311"/>
      <c r="F30" s="132" t="s">
        <v>59</v>
      </c>
      <c r="G30" s="314"/>
      <c r="H30" s="142" t="str">
        <f t="shared" si="11"/>
        <v/>
      </c>
      <c r="I30" s="318"/>
      <c r="J30" s="132" t="s">
        <v>59</v>
      </c>
      <c r="K30" s="320"/>
      <c r="L30" s="289"/>
      <c r="M30" s="142" t="str">
        <f>IFERROR(IF(P30="","",IF((COUNTIF('Cable Info'!$B$11:$C$50,P30)=0),VLOOKUP(P30,'Cable Info (2)'!$B$11:$C$50,2,FALSE),(VLOOKUP(P30,'Cable Info'!$B$11:$C$50,2,FALSE)))),"NO SUCH EXIT")</f>
        <v/>
      </c>
      <c r="N30" s="293"/>
      <c r="O30" s="234"/>
      <c r="P30" s="161"/>
      <c r="Q30" s="224"/>
      <c r="R30" s="162"/>
      <c r="S30" s="162"/>
      <c r="T30" s="163"/>
      <c r="U30" s="163"/>
      <c r="V30" s="164"/>
      <c r="W30" s="164"/>
      <c r="X30" s="229" t="str">
        <f t="shared" si="6"/>
        <v/>
      </c>
      <c r="Y30" s="147" t="str">
        <f t="shared" si="7"/>
        <v/>
      </c>
      <c r="Z30" s="148" t="str">
        <f t="shared" si="8"/>
        <v/>
      </c>
      <c r="AA30" s="148" t="str">
        <f t="shared" si="9"/>
        <v/>
      </c>
      <c r="AB30" s="148" t="str">
        <f t="shared" si="10"/>
        <v/>
      </c>
      <c r="AJ30" s="149" t="e">
        <f>IF('Cable Info'!#REF!="","",CONCATENATE('Cable Info'!#REF!," - ",'Cable Info'!#REF!))</f>
        <v>#REF!</v>
      </c>
      <c r="AM30" s="149" t="e">
        <f t="shared" si="0"/>
        <v>#REF!</v>
      </c>
      <c r="AO30" s="149" t="e">
        <f>IF('Cable Info'!#REF!="","",CONCATENATE('Cable Info'!#REF!," - ",'Cable Info'!#REF!))</f>
        <v>#REF!</v>
      </c>
      <c r="AR30" s="149" t="e">
        <f t="shared" si="1"/>
        <v>#REF!</v>
      </c>
      <c r="AT30" s="149" t="e">
        <f>IF('Cable Info'!#REF!="","",CONCATENATE('Cable Info'!#REF!," - ",'Cable Info'!#REF!))</f>
        <v>#REF!</v>
      </c>
      <c r="AW30" s="149" t="e">
        <f t="shared" si="2"/>
        <v>#REF!</v>
      </c>
      <c r="AY30" s="149" t="e">
        <f>IF('Cable Info'!#REF!="","",CONCATENATE('Cable Info'!#REF!," - ",'Cable Info'!#REF!))</f>
        <v>#REF!</v>
      </c>
      <c r="BB30" s="149" t="e">
        <f t="shared" si="3"/>
        <v>#REF!</v>
      </c>
      <c r="BD30" s="149" t="e">
        <f>IF('Cable Info'!#REF!="","",CONCATENATE('Cable Info'!#REF!," - ",'Cable Info'!#REF!))</f>
        <v>#REF!</v>
      </c>
      <c r="BG30" s="149" t="e">
        <f t="shared" si="4"/>
        <v>#REF!</v>
      </c>
      <c r="BI30" s="149" t="e">
        <f>IF('Cable Info'!#REF!="","",CONCATENATE('Cable Info'!#REF!," - ",'Cable Info'!#REF!))</f>
        <v>#REF!</v>
      </c>
      <c r="BL30" s="149" t="e">
        <f t="shared" si="5"/>
        <v>#REF!</v>
      </c>
      <c r="CL30" s="309"/>
    </row>
    <row r="31" spans="1:90" x14ac:dyDescent="0.2">
      <c r="A31" s="222"/>
      <c r="B31" s="165"/>
      <c r="C31" s="142" t="str">
        <f>IFERROR(IF(B31="","",IF((COUNTIF('Cable Info'!$B$11:$C$50,B31)=0),VLOOKUP(B31,'Cable Info (2)'!$B$11:$C$50,2,FALSE),(VLOOKUP(B31,'Cable Info'!$B$11:$C$50,2,FALSE)))),"NO SUCH EXIT")</f>
        <v/>
      </c>
      <c r="D31" s="285"/>
      <c r="E31" s="311"/>
      <c r="F31" s="132" t="s">
        <v>59</v>
      </c>
      <c r="G31" s="314"/>
      <c r="H31" s="142" t="str">
        <f t="shared" si="11"/>
        <v/>
      </c>
      <c r="I31" s="318"/>
      <c r="J31" s="132" t="s">
        <v>59</v>
      </c>
      <c r="K31" s="320"/>
      <c r="L31" s="289"/>
      <c r="M31" s="142" t="str">
        <f>IFERROR(IF(P31="","",IF((COUNTIF('Cable Info'!$B$11:$C$50,P31)=0),VLOOKUP(P31,'Cable Info (2)'!$B$11:$C$50,2,FALSE),(VLOOKUP(P31,'Cable Info'!$B$11:$C$50,2,FALSE)))),"NO SUCH EXIT")</f>
        <v/>
      </c>
      <c r="N31" s="293"/>
      <c r="O31" s="234"/>
      <c r="P31" s="161"/>
      <c r="Q31" s="224"/>
      <c r="R31" s="162"/>
      <c r="S31" s="162"/>
      <c r="T31" s="163"/>
      <c r="U31" s="163"/>
      <c r="V31" s="164"/>
      <c r="W31" s="164"/>
      <c r="X31" s="229" t="str">
        <f t="shared" si="6"/>
        <v/>
      </c>
      <c r="Y31" s="147" t="str">
        <f t="shared" si="7"/>
        <v/>
      </c>
      <c r="Z31" s="148" t="str">
        <f t="shared" si="8"/>
        <v/>
      </c>
      <c r="AA31" s="148" t="str">
        <f t="shared" si="9"/>
        <v/>
      </c>
      <c r="AB31" s="148" t="str">
        <f t="shared" si="10"/>
        <v/>
      </c>
      <c r="AJ31" s="149" t="e">
        <f>IF('Cable Info'!#REF!="","",CONCATENATE('Cable Info'!#REF!," - ",'Cable Info'!#REF!))</f>
        <v>#REF!</v>
      </c>
      <c r="AM31" s="149" t="e">
        <f t="shared" si="0"/>
        <v>#REF!</v>
      </c>
      <c r="AO31" s="149" t="e">
        <f>IF('Cable Info'!#REF!="","",CONCATENATE('Cable Info'!#REF!," - ",'Cable Info'!#REF!))</f>
        <v>#REF!</v>
      </c>
      <c r="AR31" s="149" t="e">
        <f t="shared" si="1"/>
        <v>#REF!</v>
      </c>
      <c r="AT31" s="149" t="e">
        <f>IF('Cable Info'!#REF!="","",CONCATENATE('Cable Info'!#REF!," - ",'Cable Info'!#REF!))</f>
        <v>#REF!</v>
      </c>
      <c r="AW31" s="149" t="e">
        <f t="shared" si="2"/>
        <v>#REF!</v>
      </c>
      <c r="AY31" s="149" t="e">
        <f>IF('Cable Info'!#REF!="","",CONCATENATE('Cable Info'!#REF!," - ",'Cable Info'!#REF!))</f>
        <v>#REF!</v>
      </c>
      <c r="BB31" s="149" t="e">
        <f t="shared" si="3"/>
        <v>#REF!</v>
      </c>
      <c r="BD31" s="149" t="e">
        <f>IF('Cable Info'!#REF!="","",CONCATENATE('Cable Info'!#REF!," - ",'Cable Info'!#REF!))</f>
        <v>#REF!</v>
      </c>
      <c r="BG31" s="149" t="e">
        <f t="shared" si="4"/>
        <v>#REF!</v>
      </c>
      <c r="BI31" s="149" t="e">
        <f>IF('Cable Info'!#REF!="","",CONCATENATE('Cable Info'!#REF!," - ",'Cable Info'!#REF!))</f>
        <v>#REF!</v>
      </c>
      <c r="BL31" s="149" t="e">
        <f t="shared" si="5"/>
        <v>#REF!</v>
      </c>
      <c r="CL31" s="309"/>
    </row>
    <row r="32" spans="1:90" x14ac:dyDescent="0.2">
      <c r="A32" s="222"/>
      <c r="B32" s="165"/>
      <c r="C32" s="142" t="str">
        <f>IFERROR(IF(B32="","",IF((COUNTIF('Cable Info'!$B$11:$C$50,B32)=0),VLOOKUP(B32,'Cable Info (2)'!$B$11:$C$50,2,FALSE),(VLOOKUP(B32,'Cable Info'!$B$11:$C$50,2,FALSE)))),"NO SUCH EXIT")</f>
        <v/>
      </c>
      <c r="D32" s="285"/>
      <c r="E32" s="311"/>
      <c r="F32" s="132" t="s">
        <v>59</v>
      </c>
      <c r="G32" s="314"/>
      <c r="H32" s="142" t="str">
        <f t="shared" si="11"/>
        <v/>
      </c>
      <c r="I32" s="318"/>
      <c r="J32" s="132" t="s">
        <v>59</v>
      </c>
      <c r="K32" s="320"/>
      <c r="L32" s="289"/>
      <c r="M32" s="142" t="str">
        <f>IFERROR(IF(P32="","",IF((COUNTIF('Cable Info'!$B$11:$C$50,P32)=0),VLOOKUP(P32,'Cable Info (2)'!$B$11:$C$50,2,FALSE),(VLOOKUP(P32,'Cable Info'!$B$11:$C$50,2,FALSE)))),"NO SUCH EXIT")</f>
        <v/>
      </c>
      <c r="N32" s="293"/>
      <c r="O32" s="234"/>
      <c r="P32" s="161"/>
      <c r="Q32" s="224"/>
      <c r="R32" s="162"/>
      <c r="S32" s="162"/>
      <c r="T32" s="163"/>
      <c r="U32" s="163"/>
      <c r="V32" s="164"/>
      <c r="W32" s="164"/>
      <c r="X32" s="229" t="str">
        <f t="shared" si="6"/>
        <v/>
      </c>
      <c r="Y32" s="147" t="str">
        <f t="shared" si="7"/>
        <v/>
      </c>
      <c r="Z32" s="148" t="str">
        <f t="shared" si="8"/>
        <v/>
      </c>
      <c r="AA32" s="148" t="str">
        <f t="shared" si="9"/>
        <v/>
      </c>
      <c r="AB32" s="148" t="str">
        <f t="shared" si="10"/>
        <v/>
      </c>
      <c r="AJ32" s="149" t="e">
        <f>IF('Cable Info'!#REF!="","",CONCATENATE('Cable Info'!#REF!," - ",'Cable Info'!#REF!))</f>
        <v>#REF!</v>
      </c>
      <c r="AM32" s="149" t="e">
        <f t="shared" si="0"/>
        <v>#REF!</v>
      </c>
      <c r="AO32" s="149" t="e">
        <f>IF('Cable Info'!#REF!="","",CONCATENATE('Cable Info'!#REF!," - ",'Cable Info'!#REF!))</f>
        <v>#REF!</v>
      </c>
      <c r="AR32" s="149" t="e">
        <f t="shared" si="1"/>
        <v>#REF!</v>
      </c>
      <c r="AT32" s="149" t="e">
        <f>IF('Cable Info'!#REF!="","",CONCATENATE('Cable Info'!#REF!," - ",'Cable Info'!#REF!))</f>
        <v>#REF!</v>
      </c>
      <c r="AW32" s="149" t="e">
        <f t="shared" si="2"/>
        <v>#REF!</v>
      </c>
      <c r="AY32" s="149" t="e">
        <f>IF('Cable Info'!#REF!="","",CONCATENATE('Cable Info'!#REF!," - ",'Cable Info'!#REF!))</f>
        <v>#REF!</v>
      </c>
      <c r="BB32" s="149" t="e">
        <f t="shared" si="3"/>
        <v>#REF!</v>
      </c>
      <c r="BD32" s="149" t="e">
        <f>IF('Cable Info'!#REF!="","",CONCATENATE('Cable Info'!#REF!," - ",'Cable Info'!#REF!))</f>
        <v>#REF!</v>
      </c>
      <c r="BG32" s="149" t="e">
        <f t="shared" si="4"/>
        <v>#REF!</v>
      </c>
      <c r="BI32" s="149" t="e">
        <f>IF('Cable Info'!#REF!="","",CONCATENATE('Cable Info'!#REF!," - ",'Cable Info'!#REF!))</f>
        <v>#REF!</v>
      </c>
      <c r="BL32" s="149" t="e">
        <f t="shared" si="5"/>
        <v>#REF!</v>
      </c>
      <c r="CL32" s="309"/>
    </row>
    <row r="33" spans="1:90" x14ac:dyDescent="0.2">
      <c r="A33" s="222"/>
      <c r="B33" s="165"/>
      <c r="C33" s="142" t="str">
        <f>IFERROR(IF(B33="","",IF((COUNTIF('Cable Info'!$B$11:$C$50,B33)=0),VLOOKUP(B33,'Cable Info (2)'!$B$11:$C$50,2,FALSE),(VLOOKUP(B33,'Cable Info'!$B$11:$C$50,2,FALSE)))),"NO SUCH EXIT")</f>
        <v/>
      </c>
      <c r="D33" s="285"/>
      <c r="E33" s="311"/>
      <c r="F33" s="132" t="s">
        <v>59</v>
      </c>
      <c r="G33" s="314"/>
      <c r="H33" s="142" t="str">
        <f t="shared" si="11"/>
        <v/>
      </c>
      <c r="I33" s="318"/>
      <c r="J33" s="132" t="s">
        <v>59</v>
      </c>
      <c r="K33" s="320"/>
      <c r="L33" s="289"/>
      <c r="M33" s="142" t="str">
        <f>IFERROR(IF(P33="","",IF((COUNTIF('Cable Info'!$B$11:$C$50,P33)=0),VLOOKUP(P33,'Cable Info (2)'!$B$11:$C$50,2,FALSE),(VLOOKUP(P33,'Cable Info'!$B$11:$C$50,2,FALSE)))),"NO SUCH EXIT")</f>
        <v/>
      </c>
      <c r="N33" s="293"/>
      <c r="O33" s="234"/>
      <c r="P33" s="161"/>
      <c r="Q33" s="224"/>
      <c r="R33" s="162"/>
      <c r="S33" s="162"/>
      <c r="T33" s="163"/>
      <c r="U33" s="163"/>
      <c r="V33" s="164"/>
      <c r="W33" s="164"/>
      <c r="X33" s="229" t="str">
        <f t="shared" si="6"/>
        <v/>
      </c>
      <c r="Y33" s="147" t="str">
        <f t="shared" si="7"/>
        <v/>
      </c>
      <c r="Z33" s="148" t="str">
        <f t="shared" si="8"/>
        <v/>
      </c>
      <c r="AA33" s="148" t="str">
        <f t="shared" si="9"/>
        <v/>
      </c>
      <c r="AB33" s="148" t="str">
        <f t="shared" si="10"/>
        <v/>
      </c>
      <c r="AJ33" s="149" t="e">
        <f>IF('Cable Info'!#REF!="","",CONCATENATE('Cable Info'!#REF!," - ",'Cable Info'!#REF!))</f>
        <v>#REF!</v>
      </c>
      <c r="AM33" s="149" t="e">
        <f t="shared" si="0"/>
        <v>#REF!</v>
      </c>
      <c r="AO33" s="149" t="e">
        <f>IF('Cable Info'!#REF!="","",CONCATENATE('Cable Info'!#REF!," - ",'Cable Info'!#REF!))</f>
        <v>#REF!</v>
      </c>
      <c r="AR33" s="149" t="e">
        <f t="shared" si="1"/>
        <v>#REF!</v>
      </c>
      <c r="AT33" s="149" t="e">
        <f>IF('Cable Info'!#REF!="","",CONCATENATE('Cable Info'!#REF!," - ",'Cable Info'!#REF!))</f>
        <v>#REF!</v>
      </c>
      <c r="AW33" s="149" t="e">
        <f t="shared" si="2"/>
        <v>#REF!</v>
      </c>
      <c r="AY33" s="149" t="e">
        <f>IF('Cable Info'!#REF!="","",CONCATENATE('Cable Info'!#REF!," - ",'Cable Info'!#REF!))</f>
        <v>#REF!</v>
      </c>
      <c r="BB33" s="149" t="e">
        <f t="shared" si="3"/>
        <v>#REF!</v>
      </c>
      <c r="BD33" s="149" t="e">
        <f>IF('Cable Info'!#REF!="","",CONCATENATE('Cable Info'!#REF!," - ",'Cable Info'!#REF!))</f>
        <v>#REF!</v>
      </c>
      <c r="BG33" s="149" t="e">
        <f t="shared" si="4"/>
        <v>#REF!</v>
      </c>
      <c r="BI33" s="149" t="e">
        <f>IF('Cable Info'!#REF!="","",CONCATENATE('Cable Info'!#REF!," - ",'Cable Info'!#REF!))</f>
        <v>#REF!</v>
      </c>
      <c r="BL33" s="149" t="e">
        <f t="shared" si="5"/>
        <v>#REF!</v>
      </c>
      <c r="CL33" s="309"/>
    </row>
    <row r="34" spans="1:90" x14ac:dyDescent="0.2">
      <c r="A34" s="222"/>
      <c r="B34" s="165"/>
      <c r="C34" s="142" t="str">
        <f>IFERROR(IF(B34="","",IF((COUNTIF('Cable Info'!$B$11:$C$50,B34)=0),VLOOKUP(B34,'Cable Info (2)'!$B$11:$C$50,2,FALSE),(VLOOKUP(B34,'Cable Info'!$B$11:$C$50,2,FALSE)))),"NO SUCH EXIT")</f>
        <v/>
      </c>
      <c r="D34" s="285"/>
      <c r="E34" s="311"/>
      <c r="F34" s="132" t="s">
        <v>59</v>
      </c>
      <c r="G34" s="314"/>
      <c r="H34" s="142" t="str">
        <f t="shared" si="11"/>
        <v/>
      </c>
      <c r="I34" s="318"/>
      <c r="J34" s="132" t="s">
        <v>59</v>
      </c>
      <c r="K34" s="320"/>
      <c r="L34" s="289"/>
      <c r="M34" s="142" t="str">
        <f>IFERROR(IF(P34="","",IF((COUNTIF('Cable Info'!$B$11:$C$50,P34)=0),VLOOKUP(P34,'Cable Info (2)'!$B$11:$C$50,2,FALSE),(VLOOKUP(P34,'Cable Info'!$B$11:$C$50,2,FALSE)))),"NO SUCH EXIT")</f>
        <v/>
      </c>
      <c r="N34" s="293"/>
      <c r="O34" s="234"/>
      <c r="P34" s="161"/>
      <c r="Q34" s="224"/>
      <c r="R34" s="162"/>
      <c r="S34" s="162"/>
      <c r="T34" s="163"/>
      <c r="U34" s="163"/>
      <c r="V34" s="164"/>
      <c r="W34" s="164"/>
      <c r="X34" s="229" t="str">
        <f t="shared" si="6"/>
        <v/>
      </c>
      <c r="Y34" s="147" t="str">
        <f t="shared" si="7"/>
        <v/>
      </c>
      <c r="Z34" s="148" t="str">
        <f t="shared" si="8"/>
        <v/>
      </c>
      <c r="AA34" s="148" t="str">
        <f t="shared" si="9"/>
        <v/>
      </c>
      <c r="AB34" s="148" t="str">
        <f t="shared" si="10"/>
        <v/>
      </c>
      <c r="AJ34" s="149" t="e">
        <f>IF('Cable Info'!#REF!="","",CONCATENATE('Cable Info'!#REF!," - ",'Cable Info'!#REF!))</f>
        <v>#REF!</v>
      </c>
      <c r="AM34" s="149" t="e">
        <f t="shared" si="0"/>
        <v>#REF!</v>
      </c>
      <c r="AO34" s="149" t="e">
        <f>IF('Cable Info'!#REF!="","",CONCATENATE('Cable Info'!#REF!," - ",'Cable Info'!#REF!))</f>
        <v>#REF!</v>
      </c>
      <c r="AR34" s="149" t="e">
        <f t="shared" si="1"/>
        <v>#REF!</v>
      </c>
      <c r="AT34" s="149" t="e">
        <f>IF('Cable Info'!#REF!="","",CONCATENATE('Cable Info'!#REF!," - ",'Cable Info'!#REF!))</f>
        <v>#REF!</v>
      </c>
      <c r="AW34" s="149" t="e">
        <f t="shared" si="2"/>
        <v>#REF!</v>
      </c>
      <c r="AY34" s="149" t="e">
        <f>IF('Cable Info'!#REF!="","",CONCATENATE('Cable Info'!#REF!," - ",'Cable Info'!#REF!))</f>
        <v>#REF!</v>
      </c>
      <c r="BB34" s="149" t="e">
        <f t="shared" si="3"/>
        <v>#REF!</v>
      </c>
      <c r="BD34" s="149" t="e">
        <f>IF('Cable Info'!#REF!="","",CONCATENATE('Cable Info'!#REF!," - ",'Cable Info'!#REF!))</f>
        <v>#REF!</v>
      </c>
      <c r="BG34" s="149" t="e">
        <f t="shared" si="4"/>
        <v>#REF!</v>
      </c>
      <c r="BI34" s="149" t="e">
        <f>IF('Cable Info'!#REF!="","",CONCATENATE('Cable Info'!#REF!," - ",'Cable Info'!#REF!))</f>
        <v>#REF!</v>
      </c>
      <c r="BL34" s="149" t="e">
        <f t="shared" si="5"/>
        <v>#REF!</v>
      </c>
      <c r="CL34" s="309"/>
    </row>
    <row r="35" spans="1:90" x14ac:dyDescent="0.2">
      <c r="A35" s="222"/>
      <c r="B35" s="165"/>
      <c r="C35" s="142" t="str">
        <f>IFERROR(IF(B35="","",IF((COUNTIF('Cable Info'!$B$11:$C$50,B35)=0),VLOOKUP(B35,'Cable Info (2)'!$B$11:$C$50,2,FALSE),(VLOOKUP(B35,'Cable Info'!$B$11:$C$50,2,FALSE)))),"NO SUCH EXIT")</f>
        <v/>
      </c>
      <c r="D35" s="285"/>
      <c r="E35" s="311"/>
      <c r="F35" s="132" t="s">
        <v>59</v>
      </c>
      <c r="G35" s="314"/>
      <c r="H35" s="142" t="str">
        <f t="shared" si="11"/>
        <v/>
      </c>
      <c r="I35" s="318"/>
      <c r="J35" s="132" t="s">
        <v>59</v>
      </c>
      <c r="K35" s="320"/>
      <c r="L35" s="289"/>
      <c r="M35" s="142" t="str">
        <f>IFERROR(IF(P35="","",IF((COUNTIF('Cable Info'!$B$11:$C$50,P35)=0),VLOOKUP(P35,'Cable Info (2)'!$B$11:$C$50,2,FALSE),(VLOOKUP(P35,'Cable Info'!$B$11:$C$50,2,FALSE)))),"NO SUCH EXIT")</f>
        <v/>
      </c>
      <c r="N35" s="293"/>
      <c r="O35" s="234"/>
      <c r="P35" s="161"/>
      <c r="Q35" s="224"/>
      <c r="R35" s="162"/>
      <c r="S35" s="162"/>
      <c r="T35" s="163"/>
      <c r="U35" s="163"/>
      <c r="V35" s="164"/>
      <c r="W35" s="164"/>
      <c r="X35" s="229" t="str">
        <f t="shared" si="6"/>
        <v/>
      </c>
      <c r="Y35" s="147" t="str">
        <f t="shared" si="7"/>
        <v/>
      </c>
      <c r="Z35" s="148" t="str">
        <f t="shared" si="8"/>
        <v/>
      </c>
      <c r="AA35" s="148" t="str">
        <f t="shared" si="9"/>
        <v/>
      </c>
      <c r="AB35" s="148" t="str">
        <f t="shared" si="10"/>
        <v/>
      </c>
      <c r="AJ35" s="149" t="e">
        <f>IF('Cable Info'!#REF!="","",CONCATENATE('Cable Info'!#REF!," - ",'Cable Info'!#REF!))</f>
        <v>#REF!</v>
      </c>
      <c r="AM35" s="149" t="e">
        <f t="shared" si="0"/>
        <v>#REF!</v>
      </c>
      <c r="AO35" s="149" t="e">
        <f>IF('Cable Info'!#REF!="","",CONCATENATE('Cable Info'!#REF!," - ",'Cable Info'!#REF!))</f>
        <v>#REF!</v>
      </c>
      <c r="AR35" s="149" t="e">
        <f t="shared" si="1"/>
        <v>#REF!</v>
      </c>
      <c r="AT35" s="149" t="e">
        <f>IF('Cable Info'!#REF!="","",CONCATENATE('Cable Info'!#REF!," - ",'Cable Info'!#REF!))</f>
        <v>#REF!</v>
      </c>
      <c r="AW35" s="149" t="e">
        <f t="shared" si="2"/>
        <v>#REF!</v>
      </c>
      <c r="AY35" s="149" t="e">
        <f>IF('Cable Info'!#REF!="","",CONCATENATE('Cable Info'!#REF!," - ",'Cable Info'!#REF!))</f>
        <v>#REF!</v>
      </c>
      <c r="BB35" s="149" t="e">
        <f t="shared" si="3"/>
        <v>#REF!</v>
      </c>
      <c r="BD35" s="149" t="e">
        <f>IF('Cable Info'!#REF!="","",CONCATENATE('Cable Info'!#REF!," - ",'Cable Info'!#REF!))</f>
        <v>#REF!</v>
      </c>
      <c r="BG35" s="149" t="e">
        <f t="shared" si="4"/>
        <v>#REF!</v>
      </c>
      <c r="BI35" s="149" t="e">
        <f>IF('Cable Info'!#REF!="","",CONCATENATE('Cable Info'!#REF!," - ",'Cable Info'!#REF!))</f>
        <v>#REF!</v>
      </c>
      <c r="BL35" s="149" t="e">
        <f t="shared" si="5"/>
        <v>#REF!</v>
      </c>
      <c r="CL35" s="309"/>
    </row>
    <row r="36" spans="1:90" x14ac:dyDescent="0.2">
      <c r="A36" s="222"/>
      <c r="B36" s="165"/>
      <c r="C36" s="142" t="str">
        <f>IFERROR(IF(B36="","",IF((COUNTIF('Cable Info'!$B$11:$C$50,B36)=0),VLOOKUP(B36,'Cable Info (2)'!$B$11:$C$50,2,FALSE),(VLOOKUP(B36,'Cable Info'!$B$11:$C$50,2,FALSE)))),"NO SUCH EXIT")</f>
        <v/>
      </c>
      <c r="D36" s="285"/>
      <c r="E36" s="311"/>
      <c r="F36" s="132" t="s">
        <v>59</v>
      </c>
      <c r="G36" s="314"/>
      <c r="H36" s="142" t="str">
        <f t="shared" si="11"/>
        <v/>
      </c>
      <c r="I36" s="318"/>
      <c r="J36" s="132" t="s">
        <v>59</v>
      </c>
      <c r="K36" s="320"/>
      <c r="L36" s="289"/>
      <c r="M36" s="142" t="str">
        <f>IFERROR(IF(P36="","",IF((COUNTIF('Cable Info'!$B$11:$C$50,P36)=0),VLOOKUP(P36,'Cable Info (2)'!$B$11:$C$50,2,FALSE),(VLOOKUP(P36,'Cable Info'!$B$11:$C$50,2,FALSE)))),"NO SUCH EXIT")</f>
        <v/>
      </c>
      <c r="N36" s="293"/>
      <c r="O36" s="234"/>
      <c r="P36" s="161"/>
      <c r="Q36" s="224"/>
      <c r="R36" s="162"/>
      <c r="S36" s="162"/>
      <c r="T36" s="163"/>
      <c r="U36" s="163"/>
      <c r="V36" s="164"/>
      <c r="W36" s="164"/>
      <c r="X36" s="229" t="str">
        <f t="shared" si="6"/>
        <v/>
      </c>
      <c r="Y36" s="147" t="str">
        <f t="shared" si="7"/>
        <v/>
      </c>
      <c r="Z36" s="148" t="str">
        <f t="shared" si="8"/>
        <v/>
      </c>
      <c r="AA36" s="148" t="str">
        <f t="shared" si="9"/>
        <v/>
      </c>
      <c r="AB36" s="148" t="str">
        <f t="shared" si="10"/>
        <v/>
      </c>
      <c r="AJ36" s="149" t="e">
        <f>IF('Cable Info'!#REF!="","",CONCATENATE('Cable Info'!#REF!," - ",'Cable Info'!#REF!))</f>
        <v>#REF!</v>
      </c>
      <c r="AM36" s="149" t="e">
        <f t="shared" si="0"/>
        <v>#REF!</v>
      </c>
      <c r="AO36" s="149" t="e">
        <f>IF('Cable Info'!#REF!="","",CONCATENATE('Cable Info'!#REF!," - ",'Cable Info'!#REF!))</f>
        <v>#REF!</v>
      </c>
      <c r="AR36" s="149" t="e">
        <f t="shared" si="1"/>
        <v>#REF!</v>
      </c>
      <c r="AT36" s="149" t="e">
        <f>IF('Cable Info'!#REF!="","",CONCATENATE('Cable Info'!#REF!," - ",'Cable Info'!#REF!))</f>
        <v>#REF!</v>
      </c>
      <c r="AW36" s="149" t="e">
        <f t="shared" si="2"/>
        <v>#REF!</v>
      </c>
      <c r="AY36" s="149" t="e">
        <f>IF('Cable Info'!#REF!="","",CONCATENATE('Cable Info'!#REF!," - ",'Cable Info'!#REF!))</f>
        <v>#REF!</v>
      </c>
      <c r="BB36" s="149" t="e">
        <f t="shared" si="3"/>
        <v>#REF!</v>
      </c>
      <c r="BD36" s="149" t="e">
        <f>IF('Cable Info'!#REF!="","",CONCATENATE('Cable Info'!#REF!," - ",'Cable Info'!#REF!))</f>
        <v>#REF!</v>
      </c>
      <c r="BG36" s="149" t="e">
        <f t="shared" si="4"/>
        <v>#REF!</v>
      </c>
      <c r="BI36" s="149" t="e">
        <f>IF('Cable Info'!#REF!="","",CONCATENATE('Cable Info'!#REF!," - ",'Cable Info'!#REF!))</f>
        <v>#REF!</v>
      </c>
      <c r="BL36" s="149" t="e">
        <f t="shared" si="5"/>
        <v>#REF!</v>
      </c>
      <c r="CL36" s="309"/>
    </row>
    <row r="37" spans="1:90" x14ac:dyDescent="0.2">
      <c r="A37" s="222"/>
      <c r="B37" s="165"/>
      <c r="C37" s="142" t="str">
        <f>IFERROR(IF(B37="","",IF((COUNTIF('Cable Info'!$B$11:$C$50,B37)=0),VLOOKUP(B37,'Cable Info (2)'!$B$11:$C$50,2,FALSE),(VLOOKUP(B37,'Cable Info'!$B$11:$C$50,2,FALSE)))),"NO SUCH EXIT")</f>
        <v/>
      </c>
      <c r="D37" s="285"/>
      <c r="E37" s="311"/>
      <c r="F37" s="132" t="s">
        <v>59</v>
      </c>
      <c r="G37" s="314"/>
      <c r="H37" s="142" t="str">
        <f t="shared" si="11"/>
        <v/>
      </c>
      <c r="I37" s="318"/>
      <c r="J37" s="132" t="s">
        <v>59</v>
      </c>
      <c r="K37" s="320"/>
      <c r="L37" s="289"/>
      <c r="M37" s="142" t="str">
        <f>IFERROR(IF(P37="","",IF((COUNTIF('Cable Info'!$B$11:$C$50,P37)=0),VLOOKUP(P37,'Cable Info (2)'!$B$11:$C$50,2,FALSE),(VLOOKUP(P37,'Cable Info'!$B$11:$C$50,2,FALSE)))),"NO SUCH EXIT")</f>
        <v/>
      </c>
      <c r="N37" s="293"/>
      <c r="O37" s="234"/>
      <c r="P37" s="161"/>
      <c r="Q37" s="224"/>
      <c r="R37" s="162"/>
      <c r="S37" s="162"/>
      <c r="T37" s="163"/>
      <c r="U37" s="163"/>
      <c r="V37" s="164"/>
      <c r="W37" s="164"/>
      <c r="X37" s="229" t="str">
        <f t="shared" si="6"/>
        <v/>
      </c>
      <c r="Y37" s="147" t="str">
        <f t="shared" si="7"/>
        <v/>
      </c>
      <c r="Z37" s="148" t="str">
        <f t="shared" si="8"/>
        <v/>
      </c>
      <c r="AA37" s="148" t="str">
        <f t="shared" si="9"/>
        <v/>
      </c>
      <c r="AB37" s="148" t="str">
        <f t="shared" si="10"/>
        <v/>
      </c>
      <c r="AJ37" s="149" t="e">
        <f>IF('Cable Info'!#REF!="","",CONCATENATE('Cable Info'!#REF!," - ",'Cable Info'!#REF!))</f>
        <v>#REF!</v>
      </c>
      <c r="AM37" s="149" t="e">
        <f t="shared" si="0"/>
        <v>#REF!</v>
      </c>
      <c r="AO37" s="149" t="e">
        <f>IF('Cable Info'!#REF!="","",CONCATENATE('Cable Info'!#REF!," - ",'Cable Info'!#REF!))</f>
        <v>#REF!</v>
      </c>
      <c r="AR37" s="149" t="e">
        <f t="shared" si="1"/>
        <v>#REF!</v>
      </c>
      <c r="AT37" s="149" t="e">
        <f>IF('Cable Info'!#REF!="","",CONCATENATE('Cable Info'!#REF!," - ",'Cable Info'!#REF!))</f>
        <v>#REF!</v>
      </c>
      <c r="AW37" s="149" t="e">
        <f t="shared" si="2"/>
        <v>#REF!</v>
      </c>
      <c r="AY37" s="149" t="e">
        <f>IF('Cable Info'!#REF!="","",CONCATENATE('Cable Info'!#REF!," - ",'Cable Info'!#REF!))</f>
        <v>#REF!</v>
      </c>
      <c r="BB37" s="149" t="e">
        <f t="shared" si="3"/>
        <v>#REF!</v>
      </c>
      <c r="BD37" s="149" t="e">
        <f>IF('Cable Info'!#REF!="","",CONCATENATE('Cable Info'!#REF!," - ",'Cable Info'!#REF!))</f>
        <v>#REF!</v>
      </c>
      <c r="BG37" s="149" t="e">
        <f t="shared" si="4"/>
        <v>#REF!</v>
      </c>
      <c r="BI37" s="149" t="e">
        <f>IF('Cable Info'!#REF!="","",CONCATENATE('Cable Info'!#REF!," - ",'Cable Info'!#REF!))</f>
        <v>#REF!</v>
      </c>
      <c r="BL37" s="149" t="e">
        <f t="shared" si="5"/>
        <v>#REF!</v>
      </c>
      <c r="CL37" s="309"/>
    </row>
    <row r="38" spans="1:90" x14ac:dyDescent="0.2">
      <c r="A38" s="222"/>
      <c r="B38" s="165"/>
      <c r="C38" s="142" t="str">
        <f>IFERROR(IF(B38="","",IF((COUNTIF('Cable Info'!$B$11:$C$50,B38)=0),VLOOKUP(B38,'Cable Info (2)'!$B$11:$C$50,2,FALSE),(VLOOKUP(B38,'Cable Info'!$B$11:$C$50,2,FALSE)))),"NO SUCH EXIT")</f>
        <v/>
      </c>
      <c r="D38" s="285"/>
      <c r="E38" s="311"/>
      <c r="F38" s="132" t="s">
        <v>59</v>
      </c>
      <c r="G38" s="314"/>
      <c r="H38" s="142" t="str">
        <f t="shared" si="11"/>
        <v/>
      </c>
      <c r="I38" s="318"/>
      <c r="J38" s="132" t="s">
        <v>59</v>
      </c>
      <c r="K38" s="320"/>
      <c r="L38" s="289"/>
      <c r="M38" s="142" t="str">
        <f>IFERROR(IF(P38="","",IF((COUNTIF('Cable Info'!$B$11:$C$50,P38)=0),VLOOKUP(P38,'Cable Info (2)'!$B$11:$C$50,2,FALSE),(VLOOKUP(P38,'Cable Info'!$B$11:$C$50,2,FALSE)))),"NO SUCH EXIT")</f>
        <v/>
      </c>
      <c r="N38" s="293"/>
      <c r="O38" s="234"/>
      <c r="P38" s="161"/>
      <c r="Q38" s="224"/>
      <c r="R38" s="162"/>
      <c r="S38" s="162"/>
      <c r="T38" s="163"/>
      <c r="U38" s="163"/>
      <c r="V38" s="164"/>
      <c r="W38" s="164"/>
      <c r="X38" s="229" t="str">
        <f t="shared" si="6"/>
        <v/>
      </c>
      <c r="Y38" s="147" t="str">
        <f t="shared" si="7"/>
        <v/>
      </c>
      <c r="Z38" s="148" t="str">
        <f t="shared" si="8"/>
        <v/>
      </c>
      <c r="AA38" s="148" t="str">
        <f t="shared" si="9"/>
        <v/>
      </c>
      <c r="AB38" s="148" t="str">
        <f t="shared" si="10"/>
        <v/>
      </c>
      <c r="AJ38" s="149" t="e">
        <f>IF('Cable Info'!#REF!="","",CONCATENATE('Cable Info'!#REF!," - ",'Cable Info'!#REF!))</f>
        <v>#REF!</v>
      </c>
      <c r="AM38" s="149" t="e">
        <f t="shared" si="0"/>
        <v>#REF!</v>
      </c>
      <c r="AO38" s="149" t="e">
        <f>IF('Cable Info'!#REF!="","",CONCATENATE('Cable Info'!#REF!," - ",'Cable Info'!#REF!))</f>
        <v>#REF!</v>
      </c>
      <c r="AR38" s="149" t="e">
        <f t="shared" si="1"/>
        <v>#REF!</v>
      </c>
      <c r="AT38" s="149" t="e">
        <f>IF('Cable Info'!#REF!="","",CONCATENATE('Cable Info'!#REF!," - ",'Cable Info'!#REF!))</f>
        <v>#REF!</v>
      </c>
      <c r="AW38" s="149" t="e">
        <f t="shared" si="2"/>
        <v>#REF!</v>
      </c>
      <c r="AY38" s="149" t="e">
        <f>IF('Cable Info'!#REF!="","",CONCATENATE('Cable Info'!#REF!," - ",'Cable Info'!#REF!))</f>
        <v>#REF!</v>
      </c>
      <c r="BB38" s="149" t="e">
        <f t="shared" si="3"/>
        <v>#REF!</v>
      </c>
      <c r="BD38" s="149" t="e">
        <f>IF('Cable Info'!#REF!="","",CONCATENATE('Cable Info'!#REF!," - ",'Cable Info'!#REF!))</f>
        <v>#REF!</v>
      </c>
      <c r="BG38" s="149" t="e">
        <f t="shared" si="4"/>
        <v>#REF!</v>
      </c>
      <c r="BI38" s="149" t="e">
        <f>IF('Cable Info'!#REF!="","",CONCATENATE('Cable Info'!#REF!," - ",'Cable Info'!#REF!))</f>
        <v>#REF!</v>
      </c>
      <c r="BL38" s="149" t="e">
        <f t="shared" si="5"/>
        <v>#REF!</v>
      </c>
      <c r="CL38" s="309"/>
    </row>
    <row r="39" spans="1:90" x14ac:dyDescent="0.2">
      <c r="A39" s="222"/>
      <c r="B39" s="165"/>
      <c r="C39" s="142" t="str">
        <f>IFERROR(IF(B39="","",IF((COUNTIF('Cable Info'!$B$11:$C$50,B39)=0),VLOOKUP(B39,'Cable Info (2)'!$B$11:$C$50,2,FALSE),(VLOOKUP(B39,'Cable Info'!$B$11:$C$50,2,FALSE)))),"NO SUCH EXIT")</f>
        <v/>
      </c>
      <c r="D39" s="285"/>
      <c r="E39" s="311"/>
      <c r="F39" s="132" t="s">
        <v>59</v>
      </c>
      <c r="G39" s="314"/>
      <c r="H39" s="142" t="str">
        <f t="shared" si="11"/>
        <v/>
      </c>
      <c r="I39" s="318"/>
      <c r="J39" s="132" t="s">
        <v>59</v>
      </c>
      <c r="K39" s="320"/>
      <c r="L39" s="289"/>
      <c r="M39" s="142" t="str">
        <f>IFERROR(IF(P39="","",IF((COUNTIF('Cable Info'!$B$11:$C$50,P39)=0),VLOOKUP(P39,'Cable Info (2)'!$B$11:$C$50,2,FALSE),(VLOOKUP(P39,'Cable Info'!$B$11:$C$50,2,FALSE)))),"NO SUCH EXIT")</f>
        <v/>
      </c>
      <c r="N39" s="293"/>
      <c r="O39" s="234"/>
      <c r="P39" s="161"/>
      <c r="Q39" s="224"/>
      <c r="R39" s="162"/>
      <c r="S39" s="162"/>
      <c r="T39" s="163"/>
      <c r="U39" s="163"/>
      <c r="V39" s="164"/>
      <c r="W39" s="164"/>
      <c r="X39" s="229" t="str">
        <f t="shared" si="6"/>
        <v/>
      </c>
      <c r="Y39" s="147" t="str">
        <f t="shared" si="7"/>
        <v/>
      </c>
      <c r="Z39" s="148" t="str">
        <f t="shared" si="8"/>
        <v/>
      </c>
      <c r="AA39" s="148" t="str">
        <f t="shared" si="9"/>
        <v/>
      </c>
      <c r="AB39" s="148" t="str">
        <f t="shared" si="10"/>
        <v/>
      </c>
      <c r="AJ39" s="149" t="e">
        <f>IF('Cable Info'!#REF!="","",CONCATENATE('Cable Info'!#REF!," - ",'Cable Info'!#REF!))</f>
        <v>#REF!</v>
      </c>
      <c r="AM39" s="149" t="e">
        <f t="shared" si="0"/>
        <v>#REF!</v>
      </c>
      <c r="AO39" s="149" t="e">
        <f>IF('Cable Info'!#REF!="","",CONCATENATE('Cable Info'!#REF!," - ",'Cable Info'!#REF!))</f>
        <v>#REF!</v>
      </c>
      <c r="AR39" s="149" t="e">
        <f t="shared" si="1"/>
        <v>#REF!</v>
      </c>
      <c r="AT39" s="149" t="e">
        <f>IF('Cable Info'!#REF!="","",CONCATENATE('Cable Info'!#REF!," - ",'Cable Info'!#REF!))</f>
        <v>#REF!</v>
      </c>
      <c r="AW39" s="149" t="e">
        <f t="shared" si="2"/>
        <v>#REF!</v>
      </c>
      <c r="AY39" s="149" t="e">
        <f>IF('Cable Info'!#REF!="","",CONCATENATE('Cable Info'!#REF!," - ",'Cable Info'!#REF!))</f>
        <v>#REF!</v>
      </c>
      <c r="BB39" s="149" t="e">
        <f t="shared" si="3"/>
        <v>#REF!</v>
      </c>
      <c r="BD39" s="149" t="e">
        <f>IF('Cable Info'!#REF!="","",CONCATENATE('Cable Info'!#REF!," - ",'Cable Info'!#REF!))</f>
        <v>#REF!</v>
      </c>
      <c r="BG39" s="149" t="e">
        <f t="shared" si="4"/>
        <v>#REF!</v>
      </c>
      <c r="BI39" s="149" t="e">
        <f>IF('Cable Info'!#REF!="","",CONCATENATE('Cable Info'!#REF!," - ",'Cable Info'!#REF!))</f>
        <v>#REF!</v>
      </c>
      <c r="BL39" s="149" t="e">
        <f t="shared" si="5"/>
        <v>#REF!</v>
      </c>
      <c r="CL39" s="309"/>
    </row>
    <row r="40" spans="1:90" x14ac:dyDescent="0.2">
      <c r="A40" s="222"/>
      <c r="B40" s="165"/>
      <c r="C40" s="142" t="str">
        <f>IFERROR(IF(B40="","",IF((COUNTIF('Cable Info'!$B$11:$C$50,B40)=0),VLOOKUP(B40,'Cable Info (2)'!$B$11:$C$50,2,FALSE),(VLOOKUP(B40,'Cable Info'!$B$11:$C$50,2,FALSE)))),"NO SUCH EXIT")</f>
        <v/>
      </c>
      <c r="D40" s="285"/>
      <c r="E40" s="311"/>
      <c r="F40" s="132" t="s">
        <v>59</v>
      </c>
      <c r="G40" s="314"/>
      <c r="H40" s="142" t="str">
        <f t="shared" si="11"/>
        <v/>
      </c>
      <c r="I40" s="318"/>
      <c r="J40" s="132" t="s">
        <v>59</v>
      </c>
      <c r="K40" s="320"/>
      <c r="L40" s="289"/>
      <c r="M40" s="142" t="str">
        <f>IFERROR(IF(P40="","",IF((COUNTIF('Cable Info'!$B$11:$C$50,P40)=0),VLOOKUP(P40,'Cable Info (2)'!$B$11:$C$50,2,FALSE),(VLOOKUP(P40,'Cable Info'!$B$11:$C$50,2,FALSE)))),"NO SUCH EXIT")</f>
        <v/>
      </c>
      <c r="N40" s="293"/>
      <c r="O40" s="234"/>
      <c r="P40" s="161"/>
      <c r="Q40" s="224"/>
      <c r="R40" s="162"/>
      <c r="S40" s="162"/>
      <c r="T40" s="163"/>
      <c r="U40" s="163"/>
      <c r="V40" s="164"/>
      <c r="W40" s="164"/>
      <c r="X40" s="229" t="str">
        <f t="shared" si="6"/>
        <v/>
      </c>
      <c r="Y40" s="147" t="str">
        <f t="shared" si="7"/>
        <v/>
      </c>
      <c r="Z40" s="148" t="str">
        <f t="shared" si="8"/>
        <v/>
      </c>
      <c r="AA40" s="148" t="str">
        <f t="shared" si="9"/>
        <v/>
      </c>
      <c r="AB40" s="148" t="str">
        <f t="shared" si="10"/>
        <v/>
      </c>
      <c r="AJ40" s="149" t="e">
        <f>IF('Cable Info'!#REF!="","",CONCATENATE('Cable Info'!#REF!," - ",'Cable Info'!#REF!))</f>
        <v>#REF!</v>
      </c>
      <c r="AM40" s="149" t="e">
        <f t="shared" si="0"/>
        <v>#REF!</v>
      </c>
      <c r="AO40" s="149" t="e">
        <f>IF('Cable Info'!#REF!="","",CONCATENATE('Cable Info'!#REF!," - ",'Cable Info'!#REF!))</f>
        <v>#REF!</v>
      </c>
      <c r="AR40" s="149" t="e">
        <f t="shared" si="1"/>
        <v>#REF!</v>
      </c>
      <c r="AT40" s="149" t="e">
        <f>IF('Cable Info'!#REF!="","",CONCATENATE('Cable Info'!#REF!," - ",'Cable Info'!#REF!))</f>
        <v>#REF!</v>
      </c>
      <c r="AW40" s="149" t="e">
        <f t="shared" si="2"/>
        <v>#REF!</v>
      </c>
      <c r="AY40" s="149" t="e">
        <f>IF('Cable Info'!#REF!="","",CONCATENATE('Cable Info'!#REF!," - ",'Cable Info'!#REF!))</f>
        <v>#REF!</v>
      </c>
      <c r="BB40" s="149" t="e">
        <f t="shared" si="3"/>
        <v>#REF!</v>
      </c>
      <c r="BD40" s="149" t="e">
        <f>IF('Cable Info'!#REF!="","",CONCATENATE('Cable Info'!#REF!," - ",'Cable Info'!#REF!))</f>
        <v>#REF!</v>
      </c>
      <c r="BG40" s="149" t="e">
        <f t="shared" si="4"/>
        <v>#REF!</v>
      </c>
      <c r="BI40" s="149" t="e">
        <f>IF('Cable Info'!#REF!="","",CONCATENATE('Cable Info'!#REF!," - ",'Cable Info'!#REF!))</f>
        <v>#REF!</v>
      </c>
      <c r="BL40" s="149" t="e">
        <f t="shared" si="5"/>
        <v>#REF!</v>
      </c>
      <c r="CL40" s="309"/>
    </row>
    <row r="41" spans="1:90" x14ac:dyDescent="0.2">
      <c r="A41" s="222"/>
      <c r="B41" s="165"/>
      <c r="C41" s="142" t="str">
        <f>IFERROR(IF(B41="","",IF((COUNTIF('Cable Info'!$B$11:$C$50,B41)=0),VLOOKUP(B41,'Cable Info (2)'!$B$11:$C$50,2,FALSE),(VLOOKUP(B41,'Cable Info'!$B$11:$C$50,2,FALSE)))),"NO SUCH EXIT")</f>
        <v/>
      </c>
      <c r="D41" s="285"/>
      <c r="E41" s="311"/>
      <c r="F41" s="132" t="s">
        <v>59</v>
      </c>
      <c r="G41" s="314"/>
      <c r="H41" s="142" t="str">
        <f t="shared" si="11"/>
        <v/>
      </c>
      <c r="I41" s="318"/>
      <c r="J41" s="132" t="s">
        <v>59</v>
      </c>
      <c r="K41" s="320"/>
      <c r="L41" s="289"/>
      <c r="M41" s="142" t="str">
        <f>IFERROR(IF(P41="","",IF((COUNTIF('Cable Info'!$B$11:$C$50,P41)=0),VLOOKUP(P41,'Cable Info (2)'!$B$11:$C$50,2,FALSE),(VLOOKUP(P41,'Cable Info'!$B$11:$C$50,2,FALSE)))),"NO SUCH EXIT")</f>
        <v/>
      </c>
      <c r="N41" s="293"/>
      <c r="O41" s="234"/>
      <c r="P41" s="161"/>
      <c r="Q41" s="224"/>
      <c r="R41" s="162"/>
      <c r="S41" s="162"/>
      <c r="T41" s="163"/>
      <c r="U41" s="163"/>
      <c r="V41" s="164"/>
      <c r="W41" s="164"/>
      <c r="X41" s="229" t="str">
        <f t="shared" si="6"/>
        <v/>
      </c>
      <c r="Y41" s="147" t="str">
        <f t="shared" si="7"/>
        <v/>
      </c>
      <c r="Z41" s="148" t="str">
        <f t="shared" si="8"/>
        <v/>
      </c>
      <c r="AA41" s="148" t="str">
        <f t="shared" si="9"/>
        <v/>
      </c>
      <c r="AB41" s="148" t="str">
        <f t="shared" si="10"/>
        <v/>
      </c>
      <c r="AJ41" s="149" t="e">
        <f>IF('Cable Info'!#REF!="","",CONCATENATE('Cable Info'!#REF!," - ",'Cable Info'!#REF!))</f>
        <v>#REF!</v>
      </c>
      <c r="AM41" s="149" t="e">
        <f t="shared" si="0"/>
        <v>#REF!</v>
      </c>
      <c r="AO41" s="149" t="e">
        <f>IF('Cable Info'!#REF!="","",CONCATENATE('Cable Info'!#REF!," - ",'Cable Info'!#REF!))</f>
        <v>#REF!</v>
      </c>
      <c r="AR41" s="149" t="e">
        <f t="shared" si="1"/>
        <v>#REF!</v>
      </c>
      <c r="AT41" s="149" t="e">
        <f>IF('Cable Info'!#REF!="","",CONCATENATE('Cable Info'!#REF!," - ",'Cable Info'!#REF!))</f>
        <v>#REF!</v>
      </c>
      <c r="AW41" s="149" t="e">
        <f t="shared" si="2"/>
        <v>#REF!</v>
      </c>
      <c r="AY41" s="149" t="e">
        <f>IF('Cable Info'!#REF!="","",CONCATENATE('Cable Info'!#REF!," - ",'Cable Info'!#REF!))</f>
        <v>#REF!</v>
      </c>
      <c r="BB41" s="149" t="e">
        <f t="shared" si="3"/>
        <v>#REF!</v>
      </c>
      <c r="BD41" s="149" t="e">
        <f>IF('Cable Info'!#REF!="","",CONCATENATE('Cable Info'!#REF!," - ",'Cable Info'!#REF!))</f>
        <v>#REF!</v>
      </c>
      <c r="BG41" s="149" t="e">
        <f t="shared" si="4"/>
        <v>#REF!</v>
      </c>
      <c r="BI41" s="149" t="e">
        <f>IF('Cable Info'!#REF!="","",CONCATENATE('Cable Info'!#REF!," - ",'Cable Info'!#REF!))</f>
        <v>#REF!</v>
      </c>
      <c r="BL41" s="149" t="e">
        <f t="shared" si="5"/>
        <v>#REF!</v>
      </c>
      <c r="CL41" s="309"/>
    </row>
    <row r="42" spans="1:90" x14ac:dyDescent="0.2">
      <c r="A42" s="222"/>
      <c r="B42" s="165"/>
      <c r="C42" s="142" t="str">
        <f>IFERROR(IF(B42="","",IF((COUNTIF('Cable Info'!$B$11:$C$50,B42)=0),VLOOKUP(B42,'Cable Info (2)'!$B$11:$C$50,2,FALSE),(VLOOKUP(B42,'Cable Info'!$B$11:$C$50,2,FALSE)))),"NO SUCH EXIT")</f>
        <v/>
      </c>
      <c r="D42" s="285"/>
      <c r="E42" s="311"/>
      <c r="F42" s="132" t="s">
        <v>59</v>
      </c>
      <c r="G42" s="314"/>
      <c r="H42" s="142" t="str">
        <f t="shared" si="11"/>
        <v/>
      </c>
      <c r="I42" s="318"/>
      <c r="J42" s="132" t="s">
        <v>59</v>
      </c>
      <c r="K42" s="320"/>
      <c r="L42" s="289"/>
      <c r="M42" s="142" t="str">
        <f>IFERROR(IF(P42="","",IF((COUNTIF('Cable Info'!$B$11:$C$50,P42)=0),VLOOKUP(P42,'Cable Info (2)'!$B$11:$C$50,2,FALSE),(VLOOKUP(P42,'Cable Info'!$B$11:$C$50,2,FALSE)))),"NO SUCH EXIT")</f>
        <v/>
      </c>
      <c r="N42" s="293"/>
      <c r="O42" s="234"/>
      <c r="P42" s="161"/>
      <c r="Q42" s="224"/>
      <c r="R42" s="162"/>
      <c r="S42" s="162"/>
      <c r="T42" s="163"/>
      <c r="U42" s="163"/>
      <c r="V42" s="164"/>
      <c r="W42" s="164"/>
      <c r="X42" s="229" t="str">
        <f t="shared" si="6"/>
        <v/>
      </c>
      <c r="Y42" s="147" t="str">
        <f t="shared" si="7"/>
        <v/>
      </c>
      <c r="Z42" s="148" t="str">
        <f t="shared" si="8"/>
        <v/>
      </c>
      <c r="AA42" s="148" t="str">
        <f t="shared" si="9"/>
        <v/>
      </c>
      <c r="AB42" s="148" t="str">
        <f t="shared" si="10"/>
        <v/>
      </c>
      <c r="AJ42" s="149" t="e">
        <f>IF('Cable Info'!#REF!="","",CONCATENATE('Cable Info'!#REF!," - ",'Cable Info'!#REF!))</f>
        <v>#REF!</v>
      </c>
      <c r="AM42" s="149" t="e">
        <f t="shared" si="0"/>
        <v>#REF!</v>
      </c>
      <c r="AO42" s="149" t="e">
        <f>IF('Cable Info'!#REF!="","",CONCATENATE('Cable Info'!#REF!," - ",'Cable Info'!#REF!))</f>
        <v>#REF!</v>
      </c>
      <c r="AR42" s="149" t="e">
        <f t="shared" si="1"/>
        <v>#REF!</v>
      </c>
      <c r="AT42" s="149" t="e">
        <f>IF('Cable Info'!#REF!="","",CONCATENATE('Cable Info'!#REF!," - ",'Cable Info'!#REF!))</f>
        <v>#REF!</v>
      </c>
      <c r="AW42" s="149" t="e">
        <f t="shared" si="2"/>
        <v>#REF!</v>
      </c>
      <c r="AY42" s="149" t="e">
        <f>IF('Cable Info'!#REF!="","",CONCATENATE('Cable Info'!#REF!," - ",'Cable Info'!#REF!))</f>
        <v>#REF!</v>
      </c>
      <c r="BB42" s="149" t="e">
        <f t="shared" si="3"/>
        <v>#REF!</v>
      </c>
      <c r="BD42" s="149" t="e">
        <f>IF('Cable Info'!#REF!="","",CONCATENATE('Cable Info'!#REF!," - ",'Cable Info'!#REF!))</f>
        <v>#REF!</v>
      </c>
      <c r="BG42" s="149" t="e">
        <f t="shared" si="4"/>
        <v>#REF!</v>
      </c>
      <c r="BI42" s="149" t="e">
        <f>IF('Cable Info'!#REF!="","",CONCATENATE('Cable Info'!#REF!," - ",'Cable Info'!#REF!))</f>
        <v>#REF!</v>
      </c>
      <c r="BL42" s="149" t="e">
        <f t="shared" si="5"/>
        <v>#REF!</v>
      </c>
      <c r="CL42" s="309"/>
    </row>
    <row r="43" spans="1:90" x14ac:dyDescent="0.2">
      <c r="A43" s="222"/>
      <c r="B43" s="165"/>
      <c r="C43" s="142" t="str">
        <f>IFERROR(IF(B43="","",IF((COUNTIF('Cable Info'!$B$11:$C$50,B43)=0),VLOOKUP(B43,'Cable Info (2)'!$B$11:$C$50,2,FALSE),(VLOOKUP(B43,'Cable Info'!$B$11:$C$50,2,FALSE)))),"NO SUCH EXIT")</f>
        <v/>
      </c>
      <c r="D43" s="285"/>
      <c r="E43" s="311"/>
      <c r="F43" s="132" t="s">
        <v>59</v>
      </c>
      <c r="G43" s="314"/>
      <c r="H43" s="142" t="str">
        <f t="shared" si="11"/>
        <v/>
      </c>
      <c r="I43" s="318"/>
      <c r="J43" s="132" t="s">
        <v>59</v>
      </c>
      <c r="K43" s="320"/>
      <c r="L43" s="289"/>
      <c r="M43" s="142" t="str">
        <f>IFERROR(IF(P43="","",IF((COUNTIF('Cable Info'!$B$11:$C$50,P43)=0),VLOOKUP(P43,'Cable Info (2)'!$B$11:$C$50,2,FALSE),(VLOOKUP(P43,'Cable Info'!$B$11:$C$50,2,FALSE)))),"NO SUCH EXIT")</f>
        <v/>
      </c>
      <c r="N43" s="293"/>
      <c r="O43" s="234"/>
      <c r="P43" s="161"/>
      <c r="Q43" s="224"/>
      <c r="R43" s="162"/>
      <c r="S43" s="162"/>
      <c r="T43" s="163"/>
      <c r="U43" s="163"/>
      <c r="V43" s="164"/>
      <c r="W43" s="164"/>
      <c r="X43" s="229" t="str">
        <f t="shared" si="6"/>
        <v/>
      </c>
      <c r="Y43" s="147" t="str">
        <f t="shared" si="7"/>
        <v/>
      </c>
      <c r="Z43" s="148" t="str">
        <f t="shared" si="8"/>
        <v/>
      </c>
      <c r="AA43" s="148" t="str">
        <f t="shared" si="9"/>
        <v/>
      </c>
      <c r="AB43" s="148" t="str">
        <f t="shared" si="10"/>
        <v/>
      </c>
      <c r="AJ43" s="149" t="e">
        <f>IF('Cable Info'!#REF!="","",CONCATENATE('Cable Info'!#REF!," - ",'Cable Info'!#REF!))</f>
        <v>#REF!</v>
      </c>
      <c r="AM43" s="149" t="e">
        <f t="shared" si="0"/>
        <v>#REF!</v>
      </c>
      <c r="AO43" s="149" t="e">
        <f>IF('Cable Info'!#REF!="","",CONCATENATE('Cable Info'!#REF!," - ",'Cable Info'!#REF!))</f>
        <v>#REF!</v>
      </c>
      <c r="AR43" s="149" t="e">
        <f t="shared" si="1"/>
        <v>#REF!</v>
      </c>
      <c r="AT43" s="149" t="e">
        <f>IF('Cable Info'!#REF!="","",CONCATENATE('Cable Info'!#REF!," - ",'Cable Info'!#REF!))</f>
        <v>#REF!</v>
      </c>
      <c r="AW43" s="149" t="e">
        <f t="shared" si="2"/>
        <v>#REF!</v>
      </c>
      <c r="AY43" s="149" t="e">
        <f>IF('Cable Info'!#REF!="","",CONCATENATE('Cable Info'!#REF!," - ",'Cable Info'!#REF!))</f>
        <v>#REF!</v>
      </c>
      <c r="BB43" s="149" t="e">
        <f t="shared" si="3"/>
        <v>#REF!</v>
      </c>
      <c r="BD43" s="149" t="e">
        <f>IF('Cable Info'!#REF!="","",CONCATENATE('Cable Info'!#REF!," - ",'Cable Info'!#REF!))</f>
        <v>#REF!</v>
      </c>
      <c r="BG43" s="149" t="e">
        <f t="shared" si="4"/>
        <v>#REF!</v>
      </c>
      <c r="BI43" s="149" t="e">
        <f>IF('Cable Info'!#REF!="","",CONCATENATE('Cable Info'!#REF!," - ",'Cable Info'!#REF!))</f>
        <v>#REF!</v>
      </c>
      <c r="BL43" s="149" t="e">
        <f t="shared" si="5"/>
        <v>#REF!</v>
      </c>
      <c r="CL43" s="309"/>
    </row>
    <row r="44" spans="1:90" x14ac:dyDescent="0.2">
      <c r="A44" s="222"/>
      <c r="B44" s="165"/>
      <c r="C44" s="142" t="str">
        <f>IFERROR(IF(B44="","",IF((COUNTIF('Cable Info'!$B$11:$C$50,B44)=0),VLOOKUP(B44,'Cable Info (2)'!$B$11:$C$50,2,FALSE),(VLOOKUP(B44,'Cable Info'!$B$11:$C$50,2,FALSE)))),"NO SUCH EXIT")</f>
        <v/>
      </c>
      <c r="D44" s="285"/>
      <c r="E44" s="311"/>
      <c r="F44" s="132" t="s">
        <v>59</v>
      </c>
      <c r="G44" s="314"/>
      <c r="H44" s="142" t="str">
        <f t="shared" si="11"/>
        <v/>
      </c>
      <c r="I44" s="318"/>
      <c r="J44" s="132" t="s">
        <v>59</v>
      </c>
      <c r="K44" s="320"/>
      <c r="L44" s="289"/>
      <c r="M44" s="142" t="str">
        <f>IFERROR(IF(P44="","",IF((COUNTIF('Cable Info'!$B$11:$C$50,P44)=0),VLOOKUP(P44,'Cable Info (2)'!$B$11:$C$50,2,FALSE),(VLOOKUP(P44,'Cable Info'!$B$11:$C$50,2,FALSE)))),"NO SUCH EXIT")</f>
        <v/>
      </c>
      <c r="N44" s="293"/>
      <c r="O44" s="234"/>
      <c r="P44" s="161"/>
      <c r="Q44" s="224"/>
      <c r="R44" s="162"/>
      <c r="S44" s="162"/>
      <c r="T44" s="163"/>
      <c r="U44" s="163"/>
      <c r="V44" s="164"/>
      <c r="W44" s="164"/>
      <c r="X44" s="229" t="str">
        <f t="shared" si="6"/>
        <v/>
      </c>
      <c r="Y44" s="147" t="str">
        <f t="shared" si="7"/>
        <v/>
      </c>
      <c r="Z44" s="148" t="str">
        <f t="shared" si="8"/>
        <v/>
      </c>
      <c r="AA44" s="148" t="str">
        <f t="shared" si="9"/>
        <v/>
      </c>
      <c r="AB44" s="148" t="str">
        <f t="shared" si="10"/>
        <v/>
      </c>
      <c r="AJ44" s="149" t="e">
        <f>IF('Cable Info'!#REF!="","",CONCATENATE('Cable Info'!#REF!," - ",'Cable Info'!#REF!))</f>
        <v>#REF!</v>
      </c>
      <c r="AM44" s="149" t="e">
        <f t="shared" si="0"/>
        <v>#REF!</v>
      </c>
      <c r="AO44" s="149" t="e">
        <f>IF('Cable Info'!#REF!="","",CONCATENATE('Cable Info'!#REF!," - ",'Cable Info'!#REF!))</f>
        <v>#REF!</v>
      </c>
      <c r="AR44" s="149" t="e">
        <f t="shared" si="1"/>
        <v>#REF!</v>
      </c>
      <c r="AT44" s="149" t="e">
        <f>IF('Cable Info'!#REF!="","",CONCATENATE('Cable Info'!#REF!," - ",'Cable Info'!#REF!))</f>
        <v>#REF!</v>
      </c>
      <c r="AW44" s="149" t="e">
        <f t="shared" si="2"/>
        <v>#REF!</v>
      </c>
      <c r="AY44" s="149" t="e">
        <f>IF('Cable Info'!#REF!="","",CONCATENATE('Cable Info'!#REF!," - ",'Cable Info'!#REF!))</f>
        <v>#REF!</v>
      </c>
      <c r="BB44" s="149" t="e">
        <f t="shared" si="3"/>
        <v>#REF!</v>
      </c>
      <c r="BD44" s="149" t="e">
        <f>IF('Cable Info'!#REF!="","",CONCATENATE('Cable Info'!#REF!," - ",'Cable Info'!#REF!))</f>
        <v>#REF!</v>
      </c>
      <c r="BG44" s="149" t="e">
        <f t="shared" si="4"/>
        <v>#REF!</v>
      </c>
      <c r="BI44" s="149" t="e">
        <f>IF('Cable Info'!#REF!="","",CONCATENATE('Cable Info'!#REF!," - ",'Cable Info'!#REF!))</f>
        <v>#REF!</v>
      </c>
      <c r="BL44" s="149" t="e">
        <f t="shared" si="5"/>
        <v>#REF!</v>
      </c>
      <c r="CL44" s="309"/>
    </row>
    <row r="45" spans="1:90" x14ac:dyDescent="0.2">
      <c r="A45" s="222"/>
      <c r="B45" s="165"/>
      <c r="C45" s="142" t="str">
        <f>IFERROR(IF(B45="","",IF((COUNTIF('Cable Info'!$B$11:$C$50,B45)=0),VLOOKUP(B45,'Cable Info (2)'!$B$11:$C$50,2,FALSE),(VLOOKUP(B45,'Cable Info'!$B$11:$C$50,2,FALSE)))),"NO SUCH EXIT")</f>
        <v/>
      </c>
      <c r="D45" s="285"/>
      <c r="E45" s="311"/>
      <c r="F45" s="132" t="s">
        <v>59</v>
      </c>
      <c r="G45" s="314"/>
      <c r="H45" s="142" t="str">
        <f t="shared" si="11"/>
        <v/>
      </c>
      <c r="I45" s="318"/>
      <c r="J45" s="132" t="s">
        <v>59</v>
      </c>
      <c r="K45" s="320"/>
      <c r="L45" s="289"/>
      <c r="M45" s="142" t="str">
        <f>IFERROR(IF(P45="","",IF((COUNTIF('Cable Info'!$B$11:$C$50,P45)=0),VLOOKUP(P45,'Cable Info (2)'!$B$11:$C$50,2,FALSE),(VLOOKUP(P45,'Cable Info'!$B$11:$C$50,2,FALSE)))),"NO SUCH EXIT")</f>
        <v/>
      </c>
      <c r="N45" s="293"/>
      <c r="O45" s="234"/>
      <c r="P45" s="161"/>
      <c r="Q45" s="224"/>
      <c r="R45" s="162"/>
      <c r="S45" s="162"/>
      <c r="T45" s="163"/>
      <c r="U45" s="163"/>
      <c r="V45" s="164"/>
      <c r="W45" s="164"/>
      <c r="X45" s="229" t="str">
        <f t="shared" si="6"/>
        <v/>
      </c>
      <c r="Y45" s="147" t="str">
        <f t="shared" si="7"/>
        <v/>
      </c>
      <c r="Z45" s="148" t="str">
        <f t="shared" si="8"/>
        <v/>
      </c>
      <c r="AA45" s="148" t="str">
        <f t="shared" si="9"/>
        <v/>
      </c>
      <c r="AB45" s="148" t="str">
        <f t="shared" si="10"/>
        <v/>
      </c>
      <c r="AJ45" s="149" t="e">
        <f>IF('Cable Info'!#REF!="","",CONCATENATE('Cable Info'!#REF!," - ",'Cable Info'!#REF!))</f>
        <v>#REF!</v>
      </c>
      <c r="AM45" s="149" t="e">
        <f t="shared" si="0"/>
        <v>#REF!</v>
      </c>
      <c r="AO45" s="149" t="e">
        <f>IF('Cable Info'!#REF!="","",CONCATENATE('Cable Info'!#REF!," - ",'Cable Info'!#REF!))</f>
        <v>#REF!</v>
      </c>
      <c r="AR45" s="149" t="e">
        <f t="shared" si="1"/>
        <v>#REF!</v>
      </c>
      <c r="AT45" s="149" t="e">
        <f>IF('Cable Info'!#REF!="","",CONCATENATE('Cable Info'!#REF!," - ",'Cable Info'!#REF!))</f>
        <v>#REF!</v>
      </c>
      <c r="AW45" s="149" t="e">
        <f t="shared" si="2"/>
        <v>#REF!</v>
      </c>
      <c r="AY45" s="149" t="e">
        <f>IF('Cable Info'!#REF!="","",CONCATENATE('Cable Info'!#REF!," - ",'Cable Info'!#REF!))</f>
        <v>#REF!</v>
      </c>
      <c r="BB45" s="149" t="e">
        <f t="shared" si="3"/>
        <v>#REF!</v>
      </c>
      <c r="BD45" s="149" t="e">
        <f>IF('Cable Info'!#REF!="","",CONCATENATE('Cable Info'!#REF!," - ",'Cable Info'!#REF!))</f>
        <v>#REF!</v>
      </c>
      <c r="BG45" s="149" t="e">
        <f t="shared" si="4"/>
        <v>#REF!</v>
      </c>
      <c r="BI45" s="149" t="e">
        <f>IF('Cable Info'!#REF!="","",CONCATENATE('Cable Info'!#REF!," - ",'Cable Info'!#REF!))</f>
        <v>#REF!</v>
      </c>
      <c r="BL45" s="149" t="e">
        <f t="shared" si="5"/>
        <v>#REF!</v>
      </c>
      <c r="CL45" s="309"/>
    </row>
    <row r="46" spans="1:90" x14ac:dyDescent="0.2">
      <c r="A46" s="222"/>
      <c r="B46" s="165"/>
      <c r="C46" s="142" t="str">
        <f>IFERROR(IF(B46="","",IF((COUNTIF('Cable Info'!$B$11:$C$50,B46)=0),VLOOKUP(B46,'Cable Info (2)'!$B$11:$C$50,2,FALSE),(VLOOKUP(B46,'Cable Info'!$B$11:$C$50,2,FALSE)))),"NO SUCH EXIT")</f>
        <v/>
      </c>
      <c r="D46" s="285"/>
      <c r="E46" s="311"/>
      <c r="F46" s="132" t="s">
        <v>59</v>
      </c>
      <c r="G46" s="314"/>
      <c r="H46" s="142" t="str">
        <f t="shared" si="11"/>
        <v/>
      </c>
      <c r="I46" s="318"/>
      <c r="J46" s="132" t="s">
        <v>59</v>
      </c>
      <c r="K46" s="320"/>
      <c r="L46" s="289"/>
      <c r="M46" s="142" t="str">
        <f>IFERROR(IF(P46="","",IF((COUNTIF('Cable Info'!$B$11:$C$50,P46)=0),VLOOKUP(P46,'Cable Info (2)'!$B$11:$C$50,2,FALSE),(VLOOKUP(P46,'Cable Info'!$B$11:$C$50,2,FALSE)))),"NO SUCH EXIT")</f>
        <v/>
      </c>
      <c r="N46" s="293"/>
      <c r="O46" s="234"/>
      <c r="P46" s="161"/>
      <c r="Q46" s="224"/>
      <c r="R46" s="162"/>
      <c r="S46" s="162"/>
      <c r="T46" s="163"/>
      <c r="U46" s="163"/>
      <c r="V46" s="164"/>
      <c r="W46" s="164"/>
      <c r="X46" s="229" t="str">
        <f t="shared" si="6"/>
        <v/>
      </c>
      <c r="Y46" s="147" t="str">
        <f t="shared" si="7"/>
        <v/>
      </c>
      <c r="Z46" s="148" t="str">
        <f t="shared" si="8"/>
        <v/>
      </c>
      <c r="AA46" s="148" t="str">
        <f t="shared" si="9"/>
        <v/>
      </c>
      <c r="AB46" s="148" t="str">
        <f t="shared" si="10"/>
        <v/>
      </c>
      <c r="AJ46" s="149" t="e">
        <f>IF('Cable Info'!#REF!="","",CONCATENATE('Cable Info'!#REF!," - ",'Cable Info'!#REF!))</f>
        <v>#REF!</v>
      </c>
      <c r="AM46" s="149" t="e">
        <f t="shared" si="0"/>
        <v>#REF!</v>
      </c>
      <c r="AO46" s="149" t="e">
        <f>IF('Cable Info'!#REF!="","",CONCATENATE('Cable Info'!#REF!," - ",'Cable Info'!#REF!))</f>
        <v>#REF!</v>
      </c>
      <c r="AR46" s="149" t="e">
        <f t="shared" si="1"/>
        <v>#REF!</v>
      </c>
      <c r="AT46" s="149" t="e">
        <f>IF('Cable Info'!#REF!="","",CONCATENATE('Cable Info'!#REF!," - ",'Cable Info'!#REF!))</f>
        <v>#REF!</v>
      </c>
      <c r="AW46" s="149" t="e">
        <f t="shared" si="2"/>
        <v>#REF!</v>
      </c>
      <c r="AY46" s="149" t="e">
        <f>IF('Cable Info'!#REF!="","",CONCATENATE('Cable Info'!#REF!," - ",'Cable Info'!#REF!))</f>
        <v>#REF!</v>
      </c>
      <c r="BB46" s="149" t="e">
        <f t="shared" si="3"/>
        <v>#REF!</v>
      </c>
      <c r="BD46" s="149" t="e">
        <f>IF('Cable Info'!#REF!="","",CONCATENATE('Cable Info'!#REF!," - ",'Cable Info'!#REF!))</f>
        <v>#REF!</v>
      </c>
      <c r="BG46" s="149" t="e">
        <f t="shared" si="4"/>
        <v>#REF!</v>
      </c>
      <c r="BI46" s="149" t="e">
        <f>IF('Cable Info'!#REF!="","",CONCATENATE('Cable Info'!#REF!," - ",'Cable Info'!#REF!))</f>
        <v>#REF!</v>
      </c>
      <c r="BL46" s="149" t="e">
        <f t="shared" si="5"/>
        <v>#REF!</v>
      </c>
      <c r="CL46" s="309"/>
    </row>
    <row r="47" spans="1:90" x14ac:dyDescent="0.2">
      <c r="A47" s="222"/>
      <c r="B47" s="165"/>
      <c r="C47" s="142" t="str">
        <f>IFERROR(IF(B47="","",IF((COUNTIF('Cable Info'!$B$11:$C$50,B47)=0),VLOOKUP(B47,'Cable Info (2)'!$B$11:$C$50,2,FALSE),(VLOOKUP(B47,'Cable Info'!$B$11:$C$50,2,FALSE)))),"NO SUCH EXIT")</f>
        <v/>
      </c>
      <c r="D47" s="285"/>
      <c r="E47" s="311"/>
      <c r="F47" s="132" t="s">
        <v>59</v>
      </c>
      <c r="G47" s="314"/>
      <c r="H47" s="142" t="str">
        <f t="shared" si="11"/>
        <v/>
      </c>
      <c r="I47" s="318"/>
      <c r="J47" s="132" t="s">
        <v>59</v>
      </c>
      <c r="K47" s="320"/>
      <c r="L47" s="289"/>
      <c r="M47" s="142" t="str">
        <f>IFERROR(IF(P47="","",IF((COUNTIF('Cable Info'!$B$11:$C$50,P47)=0),VLOOKUP(P47,'Cable Info (2)'!$B$11:$C$50,2,FALSE),(VLOOKUP(P47,'Cable Info'!$B$11:$C$50,2,FALSE)))),"NO SUCH EXIT")</f>
        <v/>
      </c>
      <c r="N47" s="293"/>
      <c r="O47" s="234"/>
      <c r="P47" s="161"/>
      <c r="Q47" s="224"/>
      <c r="R47" s="162"/>
      <c r="S47" s="162"/>
      <c r="T47" s="163"/>
      <c r="U47" s="163"/>
      <c r="V47" s="164"/>
      <c r="W47" s="164"/>
      <c r="X47" s="229" t="str">
        <f t="shared" si="6"/>
        <v/>
      </c>
      <c r="Y47" s="147" t="str">
        <f t="shared" si="7"/>
        <v/>
      </c>
      <c r="Z47" s="148" t="str">
        <f t="shared" si="8"/>
        <v/>
      </c>
      <c r="AA47" s="148" t="str">
        <f t="shared" si="9"/>
        <v/>
      </c>
      <c r="AB47" s="148" t="str">
        <f t="shared" si="10"/>
        <v/>
      </c>
      <c r="AJ47" s="149" t="e">
        <f>IF('Cable Info'!#REF!="","",CONCATENATE('Cable Info'!#REF!," - ",'Cable Info'!#REF!))</f>
        <v>#REF!</v>
      </c>
      <c r="AM47" s="149" t="e">
        <f t="shared" si="0"/>
        <v>#REF!</v>
      </c>
      <c r="AO47" s="149" t="e">
        <f>IF('Cable Info'!#REF!="","",CONCATENATE('Cable Info'!#REF!," - ",'Cable Info'!#REF!))</f>
        <v>#REF!</v>
      </c>
      <c r="AR47" s="149" t="e">
        <f t="shared" si="1"/>
        <v>#REF!</v>
      </c>
      <c r="AT47" s="149" t="e">
        <f>IF('Cable Info'!#REF!="","",CONCATENATE('Cable Info'!#REF!," - ",'Cable Info'!#REF!))</f>
        <v>#REF!</v>
      </c>
      <c r="AW47" s="149" t="e">
        <f t="shared" si="2"/>
        <v>#REF!</v>
      </c>
      <c r="AY47" s="149" t="e">
        <f>IF('Cable Info'!#REF!="","",CONCATENATE('Cable Info'!#REF!," - ",'Cable Info'!#REF!))</f>
        <v>#REF!</v>
      </c>
      <c r="BB47" s="149" t="e">
        <f t="shared" si="3"/>
        <v>#REF!</v>
      </c>
      <c r="BD47" s="149" t="e">
        <f>IF('Cable Info'!#REF!="","",CONCATENATE('Cable Info'!#REF!," - ",'Cable Info'!#REF!))</f>
        <v>#REF!</v>
      </c>
      <c r="BG47" s="149" t="e">
        <f t="shared" si="4"/>
        <v>#REF!</v>
      </c>
      <c r="BI47" s="149" t="e">
        <f>IF('Cable Info'!#REF!="","",CONCATENATE('Cable Info'!#REF!," - ",'Cable Info'!#REF!))</f>
        <v>#REF!</v>
      </c>
      <c r="BL47" s="149" t="e">
        <f t="shared" si="5"/>
        <v>#REF!</v>
      </c>
      <c r="CL47" s="309"/>
    </row>
    <row r="48" spans="1:90" x14ac:dyDescent="0.2">
      <c r="A48" s="222"/>
      <c r="B48" s="165"/>
      <c r="C48" s="142" t="str">
        <f>IFERROR(IF(B48="","",IF((COUNTIF('Cable Info'!$B$11:$C$50,B48)=0),VLOOKUP(B48,'Cable Info (2)'!$B$11:$C$50,2,FALSE),(VLOOKUP(B48,'Cable Info'!$B$11:$C$50,2,FALSE)))),"NO SUCH EXIT")</f>
        <v/>
      </c>
      <c r="D48" s="285"/>
      <c r="E48" s="311"/>
      <c r="F48" s="132" t="s">
        <v>59</v>
      </c>
      <c r="G48" s="314"/>
      <c r="H48" s="142" t="str">
        <f t="shared" si="11"/>
        <v/>
      </c>
      <c r="I48" s="318"/>
      <c r="J48" s="132" t="s">
        <v>59</v>
      </c>
      <c r="K48" s="320"/>
      <c r="L48" s="289"/>
      <c r="M48" s="142" t="str">
        <f>IFERROR(IF(P48="","",IF((COUNTIF('Cable Info'!$B$11:$C$50,P48)=0),VLOOKUP(P48,'Cable Info (2)'!$B$11:$C$50,2,FALSE),(VLOOKUP(P48,'Cable Info'!$B$11:$C$50,2,FALSE)))),"NO SUCH EXIT")</f>
        <v/>
      </c>
      <c r="N48" s="293"/>
      <c r="O48" s="234"/>
      <c r="P48" s="161"/>
      <c r="Q48" s="224"/>
      <c r="R48" s="162"/>
      <c r="S48" s="162"/>
      <c r="T48" s="163"/>
      <c r="U48" s="163"/>
      <c r="V48" s="164"/>
      <c r="W48" s="164"/>
      <c r="X48" s="229" t="str">
        <f t="shared" si="6"/>
        <v/>
      </c>
      <c r="Y48" s="147" t="str">
        <f t="shared" si="7"/>
        <v/>
      </c>
      <c r="Z48" s="148" t="str">
        <f t="shared" si="8"/>
        <v/>
      </c>
      <c r="AA48" s="148" t="str">
        <f t="shared" si="9"/>
        <v/>
      </c>
      <c r="AB48" s="148" t="str">
        <f t="shared" si="10"/>
        <v/>
      </c>
      <c r="AJ48" s="149" t="e">
        <f>IF('Cable Info'!#REF!="","",CONCATENATE('Cable Info'!#REF!," - ",'Cable Info'!#REF!))</f>
        <v>#REF!</v>
      </c>
      <c r="AM48" s="149" t="e">
        <f t="shared" si="0"/>
        <v>#REF!</v>
      </c>
      <c r="AO48" s="149" t="e">
        <f>IF('Cable Info'!#REF!="","",CONCATENATE('Cable Info'!#REF!," - ",'Cable Info'!#REF!))</f>
        <v>#REF!</v>
      </c>
      <c r="AR48" s="149" t="e">
        <f t="shared" si="1"/>
        <v>#REF!</v>
      </c>
      <c r="AT48" s="149" t="e">
        <f>IF('Cable Info'!#REF!="","",CONCATENATE('Cable Info'!#REF!," - ",'Cable Info'!#REF!))</f>
        <v>#REF!</v>
      </c>
      <c r="AW48" s="149" t="e">
        <f t="shared" si="2"/>
        <v>#REF!</v>
      </c>
      <c r="AY48" s="149" t="e">
        <f>IF('Cable Info'!#REF!="","",CONCATENATE('Cable Info'!#REF!," - ",'Cable Info'!#REF!))</f>
        <v>#REF!</v>
      </c>
      <c r="BB48" s="149" t="e">
        <f t="shared" si="3"/>
        <v>#REF!</v>
      </c>
      <c r="BD48" s="149" t="e">
        <f>IF('Cable Info'!#REF!="","",CONCATENATE('Cable Info'!#REF!," - ",'Cable Info'!#REF!))</f>
        <v>#REF!</v>
      </c>
      <c r="BG48" s="149" t="e">
        <f t="shared" si="4"/>
        <v>#REF!</v>
      </c>
      <c r="BI48" s="149" t="e">
        <f>IF('Cable Info'!#REF!="","",CONCATENATE('Cable Info'!#REF!," - ",'Cable Info'!#REF!))</f>
        <v>#REF!</v>
      </c>
      <c r="BL48" s="149" t="e">
        <f t="shared" si="5"/>
        <v>#REF!</v>
      </c>
      <c r="CL48" s="309"/>
    </row>
    <row r="49" spans="1:90" x14ac:dyDescent="0.2">
      <c r="A49" s="222"/>
      <c r="B49" s="165"/>
      <c r="C49" s="142" t="str">
        <f>IFERROR(IF(B49="","",IF((COUNTIF('Cable Info'!$B$11:$C$50,B49)=0),VLOOKUP(B49,'Cable Info (2)'!$B$11:$C$50,2,FALSE),(VLOOKUP(B49,'Cable Info'!$B$11:$C$50,2,FALSE)))),"NO SUCH EXIT")</f>
        <v/>
      </c>
      <c r="D49" s="285"/>
      <c r="E49" s="311"/>
      <c r="F49" s="132" t="s">
        <v>59</v>
      </c>
      <c r="G49" s="314"/>
      <c r="H49" s="142" t="str">
        <f t="shared" si="11"/>
        <v/>
      </c>
      <c r="I49" s="318"/>
      <c r="J49" s="132" t="s">
        <v>59</v>
      </c>
      <c r="K49" s="320"/>
      <c r="L49" s="289"/>
      <c r="M49" s="142" t="str">
        <f>IFERROR(IF(P49="","",IF((COUNTIF('Cable Info'!$B$11:$C$50,P49)=0),VLOOKUP(P49,'Cable Info (2)'!$B$11:$C$50,2,FALSE),(VLOOKUP(P49,'Cable Info'!$B$11:$C$50,2,FALSE)))),"NO SUCH EXIT")</f>
        <v/>
      </c>
      <c r="N49" s="293"/>
      <c r="O49" s="234"/>
      <c r="P49" s="161"/>
      <c r="Q49" s="224"/>
      <c r="R49" s="162"/>
      <c r="S49" s="162"/>
      <c r="T49" s="163"/>
      <c r="U49" s="163"/>
      <c r="V49" s="164"/>
      <c r="W49" s="164"/>
      <c r="X49" s="229" t="str">
        <f t="shared" si="6"/>
        <v/>
      </c>
      <c r="Y49" s="147" t="str">
        <f t="shared" si="7"/>
        <v/>
      </c>
      <c r="Z49" s="148" t="str">
        <f t="shared" si="8"/>
        <v/>
      </c>
      <c r="AA49" s="148" t="str">
        <f t="shared" si="9"/>
        <v/>
      </c>
      <c r="AB49" s="148" t="str">
        <f t="shared" si="10"/>
        <v/>
      </c>
      <c r="AJ49" s="149" t="e">
        <f>IF('Cable Info'!#REF!="","",CONCATENATE('Cable Info'!#REF!," - ",'Cable Info'!#REF!))</f>
        <v>#REF!</v>
      </c>
      <c r="AM49" s="149" t="e">
        <f t="shared" si="0"/>
        <v>#REF!</v>
      </c>
      <c r="AO49" s="149" t="e">
        <f>IF('Cable Info'!#REF!="","",CONCATENATE('Cable Info'!#REF!," - ",'Cable Info'!#REF!))</f>
        <v>#REF!</v>
      </c>
      <c r="AR49" s="149" t="e">
        <f t="shared" si="1"/>
        <v>#REF!</v>
      </c>
      <c r="AT49" s="149" t="e">
        <f>IF('Cable Info'!#REF!="","",CONCATENATE('Cable Info'!#REF!," - ",'Cable Info'!#REF!))</f>
        <v>#REF!</v>
      </c>
      <c r="AW49" s="149" t="e">
        <f t="shared" si="2"/>
        <v>#REF!</v>
      </c>
      <c r="AY49" s="149" t="e">
        <f>IF('Cable Info'!#REF!="","",CONCATENATE('Cable Info'!#REF!," - ",'Cable Info'!#REF!))</f>
        <v>#REF!</v>
      </c>
      <c r="BB49" s="149" t="e">
        <f t="shared" si="3"/>
        <v>#REF!</v>
      </c>
      <c r="BD49" s="149" t="e">
        <f>IF('Cable Info'!#REF!="","",CONCATENATE('Cable Info'!#REF!," - ",'Cable Info'!#REF!))</f>
        <v>#REF!</v>
      </c>
      <c r="BG49" s="149" t="e">
        <f t="shared" si="4"/>
        <v>#REF!</v>
      </c>
      <c r="BI49" s="149" t="e">
        <f>IF('Cable Info'!#REF!="","",CONCATENATE('Cable Info'!#REF!," - ",'Cable Info'!#REF!))</f>
        <v>#REF!</v>
      </c>
      <c r="BL49" s="149" t="e">
        <f t="shared" si="5"/>
        <v>#REF!</v>
      </c>
      <c r="CL49" s="309"/>
    </row>
    <row r="50" spans="1:90" x14ac:dyDescent="0.2">
      <c r="A50" s="222"/>
      <c r="B50" s="165"/>
      <c r="C50" s="142" t="str">
        <f>IFERROR(IF(B50="","",IF((COUNTIF('Cable Info'!$B$11:$C$50,B50)=0),VLOOKUP(B50,'Cable Info (2)'!$B$11:$C$50,2,FALSE),(VLOOKUP(B50,'Cable Info'!$B$11:$C$50,2,FALSE)))),"NO SUCH EXIT")</f>
        <v/>
      </c>
      <c r="D50" s="285"/>
      <c r="E50" s="311"/>
      <c r="F50" s="132" t="s">
        <v>59</v>
      </c>
      <c r="G50" s="314"/>
      <c r="H50" s="142" t="str">
        <f t="shared" si="11"/>
        <v/>
      </c>
      <c r="I50" s="318"/>
      <c r="J50" s="132" t="s">
        <v>59</v>
      </c>
      <c r="K50" s="320"/>
      <c r="L50" s="289"/>
      <c r="M50" s="142" t="str">
        <f>IFERROR(IF(P50="","",IF((COUNTIF('Cable Info'!$B$11:$C$50,P50)=0),VLOOKUP(P50,'Cable Info (2)'!$B$11:$C$50,2,FALSE),(VLOOKUP(P50,'Cable Info'!$B$11:$C$50,2,FALSE)))),"NO SUCH EXIT")</f>
        <v/>
      </c>
      <c r="N50" s="293"/>
      <c r="O50" s="234"/>
      <c r="P50" s="161"/>
      <c r="Q50" s="224"/>
      <c r="R50" s="162"/>
      <c r="S50" s="162"/>
      <c r="T50" s="163"/>
      <c r="U50" s="163"/>
      <c r="V50" s="164"/>
      <c r="W50" s="164"/>
      <c r="X50" s="229" t="str">
        <f t="shared" si="6"/>
        <v/>
      </c>
      <c r="Y50" s="147" t="str">
        <f t="shared" si="7"/>
        <v/>
      </c>
      <c r="Z50" s="148" t="str">
        <f t="shared" si="8"/>
        <v/>
      </c>
      <c r="AA50" s="148" t="str">
        <f t="shared" si="9"/>
        <v/>
      </c>
      <c r="AB50" s="148" t="str">
        <f t="shared" si="10"/>
        <v/>
      </c>
      <c r="AJ50" s="149" t="e">
        <f>IF('Cable Info'!#REF!="","",CONCATENATE('Cable Info'!#REF!," - ",'Cable Info'!#REF!))</f>
        <v>#REF!</v>
      </c>
      <c r="AM50" s="149" t="e">
        <f t="shared" si="0"/>
        <v>#REF!</v>
      </c>
      <c r="AO50" s="149" t="e">
        <f>IF('Cable Info'!#REF!="","",CONCATENATE('Cable Info'!#REF!," - ",'Cable Info'!#REF!))</f>
        <v>#REF!</v>
      </c>
      <c r="AR50" s="149" t="e">
        <f t="shared" si="1"/>
        <v>#REF!</v>
      </c>
      <c r="AT50" s="149" t="e">
        <f>IF('Cable Info'!#REF!="","",CONCATENATE('Cable Info'!#REF!," - ",'Cable Info'!#REF!))</f>
        <v>#REF!</v>
      </c>
      <c r="AW50" s="149" t="e">
        <f t="shared" si="2"/>
        <v>#REF!</v>
      </c>
      <c r="AY50" s="149" t="e">
        <f>IF('Cable Info'!#REF!="","",CONCATENATE('Cable Info'!#REF!," - ",'Cable Info'!#REF!))</f>
        <v>#REF!</v>
      </c>
      <c r="BB50" s="149" t="e">
        <f t="shared" si="3"/>
        <v>#REF!</v>
      </c>
      <c r="BD50" s="149" t="e">
        <f>IF('Cable Info'!#REF!="","",CONCATENATE('Cable Info'!#REF!," - ",'Cable Info'!#REF!))</f>
        <v>#REF!</v>
      </c>
      <c r="BG50" s="149" t="e">
        <f t="shared" si="4"/>
        <v>#REF!</v>
      </c>
      <c r="BI50" s="149" t="e">
        <f>IF('Cable Info'!#REF!="","",CONCATENATE('Cable Info'!#REF!," - ",'Cable Info'!#REF!))</f>
        <v>#REF!</v>
      </c>
      <c r="BL50" s="149" t="e">
        <f t="shared" si="5"/>
        <v>#REF!</v>
      </c>
      <c r="CL50" s="309"/>
    </row>
    <row r="51" spans="1:90" x14ac:dyDescent="0.2">
      <c r="A51" s="222"/>
      <c r="B51" s="165"/>
      <c r="C51" s="142" t="str">
        <f>IFERROR(IF(B51="","",IF((COUNTIF('Cable Info'!$B$11:$C$50,B51)=0),VLOOKUP(B51,'Cable Info (2)'!$B$11:$C$50,2,FALSE),(VLOOKUP(B51,'Cable Info'!$B$11:$C$50,2,FALSE)))),"NO SUCH EXIT")</f>
        <v/>
      </c>
      <c r="D51" s="285"/>
      <c r="E51" s="311"/>
      <c r="F51" s="132" t="s">
        <v>59</v>
      </c>
      <c r="G51" s="314"/>
      <c r="H51" s="142" t="str">
        <f t="shared" si="11"/>
        <v/>
      </c>
      <c r="I51" s="318"/>
      <c r="J51" s="132" t="s">
        <v>59</v>
      </c>
      <c r="K51" s="320"/>
      <c r="L51" s="289"/>
      <c r="M51" s="142" t="str">
        <f>IFERROR(IF(P51="","",IF((COUNTIF('Cable Info'!$B$11:$C$50,P51)=0),VLOOKUP(P51,'Cable Info (2)'!$B$11:$C$50,2,FALSE),(VLOOKUP(P51,'Cable Info'!$B$11:$C$50,2,FALSE)))),"NO SUCH EXIT")</f>
        <v/>
      </c>
      <c r="N51" s="293"/>
      <c r="O51" s="234"/>
      <c r="P51" s="161"/>
      <c r="Q51" s="224"/>
      <c r="R51" s="162"/>
      <c r="S51" s="162"/>
      <c r="T51" s="163"/>
      <c r="U51" s="163"/>
      <c r="V51" s="164"/>
      <c r="W51" s="164"/>
      <c r="X51" s="229" t="str">
        <f t="shared" si="6"/>
        <v/>
      </c>
      <c r="Y51" s="147" t="str">
        <f t="shared" si="7"/>
        <v/>
      </c>
      <c r="Z51" s="148" t="str">
        <f t="shared" si="8"/>
        <v/>
      </c>
      <c r="AA51" s="148" t="str">
        <f t="shared" si="9"/>
        <v/>
      </c>
      <c r="AB51" s="148" t="str">
        <f t="shared" si="10"/>
        <v/>
      </c>
      <c r="AJ51" s="149" t="e">
        <f>IF('Cable Info'!#REF!="","",CONCATENATE('Cable Info'!#REF!," - ",'Cable Info'!#REF!))</f>
        <v>#REF!</v>
      </c>
      <c r="AM51" s="149" t="e">
        <f t="shared" si="0"/>
        <v>#REF!</v>
      </c>
      <c r="AO51" s="149" t="e">
        <f>IF('Cable Info'!#REF!="","",CONCATENATE('Cable Info'!#REF!," - ",'Cable Info'!#REF!))</f>
        <v>#REF!</v>
      </c>
      <c r="AR51" s="149" t="e">
        <f t="shared" si="1"/>
        <v>#REF!</v>
      </c>
      <c r="AT51" s="149" t="e">
        <f>IF('Cable Info'!#REF!="","",CONCATENATE('Cable Info'!#REF!," - ",'Cable Info'!#REF!))</f>
        <v>#REF!</v>
      </c>
      <c r="AW51" s="149" t="e">
        <f t="shared" si="2"/>
        <v>#REF!</v>
      </c>
      <c r="AY51" s="149" t="e">
        <f>IF('Cable Info'!#REF!="","",CONCATENATE('Cable Info'!#REF!," - ",'Cable Info'!#REF!))</f>
        <v>#REF!</v>
      </c>
      <c r="BB51" s="149" t="e">
        <f t="shared" si="3"/>
        <v>#REF!</v>
      </c>
      <c r="BD51" s="149" t="e">
        <f>IF('Cable Info'!#REF!="","",CONCATENATE('Cable Info'!#REF!," - ",'Cable Info'!#REF!))</f>
        <v>#REF!</v>
      </c>
      <c r="BG51" s="149" t="e">
        <f t="shared" si="4"/>
        <v>#REF!</v>
      </c>
      <c r="BI51" s="149" t="e">
        <f>IF('Cable Info'!#REF!="","",CONCATENATE('Cable Info'!#REF!," - ",'Cable Info'!#REF!))</f>
        <v>#REF!</v>
      </c>
      <c r="BL51" s="149" t="e">
        <f t="shared" si="5"/>
        <v>#REF!</v>
      </c>
      <c r="CL51" s="309"/>
    </row>
    <row r="52" spans="1:90" x14ac:dyDescent="0.2">
      <c r="A52" s="222"/>
      <c r="B52" s="165"/>
      <c r="C52" s="142" t="str">
        <f>IFERROR(IF(B52="","",IF((COUNTIF('Cable Info'!$B$11:$C$50,B52)=0),VLOOKUP(B52,'Cable Info (2)'!$B$11:$C$50,2,FALSE),(VLOOKUP(B52,'Cable Info'!$B$11:$C$50,2,FALSE)))),"NO SUCH EXIT")</f>
        <v/>
      </c>
      <c r="D52" s="285"/>
      <c r="E52" s="311"/>
      <c r="F52" s="132" t="s">
        <v>59</v>
      </c>
      <c r="G52" s="314"/>
      <c r="H52" s="142" t="str">
        <f t="shared" si="11"/>
        <v/>
      </c>
      <c r="I52" s="318"/>
      <c r="J52" s="132" t="s">
        <v>59</v>
      </c>
      <c r="K52" s="320"/>
      <c r="L52" s="289"/>
      <c r="M52" s="142" t="str">
        <f>IFERROR(IF(P52="","",IF((COUNTIF('Cable Info'!$B$11:$C$50,P52)=0),VLOOKUP(P52,'Cable Info (2)'!$B$11:$C$50,2,FALSE),(VLOOKUP(P52,'Cable Info'!$B$11:$C$50,2,FALSE)))),"NO SUCH EXIT")</f>
        <v/>
      </c>
      <c r="N52" s="293"/>
      <c r="O52" s="234"/>
      <c r="P52" s="161"/>
      <c r="Q52" s="224"/>
      <c r="R52" s="162"/>
      <c r="S52" s="162"/>
      <c r="T52" s="163"/>
      <c r="U52" s="163"/>
      <c r="V52" s="164"/>
      <c r="W52" s="164"/>
      <c r="X52" s="229" t="str">
        <f t="shared" si="6"/>
        <v/>
      </c>
      <c r="Y52" s="147" t="str">
        <f t="shared" si="7"/>
        <v/>
      </c>
      <c r="Z52" s="148" t="str">
        <f t="shared" si="8"/>
        <v/>
      </c>
      <c r="AA52" s="148" t="str">
        <f t="shared" si="9"/>
        <v/>
      </c>
      <c r="AB52" s="148" t="str">
        <f t="shared" si="10"/>
        <v/>
      </c>
      <c r="AJ52" s="149" t="e">
        <f>IF('Cable Info'!#REF!="","",CONCATENATE('Cable Info'!#REF!," - ",'Cable Info'!#REF!))</f>
        <v>#REF!</v>
      </c>
      <c r="AM52" s="149" t="e">
        <f t="shared" si="0"/>
        <v>#REF!</v>
      </c>
      <c r="AO52" s="149" t="e">
        <f>IF('Cable Info'!#REF!="","",CONCATENATE('Cable Info'!#REF!," - ",'Cable Info'!#REF!))</f>
        <v>#REF!</v>
      </c>
      <c r="AR52" s="149" t="e">
        <f t="shared" si="1"/>
        <v>#REF!</v>
      </c>
      <c r="AT52" s="149" t="e">
        <f>IF('Cable Info'!#REF!="","",CONCATENATE('Cable Info'!#REF!," - ",'Cable Info'!#REF!))</f>
        <v>#REF!</v>
      </c>
      <c r="AW52" s="149" t="e">
        <f t="shared" si="2"/>
        <v>#REF!</v>
      </c>
      <c r="AY52" s="149" t="e">
        <f>IF('Cable Info'!#REF!="","",CONCATENATE('Cable Info'!#REF!," - ",'Cable Info'!#REF!))</f>
        <v>#REF!</v>
      </c>
      <c r="BB52" s="149" t="e">
        <f t="shared" si="3"/>
        <v>#REF!</v>
      </c>
      <c r="BD52" s="149" t="e">
        <f>IF('Cable Info'!#REF!="","",CONCATENATE('Cable Info'!#REF!," - ",'Cable Info'!#REF!))</f>
        <v>#REF!</v>
      </c>
      <c r="BG52" s="149" t="e">
        <f t="shared" si="4"/>
        <v>#REF!</v>
      </c>
      <c r="BI52" s="149" t="e">
        <f>IF('Cable Info'!#REF!="","",CONCATENATE('Cable Info'!#REF!," - ",'Cable Info'!#REF!))</f>
        <v>#REF!</v>
      </c>
      <c r="BL52" s="149" t="e">
        <f t="shared" si="5"/>
        <v>#REF!</v>
      </c>
      <c r="CL52" s="309"/>
    </row>
    <row r="53" spans="1:90" x14ac:dyDescent="0.2">
      <c r="A53" s="222"/>
      <c r="B53" s="165"/>
      <c r="C53" s="142" t="str">
        <f>IFERROR(IF(B53="","",IF((COUNTIF('Cable Info'!$B$11:$C$50,B53)=0),VLOOKUP(B53,'Cable Info (2)'!$B$11:$C$50,2,FALSE),(VLOOKUP(B53,'Cable Info'!$B$11:$C$50,2,FALSE)))),"NO SUCH EXIT")</f>
        <v/>
      </c>
      <c r="D53" s="285"/>
      <c r="E53" s="311"/>
      <c r="F53" s="132" t="s">
        <v>59</v>
      </c>
      <c r="G53" s="314"/>
      <c r="H53" s="142" t="str">
        <f t="shared" si="11"/>
        <v/>
      </c>
      <c r="I53" s="318"/>
      <c r="J53" s="132" t="s">
        <v>59</v>
      </c>
      <c r="K53" s="320"/>
      <c r="L53" s="289"/>
      <c r="M53" s="142" t="str">
        <f>IFERROR(IF(P53="","",IF((COUNTIF('Cable Info'!$B$11:$C$50,P53)=0),VLOOKUP(P53,'Cable Info (2)'!$B$11:$C$50,2,FALSE),(VLOOKUP(P53,'Cable Info'!$B$11:$C$50,2,FALSE)))),"NO SUCH EXIT")</f>
        <v/>
      </c>
      <c r="N53" s="293"/>
      <c r="O53" s="234"/>
      <c r="P53" s="161"/>
      <c r="Q53" s="224"/>
      <c r="R53" s="162"/>
      <c r="S53" s="162"/>
      <c r="T53" s="163"/>
      <c r="U53" s="163"/>
      <c r="V53" s="164"/>
      <c r="W53" s="164"/>
      <c r="X53" s="229" t="str">
        <f t="shared" si="6"/>
        <v/>
      </c>
      <c r="Y53" s="147" t="str">
        <f t="shared" si="7"/>
        <v/>
      </c>
      <c r="Z53" s="148" t="str">
        <f t="shared" si="8"/>
        <v/>
      </c>
      <c r="AA53" s="148" t="str">
        <f t="shared" si="9"/>
        <v/>
      </c>
      <c r="AB53" s="148" t="str">
        <f t="shared" si="10"/>
        <v/>
      </c>
      <c r="AJ53" s="149" t="e">
        <f>IF('Cable Info'!#REF!="","",CONCATENATE('Cable Info'!#REF!," - ",'Cable Info'!#REF!))</f>
        <v>#REF!</v>
      </c>
      <c r="AM53" s="149" t="e">
        <f t="shared" si="0"/>
        <v>#REF!</v>
      </c>
      <c r="AO53" s="149" t="e">
        <f>IF('Cable Info'!#REF!="","",CONCATENATE('Cable Info'!#REF!," - ",'Cable Info'!#REF!))</f>
        <v>#REF!</v>
      </c>
      <c r="AR53" s="149" t="e">
        <f t="shared" si="1"/>
        <v>#REF!</v>
      </c>
      <c r="AT53" s="149" t="e">
        <f>IF('Cable Info'!#REF!="","",CONCATENATE('Cable Info'!#REF!," - ",'Cable Info'!#REF!))</f>
        <v>#REF!</v>
      </c>
      <c r="AW53" s="149" t="e">
        <f t="shared" si="2"/>
        <v>#REF!</v>
      </c>
      <c r="AY53" s="149" t="e">
        <f>IF('Cable Info'!#REF!="","",CONCATENATE('Cable Info'!#REF!," - ",'Cable Info'!#REF!))</f>
        <v>#REF!</v>
      </c>
      <c r="BB53" s="149" t="e">
        <f t="shared" si="3"/>
        <v>#REF!</v>
      </c>
      <c r="BD53" s="149" t="e">
        <f>IF('Cable Info'!#REF!="","",CONCATENATE('Cable Info'!#REF!," - ",'Cable Info'!#REF!))</f>
        <v>#REF!</v>
      </c>
      <c r="BG53" s="149" t="e">
        <f t="shared" si="4"/>
        <v>#REF!</v>
      </c>
      <c r="BI53" s="149" t="e">
        <f>IF('Cable Info'!#REF!="","",CONCATENATE('Cable Info'!#REF!," - ",'Cable Info'!#REF!))</f>
        <v>#REF!</v>
      </c>
      <c r="BL53" s="149" t="e">
        <f t="shared" si="5"/>
        <v>#REF!</v>
      </c>
      <c r="CL53" s="309"/>
    </row>
    <row r="54" spans="1:90" x14ac:dyDescent="0.2">
      <c r="A54" s="222"/>
      <c r="B54" s="165"/>
      <c r="C54" s="142" t="str">
        <f>IFERROR(IF(B54="","",IF((COUNTIF('Cable Info'!$B$11:$C$50,B54)=0),VLOOKUP(B54,'Cable Info (2)'!$B$11:$C$50,2,FALSE),(VLOOKUP(B54,'Cable Info'!$B$11:$C$50,2,FALSE)))),"NO SUCH EXIT")</f>
        <v/>
      </c>
      <c r="D54" s="285"/>
      <c r="E54" s="311"/>
      <c r="F54" s="132" t="s">
        <v>59</v>
      </c>
      <c r="G54" s="314"/>
      <c r="H54" s="142" t="str">
        <f t="shared" si="11"/>
        <v/>
      </c>
      <c r="I54" s="318"/>
      <c r="J54" s="132" t="s">
        <v>59</v>
      </c>
      <c r="K54" s="320"/>
      <c r="L54" s="289"/>
      <c r="M54" s="142" t="str">
        <f>IFERROR(IF(P54="","",IF((COUNTIF('Cable Info'!$B$11:$C$50,P54)=0),VLOOKUP(P54,'Cable Info (2)'!$B$11:$C$50,2,FALSE),(VLOOKUP(P54,'Cable Info'!$B$11:$C$50,2,FALSE)))),"NO SUCH EXIT")</f>
        <v/>
      </c>
      <c r="N54" s="293"/>
      <c r="O54" s="234"/>
      <c r="P54" s="161"/>
      <c r="Q54" s="224"/>
      <c r="R54" s="162"/>
      <c r="S54" s="162"/>
      <c r="T54" s="163"/>
      <c r="U54" s="163"/>
      <c r="V54" s="164"/>
      <c r="W54" s="164"/>
      <c r="X54" s="229" t="str">
        <f t="shared" si="6"/>
        <v/>
      </c>
      <c r="Y54" s="147" t="str">
        <f t="shared" si="7"/>
        <v/>
      </c>
      <c r="Z54" s="148" t="str">
        <f t="shared" si="8"/>
        <v/>
      </c>
      <c r="AA54" s="148" t="str">
        <f t="shared" si="9"/>
        <v/>
      </c>
      <c r="AB54" s="148" t="str">
        <f t="shared" si="10"/>
        <v/>
      </c>
      <c r="AJ54" s="149" t="e">
        <f>IF('Cable Info'!#REF!="","",CONCATENATE('Cable Info'!#REF!," - ",'Cable Info'!#REF!))</f>
        <v>#REF!</v>
      </c>
      <c r="AM54" s="149" t="e">
        <f t="shared" si="0"/>
        <v>#REF!</v>
      </c>
      <c r="AO54" s="149" t="e">
        <f>IF('Cable Info'!#REF!="","",CONCATENATE('Cable Info'!#REF!," - ",'Cable Info'!#REF!))</f>
        <v>#REF!</v>
      </c>
      <c r="AR54" s="149" t="e">
        <f t="shared" si="1"/>
        <v>#REF!</v>
      </c>
      <c r="AT54" s="149" t="e">
        <f>IF('Cable Info'!#REF!="","",CONCATENATE('Cable Info'!#REF!," - ",'Cable Info'!#REF!))</f>
        <v>#REF!</v>
      </c>
      <c r="AW54" s="149" t="e">
        <f t="shared" si="2"/>
        <v>#REF!</v>
      </c>
      <c r="AY54" s="149" t="e">
        <f>IF('Cable Info'!#REF!="","",CONCATENATE('Cable Info'!#REF!," - ",'Cable Info'!#REF!))</f>
        <v>#REF!</v>
      </c>
      <c r="BB54" s="149" t="e">
        <f t="shared" si="3"/>
        <v>#REF!</v>
      </c>
      <c r="BD54" s="149" t="e">
        <f>IF('Cable Info'!#REF!="","",CONCATENATE('Cable Info'!#REF!," - ",'Cable Info'!#REF!))</f>
        <v>#REF!</v>
      </c>
      <c r="BG54" s="149" t="e">
        <f t="shared" si="4"/>
        <v>#REF!</v>
      </c>
      <c r="BI54" s="149" t="e">
        <f>IF('Cable Info'!#REF!="","",CONCATENATE('Cable Info'!#REF!," - ",'Cable Info'!#REF!))</f>
        <v>#REF!</v>
      </c>
      <c r="BL54" s="149" t="e">
        <f t="shared" si="5"/>
        <v>#REF!</v>
      </c>
      <c r="CL54" s="309"/>
    </row>
    <row r="55" spans="1:90" x14ac:dyDescent="0.2">
      <c r="A55" s="222"/>
      <c r="B55" s="165"/>
      <c r="C55" s="142" t="str">
        <f>IFERROR(IF(B55="","",IF((COUNTIF('Cable Info'!$B$11:$C$50,B55)=0),VLOOKUP(B55,'Cable Info (2)'!$B$11:$C$50,2,FALSE),(VLOOKUP(B55,'Cable Info'!$B$11:$C$50,2,FALSE)))),"NO SUCH EXIT")</f>
        <v/>
      </c>
      <c r="D55" s="285"/>
      <c r="E55" s="311"/>
      <c r="F55" s="132" t="s">
        <v>59</v>
      </c>
      <c r="G55" s="314"/>
      <c r="H55" s="142" t="str">
        <f t="shared" si="11"/>
        <v/>
      </c>
      <c r="I55" s="318"/>
      <c r="J55" s="132" t="s">
        <v>59</v>
      </c>
      <c r="K55" s="320"/>
      <c r="L55" s="289"/>
      <c r="M55" s="142" t="str">
        <f>IFERROR(IF(P55="","",IF((COUNTIF('Cable Info'!$B$11:$C$50,P55)=0),VLOOKUP(P55,'Cable Info (2)'!$B$11:$C$50,2,FALSE),(VLOOKUP(P55,'Cable Info'!$B$11:$C$50,2,FALSE)))),"NO SUCH EXIT")</f>
        <v/>
      </c>
      <c r="N55" s="293"/>
      <c r="O55" s="234"/>
      <c r="P55" s="161"/>
      <c r="Q55" s="224"/>
      <c r="R55" s="162"/>
      <c r="S55" s="162"/>
      <c r="T55" s="163"/>
      <c r="U55" s="163"/>
      <c r="V55" s="164"/>
      <c r="W55" s="164"/>
      <c r="X55" s="229" t="str">
        <f t="shared" si="6"/>
        <v/>
      </c>
      <c r="Y55" s="147" t="str">
        <f t="shared" si="7"/>
        <v/>
      </c>
      <c r="Z55" s="148" t="str">
        <f t="shared" si="8"/>
        <v/>
      </c>
      <c r="AA55" s="148" t="str">
        <f t="shared" si="9"/>
        <v/>
      </c>
      <c r="AB55" s="148" t="str">
        <f t="shared" si="10"/>
        <v/>
      </c>
      <c r="AJ55" s="149" t="e">
        <f>IF('Cable Info'!#REF!="","",CONCATENATE('Cable Info'!#REF!," - ",'Cable Info'!#REF!))</f>
        <v>#REF!</v>
      </c>
      <c r="AM55" s="149" t="e">
        <f t="shared" si="0"/>
        <v>#REF!</v>
      </c>
      <c r="AO55" s="149" t="e">
        <f>IF('Cable Info'!#REF!="","",CONCATENATE('Cable Info'!#REF!," - ",'Cable Info'!#REF!))</f>
        <v>#REF!</v>
      </c>
      <c r="AR55" s="149" t="e">
        <f t="shared" si="1"/>
        <v>#REF!</v>
      </c>
      <c r="AT55" s="149" t="e">
        <f>IF('Cable Info'!#REF!="","",CONCATENATE('Cable Info'!#REF!," - ",'Cable Info'!#REF!))</f>
        <v>#REF!</v>
      </c>
      <c r="AW55" s="149" t="e">
        <f t="shared" si="2"/>
        <v>#REF!</v>
      </c>
      <c r="AY55" s="149" t="e">
        <f>IF('Cable Info'!#REF!="","",CONCATENATE('Cable Info'!#REF!," - ",'Cable Info'!#REF!))</f>
        <v>#REF!</v>
      </c>
      <c r="BB55" s="149" t="e">
        <f t="shared" si="3"/>
        <v>#REF!</v>
      </c>
      <c r="BD55" s="149" t="e">
        <f>IF('Cable Info'!#REF!="","",CONCATENATE('Cable Info'!#REF!," - ",'Cable Info'!#REF!))</f>
        <v>#REF!</v>
      </c>
      <c r="BG55" s="149" t="e">
        <f t="shared" si="4"/>
        <v>#REF!</v>
      </c>
      <c r="BI55" s="149" t="e">
        <f>IF('Cable Info'!#REF!="","",CONCATENATE('Cable Info'!#REF!," - ",'Cable Info'!#REF!))</f>
        <v>#REF!</v>
      </c>
      <c r="BL55" s="149" t="e">
        <f t="shared" si="5"/>
        <v>#REF!</v>
      </c>
      <c r="CL55" s="309"/>
    </row>
    <row r="56" spans="1:90" x14ac:dyDescent="0.2">
      <c r="A56" s="222"/>
      <c r="B56" s="165"/>
      <c r="C56" s="142" t="str">
        <f>IFERROR(IF(B56="","",IF((COUNTIF('Cable Info'!$B$11:$C$50,B56)=0),VLOOKUP(B56,'Cable Info (2)'!$B$11:$C$50,2,FALSE),(VLOOKUP(B56,'Cable Info'!$B$11:$C$50,2,FALSE)))),"NO SUCH EXIT")</f>
        <v/>
      </c>
      <c r="D56" s="285"/>
      <c r="E56" s="311"/>
      <c r="F56" s="132" t="s">
        <v>59</v>
      </c>
      <c r="G56" s="314"/>
      <c r="H56" s="142" t="str">
        <f t="shared" si="11"/>
        <v/>
      </c>
      <c r="I56" s="318"/>
      <c r="J56" s="132" t="s">
        <v>59</v>
      </c>
      <c r="K56" s="320"/>
      <c r="L56" s="289"/>
      <c r="M56" s="142" t="str">
        <f>IFERROR(IF(P56="","",IF((COUNTIF('Cable Info'!$B$11:$C$50,P56)=0),VLOOKUP(P56,'Cable Info (2)'!$B$11:$C$50,2,FALSE),(VLOOKUP(P56,'Cable Info'!$B$11:$C$50,2,FALSE)))),"NO SUCH EXIT")</f>
        <v/>
      </c>
      <c r="N56" s="293"/>
      <c r="O56" s="234"/>
      <c r="P56" s="161"/>
      <c r="Q56" s="224"/>
      <c r="R56" s="162"/>
      <c r="S56" s="162"/>
      <c r="T56" s="163"/>
      <c r="U56" s="163"/>
      <c r="V56" s="164"/>
      <c r="W56" s="164"/>
      <c r="X56" s="229" t="str">
        <f t="shared" si="6"/>
        <v/>
      </c>
      <c r="Y56" s="147" t="str">
        <f t="shared" si="7"/>
        <v/>
      </c>
      <c r="Z56" s="148" t="str">
        <f t="shared" si="8"/>
        <v/>
      </c>
      <c r="AA56" s="148" t="str">
        <f t="shared" si="9"/>
        <v/>
      </c>
      <c r="AB56" s="148" t="str">
        <f t="shared" si="10"/>
        <v/>
      </c>
      <c r="AJ56" s="149" t="e">
        <f>IF('Cable Info'!#REF!="","",CONCATENATE('Cable Info'!#REF!," - ",'Cable Info'!#REF!))</f>
        <v>#REF!</v>
      </c>
      <c r="AM56" s="149" t="e">
        <f t="shared" si="0"/>
        <v>#REF!</v>
      </c>
      <c r="AO56" s="149" t="e">
        <f>IF('Cable Info'!#REF!="","",CONCATENATE('Cable Info'!#REF!," - ",'Cable Info'!#REF!))</f>
        <v>#REF!</v>
      </c>
      <c r="AR56" s="149" t="e">
        <f t="shared" si="1"/>
        <v>#REF!</v>
      </c>
      <c r="AT56" s="149" t="e">
        <f>IF('Cable Info'!#REF!="","",CONCATENATE('Cable Info'!#REF!," - ",'Cable Info'!#REF!))</f>
        <v>#REF!</v>
      </c>
      <c r="AW56" s="149" t="e">
        <f t="shared" si="2"/>
        <v>#REF!</v>
      </c>
      <c r="AY56" s="149" t="e">
        <f>IF('Cable Info'!#REF!="","",CONCATENATE('Cable Info'!#REF!," - ",'Cable Info'!#REF!))</f>
        <v>#REF!</v>
      </c>
      <c r="BB56" s="149" t="e">
        <f t="shared" si="3"/>
        <v>#REF!</v>
      </c>
      <c r="BD56" s="149" t="e">
        <f>IF('Cable Info'!#REF!="","",CONCATENATE('Cable Info'!#REF!," - ",'Cable Info'!#REF!))</f>
        <v>#REF!</v>
      </c>
      <c r="BG56" s="149" t="e">
        <f t="shared" si="4"/>
        <v>#REF!</v>
      </c>
      <c r="BI56" s="149" t="e">
        <f>IF('Cable Info'!#REF!="","",CONCATENATE('Cable Info'!#REF!," - ",'Cable Info'!#REF!))</f>
        <v>#REF!</v>
      </c>
      <c r="BL56" s="149" t="e">
        <f t="shared" si="5"/>
        <v>#REF!</v>
      </c>
      <c r="CL56" s="309"/>
    </row>
    <row r="57" spans="1:90" x14ac:dyDescent="0.2">
      <c r="A57" s="222"/>
      <c r="B57" s="165"/>
      <c r="C57" s="142" t="str">
        <f>IFERROR(IF(B57="","",IF((COUNTIF('Cable Info'!$B$11:$C$50,B57)=0),VLOOKUP(B57,'Cable Info (2)'!$B$11:$C$50,2,FALSE),(VLOOKUP(B57,'Cable Info'!$B$11:$C$50,2,FALSE)))),"NO SUCH EXIT")</f>
        <v/>
      </c>
      <c r="D57" s="285"/>
      <c r="E57" s="311"/>
      <c r="F57" s="132" t="s">
        <v>59</v>
      </c>
      <c r="G57" s="314"/>
      <c r="H57" s="142" t="str">
        <f t="shared" si="11"/>
        <v/>
      </c>
      <c r="I57" s="318"/>
      <c r="J57" s="132" t="s">
        <v>59</v>
      </c>
      <c r="K57" s="320"/>
      <c r="L57" s="289"/>
      <c r="M57" s="142" t="str">
        <f>IFERROR(IF(P57="","",IF((COUNTIF('Cable Info'!$B$11:$C$50,P57)=0),VLOOKUP(P57,'Cable Info (2)'!$B$11:$C$50,2,FALSE),(VLOOKUP(P57,'Cable Info'!$B$11:$C$50,2,FALSE)))),"NO SUCH EXIT")</f>
        <v/>
      </c>
      <c r="N57" s="293"/>
      <c r="O57" s="234"/>
      <c r="P57" s="161"/>
      <c r="Q57" s="224"/>
      <c r="R57" s="162"/>
      <c r="S57" s="162"/>
      <c r="T57" s="163"/>
      <c r="U57" s="163"/>
      <c r="V57" s="164"/>
      <c r="W57" s="164"/>
      <c r="X57" s="229" t="str">
        <f t="shared" si="6"/>
        <v/>
      </c>
      <c r="Y57" s="147" t="str">
        <f t="shared" si="7"/>
        <v/>
      </c>
      <c r="Z57" s="148" t="str">
        <f t="shared" si="8"/>
        <v/>
      </c>
      <c r="AA57" s="148" t="str">
        <f t="shared" si="9"/>
        <v/>
      </c>
      <c r="AB57" s="148" t="str">
        <f t="shared" si="10"/>
        <v/>
      </c>
      <c r="AJ57" s="149" t="e">
        <f>IF('Cable Info'!#REF!="","",CONCATENATE('Cable Info'!#REF!," - ",'Cable Info'!#REF!))</f>
        <v>#REF!</v>
      </c>
      <c r="AM57" s="149" t="e">
        <f t="shared" si="0"/>
        <v>#REF!</v>
      </c>
      <c r="AO57" s="149" t="e">
        <f>IF('Cable Info'!#REF!="","",CONCATENATE('Cable Info'!#REF!," - ",'Cable Info'!#REF!))</f>
        <v>#REF!</v>
      </c>
      <c r="AR57" s="149" t="e">
        <f t="shared" si="1"/>
        <v>#REF!</v>
      </c>
      <c r="AT57" s="149" t="e">
        <f>IF('Cable Info'!#REF!="","",CONCATENATE('Cable Info'!#REF!," - ",'Cable Info'!#REF!))</f>
        <v>#REF!</v>
      </c>
      <c r="AW57" s="149" t="e">
        <f t="shared" si="2"/>
        <v>#REF!</v>
      </c>
      <c r="AY57" s="149" t="e">
        <f>IF('Cable Info'!#REF!="","",CONCATENATE('Cable Info'!#REF!," - ",'Cable Info'!#REF!))</f>
        <v>#REF!</v>
      </c>
      <c r="BB57" s="149" t="e">
        <f t="shared" si="3"/>
        <v>#REF!</v>
      </c>
      <c r="BD57" s="149" t="e">
        <f>IF('Cable Info'!#REF!="","",CONCATENATE('Cable Info'!#REF!," - ",'Cable Info'!#REF!))</f>
        <v>#REF!</v>
      </c>
      <c r="BG57" s="149" t="e">
        <f t="shared" si="4"/>
        <v>#REF!</v>
      </c>
      <c r="BI57" s="149" t="e">
        <f>IF('Cable Info'!#REF!="","",CONCATENATE('Cable Info'!#REF!," - ",'Cable Info'!#REF!))</f>
        <v>#REF!</v>
      </c>
      <c r="BL57" s="149" t="e">
        <f t="shared" si="5"/>
        <v>#REF!</v>
      </c>
      <c r="CL57" s="309"/>
    </row>
    <row r="58" spans="1:90" x14ac:dyDescent="0.2">
      <c r="A58" s="222"/>
      <c r="B58" s="165"/>
      <c r="C58" s="142" t="str">
        <f>IFERROR(IF(B58="","",IF((COUNTIF('Cable Info'!$B$11:$C$50,B58)=0),VLOOKUP(B58,'Cable Info (2)'!$B$11:$C$50,2,FALSE),(VLOOKUP(B58,'Cable Info'!$B$11:$C$50,2,FALSE)))),"NO SUCH EXIT")</f>
        <v/>
      </c>
      <c r="D58" s="285"/>
      <c r="E58" s="311"/>
      <c r="F58" s="132" t="s">
        <v>59</v>
      </c>
      <c r="G58" s="314"/>
      <c r="H58" s="142" t="str">
        <f t="shared" si="11"/>
        <v/>
      </c>
      <c r="I58" s="318"/>
      <c r="J58" s="132" t="s">
        <v>59</v>
      </c>
      <c r="K58" s="320"/>
      <c r="L58" s="289"/>
      <c r="M58" s="142" t="str">
        <f>IFERROR(IF(P58="","",IF((COUNTIF('Cable Info'!$B$11:$C$50,P58)=0),VLOOKUP(P58,'Cable Info (2)'!$B$11:$C$50,2,FALSE),(VLOOKUP(P58,'Cable Info'!$B$11:$C$50,2,FALSE)))),"NO SUCH EXIT")</f>
        <v/>
      </c>
      <c r="N58" s="293"/>
      <c r="O58" s="234"/>
      <c r="P58" s="161"/>
      <c r="Q58" s="224"/>
      <c r="R58" s="162"/>
      <c r="S58" s="162"/>
      <c r="T58" s="163"/>
      <c r="U58" s="163"/>
      <c r="V58" s="164"/>
      <c r="W58" s="164"/>
      <c r="X58" s="229" t="str">
        <f t="shared" si="6"/>
        <v/>
      </c>
      <c r="Y58" s="147" t="str">
        <f t="shared" si="7"/>
        <v/>
      </c>
      <c r="Z58" s="148" t="str">
        <f t="shared" si="8"/>
        <v/>
      </c>
      <c r="AA58" s="148" t="str">
        <f t="shared" si="9"/>
        <v/>
      </c>
      <c r="AB58" s="148" t="str">
        <f t="shared" si="10"/>
        <v/>
      </c>
      <c r="AJ58" s="149" t="e">
        <f>IF('Cable Info'!#REF!="","",CONCATENATE('Cable Info'!#REF!," - ",'Cable Info'!#REF!))</f>
        <v>#REF!</v>
      </c>
      <c r="AM58" s="149" t="e">
        <f t="shared" si="0"/>
        <v>#REF!</v>
      </c>
      <c r="AO58" s="149" t="e">
        <f>IF('Cable Info'!#REF!="","",CONCATENATE('Cable Info'!#REF!," - ",'Cable Info'!#REF!))</f>
        <v>#REF!</v>
      </c>
      <c r="AR58" s="149" t="e">
        <f t="shared" si="1"/>
        <v>#REF!</v>
      </c>
      <c r="AT58" s="149" t="e">
        <f>IF('Cable Info'!#REF!="","",CONCATENATE('Cable Info'!#REF!," - ",'Cable Info'!#REF!))</f>
        <v>#REF!</v>
      </c>
      <c r="AW58" s="149" t="e">
        <f t="shared" si="2"/>
        <v>#REF!</v>
      </c>
      <c r="AY58" s="149" t="e">
        <f>IF('Cable Info'!#REF!="","",CONCATENATE('Cable Info'!#REF!," - ",'Cable Info'!#REF!))</f>
        <v>#REF!</v>
      </c>
      <c r="BB58" s="149" t="e">
        <f t="shared" si="3"/>
        <v>#REF!</v>
      </c>
      <c r="BD58" s="149" t="e">
        <f>IF('Cable Info'!#REF!="","",CONCATENATE('Cable Info'!#REF!," - ",'Cable Info'!#REF!))</f>
        <v>#REF!</v>
      </c>
      <c r="BG58" s="149" t="e">
        <f t="shared" si="4"/>
        <v>#REF!</v>
      </c>
      <c r="BI58" s="149" t="e">
        <f>IF('Cable Info'!#REF!="","",CONCATENATE('Cable Info'!#REF!," - ",'Cable Info'!#REF!))</f>
        <v>#REF!</v>
      </c>
      <c r="BL58" s="149" t="e">
        <f t="shared" si="5"/>
        <v>#REF!</v>
      </c>
      <c r="CL58" s="309"/>
    </row>
    <row r="59" spans="1:90" x14ac:dyDescent="0.2">
      <c r="A59" s="222"/>
      <c r="B59" s="165"/>
      <c r="C59" s="142" t="str">
        <f>IFERROR(IF(B59="","",IF((COUNTIF('Cable Info'!$B$11:$C$50,B59)=0),VLOOKUP(B59,'Cable Info (2)'!$B$11:$C$50,2,FALSE),(VLOOKUP(B59,'Cable Info'!$B$11:$C$50,2,FALSE)))),"NO SUCH EXIT")</f>
        <v/>
      </c>
      <c r="D59" s="285"/>
      <c r="E59" s="311"/>
      <c r="F59" s="132" t="s">
        <v>59</v>
      </c>
      <c r="G59" s="314"/>
      <c r="H59" s="142" t="str">
        <f t="shared" si="11"/>
        <v/>
      </c>
      <c r="I59" s="318"/>
      <c r="J59" s="132" t="s">
        <v>59</v>
      </c>
      <c r="K59" s="320"/>
      <c r="L59" s="289"/>
      <c r="M59" s="142" t="str">
        <f>IFERROR(IF(P59="","",IF((COUNTIF('Cable Info'!$B$11:$C$50,P59)=0),VLOOKUP(P59,'Cable Info (2)'!$B$11:$C$50,2,FALSE),(VLOOKUP(P59,'Cable Info'!$B$11:$C$50,2,FALSE)))),"NO SUCH EXIT")</f>
        <v/>
      </c>
      <c r="N59" s="293"/>
      <c r="O59" s="234"/>
      <c r="P59" s="161"/>
      <c r="Q59" s="224"/>
      <c r="R59" s="162"/>
      <c r="S59" s="162"/>
      <c r="T59" s="163"/>
      <c r="U59" s="163"/>
      <c r="V59" s="164"/>
      <c r="W59" s="164"/>
      <c r="X59" s="229" t="str">
        <f t="shared" si="6"/>
        <v/>
      </c>
      <c r="Y59" s="147" t="str">
        <f t="shared" si="7"/>
        <v/>
      </c>
      <c r="Z59" s="148" t="str">
        <f t="shared" si="8"/>
        <v/>
      </c>
      <c r="AA59" s="148" t="str">
        <f t="shared" si="9"/>
        <v/>
      </c>
      <c r="AB59" s="148" t="str">
        <f t="shared" si="10"/>
        <v/>
      </c>
      <c r="AJ59" s="149" t="e">
        <f>IF('Cable Info'!#REF!="","",CONCATENATE('Cable Info'!#REF!," - ",'Cable Info'!#REF!))</f>
        <v>#REF!</v>
      </c>
      <c r="AM59" s="149" t="e">
        <f t="shared" si="0"/>
        <v>#REF!</v>
      </c>
      <c r="AO59" s="149" t="e">
        <f>IF('Cable Info'!#REF!="","",CONCATENATE('Cable Info'!#REF!," - ",'Cable Info'!#REF!))</f>
        <v>#REF!</v>
      </c>
      <c r="AR59" s="149" t="e">
        <f t="shared" si="1"/>
        <v>#REF!</v>
      </c>
      <c r="AT59" s="149" t="e">
        <f>IF('Cable Info'!#REF!="","",CONCATENATE('Cable Info'!#REF!," - ",'Cable Info'!#REF!))</f>
        <v>#REF!</v>
      </c>
      <c r="AW59" s="149" t="e">
        <f t="shared" si="2"/>
        <v>#REF!</v>
      </c>
      <c r="AY59" s="149" t="e">
        <f>IF('Cable Info'!#REF!="","",CONCATENATE('Cable Info'!#REF!," - ",'Cable Info'!#REF!))</f>
        <v>#REF!</v>
      </c>
      <c r="BB59" s="149" t="e">
        <f t="shared" si="3"/>
        <v>#REF!</v>
      </c>
      <c r="BD59" s="149" t="e">
        <f>IF('Cable Info'!#REF!="","",CONCATENATE('Cable Info'!#REF!," - ",'Cable Info'!#REF!))</f>
        <v>#REF!</v>
      </c>
      <c r="BG59" s="149" t="e">
        <f t="shared" si="4"/>
        <v>#REF!</v>
      </c>
      <c r="BI59" s="149" t="e">
        <f>IF('Cable Info'!#REF!="","",CONCATENATE('Cable Info'!#REF!," - ",'Cable Info'!#REF!))</f>
        <v>#REF!</v>
      </c>
      <c r="BL59" s="149" t="e">
        <f t="shared" si="5"/>
        <v>#REF!</v>
      </c>
      <c r="CL59" s="309"/>
    </row>
    <row r="60" spans="1:90" x14ac:dyDescent="0.2">
      <c r="A60" s="222"/>
      <c r="B60" s="165"/>
      <c r="C60" s="142" t="str">
        <f>IFERROR(IF(B60="","",IF((COUNTIF('Cable Info'!$B$11:$C$50,B60)=0),VLOOKUP(B60,'Cable Info (2)'!$B$11:$C$50,2,FALSE),(VLOOKUP(B60,'Cable Info'!$B$11:$C$50,2,FALSE)))),"NO SUCH EXIT")</f>
        <v/>
      </c>
      <c r="D60" s="285"/>
      <c r="E60" s="311"/>
      <c r="F60" s="132" t="s">
        <v>59</v>
      </c>
      <c r="G60" s="314"/>
      <c r="H60" s="142" t="str">
        <f t="shared" si="11"/>
        <v/>
      </c>
      <c r="I60" s="318"/>
      <c r="J60" s="132" t="s">
        <v>59</v>
      </c>
      <c r="K60" s="320"/>
      <c r="L60" s="289"/>
      <c r="M60" s="142" t="str">
        <f>IFERROR(IF(P60="","",IF((COUNTIF('Cable Info'!$B$11:$C$50,P60)=0),VLOOKUP(P60,'Cable Info (2)'!$B$11:$C$50,2,FALSE),(VLOOKUP(P60,'Cable Info'!$B$11:$C$50,2,FALSE)))),"NO SUCH EXIT")</f>
        <v/>
      </c>
      <c r="N60" s="293"/>
      <c r="O60" s="234"/>
      <c r="P60" s="161"/>
      <c r="Q60" s="224"/>
      <c r="R60" s="162"/>
      <c r="S60" s="162"/>
      <c r="T60" s="163"/>
      <c r="U60" s="163"/>
      <c r="V60" s="164"/>
      <c r="W60" s="164"/>
      <c r="X60" s="229" t="str">
        <f t="shared" si="6"/>
        <v/>
      </c>
      <c r="Y60" s="147" t="str">
        <f t="shared" si="7"/>
        <v/>
      </c>
      <c r="Z60" s="148" t="str">
        <f t="shared" si="8"/>
        <v/>
      </c>
      <c r="AA60" s="148" t="str">
        <f t="shared" si="9"/>
        <v/>
      </c>
      <c r="AB60" s="148" t="str">
        <f t="shared" si="10"/>
        <v/>
      </c>
      <c r="AJ60" s="149" t="e">
        <f>IF('Cable Info'!#REF!="","",CONCATENATE('Cable Info'!#REF!," - ",'Cable Info'!#REF!))</f>
        <v>#REF!</v>
      </c>
      <c r="AM60" s="149" t="e">
        <f t="shared" si="0"/>
        <v>#REF!</v>
      </c>
      <c r="AO60" s="149" t="e">
        <f>IF('Cable Info'!#REF!="","",CONCATENATE('Cable Info'!#REF!," - ",'Cable Info'!#REF!))</f>
        <v>#REF!</v>
      </c>
      <c r="AR60" s="149" t="e">
        <f t="shared" si="1"/>
        <v>#REF!</v>
      </c>
      <c r="AT60" s="149" t="e">
        <f>IF('Cable Info'!#REF!="","",CONCATENATE('Cable Info'!#REF!," - ",'Cable Info'!#REF!))</f>
        <v>#REF!</v>
      </c>
      <c r="AW60" s="149" t="e">
        <f t="shared" si="2"/>
        <v>#REF!</v>
      </c>
      <c r="AY60" s="149" t="e">
        <f>IF('Cable Info'!#REF!="","",CONCATENATE('Cable Info'!#REF!," - ",'Cable Info'!#REF!))</f>
        <v>#REF!</v>
      </c>
      <c r="BB60" s="149" t="e">
        <f t="shared" si="3"/>
        <v>#REF!</v>
      </c>
      <c r="BD60" s="149" t="e">
        <f>IF('Cable Info'!#REF!="","",CONCATENATE('Cable Info'!#REF!," - ",'Cable Info'!#REF!))</f>
        <v>#REF!</v>
      </c>
      <c r="BG60" s="149" t="e">
        <f t="shared" si="4"/>
        <v>#REF!</v>
      </c>
      <c r="BI60" s="149" t="e">
        <f>IF('Cable Info'!#REF!="","",CONCATENATE('Cable Info'!#REF!," - ",'Cable Info'!#REF!))</f>
        <v>#REF!</v>
      </c>
      <c r="BL60" s="149" t="e">
        <f t="shared" si="5"/>
        <v>#REF!</v>
      </c>
      <c r="CL60" s="309"/>
    </row>
    <row r="61" spans="1:90" x14ac:dyDescent="0.2">
      <c r="A61" s="222"/>
      <c r="B61" s="165"/>
      <c r="C61" s="142" t="str">
        <f>IFERROR(IF(B61="","",IF((COUNTIF('Cable Info'!$B$11:$C$50,B61)=0),VLOOKUP(B61,'Cable Info (2)'!$B$11:$C$50,2,FALSE),(VLOOKUP(B61,'Cable Info'!$B$11:$C$50,2,FALSE)))),"NO SUCH EXIT")</f>
        <v/>
      </c>
      <c r="D61" s="285"/>
      <c r="E61" s="311"/>
      <c r="F61" s="132" t="s">
        <v>59</v>
      </c>
      <c r="G61" s="314"/>
      <c r="H61" s="142" t="str">
        <f t="shared" si="11"/>
        <v/>
      </c>
      <c r="I61" s="318"/>
      <c r="J61" s="132" t="s">
        <v>59</v>
      </c>
      <c r="K61" s="320"/>
      <c r="L61" s="289"/>
      <c r="M61" s="142" t="str">
        <f>IFERROR(IF(P61="","",IF((COUNTIF('Cable Info'!$B$11:$C$50,P61)=0),VLOOKUP(P61,'Cable Info (2)'!$B$11:$C$50,2,FALSE),(VLOOKUP(P61,'Cable Info'!$B$11:$C$50,2,FALSE)))),"NO SUCH EXIT")</f>
        <v/>
      </c>
      <c r="N61" s="293"/>
      <c r="O61" s="234"/>
      <c r="P61" s="161"/>
      <c r="Q61" s="224"/>
      <c r="R61" s="162"/>
      <c r="S61" s="162"/>
      <c r="T61" s="163"/>
      <c r="U61" s="163"/>
      <c r="V61" s="164"/>
      <c r="W61" s="164"/>
      <c r="X61" s="229" t="str">
        <f t="shared" si="6"/>
        <v/>
      </c>
      <c r="Y61" s="147" t="str">
        <f t="shared" si="7"/>
        <v/>
      </c>
      <c r="Z61" s="148" t="str">
        <f t="shared" si="8"/>
        <v/>
      </c>
      <c r="AA61" s="148" t="str">
        <f t="shared" si="9"/>
        <v/>
      </c>
      <c r="AB61" s="148" t="str">
        <f t="shared" si="10"/>
        <v/>
      </c>
      <c r="AJ61" s="149" t="e">
        <f>IF('Cable Info'!#REF!="","",CONCATENATE('Cable Info'!#REF!," - ",'Cable Info'!#REF!))</f>
        <v>#REF!</v>
      </c>
      <c r="AM61" s="149" t="e">
        <f t="shared" si="0"/>
        <v>#REF!</v>
      </c>
      <c r="AO61" s="149" t="e">
        <f>IF('Cable Info'!#REF!="","",CONCATENATE('Cable Info'!#REF!," - ",'Cable Info'!#REF!))</f>
        <v>#REF!</v>
      </c>
      <c r="AR61" s="149" t="e">
        <f t="shared" si="1"/>
        <v>#REF!</v>
      </c>
      <c r="AT61" s="149" t="e">
        <f>IF('Cable Info'!#REF!="","",CONCATENATE('Cable Info'!#REF!," - ",'Cable Info'!#REF!))</f>
        <v>#REF!</v>
      </c>
      <c r="AW61" s="149" t="e">
        <f t="shared" si="2"/>
        <v>#REF!</v>
      </c>
      <c r="AY61" s="149" t="e">
        <f>IF('Cable Info'!#REF!="","",CONCATENATE('Cable Info'!#REF!," - ",'Cable Info'!#REF!))</f>
        <v>#REF!</v>
      </c>
      <c r="BB61" s="149" t="e">
        <f t="shared" si="3"/>
        <v>#REF!</v>
      </c>
      <c r="BD61" s="149" t="e">
        <f>IF('Cable Info'!#REF!="","",CONCATENATE('Cable Info'!#REF!," - ",'Cable Info'!#REF!))</f>
        <v>#REF!</v>
      </c>
      <c r="BG61" s="149" t="e">
        <f t="shared" si="4"/>
        <v>#REF!</v>
      </c>
      <c r="BI61" s="149" t="e">
        <f>IF('Cable Info'!#REF!="","",CONCATENATE('Cable Info'!#REF!," - ",'Cable Info'!#REF!))</f>
        <v>#REF!</v>
      </c>
      <c r="BL61" s="149" t="e">
        <f t="shared" si="5"/>
        <v>#REF!</v>
      </c>
      <c r="CL61" s="309"/>
    </row>
    <row r="62" spans="1:90" x14ac:dyDescent="0.2">
      <c r="A62" s="222"/>
      <c r="B62" s="165"/>
      <c r="C62" s="142" t="str">
        <f>IFERROR(IF(B62="","",IF((COUNTIF('Cable Info'!$B$11:$C$50,B62)=0),VLOOKUP(B62,'Cable Info (2)'!$B$11:$C$50,2,FALSE),(VLOOKUP(B62,'Cable Info'!$B$11:$C$50,2,FALSE)))),"NO SUCH EXIT")</f>
        <v/>
      </c>
      <c r="D62" s="285"/>
      <c r="E62" s="311"/>
      <c r="F62" s="132" t="s">
        <v>59</v>
      </c>
      <c r="G62" s="314"/>
      <c r="H62" s="142" t="str">
        <f t="shared" si="11"/>
        <v/>
      </c>
      <c r="I62" s="318"/>
      <c r="J62" s="132" t="s">
        <v>59</v>
      </c>
      <c r="K62" s="320"/>
      <c r="L62" s="289"/>
      <c r="M62" s="142" t="str">
        <f>IFERROR(IF(P62="","",IF((COUNTIF('Cable Info'!$B$11:$C$50,P62)=0),VLOOKUP(P62,'Cable Info (2)'!$B$11:$C$50,2,FALSE),(VLOOKUP(P62,'Cable Info'!$B$11:$C$50,2,FALSE)))),"NO SUCH EXIT")</f>
        <v/>
      </c>
      <c r="N62" s="293"/>
      <c r="O62" s="234"/>
      <c r="P62" s="161"/>
      <c r="Q62" s="224"/>
      <c r="R62" s="162"/>
      <c r="S62" s="162"/>
      <c r="T62" s="163"/>
      <c r="U62" s="163"/>
      <c r="V62" s="164"/>
      <c r="W62" s="164"/>
      <c r="X62" s="229" t="str">
        <f t="shared" si="6"/>
        <v/>
      </c>
      <c r="Y62" s="147" t="str">
        <f t="shared" si="7"/>
        <v/>
      </c>
      <c r="Z62" s="148" t="str">
        <f t="shared" si="8"/>
        <v/>
      </c>
      <c r="AA62" s="148" t="str">
        <f t="shared" si="9"/>
        <v/>
      </c>
      <c r="AB62" s="148" t="str">
        <f t="shared" si="10"/>
        <v/>
      </c>
      <c r="AJ62" s="149" t="e">
        <f>IF('Cable Info'!#REF!="","",CONCATENATE('Cable Info'!#REF!," - ",'Cable Info'!#REF!))</f>
        <v>#REF!</v>
      </c>
      <c r="AM62" s="149" t="e">
        <f t="shared" si="0"/>
        <v>#REF!</v>
      </c>
      <c r="AO62" s="149" t="e">
        <f>IF('Cable Info'!#REF!="","",CONCATENATE('Cable Info'!#REF!," - ",'Cable Info'!#REF!))</f>
        <v>#REF!</v>
      </c>
      <c r="AR62" s="149" t="e">
        <f t="shared" si="1"/>
        <v>#REF!</v>
      </c>
      <c r="AT62" s="149" t="e">
        <f>IF('Cable Info'!#REF!="","",CONCATENATE('Cable Info'!#REF!," - ",'Cable Info'!#REF!))</f>
        <v>#REF!</v>
      </c>
      <c r="AW62" s="149" t="e">
        <f t="shared" si="2"/>
        <v>#REF!</v>
      </c>
      <c r="AY62" s="149" t="e">
        <f>IF('Cable Info'!#REF!="","",CONCATENATE('Cable Info'!#REF!," - ",'Cable Info'!#REF!))</f>
        <v>#REF!</v>
      </c>
      <c r="BB62" s="149" t="e">
        <f t="shared" si="3"/>
        <v>#REF!</v>
      </c>
      <c r="BD62" s="149" t="e">
        <f>IF('Cable Info'!#REF!="","",CONCATENATE('Cable Info'!#REF!," - ",'Cable Info'!#REF!))</f>
        <v>#REF!</v>
      </c>
      <c r="BG62" s="149" t="e">
        <f t="shared" si="4"/>
        <v>#REF!</v>
      </c>
      <c r="BI62" s="149" t="e">
        <f>IF('Cable Info'!#REF!="","",CONCATENATE('Cable Info'!#REF!," - ",'Cable Info'!#REF!))</f>
        <v>#REF!</v>
      </c>
      <c r="BL62" s="149" t="e">
        <f t="shared" si="5"/>
        <v>#REF!</v>
      </c>
      <c r="CL62" s="309"/>
    </row>
    <row r="63" spans="1:90" x14ac:dyDescent="0.2">
      <c r="A63" s="222"/>
      <c r="B63" s="165"/>
      <c r="C63" s="142" t="str">
        <f>IFERROR(IF(B63="","",IF((COUNTIF('Cable Info'!$B$11:$C$50,B63)=0),VLOOKUP(B63,'Cable Info (2)'!$B$11:$C$50,2,FALSE),(VLOOKUP(B63,'Cable Info'!$B$11:$C$50,2,FALSE)))),"NO SUCH EXIT")</f>
        <v/>
      </c>
      <c r="D63" s="285"/>
      <c r="E63" s="311"/>
      <c r="F63" s="132" t="s">
        <v>59</v>
      </c>
      <c r="G63" s="314"/>
      <c r="H63" s="142" t="str">
        <f t="shared" si="11"/>
        <v/>
      </c>
      <c r="I63" s="318"/>
      <c r="J63" s="132" t="s">
        <v>59</v>
      </c>
      <c r="K63" s="320"/>
      <c r="L63" s="289"/>
      <c r="M63" s="142" t="str">
        <f>IFERROR(IF(P63="","",IF((COUNTIF('Cable Info'!$B$11:$C$50,P63)=0),VLOOKUP(P63,'Cable Info (2)'!$B$11:$C$50,2,FALSE),(VLOOKUP(P63,'Cable Info'!$B$11:$C$50,2,FALSE)))),"NO SUCH EXIT")</f>
        <v/>
      </c>
      <c r="N63" s="293"/>
      <c r="O63" s="234"/>
      <c r="P63" s="161"/>
      <c r="Q63" s="224"/>
      <c r="R63" s="162"/>
      <c r="S63" s="162"/>
      <c r="T63" s="163"/>
      <c r="U63" s="163"/>
      <c r="V63" s="164"/>
      <c r="W63" s="164"/>
      <c r="X63" s="229" t="str">
        <f t="shared" si="6"/>
        <v/>
      </c>
      <c r="Y63" s="147" t="str">
        <f t="shared" si="7"/>
        <v/>
      </c>
      <c r="Z63" s="148" t="str">
        <f t="shared" si="8"/>
        <v/>
      </c>
      <c r="AA63" s="148" t="str">
        <f t="shared" si="9"/>
        <v/>
      </c>
      <c r="AB63" s="148" t="str">
        <f t="shared" si="10"/>
        <v/>
      </c>
      <c r="AJ63" s="149" t="e">
        <f>IF('Cable Info'!#REF!="","",CONCATENATE('Cable Info'!#REF!," - ",'Cable Info'!#REF!))</f>
        <v>#REF!</v>
      </c>
      <c r="AM63" s="149" t="e">
        <f t="shared" si="0"/>
        <v>#REF!</v>
      </c>
      <c r="AO63" s="149" t="e">
        <f>IF('Cable Info'!#REF!="","",CONCATENATE('Cable Info'!#REF!," - ",'Cable Info'!#REF!))</f>
        <v>#REF!</v>
      </c>
      <c r="AR63" s="149" t="e">
        <f t="shared" si="1"/>
        <v>#REF!</v>
      </c>
      <c r="AT63" s="149" t="e">
        <f>IF('Cable Info'!#REF!="","",CONCATENATE('Cable Info'!#REF!," - ",'Cable Info'!#REF!))</f>
        <v>#REF!</v>
      </c>
      <c r="AW63" s="149" t="e">
        <f t="shared" si="2"/>
        <v>#REF!</v>
      </c>
      <c r="AY63" s="149" t="e">
        <f>IF('Cable Info'!#REF!="","",CONCATENATE('Cable Info'!#REF!," - ",'Cable Info'!#REF!))</f>
        <v>#REF!</v>
      </c>
      <c r="BB63" s="149" t="e">
        <f t="shared" si="3"/>
        <v>#REF!</v>
      </c>
      <c r="BD63" s="149" t="e">
        <f>IF('Cable Info'!#REF!="","",CONCATENATE('Cable Info'!#REF!," - ",'Cable Info'!#REF!))</f>
        <v>#REF!</v>
      </c>
      <c r="BG63" s="149" t="e">
        <f t="shared" si="4"/>
        <v>#REF!</v>
      </c>
      <c r="BI63" s="149" t="e">
        <f>IF('Cable Info'!#REF!="","",CONCATENATE('Cable Info'!#REF!," - ",'Cable Info'!#REF!))</f>
        <v>#REF!</v>
      </c>
      <c r="BL63" s="149" t="e">
        <f t="shared" si="5"/>
        <v>#REF!</v>
      </c>
      <c r="CL63" s="309"/>
    </row>
    <row r="64" spans="1:90" x14ac:dyDescent="0.2">
      <c r="A64" s="222"/>
      <c r="B64" s="165"/>
      <c r="C64" s="142" t="str">
        <f>IFERROR(IF(B64="","",IF((COUNTIF('Cable Info'!$B$11:$C$50,B64)=0),VLOOKUP(B64,'Cable Info (2)'!$B$11:$C$50,2,FALSE),(VLOOKUP(B64,'Cable Info'!$B$11:$C$50,2,FALSE)))),"NO SUCH EXIT")</f>
        <v/>
      </c>
      <c r="D64" s="285"/>
      <c r="E64" s="311"/>
      <c r="F64" s="132" t="s">
        <v>59</v>
      </c>
      <c r="G64" s="314"/>
      <c r="H64" s="142" t="str">
        <f t="shared" si="11"/>
        <v/>
      </c>
      <c r="I64" s="318"/>
      <c r="J64" s="132" t="s">
        <v>59</v>
      </c>
      <c r="K64" s="320"/>
      <c r="L64" s="289"/>
      <c r="M64" s="142" t="str">
        <f>IFERROR(IF(P64="","",IF((COUNTIF('Cable Info'!$B$11:$C$50,P64)=0),VLOOKUP(P64,'Cable Info (2)'!$B$11:$C$50,2,FALSE),(VLOOKUP(P64,'Cable Info'!$B$11:$C$50,2,FALSE)))),"NO SUCH EXIT")</f>
        <v/>
      </c>
      <c r="N64" s="293"/>
      <c r="O64" s="234"/>
      <c r="P64" s="161"/>
      <c r="Q64" s="224"/>
      <c r="R64" s="162"/>
      <c r="S64" s="162"/>
      <c r="T64" s="163"/>
      <c r="U64" s="163"/>
      <c r="V64" s="164"/>
      <c r="W64" s="164"/>
      <c r="X64" s="229" t="str">
        <f t="shared" si="6"/>
        <v/>
      </c>
      <c r="Y64" s="147" t="str">
        <f t="shared" si="7"/>
        <v/>
      </c>
      <c r="Z64" s="148" t="str">
        <f t="shared" si="8"/>
        <v/>
      </c>
      <c r="AA64" s="148" t="str">
        <f t="shared" si="9"/>
        <v/>
      </c>
      <c r="AB64" s="148" t="str">
        <f t="shared" si="10"/>
        <v/>
      </c>
      <c r="AJ64" s="149" t="e">
        <f>IF('Cable Info'!#REF!="","",CONCATENATE('Cable Info'!#REF!," - ",'Cable Info'!#REF!))</f>
        <v>#REF!</v>
      </c>
      <c r="AM64" s="149" t="e">
        <f t="shared" si="0"/>
        <v>#REF!</v>
      </c>
      <c r="AO64" s="149" t="e">
        <f>IF('Cable Info'!#REF!="","",CONCATENATE('Cable Info'!#REF!," - ",'Cable Info'!#REF!))</f>
        <v>#REF!</v>
      </c>
      <c r="AR64" s="149" t="e">
        <f t="shared" si="1"/>
        <v>#REF!</v>
      </c>
      <c r="AT64" s="149" t="e">
        <f>IF('Cable Info'!#REF!="","",CONCATENATE('Cable Info'!#REF!," - ",'Cable Info'!#REF!))</f>
        <v>#REF!</v>
      </c>
      <c r="AW64" s="149" t="e">
        <f t="shared" si="2"/>
        <v>#REF!</v>
      </c>
      <c r="AY64" s="149" t="e">
        <f>IF('Cable Info'!#REF!="","",CONCATENATE('Cable Info'!#REF!," - ",'Cable Info'!#REF!))</f>
        <v>#REF!</v>
      </c>
      <c r="BB64" s="149" t="e">
        <f t="shared" si="3"/>
        <v>#REF!</v>
      </c>
      <c r="BD64" s="149" t="e">
        <f>IF('Cable Info'!#REF!="","",CONCATENATE('Cable Info'!#REF!," - ",'Cable Info'!#REF!))</f>
        <v>#REF!</v>
      </c>
      <c r="BG64" s="149" t="e">
        <f t="shared" si="4"/>
        <v>#REF!</v>
      </c>
      <c r="BI64" s="149" t="e">
        <f>IF('Cable Info'!#REF!="","",CONCATENATE('Cable Info'!#REF!," - ",'Cable Info'!#REF!))</f>
        <v>#REF!</v>
      </c>
      <c r="BL64" s="149" t="e">
        <f t="shared" si="5"/>
        <v>#REF!</v>
      </c>
      <c r="CL64" s="309"/>
    </row>
    <row r="65" spans="1:90" x14ac:dyDescent="0.2">
      <c r="A65" s="222"/>
      <c r="B65" s="165"/>
      <c r="C65" s="142" t="str">
        <f>IFERROR(IF(B65="","",IF((COUNTIF('Cable Info'!$B$11:$C$50,B65)=0),VLOOKUP(B65,'Cable Info (2)'!$B$11:$C$50,2,FALSE),(VLOOKUP(B65,'Cable Info'!$B$11:$C$50,2,FALSE)))),"NO SUCH EXIT")</f>
        <v/>
      </c>
      <c r="D65" s="285"/>
      <c r="E65" s="311"/>
      <c r="F65" s="132" t="s">
        <v>59</v>
      </c>
      <c r="G65" s="314"/>
      <c r="H65" s="142" t="str">
        <f t="shared" si="11"/>
        <v/>
      </c>
      <c r="I65" s="318"/>
      <c r="J65" s="132" t="s">
        <v>59</v>
      </c>
      <c r="K65" s="320"/>
      <c r="L65" s="289"/>
      <c r="M65" s="142" t="str">
        <f>IFERROR(IF(P65="","",IF((COUNTIF('Cable Info'!$B$11:$C$50,P65)=0),VLOOKUP(P65,'Cable Info (2)'!$B$11:$C$50,2,FALSE),(VLOOKUP(P65,'Cable Info'!$B$11:$C$50,2,FALSE)))),"NO SUCH EXIT")</f>
        <v/>
      </c>
      <c r="N65" s="293"/>
      <c r="O65" s="234"/>
      <c r="P65" s="161"/>
      <c r="Q65" s="224"/>
      <c r="R65" s="162"/>
      <c r="S65" s="162"/>
      <c r="T65" s="163"/>
      <c r="U65" s="163"/>
      <c r="V65" s="164"/>
      <c r="W65" s="164"/>
      <c r="X65" s="229" t="str">
        <f t="shared" si="6"/>
        <v/>
      </c>
      <c r="Y65" s="147" t="str">
        <f t="shared" si="7"/>
        <v/>
      </c>
      <c r="Z65" s="148" t="str">
        <f t="shared" si="8"/>
        <v/>
      </c>
      <c r="AA65" s="148" t="str">
        <f t="shared" si="9"/>
        <v/>
      </c>
      <c r="AB65" s="148" t="str">
        <f t="shared" si="10"/>
        <v/>
      </c>
      <c r="AJ65" s="149" t="e">
        <f>IF('Cable Info'!#REF!="","",CONCATENATE('Cable Info'!#REF!," - ",'Cable Info'!#REF!))</f>
        <v>#REF!</v>
      </c>
      <c r="AM65" s="149" t="e">
        <f t="shared" si="0"/>
        <v>#REF!</v>
      </c>
      <c r="AO65" s="149" t="e">
        <f>IF('Cable Info'!#REF!="","",CONCATENATE('Cable Info'!#REF!," - ",'Cable Info'!#REF!))</f>
        <v>#REF!</v>
      </c>
      <c r="AR65" s="149" t="e">
        <f t="shared" si="1"/>
        <v>#REF!</v>
      </c>
      <c r="AT65" s="149" t="e">
        <f>IF('Cable Info'!#REF!="","",CONCATENATE('Cable Info'!#REF!," - ",'Cable Info'!#REF!))</f>
        <v>#REF!</v>
      </c>
      <c r="AW65" s="149" t="e">
        <f t="shared" si="2"/>
        <v>#REF!</v>
      </c>
      <c r="AY65" s="149" t="e">
        <f>IF('Cable Info'!#REF!="","",CONCATENATE('Cable Info'!#REF!," - ",'Cable Info'!#REF!))</f>
        <v>#REF!</v>
      </c>
      <c r="BB65" s="149" t="e">
        <f t="shared" si="3"/>
        <v>#REF!</v>
      </c>
      <c r="BD65" s="149" t="e">
        <f>IF('Cable Info'!#REF!="","",CONCATENATE('Cable Info'!#REF!," - ",'Cable Info'!#REF!))</f>
        <v>#REF!</v>
      </c>
      <c r="BG65" s="149" t="e">
        <f t="shared" si="4"/>
        <v>#REF!</v>
      </c>
      <c r="BI65" s="149" t="e">
        <f>IF('Cable Info'!#REF!="","",CONCATENATE('Cable Info'!#REF!," - ",'Cable Info'!#REF!))</f>
        <v>#REF!</v>
      </c>
      <c r="BL65" s="149" t="e">
        <f t="shared" si="5"/>
        <v>#REF!</v>
      </c>
      <c r="CL65" s="309"/>
    </row>
    <row r="66" spans="1:90" x14ac:dyDescent="0.2">
      <c r="A66" s="222"/>
      <c r="B66" s="165"/>
      <c r="C66" s="142" t="str">
        <f>IFERROR(IF(B66="","",IF((COUNTIF('Cable Info'!$B$11:$C$50,B66)=0),VLOOKUP(B66,'Cable Info (2)'!$B$11:$C$50,2,FALSE),(VLOOKUP(B66,'Cable Info'!$B$11:$C$50,2,FALSE)))),"NO SUCH EXIT")</f>
        <v/>
      </c>
      <c r="D66" s="285"/>
      <c r="E66" s="311"/>
      <c r="F66" s="132" t="s">
        <v>59</v>
      </c>
      <c r="G66" s="314"/>
      <c r="H66" s="142" t="str">
        <f t="shared" si="11"/>
        <v/>
      </c>
      <c r="I66" s="318"/>
      <c r="J66" s="132" t="s">
        <v>59</v>
      </c>
      <c r="K66" s="320"/>
      <c r="L66" s="289"/>
      <c r="M66" s="142" t="str">
        <f>IFERROR(IF(P66="","",IF((COUNTIF('Cable Info'!$B$11:$C$50,P66)=0),VLOOKUP(P66,'Cable Info (2)'!$B$11:$C$50,2,FALSE),(VLOOKUP(P66,'Cable Info'!$B$11:$C$50,2,FALSE)))),"NO SUCH EXIT")</f>
        <v/>
      </c>
      <c r="N66" s="293"/>
      <c r="O66" s="234"/>
      <c r="P66" s="161"/>
      <c r="Q66" s="224"/>
      <c r="R66" s="162"/>
      <c r="S66" s="162"/>
      <c r="T66" s="163"/>
      <c r="U66" s="163"/>
      <c r="V66" s="164"/>
      <c r="W66" s="164"/>
      <c r="X66" s="229" t="str">
        <f t="shared" si="6"/>
        <v/>
      </c>
      <c r="Y66" s="147" t="str">
        <f t="shared" si="7"/>
        <v/>
      </c>
      <c r="Z66" s="148" t="str">
        <f t="shared" si="8"/>
        <v/>
      </c>
      <c r="AA66" s="148" t="str">
        <f t="shared" si="9"/>
        <v/>
      </c>
      <c r="AB66" s="148" t="str">
        <f t="shared" si="10"/>
        <v/>
      </c>
      <c r="AJ66" s="149" t="e">
        <f>IF('Cable Info'!#REF!="","",CONCATENATE('Cable Info'!#REF!," - ",'Cable Info'!#REF!))</f>
        <v>#REF!</v>
      </c>
      <c r="AM66" s="149" t="e">
        <f t="shared" si="0"/>
        <v>#REF!</v>
      </c>
      <c r="AO66" s="149" t="e">
        <f>IF('Cable Info'!#REF!="","",CONCATENATE('Cable Info'!#REF!," - ",'Cable Info'!#REF!))</f>
        <v>#REF!</v>
      </c>
      <c r="AR66" s="149" t="e">
        <f t="shared" si="1"/>
        <v>#REF!</v>
      </c>
      <c r="AT66" s="149" t="e">
        <f>IF('Cable Info'!#REF!="","",CONCATENATE('Cable Info'!#REF!," - ",'Cable Info'!#REF!))</f>
        <v>#REF!</v>
      </c>
      <c r="AW66" s="149" t="e">
        <f t="shared" si="2"/>
        <v>#REF!</v>
      </c>
      <c r="AY66" s="149" t="e">
        <f>IF('Cable Info'!#REF!="","",CONCATENATE('Cable Info'!#REF!," - ",'Cable Info'!#REF!))</f>
        <v>#REF!</v>
      </c>
      <c r="BB66" s="149" t="e">
        <f t="shared" si="3"/>
        <v>#REF!</v>
      </c>
      <c r="BD66" s="149" t="e">
        <f>IF('Cable Info'!#REF!="","",CONCATENATE('Cable Info'!#REF!," - ",'Cable Info'!#REF!))</f>
        <v>#REF!</v>
      </c>
      <c r="BG66" s="149" t="e">
        <f t="shared" si="4"/>
        <v>#REF!</v>
      </c>
      <c r="BI66" s="149" t="e">
        <f>IF('Cable Info'!#REF!="","",CONCATENATE('Cable Info'!#REF!," - ",'Cable Info'!#REF!))</f>
        <v>#REF!</v>
      </c>
      <c r="BL66" s="149" t="e">
        <f t="shared" si="5"/>
        <v>#REF!</v>
      </c>
      <c r="CL66" s="309"/>
    </row>
    <row r="67" spans="1:90" x14ac:dyDescent="0.2">
      <c r="A67" s="222"/>
      <c r="B67" s="165"/>
      <c r="C67" s="142" t="str">
        <f>IFERROR(IF(B67="","",IF((COUNTIF('Cable Info'!$B$11:$C$50,B67)=0),VLOOKUP(B67,'Cable Info (2)'!$B$11:$C$50,2,FALSE),(VLOOKUP(B67,'Cable Info'!$B$11:$C$50,2,FALSE)))),"NO SUCH EXIT")</f>
        <v/>
      </c>
      <c r="D67" s="285"/>
      <c r="E67" s="311"/>
      <c r="F67" s="132" t="s">
        <v>59</v>
      </c>
      <c r="G67" s="314"/>
      <c r="H67" s="142" t="str">
        <f t="shared" si="11"/>
        <v/>
      </c>
      <c r="I67" s="318"/>
      <c r="J67" s="132" t="s">
        <v>59</v>
      </c>
      <c r="K67" s="320"/>
      <c r="L67" s="289"/>
      <c r="M67" s="142" t="str">
        <f>IFERROR(IF(P67="","",IF((COUNTIF('Cable Info'!$B$11:$C$50,P67)=0),VLOOKUP(P67,'Cable Info (2)'!$B$11:$C$50,2,FALSE),(VLOOKUP(P67,'Cable Info'!$B$11:$C$50,2,FALSE)))),"NO SUCH EXIT")</f>
        <v/>
      </c>
      <c r="N67" s="293"/>
      <c r="O67" s="234"/>
      <c r="P67" s="161"/>
      <c r="Q67" s="224"/>
      <c r="R67" s="162"/>
      <c r="S67" s="162"/>
      <c r="T67" s="163"/>
      <c r="U67" s="163"/>
      <c r="V67" s="164"/>
      <c r="W67" s="164"/>
      <c r="X67" s="229" t="str">
        <f t="shared" si="6"/>
        <v/>
      </c>
      <c r="Y67" s="147" t="str">
        <f t="shared" si="7"/>
        <v/>
      </c>
      <c r="Z67" s="148" t="str">
        <f t="shared" si="8"/>
        <v/>
      </c>
      <c r="AA67" s="148" t="str">
        <f t="shared" si="9"/>
        <v/>
      </c>
      <c r="AB67" s="148" t="str">
        <f t="shared" si="10"/>
        <v/>
      </c>
      <c r="AJ67" s="149" t="e">
        <f>IF('Cable Info'!#REF!="","",CONCATENATE('Cable Info'!#REF!," - ",'Cable Info'!#REF!))</f>
        <v>#REF!</v>
      </c>
      <c r="AM67" s="149" t="e">
        <f t="shared" si="0"/>
        <v>#REF!</v>
      </c>
      <c r="AO67" s="149" t="e">
        <f>IF('Cable Info'!#REF!="","",CONCATENATE('Cable Info'!#REF!," - ",'Cable Info'!#REF!))</f>
        <v>#REF!</v>
      </c>
      <c r="AR67" s="149" t="e">
        <f t="shared" si="1"/>
        <v>#REF!</v>
      </c>
      <c r="AT67" s="149" t="e">
        <f>IF('Cable Info'!#REF!="","",CONCATENATE('Cable Info'!#REF!," - ",'Cable Info'!#REF!))</f>
        <v>#REF!</v>
      </c>
      <c r="AW67" s="149" t="e">
        <f t="shared" si="2"/>
        <v>#REF!</v>
      </c>
      <c r="AY67" s="149" t="e">
        <f>IF('Cable Info'!#REF!="","",CONCATENATE('Cable Info'!#REF!," - ",'Cable Info'!#REF!))</f>
        <v>#REF!</v>
      </c>
      <c r="BB67" s="149" t="e">
        <f t="shared" si="3"/>
        <v>#REF!</v>
      </c>
      <c r="BD67" s="149" t="e">
        <f>IF('Cable Info'!#REF!="","",CONCATENATE('Cable Info'!#REF!," - ",'Cable Info'!#REF!))</f>
        <v>#REF!</v>
      </c>
      <c r="BG67" s="149" t="e">
        <f t="shared" si="4"/>
        <v>#REF!</v>
      </c>
      <c r="BI67" s="149" t="e">
        <f>IF('Cable Info'!#REF!="","",CONCATENATE('Cable Info'!#REF!," - ",'Cable Info'!#REF!))</f>
        <v>#REF!</v>
      </c>
      <c r="BL67" s="149" t="e">
        <f t="shared" si="5"/>
        <v>#REF!</v>
      </c>
      <c r="CL67" s="309"/>
    </row>
    <row r="68" spans="1:90" x14ac:dyDescent="0.2">
      <c r="A68" s="222"/>
      <c r="B68" s="165"/>
      <c r="C68" s="142" t="str">
        <f>IFERROR(IF(B68="","",IF((COUNTIF('Cable Info'!$B$11:$C$50,B68)=0),VLOOKUP(B68,'Cable Info (2)'!$B$11:$C$50,2,FALSE),(VLOOKUP(B68,'Cable Info'!$B$11:$C$50,2,FALSE)))),"NO SUCH EXIT")</f>
        <v/>
      </c>
      <c r="D68" s="285"/>
      <c r="E68" s="311"/>
      <c r="F68" s="132" t="s">
        <v>59</v>
      </c>
      <c r="G68" s="314"/>
      <c r="H68" s="142" t="str">
        <f t="shared" si="11"/>
        <v/>
      </c>
      <c r="I68" s="318"/>
      <c r="J68" s="132" t="s">
        <v>59</v>
      </c>
      <c r="K68" s="320"/>
      <c r="L68" s="289"/>
      <c r="M68" s="142" t="str">
        <f>IFERROR(IF(P68="","",IF((COUNTIF('Cable Info'!$B$11:$C$50,P68)=0),VLOOKUP(P68,'Cable Info (2)'!$B$11:$C$50,2,FALSE),(VLOOKUP(P68,'Cable Info'!$B$11:$C$50,2,FALSE)))),"NO SUCH EXIT")</f>
        <v/>
      </c>
      <c r="N68" s="293"/>
      <c r="O68" s="234"/>
      <c r="P68" s="161"/>
      <c r="Q68" s="224"/>
      <c r="R68" s="162"/>
      <c r="S68" s="162"/>
      <c r="T68" s="163"/>
      <c r="U68" s="163"/>
      <c r="V68" s="164"/>
      <c r="W68" s="164"/>
      <c r="X68" s="229" t="str">
        <f t="shared" si="6"/>
        <v/>
      </c>
      <c r="Y68" s="147" t="str">
        <f t="shared" si="7"/>
        <v/>
      </c>
      <c r="Z68" s="148" t="str">
        <f t="shared" si="8"/>
        <v/>
      </c>
      <c r="AA68" s="148" t="str">
        <f t="shared" si="9"/>
        <v/>
      </c>
      <c r="AB68" s="148" t="str">
        <f t="shared" si="10"/>
        <v/>
      </c>
      <c r="AJ68" s="149" t="e">
        <f>IF('Cable Info'!#REF!="","",CONCATENATE('Cable Info'!#REF!," - ",'Cable Info'!#REF!))</f>
        <v>#REF!</v>
      </c>
      <c r="AM68" s="149" t="e">
        <f t="shared" si="0"/>
        <v>#REF!</v>
      </c>
      <c r="AO68" s="149" t="e">
        <f>IF('Cable Info'!#REF!="","",CONCATENATE('Cable Info'!#REF!," - ",'Cable Info'!#REF!))</f>
        <v>#REF!</v>
      </c>
      <c r="AR68" s="149" t="e">
        <f t="shared" si="1"/>
        <v>#REF!</v>
      </c>
      <c r="AT68" s="149" t="e">
        <f>IF('Cable Info'!#REF!="","",CONCATENATE('Cable Info'!#REF!," - ",'Cable Info'!#REF!))</f>
        <v>#REF!</v>
      </c>
      <c r="AW68" s="149" t="e">
        <f t="shared" si="2"/>
        <v>#REF!</v>
      </c>
      <c r="AY68" s="149" t="e">
        <f>IF('Cable Info'!#REF!="","",CONCATENATE('Cable Info'!#REF!," - ",'Cable Info'!#REF!))</f>
        <v>#REF!</v>
      </c>
      <c r="BB68" s="149" t="e">
        <f t="shared" si="3"/>
        <v>#REF!</v>
      </c>
      <c r="BD68" s="149" t="e">
        <f>IF('Cable Info'!#REF!="","",CONCATENATE('Cable Info'!#REF!," - ",'Cable Info'!#REF!))</f>
        <v>#REF!</v>
      </c>
      <c r="BG68" s="149" t="e">
        <f t="shared" si="4"/>
        <v>#REF!</v>
      </c>
      <c r="BI68" s="149" t="e">
        <f>IF('Cable Info'!#REF!="","",CONCATENATE('Cable Info'!#REF!," - ",'Cable Info'!#REF!))</f>
        <v>#REF!</v>
      </c>
      <c r="BL68" s="149" t="e">
        <f t="shared" si="5"/>
        <v>#REF!</v>
      </c>
      <c r="CL68" s="309"/>
    </row>
    <row r="69" spans="1:90" x14ac:dyDescent="0.2">
      <c r="A69" s="222"/>
      <c r="B69" s="165"/>
      <c r="C69" s="142" t="str">
        <f>IFERROR(IF(B69="","",IF((COUNTIF('Cable Info'!$B$11:$C$50,B69)=0),VLOOKUP(B69,'Cable Info (2)'!$B$11:$C$50,2,FALSE),(VLOOKUP(B69,'Cable Info'!$B$11:$C$50,2,FALSE)))),"NO SUCH EXIT")</f>
        <v/>
      </c>
      <c r="D69" s="285"/>
      <c r="E69" s="311"/>
      <c r="F69" s="132" t="s">
        <v>59</v>
      </c>
      <c r="G69" s="314"/>
      <c r="H69" s="142" t="str">
        <f t="shared" si="11"/>
        <v/>
      </c>
      <c r="I69" s="318"/>
      <c r="J69" s="132" t="s">
        <v>59</v>
      </c>
      <c r="K69" s="320"/>
      <c r="L69" s="289"/>
      <c r="M69" s="142" t="str">
        <f>IFERROR(IF(P69="","",IF((COUNTIF('Cable Info'!$B$11:$C$50,P69)=0),VLOOKUP(P69,'Cable Info (2)'!$B$11:$C$50,2,FALSE),(VLOOKUP(P69,'Cable Info'!$B$11:$C$50,2,FALSE)))),"NO SUCH EXIT")</f>
        <v/>
      </c>
      <c r="N69" s="293"/>
      <c r="O69" s="234"/>
      <c r="P69" s="161"/>
      <c r="Q69" s="224"/>
      <c r="R69" s="162"/>
      <c r="S69" s="162"/>
      <c r="T69" s="163"/>
      <c r="U69" s="163"/>
      <c r="V69" s="164"/>
      <c r="W69" s="164"/>
      <c r="X69" s="229" t="str">
        <f t="shared" si="6"/>
        <v/>
      </c>
      <c r="Y69" s="147" t="str">
        <f t="shared" si="7"/>
        <v/>
      </c>
      <c r="Z69" s="148" t="str">
        <f t="shared" si="8"/>
        <v/>
      </c>
      <c r="AA69" s="148" t="str">
        <f t="shared" si="9"/>
        <v/>
      </c>
      <c r="AB69" s="148" t="str">
        <f t="shared" si="10"/>
        <v/>
      </c>
      <c r="AJ69" s="149" t="e">
        <f>IF('Cable Info'!#REF!="","",CONCATENATE('Cable Info'!#REF!," - ",'Cable Info'!#REF!))</f>
        <v>#REF!</v>
      </c>
      <c r="AM69" s="149" t="e">
        <f t="shared" si="0"/>
        <v>#REF!</v>
      </c>
      <c r="AO69" s="149" t="e">
        <f>IF('Cable Info'!#REF!="","",CONCATENATE('Cable Info'!#REF!," - ",'Cable Info'!#REF!))</f>
        <v>#REF!</v>
      </c>
      <c r="AR69" s="149" t="e">
        <f t="shared" si="1"/>
        <v>#REF!</v>
      </c>
      <c r="AT69" s="149" t="e">
        <f>IF('Cable Info'!#REF!="","",CONCATENATE('Cable Info'!#REF!," - ",'Cable Info'!#REF!))</f>
        <v>#REF!</v>
      </c>
      <c r="AW69" s="149" t="e">
        <f t="shared" si="2"/>
        <v>#REF!</v>
      </c>
      <c r="AY69" s="149" t="e">
        <f>IF('Cable Info'!#REF!="","",CONCATENATE('Cable Info'!#REF!," - ",'Cable Info'!#REF!))</f>
        <v>#REF!</v>
      </c>
      <c r="BB69" s="149" t="e">
        <f t="shared" si="3"/>
        <v>#REF!</v>
      </c>
      <c r="BD69" s="149" t="e">
        <f>IF('Cable Info'!#REF!="","",CONCATENATE('Cable Info'!#REF!," - ",'Cable Info'!#REF!))</f>
        <v>#REF!</v>
      </c>
      <c r="BG69" s="149" t="e">
        <f t="shared" si="4"/>
        <v>#REF!</v>
      </c>
      <c r="BI69" s="149" t="e">
        <f>IF('Cable Info'!#REF!="","",CONCATENATE('Cable Info'!#REF!," - ",'Cable Info'!#REF!))</f>
        <v>#REF!</v>
      </c>
      <c r="BL69" s="149" t="e">
        <f t="shared" si="5"/>
        <v>#REF!</v>
      </c>
      <c r="CL69" s="309"/>
    </row>
    <row r="70" spans="1:90" x14ac:dyDescent="0.2">
      <c r="A70" s="222"/>
      <c r="B70" s="165"/>
      <c r="C70" s="142" t="str">
        <f>IFERROR(IF(B70="","",IF((COUNTIF('Cable Info'!$B$11:$C$50,B70)=0),VLOOKUP(B70,'Cable Info (2)'!$B$11:$C$50,2,FALSE),(VLOOKUP(B70,'Cable Info'!$B$11:$C$50,2,FALSE)))),"NO SUCH EXIT")</f>
        <v/>
      </c>
      <c r="D70" s="285"/>
      <c r="E70" s="311"/>
      <c r="F70" s="132" t="s">
        <v>59</v>
      </c>
      <c r="G70" s="314"/>
      <c r="H70" s="142" t="str">
        <f t="shared" si="11"/>
        <v/>
      </c>
      <c r="I70" s="318"/>
      <c r="J70" s="132" t="s">
        <v>59</v>
      </c>
      <c r="K70" s="320"/>
      <c r="L70" s="289"/>
      <c r="M70" s="142" t="str">
        <f>IFERROR(IF(P70="","",IF((COUNTIF('Cable Info'!$B$11:$C$50,P70)=0),VLOOKUP(P70,'Cable Info (2)'!$B$11:$C$50,2,FALSE),(VLOOKUP(P70,'Cable Info'!$B$11:$C$50,2,FALSE)))),"NO SUCH EXIT")</f>
        <v/>
      </c>
      <c r="N70" s="293"/>
      <c r="O70" s="234"/>
      <c r="P70" s="161"/>
      <c r="Q70" s="224"/>
      <c r="R70" s="162"/>
      <c r="S70" s="162"/>
      <c r="T70" s="163"/>
      <c r="U70" s="163"/>
      <c r="V70" s="164"/>
      <c r="W70" s="164"/>
      <c r="X70" s="229" t="str">
        <f t="shared" si="6"/>
        <v/>
      </c>
      <c r="Y70" s="147" t="str">
        <f t="shared" si="7"/>
        <v/>
      </c>
      <c r="Z70" s="148" t="str">
        <f t="shared" si="8"/>
        <v/>
      </c>
      <c r="AA70" s="148" t="str">
        <f t="shared" si="9"/>
        <v/>
      </c>
      <c r="AB70" s="148" t="str">
        <f t="shared" si="10"/>
        <v/>
      </c>
      <c r="AJ70" s="149" t="e">
        <f>IF('Cable Info'!#REF!="","",CONCATENATE('Cable Info'!#REF!," - ",'Cable Info'!#REF!))</f>
        <v>#REF!</v>
      </c>
      <c r="AM70" s="149" t="e">
        <f t="shared" si="0"/>
        <v>#REF!</v>
      </c>
      <c r="AO70" s="149" t="e">
        <f>IF('Cable Info'!#REF!="","",CONCATENATE('Cable Info'!#REF!," - ",'Cable Info'!#REF!))</f>
        <v>#REF!</v>
      </c>
      <c r="AR70" s="149" t="e">
        <f t="shared" si="1"/>
        <v>#REF!</v>
      </c>
      <c r="AT70" s="149" t="e">
        <f>IF('Cable Info'!#REF!="","",CONCATENATE('Cable Info'!#REF!," - ",'Cable Info'!#REF!))</f>
        <v>#REF!</v>
      </c>
      <c r="AW70" s="149" t="e">
        <f t="shared" si="2"/>
        <v>#REF!</v>
      </c>
      <c r="AY70" s="149" t="e">
        <f>IF('Cable Info'!#REF!="","",CONCATENATE('Cable Info'!#REF!," - ",'Cable Info'!#REF!))</f>
        <v>#REF!</v>
      </c>
      <c r="BB70" s="149" t="e">
        <f t="shared" si="3"/>
        <v>#REF!</v>
      </c>
      <c r="BD70" s="149" t="e">
        <f>IF('Cable Info'!#REF!="","",CONCATENATE('Cable Info'!#REF!," - ",'Cable Info'!#REF!))</f>
        <v>#REF!</v>
      </c>
      <c r="BG70" s="149" t="e">
        <f t="shared" si="4"/>
        <v>#REF!</v>
      </c>
      <c r="BI70" s="149" t="e">
        <f>IF('Cable Info'!#REF!="","",CONCATENATE('Cable Info'!#REF!," - ",'Cable Info'!#REF!))</f>
        <v>#REF!</v>
      </c>
      <c r="BL70" s="149" t="e">
        <f t="shared" si="5"/>
        <v>#REF!</v>
      </c>
      <c r="CL70" s="309"/>
    </row>
    <row r="71" spans="1:90" x14ac:dyDescent="0.2">
      <c r="A71" s="222"/>
      <c r="B71" s="165"/>
      <c r="C71" s="142" t="str">
        <f>IFERROR(IF(B71="","",IF((COUNTIF('Cable Info'!$B$11:$C$50,B71)=0),VLOOKUP(B71,'Cable Info (2)'!$B$11:$C$50,2,FALSE),(VLOOKUP(B71,'Cable Info'!$B$11:$C$50,2,FALSE)))),"NO SUCH EXIT")</f>
        <v/>
      </c>
      <c r="D71" s="285"/>
      <c r="E71" s="311"/>
      <c r="F71" s="132" t="s">
        <v>59</v>
      </c>
      <c r="G71" s="314"/>
      <c r="H71" s="142" t="str">
        <f t="shared" si="11"/>
        <v/>
      </c>
      <c r="I71" s="318"/>
      <c r="J71" s="132" t="s">
        <v>59</v>
      </c>
      <c r="K71" s="320"/>
      <c r="L71" s="289"/>
      <c r="M71" s="142" t="str">
        <f>IFERROR(IF(P71="","",IF((COUNTIF('Cable Info'!$B$11:$C$50,P71)=0),VLOOKUP(P71,'Cable Info (2)'!$B$11:$C$50,2,FALSE),(VLOOKUP(P71,'Cable Info'!$B$11:$C$50,2,FALSE)))),"NO SUCH EXIT")</f>
        <v/>
      </c>
      <c r="N71" s="293"/>
      <c r="O71" s="234"/>
      <c r="P71" s="161"/>
      <c r="Q71" s="224"/>
      <c r="R71" s="162"/>
      <c r="S71" s="162"/>
      <c r="T71" s="163"/>
      <c r="U71" s="163"/>
      <c r="V71" s="164"/>
      <c r="W71" s="164"/>
      <c r="X71" s="229" t="str">
        <f t="shared" si="6"/>
        <v/>
      </c>
      <c r="Y71" s="147" t="str">
        <f t="shared" si="7"/>
        <v/>
      </c>
      <c r="Z71" s="148" t="str">
        <f t="shared" si="8"/>
        <v/>
      </c>
      <c r="AA71" s="148" t="str">
        <f t="shared" si="9"/>
        <v/>
      </c>
      <c r="AB71" s="148" t="str">
        <f t="shared" si="10"/>
        <v/>
      </c>
      <c r="AJ71" s="149" t="e">
        <f>IF('Cable Info'!#REF!="","",CONCATENATE('Cable Info'!#REF!," - ",'Cable Info'!#REF!))</f>
        <v>#REF!</v>
      </c>
      <c r="AM71" s="149" t="e">
        <f t="shared" si="0"/>
        <v>#REF!</v>
      </c>
      <c r="AO71" s="149" t="e">
        <f>IF('Cable Info'!#REF!="","",CONCATENATE('Cable Info'!#REF!," - ",'Cable Info'!#REF!))</f>
        <v>#REF!</v>
      </c>
      <c r="AR71" s="149" t="e">
        <f t="shared" si="1"/>
        <v>#REF!</v>
      </c>
      <c r="AT71" s="149" t="e">
        <f>IF('Cable Info'!#REF!="","",CONCATENATE('Cable Info'!#REF!," - ",'Cable Info'!#REF!))</f>
        <v>#REF!</v>
      </c>
      <c r="AW71" s="149" t="e">
        <f t="shared" si="2"/>
        <v>#REF!</v>
      </c>
      <c r="AY71" s="149" t="e">
        <f>IF('Cable Info'!#REF!="","",CONCATENATE('Cable Info'!#REF!," - ",'Cable Info'!#REF!))</f>
        <v>#REF!</v>
      </c>
      <c r="BB71" s="149" t="e">
        <f t="shared" si="3"/>
        <v>#REF!</v>
      </c>
      <c r="BD71" s="149" t="e">
        <f>IF('Cable Info'!#REF!="","",CONCATENATE('Cable Info'!#REF!," - ",'Cable Info'!#REF!))</f>
        <v>#REF!</v>
      </c>
      <c r="BG71" s="149" t="e">
        <f t="shared" si="4"/>
        <v>#REF!</v>
      </c>
      <c r="BI71" s="149" t="e">
        <f>IF('Cable Info'!#REF!="","",CONCATENATE('Cable Info'!#REF!," - ",'Cable Info'!#REF!))</f>
        <v>#REF!</v>
      </c>
      <c r="BL71" s="149" t="e">
        <f t="shared" si="5"/>
        <v>#REF!</v>
      </c>
      <c r="CL71" s="309"/>
    </row>
    <row r="72" spans="1:90" x14ac:dyDescent="0.2">
      <c r="A72" s="222"/>
      <c r="B72" s="165"/>
      <c r="C72" s="142" t="str">
        <f>IFERROR(IF(B72="","",IF((COUNTIF('Cable Info'!$B$11:$C$50,B72)=0),VLOOKUP(B72,'Cable Info (2)'!$B$11:$C$50,2,FALSE),(VLOOKUP(B72,'Cable Info'!$B$11:$C$50,2,FALSE)))),"NO SUCH EXIT")</f>
        <v/>
      </c>
      <c r="D72" s="285"/>
      <c r="E72" s="311"/>
      <c r="F72" s="132" t="s">
        <v>59</v>
      </c>
      <c r="G72" s="314"/>
      <c r="H72" s="142" t="str">
        <f t="shared" si="11"/>
        <v/>
      </c>
      <c r="I72" s="318"/>
      <c r="J72" s="132" t="s">
        <v>59</v>
      </c>
      <c r="K72" s="320"/>
      <c r="L72" s="289"/>
      <c r="M72" s="142" t="str">
        <f>IFERROR(IF(P72="","",IF((COUNTIF('Cable Info'!$B$11:$C$50,P72)=0),VLOOKUP(P72,'Cable Info (2)'!$B$11:$C$50,2,FALSE),(VLOOKUP(P72,'Cable Info'!$B$11:$C$50,2,FALSE)))),"NO SUCH EXIT")</f>
        <v/>
      </c>
      <c r="N72" s="293"/>
      <c r="O72" s="234"/>
      <c r="P72" s="161"/>
      <c r="Q72" s="224"/>
      <c r="R72" s="162"/>
      <c r="S72" s="162"/>
      <c r="T72" s="163"/>
      <c r="U72" s="163"/>
      <c r="V72" s="164"/>
      <c r="W72" s="164"/>
      <c r="X72" s="229" t="str">
        <f t="shared" si="6"/>
        <v/>
      </c>
      <c r="Y72" s="147" t="str">
        <f t="shared" si="7"/>
        <v/>
      </c>
      <c r="Z72" s="148" t="str">
        <f t="shared" si="8"/>
        <v/>
      </c>
      <c r="AA72" s="148" t="str">
        <f t="shared" si="9"/>
        <v/>
      </c>
      <c r="AB72" s="148" t="str">
        <f t="shared" si="10"/>
        <v/>
      </c>
      <c r="AJ72" s="149" t="e">
        <f>IF('Cable Info'!#REF!="","",CONCATENATE('Cable Info'!#REF!," - ",'Cable Info'!#REF!))</f>
        <v>#REF!</v>
      </c>
      <c r="AM72" s="149" t="e">
        <f t="shared" si="0"/>
        <v>#REF!</v>
      </c>
      <c r="AO72" s="149" t="e">
        <f>IF('Cable Info'!#REF!="","",CONCATENATE('Cable Info'!#REF!," - ",'Cable Info'!#REF!))</f>
        <v>#REF!</v>
      </c>
      <c r="AR72" s="149" t="e">
        <f t="shared" si="1"/>
        <v>#REF!</v>
      </c>
      <c r="AT72" s="149" t="e">
        <f>IF('Cable Info'!#REF!="","",CONCATENATE('Cable Info'!#REF!," - ",'Cable Info'!#REF!))</f>
        <v>#REF!</v>
      </c>
      <c r="AW72" s="149" t="e">
        <f t="shared" si="2"/>
        <v>#REF!</v>
      </c>
      <c r="AY72" s="149" t="e">
        <f>IF('Cable Info'!#REF!="","",CONCATENATE('Cable Info'!#REF!," - ",'Cable Info'!#REF!))</f>
        <v>#REF!</v>
      </c>
      <c r="BB72" s="149" t="e">
        <f t="shared" si="3"/>
        <v>#REF!</v>
      </c>
      <c r="BD72" s="149" t="e">
        <f>IF('Cable Info'!#REF!="","",CONCATENATE('Cable Info'!#REF!," - ",'Cable Info'!#REF!))</f>
        <v>#REF!</v>
      </c>
      <c r="BG72" s="149" t="e">
        <f t="shared" si="4"/>
        <v>#REF!</v>
      </c>
      <c r="BI72" s="149" t="e">
        <f>IF('Cable Info'!#REF!="","",CONCATENATE('Cable Info'!#REF!," - ",'Cable Info'!#REF!))</f>
        <v>#REF!</v>
      </c>
      <c r="BL72" s="149" t="e">
        <f t="shared" si="5"/>
        <v>#REF!</v>
      </c>
      <c r="CL72" s="309"/>
    </row>
    <row r="73" spans="1:90" x14ac:dyDescent="0.2">
      <c r="A73" s="222"/>
      <c r="B73" s="165"/>
      <c r="C73" s="142" t="str">
        <f>IFERROR(IF(B73="","",IF((COUNTIF('Cable Info'!$B$11:$C$50,B73)=0),VLOOKUP(B73,'Cable Info (2)'!$B$11:$C$50,2,FALSE),(VLOOKUP(B73,'Cable Info'!$B$11:$C$50,2,FALSE)))),"NO SUCH EXIT")</f>
        <v/>
      </c>
      <c r="D73" s="285"/>
      <c r="E73" s="311"/>
      <c r="F73" s="132" t="s">
        <v>59</v>
      </c>
      <c r="G73" s="314"/>
      <c r="H73" s="142" t="str">
        <f t="shared" si="11"/>
        <v/>
      </c>
      <c r="I73" s="318"/>
      <c r="J73" s="132" t="s">
        <v>59</v>
      </c>
      <c r="K73" s="320"/>
      <c r="L73" s="289"/>
      <c r="M73" s="142" t="str">
        <f>IFERROR(IF(P73="","",IF((COUNTIF('Cable Info'!$B$11:$C$50,P73)=0),VLOOKUP(P73,'Cable Info (2)'!$B$11:$C$50,2,FALSE),(VLOOKUP(P73,'Cable Info'!$B$11:$C$50,2,FALSE)))),"NO SUCH EXIT")</f>
        <v/>
      </c>
      <c r="N73" s="293"/>
      <c r="O73" s="234"/>
      <c r="P73" s="161"/>
      <c r="Q73" s="224"/>
      <c r="R73" s="162"/>
      <c r="S73" s="162"/>
      <c r="T73" s="163"/>
      <c r="U73" s="163"/>
      <c r="V73" s="164"/>
      <c r="W73" s="164"/>
      <c r="X73" s="229" t="str">
        <f t="shared" si="6"/>
        <v/>
      </c>
      <c r="Y73" s="147" t="str">
        <f t="shared" si="7"/>
        <v/>
      </c>
      <c r="Z73" s="148" t="str">
        <f t="shared" si="8"/>
        <v/>
      </c>
      <c r="AA73" s="148" t="str">
        <f t="shared" si="9"/>
        <v/>
      </c>
      <c r="AB73" s="148" t="str">
        <f t="shared" si="10"/>
        <v/>
      </c>
      <c r="AJ73" s="149" t="e">
        <f>IF('Cable Info'!#REF!="","",CONCATENATE('Cable Info'!#REF!," - ",'Cable Info'!#REF!))</f>
        <v>#REF!</v>
      </c>
      <c r="AM73" s="149" t="e">
        <f t="shared" si="0"/>
        <v>#REF!</v>
      </c>
      <c r="AO73" s="149" t="e">
        <f>IF('Cable Info'!#REF!="","",CONCATENATE('Cable Info'!#REF!," - ",'Cable Info'!#REF!))</f>
        <v>#REF!</v>
      </c>
      <c r="AR73" s="149" t="e">
        <f t="shared" si="1"/>
        <v>#REF!</v>
      </c>
      <c r="AT73" s="149" t="e">
        <f>IF('Cable Info'!#REF!="","",CONCATENATE('Cable Info'!#REF!," - ",'Cable Info'!#REF!))</f>
        <v>#REF!</v>
      </c>
      <c r="AW73" s="149" t="e">
        <f t="shared" si="2"/>
        <v>#REF!</v>
      </c>
      <c r="AY73" s="149" t="e">
        <f>IF('Cable Info'!#REF!="","",CONCATENATE('Cable Info'!#REF!," - ",'Cable Info'!#REF!))</f>
        <v>#REF!</v>
      </c>
      <c r="BB73" s="149" t="e">
        <f t="shared" si="3"/>
        <v>#REF!</v>
      </c>
      <c r="BD73" s="149" t="e">
        <f>IF('Cable Info'!#REF!="","",CONCATENATE('Cable Info'!#REF!," - ",'Cable Info'!#REF!))</f>
        <v>#REF!</v>
      </c>
      <c r="BG73" s="149" t="e">
        <f t="shared" si="4"/>
        <v>#REF!</v>
      </c>
      <c r="BI73" s="149" t="e">
        <f>IF('Cable Info'!#REF!="","",CONCATENATE('Cable Info'!#REF!," - ",'Cable Info'!#REF!))</f>
        <v>#REF!</v>
      </c>
      <c r="BL73" s="149" t="e">
        <f t="shared" si="5"/>
        <v>#REF!</v>
      </c>
      <c r="CL73" s="309"/>
    </row>
    <row r="74" spans="1:90" x14ac:dyDescent="0.2">
      <c r="A74" s="222"/>
      <c r="B74" s="165"/>
      <c r="C74" s="142" t="str">
        <f>IFERROR(IF(B74="","",IF((COUNTIF('Cable Info'!$B$11:$C$50,B74)=0),VLOOKUP(B74,'Cable Info (2)'!$B$11:$C$50,2,FALSE),(VLOOKUP(B74,'Cable Info'!$B$11:$C$50,2,FALSE)))),"NO SUCH EXIT")</f>
        <v/>
      </c>
      <c r="D74" s="285"/>
      <c r="E74" s="311"/>
      <c r="F74" s="132" t="s">
        <v>59</v>
      </c>
      <c r="G74" s="314"/>
      <c r="H74" s="142" t="str">
        <f t="shared" si="11"/>
        <v/>
      </c>
      <c r="I74" s="318"/>
      <c r="J74" s="132" t="s">
        <v>59</v>
      </c>
      <c r="K74" s="320"/>
      <c r="L74" s="289"/>
      <c r="M74" s="142" t="str">
        <f>IFERROR(IF(P74="","",IF((COUNTIF('Cable Info'!$B$11:$C$50,P74)=0),VLOOKUP(P74,'Cable Info (2)'!$B$11:$C$50,2,FALSE),(VLOOKUP(P74,'Cable Info'!$B$11:$C$50,2,FALSE)))),"NO SUCH EXIT")</f>
        <v/>
      </c>
      <c r="N74" s="293"/>
      <c r="O74" s="234"/>
      <c r="P74" s="161"/>
      <c r="Q74" s="224"/>
      <c r="R74" s="162"/>
      <c r="S74" s="162"/>
      <c r="T74" s="163"/>
      <c r="U74" s="163"/>
      <c r="V74" s="164"/>
      <c r="W74" s="164"/>
      <c r="X74" s="229" t="str">
        <f t="shared" si="6"/>
        <v/>
      </c>
      <c r="Y74" s="147" t="str">
        <f t="shared" si="7"/>
        <v/>
      </c>
      <c r="Z74" s="148" t="str">
        <f t="shared" si="8"/>
        <v/>
      </c>
      <c r="AA74" s="148" t="str">
        <f t="shared" si="9"/>
        <v/>
      </c>
      <c r="AB74" s="148" t="str">
        <f t="shared" si="10"/>
        <v/>
      </c>
      <c r="AJ74" s="149" t="e">
        <f>IF('Cable Info'!#REF!="","",CONCATENATE('Cable Info'!#REF!," - ",'Cable Info'!#REF!))</f>
        <v>#REF!</v>
      </c>
      <c r="AM74" s="149" t="e">
        <f t="shared" si="0"/>
        <v>#REF!</v>
      </c>
      <c r="AO74" s="149" t="e">
        <f>IF('Cable Info'!#REF!="","",CONCATENATE('Cable Info'!#REF!," - ",'Cable Info'!#REF!))</f>
        <v>#REF!</v>
      </c>
      <c r="AR74" s="149" t="e">
        <f t="shared" si="1"/>
        <v>#REF!</v>
      </c>
      <c r="AT74" s="149" t="e">
        <f>IF('Cable Info'!#REF!="","",CONCATENATE('Cable Info'!#REF!," - ",'Cable Info'!#REF!))</f>
        <v>#REF!</v>
      </c>
      <c r="AW74" s="149" t="e">
        <f t="shared" si="2"/>
        <v>#REF!</v>
      </c>
      <c r="AY74" s="149" t="e">
        <f>IF('Cable Info'!#REF!="","",CONCATENATE('Cable Info'!#REF!," - ",'Cable Info'!#REF!))</f>
        <v>#REF!</v>
      </c>
      <c r="BB74" s="149" t="e">
        <f t="shared" si="3"/>
        <v>#REF!</v>
      </c>
      <c r="BD74" s="149" t="e">
        <f>IF('Cable Info'!#REF!="","",CONCATENATE('Cable Info'!#REF!," - ",'Cable Info'!#REF!))</f>
        <v>#REF!</v>
      </c>
      <c r="BG74" s="149" t="e">
        <f t="shared" si="4"/>
        <v>#REF!</v>
      </c>
      <c r="BI74" s="149" t="e">
        <f>IF('Cable Info'!#REF!="","",CONCATENATE('Cable Info'!#REF!," - ",'Cable Info'!#REF!))</f>
        <v>#REF!</v>
      </c>
      <c r="BL74" s="149" t="e">
        <f t="shared" si="5"/>
        <v>#REF!</v>
      </c>
      <c r="CL74" s="309"/>
    </row>
    <row r="75" spans="1:90" x14ac:dyDescent="0.2">
      <c r="A75" s="222"/>
      <c r="B75" s="165"/>
      <c r="C75" s="142" t="str">
        <f>IFERROR(IF(B75="","",IF((COUNTIF('Cable Info'!$B$11:$C$50,B75)=0),VLOOKUP(B75,'Cable Info (2)'!$B$11:$C$50,2,FALSE),(VLOOKUP(B75,'Cable Info'!$B$11:$C$50,2,FALSE)))),"NO SUCH EXIT")</f>
        <v/>
      </c>
      <c r="D75" s="285"/>
      <c r="E75" s="311"/>
      <c r="F75" s="132" t="s">
        <v>59</v>
      </c>
      <c r="G75" s="314"/>
      <c r="H75" s="142" t="str">
        <f t="shared" si="11"/>
        <v/>
      </c>
      <c r="I75" s="318"/>
      <c r="J75" s="132" t="s">
        <v>59</v>
      </c>
      <c r="K75" s="320"/>
      <c r="L75" s="289"/>
      <c r="M75" s="142" t="str">
        <f>IFERROR(IF(P75="","",IF((COUNTIF('Cable Info'!$B$11:$C$50,P75)=0),VLOOKUP(P75,'Cable Info (2)'!$B$11:$C$50,2,FALSE),(VLOOKUP(P75,'Cable Info'!$B$11:$C$50,2,FALSE)))),"NO SUCH EXIT")</f>
        <v/>
      </c>
      <c r="N75" s="293"/>
      <c r="O75" s="234"/>
      <c r="P75" s="161"/>
      <c r="Q75" s="224"/>
      <c r="R75" s="162"/>
      <c r="S75" s="162"/>
      <c r="T75" s="163"/>
      <c r="U75" s="163"/>
      <c r="V75" s="164"/>
      <c r="W75" s="164"/>
      <c r="X75" s="229" t="str">
        <f t="shared" si="6"/>
        <v/>
      </c>
      <c r="Y75" s="147" t="str">
        <f t="shared" si="7"/>
        <v/>
      </c>
      <c r="Z75" s="148" t="str">
        <f t="shared" si="8"/>
        <v/>
      </c>
      <c r="AA75" s="148" t="str">
        <f t="shared" si="9"/>
        <v/>
      </c>
      <c r="AB75" s="148" t="str">
        <f t="shared" si="10"/>
        <v/>
      </c>
      <c r="AJ75" s="149" t="e">
        <f>IF('Cable Info'!#REF!="","",CONCATENATE('Cable Info'!#REF!," - ",'Cable Info'!#REF!))</f>
        <v>#REF!</v>
      </c>
      <c r="AM75" s="149" t="e">
        <f t="shared" si="0"/>
        <v>#REF!</v>
      </c>
      <c r="AO75" s="149" t="e">
        <f>IF('Cable Info'!#REF!="","",CONCATENATE('Cable Info'!#REF!," - ",'Cable Info'!#REF!))</f>
        <v>#REF!</v>
      </c>
      <c r="AR75" s="149" t="e">
        <f t="shared" si="1"/>
        <v>#REF!</v>
      </c>
      <c r="AT75" s="149" t="e">
        <f>IF('Cable Info'!#REF!="","",CONCATENATE('Cable Info'!#REF!," - ",'Cable Info'!#REF!))</f>
        <v>#REF!</v>
      </c>
      <c r="AW75" s="149" t="e">
        <f t="shared" si="2"/>
        <v>#REF!</v>
      </c>
      <c r="AY75" s="149" t="e">
        <f>IF('Cable Info'!#REF!="","",CONCATENATE('Cable Info'!#REF!," - ",'Cable Info'!#REF!))</f>
        <v>#REF!</v>
      </c>
      <c r="BB75" s="149" t="e">
        <f t="shared" si="3"/>
        <v>#REF!</v>
      </c>
      <c r="BD75" s="149" t="e">
        <f>IF('Cable Info'!#REF!="","",CONCATENATE('Cable Info'!#REF!," - ",'Cable Info'!#REF!))</f>
        <v>#REF!</v>
      </c>
      <c r="BG75" s="149" t="e">
        <f t="shared" si="4"/>
        <v>#REF!</v>
      </c>
      <c r="BI75" s="149" t="e">
        <f>IF('Cable Info'!#REF!="","",CONCATENATE('Cable Info'!#REF!," - ",'Cable Info'!#REF!))</f>
        <v>#REF!</v>
      </c>
      <c r="BL75" s="149" t="e">
        <f t="shared" si="5"/>
        <v>#REF!</v>
      </c>
      <c r="CL75" s="309"/>
    </row>
    <row r="76" spans="1:90" x14ac:dyDescent="0.2">
      <c r="A76" s="222"/>
      <c r="B76" s="165"/>
      <c r="C76" s="142" t="str">
        <f>IFERROR(IF(B76="","",IF((COUNTIF('Cable Info'!$B$11:$C$50,B76)=0),VLOOKUP(B76,'Cable Info (2)'!$B$11:$C$50,2,FALSE),(VLOOKUP(B76,'Cable Info'!$B$11:$C$50,2,FALSE)))),"NO SUCH EXIT")</f>
        <v/>
      </c>
      <c r="D76" s="285"/>
      <c r="E76" s="311"/>
      <c r="F76" s="132" t="s">
        <v>59</v>
      </c>
      <c r="G76" s="314"/>
      <c r="H76" s="142" t="str">
        <f t="shared" si="11"/>
        <v/>
      </c>
      <c r="I76" s="318"/>
      <c r="J76" s="132" t="s">
        <v>59</v>
      </c>
      <c r="K76" s="320"/>
      <c r="L76" s="289"/>
      <c r="M76" s="142" t="str">
        <f>IFERROR(IF(P76="","",IF((COUNTIF('Cable Info'!$B$11:$C$50,P76)=0),VLOOKUP(P76,'Cable Info (2)'!$B$11:$C$50,2,FALSE),(VLOOKUP(P76,'Cable Info'!$B$11:$C$50,2,FALSE)))),"NO SUCH EXIT")</f>
        <v/>
      </c>
      <c r="N76" s="293"/>
      <c r="O76" s="234"/>
      <c r="P76" s="161"/>
      <c r="Q76" s="224"/>
      <c r="R76" s="162"/>
      <c r="S76" s="162"/>
      <c r="T76" s="163"/>
      <c r="U76" s="163"/>
      <c r="V76" s="164"/>
      <c r="W76" s="164"/>
      <c r="X76" s="229" t="str">
        <f t="shared" si="6"/>
        <v/>
      </c>
      <c r="Y76" s="147" t="str">
        <f t="shared" si="7"/>
        <v/>
      </c>
      <c r="Z76" s="148" t="str">
        <f t="shared" si="8"/>
        <v/>
      </c>
      <c r="AA76" s="148" t="str">
        <f t="shared" si="9"/>
        <v/>
      </c>
      <c r="AB76" s="148" t="str">
        <f t="shared" si="10"/>
        <v/>
      </c>
      <c r="AJ76" s="149" t="e">
        <f>IF('Cable Info'!#REF!="","",CONCATENATE('Cable Info'!#REF!," - ",'Cable Info'!#REF!))</f>
        <v>#REF!</v>
      </c>
      <c r="AM76" s="149" t="e">
        <f t="shared" si="0"/>
        <v>#REF!</v>
      </c>
      <c r="AO76" s="149" t="e">
        <f>IF('Cable Info'!#REF!="","",CONCATENATE('Cable Info'!#REF!," - ",'Cable Info'!#REF!))</f>
        <v>#REF!</v>
      </c>
      <c r="AR76" s="149" t="e">
        <f t="shared" si="1"/>
        <v>#REF!</v>
      </c>
      <c r="AT76" s="149" t="e">
        <f>IF('Cable Info'!#REF!="","",CONCATENATE('Cable Info'!#REF!," - ",'Cable Info'!#REF!))</f>
        <v>#REF!</v>
      </c>
      <c r="AW76" s="149" t="e">
        <f t="shared" si="2"/>
        <v>#REF!</v>
      </c>
      <c r="AY76" s="149" t="e">
        <f>IF('Cable Info'!#REF!="","",CONCATENATE('Cable Info'!#REF!," - ",'Cable Info'!#REF!))</f>
        <v>#REF!</v>
      </c>
      <c r="BB76" s="149" t="e">
        <f t="shared" si="3"/>
        <v>#REF!</v>
      </c>
      <c r="BD76" s="149" t="e">
        <f>IF('Cable Info'!#REF!="","",CONCATENATE('Cable Info'!#REF!," - ",'Cable Info'!#REF!))</f>
        <v>#REF!</v>
      </c>
      <c r="BG76" s="149" t="e">
        <f t="shared" si="4"/>
        <v>#REF!</v>
      </c>
      <c r="BI76" s="149" t="e">
        <f>IF('Cable Info'!#REF!="","",CONCATENATE('Cable Info'!#REF!," - ",'Cable Info'!#REF!))</f>
        <v>#REF!</v>
      </c>
      <c r="BL76" s="149" t="e">
        <f t="shared" si="5"/>
        <v>#REF!</v>
      </c>
      <c r="CL76" s="309"/>
    </row>
    <row r="77" spans="1:90" x14ac:dyDescent="0.2">
      <c r="A77" s="222"/>
      <c r="B77" s="165"/>
      <c r="C77" s="142" t="str">
        <f>IFERROR(IF(B77="","",IF((COUNTIF('Cable Info'!$B$11:$C$50,B77)=0),VLOOKUP(B77,'Cable Info (2)'!$B$11:$C$50,2,FALSE),(VLOOKUP(B77,'Cable Info'!$B$11:$C$50,2,FALSE)))),"NO SUCH EXIT")</f>
        <v/>
      </c>
      <c r="D77" s="285"/>
      <c r="E77" s="311"/>
      <c r="F77" s="132" t="s">
        <v>59</v>
      </c>
      <c r="G77" s="314"/>
      <c r="H77" s="142" t="str">
        <f t="shared" si="11"/>
        <v/>
      </c>
      <c r="I77" s="318"/>
      <c r="J77" s="132" t="s">
        <v>59</v>
      </c>
      <c r="K77" s="320"/>
      <c r="L77" s="289"/>
      <c r="M77" s="142" t="str">
        <f>IFERROR(IF(P77="","",IF((COUNTIF('Cable Info'!$B$11:$C$50,P77)=0),VLOOKUP(P77,'Cable Info (2)'!$B$11:$C$50,2,FALSE),(VLOOKUP(P77,'Cable Info'!$B$11:$C$50,2,FALSE)))),"NO SUCH EXIT")</f>
        <v/>
      </c>
      <c r="N77" s="293"/>
      <c r="O77" s="234"/>
      <c r="P77" s="161"/>
      <c r="Q77" s="224"/>
      <c r="R77" s="162"/>
      <c r="S77" s="162"/>
      <c r="T77" s="163"/>
      <c r="U77" s="163"/>
      <c r="V77" s="164"/>
      <c r="W77" s="164"/>
      <c r="X77" s="229" t="str">
        <f t="shared" si="6"/>
        <v/>
      </c>
      <c r="Y77" s="147" t="str">
        <f t="shared" si="7"/>
        <v/>
      </c>
      <c r="Z77" s="148" t="str">
        <f t="shared" si="8"/>
        <v/>
      </c>
      <c r="AA77" s="148" t="str">
        <f t="shared" si="9"/>
        <v/>
      </c>
      <c r="AB77" s="148" t="str">
        <f t="shared" si="10"/>
        <v/>
      </c>
      <c r="AJ77" s="149" t="e">
        <f>IF('Cable Info'!#REF!="","",CONCATENATE('Cable Info'!#REF!," - ",'Cable Info'!#REF!))</f>
        <v>#REF!</v>
      </c>
      <c r="AM77" s="149" t="e">
        <f t="shared" si="0"/>
        <v>#REF!</v>
      </c>
      <c r="AO77" s="149" t="e">
        <f>IF('Cable Info'!#REF!="","",CONCATENATE('Cable Info'!#REF!," - ",'Cable Info'!#REF!))</f>
        <v>#REF!</v>
      </c>
      <c r="AR77" s="149" t="e">
        <f t="shared" si="1"/>
        <v>#REF!</v>
      </c>
      <c r="AT77" s="149" t="e">
        <f>IF('Cable Info'!#REF!="","",CONCATENATE('Cable Info'!#REF!," - ",'Cable Info'!#REF!))</f>
        <v>#REF!</v>
      </c>
      <c r="AW77" s="149" t="e">
        <f t="shared" si="2"/>
        <v>#REF!</v>
      </c>
      <c r="AY77" s="149" t="e">
        <f>IF('Cable Info'!#REF!="","",CONCATENATE('Cable Info'!#REF!," - ",'Cable Info'!#REF!))</f>
        <v>#REF!</v>
      </c>
      <c r="BB77" s="149" t="e">
        <f t="shared" si="3"/>
        <v>#REF!</v>
      </c>
      <c r="BD77" s="149" t="e">
        <f>IF('Cable Info'!#REF!="","",CONCATENATE('Cable Info'!#REF!," - ",'Cable Info'!#REF!))</f>
        <v>#REF!</v>
      </c>
      <c r="BG77" s="149" t="e">
        <f t="shared" si="4"/>
        <v>#REF!</v>
      </c>
      <c r="BI77" s="149" t="e">
        <f>IF('Cable Info'!#REF!="","",CONCATENATE('Cable Info'!#REF!," - ",'Cable Info'!#REF!))</f>
        <v>#REF!</v>
      </c>
      <c r="BL77" s="149" t="e">
        <f t="shared" si="5"/>
        <v>#REF!</v>
      </c>
      <c r="CL77" s="309"/>
    </row>
    <row r="78" spans="1:90" x14ac:dyDescent="0.2">
      <c r="A78" s="222"/>
      <c r="B78" s="165"/>
      <c r="C78" s="142" t="str">
        <f>IFERROR(IF(B78="","",IF((COUNTIF('Cable Info'!$B$11:$C$50,B78)=0),VLOOKUP(B78,'Cable Info (2)'!$B$11:$C$50,2,FALSE),(VLOOKUP(B78,'Cable Info'!$B$11:$C$50,2,FALSE)))),"NO SUCH EXIT")</f>
        <v/>
      </c>
      <c r="D78" s="285"/>
      <c r="E78" s="311"/>
      <c r="F78" s="132" t="s">
        <v>59</v>
      </c>
      <c r="G78" s="314"/>
      <c r="H78" s="142" t="str">
        <f t="shared" si="11"/>
        <v/>
      </c>
      <c r="I78" s="318"/>
      <c r="J78" s="132" t="s">
        <v>59</v>
      </c>
      <c r="K78" s="320"/>
      <c r="L78" s="289"/>
      <c r="M78" s="142" t="str">
        <f>IFERROR(IF(P78="","",IF((COUNTIF('Cable Info'!$B$11:$C$50,P78)=0),VLOOKUP(P78,'Cable Info (2)'!$B$11:$C$50,2,FALSE),(VLOOKUP(P78,'Cable Info'!$B$11:$C$50,2,FALSE)))),"NO SUCH EXIT")</f>
        <v/>
      </c>
      <c r="N78" s="293"/>
      <c r="O78" s="234"/>
      <c r="P78" s="161"/>
      <c r="Q78" s="224"/>
      <c r="R78" s="162"/>
      <c r="S78" s="162"/>
      <c r="T78" s="163"/>
      <c r="U78" s="163"/>
      <c r="V78" s="164"/>
      <c r="W78" s="164"/>
      <c r="X78" s="229" t="str">
        <f t="shared" si="6"/>
        <v/>
      </c>
      <c r="Y78" s="147" t="str">
        <f t="shared" si="7"/>
        <v/>
      </c>
      <c r="Z78" s="148" t="str">
        <f t="shared" si="8"/>
        <v/>
      </c>
      <c r="AA78" s="148" t="str">
        <f t="shared" si="9"/>
        <v/>
      </c>
      <c r="AB78" s="148" t="str">
        <f t="shared" si="10"/>
        <v/>
      </c>
      <c r="AJ78" s="149" t="e">
        <f>IF('Cable Info'!#REF!="","",CONCATENATE('Cable Info'!#REF!," - ",'Cable Info'!#REF!))</f>
        <v>#REF!</v>
      </c>
      <c r="AM78" s="149" t="e">
        <f t="shared" si="0"/>
        <v>#REF!</v>
      </c>
      <c r="AO78" s="149" t="e">
        <f>IF('Cable Info'!#REF!="","",CONCATENATE('Cable Info'!#REF!," - ",'Cable Info'!#REF!))</f>
        <v>#REF!</v>
      </c>
      <c r="AR78" s="149" t="e">
        <f t="shared" si="1"/>
        <v>#REF!</v>
      </c>
      <c r="AT78" s="149" t="e">
        <f>IF('Cable Info'!#REF!="","",CONCATENATE('Cable Info'!#REF!," - ",'Cable Info'!#REF!))</f>
        <v>#REF!</v>
      </c>
      <c r="AW78" s="149" t="e">
        <f t="shared" si="2"/>
        <v>#REF!</v>
      </c>
      <c r="AY78" s="149" t="e">
        <f>IF('Cable Info'!#REF!="","",CONCATENATE('Cable Info'!#REF!," - ",'Cable Info'!#REF!))</f>
        <v>#REF!</v>
      </c>
      <c r="BB78" s="149" t="e">
        <f t="shared" si="3"/>
        <v>#REF!</v>
      </c>
      <c r="BD78" s="149" t="e">
        <f>IF('Cable Info'!#REF!="","",CONCATENATE('Cable Info'!#REF!," - ",'Cable Info'!#REF!))</f>
        <v>#REF!</v>
      </c>
      <c r="BG78" s="149" t="e">
        <f t="shared" si="4"/>
        <v>#REF!</v>
      </c>
      <c r="BI78" s="149" t="e">
        <f>IF('Cable Info'!#REF!="","",CONCATENATE('Cable Info'!#REF!," - ",'Cable Info'!#REF!))</f>
        <v>#REF!</v>
      </c>
      <c r="BL78" s="149" t="e">
        <f t="shared" si="5"/>
        <v>#REF!</v>
      </c>
      <c r="CL78" s="309"/>
    </row>
    <row r="79" spans="1:90" x14ac:dyDescent="0.2">
      <c r="A79" s="222"/>
      <c r="B79" s="165"/>
      <c r="C79" s="142" t="str">
        <f>IFERROR(IF(B79="","",IF((COUNTIF('Cable Info'!$B$11:$C$50,B79)=0),VLOOKUP(B79,'Cable Info (2)'!$B$11:$C$50,2,FALSE),(VLOOKUP(B79,'Cable Info'!$B$11:$C$50,2,FALSE)))),"NO SUCH EXIT")</f>
        <v/>
      </c>
      <c r="D79" s="285"/>
      <c r="E79" s="311"/>
      <c r="F79" s="132" t="s">
        <v>59</v>
      </c>
      <c r="G79" s="314"/>
      <c r="H79" s="142" t="str">
        <f t="shared" si="11"/>
        <v/>
      </c>
      <c r="I79" s="318"/>
      <c r="J79" s="132" t="s">
        <v>59</v>
      </c>
      <c r="K79" s="320"/>
      <c r="L79" s="289"/>
      <c r="M79" s="142" t="str">
        <f>IFERROR(IF(P79="","",IF((COUNTIF('Cable Info'!$B$11:$C$50,P79)=0),VLOOKUP(P79,'Cable Info (2)'!$B$11:$C$50,2,FALSE),(VLOOKUP(P79,'Cable Info'!$B$11:$C$50,2,FALSE)))),"NO SUCH EXIT")</f>
        <v/>
      </c>
      <c r="N79" s="293"/>
      <c r="O79" s="234"/>
      <c r="P79" s="161"/>
      <c r="Q79" s="224"/>
      <c r="R79" s="162"/>
      <c r="S79" s="162"/>
      <c r="T79" s="163"/>
      <c r="U79" s="163"/>
      <c r="V79" s="164"/>
      <c r="W79" s="164"/>
      <c r="X79" s="229" t="str">
        <f t="shared" si="6"/>
        <v/>
      </c>
      <c r="Y79" s="147" t="str">
        <f t="shared" si="7"/>
        <v/>
      </c>
      <c r="Z79" s="148" t="str">
        <f t="shared" si="8"/>
        <v/>
      </c>
      <c r="AA79" s="148" t="str">
        <f t="shared" si="9"/>
        <v/>
      </c>
      <c r="AB79" s="148" t="str">
        <f t="shared" si="10"/>
        <v/>
      </c>
      <c r="AJ79" s="149" t="e">
        <f>IF('Cable Info'!#REF!="","",CONCATENATE('Cable Info'!#REF!," - ",'Cable Info'!#REF!))</f>
        <v>#REF!</v>
      </c>
      <c r="AM79" s="149" t="e">
        <f t="shared" si="0"/>
        <v>#REF!</v>
      </c>
      <c r="AO79" s="149" t="e">
        <f>IF('Cable Info'!#REF!="","",CONCATENATE('Cable Info'!#REF!," - ",'Cable Info'!#REF!))</f>
        <v>#REF!</v>
      </c>
      <c r="AR79" s="149" t="e">
        <f t="shared" si="1"/>
        <v>#REF!</v>
      </c>
      <c r="AT79" s="149" t="e">
        <f>IF('Cable Info'!#REF!="","",CONCATENATE('Cable Info'!#REF!," - ",'Cable Info'!#REF!))</f>
        <v>#REF!</v>
      </c>
      <c r="AW79" s="149" t="e">
        <f t="shared" si="2"/>
        <v>#REF!</v>
      </c>
      <c r="AY79" s="149" t="e">
        <f>IF('Cable Info'!#REF!="","",CONCATENATE('Cable Info'!#REF!," - ",'Cable Info'!#REF!))</f>
        <v>#REF!</v>
      </c>
      <c r="BB79" s="149" t="e">
        <f t="shared" si="3"/>
        <v>#REF!</v>
      </c>
      <c r="BD79" s="149" t="e">
        <f>IF('Cable Info'!#REF!="","",CONCATENATE('Cable Info'!#REF!," - ",'Cable Info'!#REF!))</f>
        <v>#REF!</v>
      </c>
      <c r="BG79" s="149" t="e">
        <f t="shared" si="4"/>
        <v>#REF!</v>
      </c>
      <c r="BI79" s="149" t="e">
        <f>IF('Cable Info'!#REF!="","",CONCATENATE('Cable Info'!#REF!," - ",'Cable Info'!#REF!))</f>
        <v>#REF!</v>
      </c>
      <c r="BL79" s="149" t="e">
        <f t="shared" si="5"/>
        <v>#REF!</v>
      </c>
      <c r="CL79" s="309"/>
    </row>
    <row r="80" spans="1:90" x14ac:dyDescent="0.2">
      <c r="A80" s="222"/>
      <c r="B80" s="165"/>
      <c r="C80" s="142" t="str">
        <f>IFERROR(IF(B80="","",IF((COUNTIF('Cable Info'!$B$11:$C$50,B80)=0),VLOOKUP(B80,'Cable Info (2)'!$B$11:$C$50,2,FALSE),(VLOOKUP(B80,'Cable Info'!$B$11:$C$50,2,FALSE)))),"NO SUCH EXIT")</f>
        <v/>
      </c>
      <c r="D80" s="285"/>
      <c r="E80" s="311"/>
      <c r="F80" s="132" t="s">
        <v>59</v>
      </c>
      <c r="G80" s="314"/>
      <c r="H80" s="142" t="str">
        <f t="shared" si="11"/>
        <v/>
      </c>
      <c r="I80" s="318"/>
      <c r="J80" s="132" t="s">
        <v>59</v>
      </c>
      <c r="K80" s="320"/>
      <c r="L80" s="289"/>
      <c r="M80" s="142" t="str">
        <f>IFERROR(IF(P80="","",IF((COUNTIF('Cable Info'!$B$11:$C$50,P80)=0),VLOOKUP(P80,'Cable Info (2)'!$B$11:$C$50,2,FALSE),(VLOOKUP(P80,'Cable Info'!$B$11:$C$50,2,FALSE)))),"NO SUCH EXIT")</f>
        <v/>
      </c>
      <c r="N80" s="293"/>
      <c r="O80" s="234"/>
      <c r="P80" s="161"/>
      <c r="Q80" s="224"/>
      <c r="R80" s="162"/>
      <c r="S80" s="162"/>
      <c r="T80" s="163"/>
      <c r="U80" s="163"/>
      <c r="V80" s="164"/>
      <c r="W80" s="164"/>
      <c r="X80" s="229" t="str">
        <f t="shared" si="6"/>
        <v/>
      </c>
      <c r="Y80" s="147" t="str">
        <f t="shared" si="7"/>
        <v/>
      </c>
      <c r="Z80" s="148" t="str">
        <f t="shared" si="8"/>
        <v/>
      </c>
      <c r="AA80" s="148" t="str">
        <f t="shared" si="9"/>
        <v/>
      </c>
      <c r="AB80" s="148" t="str">
        <f t="shared" si="10"/>
        <v/>
      </c>
      <c r="AJ80" s="149" t="e">
        <f>IF('Cable Info'!#REF!="","",CONCATENATE('Cable Info'!#REF!," - ",'Cable Info'!#REF!))</f>
        <v>#REF!</v>
      </c>
      <c r="AM80" s="149" t="e">
        <f t="shared" si="0"/>
        <v>#REF!</v>
      </c>
      <c r="AO80" s="149" t="e">
        <f>IF('Cable Info'!#REF!="","",CONCATENATE('Cable Info'!#REF!," - ",'Cable Info'!#REF!))</f>
        <v>#REF!</v>
      </c>
      <c r="AR80" s="149" t="e">
        <f t="shared" si="1"/>
        <v>#REF!</v>
      </c>
      <c r="AT80" s="149" t="e">
        <f>IF('Cable Info'!#REF!="","",CONCATENATE('Cable Info'!#REF!," - ",'Cable Info'!#REF!))</f>
        <v>#REF!</v>
      </c>
      <c r="AW80" s="149" t="e">
        <f t="shared" si="2"/>
        <v>#REF!</v>
      </c>
      <c r="AY80" s="149" t="e">
        <f>IF('Cable Info'!#REF!="","",CONCATENATE('Cable Info'!#REF!," - ",'Cable Info'!#REF!))</f>
        <v>#REF!</v>
      </c>
      <c r="BB80" s="149" t="e">
        <f t="shared" si="3"/>
        <v>#REF!</v>
      </c>
      <c r="BD80" s="149" t="e">
        <f>IF('Cable Info'!#REF!="","",CONCATENATE('Cable Info'!#REF!," - ",'Cable Info'!#REF!))</f>
        <v>#REF!</v>
      </c>
      <c r="BG80" s="149" t="e">
        <f t="shared" si="4"/>
        <v>#REF!</v>
      </c>
      <c r="BI80" s="149" t="e">
        <f>IF('Cable Info'!#REF!="","",CONCATENATE('Cable Info'!#REF!," - ",'Cable Info'!#REF!))</f>
        <v>#REF!</v>
      </c>
      <c r="BL80" s="149" t="e">
        <f t="shared" si="5"/>
        <v>#REF!</v>
      </c>
      <c r="CL80" s="309"/>
    </row>
    <row r="81" spans="1:90" x14ac:dyDescent="0.2">
      <c r="A81" s="222"/>
      <c r="B81" s="165"/>
      <c r="C81" s="142" t="str">
        <f>IFERROR(IF(B81="","",IF((COUNTIF('Cable Info'!$B$11:$C$50,B81)=0),VLOOKUP(B81,'Cable Info (2)'!$B$11:$C$50,2,FALSE),(VLOOKUP(B81,'Cable Info'!$B$11:$C$50,2,FALSE)))),"NO SUCH EXIT")</f>
        <v/>
      </c>
      <c r="D81" s="285"/>
      <c r="E81" s="311"/>
      <c r="F81" s="132" t="s">
        <v>59</v>
      </c>
      <c r="G81" s="314"/>
      <c r="H81" s="142" t="str">
        <f t="shared" si="11"/>
        <v/>
      </c>
      <c r="I81" s="318"/>
      <c r="J81" s="132" t="s">
        <v>59</v>
      </c>
      <c r="K81" s="320"/>
      <c r="L81" s="289"/>
      <c r="M81" s="142" t="str">
        <f>IFERROR(IF(P81="","",IF((COUNTIF('Cable Info'!$B$11:$C$50,P81)=0),VLOOKUP(P81,'Cable Info (2)'!$B$11:$C$50,2,FALSE),(VLOOKUP(P81,'Cable Info'!$B$11:$C$50,2,FALSE)))),"NO SUCH EXIT")</f>
        <v/>
      </c>
      <c r="N81" s="293"/>
      <c r="O81" s="234"/>
      <c r="P81" s="161"/>
      <c r="Q81" s="224"/>
      <c r="R81" s="162"/>
      <c r="S81" s="162"/>
      <c r="T81" s="163"/>
      <c r="U81" s="163"/>
      <c r="V81" s="164"/>
      <c r="W81" s="164"/>
      <c r="X81" s="229" t="str">
        <f t="shared" si="6"/>
        <v/>
      </c>
      <c r="Y81" s="147" t="str">
        <f t="shared" si="7"/>
        <v/>
      </c>
      <c r="Z81" s="148" t="str">
        <f t="shared" si="8"/>
        <v/>
      </c>
      <c r="AA81" s="148" t="str">
        <f t="shared" si="9"/>
        <v/>
      </c>
      <c r="AB81" s="148" t="str">
        <f t="shared" si="10"/>
        <v/>
      </c>
      <c r="AJ81" s="149" t="e">
        <f>IF('Cable Info'!#REF!="","",CONCATENATE('Cable Info'!#REF!," - ",'Cable Info'!#REF!))</f>
        <v>#REF!</v>
      </c>
      <c r="AM81" s="149" t="e">
        <f t="shared" si="0"/>
        <v>#REF!</v>
      </c>
      <c r="AO81" s="149" t="e">
        <f>IF('Cable Info'!#REF!="","",CONCATENATE('Cable Info'!#REF!," - ",'Cable Info'!#REF!))</f>
        <v>#REF!</v>
      </c>
      <c r="AR81" s="149" t="e">
        <f t="shared" si="1"/>
        <v>#REF!</v>
      </c>
      <c r="AT81" s="149" t="e">
        <f>IF('Cable Info'!#REF!="","",CONCATENATE('Cable Info'!#REF!," - ",'Cable Info'!#REF!))</f>
        <v>#REF!</v>
      </c>
      <c r="AW81" s="149" t="e">
        <f t="shared" si="2"/>
        <v>#REF!</v>
      </c>
      <c r="AY81" s="149" t="e">
        <f>IF('Cable Info'!#REF!="","",CONCATENATE('Cable Info'!#REF!," - ",'Cable Info'!#REF!))</f>
        <v>#REF!</v>
      </c>
      <c r="BB81" s="149" t="e">
        <f t="shared" si="3"/>
        <v>#REF!</v>
      </c>
      <c r="BD81" s="149" t="e">
        <f>IF('Cable Info'!#REF!="","",CONCATENATE('Cable Info'!#REF!," - ",'Cable Info'!#REF!))</f>
        <v>#REF!</v>
      </c>
      <c r="BG81" s="149" t="e">
        <f t="shared" si="4"/>
        <v>#REF!</v>
      </c>
      <c r="BI81" s="149" t="e">
        <f>IF('Cable Info'!#REF!="","",CONCATENATE('Cable Info'!#REF!," - ",'Cable Info'!#REF!))</f>
        <v>#REF!</v>
      </c>
      <c r="BL81" s="149" t="e">
        <f t="shared" si="5"/>
        <v>#REF!</v>
      </c>
      <c r="CL81" s="309"/>
    </row>
    <row r="82" spans="1:90" x14ac:dyDescent="0.2">
      <c r="A82" s="222"/>
      <c r="B82" s="165"/>
      <c r="C82" s="142" t="str">
        <f>IFERROR(IF(B82="","",IF((COUNTIF('Cable Info'!$B$11:$C$50,B82)=0),VLOOKUP(B82,'Cable Info (2)'!$B$11:$C$50,2,FALSE),(VLOOKUP(B82,'Cable Info'!$B$11:$C$50,2,FALSE)))),"NO SUCH EXIT")</f>
        <v/>
      </c>
      <c r="D82" s="285"/>
      <c r="E82" s="311"/>
      <c r="F82" s="132" t="s">
        <v>59</v>
      </c>
      <c r="G82" s="314"/>
      <c r="H82" s="142" t="str">
        <f t="shared" si="11"/>
        <v/>
      </c>
      <c r="I82" s="318"/>
      <c r="J82" s="132" t="s">
        <v>59</v>
      </c>
      <c r="K82" s="320"/>
      <c r="L82" s="289"/>
      <c r="M82" s="142" t="str">
        <f>IFERROR(IF(P82="","",IF((COUNTIF('Cable Info'!$B$11:$C$50,P82)=0),VLOOKUP(P82,'Cable Info (2)'!$B$11:$C$50,2,FALSE),(VLOOKUP(P82,'Cable Info'!$B$11:$C$50,2,FALSE)))),"NO SUCH EXIT")</f>
        <v/>
      </c>
      <c r="N82" s="293"/>
      <c r="O82" s="234"/>
      <c r="P82" s="161"/>
      <c r="Q82" s="224"/>
      <c r="R82" s="162"/>
      <c r="S82" s="162"/>
      <c r="T82" s="163"/>
      <c r="U82" s="163"/>
      <c r="V82" s="164"/>
      <c r="W82" s="164"/>
      <c r="X82" s="229" t="str">
        <f t="shared" si="6"/>
        <v/>
      </c>
      <c r="Y82" s="147" t="str">
        <f t="shared" si="7"/>
        <v/>
      </c>
      <c r="Z82" s="148" t="str">
        <f t="shared" si="8"/>
        <v/>
      </c>
      <c r="AA82" s="148" t="str">
        <f t="shared" si="9"/>
        <v/>
      </c>
      <c r="AB82" s="148" t="str">
        <f t="shared" si="10"/>
        <v/>
      </c>
      <c r="AJ82" s="149" t="e">
        <f>IF('Cable Info'!#REF!="","",CONCATENATE('Cable Info'!#REF!," - ",'Cable Info'!#REF!))</f>
        <v>#REF!</v>
      </c>
      <c r="AM82" s="149" t="e">
        <f t="shared" si="0"/>
        <v>#REF!</v>
      </c>
      <c r="AO82" s="149" t="e">
        <f>IF('Cable Info'!#REF!="","",CONCATENATE('Cable Info'!#REF!," - ",'Cable Info'!#REF!))</f>
        <v>#REF!</v>
      </c>
      <c r="AR82" s="149" t="e">
        <f t="shared" si="1"/>
        <v>#REF!</v>
      </c>
      <c r="AT82" s="149" t="e">
        <f>IF('Cable Info'!#REF!="","",CONCATENATE('Cable Info'!#REF!," - ",'Cable Info'!#REF!))</f>
        <v>#REF!</v>
      </c>
      <c r="AW82" s="149" t="e">
        <f t="shared" si="2"/>
        <v>#REF!</v>
      </c>
      <c r="AY82" s="149" t="e">
        <f>IF('Cable Info'!#REF!="","",CONCATENATE('Cable Info'!#REF!," - ",'Cable Info'!#REF!))</f>
        <v>#REF!</v>
      </c>
      <c r="BB82" s="149" t="e">
        <f t="shared" si="3"/>
        <v>#REF!</v>
      </c>
      <c r="BD82" s="149" t="e">
        <f>IF('Cable Info'!#REF!="","",CONCATENATE('Cable Info'!#REF!," - ",'Cable Info'!#REF!))</f>
        <v>#REF!</v>
      </c>
      <c r="BG82" s="149" t="e">
        <f t="shared" si="4"/>
        <v>#REF!</v>
      </c>
      <c r="BI82" s="149" t="e">
        <f>IF('Cable Info'!#REF!="","",CONCATENATE('Cable Info'!#REF!," - ",'Cable Info'!#REF!))</f>
        <v>#REF!</v>
      </c>
      <c r="BL82" s="149" t="e">
        <f t="shared" si="5"/>
        <v>#REF!</v>
      </c>
      <c r="CL82" s="309"/>
    </row>
    <row r="83" spans="1:90" x14ac:dyDescent="0.2">
      <c r="A83" s="222"/>
      <c r="B83" s="165"/>
      <c r="C83" s="142" t="str">
        <f>IFERROR(IF(B83="","",IF((COUNTIF('Cable Info'!$B$11:$C$50,B83)=0),VLOOKUP(B83,'Cable Info (2)'!$B$11:$C$50,2,FALSE),(VLOOKUP(B83,'Cable Info'!$B$11:$C$50,2,FALSE)))),"NO SUCH EXIT")</f>
        <v/>
      </c>
      <c r="D83" s="285"/>
      <c r="E83" s="311"/>
      <c r="F83" s="132" t="s">
        <v>59</v>
      </c>
      <c r="G83" s="314"/>
      <c r="H83" s="142" t="str">
        <f t="shared" si="11"/>
        <v/>
      </c>
      <c r="I83" s="318"/>
      <c r="J83" s="132" t="s">
        <v>59</v>
      </c>
      <c r="K83" s="320"/>
      <c r="L83" s="289"/>
      <c r="M83" s="142" t="str">
        <f>IFERROR(IF(P83="","",IF((COUNTIF('Cable Info'!$B$11:$C$50,P83)=0),VLOOKUP(P83,'Cable Info (2)'!$B$11:$C$50,2,FALSE),(VLOOKUP(P83,'Cable Info'!$B$11:$C$50,2,FALSE)))),"NO SUCH EXIT")</f>
        <v/>
      </c>
      <c r="N83" s="293"/>
      <c r="O83" s="234"/>
      <c r="P83" s="161"/>
      <c r="Q83" s="224"/>
      <c r="R83" s="162"/>
      <c r="S83" s="162"/>
      <c r="T83" s="163"/>
      <c r="U83" s="163"/>
      <c r="V83" s="164"/>
      <c r="W83" s="164"/>
      <c r="X83" s="229" t="str">
        <f t="shared" si="6"/>
        <v/>
      </c>
      <c r="Y83" s="147" t="str">
        <f t="shared" si="7"/>
        <v/>
      </c>
      <c r="Z83" s="148" t="str">
        <f t="shared" si="8"/>
        <v/>
      </c>
      <c r="AA83" s="148" t="str">
        <f t="shared" si="9"/>
        <v/>
      </c>
      <c r="AB83" s="148" t="str">
        <f t="shared" si="10"/>
        <v/>
      </c>
      <c r="AJ83" s="149" t="e">
        <f>IF('Cable Info'!#REF!="","",CONCATENATE('Cable Info'!#REF!," - ",'Cable Info'!#REF!))</f>
        <v>#REF!</v>
      </c>
      <c r="AM83" s="149" t="e">
        <f t="shared" si="0"/>
        <v>#REF!</v>
      </c>
      <c r="AO83" s="149" t="e">
        <f>IF('Cable Info'!#REF!="","",CONCATENATE('Cable Info'!#REF!," - ",'Cable Info'!#REF!))</f>
        <v>#REF!</v>
      </c>
      <c r="AR83" s="149" t="e">
        <f t="shared" si="1"/>
        <v>#REF!</v>
      </c>
      <c r="AT83" s="149" t="e">
        <f>IF('Cable Info'!#REF!="","",CONCATENATE('Cable Info'!#REF!," - ",'Cable Info'!#REF!))</f>
        <v>#REF!</v>
      </c>
      <c r="AW83" s="149" t="e">
        <f t="shared" si="2"/>
        <v>#REF!</v>
      </c>
      <c r="AY83" s="149" t="e">
        <f>IF('Cable Info'!#REF!="","",CONCATENATE('Cable Info'!#REF!," - ",'Cable Info'!#REF!))</f>
        <v>#REF!</v>
      </c>
      <c r="BB83" s="149" t="e">
        <f t="shared" si="3"/>
        <v>#REF!</v>
      </c>
      <c r="BD83" s="149" t="e">
        <f>IF('Cable Info'!#REF!="","",CONCATENATE('Cable Info'!#REF!," - ",'Cable Info'!#REF!))</f>
        <v>#REF!</v>
      </c>
      <c r="BG83" s="149" t="e">
        <f t="shared" si="4"/>
        <v>#REF!</v>
      </c>
      <c r="BI83" s="149" t="e">
        <f>IF('Cable Info'!#REF!="","",CONCATENATE('Cable Info'!#REF!," - ",'Cable Info'!#REF!))</f>
        <v>#REF!</v>
      </c>
      <c r="BL83" s="149" t="e">
        <f t="shared" si="5"/>
        <v>#REF!</v>
      </c>
      <c r="CL83" s="309"/>
    </row>
    <row r="84" spans="1:90" x14ac:dyDescent="0.2">
      <c r="A84" s="222"/>
      <c r="B84" s="165"/>
      <c r="C84" s="142" t="str">
        <f>IFERROR(IF(B84="","",IF((COUNTIF('Cable Info'!$B$11:$C$50,B84)=0),VLOOKUP(B84,'Cable Info (2)'!$B$11:$C$50,2,FALSE),(VLOOKUP(B84,'Cable Info'!$B$11:$C$50,2,FALSE)))),"NO SUCH EXIT")</f>
        <v/>
      </c>
      <c r="D84" s="285"/>
      <c r="E84" s="311"/>
      <c r="F84" s="132" t="s">
        <v>59</v>
      </c>
      <c r="G84" s="314"/>
      <c r="H84" s="142" t="str">
        <f t="shared" ref="H84:H147" si="12">IF(G84="","",((E84-G84)-1)*(-1))</f>
        <v/>
      </c>
      <c r="I84" s="318"/>
      <c r="J84" s="132" t="s">
        <v>59</v>
      </c>
      <c r="K84" s="320"/>
      <c r="L84" s="289"/>
      <c r="M84" s="142" t="str">
        <f>IFERROR(IF(P84="","",IF((COUNTIF('Cable Info'!$B$11:$C$50,P84)=0),VLOOKUP(P84,'Cable Info (2)'!$B$11:$C$50,2,FALSE),(VLOOKUP(P84,'Cable Info'!$B$11:$C$50,2,FALSE)))),"NO SUCH EXIT")</f>
        <v/>
      </c>
      <c r="N84" s="293"/>
      <c r="O84" s="234"/>
      <c r="P84" s="161"/>
      <c r="Q84" s="224"/>
      <c r="R84" s="162"/>
      <c r="S84" s="162"/>
      <c r="T84" s="163"/>
      <c r="U84" s="163"/>
      <c r="V84" s="164"/>
      <c r="W84" s="164"/>
      <c r="X84" s="229" t="str">
        <f t="shared" ref="X84:X147" si="13">IF(V84="","",IF(R84="","",IF(S84="","",IF(R84="SPLICED",(IF(S84="SPLICE",0,9)),IF(V84=$U$3,(IF(S84="BREAK",12,11)),IF(S84="BREAK",2,1))))))</f>
        <v/>
      </c>
      <c r="Y84" s="147" t="str">
        <f t="shared" ref="Y84:Y147" si="14">IF(E84="","",IF(G84="","",IF(E84&gt;G84,1,"")))</f>
        <v/>
      </c>
      <c r="Z84" s="148" t="str">
        <f t="shared" ref="Z84:Z147" si="15">IF(I84="","",IF(K84="","",IF(I84&gt;K84,1,"")))</f>
        <v/>
      </c>
      <c r="AA84" s="148" t="str">
        <f t="shared" ref="AA84:AA147" si="16">IF(K84="","",((I84-K84)-1)*(-1))</f>
        <v/>
      </c>
      <c r="AB84" s="148" t="str">
        <f t="shared" ref="AB84:AB147" si="17">IF(E84="","",IF(G84="","",IF(I84="","",IF(K84="","",IF(AA84&lt;&gt;H84,1,"")))))</f>
        <v/>
      </c>
      <c r="AJ84" s="149" t="e">
        <f>IF('Cable Info'!#REF!="","",CONCATENATE('Cable Info'!#REF!," - ",'Cable Info'!#REF!))</f>
        <v>#REF!</v>
      </c>
      <c r="AM84" s="149" t="e">
        <f t="shared" ref="AM84:AM147" si="18">IF(AK84="",AJ84,CONCATENATE(AJ84,"  &lt;=&gt; ",AK84," ",AL84))</f>
        <v>#REF!</v>
      </c>
      <c r="AO84" s="149" t="e">
        <f>IF('Cable Info'!#REF!="","",CONCATENATE('Cable Info'!#REF!," - ",'Cable Info'!#REF!))</f>
        <v>#REF!</v>
      </c>
      <c r="AR84" s="149" t="e">
        <f t="shared" ref="AR84:AR147" si="19">IF(AP84="",AO84,CONCATENATE(AO84,"  &lt;=&gt; ",AP84," ",AQ84))</f>
        <v>#REF!</v>
      </c>
      <c r="AT84" s="149" t="e">
        <f>IF('Cable Info'!#REF!="","",CONCATENATE('Cable Info'!#REF!," - ",'Cable Info'!#REF!))</f>
        <v>#REF!</v>
      </c>
      <c r="AW84" s="149" t="e">
        <f t="shared" ref="AW84:AW147" si="20">IF(AU84="",AT84,CONCATENATE(AT84,"  &lt;=&gt; ",AU84," ",AV84))</f>
        <v>#REF!</v>
      </c>
      <c r="AY84" s="149" t="e">
        <f>IF('Cable Info'!#REF!="","",CONCATENATE('Cable Info'!#REF!," - ",'Cable Info'!#REF!))</f>
        <v>#REF!</v>
      </c>
      <c r="BB84" s="149" t="e">
        <f t="shared" ref="BB84:BB147" si="21">IF(AZ84="",AY84,CONCATENATE(AY84,"  &lt;=&gt; ",AZ84," ",BA84))</f>
        <v>#REF!</v>
      </c>
      <c r="BD84" s="149" t="e">
        <f>IF('Cable Info'!#REF!="","",CONCATENATE('Cable Info'!#REF!," - ",'Cable Info'!#REF!))</f>
        <v>#REF!</v>
      </c>
      <c r="BG84" s="149" t="e">
        <f t="shared" ref="BG84:BG147" si="22">IF(BE84="",BD84,CONCATENATE(BD84,"  &lt;=&gt; ",BE84," ",BF84))</f>
        <v>#REF!</v>
      </c>
      <c r="BI84" s="149" t="e">
        <f>IF('Cable Info'!#REF!="","",CONCATENATE('Cable Info'!#REF!," - ",'Cable Info'!#REF!))</f>
        <v>#REF!</v>
      </c>
      <c r="BL84" s="149" t="e">
        <f t="shared" ref="BL84:BL147" si="23">IF(BJ84="",BI84,CONCATENATE(BI84,"  &lt;=&gt; ",BJ84," ",BK84))</f>
        <v>#REF!</v>
      </c>
      <c r="CL84" s="309"/>
    </row>
    <row r="85" spans="1:90" x14ac:dyDescent="0.2">
      <c r="A85" s="222"/>
      <c r="B85" s="165"/>
      <c r="C85" s="142" t="str">
        <f>IFERROR(IF(B85="","",IF((COUNTIF('Cable Info'!$B$11:$C$50,B85)=0),VLOOKUP(B85,'Cable Info (2)'!$B$11:$C$50,2,FALSE),(VLOOKUP(B85,'Cable Info'!$B$11:$C$50,2,FALSE)))),"NO SUCH EXIT")</f>
        <v/>
      </c>
      <c r="D85" s="285"/>
      <c r="E85" s="311"/>
      <c r="F85" s="132" t="s">
        <v>59</v>
      </c>
      <c r="G85" s="314"/>
      <c r="H85" s="142" t="str">
        <f t="shared" si="12"/>
        <v/>
      </c>
      <c r="I85" s="318"/>
      <c r="J85" s="132" t="s">
        <v>59</v>
      </c>
      <c r="K85" s="320"/>
      <c r="L85" s="289"/>
      <c r="M85" s="142" t="str">
        <f>IFERROR(IF(P85="","",IF((COUNTIF('Cable Info'!$B$11:$C$50,P85)=0),VLOOKUP(P85,'Cable Info (2)'!$B$11:$C$50,2,FALSE),(VLOOKUP(P85,'Cable Info'!$B$11:$C$50,2,FALSE)))),"NO SUCH EXIT")</f>
        <v/>
      </c>
      <c r="N85" s="293"/>
      <c r="O85" s="234"/>
      <c r="P85" s="161"/>
      <c r="Q85" s="224"/>
      <c r="R85" s="162"/>
      <c r="S85" s="162"/>
      <c r="T85" s="163"/>
      <c r="U85" s="163"/>
      <c r="V85" s="164"/>
      <c r="W85" s="164"/>
      <c r="X85" s="229" t="str">
        <f t="shared" si="13"/>
        <v/>
      </c>
      <c r="Y85" s="147" t="str">
        <f t="shared" si="14"/>
        <v/>
      </c>
      <c r="Z85" s="148" t="str">
        <f t="shared" si="15"/>
        <v/>
      </c>
      <c r="AA85" s="148" t="str">
        <f t="shared" si="16"/>
        <v/>
      </c>
      <c r="AB85" s="148" t="str">
        <f t="shared" si="17"/>
        <v/>
      </c>
      <c r="AJ85" s="149" t="e">
        <f>IF('Cable Info'!#REF!="","",CONCATENATE('Cable Info'!#REF!," - ",'Cable Info'!#REF!))</f>
        <v>#REF!</v>
      </c>
      <c r="AM85" s="149" t="e">
        <f t="shared" si="18"/>
        <v>#REF!</v>
      </c>
      <c r="AO85" s="149" t="e">
        <f>IF('Cable Info'!#REF!="","",CONCATENATE('Cable Info'!#REF!," - ",'Cable Info'!#REF!))</f>
        <v>#REF!</v>
      </c>
      <c r="AR85" s="149" t="e">
        <f t="shared" si="19"/>
        <v>#REF!</v>
      </c>
      <c r="AT85" s="149" t="e">
        <f>IF('Cable Info'!#REF!="","",CONCATENATE('Cable Info'!#REF!," - ",'Cable Info'!#REF!))</f>
        <v>#REF!</v>
      </c>
      <c r="AW85" s="149" t="e">
        <f t="shared" si="20"/>
        <v>#REF!</v>
      </c>
      <c r="AY85" s="149" t="e">
        <f>IF('Cable Info'!#REF!="","",CONCATENATE('Cable Info'!#REF!," - ",'Cable Info'!#REF!))</f>
        <v>#REF!</v>
      </c>
      <c r="BB85" s="149" t="e">
        <f t="shared" si="21"/>
        <v>#REF!</v>
      </c>
      <c r="BD85" s="149" t="e">
        <f>IF('Cable Info'!#REF!="","",CONCATENATE('Cable Info'!#REF!," - ",'Cable Info'!#REF!))</f>
        <v>#REF!</v>
      </c>
      <c r="BG85" s="149" t="e">
        <f t="shared" si="22"/>
        <v>#REF!</v>
      </c>
      <c r="BI85" s="149" t="e">
        <f>IF('Cable Info'!#REF!="","",CONCATENATE('Cable Info'!#REF!," - ",'Cable Info'!#REF!))</f>
        <v>#REF!</v>
      </c>
      <c r="BL85" s="149" t="e">
        <f t="shared" si="23"/>
        <v>#REF!</v>
      </c>
      <c r="CL85" s="309"/>
    </row>
    <row r="86" spans="1:90" x14ac:dyDescent="0.2">
      <c r="A86" s="222"/>
      <c r="B86" s="165"/>
      <c r="C86" s="142" t="str">
        <f>IFERROR(IF(B86="","",IF((COUNTIF('Cable Info'!$B$11:$C$50,B86)=0),VLOOKUP(B86,'Cable Info (2)'!$B$11:$C$50,2,FALSE),(VLOOKUP(B86,'Cable Info'!$B$11:$C$50,2,FALSE)))),"NO SUCH EXIT")</f>
        <v/>
      </c>
      <c r="D86" s="285"/>
      <c r="E86" s="311"/>
      <c r="F86" s="132" t="s">
        <v>59</v>
      </c>
      <c r="G86" s="314"/>
      <c r="H86" s="142" t="str">
        <f t="shared" si="12"/>
        <v/>
      </c>
      <c r="I86" s="318"/>
      <c r="J86" s="132" t="s">
        <v>59</v>
      </c>
      <c r="K86" s="320"/>
      <c r="L86" s="289"/>
      <c r="M86" s="142" t="str">
        <f>IFERROR(IF(P86="","",IF((COUNTIF('Cable Info'!$B$11:$C$50,P86)=0),VLOOKUP(P86,'Cable Info (2)'!$B$11:$C$50,2,FALSE),(VLOOKUP(P86,'Cable Info'!$B$11:$C$50,2,FALSE)))),"NO SUCH EXIT")</f>
        <v/>
      </c>
      <c r="N86" s="293"/>
      <c r="O86" s="234"/>
      <c r="P86" s="161"/>
      <c r="Q86" s="224"/>
      <c r="R86" s="162"/>
      <c r="S86" s="162"/>
      <c r="T86" s="163"/>
      <c r="U86" s="163"/>
      <c r="V86" s="164"/>
      <c r="W86" s="164"/>
      <c r="X86" s="229" t="str">
        <f t="shared" si="13"/>
        <v/>
      </c>
      <c r="Y86" s="147" t="str">
        <f t="shared" si="14"/>
        <v/>
      </c>
      <c r="Z86" s="148" t="str">
        <f t="shared" si="15"/>
        <v/>
      </c>
      <c r="AA86" s="148" t="str">
        <f t="shared" si="16"/>
        <v/>
      </c>
      <c r="AB86" s="148" t="str">
        <f t="shared" si="17"/>
        <v/>
      </c>
      <c r="AJ86" s="149" t="e">
        <f>IF('Cable Info'!#REF!="","",CONCATENATE('Cable Info'!#REF!," - ",'Cable Info'!#REF!))</f>
        <v>#REF!</v>
      </c>
      <c r="AM86" s="149" t="e">
        <f t="shared" si="18"/>
        <v>#REF!</v>
      </c>
      <c r="AO86" s="149" t="e">
        <f>IF('Cable Info'!#REF!="","",CONCATENATE('Cable Info'!#REF!," - ",'Cable Info'!#REF!))</f>
        <v>#REF!</v>
      </c>
      <c r="AR86" s="149" t="e">
        <f t="shared" si="19"/>
        <v>#REF!</v>
      </c>
      <c r="AT86" s="149" t="e">
        <f>IF('Cable Info'!#REF!="","",CONCATENATE('Cable Info'!#REF!," - ",'Cable Info'!#REF!))</f>
        <v>#REF!</v>
      </c>
      <c r="AW86" s="149" t="e">
        <f t="shared" si="20"/>
        <v>#REF!</v>
      </c>
      <c r="AY86" s="149" t="e">
        <f>IF('Cable Info'!#REF!="","",CONCATENATE('Cable Info'!#REF!," - ",'Cable Info'!#REF!))</f>
        <v>#REF!</v>
      </c>
      <c r="BB86" s="149" t="e">
        <f t="shared" si="21"/>
        <v>#REF!</v>
      </c>
      <c r="BD86" s="149" t="e">
        <f>IF('Cable Info'!#REF!="","",CONCATENATE('Cable Info'!#REF!," - ",'Cable Info'!#REF!))</f>
        <v>#REF!</v>
      </c>
      <c r="BG86" s="149" t="e">
        <f t="shared" si="22"/>
        <v>#REF!</v>
      </c>
      <c r="BI86" s="149" t="e">
        <f>IF('Cable Info'!#REF!="","",CONCATENATE('Cable Info'!#REF!," - ",'Cable Info'!#REF!))</f>
        <v>#REF!</v>
      </c>
      <c r="BL86" s="149" t="e">
        <f t="shared" si="23"/>
        <v>#REF!</v>
      </c>
      <c r="CL86" s="309"/>
    </row>
    <row r="87" spans="1:90" x14ac:dyDescent="0.2">
      <c r="A87" s="222"/>
      <c r="B87" s="165"/>
      <c r="C87" s="142" t="str">
        <f>IFERROR(IF(B87="","",IF((COUNTIF('Cable Info'!$B$11:$C$50,B87)=0),VLOOKUP(B87,'Cable Info (2)'!$B$11:$C$50,2,FALSE),(VLOOKUP(B87,'Cable Info'!$B$11:$C$50,2,FALSE)))),"NO SUCH EXIT")</f>
        <v/>
      </c>
      <c r="D87" s="285"/>
      <c r="E87" s="311"/>
      <c r="F87" s="132" t="s">
        <v>59</v>
      </c>
      <c r="G87" s="314"/>
      <c r="H87" s="142" t="str">
        <f t="shared" si="12"/>
        <v/>
      </c>
      <c r="I87" s="318"/>
      <c r="J87" s="132" t="s">
        <v>59</v>
      </c>
      <c r="K87" s="320"/>
      <c r="L87" s="289"/>
      <c r="M87" s="142" t="str">
        <f>IFERROR(IF(P87="","",IF((COUNTIF('Cable Info'!$B$11:$C$50,P87)=0),VLOOKUP(P87,'Cable Info (2)'!$B$11:$C$50,2,FALSE),(VLOOKUP(P87,'Cable Info'!$B$11:$C$50,2,FALSE)))),"NO SUCH EXIT")</f>
        <v/>
      </c>
      <c r="N87" s="293"/>
      <c r="O87" s="234"/>
      <c r="P87" s="161"/>
      <c r="Q87" s="224"/>
      <c r="R87" s="162"/>
      <c r="S87" s="162"/>
      <c r="T87" s="163"/>
      <c r="U87" s="163"/>
      <c r="V87" s="164"/>
      <c r="W87" s="164"/>
      <c r="X87" s="229" t="str">
        <f t="shared" si="13"/>
        <v/>
      </c>
      <c r="Y87" s="147" t="str">
        <f t="shared" si="14"/>
        <v/>
      </c>
      <c r="Z87" s="148" t="str">
        <f t="shared" si="15"/>
        <v/>
      </c>
      <c r="AA87" s="148" t="str">
        <f t="shared" si="16"/>
        <v/>
      </c>
      <c r="AB87" s="148" t="str">
        <f t="shared" si="17"/>
        <v/>
      </c>
      <c r="AJ87" s="149" t="e">
        <f>IF('Cable Info'!#REF!="","",CONCATENATE('Cable Info'!#REF!," - ",'Cable Info'!#REF!))</f>
        <v>#REF!</v>
      </c>
      <c r="AM87" s="149" t="e">
        <f t="shared" si="18"/>
        <v>#REF!</v>
      </c>
      <c r="AO87" s="149" t="e">
        <f>IF('Cable Info'!#REF!="","",CONCATENATE('Cable Info'!#REF!," - ",'Cable Info'!#REF!))</f>
        <v>#REF!</v>
      </c>
      <c r="AR87" s="149" t="e">
        <f t="shared" si="19"/>
        <v>#REF!</v>
      </c>
      <c r="AT87" s="149" t="e">
        <f>IF('Cable Info'!#REF!="","",CONCATENATE('Cable Info'!#REF!," - ",'Cable Info'!#REF!))</f>
        <v>#REF!</v>
      </c>
      <c r="AW87" s="149" t="e">
        <f t="shared" si="20"/>
        <v>#REF!</v>
      </c>
      <c r="AY87" s="149" t="e">
        <f>IF('Cable Info'!#REF!="","",CONCATENATE('Cable Info'!#REF!," - ",'Cable Info'!#REF!))</f>
        <v>#REF!</v>
      </c>
      <c r="BB87" s="149" t="e">
        <f t="shared" si="21"/>
        <v>#REF!</v>
      </c>
      <c r="BD87" s="149" t="e">
        <f>IF('Cable Info'!#REF!="","",CONCATENATE('Cable Info'!#REF!," - ",'Cable Info'!#REF!))</f>
        <v>#REF!</v>
      </c>
      <c r="BG87" s="149" t="e">
        <f t="shared" si="22"/>
        <v>#REF!</v>
      </c>
      <c r="BI87" s="149" t="e">
        <f>IF('Cable Info'!#REF!="","",CONCATENATE('Cable Info'!#REF!," - ",'Cable Info'!#REF!))</f>
        <v>#REF!</v>
      </c>
      <c r="BL87" s="149" t="e">
        <f t="shared" si="23"/>
        <v>#REF!</v>
      </c>
      <c r="CL87" s="309"/>
    </row>
    <row r="88" spans="1:90" x14ac:dyDescent="0.2">
      <c r="A88" s="222"/>
      <c r="B88" s="165"/>
      <c r="C88" s="142" t="str">
        <f>IFERROR(IF(B88="","",IF((COUNTIF('Cable Info'!$B$11:$C$50,B88)=0),VLOOKUP(B88,'Cable Info (2)'!$B$11:$C$50,2,FALSE),(VLOOKUP(B88,'Cable Info'!$B$11:$C$50,2,FALSE)))),"NO SUCH EXIT")</f>
        <v/>
      </c>
      <c r="D88" s="285"/>
      <c r="E88" s="311"/>
      <c r="F88" s="132" t="s">
        <v>59</v>
      </c>
      <c r="G88" s="314"/>
      <c r="H88" s="142" t="str">
        <f t="shared" si="12"/>
        <v/>
      </c>
      <c r="I88" s="318"/>
      <c r="J88" s="132" t="s">
        <v>59</v>
      </c>
      <c r="K88" s="320"/>
      <c r="L88" s="289"/>
      <c r="M88" s="142" t="str">
        <f>IFERROR(IF(P88="","",IF((COUNTIF('Cable Info'!$B$11:$C$50,P88)=0),VLOOKUP(P88,'Cable Info (2)'!$B$11:$C$50,2,FALSE),(VLOOKUP(P88,'Cable Info'!$B$11:$C$50,2,FALSE)))),"NO SUCH EXIT")</f>
        <v/>
      </c>
      <c r="N88" s="293"/>
      <c r="O88" s="234"/>
      <c r="P88" s="161"/>
      <c r="Q88" s="224"/>
      <c r="R88" s="162"/>
      <c r="S88" s="162"/>
      <c r="T88" s="163"/>
      <c r="U88" s="163"/>
      <c r="V88" s="164"/>
      <c r="W88" s="164"/>
      <c r="X88" s="229" t="str">
        <f t="shared" si="13"/>
        <v/>
      </c>
      <c r="Y88" s="147" t="str">
        <f t="shared" si="14"/>
        <v/>
      </c>
      <c r="Z88" s="148" t="str">
        <f t="shared" si="15"/>
        <v/>
      </c>
      <c r="AA88" s="148" t="str">
        <f t="shared" si="16"/>
        <v/>
      </c>
      <c r="AB88" s="148" t="str">
        <f t="shared" si="17"/>
        <v/>
      </c>
      <c r="AJ88" s="149" t="e">
        <f>IF('Cable Info'!#REF!="","",CONCATENATE('Cable Info'!#REF!," - ",'Cable Info'!#REF!))</f>
        <v>#REF!</v>
      </c>
      <c r="AM88" s="149" t="e">
        <f t="shared" si="18"/>
        <v>#REF!</v>
      </c>
      <c r="AO88" s="149" t="e">
        <f>IF('Cable Info'!#REF!="","",CONCATENATE('Cable Info'!#REF!," - ",'Cable Info'!#REF!))</f>
        <v>#REF!</v>
      </c>
      <c r="AR88" s="149" t="e">
        <f t="shared" si="19"/>
        <v>#REF!</v>
      </c>
      <c r="AT88" s="149" t="e">
        <f>IF('Cable Info'!#REF!="","",CONCATENATE('Cable Info'!#REF!," - ",'Cable Info'!#REF!))</f>
        <v>#REF!</v>
      </c>
      <c r="AW88" s="149" t="e">
        <f t="shared" si="20"/>
        <v>#REF!</v>
      </c>
      <c r="AY88" s="149" t="e">
        <f>IF('Cable Info'!#REF!="","",CONCATENATE('Cable Info'!#REF!," - ",'Cable Info'!#REF!))</f>
        <v>#REF!</v>
      </c>
      <c r="BB88" s="149" t="e">
        <f t="shared" si="21"/>
        <v>#REF!</v>
      </c>
      <c r="BD88" s="149" t="e">
        <f>IF('Cable Info'!#REF!="","",CONCATENATE('Cable Info'!#REF!," - ",'Cable Info'!#REF!))</f>
        <v>#REF!</v>
      </c>
      <c r="BG88" s="149" t="e">
        <f t="shared" si="22"/>
        <v>#REF!</v>
      </c>
      <c r="BI88" s="149" t="e">
        <f>IF('Cable Info'!#REF!="","",CONCATENATE('Cable Info'!#REF!," - ",'Cable Info'!#REF!))</f>
        <v>#REF!</v>
      </c>
      <c r="BL88" s="149" t="e">
        <f t="shared" si="23"/>
        <v>#REF!</v>
      </c>
      <c r="CL88" s="309"/>
    </row>
    <row r="89" spans="1:90" x14ac:dyDescent="0.2">
      <c r="A89" s="222"/>
      <c r="B89" s="165"/>
      <c r="C89" s="142" t="str">
        <f>IFERROR(IF(B89="","",IF((COUNTIF('Cable Info'!$B$11:$C$50,B89)=0),VLOOKUP(B89,'Cable Info (2)'!$B$11:$C$50,2,FALSE),(VLOOKUP(B89,'Cable Info'!$B$11:$C$50,2,FALSE)))),"NO SUCH EXIT")</f>
        <v/>
      </c>
      <c r="D89" s="285"/>
      <c r="E89" s="311"/>
      <c r="F89" s="132" t="s">
        <v>59</v>
      </c>
      <c r="G89" s="314"/>
      <c r="H89" s="142" t="str">
        <f t="shared" si="12"/>
        <v/>
      </c>
      <c r="I89" s="318"/>
      <c r="J89" s="132" t="s">
        <v>59</v>
      </c>
      <c r="K89" s="320"/>
      <c r="L89" s="289"/>
      <c r="M89" s="142" t="str">
        <f>IFERROR(IF(P89="","",IF((COUNTIF('Cable Info'!$B$11:$C$50,P89)=0),VLOOKUP(P89,'Cable Info (2)'!$B$11:$C$50,2,FALSE),(VLOOKUP(P89,'Cable Info'!$B$11:$C$50,2,FALSE)))),"NO SUCH EXIT")</f>
        <v/>
      </c>
      <c r="N89" s="293"/>
      <c r="O89" s="234"/>
      <c r="P89" s="161"/>
      <c r="Q89" s="224"/>
      <c r="R89" s="162"/>
      <c r="S89" s="162"/>
      <c r="T89" s="163"/>
      <c r="U89" s="163"/>
      <c r="V89" s="164"/>
      <c r="W89" s="164"/>
      <c r="X89" s="229" t="str">
        <f t="shared" si="13"/>
        <v/>
      </c>
      <c r="Y89" s="147" t="str">
        <f t="shared" si="14"/>
        <v/>
      </c>
      <c r="Z89" s="148" t="str">
        <f t="shared" si="15"/>
        <v/>
      </c>
      <c r="AA89" s="148" t="str">
        <f t="shared" si="16"/>
        <v/>
      </c>
      <c r="AB89" s="148" t="str">
        <f t="shared" si="17"/>
        <v/>
      </c>
      <c r="AJ89" s="149" t="e">
        <f>IF('Cable Info'!#REF!="","",CONCATENATE('Cable Info'!#REF!," - ",'Cable Info'!#REF!))</f>
        <v>#REF!</v>
      </c>
      <c r="AM89" s="149" t="e">
        <f t="shared" si="18"/>
        <v>#REF!</v>
      </c>
      <c r="AO89" s="149" t="e">
        <f>IF('Cable Info'!#REF!="","",CONCATENATE('Cable Info'!#REF!," - ",'Cable Info'!#REF!))</f>
        <v>#REF!</v>
      </c>
      <c r="AR89" s="149" t="e">
        <f t="shared" si="19"/>
        <v>#REF!</v>
      </c>
      <c r="AT89" s="149" t="e">
        <f>IF('Cable Info'!#REF!="","",CONCATENATE('Cable Info'!#REF!," - ",'Cable Info'!#REF!))</f>
        <v>#REF!</v>
      </c>
      <c r="AW89" s="149" t="e">
        <f t="shared" si="20"/>
        <v>#REF!</v>
      </c>
      <c r="AY89" s="149" t="e">
        <f>IF('Cable Info'!#REF!="","",CONCATENATE('Cable Info'!#REF!," - ",'Cable Info'!#REF!))</f>
        <v>#REF!</v>
      </c>
      <c r="BB89" s="149" t="e">
        <f t="shared" si="21"/>
        <v>#REF!</v>
      </c>
      <c r="BD89" s="149" t="e">
        <f>IF('Cable Info'!#REF!="","",CONCATENATE('Cable Info'!#REF!," - ",'Cable Info'!#REF!))</f>
        <v>#REF!</v>
      </c>
      <c r="BG89" s="149" t="e">
        <f t="shared" si="22"/>
        <v>#REF!</v>
      </c>
      <c r="BI89" s="149" t="e">
        <f>IF('Cable Info'!#REF!="","",CONCATENATE('Cable Info'!#REF!," - ",'Cable Info'!#REF!))</f>
        <v>#REF!</v>
      </c>
      <c r="BL89" s="149" t="e">
        <f t="shared" si="23"/>
        <v>#REF!</v>
      </c>
      <c r="CL89" s="309"/>
    </row>
    <row r="90" spans="1:90" x14ac:dyDescent="0.2">
      <c r="A90" s="222"/>
      <c r="B90" s="165"/>
      <c r="C90" s="142" t="str">
        <f>IFERROR(IF(B90="","",IF((COUNTIF('Cable Info'!$B$11:$C$50,B90)=0),VLOOKUP(B90,'Cable Info (2)'!$B$11:$C$50,2,FALSE),(VLOOKUP(B90,'Cable Info'!$B$11:$C$50,2,FALSE)))),"NO SUCH EXIT")</f>
        <v/>
      </c>
      <c r="D90" s="285"/>
      <c r="E90" s="311"/>
      <c r="F90" s="132" t="s">
        <v>59</v>
      </c>
      <c r="G90" s="314"/>
      <c r="H90" s="142" t="str">
        <f t="shared" si="12"/>
        <v/>
      </c>
      <c r="I90" s="318"/>
      <c r="J90" s="132" t="s">
        <v>59</v>
      </c>
      <c r="K90" s="320"/>
      <c r="L90" s="289"/>
      <c r="M90" s="142" t="str">
        <f>IFERROR(IF(P90="","",IF((COUNTIF('Cable Info'!$B$11:$C$50,P90)=0),VLOOKUP(P90,'Cable Info (2)'!$B$11:$C$50,2,FALSE),(VLOOKUP(P90,'Cable Info'!$B$11:$C$50,2,FALSE)))),"NO SUCH EXIT")</f>
        <v/>
      </c>
      <c r="N90" s="293"/>
      <c r="O90" s="234"/>
      <c r="P90" s="161"/>
      <c r="Q90" s="224"/>
      <c r="R90" s="162"/>
      <c r="S90" s="162"/>
      <c r="T90" s="163"/>
      <c r="U90" s="163"/>
      <c r="V90" s="164"/>
      <c r="W90" s="164"/>
      <c r="X90" s="229" t="str">
        <f t="shared" si="13"/>
        <v/>
      </c>
      <c r="Y90" s="147" t="str">
        <f t="shared" si="14"/>
        <v/>
      </c>
      <c r="Z90" s="148" t="str">
        <f t="shared" si="15"/>
        <v/>
      </c>
      <c r="AA90" s="148" t="str">
        <f t="shared" si="16"/>
        <v/>
      </c>
      <c r="AB90" s="148" t="str">
        <f t="shared" si="17"/>
        <v/>
      </c>
      <c r="AJ90" s="149" t="e">
        <f>IF('Cable Info'!#REF!="","",CONCATENATE('Cable Info'!#REF!," - ",'Cable Info'!#REF!))</f>
        <v>#REF!</v>
      </c>
      <c r="AM90" s="149" t="e">
        <f t="shared" si="18"/>
        <v>#REF!</v>
      </c>
      <c r="AO90" s="149" t="e">
        <f>IF('Cable Info'!#REF!="","",CONCATENATE('Cable Info'!#REF!," - ",'Cable Info'!#REF!))</f>
        <v>#REF!</v>
      </c>
      <c r="AR90" s="149" t="e">
        <f t="shared" si="19"/>
        <v>#REF!</v>
      </c>
      <c r="AT90" s="149" t="e">
        <f>IF('Cable Info'!#REF!="","",CONCATENATE('Cable Info'!#REF!," - ",'Cable Info'!#REF!))</f>
        <v>#REF!</v>
      </c>
      <c r="AW90" s="149" t="e">
        <f t="shared" si="20"/>
        <v>#REF!</v>
      </c>
      <c r="AY90" s="149" t="e">
        <f>IF('Cable Info'!#REF!="","",CONCATENATE('Cable Info'!#REF!," - ",'Cable Info'!#REF!))</f>
        <v>#REF!</v>
      </c>
      <c r="BB90" s="149" t="e">
        <f t="shared" si="21"/>
        <v>#REF!</v>
      </c>
      <c r="BD90" s="149" t="e">
        <f>IF('Cable Info'!#REF!="","",CONCATENATE('Cable Info'!#REF!," - ",'Cable Info'!#REF!))</f>
        <v>#REF!</v>
      </c>
      <c r="BG90" s="149" t="e">
        <f t="shared" si="22"/>
        <v>#REF!</v>
      </c>
      <c r="BI90" s="149" t="e">
        <f>IF('Cable Info'!#REF!="","",CONCATENATE('Cable Info'!#REF!," - ",'Cable Info'!#REF!))</f>
        <v>#REF!</v>
      </c>
      <c r="BL90" s="149" t="e">
        <f t="shared" si="23"/>
        <v>#REF!</v>
      </c>
      <c r="CL90" s="309"/>
    </row>
    <row r="91" spans="1:90" x14ac:dyDescent="0.2">
      <c r="A91" s="222"/>
      <c r="B91" s="165"/>
      <c r="C91" s="142" t="str">
        <f>IFERROR(IF(B91="","",IF((COUNTIF('Cable Info'!$B$11:$C$50,B91)=0),VLOOKUP(B91,'Cable Info (2)'!$B$11:$C$50,2,FALSE),(VLOOKUP(B91,'Cable Info'!$B$11:$C$50,2,FALSE)))),"NO SUCH EXIT")</f>
        <v/>
      </c>
      <c r="D91" s="285"/>
      <c r="E91" s="311"/>
      <c r="F91" s="132" t="s">
        <v>59</v>
      </c>
      <c r="G91" s="314"/>
      <c r="H91" s="142" t="str">
        <f t="shared" si="12"/>
        <v/>
      </c>
      <c r="I91" s="318"/>
      <c r="J91" s="132" t="s">
        <v>59</v>
      </c>
      <c r="K91" s="320"/>
      <c r="L91" s="289"/>
      <c r="M91" s="142" t="str">
        <f>IFERROR(IF(P91="","",IF((COUNTIF('Cable Info'!$B$11:$C$50,P91)=0),VLOOKUP(P91,'Cable Info (2)'!$B$11:$C$50,2,FALSE),(VLOOKUP(P91,'Cable Info'!$B$11:$C$50,2,FALSE)))),"NO SUCH EXIT")</f>
        <v/>
      </c>
      <c r="N91" s="293"/>
      <c r="O91" s="234"/>
      <c r="P91" s="161"/>
      <c r="Q91" s="224"/>
      <c r="R91" s="162"/>
      <c r="S91" s="162"/>
      <c r="T91" s="163"/>
      <c r="U91" s="163"/>
      <c r="V91" s="164"/>
      <c r="W91" s="164"/>
      <c r="X91" s="229" t="str">
        <f t="shared" si="13"/>
        <v/>
      </c>
      <c r="Y91" s="147" t="str">
        <f t="shared" si="14"/>
        <v/>
      </c>
      <c r="Z91" s="148" t="str">
        <f t="shared" si="15"/>
        <v/>
      </c>
      <c r="AA91" s="148" t="str">
        <f t="shared" si="16"/>
        <v/>
      </c>
      <c r="AB91" s="148" t="str">
        <f t="shared" si="17"/>
        <v/>
      </c>
      <c r="AJ91" s="149" t="e">
        <f>IF('Cable Info'!#REF!="","",CONCATENATE('Cable Info'!#REF!," - ",'Cable Info'!#REF!))</f>
        <v>#REF!</v>
      </c>
      <c r="AM91" s="149" t="e">
        <f t="shared" si="18"/>
        <v>#REF!</v>
      </c>
      <c r="AO91" s="149" t="e">
        <f>IF('Cable Info'!#REF!="","",CONCATENATE('Cable Info'!#REF!," - ",'Cable Info'!#REF!))</f>
        <v>#REF!</v>
      </c>
      <c r="AR91" s="149" t="e">
        <f t="shared" si="19"/>
        <v>#REF!</v>
      </c>
      <c r="AT91" s="149" t="e">
        <f>IF('Cable Info'!#REF!="","",CONCATENATE('Cable Info'!#REF!," - ",'Cable Info'!#REF!))</f>
        <v>#REF!</v>
      </c>
      <c r="AW91" s="149" t="e">
        <f t="shared" si="20"/>
        <v>#REF!</v>
      </c>
      <c r="AY91" s="149" t="e">
        <f>IF('Cable Info'!#REF!="","",CONCATENATE('Cable Info'!#REF!," - ",'Cable Info'!#REF!))</f>
        <v>#REF!</v>
      </c>
      <c r="BB91" s="149" t="e">
        <f t="shared" si="21"/>
        <v>#REF!</v>
      </c>
      <c r="BD91" s="149" t="e">
        <f>IF('Cable Info'!#REF!="","",CONCATENATE('Cable Info'!#REF!," - ",'Cable Info'!#REF!))</f>
        <v>#REF!</v>
      </c>
      <c r="BG91" s="149" t="e">
        <f t="shared" si="22"/>
        <v>#REF!</v>
      </c>
      <c r="BI91" s="149" t="e">
        <f>IF('Cable Info'!#REF!="","",CONCATENATE('Cable Info'!#REF!," - ",'Cable Info'!#REF!))</f>
        <v>#REF!</v>
      </c>
      <c r="BL91" s="149" t="e">
        <f t="shared" si="23"/>
        <v>#REF!</v>
      </c>
      <c r="CL91" s="309"/>
    </row>
    <row r="92" spans="1:90" x14ac:dyDescent="0.2">
      <c r="A92" s="222"/>
      <c r="B92" s="165"/>
      <c r="C92" s="142" t="str">
        <f>IFERROR(IF(B92="","",IF((COUNTIF('Cable Info'!$B$11:$C$50,B92)=0),VLOOKUP(B92,'Cable Info (2)'!$B$11:$C$50,2,FALSE),(VLOOKUP(B92,'Cable Info'!$B$11:$C$50,2,FALSE)))),"NO SUCH EXIT")</f>
        <v/>
      </c>
      <c r="D92" s="285"/>
      <c r="E92" s="311"/>
      <c r="F92" s="132" t="s">
        <v>59</v>
      </c>
      <c r="G92" s="314"/>
      <c r="H92" s="142" t="str">
        <f t="shared" si="12"/>
        <v/>
      </c>
      <c r="I92" s="318"/>
      <c r="J92" s="132" t="s">
        <v>59</v>
      </c>
      <c r="K92" s="320"/>
      <c r="L92" s="289"/>
      <c r="M92" s="142" t="str">
        <f>IFERROR(IF(P92="","",IF((COUNTIF('Cable Info'!$B$11:$C$50,P92)=0),VLOOKUP(P92,'Cable Info (2)'!$B$11:$C$50,2,FALSE),(VLOOKUP(P92,'Cable Info'!$B$11:$C$50,2,FALSE)))),"NO SUCH EXIT")</f>
        <v/>
      </c>
      <c r="N92" s="293"/>
      <c r="O92" s="234"/>
      <c r="P92" s="161"/>
      <c r="Q92" s="224"/>
      <c r="R92" s="162"/>
      <c r="S92" s="162"/>
      <c r="T92" s="163"/>
      <c r="U92" s="163"/>
      <c r="V92" s="164"/>
      <c r="W92" s="164"/>
      <c r="X92" s="229" t="str">
        <f t="shared" si="13"/>
        <v/>
      </c>
      <c r="Y92" s="147" t="str">
        <f t="shared" si="14"/>
        <v/>
      </c>
      <c r="Z92" s="148" t="str">
        <f t="shared" si="15"/>
        <v/>
      </c>
      <c r="AA92" s="148" t="str">
        <f t="shared" si="16"/>
        <v/>
      </c>
      <c r="AB92" s="148" t="str">
        <f t="shared" si="17"/>
        <v/>
      </c>
      <c r="AJ92" s="149" t="e">
        <f>IF('Cable Info'!#REF!="","",CONCATENATE('Cable Info'!#REF!," - ",'Cable Info'!#REF!))</f>
        <v>#REF!</v>
      </c>
      <c r="AM92" s="149" t="e">
        <f t="shared" si="18"/>
        <v>#REF!</v>
      </c>
      <c r="AO92" s="149" t="e">
        <f>IF('Cable Info'!#REF!="","",CONCATENATE('Cable Info'!#REF!," - ",'Cable Info'!#REF!))</f>
        <v>#REF!</v>
      </c>
      <c r="AR92" s="149" t="e">
        <f t="shared" si="19"/>
        <v>#REF!</v>
      </c>
      <c r="AT92" s="149" t="e">
        <f>IF('Cable Info'!#REF!="","",CONCATENATE('Cable Info'!#REF!," - ",'Cable Info'!#REF!))</f>
        <v>#REF!</v>
      </c>
      <c r="AW92" s="149" t="e">
        <f t="shared" si="20"/>
        <v>#REF!</v>
      </c>
      <c r="AY92" s="149" t="e">
        <f>IF('Cable Info'!#REF!="","",CONCATENATE('Cable Info'!#REF!," - ",'Cable Info'!#REF!))</f>
        <v>#REF!</v>
      </c>
      <c r="BB92" s="149" t="e">
        <f t="shared" si="21"/>
        <v>#REF!</v>
      </c>
      <c r="BD92" s="149" t="e">
        <f>IF('Cable Info'!#REF!="","",CONCATENATE('Cable Info'!#REF!," - ",'Cable Info'!#REF!))</f>
        <v>#REF!</v>
      </c>
      <c r="BG92" s="149" t="e">
        <f t="shared" si="22"/>
        <v>#REF!</v>
      </c>
      <c r="BI92" s="149" t="e">
        <f>IF('Cable Info'!#REF!="","",CONCATENATE('Cable Info'!#REF!," - ",'Cable Info'!#REF!))</f>
        <v>#REF!</v>
      </c>
      <c r="BL92" s="149" t="e">
        <f t="shared" si="23"/>
        <v>#REF!</v>
      </c>
      <c r="CL92" s="309"/>
    </row>
    <row r="93" spans="1:90" x14ac:dyDescent="0.2">
      <c r="A93" s="222"/>
      <c r="B93" s="165"/>
      <c r="C93" s="142" t="str">
        <f>IFERROR(IF(B93="","",IF((COUNTIF('Cable Info'!$B$11:$C$50,B93)=0),VLOOKUP(B93,'Cable Info (2)'!$B$11:$C$50,2,FALSE),(VLOOKUP(B93,'Cable Info'!$B$11:$C$50,2,FALSE)))),"NO SUCH EXIT")</f>
        <v/>
      </c>
      <c r="D93" s="285"/>
      <c r="E93" s="311"/>
      <c r="F93" s="132" t="s">
        <v>59</v>
      </c>
      <c r="G93" s="314"/>
      <c r="H93" s="142" t="str">
        <f t="shared" si="12"/>
        <v/>
      </c>
      <c r="I93" s="318"/>
      <c r="J93" s="132" t="s">
        <v>59</v>
      </c>
      <c r="K93" s="320"/>
      <c r="L93" s="289"/>
      <c r="M93" s="142" t="str">
        <f>IFERROR(IF(P93="","",IF((COUNTIF('Cable Info'!$B$11:$C$50,P93)=0),VLOOKUP(P93,'Cable Info (2)'!$B$11:$C$50,2,FALSE),(VLOOKUP(P93,'Cable Info'!$B$11:$C$50,2,FALSE)))),"NO SUCH EXIT")</f>
        <v/>
      </c>
      <c r="N93" s="293"/>
      <c r="O93" s="234"/>
      <c r="P93" s="161"/>
      <c r="Q93" s="224"/>
      <c r="R93" s="162"/>
      <c r="S93" s="162"/>
      <c r="T93" s="163"/>
      <c r="U93" s="163"/>
      <c r="V93" s="164"/>
      <c r="W93" s="164"/>
      <c r="X93" s="229" t="str">
        <f t="shared" si="13"/>
        <v/>
      </c>
      <c r="Y93" s="147" t="str">
        <f t="shared" si="14"/>
        <v/>
      </c>
      <c r="Z93" s="148" t="str">
        <f t="shared" si="15"/>
        <v/>
      </c>
      <c r="AA93" s="148" t="str">
        <f t="shared" si="16"/>
        <v/>
      </c>
      <c r="AB93" s="148" t="str">
        <f t="shared" si="17"/>
        <v/>
      </c>
      <c r="AJ93" s="149" t="e">
        <f>IF('Cable Info'!#REF!="","",CONCATENATE('Cable Info'!#REF!," - ",'Cable Info'!#REF!))</f>
        <v>#REF!</v>
      </c>
      <c r="AM93" s="149" t="e">
        <f t="shared" si="18"/>
        <v>#REF!</v>
      </c>
      <c r="AO93" s="149" t="e">
        <f>IF('Cable Info'!#REF!="","",CONCATENATE('Cable Info'!#REF!," - ",'Cable Info'!#REF!))</f>
        <v>#REF!</v>
      </c>
      <c r="AR93" s="149" t="e">
        <f t="shared" si="19"/>
        <v>#REF!</v>
      </c>
      <c r="AT93" s="149" t="e">
        <f>IF('Cable Info'!#REF!="","",CONCATENATE('Cable Info'!#REF!," - ",'Cable Info'!#REF!))</f>
        <v>#REF!</v>
      </c>
      <c r="AW93" s="149" t="e">
        <f t="shared" si="20"/>
        <v>#REF!</v>
      </c>
      <c r="AY93" s="149" t="e">
        <f>IF('Cable Info'!#REF!="","",CONCATENATE('Cable Info'!#REF!," - ",'Cable Info'!#REF!))</f>
        <v>#REF!</v>
      </c>
      <c r="BB93" s="149" t="e">
        <f t="shared" si="21"/>
        <v>#REF!</v>
      </c>
      <c r="BD93" s="149" t="e">
        <f>IF('Cable Info'!#REF!="","",CONCATENATE('Cable Info'!#REF!," - ",'Cable Info'!#REF!))</f>
        <v>#REF!</v>
      </c>
      <c r="BG93" s="149" t="e">
        <f t="shared" si="22"/>
        <v>#REF!</v>
      </c>
      <c r="BI93" s="149" t="e">
        <f>IF('Cable Info'!#REF!="","",CONCATENATE('Cable Info'!#REF!," - ",'Cable Info'!#REF!))</f>
        <v>#REF!</v>
      </c>
      <c r="BL93" s="149" t="e">
        <f t="shared" si="23"/>
        <v>#REF!</v>
      </c>
      <c r="CL93" s="309"/>
    </row>
    <row r="94" spans="1:90" x14ac:dyDescent="0.2">
      <c r="A94" s="222"/>
      <c r="B94" s="165"/>
      <c r="C94" s="142" t="str">
        <f>IFERROR(IF(B94="","",IF((COUNTIF('Cable Info'!$B$11:$C$50,B94)=0),VLOOKUP(B94,'Cable Info (2)'!$B$11:$C$50,2,FALSE),(VLOOKUP(B94,'Cable Info'!$B$11:$C$50,2,FALSE)))),"NO SUCH EXIT")</f>
        <v/>
      </c>
      <c r="D94" s="285"/>
      <c r="E94" s="311"/>
      <c r="F94" s="132" t="s">
        <v>59</v>
      </c>
      <c r="G94" s="314"/>
      <c r="H94" s="142" t="str">
        <f t="shared" si="12"/>
        <v/>
      </c>
      <c r="I94" s="318"/>
      <c r="J94" s="132" t="s">
        <v>59</v>
      </c>
      <c r="K94" s="320"/>
      <c r="L94" s="289"/>
      <c r="M94" s="142" t="str">
        <f>IFERROR(IF(P94="","",IF((COUNTIF('Cable Info'!$B$11:$C$50,P94)=0),VLOOKUP(P94,'Cable Info (2)'!$B$11:$C$50,2,FALSE),(VLOOKUP(P94,'Cable Info'!$B$11:$C$50,2,FALSE)))),"NO SUCH EXIT")</f>
        <v/>
      </c>
      <c r="N94" s="293"/>
      <c r="O94" s="234"/>
      <c r="P94" s="161"/>
      <c r="Q94" s="224"/>
      <c r="R94" s="162"/>
      <c r="S94" s="162"/>
      <c r="T94" s="163"/>
      <c r="U94" s="163"/>
      <c r="V94" s="164"/>
      <c r="W94" s="164"/>
      <c r="X94" s="229" t="str">
        <f t="shared" si="13"/>
        <v/>
      </c>
      <c r="Y94" s="147" t="str">
        <f t="shared" si="14"/>
        <v/>
      </c>
      <c r="Z94" s="148" t="str">
        <f t="shared" si="15"/>
        <v/>
      </c>
      <c r="AA94" s="148" t="str">
        <f t="shared" si="16"/>
        <v/>
      </c>
      <c r="AB94" s="148" t="str">
        <f t="shared" si="17"/>
        <v/>
      </c>
      <c r="AJ94" s="149" t="e">
        <f>IF('Cable Info'!#REF!="","",CONCATENATE('Cable Info'!#REF!," - ",'Cable Info'!#REF!))</f>
        <v>#REF!</v>
      </c>
      <c r="AM94" s="149" t="e">
        <f t="shared" si="18"/>
        <v>#REF!</v>
      </c>
      <c r="AO94" s="149" t="e">
        <f>IF('Cable Info'!#REF!="","",CONCATENATE('Cable Info'!#REF!," - ",'Cable Info'!#REF!))</f>
        <v>#REF!</v>
      </c>
      <c r="AR94" s="149" t="e">
        <f t="shared" si="19"/>
        <v>#REF!</v>
      </c>
      <c r="AT94" s="149" t="e">
        <f>IF('Cable Info'!#REF!="","",CONCATENATE('Cable Info'!#REF!," - ",'Cable Info'!#REF!))</f>
        <v>#REF!</v>
      </c>
      <c r="AW94" s="149" t="e">
        <f t="shared" si="20"/>
        <v>#REF!</v>
      </c>
      <c r="AY94" s="149" t="e">
        <f>IF('Cable Info'!#REF!="","",CONCATENATE('Cable Info'!#REF!," - ",'Cable Info'!#REF!))</f>
        <v>#REF!</v>
      </c>
      <c r="BB94" s="149" t="e">
        <f t="shared" si="21"/>
        <v>#REF!</v>
      </c>
      <c r="BD94" s="149" t="e">
        <f>IF('Cable Info'!#REF!="","",CONCATENATE('Cable Info'!#REF!," - ",'Cable Info'!#REF!))</f>
        <v>#REF!</v>
      </c>
      <c r="BG94" s="149" t="e">
        <f t="shared" si="22"/>
        <v>#REF!</v>
      </c>
      <c r="BI94" s="149" t="e">
        <f>IF('Cable Info'!#REF!="","",CONCATENATE('Cable Info'!#REF!," - ",'Cable Info'!#REF!))</f>
        <v>#REF!</v>
      </c>
      <c r="BL94" s="149" t="e">
        <f t="shared" si="23"/>
        <v>#REF!</v>
      </c>
      <c r="CL94" s="309"/>
    </row>
    <row r="95" spans="1:90" x14ac:dyDescent="0.2">
      <c r="A95" s="222"/>
      <c r="B95" s="165"/>
      <c r="C95" s="142" t="str">
        <f>IFERROR(IF(B95="","",IF((COUNTIF('Cable Info'!$B$11:$C$50,B95)=0),VLOOKUP(B95,'Cable Info (2)'!$B$11:$C$50,2,FALSE),(VLOOKUP(B95,'Cable Info'!$B$11:$C$50,2,FALSE)))),"NO SUCH EXIT")</f>
        <v/>
      </c>
      <c r="D95" s="285"/>
      <c r="E95" s="311"/>
      <c r="F95" s="132" t="s">
        <v>59</v>
      </c>
      <c r="G95" s="314"/>
      <c r="H95" s="142" t="str">
        <f t="shared" si="12"/>
        <v/>
      </c>
      <c r="I95" s="318"/>
      <c r="J95" s="132" t="s">
        <v>59</v>
      </c>
      <c r="K95" s="320"/>
      <c r="L95" s="289"/>
      <c r="M95" s="142" t="str">
        <f>IFERROR(IF(P95="","",IF((COUNTIF('Cable Info'!$B$11:$C$50,P95)=0),VLOOKUP(P95,'Cable Info (2)'!$B$11:$C$50,2,FALSE),(VLOOKUP(P95,'Cable Info'!$B$11:$C$50,2,FALSE)))),"NO SUCH EXIT")</f>
        <v/>
      </c>
      <c r="N95" s="293"/>
      <c r="O95" s="234"/>
      <c r="P95" s="161"/>
      <c r="Q95" s="224"/>
      <c r="R95" s="162"/>
      <c r="S95" s="162"/>
      <c r="T95" s="163"/>
      <c r="U95" s="163"/>
      <c r="V95" s="164"/>
      <c r="W95" s="164"/>
      <c r="X95" s="229" t="str">
        <f t="shared" si="13"/>
        <v/>
      </c>
      <c r="Y95" s="147" t="str">
        <f t="shared" si="14"/>
        <v/>
      </c>
      <c r="Z95" s="148" t="str">
        <f t="shared" si="15"/>
        <v/>
      </c>
      <c r="AA95" s="148" t="str">
        <f t="shared" si="16"/>
        <v/>
      </c>
      <c r="AB95" s="148" t="str">
        <f t="shared" si="17"/>
        <v/>
      </c>
      <c r="AJ95" s="149" t="e">
        <f>IF('Cable Info'!#REF!="","",CONCATENATE('Cable Info'!#REF!," - ",'Cable Info'!#REF!))</f>
        <v>#REF!</v>
      </c>
      <c r="AM95" s="149" t="e">
        <f t="shared" si="18"/>
        <v>#REF!</v>
      </c>
      <c r="AO95" s="149" t="e">
        <f>IF('Cable Info'!#REF!="","",CONCATENATE('Cable Info'!#REF!," - ",'Cable Info'!#REF!))</f>
        <v>#REF!</v>
      </c>
      <c r="AR95" s="149" t="e">
        <f t="shared" si="19"/>
        <v>#REF!</v>
      </c>
      <c r="AT95" s="149" t="e">
        <f>IF('Cable Info'!#REF!="","",CONCATENATE('Cable Info'!#REF!," - ",'Cable Info'!#REF!))</f>
        <v>#REF!</v>
      </c>
      <c r="AW95" s="149" t="e">
        <f t="shared" si="20"/>
        <v>#REF!</v>
      </c>
      <c r="AY95" s="149" t="e">
        <f>IF('Cable Info'!#REF!="","",CONCATENATE('Cable Info'!#REF!," - ",'Cable Info'!#REF!))</f>
        <v>#REF!</v>
      </c>
      <c r="BB95" s="149" t="e">
        <f t="shared" si="21"/>
        <v>#REF!</v>
      </c>
      <c r="BD95" s="149" t="e">
        <f>IF('Cable Info'!#REF!="","",CONCATENATE('Cable Info'!#REF!," - ",'Cable Info'!#REF!))</f>
        <v>#REF!</v>
      </c>
      <c r="BG95" s="149" t="e">
        <f t="shared" si="22"/>
        <v>#REF!</v>
      </c>
      <c r="BI95" s="149" t="e">
        <f>IF('Cable Info'!#REF!="","",CONCATENATE('Cable Info'!#REF!," - ",'Cable Info'!#REF!))</f>
        <v>#REF!</v>
      </c>
      <c r="BL95" s="149" t="e">
        <f t="shared" si="23"/>
        <v>#REF!</v>
      </c>
      <c r="CL95" s="309"/>
    </row>
    <row r="96" spans="1:90" x14ac:dyDescent="0.2">
      <c r="A96" s="222"/>
      <c r="B96" s="165"/>
      <c r="C96" s="142" t="str">
        <f>IFERROR(IF(B96="","",IF((COUNTIF('Cable Info'!$B$11:$C$50,B96)=0),VLOOKUP(B96,'Cable Info (2)'!$B$11:$C$50,2,FALSE),(VLOOKUP(B96,'Cable Info'!$B$11:$C$50,2,FALSE)))),"NO SUCH EXIT")</f>
        <v/>
      </c>
      <c r="D96" s="285"/>
      <c r="E96" s="311"/>
      <c r="F96" s="132" t="s">
        <v>59</v>
      </c>
      <c r="G96" s="314"/>
      <c r="H96" s="142" t="str">
        <f t="shared" si="12"/>
        <v/>
      </c>
      <c r="I96" s="318"/>
      <c r="J96" s="132" t="s">
        <v>59</v>
      </c>
      <c r="K96" s="320"/>
      <c r="L96" s="289"/>
      <c r="M96" s="142" t="str">
        <f>IFERROR(IF(P96="","",IF((COUNTIF('Cable Info'!$B$11:$C$50,P96)=0),VLOOKUP(P96,'Cable Info (2)'!$B$11:$C$50,2,FALSE),(VLOOKUP(P96,'Cable Info'!$B$11:$C$50,2,FALSE)))),"NO SUCH EXIT")</f>
        <v/>
      </c>
      <c r="N96" s="293"/>
      <c r="O96" s="234"/>
      <c r="P96" s="161"/>
      <c r="Q96" s="224"/>
      <c r="R96" s="162"/>
      <c r="S96" s="162"/>
      <c r="T96" s="163"/>
      <c r="U96" s="163"/>
      <c r="V96" s="164"/>
      <c r="W96" s="164"/>
      <c r="X96" s="229" t="str">
        <f t="shared" si="13"/>
        <v/>
      </c>
      <c r="Y96" s="147" t="str">
        <f t="shared" si="14"/>
        <v/>
      </c>
      <c r="Z96" s="148" t="str">
        <f t="shared" si="15"/>
        <v/>
      </c>
      <c r="AA96" s="148" t="str">
        <f t="shared" si="16"/>
        <v/>
      </c>
      <c r="AB96" s="148" t="str">
        <f t="shared" si="17"/>
        <v/>
      </c>
      <c r="AJ96" s="149" t="e">
        <f>IF('Cable Info'!#REF!="","",CONCATENATE('Cable Info'!#REF!," - ",'Cable Info'!#REF!))</f>
        <v>#REF!</v>
      </c>
      <c r="AM96" s="149" t="e">
        <f t="shared" si="18"/>
        <v>#REF!</v>
      </c>
      <c r="AO96" s="149" t="e">
        <f>IF('Cable Info'!#REF!="","",CONCATENATE('Cable Info'!#REF!," - ",'Cable Info'!#REF!))</f>
        <v>#REF!</v>
      </c>
      <c r="AR96" s="149" t="e">
        <f t="shared" si="19"/>
        <v>#REF!</v>
      </c>
      <c r="AT96" s="149" t="e">
        <f>IF('Cable Info'!#REF!="","",CONCATENATE('Cable Info'!#REF!," - ",'Cable Info'!#REF!))</f>
        <v>#REF!</v>
      </c>
      <c r="AW96" s="149" t="e">
        <f t="shared" si="20"/>
        <v>#REF!</v>
      </c>
      <c r="AY96" s="149" t="e">
        <f>IF('Cable Info'!#REF!="","",CONCATENATE('Cable Info'!#REF!," - ",'Cable Info'!#REF!))</f>
        <v>#REF!</v>
      </c>
      <c r="BB96" s="149" t="e">
        <f t="shared" si="21"/>
        <v>#REF!</v>
      </c>
      <c r="BD96" s="149" t="e">
        <f>IF('Cable Info'!#REF!="","",CONCATENATE('Cable Info'!#REF!," - ",'Cable Info'!#REF!))</f>
        <v>#REF!</v>
      </c>
      <c r="BG96" s="149" t="e">
        <f t="shared" si="22"/>
        <v>#REF!</v>
      </c>
      <c r="BI96" s="149" t="e">
        <f>IF('Cable Info'!#REF!="","",CONCATENATE('Cable Info'!#REF!," - ",'Cable Info'!#REF!))</f>
        <v>#REF!</v>
      </c>
      <c r="BL96" s="149" t="e">
        <f t="shared" si="23"/>
        <v>#REF!</v>
      </c>
      <c r="CL96" s="309"/>
    </row>
    <row r="97" spans="1:90" x14ac:dyDescent="0.2">
      <c r="A97" s="222"/>
      <c r="B97" s="165"/>
      <c r="C97" s="142" t="str">
        <f>IFERROR(IF(B97="","",IF((COUNTIF('Cable Info'!$B$11:$C$50,B97)=0),VLOOKUP(B97,'Cable Info (2)'!$B$11:$C$50,2,FALSE),(VLOOKUP(B97,'Cable Info'!$B$11:$C$50,2,FALSE)))),"NO SUCH EXIT")</f>
        <v/>
      </c>
      <c r="D97" s="285"/>
      <c r="E97" s="311"/>
      <c r="F97" s="132" t="s">
        <v>59</v>
      </c>
      <c r="G97" s="314"/>
      <c r="H97" s="142" t="str">
        <f t="shared" si="12"/>
        <v/>
      </c>
      <c r="I97" s="318"/>
      <c r="J97" s="132" t="s">
        <v>59</v>
      </c>
      <c r="K97" s="320"/>
      <c r="L97" s="289"/>
      <c r="M97" s="142" t="str">
        <f>IFERROR(IF(P97="","",IF((COUNTIF('Cable Info'!$B$11:$C$50,P97)=0),VLOOKUP(P97,'Cable Info (2)'!$B$11:$C$50,2,FALSE),(VLOOKUP(P97,'Cable Info'!$B$11:$C$50,2,FALSE)))),"NO SUCH EXIT")</f>
        <v/>
      </c>
      <c r="N97" s="293"/>
      <c r="O97" s="234"/>
      <c r="P97" s="161"/>
      <c r="Q97" s="224"/>
      <c r="R97" s="162"/>
      <c r="S97" s="162"/>
      <c r="T97" s="163"/>
      <c r="U97" s="163"/>
      <c r="V97" s="164"/>
      <c r="W97" s="164"/>
      <c r="X97" s="229" t="str">
        <f t="shared" si="13"/>
        <v/>
      </c>
      <c r="Y97" s="147" t="str">
        <f t="shared" si="14"/>
        <v/>
      </c>
      <c r="Z97" s="148" t="str">
        <f t="shared" si="15"/>
        <v/>
      </c>
      <c r="AA97" s="148" t="str">
        <f t="shared" si="16"/>
        <v/>
      </c>
      <c r="AB97" s="148" t="str">
        <f t="shared" si="17"/>
        <v/>
      </c>
      <c r="AJ97" s="149" t="e">
        <f>IF('Cable Info'!#REF!="","",CONCATENATE('Cable Info'!#REF!," - ",'Cable Info'!#REF!))</f>
        <v>#REF!</v>
      </c>
      <c r="AM97" s="149" t="e">
        <f t="shared" si="18"/>
        <v>#REF!</v>
      </c>
      <c r="AO97" s="149" t="e">
        <f>IF('Cable Info'!#REF!="","",CONCATENATE('Cable Info'!#REF!," - ",'Cable Info'!#REF!))</f>
        <v>#REF!</v>
      </c>
      <c r="AR97" s="149" t="e">
        <f t="shared" si="19"/>
        <v>#REF!</v>
      </c>
      <c r="AT97" s="149" t="e">
        <f>IF('Cable Info'!#REF!="","",CONCATENATE('Cable Info'!#REF!," - ",'Cable Info'!#REF!))</f>
        <v>#REF!</v>
      </c>
      <c r="AW97" s="149" t="e">
        <f t="shared" si="20"/>
        <v>#REF!</v>
      </c>
      <c r="AY97" s="149" t="e">
        <f>IF('Cable Info'!#REF!="","",CONCATENATE('Cable Info'!#REF!," - ",'Cable Info'!#REF!))</f>
        <v>#REF!</v>
      </c>
      <c r="BB97" s="149" t="e">
        <f t="shared" si="21"/>
        <v>#REF!</v>
      </c>
      <c r="BD97" s="149" t="e">
        <f>IF('Cable Info'!#REF!="","",CONCATENATE('Cable Info'!#REF!," - ",'Cable Info'!#REF!))</f>
        <v>#REF!</v>
      </c>
      <c r="BG97" s="149" t="e">
        <f t="shared" si="22"/>
        <v>#REF!</v>
      </c>
      <c r="BI97" s="149" t="e">
        <f>IF('Cable Info'!#REF!="","",CONCATENATE('Cable Info'!#REF!," - ",'Cable Info'!#REF!))</f>
        <v>#REF!</v>
      </c>
      <c r="BL97" s="149" t="e">
        <f t="shared" si="23"/>
        <v>#REF!</v>
      </c>
      <c r="CL97" s="309"/>
    </row>
    <row r="98" spans="1:90" x14ac:dyDescent="0.2">
      <c r="A98" s="222"/>
      <c r="B98" s="165"/>
      <c r="C98" s="142" t="str">
        <f>IFERROR(IF(B98="","",IF((COUNTIF('Cable Info'!$B$11:$C$50,B98)=0),VLOOKUP(B98,'Cable Info (2)'!$B$11:$C$50,2,FALSE),(VLOOKUP(B98,'Cable Info'!$B$11:$C$50,2,FALSE)))),"NO SUCH EXIT")</f>
        <v/>
      </c>
      <c r="D98" s="285"/>
      <c r="E98" s="311"/>
      <c r="F98" s="132" t="s">
        <v>59</v>
      </c>
      <c r="G98" s="314"/>
      <c r="H98" s="142" t="str">
        <f t="shared" si="12"/>
        <v/>
      </c>
      <c r="I98" s="318"/>
      <c r="J98" s="132" t="s">
        <v>59</v>
      </c>
      <c r="K98" s="320"/>
      <c r="L98" s="289"/>
      <c r="M98" s="142" t="str">
        <f>IFERROR(IF(P98="","",IF((COUNTIF('Cable Info'!$B$11:$C$50,P98)=0),VLOOKUP(P98,'Cable Info (2)'!$B$11:$C$50,2,FALSE),(VLOOKUP(P98,'Cable Info'!$B$11:$C$50,2,FALSE)))),"NO SUCH EXIT")</f>
        <v/>
      </c>
      <c r="N98" s="293"/>
      <c r="O98" s="234"/>
      <c r="P98" s="161"/>
      <c r="Q98" s="224"/>
      <c r="R98" s="162"/>
      <c r="S98" s="162"/>
      <c r="T98" s="163"/>
      <c r="U98" s="163"/>
      <c r="V98" s="164"/>
      <c r="W98" s="164"/>
      <c r="X98" s="229" t="str">
        <f t="shared" si="13"/>
        <v/>
      </c>
      <c r="Y98" s="147" t="str">
        <f t="shared" si="14"/>
        <v/>
      </c>
      <c r="Z98" s="148" t="str">
        <f t="shared" si="15"/>
        <v/>
      </c>
      <c r="AA98" s="148" t="str">
        <f t="shared" si="16"/>
        <v/>
      </c>
      <c r="AB98" s="148" t="str">
        <f t="shared" si="17"/>
        <v/>
      </c>
      <c r="AJ98" s="149" t="e">
        <f>IF('Cable Info'!#REF!="","",CONCATENATE('Cable Info'!#REF!," - ",'Cable Info'!#REF!))</f>
        <v>#REF!</v>
      </c>
      <c r="AM98" s="149" t="e">
        <f t="shared" si="18"/>
        <v>#REF!</v>
      </c>
      <c r="AO98" s="149" t="e">
        <f>IF('Cable Info'!#REF!="","",CONCATENATE('Cable Info'!#REF!," - ",'Cable Info'!#REF!))</f>
        <v>#REF!</v>
      </c>
      <c r="AR98" s="149" t="e">
        <f t="shared" si="19"/>
        <v>#REF!</v>
      </c>
      <c r="AT98" s="149" t="e">
        <f>IF('Cable Info'!#REF!="","",CONCATENATE('Cable Info'!#REF!," - ",'Cable Info'!#REF!))</f>
        <v>#REF!</v>
      </c>
      <c r="AW98" s="149" t="e">
        <f t="shared" si="20"/>
        <v>#REF!</v>
      </c>
      <c r="AY98" s="149" t="e">
        <f>IF('Cable Info'!#REF!="","",CONCATENATE('Cable Info'!#REF!," - ",'Cable Info'!#REF!))</f>
        <v>#REF!</v>
      </c>
      <c r="BB98" s="149" t="e">
        <f t="shared" si="21"/>
        <v>#REF!</v>
      </c>
      <c r="BD98" s="149" t="e">
        <f>IF('Cable Info'!#REF!="","",CONCATENATE('Cable Info'!#REF!," - ",'Cable Info'!#REF!))</f>
        <v>#REF!</v>
      </c>
      <c r="BG98" s="149" t="e">
        <f t="shared" si="22"/>
        <v>#REF!</v>
      </c>
      <c r="BI98" s="149" t="e">
        <f>IF('Cable Info'!#REF!="","",CONCATENATE('Cable Info'!#REF!," - ",'Cable Info'!#REF!))</f>
        <v>#REF!</v>
      </c>
      <c r="BL98" s="149" t="e">
        <f t="shared" si="23"/>
        <v>#REF!</v>
      </c>
      <c r="CL98" s="309"/>
    </row>
    <row r="99" spans="1:90" x14ac:dyDescent="0.2">
      <c r="A99" s="222"/>
      <c r="B99" s="165"/>
      <c r="C99" s="142" t="str">
        <f>IFERROR(IF(B99="","",IF((COUNTIF('Cable Info'!$B$11:$C$50,B99)=0),VLOOKUP(B99,'Cable Info (2)'!$B$11:$C$50,2,FALSE),(VLOOKUP(B99,'Cable Info'!$B$11:$C$50,2,FALSE)))),"NO SUCH EXIT")</f>
        <v/>
      </c>
      <c r="D99" s="285"/>
      <c r="E99" s="311"/>
      <c r="F99" s="132" t="s">
        <v>59</v>
      </c>
      <c r="G99" s="314"/>
      <c r="H99" s="142" t="str">
        <f t="shared" si="12"/>
        <v/>
      </c>
      <c r="I99" s="318"/>
      <c r="J99" s="132" t="s">
        <v>59</v>
      </c>
      <c r="K99" s="320"/>
      <c r="L99" s="289"/>
      <c r="M99" s="142" t="str">
        <f>IFERROR(IF(P99="","",IF((COUNTIF('Cable Info'!$B$11:$C$50,P99)=0),VLOOKUP(P99,'Cable Info (2)'!$B$11:$C$50,2,FALSE),(VLOOKUP(P99,'Cable Info'!$B$11:$C$50,2,FALSE)))),"NO SUCH EXIT")</f>
        <v/>
      </c>
      <c r="N99" s="293"/>
      <c r="O99" s="234"/>
      <c r="P99" s="161"/>
      <c r="Q99" s="224"/>
      <c r="R99" s="162"/>
      <c r="S99" s="162"/>
      <c r="T99" s="163"/>
      <c r="U99" s="163"/>
      <c r="V99" s="164"/>
      <c r="W99" s="164"/>
      <c r="X99" s="229" t="str">
        <f t="shared" si="13"/>
        <v/>
      </c>
      <c r="Y99" s="147" t="str">
        <f t="shared" si="14"/>
        <v/>
      </c>
      <c r="Z99" s="148" t="str">
        <f t="shared" si="15"/>
        <v/>
      </c>
      <c r="AA99" s="148" t="str">
        <f t="shared" si="16"/>
        <v/>
      </c>
      <c r="AB99" s="148" t="str">
        <f t="shared" si="17"/>
        <v/>
      </c>
      <c r="AJ99" s="149" t="e">
        <f>IF('Cable Info'!#REF!="","",CONCATENATE('Cable Info'!#REF!," - ",'Cable Info'!#REF!))</f>
        <v>#REF!</v>
      </c>
      <c r="AM99" s="149" t="e">
        <f t="shared" si="18"/>
        <v>#REF!</v>
      </c>
      <c r="AO99" s="149" t="e">
        <f>IF('Cable Info'!#REF!="","",CONCATENATE('Cable Info'!#REF!," - ",'Cable Info'!#REF!))</f>
        <v>#REF!</v>
      </c>
      <c r="AR99" s="149" t="e">
        <f t="shared" si="19"/>
        <v>#REF!</v>
      </c>
      <c r="AT99" s="149" t="e">
        <f>IF('Cable Info'!#REF!="","",CONCATENATE('Cable Info'!#REF!," - ",'Cable Info'!#REF!))</f>
        <v>#REF!</v>
      </c>
      <c r="AW99" s="149" t="e">
        <f t="shared" si="20"/>
        <v>#REF!</v>
      </c>
      <c r="AY99" s="149" t="e">
        <f>IF('Cable Info'!#REF!="","",CONCATENATE('Cable Info'!#REF!," - ",'Cable Info'!#REF!))</f>
        <v>#REF!</v>
      </c>
      <c r="BB99" s="149" t="e">
        <f t="shared" si="21"/>
        <v>#REF!</v>
      </c>
      <c r="BD99" s="149" t="e">
        <f>IF('Cable Info'!#REF!="","",CONCATENATE('Cable Info'!#REF!," - ",'Cable Info'!#REF!))</f>
        <v>#REF!</v>
      </c>
      <c r="BG99" s="149" t="e">
        <f t="shared" si="22"/>
        <v>#REF!</v>
      </c>
      <c r="BI99" s="149" t="e">
        <f>IF('Cable Info'!#REF!="","",CONCATENATE('Cable Info'!#REF!," - ",'Cable Info'!#REF!))</f>
        <v>#REF!</v>
      </c>
      <c r="BL99" s="149" t="e">
        <f t="shared" si="23"/>
        <v>#REF!</v>
      </c>
      <c r="CL99" s="309"/>
    </row>
    <row r="100" spans="1:90" x14ac:dyDescent="0.2">
      <c r="A100" s="222"/>
      <c r="B100" s="165"/>
      <c r="C100" s="142" t="str">
        <f>IFERROR(IF(B100="","",IF((COUNTIF('Cable Info'!$B$11:$C$50,B100)=0),VLOOKUP(B100,'Cable Info (2)'!$B$11:$C$50,2,FALSE),(VLOOKUP(B100,'Cable Info'!$B$11:$C$50,2,FALSE)))),"NO SUCH EXIT")</f>
        <v/>
      </c>
      <c r="D100" s="285"/>
      <c r="E100" s="311"/>
      <c r="F100" s="132" t="s">
        <v>59</v>
      </c>
      <c r="G100" s="314"/>
      <c r="H100" s="142" t="str">
        <f t="shared" si="12"/>
        <v/>
      </c>
      <c r="I100" s="318"/>
      <c r="J100" s="132" t="s">
        <v>59</v>
      </c>
      <c r="K100" s="320"/>
      <c r="L100" s="289"/>
      <c r="M100" s="142" t="str">
        <f>IFERROR(IF(P100="","",IF((COUNTIF('Cable Info'!$B$11:$C$50,P100)=0),VLOOKUP(P100,'Cable Info (2)'!$B$11:$C$50,2,FALSE),(VLOOKUP(P100,'Cable Info'!$B$11:$C$50,2,FALSE)))),"NO SUCH EXIT")</f>
        <v/>
      </c>
      <c r="N100" s="293"/>
      <c r="O100" s="234"/>
      <c r="P100" s="161"/>
      <c r="Q100" s="224"/>
      <c r="R100" s="162"/>
      <c r="S100" s="162"/>
      <c r="T100" s="163"/>
      <c r="U100" s="163"/>
      <c r="V100" s="164"/>
      <c r="W100" s="164"/>
      <c r="X100" s="229" t="str">
        <f t="shared" si="13"/>
        <v/>
      </c>
      <c r="Y100" s="147" t="str">
        <f t="shared" si="14"/>
        <v/>
      </c>
      <c r="Z100" s="148" t="str">
        <f t="shared" si="15"/>
        <v/>
      </c>
      <c r="AA100" s="148" t="str">
        <f t="shared" si="16"/>
        <v/>
      </c>
      <c r="AB100" s="148" t="str">
        <f t="shared" si="17"/>
        <v/>
      </c>
      <c r="AJ100" s="149" t="e">
        <f>IF('Cable Info'!#REF!="","",CONCATENATE('Cable Info'!#REF!," - ",'Cable Info'!#REF!))</f>
        <v>#REF!</v>
      </c>
      <c r="AM100" s="149" t="e">
        <f t="shared" si="18"/>
        <v>#REF!</v>
      </c>
      <c r="AO100" s="149" t="e">
        <f>IF('Cable Info'!#REF!="","",CONCATENATE('Cable Info'!#REF!," - ",'Cable Info'!#REF!))</f>
        <v>#REF!</v>
      </c>
      <c r="AR100" s="149" t="e">
        <f t="shared" si="19"/>
        <v>#REF!</v>
      </c>
      <c r="AT100" s="149" t="e">
        <f>IF('Cable Info'!#REF!="","",CONCATENATE('Cable Info'!#REF!," - ",'Cable Info'!#REF!))</f>
        <v>#REF!</v>
      </c>
      <c r="AW100" s="149" t="e">
        <f t="shared" si="20"/>
        <v>#REF!</v>
      </c>
      <c r="AY100" s="149" t="e">
        <f>IF('Cable Info'!#REF!="","",CONCATENATE('Cable Info'!#REF!," - ",'Cable Info'!#REF!))</f>
        <v>#REF!</v>
      </c>
      <c r="BB100" s="149" t="e">
        <f t="shared" si="21"/>
        <v>#REF!</v>
      </c>
      <c r="BD100" s="149" t="e">
        <f>IF('Cable Info'!#REF!="","",CONCATENATE('Cable Info'!#REF!," - ",'Cable Info'!#REF!))</f>
        <v>#REF!</v>
      </c>
      <c r="BG100" s="149" t="e">
        <f t="shared" si="22"/>
        <v>#REF!</v>
      </c>
      <c r="BI100" s="149" t="e">
        <f>IF('Cable Info'!#REF!="","",CONCATENATE('Cable Info'!#REF!," - ",'Cable Info'!#REF!))</f>
        <v>#REF!</v>
      </c>
      <c r="BL100" s="149" t="e">
        <f t="shared" si="23"/>
        <v>#REF!</v>
      </c>
      <c r="CL100" s="309"/>
    </row>
    <row r="101" spans="1:90" x14ac:dyDescent="0.2">
      <c r="A101" s="222"/>
      <c r="B101" s="165"/>
      <c r="C101" s="142" t="str">
        <f>IFERROR(IF(B101="","",IF((COUNTIF('Cable Info'!$B$11:$C$50,B101)=0),VLOOKUP(B101,'Cable Info (2)'!$B$11:$C$50,2,FALSE),(VLOOKUP(B101,'Cable Info'!$B$11:$C$50,2,FALSE)))),"NO SUCH EXIT")</f>
        <v/>
      </c>
      <c r="D101" s="285"/>
      <c r="E101" s="311"/>
      <c r="F101" s="132" t="s">
        <v>59</v>
      </c>
      <c r="G101" s="314"/>
      <c r="H101" s="142" t="str">
        <f t="shared" si="12"/>
        <v/>
      </c>
      <c r="I101" s="318"/>
      <c r="J101" s="132" t="s">
        <v>59</v>
      </c>
      <c r="K101" s="320"/>
      <c r="L101" s="289"/>
      <c r="M101" s="142" t="str">
        <f>IFERROR(IF(P101="","",IF((COUNTIF('Cable Info'!$B$11:$C$50,P101)=0),VLOOKUP(P101,'Cable Info (2)'!$B$11:$C$50,2,FALSE),(VLOOKUP(P101,'Cable Info'!$B$11:$C$50,2,FALSE)))),"NO SUCH EXIT")</f>
        <v/>
      </c>
      <c r="N101" s="293"/>
      <c r="O101" s="234"/>
      <c r="P101" s="161"/>
      <c r="Q101" s="224"/>
      <c r="R101" s="162"/>
      <c r="S101" s="162"/>
      <c r="T101" s="163"/>
      <c r="U101" s="163"/>
      <c r="V101" s="164"/>
      <c r="W101" s="164"/>
      <c r="X101" s="229" t="str">
        <f t="shared" si="13"/>
        <v/>
      </c>
      <c r="Y101" s="147" t="str">
        <f t="shared" si="14"/>
        <v/>
      </c>
      <c r="Z101" s="148" t="str">
        <f t="shared" si="15"/>
        <v/>
      </c>
      <c r="AA101" s="148" t="str">
        <f t="shared" si="16"/>
        <v/>
      </c>
      <c r="AB101" s="148" t="str">
        <f t="shared" si="17"/>
        <v/>
      </c>
      <c r="AJ101" s="149" t="e">
        <f>IF('Cable Info'!#REF!="","",CONCATENATE('Cable Info'!#REF!," - ",'Cable Info'!#REF!))</f>
        <v>#REF!</v>
      </c>
      <c r="AM101" s="149" t="e">
        <f t="shared" si="18"/>
        <v>#REF!</v>
      </c>
      <c r="AO101" s="149" t="e">
        <f>IF('Cable Info'!#REF!="","",CONCATENATE('Cable Info'!#REF!," - ",'Cable Info'!#REF!))</f>
        <v>#REF!</v>
      </c>
      <c r="AR101" s="149" t="e">
        <f t="shared" si="19"/>
        <v>#REF!</v>
      </c>
      <c r="AT101" s="149" t="e">
        <f>IF('Cable Info'!#REF!="","",CONCATENATE('Cable Info'!#REF!," - ",'Cable Info'!#REF!))</f>
        <v>#REF!</v>
      </c>
      <c r="AW101" s="149" t="e">
        <f t="shared" si="20"/>
        <v>#REF!</v>
      </c>
      <c r="AY101" s="149" t="e">
        <f>IF('Cable Info'!#REF!="","",CONCATENATE('Cable Info'!#REF!," - ",'Cable Info'!#REF!))</f>
        <v>#REF!</v>
      </c>
      <c r="BB101" s="149" t="e">
        <f t="shared" si="21"/>
        <v>#REF!</v>
      </c>
      <c r="BD101" s="149" t="e">
        <f>IF('Cable Info'!#REF!="","",CONCATENATE('Cable Info'!#REF!," - ",'Cable Info'!#REF!))</f>
        <v>#REF!</v>
      </c>
      <c r="BG101" s="149" t="e">
        <f t="shared" si="22"/>
        <v>#REF!</v>
      </c>
      <c r="BI101" s="149" t="e">
        <f>IF('Cable Info'!#REF!="","",CONCATENATE('Cable Info'!#REF!," - ",'Cable Info'!#REF!))</f>
        <v>#REF!</v>
      </c>
      <c r="BL101" s="149" t="e">
        <f t="shared" si="23"/>
        <v>#REF!</v>
      </c>
      <c r="CL101" s="309"/>
    </row>
    <row r="102" spans="1:90" x14ac:dyDescent="0.2">
      <c r="A102" s="222"/>
      <c r="B102" s="165"/>
      <c r="C102" s="142" t="str">
        <f>IFERROR(IF(B102="","",IF((COUNTIF('Cable Info'!$B$11:$C$50,B102)=0),VLOOKUP(B102,'Cable Info (2)'!$B$11:$C$50,2,FALSE),(VLOOKUP(B102,'Cable Info'!$B$11:$C$50,2,FALSE)))),"NO SUCH EXIT")</f>
        <v/>
      </c>
      <c r="D102" s="285"/>
      <c r="E102" s="311"/>
      <c r="F102" s="132" t="s">
        <v>59</v>
      </c>
      <c r="G102" s="314"/>
      <c r="H102" s="142" t="str">
        <f t="shared" si="12"/>
        <v/>
      </c>
      <c r="I102" s="318"/>
      <c r="J102" s="132" t="s">
        <v>59</v>
      </c>
      <c r="K102" s="320"/>
      <c r="L102" s="289"/>
      <c r="M102" s="142" t="str">
        <f>IFERROR(IF(P102="","",IF((COUNTIF('Cable Info'!$B$11:$C$50,P102)=0),VLOOKUP(P102,'Cable Info (2)'!$B$11:$C$50,2,FALSE),(VLOOKUP(P102,'Cable Info'!$B$11:$C$50,2,FALSE)))),"NO SUCH EXIT")</f>
        <v/>
      </c>
      <c r="N102" s="293"/>
      <c r="O102" s="234"/>
      <c r="P102" s="161"/>
      <c r="Q102" s="224"/>
      <c r="R102" s="162"/>
      <c r="S102" s="162"/>
      <c r="T102" s="163"/>
      <c r="U102" s="163"/>
      <c r="V102" s="164"/>
      <c r="W102" s="164"/>
      <c r="X102" s="229" t="str">
        <f t="shared" si="13"/>
        <v/>
      </c>
      <c r="Y102" s="147" t="str">
        <f t="shared" si="14"/>
        <v/>
      </c>
      <c r="Z102" s="148" t="str">
        <f t="shared" si="15"/>
        <v/>
      </c>
      <c r="AA102" s="148" t="str">
        <f t="shared" si="16"/>
        <v/>
      </c>
      <c r="AB102" s="148" t="str">
        <f t="shared" si="17"/>
        <v/>
      </c>
      <c r="AJ102" s="149" t="e">
        <f>IF('Cable Info'!#REF!="","",CONCATENATE('Cable Info'!#REF!," - ",'Cable Info'!#REF!))</f>
        <v>#REF!</v>
      </c>
      <c r="AM102" s="149" t="e">
        <f t="shared" si="18"/>
        <v>#REF!</v>
      </c>
      <c r="AO102" s="149" t="e">
        <f>IF('Cable Info'!#REF!="","",CONCATENATE('Cable Info'!#REF!," - ",'Cable Info'!#REF!))</f>
        <v>#REF!</v>
      </c>
      <c r="AR102" s="149" t="e">
        <f t="shared" si="19"/>
        <v>#REF!</v>
      </c>
      <c r="AT102" s="149" t="e">
        <f>IF('Cable Info'!#REF!="","",CONCATENATE('Cable Info'!#REF!," - ",'Cable Info'!#REF!))</f>
        <v>#REF!</v>
      </c>
      <c r="AW102" s="149" t="e">
        <f t="shared" si="20"/>
        <v>#REF!</v>
      </c>
      <c r="AY102" s="149" t="e">
        <f>IF('Cable Info'!#REF!="","",CONCATENATE('Cable Info'!#REF!," - ",'Cable Info'!#REF!))</f>
        <v>#REF!</v>
      </c>
      <c r="BB102" s="149" t="e">
        <f t="shared" si="21"/>
        <v>#REF!</v>
      </c>
      <c r="BD102" s="149" t="e">
        <f>IF('Cable Info'!#REF!="","",CONCATENATE('Cable Info'!#REF!," - ",'Cable Info'!#REF!))</f>
        <v>#REF!</v>
      </c>
      <c r="BG102" s="149" t="e">
        <f t="shared" si="22"/>
        <v>#REF!</v>
      </c>
      <c r="BI102" s="149" t="e">
        <f>IF('Cable Info'!#REF!="","",CONCATENATE('Cable Info'!#REF!," - ",'Cable Info'!#REF!))</f>
        <v>#REF!</v>
      </c>
      <c r="BL102" s="149" t="e">
        <f t="shared" si="23"/>
        <v>#REF!</v>
      </c>
      <c r="CL102" s="309"/>
    </row>
    <row r="103" spans="1:90" x14ac:dyDescent="0.2">
      <c r="A103" s="222"/>
      <c r="B103" s="165"/>
      <c r="C103" s="142" t="str">
        <f>IFERROR(IF(B103="","",IF((COUNTIF('Cable Info'!$B$11:$C$50,B103)=0),VLOOKUP(B103,'Cable Info (2)'!$B$11:$C$50,2,FALSE),(VLOOKUP(B103,'Cable Info'!$B$11:$C$50,2,FALSE)))),"NO SUCH EXIT")</f>
        <v/>
      </c>
      <c r="D103" s="285"/>
      <c r="E103" s="311"/>
      <c r="F103" s="132" t="s">
        <v>59</v>
      </c>
      <c r="G103" s="314"/>
      <c r="H103" s="142" t="str">
        <f t="shared" si="12"/>
        <v/>
      </c>
      <c r="I103" s="318"/>
      <c r="J103" s="132" t="s">
        <v>59</v>
      </c>
      <c r="K103" s="320"/>
      <c r="L103" s="289"/>
      <c r="M103" s="142" t="str">
        <f>IFERROR(IF(P103="","",IF((COUNTIF('Cable Info'!$B$11:$C$50,P103)=0),VLOOKUP(P103,'Cable Info (2)'!$B$11:$C$50,2,FALSE),(VLOOKUP(P103,'Cable Info'!$B$11:$C$50,2,FALSE)))),"NO SUCH EXIT")</f>
        <v/>
      </c>
      <c r="N103" s="293"/>
      <c r="O103" s="234"/>
      <c r="P103" s="161"/>
      <c r="Q103" s="224"/>
      <c r="R103" s="162"/>
      <c r="S103" s="162"/>
      <c r="T103" s="163"/>
      <c r="U103" s="163"/>
      <c r="V103" s="164"/>
      <c r="W103" s="164"/>
      <c r="X103" s="229" t="str">
        <f t="shared" si="13"/>
        <v/>
      </c>
      <c r="Y103" s="147" t="str">
        <f t="shared" si="14"/>
        <v/>
      </c>
      <c r="Z103" s="148" t="str">
        <f t="shared" si="15"/>
        <v/>
      </c>
      <c r="AA103" s="148" t="str">
        <f t="shared" si="16"/>
        <v/>
      </c>
      <c r="AB103" s="148" t="str">
        <f t="shared" si="17"/>
        <v/>
      </c>
      <c r="AJ103" s="149" t="e">
        <f>IF('Cable Info'!#REF!="","",CONCATENATE('Cable Info'!#REF!," - ",'Cable Info'!#REF!))</f>
        <v>#REF!</v>
      </c>
      <c r="AM103" s="149" t="e">
        <f t="shared" si="18"/>
        <v>#REF!</v>
      </c>
      <c r="AO103" s="149" t="e">
        <f>IF('Cable Info'!#REF!="","",CONCATENATE('Cable Info'!#REF!," - ",'Cable Info'!#REF!))</f>
        <v>#REF!</v>
      </c>
      <c r="AR103" s="149" t="e">
        <f t="shared" si="19"/>
        <v>#REF!</v>
      </c>
      <c r="AT103" s="149" t="e">
        <f>IF('Cable Info'!#REF!="","",CONCATENATE('Cable Info'!#REF!," - ",'Cable Info'!#REF!))</f>
        <v>#REF!</v>
      </c>
      <c r="AW103" s="149" t="e">
        <f t="shared" si="20"/>
        <v>#REF!</v>
      </c>
      <c r="AY103" s="149" t="e">
        <f>IF('Cable Info'!#REF!="","",CONCATENATE('Cable Info'!#REF!," - ",'Cable Info'!#REF!))</f>
        <v>#REF!</v>
      </c>
      <c r="BB103" s="149" t="e">
        <f t="shared" si="21"/>
        <v>#REF!</v>
      </c>
      <c r="BD103" s="149" t="e">
        <f>IF('Cable Info'!#REF!="","",CONCATENATE('Cable Info'!#REF!," - ",'Cable Info'!#REF!))</f>
        <v>#REF!</v>
      </c>
      <c r="BG103" s="149" t="e">
        <f t="shared" si="22"/>
        <v>#REF!</v>
      </c>
      <c r="BI103" s="149" t="e">
        <f>IF('Cable Info'!#REF!="","",CONCATENATE('Cable Info'!#REF!," - ",'Cable Info'!#REF!))</f>
        <v>#REF!</v>
      </c>
      <c r="BL103" s="149" t="e">
        <f t="shared" si="23"/>
        <v>#REF!</v>
      </c>
      <c r="CL103" s="309"/>
    </row>
    <row r="104" spans="1:90" x14ac:dyDescent="0.2">
      <c r="A104" s="222"/>
      <c r="B104" s="165"/>
      <c r="C104" s="142" t="str">
        <f>IFERROR(IF(B104="","",IF((COUNTIF('Cable Info'!$B$11:$C$50,B104)=0),VLOOKUP(B104,'Cable Info (2)'!$B$11:$C$50,2,FALSE),(VLOOKUP(B104,'Cable Info'!$B$11:$C$50,2,FALSE)))),"NO SUCH EXIT")</f>
        <v/>
      </c>
      <c r="D104" s="285"/>
      <c r="E104" s="311"/>
      <c r="F104" s="132" t="s">
        <v>59</v>
      </c>
      <c r="G104" s="314"/>
      <c r="H104" s="142" t="str">
        <f t="shared" si="12"/>
        <v/>
      </c>
      <c r="I104" s="318"/>
      <c r="J104" s="132" t="s">
        <v>59</v>
      </c>
      <c r="K104" s="320"/>
      <c r="L104" s="289"/>
      <c r="M104" s="142" t="str">
        <f>IFERROR(IF(P104="","",IF((COUNTIF('Cable Info'!$B$11:$C$50,P104)=0),VLOOKUP(P104,'Cable Info (2)'!$B$11:$C$50,2,FALSE),(VLOOKUP(P104,'Cable Info'!$B$11:$C$50,2,FALSE)))),"NO SUCH EXIT")</f>
        <v/>
      </c>
      <c r="N104" s="293"/>
      <c r="O104" s="234"/>
      <c r="P104" s="161"/>
      <c r="Q104" s="224"/>
      <c r="R104" s="162"/>
      <c r="S104" s="162"/>
      <c r="T104" s="163"/>
      <c r="U104" s="163"/>
      <c r="V104" s="164"/>
      <c r="W104" s="164"/>
      <c r="X104" s="229" t="str">
        <f t="shared" si="13"/>
        <v/>
      </c>
      <c r="Y104" s="147" t="str">
        <f t="shared" si="14"/>
        <v/>
      </c>
      <c r="Z104" s="148" t="str">
        <f t="shared" si="15"/>
        <v/>
      </c>
      <c r="AA104" s="148" t="str">
        <f t="shared" si="16"/>
        <v/>
      </c>
      <c r="AB104" s="148" t="str">
        <f t="shared" si="17"/>
        <v/>
      </c>
      <c r="AJ104" s="149" t="e">
        <f>IF('Cable Info'!#REF!="","",CONCATENATE('Cable Info'!#REF!," - ",'Cable Info'!#REF!))</f>
        <v>#REF!</v>
      </c>
      <c r="AM104" s="149" t="e">
        <f t="shared" si="18"/>
        <v>#REF!</v>
      </c>
      <c r="AO104" s="149" t="e">
        <f>IF('Cable Info'!#REF!="","",CONCATENATE('Cable Info'!#REF!," - ",'Cable Info'!#REF!))</f>
        <v>#REF!</v>
      </c>
      <c r="AR104" s="149" t="e">
        <f t="shared" si="19"/>
        <v>#REF!</v>
      </c>
      <c r="AT104" s="149" t="e">
        <f>IF('Cable Info'!#REF!="","",CONCATENATE('Cable Info'!#REF!," - ",'Cable Info'!#REF!))</f>
        <v>#REF!</v>
      </c>
      <c r="AW104" s="149" t="e">
        <f t="shared" si="20"/>
        <v>#REF!</v>
      </c>
      <c r="AY104" s="149" t="e">
        <f>IF('Cable Info'!#REF!="","",CONCATENATE('Cable Info'!#REF!," - ",'Cable Info'!#REF!))</f>
        <v>#REF!</v>
      </c>
      <c r="BB104" s="149" t="e">
        <f t="shared" si="21"/>
        <v>#REF!</v>
      </c>
      <c r="BD104" s="149" t="e">
        <f>IF('Cable Info'!#REF!="","",CONCATENATE('Cable Info'!#REF!," - ",'Cable Info'!#REF!))</f>
        <v>#REF!</v>
      </c>
      <c r="BG104" s="149" t="e">
        <f t="shared" si="22"/>
        <v>#REF!</v>
      </c>
      <c r="BI104" s="149" t="e">
        <f>IF('Cable Info'!#REF!="","",CONCATENATE('Cable Info'!#REF!," - ",'Cable Info'!#REF!))</f>
        <v>#REF!</v>
      </c>
      <c r="BL104" s="149" t="e">
        <f t="shared" si="23"/>
        <v>#REF!</v>
      </c>
      <c r="CL104" s="309"/>
    </row>
    <row r="105" spans="1:90" x14ac:dyDescent="0.2">
      <c r="A105" s="222"/>
      <c r="B105" s="165"/>
      <c r="C105" s="142" t="str">
        <f>IFERROR(IF(B105="","",IF((COUNTIF('Cable Info'!$B$11:$C$50,B105)=0),VLOOKUP(B105,'Cable Info (2)'!$B$11:$C$50,2,FALSE),(VLOOKUP(B105,'Cable Info'!$B$11:$C$50,2,FALSE)))),"NO SUCH EXIT")</f>
        <v/>
      </c>
      <c r="D105" s="285"/>
      <c r="E105" s="311"/>
      <c r="F105" s="132" t="s">
        <v>59</v>
      </c>
      <c r="G105" s="314"/>
      <c r="H105" s="142" t="str">
        <f t="shared" si="12"/>
        <v/>
      </c>
      <c r="I105" s="318"/>
      <c r="J105" s="132" t="s">
        <v>59</v>
      </c>
      <c r="K105" s="320"/>
      <c r="L105" s="289"/>
      <c r="M105" s="142" t="str">
        <f>IFERROR(IF(P105="","",IF((COUNTIF('Cable Info'!$B$11:$C$50,P105)=0),VLOOKUP(P105,'Cable Info (2)'!$B$11:$C$50,2,FALSE),(VLOOKUP(P105,'Cable Info'!$B$11:$C$50,2,FALSE)))),"NO SUCH EXIT")</f>
        <v/>
      </c>
      <c r="N105" s="293"/>
      <c r="O105" s="234"/>
      <c r="P105" s="161"/>
      <c r="Q105" s="224"/>
      <c r="R105" s="162"/>
      <c r="S105" s="162"/>
      <c r="T105" s="163"/>
      <c r="U105" s="163"/>
      <c r="V105" s="164"/>
      <c r="W105" s="164"/>
      <c r="X105" s="229" t="str">
        <f t="shared" si="13"/>
        <v/>
      </c>
      <c r="Y105" s="147" t="str">
        <f t="shared" si="14"/>
        <v/>
      </c>
      <c r="Z105" s="148" t="str">
        <f t="shared" si="15"/>
        <v/>
      </c>
      <c r="AA105" s="148" t="str">
        <f t="shared" si="16"/>
        <v/>
      </c>
      <c r="AB105" s="148" t="str">
        <f t="shared" si="17"/>
        <v/>
      </c>
      <c r="AJ105" s="149" t="e">
        <f>IF('Cable Info'!#REF!="","",CONCATENATE('Cable Info'!#REF!," - ",'Cable Info'!#REF!))</f>
        <v>#REF!</v>
      </c>
      <c r="AM105" s="149" t="e">
        <f t="shared" si="18"/>
        <v>#REF!</v>
      </c>
      <c r="AO105" s="149" t="e">
        <f>IF('Cable Info'!#REF!="","",CONCATENATE('Cable Info'!#REF!," - ",'Cable Info'!#REF!))</f>
        <v>#REF!</v>
      </c>
      <c r="AR105" s="149" t="e">
        <f t="shared" si="19"/>
        <v>#REF!</v>
      </c>
      <c r="AT105" s="149" t="e">
        <f>IF('Cable Info'!#REF!="","",CONCATENATE('Cable Info'!#REF!," - ",'Cable Info'!#REF!))</f>
        <v>#REF!</v>
      </c>
      <c r="AW105" s="149" t="e">
        <f t="shared" si="20"/>
        <v>#REF!</v>
      </c>
      <c r="AY105" s="149" t="e">
        <f>IF('Cable Info'!#REF!="","",CONCATENATE('Cable Info'!#REF!," - ",'Cable Info'!#REF!))</f>
        <v>#REF!</v>
      </c>
      <c r="BB105" s="149" t="e">
        <f t="shared" si="21"/>
        <v>#REF!</v>
      </c>
      <c r="BD105" s="149" t="e">
        <f>IF('Cable Info'!#REF!="","",CONCATENATE('Cable Info'!#REF!," - ",'Cable Info'!#REF!))</f>
        <v>#REF!</v>
      </c>
      <c r="BG105" s="149" t="e">
        <f t="shared" si="22"/>
        <v>#REF!</v>
      </c>
      <c r="BI105" s="149" t="e">
        <f>IF('Cable Info'!#REF!="","",CONCATENATE('Cable Info'!#REF!," - ",'Cable Info'!#REF!))</f>
        <v>#REF!</v>
      </c>
      <c r="BL105" s="149" t="e">
        <f t="shared" si="23"/>
        <v>#REF!</v>
      </c>
      <c r="CL105" s="309"/>
    </row>
    <row r="106" spans="1:90" x14ac:dyDescent="0.2">
      <c r="A106" s="222"/>
      <c r="B106" s="165"/>
      <c r="C106" s="142" t="str">
        <f>IFERROR(IF(B106="","",IF((COUNTIF('Cable Info'!$B$11:$C$50,B106)=0),VLOOKUP(B106,'Cable Info (2)'!$B$11:$C$50,2,FALSE),(VLOOKUP(B106,'Cable Info'!$B$11:$C$50,2,FALSE)))),"NO SUCH EXIT")</f>
        <v/>
      </c>
      <c r="D106" s="285"/>
      <c r="E106" s="311"/>
      <c r="F106" s="132" t="s">
        <v>59</v>
      </c>
      <c r="G106" s="314"/>
      <c r="H106" s="142" t="str">
        <f t="shared" si="12"/>
        <v/>
      </c>
      <c r="I106" s="318"/>
      <c r="J106" s="132" t="s">
        <v>59</v>
      </c>
      <c r="K106" s="320"/>
      <c r="L106" s="289"/>
      <c r="M106" s="142" t="str">
        <f>IFERROR(IF(P106="","",IF((COUNTIF('Cable Info'!$B$11:$C$50,P106)=0),VLOOKUP(P106,'Cable Info (2)'!$B$11:$C$50,2,FALSE),(VLOOKUP(P106,'Cable Info'!$B$11:$C$50,2,FALSE)))),"NO SUCH EXIT")</f>
        <v/>
      </c>
      <c r="N106" s="293"/>
      <c r="O106" s="234"/>
      <c r="P106" s="161"/>
      <c r="Q106" s="224"/>
      <c r="R106" s="162"/>
      <c r="S106" s="162"/>
      <c r="T106" s="163"/>
      <c r="U106" s="163"/>
      <c r="V106" s="164"/>
      <c r="W106" s="164"/>
      <c r="X106" s="229" t="str">
        <f t="shared" si="13"/>
        <v/>
      </c>
      <c r="Y106" s="147" t="str">
        <f t="shared" si="14"/>
        <v/>
      </c>
      <c r="Z106" s="148" t="str">
        <f t="shared" si="15"/>
        <v/>
      </c>
      <c r="AA106" s="148" t="str">
        <f t="shared" si="16"/>
        <v/>
      </c>
      <c r="AB106" s="148" t="str">
        <f t="shared" si="17"/>
        <v/>
      </c>
      <c r="AJ106" s="149" t="e">
        <f>IF('Cable Info'!#REF!="","",CONCATENATE('Cable Info'!#REF!," - ",'Cable Info'!#REF!))</f>
        <v>#REF!</v>
      </c>
      <c r="AM106" s="149" t="e">
        <f t="shared" si="18"/>
        <v>#REF!</v>
      </c>
      <c r="AO106" s="149" t="e">
        <f>IF('Cable Info'!#REF!="","",CONCATENATE('Cable Info'!#REF!," - ",'Cable Info'!#REF!))</f>
        <v>#REF!</v>
      </c>
      <c r="AR106" s="149" t="e">
        <f t="shared" si="19"/>
        <v>#REF!</v>
      </c>
      <c r="AT106" s="149" t="e">
        <f>IF('Cable Info'!#REF!="","",CONCATENATE('Cable Info'!#REF!," - ",'Cable Info'!#REF!))</f>
        <v>#REF!</v>
      </c>
      <c r="AW106" s="149" t="e">
        <f t="shared" si="20"/>
        <v>#REF!</v>
      </c>
      <c r="AY106" s="149" t="e">
        <f>IF('Cable Info'!#REF!="","",CONCATENATE('Cable Info'!#REF!," - ",'Cable Info'!#REF!))</f>
        <v>#REF!</v>
      </c>
      <c r="BB106" s="149" t="e">
        <f t="shared" si="21"/>
        <v>#REF!</v>
      </c>
      <c r="BD106" s="149" t="e">
        <f>IF('Cable Info'!#REF!="","",CONCATENATE('Cable Info'!#REF!," - ",'Cable Info'!#REF!))</f>
        <v>#REF!</v>
      </c>
      <c r="BG106" s="149" t="e">
        <f t="shared" si="22"/>
        <v>#REF!</v>
      </c>
      <c r="BI106" s="149" t="e">
        <f>IF('Cable Info'!#REF!="","",CONCATENATE('Cable Info'!#REF!," - ",'Cable Info'!#REF!))</f>
        <v>#REF!</v>
      </c>
      <c r="BL106" s="149" t="e">
        <f t="shared" si="23"/>
        <v>#REF!</v>
      </c>
      <c r="CL106" s="309"/>
    </row>
    <row r="107" spans="1:90" x14ac:dyDescent="0.2">
      <c r="A107" s="222"/>
      <c r="B107" s="165"/>
      <c r="C107" s="142" t="str">
        <f>IFERROR(IF(B107="","",IF((COUNTIF('Cable Info'!$B$11:$C$50,B107)=0),VLOOKUP(B107,'Cable Info (2)'!$B$11:$C$50,2,FALSE),(VLOOKUP(B107,'Cable Info'!$B$11:$C$50,2,FALSE)))),"NO SUCH EXIT")</f>
        <v/>
      </c>
      <c r="D107" s="285"/>
      <c r="E107" s="311"/>
      <c r="F107" s="132" t="s">
        <v>59</v>
      </c>
      <c r="G107" s="314"/>
      <c r="H107" s="142" t="str">
        <f t="shared" si="12"/>
        <v/>
      </c>
      <c r="I107" s="318"/>
      <c r="J107" s="132" t="s">
        <v>59</v>
      </c>
      <c r="K107" s="320"/>
      <c r="L107" s="289"/>
      <c r="M107" s="142" t="str">
        <f>IFERROR(IF(P107="","",IF((COUNTIF('Cable Info'!$B$11:$C$50,P107)=0),VLOOKUP(P107,'Cable Info (2)'!$B$11:$C$50,2,FALSE),(VLOOKUP(P107,'Cable Info'!$B$11:$C$50,2,FALSE)))),"NO SUCH EXIT")</f>
        <v/>
      </c>
      <c r="N107" s="293"/>
      <c r="O107" s="234"/>
      <c r="P107" s="161"/>
      <c r="Q107" s="224"/>
      <c r="R107" s="162"/>
      <c r="S107" s="162"/>
      <c r="T107" s="163"/>
      <c r="U107" s="163"/>
      <c r="V107" s="164"/>
      <c r="W107" s="164"/>
      <c r="X107" s="229" t="str">
        <f t="shared" si="13"/>
        <v/>
      </c>
      <c r="Y107" s="147" t="str">
        <f t="shared" si="14"/>
        <v/>
      </c>
      <c r="Z107" s="148" t="str">
        <f t="shared" si="15"/>
        <v/>
      </c>
      <c r="AA107" s="148" t="str">
        <f t="shared" si="16"/>
        <v/>
      </c>
      <c r="AB107" s="148" t="str">
        <f t="shared" si="17"/>
        <v/>
      </c>
      <c r="AJ107" s="149" t="e">
        <f>IF('Cable Info'!#REF!="","",CONCATENATE('Cable Info'!#REF!," - ",'Cable Info'!#REF!))</f>
        <v>#REF!</v>
      </c>
      <c r="AM107" s="149" t="e">
        <f t="shared" si="18"/>
        <v>#REF!</v>
      </c>
      <c r="AO107" s="149" t="e">
        <f>IF('Cable Info'!#REF!="","",CONCATENATE('Cable Info'!#REF!," - ",'Cable Info'!#REF!))</f>
        <v>#REF!</v>
      </c>
      <c r="AR107" s="149" t="e">
        <f t="shared" si="19"/>
        <v>#REF!</v>
      </c>
      <c r="AT107" s="149" t="e">
        <f>IF('Cable Info'!#REF!="","",CONCATENATE('Cable Info'!#REF!," - ",'Cable Info'!#REF!))</f>
        <v>#REF!</v>
      </c>
      <c r="AW107" s="149" t="e">
        <f t="shared" si="20"/>
        <v>#REF!</v>
      </c>
      <c r="AY107" s="149" t="e">
        <f>IF('Cable Info'!#REF!="","",CONCATENATE('Cable Info'!#REF!," - ",'Cable Info'!#REF!))</f>
        <v>#REF!</v>
      </c>
      <c r="BB107" s="149" t="e">
        <f t="shared" si="21"/>
        <v>#REF!</v>
      </c>
      <c r="BD107" s="149" t="e">
        <f>IF('Cable Info'!#REF!="","",CONCATENATE('Cable Info'!#REF!," - ",'Cable Info'!#REF!))</f>
        <v>#REF!</v>
      </c>
      <c r="BG107" s="149" t="e">
        <f t="shared" si="22"/>
        <v>#REF!</v>
      </c>
      <c r="BI107" s="149" t="e">
        <f>IF('Cable Info'!#REF!="","",CONCATENATE('Cable Info'!#REF!," - ",'Cable Info'!#REF!))</f>
        <v>#REF!</v>
      </c>
      <c r="BL107" s="149" t="e">
        <f t="shared" si="23"/>
        <v>#REF!</v>
      </c>
      <c r="CL107" s="309"/>
    </row>
    <row r="108" spans="1:90" x14ac:dyDescent="0.2">
      <c r="A108" s="222"/>
      <c r="B108" s="165"/>
      <c r="C108" s="142" t="str">
        <f>IFERROR(IF(B108="","",IF((COUNTIF('Cable Info'!$B$11:$C$50,B108)=0),VLOOKUP(B108,'Cable Info (2)'!$B$11:$C$50,2,FALSE),(VLOOKUP(B108,'Cable Info'!$B$11:$C$50,2,FALSE)))),"NO SUCH EXIT")</f>
        <v/>
      </c>
      <c r="D108" s="285"/>
      <c r="E108" s="311"/>
      <c r="F108" s="132" t="s">
        <v>59</v>
      </c>
      <c r="G108" s="314"/>
      <c r="H108" s="142" t="str">
        <f t="shared" si="12"/>
        <v/>
      </c>
      <c r="I108" s="318"/>
      <c r="J108" s="132" t="s">
        <v>59</v>
      </c>
      <c r="K108" s="320"/>
      <c r="L108" s="289"/>
      <c r="M108" s="142" t="str">
        <f>IFERROR(IF(P108="","",IF((COUNTIF('Cable Info'!$B$11:$C$50,P108)=0),VLOOKUP(P108,'Cable Info (2)'!$B$11:$C$50,2,FALSE),(VLOOKUP(P108,'Cable Info'!$B$11:$C$50,2,FALSE)))),"NO SUCH EXIT")</f>
        <v/>
      </c>
      <c r="N108" s="293"/>
      <c r="O108" s="234"/>
      <c r="P108" s="161"/>
      <c r="Q108" s="224"/>
      <c r="R108" s="162"/>
      <c r="S108" s="162"/>
      <c r="T108" s="163"/>
      <c r="U108" s="163"/>
      <c r="V108" s="164"/>
      <c r="W108" s="164"/>
      <c r="X108" s="229" t="str">
        <f t="shared" si="13"/>
        <v/>
      </c>
      <c r="Y108" s="147" t="str">
        <f t="shared" si="14"/>
        <v/>
      </c>
      <c r="Z108" s="148" t="str">
        <f t="shared" si="15"/>
        <v/>
      </c>
      <c r="AA108" s="148" t="str">
        <f t="shared" si="16"/>
        <v/>
      </c>
      <c r="AB108" s="148" t="str">
        <f t="shared" si="17"/>
        <v/>
      </c>
      <c r="AJ108" s="149" t="e">
        <f>IF('Cable Info'!#REF!="","",CONCATENATE('Cable Info'!#REF!," - ",'Cable Info'!#REF!))</f>
        <v>#REF!</v>
      </c>
      <c r="AM108" s="149" t="e">
        <f t="shared" si="18"/>
        <v>#REF!</v>
      </c>
      <c r="AO108" s="149" t="e">
        <f>IF('Cable Info'!#REF!="","",CONCATENATE('Cable Info'!#REF!," - ",'Cable Info'!#REF!))</f>
        <v>#REF!</v>
      </c>
      <c r="AR108" s="149" t="e">
        <f t="shared" si="19"/>
        <v>#REF!</v>
      </c>
      <c r="AT108" s="149" t="e">
        <f>IF('Cable Info'!#REF!="","",CONCATENATE('Cable Info'!#REF!," - ",'Cable Info'!#REF!))</f>
        <v>#REF!</v>
      </c>
      <c r="AW108" s="149" t="e">
        <f t="shared" si="20"/>
        <v>#REF!</v>
      </c>
      <c r="AY108" s="149" t="e">
        <f>IF('Cable Info'!#REF!="","",CONCATENATE('Cable Info'!#REF!," - ",'Cable Info'!#REF!))</f>
        <v>#REF!</v>
      </c>
      <c r="BB108" s="149" t="e">
        <f t="shared" si="21"/>
        <v>#REF!</v>
      </c>
      <c r="BD108" s="149" t="e">
        <f>IF('Cable Info'!#REF!="","",CONCATENATE('Cable Info'!#REF!," - ",'Cable Info'!#REF!))</f>
        <v>#REF!</v>
      </c>
      <c r="BG108" s="149" t="e">
        <f t="shared" si="22"/>
        <v>#REF!</v>
      </c>
      <c r="BI108" s="149" t="e">
        <f>IF('Cable Info'!#REF!="","",CONCATENATE('Cable Info'!#REF!," - ",'Cable Info'!#REF!))</f>
        <v>#REF!</v>
      </c>
      <c r="BL108" s="149" t="e">
        <f t="shared" si="23"/>
        <v>#REF!</v>
      </c>
      <c r="CL108" s="309"/>
    </row>
    <row r="109" spans="1:90" x14ac:dyDescent="0.2">
      <c r="A109" s="222"/>
      <c r="B109" s="165"/>
      <c r="C109" s="142" t="str">
        <f>IFERROR(IF(B109="","",IF((COUNTIF('Cable Info'!$B$11:$C$50,B109)=0),VLOOKUP(B109,'Cable Info (2)'!$B$11:$C$50,2,FALSE),(VLOOKUP(B109,'Cable Info'!$B$11:$C$50,2,FALSE)))),"NO SUCH EXIT")</f>
        <v/>
      </c>
      <c r="D109" s="285"/>
      <c r="E109" s="311"/>
      <c r="F109" s="132" t="s">
        <v>59</v>
      </c>
      <c r="G109" s="314"/>
      <c r="H109" s="142" t="str">
        <f t="shared" si="12"/>
        <v/>
      </c>
      <c r="I109" s="318"/>
      <c r="J109" s="132" t="s">
        <v>59</v>
      </c>
      <c r="K109" s="320"/>
      <c r="L109" s="289"/>
      <c r="M109" s="142" t="str">
        <f>IFERROR(IF(P109="","",IF((COUNTIF('Cable Info'!$B$11:$C$50,P109)=0),VLOOKUP(P109,'Cable Info (2)'!$B$11:$C$50,2,FALSE),(VLOOKUP(P109,'Cable Info'!$B$11:$C$50,2,FALSE)))),"NO SUCH EXIT")</f>
        <v/>
      </c>
      <c r="N109" s="293"/>
      <c r="O109" s="234"/>
      <c r="P109" s="161"/>
      <c r="Q109" s="224"/>
      <c r="R109" s="162"/>
      <c r="S109" s="162"/>
      <c r="T109" s="163"/>
      <c r="U109" s="163"/>
      <c r="V109" s="164"/>
      <c r="W109" s="164"/>
      <c r="X109" s="229" t="str">
        <f t="shared" si="13"/>
        <v/>
      </c>
      <c r="Y109" s="147" t="str">
        <f t="shared" si="14"/>
        <v/>
      </c>
      <c r="Z109" s="148" t="str">
        <f t="shared" si="15"/>
        <v/>
      </c>
      <c r="AA109" s="148" t="str">
        <f t="shared" si="16"/>
        <v/>
      </c>
      <c r="AB109" s="148" t="str">
        <f t="shared" si="17"/>
        <v/>
      </c>
      <c r="AJ109" s="149" t="e">
        <f>IF('Cable Info'!#REF!="","",CONCATENATE('Cable Info'!#REF!," - ",'Cable Info'!#REF!))</f>
        <v>#REF!</v>
      </c>
      <c r="AM109" s="149" t="e">
        <f t="shared" si="18"/>
        <v>#REF!</v>
      </c>
      <c r="AO109" s="149" t="e">
        <f>IF('Cable Info'!#REF!="","",CONCATENATE('Cable Info'!#REF!," - ",'Cable Info'!#REF!))</f>
        <v>#REF!</v>
      </c>
      <c r="AR109" s="149" t="e">
        <f t="shared" si="19"/>
        <v>#REF!</v>
      </c>
      <c r="AT109" s="149" t="e">
        <f>IF('Cable Info'!#REF!="","",CONCATENATE('Cable Info'!#REF!," - ",'Cable Info'!#REF!))</f>
        <v>#REF!</v>
      </c>
      <c r="AW109" s="149" t="e">
        <f t="shared" si="20"/>
        <v>#REF!</v>
      </c>
      <c r="AY109" s="149" t="e">
        <f>IF('Cable Info'!#REF!="","",CONCATENATE('Cable Info'!#REF!," - ",'Cable Info'!#REF!))</f>
        <v>#REF!</v>
      </c>
      <c r="BB109" s="149" t="e">
        <f t="shared" si="21"/>
        <v>#REF!</v>
      </c>
      <c r="BD109" s="149" t="e">
        <f>IF('Cable Info'!#REF!="","",CONCATENATE('Cable Info'!#REF!," - ",'Cable Info'!#REF!))</f>
        <v>#REF!</v>
      </c>
      <c r="BG109" s="149" t="e">
        <f t="shared" si="22"/>
        <v>#REF!</v>
      </c>
      <c r="BI109" s="149" t="e">
        <f>IF('Cable Info'!#REF!="","",CONCATENATE('Cable Info'!#REF!," - ",'Cable Info'!#REF!))</f>
        <v>#REF!</v>
      </c>
      <c r="BL109" s="149" t="e">
        <f t="shared" si="23"/>
        <v>#REF!</v>
      </c>
      <c r="CL109" s="309"/>
    </row>
    <row r="110" spans="1:90" x14ac:dyDescent="0.2">
      <c r="A110" s="222"/>
      <c r="B110" s="165"/>
      <c r="C110" s="142" t="str">
        <f>IFERROR(IF(B110="","",IF((COUNTIF('Cable Info'!$B$11:$C$50,B110)=0),VLOOKUP(B110,'Cable Info (2)'!$B$11:$C$50,2,FALSE),(VLOOKUP(B110,'Cable Info'!$B$11:$C$50,2,FALSE)))),"NO SUCH EXIT")</f>
        <v/>
      </c>
      <c r="D110" s="285"/>
      <c r="E110" s="311"/>
      <c r="F110" s="132" t="s">
        <v>59</v>
      </c>
      <c r="G110" s="314"/>
      <c r="H110" s="142" t="str">
        <f t="shared" si="12"/>
        <v/>
      </c>
      <c r="I110" s="318"/>
      <c r="J110" s="132" t="s">
        <v>59</v>
      </c>
      <c r="K110" s="320"/>
      <c r="L110" s="289"/>
      <c r="M110" s="142" t="str">
        <f>IFERROR(IF(P110="","",IF((COUNTIF('Cable Info'!$B$11:$C$50,P110)=0),VLOOKUP(P110,'Cable Info (2)'!$B$11:$C$50,2,FALSE),(VLOOKUP(P110,'Cable Info'!$B$11:$C$50,2,FALSE)))),"NO SUCH EXIT")</f>
        <v/>
      </c>
      <c r="N110" s="293"/>
      <c r="O110" s="234"/>
      <c r="P110" s="161"/>
      <c r="Q110" s="224"/>
      <c r="R110" s="162"/>
      <c r="S110" s="162"/>
      <c r="T110" s="163"/>
      <c r="U110" s="163"/>
      <c r="V110" s="164"/>
      <c r="W110" s="164"/>
      <c r="X110" s="229" t="str">
        <f t="shared" si="13"/>
        <v/>
      </c>
      <c r="Y110" s="147" t="str">
        <f t="shared" si="14"/>
        <v/>
      </c>
      <c r="Z110" s="148" t="str">
        <f t="shared" si="15"/>
        <v/>
      </c>
      <c r="AA110" s="148" t="str">
        <f t="shared" si="16"/>
        <v/>
      </c>
      <c r="AB110" s="148" t="str">
        <f t="shared" si="17"/>
        <v/>
      </c>
      <c r="AJ110" s="149" t="e">
        <f>IF('Cable Info'!#REF!="","",CONCATENATE('Cable Info'!#REF!," - ",'Cable Info'!#REF!))</f>
        <v>#REF!</v>
      </c>
      <c r="AM110" s="149" t="e">
        <f t="shared" si="18"/>
        <v>#REF!</v>
      </c>
      <c r="AO110" s="149" t="e">
        <f>IF('Cable Info'!#REF!="","",CONCATENATE('Cable Info'!#REF!," - ",'Cable Info'!#REF!))</f>
        <v>#REF!</v>
      </c>
      <c r="AR110" s="149" t="e">
        <f t="shared" si="19"/>
        <v>#REF!</v>
      </c>
      <c r="AT110" s="149" t="e">
        <f>IF('Cable Info'!#REF!="","",CONCATENATE('Cable Info'!#REF!," - ",'Cable Info'!#REF!))</f>
        <v>#REF!</v>
      </c>
      <c r="AW110" s="149" t="e">
        <f t="shared" si="20"/>
        <v>#REF!</v>
      </c>
      <c r="AY110" s="149" t="e">
        <f>IF('Cable Info'!#REF!="","",CONCATENATE('Cable Info'!#REF!," - ",'Cable Info'!#REF!))</f>
        <v>#REF!</v>
      </c>
      <c r="BB110" s="149" t="e">
        <f t="shared" si="21"/>
        <v>#REF!</v>
      </c>
      <c r="BD110" s="149" t="e">
        <f>IF('Cable Info'!#REF!="","",CONCATENATE('Cable Info'!#REF!," - ",'Cable Info'!#REF!))</f>
        <v>#REF!</v>
      </c>
      <c r="BG110" s="149" t="e">
        <f t="shared" si="22"/>
        <v>#REF!</v>
      </c>
      <c r="BI110" s="149" t="e">
        <f>IF('Cable Info'!#REF!="","",CONCATENATE('Cable Info'!#REF!," - ",'Cable Info'!#REF!))</f>
        <v>#REF!</v>
      </c>
      <c r="BL110" s="149" t="e">
        <f t="shared" si="23"/>
        <v>#REF!</v>
      </c>
      <c r="CL110" s="309"/>
    </row>
    <row r="111" spans="1:90" x14ac:dyDescent="0.2">
      <c r="A111" s="222"/>
      <c r="B111" s="165"/>
      <c r="C111" s="142" t="str">
        <f>IFERROR(IF(B111="","",IF((COUNTIF('Cable Info'!$B$11:$C$50,B111)=0),VLOOKUP(B111,'Cable Info (2)'!$B$11:$C$50,2,FALSE),(VLOOKUP(B111,'Cable Info'!$B$11:$C$50,2,FALSE)))),"NO SUCH EXIT")</f>
        <v/>
      </c>
      <c r="D111" s="285"/>
      <c r="E111" s="311"/>
      <c r="F111" s="132" t="s">
        <v>59</v>
      </c>
      <c r="G111" s="314"/>
      <c r="H111" s="142" t="str">
        <f t="shared" si="12"/>
        <v/>
      </c>
      <c r="I111" s="318"/>
      <c r="J111" s="132" t="s">
        <v>59</v>
      </c>
      <c r="K111" s="320"/>
      <c r="L111" s="289"/>
      <c r="M111" s="142" t="str">
        <f>IFERROR(IF(P111="","",IF((COUNTIF('Cable Info'!$B$11:$C$50,P111)=0),VLOOKUP(P111,'Cable Info (2)'!$B$11:$C$50,2,FALSE),(VLOOKUP(P111,'Cable Info'!$B$11:$C$50,2,FALSE)))),"NO SUCH EXIT")</f>
        <v/>
      </c>
      <c r="N111" s="293"/>
      <c r="O111" s="234"/>
      <c r="P111" s="161"/>
      <c r="Q111" s="224"/>
      <c r="R111" s="162"/>
      <c r="S111" s="162"/>
      <c r="T111" s="163"/>
      <c r="U111" s="163"/>
      <c r="V111" s="164"/>
      <c r="W111" s="164"/>
      <c r="X111" s="229" t="str">
        <f t="shared" si="13"/>
        <v/>
      </c>
      <c r="Y111" s="147" t="str">
        <f t="shared" si="14"/>
        <v/>
      </c>
      <c r="Z111" s="148" t="str">
        <f t="shared" si="15"/>
        <v/>
      </c>
      <c r="AA111" s="148" t="str">
        <f t="shared" si="16"/>
        <v/>
      </c>
      <c r="AB111" s="148" t="str">
        <f t="shared" si="17"/>
        <v/>
      </c>
      <c r="AJ111" s="149" t="e">
        <f>IF('Cable Info'!#REF!="","",CONCATENATE('Cable Info'!#REF!," - ",'Cable Info'!#REF!))</f>
        <v>#REF!</v>
      </c>
      <c r="AM111" s="149" t="e">
        <f t="shared" si="18"/>
        <v>#REF!</v>
      </c>
      <c r="AO111" s="149" t="e">
        <f>IF('Cable Info'!#REF!="","",CONCATENATE('Cable Info'!#REF!," - ",'Cable Info'!#REF!))</f>
        <v>#REF!</v>
      </c>
      <c r="AR111" s="149" t="e">
        <f t="shared" si="19"/>
        <v>#REF!</v>
      </c>
      <c r="AT111" s="149" t="e">
        <f>IF('Cable Info'!#REF!="","",CONCATENATE('Cable Info'!#REF!," - ",'Cable Info'!#REF!))</f>
        <v>#REF!</v>
      </c>
      <c r="AW111" s="149" t="e">
        <f t="shared" si="20"/>
        <v>#REF!</v>
      </c>
      <c r="AY111" s="149" t="e">
        <f>IF('Cable Info'!#REF!="","",CONCATENATE('Cable Info'!#REF!," - ",'Cable Info'!#REF!))</f>
        <v>#REF!</v>
      </c>
      <c r="BB111" s="149" t="e">
        <f t="shared" si="21"/>
        <v>#REF!</v>
      </c>
      <c r="BD111" s="149" t="e">
        <f>IF('Cable Info'!#REF!="","",CONCATENATE('Cable Info'!#REF!," - ",'Cable Info'!#REF!))</f>
        <v>#REF!</v>
      </c>
      <c r="BG111" s="149" t="e">
        <f t="shared" si="22"/>
        <v>#REF!</v>
      </c>
      <c r="BI111" s="149" t="e">
        <f>IF('Cable Info'!#REF!="","",CONCATENATE('Cable Info'!#REF!," - ",'Cable Info'!#REF!))</f>
        <v>#REF!</v>
      </c>
      <c r="BL111" s="149" t="e">
        <f t="shared" si="23"/>
        <v>#REF!</v>
      </c>
      <c r="CL111" s="309"/>
    </row>
    <row r="112" spans="1:90" x14ac:dyDescent="0.2">
      <c r="A112" s="222"/>
      <c r="B112" s="165"/>
      <c r="C112" s="142" t="str">
        <f>IFERROR(IF(B112="","",IF((COUNTIF('Cable Info'!$B$11:$C$50,B112)=0),VLOOKUP(B112,'Cable Info (2)'!$B$11:$C$50,2,FALSE),(VLOOKUP(B112,'Cable Info'!$B$11:$C$50,2,FALSE)))),"NO SUCH EXIT")</f>
        <v/>
      </c>
      <c r="D112" s="285"/>
      <c r="E112" s="311"/>
      <c r="F112" s="132" t="s">
        <v>59</v>
      </c>
      <c r="G112" s="314"/>
      <c r="H112" s="142" t="str">
        <f t="shared" si="12"/>
        <v/>
      </c>
      <c r="I112" s="318"/>
      <c r="J112" s="132" t="s">
        <v>59</v>
      </c>
      <c r="K112" s="320"/>
      <c r="L112" s="289"/>
      <c r="M112" s="142" t="str">
        <f>IFERROR(IF(P112="","",IF((COUNTIF('Cable Info'!$B$11:$C$50,P112)=0),VLOOKUP(P112,'Cable Info (2)'!$B$11:$C$50,2,FALSE),(VLOOKUP(P112,'Cable Info'!$B$11:$C$50,2,FALSE)))),"NO SUCH EXIT")</f>
        <v/>
      </c>
      <c r="N112" s="293"/>
      <c r="O112" s="234"/>
      <c r="P112" s="161"/>
      <c r="Q112" s="224"/>
      <c r="R112" s="162"/>
      <c r="S112" s="162"/>
      <c r="T112" s="163"/>
      <c r="U112" s="163"/>
      <c r="V112" s="164"/>
      <c r="W112" s="164"/>
      <c r="X112" s="229" t="str">
        <f t="shared" si="13"/>
        <v/>
      </c>
      <c r="Y112" s="147" t="str">
        <f t="shared" si="14"/>
        <v/>
      </c>
      <c r="Z112" s="148" t="str">
        <f t="shared" si="15"/>
        <v/>
      </c>
      <c r="AA112" s="148" t="str">
        <f t="shared" si="16"/>
        <v/>
      </c>
      <c r="AB112" s="148" t="str">
        <f t="shared" si="17"/>
        <v/>
      </c>
      <c r="AJ112" s="149" t="e">
        <f>IF('Cable Info'!#REF!="","",CONCATENATE('Cable Info'!#REF!," - ",'Cable Info'!#REF!))</f>
        <v>#REF!</v>
      </c>
      <c r="AM112" s="149" t="e">
        <f t="shared" si="18"/>
        <v>#REF!</v>
      </c>
      <c r="AO112" s="149" t="e">
        <f>IF('Cable Info'!#REF!="","",CONCATENATE('Cable Info'!#REF!," - ",'Cable Info'!#REF!))</f>
        <v>#REF!</v>
      </c>
      <c r="AR112" s="149" t="e">
        <f t="shared" si="19"/>
        <v>#REF!</v>
      </c>
      <c r="AT112" s="149" t="e">
        <f>IF('Cable Info'!#REF!="","",CONCATENATE('Cable Info'!#REF!," - ",'Cable Info'!#REF!))</f>
        <v>#REF!</v>
      </c>
      <c r="AW112" s="149" t="e">
        <f t="shared" si="20"/>
        <v>#REF!</v>
      </c>
      <c r="AY112" s="149" t="e">
        <f>IF('Cable Info'!#REF!="","",CONCATENATE('Cable Info'!#REF!," - ",'Cable Info'!#REF!))</f>
        <v>#REF!</v>
      </c>
      <c r="BB112" s="149" t="e">
        <f t="shared" si="21"/>
        <v>#REF!</v>
      </c>
      <c r="BD112" s="149" t="e">
        <f>IF('Cable Info'!#REF!="","",CONCATENATE('Cable Info'!#REF!," - ",'Cable Info'!#REF!))</f>
        <v>#REF!</v>
      </c>
      <c r="BG112" s="149" t="e">
        <f t="shared" si="22"/>
        <v>#REF!</v>
      </c>
      <c r="BI112" s="149" t="e">
        <f>IF('Cable Info'!#REF!="","",CONCATENATE('Cable Info'!#REF!," - ",'Cable Info'!#REF!))</f>
        <v>#REF!</v>
      </c>
      <c r="BL112" s="149" t="e">
        <f t="shared" si="23"/>
        <v>#REF!</v>
      </c>
      <c r="CL112" s="309"/>
    </row>
    <row r="113" spans="1:90" x14ac:dyDescent="0.2">
      <c r="A113" s="222"/>
      <c r="B113" s="165"/>
      <c r="C113" s="142" t="str">
        <f>IFERROR(IF(B113="","",IF((COUNTIF('Cable Info'!$B$11:$C$50,B113)=0),VLOOKUP(B113,'Cable Info (2)'!$B$11:$C$50,2,FALSE),(VLOOKUP(B113,'Cable Info'!$B$11:$C$50,2,FALSE)))),"NO SUCH EXIT")</f>
        <v/>
      </c>
      <c r="D113" s="285"/>
      <c r="E113" s="311"/>
      <c r="F113" s="132" t="s">
        <v>59</v>
      </c>
      <c r="G113" s="314"/>
      <c r="H113" s="142" t="str">
        <f t="shared" si="12"/>
        <v/>
      </c>
      <c r="I113" s="318"/>
      <c r="J113" s="132" t="s">
        <v>59</v>
      </c>
      <c r="K113" s="320"/>
      <c r="L113" s="289"/>
      <c r="M113" s="142" t="str">
        <f>IFERROR(IF(P113="","",IF((COUNTIF('Cable Info'!$B$11:$C$50,P113)=0),VLOOKUP(P113,'Cable Info (2)'!$B$11:$C$50,2,FALSE),(VLOOKUP(P113,'Cable Info'!$B$11:$C$50,2,FALSE)))),"NO SUCH EXIT")</f>
        <v/>
      </c>
      <c r="N113" s="293"/>
      <c r="O113" s="234"/>
      <c r="P113" s="161"/>
      <c r="Q113" s="224"/>
      <c r="R113" s="162"/>
      <c r="S113" s="162"/>
      <c r="T113" s="163"/>
      <c r="U113" s="163"/>
      <c r="V113" s="164"/>
      <c r="W113" s="164"/>
      <c r="X113" s="229" t="str">
        <f t="shared" si="13"/>
        <v/>
      </c>
      <c r="Y113" s="147" t="str">
        <f t="shared" si="14"/>
        <v/>
      </c>
      <c r="Z113" s="148" t="str">
        <f t="shared" si="15"/>
        <v/>
      </c>
      <c r="AA113" s="148" t="str">
        <f t="shared" si="16"/>
        <v/>
      </c>
      <c r="AB113" s="148" t="str">
        <f t="shared" si="17"/>
        <v/>
      </c>
      <c r="AJ113" s="149" t="e">
        <f>IF('Cable Info'!#REF!="","",CONCATENATE('Cable Info'!#REF!," - ",'Cable Info'!#REF!))</f>
        <v>#REF!</v>
      </c>
      <c r="AM113" s="149" t="e">
        <f t="shared" si="18"/>
        <v>#REF!</v>
      </c>
      <c r="AO113" s="149" t="e">
        <f>IF('Cable Info'!#REF!="","",CONCATENATE('Cable Info'!#REF!," - ",'Cable Info'!#REF!))</f>
        <v>#REF!</v>
      </c>
      <c r="AR113" s="149" t="e">
        <f t="shared" si="19"/>
        <v>#REF!</v>
      </c>
      <c r="AT113" s="149" t="e">
        <f>IF('Cable Info'!#REF!="","",CONCATENATE('Cable Info'!#REF!," - ",'Cable Info'!#REF!))</f>
        <v>#REF!</v>
      </c>
      <c r="AW113" s="149" t="e">
        <f t="shared" si="20"/>
        <v>#REF!</v>
      </c>
      <c r="AY113" s="149" t="e">
        <f>IF('Cable Info'!#REF!="","",CONCATENATE('Cable Info'!#REF!," - ",'Cable Info'!#REF!))</f>
        <v>#REF!</v>
      </c>
      <c r="BB113" s="149" t="e">
        <f t="shared" si="21"/>
        <v>#REF!</v>
      </c>
      <c r="BD113" s="149" t="e">
        <f>IF('Cable Info'!#REF!="","",CONCATENATE('Cable Info'!#REF!," - ",'Cable Info'!#REF!))</f>
        <v>#REF!</v>
      </c>
      <c r="BG113" s="149" t="e">
        <f t="shared" si="22"/>
        <v>#REF!</v>
      </c>
      <c r="BI113" s="149" t="e">
        <f>IF('Cable Info'!#REF!="","",CONCATENATE('Cable Info'!#REF!," - ",'Cable Info'!#REF!))</f>
        <v>#REF!</v>
      </c>
      <c r="BL113" s="149" t="e">
        <f t="shared" si="23"/>
        <v>#REF!</v>
      </c>
      <c r="CL113" s="309"/>
    </row>
    <row r="114" spans="1:90" x14ac:dyDescent="0.2">
      <c r="A114" s="222"/>
      <c r="B114" s="165"/>
      <c r="C114" s="142" t="str">
        <f>IFERROR(IF(B114="","",IF((COUNTIF('Cable Info'!$B$11:$C$50,B114)=0),VLOOKUP(B114,'Cable Info (2)'!$B$11:$C$50,2,FALSE),(VLOOKUP(B114,'Cable Info'!$B$11:$C$50,2,FALSE)))),"NO SUCH EXIT")</f>
        <v/>
      </c>
      <c r="D114" s="285"/>
      <c r="E114" s="311"/>
      <c r="F114" s="132" t="s">
        <v>59</v>
      </c>
      <c r="G114" s="314"/>
      <c r="H114" s="142" t="str">
        <f t="shared" si="12"/>
        <v/>
      </c>
      <c r="I114" s="318"/>
      <c r="J114" s="132" t="s">
        <v>59</v>
      </c>
      <c r="K114" s="320"/>
      <c r="L114" s="289"/>
      <c r="M114" s="142" t="str">
        <f>IFERROR(IF(P114="","",IF((COUNTIF('Cable Info'!$B$11:$C$50,P114)=0),VLOOKUP(P114,'Cable Info (2)'!$B$11:$C$50,2,FALSE),(VLOOKUP(P114,'Cable Info'!$B$11:$C$50,2,FALSE)))),"NO SUCH EXIT")</f>
        <v/>
      </c>
      <c r="N114" s="293"/>
      <c r="O114" s="234"/>
      <c r="P114" s="161"/>
      <c r="Q114" s="224"/>
      <c r="R114" s="162"/>
      <c r="S114" s="162"/>
      <c r="T114" s="163"/>
      <c r="U114" s="163"/>
      <c r="V114" s="164"/>
      <c r="W114" s="164"/>
      <c r="X114" s="229" t="str">
        <f t="shared" si="13"/>
        <v/>
      </c>
      <c r="Y114" s="147" t="str">
        <f t="shared" si="14"/>
        <v/>
      </c>
      <c r="Z114" s="148" t="str">
        <f t="shared" si="15"/>
        <v/>
      </c>
      <c r="AA114" s="148" t="str">
        <f t="shared" si="16"/>
        <v/>
      </c>
      <c r="AB114" s="148" t="str">
        <f t="shared" si="17"/>
        <v/>
      </c>
      <c r="AJ114" s="149" t="e">
        <f>IF('Cable Info'!#REF!="","",CONCATENATE('Cable Info'!#REF!," - ",'Cable Info'!#REF!))</f>
        <v>#REF!</v>
      </c>
      <c r="AM114" s="149" t="e">
        <f t="shared" si="18"/>
        <v>#REF!</v>
      </c>
      <c r="AO114" s="149" t="e">
        <f>IF('Cable Info'!#REF!="","",CONCATENATE('Cable Info'!#REF!," - ",'Cable Info'!#REF!))</f>
        <v>#REF!</v>
      </c>
      <c r="AR114" s="149" t="e">
        <f t="shared" si="19"/>
        <v>#REF!</v>
      </c>
      <c r="AT114" s="149" t="e">
        <f>IF('Cable Info'!#REF!="","",CONCATENATE('Cable Info'!#REF!," - ",'Cable Info'!#REF!))</f>
        <v>#REF!</v>
      </c>
      <c r="AW114" s="149" t="e">
        <f t="shared" si="20"/>
        <v>#REF!</v>
      </c>
      <c r="AY114" s="149" t="e">
        <f>IF('Cable Info'!#REF!="","",CONCATENATE('Cable Info'!#REF!," - ",'Cable Info'!#REF!))</f>
        <v>#REF!</v>
      </c>
      <c r="BB114" s="149" t="e">
        <f t="shared" si="21"/>
        <v>#REF!</v>
      </c>
      <c r="BD114" s="149" t="e">
        <f>IF('Cable Info'!#REF!="","",CONCATENATE('Cable Info'!#REF!," - ",'Cable Info'!#REF!))</f>
        <v>#REF!</v>
      </c>
      <c r="BG114" s="149" t="e">
        <f t="shared" si="22"/>
        <v>#REF!</v>
      </c>
      <c r="BI114" s="149" t="e">
        <f>IF('Cable Info'!#REF!="","",CONCATENATE('Cable Info'!#REF!," - ",'Cable Info'!#REF!))</f>
        <v>#REF!</v>
      </c>
      <c r="BL114" s="149" t="e">
        <f t="shared" si="23"/>
        <v>#REF!</v>
      </c>
      <c r="CL114" s="309"/>
    </row>
    <row r="115" spans="1:90" x14ac:dyDescent="0.2">
      <c r="A115" s="222"/>
      <c r="B115" s="165"/>
      <c r="C115" s="142" t="str">
        <f>IFERROR(IF(B115="","",IF((COUNTIF('Cable Info'!$B$11:$C$50,B115)=0),VLOOKUP(B115,'Cable Info (2)'!$B$11:$C$50,2,FALSE),(VLOOKUP(B115,'Cable Info'!$B$11:$C$50,2,FALSE)))),"NO SUCH EXIT")</f>
        <v/>
      </c>
      <c r="D115" s="285"/>
      <c r="E115" s="311"/>
      <c r="F115" s="132" t="s">
        <v>59</v>
      </c>
      <c r="G115" s="314"/>
      <c r="H115" s="142" t="str">
        <f t="shared" si="12"/>
        <v/>
      </c>
      <c r="I115" s="318"/>
      <c r="J115" s="132" t="s">
        <v>59</v>
      </c>
      <c r="K115" s="320"/>
      <c r="L115" s="289"/>
      <c r="M115" s="142" t="str">
        <f>IFERROR(IF(P115="","",IF((COUNTIF('Cable Info'!$B$11:$C$50,P115)=0),VLOOKUP(P115,'Cable Info (2)'!$B$11:$C$50,2,FALSE),(VLOOKUP(P115,'Cable Info'!$B$11:$C$50,2,FALSE)))),"NO SUCH EXIT")</f>
        <v/>
      </c>
      <c r="N115" s="293"/>
      <c r="O115" s="234"/>
      <c r="P115" s="161"/>
      <c r="Q115" s="224"/>
      <c r="R115" s="162"/>
      <c r="S115" s="162"/>
      <c r="T115" s="163"/>
      <c r="U115" s="163"/>
      <c r="V115" s="164"/>
      <c r="W115" s="164"/>
      <c r="X115" s="229" t="str">
        <f t="shared" si="13"/>
        <v/>
      </c>
      <c r="Y115" s="147" t="str">
        <f t="shared" si="14"/>
        <v/>
      </c>
      <c r="Z115" s="148" t="str">
        <f t="shared" si="15"/>
        <v/>
      </c>
      <c r="AA115" s="148" t="str">
        <f t="shared" si="16"/>
        <v/>
      </c>
      <c r="AB115" s="148" t="str">
        <f t="shared" si="17"/>
        <v/>
      </c>
      <c r="AJ115" s="149" t="e">
        <f>IF('Cable Info'!#REF!="","",CONCATENATE('Cable Info'!#REF!," - ",'Cable Info'!#REF!))</f>
        <v>#REF!</v>
      </c>
      <c r="AM115" s="149" t="e">
        <f t="shared" si="18"/>
        <v>#REF!</v>
      </c>
      <c r="AO115" s="149" t="e">
        <f>IF('Cable Info'!#REF!="","",CONCATENATE('Cable Info'!#REF!," - ",'Cable Info'!#REF!))</f>
        <v>#REF!</v>
      </c>
      <c r="AR115" s="149" t="e">
        <f t="shared" si="19"/>
        <v>#REF!</v>
      </c>
      <c r="AT115" s="149" t="e">
        <f>IF('Cable Info'!#REF!="","",CONCATENATE('Cable Info'!#REF!," - ",'Cable Info'!#REF!))</f>
        <v>#REF!</v>
      </c>
      <c r="AW115" s="149" t="e">
        <f t="shared" si="20"/>
        <v>#REF!</v>
      </c>
      <c r="AY115" s="149" t="e">
        <f>IF('Cable Info'!#REF!="","",CONCATENATE('Cable Info'!#REF!," - ",'Cable Info'!#REF!))</f>
        <v>#REF!</v>
      </c>
      <c r="BB115" s="149" t="e">
        <f t="shared" si="21"/>
        <v>#REF!</v>
      </c>
      <c r="BD115" s="149" t="e">
        <f>IF('Cable Info'!#REF!="","",CONCATENATE('Cable Info'!#REF!," - ",'Cable Info'!#REF!))</f>
        <v>#REF!</v>
      </c>
      <c r="BG115" s="149" t="e">
        <f t="shared" si="22"/>
        <v>#REF!</v>
      </c>
      <c r="BI115" s="149" t="e">
        <f>IF('Cable Info'!#REF!="","",CONCATENATE('Cable Info'!#REF!," - ",'Cable Info'!#REF!))</f>
        <v>#REF!</v>
      </c>
      <c r="BL115" s="149" t="e">
        <f t="shared" si="23"/>
        <v>#REF!</v>
      </c>
      <c r="CL115" s="309"/>
    </row>
    <row r="116" spans="1:90" x14ac:dyDescent="0.2">
      <c r="A116" s="222"/>
      <c r="B116" s="165"/>
      <c r="C116" s="142" t="str">
        <f>IFERROR(IF(B116="","",IF((COUNTIF('Cable Info'!$B$11:$C$50,B116)=0),VLOOKUP(B116,'Cable Info (2)'!$B$11:$C$50,2,FALSE),(VLOOKUP(B116,'Cable Info'!$B$11:$C$50,2,FALSE)))),"NO SUCH EXIT")</f>
        <v/>
      </c>
      <c r="D116" s="285"/>
      <c r="E116" s="311"/>
      <c r="F116" s="132" t="s">
        <v>59</v>
      </c>
      <c r="G116" s="314"/>
      <c r="H116" s="142" t="str">
        <f t="shared" si="12"/>
        <v/>
      </c>
      <c r="I116" s="318"/>
      <c r="J116" s="132" t="s">
        <v>59</v>
      </c>
      <c r="K116" s="320"/>
      <c r="L116" s="289"/>
      <c r="M116" s="142" t="str">
        <f>IFERROR(IF(P116="","",IF((COUNTIF('Cable Info'!$B$11:$C$50,P116)=0),VLOOKUP(P116,'Cable Info (2)'!$B$11:$C$50,2,FALSE),(VLOOKUP(P116,'Cable Info'!$B$11:$C$50,2,FALSE)))),"NO SUCH EXIT")</f>
        <v/>
      </c>
      <c r="N116" s="293"/>
      <c r="O116" s="234"/>
      <c r="P116" s="161"/>
      <c r="Q116" s="224"/>
      <c r="R116" s="162"/>
      <c r="S116" s="162"/>
      <c r="T116" s="163"/>
      <c r="U116" s="163"/>
      <c r="V116" s="164"/>
      <c r="W116" s="164"/>
      <c r="X116" s="229" t="str">
        <f t="shared" si="13"/>
        <v/>
      </c>
      <c r="Y116" s="147" t="str">
        <f t="shared" si="14"/>
        <v/>
      </c>
      <c r="Z116" s="148" t="str">
        <f t="shared" si="15"/>
        <v/>
      </c>
      <c r="AA116" s="148" t="str">
        <f t="shared" si="16"/>
        <v/>
      </c>
      <c r="AB116" s="148" t="str">
        <f t="shared" si="17"/>
        <v/>
      </c>
      <c r="AJ116" s="149" t="e">
        <f>IF('Cable Info'!#REF!="","",CONCATENATE('Cable Info'!#REF!," - ",'Cable Info'!#REF!))</f>
        <v>#REF!</v>
      </c>
      <c r="AM116" s="149" t="e">
        <f t="shared" si="18"/>
        <v>#REF!</v>
      </c>
      <c r="AO116" s="149" t="e">
        <f>IF('Cable Info'!#REF!="","",CONCATENATE('Cable Info'!#REF!," - ",'Cable Info'!#REF!))</f>
        <v>#REF!</v>
      </c>
      <c r="AR116" s="149" t="e">
        <f t="shared" si="19"/>
        <v>#REF!</v>
      </c>
      <c r="AT116" s="149" t="e">
        <f>IF('Cable Info'!#REF!="","",CONCATENATE('Cable Info'!#REF!," - ",'Cable Info'!#REF!))</f>
        <v>#REF!</v>
      </c>
      <c r="AW116" s="149" t="e">
        <f t="shared" si="20"/>
        <v>#REF!</v>
      </c>
      <c r="AY116" s="149" t="e">
        <f>IF('Cable Info'!#REF!="","",CONCATENATE('Cable Info'!#REF!," - ",'Cable Info'!#REF!))</f>
        <v>#REF!</v>
      </c>
      <c r="BB116" s="149" t="e">
        <f t="shared" si="21"/>
        <v>#REF!</v>
      </c>
      <c r="BD116" s="149" t="e">
        <f>IF('Cable Info'!#REF!="","",CONCATENATE('Cable Info'!#REF!," - ",'Cable Info'!#REF!))</f>
        <v>#REF!</v>
      </c>
      <c r="BG116" s="149" t="e">
        <f t="shared" si="22"/>
        <v>#REF!</v>
      </c>
      <c r="BI116" s="149" t="e">
        <f>IF('Cable Info'!#REF!="","",CONCATENATE('Cable Info'!#REF!," - ",'Cable Info'!#REF!))</f>
        <v>#REF!</v>
      </c>
      <c r="BL116" s="149" t="e">
        <f t="shared" si="23"/>
        <v>#REF!</v>
      </c>
      <c r="CL116" s="309"/>
    </row>
    <row r="117" spans="1:90" x14ac:dyDescent="0.2">
      <c r="A117" s="222"/>
      <c r="B117" s="165"/>
      <c r="C117" s="142" t="str">
        <f>IFERROR(IF(B117="","",IF((COUNTIF('Cable Info'!$B$11:$C$50,B117)=0),VLOOKUP(B117,'Cable Info (2)'!$B$11:$C$50,2,FALSE),(VLOOKUP(B117,'Cable Info'!$B$11:$C$50,2,FALSE)))),"NO SUCH EXIT")</f>
        <v/>
      </c>
      <c r="D117" s="285"/>
      <c r="E117" s="311"/>
      <c r="F117" s="132" t="s">
        <v>59</v>
      </c>
      <c r="G117" s="314"/>
      <c r="H117" s="142" t="str">
        <f t="shared" si="12"/>
        <v/>
      </c>
      <c r="I117" s="318"/>
      <c r="J117" s="132" t="s">
        <v>59</v>
      </c>
      <c r="K117" s="320"/>
      <c r="L117" s="289"/>
      <c r="M117" s="142" t="str">
        <f>IFERROR(IF(P117="","",IF((COUNTIF('Cable Info'!$B$11:$C$50,P117)=0),VLOOKUP(P117,'Cable Info (2)'!$B$11:$C$50,2,FALSE),(VLOOKUP(P117,'Cable Info'!$B$11:$C$50,2,FALSE)))),"NO SUCH EXIT")</f>
        <v/>
      </c>
      <c r="N117" s="293"/>
      <c r="O117" s="234"/>
      <c r="P117" s="161"/>
      <c r="Q117" s="224"/>
      <c r="R117" s="162"/>
      <c r="S117" s="162"/>
      <c r="T117" s="163"/>
      <c r="U117" s="163"/>
      <c r="V117" s="164"/>
      <c r="W117" s="164"/>
      <c r="X117" s="229" t="str">
        <f t="shared" si="13"/>
        <v/>
      </c>
      <c r="Y117" s="147" t="str">
        <f t="shared" si="14"/>
        <v/>
      </c>
      <c r="Z117" s="148" t="str">
        <f t="shared" si="15"/>
        <v/>
      </c>
      <c r="AA117" s="148" t="str">
        <f t="shared" si="16"/>
        <v/>
      </c>
      <c r="AB117" s="148" t="str">
        <f t="shared" si="17"/>
        <v/>
      </c>
      <c r="AJ117" s="149" t="e">
        <f>IF('Cable Info'!#REF!="","",CONCATENATE('Cable Info'!#REF!," - ",'Cable Info'!#REF!))</f>
        <v>#REF!</v>
      </c>
      <c r="AM117" s="149" t="e">
        <f t="shared" si="18"/>
        <v>#REF!</v>
      </c>
      <c r="AO117" s="149" t="e">
        <f>IF('Cable Info'!#REF!="","",CONCATENATE('Cable Info'!#REF!," - ",'Cable Info'!#REF!))</f>
        <v>#REF!</v>
      </c>
      <c r="AR117" s="149" t="e">
        <f t="shared" si="19"/>
        <v>#REF!</v>
      </c>
      <c r="AT117" s="149" t="e">
        <f>IF('Cable Info'!#REF!="","",CONCATENATE('Cable Info'!#REF!," - ",'Cable Info'!#REF!))</f>
        <v>#REF!</v>
      </c>
      <c r="AW117" s="149" t="e">
        <f t="shared" si="20"/>
        <v>#REF!</v>
      </c>
      <c r="AY117" s="149" t="e">
        <f>IF('Cable Info'!#REF!="","",CONCATENATE('Cable Info'!#REF!," - ",'Cable Info'!#REF!))</f>
        <v>#REF!</v>
      </c>
      <c r="BB117" s="149" t="e">
        <f t="shared" si="21"/>
        <v>#REF!</v>
      </c>
      <c r="BD117" s="149" t="e">
        <f>IF('Cable Info'!#REF!="","",CONCATENATE('Cable Info'!#REF!," - ",'Cable Info'!#REF!))</f>
        <v>#REF!</v>
      </c>
      <c r="BG117" s="149" t="e">
        <f t="shared" si="22"/>
        <v>#REF!</v>
      </c>
      <c r="BI117" s="149" t="e">
        <f>IF('Cable Info'!#REF!="","",CONCATENATE('Cable Info'!#REF!," - ",'Cable Info'!#REF!))</f>
        <v>#REF!</v>
      </c>
      <c r="BL117" s="149" t="e">
        <f t="shared" si="23"/>
        <v>#REF!</v>
      </c>
      <c r="CL117" s="309"/>
    </row>
    <row r="118" spans="1:90" x14ac:dyDescent="0.2">
      <c r="A118" s="222"/>
      <c r="B118" s="165"/>
      <c r="C118" s="142" t="str">
        <f>IFERROR(IF(B118="","",IF((COUNTIF('Cable Info'!$B$11:$C$50,B118)=0),VLOOKUP(B118,'Cable Info (2)'!$B$11:$C$50,2,FALSE),(VLOOKUP(B118,'Cable Info'!$B$11:$C$50,2,FALSE)))),"NO SUCH EXIT")</f>
        <v/>
      </c>
      <c r="D118" s="285"/>
      <c r="E118" s="311"/>
      <c r="F118" s="132" t="s">
        <v>59</v>
      </c>
      <c r="G118" s="314"/>
      <c r="H118" s="142" t="str">
        <f t="shared" si="12"/>
        <v/>
      </c>
      <c r="I118" s="318"/>
      <c r="J118" s="132" t="s">
        <v>59</v>
      </c>
      <c r="K118" s="320"/>
      <c r="L118" s="289"/>
      <c r="M118" s="142" t="str">
        <f>IFERROR(IF(P118="","",IF((COUNTIF('Cable Info'!$B$11:$C$50,P118)=0),VLOOKUP(P118,'Cable Info (2)'!$B$11:$C$50,2,FALSE),(VLOOKUP(P118,'Cable Info'!$B$11:$C$50,2,FALSE)))),"NO SUCH EXIT")</f>
        <v/>
      </c>
      <c r="N118" s="293"/>
      <c r="O118" s="234"/>
      <c r="P118" s="161"/>
      <c r="Q118" s="224"/>
      <c r="R118" s="162"/>
      <c r="S118" s="162"/>
      <c r="T118" s="163"/>
      <c r="U118" s="163"/>
      <c r="V118" s="164"/>
      <c r="W118" s="164"/>
      <c r="X118" s="229" t="str">
        <f t="shared" si="13"/>
        <v/>
      </c>
      <c r="Y118" s="147" t="str">
        <f t="shared" si="14"/>
        <v/>
      </c>
      <c r="Z118" s="148" t="str">
        <f t="shared" si="15"/>
        <v/>
      </c>
      <c r="AA118" s="148" t="str">
        <f t="shared" si="16"/>
        <v/>
      </c>
      <c r="AB118" s="148" t="str">
        <f t="shared" si="17"/>
        <v/>
      </c>
      <c r="AJ118" s="149" t="e">
        <f>IF('Cable Info'!#REF!="","",CONCATENATE('Cable Info'!#REF!," - ",'Cable Info'!#REF!))</f>
        <v>#REF!</v>
      </c>
      <c r="AM118" s="149" t="e">
        <f t="shared" si="18"/>
        <v>#REF!</v>
      </c>
      <c r="AO118" s="149" t="e">
        <f>IF('Cable Info'!#REF!="","",CONCATENATE('Cable Info'!#REF!," - ",'Cable Info'!#REF!))</f>
        <v>#REF!</v>
      </c>
      <c r="AR118" s="149" t="e">
        <f t="shared" si="19"/>
        <v>#REF!</v>
      </c>
      <c r="AT118" s="149" t="e">
        <f>IF('Cable Info'!#REF!="","",CONCATENATE('Cable Info'!#REF!," - ",'Cable Info'!#REF!))</f>
        <v>#REF!</v>
      </c>
      <c r="AW118" s="149" t="e">
        <f t="shared" si="20"/>
        <v>#REF!</v>
      </c>
      <c r="AY118" s="149" t="e">
        <f>IF('Cable Info'!#REF!="","",CONCATENATE('Cable Info'!#REF!," - ",'Cable Info'!#REF!))</f>
        <v>#REF!</v>
      </c>
      <c r="BB118" s="149" t="e">
        <f t="shared" si="21"/>
        <v>#REF!</v>
      </c>
      <c r="BD118" s="149" t="e">
        <f>IF('Cable Info'!#REF!="","",CONCATENATE('Cable Info'!#REF!," - ",'Cable Info'!#REF!))</f>
        <v>#REF!</v>
      </c>
      <c r="BG118" s="149" t="e">
        <f t="shared" si="22"/>
        <v>#REF!</v>
      </c>
      <c r="BI118" s="149" t="e">
        <f>IF('Cable Info'!#REF!="","",CONCATENATE('Cable Info'!#REF!," - ",'Cable Info'!#REF!))</f>
        <v>#REF!</v>
      </c>
      <c r="BL118" s="149" t="e">
        <f t="shared" si="23"/>
        <v>#REF!</v>
      </c>
      <c r="CL118" s="309"/>
    </row>
    <row r="119" spans="1:90" x14ac:dyDescent="0.2">
      <c r="A119" s="222"/>
      <c r="B119" s="165"/>
      <c r="C119" s="142" t="str">
        <f>IFERROR(IF(B119="","",IF((COUNTIF('Cable Info'!$B$11:$C$50,B119)=0),VLOOKUP(B119,'Cable Info (2)'!$B$11:$C$50,2,FALSE),(VLOOKUP(B119,'Cable Info'!$B$11:$C$50,2,FALSE)))),"NO SUCH EXIT")</f>
        <v/>
      </c>
      <c r="D119" s="285"/>
      <c r="E119" s="311"/>
      <c r="F119" s="132" t="s">
        <v>59</v>
      </c>
      <c r="G119" s="314"/>
      <c r="H119" s="142" t="str">
        <f t="shared" si="12"/>
        <v/>
      </c>
      <c r="I119" s="318"/>
      <c r="J119" s="132" t="s">
        <v>59</v>
      </c>
      <c r="K119" s="320"/>
      <c r="L119" s="289"/>
      <c r="M119" s="142" t="str">
        <f>IFERROR(IF(P119="","",IF((COUNTIF('Cable Info'!$B$11:$C$50,P119)=0),VLOOKUP(P119,'Cable Info (2)'!$B$11:$C$50,2,FALSE),(VLOOKUP(P119,'Cable Info'!$B$11:$C$50,2,FALSE)))),"NO SUCH EXIT")</f>
        <v/>
      </c>
      <c r="N119" s="293"/>
      <c r="O119" s="234"/>
      <c r="P119" s="161"/>
      <c r="Q119" s="224"/>
      <c r="R119" s="162"/>
      <c r="S119" s="162"/>
      <c r="T119" s="163"/>
      <c r="U119" s="163"/>
      <c r="V119" s="164"/>
      <c r="W119" s="164"/>
      <c r="X119" s="229" t="str">
        <f t="shared" si="13"/>
        <v/>
      </c>
      <c r="Y119" s="147" t="str">
        <f t="shared" si="14"/>
        <v/>
      </c>
      <c r="Z119" s="148" t="str">
        <f t="shared" si="15"/>
        <v/>
      </c>
      <c r="AA119" s="148" t="str">
        <f t="shared" si="16"/>
        <v/>
      </c>
      <c r="AB119" s="148" t="str">
        <f t="shared" si="17"/>
        <v/>
      </c>
      <c r="AJ119" s="149" t="e">
        <f>IF('Cable Info'!#REF!="","",CONCATENATE('Cable Info'!#REF!," - ",'Cable Info'!#REF!))</f>
        <v>#REF!</v>
      </c>
      <c r="AM119" s="149" t="e">
        <f t="shared" si="18"/>
        <v>#REF!</v>
      </c>
      <c r="AO119" s="149" t="e">
        <f>IF('Cable Info'!#REF!="","",CONCATENATE('Cable Info'!#REF!," - ",'Cable Info'!#REF!))</f>
        <v>#REF!</v>
      </c>
      <c r="AR119" s="149" t="e">
        <f t="shared" si="19"/>
        <v>#REF!</v>
      </c>
      <c r="AT119" s="149" t="e">
        <f>IF('Cable Info'!#REF!="","",CONCATENATE('Cable Info'!#REF!," - ",'Cable Info'!#REF!))</f>
        <v>#REF!</v>
      </c>
      <c r="AW119" s="149" t="e">
        <f t="shared" si="20"/>
        <v>#REF!</v>
      </c>
      <c r="AY119" s="149" t="e">
        <f>IF('Cable Info'!#REF!="","",CONCATENATE('Cable Info'!#REF!," - ",'Cable Info'!#REF!))</f>
        <v>#REF!</v>
      </c>
      <c r="BB119" s="149" t="e">
        <f t="shared" si="21"/>
        <v>#REF!</v>
      </c>
      <c r="BD119" s="149" t="e">
        <f>IF('Cable Info'!#REF!="","",CONCATENATE('Cable Info'!#REF!," - ",'Cable Info'!#REF!))</f>
        <v>#REF!</v>
      </c>
      <c r="BG119" s="149" t="e">
        <f t="shared" si="22"/>
        <v>#REF!</v>
      </c>
      <c r="BI119" s="149" t="e">
        <f>IF('Cable Info'!#REF!="","",CONCATENATE('Cable Info'!#REF!," - ",'Cable Info'!#REF!))</f>
        <v>#REF!</v>
      </c>
      <c r="BL119" s="149" t="e">
        <f t="shared" si="23"/>
        <v>#REF!</v>
      </c>
      <c r="CL119" s="309"/>
    </row>
    <row r="120" spans="1:90" x14ac:dyDescent="0.2">
      <c r="A120" s="222"/>
      <c r="B120" s="165"/>
      <c r="C120" s="142" t="str">
        <f>IFERROR(IF(B120="","",IF((COUNTIF('Cable Info'!$B$11:$C$50,B120)=0),VLOOKUP(B120,'Cable Info (2)'!$B$11:$C$50,2,FALSE),(VLOOKUP(B120,'Cable Info'!$B$11:$C$50,2,FALSE)))),"NO SUCH EXIT")</f>
        <v/>
      </c>
      <c r="D120" s="285"/>
      <c r="E120" s="311"/>
      <c r="F120" s="132" t="s">
        <v>59</v>
      </c>
      <c r="G120" s="314"/>
      <c r="H120" s="142" t="str">
        <f t="shared" si="12"/>
        <v/>
      </c>
      <c r="I120" s="318"/>
      <c r="J120" s="132" t="s">
        <v>59</v>
      </c>
      <c r="K120" s="320"/>
      <c r="L120" s="289"/>
      <c r="M120" s="142" t="str">
        <f>IFERROR(IF(P120="","",IF((COUNTIF('Cable Info'!$B$11:$C$50,P120)=0),VLOOKUP(P120,'Cable Info (2)'!$B$11:$C$50,2,FALSE),(VLOOKUP(P120,'Cable Info'!$B$11:$C$50,2,FALSE)))),"NO SUCH EXIT")</f>
        <v/>
      </c>
      <c r="N120" s="293"/>
      <c r="O120" s="234"/>
      <c r="P120" s="161"/>
      <c r="Q120" s="224"/>
      <c r="R120" s="162"/>
      <c r="S120" s="162"/>
      <c r="T120" s="163"/>
      <c r="U120" s="163"/>
      <c r="V120" s="164"/>
      <c r="W120" s="164"/>
      <c r="X120" s="229" t="str">
        <f t="shared" si="13"/>
        <v/>
      </c>
      <c r="Y120" s="147" t="str">
        <f t="shared" si="14"/>
        <v/>
      </c>
      <c r="Z120" s="148" t="str">
        <f t="shared" si="15"/>
        <v/>
      </c>
      <c r="AA120" s="148" t="str">
        <f t="shared" si="16"/>
        <v/>
      </c>
      <c r="AB120" s="148" t="str">
        <f t="shared" si="17"/>
        <v/>
      </c>
      <c r="AJ120" s="149" t="e">
        <f>IF('Cable Info'!#REF!="","",CONCATENATE('Cable Info'!#REF!," - ",'Cable Info'!#REF!))</f>
        <v>#REF!</v>
      </c>
      <c r="AM120" s="149" t="e">
        <f t="shared" si="18"/>
        <v>#REF!</v>
      </c>
      <c r="AO120" s="149" t="e">
        <f>IF('Cable Info'!#REF!="","",CONCATENATE('Cable Info'!#REF!," - ",'Cable Info'!#REF!))</f>
        <v>#REF!</v>
      </c>
      <c r="AR120" s="149" t="e">
        <f t="shared" si="19"/>
        <v>#REF!</v>
      </c>
      <c r="AT120" s="149" t="e">
        <f>IF('Cable Info'!#REF!="","",CONCATENATE('Cable Info'!#REF!," - ",'Cable Info'!#REF!))</f>
        <v>#REF!</v>
      </c>
      <c r="AW120" s="149" t="e">
        <f t="shared" si="20"/>
        <v>#REF!</v>
      </c>
      <c r="AY120" s="149" t="e">
        <f>IF('Cable Info'!#REF!="","",CONCATENATE('Cable Info'!#REF!," - ",'Cable Info'!#REF!))</f>
        <v>#REF!</v>
      </c>
      <c r="BB120" s="149" t="e">
        <f t="shared" si="21"/>
        <v>#REF!</v>
      </c>
      <c r="BD120" s="149" t="e">
        <f>IF('Cable Info'!#REF!="","",CONCATENATE('Cable Info'!#REF!," - ",'Cable Info'!#REF!))</f>
        <v>#REF!</v>
      </c>
      <c r="BG120" s="149" t="e">
        <f t="shared" si="22"/>
        <v>#REF!</v>
      </c>
      <c r="BI120" s="149" t="e">
        <f>IF('Cable Info'!#REF!="","",CONCATENATE('Cable Info'!#REF!," - ",'Cable Info'!#REF!))</f>
        <v>#REF!</v>
      </c>
      <c r="BL120" s="149" t="e">
        <f t="shared" si="23"/>
        <v>#REF!</v>
      </c>
      <c r="CL120" s="309"/>
    </row>
    <row r="121" spans="1:90" x14ac:dyDescent="0.2">
      <c r="A121" s="222"/>
      <c r="B121" s="165"/>
      <c r="C121" s="142" t="str">
        <f>IFERROR(IF(B121="","",IF((COUNTIF('Cable Info'!$B$11:$C$50,B121)=0),VLOOKUP(B121,'Cable Info (2)'!$B$11:$C$50,2,FALSE),(VLOOKUP(B121,'Cable Info'!$B$11:$C$50,2,FALSE)))),"NO SUCH EXIT")</f>
        <v/>
      </c>
      <c r="D121" s="285"/>
      <c r="E121" s="311"/>
      <c r="F121" s="132" t="s">
        <v>59</v>
      </c>
      <c r="G121" s="314"/>
      <c r="H121" s="142" t="str">
        <f t="shared" si="12"/>
        <v/>
      </c>
      <c r="I121" s="318"/>
      <c r="J121" s="132" t="s">
        <v>59</v>
      </c>
      <c r="K121" s="320"/>
      <c r="L121" s="289"/>
      <c r="M121" s="142" t="str">
        <f>IFERROR(IF(P121="","",IF((COUNTIF('Cable Info'!$B$11:$C$50,P121)=0),VLOOKUP(P121,'Cable Info (2)'!$B$11:$C$50,2,FALSE),(VLOOKUP(P121,'Cable Info'!$B$11:$C$50,2,FALSE)))),"NO SUCH EXIT")</f>
        <v/>
      </c>
      <c r="N121" s="293"/>
      <c r="O121" s="234"/>
      <c r="P121" s="161"/>
      <c r="Q121" s="224"/>
      <c r="R121" s="162"/>
      <c r="S121" s="162"/>
      <c r="T121" s="163"/>
      <c r="U121" s="163"/>
      <c r="V121" s="164"/>
      <c r="W121" s="164"/>
      <c r="X121" s="229" t="str">
        <f t="shared" si="13"/>
        <v/>
      </c>
      <c r="Y121" s="147" t="str">
        <f t="shared" si="14"/>
        <v/>
      </c>
      <c r="Z121" s="148" t="str">
        <f t="shared" si="15"/>
        <v/>
      </c>
      <c r="AA121" s="148" t="str">
        <f t="shared" si="16"/>
        <v/>
      </c>
      <c r="AB121" s="148" t="str">
        <f t="shared" si="17"/>
        <v/>
      </c>
      <c r="AJ121" s="149" t="e">
        <f>IF('Cable Info'!#REF!="","",CONCATENATE('Cable Info'!#REF!," - ",'Cable Info'!#REF!))</f>
        <v>#REF!</v>
      </c>
      <c r="AM121" s="149" t="e">
        <f t="shared" si="18"/>
        <v>#REF!</v>
      </c>
      <c r="AO121" s="149" t="e">
        <f>IF('Cable Info'!#REF!="","",CONCATENATE('Cable Info'!#REF!," - ",'Cable Info'!#REF!))</f>
        <v>#REF!</v>
      </c>
      <c r="AR121" s="149" t="e">
        <f t="shared" si="19"/>
        <v>#REF!</v>
      </c>
      <c r="AT121" s="149" t="e">
        <f>IF('Cable Info'!#REF!="","",CONCATENATE('Cable Info'!#REF!," - ",'Cable Info'!#REF!))</f>
        <v>#REF!</v>
      </c>
      <c r="AW121" s="149" t="e">
        <f t="shared" si="20"/>
        <v>#REF!</v>
      </c>
      <c r="AY121" s="149" t="e">
        <f>IF('Cable Info'!#REF!="","",CONCATENATE('Cable Info'!#REF!," - ",'Cable Info'!#REF!))</f>
        <v>#REF!</v>
      </c>
      <c r="BB121" s="149" t="e">
        <f t="shared" si="21"/>
        <v>#REF!</v>
      </c>
      <c r="BD121" s="149" t="e">
        <f>IF('Cable Info'!#REF!="","",CONCATENATE('Cable Info'!#REF!," - ",'Cable Info'!#REF!))</f>
        <v>#REF!</v>
      </c>
      <c r="BG121" s="149" t="e">
        <f t="shared" si="22"/>
        <v>#REF!</v>
      </c>
      <c r="BI121" s="149" t="e">
        <f>IF('Cable Info'!#REF!="","",CONCATENATE('Cable Info'!#REF!," - ",'Cable Info'!#REF!))</f>
        <v>#REF!</v>
      </c>
      <c r="BL121" s="149" t="e">
        <f t="shared" si="23"/>
        <v>#REF!</v>
      </c>
      <c r="CL121" s="309"/>
    </row>
    <row r="122" spans="1:90" x14ac:dyDescent="0.2">
      <c r="A122" s="222"/>
      <c r="B122" s="165"/>
      <c r="C122" s="142" t="str">
        <f>IFERROR(IF(B122="","",IF((COUNTIF('Cable Info'!$B$11:$C$50,B122)=0),VLOOKUP(B122,'Cable Info (2)'!$B$11:$C$50,2,FALSE),(VLOOKUP(B122,'Cable Info'!$B$11:$C$50,2,FALSE)))),"NO SUCH EXIT")</f>
        <v/>
      </c>
      <c r="D122" s="285"/>
      <c r="E122" s="311"/>
      <c r="F122" s="132" t="s">
        <v>59</v>
      </c>
      <c r="G122" s="314"/>
      <c r="H122" s="142" t="str">
        <f t="shared" si="12"/>
        <v/>
      </c>
      <c r="I122" s="318"/>
      <c r="J122" s="132" t="s">
        <v>59</v>
      </c>
      <c r="K122" s="320"/>
      <c r="L122" s="289"/>
      <c r="M122" s="142" t="str">
        <f>IFERROR(IF(P122="","",IF((COUNTIF('Cable Info'!$B$11:$C$50,P122)=0),VLOOKUP(P122,'Cable Info (2)'!$B$11:$C$50,2,FALSE),(VLOOKUP(P122,'Cable Info'!$B$11:$C$50,2,FALSE)))),"NO SUCH EXIT")</f>
        <v/>
      </c>
      <c r="N122" s="293"/>
      <c r="O122" s="234"/>
      <c r="P122" s="161"/>
      <c r="Q122" s="224"/>
      <c r="R122" s="162"/>
      <c r="S122" s="162"/>
      <c r="T122" s="163"/>
      <c r="U122" s="163"/>
      <c r="V122" s="164"/>
      <c r="W122" s="164"/>
      <c r="X122" s="229" t="str">
        <f t="shared" si="13"/>
        <v/>
      </c>
      <c r="Y122" s="147" t="str">
        <f t="shared" si="14"/>
        <v/>
      </c>
      <c r="Z122" s="148" t="str">
        <f t="shared" si="15"/>
        <v/>
      </c>
      <c r="AA122" s="148" t="str">
        <f t="shared" si="16"/>
        <v/>
      </c>
      <c r="AB122" s="148" t="str">
        <f t="shared" si="17"/>
        <v/>
      </c>
      <c r="AJ122" s="149" t="e">
        <f>IF('Cable Info'!#REF!="","",CONCATENATE('Cable Info'!#REF!," - ",'Cable Info'!#REF!))</f>
        <v>#REF!</v>
      </c>
      <c r="AM122" s="149" t="e">
        <f t="shared" si="18"/>
        <v>#REF!</v>
      </c>
      <c r="AO122" s="149" t="e">
        <f>IF('Cable Info'!#REF!="","",CONCATENATE('Cable Info'!#REF!," - ",'Cable Info'!#REF!))</f>
        <v>#REF!</v>
      </c>
      <c r="AR122" s="149" t="e">
        <f t="shared" si="19"/>
        <v>#REF!</v>
      </c>
      <c r="AT122" s="149" t="e">
        <f>IF('Cable Info'!#REF!="","",CONCATENATE('Cable Info'!#REF!," - ",'Cable Info'!#REF!))</f>
        <v>#REF!</v>
      </c>
      <c r="AW122" s="149" t="e">
        <f t="shared" si="20"/>
        <v>#REF!</v>
      </c>
      <c r="AY122" s="149" t="e">
        <f>IF('Cable Info'!#REF!="","",CONCATENATE('Cable Info'!#REF!," - ",'Cable Info'!#REF!))</f>
        <v>#REF!</v>
      </c>
      <c r="BB122" s="149" t="e">
        <f t="shared" si="21"/>
        <v>#REF!</v>
      </c>
      <c r="BD122" s="149" t="e">
        <f>IF('Cable Info'!#REF!="","",CONCATENATE('Cable Info'!#REF!," - ",'Cable Info'!#REF!))</f>
        <v>#REF!</v>
      </c>
      <c r="BG122" s="149" t="e">
        <f t="shared" si="22"/>
        <v>#REF!</v>
      </c>
      <c r="BI122" s="149" t="e">
        <f>IF('Cable Info'!#REF!="","",CONCATENATE('Cable Info'!#REF!," - ",'Cable Info'!#REF!))</f>
        <v>#REF!</v>
      </c>
      <c r="BL122" s="149" t="e">
        <f t="shared" si="23"/>
        <v>#REF!</v>
      </c>
      <c r="CL122" s="309"/>
    </row>
    <row r="123" spans="1:90" x14ac:dyDescent="0.2">
      <c r="A123" s="222"/>
      <c r="B123" s="165"/>
      <c r="C123" s="142" t="str">
        <f>IFERROR(IF(B123="","",IF((COUNTIF('Cable Info'!$B$11:$C$50,B123)=0),VLOOKUP(B123,'Cable Info (2)'!$B$11:$C$50,2,FALSE),(VLOOKUP(B123,'Cable Info'!$B$11:$C$50,2,FALSE)))),"NO SUCH EXIT")</f>
        <v/>
      </c>
      <c r="D123" s="285"/>
      <c r="E123" s="311"/>
      <c r="F123" s="132" t="s">
        <v>59</v>
      </c>
      <c r="G123" s="314"/>
      <c r="H123" s="142" t="str">
        <f t="shared" si="12"/>
        <v/>
      </c>
      <c r="I123" s="318"/>
      <c r="J123" s="132" t="s">
        <v>59</v>
      </c>
      <c r="K123" s="320"/>
      <c r="L123" s="289"/>
      <c r="M123" s="142" t="str">
        <f>IFERROR(IF(P123="","",IF((COUNTIF('Cable Info'!$B$11:$C$50,P123)=0),VLOOKUP(P123,'Cable Info (2)'!$B$11:$C$50,2,FALSE),(VLOOKUP(P123,'Cable Info'!$B$11:$C$50,2,FALSE)))),"NO SUCH EXIT")</f>
        <v/>
      </c>
      <c r="N123" s="293"/>
      <c r="O123" s="234"/>
      <c r="P123" s="161"/>
      <c r="Q123" s="224"/>
      <c r="R123" s="162"/>
      <c r="S123" s="162"/>
      <c r="T123" s="163"/>
      <c r="U123" s="163"/>
      <c r="V123" s="164"/>
      <c r="W123" s="164"/>
      <c r="X123" s="229" t="str">
        <f t="shared" si="13"/>
        <v/>
      </c>
      <c r="Y123" s="147" t="str">
        <f t="shared" si="14"/>
        <v/>
      </c>
      <c r="Z123" s="148" t="str">
        <f t="shared" si="15"/>
        <v/>
      </c>
      <c r="AA123" s="148" t="str">
        <f t="shared" si="16"/>
        <v/>
      </c>
      <c r="AB123" s="148" t="str">
        <f t="shared" si="17"/>
        <v/>
      </c>
      <c r="AJ123" s="149" t="e">
        <f>IF('Cable Info'!#REF!="","",CONCATENATE('Cable Info'!#REF!," - ",'Cable Info'!#REF!))</f>
        <v>#REF!</v>
      </c>
      <c r="AM123" s="149" t="e">
        <f t="shared" si="18"/>
        <v>#REF!</v>
      </c>
      <c r="AO123" s="149" t="e">
        <f>IF('Cable Info'!#REF!="","",CONCATENATE('Cable Info'!#REF!," - ",'Cable Info'!#REF!))</f>
        <v>#REF!</v>
      </c>
      <c r="AR123" s="149" t="e">
        <f t="shared" si="19"/>
        <v>#REF!</v>
      </c>
      <c r="AT123" s="149" t="e">
        <f>IF('Cable Info'!#REF!="","",CONCATENATE('Cable Info'!#REF!," - ",'Cable Info'!#REF!))</f>
        <v>#REF!</v>
      </c>
      <c r="AW123" s="149" t="e">
        <f t="shared" si="20"/>
        <v>#REF!</v>
      </c>
      <c r="AY123" s="149" t="e">
        <f>IF('Cable Info'!#REF!="","",CONCATENATE('Cable Info'!#REF!," - ",'Cable Info'!#REF!))</f>
        <v>#REF!</v>
      </c>
      <c r="BB123" s="149" t="e">
        <f t="shared" si="21"/>
        <v>#REF!</v>
      </c>
      <c r="BD123" s="149" t="e">
        <f>IF('Cable Info'!#REF!="","",CONCATENATE('Cable Info'!#REF!," - ",'Cable Info'!#REF!))</f>
        <v>#REF!</v>
      </c>
      <c r="BG123" s="149" t="e">
        <f t="shared" si="22"/>
        <v>#REF!</v>
      </c>
      <c r="BI123" s="149" t="e">
        <f>IF('Cable Info'!#REF!="","",CONCATENATE('Cable Info'!#REF!," - ",'Cable Info'!#REF!))</f>
        <v>#REF!</v>
      </c>
      <c r="BL123" s="149" t="e">
        <f t="shared" si="23"/>
        <v>#REF!</v>
      </c>
      <c r="CL123" s="309"/>
    </row>
    <row r="124" spans="1:90" x14ac:dyDescent="0.2">
      <c r="A124" s="222"/>
      <c r="B124" s="165"/>
      <c r="C124" s="142" t="str">
        <f>IFERROR(IF(B124="","",IF((COUNTIF('Cable Info'!$B$11:$C$50,B124)=0),VLOOKUP(B124,'Cable Info (2)'!$B$11:$C$50,2,FALSE),(VLOOKUP(B124,'Cable Info'!$B$11:$C$50,2,FALSE)))),"NO SUCH EXIT")</f>
        <v/>
      </c>
      <c r="D124" s="285"/>
      <c r="E124" s="311"/>
      <c r="F124" s="132" t="s">
        <v>59</v>
      </c>
      <c r="G124" s="314"/>
      <c r="H124" s="142" t="str">
        <f t="shared" si="12"/>
        <v/>
      </c>
      <c r="I124" s="318"/>
      <c r="J124" s="132" t="s">
        <v>59</v>
      </c>
      <c r="K124" s="320"/>
      <c r="L124" s="289"/>
      <c r="M124" s="142" t="str">
        <f>IFERROR(IF(P124="","",IF((COUNTIF('Cable Info'!$B$11:$C$50,P124)=0),VLOOKUP(P124,'Cable Info (2)'!$B$11:$C$50,2,FALSE),(VLOOKUP(P124,'Cable Info'!$B$11:$C$50,2,FALSE)))),"NO SUCH EXIT")</f>
        <v/>
      </c>
      <c r="N124" s="293"/>
      <c r="O124" s="234"/>
      <c r="P124" s="161"/>
      <c r="Q124" s="224"/>
      <c r="R124" s="162"/>
      <c r="S124" s="162"/>
      <c r="T124" s="163"/>
      <c r="U124" s="163"/>
      <c r="V124" s="164"/>
      <c r="W124" s="164"/>
      <c r="X124" s="229" t="str">
        <f t="shared" si="13"/>
        <v/>
      </c>
      <c r="Y124" s="147" t="str">
        <f t="shared" si="14"/>
        <v/>
      </c>
      <c r="Z124" s="148" t="str">
        <f t="shared" si="15"/>
        <v/>
      </c>
      <c r="AA124" s="148" t="str">
        <f t="shared" si="16"/>
        <v/>
      </c>
      <c r="AB124" s="148" t="str">
        <f t="shared" si="17"/>
        <v/>
      </c>
      <c r="AJ124" s="149" t="e">
        <f>IF('Cable Info'!#REF!="","",CONCATENATE('Cable Info'!#REF!," - ",'Cable Info'!#REF!))</f>
        <v>#REF!</v>
      </c>
      <c r="AM124" s="149" t="e">
        <f t="shared" si="18"/>
        <v>#REF!</v>
      </c>
      <c r="AO124" s="149" t="e">
        <f>IF('Cable Info'!#REF!="","",CONCATENATE('Cable Info'!#REF!," - ",'Cable Info'!#REF!))</f>
        <v>#REF!</v>
      </c>
      <c r="AR124" s="149" t="e">
        <f t="shared" si="19"/>
        <v>#REF!</v>
      </c>
      <c r="AT124" s="149" t="e">
        <f>IF('Cable Info'!#REF!="","",CONCATENATE('Cable Info'!#REF!," - ",'Cable Info'!#REF!))</f>
        <v>#REF!</v>
      </c>
      <c r="AW124" s="149" t="e">
        <f t="shared" si="20"/>
        <v>#REF!</v>
      </c>
      <c r="AY124" s="149" t="e">
        <f>IF('Cable Info'!#REF!="","",CONCATENATE('Cable Info'!#REF!," - ",'Cable Info'!#REF!))</f>
        <v>#REF!</v>
      </c>
      <c r="BB124" s="149" t="e">
        <f t="shared" si="21"/>
        <v>#REF!</v>
      </c>
      <c r="BD124" s="149" t="e">
        <f>IF('Cable Info'!#REF!="","",CONCATENATE('Cable Info'!#REF!," - ",'Cable Info'!#REF!))</f>
        <v>#REF!</v>
      </c>
      <c r="BG124" s="149" t="e">
        <f t="shared" si="22"/>
        <v>#REF!</v>
      </c>
      <c r="BI124" s="149" t="e">
        <f>IF('Cable Info'!#REF!="","",CONCATENATE('Cable Info'!#REF!," - ",'Cable Info'!#REF!))</f>
        <v>#REF!</v>
      </c>
      <c r="BL124" s="149" t="e">
        <f t="shared" si="23"/>
        <v>#REF!</v>
      </c>
      <c r="CL124" s="309"/>
    </row>
    <row r="125" spans="1:90" x14ac:dyDescent="0.2">
      <c r="A125" s="222"/>
      <c r="B125" s="165"/>
      <c r="C125" s="142" t="str">
        <f>IFERROR(IF(B125="","",IF((COUNTIF('Cable Info'!$B$11:$C$50,B125)=0),VLOOKUP(B125,'Cable Info (2)'!$B$11:$C$50,2,FALSE),(VLOOKUP(B125,'Cable Info'!$B$11:$C$50,2,FALSE)))),"NO SUCH EXIT")</f>
        <v/>
      </c>
      <c r="D125" s="285"/>
      <c r="E125" s="311"/>
      <c r="F125" s="132" t="s">
        <v>59</v>
      </c>
      <c r="G125" s="314"/>
      <c r="H125" s="142" t="str">
        <f t="shared" si="12"/>
        <v/>
      </c>
      <c r="I125" s="318"/>
      <c r="J125" s="132" t="s">
        <v>59</v>
      </c>
      <c r="K125" s="320"/>
      <c r="L125" s="289"/>
      <c r="M125" s="142" t="str">
        <f>IFERROR(IF(P125="","",IF((COUNTIF('Cable Info'!$B$11:$C$50,P125)=0),VLOOKUP(P125,'Cable Info (2)'!$B$11:$C$50,2,FALSE),(VLOOKUP(P125,'Cable Info'!$B$11:$C$50,2,FALSE)))),"NO SUCH EXIT")</f>
        <v/>
      </c>
      <c r="N125" s="293"/>
      <c r="O125" s="234"/>
      <c r="P125" s="161"/>
      <c r="Q125" s="224"/>
      <c r="R125" s="162"/>
      <c r="S125" s="162"/>
      <c r="T125" s="163"/>
      <c r="U125" s="163"/>
      <c r="V125" s="164"/>
      <c r="W125" s="164"/>
      <c r="X125" s="229" t="str">
        <f t="shared" si="13"/>
        <v/>
      </c>
      <c r="Y125" s="147" t="str">
        <f t="shared" si="14"/>
        <v/>
      </c>
      <c r="Z125" s="148" t="str">
        <f t="shared" si="15"/>
        <v/>
      </c>
      <c r="AA125" s="148" t="str">
        <f t="shared" si="16"/>
        <v/>
      </c>
      <c r="AB125" s="148" t="str">
        <f t="shared" si="17"/>
        <v/>
      </c>
      <c r="AJ125" s="149" t="e">
        <f>IF('Cable Info'!#REF!="","",CONCATENATE('Cable Info'!#REF!," - ",'Cable Info'!#REF!))</f>
        <v>#REF!</v>
      </c>
      <c r="AM125" s="149" t="e">
        <f t="shared" si="18"/>
        <v>#REF!</v>
      </c>
      <c r="AO125" s="149" t="e">
        <f>IF('Cable Info'!#REF!="","",CONCATENATE('Cable Info'!#REF!," - ",'Cable Info'!#REF!))</f>
        <v>#REF!</v>
      </c>
      <c r="AR125" s="149" t="e">
        <f t="shared" si="19"/>
        <v>#REF!</v>
      </c>
      <c r="AT125" s="149" t="e">
        <f>IF('Cable Info'!#REF!="","",CONCATENATE('Cable Info'!#REF!," - ",'Cable Info'!#REF!))</f>
        <v>#REF!</v>
      </c>
      <c r="AW125" s="149" t="e">
        <f t="shared" si="20"/>
        <v>#REF!</v>
      </c>
      <c r="AY125" s="149" t="e">
        <f>IF('Cable Info'!#REF!="","",CONCATENATE('Cable Info'!#REF!," - ",'Cable Info'!#REF!))</f>
        <v>#REF!</v>
      </c>
      <c r="BB125" s="149" t="e">
        <f t="shared" si="21"/>
        <v>#REF!</v>
      </c>
      <c r="BD125" s="149" t="e">
        <f>IF('Cable Info'!#REF!="","",CONCATENATE('Cable Info'!#REF!," - ",'Cable Info'!#REF!))</f>
        <v>#REF!</v>
      </c>
      <c r="BG125" s="149" t="e">
        <f t="shared" si="22"/>
        <v>#REF!</v>
      </c>
      <c r="BI125" s="149" t="e">
        <f>IF('Cable Info'!#REF!="","",CONCATENATE('Cable Info'!#REF!," - ",'Cable Info'!#REF!))</f>
        <v>#REF!</v>
      </c>
      <c r="BL125" s="149" t="e">
        <f t="shared" si="23"/>
        <v>#REF!</v>
      </c>
      <c r="CL125" s="309"/>
    </row>
    <row r="126" spans="1:90" x14ac:dyDescent="0.2">
      <c r="A126" s="222"/>
      <c r="B126" s="165"/>
      <c r="C126" s="142" t="str">
        <f>IFERROR(IF(B126="","",IF((COUNTIF('Cable Info'!$B$11:$C$50,B126)=0),VLOOKUP(B126,'Cable Info (2)'!$B$11:$C$50,2,FALSE),(VLOOKUP(B126,'Cable Info'!$B$11:$C$50,2,FALSE)))),"NO SUCH EXIT")</f>
        <v/>
      </c>
      <c r="D126" s="285"/>
      <c r="E126" s="311"/>
      <c r="F126" s="132" t="s">
        <v>59</v>
      </c>
      <c r="G126" s="314"/>
      <c r="H126" s="142" t="str">
        <f t="shared" si="12"/>
        <v/>
      </c>
      <c r="I126" s="318"/>
      <c r="J126" s="132" t="s">
        <v>59</v>
      </c>
      <c r="K126" s="320"/>
      <c r="L126" s="289"/>
      <c r="M126" s="142" t="str">
        <f>IFERROR(IF(P126="","",IF((COUNTIF('Cable Info'!$B$11:$C$50,P126)=0),VLOOKUP(P126,'Cable Info (2)'!$B$11:$C$50,2,FALSE),(VLOOKUP(P126,'Cable Info'!$B$11:$C$50,2,FALSE)))),"NO SUCH EXIT")</f>
        <v/>
      </c>
      <c r="N126" s="293"/>
      <c r="O126" s="234"/>
      <c r="P126" s="161"/>
      <c r="Q126" s="224"/>
      <c r="R126" s="162"/>
      <c r="S126" s="162"/>
      <c r="T126" s="163"/>
      <c r="U126" s="163"/>
      <c r="V126" s="164"/>
      <c r="W126" s="164"/>
      <c r="X126" s="229" t="str">
        <f t="shared" si="13"/>
        <v/>
      </c>
      <c r="Y126" s="147" t="str">
        <f t="shared" si="14"/>
        <v/>
      </c>
      <c r="Z126" s="148" t="str">
        <f t="shared" si="15"/>
        <v/>
      </c>
      <c r="AA126" s="148" t="str">
        <f t="shared" si="16"/>
        <v/>
      </c>
      <c r="AB126" s="148" t="str">
        <f t="shared" si="17"/>
        <v/>
      </c>
      <c r="AJ126" s="149" t="e">
        <f>IF('Cable Info'!#REF!="","",CONCATENATE('Cable Info'!#REF!," - ",'Cable Info'!#REF!))</f>
        <v>#REF!</v>
      </c>
      <c r="AM126" s="149" t="e">
        <f t="shared" si="18"/>
        <v>#REF!</v>
      </c>
      <c r="AO126" s="149" t="e">
        <f>IF('Cable Info'!#REF!="","",CONCATENATE('Cable Info'!#REF!," - ",'Cable Info'!#REF!))</f>
        <v>#REF!</v>
      </c>
      <c r="AR126" s="149" t="e">
        <f t="shared" si="19"/>
        <v>#REF!</v>
      </c>
      <c r="AT126" s="149" t="e">
        <f>IF('Cable Info'!#REF!="","",CONCATENATE('Cable Info'!#REF!," - ",'Cable Info'!#REF!))</f>
        <v>#REF!</v>
      </c>
      <c r="AW126" s="149" t="e">
        <f t="shared" si="20"/>
        <v>#REF!</v>
      </c>
      <c r="AY126" s="149" t="e">
        <f>IF('Cable Info'!#REF!="","",CONCATENATE('Cable Info'!#REF!," - ",'Cable Info'!#REF!))</f>
        <v>#REF!</v>
      </c>
      <c r="BB126" s="149" t="e">
        <f t="shared" si="21"/>
        <v>#REF!</v>
      </c>
      <c r="BD126" s="149" t="e">
        <f>IF('Cable Info'!#REF!="","",CONCATENATE('Cable Info'!#REF!," - ",'Cable Info'!#REF!))</f>
        <v>#REF!</v>
      </c>
      <c r="BG126" s="149" t="e">
        <f t="shared" si="22"/>
        <v>#REF!</v>
      </c>
      <c r="BI126" s="149" t="e">
        <f>IF('Cable Info'!#REF!="","",CONCATENATE('Cable Info'!#REF!," - ",'Cable Info'!#REF!))</f>
        <v>#REF!</v>
      </c>
      <c r="BL126" s="149" t="e">
        <f t="shared" si="23"/>
        <v>#REF!</v>
      </c>
      <c r="CL126" s="309"/>
    </row>
    <row r="127" spans="1:90" x14ac:dyDescent="0.2">
      <c r="A127" s="222"/>
      <c r="B127" s="165"/>
      <c r="C127" s="142" t="str">
        <f>IFERROR(IF(B127="","",IF((COUNTIF('Cable Info'!$B$11:$C$50,B127)=0),VLOOKUP(B127,'Cable Info (2)'!$B$11:$C$50,2,FALSE),(VLOOKUP(B127,'Cable Info'!$B$11:$C$50,2,FALSE)))),"NO SUCH EXIT")</f>
        <v/>
      </c>
      <c r="D127" s="285"/>
      <c r="E127" s="311"/>
      <c r="F127" s="132" t="s">
        <v>59</v>
      </c>
      <c r="G127" s="314"/>
      <c r="H127" s="142" t="str">
        <f t="shared" si="12"/>
        <v/>
      </c>
      <c r="I127" s="318"/>
      <c r="J127" s="132" t="s">
        <v>59</v>
      </c>
      <c r="K127" s="320"/>
      <c r="L127" s="289"/>
      <c r="M127" s="142" t="str">
        <f>IFERROR(IF(P127="","",IF((COUNTIF('Cable Info'!$B$11:$C$50,P127)=0),VLOOKUP(P127,'Cable Info (2)'!$B$11:$C$50,2,FALSE),(VLOOKUP(P127,'Cable Info'!$B$11:$C$50,2,FALSE)))),"NO SUCH EXIT")</f>
        <v/>
      </c>
      <c r="N127" s="293"/>
      <c r="O127" s="234"/>
      <c r="P127" s="161"/>
      <c r="Q127" s="224"/>
      <c r="R127" s="162"/>
      <c r="S127" s="162"/>
      <c r="T127" s="163"/>
      <c r="U127" s="163"/>
      <c r="V127" s="164"/>
      <c r="W127" s="164"/>
      <c r="X127" s="229" t="str">
        <f t="shared" si="13"/>
        <v/>
      </c>
      <c r="Y127" s="147" t="str">
        <f t="shared" si="14"/>
        <v/>
      </c>
      <c r="Z127" s="148" t="str">
        <f t="shared" si="15"/>
        <v/>
      </c>
      <c r="AA127" s="148" t="str">
        <f t="shared" si="16"/>
        <v/>
      </c>
      <c r="AB127" s="148" t="str">
        <f t="shared" si="17"/>
        <v/>
      </c>
      <c r="AJ127" s="149" t="e">
        <f>IF('Cable Info'!#REF!="","",CONCATENATE('Cable Info'!#REF!," - ",'Cable Info'!#REF!))</f>
        <v>#REF!</v>
      </c>
      <c r="AM127" s="149" t="e">
        <f t="shared" si="18"/>
        <v>#REF!</v>
      </c>
      <c r="AO127" s="149" t="e">
        <f>IF('Cable Info'!#REF!="","",CONCATENATE('Cable Info'!#REF!," - ",'Cable Info'!#REF!))</f>
        <v>#REF!</v>
      </c>
      <c r="AR127" s="149" t="e">
        <f t="shared" si="19"/>
        <v>#REF!</v>
      </c>
      <c r="AT127" s="149" t="e">
        <f>IF('Cable Info'!#REF!="","",CONCATENATE('Cable Info'!#REF!," - ",'Cable Info'!#REF!))</f>
        <v>#REF!</v>
      </c>
      <c r="AW127" s="149" t="e">
        <f t="shared" si="20"/>
        <v>#REF!</v>
      </c>
      <c r="AY127" s="149" t="e">
        <f>IF('Cable Info'!#REF!="","",CONCATENATE('Cable Info'!#REF!," - ",'Cable Info'!#REF!))</f>
        <v>#REF!</v>
      </c>
      <c r="BB127" s="149" t="e">
        <f t="shared" si="21"/>
        <v>#REF!</v>
      </c>
      <c r="BD127" s="149" t="e">
        <f>IF('Cable Info'!#REF!="","",CONCATENATE('Cable Info'!#REF!," - ",'Cable Info'!#REF!))</f>
        <v>#REF!</v>
      </c>
      <c r="BG127" s="149" t="e">
        <f t="shared" si="22"/>
        <v>#REF!</v>
      </c>
      <c r="BI127" s="149" t="e">
        <f>IF('Cable Info'!#REF!="","",CONCATENATE('Cable Info'!#REF!," - ",'Cable Info'!#REF!))</f>
        <v>#REF!</v>
      </c>
      <c r="BL127" s="149" t="e">
        <f t="shared" si="23"/>
        <v>#REF!</v>
      </c>
      <c r="CL127" s="309"/>
    </row>
    <row r="128" spans="1:90" x14ac:dyDescent="0.2">
      <c r="A128" s="222"/>
      <c r="B128" s="165"/>
      <c r="C128" s="142" t="str">
        <f>IFERROR(IF(B128="","",IF((COUNTIF('Cable Info'!$B$11:$C$50,B128)=0),VLOOKUP(B128,'Cable Info (2)'!$B$11:$C$50,2,FALSE),(VLOOKUP(B128,'Cable Info'!$B$11:$C$50,2,FALSE)))),"NO SUCH EXIT")</f>
        <v/>
      </c>
      <c r="D128" s="285"/>
      <c r="E128" s="311"/>
      <c r="F128" s="132" t="s">
        <v>59</v>
      </c>
      <c r="G128" s="314"/>
      <c r="H128" s="142" t="str">
        <f t="shared" si="12"/>
        <v/>
      </c>
      <c r="I128" s="318"/>
      <c r="J128" s="132" t="s">
        <v>59</v>
      </c>
      <c r="K128" s="320"/>
      <c r="L128" s="289"/>
      <c r="M128" s="142" t="str">
        <f>IFERROR(IF(P128="","",IF((COUNTIF('Cable Info'!$B$11:$C$50,P128)=0),VLOOKUP(P128,'Cable Info (2)'!$B$11:$C$50,2,FALSE),(VLOOKUP(P128,'Cable Info'!$B$11:$C$50,2,FALSE)))),"NO SUCH EXIT")</f>
        <v/>
      </c>
      <c r="N128" s="293"/>
      <c r="O128" s="234"/>
      <c r="P128" s="161"/>
      <c r="Q128" s="224"/>
      <c r="R128" s="162"/>
      <c r="S128" s="162"/>
      <c r="T128" s="163"/>
      <c r="U128" s="163"/>
      <c r="V128" s="164"/>
      <c r="W128" s="164"/>
      <c r="X128" s="229" t="str">
        <f t="shared" si="13"/>
        <v/>
      </c>
      <c r="Y128" s="147" t="str">
        <f t="shared" si="14"/>
        <v/>
      </c>
      <c r="Z128" s="148" t="str">
        <f t="shared" si="15"/>
        <v/>
      </c>
      <c r="AA128" s="148" t="str">
        <f t="shared" si="16"/>
        <v/>
      </c>
      <c r="AB128" s="148" t="str">
        <f t="shared" si="17"/>
        <v/>
      </c>
      <c r="AJ128" s="149" t="e">
        <f>IF('Cable Info'!#REF!="","",CONCATENATE('Cable Info'!#REF!," - ",'Cable Info'!#REF!))</f>
        <v>#REF!</v>
      </c>
      <c r="AM128" s="149" t="e">
        <f t="shared" si="18"/>
        <v>#REF!</v>
      </c>
      <c r="AO128" s="149" t="e">
        <f>IF('Cable Info'!#REF!="","",CONCATENATE('Cable Info'!#REF!," - ",'Cable Info'!#REF!))</f>
        <v>#REF!</v>
      </c>
      <c r="AR128" s="149" t="e">
        <f t="shared" si="19"/>
        <v>#REF!</v>
      </c>
      <c r="AT128" s="149" t="e">
        <f>IF('Cable Info'!#REF!="","",CONCATENATE('Cable Info'!#REF!," - ",'Cable Info'!#REF!))</f>
        <v>#REF!</v>
      </c>
      <c r="AW128" s="149" t="e">
        <f t="shared" si="20"/>
        <v>#REF!</v>
      </c>
      <c r="AY128" s="149" t="e">
        <f>IF('Cable Info'!#REF!="","",CONCATENATE('Cable Info'!#REF!," - ",'Cable Info'!#REF!))</f>
        <v>#REF!</v>
      </c>
      <c r="BB128" s="149" t="e">
        <f t="shared" si="21"/>
        <v>#REF!</v>
      </c>
      <c r="BD128" s="149" t="e">
        <f>IF('Cable Info'!#REF!="","",CONCATENATE('Cable Info'!#REF!," - ",'Cable Info'!#REF!))</f>
        <v>#REF!</v>
      </c>
      <c r="BG128" s="149" t="e">
        <f t="shared" si="22"/>
        <v>#REF!</v>
      </c>
      <c r="BI128" s="149" t="e">
        <f>IF('Cable Info'!#REF!="","",CONCATENATE('Cable Info'!#REF!," - ",'Cable Info'!#REF!))</f>
        <v>#REF!</v>
      </c>
      <c r="BL128" s="149" t="e">
        <f t="shared" si="23"/>
        <v>#REF!</v>
      </c>
      <c r="CL128" s="309"/>
    </row>
    <row r="129" spans="1:90" x14ac:dyDescent="0.2">
      <c r="A129" s="222"/>
      <c r="B129" s="165"/>
      <c r="C129" s="142" t="str">
        <f>IFERROR(IF(B129="","",IF((COUNTIF('Cable Info'!$B$11:$C$50,B129)=0),VLOOKUP(B129,'Cable Info (2)'!$B$11:$C$50,2,FALSE),(VLOOKUP(B129,'Cable Info'!$B$11:$C$50,2,FALSE)))),"NO SUCH EXIT")</f>
        <v/>
      </c>
      <c r="D129" s="285"/>
      <c r="E129" s="311"/>
      <c r="F129" s="132" t="s">
        <v>59</v>
      </c>
      <c r="G129" s="314"/>
      <c r="H129" s="142" t="str">
        <f t="shared" si="12"/>
        <v/>
      </c>
      <c r="I129" s="318"/>
      <c r="J129" s="132" t="s">
        <v>59</v>
      </c>
      <c r="K129" s="320"/>
      <c r="L129" s="289"/>
      <c r="M129" s="142" t="str">
        <f>IFERROR(IF(P129="","",IF((COUNTIF('Cable Info'!$B$11:$C$50,P129)=0),VLOOKUP(P129,'Cable Info (2)'!$B$11:$C$50,2,FALSE),(VLOOKUP(P129,'Cable Info'!$B$11:$C$50,2,FALSE)))),"NO SUCH EXIT")</f>
        <v/>
      </c>
      <c r="N129" s="293"/>
      <c r="O129" s="234"/>
      <c r="P129" s="161"/>
      <c r="Q129" s="224"/>
      <c r="R129" s="162"/>
      <c r="S129" s="162"/>
      <c r="T129" s="163"/>
      <c r="U129" s="163"/>
      <c r="V129" s="164"/>
      <c r="W129" s="164"/>
      <c r="X129" s="229" t="str">
        <f t="shared" si="13"/>
        <v/>
      </c>
      <c r="Y129" s="147" t="str">
        <f t="shared" si="14"/>
        <v/>
      </c>
      <c r="Z129" s="148" t="str">
        <f t="shared" si="15"/>
        <v/>
      </c>
      <c r="AA129" s="148" t="str">
        <f t="shared" si="16"/>
        <v/>
      </c>
      <c r="AB129" s="148" t="str">
        <f t="shared" si="17"/>
        <v/>
      </c>
      <c r="AJ129" s="149" t="e">
        <f>IF('Cable Info'!#REF!="","",CONCATENATE('Cable Info'!#REF!," - ",'Cable Info'!#REF!))</f>
        <v>#REF!</v>
      </c>
      <c r="AM129" s="149" t="e">
        <f t="shared" si="18"/>
        <v>#REF!</v>
      </c>
      <c r="AO129" s="149" t="e">
        <f>IF('Cable Info'!#REF!="","",CONCATENATE('Cable Info'!#REF!," - ",'Cable Info'!#REF!))</f>
        <v>#REF!</v>
      </c>
      <c r="AR129" s="149" t="e">
        <f t="shared" si="19"/>
        <v>#REF!</v>
      </c>
      <c r="AT129" s="149" t="e">
        <f>IF('Cable Info'!#REF!="","",CONCATENATE('Cable Info'!#REF!," - ",'Cable Info'!#REF!))</f>
        <v>#REF!</v>
      </c>
      <c r="AW129" s="149" t="e">
        <f t="shared" si="20"/>
        <v>#REF!</v>
      </c>
      <c r="AY129" s="149" t="e">
        <f>IF('Cable Info'!#REF!="","",CONCATENATE('Cable Info'!#REF!," - ",'Cable Info'!#REF!))</f>
        <v>#REF!</v>
      </c>
      <c r="BB129" s="149" t="e">
        <f t="shared" si="21"/>
        <v>#REF!</v>
      </c>
      <c r="BD129" s="149" t="e">
        <f>IF('Cable Info'!#REF!="","",CONCATENATE('Cable Info'!#REF!," - ",'Cable Info'!#REF!))</f>
        <v>#REF!</v>
      </c>
      <c r="BG129" s="149" t="e">
        <f t="shared" si="22"/>
        <v>#REF!</v>
      </c>
      <c r="BI129" s="149" t="e">
        <f>IF('Cable Info'!#REF!="","",CONCATENATE('Cable Info'!#REF!," - ",'Cable Info'!#REF!))</f>
        <v>#REF!</v>
      </c>
      <c r="BL129" s="149" t="e">
        <f t="shared" si="23"/>
        <v>#REF!</v>
      </c>
      <c r="CL129" s="309"/>
    </row>
    <row r="130" spans="1:90" x14ac:dyDescent="0.2">
      <c r="A130" s="222"/>
      <c r="B130" s="165"/>
      <c r="C130" s="142" t="str">
        <f>IFERROR(IF(B130="","",IF((COUNTIF('Cable Info'!$B$11:$C$50,B130)=0),VLOOKUP(B130,'Cable Info (2)'!$B$11:$C$50,2,FALSE),(VLOOKUP(B130,'Cable Info'!$B$11:$C$50,2,FALSE)))),"NO SUCH EXIT")</f>
        <v/>
      </c>
      <c r="D130" s="285"/>
      <c r="E130" s="311"/>
      <c r="F130" s="132" t="s">
        <v>59</v>
      </c>
      <c r="G130" s="314"/>
      <c r="H130" s="142" t="str">
        <f t="shared" si="12"/>
        <v/>
      </c>
      <c r="I130" s="318"/>
      <c r="J130" s="132" t="s">
        <v>59</v>
      </c>
      <c r="K130" s="320"/>
      <c r="L130" s="289"/>
      <c r="M130" s="142" t="str">
        <f>IFERROR(IF(P130="","",IF((COUNTIF('Cable Info'!$B$11:$C$50,P130)=0),VLOOKUP(P130,'Cable Info (2)'!$B$11:$C$50,2,FALSE),(VLOOKUP(P130,'Cable Info'!$B$11:$C$50,2,FALSE)))),"NO SUCH EXIT")</f>
        <v/>
      </c>
      <c r="N130" s="293"/>
      <c r="O130" s="234"/>
      <c r="P130" s="161"/>
      <c r="Q130" s="224"/>
      <c r="R130" s="162"/>
      <c r="S130" s="162"/>
      <c r="T130" s="163"/>
      <c r="U130" s="163"/>
      <c r="V130" s="164"/>
      <c r="W130" s="164"/>
      <c r="X130" s="229" t="str">
        <f t="shared" si="13"/>
        <v/>
      </c>
      <c r="Y130" s="147" t="str">
        <f t="shared" si="14"/>
        <v/>
      </c>
      <c r="Z130" s="148" t="str">
        <f t="shared" si="15"/>
        <v/>
      </c>
      <c r="AA130" s="148" t="str">
        <f t="shared" si="16"/>
        <v/>
      </c>
      <c r="AB130" s="148" t="str">
        <f t="shared" si="17"/>
        <v/>
      </c>
      <c r="AJ130" s="149" t="e">
        <f>IF('Cable Info'!#REF!="","",CONCATENATE('Cable Info'!#REF!," - ",'Cable Info'!#REF!))</f>
        <v>#REF!</v>
      </c>
      <c r="AM130" s="149" t="e">
        <f t="shared" si="18"/>
        <v>#REF!</v>
      </c>
      <c r="AO130" s="149" t="e">
        <f>IF('Cable Info'!#REF!="","",CONCATENATE('Cable Info'!#REF!," - ",'Cable Info'!#REF!))</f>
        <v>#REF!</v>
      </c>
      <c r="AR130" s="149" t="e">
        <f t="shared" si="19"/>
        <v>#REF!</v>
      </c>
      <c r="AT130" s="149" t="e">
        <f>IF('Cable Info'!#REF!="","",CONCATENATE('Cable Info'!#REF!," - ",'Cable Info'!#REF!))</f>
        <v>#REF!</v>
      </c>
      <c r="AW130" s="149" t="e">
        <f t="shared" si="20"/>
        <v>#REF!</v>
      </c>
      <c r="AY130" s="149" t="e">
        <f>IF('Cable Info'!#REF!="","",CONCATENATE('Cable Info'!#REF!," - ",'Cable Info'!#REF!))</f>
        <v>#REF!</v>
      </c>
      <c r="BB130" s="149" t="e">
        <f t="shared" si="21"/>
        <v>#REF!</v>
      </c>
      <c r="BD130" s="149" t="e">
        <f>IF('Cable Info'!#REF!="","",CONCATENATE('Cable Info'!#REF!," - ",'Cable Info'!#REF!))</f>
        <v>#REF!</v>
      </c>
      <c r="BG130" s="149" t="e">
        <f t="shared" si="22"/>
        <v>#REF!</v>
      </c>
      <c r="BI130" s="149" t="e">
        <f>IF('Cable Info'!#REF!="","",CONCATENATE('Cable Info'!#REF!," - ",'Cable Info'!#REF!))</f>
        <v>#REF!</v>
      </c>
      <c r="BL130" s="149" t="e">
        <f t="shared" si="23"/>
        <v>#REF!</v>
      </c>
      <c r="CL130" s="309"/>
    </row>
    <row r="131" spans="1:90" x14ac:dyDescent="0.2">
      <c r="A131" s="222"/>
      <c r="B131" s="165"/>
      <c r="C131" s="142" t="str">
        <f>IFERROR(IF(B131="","",IF((COUNTIF('Cable Info'!$B$11:$C$50,B131)=0),VLOOKUP(B131,'Cable Info (2)'!$B$11:$C$50,2,FALSE),(VLOOKUP(B131,'Cable Info'!$B$11:$C$50,2,FALSE)))),"NO SUCH EXIT")</f>
        <v/>
      </c>
      <c r="D131" s="285"/>
      <c r="E131" s="311"/>
      <c r="F131" s="132" t="s">
        <v>59</v>
      </c>
      <c r="G131" s="314"/>
      <c r="H131" s="142" t="str">
        <f t="shared" si="12"/>
        <v/>
      </c>
      <c r="I131" s="318"/>
      <c r="J131" s="132" t="s">
        <v>59</v>
      </c>
      <c r="K131" s="320"/>
      <c r="L131" s="289"/>
      <c r="M131" s="142" t="str">
        <f>IFERROR(IF(P131="","",IF((COUNTIF('Cable Info'!$B$11:$C$50,P131)=0),VLOOKUP(P131,'Cable Info (2)'!$B$11:$C$50,2,FALSE),(VLOOKUP(P131,'Cable Info'!$B$11:$C$50,2,FALSE)))),"NO SUCH EXIT")</f>
        <v/>
      </c>
      <c r="N131" s="293"/>
      <c r="O131" s="234"/>
      <c r="P131" s="161"/>
      <c r="Q131" s="224"/>
      <c r="R131" s="162"/>
      <c r="S131" s="162"/>
      <c r="T131" s="163"/>
      <c r="U131" s="163"/>
      <c r="V131" s="164"/>
      <c r="W131" s="164"/>
      <c r="X131" s="229" t="str">
        <f t="shared" si="13"/>
        <v/>
      </c>
      <c r="Y131" s="147" t="str">
        <f t="shared" si="14"/>
        <v/>
      </c>
      <c r="Z131" s="148" t="str">
        <f t="shared" si="15"/>
        <v/>
      </c>
      <c r="AA131" s="148" t="str">
        <f t="shared" si="16"/>
        <v/>
      </c>
      <c r="AB131" s="148" t="str">
        <f t="shared" si="17"/>
        <v/>
      </c>
      <c r="AJ131" s="149" t="e">
        <f>IF('Cable Info'!#REF!="","",CONCATENATE('Cable Info'!#REF!," - ",'Cable Info'!#REF!))</f>
        <v>#REF!</v>
      </c>
      <c r="AM131" s="149" t="e">
        <f t="shared" si="18"/>
        <v>#REF!</v>
      </c>
      <c r="AO131" s="149" t="e">
        <f>IF('Cable Info'!#REF!="","",CONCATENATE('Cable Info'!#REF!," - ",'Cable Info'!#REF!))</f>
        <v>#REF!</v>
      </c>
      <c r="AR131" s="149" t="e">
        <f t="shared" si="19"/>
        <v>#REF!</v>
      </c>
      <c r="AT131" s="149" t="e">
        <f>IF('Cable Info'!#REF!="","",CONCATENATE('Cable Info'!#REF!," - ",'Cable Info'!#REF!))</f>
        <v>#REF!</v>
      </c>
      <c r="AW131" s="149" t="e">
        <f t="shared" si="20"/>
        <v>#REF!</v>
      </c>
      <c r="AY131" s="149" t="e">
        <f>IF('Cable Info'!#REF!="","",CONCATENATE('Cable Info'!#REF!," - ",'Cable Info'!#REF!))</f>
        <v>#REF!</v>
      </c>
      <c r="BB131" s="149" t="e">
        <f t="shared" si="21"/>
        <v>#REF!</v>
      </c>
      <c r="BD131" s="149" t="e">
        <f>IF('Cable Info'!#REF!="","",CONCATENATE('Cable Info'!#REF!," - ",'Cable Info'!#REF!))</f>
        <v>#REF!</v>
      </c>
      <c r="BG131" s="149" t="e">
        <f t="shared" si="22"/>
        <v>#REF!</v>
      </c>
      <c r="BI131" s="149" t="e">
        <f>IF('Cable Info'!#REF!="","",CONCATENATE('Cable Info'!#REF!," - ",'Cable Info'!#REF!))</f>
        <v>#REF!</v>
      </c>
      <c r="BL131" s="149" t="e">
        <f t="shared" si="23"/>
        <v>#REF!</v>
      </c>
      <c r="CL131" s="309"/>
    </row>
    <row r="132" spans="1:90" x14ac:dyDescent="0.2">
      <c r="A132" s="222"/>
      <c r="B132" s="165"/>
      <c r="C132" s="142" t="str">
        <f>IFERROR(IF(B132="","",IF((COUNTIF('Cable Info'!$B$11:$C$50,B132)=0),VLOOKUP(B132,'Cable Info (2)'!$B$11:$C$50,2,FALSE),(VLOOKUP(B132,'Cable Info'!$B$11:$C$50,2,FALSE)))),"NO SUCH EXIT")</f>
        <v/>
      </c>
      <c r="D132" s="285"/>
      <c r="E132" s="311"/>
      <c r="F132" s="132" t="s">
        <v>59</v>
      </c>
      <c r="G132" s="314"/>
      <c r="H132" s="142" t="str">
        <f t="shared" si="12"/>
        <v/>
      </c>
      <c r="I132" s="318"/>
      <c r="J132" s="132" t="s">
        <v>59</v>
      </c>
      <c r="K132" s="320"/>
      <c r="L132" s="289"/>
      <c r="M132" s="142" t="str">
        <f>IFERROR(IF(P132="","",IF((COUNTIF('Cable Info'!$B$11:$C$50,P132)=0),VLOOKUP(P132,'Cable Info (2)'!$B$11:$C$50,2,FALSE),(VLOOKUP(P132,'Cable Info'!$B$11:$C$50,2,FALSE)))),"NO SUCH EXIT")</f>
        <v/>
      </c>
      <c r="N132" s="293"/>
      <c r="O132" s="234"/>
      <c r="P132" s="161"/>
      <c r="Q132" s="224"/>
      <c r="R132" s="162"/>
      <c r="S132" s="162"/>
      <c r="T132" s="163"/>
      <c r="U132" s="163"/>
      <c r="V132" s="164"/>
      <c r="W132" s="164"/>
      <c r="X132" s="229" t="str">
        <f t="shared" si="13"/>
        <v/>
      </c>
      <c r="Y132" s="147" t="str">
        <f t="shared" si="14"/>
        <v/>
      </c>
      <c r="Z132" s="148" t="str">
        <f t="shared" si="15"/>
        <v/>
      </c>
      <c r="AA132" s="148" t="str">
        <f t="shared" si="16"/>
        <v/>
      </c>
      <c r="AB132" s="148" t="str">
        <f t="shared" si="17"/>
        <v/>
      </c>
      <c r="AJ132" s="149" t="e">
        <f>IF('Cable Info'!#REF!="","",CONCATENATE('Cable Info'!#REF!," - ",'Cable Info'!#REF!))</f>
        <v>#REF!</v>
      </c>
      <c r="AM132" s="149" t="e">
        <f t="shared" si="18"/>
        <v>#REF!</v>
      </c>
      <c r="AO132" s="149" t="e">
        <f>IF('Cable Info'!#REF!="","",CONCATENATE('Cable Info'!#REF!," - ",'Cable Info'!#REF!))</f>
        <v>#REF!</v>
      </c>
      <c r="AR132" s="149" t="e">
        <f t="shared" si="19"/>
        <v>#REF!</v>
      </c>
      <c r="AT132" s="149" t="e">
        <f>IF('Cable Info'!#REF!="","",CONCATENATE('Cable Info'!#REF!," - ",'Cable Info'!#REF!))</f>
        <v>#REF!</v>
      </c>
      <c r="AW132" s="149" t="e">
        <f t="shared" si="20"/>
        <v>#REF!</v>
      </c>
      <c r="AY132" s="149" t="e">
        <f>IF('Cable Info'!#REF!="","",CONCATENATE('Cable Info'!#REF!," - ",'Cable Info'!#REF!))</f>
        <v>#REF!</v>
      </c>
      <c r="BB132" s="149" t="e">
        <f t="shared" si="21"/>
        <v>#REF!</v>
      </c>
      <c r="BD132" s="149" t="e">
        <f>IF('Cable Info'!#REF!="","",CONCATENATE('Cable Info'!#REF!," - ",'Cable Info'!#REF!))</f>
        <v>#REF!</v>
      </c>
      <c r="BG132" s="149" t="e">
        <f t="shared" si="22"/>
        <v>#REF!</v>
      </c>
      <c r="BI132" s="149" t="e">
        <f>IF('Cable Info'!#REF!="","",CONCATENATE('Cable Info'!#REF!," - ",'Cable Info'!#REF!))</f>
        <v>#REF!</v>
      </c>
      <c r="BL132" s="149" t="e">
        <f t="shared" si="23"/>
        <v>#REF!</v>
      </c>
      <c r="CL132" s="309"/>
    </row>
    <row r="133" spans="1:90" x14ac:dyDescent="0.2">
      <c r="A133" s="222"/>
      <c r="B133" s="165"/>
      <c r="C133" s="142" t="str">
        <f>IFERROR(IF(B133="","",IF((COUNTIF('Cable Info'!$B$11:$C$50,B133)=0),VLOOKUP(B133,'Cable Info (2)'!$B$11:$C$50,2,FALSE),(VLOOKUP(B133,'Cable Info'!$B$11:$C$50,2,FALSE)))),"NO SUCH EXIT")</f>
        <v/>
      </c>
      <c r="D133" s="285"/>
      <c r="E133" s="311"/>
      <c r="F133" s="132" t="s">
        <v>59</v>
      </c>
      <c r="G133" s="314"/>
      <c r="H133" s="142" t="str">
        <f t="shared" si="12"/>
        <v/>
      </c>
      <c r="I133" s="318"/>
      <c r="J133" s="132" t="s">
        <v>59</v>
      </c>
      <c r="K133" s="320"/>
      <c r="L133" s="289"/>
      <c r="M133" s="142" t="str">
        <f>IFERROR(IF(P133="","",IF((COUNTIF('Cable Info'!$B$11:$C$50,P133)=0),VLOOKUP(P133,'Cable Info (2)'!$B$11:$C$50,2,FALSE),(VLOOKUP(P133,'Cable Info'!$B$11:$C$50,2,FALSE)))),"NO SUCH EXIT")</f>
        <v/>
      </c>
      <c r="N133" s="293"/>
      <c r="O133" s="234"/>
      <c r="P133" s="161"/>
      <c r="Q133" s="224"/>
      <c r="R133" s="162"/>
      <c r="S133" s="162"/>
      <c r="T133" s="163"/>
      <c r="U133" s="163"/>
      <c r="V133" s="164"/>
      <c r="W133" s="164"/>
      <c r="X133" s="229" t="str">
        <f t="shared" si="13"/>
        <v/>
      </c>
      <c r="Y133" s="147" t="str">
        <f t="shared" si="14"/>
        <v/>
      </c>
      <c r="Z133" s="148" t="str">
        <f t="shared" si="15"/>
        <v/>
      </c>
      <c r="AA133" s="148" t="str">
        <f t="shared" si="16"/>
        <v/>
      </c>
      <c r="AB133" s="148" t="str">
        <f t="shared" si="17"/>
        <v/>
      </c>
      <c r="AJ133" s="149" t="e">
        <f>IF('Cable Info'!#REF!="","",CONCATENATE('Cable Info'!#REF!," - ",'Cable Info'!#REF!))</f>
        <v>#REF!</v>
      </c>
      <c r="AM133" s="149" t="e">
        <f t="shared" si="18"/>
        <v>#REF!</v>
      </c>
      <c r="AO133" s="149" t="e">
        <f>IF('Cable Info'!#REF!="","",CONCATENATE('Cable Info'!#REF!," - ",'Cable Info'!#REF!))</f>
        <v>#REF!</v>
      </c>
      <c r="AR133" s="149" t="e">
        <f t="shared" si="19"/>
        <v>#REF!</v>
      </c>
      <c r="AT133" s="149" t="e">
        <f>IF('Cable Info'!#REF!="","",CONCATENATE('Cable Info'!#REF!," - ",'Cable Info'!#REF!))</f>
        <v>#REF!</v>
      </c>
      <c r="AW133" s="149" t="e">
        <f t="shared" si="20"/>
        <v>#REF!</v>
      </c>
      <c r="AY133" s="149" t="e">
        <f>IF('Cable Info'!#REF!="","",CONCATENATE('Cable Info'!#REF!," - ",'Cable Info'!#REF!))</f>
        <v>#REF!</v>
      </c>
      <c r="BB133" s="149" t="e">
        <f t="shared" si="21"/>
        <v>#REF!</v>
      </c>
      <c r="BD133" s="149" t="e">
        <f>IF('Cable Info'!#REF!="","",CONCATENATE('Cable Info'!#REF!," - ",'Cable Info'!#REF!))</f>
        <v>#REF!</v>
      </c>
      <c r="BG133" s="149" t="e">
        <f t="shared" si="22"/>
        <v>#REF!</v>
      </c>
      <c r="BI133" s="149" t="e">
        <f>IF('Cable Info'!#REF!="","",CONCATENATE('Cable Info'!#REF!," - ",'Cable Info'!#REF!))</f>
        <v>#REF!</v>
      </c>
      <c r="BL133" s="149" t="e">
        <f t="shared" si="23"/>
        <v>#REF!</v>
      </c>
      <c r="CL133" s="309"/>
    </row>
    <row r="134" spans="1:90" x14ac:dyDescent="0.2">
      <c r="A134" s="222"/>
      <c r="B134" s="165"/>
      <c r="C134" s="142" t="str">
        <f>IFERROR(IF(B134="","",IF((COUNTIF('Cable Info'!$B$11:$C$50,B134)=0),VLOOKUP(B134,'Cable Info (2)'!$B$11:$C$50,2,FALSE),(VLOOKUP(B134,'Cable Info'!$B$11:$C$50,2,FALSE)))),"NO SUCH EXIT")</f>
        <v/>
      </c>
      <c r="D134" s="285"/>
      <c r="E134" s="311"/>
      <c r="F134" s="132" t="s">
        <v>59</v>
      </c>
      <c r="G134" s="314"/>
      <c r="H134" s="142" t="str">
        <f t="shared" si="12"/>
        <v/>
      </c>
      <c r="I134" s="318"/>
      <c r="J134" s="132" t="s">
        <v>59</v>
      </c>
      <c r="K134" s="320"/>
      <c r="L134" s="289"/>
      <c r="M134" s="142" t="str">
        <f>IFERROR(IF(P134="","",IF((COUNTIF('Cable Info'!$B$11:$C$50,P134)=0),VLOOKUP(P134,'Cable Info (2)'!$B$11:$C$50,2,FALSE),(VLOOKUP(P134,'Cable Info'!$B$11:$C$50,2,FALSE)))),"NO SUCH EXIT")</f>
        <v/>
      </c>
      <c r="N134" s="293"/>
      <c r="O134" s="234"/>
      <c r="P134" s="161"/>
      <c r="Q134" s="224"/>
      <c r="R134" s="162"/>
      <c r="S134" s="162"/>
      <c r="T134" s="163"/>
      <c r="U134" s="163"/>
      <c r="V134" s="164"/>
      <c r="W134" s="164"/>
      <c r="X134" s="229" t="str">
        <f t="shared" si="13"/>
        <v/>
      </c>
      <c r="Y134" s="147" t="str">
        <f t="shared" si="14"/>
        <v/>
      </c>
      <c r="Z134" s="148" t="str">
        <f t="shared" si="15"/>
        <v/>
      </c>
      <c r="AA134" s="148" t="str">
        <f t="shared" si="16"/>
        <v/>
      </c>
      <c r="AB134" s="148" t="str">
        <f t="shared" si="17"/>
        <v/>
      </c>
      <c r="AJ134" s="149" t="e">
        <f>IF('Cable Info'!#REF!="","",CONCATENATE('Cable Info'!#REF!," - ",'Cable Info'!#REF!))</f>
        <v>#REF!</v>
      </c>
      <c r="AM134" s="149" t="e">
        <f t="shared" si="18"/>
        <v>#REF!</v>
      </c>
      <c r="AO134" s="149" t="e">
        <f>IF('Cable Info'!#REF!="","",CONCATENATE('Cable Info'!#REF!," - ",'Cable Info'!#REF!))</f>
        <v>#REF!</v>
      </c>
      <c r="AR134" s="149" t="e">
        <f t="shared" si="19"/>
        <v>#REF!</v>
      </c>
      <c r="AT134" s="149" t="e">
        <f>IF('Cable Info'!#REF!="","",CONCATENATE('Cable Info'!#REF!," - ",'Cable Info'!#REF!))</f>
        <v>#REF!</v>
      </c>
      <c r="AW134" s="149" t="e">
        <f t="shared" si="20"/>
        <v>#REF!</v>
      </c>
      <c r="AY134" s="149" t="e">
        <f>IF('Cable Info'!#REF!="","",CONCATENATE('Cable Info'!#REF!," - ",'Cable Info'!#REF!))</f>
        <v>#REF!</v>
      </c>
      <c r="BB134" s="149" t="e">
        <f t="shared" si="21"/>
        <v>#REF!</v>
      </c>
      <c r="BD134" s="149" t="e">
        <f>IF('Cable Info'!#REF!="","",CONCATENATE('Cable Info'!#REF!," - ",'Cable Info'!#REF!))</f>
        <v>#REF!</v>
      </c>
      <c r="BG134" s="149" t="e">
        <f t="shared" si="22"/>
        <v>#REF!</v>
      </c>
      <c r="BI134" s="149" t="e">
        <f>IF('Cable Info'!#REF!="","",CONCATENATE('Cable Info'!#REF!," - ",'Cable Info'!#REF!))</f>
        <v>#REF!</v>
      </c>
      <c r="BL134" s="149" t="e">
        <f t="shared" si="23"/>
        <v>#REF!</v>
      </c>
      <c r="CL134" s="309"/>
    </row>
    <row r="135" spans="1:90" x14ac:dyDescent="0.2">
      <c r="A135" s="222"/>
      <c r="B135" s="165"/>
      <c r="C135" s="142" t="str">
        <f>IFERROR(IF(B135="","",IF((COUNTIF('Cable Info'!$B$11:$C$50,B135)=0),VLOOKUP(B135,'Cable Info (2)'!$B$11:$C$50,2,FALSE),(VLOOKUP(B135,'Cable Info'!$B$11:$C$50,2,FALSE)))),"NO SUCH EXIT")</f>
        <v/>
      </c>
      <c r="D135" s="285"/>
      <c r="E135" s="311"/>
      <c r="F135" s="132" t="s">
        <v>59</v>
      </c>
      <c r="G135" s="314"/>
      <c r="H135" s="142" t="str">
        <f t="shared" si="12"/>
        <v/>
      </c>
      <c r="I135" s="318"/>
      <c r="J135" s="132" t="s">
        <v>59</v>
      </c>
      <c r="K135" s="320"/>
      <c r="L135" s="289"/>
      <c r="M135" s="142" t="str">
        <f>IFERROR(IF(P135="","",IF((COUNTIF('Cable Info'!$B$11:$C$50,P135)=0),VLOOKUP(P135,'Cable Info (2)'!$B$11:$C$50,2,FALSE),(VLOOKUP(P135,'Cable Info'!$B$11:$C$50,2,FALSE)))),"NO SUCH EXIT")</f>
        <v/>
      </c>
      <c r="N135" s="293"/>
      <c r="O135" s="234"/>
      <c r="P135" s="161"/>
      <c r="Q135" s="224"/>
      <c r="R135" s="162"/>
      <c r="S135" s="162"/>
      <c r="T135" s="163"/>
      <c r="U135" s="163"/>
      <c r="V135" s="164"/>
      <c r="W135" s="164"/>
      <c r="X135" s="229" t="str">
        <f t="shared" si="13"/>
        <v/>
      </c>
      <c r="Y135" s="147" t="str">
        <f t="shared" si="14"/>
        <v/>
      </c>
      <c r="Z135" s="148" t="str">
        <f t="shared" si="15"/>
        <v/>
      </c>
      <c r="AA135" s="148" t="str">
        <f t="shared" si="16"/>
        <v/>
      </c>
      <c r="AB135" s="148" t="str">
        <f t="shared" si="17"/>
        <v/>
      </c>
      <c r="AJ135" s="149" t="e">
        <f>IF('Cable Info'!#REF!="","",CONCATENATE('Cable Info'!#REF!," - ",'Cable Info'!#REF!))</f>
        <v>#REF!</v>
      </c>
      <c r="AM135" s="149" t="e">
        <f t="shared" si="18"/>
        <v>#REF!</v>
      </c>
      <c r="AO135" s="149" t="e">
        <f>IF('Cable Info'!#REF!="","",CONCATENATE('Cable Info'!#REF!," - ",'Cable Info'!#REF!))</f>
        <v>#REF!</v>
      </c>
      <c r="AR135" s="149" t="e">
        <f t="shared" si="19"/>
        <v>#REF!</v>
      </c>
      <c r="AT135" s="149" t="e">
        <f>IF('Cable Info'!#REF!="","",CONCATENATE('Cable Info'!#REF!," - ",'Cable Info'!#REF!))</f>
        <v>#REF!</v>
      </c>
      <c r="AW135" s="149" t="e">
        <f t="shared" si="20"/>
        <v>#REF!</v>
      </c>
      <c r="AY135" s="149" t="e">
        <f>IF('Cable Info'!#REF!="","",CONCATENATE('Cable Info'!#REF!," - ",'Cable Info'!#REF!))</f>
        <v>#REF!</v>
      </c>
      <c r="BB135" s="149" t="e">
        <f t="shared" si="21"/>
        <v>#REF!</v>
      </c>
      <c r="BD135" s="149" t="e">
        <f>IF('Cable Info'!#REF!="","",CONCATENATE('Cable Info'!#REF!," - ",'Cable Info'!#REF!))</f>
        <v>#REF!</v>
      </c>
      <c r="BG135" s="149" t="e">
        <f t="shared" si="22"/>
        <v>#REF!</v>
      </c>
      <c r="BI135" s="149" t="e">
        <f>IF('Cable Info'!#REF!="","",CONCATENATE('Cable Info'!#REF!," - ",'Cable Info'!#REF!))</f>
        <v>#REF!</v>
      </c>
      <c r="BL135" s="149" t="e">
        <f t="shared" si="23"/>
        <v>#REF!</v>
      </c>
      <c r="CL135" s="309"/>
    </row>
    <row r="136" spans="1:90" x14ac:dyDescent="0.2">
      <c r="A136" s="222"/>
      <c r="B136" s="165"/>
      <c r="C136" s="142" t="str">
        <f>IFERROR(IF(B136="","",IF((COUNTIF('Cable Info'!$B$11:$C$50,B136)=0),VLOOKUP(B136,'Cable Info (2)'!$B$11:$C$50,2,FALSE),(VLOOKUP(B136,'Cable Info'!$B$11:$C$50,2,FALSE)))),"NO SUCH EXIT")</f>
        <v/>
      </c>
      <c r="D136" s="285"/>
      <c r="E136" s="311"/>
      <c r="F136" s="132" t="s">
        <v>59</v>
      </c>
      <c r="G136" s="314"/>
      <c r="H136" s="142" t="str">
        <f t="shared" si="12"/>
        <v/>
      </c>
      <c r="I136" s="318"/>
      <c r="J136" s="132" t="s">
        <v>59</v>
      </c>
      <c r="K136" s="320"/>
      <c r="L136" s="289"/>
      <c r="M136" s="142" t="str">
        <f>IFERROR(IF(P136="","",IF((COUNTIF('Cable Info'!$B$11:$C$50,P136)=0),VLOOKUP(P136,'Cable Info (2)'!$B$11:$C$50,2,FALSE),(VLOOKUP(P136,'Cable Info'!$B$11:$C$50,2,FALSE)))),"NO SUCH EXIT")</f>
        <v/>
      </c>
      <c r="N136" s="293"/>
      <c r="O136" s="234"/>
      <c r="P136" s="161"/>
      <c r="Q136" s="224"/>
      <c r="R136" s="162"/>
      <c r="S136" s="162"/>
      <c r="T136" s="163"/>
      <c r="U136" s="163"/>
      <c r="V136" s="164"/>
      <c r="W136" s="164"/>
      <c r="X136" s="229" t="str">
        <f t="shared" si="13"/>
        <v/>
      </c>
      <c r="Y136" s="147" t="str">
        <f t="shared" si="14"/>
        <v/>
      </c>
      <c r="Z136" s="148" t="str">
        <f t="shared" si="15"/>
        <v/>
      </c>
      <c r="AA136" s="148" t="str">
        <f t="shared" si="16"/>
        <v/>
      </c>
      <c r="AB136" s="148" t="str">
        <f t="shared" si="17"/>
        <v/>
      </c>
      <c r="AJ136" s="149" t="e">
        <f>IF('Cable Info'!#REF!="","",CONCATENATE('Cable Info'!#REF!," - ",'Cable Info'!#REF!))</f>
        <v>#REF!</v>
      </c>
      <c r="AM136" s="149" t="e">
        <f t="shared" si="18"/>
        <v>#REF!</v>
      </c>
      <c r="AO136" s="149" t="e">
        <f>IF('Cable Info'!#REF!="","",CONCATENATE('Cable Info'!#REF!," - ",'Cable Info'!#REF!))</f>
        <v>#REF!</v>
      </c>
      <c r="AR136" s="149" t="e">
        <f t="shared" si="19"/>
        <v>#REF!</v>
      </c>
      <c r="AT136" s="149" t="e">
        <f>IF('Cable Info'!#REF!="","",CONCATENATE('Cable Info'!#REF!," - ",'Cable Info'!#REF!))</f>
        <v>#REF!</v>
      </c>
      <c r="AW136" s="149" t="e">
        <f t="shared" si="20"/>
        <v>#REF!</v>
      </c>
      <c r="AY136" s="149" t="e">
        <f>IF('Cable Info'!#REF!="","",CONCATENATE('Cable Info'!#REF!," - ",'Cable Info'!#REF!))</f>
        <v>#REF!</v>
      </c>
      <c r="BB136" s="149" t="e">
        <f t="shared" si="21"/>
        <v>#REF!</v>
      </c>
      <c r="BD136" s="149" t="e">
        <f>IF('Cable Info'!#REF!="","",CONCATENATE('Cable Info'!#REF!," - ",'Cable Info'!#REF!))</f>
        <v>#REF!</v>
      </c>
      <c r="BG136" s="149" t="e">
        <f t="shared" si="22"/>
        <v>#REF!</v>
      </c>
      <c r="BI136" s="149" t="e">
        <f>IF('Cable Info'!#REF!="","",CONCATENATE('Cable Info'!#REF!," - ",'Cable Info'!#REF!))</f>
        <v>#REF!</v>
      </c>
      <c r="BL136" s="149" t="e">
        <f t="shared" si="23"/>
        <v>#REF!</v>
      </c>
      <c r="CL136" s="309"/>
    </row>
    <row r="137" spans="1:90" x14ac:dyDescent="0.2">
      <c r="A137" s="222"/>
      <c r="B137" s="165"/>
      <c r="C137" s="142" t="str">
        <f>IFERROR(IF(B137="","",IF((COUNTIF('Cable Info'!$B$11:$C$50,B137)=0),VLOOKUP(B137,'Cable Info (2)'!$B$11:$C$50,2,FALSE),(VLOOKUP(B137,'Cable Info'!$B$11:$C$50,2,FALSE)))),"NO SUCH EXIT")</f>
        <v/>
      </c>
      <c r="D137" s="285"/>
      <c r="E137" s="311"/>
      <c r="F137" s="132" t="s">
        <v>59</v>
      </c>
      <c r="G137" s="314"/>
      <c r="H137" s="142" t="str">
        <f t="shared" si="12"/>
        <v/>
      </c>
      <c r="I137" s="318"/>
      <c r="J137" s="132" t="s">
        <v>59</v>
      </c>
      <c r="K137" s="320"/>
      <c r="L137" s="289"/>
      <c r="M137" s="142" t="str">
        <f>IFERROR(IF(P137="","",IF((COUNTIF('Cable Info'!$B$11:$C$50,P137)=0),VLOOKUP(P137,'Cable Info (2)'!$B$11:$C$50,2,FALSE),(VLOOKUP(P137,'Cable Info'!$B$11:$C$50,2,FALSE)))),"NO SUCH EXIT")</f>
        <v/>
      </c>
      <c r="N137" s="293"/>
      <c r="O137" s="234"/>
      <c r="P137" s="161"/>
      <c r="Q137" s="224"/>
      <c r="R137" s="162"/>
      <c r="S137" s="162"/>
      <c r="T137" s="163"/>
      <c r="U137" s="163"/>
      <c r="V137" s="164"/>
      <c r="W137" s="164"/>
      <c r="X137" s="229" t="str">
        <f t="shared" si="13"/>
        <v/>
      </c>
      <c r="Y137" s="147" t="str">
        <f t="shared" si="14"/>
        <v/>
      </c>
      <c r="Z137" s="148" t="str">
        <f t="shared" si="15"/>
        <v/>
      </c>
      <c r="AA137" s="148" t="str">
        <f t="shared" si="16"/>
        <v/>
      </c>
      <c r="AB137" s="148" t="str">
        <f t="shared" si="17"/>
        <v/>
      </c>
      <c r="AJ137" s="149" t="e">
        <f>IF('Cable Info'!#REF!="","",CONCATENATE('Cable Info'!#REF!," - ",'Cable Info'!#REF!))</f>
        <v>#REF!</v>
      </c>
      <c r="AM137" s="149" t="e">
        <f t="shared" si="18"/>
        <v>#REF!</v>
      </c>
      <c r="AO137" s="149" t="e">
        <f>IF('Cable Info'!#REF!="","",CONCATENATE('Cable Info'!#REF!," - ",'Cable Info'!#REF!))</f>
        <v>#REF!</v>
      </c>
      <c r="AR137" s="149" t="e">
        <f t="shared" si="19"/>
        <v>#REF!</v>
      </c>
      <c r="AT137" s="149" t="e">
        <f>IF('Cable Info'!#REF!="","",CONCATENATE('Cable Info'!#REF!," - ",'Cable Info'!#REF!))</f>
        <v>#REF!</v>
      </c>
      <c r="AW137" s="149" t="e">
        <f t="shared" si="20"/>
        <v>#REF!</v>
      </c>
      <c r="AY137" s="149" t="e">
        <f>IF('Cable Info'!#REF!="","",CONCATENATE('Cable Info'!#REF!," - ",'Cable Info'!#REF!))</f>
        <v>#REF!</v>
      </c>
      <c r="BB137" s="149" t="e">
        <f t="shared" si="21"/>
        <v>#REF!</v>
      </c>
      <c r="BD137" s="149" t="e">
        <f>IF('Cable Info'!#REF!="","",CONCATENATE('Cable Info'!#REF!," - ",'Cable Info'!#REF!))</f>
        <v>#REF!</v>
      </c>
      <c r="BG137" s="149" t="e">
        <f t="shared" si="22"/>
        <v>#REF!</v>
      </c>
      <c r="BI137" s="149" t="e">
        <f>IF('Cable Info'!#REF!="","",CONCATENATE('Cable Info'!#REF!," - ",'Cable Info'!#REF!))</f>
        <v>#REF!</v>
      </c>
      <c r="BL137" s="149" t="e">
        <f t="shared" si="23"/>
        <v>#REF!</v>
      </c>
      <c r="CL137" s="309"/>
    </row>
    <row r="138" spans="1:90" x14ac:dyDescent="0.2">
      <c r="A138" s="222"/>
      <c r="B138" s="165"/>
      <c r="C138" s="142" t="str">
        <f>IFERROR(IF(B138="","",IF((COUNTIF('Cable Info'!$B$11:$C$50,B138)=0),VLOOKUP(B138,'Cable Info (2)'!$B$11:$C$50,2,FALSE),(VLOOKUP(B138,'Cable Info'!$B$11:$C$50,2,FALSE)))),"NO SUCH EXIT")</f>
        <v/>
      </c>
      <c r="D138" s="285"/>
      <c r="E138" s="311"/>
      <c r="F138" s="132" t="s">
        <v>59</v>
      </c>
      <c r="G138" s="314"/>
      <c r="H138" s="142" t="str">
        <f t="shared" si="12"/>
        <v/>
      </c>
      <c r="I138" s="318"/>
      <c r="J138" s="132" t="s">
        <v>59</v>
      </c>
      <c r="K138" s="320"/>
      <c r="L138" s="289"/>
      <c r="M138" s="142" t="str">
        <f>IFERROR(IF(P138="","",IF((COUNTIF('Cable Info'!$B$11:$C$50,P138)=0),VLOOKUP(P138,'Cable Info (2)'!$B$11:$C$50,2,FALSE),(VLOOKUP(P138,'Cable Info'!$B$11:$C$50,2,FALSE)))),"NO SUCH EXIT")</f>
        <v/>
      </c>
      <c r="N138" s="293"/>
      <c r="O138" s="234"/>
      <c r="P138" s="161"/>
      <c r="Q138" s="224"/>
      <c r="R138" s="162"/>
      <c r="S138" s="162"/>
      <c r="T138" s="163"/>
      <c r="U138" s="163"/>
      <c r="V138" s="164"/>
      <c r="W138" s="164"/>
      <c r="X138" s="229" t="str">
        <f t="shared" si="13"/>
        <v/>
      </c>
      <c r="Y138" s="147" t="str">
        <f t="shared" si="14"/>
        <v/>
      </c>
      <c r="Z138" s="148" t="str">
        <f t="shared" si="15"/>
        <v/>
      </c>
      <c r="AA138" s="148" t="str">
        <f t="shared" si="16"/>
        <v/>
      </c>
      <c r="AB138" s="148" t="str">
        <f t="shared" si="17"/>
        <v/>
      </c>
      <c r="AJ138" s="149" t="e">
        <f>IF('Cable Info'!#REF!="","",CONCATENATE('Cable Info'!#REF!," - ",'Cable Info'!#REF!))</f>
        <v>#REF!</v>
      </c>
      <c r="AM138" s="149" t="e">
        <f t="shared" si="18"/>
        <v>#REF!</v>
      </c>
      <c r="AO138" s="149" t="e">
        <f>IF('Cable Info'!#REF!="","",CONCATENATE('Cable Info'!#REF!," - ",'Cable Info'!#REF!))</f>
        <v>#REF!</v>
      </c>
      <c r="AR138" s="149" t="e">
        <f t="shared" si="19"/>
        <v>#REF!</v>
      </c>
      <c r="AT138" s="149" t="e">
        <f>IF('Cable Info'!#REF!="","",CONCATENATE('Cable Info'!#REF!," - ",'Cable Info'!#REF!))</f>
        <v>#REF!</v>
      </c>
      <c r="AW138" s="149" t="e">
        <f t="shared" si="20"/>
        <v>#REF!</v>
      </c>
      <c r="AY138" s="149" t="e">
        <f>IF('Cable Info'!#REF!="","",CONCATENATE('Cable Info'!#REF!," - ",'Cable Info'!#REF!))</f>
        <v>#REF!</v>
      </c>
      <c r="BB138" s="149" t="e">
        <f t="shared" si="21"/>
        <v>#REF!</v>
      </c>
      <c r="BD138" s="149" t="e">
        <f>IF('Cable Info'!#REF!="","",CONCATENATE('Cable Info'!#REF!," - ",'Cable Info'!#REF!))</f>
        <v>#REF!</v>
      </c>
      <c r="BG138" s="149" t="e">
        <f t="shared" si="22"/>
        <v>#REF!</v>
      </c>
      <c r="BI138" s="149" t="e">
        <f>IF('Cable Info'!#REF!="","",CONCATENATE('Cable Info'!#REF!," - ",'Cable Info'!#REF!))</f>
        <v>#REF!</v>
      </c>
      <c r="BL138" s="149" t="e">
        <f t="shared" si="23"/>
        <v>#REF!</v>
      </c>
      <c r="CL138" s="309"/>
    </row>
    <row r="139" spans="1:90" x14ac:dyDescent="0.2">
      <c r="A139" s="222"/>
      <c r="B139" s="165"/>
      <c r="C139" s="142" t="str">
        <f>IFERROR(IF(B139="","",IF((COUNTIF('Cable Info'!$B$11:$C$50,B139)=0),VLOOKUP(B139,'Cable Info (2)'!$B$11:$C$50,2,FALSE),(VLOOKUP(B139,'Cable Info'!$B$11:$C$50,2,FALSE)))),"NO SUCH EXIT")</f>
        <v/>
      </c>
      <c r="D139" s="285"/>
      <c r="E139" s="311"/>
      <c r="F139" s="132" t="s">
        <v>59</v>
      </c>
      <c r="G139" s="314"/>
      <c r="H139" s="142" t="str">
        <f t="shared" si="12"/>
        <v/>
      </c>
      <c r="I139" s="318"/>
      <c r="J139" s="132" t="s">
        <v>59</v>
      </c>
      <c r="K139" s="320"/>
      <c r="L139" s="289"/>
      <c r="M139" s="142" t="str">
        <f>IFERROR(IF(P139="","",IF((COUNTIF('Cable Info'!$B$11:$C$50,P139)=0),VLOOKUP(P139,'Cable Info (2)'!$B$11:$C$50,2,FALSE),(VLOOKUP(P139,'Cable Info'!$B$11:$C$50,2,FALSE)))),"NO SUCH EXIT")</f>
        <v/>
      </c>
      <c r="N139" s="293"/>
      <c r="O139" s="234"/>
      <c r="P139" s="161"/>
      <c r="Q139" s="224"/>
      <c r="R139" s="162"/>
      <c r="S139" s="162"/>
      <c r="T139" s="163"/>
      <c r="U139" s="163"/>
      <c r="V139" s="164"/>
      <c r="W139" s="164"/>
      <c r="X139" s="229" t="str">
        <f t="shared" si="13"/>
        <v/>
      </c>
      <c r="Y139" s="147" t="str">
        <f t="shared" si="14"/>
        <v/>
      </c>
      <c r="Z139" s="148" t="str">
        <f t="shared" si="15"/>
        <v/>
      </c>
      <c r="AA139" s="148" t="str">
        <f t="shared" si="16"/>
        <v/>
      </c>
      <c r="AB139" s="148" t="str">
        <f t="shared" si="17"/>
        <v/>
      </c>
      <c r="AJ139" s="149" t="e">
        <f>IF('Cable Info'!#REF!="","",CONCATENATE('Cable Info'!#REF!," - ",'Cable Info'!#REF!))</f>
        <v>#REF!</v>
      </c>
      <c r="AM139" s="149" t="e">
        <f t="shared" si="18"/>
        <v>#REF!</v>
      </c>
      <c r="AO139" s="149" t="e">
        <f>IF('Cable Info'!#REF!="","",CONCATENATE('Cable Info'!#REF!," - ",'Cable Info'!#REF!))</f>
        <v>#REF!</v>
      </c>
      <c r="AR139" s="149" t="e">
        <f t="shared" si="19"/>
        <v>#REF!</v>
      </c>
      <c r="AT139" s="149" t="e">
        <f>IF('Cable Info'!#REF!="","",CONCATENATE('Cable Info'!#REF!," - ",'Cable Info'!#REF!))</f>
        <v>#REF!</v>
      </c>
      <c r="AW139" s="149" t="e">
        <f t="shared" si="20"/>
        <v>#REF!</v>
      </c>
      <c r="AY139" s="149" t="e">
        <f>IF('Cable Info'!#REF!="","",CONCATENATE('Cable Info'!#REF!," - ",'Cable Info'!#REF!))</f>
        <v>#REF!</v>
      </c>
      <c r="BB139" s="149" t="e">
        <f t="shared" si="21"/>
        <v>#REF!</v>
      </c>
      <c r="BD139" s="149" t="e">
        <f>IF('Cable Info'!#REF!="","",CONCATENATE('Cable Info'!#REF!," - ",'Cable Info'!#REF!))</f>
        <v>#REF!</v>
      </c>
      <c r="BG139" s="149" t="e">
        <f t="shared" si="22"/>
        <v>#REF!</v>
      </c>
      <c r="BI139" s="149" t="e">
        <f>IF('Cable Info'!#REF!="","",CONCATENATE('Cable Info'!#REF!," - ",'Cable Info'!#REF!))</f>
        <v>#REF!</v>
      </c>
      <c r="BL139" s="149" t="e">
        <f t="shared" si="23"/>
        <v>#REF!</v>
      </c>
      <c r="CL139" s="309"/>
    </row>
    <row r="140" spans="1:90" x14ac:dyDescent="0.2">
      <c r="A140" s="222"/>
      <c r="B140" s="165"/>
      <c r="C140" s="142" t="str">
        <f>IFERROR(IF(B140="","",IF((COUNTIF('Cable Info'!$B$11:$C$50,B140)=0),VLOOKUP(B140,'Cable Info (2)'!$B$11:$C$50,2,FALSE),(VLOOKUP(B140,'Cable Info'!$B$11:$C$50,2,FALSE)))),"NO SUCH EXIT")</f>
        <v/>
      </c>
      <c r="D140" s="285"/>
      <c r="E140" s="311"/>
      <c r="F140" s="132" t="s">
        <v>59</v>
      </c>
      <c r="G140" s="314"/>
      <c r="H140" s="142" t="str">
        <f t="shared" si="12"/>
        <v/>
      </c>
      <c r="I140" s="318"/>
      <c r="J140" s="132" t="s">
        <v>59</v>
      </c>
      <c r="K140" s="320"/>
      <c r="L140" s="289"/>
      <c r="M140" s="142" t="str">
        <f>IFERROR(IF(P140="","",IF((COUNTIF('Cable Info'!$B$11:$C$50,P140)=0),VLOOKUP(P140,'Cable Info (2)'!$B$11:$C$50,2,FALSE),(VLOOKUP(P140,'Cable Info'!$B$11:$C$50,2,FALSE)))),"NO SUCH EXIT")</f>
        <v/>
      </c>
      <c r="N140" s="293"/>
      <c r="O140" s="234"/>
      <c r="P140" s="161"/>
      <c r="Q140" s="224"/>
      <c r="R140" s="162"/>
      <c r="S140" s="162"/>
      <c r="T140" s="163"/>
      <c r="U140" s="163"/>
      <c r="V140" s="164"/>
      <c r="W140" s="164"/>
      <c r="X140" s="229" t="str">
        <f t="shared" si="13"/>
        <v/>
      </c>
      <c r="Y140" s="147" t="str">
        <f t="shared" si="14"/>
        <v/>
      </c>
      <c r="Z140" s="148" t="str">
        <f t="shared" si="15"/>
        <v/>
      </c>
      <c r="AA140" s="148" t="str">
        <f t="shared" si="16"/>
        <v/>
      </c>
      <c r="AB140" s="148" t="str">
        <f t="shared" si="17"/>
        <v/>
      </c>
      <c r="AJ140" s="149" t="e">
        <f>IF('Cable Info'!#REF!="","",CONCATENATE('Cable Info'!#REF!," - ",'Cable Info'!#REF!))</f>
        <v>#REF!</v>
      </c>
      <c r="AM140" s="149" t="e">
        <f t="shared" si="18"/>
        <v>#REF!</v>
      </c>
      <c r="AO140" s="149" t="e">
        <f>IF('Cable Info'!#REF!="","",CONCATENATE('Cable Info'!#REF!," - ",'Cable Info'!#REF!))</f>
        <v>#REF!</v>
      </c>
      <c r="AR140" s="149" t="e">
        <f t="shared" si="19"/>
        <v>#REF!</v>
      </c>
      <c r="AT140" s="149" t="e">
        <f>IF('Cable Info'!#REF!="","",CONCATENATE('Cable Info'!#REF!," - ",'Cable Info'!#REF!))</f>
        <v>#REF!</v>
      </c>
      <c r="AW140" s="149" t="e">
        <f t="shared" si="20"/>
        <v>#REF!</v>
      </c>
      <c r="AY140" s="149" t="e">
        <f>IF('Cable Info'!#REF!="","",CONCATENATE('Cable Info'!#REF!," - ",'Cable Info'!#REF!))</f>
        <v>#REF!</v>
      </c>
      <c r="BB140" s="149" t="e">
        <f t="shared" si="21"/>
        <v>#REF!</v>
      </c>
      <c r="BD140" s="149" t="e">
        <f>IF('Cable Info'!#REF!="","",CONCATENATE('Cable Info'!#REF!," - ",'Cable Info'!#REF!))</f>
        <v>#REF!</v>
      </c>
      <c r="BG140" s="149" t="e">
        <f t="shared" si="22"/>
        <v>#REF!</v>
      </c>
      <c r="BI140" s="149" t="e">
        <f>IF('Cable Info'!#REF!="","",CONCATENATE('Cable Info'!#REF!," - ",'Cable Info'!#REF!))</f>
        <v>#REF!</v>
      </c>
      <c r="BL140" s="149" t="e">
        <f t="shared" si="23"/>
        <v>#REF!</v>
      </c>
      <c r="CL140" s="309"/>
    </row>
    <row r="141" spans="1:90" x14ac:dyDescent="0.2">
      <c r="A141" s="222"/>
      <c r="B141" s="165"/>
      <c r="C141" s="142" t="str">
        <f>IFERROR(IF(B141="","",IF((COUNTIF('Cable Info'!$B$11:$C$50,B141)=0),VLOOKUP(B141,'Cable Info (2)'!$B$11:$C$50,2,FALSE),(VLOOKUP(B141,'Cable Info'!$B$11:$C$50,2,FALSE)))),"NO SUCH EXIT")</f>
        <v/>
      </c>
      <c r="D141" s="285"/>
      <c r="E141" s="311"/>
      <c r="F141" s="132" t="s">
        <v>59</v>
      </c>
      <c r="G141" s="314"/>
      <c r="H141" s="142" t="str">
        <f t="shared" si="12"/>
        <v/>
      </c>
      <c r="I141" s="318"/>
      <c r="J141" s="132" t="s">
        <v>59</v>
      </c>
      <c r="K141" s="320"/>
      <c r="L141" s="289"/>
      <c r="M141" s="142" t="str">
        <f>IFERROR(IF(P141="","",IF((COUNTIF('Cable Info'!$B$11:$C$50,P141)=0),VLOOKUP(P141,'Cable Info (2)'!$B$11:$C$50,2,FALSE),(VLOOKUP(P141,'Cable Info'!$B$11:$C$50,2,FALSE)))),"NO SUCH EXIT")</f>
        <v/>
      </c>
      <c r="N141" s="293"/>
      <c r="O141" s="234"/>
      <c r="P141" s="161"/>
      <c r="Q141" s="224"/>
      <c r="R141" s="162"/>
      <c r="S141" s="162"/>
      <c r="T141" s="163"/>
      <c r="U141" s="163"/>
      <c r="V141" s="164"/>
      <c r="W141" s="164"/>
      <c r="X141" s="229" t="str">
        <f t="shared" si="13"/>
        <v/>
      </c>
      <c r="Y141" s="147" t="str">
        <f t="shared" si="14"/>
        <v/>
      </c>
      <c r="Z141" s="148" t="str">
        <f t="shared" si="15"/>
        <v/>
      </c>
      <c r="AA141" s="148" t="str">
        <f t="shared" si="16"/>
        <v/>
      </c>
      <c r="AB141" s="148" t="str">
        <f t="shared" si="17"/>
        <v/>
      </c>
      <c r="AJ141" s="149" t="str">
        <f>IF('Cable Info'!L1="","",CONCATENATE('Cable Info'!L1," - ",'Cable Info'!M1))</f>
        <v xml:space="preserve">A - </v>
      </c>
      <c r="AM141" s="149" t="str">
        <f t="shared" si="18"/>
        <v xml:space="preserve">A - </v>
      </c>
      <c r="AO141" s="149" t="str">
        <f>IF('Cable Info'!N1="","",CONCATENATE('Cable Info'!N1," - ",'Cable Info'!O1))</f>
        <v xml:space="preserve">B - </v>
      </c>
      <c r="AR141" s="149" t="str">
        <f t="shared" si="19"/>
        <v xml:space="preserve">B - </v>
      </c>
      <c r="AT141" s="149" t="str">
        <f>IF('Cable Info'!P1="","",CONCATENATE('Cable Info'!P1," - ",'Cable Info'!Q1))</f>
        <v xml:space="preserve">C - </v>
      </c>
      <c r="AW141" s="149" t="str">
        <f t="shared" si="20"/>
        <v xml:space="preserve">C - </v>
      </c>
      <c r="AY141" s="149" t="str">
        <f>IF('Cable Info'!R1="","",CONCATENATE('Cable Info'!R1," - ",'Cable Info'!S1))</f>
        <v xml:space="preserve">D - </v>
      </c>
      <c r="BB141" s="149" t="str">
        <f t="shared" si="21"/>
        <v xml:space="preserve">D - </v>
      </c>
      <c r="BD141" s="149" t="str">
        <f>IF('Cable Info'!T1="","",CONCATENATE('Cable Info'!T1," - ",'Cable Info'!U1))</f>
        <v xml:space="preserve">E - </v>
      </c>
      <c r="BG141" s="149" t="str">
        <f t="shared" si="22"/>
        <v xml:space="preserve">E - </v>
      </c>
      <c r="BI141" s="149" t="str">
        <f>IF('Cable Info'!V1="","",CONCATENATE('Cable Info'!V1," - ",'Cable Info'!W1))</f>
        <v xml:space="preserve">F - </v>
      </c>
      <c r="BL141" s="149" t="str">
        <f t="shared" si="23"/>
        <v xml:space="preserve">F - </v>
      </c>
      <c r="CL141" s="309"/>
    </row>
    <row r="142" spans="1:90" x14ac:dyDescent="0.2">
      <c r="A142" s="222"/>
      <c r="B142" s="165"/>
      <c r="C142" s="142" t="str">
        <f>IFERROR(IF(B142="","",IF((COUNTIF('Cable Info'!$B$11:$C$50,B142)=0),VLOOKUP(B142,'Cable Info (2)'!$B$11:$C$50,2,FALSE),(VLOOKUP(B142,'Cable Info'!$B$11:$C$50,2,FALSE)))),"NO SUCH EXIT")</f>
        <v/>
      </c>
      <c r="D142" s="285"/>
      <c r="E142" s="311"/>
      <c r="F142" s="132" t="s">
        <v>59</v>
      </c>
      <c r="G142" s="314"/>
      <c r="H142" s="142" t="str">
        <f t="shared" si="12"/>
        <v/>
      </c>
      <c r="I142" s="318"/>
      <c r="J142" s="132" t="s">
        <v>59</v>
      </c>
      <c r="K142" s="320"/>
      <c r="L142" s="289"/>
      <c r="M142" s="142" t="str">
        <f>IFERROR(IF(P142="","",IF((COUNTIF('Cable Info'!$B$11:$C$50,P142)=0),VLOOKUP(P142,'Cable Info (2)'!$B$11:$C$50,2,FALSE),(VLOOKUP(P142,'Cable Info'!$B$11:$C$50,2,FALSE)))),"NO SUCH EXIT")</f>
        <v/>
      </c>
      <c r="N142" s="293"/>
      <c r="O142" s="234"/>
      <c r="P142" s="161"/>
      <c r="Q142" s="224"/>
      <c r="R142" s="162"/>
      <c r="S142" s="162"/>
      <c r="T142" s="163"/>
      <c r="U142" s="163"/>
      <c r="V142" s="164"/>
      <c r="W142" s="164"/>
      <c r="X142" s="229" t="str">
        <f t="shared" si="13"/>
        <v/>
      </c>
      <c r="Y142" s="147" t="str">
        <f t="shared" si="14"/>
        <v/>
      </c>
      <c r="Z142" s="148" t="str">
        <f t="shared" si="15"/>
        <v/>
      </c>
      <c r="AA142" s="148" t="str">
        <f t="shared" si="16"/>
        <v/>
      </c>
      <c r="AB142" s="148" t="str">
        <f t="shared" si="17"/>
        <v/>
      </c>
      <c r="AJ142" s="149" t="e">
        <f>IF('Cable Info'!L2="","",CONCATENATE('Cable Info'!L2," - ",'Cable Info'!M2))</f>
        <v>#N/A</v>
      </c>
      <c r="AM142" s="149" t="e">
        <f t="shared" si="18"/>
        <v>#N/A</v>
      </c>
      <c r="AO142" s="149" t="str">
        <f>IF('Cable Info'!N2="","",CONCATENATE('Cable Info'!N2," - ",'Cable Info'!O2))</f>
        <v/>
      </c>
      <c r="AR142" s="149" t="str">
        <f t="shared" si="19"/>
        <v/>
      </c>
      <c r="AT142" s="149" t="str">
        <f>IF('Cable Info'!P2="","",CONCATENATE('Cable Info'!P2," - ",'Cable Info'!Q2))</f>
        <v/>
      </c>
      <c r="AW142" s="149" t="str">
        <f t="shared" si="20"/>
        <v/>
      </c>
      <c r="AY142" s="149" t="str">
        <f>IF('Cable Info'!R2="","",CONCATENATE('Cable Info'!R2," - ",'Cable Info'!S2))</f>
        <v/>
      </c>
      <c r="BB142" s="149" t="str">
        <f t="shared" si="21"/>
        <v/>
      </c>
      <c r="BD142" s="149" t="str">
        <f>IF('Cable Info'!T2="","",CONCATENATE('Cable Info'!T2," - ",'Cable Info'!U2))</f>
        <v/>
      </c>
      <c r="BG142" s="149" t="str">
        <f t="shared" si="22"/>
        <v/>
      </c>
      <c r="BI142" s="149" t="str">
        <f>IF('Cable Info'!V2="","",CONCATENATE('Cable Info'!V2," - ",'Cable Info'!W2))</f>
        <v/>
      </c>
      <c r="BL142" s="149" t="str">
        <f t="shared" si="23"/>
        <v/>
      </c>
      <c r="CL142" s="309"/>
    </row>
    <row r="143" spans="1:90" x14ac:dyDescent="0.2">
      <c r="A143" s="222"/>
      <c r="B143" s="165"/>
      <c r="C143" s="142" t="str">
        <f>IFERROR(IF(B143="","",IF((COUNTIF('Cable Info'!$B$11:$C$50,B143)=0),VLOOKUP(B143,'Cable Info (2)'!$B$11:$C$50,2,FALSE),(VLOOKUP(B143,'Cable Info'!$B$11:$C$50,2,FALSE)))),"NO SUCH EXIT")</f>
        <v/>
      </c>
      <c r="D143" s="285"/>
      <c r="E143" s="311"/>
      <c r="F143" s="132" t="s">
        <v>59</v>
      </c>
      <c r="G143" s="314"/>
      <c r="H143" s="142" t="str">
        <f t="shared" si="12"/>
        <v/>
      </c>
      <c r="I143" s="318"/>
      <c r="J143" s="132" t="s">
        <v>59</v>
      </c>
      <c r="K143" s="320"/>
      <c r="L143" s="289"/>
      <c r="M143" s="142" t="str">
        <f>IFERROR(IF(P143="","",IF((COUNTIF('Cable Info'!$B$11:$C$50,P143)=0),VLOOKUP(P143,'Cable Info (2)'!$B$11:$C$50,2,FALSE),(VLOOKUP(P143,'Cable Info'!$B$11:$C$50,2,FALSE)))),"NO SUCH EXIT")</f>
        <v/>
      </c>
      <c r="N143" s="293"/>
      <c r="O143" s="234"/>
      <c r="P143" s="161"/>
      <c r="Q143" s="224"/>
      <c r="R143" s="162"/>
      <c r="S143" s="162"/>
      <c r="T143" s="163"/>
      <c r="U143" s="163"/>
      <c r="V143" s="164"/>
      <c r="W143" s="164"/>
      <c r="X143" s="229" t="str">
        <f t="shared" si="13"/>
        <v/>
      </c>
      <c r="Y143" s="147" t="str">
        <f t="shared" si="14"/>
        <v/>
      </c>
      <c r="Z143" s="148" t="str">
        <f t="shared" si="15"/>
        <v/>
      </c>
      <c r="AA143" s="148" t="str">
        <f t="shared" si="16"/>
        <v/>
      </c>
      <c r="AB143" s="148" t="str">
        <f t="shared" si="17"/>
        <v/>
      </c>
      <c r="AJ143" s="149" t="e">
        <f>IF('Cable Info'!L3="","",CONCATENATE('Cable Info'!L3," - ",'Cable Info'!M3))</f>
        <v>#N/A</v>
      </c>
      <c r="AM143" s="149" t="e">
        <f t="shared" si="18"/>
        <v>#N/A</v>
      </c>
      <c r="AO143" s="149" t="str">
        <f>IF('Cable Info'!N3="","",CONCATENATE('Cable Info'!N3," - ",'Cable Info'!O3))</f>
        <v/>
      </c>
      <c r="AR143" s="149" t="str">
        <f t="shared" si="19"/>
        <v/>
      </c>
      <c r="AT143" s="149" t="str">
        <f>IF('Cable Info'!P3="","",CONCATENATE('Cable Info'!P3," - ",'Cable Info'!Q3))</f>
        <v/>
      </c>
      <c r="AW143" s="149" t="str">
        <f t="shared" si="20"/>
        <v/>
      </c>
      <c r="AY143" s="149" t="str">
        <f>IF('Cable Info'!R3="","",CONCATENATE('Cable Info'!R3," - ",'Cable Info'!S3))</f>
        <v/>
      </c>
      <c r="BB143" s="149" t="str">
        <f t="shared" si="21"/>
        <v/>
      </c>
      <c r="BD143" s="149" t="str">
        <f>IF('Cable Info'!T3="","",CONCATENATE('Cable Info'!T3," - ",'Cable Info'!U3))</f>
        <v/>
      </c>
      <c r="BG143" s="149" t="str">
        <f t="shared" si="22"/>
        <v/>
      </c>
      <c r="BI143" s="149" t="str">
        <f>IF('Cable Info'!V3="","",CONCATENATE('Cable Info'!V3," - ",'Cable Info'!W3))</f>
        <v/>
      </c>
      <c r="BL143" s="149" t="str">
        <f t="shared" si="23"/>
        <v/>
      </c>
      <c r="CL143" s="309"/>
    </row>
    <row r="144" spans="1:90" x14ac:dyDescent="0.2">
      <c r="A144" s="222"/>
      <c r="B144" s="165"/>
      <c r="C144" s="142" t="str">
        <f>IFERROR(IF(B144="","",IF((COUNTIF('Cable Info'!$B$11:$C$50,B144)=0),VLOOKUP(B144,'Cable Info (2)'!$B$11:$C$50,2,FALSE),(VLOOKUP(B144,'Cable Info'!$B$11:$C$50,2,FALSE)))),"NO SUCH EXIT")</f>
        <v/>
      </c>
      <c r="D144" s="285"/>
      <c r="E144" s="311"/>
      <c r="F144" s="132" t="s">
        <v>59</v>
      </c>
      <c r="G144" s="314"/>
      <c r="H144" s="142" t="str">
        <f t="shared" si="12"/>
        <v/>
      </c>
      <c r="I144" s="318"/>
      <c r="J144" s="132" t="s">
        <v>59</v>
      </c>
      <c r="K144" s="320"/>
      <c r="L144" s="289"/>
      <c r="M144" s="142" t="str">
        <f>IFERROR(IF(P144="","",IF((COUNTIF('Cable Info'!$B$11:$C$50,P144)=0),VLOOKUP(P144,'Cable Info (2)'!$B$11:$C$50,2,FALSE),(VLOOKUP(P144,'Cable Info'!$B$11:$C$50,2,FALSE)))),"NO SUCH EXIT")</f>
        <v/>
      </c>
      <c r="N144" s="293"/>
      <c r="O144" s="234"/>
      <c r="P144" s="161"/>
      <c r="Q144" s="224"/>
      <c r="R144" s="162"/>
      <c r="S144" s="162"/>
      <c r="T144" s="163"/>
      <c r="U144" s="163"/>
      <c r="V144" s="164"/>
      <c r="W144" s="164"/>
      <c r="X144" s="229" t="str">
        <f t="shared" si="13"/>
        <v/>
      </c>
      <c r="Y144" s="147" t="str">
        <f t="shared" si="14"/>
        <v/>
      </c>
      <c r="Z144" s="148" t="str">
        <f t="shared" si="15"/>
        <v/>
      </c>
      <c r="AA144" s="148" t="str">
        <f t="shared" si="16"/>
        <v/>
      </c>
      <c r="AB144" s="148" t="str">
        <f t="shared" si="17"/>
        <v/>
      </c>
      <c r="AJ144" s="149" t="e">
        <f>IF('Cable Info'!L4="","",CONCATENATE('Cable Info'!L4," - ",'Cable Info'!M4))</f>
        <v>#N/A</v>
      </c>
      <c r="AM144" s="149" t="e">
        <f t="shared" si="18"/>
        <v>#N/A</v>
      </c>
      <c r="AO144" s="149" t="str">
        <f>IF('Cable Info'!N4="","",CONCATENATE('Cable Info'!N4," - ",'Cable Info'!O4))</f>
        <v/>
      </c>
      <c r="AR144" s="149" t="str">
        <f t="shared" si="19"/>
        <v/>
      </c>
      <c r="AT144" s="149" t="str">
        <f>IF('Cable Info'!P4="","",CONCATENATE('Cable Info'!P4," - ",'Cable Info'!Q4))</f>
        <v/>
      </c>
      <c r="AW144" s="149" t="str">
        <f t="shared" si="20"/>
        <v/>
      </c>
      <c r="AY144" s="149" t="str">
        <f>IF('Cable Info'!R4="","",CONCATENATE('Cable Info'!R4," - ",'Cable Info'!S4))</f>
        <v/>
      </c>
      <c r="BB144" s="149" t="str">
        <f t="shared" si="21"/>
        <v/>
      </c>
      <c r="BD144" s="149" t="str">
        <f>IF('Cable Info'!T4="","",CONCATENATE('Cable Info'!T4," - ",'Cable Info'!U4))</f>
        <v/>
      </c>
      <c r="BG144" s="149" t="str">
        <f t="shared" si="22"/>
        <v/>
      </c>
      <c r="BI144" s="149" t="str">
        <f>IF('Cable Info'!V4="","",CONCATENATE('Cable Info'!V4," - ",'Cable Info'!W4))</f>
        <v/>
      </c>
      <c r="BL144" s="149" t="str">
        <f t="shared" si="23"/>
        <v/>
      </c>
      <c r="CL144" s="309"/>
    </row>
    <row r="145" spans="1:90" x14ac:dyDescent="0.2">
      <c r="A145" s="222"/>
      <c r="B145" s="165"/>
      <c r="C145" s="142" t="str">
        <f>IFERROR(IF(B145="","",IF((COUNTIF('Cable Info'!$B$11:$C$50,B145)=0),VLOOKUP(B145,'Cable Info (2)'!$B$11:$C$50,2,FALSE),(VLOOKUP(B145,'Cable Info'!$B$11:$C$50,2,FALSE)))),"NO SUCH EXIT")</f>
        <v/>
      </c>
      <c r="D145" s="285"/>
      <c r="E145" s="311"/>
      <c r="F145" s="132" t="s">
        <v>59</v>
      </c>
      <c r="G145" s="314"/>
      <c r="H145" s="142" t="str">
        <f t="shared" si="12"/>
        <v/>
      </c>
      <c r="I145" s="318"/>
      <c r="J145" s="132" t="s">
        <v>59</v>
      </c>
      <c r="K145" s="320"/>
      <c r="L145" s="289"/>
      <c r="M145" s="142" t="str">
        <f>IFERROR(IF(P145="","",IF((COUNTIF('Cable Info'!$B$11:$C$50,P145)=0),VLOOKUP(P145,'Cable Info (2)'!$B$11:$C$50,2,FALSE),(VLOOKUP(P145,'Cable Info'!$B$11:$C$50,2,FALSE)))),"NO SUCH EXIT")</f>
        <v/>
      </c>
      <c r="N145" s="293"/>
      <c r="O145" s="234"/>
      <c r="P145" s="161"/>
      <c r="Q145" s="224"/>
      <c r="R145" s="162"/>
      <c r="S145" s="162"/>
      <c r="T145" s="163"/>
      <c r="U145" s="163"/>
      <c r="V145" s="164"/>
      <c r="W145" s="164"/>
      <c r="X145" s="229" t="str">
        <f t="shared" si="13"/>
        <v/>
      </c>
      <c r="Y145" s="147" t="str">
        <f t="shared" si="14"/>
        <v/>
      </c>
      <c r="Z145" s="148" t="str">
        <f t="shared" si="15"/>
        <v/>
      </c>
      <c r="AA145" s="148" t="str">
        <f t="shared" si="16"/>
        <v/>
      </c>
      <c r="AB145" s="148" t="str">
        <f t="shared" si="17"/>
        <v/>
      </c>
      <c r="AJ145" s="149" t="e">
        <f>IF('Cable Info'!L5="","",CONCATENATE('Cable Info'!L5," - ",'Cable Info'!M5))</f>
        <v>#N/A</v>
      </c>
      <c r="AM145" s="149" t="e">
        <f t="shared" si="18"/>
        <v>#N/A</v>
      </c>
      <c r="AO145" s="149" t="str">
        <f>IF('Cable Info'!N5="","",CONCATENATE('Cable Info'!N5," - ",'Cable Info'!O5))</f>
        <v/>
      </c>
      <c r="AR145" s="149" t="str">
        <f t="shared" si="19"/>
        <v/>
      </c>
      <c r="AT145" s="149" t="str">
        <f>IF('Cable Info'!P5="","",CONCATENATE('Cable Info'!P5," - ",'Cable Info'!Q5))</f>
        <v/>
      </c>
      <c r="AW145" s="149" t="str">
        <f t="shared" si="20"/>
        <v/>
      </c>
      <c r="AY145" s="149" t="str">
        <f>IF('Cable Info'!R5="","",CONCATENATE('Cable Info'!R5," - ",'Cable Info'!S5))</f>
        <v/>
      </c>
      <c r="BB145" s="149" t="str">
        <f t="shared" si="21"/>
        <v/>
      </c>
      <c r="BD145" s="149" t="str">
        <f>IF('Cable Info'!T5="","",CONCATENATE('Cable Info'!T5," - ",'Cable Info'!U5))</f>
        <v/>
      </c>
      <c r="BG145" s="149" t="str">
        <f t="shared" si="22"/>
        <v/>
      </c>
      <c r="BI145" s="149" t="str">
        <f>IF('Cable Info'!V5="","",CONCATENATE('Cable Info'!V5," - ",'Cable Info'!W5))</f>
        <v/>
      </c>
      <c r="BL145" s="149" t="str">
        <f t="shared" si="23"/>
        <v/>
      </c>
      <c r="CL145" s="309"/>
    </row>
    <row r="146" spans="1:90" x14ac:dyDescent="0.2">
      <c r="A146" s="222"/>
      <c r="B146" s="165"/>
      <c r="C146" s="142" t="str">
        <f>IFERROR(IF(B146="","",IF((COUNTIF('Cable Info'!$B$11:$C$50,B146)=0),VLOOKUP(B146,'Cable Info (2)'!$B$11:$C$50,2,FALSE),(VLOOKUP(B146,'Cable Info'!$B$11:$C$50,2,FALSE)))),"NO SUCH EXIT")</f>
        <v/>
      </c>
      <c r="D146" s="285"/>
      <c r="E146" s="311"/>
      <c r="F146" s="132" t="s">
        <v>59</v>
      </c>
      <c r="G146" s="314"/>
      <c r="H146" s="142" t="str">
        <f t="shared" si="12"/>
        <v/>
      </c>
      <c r="I146" s="318"/>
      <c r="J146" s="132" t="s">
        <v>59</v>
      </c>
      <c r="K146" s="320"/>
      <c r="L146" s="289"/>
      <c r="M146" s="142" t="str">
        <f>IFERROR(IF(P146="","",IF((COUNTIF('Cable Info'!$B$11:$C$50,P146)=0),VLOOKUP(P146,'Cable Info (2)'!$B$11:$C$50,2,FALSE),(VLOOKUP(P146,'Cable Info'!$B$11:$C$50,2,FALSE)))),"NO SUCH EXIT")</f>
        <v/>
      </c>
      <c r="N146" s="293"/>
      <c r="O146" s="234"/>
      <c r="P146" s="161"/>
      <c r="Q146" s="224"/>
      <c r="R146" s="162"/>
      <c r="S146" s="162"/>
      <c r="T146" s="163"/>
      <c r="U146" s="163"/>
      <c r="V146" s="164"/>
      <c r="W146" s="164"/>
      <c r="X146" s="229" t="str">
        <f t="shared" si="13"/>
        <v/>
      </c>
      <c r="Y146" s="147" t="str">
        <f t="shared" si="14"/>
        <v/>
      </c>
      <c r="Z146" s="148" t="str">
        <f t="shared" si="15"/>
        <v/>
      </c>
      <c r="AA146" s="148" t="str">
        <f t="shared" si="16"/>
        <v/>
      </c>
      <c r="AB146" s="148" t="str">
        <f t="shared" si="17"/>
        <v/>
      </c>
      <c r="AJ146" s="149" t="e">
        <f>IF('Cable Info'!L6="","",CONCATENATE('Cable Info'!L6," - ",'Cable Info'!M6))</f>
        <v>#N/A</v>
      </c>
      <c r="AM146" s="149" t="e">
        <f t="shared" si="18"/>
        <v>#N/A</v>
      </c>
      <c r="AO146" s="149" t="str">
        <f>IF('Cable Info'!N6="","",CONCATENATE('Cable Info'!N6," - ",'Cable Info'!O6))</f>
        <v/>
      </c>
      <c r="AR146" s="149" t="str">
        <f t="shared" si="19"/>
        <v/>
      </c>
      <c r="AT146" s="149" t="str">
        <f>IF('Cable Info'!P6="","",CONCATENATE('Cable Info'!P6," - ",'Cable Info'!Q6))</f>
        <v/>
      </c>
      <c r="AW146" s="149" t="str">
        <f t="shared" si="20"/>
        <v/>
      </c>
      <c r="AY146" s="149" t="str">
        <f>IF('Cable Info'!R6="","",CONCATENATE('Cable Info'!R6," - ",'Cable Info'!S6))</f>
        <v/>
      </c>
      <c r="BB146" s="149" t="str">
        <f t="shared" si="21"/>
        <v/>
      </c>
      <c r="BD146" s="149" t="str">
        <f>IF('Cable Info'!T6="","",CONCATENATE('Cable Info'!T6," - ",'Cable Info'!U6))</f>
        <v/>
      </c>
      <c r="BG146" s="149" t="str">
        <f t="shared" si="22"/>
        <v/>
      </c>
      <c r="BI146" s="149" t="str">
        <f>IF('Cable Info'!V6="","",CONCATENATE('Cable Info'!V6," - ",'Cable Info'!W6))</f>
        <v/>
      </c>
      <c r="BL146" s="149" t="str">
        <f t="shared" si="23"/>
        <v/>
      </c>
      <c r="CL146" s="309"/>
    </row>
    <row r="147" spans="1:90" x14ac:dyDescent="0.2">
      <c r="A147" s="222"/>
      <c r="B147" s="165"/>
      <c r="C147" s="142" t="str">
        <f>IFERROR(IF(B147="","",IF((COUNTIF('Cable Info'!$B$11:$C$50,B147)=0),VLOOKUP(B147,'Cable Info (2)'!$B$11:$C$50,2,FALSE),(VLOOKUP(B147,'Cable Info'!$B$11:$C$50,2,FALSE)))),"NO SUCH EXIT")</f>
        <v/>
      </c>
      <c r="D147" s="285"/>
      <c r="E147" s="311"/>
      <c r="F147" s="132" t="s">
        <v>59</v>
      </c>
      <c r="G147" s="314"/>
      <c r="H147" s="142" t="str">
        <f t="shared" si="12"/>
        <v/>
      </c>
      <c r="I147" s="318"/>
      <c r="J147" s="132" t="s">
        <v>59</v>
      </c>
      <c r="K147" s="320"/>
      <c r="L147" s="289"/>
      <c r="M147" s="142" t="str">
        <f>IFERROR(IF(P147="","",IF((COUNTIF('Cable Info'!$B$11:$C$50,P147)=0),VLOOKUP(P147,'Cable Info (2)'!$B$11:$C$50,2,FALSE),(VLOOKUP(P147,'Cable Info'!$B$11:$C$50,2,FALSE)))),"NO SUCH EXIT")</f>
        <v/>
      </c>
      <c r="N147" s="293"/>
      <c r="O147" s="234"/>
      <c r="P147" s="161"/>
      <c r="Q147" s="224"/>
      <c r="R147" s="162"/>
      <c r="S147" s="162"/>
      <c r="T147" s="163"/>
      <c r="U147" s="163"/>
      <c r="V147" s="164"/>
      <c r="W147" s="164"/>
      <c r="X147" s="229" t="str">
        <f t="shared" si="13"/>
        <v/>
      </c>
      <c r="Y147" s="147" t="str">
        <f t="shared" si="14"/>
        <v/>
      </c>
      <c r="Z147" s="148" t="str">
        <f t="shared" si="15"/>
        <v/>
      </c>
      <c r="AA147" s="148" t="str">
        <f t="shared" si="16"/>
        <v/>
      </c>
      <c r="AB147" s="148" t="str">
        <f t="shared" si="17"/>
        <v/>
      </c>
      <c r="AJ147" s="149" t="e">
        <f>IF('Cable Info'!L7="","",CONCATENATE('Cable Info'!L7," - ",'Cable Info'!M7))</f>
        <v>#N/A</v>
      </c>
      <c r="AM147" s="149" t="e">
        <f t="shared" si="18"/>
        <v>#N/A</v>
      </c>
      <c r="AO147" s="149" t="str">
        <f>IF('Cable Info'!N7="","",CONCATENATE('Cable Info'!N7," - ",'Cable Info'!O7))</f>
        <v/>
      </c>
      <c r="AR147" s="149" t="str">
        <f t="shared" si="19"/>
        <v/>
      </c>
      <c r="AT147" s="149" t="str">
        <f>IF('Cable Info'!P7="","",CONCATENATE('Cable Info'!P7," - ",'Cable Info'!Q7))</f>
        <v/>
      </c>
      <c r="AW147" s="149" t="str">
        <f t="shared" si="20"/>
        <v/>
      </c>
      <c r="AY147" s="149" t="str">
        <f>IF('Cable Info'!R7="","",CONCATENATE('Cable Info'!R7," - ",'Cable Info'!S7))</f>
        <v/>
      </c>
      <c r="BB147" s="149" t="str">
        <f t="shared" si="21"/>
        <v/>
      </c>
      <c r="BD147" s="149" t="str">
        <f>IF('Cable Info'!T7="","",CONCATENATE('Cable Info'!T7," - ",'Cable Info'!U7))</f>
        <v/>
      </c>
      <c r="BG147" s="149" t="str">
        <f t="shared" si="22"/>
        <v/>
      </c>
      <c r="BI147" s="149" t="str">
        <f>IF('Cable Info'!V7="","",CONCATENATE('Cable Info'!V7," - ",'Cable Info'!W7))</f>
        <v/>
      </c>
      <c r="BL147" s="149" t="str">
        <f t="shared" si="23"/>
        <v/>
      </c>
      <c r="CL147" s="309"/>
    </row>
    <row r="148" spans="1:90" x14ac:dyDescent="0.2">
      <c r="A148" s="222"/>
      <c r="B148" s="165"/>
      <c r="C148" s="142" t="str">
        <f>IFERROR(IF(B148="","",IF((COUNTIF('Cable Info'!$B$11:$C$50,B148)=0),VLOOKUP(B148,'Cable Info (2)'!$B$11:$C$50,2,FALSE),(VLOOKUP(B148,'Cable Info'!$B$11:$C$50,2,FALSE)))),"NO SUCH EXIT")</f>
        <v/>
      </c>
      <c r="D148" s="285"/>
      <c r="E148" s="311"/>
      <c r="F148" s="132" t="s">
        <v>59</v>
      </c>
      <c r="G148" s="314"/>
      <c r="H148" s="142" t="str">
        <f t="shared" ref="H148:H153" si="24">IF(G148="","",((E148-G148)-1)*(-1))</f>
        <v/>
      </c>
      <c r="I148" s="318"/>
      <c r="J148" s="132" t="s">
        <v>59</v>
      </c>
      <c r="K148" s="320"/>
      <c r="L148" s="289"/>
      <c r="M148" s="142" t="str">
        <f>IFERROR(IF(P148="","",IF((COUNTIF('Cable Info'!$B$11:$C$50,P148)=0),VLOOKUP(P148,'Cable Info (2)'!$B$11:$C$50,2,FALSE),(VLOOKUP(P148,'Cable Info'!$B$11:$C$50,2,FALSE)))),"NO SUCH EXIT")</f>
        <v/>
      </c>
      <c r="N148" s="293"/>
      <c r="O148" s="234"/>
      <c r="P148" s="161"/>
      <c r="Q148" s="224"/>
      <c r="R148" s="162"/>
      <c r="S148" s="162"/>
      <c r="T148" s="163"/>
      <c r="U148" s="163"/>
      <c r="V148" s="164"/>
      <c r="W148" s="164"/>
      <c r="X148" s="229" t="str">
        <f t="shared" ref="X148:X153" si="25">IF(V148="","",IF(R148="","",IF(S148="","",IF(R148="SPLICED",(IF(S148="SPLICE",0,9)),IF(V148=$U$3,(IF(S148="BREAK",12,11)),IF(S148="BREAK",2,1))))))</f>
        <v/>
      </c>
      <c r="Y148" s="147" t="str">
        <f t="shared" ref="Y148:Y153" si="26">IF(E148="","",IF(G148="","",IF(E148&gt;G148,1,"")))</f>
        <v/>
      </c>
      <c r="Z148" s="148" t="str">
        <f t="shared" ref="Z148:Z153" si="27">IF(I148="","",IF(K148="","",IF(I148&gt;K148,1,"")))</f>
        <v/>
      </c>
      <c r="AA148" s="148" t="str">
        <f t="shared" ref="AA148:AA153" si="28">IF(K148="","",((I148-K148)-1)*(-1))</f>
        <v/>
      </c>
      <c r="AB148" s="148" t="str">
        <f t="shared" ref="AB148:AB153" si="29">IF(E148="","",IF(G148="","",IF(I148="","",IF(K148="","",IF(AA148&lt;&gt;H148,1,"")))))</f>
        <v/>
      </c>
      <c r="AJ148" s="149" t="e">
        <f>IF('Cable Info'!L8="","",CONCATENATE('Cable Info'!L8," - ",'Cable Info'!M8))</f>
        <v>#N/A</v>
      </c>
      <c r="AM148" s="149" t="e">
        <f t="shared" ref="AM148:AM153" si="30">IF(AK148="",AJ148,CONCATENATE(AJ148,"  &lt;=&gt; ",AK148," ",AL148))</f>
        <v>#N/A</v>
      </c>
      <c r="AO148" s="149" t="str">
        <f>IF('Cable Info'!N8="","",CONCATENATE('Cable Info'!N8," - ",'Cable Info'!O8))</f>
        <v/>
      </c>
      <c r="AR148" s="149" t="str">
        <f t="shared" ref="AR148:AR153" si="31">IF(AP148="",AO148,CONCATENATE(AO148,"  &lt;=&gt; ",AP148," ",AQ148))</f>
        <v/>
      </c>
      <c r="AT148" s="149" t="str">
        <f>IF('Cable Info'!P8="","",CONCATENATE('Cable Info'!P8," - ",'Cable Info'!Q8))</f>
        <v/>
      </c>
      <c r="AW148" s="149" t="str">
        <f t="shared" ref="AW148:AW153" si="32">IF(AU148="",AT148,CONCATENATE(AT148,"  &lt;=&gt; ",AU148," ",AV148))</f>
        <v/>
      </c>
      <c r="AY148" s="149" t="str">
        <f>IF('Cable Info'!R8="","",CONCATENATE('Cable Info'!R8," - ",'Cable Info'!S8))</f>
        <v/>
      </c>
      <c r="BB148" s="149" t="str">
        <f t="shared" ref="BB148:BB153" si="33">IF(AZ148="",AY148,CONCATENATE(AY148,"  &lt;=&gt; ",AZ148," ",BA148))</f>
        <v/>
      </c>
      <c r="BD148" s="149" t="str">
        <f>IF('Cable Info'!T8="","",CONCATENATE('Cable Info'!T8," - ",'Cable Info'!U8))</f>
        <v/>
      </c>
      <c r="BG148" s="149" t="str">
        <f t="shared" ref="BG148:BG153" si="34">IF(BE148="",BD148,CONCATENATE(BD148,"  &lt;=&gt; ",BE148," ",BF148))</f>
        <v/>
      </c>
      <c r="BI148" s="149" t="str">
        <f>IF('Cable Info'!V8="","",CONCATENATE('Cable Info'!V8," - ",'Cable Info'!W8))</f>
        <v/>
      </c>
      <c r="BL148" s="149" t="str">
        <f t="shared" ref="BL148:BL153" si="35">IF(BJ148="",BI148,CONCATENATE(BI148,"  &lt;=&gt; ",BJ148," ",BK148))</f>
        <v/>
      </c>
      <c r="CL148" s="309"/>
    </row>
    <row r="149" spans="1:90" x14ac:dyDescent="0.2">
      <c r="A149" s="222"/>
      <c r="B149" s="165"/>
      <c r="C149" s="142" t="str">
        <f>IFERROR(IF(B149="","",IF((COUNTIF('Cable Info'!$B$11:$C$50,B149)=0),VLOOKUP(B149,'Cable Info (2)'!$B$11:$C$50,2,FALSE),(VLOOKUP(B149,'Cable Info'!$B$11:$C$50,2,FALSE)))),"NO SUCH EXIT")</f>
        <v/>
      </c>
      <c r="D149" s="285"/>
      <c r="E149" s="311"/>
      <c r="F149" s="132" t="s">
        <v>59</v>
      </c>
      <c r="G149" s="314"/>
      <c r="H149" s="142" t="str">
        <f t="shared" si="24"/>
        <v/>
      </c>
      <c r="I149" s="318"/>
      <c r="J149" s="132" t="s">
        <v>59</v>
      </c>
      <c r="K149" s="320"/>
      <c r="L149" s="289"/>
      <c r="M149" s="142" t="str">
        <f>IFERROR(IF(P149="","",IF((COUNTIF('Cable Info'!$B$11:$C$50,P149)=0),VLOOKUP(P149,'Cable Info (2)'!$B$11:$C$50,2,FALSE),(VLOOKUP(P149,'Cable Info'!$B$11:$C$50,2,FALSE)))),"NO SUCH EXIT")</f>
        <v/>
      </c>
      <c r="N149" s="293"/>
      <c r="O149" s="234"/>
      <c r="P149" s="161"/>
      <c r="Q149" s="224"/>
      <c r="R149" s="162"/>
      <c r="S149" s="162"/>
      <c r="T149" s="163"/>
      <c r="U149" s="163"/>
      <c r="V149" s="164"/>
      <c r="W149" s="164"/>
      <c r="X149" s="229" t="str">
        <f t="shared" si="25"/>
        <v/>
      </c>
      <c r="Y149" s="147" t="str">
        <f t="shared" si="26"/>
        <v/>
      </c>
      <c r="Z149" s="148" t="str">
        <f t="shared" si="27"/>
        <v/>
      </c>
      <c r="AA149" s="148" t="str">
        <f t="shared" si="28"/>
        <v/>
      </c>
      <c r="AB149" s="148" t="str">
        <f t="shared" si="29"/>
        <v/>
      </c>
      <c r="AJ149" s="149" t="e">
        <f>IF('Cable Info'!L9="","",CONCATENATE('Cable Info'!L9," - ",'Cable Info'!M9))</f>
        <v>#N/A</v>
      </c>
      <c r="AM149" s="149" t="e">
        <f t="shared" si="30"/>
        <v>#N/A</v>
      </c>
      <c r="AO149" s="149" t="str">
        <f>IF('Cable Info'!N9="","",CONCATENATE('Cable Info'!N9," - ",'Cable Info'!O9))</f>
        <v/>
      </c>
      <c r="AR149" s="149" t="str">
        <f t="shared" si="31"/>
        <v/>
      </c>
      <c r="AT149" s="149" t="str">
        <f>IF('Cable Info'!P9="","",CONCATENATE('Cable Info'!P9," - ",'Cable Info'!Q9))</f>
        <v/>
      </c>
      <c r="AW149" s="149" t="str">
        <f t="shared" si="32"/>
        <v/>
      </c>
      <c r="AY149" s="149" t="str">
        <f>IF('Cable Info'!R9="","",CONCATENATE('Cable Info'!R9," - ",'Cable Info'!S9))</f>
        <v/>
      </c>
      <c r="BB149" s="149" t="str">
        <f t="shared" si="33"/>
        <v/>
      </c>
      <c r="BD149" s="149" t="str">
        <f>IF('Cable Info'!T9="","",CONCATENATE('Cable Info'!T9," - ",'Cable Info'!U9))</f>
        <v/>
      </c>
      <c r="BG149" s="149" t="str">
        <f t="shared" si="34"/>
        <v/>
      </c>
      <c r="BI149" s="149" t="str">
        <f>IF('Cable Info'!V9="","",CONCATENATE('Cable Info'!V9," - ",'Cable Info'!W9))</f>
        <v/>
      </c>
      <c r="BL149" s="149" t="str">
        <f t="shared" si="35"/>
        <v/>
      </c>
      <c r="CL149" s="309"/>
    </row>
    <row r="150" spans="1:90" x14ac:dyDescent="0.2">
      <c r="A150" s="222"/>
      <c r="B150" s="165"/>
      <c r="C150" s="142" t="str">
        <f>IFERROR(IF(B150="","",IF((COUNTIF('Cable Info'!$B$11:$C$50,B150)=0),VLOOKUP(B150,'Cable Info (2)'!$B$11:$C$50,2,FALSE),(VLOOKUP(B150,'Cable Info'!$B$11:$C$50,2,FALSE)))),"NO SUCH EXIT")</f>
        <v/>
      </c>
      <c r="D150" s="285"/>
      <c r="E150" s="311"/>
      <c r="F150" s="132" t="s">
        <v>59</v>
      </c>
      <c r="G150" s="314"/>
      <c r="H150" s="142" t="str">
        <f t="shared" si="24"/>
        <v/>
      </c>
      <c r="I150" s="318"/>
      <c r="J150" s="132" t="s">
        <v>59</v>
      </c>
      <c r="K150" s="320"/>
      <c r="L150" s="289"/>
      <c r="M150" s="142" t="str">
        <f>IFERROR(IF(P150="","",IF((COUNTIF('Cable Info'!$B$11:$C$50,P150)=0),VLOOKUP(P150,'Cable Info (2)'!$B$11:$C$50,2,FALSE),(VLOOKUP(P150,'Cable Info'!$B$11:$C$50,2,FALSE)))),"NO SUCH EXIT")</f>
        <v/>
      </c>
      <c r="N150" s="293"/>
      <c r="O150" s="234"/>
      <c r="P150" s="161"/>
      <c r="Q150" s="224"/>
      <c r="R150" s="162"/>
      <c r="S150" s="162"/>
      <c r="T150" s="163"/>
      <c r="U150" s="163"/>
      <c r="V150" s="164"/>
      <c r="W150" s="164"/>
      <c r="X150" s="229" t="str">
        <f t="shared" si="25"/>
        <v/>
      </c>
      <c r="Y150" s="147" t="str">
        <f t="shared" si="26"/>
        <v/>
      </c>
      <c r="Z150" s="148" t="str">
        <f t="shared" si="27"/>
        <v/>
      </c>
      <c r="AA150" s="148" t="str">
        <f t="shared" si="28"/>
        <v/>
      </c>
      <c r="AB150" s="148" t="str">
        <f t="shared" si="29"/>
        <v/>
      </c>
      <c r="AJ150" s="149" t="e">
        <f>IF('Cable Info'!L10="","",CONCATENATE('Cable Info'!L10," - ",'Cable Info'!M10))</f>
        <v>#N/A</v>
      </c>
      <c r="AM150" s="149" t="e">
        <f t="shared" si="30"/>
        <v>#N/A</v>
      </c>
      <c r="AO150" s="149" t="str">
        <f>IF('Cable Info'!N10="","",CONCATENATE('Cable Info'!N10," - ",'Cable Info'!O10))</f>
        <v/>
      </c>
      <c r="AR150" s="149" t="str">
        <f t="shared" si="31"/>
        <v/>
      </c>
      <c r="AT150" s="149" t="str">
        <f>IF('Cable Info'!P10="","",CONCATENATE('Cable Info'!P10," - ",'Cable Info'!Q10))</f>
        <v/>
      </c>
      <c r="AW150" s="149" t="str">
        <f t="shared" si="32"/>
        <v/>
      </c>
      <c r="AY150" s="149" t="str">
        <f>IF('Cable Info'!R10="","",CONCATENATE('Cable Info'!R10," - ",'Cable Info'!S10))</f>
        <v/>
      </c>
      <c r="BB150" s="149" t="str">
        <f t="shared" si="33"/>
        <v/>
      </c>
      <c r="BD150" s="149" t="str">
        <f>IF('Cable Info'!T10="","",CONCATENATE('Cable Info'!T10," - ",'Cable Info'!U10))</f>
        <v/>
      </c>
      <c r="BG150" s="149" t="str">
        <f t="shared" si="34"/>
        <v/>
      </c>
      <c r="BI150" s="149" t="str">
        <f>IF('Cable Info'!V10="","",CONCATENATE('Cable Info'!V10," - ",'Cable Info'!W10))</f>
        <v/>
      </c>
      <c r="BL150" s="149" t="str">
        <f t="shared" si="35"/>
        <v/>
      </c>
      <c r="CL150" s="309"/>
    </row>
    <row r="151" spans="1:90" x14ac:dyDescent="0.2">
      <c r="A151" s="222"/>
      <c r="B151" s="165"/>
      <c r="C151" s="142" t="str">
        <f>IFERROR(IF(B151="","",IF((COUNTIF('Cable Info'!$B$11:$C$50,B151)=0),VLOOKUP(B151,'Cable Info (2)'!$B$11:$C$50,2,FALSE),(VLOOKUP(B151,'Cable Info'!$B$11:$C$50,2,FALSE)))),"NO SUCH EXIT")</f>
        <v/>
      </c>
      <c r="D151" s="285"/>
      <c r="E151" s="311"/>
      <c r="F151" s="132" t="s">
        <v>59</v>
      </c>
      <c r="G151" s="314"/>
      <c r="H151" s="142" t="str">
        <f t="shared" si="24"/>
        <v/>
      </c>
      <c r="I151" s="318"/>
      <c r="J151" s="132" t="s">
        <v>59</v>
      </c>
      <c r="K151" s="320"/>
      <c r="L151" s="289"/>
      <c r="M151" s="142" t="str">
        <f>IFERROR(IF(P151="","",IF((COUNTIF('Cable Info'!$B$11:$C$50,P151)=0),VLOOKUP(P151,'Cable Info (2)'!$B$11:$C$50,2,FALSE),(VLOOKUP(P151,'Cable Info'!$B$11:$C$50,2,FALSE)))),"NO SUCH EXIT")</f>
        <v/>
      </c>
      <c r="N151" s="293"/>
      <c r="O151" s="234"/>
      <c r="P151" s="161"/>
      <c r="Q151" s="224"/>
      <c r="R151" s="162"/>
      <c r="S151" s="162"/>
      <c r="T151" s="163"/>
      <c r="U151" s="163"/>
      <c r="V151" s="164"/>
      <c r="W151" s="164"/>
      <c r="X151" s="229" t="str">
        <f t="shared" si="25"/>
        <v/>
      </c>
      <c r="Y151" s="147" t="str">
        <f t="shared" si="26"/>
        <v/>
      </c>
      <c r="Z151" s="148" t="str">
        <f t="shared" si="27"/>
        <v/>
      </c>
      <c r="AA151" s="148" t="str">
        <f t="shared" si="28"/>
        <v/>
      </c>
      <c r="AB151" s="148" t="str">
        <f t="shared" si="29"/>
        <v/>
      </c>
      <c r="AJ151" s="149" t="e">
        <f>IF('Cable Info'!L11="","",CONCATENATE('Cable Info'!L11," - ",'Cable Info'!M11))</f>
        <v>#N/A</v>
      </c>
      <c r="AM151" s="149" t="e">
        <f t="shared" si="30"/>
        <v>#N/A</v>
      </c>
      <c r="AO151" s="149" t="str">
        <f>IF('Cable Info'!N11="","",CONCATENATE('Cable Info'!N11," - ",'Cable Info'!O11))</f>
        <v/>
      </c>
      <c r="AR151" s="149" t="str">
        <f t="shared" si="31"/>
        <v/>
      </c>
      <c r="AT151" s="149" t="str">
        <f>IF('Cable Info'!P11="","",CONCATENATE('Cable Info'!P11," - ",'Cable Info'!Q11))</f>
        <v/>
      </c>
      <c r="AW151" s="149" t="str">
        <f t="shared" si="32"/>
        <v/>
      </c>
      <c r="AY151" s="149" t="str">
        <f>IF('Cable Info'!R11="","",CONCATENATE('Cable Info'!R11," - ",'Cable Info'!S11))</f>
        <v/>
      </c>
      <c r="BB151" s="149" t="str">
        <f t="shared" si="33"/>
        <v/>
      </c>
      <c r="BD151" s="149" t="str">
        <f>IF('Cable Info'!T11="","",CONCATENATE('Cable Info'!T11," - ",'Cable Info'!U11))</f>
        <v/>
      </c>
      <c r="BG151" s="149" t="str">
        <f t="shared" si="34"/>
        <v/>
      </c>
      <c r="BI151" s="149" t="str">
        <f>IF('Cable Info'!V11="","",CONCATENATE('Cable Info'!V11," - ",'Cable Info'!W11))</f>
        <v/>
      </c>
      <c r="BL151" s="149" t="str">
        <f t="shared" si="35"/>
        <v/>
      </c>
      <c r="CL151" s="309"/>
    </row>
    <row r="152" spans="1:90" x14ac:dyDescent="0.2">
      <c r="A152" s="222"/>
      <c r="B152" s="165"/>
      <c r="C152" s="142" t="str">
        <f>IFERROR(IF(B152="","",IF((COUNTIF('Cable Info'!$B$11:$C$50,B152)=0),VLOOKUP(B152,'Cable Info (2)'!$B$11:$C$50,2,FALSE),(VLOOKUP(B152,'Cable Info'!$B$11:$C$50,2,FALSE)))),"NO SUCH EXIT")</f>
        <v/>
      </c>
      <c r="D152" s="285"/>
      <c r="E152" s="311"/>
      <c r="F152" s="132" t="s">
        <v>59</v>
      </c>
      <c r="G152" s="314"/>
      <c r="H152" s="142" t="str">
        <f t="shared" si="24"/>
        <v/>
      </c>
      <c r="I152" s="318"/>
      <c r="J152" s="132" t="s">
        <v>59</v>
      </c>
      <c r="K152" s="320"/>
      <c r="L152" s="289"/>
      <c r="M152" s="142" t="str">
        <f>IFERROR(IF(P152="","",IF((COUNTIF('Cable Info'!$B$11:$C$50,P152)=0),VLOOKUP(P152,'Cable Info (2)'!$B$11:$C$50,2,FALSE),(VLOOKUP(P152,'Cable Info'!$B$11:$C$50,2,FALSE)))),"NO SUCH EXIT")</f>
        <v/>
      </c>
      <c r="N152" s="293"/>
      <c r="O152" s="234"/>
      <c r="P152" s="161"/>
      <c r="Q152" s="224"/>
      <c r="R152" s="162"/>
      <c r="S152" s="162"/>
      <c r="T152" s="163"/>
      <c r="U152" s="163"/>
      <c r="V152" s="164"/>
      <c r="W152" s="164"/>
      <c r="X152" s="229" t="str">
        <f t="shared" si="25"/>
        <v/>
      </c>
      <c r="Y152" s="147" t="str">
        <f t="shared" si="26"/>
        <v/>
      </c>
      <c r="Z152" s="148" t="str">
        <f t="shared" si="27"/>
        <v/>
      </c>
      <c r="AA152" s="148" t="str">
        <f t="shared" si="28"/>
        <v/>
      </c>
      <c r="AB152" s="148" t="str">
        <f t="shared" si="29"/>
        <v/>
      </c>
      <c r="AJ152" s="149" t="e">
        <f>IF('Cable Info'!L12="","",CONCATENATE('Cable Info'!L12," - ",'Cable Info'!M12))</f>
        <v>#N/A</v>
      </c>
      <c r="AM152" s="149" t="e">
        <f t="shared" si="30"/>
        <v>#N/A</v>
      </c>
      <c r="AO152" s="149" t="str">
        <f>IF('Cable Info'!N12="","",CONCATENATE('Cable Info'!N12," - ",'Cable Info'!O12))</f>
        <v/>
      </c>
      <c r="AR152" s="149" t="str">
        <f t="shared" si="31"/>
        <v/>
      </c>
      <c r="AT152" s="149" t="str">
        <f>IF('Cable Info'!P12="","",CONCATENATE('Cable Info'!P12," - ",'Cable Info'!Q12))</f>
        <v/>
      </c>
      <c r="AW152" s="149" t="str">
        <f t="shared" si="32"/>
        <v/>
      </c>
      <c r="AY152" s="149" t="str">
        <f>IF('Cable Info'!R12="","",CONCATENATE('Cable Info'!R12," - ",'Cable Info'!S12))</f>
        <v/>
      </c>
      <c r="BB152" s="149" t="str">
        <f t="shared" si="33"/>
        <v/>
      </c>
      <c r="BD152" s="149" t="str">
        <f>IF('Cable Info'!T12="","",CONCATENATE('Cable Info'!T12," - ",'Cable Info'!U12))</f>
        <v/>
      </c>
      <c r="BG152" s="149" t="str">
        <f t="shared" si="34"/>
        <v/>
      </c>
      <c r="BI152" s="149" t="str">
        <f>IF('Cable Info'!V12="","",CONCATENATE('Cable Info'!V12," - ",'Cable Info'!W12))</f>
        <v/>
      </c>
      <c r="BL152" s="149" t="str">
        <f t="shared" si="35"/>
        <v/>
      </c>
      <c r="CL152" s="309"/>
    </row>
    <row r="153" spans="1:90" x14ac:dyDescent="0.2">
      <c r="A153" s="222"/>
      <c r="B153" s="165"/>
      <c r="C153" s="142" t="str">
        <f>IFERROR(IF(B153="","",IF((COUNTIF('Cable Info'!$B$11:$C$50,B153)=0),VLOOKUP(B153,'Cable Info (2)'!$B$11:$C$50,2,FALSE),(VLOOKUP(B153,'Cable Info'!$B$11:$C$50,2,FALSE)))),"NO SUCH EXIT")</f>
        <v/>
      </c>
      <c r="D153" s="285"/>
      <c r="E153" s="311"/>
      <c r="F153" s="132" t="s">
        <v>59</v>
      </c>
      <c r="G153" s="314"/>
      <c r="H153" s="142" t="str">
        <f t="shared" si="24"/>
        <v/>
      </c>
      <c r="I153" s="318"/>
      <c r="J153" s="132" t="s">
        <v>59</v>
      </c>
      <c r="K153" s="320"/>
      <c r="L153" s="289"/>
      <c r="M153" s="142" t="str">
        <f>IFERROR(IF(P153="","",IF((COUNTIF('Cable Info'!$B$11:$C$50,P153)=0),VLOOKUP(P153,'Cable Info (2)'!$B$11:$C$50,2,FALSE),(VLOOKUP(P153,'Cable Info'!$B$11:$C$50,2,FALSE)))),"NO SUCH EXIT")</f>
        <v/>
      </c>
      <c r="N153" s="293"/>
      <c r="O153" s="234"/>
      <c r="P153" s="161"/>
      <c r="Q153" s="224"/>
      <c r="R153" s="162"/>
      <c r="S153" s="162"/>
      <c r="T153" s="163"/>
      <c r="U153" s="163"/>
      <c r="V153" s="164"/>
      <c r="W153" s="164"/>
      <c r="X153" s="229" t="str">
        <f t="shared" si="25"/>
        <v/>
      </c>
      <c r="Y153" s="147" t="str">
        <f t="shared" si="26"/>
        <v/>
      </c>
      <c r="Z153" s="148" t="str">
        <f t="shared" si="27"/>
        <v/>
      </c>
      <c r="AA153" s="148" t="str">
        <f t="shared" si="28"/>
        <v/>
      </c>
      <c r="AB153" s="148" t="str">
        <f t="shared" si="29"/>
        <v/>
      </c>
      <c r="AJ153" s="149" t="e">
        <f>IF('Cable Info'!L13="","",CONCATENATE('Cable Info'!L13," - ",'Cable Info'!M13))</f>
        <v>#N/A</v>
      </c>
      <c r="AM153" s="149" t="e">
        <f t="shared" si="30"/>
        <v>#N/A</v>
      </c>
      <c r="AO153" s="149" t="str">
        <f>IF('Cable Info'!N13="","",CONCATENATE('Cable Info'!N13," - ",'Cable Info'!O13))</f>
        <v/>
      </c>
      <c r="AR153" s="149" t="str">
        <f t="shared" si="31"/>
        <v/>
      </c>
      <c r="AT153" s="149" t="str">
        <f>IF('Cable Info'!P13="","",CONCATENATE('Cable Info'!P13," - ",'Cable Info'!Q13))</f>
        <v/>
      </c>
      <c r="AW153" s="149" t="str">
        <f t="shared" si="32"/>
        <v/>
      </c>
      <c r="AY153" s="149" t="str">
        <f>IF('Cable Info'!R13="","",CONCATENATE('Cable Info'!R13," - ",'Cable Info'!S13))</f>
        <v/>
      </c>
      <c r="BB153" s="149" t="str">
        <f t="shared" si="33"/>
        <v/>
      </c>
      <c r="BD153" s="149" t="str">
        <f>IF('Cable Info'!T13="","",CONCATENATE('Cable Info'!T13," - ",'Cable Info'!U13))</f>
        <v/>
      </c>
      <c r="BG153" s="149" t="str">
        <f t="shared" si="34"/>
        <v/>
      </c>
      <c r="BI153" s="149" t="str">
        <f>IF('Cable Info'!V13="","",CONCATENATE('Cable Info'!V13," - ",'Cable Info'!W13))</f>
        <v/>
      </c>
      <c r="BL153" s="149" t="str">
        <f t="shared" si="35"/>
        <v/>
      </c>
      <c r="CL153" s="309"/>
    </row>
    <row r="154" spans="1:90" x14ac:dyDescent="0.2">
      <c r="A154" s="222"/>
      <c r="B154" s="165"/>
      <c r="C154" s="142" t="str">
        <f>IFERROR(IF(B154="","",IF((COUNTIF('Cable Info'!$B$11:$C$50,B154)=0),VLOOKUP(B154,'Cable Info (2)'!$B$11:$C$50,2,FALSE),(VLOOKUP(B154,'Cable Info'!$B$11:$C$50,2,FALSE)))),"NO SUCH EXIT")</f>
        <v/>
      </c>
      <c r="D154" s="285"/>
      <c r="E154" s="311"/>
      <c r="F154" s="132" t="s">
        <v>59</v>
      </c>
      <c r="G154" s="314"/>
      <c r="H154" s="142" t="str">
        <f t="shared" si="11"/>
        <v/>
      </c>
      <c r="I154" s="318"/>
      <c r="J154" s="132" t="s">
        <v>59</v>
      </c>
      <c r="K154" s="320"/>
      <c r="L154" s="289"/>
      <c r="M154" s="142" t="str">
        <f>IFERROR(IF(P154="","",IF((COUNTIF('Cable Info'!$B$11:$C$50,P154)=0),VLOOKUP(P154,'Cable Info (2)'!$B$11:$C$50,2,FALSE),(VLOOKUP(P154,'Cable Info'!$B$11:$C$50,2,FALSE)))),"NO SUCH EXIT")</f>
        <v/>
      </c>
      <c r="N154" s="293"/>
      <c r="O154" s="234"/>
      <c r="P154" s="161"/>
      <c r="Q154" s="224"/>
      <c r="R154" s="162"/>
      <c r="S154" s="162"/>
      <c r="T154" s="163"/>
      <c r="U154" s="163"/>
      <c r="V154" s="164"/>
      <c r="W154" s="164"/>
      <c r="X154" s="229" t="str">
        <f t="shared" si="6"/>
        <v/>
      </c>
      <c r="Y154" s="147" t="str">
        <f t="shared" si="7"/>
        <v/>
      </c>
      <c r="Z154" s="148" t="str">
        <f t="shared" si="8"/>
        <v/>
      </c>
      <c r="AA154" s="148" t="str">
        <f t="shared" si="9"/>
        <v/>
      </c>
      <c r="AB154" s="148" t="str">
        <f t="shared" si="10"/>
        <v/>
      </c>
      <c r="AJ154" s="149" t="e">
        <f>IF('Cable Info'!L14="","",CONCATENATE('Cable Info'!L14," - ",'Cable Info'!M14))</f>
        <v>#N/A</v>
      </c>
      <c r="AM154" s="149" t="e">
        <f t="shared" si="0"/>
        <v>#N/A</v>
      </c>
      <c r="AO154" s="149" t="str">
        <f>IF('Cable Info'!N14="","",CONCATENATE('Cable Info'!N14," - ",'Cable Info'!O14))</f>
        <v/>
      </c>
      <c r="AR154" s="149" t="str">
        <f t="shared" si="1"/>
        <v/>
      </c>
      <c r="AT154" s="149" t="str">
        <f>IF('Cable Info'!P14="","",CONCATENATE('Cable Info'!P14," - ",'Cable Info'!Q14))</f>
        <v/>
      </c>
      <c r="AW154" s="149" t="str">
        <f t="shared" si="2"/>
        <v/>
      </c>
      <c r="AY154" s="149" t="str">
        <f>IF('Cable Info'!R14="","",CONCATENATE('Cable Info'!R14," - ",'Cable Info'!S14))</f>
        <v/>
      </c>
      <c r="BB154" s="149" t="str">
        <f t="shared" si="3"/>
        <v/>
      </c>
      <c r="BD154" s="149" t="str">
        <f>IF('Cable Info'!T14="","",CONCATENATE('Cable Info'!T14," - ",'Cable Info'!U14))</f>
        <v/>
      </c>
      <c r="BG154" s="149" t="str">
        <f t="shared" si="4"/>
        <v/>
      </c>
      <c r="BI154" s="149" t="str">
        <f>IF('Cable Info'!V14="","",CONCATENATE('Cable Info'!V14," - ",'Cable Info'!W14))</f>
        <v/>
      </c>
      <c r="BL154" s="149" t="str">
        <f t="shared" si="5"/>
        <v/>
      </c>
      <c r="CL154" s="309"/>
    </row>
    <row r="155" spans="1:90" x14ac:dyDescent="0.2">
      <c r="A155" s="222"/>
      <c r="B155" s="165"/>
      <c r="C155" s="142" t="str">
        <f>IFERROR(IF(B155="","",IF((COUNTIF('Cable Info'!$B$11:$C$50,B155)=0),VLOOKUP(B155,'Cable Info (2)'!$B$11:$C$50,2,FALSE),(VLOOKUP(B155,'Cable Info'!$B$11:$C$50,2,FALSE)))),"NO SUCH EXIT")</f>
        <v/>
      </c>
      <c r="D155" s="285"/>
      <c r="E155" s="312"/>
      <c r="F155" s="132" t="s">
        <v>59</v>
      </c>
      <c r="G155" s="315"/>
      <c r="H155" s="142" t="str">
        <f t="shared" si="11"/>
        <v/>
      </c>
      <c r="I155" s="317"/>
      <c r="J155" s="132" t="s">
        <v>59</v>
      </c>
      <c r="K155" s="321"/>
      <c r="L155" s="289"/>
      <c r="M155" s="142" t="str">
        <f>IFERROR(IF(P155="","",IF((COUNTIF('Cable Info'!$B$11:$C$50,P155)=0),VLOOKUP(P155,'Cable Info (2)'!$B$11:$C$50,2,FALSE),(VLOOKUP(P155,'Cable Info'!$B$11:$C$50,2,FALSE)))),"NO SUCH EXIT")</f>
        <v/>
      </c>
      <c r="N155" s="293"/>
      <c r="O155" s="234"/>
      <c r="P155" s="161"/>
      <c r="Q155" s="224"/>
      <c r="R155" s="162"/>
      <c r="S155" s="162"/>
      <c r="T155" s="163"/>
      <c r="U155" s="163"/>
      <c r="V155" s="164"/>
      <c r="W155" s="164"/>
      <c r="X155" s="229" t="str">
        <f t="shared" si="6"/>
        <v/>
      </c>
      <c r="Y155" s="147" t="str">
        <f t="shared" si="7"/>
        <v/>
      </c>
      <c r="Z155" s="148" t="str">
        <f t="shared" si="8"/>
        <v/>
      </c>
      <c r="AA155" s="148" t="str">
        <f t="shared" si="9"/>
        <v/>
      </c>
      <c r="AB155" s="148" t="str">
        <f t="shared" si="10"/>
        <v/>
      </c>
      <c r="AJ155" s="149" t="e">
        <f>IF('Cable Info'!L15="","",CONCATENATE('Cable Info'!L15," - ",'Cable Info'!M15))</f>
        <v>#N/A</v>
      </c>
      <c r="AM155" s="149" t="e">
        <f t="shared" si="0"/>
        <v>#N/A</v>
      </c>
      <c r="AO155" s="149" t="str">
        <f>IF('Cable Info'!N15="","",CONCATENATE('Cable Info'!N15," - ",'Cable Info'!O15))</f>
        <v/>
      </c>
      <c r="AR155" s="149" t="str">
        <f t="shared" si="1"/>
        <v/>
      </c>
      <c r="AT155" s="149" t="str">
        <f>IF('Cable Info'!P15="","",CONCATENATE('Cable Info'!P15," - ",'Cable Info'!Q15))</f>
        <v/>
      </c>
      <c r="AW155" s="149" t="str">
        <f t="shared" si="2"/>
        <v/>
      </c>
      <c r="AY155" s="149" t="str">
        <f>IF('Cable Info'!R15="","",CONCATENATE('Cable Info'!R15," - ",'Cable Info'!S15))</f>
        <v/>
      </c>
      <c r="BB155" s="149" t="str">
        <f t="shared" si="3"/>
        <v/>
      </c>
      <c r="BD155" s="149" t="str">
        <f>IF('Cable Info'!T15="","",CONCATENATE('Cable Info'!T15," - ",'Cable Info'!U15))</f>
        <v/>
      </c>
      <c r="BE155" s="149" t="s">
        <v>52</v>
      </c>
      <c r="BG155" s="149" t="str">
        <f t="shared" si="4"/>
        <v xml:space="preserve">  &lt;=&gt; E </v>
      </c>
      <c r="BI155" s="149" t="str">
        <f>IF('Cable Info'!V15="","",CONCATENATE('Cable Info'!V15," - ",'Cable Info'!W15))</f>
        <v/>
      </c>
      <c r="BL155" s="149" t="str">
        <f t="shared" si="5"/>
        <v/>
      </c>
      <c r="CL155" s="309"/>
    </row>
    <row r="156" spans="1:90" x14ac:dyDescent="0.2">
      <c r="A156" s="222"/>
      <c r="B156" s="165"/>
      <c r="C156" s="142" t="str">
        <f>IFERROR(IF(B156="","",IF((COUNTIF('Cable Info'!$B$11:$C$50,B156)=0),VLOOKUP(B156,'Cable Info (2)'!$B$11:$C$50,2,FALSE),(VLOOKUP(B156,'Cable Info'!$B$11:$C$50,2,FALSE)))),"NO SUCH EXIT")</f>
        <v/>
      </c>
      <c r="D156" s="285"/>
      <c r="E156" s="311"/>
      <c r="F156" s="132" t="s">
        <v>59</v>
      </c>
      <c r="G156" s="314"/>
      <c r="H156" s="142" t="str">
        <f t="shared" si="11"/>
        <v/>
      </c>
      <c r="I156" s="318"/>
      <c r="J156" s="132" t="s">
        <v>59</v>
      </c>
      <c r="K156" s="320"/>
      <c r="L156" s="289"/>
      <c r="M156" s="142" t="str">
        <f>IFERROR(IF(P156="","",IF((COUNTIF('Cable Info'!$B$11:$C$50,P156)=0),VLOOKUP(P156,'Cable Info (2)'!$B$11:$C$50,2,FALSE),(VLOOKUP(P156,'Cable Info'!$B$11:$C$50,2,FALSE)))),"NO SUCH EXIT")</f>
        <v/>
      </c>
      <c r="N156" s="293"/>
      <c r="O156" s="234"/>
      <c r="P156" s="161"/>
      <c r="Q156" s="224"/>
      <c r="R156" s="162"/>
      <c r="S156" s="162"/>
      <c r="T156" s="163"/>
      <c r="U156" s="163"/>
      <c r="V156" s="164"/>
      <c r="W156" s="164"/>
      <c r="X156" s="229" t="str">
        <f t="shared" si="6"/>
        <v/>
      </c>
      <c r="Y156" s="147" t="str">
        <f t="shared" si="7"/>
        <v/>
      </c>
      <c r="Z156" s="148" t="str">
        <f t="shared" si="8"/>
        <v/>
      </c>
      <c r="AA156" s="148" t="str">
        <f t="shared" si="9"/>
        <v/>
      </c>
      <c r="AB156" s="148" t="str">
        <f t="shared" si="10"/>
        <v/>
      </c>
      <c r="AJ156" s="149" t="e">
        <f>IF('Cable Info'!L16="","",CONCATENATE('Cable Info'!L16," - ",'Cable Info'!M16))</f>
        <v>#N/A</v>
      </c>
      <c r="AM156" s="149" t="e">
        <f t="shared" si="0"/>
        <v>#N/A</v>
      </c>
      <c r="AO156" s="149" t="str">
        <f>IF('Cable Info'!N16="","",CONCATENATE('Cable Info'!N16," - ",'Cable Info'!O16))</f>
        <v/>
      </c>
      <c r="AR156" s="149" t="str">
        <f t="shared" si="1"/>
        <v/>
      </c>
      <c r="AT156" s="149" t="str">
        <f>IF('Cable Info'!P16="","",CONCATENATE('Cable Info'!P16," - ",'Cable Info'!Q16))</f>
        <v/>
      </c>
      <c r="AW156" s="149" t="str">
        <f t="shared" si="2"/>
        <v/>
      </c>
      <c r="AY156" s="149" t="str">
        <f>IF('Cable Info'!R16="","",CONCATENATE('Cable Info'!R16," - ",'Cable Info'!S16))</f>
        <v/>
      </c>
      <c r="BB156" s="149" t="str">
        <f t="shared" si="3"/>
        <v/>
      </c>
      <c r="BD156" s="149" t="str">
        <f>IF('Cable Info'!T16="","",CONCATENATE('Cable Info'!T16," - ",'Cable Info'!U16))</f>
        <v/>
      </c>
      <c r="BG156" s="149" t="str">
        <f t="shared" si="4"/>
        <v/>
      </c>
      <c r="BI156" s="149" t="str">
        <f>IF('Cable Info'!V16="","",CONCATENATE('Cable Info'!V16," - ",'Cable Info'!W16))</f>
        <v/>
      </c>
      <c r="BJ156" s="149" t="s">
        <v>53</v>
      </c>
      <c r="BL156" s="149" t="str">
        <f t="shared" si="5"/>
        <v xml:space="preserve">  &lt;=&gt; F </v>
      </c>
      <c r="CL156" s="309"/>
    </row>
    <row r="157" spans="1:90" x14ac:dyDescent="0.2">
      <c r="A157" s="222"/>
      <c r="B157" s="165"/>
      <c r="C157" s="142" t="str">
        <f>IFERROR(IF(B157="","",IF((COUNTIF('Cable Info'!$B$11:$C$50,B157)=0),VLOOKUP(B157,'Cable Info (2)'!$B$11:$C$50,2,FALSE),(VLOOKUP(B157,'Cable Info'!$B$11:$C$50,2,FALSE)))),"NO SUCH EXIT")</f>
        <v/>
      </c>
      <c r="D157" s="285"/>
      <c r="E157" s="312"/>
      <c r="F157" s="132" t="s">
        <v>59</v>
      </c>
      <c r="G157" s="315"/>
      <c r="H157" s="142" t="str">
        <f t="shared" si="11"/>
        <v/>
      </c>
      <c r="I157" s="317"/>
      <c r="J157" s="132" t="s">
        <v>59</v>
      </c>
      <c r="K157" s="321"/>
      <c r="L157" s="289"/>
      <c r="M157" s="142" t="str">
        <f>IFERROR(IF(P157="","",IF((COUNTIF('Cable Info'!$B$11:$C$50,P157)=0),VLOOKUP(P157,'Cable Info (2)'!$B$11:$C$50,2,FALSE),(VLOOKUP(P157,'Cable Info'!$B$11:$C$50,2,FALSE)))),"NO SUCH EXIT")</f>
        <v/>
      </c>
      <c r="N157" s="293"/>
      <c r="O157" s="234"/>
      <c r="P157" s="161"/>
      <c r="Q157" s="224"/>
      <c r="R157" s="162"/>
      <c r="S157" s="162"/>
      <c r="T157" s="163"/>
      <c r="U157" s="163"/>
      <c r="V157" s="164"/>
      <c r="W157" s="164"/>
      <c r="X157" s="229" t="str">
        <f t="shared" si="6"/>
        <v/>
      </c>
      <c r="Y157" s="147" t="str">
        <f t="shared" si="7"/>
        <v/>
      </c>
      <c r="Z157" s="148" t="str">
        <f t="shared" si="8"/>
        <v/>
      </c>
      <c r="AA157" s="148" t="str">
        <f t="shared" si="9"/>
        <v/>
      </c>
      <c r="AB157" s="148" t="str">
        <f t="shared" si="10"/>
        <v/>
      </c>
      <c r="AE157" s="147" t="s">
        <v>12</v>
      </c>
      <c r="AJ157" s="149" t="e">
        <f>IF('Cable Info'!L17="","",CONCATENATE('Cable Info'!L17," - ",'Cable Info'!M17))</f>
        <v>#N/A</v>
      </c>
      <c r="AM157" s="149" t="e">
        <f t="shared" si="0"/>
        <v>#N/A</v>
      </c>
      <c r="AO157" s="149" t="str">
        <f>IF('Cable Info'!N17="","",CONCATENATE('Cable Info'!N17," - ",'Cable Info'!O17))</f>
        <v/>
      </c>
      <c r="AR157" s="149" t="str">
        <f t="shared" si="1"/>
        <v/>
      </c>
      <c r="AT157" s="149" t="str">
        <f>IF('Cable Info'!P17="","",CONCATENATE('Cable Info'!P17," - ",'Cable Info'!Q17))</f>
        <v/>
      </c>
      <c r="AW157" s="149" t="str">
        <f t="shared" si="2"/>
        <v/>
      </c>
      <c r="AY157" s="149" t="str">
        <f>IF('Cable Info'!R17="","",CONCATENATE('Cable Info'!R17," - ",'Cable Info'!S17))</f>
        <v/>
      </c>
      <c r="BB157" s="149" t="str">
        <f t="shared" si="3"/>
        <v/>
      </c>
      <c r="BD157" s="149" t="str">
        <f>IF('Cable Info'!T17="","",CONCATENATE('Cable Info'!T17," - ",'Cable Info'!U17))</f>
        <v/>
      </c>
      <c r="BG157" s="149" t="str">
        <f t="shared" si="4"/>
        <v/>
      </c>
      <c r="BI157" s="149" t="str">
        <f>IF('Cable Info'!V17="","",CONCATENATE('Cable Info'!V17," - ",'Cable Info'!W17))</f>
        <v/>
      </c>
      <c r="BL157" s="149" t="str">
        <f t="shared" si="5"/>
        <v/>
      </c>
      <c r="CL157" s="309"/>
    </row>
    <row r="158" spans="1:90" x14ac:dyDescent="0.2">
      <c r="A158" s="222"/>
      <c r="B158" s="165"/>
      <c r="C158" s="142" t="str">
        <f>IFERROR(IF(B158="","",IF((COUNTIF('Cable Info'!$B$11:$C$50,B158)=0),VLOOKUP(B158,'Cable Info (2)'!$B$11:$C$50,2,FALSE),(VLOOKUP(B158,'Cable Info'!$B$11:$C$50,2,FALSE)))),"NO SUCH EXIT")</f>
        <v/>
      </c>
      <c r="D158" s="285"/>
      <c r="E158" s="311"/>
      <c r="F158" s="132" t="s">
        <v>59</v>
      </c>
      <c r="G158" s="314"/>
      <c r="H158" s="142" t="str">
        <f t="shared" si="11"/>
        <v/>
      </c>
      <c r="I158" s="318"/>
      <c r="J158" s="132" t="s">
        <v>59</v>
      </c>
      <c r="K158" s="320"/>
      <c r="L158" s="289"/>
      <c r="M158" s="142" t="str">
        <f>IFERROR(IF(P158="","",IF((COUNTIF('Cable Info'!$B$11:$C$50,P158)=0),VLOOKUP(P158,'Cable Info (2)'!$B$11:$C$50,2,FALSE),(VLOOKUP(P158,'Cable Info'!$B$11:$C$50,2,FALSE)))),"NO SUCH EXIT")</f>
        <v/>
      </c>
      <c r="N158" s="293"/>
      <c r="O158" s="234"/>
      <c r="P158" s="161"/>
      <c r="Q158" s="224"/>
      <c r="R158" s="162"/>
      <c r="S158" s="162"/>
      <c r="T158" s="163"/>
      <c r="U158" s="163"/>
      <c r="V158" s="164"/>
      <c r="W158" s="164"/>
      <c r="X158" s="229" t="str">
        <f t="shared" si="6"/>
        <v/>
      </c>
      <c r="Y158" s="147" t="str">
        <f t="shared" si="7"/>
        <v/>
      </c>
      <c r="Z158" s="148" t="str">
        <f t="shared" si="8"/>
        <v/>
      </c>
      <c r="AA158" s="148" t="str">
        <f t="shared" si="9"/>
        <v/>
      </c>
      <c r="AB158" s="148" t="str">
        <f t="shared" si="10"/>
        <v/>
      </c>
      <c r="AJ158" s="149" t="e">
        <f>IF('Cable Info'!L18="","",CONCATENATE('Cable Info'!L18," - ",'Cable Info'!M18))</f>
        <v>#N/A</v>
      </c>
      <c r="AM158" s="149" t="e">
        <f t="shared" si="0"/>
        <v>#N/A</v>
      </c>
      <c r="AO158" s="149" t="str">
        <f>IF('Cable Info'!N18="","",CONCATENATE('Cable Info'!N18," - ",'Cable Info'!O18))</f>
        <v/>
      </c>
      <c r="AP158" s="149" t="s">
        <v>67</v>
      </c>
      <c r="AR158" s="149" t="str">
        <f t="shared" si="1"/>
        <v xml:space="preserve">  &lt;=&gt; CABLE B Shit </v>
      </c>
      <c r="AT158" s="149" t="str">
        <f>IF('Cable Info'!P18="","",CONCATENATE('Cable Info'!P18," - ",'Cable Info'!Q18))</f>
        <v/>
      </c>
      <c r="AW158" s="149" t="str">
        <f t="shared" si="2"/>
        <v/>
      </c>
      <c r="AY158" s="149" t="str">
        <f>IF('Cable Info'!R18="","",CONCATENATE('Cable Info'!R18," - ",'Cable Info'!S18))</f>
        <v/>
      </c>
      <c r="BB158" s="149" t="str">
        <f t="shared" si="3"/>
        <v/>
      </c>
      <c r="BD158" s="149" t="str">
        <f>IF('Cable Info'!T18="","",CONCATENATE('Cable Info'!T18," - ",'Cable Info'!U18))</f>
        <v/>
      </c>
      <c r="BG158" s="149" t="str">
        <f t="shared" si="4"/>
        <v/>
      </c>
      <c r="BI158" s="149" t="str">
        <f>IF('Cable Info'!V18="","",CONCATENATE('Cable Info'!V18," - ",'Cable Info'!W18))</f>
        <v/>
      </c>
      <c r="BL158" s="149" t="str">
        <f t="shared" si="5"/>
        <v/>
      </c>
      <c r="CL158" s="309"/>
    </row>
    <row r="159" spans="1:90" x14ac:dyDescent="0.2">
      <c r="A159" s="222"/>
      <c r="B159" s="165"/>
      <c r="C159" s="142" t="str">
        <f>IFERROR(IF(B159="","",IF((COUNTIF('Cable Info'!$B$11:$C$50,B159)=0),VLOOKUP(B159,'Cable Info (2)'!$B$11:$C$50,2,FALSE),(VLOOKUP(B159,'Cable Info'!$B$11:$C$50,2,FALSE)))),"NO SUCH EXIT")</f>
        <v/>
      </c>
      <c r="D159" s="285"/>
      <c r="E159" s="312"/>
      <c r="F159" s="132" t="s">
        <v>59</v>
      </c>
      <c r="G159" s="315"/>
      <c r="H159" s="142" t="str">
        <f>IF(G159="","",((E159-G159)-1)*(-1))</f>
        <v/>
      </c>
      <c r="I159" s="317"/>
      <c r="J159" s="132" t="s">
        <v>59</v>
      </c>
      <c r="K159" s="321"/>
      <c r="L159" s="289"/>
      <c r="M159" s="142" t="str">
        <f>IFERROR(IF(P159="","",IF((COUNTIF('Cable Info'!$B$11:$C$50,P159)=0),VLOOKUP(P159,'Cable Info (2)'!$B$11:$C$50,2,FALSE),(VLOOKUP(P159,'Cable Info'!$B$11:$C$50,2,FALSE)))),"NO SUCH EXIT")</f>
        <v/>
      </c>
      <c r="N159" s="293"/>
      <c r="O159" s="234"/>
      <c r="P159" s="161"/>
      <c r="Q159" s="224"/>
      <c r="R159" s="162"/>
      <c r="S159" s="162"/>
      <c r="T159" s="163"/>
      <c r="U159" s="163"/>
      <c r="V159" s="164"/>
      <c r="W159" s="164"/>
      <c r="X159" s="229" t="str">
        <f t="shared" si="6"/>
        <v/>
      </c>
      <c r="Y159" s="147" t="str">
        <f t="shared" si="7"/>
        <v/>
      </c>
      <c r="Z159" s="148" t="str">
        <f t="shared" si="8"/>
        <v/>
      </c>
      <c r="AA159" s="148" t="str">
        <f t="shared" si="9"/>
        <v/>
      </c>
      <c r="AB159" s="148" t="str">
        <f t="shared" si="10"/>
        <v/>
      </c>
      <c r="AJ159" s="149" t="e">
        <f>IF('Cable Info'!L19="","",CONCATENATE('Cable Info'!L19," - ",'Cable Info'!M19))</f>
        <v>#N/A</v>
      </c>
      <c r="AM159" s="149" t="e">
        <f t="shared" si="0"/>
        <v>#N/A</v>
      </c>
      <c r="AO159" s="149" t="str">
        <f>IF('Cable Info'!N19="","",CONCATENATE('Cable Info'!N19," - ",'Cable Info'!O19))</f>
        <v/>
      </c>
      <c r="AR159" s="149" t="str">
        <f t="shared" si="1"/>
        <v/>
      </c>
      <c r="AT159" s="149" t="str">
        <f>IF('Cable Info'!P19="","",CONCATENATE('Cable Info'!P19," - ",'Cable Info'!Q19))</f>
        <v/>
      </c>
      <c r="AW159" s="149" t="str">
        <f t="shared" si="2"/>
        <v/>
      </c>
      <c r="AY159" s="149" t="str">
        <f>IF('Cable Info'!R19="","",CONCATENATE('Cable Info'!R19," - ",'Cable Info'!S19))</f>
        <v/>
      </c>
      <c r="BB159" s="149" t="str">
        <f t="shared" si="3"/>
        <v/>
      </c>
      <c r="BD159" s="149" t="str">
        <f>IF('Cable Info'!T19="","",CONCATENATE('Cable Info'!T19," - ",'Cable Info'!U19))</f>
        <v/>
      </c>
      <c r="BG159" s="149" t="str">
        <f t="shared" si="4"/>
        <v/>
      </c>
      <c r="BI159" s="149" t="str">
        <f>IF('Cable Info'!V19="","",CONCATENATE('Cable Info'!V19," - ",'Cable Info'!W19))</f>
        <v/>
      </c>
      <c r="BL159" s="149" t="str">
        <f t="shared" si="5"/>
        <v/>
      </c>
      <c r="CL159" s="309"/>
    </row>
    <row r="160" spans="1:90" x14ac:dyDescent="0.2">
      <c r="A160" s="222"/>
      <c r="B160" s="165"/>
      <c r="C160" s="142" t="str">
        <f>IFERROR(IF(B160="","",IF((COUNTIF('Cable Info'!$B$11:$C$50,B160)=0),VLOOKUP(B160,'Cable Info (2)'!$B$11:$C$50,2,FALSE),(VLOOKUP(B160,'Cable Info'!$B$11:$C$50,2,FALSE)))),"NO SUCH EXIT")</f>
        <v/>
      </c>
      <c r="D160" s="285"/>
      <c r="E160" s="311"/>
      <c r="F160" s="132" t="s">
        <v>59</v>
      </c>
      <c r="G160" s="314"/>
      <c r="H160" s="142" t="str">
        <f t="shared" si="11"/>
        <v/>
      </c>
      <c r="I160" s="318"/>
      <c r="J160" s="132" t="s">
        <v>59</v>
      </c>
      <c r="K160" s="320"/>
      <c r="L160" s="289"/>
      <c r="M160" s="142" t="str">
        <f>IFERROR(IF(P160="","",IF((COUNTIF('Cable Info'!$B$11:$C$50,P160)=0),VLOOKUP(P160,'Cable Info (2)'!$B$11:$C$50,2,FALSE),(VLOOKUP(P160,'Cable Info'!$B$11:$C$50,2,FALSE)))),"NO SUCH EXIT")</f>
        <v/>
      </c>
      <c r="N160" s="293"/>
      <c r="O160" s="234"/>
      <c r="P160" s="161"/>
      <c r="Q160" s="224"/>
      <c r="R160" s="162"/>
      <c r="S160" s="162"/>
      <c r="T160" s="163"/>
      <c r="U160" s="163"/>
      <c r="V160" s="164"/>
      <c r="W160" s="164"/>
      <c r="X160" s="229" t="str">
        <f t="shared" si="6"/>
        <v/>
      </c>
      <c r="Y160" s="147" t="str">
        <f t="shared" si="7"/>
        <v/>
      </c>
      <c r="Z160" s="148" t="str">
        <f t="shared" si="8"/>
        <v/>
      </c>
      <c r="AA160" s="148" t="str">
        <f t="shared" si="9"/>
        <v/>
      </c>
      <c r="AB160" s="148" t="str">
        <f t="shared" si="10"/>
        <v/>
      </c>
      <c r="AJ160" s="149" t="e">
        <f>IF('Cable Info'!L20="","",CONCATENATE('Cable Info'!L20," - ",'Cable Info'!M20))</f>
        <v>#N/A</v>
      </c>
      <c r="AM160" s="149" t="e">
        <f t="shared" si="0"/>
        <v>#N/A</v>
      </c>
      <c r="AO160" s="149" t="str">
        <f>IF('Cable Info'!N20="","",CONCATENATE('Cable Info'!N20," - ",'Cable Info'!O20))</f>
        <v/>
      </c>
      <c r="AR160" s="149" t="str">
        <f t="shared" si="1"/>
        <v/>
      </c>
      <c r="AT160" s="149" t="str">
        <f>IF('Cable Info'!P20="","",CONCATENATE('Cable Info'!P20," - ",'Cable Info'!Q20))</f>
        <v/>
      </c>
      <c r="AW160" s="149" t="str">
        <f t="shared" si="2"/>
        <v/>
      </c>
      <c r="AY160" s="149" t="str">
        <f>IF('Cable Info'!R20="","",CONCATENATE('Cable Info'!R20," - ",'Cable Info'!S20))</f>
        <v/>
      </c>
      <c r="BB160" s="149" t="str">
        <f t="shared" si="3"/>
        <v/>
      </c>
      <c r="BD160" s="149" t="str">
        <f>IF('Cable Info'!T20="","",CONCATENATE('Cable Info'!T20," - ",'Cable Info'!U20))</f>
        <v/>
      </c>
      <c r="BG160" s="149" t="str">
        <f t="shared" si="4"/>
        <v/>
      </c>
      <c r="BI160" s="149" t="str">
        <f>IF('Cable Info'!V20="","",CONCATENATE('Cable Info'!V20," - ",'Cable Info'!W20))</f>
        <v/>
      </c>
      <c r="BL160" s="149" t="str">
        <f t="shared" si="5"/>
        <v/>
      </c>
      <c r="CL160" s="309"/>
    </row>
    <row r="161" spans="1:90" x14ac:dyDescent="0.2">
      <c r="A161" s="222"/>
      <c r="B161" s="165"/>
      <c r="C161" s="142" t="str">
        <f>IFERROR(IF(B161="","",IF((COUNTIF('Cable Info'!$B$11:$C$50,B161)=0),VLOOKUP(B161,'Cable Info (2)'!$B$11:$C$50,2,FALSE),(VLOOKUP(B161,'Cable Info'!$B$11:$C$50,2,FALSE)))),"NO SUCH EXIT")</f>
        <v/>
      </c>
      <c r="D161" s="285"/>
      <c r="E161" s="312"/>
      <c r="F161" s="132" t="s">
        <v>59</v>
      </c>
      <c r="G161" s="315"/>
      <c r="H161" s="142" t="str">
        <f t="shared" si="11"/>
        <v/>
      </c>
      <c r="I161" s="317"/>
      <c r="J161" s="132" t="s">
        <v>59</v>
      </c>
      <c r="K161" s="321"/>
      <c r="L161" s="289"/>
      <c r="M161" s="142" t="str">
        <f>IFERROR(IF(P161="","",IF((COUNTIF('Cable Info'!$B$11:$C$50,P161)=0),VLOOKUP(P161,'Cable Info (2)'!$B$11:$C$50,2,FALSE),(VLOOKUP(P161,'Cable Info'!$B$11:$C$50,2,FALSE)))),"NO SUCH EXIT")</f>
        <v/>
      </c>
      <c r="N161" s="293"/>
      <c r="O161" s="234"/>
      <c r="P161" s="161"/>
      <c r="Q161" s="224"/>
      <c r="R161" s="162"/>
      <c r="S161" s="162"/>
      <c r="T161" s="163"/>
      <c r="U161" s="163"/>
      <c r="V161" s="164"/>
      <c r="W161" s="164"/>
      <c r="X161" s="229" t="str">
        <f t="shared" si="6"/>
        <v/>
      </c>
      <c r="Y161" s="147" t="str">
        <f t="shared" si="7"/>
        <v/>
      </c>
      <c r="Z161" s="148" t="str">
        <f t="shared" si="8"/>
        <v/>
      </c>
      <c r="AA161" s="148" t="str">
        <f t="shared" si="9"/>
        <v/>
      </c>
      <c r="AB161" s="148" t="str">
        <f t="shared" si="10"/>
        <v/>
      </c>
      <c r="AJ161" s="149" t="e">
        <f>IF('Cable Info'!L21="","",CONCATENATE('Cable Info'!L21," - ",'Cable Info'!M21))</f>
        <v>#N/A</v>
      </c>
      <c r="AM161" s="149" t="e">
        <f t="shared" si="0"/>
        <v>#N/A</v>
      </c>
      <c r="AO161" s="149" t="str">
        <f>IF('Cable Info'!N21="","",CONCATENATE('Cable Info'!N21," - ",'Cable Info'!O21))</f>
        <v/>
      </c>
      <c r="AR161" s="149" t="str">
        <f t="shared" si="1"/>
        <v/>
      </c>
      <c r="AT161" s="149" t="str">
        <f>IF('Cable Info'!P21="","",CONCATENATE('Cable Info'!P21," - ",'Cable Info'!Q21))</f>
        <v/>
      </c>
      <c r="AW161" s="149" t="str">
        <f t="shared" si="2"/>
        <v/>
      </c>
      <c r="AY161" s="149" t="str">
        <f>IF('Cable Info'!R21="","",CONCATENATE('Cable Info'!R21," - ",'Cable Info'!S21))</f>
        <v/>
      </c>
      <c r="BB161" s="149" t="str">
        <f t="shared" si="3"/>
        <v/>
      </c>
      <c r="BD161" s="149" t="str">
        <f>IF('Cable Info'!T21="","",CONCATENATE('Cable Info'!T21," - ",'Cable Info'!U21))</f>
        <v/>
      </c>
      <c r="BG161" s="149" t="str">
        <f t="shared" si="4"/>
        <v/>
      </c>
      <c r="BI161" s="149" t="str">
        <f>IF('Cable Info'!V21="","",CONCATENATE('Cable Info'!V21," - ",'Cable Info'!W21))</f>
        <v/>
      </c>
      <c r="BL161" s="149" t="str">
        <f t="shared" si="5"/>
        <v/>
      </c>
      <c r="CL161" s="309"/>
    </row>
    <row r="162" spans="1:90" x14ac:dyDescent="0.2">
      <c r="A162" s="222"/>
      <c r="B162" s="165"/>
      <c r="C162" s="142" t="str">
        <f>IFERROR(IF(B162="","",IF((COUNTIF('Cable Info'!$B$11:$C$50,B162)=0),VLOOKUP(B162,'Cable Info (2)'!$B$11:$C$50,2,FALSE),(VLOOKUP(B162,'Cable Info'!$B$11:$C$50,2,FALSE)))),"NO SUCH EXIT")</f>
        <v/>
      </c>
      <c r="D162" s="285"/>
      <c r="E162" s="312"/>
      <c r="F162" s="132" t="s">
        <v>59</v>
      </c>
      <c r="G162" s="315"/>
      <c r="H162" s="142" t="str">
        <f t="shared" si="11"/>
        <v/>
      </c>
      <c r="I162" s="317"/>
      <c r="J162" s="132" t="s">
        <v>59</v>
      </c>
      <c r="K162" s="321"/>
      <c r="L162" s="289"/>
      <c r="M162" s="142" t="str">
        <f>IFERROR(IF(P162="","",IF((COUNTIF('Cable Info'!$B$11:$C$50,P162)=0),VLOOKUP(P162,'Cable Info (2)'!$B$11:$C$50,2,FALSE),(VLOOKUP(P162,'Cable Info'!$B$11:$C$50,2,FALSE)))),"NO SUCH EXIT")</f>
        <v/>
      </c>
      <c r="N162" s="293"/>
      <c r="O162" s="234"/>
      <c r="P162" s="161"/>
      <c r="Q162" s="224"/>
      <c r="R162" s="162"/>
      <c r="S162" s="162"/>
      <c r="T162" s="163"/>
      <c r="U162" s="163"/>
      <c r="V162" s="164"/>
      <c r="W162" s="164"/>
      <c r="X162" s="229" t="str">
        <f t="shared" si="6"/>
        <v/>
      </c>
      <c r="Y162" s="147" t="str">
        <f t="shared" si="7"/>
        <v/>
      </c>
      <c r="Z162" s="148" t="str">
        <f t="shared" si="8"/>
        <v/>
      </c>
      <c r="AA162" s="148" t="str">
        <f t="shared" si="9"/>
        <v/>
      </c>
      <c r="AB162" s="148" t="str">
        <f t="shared" si="10"/>
        <v/>
      </c>
      <c r="AJ162" s="149" t="e">
        <f>IF('Cable Info'!L22="","",CONCATENATE('Cable Info'!L22," - ",'Cable Info'!M22))</f>
        <v>#N/A</v>
      </c>
      <c r="AM162" s="149" t="e">
        <f t="shared" si="0"/>
        <v>#N/A</v>
      </c>
      <c r="AO162" s="149" t="str">
        <f>IF('Cable Info'!N22="","",CONCATENATE('Cable Info'!N22," - ",'Cable Info'!O22))</f>
        <v/>
      </c>
      <c r="AR162" s="149" t="str">
        <f t="shared" si="1"/>
        <v/>
      </c>
      <c r="AT162" s="149" t="str">
        <f>IF('Cable Info'!P22="","",CONCATENATE('Cable Info'!P22," - ",'Cable Info'!Q22))</f>
        <v/>
      </c>
      <c r="AW162" s="149" t="str">
        <f t="shared" si="2"/>
        <v/>
      </c>
      <c r="AY162" s="149" t="str">
        <f>IF('Cable Info'!R22="","",CONCATENATE('Cable Info'!R22," - ",'Cable Info'!S22))</f>
        <v/>
      </c>
      <c r="BB162" s="149" t="str">
        <f t="shared" si="3"/>
        <v/>
      </c>
      <c r="BD162" s="149" t="str">
        <f>IF('Cable Info'!T22="","",CONCATENATE('Cable Info'!T22," - ",'Cable Info'!U22))</f>
        <v/>
      </c>
      <c r="BG162" s="149" t="str">
        <f t="shared" si="4"/>
        <v/>
      </c>
      <c r="BI162" s="149" t="str">
        <f>IF('Cable Info'!V22="","",CONCATENATE('Cable Info'!V22," - ",'Cable Info'!W22))</f>
        <v/>
      </c>
      <c r="BL162" s="149" t="str">
        <f t="shared" si="5"/>
        <v/>
      </c>
      <c r="CL162" s="309"/>
    </row>
    <row r="163" spans="1:90" x14ac:dyDescent="0.2">
      <c r="A163" s="222"/>
      <c r="B163" s="165"/>
      <c r="C163" s="142" t="str">
        <f>IFERROR(IF(B163="","",IF((COUNTIF('Cable Info'!$B$11:$C$50,B163)=0),VLOOKUP(B163,'Cable Info (2)'!$B$11:$C$50,2,FALSE),(VLOOKUP(B163,'Cable Info'!$B$11:$C$50,2,FALSE)))),"NO SUCH EXIT")</f>
        <v/>
      </c>
      <c r="D163" s="285"/>
      <c r="E163" s="312"/>
      <c r="F163" s="132" t="s">
        <v>59</v>
      </c>
      <c r="G163" s="315"/>
      <c r="H163" s="142" t="str">
        <f t="shared" si="11"/>
        <v/>
      </c>
      <c r="I163" s="317"/>
      <c r="J163" s="132" t="s">
        <v>59</v>
      </c>
      <c r="K163" s="321"/>
      <c r="L163" s="289"/>
      <c r="M163" s="142" t="str">
        <f>IFERROR(IF(P163="","",IF((COUNTIF('Cable Info'!$B$11:$C$50,P163)=0),VLOOKUP(P163,'Cable Info (2)'!$B$11:$C$50,2,FALSE),(VLOOKUP(P163,'Cable Info'!$B$11:$C$50,2,FALSE)))),"NO SUCH EXIT")</f>
        <v/>
      </c>
      <c r="N163" s="293"/>
      <c r="O163" s="234"/>
      <c r="P163" s="157"/>
      <c r="Q163" s="224"/>
      <c r="R163" s="162"/>
      <c r="S163" s="162"/>
      <c r="T163" s="163"/>
      <c r="U163" s="163"/>
      <c r="V163" s="164"/>
      <c r="W163" s="164"/>
      <c r="X163" s="229" t="str">
        <f t="shared" si="6"/>
        <v/>
      </c>
      <c r="Y163" s="147" t="str">
        <f t="shared" si="7"/>
        <v/>
      </c>
      <c r="Z163" s="148" t="str">
        <f t="shared" si="8"/>
        <v/>
      </c>
      <c r="AA163" s="148" t="str">
        <f t="shared" si="9"/>
        <v/>
      </c>
      <c r="AB163" s="148" t="str">
        <f t="shared" si="10"/>
        <v/>
      </c>
      <c r="AJ163" s="149" t="e">
        <f>IF('Cable Info'!L23="","",CONCATENATE('Cable Info'!L23," - ",'Cable Info'!M23))</f>
        <v>#N/A</v>
      </c>
      <c r="AM163" s="149" t="e">
        <f t="shared" si="0"/>
        <v>#N/A</v>
      </c>
      <c r="AO163" s="149" t="str">
        <f>IF('Cable Info'!N23="","",CONCATENATE('Cable Info'!N23," - ",'Cable Info'!O23))</f>
        <v/>
      </c>
      <c r="AR163" s="149" t="str">
        <f t="shared" si="1"/>
        <v/>
      </c>
      <c r="AT163" s="149" t="str">
        <f>IF('Cable Info'!P23="","",CONCATENATE('Cable Info'!P23," - ",'Cable Info'!Q23))</f>
        <v/>
      </c>
      <c r="AW163" s="149" t="str">
        <f t="shared" si="2"/>
        <v/>
      </c>
      <c r="AY163" s="149" t="str">
        <f>IF('Cable Info'!R23="","",CONCATENATE('Cable Info'!R23," - ",'Cable Info'!S23))</f>
        <v/>
      </c>
      <c r="BB163" s="149" t="str">
        <f t="shared" si="3"/>
        <v/>
      </c>
      <c r="BD163" s="149" t="str">
        <f>IF('Cable Info'!T23="","",CONCATENATE('Cable Info'!T23," - ",'Cable Info'!U23))</f>
        <v/>
      </c>
      <c r="BG163" s="149" t="str">
        <f t="shared" si="4"/>
        <v/>
      </c>
      <c r="BI163" s="149" t="str">
        <f>IF('Cable Info'!V23="","",CONCATENATE('Cable Info'!V23," - ",'Cable Info'!W23))</f>
        <v/>
      </c>
      <c r="BL163" s="149" t="str">
        <f t="shared" si="5"/>
        <v/>
      </c>
      <c r="CL163" s="309"/>
    </row>
    <row r="164" spans="1:90" x14ac:dyDescent="0.2">
      <c r="A164" s="222"/>
      <c r="B164" s="165"/>
      <c r="C164" s="142" t="str">
        <f>IFERROR(IF(B164="","",IF((COUNTIF('Cable Info'!$B$11:$C$50,B164)=0),VLOOKUP(B164,'Cable Info (2)'!$B$11:$C$50,2,FALSE),(VLOOKUP(B164,'Cable Info'!$B$11:$C$50,2,FALSE)))),"NO SUCH EXIT")</f>
        <v/>
      </c>
      <c r="D164" s="285"/>
      <c r="E164" s="312"/>
      <c r="F164" s="132" t="s">
        <v>59</v>
      </c>
      <c r="G164" s="315"/>
      <c r="H164" s="142" t="str">
        <f t="shared" si="11"/>
        <v/>
      </c>
      <c r="I164" s="317"/>
      <c r="J164" s="132" t="s">
        <v>59</v>
      </c>
      <c r="K164" s="321"/>
      <c r="L164" s="289"/>
      <c r="M164" s="142" t="str">
        <f>IFERROR(IF(P164="","",IF((COUNTIF('Cable Info'!$B$11:$C$50,P164)=0),VLOOKUP(P164,'Cable Info (2)'!$B$11:$C$50,2,FALSE),(VLOOKUP(P164,'Cable Info'!$B$11:$C$50,2,FALSE)))),"NO SUCH EXIT")</f>
        <v/>
      </c>
      <c r="N164" s="293"/>
      <c r="O164" s="234"/>
      <c r="P164" s="161"/>
      <c r="Q164" s="224"/>
      <c r="R164" s="162"/>
      <c r="S164" s="162"/>
      <c r="T164" s="163"/>
      <c r="U164" s="163"/>
      <c r="V164" s="164"/>
      <c r="W164" s="164"/>
      <c r="X164" s="229" t="str">
        <f t="shared" si="6"/>
        <v/>
      </c>
      <c r="Y164" s="147" t="str">
        <f t="shared" si="7"/>
        <v/>
      </c>
      <c r="Z164" s="148" t="str">
        <f t="shared" si="8"/>
        <v/>
      </c>
      <c r="AA164" s="148" t="str">
        <f t="shared" si="9"/>
        <v/>
      </c>
      <c r="AB164" s="148" t="str">
        <f t="shared" si="10"/>
        <v/>
      </c>
      <c r="AJ164" s="149" t="e">
        <f>IF('Cable Info'!L24="","",CONCATENATE('Cable Info'!L24," - ",'Cable Info'!M24))</f>
        <v>#N/A</v>
      </c>
      <c r="AM164" s="149" t="e">
        <f t="shared" si="0"/>
        <v>#N/A</v>
      </c>
      <c r="AO164" s="149" t="str">
        <f>IF('Cable Info'!N24="","",CONCATENATE('Cable Info'!N24," - ",'Cable Info'!O24))</f>
        <v/>
      </c>
      <c r="AR164" s="149" t="str">
        <f t="shared" si="1"/>
        <v/>
      </c>
      <c r="AT164" s="149" t="str">
        <f>IF('Cable Info'!P24="","",CONCATENATE('Cable Info'!P24," - ",'Cable Info'!Q24))</f>
        <v/>
      </c>
      <c r="AW164" s="149" t="str">
        <f t="shared" si="2"/>
        <v/>
      </c>
      <c r="AY164" s="149" t="str">
        <f>IF('Cable Info'!R24="","",CONCATENATE('Cable Info'!R24," - ",'Cable Info'!S24))</f>
        <v/>
      </c>
      <c r="BB164" s="149" t="str">
        <f t="shared" si="3"/>
        <v/>
      </c>
      <c r="BD164" s="149" t="str">
        <f>IF('Cable Info'!T24="","",CONCATENATE('Cable Info'!T24," - ",'Cable Info'!U24))</f>
        <v/>
      </c>
      <c r="BG164" s="149" t="str">
        <f t="shared" si="4"/>
        <v/>
      </c>
      <c r="BI164" s="149" t="str">
        <f>IF('Cable Info'!V24="","",CONCATENATE('Cable Info'!V24," - ",'Cable Info'!W24))</f>
        <v/>
      </c>
      <c r="BL164" s="149" t="str">
        <f t="shared" si="5"/>
        <v/>
      </c>
      <c r="CL164" s="309"/>
    </row>
    <row r="165" spans="1:90" x14ac:dyDescent="0.2">
      <c r="A165" s="222"/>
      <c r="B165" s="165"/>
      <c r="C165" s="142" t="str">
        <f>IFERROR(IF(B165="","",IF((COUNTIF('Cable Info'!$B$11:$C$50,B165)=0),VLOOKUP(B165,'Cable Info (2)'!$B$11:$C$50,2,FALSE),(VLOOKUP(B165,'Cable Info'!$B$11:$C$50,2,FALSE)))),"NO SUCH EXIT")</f>
        <v/>
      </c>
      <c r="D165" s="285"/>
      <c r="E165" s="312"/>
      <c r="F165" s="132" t="s">
        <v>59</v>
      </c>
      <c r="G165" s="315"/>
      <c r="H165" s="142" t="str">
        <f t="shared" si="11"/>
        <v/>
      </c>
      <c r="I165" s="317"/>
      <c r="J165" s="132" t="s">
        <v>59</v>
      </c>
      <c r="K165" s="321"/>
      <c r="L165" s="289"/>
      <c r="M165" s="142" t="str">
        <f>IFERROR(IF(P165="","",IF((COUNTIF('Cable Info'!$B$11:$C$50,P165)=0),VLOOKUP(P165,'Cable Info (2)'!$B$11:$C$50,2,FALSE),(VLOOKUP(P165,'Cable Info'!$B$11:$C$50,2,FALSE)))),"NO SUCH EXIT")</f>
        <v/>
      </c>
      <c r="N165" s="293"/>
      <c r="O165" s="234"/>
      <c r="P165" s="161"/>
      <c r="Q165" s="224"/>
      <c r="R165" s="162"/>
      <c r="S165" s="162"/>
      <c r="T165" s="163"/>
      <c r="U165" s="163"/>
      <c r="V165" s="164"/>
      <c r="W165" s="164"/>
      <c r="X165" s="229" t="str">
        <f t="shared" si="6"/>
        <v/>
      </c>
      <c r="Y165" s="147" t="str">
        <f t="shared" si="7"/>
        <v/>
      </c>
      <c r="Z165" s="148" t="str">
        <f t="shared" si="8"/>
        <v/>
      </c>
      <c r="AA165" s="148" t="str">
        <f t="shared" si="9"/>
        <v/>
      </c>
      <c r="AB165" s="148" t="str">
        <f t="shared" si="10"/>
        <v/>
      </c>
      <c r="AJ165" s="149" t="e">
        <f>IF('Cable Info'!L25="","",CONCATENATE('Cable Info'!L25," - ",'Cable Info'!M25))</f>
        <v>#N/A</v>
      </c>
      <c r="AM165" s="149" t="e">
        <f t="shared" si="0"/>
        <v>#N/A</v>
      </c>
      <c r="AO165" s="149" t="str">
        <f>IF('Cable Info'!N25="","",CONCATENATE('Cable Info'!N25," - ",'Cable Info'!O25))</f>
        <v/>
      </c>
      <c r="AR165" s="149" t="str">
        <f t="shared" si="1"/>
        <v/>
      </c>
      <c r="AT165" s="149" t="str">
        <f>IF('Cable Info'!P25="","",CONCATENATE('Cable Info'!P25," - ",'Cable Info'!Q25))</f>
        <v/>
      </c>
      <c r="AW165" s="149" t="str">
        <f t="shared" si="2"/>
        <v/>
      </c>
      <c r="AY165" s="149" t="str">
        <f>IF('Cable Info'!R25="","",CONCATENATE('Cable Info'!R25," - ",'Cable Info'!S25))</f>
        <v/>
      </c>
      <c r="BB165" s="149" t="str">
        <f t="shared" si="3"/>
        <v/>
      </c>
      <c r="BD165" s="149" t="str">
        <f>IF('Cable Info'!T25="","",CONCATENATE('Cable Info'!T25," - ",'Cable Info'!U25))</f>
        <v/>
      </c>
      <c r="BG165" s="149" t="str">
        <f t="shared" si="4"/>
        <v/>
      </c>
      <c r="BI165" s="149" t="str">
        <f>IF('Cable Info'!V25="","",CONCATENATE('Cable Info'!V25," - ",'Cable Info'!W25))</f>
        <v/>
      </c>
      <c r="BL165" s="149" t="str">
        <f t="shared" si="5"/>
        <v/>
      </c>
      <c r="CL165" s="309"/>
    </row>
    <row r="166" spans="1:90" x14ac:dyDescent="0.2">
      <c r="A166" s="222"/>
      <c r="B166" s="165"/>
      <c r="C166" s="142" t="str">
        <f>IFERROR(IF(B166="","",IF((COUNTIF('Cable Info'!$B$11:$C$50,B166)=0),VLOOKUP(B166,'Cable Info (2)'!$B$11:$C$50,2,FALSE),(VLOOKUP(B166,'Cable Info'!$B$11:$C$50,2,FALSE)))),"NO SUCH EXIT")</f>
        <v/>
      </c>
      <c r="D166" s="285"/>
      <c r="E166" s="312"/>
      <c r="F166" s="132" t="s">
        <v>59</v>
      </c>
      <c r="G166" s="315"/>
      <c r="H166" s="142" t="str">
        <f t="shared" si="11"/>
        <v/>
      </c>
      <c r="I166" s="317"/>
      <c r="J166" s="132" t="s">
        <v>59</v>
      </c>
      <c r="K166" s="321"/>
      <c r="L166" s="289"/>
      <c r="M166" s="142" t="str">
        <f>IFERROR(IF(P166="","",IF((COUNTIF('Cable Info'!$B$11:$C$50,P166)=0),VLOOKUP(P166,'Cable Info (2)'!$B$11:$C$50,2,FALSE),(VLOOKUP(P166,'Cable Info'!$B$11:$C$50,2,FALSE)))),"NO SUCH EXIT")</f>
        <v/>
      </c>
      <c r="N166" s="293"/>
      <c r="O166" s="234"/>
      <c r="P166" s="161"/>
      <c r="Q166" s="224"/>
      <c r="R166" s="162"/>
      <c r="S166" s="162"/>
      <c r="T166" s="163"/>
      <c r="U166" s="163"/>
      <c r="V166" s="164"/>
      <c r="W166" s="164"/>
      <c r="X166" s="229" t="str">
        <f t="shared" si="6"/>
        <v/>
      </c>
      <c r="Y166" s="147" t="str">
        <f t="shared" si="7"/>
        <v/>
      </c>
      <c r="Z166" s="148" t="str">
        <f t="shared" si="8"/>
        <v/>
      </c>
      <c r="AA166" s="148" t="str">
        <f t="shared" si="9"/>
        <v/>
      </c>
      <c r="AB166" s="148" t="str">
        <f t="shared" si="10"/>
        <v/>
      </c>
      <c r="AJ166" s="149" t="str">
        <f>IF('Cable Info'!L26="","",CONCATENATE('Cable Info'!L26," - ",'Cable Info'!M26))</f>
        <v/>
      </c>
      <c r="AM166" s="149" t="str">
        <f t="shared" si="0"/>
        <v/>
      </c>
      <c r="AO166" s="149" t="str">
        <f>IF('Cable Info'!N26="","",CONCATENATE('Cable Info'!N26," - ",'Cable Info'!O26))</f>
        <v/>
      </c>
      <c r="AR166" s="149" t="str">
        <f t="shared" si="1"/>
        <v/>
      </c>
      <c r="AT166" s="149" t="str">
        <f>IF('Cable Info'!P26="","",CONCATENATE('Cable Info'!P26," - ",'Cable Info'!Q26))</f>
        <v/>
      </c>
      <c r="AW166" s="149" t="str">
        <f t="shared" si="2"/>
        <v/>
      </c>
      <c r="AY166" s="149" t="str">
        <f>IF('Cable Info'!R26="","",CONCATENATE('Cable Info'!R26," - ",'Cable Info'!S26))</f>
        <v/>
      </c>
      <c r="BB166" s="149" t="str">
        <f t="shared" si="3"/>
        <v/>
      </c>
      <c r="BD166" s="149" t="str">
        <f>IF('Cable Info'!T26="","",CONCATENATE('Cable Info'!T26," - ",'Cable Info'!U26))</f>
        <v/>
      </c>
      <c r="BG166" s="149" t="str">
        <f t="shared" si="4"/>
        <v/>
      </c>
      <c r="BI166" s="149" t="str">
        <f>IF('Cable Info'!V26="","",CONCATENATE('Cable Info'!V26," - ",'Cable Info'!W26))</f>
        <v/>
      </c>
      <c r="BL166" s="149" t="str">
        <f t="shared" si="5"/>
        <v/>
      </c>
      <c r="CL166" s="309"/>
    </row>
    <row r="167" spans="1:90" x14ac:dyDescent="0.2">
      <c r="A167" s="222"/>
      <c r="B167" s="165"/>
      <c r="C167" s="142" t="str">
        <f>IFERROR(IF(B167="","",IF((COUNTIF('Cable Info'!$B$11:$C$50,B167)=0),VLOOKUP(B167,'Cable Info (2)'!$B$11:$C$50,2,FALSE),(VLOOKUP(B167,'Cable Info'!$B$11:$C$50,2,FALSE)))),"NO SUCH EXIT")</f>
        <v/>
      </c>
      <c r="D167" s="285"/>
      <c r="E167" s="312"/>
      <c r="F167" s="132" t="s">
        <v>59</v>
      </c>
      <c r="G167" s="315"/>
      <c r="H167" s="142" t="str">
        <f t="shared" si="11"/>
        <v/>
      </c>
      <c r="I167" s="317"/>
      <c r="J167" s="132" t="s">
        <v>59</v>
      </c>
      <c r="K167" s="321"/>
      <c r="L167" s="289"/>
      <c r="M167" s="142" t="str">
        <f>IFERROR(IF(P167="","",IF((COUNTIF('Cable Info'!$B$11:$C$50,P167)=0),VLOOKUP(P167,'Cable Info (2)'!$B$11:$C$50,2,FALSE),(VLOOKUP(P167,'Cable Info'!$B$11:$C$50,2,FALSE)))),"NO SUCH EXIT")</f>
        <v/>
      </c>
      <c r="N167" s="293"/>
      <c r="O167" s="234"/>
      <c r="P167" s="161"/>
      <c r="Q167" s="224"/>
      <c r="R167" s="162"/>
      <c r="S167" s="162"/>
      <c r="T167" s="163"/>
      <c r="U167" s="163"/>
      <c r="V167" s="164"/>
      <c r="W167" s="164"/>
      <c r="X167" s="229" t="str">
        <f t="shared" si="6"/>
        <v/>
      </c>
      <c r="Y167" s="147" t="str">
        <f t="shared" si="7"/>
        <v/>
      </c>
      <c r="Z167" s="148" t="str">
        <f t="shared" si="8"/>
        <v/>
      </c>
      <c r="AA167" s="148" t="str">
        <f t="shared" si="9"/>
        <v/>
      </c>
      <c r="AB167" s="148" t="str">
        <f t="shared" si="10"/>
        <v/>
      </c>
      <c r="AJ167" s="149" t="str">
        <f>IF('Cable Info'!L27="","",CONCATENATE('Cable Info'!L27," - ",'Cable Info'!M27))</f>
        <v/>
      </c>
      <c r="AM167" s="149" t="str">
        <f t="shared" si="0"/>
        <v/>
      </c>
      <c r="AO167" s="149" t="str">
        <f>IF('Cable Info'!N27="","",CONCATENATE('Cable Info'!N27," - ",'Cable Info'!O27))</f>
        <v/>
      </c>
      <c r="AR167" s="149" t="str">
        <f t="shared" si="1"/>
        <v/>
      </c>
      <c r="AT167" s="149" t="str">
        <f>IF('Cable Info'!P27="","",CONCATENATE('Cable Info'!P27," - ",'Cable Info'!Q27))</f>
        <v/>
      </c>
      <c r="AW167" s="149" t="str">
        <f t="shared" si="2"/>
        <v/>
      </c>
      <c r="AY167" s="149" t="str">
        <f>IF('Cable Info'!R27="","",CONCATENATE('Cable Info'!R27," - ",'Cable Info'!S27))</f>
        <v/>
      </c>
      <c r="BB167" s="149" t="str">
        <f t="shared" si="3"/>
        <v/>
      </c>
      <c r="BD167" s="149" t="str">
        <f>IF('Cable Info'!T27="","",CONCATENATE('Cable Info'!T27," - ",'Cable Info'!U27))</f>
        <v/>
      </c>
      <c r="BG167" s="149" t="str">
        <f t="shared" si="4"/>
        <v/>
      </c>
      <c r="BI167" s="149" t="str">
        <f>IF('Cable Info'!V27="","",CONCATENATE('Cable Info'!V27," - ",'Cable Info'!W27))</f>
        <v/>
      </c>
      <c r="BL167" s="149" t="str">
        <f t="shared" si="5"/>
        <v/>
      </c>
      <c r="CL167" s="309"/>
    </row>
    <row r="168" spans="1:90" x14ac:dyDescent="0.2">
      <c r="A168" s="222"/>
      <c r="B168" s="165"/>
      <c r="C168" s="142" t="str">
        <f>IFERROR(IF(B168="","",IF((COUNTIF('Cable Info'!$B$11:$C$50,B168)=0),VLOOKUP(B168,'Cable Info (2)'!$B$11:$C$50,2,FALSE),(VLOOKUP(B168,'Cable Info'!$B$11:$C$50,2,FALSE)))),"NO SUCH EXIT")</f>
        <v/>
      </c>
      <c r="D168" s="285"/>
      <c r="E168" s="312"/>
      <c r="F168" s="132" t="s">
        <v>59</v>
      </c>
      <c r="G168" s="315"/>
      <c r="H168" s="142" t="str">
        <f t="shared" si="11"/>
        <v/>
      </c>
      <c r="I168" s="317"/>
      <c r="J168" s="132" t="s">
        <v>59</v>
      </c>
      <c r="K168" s="321"/>
      <c r="L168" s="289"/>
      <c r="M168" s="142" t="str">
        <f>IFERROR(IF(P168="","",IF((COUNTIF('Cable Info'!$B$11:$C$50,P168)=0),VLOOKUP(P168,'Cable Info (2)'!$B$11:$C$50,2,FALSE),(VLOOKUP(P168,'Cable Info'!$B$11:$C$50,2,FALSE)))),"NO SUCH EXIT")</f>
        <v/>
      </c>
      <c r="N168" s="293"/>
      <c r="O168" s="234"/>
      <c r="P168" s="161"/>
      <c r="Q168" s="224"/>
      <c r="R168" s="162"/>
      <c r="S168" s="162"/>
      <c r="T168" s="163"/>
      <c r="U168" s="163"/>
      <c r="V168" s="164"/>
      <c r="W168" s="164"/>
      <c r="X168" s="229" t="str">
        <f t="shared" si="6"/>
        <v/>
      </c>
      <c r="Y168" s="147" t="str">
        <f t="shared" si="7"/>
        <v/>
      </c>
      <c r="Z168" s="148" t="str">
        <f t="shared" si="8"/>
        <v/>
      </c>
      <c r="AA168" s="148" t="str">
        <f t="shared" si="9"/>
        <v/>
      </c>
      <c r="AB168" s="148" t="str">
        <f t="shared" si="10"/>
        <v/>
      </c>
      <c r="AJ168" s="149" t="str">
        <f>IF('Cable Info'!L28="","",CONCATENATE('Cable Info'!L28," - ",'Cable Info'!M28))</f>
        <v/>
      </c>
      <c r="AM168" s="149" t="str">
        <f t="shared" si="0"/>
        <v/>
      </c>
      <c r="AO168" s="149" t="str">
        <f>IF('Cable Info'!N28="","",CONCATENATE('Cable Info'!N28," - ",'Cable Info'!O28))</f>
        <v/>
      </c>
      <c r="AR168" s="149" t="str">
        <f t="shared" si="1"/>
        <v/>
      </c>
      <c r="AT168" s="149" t="str">
        <f>IF('Cable Info'!P28="","",CONCATENATE('Cable Info'!P28," - ",'Cable Info'!Q28))</f>
        <v/>
      </c>
      <c r="AW168" s="149" t="str">
        <f t="shared" si="2"/>
        <v/>
      </c>
      <c r="AY168" s="149" t="str">
        <f>IF('Cable Info'!R28="","",CONCATENATE('Cable Info'!R28," - ",'Cable Info'!S28))</f>
        <v/>
      </c>
      <c r="BB168" s="149" t="str">
        <f t="shared" si="3"/>
        <v/>
      </c>
      <c r="BD168" s="149" t="str">
        <f>IF('Cable Info'!T28="","",CONCATENATE('Cable Info'!T28," - ",'Cable Info'!U28))</f>
        <v/>
      </c>
      <c r="BG168" s="149" t="str">
        <f t="shared" si="4"/>
        <v/>
      </c>
      <c r="BI168" s="149" t="str">
        <f>IF('Cable Info'!V28="","",CONCATENATE('Cable Info'!V28," - ",'Cable Info'!W28))</f>
        <v/>
      </c>
      <c r="BL168" s="149" t="str">
        <f t="shared" si="5"/>
        <v/>
      </c>
      <c r="CL168" s="309"/>
    </row>
    <row r="169" spans="1:90" x14ac:dyDescent="0.2">
      <c r="A169" s="222"/>
      <c r="B169" s="165"/>
      <c r="C169" s="142" t="str">
        <f>IFERROR(IF(B169="","",IF((COUNTIF('Cable Info'!$B$11:$C$50,B169)=0),VLOOKUP(B169,'Cable Info (2)'!$B$11:$C$50,2,FALSE),(VLOOKUP(B169,'Cable Info'!$B$11:$C$50,2,FALSE)))),"NO SUCH EXIT")</f>
        <v/>
      </c>
      <c r="D169" s="285"/>
      <c r="E169" s="312"/>
      <c r="F169" s="132" t="s">
        <v>59</v>
      </c>
      <c r="G169" s="315"/>
      <c r="H169" s="142" t="str">
        <f t="shared" si="11"/>
        <v/>
      </c>
      <c r="I169" s="317"/>
      <c r="J169" s="132" t="s">
        <v>59</v>
      </c>
      <c r="K169" s="321"/>
      <c r="L169" s="289"/>
      <c r="M169" s="142" t="str">
        <f>IFERROR(IF(P169="","",IF((COUNTIF('Cable Info'!$B$11:$C$50,P169)=0),VLOOKUP(P169,'Cable Info (2)'!$B$11:$C$50,2,FALSE),(VLOOKUP(P169,'Cable Info'!$B$11:$C$50,2,FALSE)))),"NO SUCH EXIT")</f>
        <v/>
      </c>
      <c r="N169" s="293"/>
      <c r="O169" s="234"/>
      <c r="P169" s="161"/>
      <c r="Q169" s="224"/>
      <c r="R169" s="162"/>
      <c r="S169" s="162"/>
      <c r="T169" s="163"/>
      <c r="U169" s="163"/>
      <c r="V169" s="164"/>
      <c r="W169" s="164"/>
      <c r="X169" s="229" t="str">
        <f t="shared" si="6"/>
        <v/>
      </c>
      <c r="Y169" s="147" t="str">
        <f t="shared" si="7"/>
        <v/>
      </c>
      <c r="Z169" s="148" t="str">
        <f t="shared" si="8"/>
        <v/>
      </c>
      <c r="AA169" s="148" t="str">
        <f t="shared" si="9"/>
        <v/>
      </c>
      <c r="AB169" s="148" t="str">
        <f t="shared" si="10"/>
        <v/>
      </c>
      <c r="AJ169" s="149" t="str">
        <f>IF('Cable Info'!L29="","",CONCATENATE('Cable Info'!L29," - ",'Cable Info'!M29))</f>
        <v/>
      </c>
      <c r="AM169" s="149" t="str">
        <f t="shared" si="0"/>
        <v/>
      </c>
      <c r="AO169" s="149" t="str">
        <f>IF('Cable Info'!N29="","",CONCATENATE('Cable Info'!N29," - ",'Cable Info'!O29))</f>
        <v/>
      </c>
      <c r="AR169" s="149" t="str">
        <f t="shared" si="1"/>
        <v/>
      </c>
      <c r="AT169" s="149" t="str">
        <f>IF('Cable Info'!P29="","",CONCATENATE('Cable Info'!P29," - ",'Cable Info'!Q29))</f>
        <v/>
      </c>
      <c r="AW169" s="149" t="str">
        <f t="shared" si="2"/>
        <v/>
      </c>
      <c r="AY169" s="149" t="str">
        <f>IF('Cable Info'!R29="","",CONCATENATE('Cable Info'!R29," - ",'Cable Info'!S29))</f>
        <v/>
      </c>
      <c r="BB169" s="149" t="str">
        <f t="shared" si="3"/>
        <v/>
      </c>
      <c r="BD169" s="149" t="str">
        <f>IF('Cable Info'!T29="","",CONCATENATE('Cable Info'!T29," - ",'Cable Info'!U29))</f>
        <v/>
      </c>
      <c r="BG169" s="149" t="str">
        <f t="shared" si="4"/>
        <v/>
      </c>
      <c r="BI169" s="149" t="str">
        <f>IF('Cable Info'!V29="","",CONCATENATE('Cable Info'!V29," - ",'Cable Info'!W29))</f>
        <v/>
      </c>
      <c r="BL169" s="149" t="str">
        <f t="shared" si="5"/>
        <v/>
      </c>
      <c r="CL169" s="309"/>
    </row>
    <row r="170" spans="1:90" x14ac:dyDescent="0.2">
      <c r="A170" s="222"/>
      <c r="B170" s="165"/>
      <c r="C170" s="142" t="str">
        <f>IFERROR(IF(B170="","",IF((COUNTIF('Cable Info'!$B$11:$C$50,B170)=0),VLOOKUP(B170,'Cable Info (2)'!$B$11:$C$50,2,FALSE),(VLOOKUP(B170,'Cable Info'!$B$11:$C$50,2,FALSE)))),"NO SUCH EXIT")</f>
        <v/>
      </c>
      <c r="D170" s="285"/>
      <c r="E170" s="312"/>
      <c r="F170" s="132" t="s">
        <v>59</v>
      </c>
      <c r="G170" s="315"/>
      <c r="H170" s="142" t="str">
        <f t="shared" si="11"/>
        <v/>
      </c>
      <c r="I170" s="317"/>
      <c r="J170" s="132" t="s">
        <v>59</v>
      </c>
      <c r="K170" s="321"/>
      <c r="L170" s="289"/>
      <c r="M170" s="142" t="str">
        <f>IFERROR(IF(P170="","",IF((COUNTIF('Cable Info'!$B$11:$C$50,P170)=0),VLOOKUP(P170,'Cable Info (2)'!$B$11:$C$50,2,FALSE),(VLOOKUP(P170,'Cable Info'!$B$11:$C$50,2,FALSE)))),"NO SUCH EXIT")</f>
        <v/>
      </c>
      <c r="N170" s="293"/>
      <c r="O170" s="234"/>
      <c r="P170" s="161"/>
      <c r="Q170" s="224"/>
      <c r="R170" s="162"/>
      <c r="S170" s="162"/>
      <c r="T170" s="163"/>
      <c r="U170" s="163"/>
      <c r="V170" s="164"/>
      <c r="W170" s="164"/>
      <c r="X170" s="229" t="str">
        <f t="shared" si="6"/>
        <v/>
      </c>
      <c r="Y170" s="147" t="str">
        <f t="shared" si="7"/>
        <v/>
      </c>
      <c r="Z170" s="148" t="str">
        <f t="shared" si="8"/>
        <v/>
      </c>
      <c r="AA170" s="148" t="str">
        <f t="shared" si="9"/>
        <v/>
      </c>
      <c r="AB170" s="148" t="str">
        <f t="shared" si="10"/>
        <v/>
      </c>
      <c r="AJ170" s="149" t="str">
        <f>IF('Cable Info'!L30="","",CONCATENATE('Cable Info'!L30," - ",'Cable Info'!M30))</f>
        <v/>
      </c>
      <c r="AM170" s="149" t="str">
        <f t="shared" si="0"/>
        <v/>
      </c>
      <c r="AO170" s="149" t="str">
        <f>IF('Cable Info'!N30="","",CONCATENATE('Cable Info'!N30," - ",'Cable Info'!O30))</f>
        <v/>
      </c>
      <c r="AR170" s="149" t="str">
        <f t="shared" si="1"/>
        <v/>
      </c>
      <c r="AT170" s="149" t="str">
        <f>IF('Cable Info'!P30="","",CONCATENATE('Cable Info'!P30," - ",'Cable Info'!Q30))</f>
        <v/>
      </c>
      <c r="AW170" s="149" t="str">
        <f t="shared" si="2"/>
        <v/>
      </c>
      <c r="AY170" s="149" t="str">
        <f>IF('Cable Info'!R30="","",CONCATENATE('Cable Info'!R30," - ",'Cable Info'!S30))</f>
        <v/>
      </c>
      <c r="BB170" s="149" t="str">
        <f t="shared" si="3"/>
        <v/>
      </c>
      <c r="BD170" s="149" t="str">
        <f>IF('Cable Info'!T30="","",CONCATENATE('Cable Info'!T30," - ",'Cable Info'!U30))</f>
        <v/>
      </c>
      <c r="BG170" s="149" t="str">
        <f t="shared" si="4"/>
        <v/>
      </c>
      <c r="BI170" s="149" t="str">
        <f>IF('Cable Info'!V30="","",CONCATENATE('Cable Info'!V30," - ",'Cable Info'!W30))</f>
        <v/>
      </c>
      <c r="BL170" s="149" t="str">
        <f t="shared" si="5"/>
        <v/>
      </c>
      <c r="CL170" s="309"/>
    </row>
    <row r="171" spans="1:90" x14ac:dyDescent="0.2">
      <c r="A171" s="222"/>
      <c r="B171" s="165"/>
      <c r="C171" s="142" t="str">
        <f>IFERROR(IF(B171="","",IF((COUNTIF('Cable Info'!$B$11:$C$50,B171)=0),VLOOKUP(B171,'Cable Info (2)'!$B$11:$C$50,2,FALSE),(VLOOKUP(B171,'Cable Info'!$B$11:$C$50,2,FALSE)))),"NO SUCH EXIT")</f>
        <v/>
      </c>
      <c r="D171" s="285"/>
      <c r="E171" s="312"/>
      <c r="F171" s="132" t="s">
        <v>59</v>
      </c>
      <c r="G171" s="315"/>
      <c r="H171" s="142" t="str">
        <f t="shared" si="11"/>
        <v/>
      </c>
      <c r="I171" s="317"/>
      <c r="J171" s="132" t="s">
        <v>59</v>
      </c>
      <c r="K171" s="321"/>
      <c r="L171" s="289"/>
      <c r="M171" s="142" t="str">
        <f>IFERROR(IF(P171="","",IF((COUNTIF('Cable Info'!$B$11:$C$50,P171)=0),VLOOKUP(P171,'Cable Info (2)'!$B$11:$C$50,2,FALSE),(VLOOKUP(P171,'Cable Info'!$B$11:$C$50,2,FALSE)))),"NO SUCH EXIT")</f>
        <v/>
      </c>
      <c r="N171" s="293"/>
      <c r="O171" s="234"/>
      <c r="P171" s="161"/>
      <c r="Q171" s="224"/>
      <c r="R171" s="162"/>
      <c r="S171" s="162"/>
      <c r="T171" s="163"/>
      <c r="U171" s="163"/>
      <c r="V171" s="164"/>
      <c r="W171" s="164"/>
      <c r="X171" s="229" t="str">
        <f t="shared" si="6"/>
        <v/>
      </c>
      <c r="Y171" s="147" t="str">
        <f t="shared" si="7"/>
        <v/>
      </c>
      <c r="Z171" s="148" t="str">
        <f t="shared" si="8"/>
        <v/>
      </c>
      <c r="AA171" s="148" t="str">
        <f t="shared" si="9"/>
        <v/>
      </c>
      <c r="AB171" s="148" t="str">
        <f t="shared" si="10"/>
        <v/>
      </c>
      <c r="AJ171" s="149" t="str">
        <f>IF('Cable Info'!L31="","",CONCATENATE('Cable Info'!L31," - ",'Cable Info'!M31))</f>
        <v/>
      </c>
      <c r="AM171" s="149" t="str">
        <f t="shared" si="0"/>
        <v/>
      </c>
      <c r="AO171" s="149" t="str">
        <f>IF('Cable Info'!N31="","",CONCATENATE('Cable Info'!N31," - ",'Cable Info'!O31))</f>
        <v/>
      </c>
      <c r="AR171" s="149" t="str">
        <f t="shared" si="1"/>
        <v/>
      </c>
      <c r="AT171" s="149" t="str">
        <f>IF('Cable Info'!P31="","",CONCATENATE('Cable Info'!P31," - ",'Cable Info'!Q31))</f>
        <v/>
      </c>
      <c r="AW171" s="149" t="str">
        <f t="shared" si="2"/>
        <v/>
      </c>
      <c r="AY171" s="149" t="str">
        <f>IF('Cable Info'!R31="","",CONCATENATE('Cable Info'!R31," - ",'Cable Info'!S31))</f>
        <v/>
      </c>
      <c r="BB171" s="149" t="str">
        <f t="shared" si="3"/>
        <v/>
      </c>
      <c r="BD171" s="149" t="str">
        <f>IF('Cable Info'!T31="","",CONCATENATE('Cable Info'!T31," - ",'Cable Info'!U31))</f>
        <v/>
      </c>
      <c r="BG171" s="149" t="str">
        <f t="shared" si="4"/>
        <v/>
      </c>
      <c r="BI171" s="149" t="str">
        <f>IF('Cable Info'!V31="","",CONCATENATE('Cable Info'!V31," - ",'Cable Info'!W31))</f>
        <v/>
      </c>
      <c r="BL171" s="149" t="str">
        <f t="shared" si="5"/>
        <v/>
      </c>
      <c r="CL171" s="309"/>
    </row>
    <row r="172" spans="1:90" x14ac:dyDescent="0.2">
      <c r="A172" s="222"/>
      <c r="B172" s="165"/>
      <c r="C172" s="142" t="str">
        <f>IFERROR(IF(B172="","",IF((COUNTIF('Cable Info'!$B$11:$C$50,B172)=0),VLOOKUP(B172,'Cable Info (2)'!$B$11:$C$50,2,FALSE),(VLOOKUP(B172,'Cable Info'!$B$11:$C$50,2,FALSE)))),"NO SUCH EXIT")</f>
        <v/>
      </c>
      <c r="D172" s="285"/>
      <c r="E172" s="312"/>
      <c r="F172" s="132" t="s">
        <v>59</v>
      </c>
      <c r="G172" s="315"/>
      <c r="H172" s="142" t="str">
        <f t="shared" si="11"/>
        <v/>
      </c>
      <c r="I172" s="317"/>
      <c r="J172" s="132" t="s">
        <v>59</v>
      </c>
      <c r="K172" s="321"/>
      <c r="L172" s="289"/>
      <c r="M172" s="142" t="str">
        <f>IFERROR(IF(P172="","",IF((COUNTIF('Cable Info'!$B$11:$C$50,P172)=0),VLOOKUP(P172,'Cable Info (2)'!$B$11:$C$50,2,FALSE),(VLOOKUP(P172,'Cable Info'!$B$11:$C$50,2,FALSE)))),"NO SUCH EXIT")</f>
        <v/>
      </c>
      <c r="N172" s="293"/>
      <c r="O172" s="234"/>
      <c r="P172" s="161"/>
      <c r="Q172" s="224"/>
      <c r="R172" s="162"/>
      <c r="S172" s="162"/>
      <c r="T172" s="163"/>
      <c r="U172" s="163"/>
      <c r="V172" s="164"/>
      <c r="W172" s="164"/>
      <c r="X172" s="229" t="str">
        <f t="shared" si="6"/>
        <v/>
      </c>
      <c r="Y172" s="147" t="str">
        <f t="shared" si="7"/>
        <v/>
      </c>
      <c r="Z172" s="148" t="str">
        <f t="shared" si="8"/>
        <v/>
      </c>
      <c r="AA172" s="148" t="str">
        <f t="shared" si="9"/>
        <v/>
      </c>
      <c r="AB172" s="148" t="str">
        <f t="shared" si="10"/>
        <v/>
      </c>
      <c r="AJ172" s="149" t="str">
        <f>IF('Cable Info'!L32="","",CONCATENATE('Cable Info'!L32," - ",'Cable Info'!M32))</f>
        <v/>
      </c>
      <c r="AM172" s="149" t="str">
        <f t="shared" si="0"/>
        <v/>
      </c>
      <c r="AO172" s="149" t="str">
        <f>IF('Cable Info'!N32="","",CONCATENATE('Cable Info'!N32," - ",'Cable Info'!O32))</f>
        <v/>
      </c>
      <c r="AR172" s="149" t="str">
        <f t="shared" si="1"/>
        <v/>
      </c>
      <c r="AT172" s="149" t="str">
        <f>IF('Cable Info'!P32="","",CONCATENATE('Cable Info'!P32," - ",'Cable Info'!Q32))</f>
        <v/>
      </c>
      <c r="AW172" s="149" t="str">
        <f t="shared" si="2"/>
        <v/>
      </c>
      <c r="AY172" s="149" t="str">
        <f>IF('Cable Info'!R32="","",CONCATENATE('Cable Info'!R32," - ",'Cable Info'!S32))</f>
        <v/>
      </c>
      <c r="BB172" s="149" t="str">
        <f t="shared" si="3"/>
        <v/>
      </c>
      <c r="BD172" s="149" t="str">
        <f>IF('Cable Info'!T32="","",CONCATENATE('Cable Info'!T32," - ",'Cable Info'!U32))</f>
        <v/>
      </c>
      <c r="BG172" s="149" t="str">
        <f t="shared" si="4"/>
        <v/>
      </c>
      <c r="BI172" s="149" t="str">
        <f>IF('Cable Info'!V32="","",CONCATENATE('Cable Info'!V32," - ",'Cable Info'!W32))</f>
        <v/>
      </c>
      <c r="BL172" s="149" t="str">
        <f t="shared" si="5"/>
        <v/>
      </c>
      <c r="CL172" s="309"/>
    </row>
    <row r="173" spans="1:90" x14ac:dyDescent="0.2">
      <c r="A173" s="222"/>
      <c r="B173" s="165"/>
      <c r="C173" s="142" t="str">
        <f>IFERROR(IF(B173="","",IF((COUNTIF('Cable Info'!$B$11:$C$50,B173)=0),VLOOKUP(B173,'Cable Info (2)'!$B$11:$C$50,2,FALSE),(VLOOKUP(B173,'Cable Info'!$B$11:$C$50,2,FALSE)))),"NO SUCH EXIT")</f>
        <v/>
      </c>
      <c r="D173" s="285"/>
      <c r="E173" s="312"/>
      <c r="F173" s="132" t="s">
        <v>59</v>
      </c>
      <c r="G173" s="315"/>
      <c r="H173" s="142" t="str">
        <f t="shared" si="11"/>
        <v/>
      </c>
      <c r="I173" s="317"/>
      <c r="J173" s="132" t="s">
        <v>59</v>
      </c>
      <c r="K173" s="321"/>
      <c r="L173" s="289"/>
      <c r="M173" s="142" t="str">
        <f>IFERROR(IF(P173="","",IF((COUNTIF('Cable Info'!$B$11:$C$50,P173)=0),VLOOKUP(P173,'Cable Info (2)'!$B$11:$C$50,2,FALSE),(VLOOKUP(P173,'Cable Info'!$B$11:$C$50,2,FALSE)))),"NO SUCH EXIT")</f>
        <v/>
      </c>
      <c r="N173" s="293"/>
      <c r="O173" s="234"/>
      <c r="P173" s="161"/>
      <c r="Q173" s="224"/>
      <c r="R173" s="162"/>
      <c r="S173" s="162"/>
      <c r="T173" s="163"/>
      <c r="U173" s="163"/>
      <c r="V173" s="164"/>
      <c r="W173" s="164"/>
      <c r="X173" s="229" t="str">
        <f t="shared" si="6"/>
        <v/>
      </c>
      <c r="Y173" s="147" t="str">
        <f t="shared" si="7"/>
        <v/>
      </c>
      <c r="Z173" s="148" t="str">
        <f t="shared" si="8"/>
        <v/>
      </c>
      <c r="AA173" s="148" t="str">
        <f t="shared" si="9"/>
        <v/>
      </c>
      <c r="AB173" s="148" t="str">
        <f t="shared" si="10"/>
        <v/>
      </c>
      <c r="AJ173" s="149" t="str">
        <f>IF('Cable Info'!L33="","",CONCATENATE('Cable Info'!L33," - ",'Cable Info'!M33))</f>
        <v/>
      </c>
      <c r="AM173" s="149" t="str">
        <f t="shared" si="0"/>
        <v/>
      </c>
      <c r="AO173" s="149" t="str">
        <f>IF('Cable Info'!N33="","",CONCATENATE('Cable Info'!N33," - ",'Cable Info'!O33))</f>
        <v/>
      </c>
      <c r="AR173" s="149" t="str">
        <f t="shared" si="1"/>
        <v/>
      </c>
      <c r="AT173" s="149" t="str">
        <f>IF('Cable Info'!P33="","",CONCATENATE('Cable Info'!P33," - ",'Cable Info'!Q33))</f>
        <v/>
      </c>
      <c r="AW173" s="149" t="str">
        <f t="shared" si="2"/>
        <v/>
      </c>
      <c r="AY173" s="149" t="str">
        <f>IF('Cable Info'!R33="","",CONCATENATE('Cable Info'!R33," - ",'Cable Info'!S33))</f>
        <v/>
      </c>
      <c r="BB173" s="149" t="str">
        <f t="shared" si="3"/>
        <v/>
      </c>
      <c r="BD173" s="149" t="str">
        <f>IF('Cable Info'!T33="","",CONCATENATE('Cable Info'!T33," - ",'Cable Info'!U33))</f>
        <v/>
      </c>
      <c r="BG173" s="149" t="str">
        <f t="shared" si="4"/>
        <v/>
      </c>
      <c r="BI173" s="149" t="str">
        <f>IF('Cable Info'!V33="","",CONCATENATE('Cable Info'!V33," - ",'Cable Info'!W33))</f>
        <v/>
      </c>
      <c r="BL173" s="149" t="str">
        <f t="shared" si="5"/>
        <v/>
      </c>
      <c r="CL173" s="309"/>
    </row>
    <row r="174" spans="1:90" x14ac:dyDescent="0.2">
      <c r="A174" s="222"/>
      <c r="B174" s="165"/>
      <c r="C174" s="142" t="str">
        <f>IFERROR(IF(B174="","",IF((COUNTIF('Cable Info'!$B$11:$C$50,B174)=0),VLOOKUP(B174,'Cable Info (2)'!$B$11:$C$50,2,FALSE),(VLOOKUP(B174,'Cable Info'!$B$11:$C$50,2,FALSE)))),"NO SUCH EXIT")</f>
        <v/>
      </c>
      <c r="D174" s="285"/>
      <c r="E174" s="312"/>
      <c r="F174" s="132" t="s">
        <v>59</v>
      </c>
      <c r="G174" s="315"/>
      <c r="H174" s="142" t="str">
        <f t="shared" si="11"/>
        <v/>
      </c>
      <c r="I174" s="317"/>
      <c r="J174" s="132" t="s">
        <v>59</v>
      </c>
      <c r="K174" s="321"/>
      <c r="L174" s="289"/>
      <c r="M174" s="142" t="str">
        <f>IFERROR(IF(P174="","",IF((COUNTIF('Cable Info'!$B$11:$C$50,P174)=0),VLOOKUP(P174,'Cable Info (2)'!$B$11:$C$50,2,FALSE),(VLOOKUP(P174,'Cable Info'!$B$11:$C$50,2,FALSE)))),"NO SUCH EXIT")</f>
        <v/>
      </c>
      <c r="N174" s="293"/>
      <c r="O174" s="234"/>
      <c r="P174" s="161"/>
      <c r="Q174" s="224"/>
      <c r="R174" s="162"/>
      <c r="S174" s="162"/>
      <c r="T174" s="163"/>
      <c r="U174" s="163"/>
      <c r="V174" s="164"/>
      <c r="W174" s="164"/>
      <c r="X174" s="229" t="str">
        <f t="shared" si="6"/>
        <v/>
      </c>
      <c r="Y174" s="147" t="str">
        <f t="shared" si="7"/>
        <v/>
      </c>
      <c r="Z174" s="148" t="str">
        <f t="shared" si="8"/>
        <v/>
      </c>
      <c r="AA174" s="148" t="str">
        <f t="shared" si="9"/>
        <v/>
      </c>
      <c r="AB174" s="148" t="str">
        <f t="shared" si="10"/>
        <v/>
      </c>
      <c r="AJ174" s="149" t="str">
        <f>IF('Cable Info'!L34="","",CONCATENATE('Cable Info'!L34," - ",'Cable Info'!M34))</f>
        <v/>
      </c>
      <c r="AM174" s="149" t="str">
        <f t="shared" si="0"/>
        <v/>
      </c>
      <c r="AO174" s="149" t="str">
        <f>IF('Cable Info'!N34="","",CONCATENATE('Cable Info'!N34," - ",'Cable Info'!O34))</f>
        <v/>
      </c>
      <c r="AR174" s="149" t="str">
        <f t="shared" si="1"/>
        <v/>
      </c>
      <c r="AT174" s="149" t="str">
        <f>IF('Cable Info'!P34="","",CONCATENATE('Cable Info'!P34," - ",'Cable Info'!Q34))</f>
        <v/>
      </c>
      <c r="AW174" s="149" t="str">
        <f t="shared" si="2"/>
        <v/>
      </c>
      <c r="AY174" s="149" t="str">
        <f>IF('Cable Info'!R34="","",CONCATENATE('Cable Info'!R34," - ",'Cable Info'!S34))</f>
        <v/>
      </c>
      <c r="BB174" s="149" t="str">
        <f t="shared" si="3"/>
        <v/>
      </c>
      <c r="BD174" s="149" t="str">
        <f>IF('Cable Info'!T34="","",CONCATENATE('Cable Info'!T34," - ",'Cable Info'!U34))</f>
        <v/>
      </c>
      <c r="BG174" s="149" t="str">
        <f t="shared" si="4"/>
        <v/>
      </c>
      <c r="BI174" s="149" t="str">
        <f>IF('Cable Info'!V34="","",CONCATENATE('Cable Info'!V34," - ",'Cable Info'!W34))</f>
        <v/>
      </c>
      <c r="BL174" s="149" t="str">
        <f t="shared" si="5"/>
        <v/>
      </c>
      <c r="CL174" s="309"/>
    </row>
    <row r="175" spans="1:90" x14ac:dyDescent="0.2">
      <c r="A175" s="222"/>
      <c r="B175" s="165"/>
      <c r="C175" s="142" t="str">
        <f>IFERROR(IF(B175="","",IF((COUNTIF('Cable Info'!$B$11:$C$50,B175)=0),VLOOKUP(B175,'Cable Info (2)'!$B$11:$C$50,2,FALSE),(VLOOKUP(B175,'Cable Info'!$B$11:$C$50,2,FALSE)))),"NO SUCH EXIT")</f>
        <v/>
      </c>
      <c r="D175" s="285"/>
      <c r="E175" s="312"/>
      <c r="F175" s="132" t="s">
        <v>59</v>
      </c>
      <c r="G175" s="315"/>
      <c r="H175" s="142" t="str">
        <f t="shared" si="11"/>
        <v/>
      </c>
      <c r="I175" s="317"/>
      <c r="J175" s="132" t="s">
        <v>59</v>
      </c>
      <c r="K175" s="321"/>
      <c r="L175" s="289"/>
      <c r="M175" s="142" t="str">
        <f>IFERROR(IF(P175="","",IF((COUNTIF('Cable Info'!$B$11:$C$50,P175)=0),VLOOKUP(P175,'Cable Info (2)'!$B$11:$C$50,2,FALSE),(VLOOKUP(P175,'Cable Info'!$B$11:$C$50,2,FALSE)))),"NO SUCH EXIT")</f>
        <v/>
      </c>
      <c r="N175" s="293"/>
      <c r="O175" s="234"/>
      <c r="P175" s="161"/>
      <c r="Q175" s="224"/>
      <c r="R175" s="162"/>
      <c r="S175" s="162"/>
      <c r="T175" s="163"/>
      <c r="U175" s="163"/>
      <c r="V175" s="164"/>
      <c r="W175" s="164"/>
      <c r="X175" s="229" t="str">
        <f t="shared" si="6"/>
        <v/>
      </c>
      <c r="Y175" s="147" t="str">
        <f t="shared" si="7"/>
        <v/>
      </c>
      <c r="Z175" s="148" t="str">
        <f t="shared" si="8"/>
        <v/>
      </c>
      <c r="AA175" s="148" t="str">
        <f t="shared" si="9"/>
        <v/>
      </c>
      <c r="AB175" s="148" t="str">
        <f t="shared" si="10"/>
        <v/>
      </c>
      <c r="AJ175" s="149" t="str">
        <f>IF('Cable Info'!L35="","",CONCATENATE('Cable Info'!L35," - ",'Cable Info'!M35))</f>
        <v/>
      </c>
      <c r="AM175" s="149" t="str">
        <f t="shared" si="0"/>
        <v/>
      </c>
      <c r="AO175" s="149" t="str">
        <f>IF('Cable Info'!N35="","",CONCATENATE('Cable Info'!N35," - ",'Cable Info'!O35))</f>
        <v/>
      </c>
      <c r="AR175" s="149" t="str">
        <f t="shared" si="1"/>
        <v/>
      </c>
      <c r="AT175" s="149" t="str">
        <f>IF('Cable Info'!P35="","",CONCATENATE('Cable Info'!P35," - ",'Cable Info'!Q35))</f>
        <v/>
      </c>
      <c r="AW175" s="149" t="str">
        <f t="shared" si="2"/>
        <v/>
      </c>
      <c r="AY175" s="149" t="str">
        <f>IF('Cable Info'!R35="","",CONCATENATE('Cable Info'!R35," - ",'Cable Info'!S35))</f>
        <v/>
      </c>
      <c r="BB175" s="149" t="str">
        <f t="shared" si="3"/>
        <v/>
      </c>
      <c r="BD175" s="149" t="str">
        <f>IF('Cable Info'!T35="","",CONCATENATE('Cable Info'!T35," - ",'Cable Info'!U35))</f>
        <v/>
      </c>
      <c r="BG175" s="149" t="str">
        <f t="shared" si="4"/>
        <v/>
      </c>
      <c r="BI175" s="149" t="str">
        <f>IF('Cable Info'!V35="","",CONCATENATE('Cable Info'!V35," - ",'Cable Info'!W35))</f>
        <v/>
      </c>
      <c r="BL175" s="149" t="str">
        <f t="shared" si="5"/>
        <v/>
      </c>
      <c r="CL175" s="309"/>
    </row>
    <row r="176" spans="1:90" x14ac:dyDescent="0.2">
      <c r="A176" s="222"/>
      <c r="B176" s="165"/>
      <c r="C176" s="142" t="str">
        <f>IFERROR(IF(B176="","",IF((COUNTIF('Cable Info'!$B$11:$C$50,B176)=0),VLOOKUP(B176,'Cable Info (2)'!$B$11:$C$50,2,FALSE),(VLOOKUP(B176,'Cable Info'!$B$11:$C$50,2,FALSE)))),"NO SUCH EXIT")</f>
        <v/>
      </c>
      <c r="D176" s="285"/>
      <c r="E176" s="312"/>
      <c r="F176" s="132" t="s">
        <v>59</v>
      </c>
      <c r="G176" s="315"/>
      <c r="H176" s="142" t="str">
        <f t="shared" si="11"/>
        <v/>
      </c>
      <c r="I176" s="317"/>
      <c r="J176" s="132" t="s">
        <v>59</v>
      </c>
      <c r="K176" s="321"/>
      <c r="L176" s="289"/>
      <c r="M176" s="142" t="str">
        <f>IFERROR(IF(P176="","",IF((COUNTIF('Cable Info'!$B$11:$C$50,P176)=0),VLOOKUP(P176,'Cable Info (2)'!$B$11:$C$50,2,FALSE),(VLOOKUP(P176,'Cable Info'!$B$11:$C$50,2,FALSE)))),"NO SUCH EXIT")</f>
        <v/>
      </c>
      <c r="N176" s="293"/>
      <c r="O176" s="234"/>
      <c r="P176" s="161"/>
      <c r="Q176" s="224"/>
      <c r="R176" s="162"/>
      <c r="S176" s="162"/>
      <c r="T176" s="163"/>
      <c r="U176" s="163"/>
      <c r="V176" s="164"/>
      <c r="W176" s="164"/>
      <c r="X176" s="229" t="str">
        <f t="shared" si="6"/>
        <v/>
      </c>
      <c r="Y176" s="147" t="str">
        <f t="shared" si="7"/>
        <v/>
      </c>
      <c r="Z176" s="148" t="str">
        <f t="shared" si="8"/>
        <v/>
      </c>
      <c r="AA176" s="148" t="str">
        <f t="shared" si="9"/>
        <v/>
      </c>
      <c r="AB176" s="148" t="str">
        <f t="shared" si="10"/>
        <v/>
      </c>
      <c r="AJ176" s="149" t="str">
        <f>IF('Cable Info'!L36="","",CONCATENATE('Cable Info'!L36," - ",'Cable Info'!M36))</f>
        <v/>
      </c>
      <c r="AM176" s="149" t="str">
        <f t="shared" si="0"/>
        <v/>
      </c>
      <c r="AO176" s="149" t="str">
        <f>IF('Cable Info'!N36="","",CONCATENATE('Cable Info'!N36," - ",'Cable Info'!O36))</f>
        <v/>
      </c>
      <c r="AR176" s="149" t="str">
        <f t="shared" si="1"/>
        <v/>
      </c>
      <c r="AT176" s="149" t="str">
        <f>IF('Cable Info'!P36="","",CONCATENATE('Cable Info'!P36," - ",'Cable Info'!Q36))</f>
        <v/>
      </c>
      <c r="AW176" s="149" t="str">
        <f t="shared" si="2"/>
        <v/>
      </c>
      <c r="AY176" s="149" t="str">
        <f>IF('Cable Info'!R36="","",CONCATENATE('Cable Info'!R36," - ",'Cable Info'!S36))</f>
        <v/>
      </c>
      <c r="BB176" s="149" t="str">
        <f t="shared" si="3"/>
        <v/>
      </c>
      <c r="BD176" s="149" t="str">
        <f>IF('Cable Info'!T36="","",CONCATENATE('Cable Info'!T36," - ",'Cable Info'!U36))</f>
        <v/>
      </c>
      <c r="BG176" s="149" t="str">
        <f t="shared" si="4"/>
        <v/>
      </c>
      <c r="BI176" s="149" t="str">
        <f>IF('Cable Info'!V36="","",CONCATENATE('Cable Info'!V36," - ",'Cable Info'!W36))</f>
        <v/>
      </c>
      <c r="BL176" s="149" t="str">
        <f t="shared" si="5"/>
        <v/>
      </c>
      <c r="CL176" s="309"/>
    </row>
    <row r="177" spans="1:90" x14ac:dyDescent="0.2">
      <c r="A177" s="222"/>
      <c r="B177" s="165"/>
      <c r="C177" s="142" t="str">
        <f>IFERROR(IF(B177="","",IF((COUNTIF('Cable Info'!$B$11:$C$50,B177)=0),VLOOKUP(B177,'Cable Info (2)'!$B$11:$C$50,2,FALSE),(VLOOKUP(B177,'Cable Info'!$B$11:$C$50,2,FALSE)))),"NO SUCH EXIT")</f>
        <v/>
      </c>
      <c r="D177" s="285"/>
      <c r="E177" s="312"/>
      <c r="F177" s="132" t="s">
        <v>59</v>
      </c>
      <c r="G177" s="315"/>
      <c r="H177" s="142" t="str">
        <f t="shared" si="11"/>
        <v/>
      </c>
      <c r="I177" s="317"/>
      <c r="J177" s="132" t="s">
        <v>59</v>
      </c>
      <c r="K177" s="321"/>
      <c r="L177" s="289"/>
      <c r="M177" s="142" t="str">
        <f>IFERROR(IF(P177="","",IF((COUNTIF('Cable Info'!$B$11:$C$50,P177)=0),VLOOKUP(P177,'Cable Info (2)'!$B$11:$C$50,2,FALSE),(VLOOKUP(P177,'Cable Info'!$B$11:$C$50,2,FALSE)))),"NO SUCH EXIT")</f>
        <v/>
      </c>
      <c r="N177" s="293"/>
      <c r="O177" s="234"/>
      <c r="P177" s="161"/>
      <c r="Q177" s="224"/>
      <c r="R177" s="162"/>
      <c r="S177" s="162"/>
      <c r="T177" s="163"/>
      <c r="U177" s="163"/>
      <c r="V177" s="164"/>
      <c r="W177" s="164"/>
      <c r="X177" s="229" t="str">
        <f t="shared" si="6"/>
        <v/>
      </c>
      <c r="Y177" s="147" t="str">
        <f t="shared" si="7"/>
        <v/>
      </c>
      <c r="Z177" s="148" t="str">
        <f t="shared" si="8"/>
        <v/>
      </c>
      <c r="AA177" s="148" t="str">
        <f t="shared" si="9"/>
        <v/>
      </c>
      <c r="AB177" s="148" t="str">
        <f t="shared" si="10"/>
        <v/>
      </c>
      <c r="AJ177" s="149" t="str">
        <f>IF('Cable Info'!L37="","",CONCATENATE('Cable Info'!L37," - ",'Cable Info'!M37))</f>
        <v/>
      </c>
      <c r="AM177" s="149" t="str">
        <f t="shared" si="0"/>
        <v/>
      </c>
      <c r="AO177" s="149" t="str">
        <f>IF('Cable Info'!N37="","",CONCATENATE('Cable Info'!N37," - ",'Cable Info'!O37))</f>
        <v/>
      </c>
      <c r="AR177" s="149" t="str">
        <f t="shared" si="1"/>
        <v/>
      </c>
      <c r="AT177" s="149" t="str">
        <f>IF('Cable Info'!P37="","",CONCATENATE('Cable Info'!P37," - ",'Cable Info'!Q37))</f>
        <v/>
      </c>
      <c r="AW177" s="149" t="str">
        <f t="shared" si="2"/>
        <v/>
      </c>
      <c r="AY177" s="149" t="str">
        <f>IF('Cable Info'!R37="","",CONCATENATE('Cable Info'!R37," - ",'Cable Info'!S37))</f>
        <v/>
      </c>
      <c r="BB177" s="149" t="str">
        <f t="shared" si="3"/>
        <v/>
      </c>
      <c r="BD177" s="149" t="str">
        <f>IF('Cable Info'!T37="","",CONCATENATE('Cable Info'!T37," - ",'Cable Info'!U37))</f>
        <v/>
      </c>
      <c r="BG177" s="149" t="str">
        <f t="shared" si="4"/>
        <v/>
      </c>
      <c r="BI177" s="149" t="str">
        <f>IF('Cable Info'!V37="","",CONCATENATE('Cable Info'!V37," - ",'Cable Info'!W37))</f>
        <v/>
      </c>
      <c r="BL177" s="149" t="str">
        <f t="shared" si="5"/>
        <v/>
      </c>
      <c r="CL177" s="309"/>
    </row>
    <row r="178" spans="1:90" x14ac:dyDescent="0.2">
      <c r="A178" s="222"/>
      <c r="B178" s="165"/>
      <c r="C178" s="142" t="str">
        <f>IFERROR(IF(B178="","",IF((COUNTIF('Cable Info'!$B$11:$C$50,B178)=0),VLOOKUP(B178,'Cable Info (2)'!$B$11:$C$50,2,FALSE),(VLOOKUP(B178,'Cable Info'!$B$11:$C$50,2,FALSE)))),"NO SUCH EXIT")</f>
        <v/>
      </c>
      <c r="D178" s="285"/>
      <c r="E178" s="312"/>
      <c r="F178" s="132" t="s">
        <v>59</v>
      </c>
      <c r="G178" s="315"/>
      <c r="H178" s="142" t="str">
        <f t="shared" si="11"/>
        <v/>
      </c>
      <c r="I178" s="317"/>
      <c r="J178" s="132" t="s">
        <v>59</v>
      </c>
      <c r="K178" s="321"/>
      <c r="L178" s="289"/>
      <c r="M178" s="142" t="str">
        <f>IFERROR(IF(P178="","",IF((COUNTIF('Cable Info'!$B$11:$C$50,P178)=0),VLOOKUP(P178,'Cable Info (2)'!$B$11:$C$50,2,FALSE),(VLOOKUP(P178,'Cable Info'!$B$11:$C$50,2,FALSE)))),"NO SUCH EXIT")</f>
        <v/>
      </c>
      <c r="N178" s="293"/>
      <c r="O178" s="234"/>
      <c r="P178" s="161"/>
      <c r="Q178" s="224"/>
      <c r="R178" s="162"/>
      <c r="S178" s="162"/>
      <c r="T178" s="163"/>
      <c r="U178" s="163"/>
      <c r="V178" s="164"/>
      <c r="W178" s="164"/>
      <c r="X178" s="229" t="str">
        <f t="shared" si="6"/>
        <v/>
      </c>
      <c r="Y178" s="147" t="str">
        <f t="shared" si="7"/>
        <v/>
      </c>
      <c r="Z178" s="148" t="str">
        <f t="shared" si="8"/>
        <v/>
      </c>
      <c r="AA178" s="148" t="str">
        <f t="shared" si="9"/>
        <v/>
      </c>
      <c r="AB178" s="148" t="str">
        <f t="shared" si="10"/>
        <v/>
      </c>
      <c r="AJ178" s="149" t="str">
        <f>IF('Cable Info'!L38="","",CONCATENATE('Cable Info'!L38," - ",'Cable Info'!M38))</f>
        <v/>
      </c>
      <c r="AM178" s="149" t="str">
        <f t="shared" si="0"/>
        <v/>
      </c>
      <c r="AO178" s="149" t="str">
        <f>IF('Cable Info'!N38="","",CONCATENATE('Cable Info'!N38," - ",'Cable Info'!O38))</f>
        <v/>
      </c>
      <c r="AR178" s="149" t="str">
        <f t="shared" si="1"/>
        <v/>
      </c>
      <c r="AT178" s="149" t="str">
        <f>IF('Cable Info'!P38="","",CONCATENATE('Cable Info'!P38," - ",'Cable Info'!Q38))</f>
        <v/>
      </c>
      <c r="AW178" s="149" t="str">
        <f t="shared" si="2"/>
        <v/>
      </c>
      <c r="AY178" s="149" t="str">
        <f>IF('Cable Info'!R38="","",CONCATENATE('Cable Info'!R38," - ",'Cable Info'!S38))</f>
        <v/>
      </c>
      <c r="BB178" s="149" t="str">
        <f t="shared" si="3"/>
        <v/>
      </c>
      <c r="BD178" s="149" t="str">
        <f>IF('Cable Info'!T38="","",CONCATENATE('Cable Info'!T38," - ",'Cable Info'!U38))</f>
        <v/>
      </c>
      <c r="BG178" s="149" t="str">
        <f t="shared" si="4"/>
        <v/>
      </c>
      <c r="BI178" s="149" t="str">
        <f>IF('Cable Info'!V38="","",CONCATENATE('Cable Info'!V38," - ",'Cable Info'!W38))</f>
        <v/>
      </c>
      <c r="BL178" s="149" t="str">
        <f t="shared" si="5"/>
        <v/>
      </c>
      <c r="CL178" s="309"/>
    </row>
    <row r="179" spans="1:90" x14ac:dyDescent="0.2">
      <c r="A179" s="222"/>
      <c r="B179" s="165"/>
      <c r="C179" s="142" t="str">
        <f>IFERROR(IF(B179="","",IF((COUNTIF('Cable Info'!$B$11:$C$50,B179)=0),VLOOKUP(B179,'Cable Info (2)'!$B$11:$C$50,2,FALSE),(VLOOKUP(B179,'Cable Info'!$B$11:$C$50,2,FALSE)))),"NO SUCH EXIT")</f>
        <v/>
      </c>
      <c r="D179" s="285"/>
      <c r="E179" s="312"/>
      <c r="F179" s="132" t="s">
        <v>59</v>
      </c>
      <c r="G179" s="315"/>
      <c r="H179" s="142" t="str">
        <f t="shared" si="11"/>
        <v/>
      </c>
      <c r="I179" s="317"/>
      <c r="J179" s="132" t="s">
        <v>59</v>
      </c>
      <c r="K179" s="321"/>
      <c r="L179" s="289"/>
      <c r="M179" s="142" t="str">
        <f>IFERROR(IF(P179="","",IF((COUNTIF('Cable Info'!$B$11:$C$50,P179)=0),VLOOKUP(P179,'Cable Info (2)'!$B$11:$C$50,2,FALSE),(VLOOKUP(P179,'Cable Info'!$B$11:$C$50,2,FALSE)))),"NO SUCH EXIT")</f>
        <v/>
      </c>
      <c r="N179" s="293"/>
      <c r="O179" s="234"/>
      <c r="P179" s="161"/>
      <c r="Q179" s="224"/>
      <c r="R179" s="162"/>
      <c r="S179" s="162"/>
      <c r="T179" s="163"/>
      <c r="U179" s="163"/>
      <c r="V179" s="164"/>
      <c r="W179" s="164"/>
      <c r="X179" s="229" t="str">
        <f t="shared" si="6"/>
        <v/>
      </c>
      <c r="Y179" s="147" t="str">
        <f t="shared" si="7"/>
        <v/>
      </c>
      <c r="Z179" s="148" t="str">
        <f t="shared" si="8"/>
        <v/>
      </c>
      <c r="AA179" s="148" t="str">
        <f t="shared" si="9"/>
        <v/>
      </c>
      <c r="AB179" s="148" t="str">
        <f t="shared" si="10"/>
        <v/>
      </c>
      <c r="AJ179" s="149" t="str">
        <f>IF('Cable Info'!L39="","",CONCATENATE('Cable Info'!L39," - ",'Cable Info'!M39))</f>
        <v/>
      </c>
      <c r="AM179" s="149" t="str">
        <f t="shared" si="0"/>
        <v/>
      </c>
      <c r="AO179" s="149" t="str">
        <f>IF('Cable Info'!N39="","",CONCATENATE('Cable Info'!N39," - ",'Cable Info'!O39))</f>
        <v/>
      </c>
      <c r="AR179" s="149" t="str">
        <f t="shared" si="1"/>
        <v/>
      </c>
      <c r="AT179" s="149" t="str">
        <f>IF('Cable Info'!P39="","",CONCATENATE('Cable Info'!P39," - ",'Cable Info'!Q39))</f>
        <v/>
      </c>
      <c r="AW179" s="149" t="str">
        <f t="shared" si="2"/>
        <v/>
      </c>
      <c r="AY179" s="149" t="str">
        <f>IF('Cable Info'!R39="","",CONCATENATE('Cable Info'!R39," - ",'Cable Info'!S39))</f>
        <v/>
      </c>
      <c r="BB179" s="149" t="str">
        <f t="shared" si="3"/>
        <v/>
      </c>
      <c r="BD179" s="149" t="str">
        <f>IF('Cable Info'!T39="","",CONCATENATE('Cable Info'!T39," - ",'Cable Info'!U39))</f>
        <v/>
      </c>
      <c r="BG179" s="149" t="str">
        <f t="shared" si="4"/>
        <v/>
      </c>
      <c r="BI179" s="149" t="str">
        <f>IF('Cable Info'!V39="","",CONCATENATE('Cable Info'!V39," - ",'Cable Info'!W39))</f>
        <v/>
      </c>
      <c r="BL179" s="149" t="str">
        <f t="shared" si="5"/>
        <v/>
      </c>
      <c r="CL179" s="309"/>
    </row>
    <row r="180" spans="1:90" x14ac:dyDescent="0.2">
      <c r="A180" s="222"/>
      <c r="B180" s="165"/>
      <c r="C180" s="142" t="str">
        <f>IFERROR(IF(B180="","",IF((COUNTIF('Cable Info'!$B$11:$C$50,B180)=0),VLOOKUP(B180,'Cable Info (2)'!$B$11:$C$50,2,FALSE),(VLOOKUP(B180,'Cable Info'!$B$11:$C$50,2,FALSE)))),"NO SUCH EXIT")</f>
        <v/>
      </c>
      <c r="D180" s="285"/>
      <c r="E180" s="312"/>
      <c r="F180" s="132" t="s">
        <v>59</v>
      </c>
      <c r="G180" s="315"/>
      <c r="H180" s="142" t="str">
        <f t="shared" si="11"/>
        <v/>
      </c>
      <c r="I180" s="317"/>
      <c r="J180" s="132" t="s">
        <v>59</v>
      </c>
      <c r="K180" s="321"/>
      <c r="L180" s="289"/>
      <c r="M180" s="142" t="str">
        <f>IFERROR(IF(P180="","",IF((COUNTIF('Cable Info'!$B$11:$C$50,P180)=0),VLOOKUP(P180,'Cable Info (2)'!$B$11:$C$50,2,FALSE),(VLOOKUP(P180,'Cable Info'!$B$11:$C$50,2,FALSE)))),"NO SUCH EXIT")</f>
        <v/>
      </c>
      <c r="N180" s="293"/>
      <c r="O180" s="234"/>
      <c r="P180" s="161"/>
      <c r="Q180" s="224"/>
      <c r="R180" s="162"/>
      <c r="S180" s="162"/>
      <c r="T180" s="163"/>
      <c r="U180" s="163"/>
      <c r="V180" s="164"/>
      <c r="W180" s="164"/>
      <c r="X180" s="229" t="str">
        <f t="shared" si="6"/>
        <v/>
      </c>
      <c r="Y180" s="147" t="str">
        <f t="shared" si="7"/>
        <v/>
      </c>
      <c r="Z180" s="148" t="str">
        <f t="shared" si="8"/>
        <v/>
      </c>
      <c r="AA180" s="148" t="str">
        <f t="shared" si="9"/>
        <v/>
      </c>
      <c r="AB180" s="148" t="str">
        <f t="shared" si="10"/>
        <v/>
      </c>
      <c r="AJ180" s="149" t="str">
        <f>IF('Cable Info'!L40="","",CONCATENATE('Cable Info'!L40," - ",'Cable Info'!M40))</f>
        <v/>
      </c>
      <c r="AM180" s="149" t="str">
        <f t="shared" si="0"/>
        <v/>
      </c>
      <c r="AO180" s="149" t="str">
        <f>IF('Cable Info'!N40="","",CONCATENATE('Cable Info'!N40," - ",'Cable Info'!O40))</f>
        <v/>
      </c>
      <c r="AR180" s="149" t="str">
        <f t="shared" si="1"/>
        <v/>
      </c>
      <c r="AT180" s="149" t="str">
        <f>IF('Cable Info'!P40="","",CONCATENATE('Cable Info'!P40," - ",'Cable Info'!Q40))</f>
        <v/>
      </c>
      <c r="AW180" s="149" t="str">
        <f t="shared" si="2"/>
        <v/>
      </c>
      <c r="AY180" s="149" t="str">
        <f>IF('Cable Info'!R40="","",CONCATENATE('Cable Info'!R40," - ",'Cable Info'!S40))</f>
        <v/>
      </c>
      <c r="BB180" s="149" t="str">
        <f t="shared" si="3"/>
        <v/>
      </c>
      <c r="BD180" s="149" t="str">
        <f>IF('Cable Info'!T40="","",CONCATENATE('Cable Info'!T40," - ",'Cable Info'!U40))</f>
        <v/>
      </c>
      <c r="BG180" s="149" t="str">
        <f t="shared" si="4"/>
        <v/>
      </c>
      <c r="BI180" s="149" t="str">
        <f>IF('Cable Info'!V40="","",CONCATENATE('Cable Info'!V40," - ",'Cable Info'!W40))</f>
        <v/>
      </c>
      <c r="BL180" s="149" t="str">
        <f t="shared" si="5"/>
        <v/>
      </c>
      <c r="CL180" s="309"/>
    </row>
    <row r="181" spans="1:90" x14ac:dyDescent="0.2">
      <c r="A181" s="222"/>
      <c r="B181" s="165"/>
      <c r="C181" s="142" t="str">
        <f>IFERROR(IF(B181="","",IF((COUNTIF('Cable Info'!$B$11:$C$50,B181)=0),VLOOKUP(B181,'Cable Info (2)'!$B$11:$C$50,2,FALSE),(VLOOKUP(B181,'Cable Info'!$B$11:$C$50,2,FALSE)))),"NO SUCH EXIT")</f>
        <v/>
      </c>
      <c r="D181" s="285"/>
      <c r="E181" s="312"/>
      <c r="F181" s="132" t="s">
        <v>59</v>
      </c>
      <c r="G181" s="315"/>
      <c r="H181" s="142" t="str">
        <f t="shared" si="11"/>
        <v/>
      </c>
      <c r="I181" s="317"/>
      <c r="J181" s="132" t="s">
        <v>59</v>
      </c>
      <c r="K181" s="321"/>
      <c r="L181" s="289"/>
      <c r="M181" s="142" t="str">
        <f>IFERROR(IF(P181="","",IF((COUNTIF('Cable Info'!$B$11:$C$50,P181)=0),VLOOKUP(P181,'Cable Info (2)'!$B$11:$C$50,2,FALSE),(VLOOKUP(P181,'Cable Info'!$B$11:$C$50,2,FALSE)))),"NO SUCH EXIT")</f>
        <v/>
      </c>
      <c r="N181" s="293"/>
      <c r="O181" s="234"/>
      <c r="P181" s="161"/>
      <c r="Q181" s="224"/>
      <c r="R181" s="162"/>
      <c r="S181" s="162"/>
      <c r="T181" s="163"/>
      <c r="U181" s="163"/>
      <c r="V181" s="164"/>
      <c r="W181" s="164"/>
      <c r="X181" s="229" t="str">
        <f t="shared" si="6"/>
        <v/>
      </c>
      <c r="Y181" s="147" t="str">
        <f t="shared" si="7"/>
        <v/>
      </c>
      <c r="Z181" s="148" t="str">
        <f t="shared" si="8"/>
        <v/>
      </c>
      <c r="AA181" s="148" t="str">
        <f t="shared" si="9"/>
        <v/>
      </c>
      <c r="AB181" s="148" t="str">
        <f t="shared" si="10"/>
        <v/>
      </c>
      <c r="AJ181" s="149" t="str">
        <f>IF('Cable Info'!L41="","",CONCATENATE('Cable Info'!L41," - ",'Cable Info'!M41))</f>
        <v/>
      </c>
      <c r="AM181" s="149" t="str">
        <f t="shared" si="0"/>
        <v/>
      </c>
      <c r="AO181" s="149" t="str">
        <f>IF('Cable Info'!N41="","",CONCATENATE('Cable Info'!N41," - ",'Cable Info'!O41))</f>
        <v/>
      </c>
      <c r="AR181" s="149" t="str">
        <f t="shared" si="1"/>
        <v/>
      </c>
      <c r="AT181" s="149" t="str">
        <f>IF('Cable Info'!P41="","",CONCATENATE('Cable Info'!P41," - ",'Cable Info'!Q41))</f>
        <v/>
      </c>
      <c r="AW181" s="149" t="str">
        <f t="shared" si="2"/>
        <v/>
      </c>
      <c r="AY181" s="149" t="str">
        <f>IF('Cable Info'!R41="","",CONCATENATE('Cable Info'!R41," - ",'Cable Info'!S41))</f>
        <v/>
      </c>
      <c r="BB181" s="149" t="str">
        <f t="shared" si="3"/>
        <v/>
      </c>
      <c r="BD181" s="149" t="str">
        <f>IF('Cable Info'!T41="","",CONCATENATE('Cable Info'!T41," - ",'Cable Info'!U41))</f>
        <v/>
      </c>
      <c r="BG181" s="149" t="str">
        <f t="shared" si="4"/>
        <v/>
      </c>
      <c r="BI181" s="149" t="str">
        <f>IF('Cable Info'!V41="","",CONCATENATE('Cable Info'!V41," - ",'Cable Info'!W41))</f>
        <v/>
      </c>
      <c r="BL181" s="149" t="str">
        <f t="shared" si="5"/>
        <v/>
      </c>
      <c r="CL181" s="309"/>
    </row>
    <row r="182" spans="1:90" x14ac:dyDescent="0.2">
      <c r="A182" s="222"/>
      <c r="B182" s="165"/>
      <c r="C182" s="142" t="str">
        <f>IFERROR(IF(B182="","",IF((COUNTIF('Cable Info'!$B$11:$C$50,B182)=0),VLOOKUP(B182,'Cable Info (2)'!$B$11:$C$50,2,FALSE),(VLOOKUP(B182,'Cable Info'!$B$11:$C$50,2,FALSE)))),"NO SUCH EXIT")</f>
        <v/>
      </c>
      <c r="D182" s="285"/>
      <c r="E182" s="312"/>
      <c r="F182" s="132" t="s">
        <v>59</v>
      </c>
      <c r="G182" s="315"/>
      <c r="H182" s="142" t="str">
        <f t="shared" si="11"/>
        <v/>
      </c>
      <c r="I182" s="317"/>
      <c r="J182" s="132" t="s">
        <v>59</v>
      </c>
      <c r="K182" s="321"/>
      <c r="L182" s="289"/>
      <c r="M182" s="142" t="str">
        <f>IFERROR(IF(P182="","",IF((COUNTIF('Cable Info'!$B$11:$C$50,P182)=0),VLOOKUP(P182,'Cable Info (2)'!$B$11:$C$50,2,FALSE),(VLOOKUP(P182,'Cable Info'!$B$11:$C$50,2,FALSE)))),"NO SUCH EXIT")</f>
        <v/>
      </c>
      <c r="N182" s="293"/>
      <c r="O182" s="234"/>
      <c r="P182" s="161"/>
      <c r="Q182" s="224"/>
      <c r="R182" s="162"/>
      <c r="S182" s="162"/>
      <c r="T182" s="163"/>
      <c r="U182" s="163"/>
      <c r="V182" s="164"/>
      <c r="W182" s="164"/>
      <c r="X182" s="229" t="str">
        <f t="shared" si="6"/>
        <v/>
      </c>
      <c r="Y182" s="147" t="str">
        <f t="shared" si="7"/>
        <v/>
      </c>
      <c r="Z182" s="148" t="str">
        <f t="shared" si="8"/>
        <v/>
      </c>
      <c r="AA182" s="148" t="str">
        <f t="shared" si="9"/>
        <v/>
      </c>
      <c r="AB182" s="148" t="str">
        <f t="shared" si="10"/>
        <v/>
      </c>
      <c r="AJ182" s="149" t="str">
        <f>IF('Cable Info'!L42="","",CONCATENATE('Cable Info'!L42," - ",'Cable Info'!M42))</f>
        <v/>
      </c>
      <c r="AM182" s="149" t="str">
        <f t="shared" si="0"/>
        <v/>
      </c>
      <c r="AO182" s="149" t="str">
        <f>IF('Cable Info'!N42="","",CONCATENATE('Cable Info'!N42," - ",'Cable Info'!O42))</f>
        <v/>
      </c>
      <c r="AR182" s="149" t="str">
        <f t="shared" si="1"/>
        <v/>
      </c>
      <c r="AT182" s="149" t="str">
        <f>IF('Cable Info'!P42="","",CONCATENATE('Cable Info'!P42," - ",'Cable Info'!Q42))</f>
        <v/>
      </c>
      <c r="AW182" s="149" t="str">
        <f t="shared" si="2"/>
        <v/>
      </c>
      <c r="AY182" s="149" t="str">
        <f>IF('Cable Info'!R42="","",CONCATENATE('Cable Info'!R42," - ",'Cable Info'!S42))</f>
        <v/>
      </c>
      <c r="BB182" s="149" t="str">
        <f t="shared" si="3"/>
        <v/>
      </c>
      <c r="BD182" s="149" t="str">
        <f>IF('Cable Info'!T42="","",CONCATENATE('Cable Info'!T42," - ",'Cable Info'!U42))</f>
        <v/>
      </c>
      <c r="BG182" s="149" t="str">
        <f t="shared" si="4"/>
        <v/>
      </c>
      <c r="BI182" s="149" t="str">
        <f>IF('Cable Info'!V42="","",CONCATENATE('Cable Info'!V42," - ",'Cable Info'!W42))</f>
        <v/>
      </c>
      <c r="BL182" s="149" t="str">
        <f t="shared" si="5"/>
        <v/>
      </c>
      <c r="CL182" s="309"/>
    </row>
    <row r="183" spans="1:90" x14ac:dyDescent="0.2">
      <c r="A183" s="222"/>
      <c r="B183" s="165"/>
      <c r="C183" s="142" t="str">
        <f>IFERROR(IF(B183="","",IF((COUNTIF('Cable Info'!$B$11:$C$50,B183)=0),VLOOKUP(B183,'Cable Info (2)'!$B$11:$C$50,2,FALSE),(VLOOKUP(B183,'Cable Info'!$B$11:$C$50,2,FALSE)))),"NO SUCH EXIT")</f>
        <v/>
      </c>
      <c r="D183" s="285"/>
      <c r="E183" s="312"/>
      <c r="F183" s="132" t="s">
        <v>59</v>
      </c>
      <c r="G183" s="315"/>
      <c r="H183" s="142" t="str">
        <f t="shared" si="11"/>
        <v/>
      </c>
      <c r="I183" s="317"/>
      <c r="J183" s="132" t="s">
        <v>59</v>
      </c>
      <c r="K183" s="321"/>
      <c r="L183" s="289"/>
      <c r="M183" s="142" t="str">
        <f>IFERROR(IF(P183="","",IF((COUNTIF('Cable Info'!$B$11:$C$50,P183)=0),VLOOKUP(P183,'Cable Info (2)'!$B$11:$C$50,2,FALSE),(VLOOKUP(P183,'Cable Info'!$B$11:$C$50,2,FALSE)))),"NO SUCH EXIT")</f>
        <v/>
      </c>
      <c r="N183" s="293"/>
      <c r="O183" s="234"/>
      <c r="P183" s="161"/>
      <c r="Q183" s="224"/>
      <c r="R183" s="162"/>
      <c r="S183" s="162"/>
      <c r="T183" s="163"/>
      <c r="U183" s="163"/>
      <c r="V183" s="164"/>
      <c r="W183" s="164"/>
      <c r="X183" s="229" t="str">
        <f t="shared" si="6"/>
        <v/>
      </c>
      <c r="Y183" s="147" t="str">
        <f t="shared" si="7"/>
        <v/>
      </c>
      <c r="Z183" s="148" t="str">
        <f t="shared" si="8"/>
        <v/>
      </c>
      <c r="AA183" s="148" t="str">
        <f t="shared" si="9"/>
        <v/>
      </c>
      <c r="AB183" s="148" t="str">
        <f t="shared" si="10"/>
        <v/>
      </c>
      <c r="AJ183" s="149" t="str">
        <f>IF('Cable Info'!L43="","",CONCATENATE('Cable Info'!L43," - ",'Cable Info'!M43))</f>
        <v/>
      </c>
      <c r="AM183" s="149" t="str">
        <f t="shared" si="0"/>
        <v/>
      </c>
      <c r="AO183" s="149" t="str">
        <f>IF('Cable Info'!N43="","",CONCATENATE('Cable Info'!N43," - ",'Cable Info'!O43))</f>
        <v/>
      </c>
      <c r="AR183" s="149" t="str">
        <f t="shared" si="1"/>
        <v/>
      </c>
      <c r="AT183" s="149" t="str">
        <f>IF('Cable Info'!P43="","",CONCATENATE('Cable Info'!P43," - ",'Cable Info'!Q43))</f>
        <v/>
      </c>
      <c r="AW183" s="149" t="str">
        <f t="shared" si="2"/>
        <v/>
      </c>
      <c r="AY183" s="149" t="str">
        <f>IF('Cable Info'!R43="","",CONCATENATE('Cable Info'!R43," - ",'Cable Info'!S43))</f>
        <v/>
      </c>
      <c r="BB183" s="149" t="str">
        <f t="shared" si="3"/>
        <v/>
      </c>
      <c r="BD183" s="149" t="str">
        <f>IF('Cable Info'!T43="","",CONCATENATE('Cable Info'!T43," - ",'Cable Info'!U43))</f>
        <v/>
      </c>
      <c r="BG183" s="149" t="str">
        <f t="shared" si="4"/>
        <v/>
      </c>
      <c r="BI183" s="149" t="str">
        <f>IF('Cable Info'!V43="","",CONCATENATE('Cable Info'!V43," - ",'Cable Info'!W43))</f>
        <v/>
      </c>
      <c r="BL183" s="149" t="str">
        <f t="shared" si="5"/>
        <v/>
      </c>
      <c r="CL183" s="309"/>
    </row>
    <row r="184" spans="1:90" x14ac:dyDescent="0.2">
      <c r="A184" s="222"/>
      <c r="B184" s="165"/>
      <c r="C184" s="142" t="str">
        <f>IFERROR(IF(B184="","",IF((COUNTIF('Cable Info'!$B$11:$C$50,B184)=0),VLOOKUP(B184,'Cable Info (2)'!$B$11:$C$50,2,FALSE),(VLOOKUP(B184,'Cable Info'!$B$11:$C$50,2,FALSE)))),"NO SUCH EXIT")</f>
        <v/>
      </c>
      <c r="D184" s="285"/>
      <c r="E184" s="312"/>
      <c r="F184" s="132" t="s">
        <v>59</v>
      </c>
      <c r="G184" s="315"/>
      <c r="H184" s="142" t="str">
        <f t="shared" si="11"/>
        <v/>
      </c>
      <c r="I184" s="317"/>
      <c r="J184" s="132" t="s">
        <v>59</v>
      </c>
      <c r="K184" s="321"/>
      <c r="L184" s="289"/>
      <c r="M184" s="142" t="str">
        <f>IFERROR(IF(P184="","",IF((COUNTIF('Cable Info'!$B$11:$C$50,P184)=0),VLOOKUP(P184,'Cable Info (2)'!$B$11:$C$50,2,FALSE),(VLOOKUP(P184,'Cable Info'!$B$11:$C$50,2,FALSE)))),"NO SUCH EXIT")</f>
        <v/>
      </c>
      <c r="N184" s="293"/>
      <c r="O184" s="234"/>
      <c r="P184" s="161"/>
      <c r="Q184" s="224"/>
      <c r="R184" s="162"/>
      <c r="S184" s="162"/>
      <c r="T184" s="163"/>
      <c r="U184" s="163"/>
      <c r="V184" s="164"/>
      <c r="W184" s="164"/>
      <c r="X184" s="229" t="str">
        <f t="shared" si="6"/>
        <v/>
      </c>
      <c r="Y184" s="147" t="str">
        <f t="shared" si="7"/>
        <v/>
      </c>
      <c r="Z184" s="148" t="str">
        <f t="shared" si="8"/>
        <v/>
      </c>
      <c r="AA184" s="148" t="str">
        <f t="shared" si="9"/>
        <v/>
      </c>
      <c r="AB184" s="148" t="str">
        <f t="shared" si="10"/>
        <v/>
      </c>
      <c r="AJ184" s="149" t="str">
        <f>IF('Cable Info'!L44="","",CONCATENATE('Cable Info'!L44," - ",'Cable Info'!M44))</f>
        <v/>
      </c>
      <c r="AM184" s="149" t="str">
        <f t="shared" si="0"/>
        <v/>
      </c>
      <c r="AO184" s="149" t="str">
        <f>IF('Cable Info'!N44="","",CONCATENATE('Cable Info'!N44," - ",'Cable Info'!O44))</f>
        <v/>
      </c>
      <c r="AR184" s="149" t="str">
        <f t="shared" si="1"/>
        <v/>
      </c>
      <c r="AT184" s="149" t="str">
        <f>IF('Cable Info'!P44="","",CONCATENATE('Cable Info'!P44," - ",'Cable Info'!Q44))</f>
        <v/>
      </c>
      <c r="AW184" s="149" t="str">
        <f t="shared" si="2"/>
        <v/>
      </c>
      <c r="AY184" s="149" t="str">
        <f>IF('Cable Info'!R44="","",CONCATENATE('Cable Info'!R44," - ",'Cable Info'!S44))</f>
        <v/>
      </c>
      <c r="BB184" s="149" t="str">
        <f t="shared" si="3"/>
        <v/>
      </c>
      <c r="BD184" s="149" t="str">
        <f>IF('Cable Info'!T44="","",CONCATENATE('Cable Info'!T44," - ",'Cable Info'!U44))</f>
        <v/>
      </c>
      <c r="BG184" s="149" t="str">
        <f t="shared" si="4"/>
        <v/>
      </c>
      <c r="BI184" s="149" t="str">
        <f>IF('Cable Info'!V44="","",CONCATENATE('Cable Info'!V44," - ",'Cable Info'!W44))</f>
        <v/>
      </c>
      <c r="BL184" s="149" t="str">
        <f t="shared" si="5"/>
        <v/>
      </c>
      <c r="CL184" s="309"/>
    </row>
    <row r="185" spans="1:90" x14ac:dyDescent="0.2">
      <c r="A185" s="222"/>
      <c r="B185" s="165"/>
      <c r="C185" s="142" t="str">
        <f>IFERROR(IF(B185="","",IF((COUNTIF('Cable Info'!$B$11:$C$50,B185)=0),VLOOKUP(B185,'Cable Info (2)'!$B$11:$C$50,2,FALSE),(VLOOKUP(B185,'Cable Info'!$B$11:$C$50,2,FALSE)))),"NO SUCH EXIT")</f>
        <v/>
      </c>
      <c r="D185" s="285"/>
      <c r="E185" s="312"/>
      <c r="F185" s="132" t="s">
        <v>59</v>
      </c>
      <c r="G185" s="315"/>
      <c r="H185" s="142" t="str">
        <f t="shared" si="11"/>
        <v/>
      </c>
      <c r="I185" s="317"/>
      <c r="J185" s="132" t="s">
        <v>59</v>
      </c>
      <c r="K185" s="321"/>
      <c r="L185" s="289"/>
      <c r="M185" s="142" t="str">
        <f>IFERROR(IF(P185="","",IF((COUNTIF('Cable Info'!$B$11:$C$50,P185)=0),VLOOKUP(P185,'Cable Info (2)'!$B$11:$C$50,2,FALSE),(VLOOKUP(P185,'Cable Info'!$B$11:$C$50,2,FALSE)))),"NO SUCH EXIT")</f>
        <v/>
      </c>
      <c r="N185" s="293"/>
      <c r="O185" s="234"/>
      <c r="P185" s="161"/>
      <c r="Q185" s="224"/>
      <c r="R185" s="162"/>
      <c r="S185" s="162"/>
      <c r="T185" s="163"/>
      <c r="U185" s="163"/>
      <c r="V185" s="164"/>
      <c r="W185" s="164"/>
      <c r="X185" s="229" t="str">
        <f t="shared" si="6"/>
        <v/>
      </c>
      <c r="Y185" s="147" t="str">
        <f t="shared" si="7"/>
        <v/>
      </c>
      <c r="Z185" s="148" t="str">
        <f t="shared" si="8"/>
        <v/>
      </c>
      <c r="AA185" s="148" t="str">
        <f t="shared" si="9"/>
        <v/>
      </c>
      <c r="AB185" s="148" t="str">
        <f t="shared" si="10"/>
        <v/>
      </c>
      <c r="AJ185" s="149" t="str">
        <f>IF('Cable Info'!L45="","",CONCATENATE('Cable Info'!L45," - ",'Cable Info'!M45))</f>
        <v/>
      </c>
      <c r="AM185" s="149" t="str">
        <f t="shared" si="0"/>
        <v/>
      </c>
      <c r="AO185" s="149" t="str">
        <f>IF('Cable Info'!N45="","",CONCATENATE('Cable Info'!N45," - ",'Cable Info'!O45))</f>
        <v/>
      </c>
      <c r="AR185" s="149" t="str">
        <f t="shared" si="1"/>
        <v/>
      </c>
      <c r="AT185" s="149" t="str">
        <f>IF('Cable Info'!P45="","",CONCATENATE('Cable Info'!P45," - ",'Cable Info'!Q45))</f>
        <v/>
      </c>
      <c r="AW185" s="149" t="str">
        <f t="shared" si="2"/>
        <v/>
      </c>
      <c r="AY185" s="149" t="str">
        <f>IF('Cable Info'!R45="","",CONCATENATE('Cable Info'!R45," - ",'Cable Info'!S45))</f>
        <v/>
      </c>
      <c r="BB185" s="149" t="str">
        <f t="shared" si="3"/>
        <v/>
      </c>
      <c r="BD185" s="149" t="str">
        <f>IF('Cable Info'!T45="","",CONCATENATE('Cable Info'!T45," - ",'Cable Info'!U45))</f>
        <v/>
      </c>
      <c r="BG185" s="149" t="str">
        <f t="shared" si="4"/>
        <v/>
      </c>
      <c r="BI185" s="149" t="str">
        <f>IF('Cable Info'!V45="","",CONCATENATE('Cable Info'!V45," - ",'Cable Info'!W45))</f>
        <v/>
      </c>
      <c r="BL185" s="149" t="str">
        <f t="shared" si="5"/>
        <v/>
      </c>
      <c r="CL185" s="309"/>
    </row>
    <row r="186" spans="1:90" x14ac:dyDescent="0.2">
      <c r="A186" s="222"/>
      <c r="B186" s="165"/>
      <c r="C186" s="142" t="str">
        <f>IFERROR(IF(B186="","",IF((COUNTIF('Cable Info'!$B$11:$C$50,B186)=0),VLOOKUP(B186,'Cable Info (2)'!$B$11:$C$50,2,FALSE),(VLOOKUP(B186,'Cable Info'!$B$11:$C$50,2,FALSE)))),"NO SUCH EXIT")</f>
        <v/>
      </c>
      <c r="D186" s="285"/>
      <c r="E186" s="312"/>
      <c r="F186" s="132" t="s">
        <v>59</v>
      </c>
      <c r="G186" s="315"/>
      <c r="H186" s="142" t="str">
        <f t="shared" si="11"/>
        <v/>
      </c>
      <c r="I186" s="317"/>
      <c r="J186" s="132" t="s">
        <v>59</v>
      </c>
      <c r="K186" s="321"/>
      <c r="L186" s="289"/>
      <c r="M186" s="142" t="str">
        <f>IFERROR(IF(P186="","",IF((COUNTIF('Cable Info'!$B$11:$C$50,P186)=0),VLOOKUP(P186,'Cable Info (2)'!$B$11:$C$50,2,FALSE),(VLOOKUP(P186,'Cable Info'!$B$11:$C$50,2,FALSE)))),"NO SUCH EXIT")</f>
        <v/>
      </c>
      <c r="N186" s="293"/>
      <c r="O186" s="234"/>
      <c r="P186" s="161"/>
      <c r="Q186" s="224"/>
      <c r="R186" s="162"/>
      <c r="S186" s="162"/>
      <c r="T186" s="163"/>
      <c r="U186" s="163"/>
      <c r="V186" s="164"/>
      <c r="W186" s="164"/>
      <c r="X186" s="229" t="str">
        <f t="shared" si="6"/>
        <v/>
      </c>
      <c r="Y186" s="147" t="str">
        <f t="shared" si="7"/>
        <v/>
      </c>
      <c r="Z186" s="148" t="str">
        <f t="shared" si="8"/>
        <v/>
      </c>
      <c r="AA186" s="148" t="str">
        <f t="shared" si="9"/>
        <v/>
      </c>
      <c r="AB186" s="148" t="str">
        <f t="shared" si="10"/>
        <v/>
      </c>
      <c r="AJ186" s="149" t="str">
        <f>IF('Cable Info'!L46="","",CONCATENATE('Cable Info'!L46," - ",'Cable Info'!M46))</f>
        <v/>
      </c>
      <c r="AM186" s="149" t="str">
        <f t="shared" si="0"/>
        <v/>
      </c>
      <c r="AO186" s="149" t="str">
        <f>IF('Cable Info'!N46="","",CONCATENATE('Cable Info'!N46," - ",'Cable Info'!O46))</f>
        <v/>
      </c>
      <c r="AR186" s="149" t="str">
        <f t="shared" si="1"/>
        <v/>
      </c>
      <c r="AT186" s="149" t="str">
        <f>IF('Cable Info'!P46="","",CONCATENATE('Cable Info'!P46," - ",'Cable Info'!Q46))</f>
        <v/>
      </c>
      <c r="AW186" s="149" t="str">
        <f t="shared" si="2"/>
        <v/>
      </c>
      <c r="AY186" s="149" t="str">
        <f>IF('Cable Info'!R46="","",CONCATENATE('Cable Info'!R46," - ",'Cable Info'!S46))</f>
        <v/>
      </c>
      <c r="BB186" s="149" t="str">
        <f t="shared" si="3"/>
        <v/>
      </c>
      <c r="BD186" s="149" t="str">
        <f>IF('Cable Info'!T46="","",CONCATENATE('Cable Info'!T46," - ",'Cable Info'!U46))</f>
        <v/>
      </c>
      <c r="BG186" s="149" t="str">
        <f t="shared" si="4"/>
        <v/>
      </c>
      <c r="BI186" s="149" t="str">
        <f>IF('Cable Info'!V46="","",CONCATENATE('Cable Info'!V46," - ",'Cable Info'!W46))</f>
        <v/>
      </c>
      <c r="BL186" s="149" t="str">
        <f t="shared" si="5"/>
        <v/>
      </c>
      <c r="CL186" s="309"/>
    </row>
    <row r="187" spans="1:90" x14ac:dyDescent="0.2">
      <c r="A187" s="222"/>
      <c r="B187" s="156"/>
      <c r="C187" s="142" t="str">
        <f>IFERROR(IF(B187="","",IF((COUNTIF('Cable Info'!$B$11:$C$50,B187)=0),VLOOKUP(B187,'Cable Info (2)'!$B$11:$C$50,2,FALSE),(VLOOKUP(B187,'Cable Info'!$B$11:$C$50,2,FALSE)))),"NO SUCH EXIT")</f>
        <v/>
      </c>
      <c r="D187" s="285"/>
      <c r="E187" s="312"/>
      <c r="F187" s="132" t="s">
        <v>59</v>
      </c>
      <c r="G187" s="315"/>
      <c r="H187" s="142" t="str">
        <f t="shared" si="11"/>
        <v/>
      </c>
      <c r="I187" s="317"/>
      <c r="J187" s="132" t="s">
        <v>59</v>
      </c>
      <c r="K187" s="321"/>
      <c r="L187" s="289"/>
      <c r="M187" s="142" t="str">
        <f>IFERROR(IF(P187="","",IF((COUNTIF('Cable Info'!$B$11:$C$50,P187)=0),VLOOKUP(P187,'Cable Info (2)'!$B$11:$C$50,2,FALSE),(VLOOKUP(P187,'Cable Info'!$B$11:$C$50,2,FALSE)))),"NO SUCH EXIT")</f>
        <v/>
      </c>
      <c r="N187" s="293"/>
      <c r="O187" s="234"/>
      <c r="P187" s="161"/>
      <c r="Q187" s="224"/>
      <c r="R187" s="162"/>
      <c r="S187" s="162"/>
      <c r="T187" s="166"/>
      <c r="U187" s="166"/>
      <c r="V187" s="167"/>
      <c r="W187" s="167"/>
      <c r="X187" s="229" t="str">
        <f t="shared" si="6"/>
        <v/>
      </c>
      <c r="Y187" s="147" t="str">
        <f t="shared" si="7"/>
        <v/>
      </c>
      <c r="Z187" s="148" t="str">
        <f t="shared" si="8"/>
        <v/>
      </c>
      <c r="AA187" s="148" t="str">
        <f t="shared" si="9"/>
        <v/>
      </c>
      <c r="AB187" s="148" t="str">
        <f t="shared" si="10"/>
        <v/>
      </c>
      <c r="AJ187" s="149" t="str">
        <f>IF('Cable Info'!L47="","",CONCATENATE('Cable Info'!L47," - ",'Cable Info'!M47))</f>
        <v/>
      </c>
      <c r="AM187" s="149" t="str">
        <f t="shared" si="0"/>
        <v/>
      </c>
      <c r="AO187" s="149" t="str">
        <f>IF('Cable Info'!N47="","",CONCATENATE('Cable Info'!N47," - ",'Cable Info'!O47))</f>
        <v/>
      </c>
      <c r="AR187" s="149" t="str">
        <f t="shared" si="1"/>
        <v/>
      </c>
      <c r="AT187" s="149" t="str">
        <f>IF('Cable Info'!P47="","",CONCATENATE('Cable Info'!P47," - ",'Cable Info'!Q47))</f>
        <v/>
      </c>
      <c r="AW187" s="149" t="str">
        <f t="shared" si="2"/>
        <v/>
      </c>
      <c r="AY187" s="149" t="str">
        <f>IF('Cable Info'!R47="","",CONCATENATE('Cable Info'!R47," - ",'Cable Info'!S47))</f>
        <v/>
      </c>
      <c r="BB187" s="149" t="str">
        <f t="shared" si="3"/>
        <v/>
      </c>
      <c r="BD187" s="149" t="str">
        <f>IF('Cable Info'!T47="","",CONCATENATE('Cable Info'!T47," - ",'Cable Info'!U47))</f>
        <v/>
      </c>
      <c r="BG187" s="149" t="str">
        <f t="shared" si="4"/>
        <v/>
      </c>
      <c r="BI187" s="149" t="str">
        <f>IF('Cable Info'!V47="","",CONCATENATE('Cable Info'!V47," - ",'Cable Info'!W47))</f>
        <v/>
      </c>
      <c r="BL187" s="149" t="str">
        <f t="shared" si="5"/>
        <v/>
      </c>
      <c r="CL187" s="309"/>
    </row>
    <row r="188" spans="1:90" x14ac:dyDescent="0.2">
      <c r="A188" s="222"/>
      <c r="B188" s="165"/>
      <c r="C188" s="142" t="str">
        <f>IFERROR(IF(B188="","",IF((COUNTIF('Cable Info'!$B$11:$C$50,B188)=0),VLOOKUP(B188,'Cable Info (2)'!$B$11:$C$50,2,FALSE),(VLOOKUP(B188,'Cable Info'!$B$11:$C$50,2,FALSE)))),"NO SUCH EXIT")</f>
        <v/>
      </c>
      <c r="D188" s="284"/>
      <c r="E188" s="312"/>
      <c r="F188" s="132" t="s">
        <v>59</v>
      </c>
      <c r="G188" s="315"/>
      <c r="H188" s="142" t="str">
        <f t="shared" si="11"/>
        <v/>
      </c>
      <c r="I188" s="317"/>
      <c r="J188" s="132" t="s">
        <v>59</v>
      </c>
      <c r="K188" s="321"/>
      <c r="L188" s="289"/>
      <c r="M188" s="142" t="str">
        <f>IFERROR(IF(P188="","",IF((COUNTIF('Cable Info'!$B$11:$C$50,P188)=0),VLOOKUP(P188,'Cable Info (2)'!$B$11:$C$50,2,FALSE),(VLOOKUP(P188,'Cable Info'!$B$11:$C$50,2,FALSE)))),"NO SUCH EXIT")</f>
        <v/>
      </c>
      <c r="N188" s="293"/>
      <c r="O188" s="234"/>
      <c r="P188" s="161"/>
      <c r="Q188" s="224"/>
      <c r="R188" s="158"/>
      <c r="S188" s="158"/>
      <c r="T188" s="166"/>
      <c r="U188" s="166"/>
      <c r="V188" s="167"/>
      <c r="W188" s="167"/>
      <c r="X188" s="229" t="str">
        <f t="shared" si="6"/>
        <v/>
      </c>
      <c r="Y188" s="147" t="str">
        <f t="shared" si="7"/>
        <v/>
      </c>
      <c r="Z188" s="148" t="str">
        <f t="shared" si="8"/>
        <v/>
      </c>
      <c r="AA188" s="148" t="str">
        <f t="shared" si="9"/>
        <v/>
      </c>
      <c r="AB188" s="148" t="str">
        <f t="shared" si="10"/>
        <v/>
      </c>
      <c r="AJ188" s="149" t="str">
        <f>IF('Cable Info'!L48="","",CONCATENATE('Cable Info'!L48," - ",'Cable Info'!M48))</f>
        <v/>
      </c>
      <c r="AM188" s="149" t="str">
        <f t="shared" si="0"/>
        <v/>
      </c>
      <c r="AO188" s="149" t="str">
        <f>IF('Cable Info'!N48="","",CONCATENATE('Cable Info'!N48," - ",'Cable Info'!O48))</f>
        <v/>
      </c>
      <c r="AR188" s="149" t="str">
        <f t="shared" si="1"/>
        <v/>
      </c>
      <c r="AT188" s="149" t="str">
        <f>IF('Cable Info'!P48="","",CONCATENATE('Cable Info'!P48," - ",'Cable Info'!Q48))</f>
        <v/>
      </c>
      <c r="AW188" s="149" t="str">
        <f t="shared" si="2"/>
        <v/>
      </c>
      <c r="AY188" s="149" t="str">
        <f>IF('Cable Info'!R48="","",CONCATENATE('Cable Info'!R48," - ",'Cable Info'!S48))</f>
        <v/>
      </c>
      <c r="BB188" s="149" t="str">
        <f t="shared" si="3"/>
        <v/>
      </c>
      <c r="BD188" s="149" t="str">
        <f>IF('Cable Info'!T48="","",CONCATENATE('Cable Info'!T48," - ",'Cable Info'!U48))</f>
        <v/>
      </c>
      <c r="BG188" s="149" t="str">
        <f t="shared" si="4"/>
        <v/>
      </c>
      <c r="BI188" s="149" t="str">
        <f>IF('Cable Info'!V48="","",CONCATENATE('Cable Info'!V48," - ",'Cable Info'!W48))</f>
        <v/>
      </c>
      <c r="BL188" s="149" t="str">
        <f t="shared" si="5"/>
        <v/>
      </c>
      <c r="CL188" s="309"/>
    </row>
    <row r="189" spans="1:90" x14ac:dyDescent="0.2">
      <c r="A189" s="222"/>
      <c r="B189" s="156"/>
      <c r="C189" s="142" t="str">
        <f>IFERROR(IF(B189="","",IF((COUNTIF('Cable Info'!$B$11:$C$50,B189)=0),VLOOKUP(B189,'Cable Info (2)'!$B$11:$C$50,2,FALSE),(VLOOKUP(B189,'Cable Info'!$B$11:$C$50,2,FALSE)))),"NO SUCH EXIT")</f>
        <v/>
      </c>
      <c r="D189" s="285"/>
      <c r="E189" s="312"/>
      <c r="F189" s="132" t="s">
        <v>59</v>
      </c>
      <c r="G189" s="315"/>
      <c r="H189" s="142" t="str">
        <f t="shared" si="11"/>
        <v/>
      </c>
      <c r="I189" s="317"/>
      <c r="J189" s="132" t="s">
        <v>59</v>
      </c>
      <c r="K189" s="321"/>
      <c r="L189" s="289"/>
      <c r="M189" s="142" t="str">
        <f>IFERROR(IF(P189="","",IF((COUNTIF('Cable Info'!$B$11:$C$50,P189)=0),VLOOKUP(P189,'Cable Info (2)'!$B$11:$C$50,2,FALSE),(VLOOKUP(P189,'Cable Info'!$B$11:$C$50,2,FALSE)))),"NO SUCH EXIT")</f>
        <v/>
      </c>
      <c r="N189" s="293"/>
      <c r="O189" s="234"/>
      <c r="P189" s="161"/>
      <c r="Q189" s="224"/>
      <c r="R189" s="162"/>
      <c r="S189" s="162"/>
      <c r="T189" s="166"/>
      <c r="U189" s="166"/>
      <c r="V189" s="167"/>
      <c r="W189" s="167"/>
      <c r="X189" s="229" t="str">
        <f t="shared" si="6"/>
        <v/>
      </c>
      <c r="Y189" s="147" t="str">
        <f t="shared" si="7"/>
        <v/>
      </c>
      <c r="Z189" s="148" t="str">
        <f t="shared" si="8"/>
        <v/>
      </c>
      <c r="AA189" s="148" t="str">
        <f t="shared" si="9"/>
        <v/>
      </c>
      <c r="AB189" s="148" t="str">
        <f t="shared" si="10"/>
        <v/>
      </c>
      <c r="AJ189" s="149" t="str">
        <f>IF('Cable Info'!L49="","",CONCATENATE('Cable Info'!L49," - ",'Cable Info'!M49))</f>
        <v/>
      </c>
      <c r="AM189" s="149" t="str">
        <f t="shared" si="0"/>
        <v/>
      </c>
      <c r="AO189" s="149" t="str">
        <f>IF('Cable Info'!N49="","",CONCATENATE('Cable Info'!N49," - ",'Cable Info'!O49))</f>
        <v/>
      </c>
      <c r="AR189" s="149" t="str">
        <f t="shared" si="1"/>
        <v/>
      </c>
      <c r="AT189" s="149" t="str">
        <f>IF('Cable Info'!P49="","",CONCATENATE('Cable Info'!P49," - ",'Cable Info'!Q49))</f>
        <v/>
      </c>
      <c r="AW189" s="149" t="str">
        <f t="shared" si="2"/>
        <v/>
      </c>
      <c r="AY189" s="149" t="str">
        <f>IF('Cable Info'!R49="","",CONCATENATE('Cable Info'!R49," - ",'Cable Info'!S49))</f>
        <v/>
      </c>
      <c r="BB189" s="149" t="str">
        <f t="shared" si="3"/>
        <v/>
      </c>
      <c r="BD189" s="149" t="str">
        <f>IF('Cable Info'!T49="","",CONCATENATE('Cable Info'!T49," - ",'Cable Info'!U49))</f>
        <v/>
      </c>
      <c r="BG189" s="149" t="str">
        <f t="shared" si="4"/>
        <v/>
      </c>
      <c r="BI189" s="149" t="str">
        <f>IF('Cable Info'!V49="","",CONCATENATE('Cable Info'!V49," - ",'Cable Info'!W49))</f>
        <v/>
      </c>
      <c r="BL189" s="149" t="str">
        <f t="shared" si="5"/>
        <v/>
      </c>
      <c r="CL189" s="309"/>
    </row>
    <row r="190" spans="1:90" x14ac:dyDescent="0.2">
      <c r="A190" s="222"/>
      <c r="B190" s="165"/>
      <c r="C190" s="142" t="str">
        <f>IFERROR(IF(B190="","",IF((COUNTIF('Cable Info'!$B$11:$C$50,B190)=0),VLOOKUP(B190,'Cable Info (2)'!$B$11:$C$50,2,FALSE),(VLOOKUP(B190,'Cable Info'!$B$11:$C$50,2,FALSE)))),"NO SUCH EXIT")</f>
        <v/>
      </c>
      <c r="D190" s="285"/>
      <c r="E190" s="312"/>
      <c r="F190" s="132" t="s">
        <v>59</v>
      </c>
      <c r="G190" s="315"/>
      <c r="H190" s="142" t="str">
        <f t="shared" si="11"/>
        <v/>
      </c>
      <c r="I190" s="317"/>
      <c r="J190" s="132" t="s">
        <v>59</v>
      </c>
      <c r="K190" s="321"/>
      <c r="L190" s="289"/>
      <c r="M190" s="142" t="str">
        <f>IFERROR(IF(P190="","",IF((COUNTIF('Cable Info'!$B$11:$C$50,P190)=0),VLOOKUP(P190,'Cable Info (2)'!$B$11:$C$50,2,FALSE),(VLOOKUP(P190,'Cable Info'!$B$11:$C$50,2,FALSE)))),"NO SUCH EXIT")</f>
        <v/>
      </c>
      <c r="N190" s="293"/>
      <c r="O190" s="234"/>
      <c r="P190" s="161"/>
      <c r="Q190" s="224"/>
      <c r="R190" s="162"/>
      <c r="S190" s="162"/>
      <c r="T190" s="166"/>
      <c r="U190" s="166"/>
      <c r="V190" s="167"/>
      <c r="W190" s="167"/>
      <c r="X190" s="229" t="str">
        <f t="shared" si="6"/>
        <v/>
      </c>
      <c r="Y190" s="147" t="str">
        <f t="shared" si="7"/>
        <v/>
      </c>
      <c r="Z190" s="148" t="str">
        <f t="shared" si="8"/>
        <v/>
      </c>
      <c r="AA190" s="148" t="str">
        <f t="shared" si="9"/>
        <v/>
      </c>
      <c r="AB190" s="148" t="str">
        <f t="shared" si="10"/>
        <v/>
      </c>
      <c r="AJ190" s="149" t="str">
        <f>IF('Cable Info'!L50="","",CONCATENATE('Cable Info'!L50," - ",'Cable Info'!M50))</f>
        <v/>
      </c>
      <c r="AM190" s="149" t="str">
        <f t="shared" si="0"/>
        <v/>
      </c>
      <c r="AO190" s="149" t="str">
        <f>IF('Cable Info'!N50="","",CONCATENATE('Cable Info'!N50," - ",'Cable Info'!O50))</f>
        <v/>
      </c>
      <c r="AR190" s="149" t="str">
        <f t="shared" si="1"/>
        <v/>
      </c>
      <c r="AT190" s="149" t="str">
        <f>IF('Cable Info'!P50="","",CONCATENATE('Cable Info'!P50," - ",'Cable Info'!Q50))</f>
        <v/>
      </c>
      <c r="AW190" s="149" t="str">
        <f t="shared" si="2"/>
        <v/>
      </c>
      <c r="AY190" s="149" t="str">
        <f>IF('Cable Info'!R50="","",CONCATENATE('Cable Info'!R50," - ",'Cable Info'!S50))</f>
        <v/>
      </c>
      <c r="BB190" s="149" t="str">
        <f t="shared" si="3"/>
        <v/>
      </c>
      <c r="BD190" s="149" t="str">
        <f>IF('Cable Info'!T50="","",CONCATENATE('Cable Info'!T50," - ",'Cable Info'!U50))</f>
        <v/>
      </c>
      <c r="BG190" s="149" t="str">
        <f t="shared" si="4"/>
        <v/>
      </c>
      <c r="BI190" s="149" t="str">
        <f>IF('Cable Info'!V50="","",CONCATENATE('Cable Info'!V50," - ",'Cable Info'!W50))</f>
        <v/>
      </c>
      <c r="BL190" s="149" t="str">
        <f t="shared" si="5"/>
        <v/>
      </c>
      <c r="CL190" s="309"/>
    </row>
    <row r="191" spans="1:90" x14ac:dyDescent="0.2">
      <c r="A191" s="222"/>
      <c r="B191" s="156"/>
      <c r="C191" s="142" t="str">
        <f>IFERROR(IF(B191="","",IF((COUNTIF('Cable Info'!$B$11:$C$50,B191)=0),VLOOKUP(B191,'Cable Info (2)'!$B$11:$C$50,2,FALSE),(VLOOKUP(B191,'Cable Info'!$B$11:$C$50,2,FALSE)))),"NO SUCH EXIT")</f>
        <v/>
      </c>
      <c r="D191" s="285"/>
      <c r="E191" s="312"/>
      <c r="F191" s="132" t="s">
        <v>59</v>
      </c>
      <c r="G191" s="315"/>
      <c r="H191" s="142" t="str">
        <f t="shared" si="11"/>
        <v/>
      </c>
      <c r="I191" s="317"/>
      <c r="J191" s="132" t="s">
        <v>59</v>
      </c>
      <c r="K191" s="321"/>
      <c r="L191" s="289"/>
      <c r="M191" s="142" t="str">
        <f>IFERROR(IF(P191="","",IF((COUNTIF('Cable Info'!$B$11:$C$50,P191)=0),VLOOKUP(P191,'Cable Info (2)'!$B$11:$C$50,2,FALSE),(VLOOKUP(P191,'Cable Info'!$B$11:$C$50,2,FALSE)))),"NO SUCH EXIT")</f>
        <v/>
      </c>
      <c r="N191" s="293"/>
      <c r="O191" s="234"/>
      <c r="P191" s="161"/>
      <c r="Q191" s="224"/>
      <c r="R191" s="162"/>
      <c r="S191" s="162"/>
      <c r="T191" s="166"/>
      <c r="U191" s="166"/>
      <c r="V191" s="167"/>
      <c r="W191" s="167"/>
      <c r="X191" s="229" t="str">
        <f t="shared" si="6"/>
        <v/>
      </c>
      <c r="Y191" s="147" t="str">
        <f t="shared" si="7"/>
        <v/>
      </c>
      <c r="Z191" s="148" t="str">
        <f t="shared" si="8"/>
        <v/>
      </c>
      <c r="AA191" s="148" t="str">
        <f t="shared" si="9"/>
        <v/>
      </c>
      <c r="AB191" s="148" t="str">
        <f t="shared" si="10"/>
        <v/>
      </c>
      <c r="AJ191" s="149" t="str">
        <f>IF('Cable Info'!L51="","",CONCATENATE('Cable Info'!L51," - ",'Cable Info'!M51))</f>
        <v/>
      </c>
      <c r="AM191" s="149" t="str">
        <f t="shared" si="0"/>
        <v/>
      </c>
      <c r="AO191" s="149" t="str">
        <f>IF('Cable Info'!N51="","",CONCATENATE('Cable Info'!N51," - ",'Cable Info'!O51))</f>
        <v/>
      </c>
      <c r="AR191" s="149" t="str">
        <f t="shared" si="1"/>
        <v/>
      </c>
      <c r="AT191" s="149" t="str">
        <f>IF('Cable Info'!P51="","",CONCATENATE('Cable Info'!P51," - ",'Cable Info'!Q51))</f>
        <v/>
      </c>
      <c r="AW191" s="149" t="str">
        <f t="shared" si="2"/>
        <v/>
      </c>
      <c r="AY191" s="149" t="str">
        <f>IF('Cable Info'!R51="","",CONCATENATE('Cable Info'!R51," - ",'Cable Info'!S51))</f>
        <v/>
      </c>
      <c r="BB191" s="149" t="str">
        <f t="shared" si="3"/>
        <v/>
      </c>
      <c r="BD191" s="149" t="str">
        <f>IF('Cable Info'!T51="","",CONCATENATE('Cable Info'!T51," - ",'Cable Info'!U51))</f>
        <v/>
      </c>
      <c r="BG191" s="149" t="str">
        <f t="shared" si="4"/>
        <v/>
      </c>
      <c r="BI191" s="149" t="str">
        <f>IF('Cable Info'!V51="","",CONCATENATE('Cable Info'!V51," - ",'Cable Info'!W51))</f>
        <v/>
      </c>
      <c r="BL191" s="149" t="str">
        <f t="shared" si="5"/>
        <v/>
      </c>
      <c r="CL191" s="309"/>
    </row>
    <row r="192" spans="1:90" x14ac:dyDescent="0.2">
      <c r="A192" s="222"/>
      <c r="B192" s="165"/>
      <c r="C192" s="142" t="str">
        <f>IFERROR(IF(B192="","",IF((COUNTIF('Cable Info'!$B$11:$C$50,B192)=0),VLOOKUP(B192,'Cable Info (2)'!$B$11:$C$50,2,FALSE),(VLOOKUP(B192,'Cable Info'!$B$11:$C$50,2,FALSE)))),"NO SUCH EXIT")</f>
        <v/>
      </c>
      <c r="D192" s="285"/>
      <c r="E192" s="312"/>
      <c r="F192" s="132" t="s">
        <v>59</v>
      </c>
      <c r="G192" s="315"/>
      <c r="H192" s="142" t="str">
        <f t="shared" si="11"/>
        <v/>
      </c>
      <c r="I192" s="317"/>
      <c r="J192" s="132" t="s">
        <v>59</v>
      </c>
      <c r="K192" s="321"/>
      <c r="L192" s="289"/>
      <c r="M192" s="142" t="str">
        <f>IFERROR(IF(P192="","",IF((COUNTIF('Cable Info'!$B$11:$C$50,P192)=0),VLOOKUP(P192,'Cable Info (2)'!$B$11:$C$50,2,FALSE),(VLOOKUP(P192,'Cable Info'!$B$11:$C$50,2,FALSE)))),"NO SUCH EXIT")</f>
        <v/>
      </c>
      <c r="N192" s="293"/>
      <c r="O192" s="234"/>
      <c r="P192" s="161"/>
      <c r="Q192" s="224"/>
      <c r="R192" s="162"/>
      <c r="S192" s="162"/>
      <c r="T192" s="166"/>
      <c r="U192" s="166"/>
      <c r="V192" s="167"/>
      <c r="W192" s="167"/>
      <c r="X192" s="229" t="str">
        <f t="shared" si="6"/>
        <v/>
      </c>
      <c r="Y192" s="147" t="str">
        <f t="shared" si="7"/>
        <v/>
      </c>
      <c r="Z192" s="148" t="str">
        <f t="shared" si="8"/>
        <v/>
      </c>
      <c r="AA192" s="148" t="str">
        <f t="shared" si="9"/>
        <v/>
      </c>
      <c r="AB192" s="148" t="str">
        <f t="shared" si="10"/>
        <v/>
      </c>
      <c r="AJ192" s="149" t="str">
        <f>IF('Cable Info'!L52="","",CONCATENATE('Cable Info'!L52," - ",'Cable Info'!M52))</f>
        <v/>
      </c>
      <c r="AM192" s="149" t="str">
        <f t="shared" si="0"/>
        <v/>
      </c>
      <c r="AO192" s="149" t="str">
        <f>IF('Cable Info'!N52="","",CONCATENATE('Cable Info'!N52," - ",'Cable Info'!O52))</f>
        <v/>
      </c>
      <c r="AR192" s="149" t="str">
        <f t="shared" si="1"/>
        <v/>
      </c>
      <c r="AT192" s="149" t="str">
        <f>IF('Cable Info'!P52="","",CONCATENATE('Cable Info'!P52," - ",'Cable Info'!Q52))</f>
        <v/>
      </c>
      <c r="AW192" s="149" t="str">
        <f t="shared" si="2"/>
        <v/>
      </c>
      <c r="AY192" s="149" t="str">
        <f>IF('Cable Info'!R52="","",CONCATENATE('Cable Info'!R52," - ",'Cable Info'!S52))</f>
        <v/>
      </c>
      <c r="BB192" s="149" t="str">
        <f t="shared" si="3"/>
        <v/>
      </c>
      <c r="BD192" s="149" t="str">
        <f>IF('Cable Info'!T52="","",CONCATENATE('Cable Info'!T52," - ",'Cable Info'!U52))</f>
        <v/>
      </c>
      <c r="BG192" s="149" t="str">
        <f t="shared" si="4"/>
        <v/>
      </c>
      <c r="BI192" s="149" t="str">
        <f>IF('Cable Info'!V52="","",CONCATENATE('Cable Info'!V52," - ",'Cable Info'!W52))</f>
        <v/>
      </c>
      <c r="BL192" s="149" t="str">
        <f t="shared" si="5"/>
        <v/>
      </c>
      <c r="CL192" s="309"/>
    </row>
    <row r="193" spans="1:90" x14ac:dyDescent="0.2">
      <c r="A193" s="222"/>
      <c r="B193" s="156"/>
      <c r="C193" s="142" t="str">
        <f>IFERROR(IF(B193="","",IF((COUNTIF('Cable Info'!$B$11:$C$50,B193)=0),VLOOKUP(B193,'Cable Info (2)'!$B$11:$C$50,2,FALSE),(VLOOKUP(B193,'Cable Info'!$B$11:$C$50,2,FALSE)))),"NO SUCH EXIT")</f>
        <v/>
      </c>
      <c r="D193" s="285"/>
      <c r="E193" s="312"/>
      <c r="F193" s="132" t="s">
        <v>59</v>
      </c>
      <c r="G193" s="315"/>
      <c r="H193" s="142" t="str">
        <f t="shared" si="11"/>
        <v/>
      </c>
      <c r="I193" s="317"/>
      <c r="J193" s="132" t="s">
        <v>59</v>
      </c>
      <c r="K193" s="321"/>
      <c r="L193" s="289"/>
      <c r="M193" s="142" t="str">
        <f>IFERROR(IF(P193="","",IF((COUNTIF('Cable Info'!$B$11:$C$50,P193)=0),VLOOKUP(P193,'Cable Info (2)'!$B$11:$C$50,2,FALSE),(VLOOKUP(P193,'Cable Info'!$B$11:$C$50,2,FALSE)))),"NO SUCH EXIT")</f>
        <v/>
      </c>
      <c r="N193" s="293"/>
      <c r="O193" s="234"/>
      <c r="P193" s="161"/>
      <c r="Q193" s="224"/>
      <c r="R193" s="162"/>
      <c r="S193" s="162"/>
      <c r="T193" s="166"/>
      <c r="U193" s="166"/>
      <c r="V193" s="167"/>
      <c r="W193" s="167"/>
      <c r="X193" s="229" t="str">
        <f t="shared" si="6"/>
        <v/>
      </c>
      <c r="Y193" s="147" t="str">
        <f t="shared" si="7"/>
        <v/>
      </c>
      <c r="Z193" s="148" t="str">
        <f t="shared" si="8"/>
        <v/>
      </c>
      <c r="AA193" s="148" t="str">
        <f t="shared" si="9"/>
        <v/>
      </c>
      <c r="AB193" s="148" t="str">
        <f t="shared" si="10"/>
        <v/>
      </c>
      <c r="AJ193" s="149" t="str">
        <f>IF('Cable Info'!L53="","",CONCATENATE('Cable Info'!L53," - ",'Cable Info'!M53))</f>
        <v/>
      </c>
      <c r="AM193" s="149" t="str">
        <f t="shared" si="0"/>
        <v/>
      </c>
      <c r="AO193" s="149" t="str">
        <f>IF('Cable Info'!N53="","",CONCATENATE('Cable Info'!N53," - ",'Cable Info'!O53))</f>
        <v/>
      </c>
      <c r="AR193" s="149" t="str">
        <f t="shared" si="1"/>
        <v/>
      </c>
      <c r="AT193" s="149" t="str">
        <f>IF('Cable Info'!P53="","",CONCATENATE('Cable Info'!P53," - ",'Cable Info'!Q53))</f>
        <v/>
      </c>
      <c r="AW193" s="149" t="str">
        <f t="shared" si="2"/>
        <v/>
      </c>
      <c r="AY193" s="149" t="str">
        <f>IF('Cable Info'!R53="","",CONCATENATE('Cable Info'!R53," - ",'Cable Info'!S53))</f>
        <v/>
      </c>
      <c r="BB193" s="149" t="str">
        <f t="shared" si="3"/>
        <v/>
      </c>
      <c r="BD193" s="149" t="str">
        <f>IF('Cable Info'!T53="","",CONCATENATE('Cable Info'!T53," - ",'Cable Info'!U53))</f>
        <v/>
      </c>
      <c r="BG193" s="149" t="str">
        <f t="shared" si="4"/>
        <v/>
      </c>
      <c r="BI193" s="149" t="str">
        <f>IF('Cable Info'!V53="","",CONCATENATE('Cable Info'!V53," - ",'Cable Info'!W53))</f>
        <v/>
      </c>
      <c r="BL193" s="149" t="str">
        <f t="shared" si="5"/>
        <v/>
      </c>
      <c r="CL193" s="309"/>
    </row>
    <row r="194" spans="1:90" x14ac:dyDescent="0.2">
      <c r="A194" s="222"/>
      <c r="B194" s="165"/>
      <c r="C194" s="142" t="str">
        <f>IFERROR(IF(B194="","",IF((COUNTIF('Cable Info'!$B$11:$C$50,B194)=0),VLOOKUP(B194,'Cable Info (2)'!$B$11:$C$50,2,FALSE),(VLOOKUP(B194,'Cable Info'!$B$11:$C$50,2,FALSE)))),"NO SUCH EXIT")</f>
        <v/>
      </c>
      <c r="D194" s="285"/>
      <c r="E194" s="312"/>
      <c r="F194" s="132" t="s">
        <v>59</v>
      </c>
      <c r="G194" s="315"/>
      <c r="H194" s="142" t="str">
        <f t="shared" si="11"/>
        <v/>
      </c>
      <c r="I194" s="317"/>
      <c r="J194" s="132" t="s">
        <v>59</v>
      </c>
      <c r="K194" s="321"/>
      <c r="L194" s="289"/>
      <c r="M194" s="142" t="str">
        <f>IFERROR(IF(P194="","",IF((COUNTIF('Cable Info'!$B$11:$C$50,P194)=0),VLOOKUP(P194,'Cable Info (2)'!$B$11:$C$50,2,FALSE),(VLOOKUP(P194,'Cable Info'!$B$11:$C$50,2,FALSE)))),"NO SUCH EXIT")</f>
        <v/>
      </c>
      <c r="N194" s="293"/>
      <c r="O194" s="234"/>
      <c r="P194" s="161"/>
      <c r="Q194" s="224"/>
      <c r="R194" s="162"/>
      <c r="S194" s="162"/>
      <c r="T194" s="166"/>
      <c r="U194" s="166"/>
      <c r="V194" s="167"/>
      <c r="W194" s="167"/>
      <c r="X194" s="229" t="str">
        <f t="shared" si="6"/>
        <v/>
      </c>
      <c r="Y194" s="147" t="str">
        <f t="shared" si="7"/>
        <v/>
      </c>
      <c r="Z194" s="148" t="str">
        <f t="shared" si="8"/>
        <v/>
      </c>
      <c r="AA194" s="148" t="str">
        <f t="shared" si="9"/>
        <v/>
      </c>
      <c r="AB194" s="148" t="str">
        <f t="shared" si="10"/>
        <v/>
      </c>
      <c r="AJ194" s="149" t="str">
        <f>IF('Cable Info'!L54="","",CONCATENATE('Cable Info'!L54," - ",'Cable Info'!M54))</f>
        <v/>
      </c>
      <c r="AM194" s="149" t="str">
        <f t="shared" si="0"/>
        <v/>
      </c>
      <c r="AO194" s="149" t="str">
        <f>IF('Cable Info'!N54="","",CONCATENATE('Cable Info'!N54," - ",'Cable Info'!O54))</f>
        <v/>
      </c>
      <c r="AR194" s="149" t="str">
        <f t="shared" si="1"/>
        <v/>
      </c>
      <c r="AT194" s="149" t="str">
        <f>IF('Cable Info'!P54="","",CONCATENATE('Cable Info'!P54," - ",'Cable Info'!Q54))</f>
        <v/>
      </c>
      <c r="AW194" s="149" t="str">
        <f t="shared" si="2"/>
        <v/>
      </c>
      <c r="AY194" s="149" t="str">
        <f>IF('Cable Info'!R54="","",CONCATENATE('Cable Info'!R54," - ",'Cable Info'!S54))</f>
        <v/>
      </c>
      <c r="BB194" s="149" t="str">
        <f t="shared" si="3"/>
        <v/>
      </c>
      <c r="BD194" s="149" t="str">
        <f>IF('Cable Info'!T54="","",CONCATENATE('Cable Info'!T54," - ",'Cable Info'!U54))</f>
        <v/>
      </c>
      <c r="BG194" s="149" t="str">
        <f t="shared" si="4"/>
        <v/>
      </c>
      <c r="BI194" s="149" t="str">
        <f>IF('Cable Info'!V54="","",CONCATENATE('Cable Info'!V54," - ",'Cable Info'!W54))</f>
        <v/>
      </c>
      <c r="BL194" s="149" t="str">
        <f t="shared" si="5"/>
        <v/>
      </c>
      <c r="CL194" s="309"/>
    </row>
    <row r="195" spans="1:90" x14ac:dyDescent="0.2">
      <c r="A195" s="222"/>
      <c r="B195" s="156"/>
      <c r="C195" s="142" t="str">
        <f>IFERROR(IF(B195="","",IF((COUNTIF('Cable Info'!$B$11:$C$50,B195)=0),VLOOKUP(B195,'Cable Info (2)'!$B$11:$C$50,2,FALSE),(VLOOKUP(B195,'Cable Info'!$B$11:$C$50,2,FALSE)))),"NO SUCH EXIT")</f>
        <v/>
      </c>
      <c r="D195" s="285"/>
      <c r="E195" s="312"/>
      <c r="F195" s="132" t="s">
        <v>59</v>
      </c>
      <c r="G195" s="315"/>
      <c r="H195" s="142" t="str">
        <f t="shared" si="11"/>
        <v/>
      </c>
      <c r="I195" s="317"/>
      <c r="J195" s="132" t="s">
        <v>59</v>
      </c>
      <c r="K195" s="321"/>
      <c r="L195" s="289"/>
      <c r="M195" s="142" t="str">
        <f>IFERROR(IF(P195="","",IF((COUNTIF('Cable Info'!$B$11:$C$50,P195)=0),VLOOKUP(P195,'Cable Info (2)'!$B$11:$C$50,2,FALSE),(VLOOKUP(P195,'Cable Info'!$B$11:$C$50,2,FALSE)))),"NO SUCH EXIT")</f>
        <v/>
      </c>
      <c r="N195" s="293"/>
      <c r="O195" s="234"/>
      <c r="P195" s="161"/>
      <c r="Q195" s="224"/>
      <c r="R195" s="162"/>
      <c r="S195" s="162"/>
      <c r="T195" s="166"/>
      <c r="U195" s="166"/>
      <c r="V195" s="167"/>
      <c r="W195" s="167"/>
      <c r="X195" s="229" t="str">
        <f t="shared" si="6"/>
        <v/>
      </c>
      <c r="Y195" s="147" t="str">
        <f t="shared" si="7"/>
        <v/>
      </c>
      <c r="Z195" s="148" t="str">
        <f t="shared" si="8"/>
        <v/>
      </c>
      <c r="AA195" s="148" t="str">
        <f t="shared" si="9"/>
        <v/>
      </c>
      <c r="AB195" s="148" t="str">
        <f t="shared" si="10"/>
        <v/>
      </c>
      <c r="AJ195" s="149" t="str">
        <f>IF('Cable Info'!L55="","",CONCATENATE('Cable Info'!L55," - ",'Cable Info'!M55))</f>
        <v/>
      </c>
      <c r="AM195" s="149" t="str">
        <f t="shared" si="0"/>
        <v/>
      </c>
      <c r="AO195" s="149" t="str">
        <f>IF('Cable Info'!N55="","",CONCATENATE('Cable Info'!N55," - ",'Cable Info'!O55))</f>
        <v/>
      </c>
      <c r="AR195" s="149" t="str">
        <f t="shared" si="1"/>
        <v/>
      </c>
      <c r="AT195" s="149" t="str">
        <f>IF('Cable Info'!P55="","",CONCATENATE('Cable Info'!P55," - ",'Cable Info'!Q55))</f>
        <v/>
      </c>
      <c r="AW195" s="149" t="str">
        <f t="shared" si="2"/>
        <v/>
      </c>
      <c r="AY195" s="149" t="str">
        <f>IF('Cable Info'!R55="","",CONCATENATE('Cable Info'!R55," - ",'Cable Info'!S55))</f>
        <v/>
      </c>
      <c r="BB195" s="149" t="str">
        <f t="shared" si="3"/>
        <v/>
      </c>
      <c r="BD195" s="149" t="str">
        <f>IF('Cable Info'!T55="","",CONCATENATE('Cable Info'!T55," - ",'Cable Info'!U55))</f>
        <v/>
      </c>
      <c r="BG195" s="149" t="str">
        <f t="shared" si="4"/>
        <v/>
      </c>
      <c r="BI195" s="149" t="str">
        <f>IF('Cable Info'!V55="","",CONCATENATE('Cable Info'!V55," - ",'Cable Info'!W55))</f>
        <v/>
      </c>
      <c r="BL195" s="149" t="str">
        <f t="shared" si="5"/>
        <v/>
      </c>
      <c r="CL195" s="309"/>
    </row>
    <row r="196" spans="1:90" x14ac:dyDescent="0.2">
      <c r="A196" s="222"/>
      <c r="B196" s="165"/>
      <c r="C196" s="142" t="str">
        <f>IFERROR(IF(B196="","",IF((COUNTIF('Cable Info'!$B$11:$C$50,B196)=0),VLOOKUP(B196,'Cable Info (2)'!$B$11:$C$50,2,FALSE),(VLOOKUP(B196,'Cable Info'!$B$11:$C$50,2,FALSE)))),"NO SUCH EXIT")</f>
        <v/>
      </c>
      <c r="D196" s="285"/>
      <c r="E196" s="312"/>
      <c r="F196" s="132" t="s">
        <v>59</v>
      </c>
      <c r="G196" s="315"/>
      <c r="H196" s="142" t="str">
        <f t="shared" si="11"/>
        <v/>
      </c>
      <c r="I196" s="317"/>
      <c r="J196" s="132" t="s">
        <v>59</v>
      </c>
      <c r="K196" s="321"/>
      <c r="L196" s="289"/>
      <c r="M196" s="142" t="str">
        <f>IFERROR(IF(P196="","",IF((COUNTIF('Cable Info'!$B$11:$C$50,P196)=0),VLOOKUP(P196,'Cable Info (2)'!$B$11:$C$50,2,FALSE),(VLOOKUP(P196,'Cable Info'!$B$11:$C$50,2,FALSE)))),"NO SUCH EXIT")</f>
        <v/>
      </c>
      <c r="N196" s="293"/>
      <c r="O196" s="234"/>
      <c r="P196" s="161"/>
      <c r="Q196" s="224"/>
      <c r="R196" s="162"/>
      <c r="S196" s="162"/>
      <c r="T196" s="166"/>
      <c r="U196" s="166"/>
      <c r="V196" s="167"/>
      <c r="W196" s="167"/>
      <c r="X196" s="229" t="str">
        <f t="shared" si="6"/>
        <v/>
      </c>
      <c r="Y196" s="147" t="str">
        <f t="shared" si="7"/>
        <v/>
      </c>
      <c r="Z196" s="148" t="str">
        <f t="shared" si="8"/>
        <v/>
      </c>
      <c r="AA196" s="148" t="str">
        <f t="shared" si="9"/>
        <v/>
      </c>
      <c r="AB196" s="148" t="str">
        <f t="shared" si="10"/>
        <v/>
      </c>
      <c r="AJ196" s="149" t="str">
        <f>IF('Cable Info'!L56="","",CONCATENATE('Cable Info'!L56," - ",'Cable Info'!M56))</f>
        <v/>
      </c>
      <c r="AM196" s="149" t="str">
        <f t="shared" si="0"/>
        <v/>
      </c>
      <c r="AO196" s="149" t="str">
        <f>IF('Cable Info'!N56="","",CONCATENATE('Cable Info'!N56," - ",'Cable Info'!O56))</f>
        <v/>
      </c>
      <c r="AR196" s="149" t="str">
        <f t="shared" si="1"/>
        <v/>
      </c>
      <c r="AT196" s="149" t="str">
        <f>IF('Cable Info'!P56="","",CONCATENATE('Cable Info'!P56," - ",'Cable Info'!Q56))</f>
        <v/>
      </c>
      <c r="AW196" s="149" t="str">
        <f t="shared" si="2"/>
        <v/>
      </c>
      <c r="AY196" s="149" t="str">
        <f>IF('Cable Info'!R56="","",CONCATENATE('Cable Info'!R56," - ",'Cable Info'!S56))</f>
        <v/>
      </c>
      <c r="BB196" s="149" t="str">
        <f t="shared" si="3"/>
        <v/>
      </c>
      <c r="BD196" s="149" t="str">
        <f>IF('Cable Info'!T56="","",CONCATENATE('Cable Info'!T56," - ",'Cable Info'!U56))</f>
        <v/>
      </c>
      <c r="BG196" s="149" t="str">
        <f t="shared" si="4"/>
        <v/>
      </c>
      <c r="BI196" s="149" t="str">
        <f>IF('Cable Info'!V56="","",CONCATENATE('Cable Info'!V56," - ",'Cable Info'!W56))</f>
        <v/>
      </c>
      <c r="BL196" s="149" t="str">
        <f t="shared" si="5"/>
        <v/>
      </c>
      <c r="CL196" s="309"/>
    </row>
    <row r="197" spans="1:90" x14ac:dyDescent="0.2">
      <c r="A197" s="222"/>
      <c r="B197" s="156"/>
      <c r="C197" s="142" t="str">
        <f>IFERROR(IF(B197="","",IF((COUNTIF('Cable Info'!$B$11:$C$50,B197)=0),VLOOKUP(B197,'Cable Info (2)'!$B$11:$C$50,2,FALSE),(VLOOKUP(B197,'Cable Info'!$B$11:$C$50,2,FALSE)))),"NO SUCH EXIT")</f>
        <v/>
      </c>
      <c r="D197" s="285"/>
      <c r="E197" s="312"/>
      <c r="F197" s="132" t="s">
        <v>59</v>
      </c>
      <c r="G197" s="315"/>
      <c r="H197" s="142" t="str">
        <f t="shared" si="11"/>
        <v/>
      </c>
      <c r="I197" s="317"/>
      <c r="J197" s="132" t="s">
        <v>59</v>
      </c>
      <c r="K197" s="321"/>
      <c r="L197" s="289"/>
      <c r="M197" s="142" t="str">
        <f>IFERROR(IF(P197="","",IF((COUNTIF('Cable Info'!$B$11:$C$50,P197)=0),VLOOKUP(P197,'Cable Info (2)'!$B$11:$C$50,2,FALSE),(VLOOKUP(P197,'Cable Info'!$B$11:$C$50,2,FALSE)))),"NO SUCH EXIT")</f>
        <v/>
      </c>
      <c r="N197" s="293"/>
      <c r="O197" s="234"/>
      <c r="P197" s="161"/>
      <c r="Q197" s="224"/>
      <c r="R197" s="162"/>
      <c r="S197" s="162"/>
      <c r="T197" s="166"/>
      <c r="U197" s="166"/>
      <c r="V197" s="167"/>
      <c r="W197" s="167"/>
      <c r="X197" s="229" t="str">
        <f t="shared" si="6"/>
        <v/>
      </c>
      <c r="Y197" s="147" t="str">
        <f t="shared" si="7"/>
        <v/>
      </c>
      <c r="Z197" s="148" t="str">
        <f t="shared" si="8"/>
        <v/>
      </c>
      <c r="AA197" s="148" t="str">
        <f t="shared" si="9"/>
        <v/>
      </c>
      <c r="AB197" s="148" t="str">
        <f t="shared" si="10"/>
        <v/>
      </c>
      <c r="AJ197" s="149" t="str">
        <f>IF('Cable Info'!L57="","",CONCATENATE('Cable Info'!L57," - ",'Cable Info'!M57))</f>
        <v/>
      </c>
      <c r="AM197" s="149" t="str">
        <f t="shared" si="0"/>
        <v/>
      </c>
      <c r="AO197" s="149" t="str">
        <f>IF('Cable Info'!N57="","",CONCATENATE('Cable Info'!N57," - ",'Cable Info'!O57))</f>
        <v/>
      </c>
      <c r="AR197" s="149" t="str">
        <f t="shared" si="1"/>
        <v/>
      </c>
      <c r="AT197" s="149" t="str">
        <f>IF('Cable Info'!P57="","",CONCATENATE('Cable Info'!P57," - ",'Cable Info'!Q57))</f>
        <v/>
      </c>
      <c r="AW197" s="149" t="str">
        <f t="shared" si="2"/>
        <v/>
      </c>
      <c r="AY197" s="149" t="str">
        <f>IF('Cable Info'!R57="","",CONCATENATE('Cable Info'!R57," - ",'Cable Info'!S57))</f>
        <v/>
      </c>
      <c r="BB197" s="149" t="str">
        <f t="shared" si="3"/>
        <v/>
      </c>
      <c r="BD197" s="149" t="str">
        <f>IF('Cable Info'!T57="","",CONCATENATE('Cable Info'!T57," - ",'Cable Info'!U57))</f>
        <v/>
      </c>
      <c r="BG197" s="149" t="str">
        <f t="shared" si="4"/>
        <v/>
      </c>
      <c r="BI197" s="149" t="str">
        <f>IF('Cable Info'!V57="","",CONCATENATE('Cable Info'!V57," - ",'Cable Info'!W57))</f>
        <v/>
      </c>
      <c r="BL197" s="149" t="str">
        <f t="shared" si="5"/>
        <v/>
      </c>
      <c r="CL197" s="309"/>
    </row>
    <row r="198" spans="1:90" x14ac:dyDescent="0.2">
      <c r="A198" s="222"/>
      <c r="B198" s="165"/>
      <c r="C198" s="142" t="str">
        <f>IFERROR(IF(B198="","",IF((COUNTIF('Cable Info'!$B$11:$C$50,B198)=0),VLOOKUP(B198,'Cable Info (2)'!$B$11:$C$50,2,FALSE),(VLOOKUP(B198,'Cable Info'!$B$11:$C$50,2,FALSE)))),"NO SUCH EXIT")</f>
        <v/>
      </c>
      <c r="D198" s="285"/>
      <c r="E198" s="312"/>
      <c r="F198" s="132" t="s">
        <v>59</v>
      </c>
      <c r="G198" s="315"/>
      <c r="H198" s="142" t="str">
        <f t="shared" si="11"/>
        <v/>
      </c>
      <c r="I198" s="317"/>
      <c r="J198" s="132" t="s">
        <v>59</v>
      </c>
      <c r="K198" s="321"/>
      <c r="L198" s="289"/>
      <c r="M198" s="142" t="str">
        <f>IFERROR(IF(P198="","",IF((COUNTIF('Cable Info'!$B$11:$C$50,P198)=0),VLOOKUP(P198,'Cable Info (2)'!$B$11:$C$50,2,FALSE),(VLOOKUP(P198,'Cable Info'!$B$11:$C$50,2,FALSE)))),"NO SUCH EXIT")</f>
        <v/>
      </c>
      <c r="N198" s="293"/>
      <c r="O198" s="234"/>
      <c r="P198" s="161"/>
      <c r="Q198" s="224"/>
      <c r="R198" s="162"/>
      <c r="S198" s="162"/>
      <c r="T198" s="166"/>
      <c r="U198" s="166"/>
      <c r="V198" s="167"/>
      <c r="W198" s="167"/>
      <c r="X198" s="229" t="str">
        <f t="shared" si="6"/>
        <v/>
      </c>
      <c r="Y198" s="147" t="str">
        <f t="shared" si="7"/>
        <v/>
      </c>
      <c r="Z198" s="148" t="str">
        <f t="shared" si="8"/>
        <v/>
      </c>
      <c r="AA198" s="148" t="str">
        <f t="shared" si="9"/>
        <v/>
      </c>
      <c r="AB198" s="148" t="str">
        <f t="shared" si="10"/>
        <v/>
      </c>
      <c r="AJ198" s="149" t="str">
        <f>IF('Cable Info'!L58="","",CONCATENATE('Cable Info'!L58," - ",'Cable Info'!M58))</f>
        <v/>
      </c>
      <c r="AM198" s="149" t="str">
        <f t="shared" si="0"/>
        <v/>
      </c>
      <c r="AO198" s="149" t="str">
        <f>IF('Cable Info'!N58="","",CONCATENATE('Cable Info'!N58," - ",'Cable Info'!O58))</f>
        <v/>
      </c>
      <c r="AR198" s="149" t="str">
        <f t="shared" si="1"/>
        <v/>
      </c>
      <c r="AT198" s="149" t="str">
        <f>IF('Cable Info'!P58="","",CONCATENATE('Cable Info'!P58," - ",'Cable Info'!Q58))</f>
        <v/>
      </c>
      <c r="AW198" s="149" t="str">
        <f t="shared" si="2"/>
        <v/>
      </c>
      <c r="AY198" s="149" t="str">
        <f>IF('Cable Info'!R58="","",CONCATENATE('Cable Info'!R58," - ",'Cable Info'!S58))</f>
        <v/>
      </c>
      <c r="BB198" s="149" t="str">
        <f t="shared" si="3"/>
        <v/>
      </c>
      <c r="BD198" s="149" t="str">
        <f>IF('Cable Info'!T58="","",CONCATENATE('Cable Info'!T58," - ",'Cable Info'!U58))</f>
        <v/>
      </c>
      <c r="BG198" s="149" t="str">
        <f t="shared" si="4"/>
        <v/>
      </c>
      <c r="BI198" s="149" t="str">
        <f>IF('Cable Info'!V58="","",CONCATENATE('Cable Info'!V58," - ",'Cable Info'!W58))</f>
        <v/>
      </c>
      <c r="BL198" s="149" t="str">
        <f t="shared" si="5"/>
        <v/>
      </c>
      <c r="CL198" s="309"/>
    </row>
    <row r="199" spans="1:90" x14ac:dyDescent="0.2">
      <c r="A199" s="222"/>
      <c r="B199" s="156"/>
      <c r="C199" s="142" t="str">
        <f>IFERROR(IF(B199="","",IF((COUNTIF('Cable Info'!$B$11:$C$50,B199)=0),VLOOKUP(B199,'Cable Info (2)'!$B$11:$C$50,2,FALSE),(VLOOKUP(B199,'Cable Info'!$B$11:$C$50,2,FALSE)))),"NO SUCH EXIT")</f>
        <v/>
      </c>
      <c r="D199" s="285"/>
      <c r="E199" s="312"/>
      <c r="F199" s="132" t="s">
        <v>59</v>
      </c>
      <c r="G199" s="315"/>
      <c r="H199" s="142" t="str">
        <f t="shared" si="11"/>
        <v/>
      </c>
      <c r="I199" s="317"/>
      <c r="J199" s="132" t="s">
        <v>59</v>
      </c>
      <c r="K199" s="321"/>
      <c r="L199" s="289"/>
      <c r="M199" s="142" t="str">
        <f>IFERROR(IF(P199="","",IF((COUNTIF('Cable Info'!$B$11:$C$50,P199)=0),VLOOKUP(P199,'Cable Info (2)'!$B$11:$C$50,2,FALSE),(VLOOKUP(P199,'Cable Info'!$B$11:$C$50,2,FALSE)))),"NO SUCH EXIT")</f>
        <v/>
      </c>
      <c r="N199" s="293"/>
      <c r="O199" s="234"/>
      <c r="P199" s="161"/>
      <c r="Q199" s="224"/>
      <c r="R199" s="162"/>
      <c r="S199" s="162"/>
      <c r="T199" s="166"/>
      <c r="U199" s="166"/>
      <c r="V199" s="167"/>
      <c r="W199" s="167"/>
      <c r="X199" s="229" t="str">
        <f t="shared" si="6"/>
        <v/>
      </c>
      <c r="Y199" s="147" t="str">
        <f t="shared" si="7"/>
        <v/>
      </c>
      <c r="Z199" s="148" t="str">
        <f t="shared" si="8"/>
        <v/>
      </c>
      <c r="AA199" s="148" t="str">
        <f t="shared" si="9"/>
        <v/>
      </c>
      <c r="AB199" s="148" t="str">
        <f t="shared" si="10"/>
        <v/>
      </c>
      <c r="AJ199" s="149" t="str">
        <f>IF('Cable Info'!L59="","",CONCATENATE('Cable Info'!L59," - ",'Cable Info'!M59))</f>
        <v/>
      </c>
      <c r="AM199" s="149" t="str">
        <f t="shared" si="0"/>
        <v/>
      </c>
      <c r="AO199" s="149" t="str">
        <f>IF('Cable Info'!N59="","",CONCATENATE('Cable Info'!N59," - ",'Cable Info'!O59))</f>
        <v/>
      </c>
      <c r="AR199" s="149" t="str">
        <f t="shared" si="1"/>
        <v/>
      </c>
      <c r="AT199" s="149" t="str">
        <f>IF('Cable Info'!P59="","",CONCATENATE('Cable Info'!P59," - ",'Cable Info'!Q59))</f>
        <v/>
      </c>
      <c r="AW199" s="149" t="str">
        <f t="shared" si="2"/>
        <v/>
      </c>
      <c r="AY199" s="149" t="str">
        <f>IF('Cable Info'!R59="","",CONCATENATE('Cable Info'!R59," - ",'Cable Info'!S59))</f>
        <v/>
      </c>
      <c r="BB199" s="149" t="str">
        <f t="shared" si="3"/>
        <v/>
      </c>
      <c r="BD199" s="149" t="str">
        <f>IF('Cable Info'!T59="","",CONCATENATE('Cable Info'!T59," - ",'Cable Info'!U59))</f>
        <v/>
      </c>
      <c r="BG199" s="149" t="str">
        <f t="shared" si="4"/>
        <v/>
      </c>
      <c r="BI199" s="149" t="str">
        <f>IF('Cable Info'!V59="","",CONCATENATE('Cable Info'!V59," - ",'Cable Info'!W59))</f>
        <v/>
      </c>
      <c r="BL199" s="149" t="str">
        <f t="shared" si="5"/>
        <v/>
      </c>
      <c r="CL199" s="309"/>
    </row>
    <row r="200" spans="1:90" x14ac:dyDescent="0.2">
      <c r="A200" s="222"/>
      <c r="B200" s="165"/>
      <c r="C200" s="142" t="str">
        <f>IFERROR(IF(B200="","",IF((COUNTIF('Cable Info'!$B$11:$C$50,B200)=0),VLOOKUP(B200,'Cable Info (2)'!$B$11:$C$50,2,FALSE),(VLOOKUP(B200,'Cable Info'!$B$11:$C$50,2,FALSE)))),"NO SUCH EXIT")</f>
        <v/>
      </c>
      <c r="D200" s="285"/>
      <c r="E200" s="312"/>
      <c r="F200" s="132" t="s">
        <v>59</v>
      </c>
      <c r="G200" s="315"/>
      <c r="H200" s="142" t="str">
        <f t="shared" si="11"/>
        <v/>
      </c>
      <c r="I200" s="317"/>
      <c r="J200" s="132" t="s">
        <v>59</v>
      </c>
      <c r="K200" s="321"/>
      <c r="L200" s="289"/>
      <c r="M200" s="142" t="str">
        <f>IFERROR(IF(P200="","",IF((COUNTIF('Cable Info'!$B$11:$C$50,P200)=0),VLOOKUP(P200,'Cable Info (2)'!$B$11:$C$50,2,FALSE),(VLOOKUP(P200,'Cable Info'!$B$11:$C$50,2,FALSE)))),"NO SUCH EXIT")</f>
        <v/>
      </c>
      <c r="N200" s="293"/>
      <c r="O200" s="234"/>
      <c r="P200" s="161"/>
      <c r="Q200" s="224"/>
      <c r="R200" s="162"/>
      <c r="S200" s="162"/>
      <c r="T200" s="166"/>
      <c r="U200" s="166"/>
      <c r="V200" s="167"/>
      <c r="W200" s="167"/>
      <c r="X200" s="229" t="str">
        <f t="shared" si="6"/>
        <v/>
      </c>
      <c r="Y200" s="147" t="str">
        <f t="shared" si="7"/>
        <v/>
      </c>
      <c r="Z200" s="148" t="str">
        <f t="shared" si="8"/>
        <v/>
      </c>
      <c r="AA200" s="148" t="str">
        <f t="shared" si="9"/>
        <v/>
      </c>
      <c r="AB200" s="148" t="str">
        <f t="shared" si="10"/>
        <v/>
      </c>
      <c r="AJ200" s="149" t="str">
        <f>IF('Cable Info'!L60="","",CONCATENATE('Cable Info'!L60," - ",'Cable Info'!M60))</f>
        <v/>
      </c>
      <c r="AM200" s="149" t="str">
        <f t="shared" si="0"/>
        <v/>
      </c>
      <c r="AO200" s="149" t="str">
        <f>IF('Cable Info'!N60="","",CONCATENATE('Cable Info'!N60," - ",'Cable Info'!O60))</f>
        <v/>
      </c>
      <c r="AR200" s="149" t="str">
        <f t="shared" si="1"/>
        <v/>
      </c>
      <c r="AT200" s="149" t="str">
        <f>IF('Cable Info'!P60="","",CONCATENATE('Cable Info'!P60," - ",'Cable Info'!Q60))</f>
        <v/>
      </c>
      <c r="AW200" s="149" t="str">
        <f t="shared" si="2"/>
        <v/>
      </c>
      <c r="AY200" s="149" t="str">
        <f>IF('Cable Info'!R60="","",CONCATENATE('Cable Info'!R60," - ",'Cable Info'!S60))</f>
        <v/>
      </c>
      <c r="BB200" s="149" t="str">
        <f t="shared" si="3"/>
        <v/>
      </c>
      <c r="BD200" s="149" t="str">
        <f>IF('Cable Info'!T60="","",CONCATENATE('Cable Info'!T60," - ",'Cable Info'!U60))</f>
        <v/>
      </c>
      <c r="BG200" s="149" t="str">
        <f t="shared" si="4"/>
        <v/>
      </c>
      <c r="BI200" s="149" t="str">
        <f>IF('Cable Info'!V60="","",CONCATENATE('Cable Info'!V60," - ",'Cable Info'!W60))</f>
        <v/>
      </c>
      <c r="BL200" s="149" t="str">
        <f t="shared" si="5"/>
        <v/>
      </c>
      <c r="CL200" s="309"/>
    </row>
    <row r="201" spans="1:90" x14ac:dyDescent="0.2">
      <c r="A201" s="222"/>
      <c r="B201" s="156"/>
      <c r="C201" s="142" t="str">
        <f>IFERROR(IF(B201="","",IF((COUNTIF('Cable Info'!$B$11:$C$50,B201)=0),VLOOKUP(B201,'Cable Info (2)'!$B$11:$C$50,2,FALSE),(VLOOKUP(B201,'Cable Info'!$B$11:$C$50,2,FALSE)))),"NO SUCH EXIT")</f>
        <v/>
      </c>
      <c r="D201" s="285"/>
      <c r="E201" s="312"/>
      <c r="F201" s="132" t="s">
        <v>59</v>
      </c>
      <c r="G201" s="315"/>
      <c r="H201" s="142" t="str">
        <f t="shared" si="11"/>
        <v/>
      </c>
      <c r="I201" s="317"/>
      <c r="J201" s="132" t="s">
        <v>59</v>
      </c>
      <c r="K201" s="321"/>
      <c r="L201" s="289"/>
      <c r="M201" s="142" t="str">
        <f>IFERROR(IF(P201="","",IF((COUNTIF('Cable Info'!$B$11:$C$50,P201)=0),VLOOKUP(P201,'Cable Info (2)'!$B$11:$C$50,2,FALSE),(VLOOKUP(P201,'Cable Info'!$B$11:$C$50,2,FALSE)))),"NO SUCH EXIT")</f>
        <v/>
      </c>
      <c r="N201" s="293"/>
      <c r="O201" s="234"/>
      <c r="P201" s="161"/>
      <c r="Q201" s="224"/>
      <c r="R201" s="162"/>
      <c r="S201" s="162"/>
      <c r="T201" s="166"/>
      <c r="U201" s="166"/>
      <c r="V201" s="167"/>
      <c r="W201" s="167"/>
      <c r="X201" s="229" t="str">
        <f t="shared" si="6"/>
        <v/>
      </c>
      <c r="Y201" s="147" t="str">
        <f t="shared" si="7"/>
        <v/>
      </c>
      <c r="Z201" s="148" t="str">
        <f t="shared" si="8"/>
        <v/>
      </c>
      <c r="AA201" s="148" t="str">
        <f t="shared" si="9"/>
        <v/>
      </c>
      <c r="AB201" s="148" t="str">
        <f t="shared" si="10"/>
        <v/>
      </c>
      <c r="AJ201" s="149" t="str">
        <f>IF('Cable Info'!L61="","",CONCATENATE('Cable Info'!L61," - ",'Cable Info'!M61))</f>
        <v/>
      </c>
      <c r="AM201" s="149" t="str">
        <f t="shared" si="0"/>
        <v/>
      </c>
      <c r="AO201" s="149" t="str">
        <f>IF('Cable Info'!N61="","",CONCATENATE('Cable Info'!N61," - ",'Cable Info'!O61))</f>
        <v/>
      </c>
      <c r="AR201" s="149" t="str">
        <f t="shared" si="1"/>
        <v/>
      </c>
      <c r="AT201" s="149" t="str">
        <f>IF('Cable Info'!P61="","",CONCATENATE('Cable Info'!P61," - ",'Cable Info'!Q61))</f>
        <v/>
      </c>
      <c r="AW201" s="149" t="str">
        <f t="shared" si="2"/>
        <v/>
      </c>
      <c r="AY201" s="149" t="str">
        <f>IF('Cable Info'!R61="","",CONCATENATE('Cable Info'!R61," - ",'Cable Info'!S61))</f>
        <v/>
      </c>
      <c r="BB201" s="149" t="str">
        <f t="shared" si="3"/>
        <v/>
      </c>
      <c r="BD201" s="149" t="str">
        <f>IF('Cable Info'!T61="","",CONCATENATE('Cable Info'!T61," - ",'Cable Info'!U61))</f>
        <v/>
      </c>
      <c r="BG201" s="149" t="str">
        <f t="shared" si="4"/>
        <v/>
      </c>
      <c r="BI201" s="149" t="str">
        <f>IF('Cable Info'!V61="","",CONCATENATE('Cable Info'!V61," - ",'Cable Info'!W61))</f>
        <v/>
      </c>
      <c r="BL201" s="149" t="str">
        <f t="shared" si="5"/>
        <v/>
      </c>
      <c r="CL201" s="309"/>
    </row>
    <row r="202" spans="1:90" x14ac:dyDescent="0.2">
      <c r="A202" s="222"/>
      <c r="B202" s="165"/>
      <c r="C202" s="142" t="str">
        <f>IFERROR(IF(B202="","",IF((COUNTIF('Cable Info'!$B$11:$C$50,B202)=0),VLOOKUP(B202,'Cable Info (2)'!$B$11:$C$50,2,FALSE),(VLOOKUP(B202,'Cable Info'!$B$11:$C$50,2,FALSE)))),"NO SUCH EXIT")</f>
        <v/>
      </c>
      <c r="D202" s="285"/>
      <c r="E202" s="312"/>
      <c r="F202" s="132" t="s">
        <v>59</v>
      </c>
      <c r="G202" s="315"/>
      <c r="H202" s="142" t="str">
        <f t="shared" si="11"/>
        <v/>
      </c>
      <c r="I202" s="317"/>
      <c r="J202" s="132" t="s">
        <v>59</v>
      </c>
      <c r="K202" s="321"/>
      <c r="L202" s="289"/>
      <c r="M202" s="142" t="str">
        <f>IFERROR(IF(P202="","",IF((COUNTIF('Cable Info'!$B$11:$C$50,P202)=0),VLOOKUP(P202,'Cable Info (2)'!$B$11:$C$50,2,FALSE),(VLOOKUP(P202,'Cable Info'!$B$11:$C$50,2,FALSE)))),"NO SUCH EXIT")</f>
        <v/>
      </c>
      <c r="N202" s="293"/>
      <c r="O202" s="234"/>
      <c r="P202" s="161"/>
      <c r="Q202" s="224"/>
      <c r="R202" s="162"/>
      <c r="S202" s="162"/>
      <c r="T202" s="166"/>
      <c r="U202" s="166"/>
      <c r="V202" s="167"/>
      <c r="W202" s="167"/>
      <c r="X202" s="229" t="str">
        <f t="shared" si="6"/>
        <v/>
      </c>
      <c r="Y202" s="147" t="str">
        <f t="shared" si="7"/>
        <v/>
      </c>
      <c r="Z202" s="148" t="str">
        <f t="shared" si="8"/>
        <v/>
      </c>
      <c r="AA202" s="148" t="str">
        <f t="shared" si="9"/>
        <v/>
      </c>
      <c r="AB202" s="148" t="str">
        <f t="shared" si="10"/>
        <v/>
      </c>
      <c r="AJ202" s="149" t="str">
        <f>IF('Cable Info'!L62="","",CONCATENATE('Cable Info'!L62," - ",'Cable Info'!M62))</f>
        <v/>
      </c>
      <c r="AM202" s="149" t="str">
        <f t="shared" si="0"/>
        <v/>
      </c>
      <c r="AO202" s="149" t="str">
        <f>IF('Cable Info'!N62="","",CONCATENATE('Cable Info'!N62," - ",'Cable Info'!O62))</f>
        <v/>
      </c>
      <c r="AR202" s="149" t="str">
        <f t="shared" si="1"/>
        <v/>
      </c>
      <c r="AT202" s="149" t="str">
        <f>IF('Cable Info'!P62="","",CONCATENATE('Cable Info'!P62," - ",'Cable Info'!Q62))</f>
        <v/>
      </c>
      <c r="AW202" s="149" t="str">
        <f t="shared" si="2"/>
        <v/>
      </c>
      <c r="AY202" s="149" t="str">
        <f>IF('Cable Info'!R62="","",CONCATENATE('Cable Info'!R62," - ",'Cable Info'!S62))</f>
        <v/>
      </c>
      <c r="BB202" s="149" t="str">
        <f t="shared" si="3"/>
        <v/>
      </c>
      <c r="BD202" s="149" t="str">
        <f>IF('Cable Info'!T62="","",CONCATENATE('Cable Info'!T62," - ",'Cable Info'!U62))</f>
        <v/>
      </c>
      <c r="BG202" s="149" t="str">
        <f t="shared" si="4"/>
        <v/>
      </c>
      <c r="BI202" s="149" t="str">
        <f>IF('Cable Info'!V62="","",CONCATENATE('Cable Info'!V62," - ",'Cable Info'!W62))</f>
        <v/>
      </c>
      <c r="BL202" s="149" t="str">
        <f t="shared" si="5"/>
        <v/>
      </c>
      <c r="CL202" s="309"/>
    </row>
    <row r="203" spans="1:90" x14ac:dyDescent="0.2">
      <c r="A203" s="222"/>
      <c r="B203" s="156"/>
      <c r="C203" s="142" t="str">
        <f>IFERROR(IF(B203="","",IF((COUNTIF('Cable Info'!$B$11:$C$50,B203)=0),VLOOKUP(B203,'Cable Info (2)'!$B$11:$C$50,2,FALSE),(VLOOKUP(B203,'Cable Info'!$B$11:$C$50,2,FALSE)))),"NO SUCH EXIT")</f>
        <v/>
      </c>
      <c r="D203" s="285"/>
      <c r="E203" s="312"/>
      <c r="F203" s="132" t="s">
        <v>59</v>
      </c>
      <c r="G203" s="315"/>
      <c r="H203" s="142" t="str">
        <f t="shared" si="11"/>
        <v/>
      </c>
      <c r="I203" s="317"/>
      <c r="J203" s="132" t="s">
        <v>59</v>
      </c>
      <c r="K203" s="321"/>
      <c r="L203" s="289"/>
      <c r="M203" s="142" t="str">
        <f>IFERROR(IF(P203="","",IF((COUNTIF('Cable Info'!$B$11:$C$50,P203)=0),VLOOKUP(P203,'Cable Info (2)'!$B$11:$C$50,2,FALSE),(VLOOKUP(P203,'Cable Info'!$B$11:$C$50,2,FALSE)))),"NO SUCH EXIT")</f>
        <v/>
      </c>
      <c r="N203" s="293"/>
      <c r="O203" s="234"/>
      <c r="P203" s="161"/>
      <c r="Q203" s="224"/>
      <c r="R203" s="162"/>
      <c r="S203" s="162"/>
      <c r="T203" s="166"/>
      <c r="U203" s="166"/>
      <c r="V203" s="167"/>
      <c r="W203" s="167"/>
      <c r="X203" s="229" t="str">
        <f t="shared" si="6"/>
        <v/>
      </c>
      <c r="Y203" s="147" t="str">
        <f t="shared" si="7"/>
        <v/>
      </c>
      <c r="Z203" s="148" t="str">
        <f t="shared" si="8"/>
        <v/>
      </c>
      <c r="AA203" s="148" t="str">
        <f t="shared" si="9"/>
        <v/>
      </c>
      <c r="AB203" s="148" t="str">
        <f t="shared" si="10"/>
        <v/>
      </c>
      <c r="AJ203" s="149" t="str">
        <f>IF('Cable Info'!L63="","",CONCATENATE('Cable Info'!L63," - ",'Cable Info'!M63))</f>
        <v/>
      </c>
      <c r="AM203" s="149" t="str">
        <f t="shared" si="0"/>
        <v/>
      </c>
      <c r="AO203" s="149" t="str">
        <f>IF('Cable Info'!N63="","",CONCATENATE('Cable Info'!N63," - ",'Cable Info'!O63))</f>
        <v/>
      </c>
      <c r="AR203" s="149" t="str">
        <f t="shared" si="1"/>
        <v/>
      </c>
      <c r="AT203" s="149" t="str">
        <f>IF('Cable Info'!P63="","",CONCATENATE('Cable Info'!P63," - ",'Cable Info'!Q63))</f>
        <v/>
      </c>
      <c r="AW203" s="149" t="str">
        <f t="shared" si="2"/>
        <v/>
      </c>
      <c r="AY203" s="149" t="str">
        <f>IF('Cable Info'!R63="","",CONCATENATE('Cable Info'!R63," - ",'Cable Info'!S63))</f>
        <v/>
      </c>
      <c r="BB203" s="149" t="str">
        <f t="shared" si="3"/>
        <v/>
      </c>
      <c r="BD203" s="149" t="str">
        <f>IF('Cable Info'!T63="","",CONCATENATE('Cable Info'!T63," - ",'Cable Info'!U63))</f>
        <v/>
      </c>
      <c r="BG203" s="149" t="str">
        <f t="shared" si="4"/>
        <v/>
      </c>
      <c r="BI203" s="149" t="str">
        <f>IF('Cable Info'!V63="","",CONCATENATE('Cable Info'!V63," - ",'Cable Info'!W63))</f>
        <v/>
      </c>
      <c r="BL203" s="149" t="str">
        <f t="shared" si="5"/>
        <v/>
      </c>
      <c r="CL203" s="309"/>
    </row>
    <row r="204" spans="1:90" x14ac:dyDescent="0.2">
      <c r="A204" s="222"/>
      <c r="B204" s="165"/>
      <c r="C204" s="142" t="str">
        <f>IFERROR(IF(B204="","",IF((COUNTIF('Cable Info'!$B$11:$C$50,B204)=0),VLOOKUP(B204,'Cable Info (2)'!$B$11:$C$50,2,FALSE),(VLOOKUP(B204,'Cable Info'!$B$11:$C$50,2,FALSE)))),"NO SUCH EXIT")</f>
        <v/>
      </c>
      <c r="D204" s="285"/>
      <c r="E204" s="312"/>
      <c r="F204" s="132" t="s">
        <v>59</v>
      </c>
      <c r="G204" s="315"/>
      <c r="H204" s="142" t="str">
        <f t="shared" si="11"/>
        <v/>
      </c>
      <c r="I204" s="317"/>
      <c r="J204" s="132" t="s">
        <v>59</v>
      </c>
      <c r="K204" s="321"/>
      <c r="L204" s="289"/>
      <c r="M204" s="142" t="str">
        <f>IFERROR(IF(P204="","",IF((COUNTIF('Cable Info'!$B$11:$C$50,P204)=0),VLOOKUP(P204,'Cable Info (2)'!$B$11:$C$50,2,FALSE),(VLOOKUP(P204,'Cable Info'!$B$11:$C$50,2,FALSE)))),"NO SUCH EXIT")</f>
        <v/>
      </c>
      <c r="N204" s="293"/>
      <c r="O204" s="234"/>
      <c r="P204" s="161"/>
      <c r="Q204" s="224"/>
      <c r="R204" s="162"/>
      <c r="S204" s="162"/>
      <c r="T204" s="166"/>
      <c r="U204" s="166"/>
      <c r="V204" s="167"/>
      <c r="W204" s="167"/>
      <c r="X204" s="229" t="str">
        <f t="shared" si="6"/>
        <v/>
      </c>
      <c r="Y204" s="147" t="str">
        <f t="shared" si="7"/>
        <v/>
      </c>
      <c r="Z204" s="148" t="str">
        <f t="shared" si="8"/>
        <v/>
      </c>
      <c r="AA204" s="148" t="str">
        <f t="shared" si="9"/>
        <v/>
      </c>
      <c r="AB204" s="148" t="str">
        <f t="shared" si="10"/>
        <v/>
      </c>
      <c r="AJ204" s="149" t="str">
        <f>IF('Cable Info'!L64="","",CONCATENATE('Cable Info'!L64," - ",'Cable Info'!M64))</f>
        <v/>
      </c>
      <c r="AM204" s="149" t="str">
        <f t="shared" si="0"/>
        <v/>
      </c>
      <c r="AO204" s="149" t="str">
        <f>IF('Cable Info'!N64="","",CONCATENATE('Cable Info'!N64," - ",'Cable Info'!O64))</f>
        <v/>
      </c>
      <c r="AR204" s="149" t="str">
        <f t="shared" si="1"/>
        <v/>
      </c>
      <c r="AT204" s="149" t="str">
        <f>IF('Cable Info'!P64="","",CONCATENATE('Cable Info'!P64," - ",'Cable Info'!Q64))</f>
        <v/>
      </c>
      <c r="AW204" s="149" t="str">
        <f t="shared" si="2"/>
        <v/>
      </c>
      <c r="AY204" s="149" t="str">
        <f>IF('Cable Info'!R64="","",CONCATENATE('Cable Info'!R64," - ",'Cable Info'!S64))</f>
        <v/>
      </c>
      <c r="BB204" s="149" t="str">
        <f t="shared" si="3"/>
        <v/>
      </c>
      <c r="BD204" s="149" t="str">
        <f>IF('Cable Info'!T64="","",CONCATENATE('Cable Info'!T64," - ",'Cable Info'!U64))</f>
        <v/>
      </c>
      <c r="BG204" s="149" t="str">
        <f t="shared" si="4"/>
        <v/>
      </c>
      <c r="BI204" s="149" t="str">
        <f>IF('Cable Info'!V64="","",CONCATENATE('Cable Info'!V64," - ",'Cable Info'!W64))</f>
        <v/>
      </c>
      <c r="BL204" s="149" t="str">
        <f t="shared" si="5"/>
        <v/>
      </c>
      <c r="CL204" s="309"/>
    </row>
    <row r="205" spans="1:90" x14ac:dyDescent="0.2">
      <c r="A205" s="222"/>
      <c r="B205" s="169"/>
      <c r="C205" s="142" t="str">
        <f>IFERROR(IF(B205="","",IF((COUNTIF('Cable Info'!$B$11:$C$50,B205)=0),VLOOKUP(B205,'Cable Info (2)'!$B$11:$C$50,2,FALSE),(VLOOKUP(B205,'Cable Info'!$B$11:$C$50,2,FALSE)))),"NO SUCH EXIT")</f>
        <v/>
      </c>
      <c r="D205" s="286"/>
      <c r="E205" s="312"/>
      <c r="F205" s="132" t="s">
        <v>59</v>
      </c>
      <c r="G205" s="315"/>
      <c r="H205" s="142" t="str">
        <f t="shared" si="11"/>
        <v/>
      </c>
      <c r="I205" s="317"/>
      <c r="J205" s="132" t="s">
        <v>59</v>
      </c>
      <c r="K205" s="321"/>
      <c r="L205" s="290"/>
      <c r="M205" s="142" t="str">
        <f>IFERROR(IF(P205="","",IF((COUNTIF('Cable Info'!$B$11:$C$50,P205)=0),VLOOKUP(P205,'Cable Info (2)'!$B$11:$C$50,2,FALSE),(VLOOKUP(P205,'Cable Info'!$B$11:$C$50,2,FALSE)))),"NO SUCH EXIT")</f>
        <v/>
      </c>
      <c r="N205" s="294"/>
      <c r="O205" s="235"/>
      <c r="P205" s="170"/>
      <c r="Q205" s="224"/>
      <c r="R205" s="168"/>
      <c r="S205" s="168"/>
      <c r="T205" s="166"/>
      <c r="U205" s="166"/>
      <c r="V205" s="167"/>
      <c r="W205" s="167"/>
      <c r="X205" s="229" t="str">
        <f t="shared" si="6"/>
        <v/>
      </c>
      <c r="Y205" s="147" t="str">
        <f t="shared" si="7"/>
        <v/>
      </c>
      <c r="Z205" s="148" t="str">
        <f t="shared" si="8"/>
        <v/>
      </c>
      <c r="AA205" s="148" t="str">
        <f t="shared" si="9"/>
        <v/>
      </c>
      <c r="AB205" s="148" t="str">
        <f t="shared" si="10"/>
        <v/>
      </c>
      <c r="AJ205" s="149" t="str">
        <f>IF('Cable Info'!L65="","",CONCATENATE('Cable Info'!L65," - ",'Cable Info'!M65))</f>
        <v/>
      </c>
      <c r="AM205" s="149" t="str">
        <f t="shared" si="0"/>
        <v/>
      </c>
      <c r="AO205" s="149" t="str">
        <f>IF('Cable Info'!N65="","",CONCATENATE('Cable Info'!N65," - ",'Cable Info'!O65))</f>
        <v/>
      </c>
      <c r="AR205" s="149" t="str">
        <f t="shared" si="1"/>
        <v/>
      </c>
      <c r="AT205" s="149" t="str">
        <f>IF('Cable Info'!P65="","",CONCATENATE('Cable Info'!P65," - ",'Cable Info'!Q65))</f>
        <v/>
      </c>
      <c r="AW205" s="149" t="str">
        <f t="shared" si="2"/>
        <v/>
      </c>
      <c r="AY205" s="149" t="str">
        <f>IF('Cable Info'!R65="","",CONCATENATE('Cable Info'!R65," - ",'Cable Info'!S65))</f>
        <v/>
      </c>
      <c r="BB205" s="149" t="str">
        <f t="shared" si="3"/>
        <v/>
      </c>
      <c r="BD205" s="149" t="str">
        <f>IF('Cable Info'!T65="","",CONCATENATE('Cable Info'!T65," - ",'Cable Info'!U65))</f>
        <v/>
      </c>
      <c r="BG205" s="149" t="str">
        <f t="shared" si="4"/>
        <v/>
      </c>
      <c r="BI205" s="149" t="str">
        <f>IF('Cable Info'!V65="","",CONCATENATE('Cable Info'!V65," - ",'Cable Info'!W65))</f>
        <v/>
      </c>
      <c r="BL205" s="149" t="str">
        <f t="shared" si="5"/>
        <v/>
      </c>
      <c r="CL205" s="309"/>
    </row>
    <row r="206" spans="1:90" x14ac:dyDescent="0.2">
      <c r="A206" s="222"/>
      <c r="B206" s="169"/>
      <c r="C206" s="142" t="str">
        <f>IFERROR(IF(B206="","",IF((COUNTIF('Cable Info'!$B$11:$C$50,B206)=0),VLOOKUP(B206,'Cable Info (2)'!$B$11:$C$50,2,FALSE),(VLOOKUP(B206,'Cable Info'!$B$11:$C$50,2,FALSE)))),"NO SUCH EXIT")</f>
        <v/>
      </c>
      <c r="D206" s="286"/>
      <c r="E206" s="312"/>
      <c r="F206" s="132" t="s">
        <v>59</v>
      </c>
      <c r="G206" s="315"/>
      <c r="H206" s="142" t="str">
        <f t="shared" si="11"/>
        <v/>
      </c>
      <c r="I206" s="317"/>
      <c r="J206" s="132" t="s">
        <v>59</v>
      </c>
      <c r="K206" s="321"/>
      <c r="L206" s="290"/>
      <c r="M206" s="142" t="str">
        <f>IFERROR(IF(P206="","",IF((COUNTIF('Cable Info'!$B$11:$C$50,P206)=0),VLOOKUP(P206,'Cable Info (2)'!$B$11:$C$50,2,FALSE),(VLOOKUP(P206,'Cable Info'!$B$11:$C$50,2,FALSE)))),"NO SUCH EXIT")</f>
        <v/>
      </c>
      <c r="N206" s="294"/>
      <c r="O206" s="235"/>
      <c r="P206" s="170"/>
      <c r="Q206" s="224"/>
      <c r="R206" s="168"/>
      <c r="S206" s="168"/>
      <c r="T206" s="166"/>
      <c r="U206" s="166"/>
      <c r="V206" s="167"/>
      <c r="W206" s="167"/>
      <c r="X206" s="229" t="str">
        <f t="shared" si="6"/>
        <v/>
      </c>
      <c r="Y206" s="147" t="str">
        <f t="shared" si="7"/>
        <v/>
      </c>
      <c r="Z206" s="148" t="str">
        <f t="shared" si="8"/>
        <v/>
      </c>
      <c r="AA206" s="148" t="str">
        <f t="shared" si="9"/>
        <v/>
      </c>
      <c r="AB206" s="148" t="str">
        <f t="shared" si="10"/>
        <v/>
      </c>
      <c r="AJ206" s="149" t="str">
        <f>IF('Cable Info'!L66="","",CONCATENATE('Cable Info'!L66," - ",'Cable Info'!M66))</f>
        <v/>
      </c>
      <c r="AM206" s="149" t="str">
        <f t="shared" si="0"/>
        <v/>
      </c>
      <c r="AO206" s="149" t="str">
        <f>IF('Cable Info'!N66="","",CONCATENATE('Cable Info'!N66," - ",'Cable Info'!O66))</f>
        <v/>
      </c>
      <c r="AR206" s="149" t="str">
        <f t="shared" si="1"/>
        <v/>
      </c>
      <c r="AT206" s="149" t="str">
        <f>IF('Cable Info'!P66="","",CONCATENATE('Cable Info'!P66," - ",'Cable Info'!Q66))</f>
        <v/>
      </c>
      <c r="AW206" s="149" t="str">
        <f t="shared" si="2"/>
        <v/>
      </c>
      <c r="AY206" s="149" t="str">
        <f>IF('Cable Info'!R66="","",CONCATENATE('Cable Info'!R66," - ",'Cable Info'!S66))</f>
        <v/>
      </c>
      <c r="BB206" s="149" t="str">
        <f t="shared" si="3"/>
        <v/>
      </c>
      <c r="BD206" s="149" t="str">
        <f>IF('Cable Info'!T66="","",CONCATENATE('Cable Info'!T66," - ",'Cable Info'!U66))</f>
        <v/>
      </c>
      <c r="BG206" s="149" t="str">
        <f t="shared" si="4"/>
        <v/>
      </c>
      <c r="BI206" s="149" t="str">
        <f>IF('Cable Info'!V66="","",CONCATENATE('Cable Info'!V66," - ",'Cable Info'!W66))</f>
        <v/>
      </c>
      <c r="BL206" s="149" t="str">
        <f t="shared" si="5"/>
        <v/>
      </c>
      <c r="CL206" s="309"/>
    </row>
    <row r="207" spans="1:90" x14ac:dyDescent="0.2">
      <c r="A207" s="222"/>
      <c r="B207" s="169"/>
      <c r="C207" s="142" t="str">
        <f>IFERROR(IF(B207="","",IF((COUNTIF('Cable Info'!$B$11:$C$50,B207)=0),VLOOKUP(B207,'Cable Info (2)'!$B$11:$C$50,2,FALSE),(VLOOKUP(B207,'Cable Info'!$B$11:$C$50,2,FALSE)))),"NO SUCH EXIT")</f>
        <v/>
      </c>
      <c r="D207" s="286"/>
      <c r="E207" s="312"/>
      <c r="F207" s="132" t="s">
        <v>59</v>
      </c>
      <c r="G207" s="315"/>
      <c r="H207" s="142" t="str">
        <f t="shared" si="11"/>
        <v/>
      </c>
      <c r="I207" s="317"/>
      <c r="J207" s="132" t="s">
        <v>59</v>
      </c>
      <c r="K207" s="321"/>
      <c r="L207" s="290"/>
      <c r="M207" s="142" t="str">
        <f>IFERROR(IF(P207="","",IF((COUNTIF('Cable Info'!$B$11:$C$50,P207)=0),VLOOKUP(P207,'Cable Info (2)'!$B$11:$C$50,2,FALSE),(VLOOKUP(P207,'Cable Info'!$B$11:$C$50,2,FALSE)))),"NO SUCH EXIT")</f>
        <v/>
      </c>
      <c r="N207" s="294"/>
      <c r="O207" s="235"/>
      <c r="P207" s="170"/>
      <c r="Q207" s="224"/>
      <c r="R207" s="168"/>
      <c r="S207" s="168"/>
      <c r="T207" s="166"/>
      <c r="U207" s="166"/>
      <c r="V207" s="167"/>
      <c r="W207" s="167"/>
      <c r="X207" s="229" t="str">
        <f t="shared" si="6"/>
        <v/>
      </c>
      <c r="Y207" s="147" t="str">
        <f t="shared" si="7"/>
        <v/>
      </c>
      <c r="Z207" s="148" t="str">
        <f t="shared" si="8"/>
        <v/>
      </c>
      <c r="AA207" s="148" t="str">
        <f t="shared" si="9"/>
        <v/>
      </c>
      <c r="AB207" s="148" t="str">
        <f t="shared" si="10"/>
        <v/>
      </c>
      <c r="AJ207" s="149" t="str">
        <f>IF('Cable Info'!L67="","",CONCATENATE('Cable Info'!L67," - ",'Cable Info'!M67))</f>
        <v/>
      </c>
      <c r="AM207" s="149" t="str">
        <f t="shared" ref="AM207:AM270" si="36">IF(AK207="",AJ207,CONCATENATE(AJ207,"  &lt;=&gt; ",AK207," ",AL207))</f>
        <v/>
      </c>
      <c r="AO207" s="149" t="str">
        <f>IF('Cable Info'!N67="","",CONCATENATE('Cable Info'!N67," - ",'Cable Info'!O67))</f>
        <v/>
      </c>
      <c r="AR207" s="149" t="str">
        <f t="shared" ref="AR207:AR270" si="37">IF(AP207="",AO207,CONCATENATE(AO207,"  &lt;=&gt; ",AP207," ",AQ207))</f>
        <v/>
      </c>
      <c r="AT207" s="149" t="str">
        <f>IF('Cable Info'!P67="","",CONCATENATE('Cable Info'!P67," - ",'Cable Info'!Q67))</f>
        <v/>
      </c>
      <c r="AW207" s="149" t="str">
        <f t="shared" ref="AW207:AW270" si="38">IF(AU207="",AT207,CONCATENATE(AT207,"  &lt;=&gt; ",AU207," ",AV207))</f>
        <v/>
      </c>
      <c r="AY207" s="149" t="str">
        <f>IF('Cable Info'!R67="","",CONCATENATE('Cable Info'!R67," - ",'Cable Info'!S67))</f>
        <v/>
      </c>
      <c r="BB207" s="149" t="str">
        <f t="shared" ref="BB207:BB270" si="39">IF(AZ207="",AY207,CONCATENATE(AY207,"  &lt;=&gt; ",AZ207," ",BA207))</f>
        <v/>
      </c>
      <c r="BD207" s="149" t="str">
        <f>IF('Cable Info'!T67="","",CONCATENATE('Cable Info'!T67," - ",'Cable Info'!U67))</f>
        <v/>
      </c>
      <c r="BG207" s="149" t="str">
        <f t="shared" ref="BG207:BG270" si="40">IF(BE207="",BD207,CONCATENATE(BD207,"  &lt;=&gt; ",BE207," ",BF207))</f>
        <v/>
      </c>
      <c r="BI207" s="149" t="str">
        <f>IF('Cable Info'!V67="","",CONCATENATE('Cable Info'!V67," - ",'Cable Info'!W67))</f>
        <v/>
      </c>
      <c r="BL207" s="149" t="str">
        <f t="shared" ref="BL207:BL270" si="41">IF(BJ207="",BI207,CONCATENATE(BI207,"  &lt;=&gt; ",BJ207," ",BK207))</f>
        <v/>
      </c>
      <c r="CL207" s="309"/>
    </row>
    <row r="208" spans="1:90" x14ac:dyDescent="0.2">
      <c r="A208" s="222"/>
      <c r="B208" s="169"/>
      <c r="C208" s="142" t="str">
        <f>IFERROR(IF(B208="","",IF((COUNTIF('Cable Info'!$B$11:$C$50,B208)=0),VLOOKUP(B208,'Cable Info (2)'!$B$11:$C$50,2,FALSE),(VLOOKUP(B208,'Cable Info'!$B$11:$C$50,2,FALSE)))),"NO SUCH EXIT")</f>
        <v/>
      </c>
      <c r="D208" s="286"/>
      <c r="E208" s="312"/>
      <c r="F208" s="132" t="s">
        <v>59</v>
      </c>
      <c r="G208" s="315"/>
      <c r="H208" s="142" t="str">
        <f t="shared" si="11"/>
        <v/>
      </c>
      <c r="I208" s="317"/>
      <c r="J208" s="132" t="s">
        <v>59</v>
      </c>
      <c r="K208" s="321"/>
      <c r="L208" s="290"/>
      <c r="M208" s="142" t="str">
        <f>IFERROR(IF(P208="","",IF((COUNTIF('Cable Info'!$B$11:$C$50,P208)=0),VLOOKUP(P208,'Cable Info (2)'!$B$11:$C$50,2,FALSE),(VLOOKUP(P208,'Cable Info'!$B$11:$C$50,2,FALSE)))),"NO SUCH EXIT")</f>
        <v/>
      </c>
      <c r="N208" s="294"/>
      <c r="O208" s="235"/>
      <c r="P208" s="170"/>
      <c r="Q208" s="224"/>
      <c r="R208" s="168"/>
      <c r="S208" s="168"/>
      <c r="T208" s="166"/>
      <c r="U208" s="166"/>
      <c r="V208" s="167"/>
      <c r="W208" s="167"/>
      <c r="X208" s="229" t="str">
        <f t="shared" si="6"/>
        <v/>
      </c>
      <c r="Y208" s="147" t="str">
        <f t="shared" si="7"/>
        <v/>
      </c>
      <c r="Z208" s="148" t="str">
        <f t="shared" si="8"/>
        <v/>
      </c>
      <c r="AA208" s="148" t="str">
        <f t="shared" si="9"/>
        <v/>
      </c>
      <c r="AB208" s="148" t="str">
        <f t="shared" si="10"/>
        <v/>
      </c>
      <c r="AJ208" s="149" t="str">
        <f>IF('Cable Info'!L68="","",CONCATENATE('Cable Info'!L68," - ",'Cable Info'!M68))</f>
        <v/>
      </c>
      <c r="AM208" s="149" t="str">
        <f t="shared" si="36"/>
        <v/>
      </c>
      <c r="AO208" s="149" t="str">
        <f>IF('Cable Info'!N68="","",CONCATENATE('Cable Info'!N68," - ",'Cable Info'!O68))</f>
        <v/>
      </c>
      <c r="AR208" s="149" t="str">
        <f t="shared" si="37"/>
        <v/>
      </c>
      <c r="AT208" s="149" t="str">
        <f>IF('Cable Info'!P68="","",CONCATENATE('Cable Info'!P68," - ",'Cable Info'!Q68))</f>
        <v/>
      </c>
      <c r="AW208" s="149" t="str">
        <f t="shared" si="38"/>
        <v/>
      </c>
      <c r="AY208" s="149" t="str">
        <f>IF('Cable Info'!R68="","",CONCATENATE('Cable Info'!R68," - ",'Cable Info'!S68))</f>
        <v/>
      </c>
      <c r="BB208" s="149" t="str">
        <f t="shared" si="39"/>
        <v/>
      </c>
      <c r="BD208" s="149" t="str">
        <f>IF('Cable Info'!T68="","",CONCATENATE('Cable Info'!T68," - ",'Cable Info'!U68))</f>
        <v/>
      </c>
      <c r="BG208" s="149" t="str">
        <f t="shared" si="40"/>
        <v/>
      </c>
      <c r="BI208" s="149" t="str">
        <f>IF('Cable Info'!V68="","",CONCATENATE('Cable Info'!V68," - ",'Cable Info'!W68))</f>
        <v/>
      </c>
      <c r="BL208" s="149" t="str">
        <f t="shared" si="41"/>
        <v/>
      </c>
      <c r="CL208" s="309"/>
    </row>
    <row r="209" spans="1:90" x14ac:dyDescent="0.2">
      <c r="A209" s="222"/>
      <c r="B209" s="169"/>
      <c r="C209" s="142" t="str">
        <f>IFERROR(IF(B209="","",IF((COUNTIF('Cable Info'!$B$11:$C$50,B209)=0),VLOOKUP(B209,'Cable Info (2)'!$B$11:$C$50,2,FALSE),(VLOOKUP(B209,'Cable Info'!$B$11:$C$50,2,FALSE)))),"NO SUCH EXIT")</f>
        <v/>
      </c>
      <c r="D209" s="286"/>
      <c r="E209" s="312"/>
      <c r="F209" s="132" t="s">
        <v>59</v>
      </c>
      <c r="G209" s="315"/>
      <c r="H209" s="142" t="str">
        <f t="shared" si="11"/>
        <v/>
      </c>
      <c r="I209" s="317"/>
      <c r="J209" s="132" t="s">
        <v>59</v>
      </c>
      <c r="K209" s="321"/>
      <c r="L209" s="290"/>
      <c r="M209" s="142" t="str">
        <f>IFERROR(IF(P209="","",IF((COUNTIF('Cable Info'!$B$11:$C$50,P209)=0),VLOOKUP(P209,'Cable Info (2)'!$B$11:$C$50,2,FALSE),(VLOOKUP(P209,'Cable Info'!$B$11:$C$50,2,FALSE)))),"NO SUCH EXIT")</f>
        <v/>
      </c>
      <c r="N209" s="294"/>
      <c r="O209" s="235"/>
      <c r="P209" s="170"/>
      <c r="Q209" s="224"/>
      <c r="R209" s="168"/>
      <c r="S209" s="168"/>
      <c r="T209" s="166"/>
      <c r="U209" s="166"/>
      <c r="V209" s="167"/>
      <c r="W209" s="167"/>
      <c r="X209" s="229" t="str">
        <f t="shared" si="6"/>
        <v/>
      </c>
      <c r="Y209" s="147" t="str">
        <f t="shared" si="7"/>
        <v/>
      </c>
      <c r="Z209" s="148" t="str">
        <f t="shared" si="8"/>
        <v/>
      </c>
      <c r="AA209" s="148" t="str">
        <f t="shared" si="9"/>
        <v/>
      </c>
      <c r="AB209" s="148" t="str">
        <f t="shared" si="10"/>
        <v/>
      </c>
      <c r="AJ209" s="149" t="str">
        <f>IF('Cable Info'!L69="","",CONCATENATE('Cable Info'!L69," - ",'Cable Info'!M69))</f>
        <v/>
      </c>
      <c r="AM209" s="149" t="str">
        <f t="shared" si="36"/>
        <v/>
      </c>
      <c r="AO209" s="149" t="str">
        <f>IF('Cable Info'!N69="","",CONCATENATE('Cable Info'!N69," - ",'Cable Info'!O69))</f>
        <v/>
      </c>
      <c r="AR209" s="149" t="str">
        <f t="shared" si="37"/>
        <v/>
      </c>
      <c r="AT209" s="149" t="str">
        <f>IF('Cable Info'!P69="","",CONCATENATE('Cable Info'!P69," - ",'Cable Info'!Q69))</f>
        <v/>
      </c>
      <c r="AW209" s="149" t="str">
        <f t="shared" si="38"/>
        <v/>
      </c>
      <c r="AY209" s="149" t="str">
        <f>IF('Cable Info'!R69="","",CONCATENATE('Cable Info'!R69," - ",'Cable Info'!S69))</f>
        <v/>
      </c>
      <c r="BB209" s="149" t="str">
        <f t="shared" si="39"/>
        <v/>
      </c>
      <c r="BD209" s="149" t="str">
        <f>IF('Cable Info'!T69="","",CONCATENATE('Cable Info'!T69," - ",'Cable Info'!U69))</f>
        <v/>
      </c>
      <c r="BG209" s="149" t="str">
        <f t="shared" si="40"/>
        <v/>
      </c>
      <c r="BI209" s="149" t="str">
        <f>IF('Cable Info'!V69="","",CONCATENATE('Cable Info'!V69," - ",'Cable Info'!W69))</f>
        <v/>
      </c>
      <c r="BL209" s="149" t="str">
        <f t="shared" si="41"/>
        <v/>
      </c>
      <c r="CL209" s="309"/>
    </row>
    <row r="210" spans="1:90" x14ac:dyDescent="0.2">
      <c r="A210" s="222"/>
      <c r="B210" s="169"/>
      <c r="C210" s="142" t="str">
        <f>IFERROR(IF(B210="","",IF((COUNTIF('Cable Info'!$B$11:$C$50,B210)=0),VLOOKUP(B210,'Cable Info (2)'!$B$11:$C$50,2,FALSE),(VLOOKUP(B210,'Cable Info'!$B$11:$C$50,2,FALSE)))),"NO SUCH EXIT")</f>
        <v/>
      </c>
      <c r="D210" s="286"/>
      <c r="E210" s="312"/>
      <c r="F210" s="132" t="s">
        <v>59</v>
      </c>
      <c r="G210" s="315"/>
      <c r="H210" s="142" t="str">
        <f t="shared" si="11"/>
        <v/>
      </c>
      <c r="I210" s="317"/>
      <c r="J210" s="132" t="s">
        <v>59</v>
      </c>
      <c r="K210" s="321"/>
      <c r="L210" s="290"/>
      <c r="M210" s="142" t="str">
        <f>IFERROR(IF(P210="","",IF((COUNTIF('Cable Info'!$B$11:$C$50,P210)=0),VLOOKUP(P210,'Cable Info (2)'!$B$11:$C$50,2,FALSE),(VLOOKUP(P210,'Cable Info'!$B$11:$C$50,2,FALSE)))),"NO SUCH EXIT")</f>
        <v/>
      </c>
      <c r="N210" s="294"/>
      <c r="O210" s="235"/>
      <c r="P210" s="170"/>
      <c r="Q210" s="224"/>
      <c r="R210" s="168"/>
      <c r="S210" s="168"/>
      <c r="T210" s="166"/>
      <c r="U210" s="166"/>
      <c r="V210" s="167"/>
      <c r="W210" s="167"/>
      <c r="X210" s="229" t="str">
        <f t="shared" si="6"/>
        <v/>
      </c>
      <c r="Y210" s="147" t="str">
        <f t="shared" si="7"/>
        <v/>
      </c>
      <c r="Z210" s="148" t="str">
        <f t="shared" si="8"/>
        <v/>
      </c>
      <c r="AA210" s="148" t="str">
        <f t="shared" si="9"/>
        <v/>
      </c>
      <c r="AB210" s="148" t="str">
        <f t="shared" si="10"/>
        <v/>
      </c>
      <c r="AJ210" s="149" t="str">
        <f>IF('Cable Info'!L70="","",CONCATENATE('Cable Info'!L70," - ",'Cable Info'!M70))</f>
        <v/>
      </c>
      <c r="AM210" s="149" t="str">
        <f t="shared" si="36"/>
        <v/>
      </c>
      <c r="AO210" s="149" t="str">
        <f>IF('Cable Info'!N70="","",CONCATENATE('Cable Info'!N70," - ",'Cable Info'!O70))</f>
        <v/>
      </c>
      <c r="AR210" s="149" t="str">
        <f t="shared" si="37"/>
        <v/>
      </c>
      <c r="AT210" s="149" t="str">
        <f>IF('Cable Info'!P70="","",CONCATENATE('Cable Info'!P70," - ",'Cable Info'!Q70))</f>
        <v/>
      </c>
      <c r="AW210" s="149" t="str">
        <f t="shared" si="38"/>
        <v/>
      </c>
      <c r="AY210" s="149" t="str">
        <f>IF('Cable Info'!R70="","",CONCATENATE('Cable Info'!R70," - ",'Cable Info'!S70))</f>
        <v/>
      </c>
      <c r="BB210" s="149" t="str">
        <f t="shared" si="39"/>
        <v/>
      </c>
      <c r="BD210" s="149" t="str">
        <f>IF('Cable Info'!T70="","",CONCATENATE('Cable Info'!T70," - ",'Cable Info'!U70))</f>
        <v/>
      </c>
      <c r="BG210" s="149" t="str">
        <f t="shared" si="40"/>
        <v/>
      </c>
      <c r="BI210" s="149" t="str">
        <f>IF('Cable Info'!V70="","",CONCATENATE('Cable Info'!V70," - ",'Cable Info'!W70))</f>
        <v/>
      </c>
      <c r="BL210" s="149" t="str">
        <f t="shared" si="41"/>
        <v/>
      </c>
      <c r="CL210" s="309"/>
    </row>
    <row r="211" spans="1:90" x14ac:dyDescent="0.2">
      <c r="A211" s="222"/>
      <c r="B211" s="169"/>
      <c r="C211" s="142" t="str">
        <f>IFERROR(IF(B211="","",IF((COUNTIF('Cable Info'!$B$11:$C$50,B211)=0),VLOOKUP(B211,'Cable Info (2)'!$B$11:$C$50,2,FALSE),(VLOOKUP(B211,'Cable Info'!$B$11:$C$50,2,FALSE)))),"NO SUCH EXIT")</f>
        <v/>
      </c>
      <c r="D211" s="286"/>
      <c r="E211" s="312"/>
      <c r="F211" s="132" t="s">
        <v>59</v>
      </c>
      <c r="G211" s="315"/>
      <c r="H211" s="142" t="str">
        <f t="shared" si="11"/>
        <v/>
      </c>
      <c r="I211" s="317"/>
      <c r="J211" s="132" t="s">
        <v>59</v>
      </c>
      <c r="K211" s="321"/>
      <c r="L211" s="290"/>
      <c r="M211" s="142" t="str">
        <f>IFERROR(IF(P211="","",IF((COUNTIF('Cable Info'!$B$11:$C$50,P211)=0),VLOOKUP(P211,'Cable Info (2)'!$B$11:$C$50,2,FALSE),(VLOOKUP(P211,'Cable Info'!$B$11:$C$50,2,FALSE)))),"NO SUCH EXIT")</f>
        <v/>
      </c>
      <c r="N211" s="294"/>
      <c r="O211" s="235"/>
      <c r="P211" s="170"/>
      <c r="Q211" s="224"/>
      <c r="R211" s="168"/>
      <c r="S211" s="168"/>
      <c r="T211" s="166"/>
      <c r="U211" s="166"/>
      <c r="V211" s="167"/>
      <c r="W211" s="167"/>
      <c r="X211" s="229" t="str">
        <f t="shared" si="6"/>
        <v/>
      </c>
      <c r="Y211" s="147" t="str">
        <f t="shared" si="7"/>
        <v/>
      </c>
      <c r="Z211" s="148" t="str">
        <f t="shared" si="8"/>
        <v/>
      </c>
      <c r="AA211" s="148" t="str">
        <f t="shared" si="9"/>
        <v/>
      </c>
      <c r="AB211" s="148" t="str">
        <f t="shared" si="10"/>
        <v/>
      </c>
      <c r="AJ211" s="149" t="str">
        <f>IF('Cable Info'!L71="","",CONCATENATE('Cable Info'!L71," - ",'Cable Info'!M71))</f>
        <v/>
      </c>
      <c r="AM211" s="149" t="str">
        <f t="shared" si="36"/>
        <v/>
      </c>
      <c r="AO211" s="149" t="str">
        <f>IF('Cable Info'!N71="","",CONCATENATE('Cable Info'!N71," - ",'Cable Info'!O71))</f>
        <v/>
      </c>
      <c r="AR211" s="149" t="str">
        <f t="shared" si="37"/>
        <v/>
      </c>
      <c r="AT211" s="149" t="str">
        <f>IF('Cable Info'!P71="","",CONCATENATE('Cable Info'!P71," - ",'Cable Info'!Q71))</f>
        <v/>
      </c>
      <c r="AW211" s="149" t="str">
        <f t="shared" si="38"/>
        <v/>
      </c>
      <c r="AY211" s="149" t="str">
        <f>IF('Cable Info'!R71="","",CONCATENATE('Cable Info'!R71," - ",'Cable Info'!S71))</f>
        <v/>
      </c>
      <c r="BB211" s="149" t="str">
        <f t="shared" si="39"/>
        <v/>
      </c>
      <c r="BD211" s="149" t="str">
        <f>IF('Cable Info'!T71="","",CONCATENATE('Cable Info'!T71," - ",'Cable Info'!U71))</f>
        <v/>
      </c>
      <c r="BG211" s="149" t="str">
        <f t="shared" si="40"/>
        <v/>
      </c>
      <c r="BI211" s="149" t="str">
        <f>IF('Cable Info'!V71="","",CONCATENATE('Cable Info'!V71," - ",'Cable Info'!W71))</f>
        <v/>
      </c>
      <c r="BL211" s="149" t="str">
        <f t="shared" si="41"/>
        <v/>
      </c>
      <c r="CL211" s="309"/>
    </row>
    <row r="212" spans="1:90" x14ac:dyDescent="0.2">
      <c r="A212" s="222"/>
      <c r="B212" s="169"/>
      <c r="C212" s="142" t="str">
        <f>IFERROR(IF(B212="","",IF((COUNTIF('Cable Info'!$B$11:$C$50,B212)=0),VLOOKUP(B212,'Cable Info (2)'!$B$11:$C$50,2,FALSE),(VLOOKUP(B212,'Cable Info'!$B$11:$C$50,2,FALSE)))),"NO SUCH EXIT")</f>
        <v/>
      </c>
      <c r="D212" s="286"/>
      <c r="E212" s="312"/>
      <c r="F212" s="132" t="s">
        <v>59</v>
      </c>
      <c r="G212" s="315"/>
      <c r="H212" s="142" t="str">
        <f t="shared" si="11"/>
        <v/>
      </c>
      <c r="I212" s="317"/>
      <c r="J212" s="132" t="s">
        <v>59</v>
      </c>
      <c r="K212" s="321"/>
      <c r="L212" s="290"/>
      <c r="M212" s="142" t="str">
        <f>IFERROR(IF(P212="","",IF((COUNTIF('Cable Info'!$B$11:$C$50,P212)=0),VLOOKUP(P212,'Cable Info (2)'!$B$11:$C$50,2,FALSE),(VLOOKUP(P212,'Cable Info'!$B$11:$C$50,2,FALSE)))),"NO SUCH EXIT")</f>
        <v/>
      </c>
      <c r="N212" s="294"/>
      <c r="O212" s="235"/>
      <c r="P212" s="170"/>
      <c r="Q212" s="224"/>
      <c r="R212" s="168"/>
      <c r="S212" s="168"/>
      <c r="T212" s="166"/>
      <c r="U212" s="166"/>
      <c r="V212" s="167"/>
      <c r="W212" s="167"/>
      <c r="X212" s="229" t="str">
        <f t="shared" si="6"/>
        <v/>
      </c>
      <c r="Y212" s="147" t="str">
        <f t="shared" si="7"/>
        <v/>
      </c>
      <c r="Z212" s="148" t="str">
        <f t="shared" si="8"/>
        <v/>
      </c>
      <c r="AA212" s="148" t="str">
        <f t="shared" si="9"/>
        <v/>
      </c>
      <c r="AB212" s="148" t="str">
        <f t="shared" si="10"/>
        <v/>
      </c>
      <c r="AJ212" s="149" t="str">
        <f>IF('Cable Info'!L72="","",CONCATENATE('Cable Info'!L72," - ",'Cable Info'!M72))</f>
        <v/>
      </c>
      <c r="AM212" s="149" t="str">
        <f t="shared" si="36"/>
        <v/>
      </c>
      <c r="AO212" s="149" t="str">
        <f>IF('Cable Info'!N72="","",CONCATENATE('Cable Info'!N72," - ",'Cable Info'!O72))</f>
        <v/>
      </c>
      <c r="AR212" s="149" t="str">
        <f t="shared" si="37"/>
        <v/>
      </c>
      <c r="AT212" s="149" t="str">
        <f>IF('Cable Info'!P72="","",CONCATENATE('Cable Info'!P72," - ",'Cable Info'!Q72))</f>
        <v/>
      </c>
      <c r="AW212" s="149" t="str">
        <f t="shared" si="38"/>
        <v/>
      </c>
      <c r="AY212" s="149" t="str">
        <f>IF('Cable Info'!R72="","",CONCATENATE('Cable Info'!R72," - ",'Cable Info'!S72))</f>
        <v/>
      </c>
      <c r="BB212" s="149" t="str">
        <f t="shared" si="39"/>
        <v/>
      </c>
      <c r="BD212" s="149" t="str">
        <f>IF('Cable Info'!T72="","",CONCATENATE('Cable Info'!T72," - ",'Cable Info'!U72))</f>
        <v/>
      </c>
      <c r="BG212" s="149" t="str">
        <f t="shared" si="40"/>
        <v/>
      </c>
      <c r="BI212" s="149" t="str">
        <f>IF('Cable Info'!V72="","",CONCATENATE('Cable Info'!V72," - ",'Cable Info'!W72))</f>
        <v/>
      </c>
      <c r="BL212" s="149" t="str">
        <f t="shared" si="41"/>
        <v/>
      </c>
      <c r="CL212" s="309"/>
    </row>
    <row r="213" spans="1:90" x14ac:dyDescent="0.2">
      <c r="A213" s="222"/>
      <c r="B213" s="169"/>
      <c r="C213" s="142" t="str">
        <f>IFERROR(IF(B213="","",IF((COUNTIF('Cable Info'!$B$11:$C$50,B213)=0),VLOOKUP(B213,'Cable Info (2)'!$B$11:$C$50,2,FALSE),(VLOOKUP(B213,'Cable Info'!$B$11:$C$50,2,FALSE)))),"NO SUCH EXIT")</f>
        <v/>
      </c>
      <c r="D213" s="286"/>
      <c r="E213" s="312"/>
      <c r="F213" s="132" t="s">
        <v>59</v>
      </c>
      <c r="G213" s="315"/>
      <c r="H213" s="142" t="str">
        <f t="shared" si="11"/>
        <v/>
      </c>
      <c r="I213" s="317"/>
      <c r="J213" s="132" t="s">
        <v>59</v>
      </c>
      <c r="K213" s="321"/>
      <c r="L213" s="290"/>
      <c r="M213" s="142" t="str">
        <f>IFERROR(IF(P213="","",IF((COUNTIF('Cable Info'!$B$11:$C$50,P213)=0),VLOOKUP(P213,'Cable Info (2)'!$B$11:$C$50,2,FALSE),(VLOOKUP(P213,'Cable Info'!$B$11:$C$50,2,FALSE)))),"NO SUCH EXIT")</f>
        <v/>
      </c>
      <c r="N213" s="294"/>
      <c r="O213" s="235"/>
      <c r="P213" s="170"/>
      <c r="Q213" s="224"/>
      <c r="R213" s="168"/>
      <c r="S213" s="168"/>
      <c r="T213" s="166"/>
      <c r="U213" s="166"/>
      <c r="V213" s="167"/>
      <c r="W213" s="167"/>
      <c r="X213" s="229" t="str">
        <f t="shared" si="6"/>
        <v/>
      </c>
      <c r="Y213" s="147" t="str">
        <f t="shared" si="7"/>
        <v/>
      </c>
      <c r="Z213" s="148" t="str">
        <f t="shared" si="8"/>
        <v/>
      </c>
      <c r="AA213" s="148" t="str">
        <f t="shared" si="9"/>
        <v/>
      </c>
      <c r="AB213" s="148" t="str">
        <f t="shared" si="10"/>
        <v/>
      </c>
      <c r="AJ213" s="149" t="str">
        <f>IF('Cable Info'!L73="","",CONCATENATE('Cable Info'!L73," - ",'Cable Info'!M73))</f>
        <v/>
      </c>
      <c r="AM213" s="149" t="str">
        <f t="shared" si="36"/>
        <v/>
      </c>
      <c r="AO213" s="149" t="str">
        <f>IF('Cable Info'!N73="","",CONCATENATE('Cable Info'!N73," - ",'Cable Info'!O73))</f>
        <v/>
      </c>
      <c r="AR213" s="149" t="str">
        <f t="shared" si="37"/>
        <v/>
      </c>
      <c r="AT213" s="149" t="str">
        <f>IF('Cable Info'!P73="","",CONCATENATE('Cable Info'!P73," - ",'Cable Info'!Q73))</f>
        <v/>
      </c>
      <c r="AW213" s="149" t="str">
        <f t="shared" si="38"/>
        <v/>
      </c>
      <c r="AY213" s="149" t="str">
        <f>IF('Cable Info'!R73="","",CONCATENATE('Cable Info'!R73," - ",'Cable Info'!S73))</f>
        <v/>
      </c>
      <c r="BB213" s="149" t="str">
        <f t="shared" si="39"/>
        <v/>
      </c>
      <c r="BD213" s="149" t="str">
        <f>IF('Cable Info'!T73="","",CONCATENATE('Cable Info'!T73," - ",'Cable Info'!U73))</f>
        <v/>
      </c>
      <c r="BG213" s="149" t="str">
        <f t="shared" si="40"/>
        <v/>
      </c>
      <c r="BI213" s="149" t="str">
        <f>IF('Cable Info'!V73="","",CONCATENATE('Cable Info'!V73," - ",'Cable Info'!W73))</f>
        <v/>
      </c>
      <c r="BL213" s="149" t="str">
        <f t="shared" si="41"/>
        <v/>
      </c>
      <c r="CL213" s="309"/>
    </row>
    <row r="214" spans="1:90" x14ac:dyDescent="0.2">
      <c r="A214" s="222"/>
      <c r="B214" s="169"/>
      <c r="C214" s="142" t="str">
        <f>IFERROR(IF(B214="","",IF((COUNTIF('Cable Info'!$B$11:$C$50,B214)=0),VLOOKUP(B214,'Cable Info (2)'!$B$11:$C$50,2,FALSE),(VLOOKUP(B214,'Cable Info'!$B$11:$C$50,2,FALSE)))),"NO SUCH EXIT")</f>
        <v/>
      </c>
      <c r="D214" s="286"/>
      <c r="E214" s="312"/>
      <c r="F214" s="132" t="s">
        <v>59</v>
      </c>
      <c r="G214" s="315"/>
      <c r="H214" s="142" t="str">
        <f t="shared" si="11"/>
        <v/>
      </c>
      <c r="I214" s="317"/>
      <c r="J214" s="132" t="s">
        <v>59</v>
      </c>
      <c r="K214" s="321"/>
      <c r="L214" s="290"/>
      <c r="M214" s="142" t="str">
        <f>IFERROR(IF(P214="","",IF((COUNTIF('Cable Info'!$B$11:$C$50,P214)=0),VLOOKUP(P214,'Cable Info (2)'!$B$11:$C$50,2,FALSE),(VLOOKUP(P214,'Cable Info'!$B$11:$C$50,2,FALSE)))),"NO SUCH EXIT")</f>
        <v/>
      </c>
      <c r="N214" s="294"/>
      <c r="O214" s="235"/>
      <c r="P214" s="170"/>
      <c r="Q214" s="224"/>
      <c r="R214" s="168"/>
      <c r="S214" s="168"/>
      <c r="T214" s="166"/>
      <c r="U214" s="166"/>
      <c r="V214" s="167"/>
      <c r="W214" s="167"/>
      <c r="X214" s="229" t="str">
        <f t="shared" si="6"/>
        <v/>
      </c>
      <c r="Y214" s="147" t="str">
        <f t="shared" si="7"/>
        <v/>
      </c>
      <c r="Z214" s="148" t="str">
        <f t="shared" si="8"/>
        <v/>
      </c>
      <c r="AA214" s="148" t="str">
        <f t="shared" si="9"/>
        <v/>
      </c>
      <c r="AB214" s="148" t="str">
        <f t="shared" si="10"/>
        <v/>
      </c>
      <c r="AJ214" s="149" t="str">
        <f>IF('Cable Info'!L74="","",CONCATENATE('Cable Info'!L74," - ",'Cable Info'!M74))</f>
        <v/>
      </c>
      <c r="AM214" s="149" t="str">
        <f t="shared" si="36"/>
        <v/>
      </c>
      <c r="AO214" s="149" t="str">
        <f>IF('Cable Info'!N74="","",CONCATENATE('Cable Info'!N74," - ",'Cable Info'!O74))</f>
        <v/>
      </c>
      <c r="AR214" s="149" t="str">
        <f t="shared" si="37"/>
        <v/>
      </c>
      <c r="AT214" s="149" t="str">
        <f>IF('Cable Info'!P74="","",CONCATENATE('Cable Info'!P74," - ",'Cable Info'!Q74))</f>
        <v/>
      </c>
      <c r="AW214" s="149" t="str">
        <f t="shared" si="38"/>
        <v/>
      </c>
      <c r="AY214" s="149" t="str">
        <f>IF('Cable Info'!R74="","",CONCATENATE('Cable Info'!R74," - ",'Cable Info'!S74))</f>
        <v/>
      </c>
      <c r="BB214" s="149" t="str">
        <f t="shared" si="39"/>
        <v/>
      </c>
      <c r="BD214" s="149" t="str">
        <f>IF('Cable Info'!T74="","",CONCATENATE('Cable Info'!T74," - ",'Cable Info'!U74))</f>
        <v/>
      </c>
      <c r="BG214" s="149" t="str">
        <f t="shared" si="40"/>
        <v/>
      </c>
      <c r="BI214" s="149" t="str">
        <f>IF('Cable Info'!V74="","",CONCATENATE('Cable Info'!V74," - ",'Cable Info'!W74))</f>
        <v/>
      </c>
      <c r="BL214" s="149" t="str">
        <f t="shared" si="41"/>
        <v/>
      </c>
      <c r="CL214" s="309"/>
    </row>
    <row r="215" spans="1:90" x14ac:dyDescent="0.2">
      <c r="A215" s="222"/>
      <c r="B215" s="169"/>
      <c r="C215" s="142" t="str">
        <f>IFERROR(IF(B215="","",IF((COUNTIF('Cable Info'!$B$11:$C$50,B215)=0),VLOOKUP(B215,'Cable Info (2)'!$B$11:$C$50,2,FALSE),(VLOOKUP(B215,'Cable Info'!$B$11:$C$50,2,FALSE)))),"NO SUCH EXIT")</f>
        <v/>
      </c>
      <c r="D215" s="286"/>
      <c r="E215" s="312"/>
      <c r="F215" s="132" t="s">
        <v>59</v>
      </c>
      <c r="G215" s="315"/>
      <c r="H215" s="142" t="str">
        <f t="shared" ref="H215:H224" si="42">IF(G215="","",((E215-G215)-1)*(-1))</f>
        <v/>
      </c>
      <c r="I215" s="317"/>
      <c r="J215" s="132" t="s">
        <v>59</v>
      </c>
      <c r="K215" s="321"/>
      <c r="L215" s="290"/>
      <c r="M215" s="142" t="str">
        <f>IFERROR(IF(P215="","",IF((COUNTIF('Cable Info'!$B$11:$C$50,P215)=0),VLOOKUP(P215,'Cable Info (2)'!$B$11:$C$50,2,FALSE),(VLOOKUP(P215,'Cable Info'!$B$11:$C$50,2,FALSE)))),"NO SUCH EXIT")</f>
        <v/>
      </c>
      <c r="N215" s="294"/>
      <c r="O215" s="235"/>
      <c r="P215" s="170"/>
      <c r="Q215" s="224"/>
      <c r="R215" s="168"/>
      <c r="S215" s="168"/>
      <c r="T215" s="166"/>
      <c r="U215" s="166"/>
      <c r="V215" s="167"/>
      <c r="W215" s="167"/>
      <c r="X215" s="229" t="str">
        <f t="shared" ref="X215:X224" si="43">IF(V215="","",IF(R215="","",IF(S215="","",IF(R215="SPLICED",(IF(S215="SPLICE",0,9)),IF(V215=$U$3,(IF(S215="BREAK",12,11)),IF(S215="BREAK",2,1))))))</f>
        <v/>
      </c>
      <c r="Y215" s="147" t="str">
        <f t="shared" ref="Y215:Y227" si="44">IF(E215="","",IF(G215="","",IF(E215&gt;G215,1,"")))</f>
        <v/>
      </c>
      <c r="Z215" s="148" t="str">
        <f t="shared" ref="Z215:Z227" si="45">IF(I215="","",IF(K215="","",IF(I215&gt;K215,1,"")))</f>
        <v/>
      </c>
      <c r="AA215" s="148" t="str">
        <f t="shared" ref="AA215:AA227" si="46">IF(K215="","",((I215-K215)-1)*(-1))</f>
        <v/>
      </c>
      <c r="AB215" s="148" t="str">
        <f t="shared" ref="AB215:AB227" si="47">IF(E215="","",IF(G215="","",IF(I215="","",IF(K215="","",IF(AA215&lt;&gt;H215,1,"")))))</f>
        <v/>
      </c>
      <c r="AJ215" s="149" t="str">
        <f>IF('Cable Info'!L75="","",CONCATENATE('Cable Info'!L75," - ",'Cable Info'!M75))</f>
        <v/>
      </c>
      <c r="AM215" s="149" t="str">
        <f t="shared" si="36"/>
        <v/>
      </c>
      <c r="AO215" s="149" t="str">
        <f>IF('Cable Info'!N75="","",CONCATENATE('Cable Info'!N75," - ",'Cable Info'!O75))</f>
        <v/>
      </c>
      <c r="AR215" s="149" t="str">
        <f t="shared" si="37"/>
        <v/>
      </c>
      <c r="AT215" s="149" t="str">
        <f>IF('Cable Info'!P75="","",CONCATENATE('Cable Info'!P75," - ",'Cable Info'!Q75))</f>
        <v/>
      </c>
      <c r="AW215" s="149" t="str">
        <f t="shared" si="38"/>
        <v/>
      </c>
      <c r="AY215" s="149" t="str">
        <f>IF('Cable Info'!R75="","",CONCATENATE('Cable Info'!R75," - ",'Cable Info'!S75))</f>
        <v/>
      </c>
      <c r="BB215" s="149" t="str">
        <f t="shared" si="39"/>
        <v/>
      </c>
      <c r="BD215" s="149" t="str">
        <f>IF('Cable Info'!T75="","",CONCATENATE('Cable Info'!T75," - ",'Cable Info'!U75))</f>
        <v/>
      </c>
      <c r="BG215" s="149" t="str">
        <f t="shared" si="40"/>
        <v/>
      </c>
      <c r="BI215" s="149" t="str">
        <f>IF('Cable Info'!V75="","",CONCATENATE('Cable Info'!V75," - ",'Cable Info'!W75))</f>
        <v/>
      </c>
      <c r="BL215" s="149" t="str">
        <f t="shared" si="41"/>
        <v/>
      </c>
      <c r="CL215" s="309"/>
    </row>
    <row r="216" spans="1:90" x14ac:dyDescent="0.2">
      <c r="A216" s="222"/>
      <c r="B216" s="169"/>
      <c r="C216" s="142" t="str">
        <f>IFERROR(IF(B216="","",IF((COUNTIF('Cable Info'!$B$11:$C$50,B216)=0),VLOOKUP(B216,'Cable Info (2)'!$B$11:$C$50,2,FALSE),(VLOOKUP(B216,'Cable Info'!$B$11:$C$50,2,FALSE)))),"NO SUCH EXIT")</f>
        <v/>
      </c>
      <c r="D216" s="286"/>
      <c r="E216" s="312"/>
      <c r="F216" s="132" t="s">
        <v>59</v>
      </c>
      <c r="G216" s="315"/>
      <c r="H216" s="142" t="str">
        <f t="shared" si="42"/>
        <v/>
      </c>
      <c r="I216" s="317"/>
      <c r="J216" s="132" t="s">
        <v>59</v>
      </c>
      <c r="K216" s="321"/>
      <c r="L216" s="290"/>
      <c r="M216" s="142" t="str">
        <f>IFERROR(IF(P216="","",IF((COUNTIF('Cable Info'!$B$11:$C$50,P216)=0),VLOOKUP(P216,'Cable Info (2)'!$B$11:$C$50,2,FALSE),(VLOOKUP(P216,'Cable Info'!$B$11:$C$50,2,FALSE)))),"NO SUCH EXIT")</f>
        <v/>
      </c>
      <c r="N216" s="294"/>
      <c r="O216" s="235"/>
      <c r="P216" s="170"/>
      <c r="Q216" s="224"/>
      <c r="R216" s="168"/>
      <c r="S216" s="168"/>
      <c r="T216" s="166"/>
      <c r="U216" s="166"/>
      <c r="V216" s="167"/>
      <c r="W216" s="167"/>
      <c r="X216" s="229" t="str">
        <f t="shared" si="43"/>
        <v/>
      </c>
      <c r="Y216" s="147" t="str">
        <f t="shared" si="44"/>
        <v/>
      </c>
      <c r="Z216" s="148" t="str">
        <f t="shared" si="45"/>
        <v/>
      </c>
      <c r="AA216" s="148" t="str">
        <f t="shared" si="46"/>
        <v/>
      </c>
      <c r="AB216" s="148" t="str">
        <f t="shared" si="47"/>
        <v/>
      </c>
      <c r="AJ216" s="149" t="str">
        <f>IF('Cable Info'!L76="","",CONCATENATE('Cable Info'!L76," - ",'Cable Info'!M76))</f>
        <v/>
      </c>
      <c r="AM216" s="149" t="str">
        <f t="shared" si="36"/>
        <v/>
      </c>
      <c r="AO216" s="149" t="str">
        <f>IF('Cable Info'!N76="","",CONCATENATE('Cable Info'!N76," - ",'Cable Info'!O76))</f>
        <v/>
      </c>
      <c r="AR216" s="149" t="str">
        <f t="shared" si="37"/>
        <v/>
      </c>
      <c r="AT216" s="149" t="str">
        <f>IF('Cable Info'!P76="","",CONCATENATE('Cable Info'!P76," - ",'Cable Info'!Q76))</f>
        <v/>
      </c>
      <c r="AW216" s="149" t="str">
        <f t="shared" si="38"/>
        <v/>
      </c>
      <c r="AY216" s="149" t="str">
        <f>IF('Cable Info'!R76="","",CONCATENATE('Cable Info'!R76," - ",'Cable Info'!S76))</f>
        <v/>
      </c>
      <c r="BB216" s="149" t="str">
        <f t="shared" si="39"/>
        <v/>
      </c>
      <c r="BD216" s="149" t="str">
        <f>IF('Cable Info'!T76="","",CONCATENATE('Cable Info'!T76," - ",'Cable Info'!U76))</f>
        <v/>
      </c>
      <c r="BG216" s="149" t="str">
        <f t="shared" si="40"/>
        <v/>
      </c>
      <c r="BI216" s="149" t="str">
        <f>IF('Cable Info'!V76="","",CONCATENATE('Cable Info'!V76," - ",'Cable Info'!W76))</f>
        <v/>
      </c>
      <c r="BL216" s="149" t="str">
        <f t="shared" si="41"/>
        <v/>
      </c>
      <c r="CL216" s="309"/>
    </row>
    <row r="217" spans="1:90" x14ac:dyDescent="0.2">
      <c r="A217" s="222"/>
      <c r="B217" s="169"/>
      <c r="C217" s="142" t="str">
        <f>IFERROR(IF(B217="","",IF((COUNTIF('Cable Info'!$B$11:$C$50,B217)=0),VLOOKUP(B217,'Cable Info (2)'!$B$11:$C$50,2,FALSE),(VLOOKUP(B217,'Cable Info'!$B$11:$C$50,2,FALSE)))),"NO SUCH EXIT")</f>
        <v/>
      </c>
      <c r="D217" s="286"/>
      <c r="E217" s="312"/>
      <c r="F217" s="132" t="s">
        <v>59</v>
      </c>
      <c r="G217" s="315"/>
      <c r="H217" s="142" t="str">
        <f t="shared" si="42"/>
        <v/>
      </c>
      <c r="I217" s="317"/>
      <c r="J217" s="132" t="s">
        <v>59</v>
      </c>
      <c r="K217" s="321"/>
      <c r="L217" s="290"/>
      <c r="M217" s="142" t="str">
        <f>IFERROR(IF(P217="","",IF((COUNTIF('Cable Info'!$B$11:$C$50,P217)=0),VLOOKUP(P217,'Cable Info (2)'!$B$11:$C$50,2,FALSE),(VLOOKUP(P217,'Cable Info'!$B$11:$C$50,2,FALSE)))),"NO SUCH EXIT")</f>
        <v/>
      </c>
      <c r="N217" s="294"/>
      <c r="O217" s="235"/>
      <c r="P217" s="170"/>
      <c r="Q217" s="224"/>
      <c r="R217" s="168"/>
      <c r="S217" s="168"/>
      <c r="T217" s="166"/>
      <c r="U217" s="166"/>
      <c r="V217" s="167"/>
      <c r="W217" s="167"/>
      <c r="X217" s="229" t="str">
        <f t="shared" si="43"/>
        <v/>
      </c>
      <c r="Y217" s="147" t="str">
        <f t="shared" si="44"/>
        <v/>
      </c>
      <c r="Z217" s="148" t="str">
        <f t="shared" si="45"/>
        <v/>
      </c>
      <c r="AA217" s="148" t="str">
        <f t="shared" si="46"/>
        <v/>
      </c>
      <c r="AB217" s="148" t="str">
        <f t="shared" si="47"/>
        <v/>
      </c>
      <c r="AJ217" s="149" t="str">
        <f>IF('Cable Info'!L77="","",CONCATENATE('Cable Info'!L77," - ",'Cable Info'!M77))</f>
        <v/>
      </c>
      <c r="AM217" s="149" t="str">
        <f t="shared" si="36"/>
        <v/>
      </c>
      <c r="AO217" s="149" t="str">
        <f>IF('Cable Info'!N77="","",CONCATENATE('Cable Info'!N77," - ",'Cable Info'!O77))</f>
        <v/>
      </c>
      <c r="AR217" s="149" t="str">
        <f t="shared" si="37"/>
        <v/>
      </c>
      <c r="AT217" s="149" t="str">
        <f>IF('Cable Info'!P77="","",CONCATENATE('Cable Info'!P77," - ",'Cable Info'!Q77))</f>
        <v/>
      </c>
      <c r="AW217" s="149" t="str">
        <f t="shared" si="38"/>
        <v/>
      </c>
      <c r="AY217" s="149" t="str">
        <f>IF('Cable Info'!R77="","",CONCATENATE('Cable Info'!R77," - ",'Cable Info'!S77))</f>
        <v/>
      </c>
      <c r="BB217" s="149" t="str">
        <f t="shared" si="39"/>
        <v/>
      </c>
      <c r="BD217" s="149" t="str">
        <f>IF('Cable Info'!T77="","",CONCATENATE('Cable Info'!T77," - ",'Cable Info'!U77))</f>
        <v/>
      </c>
      <c r="BG217" s="149" t="str">
        <f t="shared" si="40"/>
        <v/>
      </c>
      <c r="BI217" s="149" t="str">
        <f>IF('Cable Info'!V77="","",CONCATENATE('Cable Info'!V77," - ",'Cable Info'!W77))</f>
        <v/>
      </c>
      <c r="BL217" s="149" t="str">
        <f t="shared" si="41"/>
        <v/>
      </c>
      <c r="CL217" s="309"/>
    </row>
    <row r="218" spans="1:90" x14ac:dyDescent="0.2">
      <c r="A218" s="222"/>
      <c r="B218" s="169"/>
      <c r="C218" s="142" t="str">
        <f>IFERROR(IF(B218="","",IF((COUNTIF('Cable Info'!$B$11:$C$50,B218)=0),VLOOKUP(B218,'Cable Info (2)'!$B$11:$C$50,2,FALSE),(VLOOKUP(B218,'Cable Info'!$B$11:$C$50,2,FALSE)))),"NO SUCH EXIT")</f>
        <v/>
      </c>
      <c r="D218" s="286"/>
      <c r="E218" s="312"/>
      <c r="F218" s="132" t="s">
        <v>59</v>
      </c>
      <c r="G218" s="315"/>
      <c r="H218" s="142" t="str">
        <f t="shared" si="42"/>
        <v/>
      </c>
      <c r="I218" s="317"/>
      <c r="J218" s="132" t="s">
        <v>59</v>
      </c>
      <c r="K218" s="321"/>
      <c r="L218" s="290"/>
      <c r="M218" s="142" t="str">
        <f>IFERROR(IF(P218="","",IF((COUNTIF('Cable Info'!$B$11:$C$50,P218)=0),VLOOKUP(P218,'Cable Info (2)'!$B$11:$C$50,2,FALSE),(VLOOKUP(P218,'Cable Info'!$B$11:$C$50,2,FALSE)))),"NO SUCH EXIT")</f>
        <v/>
      </c>
      <c r="N218" s="294"/>
      <c r="O218" s="235"/>
      <c r="P218" s="170"/>
      <c r="Q218" s="224"/>
      <c r="R218" s="168"/>
      <c r="S218" s="168"/>
      <c r="T218" s="166"/>
      <c r="U218" s="166"/>
      <c r="V218" s="167"/>
      <c r="W218" s="167"/>
      <c r="X218" s="229" t="str">
        <f t="shared" si="43"/>
        <v/>
      </c>
      <c r="Y218" s="147" t="str">
        <f t="shared" si="44"/>
        <v/>
      </c>
      <c r="Z218" s="148" t="str">
        <f t="shared" si="45"/>
        <v/>
      </c>
      <c r="AA218" s="148" t="str">
        <f t="shared" si="46"/>
        <v/>
      </c>
      <c r="AB218" s="148" t="str">
        <f t="shared" si="47"/>
        <v/>
      </c>
      <c r="AJ218" s="149" t="str">
        <f>IF('Cable Info'!L78="","",CONCATENATE('Cable Info'!L78," - ",'Cable Info'!M78))</f>
        <v/>
      </c>
      <c r="AM218" s="149" t="str">
        <f t="shared" si="36"/>
        <v/>
      </c>
      <c r="AO218" s="149" t="str">
        <f>IF('Cable Info'!N78="","",CONCATENATE('Cable Info'!N78," - ",'Cable Info'!O78))</f>
        <v/>
      </c>
      <c r="AR218" s="149" t="str">
        <f t="shared" si="37"/>
        <v/>
      </c>
      <c r="AT218" s="149" t="str">
        <f>IF('Cable Info'!P78="","",CONCATENATE('Cable Info'!P78," - ",'Cable Info'!Q78))</f>
        <v/>
      </c>
      <c r="AW218" s="149" t="str">
        <f t="shared" si="38"/>
        <v/>
      </c>
      <c r="AY218" s="149" t="str">
        <f>IF('Cable Info'!R78="","",CONCATENATE('Cable Info'!R78," - ",'Cable Info'!S78))</f>
        <v/>
      </c>
      <c r="BB218" s="149" t="str">
        <f t="shared" si="39"/>
        <v/>
      </c>
      <c r="BD218" s="149" t="str">
        <f>IF('Cable Info'!T78="","",CONCATENATE('Cable Info'!T78," - ",'Cable Info'!U78))</f>
        <v/>
      </c>
      <c r="BG218" s="149" t="str">
        <f t="shared" si="40"/>
        <v/>
      </c>
      <c r="BI218" s="149" t="str">
        <f>IF('Cable Info'!V78="","",CONCATENATE('Cable Info'!V78," - ",'Cable Info'!W78))</f>
        <v/>
      </c>
      <c r="BL218" s="149" t="str">
        <f t="shared" si="41"/>
        <v/>
      </c>
      <c r="CL218" s="309"/>
    </row>
    <row r="219" spans="1:90" x14ac:dyDescent="0.2">
      <c r="A219" s="222"/>
      <c r="B219" s="169"/>
      <c r="C219" s="142" t="str">
        <f>IFERROR(IF(B219="","",IF((COUNTIF('Cable Info'!$B$11:$C$50,B219)=0),VLOOKUP(B219,'Cable Info (2)'!$B$11:$C$50,2,FALSE),(VLOOKUP(B219,'Cable Info'!$B$11:$C$50,2,FALSE)))),"NO SUCH EXIT")</f>
        <v/>
      </c>
      <c r="D219" s="286"/>
      <c r="E219" s="312"/>
      <c r="F219" s="132" t="s">
        <v>59</v>
      </c>
      <c r="G219" s="315"/>
      <c r="H219" s="142" t="str">
        <f t="shared" si="42"/>
        <v/>
      </c>
      <c r="I219" s="317"/>
      <c r="J219" s="132" t="s">
        <v>59</v>
      </c>
      <c r="K219" s="321"/>
      <c r="L219" s="290"/>
      <c r="M219" s="142" t="str">
        <f>IFERROR(IF(P219="","",IF((COUNTIF('Cable Info'!$B$11:$C$50,P219)=0),VLOOKUP(P219,'Cable Info (2)'!$B$11:$C$50,2,FALSE),(VLOOKUP(P219,'Cable Info'!$B$11:$C$50,2,FALSE)))),"NO SUCH EXIT")</f>
        <v/>
      </c>
      <c r="N219" s="294"/>
      <c r="O219" s="235"/>
      <c r="P219" s="170"/>
      <c r="Q219" s="224"/>
      <c r="R219" s="168"/>
      <c r="S219" s="168"/>
      <c r="T219" s="166"/>
      <c r="U219" s="166"/>
      <c r="V219" s="167"/>
      <c r="W219" s="167"/>
      <c r="X219" s="229" t="str">
        <f t="shared" si="43"/>
        <v/>
      </c>
      <c r="Y219" s="147" t="str">
        <f t="shared" si="44"/>
        <v/>
      </c>
      <c r="Z219" s="148" t="str">
        <f t="shared" si="45"/>
        <v/>
      </c>
      <c r="AA219" s="148" t="str">
        <f t="shared" si="46"/>
        <v/>
      </c>
      <c r="AB219" s="148" t="str">
        <f t="shared" si="47"/>
        <v/>
      </c>
      <c r="AJ219" s="149" t="str">
        <f>IF('Cable Info'!L79="","",CONCATENATE('Cable Info'!L79," - ",'Cable Info'!M79))</f>
        <v/>
      </c>
      <c r="AM219" s="149" t="str">
        <f t="shared" si="36"/>
        <v/>
      </c>
      <c r="AO219" s="149" t="str">
        <f>IF('Cable Info'!N79="","",CONCATENATE('Cable Info'!N79," - ",'Cable Info'!O79))</f>
        <v/>
      </c>
      <c r="AR219" s="149" t="str">
        <f t="shared" si="37"/>
        <v/>
      </c>
      <c r="AT219" s="149" t="str">
        <f>IF('Cable Info'!P79="","",CONCATENATE('Cable Info'!P79," - ",'Cable Info'!Q79))</f>
        <v/>
      </c>
      <c r="AW219" s="149" t="str">
        <f t="shared" si="38"/>
        <v/>
      </c>
      <c r="AY219" s="149" t="str">
        <f>IF('Cable Info'!R79="","",CONCATENATE('Cable Info'!R79," - ",'Cable Info'!S79))</f>
        <v/>
      </c>
      <c r="BB219" s="149" t="str">
        <f t="shared" si="39"/>
        <v/>
      </c>
      <c r="BD219" s="149" t="str">
        <f>IF('Cable Info'!T79="","",CONCATENATE('Cable Info'!T79," - ",'Cable Info'!U79))</f>
        <v/>
      </c>
      <c r="BG219" s="149" t="str">
        <f t="shared" si="40"/>
        <v/>
      </c>
      <c r="BI219" s="149" t="str">
        <f>IF('Cable Info'!V79="","",CONCATENATE('Cable Info'!V79," - ",'Cable Info'!W79))</f>
        <v/>
      </c>
      <c r="BL219" s="149" t="str">
        <f t="shared" si="41"/>
        <v/>
      </c>
      <c r="CL219" s="309"/>
    </row>
    <row r="220" spans="1:90" x14ac:dyDescent="0.2">
      <c r="A220" s="222"/>
      <c r="B220" s="169"/>
      <c r="C220" s="142" t="str">
        <f>IFERROR(IF(B220="","",IF((COUNTIF('Cable Info'!$B$11:$C$50,B220)=0),VLOOKUP(B220,'Cable Info (2)'!$B$11:$C$50,2,FALSE),(VLOOKUP(B220,'Cable Info'!$B$11:$C$50,2,FALSE)))),"NO SUCH EXIT")</f>
        <v/>
      </c>
      <c r="D220" s="286"/>
      <c r="E220" s="312"/>
      <c r="F220" s="132" t="s">
        <v>59</v>
      </c>
      <c r="G220" s="315"/>
      <c r="H220" s="142" t="str">
        <f t="shared" si="42"/>
        <v/>
      </c>
      <c r="I220" s="317"/>
      <c r="J220" s="132" t="s">
        <v>59</v>
      </c>
      <c r="K220" s="321"/>
      <c r="L220" s="290"/>
      <c r="M220" s="142" t="str">
        <f>IFERROR(IF(P220="","",IF((COUNTIF('Cable Info'!$B$11:$C$50,P220)=0),VLOOKUP(P220,'Cable Info (2)'!$B$11:$C$50,2,FALSE),(VLOOKUP(P220,'Cable Info'!$B$11:$C$50,2,FALSE)))),"NO SUCH EXIT")</f>
        <v/>
      </c>
      <c r="N220" s="294"/>
      <c r="O220" s="235"/>
      <c r="P220" s="170"/>
      <c r="Q220" s="224"/>
      <c r="R220" s="168"/>
      <c r="S220" s="168"/>
      <c r="T220" s="166"/>
      <c r="U220" s="166"/>
      <c r="V220" s="167"/>
      <c r="W220" s="167"/>
      <c r="X220" s="229" t="str">
        <f t="shared" si="43"/>
        <v/>
      </c>
      <c r="Y220" s="147" t="str">
        <f t="shared" si="44"/>
        <v/>
      </c>
      <c r="Z220" s="148" t="str">
        <f t="shared" si="45"/>
        <v/>
      </c>
      <c r="AA220" s="148" t="str">
        <f t="shared" si="46"/>
        <v/>
      </c>
      <c r="AB220" s="148" t="str">
        <f t="shared" si="47"/>
        <v/>
      </c>
      <c r="AJ220" s="149" t="str">
        <f>IF('Cable Info'!L80="","",CONCATENATE('Cable Info'!L80," - ",'Cable Info'!M80))</f>
        <v/>
      </c>
      <c r="AM220" s="149" t="str">
        <f t="shared" si="36"/>
        <v/>
      </c>
      <c r="AO220" s="149" t="str">
        <f>IF('Cable Info'!N80="","",CONCATENATE('Cable Info'!N80," - ",'Cable Info'!O80))</f>
        <v/>
      </c>
      <c r="AR220" s="149" t="str">
        <f t="shared" si="37"/>
        <v/>
      </c>
      <c r="AT220" s="149" t="str">
        <f>IF('Cable Info'!P80="","",CONCATENATE('Cable Info'!P80," - ",'Cable Info'!Q80))</f>
        <v/>
      </c>
      <c r="AW220" s="149" t="str">
        <f t="shared" si="38"/>
        <v/>
      </c>
      <c r="AY220" s="149" t="str">
        <f>IF('Cable Info'!R80="","",CONCATENATE('Cable Info'!R80," - ",'Cable Info'!S80))</f>
        <v/>
      </c>
      <c r="BB220" s="149" t="str">
        <f t="shared" si="39"/>
        <v/>
      </c>
      <c r="BD220" s="149" t="str">
        <f>IF('Cable Info'!T80="","",CONCATENATE('Cable Info'!T80," - ",'Cable Info'!U80))</f>
        <v/>
      </c>
      <c r="BG220" s="149" t="str">
        <f t="shared" si="40"/>
        <v/>
      </c>
      <c r="BI220" s="149" t="str">
        <f>IF('Cable Info'!V80="","",CONCATENATE('Cable Info'!V80," - ",'Cable Info'!W80))</f>
        <v/>
      </c>
      <c r="BL220" s="149" t="str">
        <f t="shared" si="41"/>
        <v/>
      </c>
      <c r="CL220" s="309"/>
    </row>
    <row r="221" spans="1:90" x14ac:dyDescent="0.2">
      <c r="A221" s="222"/>
      <c r="B221" s="169"/>
      <c r="C221" s="142" t="str">
        <f>IFERROR(IF(B221="","",IF((COUNTIF('Cable Info'!$B$11:$C$50,B221)=0),VLOOKUP(B221,'Cable Info (2)'!$B$11:$C$50,2,FALSE),(VLOOKUP(B221,'Cable Info'!$B$11:$C$50,2,FALSE)))),"NO SUCH EXIT")</f>
        <v/>
      </c>
      <c r="D221" s="286"/>
      <c r="E221" s="312"/>
      <c r="F221" s="132" t="s">
        <v>59</v>
      </c>
      <c r="G221" s="315"/>
      <c r="H221" s="142" t="str">
        <f t="shared" si="42"/>
        <v/>
      </c>
      <c r="I221" s="317"/>
      <c r="J221" s="132" t="s">
        <v>59</v>
      </c>
      <c r="K221" s="321"/>
      <c r="L221" s="290"/>
      <c r="M221" s="142" t="str">
        <f>IFERROR(IF(P221="","",IF((COUNTIF('Cable Info'!$B$11:$C$50,P221)=0),VLOOKUP(P221,'Cable Info (2)'!$B$11:$C$50,2,FALSE),(VLOOKUP(P221,'Cable Info'!$B$11:$C$50,2,FALSE)))),"NO SUCH EXIT")</f>
        <v/>
      </c>
      <c r="N221" s="294"/>
      <c r="O221" s="235"/>
      <c r="P221" s="170"/>
      <c r="Q221" s="224"/>
      <c r="R221" s="168"/>
      <c r="S221" s="168"/>
      <c r="T221" s="166"/>
      <c r="U221" s="166"/>
      <c r="V221" s="167"/>
      <c r="W221" s="167"/>
      <c r="X221" s="229" t="str">
        <f t="shared" si="43"/>
        <v/>
      </c>
      <c r="Y221" s="147" t="str">
        <f t="shared" si="44"/>
        <v/>
      </c>
      <c r="Z221" s="148" t="str">
        <f t="shared" si="45"/>
        <v/>
      </c>
      <c r="AA221" s="148" t="str">
        <f t="shared" si="46"/>
        <v/>
      </c>
      <c r="AB221" s="148" t="str">
        <f t="shared" si="47"/>
        <v/>
      </c>
      <c r="AJ221" s="149" t="str">
        <f>IF('Cable Info'!L81="","",CONCATENATE('Cable Info'!L81," - ",'Cable Info'!M81))</f>
        <v/>
      </c>
      <c r="AM221" s="149" t="str">
        <f t="shared" si="36"/>
        <v/>
      </c>
      <c r="AO221" s="149" t="str">
        <f>IF('Cable Info'!N81="","",CONCATENATE('Cable Info'!N81," - ",'Cable Info'!O81))</f>
        <v/>
      </c>
      <c r="AR221" s="149" t="str">
        <f t="shared" si="37"/>
        <v/>
      </c>
      <c r="AT221" s="149" t="str">
        <f>IF('Cable Info'!P81="","",CONCATENATE('Cable Info'!P81," - ",'Cable Info'!Q81))</f>
        <v/>
      </c>
      <c r="AW221" s="149" t="str">
        <f t="shared" si="38"/>
        <v/>
      </c>
      <c r="AY221" s="149" t="str">
        <f>IF('Cable Info'!R81="","",CONCATENATE('Cable Info'!R81," - ",'Cable Info'!S81))</f>
        <v/>
      </c>
      <c r="BB221" s="149" t="str">
        <f t="shared" si="39"/>
        <v/>
      </c>
      <c r="BD221" s="149" t="str">
        <f>IF('Cable Info'!T81="","",CONCATENATE('Cable Info'!T81," - ",'Cable Info'!U81))</f>
        <v/>
      </c>
      <c r="BG221" s="149" t="str">
        <f t="shared" si="40"/>
        <v/>
      </c>
      <c r="BI221" s="149" t="str">
        <f>IF('Cable Info'!V81="","",CONCATENATE('Cable Info'!V81," - ",'Cable Info'!W81))</f>
        <v/>
      </c>
      <c r="BL221" s="149" t="str">
        <f t="shared" si="41"/>
        <v/>
      </c>
      <c r="CL221" s="309"/>
    </row>
    <row r="222" spans="1:90" x14ac:dyDescent="0.2">
      <c r="A222" s="222"/>
      <c r="B222" s="169"/>
      <c r="C222" s="142" t="str">
        <f>IFERROR(IF(B222="","",IF((COUNTIF('Cable Info'!$B$11:$C$50,B222)=0),VLOOKUP(B222,'Cable Info (2)'!$B$11:$C$50,2,FALSE),(VLOOKUP(B222,'Cable Info'!$B$11:$C$50,2,FALSE)))),"NO SUCH EXIT")</f>
        <v/>
      </c>
      <c r="D222" s="286"/>
      <c r="E222" s="312"/>
      <c r="F222" s="132" t="s">
        <v>59</v>
      </c>
      <c r="G222" s="315"/>
      <c r="H222" s="142" t="str">
        <f t="shared" si="42"/>
        <v/>
      </c>
      <c r="I222" s="317"/>
      <c r="J222" s="132" t="s">
        <v>59</v>
      </c>
      <c r="K222" s="321"/>
      <c r="L222" s="290"/>
      <c r="M222" s="142" t="str">
        <f>IFERROR(IF(P222="","",IF((COUNTIF('Cable Info'!$B$11:$C$50,P222)=0),VLOOKUP(P222,'Cable Info (2)'!$B$11:$C$50,2,FALSE),(VLOOKUP(P222,'Cable Info'!$B$11:$C$50,2,FALSE)))),"NO SUCH EXIT")</f>
        <v/>
      </c>
      <c r="N222" s="294"/>
      <c r="O222" s="235"/>
      <c r="P222" s="170"/>
      <c r="Q222" s="224"/>
      <c r="R222" s="168"/>
      <c r="S222" s="168"/>
      <c r="T222" s="166"/>
      <c r="U222" s="166"/>
      <c r="V222" s="167"/>
      <c r="W222" s="167"/>
      <c r="X222" s="229" t="str">
        <f t="shared" si="43"/>
        <v/>
      </c>
      <c r="Y222" s="147" t="str">
        <f t="shared" si="44"/>
        <v/>
      </c>
      <c r="Z222" s="148" t="str">
        <f t="shared" si="45"/>
        <v/>
      </c>
      <c r="AA222" s="148" t="str">
        <f t="shared" si="46"/>
        <v/>
      </c>
      <c r="AB222" s="148" t="str">
        <f t="shared" si="47"/>
        <v/>
      </c>
      <c r="AJ222" s="149" t="str">
        <f>IF('Cable Info'!L82="","",CONCATENATE('Cable Info'!L82," - ",'Cable Info'!M82))</f>
        <v/>
      </c>
      <c r="AM222" s="149" t="str">
        <f t="shared" si="36"/>
        <v/>
      </c>
      <c r="AO222" s="149" t="str">
        <f>IF('Cable Info'!N82="","",CONCATENATE('Cable Info'!N82," - ",'Cable Info'!O82))</f>
        <v/>
      </c>
      <c r="AR222" s="149" t="str">
        <f t="shared" si="37"/>
        <v/>
      </c>
      <c r="AT222" s="149" t="str">
        <f>IF('Cable Info'!P82="","",CONCATENATE('Cable Info'!P82," - ",'Cable Info'!Q82))</f>
        <v/>
      </c>
      <c r="AW222" s="149" t="str">
        <f t="shared" si="38"/>
        <v/>
      </c>
      <c r="AY222" s="149" t="str">
        <f>IF('Cable Info'!R82="","",CONCATENATE('Cable Info'!R82," - ",'Cable Info'!S82))</f>
        <v/>
      </c>
      <c r="BB222" s="149" t="str">
        <f t="shared" si="39"/>
        <v/>
      </c>
      <c r="BD222" s="149" t="str">
        <f>IF('Cable Info'!T82="","",CONCATENATE('Cable Info'!T82," - ",'Cable Info'!U82))</f>
        <v/>
      </c>
      <c r="BG222" s="149" t="str">
        <f t="shared" si="40"/>
        <v/>
      </c>
      <c r="BI222" s="149" t="str">
        <f>IF('Cable Info'!V82="","",CONCATENATE('Cable Info'!V82," - ",'Cable Info'!W82))</f>
        <v/>
      </c>
      <c r="BL222" s="149" t="str">
        <f t="shared" si="41"/>
        <v/>
      </c>
      <c r="CL222" s="309"/>
    </row>
    <row r="223" spans="1:90" x14ac:dyDescent="0.2">
      <c r="A223" s="222"/>
      <c r="B223" s="169"/>
      <c r="C223" s="142" t="str">
        <f>IFERROR(IF(B223="","",IF((COUNTIF('Cable Info'!$B$11:$C$50,B223)=0),VLOOKUP(B223,'Cable Info (2)'!$B$11:$C$50,2,FALSE),(VLOOKUP(B223,'Cable Info'!$B$11:$C$50,2,FALSE)))),"NO SUCH EXIT")</f>
        <v/>
      </c>
      <c r="D223" s="286"/>
      <c r="E223" s="312"/>
      <c r="F223" s="132" t="s">
        <v>59</v>
      </c>
      <c r="G223" s="315"/>
      <c r="H223" s="142" t="str">
        <f t="shared" si="42"/>
        <v/>
      </c>
      <c r="I223" s="317"/>
      <c r="J223" s="132" t="s">
        <v>59</v>
      </c>
      <c r="K223" s="321"/>
      <c r="L223" s="290"/>
      <c r="M223" s="142" t="str">
        <f>IFERROR(IF(P223="","",IF((COUNTIF('Cable Info'!$B$11:$C$50,P223)=0),VLOOKUP(P223,'Cable Info (2)'!$B$11:$C$50,2,FALSE),(VLOOKUP(P223,'Cable Info'!$B$11:$C$50,2,FALSE)))),"NO SUCH EXIT")</f>
        <v/>
      </c>
      <c r="N223" s="294"/>
      <c r="O223" s="235"/>
      <c r="P223" s="170"/>
      <c r="Q223" s="224"/>
      <c r="R223" s="168"/>
      <c r="S223" s="168"/>
      <c r="T223" s="166"/>
      <c r="U223" s="166"/>
      <c r="V223" s="167"/>
      <c r="W223" s="167"/>
      <c r="X223" s="229" t="str">
        <f t="shared" si="43"/>
        <v/>
      </c>
      <c r="Y223" s="147" t="str">
        <f t="shared" si="44"/>
        <v/>
      </c>
      <c r="Z223" s="148" t="str">
        <f t="shared" si="45"/>
        <v/>
      </c>
      <c r="AA223" s="148" t="str">
        <f t="shared" si="46"/>
        <v/>
      </c>
      <c r="AB223" s="148" t="str">
        <f t="shared" si="47"/>
        <v/>
      </c>
      <c r="AJ223" s="149" t="str">
        <f>IF('Cable Info'!L83="","",CONCATENATE('Cable Info'!L83," - ",'Cable Info'!M83))</f>
        <v/>
      </c>
      <c r="AM223" s="149" t="str">
        <f t="shared" si="36"/>
        <v/>
      </c>
      <c r="AO223" s="149" t="str">
        <f>IF('Cable Info'!N83="","",CONCATENATE('Cable Info'!N83," - ",'Cable Info'!O83))</f>
        <v/>
      </c>
      <c r="AR223" s="149" t="str">
        <f t="shared" si="37"/>
        <v/>
      </c>
      <c r="AT223" s="149" t="str">
        <f>IF('Cable Info'!P83="","",CONCATENATE('Cable Info'!P83," - ",'Cable Info'!Q83))</f>
        <v/>
      </c>
      <c r="AW223" s="149" t="str">
        <f t="shared" si="38"/>
        <v/>
      </c>
      <c r="AY223" s="149" t="str">
        <f>IF('Cable Info'!R83="","",CONCATENATE('Cable Info'!R83," - ",'Cable Info'!S83))</f>
        <v/>
      </c>
      <c r="BB223" s="149" t="str">
        <f t="shared" si="39"/>
        <v/>
      </c>
      <c r="BD223" s="149" t="str">
        <f>IF('Cable Info'!T83="","",CONCATENATE('Cable Info'!T83," - ",'Cable Info'!U83))</f>
        <v/>
      </c>
      <c r="BG223" s="149" t="str">
        <f t="shared" si="40"/>
        <v/>
      </c>
      <c r="BI223" s="149" t="str">
        <f>IF('Cable Info'!V83="","",CONCATENATE('Cable Info'!V83," - ",'Cable Info'!W83))</f>
        <v/>
      </c>
      <c r="BL223" s="149" t="str">
        <f t="shared" si="41"/>
        <v/>
      </c>
      <c r="CL223" s="309"/>
    </row>
    <row r="224" spans="1:90" ht="13.5" thickBot="1" x14ac:dyDescent="0.25">
      <c r="A224" s="222"/>
      <c r="B224" s="174"/>
      <c r="C224" s="175" t="str">
        <f>IFERROR(IF(B224="","",IF((COUNTIF('Cable Info'!$B$11:$C$50,B224)=0),VLOOKUP(B224,'Cable Info (2)'!$B$11:$C$50,2,FALSE),(VLOOKUP(B224,'Cable Info'!$B$11:$C$50,2,FALSE)))),"NO SUCH EXIT")</f>
        <v/>
      </c>
      <c r="D224" s="287"/>
      <c r="E224" s="313"/>
      <c r="F224" s="203" t="s">
        <v>59</v>
      </c>
      <c r="G224" s="316"/>
      <c r="H224" s="175" t="str">
        <f t="shared" si="42"/>
        <v/>
      </c>
      <c r="I224" s="319"/>
      <c r="J224" s="203" t="s">
        <v>59</v>
      </c>
      <c r="K224" s="322"/>
      <c r="L224" s="291"/>
      <c r="M224" s="175" t="str">
        <f>IFERROR(IF(P224="","",IF((COUNTIF('Cable Info'!$B$11:$C$50,P224)=0),VLOOKUP(P224,'Cable Info (2)'!$B$11:$C$50,2,FALSE),(VLOOKUP(P224,'Cable Info'!$B$11:$C$50,2,FALSE)))),"NO SUCH EXIT")</f>
        <v/>
      </c>
      <c r="N224" s="295"/>
      <c r="O224" s="236"/>
      <c r="P224" s="177"/>
      <c r="Q224" s="226"/>
      <c r="R224" s="176"/>
      <c r="S224" s="176"/>
      <c r="T224" s="178"/>
      <c r="U224" s="178"/>
      <c r="V224" s="179"/>
      <c r="W224" s="179"/>
      <c r="X224" s="229" t="str">
        <f t="shared" si="43"/>
        <v/>
      </c>
      <c r="Y224" s="147" t="str">
        <f t="shared" si="44"/>
        <v/>
      </c>
      <c r="Z224" s="148" t="str">
        <f t="shared" si="45"/>
        <v/>
      </c>
      <c r="AA224" s="148" t="str">
        <f t="shared" si="46"/>
        <v/>
      </c>
      <c r="AB224" s="148" t="str">
        <f t="shared" si="47"/>
        <v/>
      </c>
      <c r="AJ224" s="149" t="str">
        <f>IF('Cable Info'!L84="","",CONCATENATE('Cable Info'!L84," - ",'Cable Info'!M84))</f>
        <v/>
      </c>
      <c r="AM224" s="149" t="str">
        <f t="shared" si="36"/>
        <v/>
      </c>
      <c r="AO224" s="149" t="str">
        <f>IF('Cable Info'!N84="","",CONCATENATE('Cable Info'!N84," - ",'Cable Info'!O84))</f>
        <v/>
      </c>
      <c r="AR224" s="149" t="str">
        <f t="shared" si="37"/>
        <v/>
      </c>
      <c r="AT224" s="149" t="str">
        <f>IF('Cable Info'!P84="","",CONCATENATE('Cable Info'!P84," - ",'Cable Info'!Q84))</f>
        <v/>
      </c>
      <c r="AW224" s="149" t="str">
        <f t="shared" si="38"/>
        <v/>
      </c>
      <c r="AY224" s="149" t="str">
        <f>IF('Cable Info'!R84="","",CONCATENATE('Cable Info'!R84," - ",'Cable Info'!S84))</f>
        <v/>
      </c>
      <c r="BB224" s="149" t="str">
        <f t="shared" si="39"/>
        <v/>
      </c>
      <c r="BD224" s="149" t="str">
        <f>IF('Cable Info'!T84="","",CONCATENATE('Cable Info'!T84," - ",'Cable Info'!U84))</f>
        <v/>
      </c>
      <c r="BG224" s="149" t="str">
        <f t="shared" si="40"/>
        <v/>
      </c>
      <c r="BI224" s="149" t="str">
        <f>IF('Cable Info'!V84="","",CONCATENATE('Cable Info'!V84," - ",'Cable Info'!W84))</f>
        <v/>
      </c>
      <c r="BL224" s="149" t="str">
        <f t="shared" si="41"/>
        <v/>
      </c>
      <c r="CL224" s="309"/>
    </row>
    <row r="225" spans="1:89" ht="13.5" thickBot="1" x14ac:dyDescent="0.25">
      <c r="A225" s="151"/>
      <c r="B225" s="153"/>
      <c r="C225" s="153"/>
      <c r="D225" s="153"/>
      <c r="E225" s="153"/>
      <c r="F225" s="154"/>
      <c r="G225" s="153"/>
      <c r="H225" s="153"/>
      <c r="I225" s="153"/>
      <c r="J225" s="154"/>
      <c r="K225" s="153"/>
      <c r="L225" s="153"/>
      <c r="M225" s="153"/>
      <c r="N225" s="153"/>
      <c r="O225" s="215"/>
      <c r="P225" s="153"/>
      <c r="Q225" s="155"/>
      <c r="R225" s="153"/>
      <c r="S225" s="153"/>
      <c r="T225" s="153"/>
      <c r="U225" s="153"/>
      <c r="V225" s="153"/>
      <c r="W225" s="153"/>
      <c r="X225" s="198"/>
      <c r="Y225" s="147" t="str">
        <f t="shared" si="44"/>
        <v/>
      </c>
      <c r="Z225" s="148" t="str">
        <f t="shared" si="45"/>
        <v/>
      </c>
      <c r="AA225" s="148" t="str">
        <f t="shared" si="46"/>
        <v/>
      </c>
      <c r="AB225" s="148" t="str">
        <f t="shared" si="47"/>
        <v/>
      </c>
      <c r="AJ225" s="149" t="str">
        <f>IF('Cable Info'!L85="","",CONCATENATE('Cable Info'!L85," - ",'Cable Info'!M85))</f>
        <v/>
      </c>
      <c r="AM225" s="149" t="str">
        <f t="shared" si="36"/>
        <v/>
      </c>
      <c r="AO225" s="149" t="str">
        <f>IF('Cable Info'!N85="","",CONCATENATE('Cable Info'!N85," - ",'Cable Info'!O85))</f>
        <v/>
      </c>
      <c r="AR225" s="149" t="str">
        <f t="shared" si="37"/>
        <v/>
      </c>
      <c r="AT225" s="149" t="str">
        <f>IF('Cable Info'!P85="","",CONCATENATE('Cable Info'!P85," - ",'Cable Info'!Q85))</f>
        <v/>
      </c>
      <c r="AW225" s="149" t="str">
        <f t="shared" si="38"/>
        <v/>
      </c>
      <c r="AY225" s="149" t="str">
        <f>IF('Cable Info'!R85="","",CONCATENATE('Cable Info'!R85," - ",'Cable Info'!S85))</f>
        <v/>
      </c>
      <c r="BB225" s="149" t="str">
        <f t="shared" si="39"/>
        <v/>
      </c>
      <c r="BD225" s="149" t="str">
        <f>IF('Cable Info'!T85="","",CONCATENATE('Cable Info'!T85," - ",'Cable Info'!U85))</f>
        <v/>
      </c>
      <c r="BG225" s="149" t="str">
        <f t="shared" si="40"/>
        <v/>
      </c>
      <c r="BI225" s="149" t="str">
        <f>IF('Cable Info'!V85="","",CONCATENATE('Cable Info'!V85," - ",'Cable Info'!W85))</f>
        <v/>
      </c>
      <c r="BL225" s="149" t="str">
        <f t="shared" si="41"/>
        <v/>
      </c>
      <c r="CK225" s="189"/>
    </row>
    <row r="226" spans="1:89" s="180" customFormat="1" x14ac:dyDescent="0.2">
      <c r="A226" s="193"/>
      <c r="B226" s="193"/>
      <c r="C226" s="193"/>
      <c r="D226" s="193"/>
      <c r="E226" s="193"/>
      <c r="F226" s="194"/>
      <c r="G226" s="193"/>
      <c r="H226" s="193"/>
      <c r="I226" s="193"/>
      <c r="J226" s="194"/>
      <c r="K226" s="193"/>
      <c r="L226" s="193"/>
      <c r="M226" s="193"/>
      <c r="N226" s="193"/>
      <c r="O226" s="216"/>
      <c r="P226" s="193"/>
      <c r="Q226" s="195"/>
      <c r="R226" s="193"/>
      <c r="S226" s="193"/>
      <c r="T226" s="193"/>
      <c r="U226" s="193"/>
      <c r="V226" s="193"/>
      <c r="W226" s="193"/>
      <c r="X226" s="199"/>
      <c r="Y226" s="196" t="str">
        <f t="shared" si="44"/>
        <v/>
      </c>
      <c r="Z226" s="196" t="str">
        <f t="shared" si="45"/>
        <v/>
      </c>
      <c r="AA226" s="196" t="str">
        <f t="shared" si="46"/>
        <v/>
      </c>
      <c r="AB226" s="196" t="str">
        <f t="shared" si="47"/>
        <v/>
      </c>
      <c r="AC226" s="196"/>
      <c r="AD226" s="196"/>
      <c r="AE226" s="196"/>
      <c r="AF226" s="196"/>
      <c r="AG226" s="196"/>
      <c r="AH226" s="196"/>
      <c r="AI226" s="196"/>
      <c r="AJ226" s="196" t="str">
        <f>IF('Cable Info'!L86="","",CONCATENATE('Cable Info'!L86," - ",'Cable Info'!M86))</f>
        <v/>
      </c>
      <c r="AK226" s="196"/>
      <c r="AL226" s="196"/>
      <c r="AM226" s="196" t="str">
        <f t="shared" si="36"/>
        <v/>
      </c>
      <c r="AN226" s="196"/>
      <c r="AO226" s="196" t="str">
        <f>IF('Cable Info'!N86="","",CONCATENATE('Cable Info'!N86," - ",'Cable Info'!O86))</f>
        <v/>
      </c>
      <c r="AP226" s="196"/>
      <c r="AQ226" s="196"/>
      <c r="AR226" s="196" t="str">
        <f t="shared" si="37"/>
        <v/>
      </c>
      <c r="AS226" s="196"/>
      <c r="AT226" s="196" t="str">
        <f>IF('Cable Info'!P86="","",CONCATENATE('Cable Info'!P86," - ",'Cable Info'!Q86))</f>
        <v/>
      </c>
      <c r="AU226" s="196"/>
      <c r="AV226" s="196"/>
      <c r="AW226" s="196" t="str">
        <f t="shared" si="38"/>
        <v/>
      </c>
      <c r="AX226" s="196"/>
      <c r="AY226" s="196" t="str">
        <f>IF('Cable Info'!R86="","",CONCATENATE('Cable Info'!R86," - ",'Cable Info'!S86))</f>
        <v/>
      </c>
      <c r="AZ226" s="196"/>
      <c r="BA226" s="196"/>
      <c r="BB226" s="196" t="str">
        <f t="shared" si="39"/>
        <v/>
      </c>
      <c r="BC226" s="196"/>
      <c r="BD226" s="196" t="str">
        <f>IF('Cable Info'!T86="","",CONCATENATE('Cable Info'!T86," - ",'Cable Info'!U86))</f>
        <v/>
      </c>
      <c r="BE226" s="196"/>
      <c r="BF226" s="196"/>
      <c r="BG226" s="196" t="str">
        <f t="shared" si="40"/>
        <v/>
      </c>
      <c r="BH226" s="196"/>
      <c r="BI226" s="196" t="str">
        <f>IF('Cable Info'!V86="","",CONCATENATE('Cable Info'!V86," - ",'Cable Info'!W86))</f>
        <v/>
      </c>
      <c r="BJ226" s="196"/>
      <c r="BK226" s="196"/>
      <c r="BL226" s="196" t="str">
        <f t="shared" si="41"/>
        <v/>
      </c>
      <c r="BM226" s="196"/>
      <c r="BN226" s="193"/>
      <c r="BO226" s="193"/>
      <c r="BP226" s="193"/>
      <c r="BQ226" s="193"/>
      <c r="BR226" s="193"/>
      <c r="BS226" s="193"/>
      <c r="BT226" s="193"/>
      <c r="BU226" s="193"/>
      <c r="BV226" s="193"/>
      <c r="BW226" s="193"/>
      <c r="BX226" s="193"/>
      <c r="BY226" s="193"/>
      <c r="BZ226" s="193"/>
      <c r="CA226" s="193"/>
      <c r="CB226" s="193"/>
      <c r="CC226" s="193"/>
      <c r="CD226" s="193"/>
      <c r="CE226" s="193"/>
      <c r="CF226" s="193"/>
      <c r="CG226" s="193"/>
      <c r="CH226" s="193"/>
      <c r="CI226" s="193"/>
      <c r="CJ226" s="193"/>
      <c r="CK226" s="189"/>
    </row>
    <row r="227" spans="1:89" s="180" customFormat="1" x14ac:dyDescent="0.2">
      <c r="A227" s="189"/>
      <c r="B227" s="189"/>
      <c r="C227" s="189"/>
      <c r="D227" s="189"/>
      <c r="E227" s="189"/>
      <c r="F227" s="190"/>
      <c r="G227" s="189"/>
      <c r="H227" s="189"/>
      <c r="I227" s="189"/>
      <c r="J227" s="190"/>
      <c r="K227" s="189"/>
      <c r="L227" s="189"/>
      <c r="M227" s="189"/>
      <c r="N227" s="189"/>
      <c r="O227" s="217"/>
      <c r="P227" s="189"/>
      <c r="Q227" s="191"/>
      <c r="R227" s="189"/>
      <c r="S227" s="189"/>
      <c r="T227" s="189"/>
      <c r="U227" s="189"/>
      <c r="V227" s="189"/>
      <c r="W227" s="189"/>
      <c r="X227" s="200"/>
      <c r="Y227" s="192" t="str">
        <f t="shared" si="44"/>
        <v/>
      </c>
      <c r="Z227" s="192" t="str">
        <f t="shared" si="45"/>
        <v/>
      </c>
      <c r="AA227" s="192" t="str">
        <f t="shared" si="46"/>
        <v/>
      </c>
      <c r="AB227" s="192" t="str">
        <f t="shared" si="47"/>
        <v/>
      </c>
      <c r="AC227" s="192"/>
      <c r="AD227" s="192"/>
      <c r="AE227" s="192"/>
      <c r="AF227" s="192"/>
      <c r="AG227" s="192"/>
      <c r="AH227" s="192"/>
      <c r="AI227" s="192"/>
      <c r="AJ227" s="192" t="str">
        <f>IF('Cable Info'!L87="","",CONCATENATE('Cable Info'!L87," - ",'Cable Info'!M87))</f>
        <v/>
      </c>
      <c r="AK227" s="192"/>
      <c r="AL227" s="192"/>
      <c r="AM227" s="192" t="str">
        <f t="shared" si="36"/>
        <v/>
      </c>
      <c r="AN227" s="192"/>
      <c r="AO227" s="192" t="str">
        <f>IF('Cable Info'!N87="","",CONCATENATE('Cable Info'!N87," - ",'Cable Info'!O87))</f>
        <v/>
      </c>
      <c r="AP227" s="192"/>
      <c r="AQ227" s="192"/>
      <c r="AR227" s="192" t="str">
        <f t="shared" si="37"/>
        <v/>
      </c>
      <c r="AS227" s="192"/>
      <c r="AT227" s="192" t="str">
        <f>IF('Cable Info'!P87="","",CONCATENATE('Cable Info'!P87," - ",'Cable Info'!Q87))</f>
        <v/>
      </c>
      <c r="AU227" s="192"/>
      <c r="AV227" s="192"/>
      <c r="AW227" s="192" t="str">
        <f t="shared" si="38"/>
        <v/>
      </c>
      <c r="AX227" s="192"/>
      <c r="AY227" s="192" t="str">
        <f>IF('Cable Info'!R87="","",CONCATENATE('Cable Info'!R87," - ",'Cable Info'!S87))</f>
        <v/>
      </c>
      <c r="AZ227" s="192"/>
      <c r="BA227" s="192"/>
      <c r="BB227" s="192" t="str">
        <f t="shared" si="39"/>
        <v/>
      </c>
      <c r="BC227" s="192"/>
      <c r="BD227" s="192" t="str">
        <f>IF('Cable Info'!T87="","",CONCATENATE('Cable Info'!T87," - ",'Cable Info'!U87))</f>
        <v/>
      </c>
      <c r="BE227" s="192"/>
      <c r="BF227" s="192"/>
      <c r="BG227" s="192" t="str">
        <f t="shared" si="40"/>
        <v/>
      </c>
      <c r="BH227" s="192"/>
      <c r="BI227" s="192" t="str">
        <f>IF('Cable Info'!V87="","",CONCATENATE('Cable Info'!V87," - ",'Cable Info'!W87))</f>
        <v/>
      </c>
      <c r="BJ227" s="192"/>
      <c r="BK227" s="192"/>
      <c r="BL227" s="192" t="str">
        <f t="shared" si="41"/>
        <v/>
      </c>
      <c r="BM227" s="192"/>
      <c r="BN227" s="189"/>
      <c r="BO227" s="189"/>
      <c r="BP227" s="189"/>
      <c r="BQ227" s="189"/>
      <c r="BR227" s="189"/>
      <c r="BS227" s="189"/>
      <c r="BT227" s="189"/>
      <c r="BU227" s="189"/>
      <c r="BV227" s="189"/>
      <c r="BW227" s="189"/>
      <c r="BX227" s="189"/>
      <c r="BY227" s="189"/>
      <c r="BZ227" s="189"/>
      <c r="CA227" s="189"/>
      <c r="CB227" s="189"/>
      <c r="CC227" s="189"/>
      <c r="CD227" s="189"/>
      <c r="CE227" s="189"/>
      <c r="CF227" s="189"/>
      <c r="CG227" s="189"/>
      <c r="CH227" s="189"/>
      <c r="CI227" s="189"/>
      <c r="CJ227" s="189"/>
      <c r="CK227" s="189"/>
    </row>
    <row r="228" spans="1:89" x14ac:dyDescent="0.2">
      <c r="A228" s="180"/>
      <c r="B228" s="180"/>
      <c r="C228" s="180"/>
      <c r="D228" s="180"/>
      <c r="E228" s="180"/>
      <c r="F228" s="187"/>
      <c r="G228" s="180"/>
      <c r="H228" s="180"/>
      <c r="I228" s="180"/>
      <c r="J228" s="187"/>
      <c r="K228" s="180"/>
      <c r="L228" s="180"/>
      <c r="M228" s="180"/>
      <c r="N228" s="180"/>
      <c r="O228" s="218"/>
      <c r="P228" s="180"/>
      <c r="Q228" s="188"/>
      <c r="R228" s="180"/>
      <c r="S228" s="180"/>
      <c r="T228" s="180"/>
      <c r="U228" s="180"/>
      <c r="V228" s="180"/>
      <c r="W228" s="180"/>
      <c r="X228" s="201"/>
      <c r="AJ228" s="149" t="str">
        <f>IF('Cable Info'!L88="","",CONCATENATE('Cable Info'!L88," - ",'Cable Info'!M88))</f>
        <v/>
      </c>
      <c r="AM228" s="149" t="str">
        <f t="shared" si="36"/>
        <v/>
      </c>
      <c r="AO228" s="149" t="str">
        <f>IF('Cable Info'!N88="","",CONCATENATE('Cable Info'!N88," - ",'Cable Info'!O88))</f>
        <v/>
      </c>
      <c r="AR228" s="149" t="str">
        <f t="shared" si="37"/>
        <v/>
      </c>
      <c r="AT228" s="149" t="str">
        <f>IF('Cable Info'!P88="","",CONCATENATE('Cable Info'!P88," - ",'Cable Info'!Q88))</f>
        <v/>
      </c>
      <c r="AW228" s="149" t="str">
        <f t="shared" si="38"/>
        <v/>
      </c>
      <c r="AY228" s="149" t="str">
        <f>IF('Cable Info'!R88="","",CONCATENATE('Cable Info'!R88," - ",'Cable Info'!S88))</f>
        <v/>
      </c>
      <c r="BB228" s="149" t="str">
        <f t="shared" si="39"/>
        <v/>
      </c>
      <c r="BD228" s="149" t="str">
        <f>IF('Cable Info'!T88="","",CONCATENATE('Cable Info'!T88," - ",'Cable Info'!U88))</f>
        <v/>
      </c>
      <c r="BG228" s="149" t="str">
        <f t="shared" si="40"/>
        <v/>
      </c>
      <c r="BI228" s="149" t="str">
        <f>IF('Cable Info'!V88="","",CONCATENATE('Cable Info'!V88," - ",'Cable Info'!W88))</f>
        <v/>
      </c>
      <c r="BL228" s="149" t="str">
        <f t="shared" si="41"/>
        <v/>
      </c>
    </row>
    <row r="229" spans="1:89" x14ac:dyDescent="0.2">
      <c r="A229" s="180"/>
      <c r="B229" s="180"/>
      <c r="C229" s="180"/>
      <c r="D229" s="180"/>
      <c r="E229" s="180"/>
      <c r="F229" s="187"/>
      <c r="G229" s="180"/>
      <c r="H229" s="180"/>
      <c r="I229" s="180"/>
      <c r="J229" s="187"/>
      <c r="K229" s="180"/>
      <c r="L229" s="180"/>
      <c r="M229" s="180"/>
      <c r="N229" s="180"/>
      <c r="O229" s="218"/>
      <c r="P229" s="180"/>
      <c r="Q229" s="188"/>
      <c r="R229" s="180"/>
      <c r="S229" s="180"/>
      <c r="T229" s="180"/>
      <c r="U229" s="180"/>
      <c r="V229" s="180"/>
      <c r="W229" s="180"/>
      <c r="X229" s="201"/>
      <c r="AJ229" s="149" t="str">
        <f>IF('Cable Info'!L89="","",CONCATENATE('Cable Info'!L89," - ",'Cable Info'!M89))</f>
        <v/>
      </c>
      <c r="AM229" s="149" t="str">
        <f t="shared" si="36"/>
        <v/>
      </c>
      <c r="AO229" s="149" t="str">
        <f>IF('Cable Info'!N89="","",CONCATENATE('Cable Info'!N89," - ",'Cable Info'!O89))</f>
        <v/>
      </c>
      <c r="AR229" s="149" t="str">
        <f t="shared" si="37"/>
        <v/>
      </c>
      <c r="AT229" s="149" t="str">
        <f>IF('Cable Info'!P89="","",CONCATENATE('Cable Info'!P89," - ",'Cable Info'!Q89))</f>
        <v/>
      </c>
      <c r="AW229" s="149" t="str">
        <f t="shared" si="38"/>
        <v/>
      </c>
      <c r="AY229" s="149" t="str">
        <f>IF('Cable Info'!R89="","",CONCATENATE('Cable Info'!R89," - ",'Cable Info'!S89))</f>
        <v/>
      </c>
      <c r="BB229" s="149" t="str">
        <f t="shared" si="39"/>
        <v/>
      </c>
      <c r="BD229" s="149" t="str">
        <f>IF('Cable Info'!T89="","",CONCATENATE('Cable Info'!T89," - ",'Cable Info'!U89))</f>
        <v/>
      </c>
      <c r="BG229" s="149" t="str">
        <f t="shared" si="40"/>
        <v/>
      </c>
      <c r="BI229" s="149" t="str">
        <f>IF('Cable Info'!V89="","",CONCATENATE('Cable Info'!V89," - ",'Cable Info'!W89))</f>
        <v/>
      </c>
      <c r="BL229" s="149" t="str">
        <f t="shared" si="41"/>
        <v/>
      </c>
    </row>
    <row r="230" spans="1:89" x14ac:dyDescent="0.2">
      <c r="A230" s="180"/>
      <c r="B230" s="180"/>
      <c r="C230" s="180"/>
      <c r="D230" s="180"/>
      <c r="E230" s="180"/>
      <c r="F230" s="187"/>
      <c r="G230" s="180"/>
      <c r="H230" s="180"/>
      <c r="I230" s="180"/>
      <c r="J230" s="187"/>
      <c r="K230" s="180"/>
      <c r="L230" s="180"/>
      <c r="M230" s="180"/>
      <c r="N230" s="180"/>
      <c r="O230" s="218"/>
      <c r="P230" s="180"/>
      <c r="Q230" s="188"/>
      <c r="R230" s="180"/>
      <c r="S230" s="180"/>
      <c r="T230" s="180"/>
      <c r="U230" s="180"/>
      <c r="V230" s="180"/>
      <c r="W230" s="180"/>
      <c r="X230" s="201"/>
      <c r="AJ230" s="149" t="str">
        <f>IF('Cable Info'!L90="","",CONCATENATE('Cable Info'!L90," - ",'Cable Info'!M90))</f>
        <v/>
      </c>
      <c r="AM230" s="149" t="str">
        <f t="shared" si="36"/>
        <v/>
      </c>
      <c r="AO230" s="149" t="str">
        <f>IF('Cable Info'!N90="","",CONCATENATE('Cable Info'!N90," - ",'Cable Info'!O90))</f>
        <v/>
      </c>
      <c r="AR230" s="149" t="str">
        <f t="shared" si="37"/>
        <v/>
      </c>
      <c r="AT230" s="149" t="str">
        <f>IF('Cable Info'!P90="","",CONCATENATE('Cable Info'!P90," - ",'Cable Info'!Q90))</f>
        <v/>
      </c>
      <c r="AW230" s="149" t="str">
        <f t="shared" si="38"/>
        <v/>
      </c>
      <c r="AY230" s="149" t="str">
        <f>IF('Cable Info'!R90="","",CONCATENATE('Cable Info'!R90," - ",'Cable Info'!S90))</f>
        <v/>
      </c>
      <c r="BB230" s="149" t="str">
        <f t="shared" si="39"/>
        <v/>
      </c>
      <c r="BD230" s="149" t="str">
        <f>IF('Cable Info'!T90="","",CONCATENATE('Cable Info'!T90," - ",'Cable Info'!U90))</f>
        <v/>
      </c>
      <c r="BG230" s="149" t="str">
        <f t="shared" si="40"/>
        <v/>
      </c>
      <c r="BI230" s="149" t="str">
        <f>IF('Cable Info'!V90="","",CONCATENATE('Cable Info'!V90," - ",'Cable Info'!W90))</f>
        <v/>
      </c>
      <c r="BL230" s="149" t="str">
        <f t="shared" si="41"/>
        <v/>
      </c>
    </row>
    <row r="231" spans="1:89" x14ac:dyDescent="0.2">
      <c r="A231" s="180"/>
      <c r="B231" s="180"/>
      <c r="C231" s="180"/>
      <c r="D231" s="180"/>
      <c r="E231" s="180"/>
      <c r="F231" s="187"/>
      <c r="G231" s="180"/>
      <c r="H231" s="180"/>
      <c r="I231" s="180"/>
      <c r="J231" s="187"/>
      <c r="K231" s="180"/>
      <c r="L231" s="180"/>
      <c r="M231" s="180"/>
      <c r="N231" s="180"/>
      <c r="O231" s="218"/>
      <c r="P231" s="180"/>
      <c r="Q231" s="188"/>
      <c r="R231" s="180"/>
      <c r="S231" s="180"/>
      <c r="T231" s="180"/>
      <c r="U231" s="180"/>
      <c r="V231" s="180"/>
      <c r="W231" s="180"/>
      <c r="X231" s="201"/>
      <c r="AJ231" s="149" t="str">
        <f>IF('Cable Info'!L91="","",CONCATENATE('Cable Info'!L91," - ",'Cable Info'!M91))</f>
        <v/>
      </c>
      <c r="AM231" s="149" t="str">
        <f t="shared" si="36"/>
        <v/>
      </c>
      <c r="AO231" s="149" t="str">
        <f>IF('Cable Info'!N91="","",CONCATENATE('Cable Info'!N91," - ",'Cable Info'!O91))</f>
        <v/>
      </c>
      <c r="AR231" s="149" t="str">
        <f t="shared" si="37"/>
        <v/>
      </c>
      <c r="AT231" s="149" t="str">
        <f>IF('Cable Info'!P91="","",CONCATENATE('Cable Info'!P91," - ",'Cable Info'!Q91))</f>
        <v/>
      </c>
      <c r="AW231" s="149" t="str">
        <f t="shared" si="38"/>
        <v/>
      </c>
      <c r="AY231" s="149" t="str">
        <f>IF('Cable Info'!R91="","",CONCATENATE('Cable Info'!R91," - ",'Cable Info'!S91))</f>
        <v/>
      </c>
      <c r="BB231" s="149" t="str">
        <f t="shared" si="39"/>
        <v/>
      </c>
      <c r="BD231" s="149" t="str">
        <f>IF('Cable Info'!T91="","",CONCATENATE('Cable Info'!T91," - ",'Cable Info'!U91))</f>
        <v/>
      </c>
      <c r="BG231" s="149" t="str">
        <f t="shared" si="40"/>
        <v/>
      </c>
      <c r="BI231" s="149" t="str">
        <f>IF('Cable Info'!V91="","",CONCATENATE('Cable Info'!V91," - ",'Cable Info'!W91))</f>
        <v/>
      </c>
      <c r="BL231" s="149" t="str">
        <f t="shared" si="41"/>
        <v/>
      </c>
    </row>
    <row r="232" spans="1:89" x14ac:dyDescent="0.2">
      <c r="A232" s="180"/>
      <c r="B232" s="180"/>
      <c r="C232" s="180"/>
      <c r="D232" s="180"/>
      <c r="E232" s="180"/>
      <c r="F232" s="187"/>
      <c r="G232" s="180"/>
      <c r="H232" s="180"/>
      <c r="I232" s="180"/>
      <c r="J232" s="187"/>
      <c r="K232" s="180"/>
      <c r="L232" s="180"/>
      <c r="M232" s="180"/>
      <c r="N232" s="180"/>
      <c r="O232" s="218"/>
      <c r="P232" s="180"/>
      <c r="Q232" s="188"/>
      <c r="R232" s="180"/>
      <c r="S232" s="180"/>
      <c r="T232" s="180"/>
      <c r="U232" s="180"/>
      <c r="V232" s="180"/>
      <c r="W232" s="180"/>
      <c r="X232" s="201"/>
      <c r="AJ232" s="149" t="str">
        <f>IF('Cable Info'!L92="","",CONCATENATE('Cable Info'!L92," - ",'Cable Info'!M92))</f>
        <v/>
      </c>
      <c r="AM232" s="149" t="str">
        <f t="shared" si="36"/>
        <v/>
      </c>
      <c r="AO232" s="149" t="str">
        <f>IF('Cable Info'!N92="","",CONCATENATE('Cable Info'!N92," - ",'Cable Info'!O92))</f>
        <v/>
      </c>
      <c r="AR232" s="149" t="str">
        <f t="shared" si="37"/>
        <v/>
      </c>
      <c r="AT232" s="149" t="str">
        <f>IF('Cable Info'!P92="","",CONCATENATE('Cable Info'!P92," - ",'Cable Info'!Q92))</f>
        <v/>
      </c>
      <c r="AW232" s="149" t="str">
        <f t="shared" si="38"/>
        <v/>
      </c>
      <c r="AY232" s="149" t="str">
        <f>IF('Cable Info'!R92="","",CONCATENATE('Cable Info'!R92," - ",'Cable Info'!S92))</f>
        <v/>
      </c>
      <c r="BB232" s="149" t="str">
        <f t="shared" si="39"/>
        <v/>
      </c>
      <c r="BD232" s="149" t="str">
        <f>IF('Cable Info'!T92="","",CONCATENATE('Cable Info'!T92," - ",'Cable Info'!U92))</f>
        <v/>
      </c>
      <c r="BG232" s="149" t="str">
        <f t="shared" si="40"/>
        <v/>
      </c>
      <c r="BI232" s="149" t="str">
        <f>IF('Cable Info'!V92="","",CONCATENATE('Cable Info'!V92," - ",'Cable Info'!W92))</f>
        <v/>
      </c>
      <c r="BL232" s="149" t="str">
        <f t="shared" si="41"/>
        <v/>
      </c>
    </row>
    <row r="233" spans="1:89" x14ac:dyDescent="0.2">
      <c r="A233" s="180"/>
      <c r="B233" s="180"/>
      <c r="C233" s="180"/>
      <c r="D233" s="180"/>
      <c r="E233" s="180"/>
      <c r="F233" s="187"/>
      <c r="G233" s="180"/>
      <c r="H233" s="180"/>
      <c r="I233" s="180"/>
      <c r="J233" s="187"/>
      <c r="K233" s="180"/>
      <c r="L233" s="180"/>
      <c r="M233" s="180"/>
      <c r="N233" s="180"/>
      <c r="O233" s="218"/>
      <c r="P233" s="180"/>
      <c r="Q233" s="188"/>
      <c r="R233" s="180"/>
      <c r="S233" s="180"/>
      <c r="T233" s="180"/>
      <c r="U233" s="180"/>
      <c r="V233" s="180"/>
      <c r="W233" s="180"/>
      <c r="X233" s="201"/>
      <c r="AJ233" s="149" t="str">
        <f>IF('Cable Info'!L93="","",CONCATENATE('Cable Info'!L93," - ",'Cable Info'!M93))</f>
        <v/>
      </c>
      <c r="AM233" s="149" t="str">
        <f t="shared" si="36"/>
        <v/>
      </c>
      <c r="AO233" s="149" t="str">
        <f>IF('Cable Info'!N93="","",CONCATENATE('Cable Info'!N93," - ",'Cable Info'!O93))</f>
        <v/>
      </c>
      <c r="AR233" s="149" t="str">
        <f t="shared" si="37"/>
        <v/>
      </c>
      <c r="AT233" s="149" t="str">
        <f>IF('Cable Info'!P93="","",CONCATENATE('Cable Info'!P93," - ",'Cable Info'!Q93))</f>
        <v/>
      </c>
      <c r="AW233" s="149" t="str">
        <f t="shared" si="38"/>
        <v/>
      </c>
      <c r="AY233" s="149" t="str">
        <f>IF('Cable Info'!R93="","",CONCATENATE('Cable Info'!R93," - ",'Cable Info'!S93))</f>
        <v/>
      </c>
      <c r="BB233" s="149" t="str">
        <f t="shared" si="39"/>
        <v/>
      </c>
      <c r="BD233" s="149" t="str">
        <f>IF('Cable Info'!T93="","",CONCATENATE('Cable Info'!T93," - ",'Cable Info'!U93))</f>
        <v/>
      </c>
      <c r="BG233" s="149" t="str">
        <f t="shared" si="40"/>
        <v/>
      </c>
      <c r="BI233" s="149" t="str">
        <f>IF('Cable Info'!V93="","",CONCATENATE('Cable Info'!V93," - ",'Cable Info'!W93))</f>
        <v/>
      </c>
      <c r="BL233" s="149" t="str">
        <f t="shared" si="41"/>
        <v/>
      </c>
    </row>
    <row r="234" spans="1:89" x14ac:dyDescent="0.2">
      <c r="A234" s="180"/>
      <c r="B234" s="180"/>
      <c r="C234" s="180"/>
      <c r="D234" s="180"/>
      <c r="E234" s="180"/>
      <c r="F234" s="187"/>
      <c r="G234" s="180"/>
      <c r="H234" s="180"/>
      <c r="I234" s="180"/>
      <c r="J234" s="187"/>
      <c r="K234" s="180"/>
      <c r="L234" s="180"/>
      <c r="M234" s="180"/>
      <c r="N234" s="180"/>
      <c r="O234" s="218"/>
      <c r="P234" s="180"/>
      <c r="Q234" s="188"/>
      <c r="R234" s="180"/>
      <c r="S234" s="180"/>
      <c r="T234" s="180"/>
      <c r="U234" s="180"/>
      <c r="V234" s="180"/>
      <c r="W234" s="180"/>
      <c r="X234" s="201"/>
      <c r="AJ234" s="149" t="str">
        <f>IF('Cable Info'!L94="","",CONCATENATE('Cable Info'!L94," - ",'Cable Info'!M94))</f>
        <v/>
      </c>
      <c r="AM234" s="149" t="str">
        <f t="shared" si="36"/>
        <v/>
      </c>
      <c r="AO234" s="149" t="str">
        <f>IF('Cable Info'!N94="","",CONCATENATE('Cable Info'!N94," - ",'Cable Info'!O94))</f>
        <v/>
      </c>
      <c r="AR234" s="149" t="str">
        <f t="shared" si="37"/>
        <v/>
      </c>
      <c r="AT234" s="149" t="str">
        <f>IF('Cable Info'!P94="","",CONCATENATE('Cable Info'!P94," - ",'Cable Info'!Q94))</f>
        <v/>
      </c>
      <c r="AW234" s="149" t="str">
        <f t="shared" si="38"/>
        <v/>
      </c>
      <c r="AY234" s="149" t="str">
        <f>IF('Cable Info'!R94="","",CONCATENATE('Cable Info'!R94," - ",'Cable Info'!S94))</f>
        <v/>
      </c>
      <c r="BB234" s="149" t="str">
        <f t="shared" si="39"/>
        <v/>
      </c>
      <c r="BD234" s="149" t="str">
        <f>IF('Cable Info'!T94="","",CONCATENATE('Cable Info'!T94," - ",'Cable Info'!U94))</f>
        <v/>
      </c>
      <c r="BG234" s="149" t="str">
        <f t="shared" si="40"/>
        <v/>
      </c>
      <c r="BI234" s="149" t="str">
        <f>IF('Cable Info'!V94="","",CONCATENATE('Cable Info'!V94," - ",'Cable Info'!W94))</f>
        <v/>
      </c>
      <c r="BL234" s="149" t="str">
        <f t="shared" si="41"/>
        <v/>
      </c>
    </row>
    <row r="235" spans="1:89" x14ac:dyDescent="0.2">
      <c r="A235" s="180"/>
      <c r="B235" s="180"/>
      <c r="C235" s="180"/>
      <c r="D235" s="180"/>
      <c r="E235" s="180"/>
      <c r="F235" s="187"/>
      <c r="G235" s="180"/>
      <c r="H235" s="180"/>
      <c r="I235" s="180"/>
      <c r="J235" s="187"/>
      <c r="K235" s="180"/>
      <c r="L235" s="180"/>
      <c r="M235" s="180"/>
      <c r="N235" s="180"/>
      <c r="O235" s="218"/>
      <c r="P235" s="180"/>
      <c r="Q235" s="188"/>
      <c r="R235" s="180"/>
      <c r="S235" s="180"/>
      <c r="T235" s="180"/>
      <c r="U235" s="180"/>
      <c r="V235" s="180"/>
      <c r="W235" s="180"/>
      <c r="X235" s="201"/>
      <c r="AJ235" s="149" t="str">
        <f>IF('Cable Info'!L95="","",CONCATENATE('Cable Info'!L95," - ",'Cable Info'!M95))</f>
        <v/>
      </c>
      <c r="AM235" s="149" t="str">
        <f t="shared" si="36"/>
        <v/>
      </c>
      <c r="AO235" s="149" t="str">
        <f>IF('Cable Info'!N95="","",CONCATENATE('Cable Info'!N95," - ",'Cable Info'!O95))</f>
        <v/>
      </c>
      <c r="AR235" s="149" t="str">
        <f t="shared" si="37"/>
        <v/>
      </c>
      <c r="AT235" s="149" t="str">
        <f>IF('Cable Info'!P95="","",CONCATENATE('Cable Info'!P95," - ",'Cable Info'!Q95))</f>
        <v/>
      </c>
      <c r="AW235" s="149" t="str">
        <f t="shared" si="38"/>
        <v/>
      </c>
      <c r="AY235" s="149" t="str">
        <f>IF('Cable Info'!R95="","",CONCATENATE('Cable Info'!R95," - ",'Cable Info'!S95))</f>
        <v/>
      </c>
      <c r="BB235" s="149" t="str">
        <f t="shared" si="39"/>
        <v/>
      </c>
      <c r="BD235" s="149" t="str">
        <f>IF('Cable Info'!T95="","",CONCATENATE('Cable Info'!T95," - ",'Cable Info'!U95))</f>
        <v/>
      </c>
      <c r="BG235" s="149" t="str">
        <f t="shared" si="40"/>
        <v/>
      </c>
      <c r="BI235" s="149" t="str">
        <f>IF('Cable Info'!V95="","",CONCATENATE('Cable Info'!V95," - ",'Cable Info'!W95))</f>
        <v/>
      </c>
      <c r="BL235" s="149" t="str">
        <f t="shared" si="41"/>
        <v/>
      </c>
    </row>
    <row r="236" spans="1:89" x14ac:dyDescent="0.2">
      <c r="A236" s="180"/>
      <c r="B236" s="180"/>
      <c r="C236" s="180"/>
      <c r="D236" s="180"/>
      <c r="E236" s="180"/>
      <c r="F236" s="187"/>
      <c r="G236" s="180"/>
      <c r="H236" s="180"/>
      <c r="I236" s="180"/>
      <c r="J236" s="187"/>
      <c r="K236" s="180"/>
      <c r="L236" s="180"/>
      <c r="M236" s="180"/>
      <c r="N236" s="180"/>
      <c r="O236" s="218"/>
      <c r="P236" s="180"/>
      <c r="Q236" s="188"/>
      <c r="R236" s="180"/>
      <c r="S236" s="180"/>
      <c r="T236" s="180"/>
      <c r="U236" s="180"/>
      <c r="V236" s="180"/>
      <c r="W236" s="180"/>
      <c r="X236" s="201"/>
      <c r="AJ236" s="149" t="str">
        <f>IF('Cable Info'!L96="","",CONCATENATE('Cable Info'!L96," - ",'Cable Info'!M96))</f>
        <v/>
      </c>
      <c r="AM236" s="149" t="str">
        <f t="shared" si="36"/>
        <v/>
      </c>
      <c r="AO236" s="149" t="str">
        <f>IF('Cable Info'!N96="","",CONCATENATE('Cable Info'!N96," - ",'Cable Info'!O96))</f>
        <v/>
      </c>
      <c r="AR236" s="149" t="str">
        <f t="shared" si="37"/>
        <v/>
      </c>
      <c r="AT236" s="149" t="str">
        <f>IF('Cable Info'!P96="","",CONCATENATE('Cable Info'!P96," - ",'Cable Info'!Q96))</f>
        <v/>
      </c>
      <c r="AW236" s="149" t="str">
        <f t="shared" si="38"/>
        <v/>
      </c>
      <c r="AY236" s="149" t="str">
        <f>IF('Cable Info'!R96="","",CONCATENATE('Cable Info'!R96," - ",'Cable Info'!S96))</f>
        <v/>
      </c>
      <c r="BB236" s="149" t="str">
        <f t="shared" si="39"/>
        <v/>
      </c>
      <c r="BD236" s="149" t="str">
        <f>IF('Cable Info'!T96="","",CONCATENATE('Cable Info'!T96," - ",'Cable Info'!U96))</f>
        <v/>
      </c>
      <c r="BG236" s="149" t="str">
        <f t="shared" si="40"/>
        <v/>
      </c>
      <c r="BI236" s="149" t="str">
        <f>IF('Cable Info'!V96="","",CONCATENATE('Cable Info'!V96," - ",'Cable Info'!W96))</f>
        <v/>
      </c>
      <c r="BL236" s="149" t="str">
        <f t="shared" si="41"/>
        <v/>
      </c>
    </row>
    <row r="237" spans="1:89" x14ac:dyDescent="0.2">
      <c r="A237" s="180"/>
      <c r="B237" s="180"/>
      <c r="C237" s="180"/>
      <c r="D237" s="180"/>
      <c r="E237" s="180"/>
      <c r="F237" s="187"/>
      <c r="G237" s="180"/>
      <c r="H237" s="180"/>
      <c r="I237" s="180"/>
      <c r="J237" s="187"/>
      <c r="K237" s="180"/>
      <c r="L237" s="180"/>
      <c r="M237" s="180"/>
      <c r="N237" s="180"/>
      <c r="O237" s="218"/>
      <c r="P237" s="180"/>
      <c r="Q237" s="188"/>
      <c r="R237" s="180"/>
      <c r="S237" s="180"/>
      <c r="T237" s="180"/>
      <c r="U237" s="180"/>
      <c r="V237" s="180"/>
      <c r="W237" s="180"/>
      <c r="X237" s="201"/>
      <c r="AJ237" s="149" t="str">
        <f>IF('Cable Info'!L97="","",CONCATENATE('Cable Info'!L97," - ",'Cable Info'!M97))</f>
        <v/>
      </c>
      <c r="AM237" s="149" t="str">
        <f t="shared" si="36"/>
        <v/>
      </c>
      <c r="AO237" s="149" t="str">
        <f>IF('Cable Info'!N97="","",CONCATENATE('Cable Info'!N97," - ",'Cable Info'!O97))</f>
        <v/>
      </c>
      <c r="AR237" s="149" t="str">
        <f t="shared" si="37"/>
        <v/>
      </c>
      <c r="AT237" s="149" t="str">
        <f>IF('Cable Info'!P97="","",CONCATENATE('Cable Info'!P97," - ",'Cable Info'!Q97))</f>
        <v/>
      </c>
      <c r="AW237" s="149" t="str">
        <f t="shared" si="38"/>
        <v/>
      </c>
      <c r="AY237" s="149" t="str">
        <f>IF('Cable Info'!R97="","",CONCATENATE('Cable Info'!R97," - ",'Cable Info'!S97))</f>
        <v/>
      </c>
      <c r="BB237" s="149" t="str">
        <f t="shared" si="39"/>
        <v/>
      </c>
      <c r="BD237" s="149" t="str">
        <f>IF('Cable Info'!T97="","",CONCATENATE('Cable Info'!T97," - ",'Cable Info'!U97))</f>
        <v/>
      </c>
      <c r="BG237" s="149" t="str">
        <f t="shared" si="40"/>
        <v/>
      </c>
      <c r="BI237" s="149" t="str">
        <f>IF('Cable Info'!V97="","",CONCATENATE('Cable Info'!V97," - ",'Cable Info'!W97))</f>
        <v/>
      </c>
      <c r="BL237" s="149" t="str">
        <f t="shared" si="41"/>
        <v/>
      </c>
    </row>
    <row r="238" spans="1:89" x14ac:dyDescent="0.2">
      <c r="A238" s="180"/>
      <c r="B238" s="180"/>
      <c r="C238" s="180"/>
      <c r="D238" s="180"/>
      <c r="E238" s="180"/>
      <c r="F238" s="187"/>
      <c r="G238" s="180"/>
      <c r="H238" s="180"/>
      <c r="I238" s="180"/>
      <c r="J238" s="187"/>
      <c r="K238" s="180"/>
      <c r="L238" s="180"/>
      <c r="M238" s="180"/>
      <c r="N238" s="180"/>
      <c r="O238" s="218"/>
      <c r="P238" s="180"/>
      <c r="Q238" s="188"/>
      <c r="R238" s="180"/>
      <c r="S238" s="180"/>
      <c r="T238" s="180"/>
      <c r="U238" s="180"/>
      <c r="V238" s="180"/>
      <c r="W238" s="180"/>
      <c r="X238" s="201"/>
      <c r="AJ238" s="149" t="str">
        <f>IF('Cable Info'!L98="","",CONCATENATE('Cable Info'!L98," - ",'Cable Info'!M98))</f>
        <v/>
      </c>
      <c r="AM238" s="149" t="str">
        <f t="shared" si="36"/>
        <v/>
      </c>
      <c r="AO238" s="149" t="str">
        <f>IF('Cable Info'!N98="","",CONCATENATE('Cable Info'!N98," - ",'Cable Info'!O98))</f>
        <v/>
      </c>
      <c r="AR238" s="149" t="str">
        <f t="shared" si="37"/>
        <v/>
      </c>
      <c r="AT238" s="149" t="str">
        <f>IF('Cable Info'!P98="","",CONCATENATE('Cable Info'!P98," - ",'Cable Info'!Q98))</f>
        <v/>
      </c>
      <c r="AW238" s="149" t="str">
        <f t="shared" si="38"/>
        <v/>
      </c>
      <c r="AY238" s="149" t="str">
        <f>IF('Cable Info'!R98="","",CONCATENATE('Cable Info'!R98," - ",'Cable Info'!S98))</f>
        <v/>
      </c>
      <c r="BB238" s="149" t="str">
        <f t="shared" si="39"/>
        <v/>
      </c>
      <c r="BD238" s="149" t="str">
        <f>IF('Cable Info'!T98="","",CONCATENATE('Cable Info'!T98," - ",'Cable Info'!U98))</f>
        <v/>
      </c>
      <c r="BG238" s="149" t="str">
        <f t="shared" si="40"/>
        <v/>
      </c>
      <c r="BI238" s="149" t="str">
        <f>IF('Cable Info'!V98="","",CONCATENATE('Cable Info'!V98," - ",'Cable Info'!W98))</f>
        <v/>
      </c>
      <c r="BL238" s="149" t="str">
        <f t="shared" si="41"/>
        <v/>
      </c>
    </row>
    <row r="239" spans="1:89" x14ac:dyDescent="0.2">
      <c r="A239" s="180"/>
      <c r="B239" s="180"/>
      <c r="C239" s="180"/>
      <c r="D239" s="180"/>
      <c r="E239" s="180"/>
      <c r="F239" s="187"/>
      <c r="G239" s="180"/>
      <c r="H239" s="180"/>
      <c r="I239" s="180"/>
      <c r="J239" s="187"/>
      <c r="K239" s="180"/>
      <c r="L239" s="180"/>
      <c r="M239" s="180"/>
      <c r="N239" s="180"/>
      <c r="O239" s="218"/>
      <c r="P239" s="180"/>
      <c r="Q239" s="188"/>
      <c r="R239" s="180"/>
      <c r="S239" s="180"/>
      <c r="T239" s="180"/>
      <c r="U239" s="180"/>
      <c r="V239" s="180"/>
      <c r="W239" s="180"/>
      <c r="X239" s="201"/>
      <c r="AJ239" s="149" t="str">
        <f>IF('Cable Info'!L99="","",CONCATENATE('Cable Info'!L99," - ",'Cable Info'!M99))</f>
        <v/>
      </c>
      <c r="AM239" s="149" t="str">
        <f t="shared" si="36"/>
        <v/>
      </c>
      <c r="AO239" s="149" t="str">
        <f>IF('Cable Info'!N99="","",CONCATENATE('Cable Info'!N99," - ",'Cable Info'!O99))</f>
        <v/>
      </c>
      <c r="AR239" s="149" t="str">
        <f t="shared" si="37"/>
        <v/>
      </c>
      <c r="AT239" s="149" t="str">
        <f>IF('Cable Info'!P99="","",CONCATENATE('Cable Info'!P99," - ",'Cable Info'!Q99))</f>
        <v/>
      </c>
      <c r="AW239" s="149" t="str">
        <f t="shared" si="38"/>
        <v/>
      </c>
      <c r="AY239" s="149" t="str">
        <f>IF('Cable Info'!R99="","",CONCATENATE('Cable Info'!R99," - ",'Cable Info'!S99))</f>
        <v/>
      </c>
      <c r="BB239" s="149" t="str">
        <f t="shared" si="39"/>
        <v/>
      </c>
      <c r="BD239" s="149" t="str">
        <f>IF('Cable Info'!T99="","",CONCATENATE('Cable Info'!T99," - ",'Cable Info'!U99))</f>
        <v/>
      </c>
      <c r="BG239" s="149" t="str">
        <f t="shared" si="40"/>
        <v/>
      </c>
      <c r="BI239" s="149" t="str">
        <f>IF('Cable Info'!V99="","",CONCATENATE('Cable Info'!V99," - ",'Cable Info'!W99))</f>
        <v/>
      </c>
      <c r="BL239" s="149" t="str">
        <f t="shared" si="41"/>
        <v/>
      </c>
    </row>
    <row r="240" spans="1:89" x14ac:dyDescent="0.2">
      <c r="A240" s="180"/>
      <c r="B240" s="180"/>
      <c r="C240" s="180"/>
      <c r="D240" s="180"/>
      <c r="E240" s="180"/>
      <c r="F240" s="187"/>
      <c r="G240" s="180"/>
      <c r="H240" s="180"/>
      <c r="I240" s="180"/>
      <c r="J240" s="187"/>
      <c r="K240" s="180"/>
      <c r="L240" s="180"/>
      <c r="M240" s="180"/>
      <c r="N240" s="180"/>
      <c r="O240" s="218"/>
      <c r="P240" s="180"/>
      <c r="Q240" s="188"/>
      <c r="R240" s="180"/>
      <c r="S240" s="180"/>
      <c r="T240" s="180"/>
      <c r="U240" s="180"/>
      <c r="V240" s="180"/>
      <c r="W240" s="180"/>
      <c r="X240" s="201"/>
      <c r="AJ240" s="149" t="str">
        <f>IF('Cable Info'!L100="","",CONCATENATE('Cable Info'!L100," - ",'Cable Info'!M100))</f>
        <v/>
      </c>
      <c r="AM240" s="149" t="str">
        <f t="shared" si="36"/>
        <v/>
      </c>
      <c r="AO240" s="149" t="str">
        <f>IF('Cable Info'!N100="","",CONCATENATE('Cable Info'!N100," - ",'Cable Info'!O100))</f>
        <v/>
      </c>
      <c r="AR240" s="149" t="str">
        <f t="shared" si="37"/>
        <v/>
      </c>
      <c r="AT240" s="149" t="str">
        <f>IF('Cable Info'!P100="","",CONCATENATE('Cable Info'!P100," - ",'Cable Info'!Q100))</f>
        <v/>
      </c>
      <c r="AW240" s="149" t="str">
        <f t="shared" si="38"/>
        <v/>
      </c>
      <c r="AY240" s="149" t="str">
        <f>IF('Cable Info'!R100="","",CONCATENATE('Cable Info'!R100," - ",'Cable Info'!S100))</f>
        <v/>
      </c>
      <c r="BB240" s="149" t="str">
        <f t="shared" si="39"/>
        <v/>
      </c>
      <c r="BD240" s="149" t="str">
        <f>IF('Cable Info'!T100="","",CONCATENATE('Cable Info'!T100," - ",'Cable Info'!U100))</f>
        <v/>
      </c>
      <c r="BG240" s="149" t="str">
        <f t="shared" si="40"/>
        <v/>
      </c>
      <c r="BI240" s="149" t="str">
        <f>IF('Cable Info'!V100="","",CONCATENATE('Cable Info'!V100," - ",'Cable Info'!W100))</f>
        <v/>
      </c>
      <c r="BL240" s="149" t="str">
        <f t="shared" si="41"/>
        <v/>
      </c>
    </row>
    <row r="241" spans="1:64" x14ac:dyDescent="0.2">
      <c r="A241" s="180"/>
      <c r="B241" s="180"/>
      <c r="C241" s="180"/>
      <c r="D241" s="180"/>
      <c r="E241" s="180"/>
      <c r="F241" s="187"/>
      <c r="G241" s="180"/>
      <c r="H241" s="180"/>
      <c r="I241" s="180"/>
      <c r="J241" s="187"/>
      <c r="K241" s="180"/>
      <c r="L241" s="180"/>
      <c r="M241" s="180"/>
      <c r="N241" s="180"/>
      <c r="O241" s="218"/>
      <c r="P241" s="180"/>
      <c r="Q241" s="188"/>
      <c r="R241" s="180"/>
      <c r="S241" s="180"/>
      <c r="T241" s="180"/>
      <c r="U241" s="180"/>
      <c r="V241" s="180"/>
      <c r="W241" s="180"/>
      <c r="X241" s="201"/>
      <c r="AJ241" s="149" t="str">
        <f>IF('Cable Info'!L101="","",CONCATENATE('Cable Info'!L101," - ",'Cable Info'!M101))</f>
        <v/>
      </c>
      <c r="AM241" s="149" t="str">
        <f t="shared" si="36"/>
        <v/>
      </c>
      <c r="AO241" s="149" t="str">
        <f>IF('Cable Info'!N101="","",CONCATENATE('Cable Info'!N101," - ",'Cable Info'!O101))</f>
        <v/>
      </c>
      <c r="AR241" s="149" t="str">
        <f t="shared" si="37"/>
        <v/>
      </c>
      <c r="AT241" s="149" t="str">
        <f>IF('Cable Info'!P101="","",CONCATENATE('Cable Info'!P101," - ",'Cable Info'!Q101))</f>
        <v/>
      </c>
      <c r="AW241" s="149" t="str">
        <f t="shared" si="38"/>
        <v/>
      </c>
      <c r="AY241" s="149" t="str">
        <f>IF('Cable Info'!R101="","",CONCATENATE('Cable Info'!R101," - ",'Cable Info'!S101))</f>
        <v/>
      </c>
      <c r="BB241" s="149" t="str">
        <f t="shared" si="39"/>
        <v/>
      </c>
      <c r="BD241" s="149" t="str">
        <f>IF('Cable Info'!T101="","",CONCATENATE('Cable Info'!T101," - ",'Cable Info'!U101))</f>
        <v/>
      </c>
      <c r="BG241" s="149" t="str">
        <f t="shared" si="40"/>
        <v/>
      </c>
      <c r="BI241" s="149" t="str">
        <f>IF('Cable Info'!V101="","",CONCATENATE('Cable Info'!V101," - ",'Cable Info'!W101))</f>
        <v/>
      </c>
      <c r="BL241" s="149" t="str">
        <f t="shared" si="41"/>
        <v/>
      </c>
    </row>
    <row r="242" spans="1:64" x14ac:dyDescent="0.2">
      <c r="A242" s="180"/>
      <c r="B242" s="180"/>
      <c r="C242" s="180"/>
      <c r="D242" s="180"/>
      <c r="E242" s="180"/>
      <c r="F242" s="187"/>
      <c r="G242" s="180"/>
      <c r="H242" s="180"/>
      <c r="I242" s="180"/>
      <c r="J242" s="187"/>
      <c r="K242" s="180"/>
      <c r="L242" s="180"/>
      <c r="M242" s="180"/>
      <c r="N242" s="180"/>
      <c r="O242" s="218"/>
      <c r="P242" s="180"/>
      <c r="Q242" s="188"/>
      <c r="R242" s="180"/>
      <c r="S242" s="180"/>
      <c r="T242" s="180"/>
      <c r="U242" s="180"/>
      <c r="V242" s="180"/>
      <c r="W242" s="180"/>
      <c r="X242" s="201"/>
      <c r="AJ242" s="149" t="str">
        <f>IF('Cable Info'!L102="","",CONCATENATE('Cable Info'!L102," - ",'Cable Info'!M102))</f>
        <v/>
      </c>
      <c r="AM242" s="149" t="str">
        <f t="shared" si="36"/>
        <v/>
      </c>
      <c r="AO242" s="149" t="str">
        <f>IF('Cable Info'!N102="","",CONCATENATE('Cable Info'!N102," - ",'Cable Info'!O102))</f>
        <v/>
      </c>
      <c r="AR242" s="149" t="str">
        <f t="shared" si="37"/>
        <v/>
      </c>
      <c r="AT242" s="149" t="str">
        <f>IF('Cable Info'!P102="","",CONCATENATE('Cable Info'!P102," - ",'Cable Info'!Q102))</f>
        <v/>
      </c>
      <c r="AW242" s="149" t="str">
        <f t="shared" si="38"/>
        <v/>
      </c>
      <c r="AY242" s="149" t="str">
        <f>IF('Cable Info'!R102="","",CONCATENATE('Cable Info'!R102," - ",'Cable Info'!S102))</f>
        <v/>
      </c>
      <c r="BB242" s="149" t="str">
        <f t="shared" si="39"/>
        <v/>
      </c>
      <c r="BD242" s="149" t="str">
        <f>IF('Cable Info'!T102="","",CONCATENATE('Cable Info'!T102," - ",'Cable Info'!U102))</f>
        <v/>
      </c>
      <c r="BG242" s="149" t="str">
        <f t="shared" si="40"/>
        <v/>
      </c>
      <c r="BI242" s="149" t="str">
        <f>IF('Cable Info'!V102="","",CONCATENATE('Cable Info'!V102," - ",'Cable Info'!W102))</f>
        <v/>
      </c>
      <c r="BL242" s="149" t="str">
        <f t="shared" si="41"/>
        <v/>
      </c>
    </row>
    <row r="243" spans="1:64" x14ac:dyDescent="0.2">
      <c r="A243" s="180"/>
      <c r="B243" s="180"/>
      <c r="C243" s="180"/>
      <c r="D243" s="180"/>
      <c r="E243" s="180"/>
      <c r="F243" s="187"/>
      <c r="G243" s="180"/>
      <c r="H243" s="180"/>
      <c r="I243" s="180"/>
      <c r="J243" s="187"/>
      <c r="K243" s="180"/>
      <c r="L243" s="180"/>
      <c r="M243" s="180"/>
      <c r="N243" s="180"/>
      <c r="O243" s="218"/>
      <c r="P243" s="180"/>
      <c r="Q243" s="188"/>
      <c r="R243" s="180"/>
      <c r="S243" s="180"/>
      <c r="T243" s="180"/>
      <c r="U243" s="180"/>
      <c r="V243" s="180"/>
      <c r="W243" s="180"/>
      <c r="X243" s="201"/>
      <c r="AJ243" s="149" t="str">
        <f>IF('Cable Info'!L103="","",CONCATENATE('Cable Info'!L103," - ",'Cable Info'!M103))</f>
        <v/>
      </c>
      <c r="AM243" s="149" t="str">
        <f t="shared" si="36"/>
        <v/>
      </c>
      <c r="AO243" s="149" t="str">
        <f>IF('Cable Info'!N103="","",CONCATENATE('Cable Info'!N103," - ",'Cable Info'!O103))</f>
        <v/>
      </c>
      <c r="AR243" s="149" t="str">
        <f t="shared" si="37"/>
        <v/>
      </c>
      <c r="AT243" s="149" t="str">
        <f>IF('Cable Info'!P103="","",CONCATENATE('Cable Info'!P103," - ",'Cable Info'!Q103))</f>
        <v/>
      </c>
      <c r="AW243" s="149" t="str">
        <f t="shared" si="38"/>
        <v/>
      </c>
      <c r="AY243" s="149" t="str">
        <f>IF('Cable Info'!R103="","",CONCATENATE('Cable Info'!R103," - ",'Cable Info'!S103))</f>
        <v/>
      </c>
      <c r="BB243" s="149" t="str">
        <f t="shared" si="39"/>
        <v/>
      </c>
      <c r="BD243" s="149" t="str">
        <f>IF('Cable Info'!T103="","",CONCATENATE('Cable Info'!T103," - ",'Cable Info'!U103))</f>
        <v/>
      </c>
      <c r="BG243" s="149" t="str">
        <f t="shared" si="40"/>
        <v/>
      </c>
      <c r="BI243" s="149" t="str">
        <f>IF('Cable Info'!V103="","",CONCATENATE('Cable Info'!V103," - ",'Cable Info'!W103))</f>
        <v/>
      </c>
      <c r="BL243" s="149" t="str">
        <f t="shared" si="41"/>
        <v/>
      </c>
    </row>
    <row r="244" spans="1:64" x14ac:dyDescent="0.2">
      <c r="A244" s="180"/>
      <c r="B244" s="180"/>
      <c r="C244" s="180"/>
      <c r="D244" s="180"/>
      <c r="E244" s="180"/>
      <c r="F244" s="187"/>
      <c r="G244" s="180"/>
      <c r="H244" s="180"/>
      <c r="I244" s="180"/>
      <c r="J244" s="187"/>
      <c r="K244" s="180"/>
      <c r="L244" s="180"/>
      <c r="M244" s="180"/>
      <c r="N244" s="180"/>
      <c r="O244" s="218"/>
      <c r="P244" s="180"/>
      <c r="Q244" s="188"/>
      <c r="R244" s="180"/>
      <c r="S244" s="180"/>
      <c r="T244" s="180"/>
      <c r="U244" s="180"/>
      <c r="V244" s="180"/>
      <c r="W244" s="180"/>
      <c r="X244" s="201"/>
      <c r="AJ244" s="149" t="str">
        <f>IF('Cable Info'!L104="","",CONCATENATE('Cable Info'!L104," - ",'Cable Info'!M104))</f>
        <v/>
      </c>
      <c r="AM244" s="149" t="str">
        <f t="shared" si="36"/>
        <v/>
      </c>
      <c r="AO244" s="149" t="str">
        <f>IF('Cable Info'!N104="","",CONCATENATE('Cable Info'!N104," - ",'Cable Info'!O104))</f>
        <v/>
      </c>
      <c r="AR244" s="149" t="str">
        <f t="shared" si="37"/>
        <v/>
      </c>
      <c r="AT244" s="149" t="str">
        <f>IF('Cable Info'!P104="","",CONCATENATE('Cable Info'!P104," - ",'Cable Info'!Q104))</f>
        <v/>
      </c>
      <c r="AW244" s="149" t="str">
        <f t="shared" si="38"/>
        <v/>
      </c>
      <c r="AY244" s="149" t="str">
        <f>IF('Cable Info'!R104="","",CONCATENATE('Cable Info'!R104," - ",'Cable Info'!S104))</f>
        <v/>
      </c>
      <c r="BB244" s="149" t="str">
        <f t="shared" si="39"/>
        <v/>
      </c>
      <c r="BD244" s="149" t="str">
        <f>IF('Cable Info'!T104="","",CONCATENATE('Cable Info'!T104," - ",'Cable Info'!U104))</f>
        <v/>
      </c>
      <c r="BG244" s="149" t="str">
        <f t="shared" si="40"/>
        <v/>
      </c>
      <c r="BI244" s="149" t="str">
        <f>IF('Cable Info'!V104="","",CONCATENATE('Cable Info'!V104," - ",'Cable Info'!W104))</f>
        <v/>
      </c>
      <c r="BL244" s="149" t="str">
        <f t="shared" si="41"/>
        <v/>
      </c>
    </row>
    <row r="245" spans="1:64" x14ac:dyDescent="0.2">
      <c r="A245" s="180"/>
      <c r="B245" s="180"/>
      <c r="C245" s="180"/>
      <c r="D245" s="180"/>
      <c r="E245" s="180"/>
      <c r="F245" s="187"/>
      <c r="G245" s="180"/>
      <c r="H245" s="180"/>
      <c r="I245" s="180"/>
      <c r="J245" s="187"/>
      <c r="K245" s="180"/>
      <c r="L245" s="180"/>
      <c r="M245" s="180"/>
      <c r="N245" s="180"/>
      <c r="O245" s="218"/>
      <c r="P245" s="180"/>
      <c r="Q245" s="188"/>
      <c r="R245" s="180"/>
      <c r="S245" s="180"/>
      <c r="T245" s="180"/>
      <c r="U245" s="180"/>
      <c r="V245" s="180"/>
      <c r="W245" s="180"/>
      <c r="X245" s="201"/>
      <c r="AJ245" s="149" t="str">
        <f>IF('Cable Info'!L105="","",CONCATENATE('Cable Info'!L105," - ",'Cable Info'!M105))</f>
        <v/>
      </c>
      <c r="AM245" s="149" t="str">
        <f t="shared" si="36"/>
        <v/>
      </c>
      <c r="AO245" s="149" t="str">
        <f>IF('Cable Info'!N105="","",CONCATENATE('Cable Info'!N105," - ",'Cable Info'!O105))</f>
        <v/>
      </c>
      <c r="AR245" s="149" t="str">
        <f t="shared" si="37"/>
        <v/>
      </c>
      <c r="AT245" s="149" t="str">
        <f>IF('Cable Info'!P105="","",CONCATENATE('Cable Info'!P105," - ",'Cable Info'!Q105))</f>
        <v/>
      </c>
      <c r="AW245" s="149" t="str">
        <f t="shared" si="38"/>
        <v/>
      </c>
      <c r="AY245" s="149" t="str">
        <f>IF('Cable Info'!R105="","",CONCATENATE('Cable Info'!R105," - ",'Cable Info'!S105))</f>
        <v/>
      </c>
      <c r="BB245" s="149" t="str">
        <f t="shared" si="39"/>
        <v/>
      </c>
      <c r="BD245" s="149" t="str">
        <f>IF('Cable Info'!T105="","",CONCATENATE('Cable Info'!T105," - ",'Cable Info'!U105))</f>
        <v/>
      </c>
      <c r="BG245" s="149" t="str">
        <f t="shared" si="40"/>
        <v/>
      </c>
      <c r="BI245" s="149" t="str">
        <f>IF('Cable Info'!V105="","",CONCATENATE('Cable Info'!V105," - ",'Cable Info'!W105))</f>
        <v/>
      </c>
      <c r="BL245" s="149" t="str">
        <f t="shared" si="41"/>
        <v/>
      </c>
    </row>
    <row r="246" spans="1:64" x14ac:dyDescent="0.2">
      <c r="A246" s="180"/>
      <c r="B246" s="180"/>
      <c r="C246" s="180"/>
      <c r="D246" s="180"/>
      <c r="E246" s="180"/>
      <c r="F246" s="187"/>
      <c r="G246" s="180"/>
      <c r="H246" s="180"/>
      <c r="I246" s="180"/>
      <c r="J246" s="187"/>
      <c r="K246" s="180"/>
      <c r="L246" s="180"/>
      <c r="M246" s="180"/>
      <c r="N246" s="180"/>
      <c r="O246" s="218"/>
      <c r="P246" s="180"/>
      <c r="Q246" s="188"/>
      <c r="R246" s="180"/>
      <c r="S246" s="180"/>
      <c r="T246" s="180"/>
      <c r="U246" s="180"/>
      <c r="V246" s="180"/>
      <c r="W246" s="180"/>
      <c r="X246" s="201"/>
      <c r="AJ246" s="149" t="str">
        <f>IF('Cable Info'!L106="","",CONCATENATE('Cable Info'!L106," - ",'Cable Info'!M106))</f>
        <v/>
      </c>
      <c r="AM246" s="149" t="str">
        <f t="shared" si="36"/>
        <v/>
      </c>
      <c r="AO246" s="149" t="str">
        <f>IF('Cable Info'!N106="","",CONCATENATE('Cable Info'!N106," - ",'Cable Info'!O106))</f>
        <v/>
      </c>
      <c r="AR246" s="149" t="str">
        <f t="shared" si="37"/>
        <v/>
      </c>
      <c r="AT246" s="149" t="str">
        <f>IF('Cable Info'!P106="","",CONCATENATE('Cable Info'!P106," - ",'Cable Info'!Q106))</f>
        <v/>
      </c>
      <c r="AW246" s="149" t="str">
        <f t="shared" si="38"/>
        <v/>
      </c>
      <c r="AY246" s="149" t="str">
        <f>IF('Cable Info'!R106="","",CONCATENATE('Cable Info'!R106," - ",'Cable Info'!S106))</f>
        <v/>
      </c>
      <c r="BB246" s="149" t="str">
        <f t="shared" si="39"/>
        <v/>
      </c>
      <c r="BD246" s="149" t="str">
        <f>IF('Cable Info'!T106="","",CONCATENATE('Cable Info'!T106," - ",'Cable Info'!U106))</f>
        <v/>
      </c>
      <c r="BG246" s="149" t="str">
        <f t="shared" si="40"/>
        <v/>
      </c>
      <c r="BI246" s="149" t="str">
        <f>IF('Cable Info'!V106="","",CONCATENATE('Cable Info'!V106," - ",'Cable Info'!W106))</f>
        <v/>
      </c>
      <c r="BL246" s="149" t="str">
        <f t="shared" si="41"/>
        <v/>
      </c>
    </row>
    <row r="247" spans="1:64" x14ac:dyDescent="0.2">
      <c r="A247" s="180"/>
      <c r="B247" s="180"/>
      <c r="C247" s="180"/>
      <c r="D247" s="180"/>
      <c r="E247" s="180"/>
      <c r="F247" s="187"/>
      <c r="G247" s="180"/>
      <c r="H247" s="180"/>
      <c r="I247" s="180"/>
      <c r="J247" s="187"/>
      <c r="K247" s="180"/>
      <c r="L247" s="180"/>
      <c r="M247" s="180"/>
      <c r="N247" s="180"/>
      <c r="O247" s="218"/>
      <c r="P247" s="180"/>
      <c r="Q247" s="188"/>
      <c r="R247" s="180"/>
      <c r="S247" s="180"/>
      <c r="T247" s="180"/>
      <c r="U247" s="180"/>
      <c r="V247" s="180"/>
      <c r="W247" s="180"/>
      <c r="X247" s="201"/>
      <c r="AJ247" s="149" t="str">
        <f>IF('Cable Info'!L107="","",CONCATENATE('Cable Info'!L107," - ",'Cable Info'!M107))</f>
        <v/>
      </c>
      <c r="AM247" s="149" t="str">
        <f t="shared" si="36"/>
        <v/>
      </c>
      <c r="AO247" s="149" t="str">
        <f>IF('Cable Info'!N107="","",CONCATENATE('Cable Info'!N107," - ",'Cable Info'!O107))</f>
        <v/>
      </c>
      <c r="AR247" s="149" t="str">
        <f t="shared" si="37"/>
        <v/>
      </c>
      <c r="AT247" s="149" t="str">
        <f>IF('Cable Info'!P107="","",CONCATENATE('Cable Info'!P107," - ",'Cable Info'!Q107))</f>
        <v/>
      </c>
      <c r="AW247" s="149" t="str">
        <f t="shared" si="38"/>
        <v/>
      </c>
      <c r="AY247" s="149" t="str">
        <f>IF('Cable Info'!R107="","",CONCATENATE('Cable Info'!R107," - ",'Cable Info'!S107))</f>
        <v/>
      </c>
      <c r="BB247" s="149" t="str">
        <f t="shared" si="39"/>
        <v/>
      </c>
      <c r="BD247" s="149" t="str">
        <f>IF('Cable Info'!T107="","",CONCATENATE('Cable Info'!T107," - ",'Cable Info'!U107))</f>
        <v/>
      </c>
      <c r="BG247" s="149" t="str">
        <f t="shared" si="40"/>
        <v/>
      </c>
      <c r="BI247" s="149" t="str">
        <f>IF('Cable Info'!V107="","",CONCATENATE('Cable Info'!V107," - ",'Cable Info'!W107))</f>
        <v/>
      </c>
      <c r="BL247" s="149" t="str">
        <f t="shared" si="41"/>
        <v/>
      </c>
    </row>
    <row r="248" spans="1:64" x14ac:dyDescent="0.2">
      <c r="A248" s="180"/>
      <c r="B248" s="180"/>
      <c r="C248" s="180"/>
      <c r="D248" s="180"/>
      <c r="E248" s="180"/>
      <c r="F248" s="187"/>
      <c r="G248" s="180"/>
      <c r="H248" s="180"/>
      <c r="I248" s="180"/>
      <c r="J248" s="187"/>
      <c r="K248" s="180"/>
      <c r="L248" s="180"/>
      <c r="M248" s="180"/>
      <c r="N248" s="180"/>
      <c r="O248" s="218"/>
      <c r="P248" s="180"/>
      <c r="Q248" s="188"/>
      <c r="R248" s="180"/>
      <c r="S248" s="180"/>
      <c r="T248" s="180"/>
      <c r="U248" s="180"/>
      <c r="V248" s="180"/>
      <c r="W248" s="180"/>
      <c r="X248" s="201"/>
      <c r="AJ248" s="149" t="str">
        <f>IF('Cable Info'!L108="","",CONCATENATE('Cable Info'!L108," - ",'Cable Info'!M108))</f>
        <v/>
      </c>
      <c r="AM248" s="149" t="str">
        <f t="shared" si="36"/>
        <v/>
      </c>
      <c r="AO248" s="149" t="str">
        <f>IF('Cable Info'!N108="","",CONCATENATE('Cable Info'!N108," - ",'Cable Info'!O108))</f>
        <v/>
      </c>
      <c r="AR248" s="149" t="str">
        <f t="shared" si="37"/>
        <v/>
      </c>
      <c r="AT248" s="149" t="str">
        <f>IF('Cable Info'!P108="","",CONCATENATE('Cable Info'!P108," - ",'Cable Info'!Q108))</f>
        <v/>
      </c>
      <c r="AW248" s="149" t="str">
        <f t="shared" si="38"/>
        <v/>
      </c>
      <c r="AY248" s="149" t="str">
        <f>IF('Cable Info'!R108="","",CONCATENATE('Cable Info'!R108," - ",'Cable Info'!S108))</f>
        <v/>
      </c>
      <c r="BB248" s="149" t="str">
        <f t="shared" si="39"/>
        <v/>
      </c>
      <c r="BD248" s="149" t="str">
        <f>IF('Cable Info'!T108="","",CONCATENATE('Cable Info'!T108," - ",'Cable Info'!U108))</f>
        <v/>
      </c>
      <c r="BG248" s="149" t="str">
        <f t="shared" si="40"/>
        <v/>
      </c>
      <c r="BI248" s="149" t="str">
        <f>IF('Cable Info'!V108="","",CONCATENATE('Cable Info'!V108," - ",'Cable Info'!W108))</f>
        <v/>
      </c>
      <c r="BL248" s="149" t="str">
        <f t="shared" si="41"/>
        <v/>
      </c>
    </row>
    <row r="249" spans="1:64" x14ac:dyDescent="0.2">
      <c r="A249" s="180"/>
      <c r="B249" s="180"/>
      <c r="C249" s="180"/>
      <c r="D249" s="180"/>
      <c r="E249" s="180"/>
      <c r="F249" s="187"/>
      <c r="G249" s="180"/>
      <c r="H249" s="180"/>
      <c r="I249" s="180"/>
      <c r="J249" s="187"/>
      <c r="K249" s="180"/>
      <c r="L249" s="180"/>
      <c r="M249" s="180"/>
      <c r="N249" s="180"/>
      <c r="O249" s="218"/>
      <c r="P249" s="180"/>
      <c r="Q249" s="188"/>
      <c r="R249" s="180"/>
      <c r="S249" s="180"/>
      <c r="T249" s="180"/>
      <c r="U249" s="180"/>
      <c r="V249" s="180"/>
      <c r="W249" s="180"/>
      <c r="X249" s="201"/>
      <c r="AJ249" s="149" t="str">
        <f>IF('Cable Info'!L109="","",CONCATENATE('Cable Info'!L109," - ",'Cable Info'!M109))</f>
        <v/>
      </c>
      <c r="AM249" s="149" t="str">
        <f t="shared" si="36"/>
        <v/>
      </c>
      <c r="AO249" s="149" t="str">
        <f>IF('Cable Info'!N109="","",CONCATENATE('Cable Info'!N109," - ",'Cable Info'!O109))</f>
        <v/>
      </c>
      <c r="AR249" s="149" t="str">
        <f t="shared" si="37"/>
        <v/>
      </c>
      <c r="AT249" s="149" t="str">
        <f>IF('Cable Info'!P109="","",CONCATENATE('Cable Info'!P109," - ",'Cable Info'!Q109))</f>
        <v/>
      </c>
      <c r="AW249" s="149" t="str">
        <f t="shared" si="38"/>
        <v/>
      </c>
      <c r="AY249" s="149" t="str">
        <f>IF('Cable Info'!R109="","",CONCATENATE('Cable Info'!R109," - ",'Cable Info'!S109))</f>
        <v/>
      </c>
      <c r="BB249" s="149" t="str">
        <f t="shared" si="39"/>
        <v/>
      </c>
      <c r="BD249" s="149" t="str">
        <f>IF('Cable Info'!T109="","",CONCATENATE('Cable Info'!T109," - ",'Cable Info'!U109))</f>
        <v/>
      </c>
      <c r="BG249" s="149" t="str">
        <f t="shared" si="40"/>
        <v/>
      </c>
      <c r="BI249" s="149" t="str">
        <f>IF('Cable Info'!V109="","",CONCATENATE('Cable Info'!V109," - ",'Cable Info'!W109))</f>
        <v/>
      </c>
      <c r="BL249" s="149" t="str">
        <f t="shared" si="41"/>
        <v/>
      </c>
    </row>
    <row r="250" spans="1:64" x14ac:dyDescent="0.2">
      <c r="A250" s="180"/>
      <c r="B250" s="180"/>
      <c r="C250" s="180"/>
      <c r="D250" s="180"/>
      <c r="E250" s="180"/>
      <c r="F250" s="187"/>
      <c r="G250" s="180"/>
      <c r="H250" s="180"/>
      <c r="I250" s="180"/>
      <c r="J250" s="187"/>
      <c r="K250" s="180"/>
      <c r="L250" s="180"/>
      <c r="M250" s="180"/>
      <c r="N250" s="180"/>
      <c r="O250" s="218"/>
      <c r="P250" s="180"/>
      <c r="Q250" s="188"/>
      <c r="R250" s="180"/>
      <c r="S250" s="180"/>
      <c r="T250" s="180"/>
      <c r="U250" s="180"/>
      <c r="V250" s="180"/>
      <c r="W250" s="180"/>
      <c r="X250" s="201"/>
      <c r="AJ250" s="149" t="str">
        <f>IF('Cable Info'!L110="","",CONCATENATE('Cable Info'!L110," - ",'Cable Info'!M110))</f>
        <v/>
      </c>
      <c r="AM250" s="149" t="str">
        <f t="shared" si="36"/>
        <v/>
      </c>
      <c r="AO250" s="149" t="str">
        <f>IF('Cable Info'!N110="","",CONCATENATE('Cable Info'!N110," - ",'Cable Info'!O110))</f>
        <v/>
      </c>
      <c r="AR250" s="149" t="str">
        <f t="shared" si="37"/>
        <v/>
      </c>
      <c r="AT250" s="149" t="str">
        <f>IF('Cable Info'!P110="","",CONCATENATE('Cable Info'!P110," - ",'Cable Info'!Q110))</f>
        <v/>
      </c>
      <c r="AW250" s="149" t="str">
        <f t="shared" si="38"/>
        <v/>
      </c>
      <c r="AY250" s="149" t="str">
        <f>IF('Cable Info'!R110="","",CONCATENATE('Cable Info'!R110," - ",'Cable Info'!S110))</f>
        <v/>
      </c>
      <c r="BB250" s="149" t="str">
        <f t="shared" si="39"/>
        <v/>
      </c>
      <c r="BD250" s="149" t="str">
        <f>IF('Cable Info'!T110="","",CONCATENATE('Cable Info'!T110," - ",'Cable Info'!U110))</f>
        <v/>
      </c>
      <c r="BG250" s="149" t="str">
        <f t="shared" si="40"/>
        <v/>
      </c>
      <c r="BI250" s="149" t="str">
        <f>IF('Cable Info'!V110="","",CONCATENATE('Cable Info'!V110," - ",'Cable Info'!W110))</f>
        <v/>
      </c>
      <c r="BL250" s="149" t="str">
        <f t="shared" si="41"/>
        <v/>
      </c>
    </row>
    <row r="251" spans="1:64" x14ac:dyDescent="0.2">
      <c r="A251" s="180"/>
      <c r="B251" s="180"/>
      <c r="C251" s="180"/>
      <c r="D251" s="180"/>
      <c r="E251" s="180"/>
      <c r="F251" s="187"/>
      <c r="G251" s="180"/>
      <c r="H251" s="180"/>
      <c r="I251" s="180"/>
      <c r="J251" s="187"/>
      <c r="K251" s="180"/>
      <c r="L251" s="180"/>
      <c r="M251" s="180"/>
      <c r="N251" s="180"/>
      <c r="O251" s="218"/>
      <c r="P251" s="180"/>
      <c r="Q251" s="188"/>
      <c r="R251" s="180"/>
      <c r="S251" s="180"/>
      <c r="T251" s="180"/>
      <c r="U251" s="180"/>
      <c r="V251" s="180"/>
      <c r="W251" s="180"/>
      <c r="X251" s="201"/>
      <c r="AJ251" s="149" t="str">
        <f>IF('Cable Info'!L111="","",CONCATENATE('Cable Info'!L111," - ",'Cable Info'!M111))</f>
        <v/>
      </c>
      <c r="AM251" s="149" t="str">
        <f t="shared" si="36"/>
        <v/>
      </c>
      <c r="AO251" s="149" t="str">
        <f>IF('Cable Info'!N111="","",CONCATENATE('Cable Info'!N111," - ",'Cable Info'!O111))</f>
        <v/>
      </c>
      <c r="AR251" s="149" t="str">
        <f t="shared" si="37"/>
        <v/>
      </c>
      <c r="AT251" s="149" t="str">
        <f>IF('Cable Info'!P111="","",CONCATENATE('Cable Info'!P111," - ",'Cable Info'!Q111))</f>
        <v/>
      </c>
      <c r="AW251" s="149" t="str">
        <f t="shared" si="38"/>
        <v/>
      </c>
      <c r="AY251" s="149" t="str">
        <f>IF('Cable Info'!R111="","",CONCATENATE('Cable Info'!R111," - ",'Cable Info'!S111))</f>
        <v/>
      </c>
      <c r="BB251" s="149" t="str">
        <f t="shared" si="39"/>
        <v/>
      </c>
      <c r="BD251" s="149" t="str">
        <f>IF('Cable Info'!T111="","",CONCATENATE('Cable Info'!T111," - ",'Cable Info'!U111))</f>
        <v/>
      </c>
      <c r="BG251" s="149" t="str">
        <f t="shared" si="40"/>
        <v/>
      </c>
      <c r="BI251" s="149" t="str">
        <f>IF('Cable Info'!V111="","",CONCATENATE('Cable Info'!V111," - ",'Cable Info'!W111))</f>
        <v/>
      </c>
      <c r="BL251" s="149" t="str">
        <f t="shared" si="41"/>
        <v/>
      </c>
    </row>
    <row r="252" spans="1:64" x14ac:dyDescent="0.2">
      <c r="A252" s="180"/>
      <c r="B252" s="180"/>
      <c r="C252" s="180"/>
      <c r="D252" s="180"/>
      <c r="E252" s="180"/>
      <c r="F252" s="187"/>
      <c r="G252" s="180"/>
      <c r="H252" s="180"/>
      <c r="I252" s="180"/>
      <c r="J252" s="187"/>
      <c r="K252" s="180"/>
      <c r="L252" s="180"/>
      <c r="M252" s="180"/>
      <c r="N252" s="180"/>
      <c r="O252" s="218"/>
      <c r="P252" s="180"/>
      <c r="Q252" s="188"/>
      <c r="R252" s="180"/>
      <c r="S252" s="180"/>
      <c r="T252" s="180"/>
      <c r="U252" s="180"/>
      <c r="V252" s="180"/>
      <c r="W252" s="180"/>
      <c r="X252" s="201"/>
      <c r="AJ252" s="149" t="str">
        <f>IF('Cable Info'!L112="","",CONCATENATE('Cable Info'!L112," - ",'Cable Info'!M112))</f>
        <v/>
      </c>
      <c r="AM252" s="149" t="str">
        <f t="shared" si="36"/>
        <v/>
      </c>
      <c r="AO252" s="149" t="str">
        <f>IF('Cable Info'!N112="","",CONCATENATE('Cable Info'!N112," - ",'Cable Info'!O112))</f>
        <v/>
      </c>
      <c r="AR252" s="149" t="str">
        <f t="shared" si="37"/>
        <v/>
      </c>
      <c r="AT252" s="149" t="str">
        <f>IF('Cable Info'!P112="","",CONCATENATE('Cable Info'!P112," - ",'Cable Info'!Q112))</f>
        <v/>
      </c>
      <c r="AW252" s="149" t="str">
        <f t="shared" si="38"/>
        <v/>
      </c>
      <c r="AY252" s="149" t="str">
        <f>IF('Cable Info'!R112="","",CONCATENATE('Cable Info'!R112," - ",'Cable Info'!S112))</f>
        <v/>
      </c>
      <c r="BB252" s="149" t="str">
        <f t="shared" si="39"/>
        <v/>
      </c>
      <c r="BD252" s="149" t="str">
        <f>IF('Cable Info'!T112="","",CONCATENATE('Cable Info'!T112," - ",'Cable Info'!U112))</f>
        <v/>
      </c>
      <c r="BG252" s="149" t="str">
        <f t="shared" si="40"/>
        <v/>
      </c>
      <c r="BI252" s="149" t="str">
        <f>IF('Cable Info'!V112="","",CONCATENATE('Cable Info'!V112," - ",'Cable Info'!W112))</f>
        <v/>
      </c>
      <c r="BL252" s="149" t="str">
        <f t="shared" si="41"/>
        <v/>
      </c>
    </row>
    <row r="253" spans="1:64" x14ac:dyDescent="0.2">
      <c r="A253" s="180"/>
      <c r="B253" s="180"/>
      <c r="C253" s="180"/>
      <c r="D253" s="180"/>
      <c r="E253" s="180"/>
      <c r="F253" s="187"/>
      <c r="G253" s="180"/>
      <c r="H253" s="180"/>
      <c r="I253" s="180"/>
      <c r="J253" s="187"/>
      <c r="K253" s="180"/>
      <c r="L253" s="180"/>
      <c r="M253" s="180"/>
      <c r="N253" s="180"/>
      <c r="O253" s="218"/>
      <c r="P253" s="180"/>
      <c r="Q253" s="188"/>
      <c r="R253" s="180"/>
      <c r="S253" s="180"/>
      <c r="T253" s="180"/>
      <c r="U253" s="180"/>
      <c r="V253" s="180"/>
      <c r="W253" s="180"/>
      <c r="X253" s="201"/>
      <c r="AJ253" s="149" t="str">
        <f>IF('Cable Info'!L113="","",CONCATENATE('Cable Info'!L113," - ",'Cable Info'!M113))</f>
        <v/>
      </c>
      <c r="AM253" s="149" t="str">
        <f t="shared" si="36"/>
        <v/>
      </c>
      <c r="AO253" s="149" t="str">
        <f>IF('Cable Info'!N113="","",CONCATENATE('Cable Info'!N113," - ",'Cable Info'!O113))</f>
        <v/>
      </c>
      <c r="AR253" s="149" t="str">
        <f t="shared" si="37"/>
        <v/>
      </c>
      <c r="AT253" s="149" t="str">
        <f>IF('Cable Info'!P113="","",CONCATENATE('Cable Info'!P113," - ",'Cable Info'!Q113))</f>
        <v/>
      </c>
      <c r="AW253" s="149" t="str">
        <f t="shared" si="38"/>
        <v/>
      </c>
      <c r="AY253" s="149" t="str">
        <f>IF('Cable Info'!R113="","",CONCATENATE('Cable Info'!R113," - ",'Cable Info'!S113))</f>
        <v/>
      </c>
      <c r="BB253" s="149" t="str">
        <f t="shared" si="39"/>
        <v/>
      </c>
      <c r="BD253" s="149" t="str">
        <f>IF('Cable Info'!T113="","",CONCATENATE('Cable Info'!T113," - ",'Cable Info'!U113))</f>
        <v/>
      </c>
      <c r="BG253" s="149" t="str">
        <f t="shared" si="40"/>
        <v/>
      </c>
      <c r="BI253" s="149" t="str">
        <f>IF('Cable Info'!V113="","",CONCATENATE('Cable Info'!V113," - ",'Cable Info'!W113))</f>
        <v/>
      </c>
      <c r="BL253" s="149" t="str">
        <f t="shared" si="41"/>
        <v/>
      </c>
    </row>
    <row r="254" spans="1:64" x14ac:dyDescent="0.2">
      <c r="A254" s="180"/>
      <c r="B254" s="180"/>
      <c r="C254" s="180"/>
      <c r="D254" s="180"/>
      <c r="E254" s="180"/>
      <c r="F254" s="187"/>
      <c r="G254" s="180"/>
      <c r="H254" s="180"/>
      <c r="I254" s="180"/>
      <c r="J254" s="187"/>
      <c r="K254" s="180"/>
      <c r="L254" s="180"/>
      <c r="M254" s="180"/>
      <c r="N254" s="180"/>
      <c r="O254" s="218"/>
      <c r="P254" s="180"/>
      <c r="Q254" s="188"/>
      <c r="R254" s="180"/>
      <c r="S254" s="180"/>
      <c r="T254" s="180"/>
      <c r="U254" s="180"/>
      <c r="V254" s="180"/>
      <c r="W254" s="180"/>
      <c r="X254" s="201"/>
      <c r="AJ254" s="149" t="str">
        <f>IF('Cable Info'!L114="","",CONCATENATE('Cable Info'!L114," - ",'Cable Info'!M114))</f>
        <v/>
      </c>
      <c r="AM254" s="149" t="str">
        <f t="shared" si="36"/>
        <v/>
      </c>
      <c r="AO254" s="149" t="str">
        <f>IF('Cable Info'!N114="","",CONCATENATE('Cable Info'!N114," - ",'Cable Info'!O114))</f>
        <v/>
      </c>
      <c r="AR254" s="149" t="str">
        <f t="shared" si="37"/>
        <v/>
      </c>
      <c r="AT254" s="149" t="str">
        <f>IF('Cable Info'!P114="","",CONCATENATE('Cable Info'!P114," - ",'Cable Info'!Q114))</f>
        <v/>
      </c>
      <c r="AW254" s="149" t="str">
        <f t="shared" si="38"/>
        <v/>
      </c>
      <c r="AY254" s="149" t="str">
        <f>IF('Cable Info'!R114="","",CONCATENATE('Cable Info'!R114," - ",'Cable Info'!S114))</f>
        <v/>
      </c>
      <c r="BB254" s="149" t="str">
        <f t="shared" si="39"/>
        <v/>
      </c>
      <c r="BD254" s="149" t="str">
        <f>IF('Cable Info'!T114="","",CONCATENATE('Cable Info'!T114," - ",'Cable Info'!U114))</f>
        <v/>
      </c>
      <c r="BG254" s="149" t="str">
        <f t="shared" si="40"/>
        <v/>
      </c>
      <c r="BI254" s="149" t="str">
        <f>IF('Cable Info'!V114="","",CONCATENATE('Cable Info'!V114," - ",'Cable Info'!W114))</f>
        <v/>
      </c>
      <c r="BL254" s="149" t="str">
        <f t="shared" si="41"/>
        <v/>
      </c>
    </row>
    <row r="255" spans="1:64" x14ac:dyDescent="0.2">
      <c r="A255" s="180"/>
      <c r="B255" s="180"/>
      <c r="C255" s="180"/>
      <c r="D255" s="180"/>
      <c r="E255" s="180"/>
      <c r="F255" s="187"/>
      <c r="G255" s="180"/>
      <c r="H255" s="180"/>
      <c r="I255" s="180"/>
      <c r="J255" s="187"/>
      <c r="K255" s="180"/>
      <c r="L255" s="180"/>
      <c r="M255" s="180"/>
      <c r="N255" s="180"/>
      <c r="O255" s="218"/>
      <c r="P255" s="180"/>
      <c r="Q255" s="188"/>
      <c r="R255" s="180"/>
      <c r="S255" s="180"/>
      <c r="T255" s="180"/>
      <c r="U255" s="180"/>
      <c r="V255" s="180"/>
      <c r="W255" s="180"/>
      <c r="X255" s="201"/>
      <c r="AJ255" s="149" t="str">
        <f>IF('Cable Info'!L115="","",CONCATENATE('Cable Info'!L115," - ",'Cable Info'!M115))</f>
        <v/>
      </c>
      <c r="AM255" s="149" t="str">
        <f t="shared" si="36"/>
        <v/>
      </c>
      <c r="AO255" s="149" t="str">
        <f>IF('Cable Info'!N115="","",CONCATENATE('Cable Info'!N115," - ",'Cable Info'!O115))</f>
        <v/>
      </c>
      <c r="AR255" s="149" t="str">
        <f t="shared" si="37"/>
        <v/>
      </c>
      <c r="AT255" s="149" t="str">
        <f>IF('Cable Info'!P115="","",CONCATENATE('Cable Info'!P115," - ",'Cable Info'!Q115))</f>
        <v/>
      </c>
      <c r="AW255" s="149" t="str">
        <f t="shared" si="38"/>
        <v/>
      </c>
      <c r="AY255" s="149" t="str">
        <f>IF('Cable Info'!R115="","",CONCATENATE('Cable Info'!R115," - ",'Cable Info'!S115))</f>
        <v/>
      </c>
      <c r="BB255" s="149" t="str">
        <f t="shared" si="39"/>
        <v/>
      </c>
      <c r="BD255" s="149" t="str">
        <f>IF('Cable Info'!T115="","",CONCATENATE('Cable Info'!T115," - ",'Cable Info'!U115))</f>
        <v/>
      </c>
      <c r="BG255" s="149" t="str">
        <f t="shared" si="40"/>
        <v/>
      </c>
      <c r="BI255" s="149" t="str">
        <f>IF('Cable Info'!V115="","",CONCATENATE('Cable Info'!V115," - ",'Cable Info'!W115))</f>
        <v/>
      </c>
      <c r="BL255" s="149" t="str">
        <f t="shared" si="41"/>
        <v/>
      </c>
    </row>
    <row r="256" spans="1:64" x14ac:dyDescent="0.2">
      <c r="A256" s="180"/>
      <c r="B256" s="180"/>
      <c r="C256" s="180"/>
      <c r="D256" s="180"/>
      <c r="E256" s="180"/>
      <c r="F256" s="187"/>
      <c r="G256" s="180"/>
      <c r="H256" s="180"/>
      <c r="I256" s="180"/>
      <c r="J256" s="187"/>
      <c r="K256" s="180"/>
      <c r="L256" s="180"/>
      <c r="M256" s="180"/>
      <c r="N256" s="180"/>
      <c r="O256" s="218"/>
      <c r="P256" s="180"/>
      <c r="Q256" s="188"/>
      <c r="R256" s="180"/>
      <c r="S256" s="180"/>
      <c r="T256" s="180"/>
      <c r="U256" s="180"/>
      <c r="V256" s="180"/>
      <c r="W256" s="180"/>
      <c r="X256" s="201"/>
      <c r="AJ256" s="149" t="str">
        <f>IF('Cable Info'!L116="","",CONCATENATE('Cable Info'!L116," - ",'Cable Info'!M116))</f>
        <v/>
      </c>
      <c r="AM256" s="149" t="str">
        <f t="shared" si="36"/>
        <v/>
      </c>
      <c r="AO256" s="149" t="str">
        <f>IF('Cable Info'!N116="","",CONCATENATE('Cable Info'!N116," - ",'Cable Info'!O116))</f>
        <v/>
      </c>
      <c r="AR256" s="149" t="str">
        <f t="shared" si="37"/>
        <v/>
      </c>
      <c r="AT256" s="149" t="str">
        <f>IF('Cable Info'!P116="","",CONCATENATE('Cable Info'!P116," - ",'Cable Info'!Q116))</f>
        <v/>
      </c>
      <c r="AW256" s="149" t="str">
        <f t="shared" si="38"/>
        <v/>
      </c>
      <c r="AY256" s="149" t="str">
        <f>IF('Cable Info'!R116="","",CONCATENATE('Cable Info'!R116," - ",'Cable Info'!S116))</f>
        <v/>
      </c>
      <c r="BB256" s="149" t="str">
        <f t="shared" si="39"/>
        <v/>
      </c>
      <c r="BD256" s="149" t="str">
        <f>IF('Cable Info'!T116="","",CONCATENATE('Cable Info'!T116," - ",'Cable Info'!U116))</f>
        <v/>
      </c>
      <c r="BG256" s="149" t="str">
        <f t="shared" si="40"/>
        <v/>
      </c>
      <c r="BI256" s="149" t="str">
        <f>IF('Cable Info'!V116="","",CONCATENATE('Cable Info'!V116," - ",'Cable Info'!W116))</f>
        <v/>
      </c>
      <c r="BL256" s="149" t="str">
        <f t="shared" si="41"/>
        <v/>
      </c>
    </row>
    <row r="257" spans="1:64" x14ac:dyDescent="0.2">
      <c r="A257" s="180"/>
      <c r="B257" s="180"/>
      <c r="C257" s="180"/>
      <c r="D257" s="180"/>
      <c r="E257" s="180"/>
      <c r="F257" s="187"/>
      <c r="G257" s="180"/>
      <c r="H257" s="180"/>
      <c r="I257" s="180"/>
      <c r="J257" s="187"/>
      <c r="K257" s="180"/>
      <c r="L257" s="180"/>
      <c r="M257" s="180"/>
      <c r="N257" s="180"/>
      <c r="O257" s="218"/>
      <c r="P257" s="180"/>
      <c r="Q257" s="188"/>
      <c r="R257" s="180"/>
      <c r="S257" s="180"/>
      <c r="T257" s="180"/>
      <c r="U257" s="180"/>
      <c r="V257" s="180"/>
      <c r="W257" s="180"/>
      <c r="X257" s="201"/>
      <c r="AJ257" s="149" t="str">
        <f>IF('Cable Info'!L117="","",CONCATENATE('Cable Info'!L117," - ",'Cable Info'!M117))</f>
        <v/>
      </c>
      <c r="AM257" s="149" t="str">
        <f t="shared" si="36"/>
        <v/>
      </c>
      <c r="AO257" s="149" t="str">
        <f>IF('Cable Info'!N117="","",CONCATENATE('Cable Info'!N117," - ",'Cable Info'!O117))</f>
        <v/>
      </c>
      <c r="AR257" s="149" t="str">
        <f t="shared" si="37"/>
        <v/>
      </c>
      <c r="AT257" s="149" t="str">
        <f>IF('Cable Info'!P117="","",CONCATENATE('Cable Info'!P117," - ",'Cable Info'!Q117))</f>
        <v/>
      </c>
      <c r="AW257" s="149" t="str">
        <f t="shared" si="38"/>
        <v/>
      </c>
      <c r="AY257" s="149" t="str">
        <f>IF('Cable Info'!R117="","",CONCATENATE('Cable Info'!R117," - ",'Cable Info'!S117))</f>
        <v/>
      </c>
      <c r="BB257" s="149" t="str">
        <f t="shared" si="39"/>
        <v/>
      </c>
      <c r="BD257" s="149" t="str">
        <f>IF('Cable Info'!T117="","",CONCATENATE('Cable Info'!T117," - ",'Cable Info'!U117))</f>
        <v/>
      </c>
      <c r="BG257" s="149" t="str">
        <f t="shared" si="40"/>
        <v/>
      </c>
      <c r="BI257" s="149" t="str">
        <f>IF('Cable Info'!V117="","",CONCATENATE('Cable Info'!V117," - ",'Cable Info'!W117))</f>
        <v/>
      </c>
      <c r="BL257" s="149" t="str">
        <f t="shared" si="41"/>
        <v/>
      </c>
    </row>
    <row r="258" spans="1:64" x14ac:dyDescent="0.2">
      <c r="A258" s="180"/>
      <c r="B258" s="180"/>
      <c r="C258" s="180"/>
      <c r="D258" s="180"/>
      <c r="E258" s="180"/>
      <c r="F258" s="187"/>
      <c r="G258" s="180"/>
      <c r="H258" s="180"/>
      <c r="I258" s="180"/>
      <c r="J258" s="187"/>
      <c r="K258" s="180"/>
      <c r="L258" s="180"/>
      <c r="M258" s="180"/>
      <c r="N258" s="180"/>
      <c r="O258" s="218"/>
      <c r="P258" s="180"/>
      <c r="Q258" s="188"/>
      <c r="R258" s="180"/>
      <c r="S258" s="180"/>
      <c r="T258" s="180"/>
      <c r="U258" s="180"/>
      <c r="V258" s="180"/>
      <c r="W258" s="180"/>
      <c r="X258" s="201"/>
      <c r="AJ258" s="149" t="str">
        <f>IF('Cable Info'!L118="","",CONCATENATE('Cable Info'!L118," - ",'Cable Info'!M118))</f>
        <v/>
      </c>
      <c r="AM258" s="149" t="str">
        <f t="shared" si="36"/>
        <v/>
      </c>
      <c r="AO258" s="149" t="str">
        <f>IF('Cable Info'!N118="","",CONCATENATE('Cable Info'!N118," - ",'Cable Info'!O118))</f>
        <v/>
      </c>
      <c r="AR258" s="149" t="str">
        <f t="shared" si="37"/>
        <v/>
      </c>
      <c r="AT258" s="149" t="str">
        <f>IF('Cable Info'!P118="","",CONCATENATE('Cable Info'!P118," - ",'Cable Info'!Q118))</f>
        <v/>
      </c>
      <c r="AW258" s="149" t="str">
        <f t="shared" si="38"/>
        <v/>
      </c>
      <c r="AY258" s="149" t="str">
        <f>IF('Cable Info'!R118="","",CONCATENATE('Cable Info'!R118," - ",'Cable Info'!S118))</f>
        <v/>
      </c>
      <c r="BB258" s="149" t="str">
        <f t="shared" si="39"/>
        <v/>
      </c>
      <c r="BD258" s="149" t="str">
        <f>IF('Cable Info'!T118="","",CONCATENATE('Cable Info'!T118," - ",'Cable Info'!U118))</f>
        <v/>
      </c>
      <c r="BG258" s="149" t="str">
        <f t="shared" si="40"/>
        <v/>
      </c>
      <c r="BI258" s="149" t="str">
        <f>IF('Cable Info'!V118="","",CONCATENATE('Cable Info'!V118," - ",'Cable Info'!W118))</f>
        <v/>
      </c>
      <c r="BL258" s="149" t="str">
        <f t="shared" si="41"/>
        <v/>
      </c>
    </row>
    <row r="259" spans="1:64" x14ac:dyDescent="0.2">
      <c r="A259" s="180"/>
      <c r="B259" s="180"/>
      <c r="C259" s="180"/>
      <c r="D259" s="180"/>
      <c r="E259" s="180"/>
      <c r="F259" s="187"/>
      <c r="G259" s="180"/>
      <c r="H259" s="180"/>
      <c r="I259" s="180"/>
      <c r="J259" s="187"/>
      <c r="K259" s="180"/>
      <c r="L259" s="180"/>
      <c r="M259" s="180"/>
      <c r="N259" s="180"/>
      <c r="O259" s="218"/>
      <c r="P259" s="180"/>
      <c r="Q259" s="188"/>
      <c r="R259" s="180"/>
      <c r="S259" s="180"/>
      <c r="T259" s="180"/>
      <c r="U259" s="180"/>
      <c r="V259" s="180"/>
      <c r="W259" s="180"/>
      <c r="X259" s="201"/>
      <c r="AJ259" s="149" t="str">
        <f>IF('Cable Info'!L119="","",CONCATENATE('Cable Info'!L119," - ",'Cable Info'!M119))</f>
        <v/>
      </c>
      <c r="AM259" s="149" t="str">
        <f t="shared" si="36"/>
        <v/>
      </c>
      <c r="AO259" s="149" t="str">
        <f>IF('Cable Info'!N119="","",CONCATENATE('Cable Info'!N119," - ",'Cable Info'!O119))</f>
        <v/>
      </c>
      <c r="AR259" s="149" t="str">
        <f t="shared" si="37"/>
        <v/>
      </c>
      <c r="AT259" s="149" t="str">
        <f>IF('Cable Info'!P119="","",CONCATENATE('Cable Info'!P119," - ",'Cable Info'!Q119))</f>
        <v/>
      </c>
      <c r="AW259" s="149" t="str">
        <f t="shared" si="38"/>
        <v/>
      </c>
      <c r="AY259" s="149" t="str">
        <f>IF('Cable Info'!R119="","",CONCATENATE('Cable Info'!R119," - ",'Cable Info'!S119))</f>
        <v/>
      </c>
      <c r="BB259" s="149" t="str">
        <f t="shared" si="39"/>
        <v/>
      </c>
      <c r="BD259" s="149" t="str">
        <f>IF('Cable Info'!T119="","",CONCATENATE('Cable Info'!T119," - ",'Cable Info'!U119))</f>
        <v/>
      </c>
      <c r="BG259" s="149" t="str">
        <f t="shared" si="40"/>
        <v/>
      </c>
      <c r="BI259" s="149" t="str">
        <f>IF('Cable Info'!V119="","",CONCATENATE('Cable Info'!V119," - ",'Cable Info'!W119))</f>
        <v/>
      </c>
      <c r="BL259" s="149" t="str">
        <f t="shared" si="41"/>
        <v/>
      </c>
    </row>
    <row r="260" spans="1:64" x14ac:dyDescent="0.2">
      <c r="A260" s="180"/>
      <c r="B260" s="180"/>
      <c r="C260" s="180"/>
      <c r="D260" s="180"/>
      <c r="E260" s="180"/>
      <c r="F260" s="187"/>
      <c r="G260" s="180"/>
      <c r="H260" s="180"/>
      <c r="I260" s="180"/>
      <c r="J260" s="187"/>
      <c r="K260" s="180"/>
      <c r="L260" s="180"/>
      <c r="M260" s="180"/>
      <c r="N260" s="180"/>
      <c r="O260" s="218"/>
      <c r="P260" s="180"/>
      <c r="Q260" s="188"/>
      <c r="R260" s="180"/>
      <c r="S260" s="180"/>
      <c r="T260" s="180"/>
      <c r="U260" s="180"/>
      <c r="V260" s="180"/>
      <c r="W260" s="180"/>
      <c r="X260" s="201"/>
      <c r="AJ260" s="149" t="str">
        <f>IF('Cable Info'!L120="","",CONCATENATE('Cable Info'!L120," - ",'Cable Info'!M120))</f>
        <v/>
      </c>
      <c r="AM260" s="149" t="str">
        <f t="shared" si="36"/>
        <v/>
      </c>
      <c r="AO260" s="149" t="str">
        <f>IF('Cable Info'!N120="","",CONCATENATE('Cable Info'!N120," - ",'Cable Info'!O120))</f>
        <v/>
      </c>
      <c r="AR260" s="149" t="str">
        <f t="shared" si="37"/>
        <v/>
      </c>
      <c r="AT260" s="149" t="str">
        <f>IF('Cable Info'!P120="","",CONCATENATE('Cable Info'!P120," - ",'Cable Info'!Q120))</f>
        <v/>
      </c>
      <c r="AW260" s="149" t="str">
        <f t="shared" si="38"/>
        <v/>
      </c>
      <c r="AY260" s="149" t="str">
        <f>IF('Cable Info'!R120="","",CONCATENATE('Cable Info'!R120," - ",'Cable Info'!S120))</f>
        <v/>
      </c>
      <c r="BB260" s="149" t="str">
        <f t="shared" si="39"/>
        <v/>
      </c>
      <c r="BD260" s="149" t="str">
        <f>IF('Cable Info'!T120="","",CONCATENATE('Cable Info'!T120," - ",'Cable Info'!U120))</f>
        <v/>
      </c>
      <c r="BG260" s="149" t="str">
        <f t="shared" si="40"/>
        <v/>
      </c>
      <c r="BI260" s="149" t="str">
        <f>IF('Cable Info'!V120="","",CONCATENATE('Cable Info'!V120," - ",'Cable Info'!W120))</f>
        <v/>
      </c>
      <c r="BL260" s="149" t="str">
        <f t="shared" si="41"/>
        <v/>
      </c>
    </row>
    <row r="261" spans="1:64" x14ac:dyDescent="0.2">
      <c r="A261" s="180"/>
      <c r="B261" s="180"/>
      <c r="C261" s="180"/>
      <c r="D261" s="180"/>
      <c r="E261" s="180"/>
      <c r="F261" s="187"/>
      <c r="G261" s="180"/>
      <c r="H261" s="180"/>
      <c r="I261" s="180"/>
      <c r="J261" s="187"/>
      <c r="K261" s="180"/>
      <c r="L261" s="180"/>
      <c r="M261" s="180"/>
      <c r="N261" s="180"/>
      <c r="O261" s="218"/>
      <c r="P261" s="180"/>
      <c r="Q261" s="188"/>
      <c r="R261" s="180"/>
      <c r="S261" s="180"/>
      <c r="T261" s="180"/>
      <c r="U261" s="180"/>
      <c r="V261" s="180"/>
      <c r="W261" s="180"/>
      <c r="X261" s="201"/>
      <c r="AJ261" s="149" t="str">
        <f>IF('Cable Info'!L121="","",CONCATENATE('Cable Info'!L121," - ",'Cable Info'!M121))</f>
        <v/>
      </c>
      <c r="AM261" s="149" t="str">
        <f t="shared" si="36"/>
        <v/>
      </c>
      <c r="AO261" s="149" t="str">
        <f>IF('Cable Info'!N121="","",CONCATENATE('Cable Info'!N121," - ",'Cable Info'!O121))</f>
        <v/>
      </c>
      <c r="AR261" s="149" t="str">
        <f t="shared" si="37"/>
        <v/>
      </c>
      <c r="AT261" s="149" t="str">
        <f>IF('Cable Info'!P121="","",CONCATENATE('Cable Info'!P121," - ",'Cable Info'!Q121))</f>
        <v/>
      </c>
      <c r="AW261" s="149" t="str">
        <f t="shared" si="38"/>
        <v/>
      </c>
      <c r="AY261" s="149" t="str">
        <f>IF('Cable Info'!R121="","",CONCATENATE('Cable Info'!R121," - ",'Cable Info'!S121))</f>
        <v/>
      </c>
      <c r="BB261" s="149" t="str">
        <f t="shared" si="39"/>
        <v/>
      </c>
      <c r="BD261" s="149" t="str">
        <f>IF('Cable Info'!T121="","",CONCATENATE('Cable Info'!T121," - ",'Cable Info'!U121))</f>
        <v/>
      </c>
      <c r="BG261" s="149" t="str">
        <f t="shared" si="40"/>
        <v/>
      </c>
      <c r="BI261" s="149" t="str">
        <f>IF('Cable Info'!V121="","",CONCATENATE('Cable Info'!V121," - ",'Cable Info'!W121))</f>
        <v/>
      </c>
      <c r="BL261" s="149" t="str">
        <f t="shared" si="41"/>
        <v/>
      </c>
    </row>
    <row r="262" spans="1:64" x14ac:dyDescent="0.2">
      <c r="A262" s="180"/>
      <c r="B262" s="180"/>
      <c r="C262" s="180"/>
      <c r="D262" s="180"/>
      <c r="E262" s="180"/>
      <c r="F262" s="187"/>
      <c r="G262" s="180"/>
      <c r="H262" s="180"/>
      <c r="I262" s="180"/>
      <c r="J262" s="187"/>
      <c r="K262" s="180"/>
      <c r="L262" s="180"/>
      <c r="M262" s="180"/>
      <c r="N262" s="180"/>
      <c r="O262" s="218"/>
      <c r="P262" s="180"/>
      <c r="Q262" s="188"/>
      <c r="R262" s="180"/>
      <c r="S262" s="180"/>
      <c r="T262" s="180"/>
      <c r="U262" s="180"/>
      <c r="V262" s="180"/>
      <c r="W262" s="180"/>
      <c r="X262" s="201"/>
      <c r="AJ262" s="149" t="str">
        <f>IF('Cable Info'!L122="","",CONCATENATE('Cable Info'!L122," - ",'Cable Info'!M122))</f>
        <v/>
      </c>
      <c r="AM262" s="149" t="str">
        <f t="shared" si="36"/>
        <v/>
      </c>
      <c r="AO262" s="149" t="str">
        <f>IF('Cable Info'!N122="","",CONCATENATE('Cable Info'!N122," - ",'Cable Info'!O122))</f>
        <v/>
      </c>
      <c r="AR262" s="149" t="str">
        <f t="shared" si="37"/>
        <v/>
      </c>
      <c r="AT262" s="149" t="str">
        <f>IF('Cable Info'!P122="","",CONCATENATE('Cable Info'!P122," - ",'Cable Info'!Q122))</f>
        <v/>
      </c>
      <c r="AW262" s="149" t="str">
        <f t="shared" si="38"/>
        <v/>
      </c>
      <c r="AY262" s="149" t="str">
        <f>IF('Cable Info'!R122="","",CONCATENATE('Cable Info'!R122," - ",'Cable Info'!S122))</f>
        <v/>
      </c>
      <c r="BB262" s="149" t="str">
        <f t="shared" si="39"/>
        <v/>
      </c>
      <c r="BD262" s="149" t="str">
        <f>IF('Cable Info'!T122="","",CONCATENATE('Cable Info'!T122," - ",'Cable Info'!U122))</f>
        <v/>
      </c>
      <c r="BG262" s="149" t="str">
        <f t="shared" si="40"/>
        <v/>
      </c>
      <c r="BI262" s="149" t="str">
        <f>IF('Cable Info'!V122="","",CONCATENATE('Cable Info'!V122," - ",'Cable Info'!W122))</f>
        <v/>
      </c>
      <c r="BL262" s="149" t="str">
        <f t="shared" si="41"/>
        <v/>
      </c>
    </row>
    <row r="263" spans="1:64" x14ac:dyDescent="0.2">
      <c r="A263" s="180"/>
      <c r="B263" s="180"/>
      <c r="C263" s="180"/>
      <c r="D263" s="180"/>
      <c r="E263" s="180"/>
      <c r="F263" s="187"/>
      <c r="G263" s="180"/>
      <c r="H263" s="180"/>
      <c r="I263" s="180"/>
      <c r="J263" s="187"/>
      <c r="K263" s="180"/>
      <c r="L263" s="180"/>
      <c r="M263" s="180"/>
      <c r="N263" s="180"/>
      <c r="O263" s="218"/>
      <c r="P263" s="180"/>
      <c r="Q263" s="188"/>
      <c r="R263" s="180"/>
      <c r="S263" s="180"/>
      <c r="T263" s="180"/>
      <c r="U263" s="180"/>
      <c r="V263" s="180"/>
      <c r="W263" s="180"/>
      <c r="X263" s="201"/>
      <c r="AJ263" s="149" t="str">
        <f>IF('Cable Info'!L123="","",CONCATENATE('Cable Info'!L123," - ",'Cable Info'!M123))</f>
        <v/>
      </c>
      <c r="AM263" s="149" t="str">
        <f t="shared" si="36"/>
        <v/>
      </c>
      <c r="AO263" s="149" t="str">
        <f>IF('Cable Info'!N123="","",CONCATENATE('Cable Info'!N123," - ",'Cable Info'!O123))</f>
        <v/>
      </c>
      <c r="AR263" s="149" t="str">
        <f t="shared" si="37"/>
        <v/>
      </c>
      <c r="AT263" s="149" t="str">
        <f>IF('Cable Info'!P123="","",CONCATENATE('Cable Info'!P123," - ",'Cable Info'!Q123))</f>
        <v/>
      </c>
      <c r="AW263" s="149" t="str">
        <f t="shared" si="38"/>
        <v/>
      </c>
      <c r="AY263" s="149" t="str">
        <f>IF('Cable Info'!R123="","",CONCATENATE('Cable Info'!R123," - ",'Cable Info'!S123))</f>
        <v/>
      </c>
      <c r="BB263" s="149" t="str">
        <f t="shared" si="39"/>
        <v/>
      </c>
      <c r="BD263" s="149" t="str">
        <f>IF('Cable Info'!T123="","",CONCATENATE('Cable Info'!T123," - ",'Cable Info'!U123))</f>
        <v/>
      </c>
      <c r="BG263" s="149" t="str">
        <f t="shared" si="40"/>
        <v/>
      </c>
      <c r="BI263" s="149" t="str">
        <f>IF('Cable Info'!V123="","",CONCATENATE('Cable Info'!V123," - ",'Cable Info'!W123))</f>
        <v/>
      </c>
      <c r="BL263" s="149" t="str">
        <f t="shared" si="41"/>
        <v/>
      </c>
    </row>
    <row r="264" spans="1:64" x14ac:dyDescent="0.2">
      <c r="A264" s="180"/>
      <c r="B264" s="180"/>
      <c r="C264" s="180"/>
      <c r="D264" s="180"/>
      <c r="E264" s="180"/>
      <c r="F264" s="187"/>
      <c r="G264" s="180"/>
      <c r="H264" s="180"/>
      <c r="I264" s="180"/>
      <c r="J264" s="187"/>
      <c r="K264" s="180"/>
      <c r="L264" s="180"/>
      <c r="M264" s="180"/>
      <c r="N264" s="180"/>
      <c r="O264" s="218"/>
      <c r="P264" s="180"/>
      <c r="Q264" s="188"/>
      <c r="R264" s="180"/>
      <c r="S264" s="180"/>
      <c r="T264" s="180"/>
      <c r="U264" s="180"/>
      <c r="V264" s="180"/>
      <c r="W264" s="180"/>
      <c r="X264" s="201"/>
      <c r="AJ264" s="149" t="str">
        <f>IF('Cable Info'!L124="","",CONCATENATE('Cable Info'!L124," - ",'Cable Info'!M124))</f>
        <v/>
      </c>
      <c r="AM264" s="149" t="str">
        <f t="shared" si="36"/>
        <v/>
      </c>
      <c r="AO264" s="149" t="str">
        <f>IF('Cable Info'!N124="","",CONCATENATE('Cable Info'!N124," - ",'Cable Info'!O124))</f>
        <v/>
      </c>
      <c r="AR264" s="149" t="str">
        <f t="shared" si="37"/>
        <v/>
      </c>
      <c r="AT264" s="149" t="str">
        <f>IF('Cable Info'!P124="","",CONCATENATE('Cable Info'!P124," - ",'Cable Info'!Q124))</f>
        <v/>
      </c>
      <c r="AW264" s="149" t="str">
        <f t="shared" si="38"/>
        <v/>
      </c>
      <c r="AY264" s="149" t="str">
        <f>IF('Cable Info'!R124="","",CONCATENATE('Cable Info'!R124," - ",'Cable Info'!S124))</f>
        <v/>
      </c>
      <c r="BB264" s="149" t="str">
        <f t="shared" si="39"/>
        <v/>
      </c>
      <c r="BD264" s="149" t="str">
        <f>IF('Cable Info'!T124="","",CONCATENATE('Cable Info'!T124," - ",'Cable Info'!U124))</f>
        <v/>
      </c>
      <c r="BG264" s="149" t="str">
        <f t="shared" si="40"/>
        <v/>
      </c>
      <c r="BI264" s="149" t="str">
        <f>IF('Cable Info'!V124="","",CONCATENATE('Cable Info'!V124," - ",'Cable Info'!W124))</f>
        <v/>
      </c>
      <c r="BL264" s="149" t="str">
        <f t="shared" si="41"/>
        <v/>
      </c>
    </row>
    <row r="265" spans="1:64" x14ac:dyDescent="0.2">
      <c r="A265" s="180"/>
      <c r="B265" s="180"/>
      <c r="C265" s="180"/>
      <c r="D265" s="180"/>
      <c r="E265" s="180"/>
      <c r="F265" s="187"/>
      <c r="G265" s="180"/>
      <c r="H265" s="180"/>
      <c r="I265" s="180"/>
      <c r="J265" s="187"/>
      <c r="K265" s="180"/>
      <c r="L265" s="180"/>
      <c r="M265" s="180"/>
      <c r="N265" s="180"/>
      <c r="O265" s="218"/>
      <c r="P265" s="180"/>
      <c r="Q265" s="188"/>
      <c r="R265" s="180"/>
      <c r="S265" s="180"/>
      <c r="T265" s="180"/>
      <c r="U265" s="180"/>
      <c r="V265" s="180"/>
      <c r="W265" s="180"/>
      <c r="X265" s="201"/>
      <c r="AJ265" s="149" t="str">
        <f>IF('Cable Info'!L125="","",CONCATENATE('Cable Info'!L125," - ",'Cable Info'!M125))</f>
        <v/>
      </c>
      <c r="AM265" s="149" t="str">
        <f t="shared" si="36"/>
        <v/>
      </c>
      <c r="AO265" s="149" t="str">
        <f>IF('Cable Info'!N125="","",CONCATENATE('Cable Info'!N125," - ",'Cable Info'!O125))</f>
        <v/>
      </c>
      <c r="AR265" s="149" t="str">
        <f t="shared" si="37"/>
        <v/>
      </c>
      <c r="AT265" s="149" t="str">
        <f>IF('Cable Info'!P125="","",CONCATENATE('Cable Info'!P125," - ",'Cable Info'!Q125))</f>
        <v/>
      </c>
      <c r="AW265" s="149" t="str">
        <f t="shared" si="38"/>
        <v/>
      </c>
      <c r="AY265" s="149" t="str">
        <f>IF('Cable Info'!R125="","",CONCATENATE('Cable Info'!R125," - ",'Cable Info'!S125))</f>
        <v/>
      </c>
      <c r="BB265" s="149" t="str">
        <f t="shared" si="39"/>
        <v/>
      </c>
      <c r="BD265" s="149" t="str">
        <f>IF('Cable Info'!T125="","",CONCATENATE('Cable Info'!T125," - ",'Cable Info'!U125))</f>
        <v/>
      </c>
      <c r="BG265" s="149" t="str">
        <f t="shared" si="40"/>
        <v/>
      </c>
      <c r="BI265" s="149" t="str">
        <f>IF('Cable Info'!V125="","",CONCATENATE('Cable Info'!V125," - ",'Cable Info'!W125))</f>
        <v/>
      </c>
      <c r="BL265" s="149" t="str">
        <f t="shared" si="41"/>
        <v/>
      </c>
    </row>
    <row r="266" spans="1:64" x14ac:dyDescent="0.2">
      <c r="A266" s="180"/>
      <c r="B266" s="180"/>
      <c r="C266" s="180"/>
      <c r="D266" s="180"/>
      <c r="E266" s="180"/>
      <c r="F266" s="187"/>
      <c r="G266" s="180"/>
      <c r="H266" s="180"/>
      <c r="I266" s="180"/>
      <c r="J266" s="187"/>
      <c r="K266" s="180"/>
      <c r="L266" s="180"/>
      <c r="M266" s="180"/>
      <c r="N266" s="180"/>
      <c r="O266" s="218"/>
      <c r="P266" s="180"/>
      <c r="Q266" s="188"/>
      <c r="R266" s="180"/>
      <c r="S266" s="180"/>
      <c r="T266" s="180"/>
      <c r="U266" s="180"/>
      <c r="V266" s="180"/>
      <c r="W266" s="180"/>
      <c r="X266" s="201"/>
      <c r="AJ266" s="149" t="str">
        <f>IF('Cable Info'!L126="","",CONCATENATE('Cable Info'!L126," - ",'Cable Info'!M126))</f>
        <v/>
      </c>
      <c r="AM266" s="149" t="str">
        <f t="shared" si="36"/>
        <v/>
      </c>
      <c r="AO266" s="149" t="str">
        <f>IF('Cable Info'!N126="","",CONCATENATE('Cable Info'!N126," - ",'Cable Info'!O126))</f>
        <v/>
      </c>
      <c r="AR266" s="149" t="str">
        <f t="shared" si="37"/>
        <v/>
      </c>
      <c r="AT266" s="149" t="str">
        <f>IF('Cable Info'!P126="","",CONCATENATE('Cable Info'!P126," - ",'Cable Info'!Q126))</f>
        <v/>
      </c>
      <c r="AW266" s="149" t="str">
        <f t="shared" si="38"/>
        <v/>
      </c>
      <c r="AY266" s="149" t="str">
        <f>IF('Cable Info'!R126="","",CONCATENATE('Cable Info'!R126," - ",'Cable Info'!S126))</f>
        <v/>
      </c>
      <c r="BB266" s="149" t="str">
        <f t="shared" si="39"/>
        <v/>
      </c>
      <c r="BD266" s="149" t="str">
        <f>IF('Cable Info'!T126="","",CONCATENATE('Cable Info'!T126," - ",'Cable Info'!U126))</f>
        <v/>
      </c>
      <c r="BG266" s="149" t="str">
        <f t="shared" si="40"/>
        <v/>
      </c>
      <c r="BI266" s="149" t="str">
        <f>IF('Cable Info'!V126="","",CONCATENATE('Cable Info'!V126," - ",'Cable Info'!W126))</f>
        <v/>
      </c>
      <c r="BL266" s="149" t="str">
        <f t="shared" si="41"/>
        <v/>
      </c>
    </row>
    <row r="267" spans="1:64" x14ac:dyDescent="0.2">
      <c r="A267" s="180"/>
      <c r="B267" s="180"/>
      <c r="C267" s="180"/>
      <c r="D267" s="180"/>
      <c r="E267" s="180"/>
      <c r="F267" s="187"/>
      <c r="G267" s="180"/>
      <c r="H267" s="180"/>
      <c r="I267" s="180"/>
      <c r="J267" s="187"/>
      <c r="K267" s="180"/>
      <c r="L267" s="180"/>
      <c r="M267" s="180"/>
      <c r="N267" s="180"/>
      <c r="O267" s="218"/>
      <c r="P267" s="180"/>
      <c r="Q267" s="188"/>
      <c r="R267" s="180"/>
      <c r="S267" s="180"/>
      <c r="T267" s="180"/>
      <c r="U267" s="180"/>
      <c r="V267" s="180"/>
      <c r="W267" s="180"/>
      <c r="X267" s="201"/>
      <c r="AJ267" s="149" t="str">
        <f>IF('Cable Info'!L127="","",CONCATENATE('Cable Info'!L127," - ",'Cable Info'!M127))</f>
        <v/>
      </c>
      <c r="AM267" s="149" t="str">
        <f t="shared" si="36"/>
        <v/>
      </c>
      <c r="AO267" s="149" t="str">
        <f>IF('Cable Info'!N127="","",CONCATENATE('Cable Info'!N127," - ",'Cable Info'!O127))</f>
        <v/>
      </c>
      <c r="AR267" s="149" t="str">
        <f t="shared" si="37"/>
        <v/>
      </c>
      <c r="AT267" s="149" t="str">
        <f>IF('Cable Info'!P127="","",CONCATENATE('Cable Info'!P127," - ",'Cable Info'!Q127))</f>
        <v/>
      </c>
      <c r="AW267" s="149" t="str">
        <f t="shared" si="38"/>
        <v/>
      </c>
      <c r="AY267" s="149" t="str">
        <f>IF('Cable Info'!R127="","",CONCATENATE('Cable Info'!R127," - ",'Cable Info'!S127))</f>
        <v/>
      </c>
      <c r="BB267" s="149" t="str">
        <f t="shared" si="39"/>
        <v/>
      </c>
      <c r="BD267" s="149" t="str">
        <f>IF('Cable Info'!T127="","",CONCATENATE('Cable Info'!T127," - ",'Cable Info'!U127))</f>
        <v/>
      </c>
      <c r="BG267" s="149" t="str">
        <f t="shared" si="40"/>
        <v/>
      </c>
      <c r="BI267" s="149" t="str">
        <f>IF('Cable Info'!V127="","",CONCATENATE('Cable Info'!V127," - ",'Cable Info'!W127))</f>
        <v/>
      </c>
      <c r="BL267" s="149" t="str">
        <f t="shared" si="41"/>
        <v/>
      </c>
    </row>
    <row r="268" spans="1:64" x14ac:dyDescent="0.2">
      <c r="A268" s="180"/>
      <c r="B268" s="180"/>
      <c r="C268" s="180"/>
      <c r="D268" s="180"/>
      <c r="E268" s="180"/>
      <c r="F268" s="187"/>
      <c r="G268" s="180"/>
      <c r="H268" s="180"/>
      <c r="I268" s="180"/>
      <c r="J268" s="187"/>
      <c r="K268" s="180"/>
      <c r="L268" s="180"/>
      <c r="M268" s="180"/>
      <c r="N268" s="180"/>
      <c r="O268" s="218"/>
      <c r="P268" s="180"/>
      <c r="Q268" s="188"/>
      <c r="R268" s="180"/>
      <c r="S268" s="180"/>
      <c r="T268" s="180"/>
      <c r="U268" s="180"/>
      <c r="V268" s="180"/>
      <c r="W268" s="180"/>
      <c r="X268" s="201"/>
      <c r="AJ268" s="149" t="str">
        <f>IF('Cable Info'!L128="","",CONCATENATE('Cable Info'!L128," - ",'Cable Info'!M128))</f>
        <v/>
      </c>
      <c r="AM268" s="149" t="str">
        <f t="shared" si="36"/>
        <v/>
      </c>
      <c r="AO268" s="149" t="str">
        <f>IF('Cable Info'!N128="","",CONCATENATE('Cable Info'!N128," - ",'Cable Info'!O128))</f>
        <v/>
      </c>
      <c r="AR268" s="149" t="str">
        <f t="shared" si="37"/>
        <v/>
      </c>
      <c r="AT268" s="149" t="str">
        <f>IF('Cable Info'!P128="","",CONCATENATE('Cable Info'!P128," - ",'Cable Info'!Q128))</f>
        <v/>
      </c>
      <c r="AW268" s="149" t="str">
        <f t="shared" si="38"/>
        <v/>
      </c>
      <c r="AY268" s="149" t="str">
        <f>IF('Cable Info'!R128="","",CONCATENATE('Cable Info'!R128," - ",'Cable Info'!S128))</f>
        <v/>
      </c>
      <c r="BB268" s="149" t="str">
        <f t="shared" si="39"/>
        <v/>
      </c>
      <c r="BD268" s="149" t="str">
        <f>IF('Cable Info'!T128="","",CONCATENATE('Cable Info'!T128," - ",'Cable Info'!U128))</f>
        <v/>
      </c>
      <c r="BG268" s="149" t="str">
        <f t="shared" si="40"/>
        <v/>
      </c>
      <c r="BI268" s="149" t="str">
        <f>IF('Cable Info'!V128="","",CONCATENATE('Cable Info'!V128," - ",'Cable Info'!W128))</f>
        <v/>
      </c>
      <c r="BL268" s="149" t="str">
        <f t="shared" si="41"/>
        <v/>
      </c>
    </row>
    <row r="269" spans="1:64" x14ac:dyDescent="0.2">
      <c r="A269" s="180"/>
      <c r="B269" s="180"/>
      <c r="C269" s="180"/>
      <c r="D269" s="180"/>
      <c r="E269" s="180"/>
      <c r="F269" s="187"/>
      <c r="G269" s="180"/>
      <c r="H269" s="180"/>
      <c r="I269" s="180"/>
      <c r="J269" s="187"/>
      <c r="K269" s="180"/>
      <c r="L269" s="180"/>
      <c r="M269" s="180"/>
      <c r="N269" s="180"/>
      <c r="O269" s="218"/>
      <c r="P269" s="180"/>
      <c r="Q269" s="188"/>
      <c r="R269" s="180"/>
      <c r="S269" s="180"/>
      <c r="T269" s="180"/>
      <c r="U269" s="180"/>
      <c r="V269" s="180"/>
      <c r="W269" s="180"/>
      <c r="X269" s="201"/>
      <c r="AJ269" s="149" t="str">
        <f>IF('Cable Info'!L129="","",CONCATENATE('Cable Info'!L129," - ",'Cable Info'!M129))</f>
        <v/>
      </c>
      <c r="AM269" s="149" t="str">
        <f t="shared" si="36"/>
        <v/>
      </c>
      <c r="AO269" s="149" t="str">
        <f>IF('Cable Info'!N129="","",CONCATENATE('Cable Info'!N129," - ",'Cable Info'!O129))</f>
        <v/>
      </c>
      <c r="AR269" s="149" t="str">
        <f t="shared" si="37"/>
        <v/>
      </c>
      <c r="AT269" s="149" t="str">
        <f>IF('Cable Info'!P129="","",CONCATENATE('Cable Info'!P129," - ",'Cable Info'!Q129))</f>
        <v/>
      </c>
      <c r="AW269" s="149" t="str">
        <f t="shared" si="38"/>
        <v/>
      </c>
      <c r="AY269" s="149" t="str">
        <f>IF('Cable Info'!R129="","",CONCATENATE('Cable Info'!R129," - ",'Cable Info'!S129))</f>
        <v/>
      </c>
      <c r="BB269" s="149" t="str">
        <f t="shared" si="39"/>
        <v/>
      </c>
      <c r="BD269" s="149" t="str">
        <f>IF('Cable Info'!T129="","",CONCATENATE('Cable Info'!T129," - ",'Cable Info'!U129))</f>
        <v/>
      </c>
      <c r="BG269" s="149" t="str">
        <f t="shared" si="40"/>
        <v/>
      </c>
      <c r="BI269" s="149" t="str">
        <f>IF('Cable Info'!V129="","",CONCATENATE('Cable Info'!V129," - ",'Cable Info'!W129))</f>
        <v/>
      </c>
      <c r="BL269" s="149" t="str">
        <f t="shared" si="41"/>
        <v/>
      </c>
    </row>
    <row r="270" spans="1:64" x14ac:dyDescent="0.2">
      <c r="A270" s="180"/>
      <c r="B270" s="180"/>
      <c r="C270" s="180"/>
      <c r="D270" s="180"/>
      <c r="E270" s="180"/>
      <c r="F270" s="187"/>
      <c r="G270" s="180"/>
      <c r="H270" s="180"/>
      <c r="I270" s="180"/>
      <c r="J270" s="187"/>
      <c r="K270" s="180"/>
      <c r="L270" s="180"/>
      <c r="M270" s="180"/>
      <c r="N270" s="180"/>
      <c r="O270" s="218"/>
      <c r="P270" s="180"/>
      <c r="Q270" s="188"/>
      <c r="R270" s="180"/>
      <c r="S270" s="180"/>
      <c r="T270" s="180"/>
      <c r="U270" s="180"/>
      <c r="V270" s="180"/>
      <c r="W270" s="180"/>
      <c r="X270" s="201"/>
      <c r="AJ270" s="149" t="str">
        <f>IF('Cable Info'!L130="","",CONCATENATE('Cable Info'!L130," - ",'Cable Info'!M130))</f>
        <v/>
      </c>
      <c r="AM270" s="149" t="str">
        <f t="shared" si="36"/>
        <v/>
      </c>
      <c r="AO270" s="149" t="str">
        <f>IF('Cable Info'!N130="","",CONCATENATE('Cable Info'!N130," - ",'Cable Info'!O130))</f>
        <v/>
      </c>
      <c r="AR270" s="149" t="str">
        <f t="shared" si="37"/>
        <v/>
      </c>
      <c r="AT270" s="149" t="str">
        <f>IF('Cable Info'!P130="","",CONCATENATE('Cable Info'!P130," - ",'Cable Info'!Q130))</f>
        <v/>
      </c>
      <c r="AW270" s="149" t="str">
        <f t="shared" si="38"/>
        <v/>
      </c>
      <c r="AY270" s="149" t="str">
        <f>IF('Cable Info'!R130="","",CONCATENATE('Cable Info'!R130," - ",'Cable Info'!S130))</f>
        <v/>
      </c>
      <c r="BB270" s="149" t="str">
        <f t="shared" si="39"/>
        <v/>
      </c>
      <c r="BD270" s="149" t="str">
        <f>IF('Cable Info'!T130="","",CONCATENATE('Cable Info'!T130," - ",'Cable Info'!U130))</f>
        <v/>
      </c>
      <c r="BG270" s="149" t="str">
        <f t="shared" si="40"/>
        <v/>
      </c>
      <c r="BI270" s="149" t="str">
        <f>IF('Cable Info'!V130="","",CONCATENATE('Cable Info'!V130," - ",'Cable Info'!W130))</f>
        <v/>
      </c>
      <c r="BL270" s="149" t="str">
        <f t="shared" si="41"/>
        <v/>
      </c>
    </row>
    <row r="271" spans="1:64" x14ac:dyDescent="0.2">
      <c r="A271" s="180"/>
      <c r="B271" s="180"/>
      <c r="C271" s="180"/>
      <c r="D271" s="180"/>
      <c r="E271" s="180"/>
      <c r="F271" s="187"/>
      <c r="G271" s="180"/>
      <c r="H271" s="180"/>
      <c r="I271" s="180"/>
      <c r="J271" s="187"/>
      <c r="K271" s="180"/>
      <c r="L271" s="180"/>
      <c r="M271" s="180"/>
      <c r="N271" s="180"/>
      <c r="O271" s="218"/>
      <c r="P271" s="180"/>
      <c r="Q271" s="188"/>
      <c r="R271" s="180"/>
      <c r="S271" s="180"/>
      <c r="T271" s="180"/>
      <c r="U271" s="180"/>
      <c r="V271" s="180"/>
      <c r="W271" s="180"/>
      <c r="X271" s="201"/>
      <c r="AJ271" s="149" t="str">
        <f>IF('Cable Info'!L131="","",CONCATENATE('Cable Info'!L131," - ",'Cable Info'!M131))</f>
        <v/>
      </c>
      <c r="AM271" s="149" t="str">
        <f t="shared" ref="AM271:AM334" si="48">IF(AK271="",AJ271,CONCATENATE(AJ271,"  &lt;=&gt; ",AK271," ",AL271))</f>
        <v/>
      </c>
      <c r="AO271" s="149" t="str">
        <f>IF('Cable Info'!N131="","",CONCATENATE('Cable Info'!N131," - ",'Cable Info'!O131))</f>
        <v/>
      </c>
      <c r="AR271" s="149" t="str">
        <f t="shared" ref="AR271:AR334" si="49">IF(AP271="",AO271,CONCATENATE(AO271,"  &lt;=&gt; ",AP271," ",AQ271))</f>
        <v/>
      </c>
      <c r="AT271" s="149" t="str">
        <f>IF('Cable Info'!P131="","",CONCATENATE('Cable Info'!P131," - ",'Cable Info'!Q131))</f>
        <v/>
      </c>
      <c r="AW271" s="149" t="str">
        <f t="shared" ref="AW271:AW334" si="50">IF(AU271="",AT271,CONCATENATE(AT271,"  &lt;=&gt; ",AU271," ",AV271))</f>
        <v/>
      </c>
      <c r="AY271" s="149" t="str">
        <f>IF('Cable Info'!R131="","",CONCATENATE('Cable Info'!R131," - ",'Cable Info'!S131))</f>
        <v/>
      </c>
      <c r="BB271" s="149" t="str">
        <f t="shared" ref="BB271:BB334" si="51">IF(AZ271="",AY271,CONCATENATE(AY271,"  &lt;=&gt; ",AZ271," ",BA271))</f>
        <v/>
      </c>
      <c r="BD271" s="149" t="str">
        <f>IF('Cable Info'!T131="","",CONCATENATE('Cable Info'!T131," - ",'Cable Info'!U131))</f>
        <v/>
      </c>
      <c r="BG271" s="149" t="str">
        <f t="shared" ref="BG271:BG334" si="52">IF(BE271="",BD271,CONCATENATE(BD271,"  &lt;=&gt; ",BE271," ",BF271))</f>
        <v/>
      </c>
      <c r="BI271" s="149" t="str">
        <f>IF('Cable Info'!V131="","",CONCATENATE('Cable Info'!V131," - ",'Cable Info'!W131))</f>
        <v/>
      </c>
      <c r="BL271" s="149" t="str">
        <f t="shared" ref="BL271:BL334" si="53">IF(BJ271="",BI271,CONCATENATE(BI271,"  &lt;=&gt; ",BJ271," ",BK271))</f>
        <v/>
      </c>
    </row>
    <row r="272" spans="1:64" x14ac:dyDescent="0.2">
      <c r="A272" s="180"/>
      <c r="B272" s="180"/>
      <c r="C272" s="180"/>
      <c r="D272" s="180"/>
      <c r="E272" s="180"/>
      <c r="F272" s="187"/>
      <c r="G272" s="180"/>
      <c r="H272" s="180"/>
      <c r="I272" s="180"/>
      <c r="J272" s="187"/>
      <c r="K272" s="180"/>
      <c r="L272" s="180"/>
      <c r="M272" s="180"/>
      <c r="N272" s="180"/>
      <c r="O272" s="218"/>
      <c r="P272" s="180"/>
      <c r="Q272" s="188"/>
      <c r="R272" s="180"/>
      <c r="S272" s="180"/>
      <c r="T272" s="180"/>
      <c r="U272" s="180"/>
      <c r="V272" s="180"/>
      <c r="W272" s="180"/>
      <c r="X272" s="201"/>
      <c r="AJ272" s="149" t="str">
        <f>IF('Cable Info'!L132="","",CONCATENATE('Cable Info'!L132," - ",'Cable Info'!M132))</f>
        <v/>
      </c>
      <c r="AM272" s="149" t="str">
        <f t="shared" si="48"/>
        <v/>
      </c>
      <c r="AO272" s="149" t="str">
        <f>IF('Cable Info'!N132="","",CONCATENATE('Cable Info'!N132," - ",'Cable Info'!O132))</f>
        <v/>
      </c>
      <c r="AR272" s="149" t="str">
        <f t="shared" si="49"/>
        <v/>
      </c>
      <c r="AT272" s="149" t="str">
        <f>IF('Cable Info'!P132="","",CONCATENATE('Cable Info'!P132," - ",'Cable Info'!Q132))</f>
        <v/>
      </c>
      <c r="AW272" s="149" t="str">
        <f t="shared" si="50"/>
        <v/>
      </c>
      <c r="AY272" s="149" t="str">
        <f>IF('Cable Info'!R132="","",CONCATENATE('Cable Info'!R132," - ",'Cable Info'!S132))</f>
        <v/>
      </c>
      <c r="BB272" s="149" t="str">
        <f t="shared" si="51"/>
        <v/>
      </c>
      <c r="BD272" s="149" t="str">
        <f>IF('Cable Info'!T132="","",CONCATENATE('Cable Info'!T132," - ",'Cable Info'!U132))</f>
        <v/>
      </c>
      <c r="BG272" s="149" t="str">
        <f t="shared" si="52"/>
        <v/>
      </c>
      <c r="BI272" s="149" t="str">
        <f>IF('Cable Info'!V132="","",CONCATENATE('Cable Info'!V132," - ",'Cable Info'!W132))</f>
        <v/>
      </c>
      <c r="BL272" s="149" t="str">
        <f t="shared" si="53"/>
        <v/>
      </c>
    </row>
    <row r="273" spans="1:64" x14ac:dyDescent="0.2">
      <c r="A273" s="180"/>
      <c r="B273" s="180"/>
      <c r="C273" s="180"/>
      <c r="D273" s="180"/>
      <c r="E273" s="180"/>
      <c r="F273" s="187"/>
      <c r="G273" s="180"/>
      <c r="H273" s="180"/>
      <c r="I273" s="180"/>
      <c r="J273" s="187"/>
      <c r="K273" s="180"/>
      <c r="L273" s="180"/>
      <c r="M273" s="180"/>
      <c r="N273" s="180"/>
      <c r="O273" s="218"/>
      <c r="P273" s="180"/>
      <c r="Q273" s="188"/>
      <c r="R273" s="180"/>
      <c r="S273" s="180"/>
      <c r="T273" s="180"/>
      <c r="U273" s="180"/>
      <c r="V273" s="180"/>
      <c r="W273" s="180"/>
      <c r="X273" s="201"/>
      <c r="AJ273" s="149" t="str">
        <f>IF('Cable Info'!L133="","",CONCATENATE('Cable Info'!L133," - ",'Cable Info'!M133))</f>
        <v/>
      </c>
      <c r="AM273" s="149" t="str">
        <f t="shared" si="48"/>
        <v/>
      </c>
      <c r="AO273" s="149" t="str">
        <f>IF('Cable Info'!N133="","",CONCATENATE('Cable Info'!N133," - ",'Cable Info'!O133))</f>
        <v/>
      </c>
      <c r="AR273" s="149" t="str">
        <f t="shared" si="49"/>
        <v/>
      </c>
      <c r="AT273" s="149" t="str">
        <f>IF('Cable Info'!P133="","",CONCATENATE('Cable Info'!P133," - ",'Cable Info'!Q133))</f>
        <v/>
      </c>
      <c r="AW273" s="149" t="str">
        <f t="shared" si="50"/>
        <v/>
      </c>
      <c r="AY273" s="149" t="str">
        <f>IF('Cable Info'!R133="","",CONCATENATE('Cable Info'!R133," - ",'Cable Info'!S133))</f>
        <v/>
      </c>
      <c r="BB273" s="149" t="str">
        <f t="shared" si="51"/>
        <v/>
      </c>
      <c r="BD273" s="149" t="str">
        <f>IF('Cable Info'!T133="","",CONCATENATE('Cable Info'!T133," - ",'Cable Info'!U133))</f>
        <v/>
      </c>
      <c r="BG273" s="149" t="str">
        <f t="shared" si="52"/>
        <v/>
      </c>
      <c r="BI273" s="149" t="str">
        <f>IF('Cable Info'!V133="","",CONCATENATE('Cable Info'!V133," - ",'Cable Info'!W133))</f>
        <v/>
      </c>
      <c r="BL273" s="149" t="str">
        <f t="shared" si="53"/>
        <v/>
      </c>
    </row>
    <row r="274" spans="1:64" x14ac:dyDescent="0.2">
      <c r="A274" s="180"/>
      <c r="B274" s="180"/>
      <c r="C274" s="180"/>
      <c r="D274" s="180"/>
      <c r="E274" s="180"/>
      <c r="F274" s="187"/>
      <c r="G274" s="180"/>
      <c r="H274" s="180"/>
      <c r="I274" s="180"/>
      <c r="J274" s="187"/>
      <c r="K274" s="180"/>
      <c r="L274" s="180"/>
      <c r="M274" s="180"/>
      <c r="N274" s="180"/>
      <c r="O274" s="218"/>
      <c r="P274" s="180"/>
      <c r="Q274" s="188"/>
      <c r="R274" s="180"/>
      <c r="S274" s="180"/>
      <c r="T274" s="180"/>
      <c r="U274" s="180"/>
      <c r="V274" s="180"/>
      <c r="W274" s="180"/>
      <c r="X274" s="201"/>
      <c r="AJ274" s="149" t="str">
        <f>IF('Cable Info'!L134="","",CONCATENATE('Cable Info'!L134," - ",'Cable Info'!M134))</f>
        <v/>
      </c>
      <c r="AM274" s="149" t="str">
        <f t="shared" si="48"/>
        <v/>
      </c>
      <c r="AO274" s="149" t="str">
        <f>IF('Cable Info'!N134="","",CONCATENATE('Cable Info'!N134," - ",'Cable Info'!O134))</f>
        <v/>
      </c>
      <c r="AR274" s="149" t="str">
        <f t="shared" si="49"/>
        <v/>
      </c>
      <c r="AT274" s="149" t="str">
        <f>IF('Cable Info'!P134="","",CONCATENATE('Cable Info'!P134," - ",'Cable Info'!Q134))</f>
        <v/>
      </c>
      <c r="AW274" s="149" t="str">
        <f t="shared" si="50"/>
        <v/>
      </c>
      <c r="AY274" s="149" t="str">
        <f>IF('Cable Info'!R134="","",CONCATENATE('Cable Info'!R134," - ",'Cable Info'!S134))</f>
        <v/>
      </c>
      <c r="BB274" s="149" t="str">
        <f t="shared" si="51"/>
        <v/>
      </c>
      <c r="BD274" s="149" t="str">
        <f>IF('Cable Info'!T134="","",CONCATENATE('Cable Info'!T134," - ",'Cable Info'!U134))</f>
        <v/>
      </c>
      <c r="BG274" s="149" t="str">
        <f t="shared" si="52"/>
        <v/>
      </c>
      <c r="BI274" s="149" t="str">
        <f>IF('Cable Info'!V134="","",CONCATENATE('Cable Info'!V134," - ",'Cable Info'!W134))</f>
        <v/>
      </c>
      <c r="BL274" s="149" t="str">
        <f t="shared" si="53"/>
        <v/>
      </c>
    </row>
    <row r="275" spans="1:64" x14ac:dyDescent="0.2">
      <c r="A275" s="180"/>
      <c r="B275" s="180"/>
      <c r="C275" s="180"/>
      <c r="D275" s="180"/>
      <c r="E275" s="180"/>
      <c r="F275" s="187"/>
      <c r="G275" s="180"/>
      <c r="H275" s="180"/>
      <c r="I275" s="180"/>
      <c r="J275" s="187"/>
      <c r="K275" s="180"/>
      <c r="L275" s="180"/>
      <c r="M275" s="180"/>
      <c r="N275" s="180"/>
      <c r="O275" s="218"/>
      <c r="P275" s="180"/>
      <c r="Q275" s="188"/>
      <c r="R275" s="180"/>
      <c r="S275" s="180"/>
      <c r="T275" s="180"/>
      <c r="U275" s="180"/>
      <c r="V275" s="180"/>
      <c r="W275" s="180"/>
      <c r="X275" s="201"/>
      <c r="AJ275" s="149" t="str">
        <f>IF('Cable Info'!L135="","",CONCATENATE('Cable Info'!L135," - ",'Cable Info'!M135))</f>
        <v/>
      </c>
      <c r="AM275" s="149" t="str">
        <f t="shared" si="48"/>
        <v/>
      </c>
      <c r="AO275" s="149" t="str">
        <f>IF('Cable Info'!N135="","",CONCATENATE('Cable Info'!N135," - ",'Cable Info'!O135))</f>
        <v/>
      </c>
      <c r="AR275" s="149" t="str">
        <f t="shared" si="49"/>
        <v/>
      </c>
      <c r="AT275" s="149" t="str">
        <f>IF('Cable Info'!P135="","",CONCATENATE('Cable Info'!P135," - ",'Cable Info'!Q135))</f>
        <v/>
      </c>
      <c r="AW275" s="149" t="str">
        <f t="shared" si="50"/>
        <v/>
      </c>
      <c r="AY275" s="149" t="str">
        <f>IF('Cable Info'!R135="","",CONCATENATE('Cable Info'!R135," - ",'Cable Info'!S135))</f>
        <v/>
      </c>
      <c r="BB275" s="149" t="str">
        <f t="shared" si="51"/>
        <v/>
      </c>
      <c r="BD275" s="149" t="str">
        <f>IF('Cable Info'!T135="","",CONCATENATE('Cable Info'!T135," - ",'Cable Info'!U135))</f>
        <v/>
      </c>
      <c r="BG275" s="149" t="str">
        <f t="shared" si="52"/>
        <v/>
      </c>
      <c r="BI275" s="149" t="str">
        <f>IF('Cable Info'!V135="","",CONCATENATE('Cable Info'!V135," - ",'Cable Info'!W135))</f>
        <v/>
      </c>
      <c r="BL275" s="149" t="str">
        <f t="shared" si="53"/>
        <v/>
      </c>
    </row>
    <row r="276" spans="1:64" x14ac:dyDescent="0.2">
      <c r="A276" s="180"/>
      <c r="B276" s="180"/>
      <c r="C276" s="180"/>
      <c r="D276" s="180"/>
      <c r="E276" s="180"/>
      <c r="F276" s="187"/>
      <c r="G276" s="180"/>
      <c r="H276" s="180"/>
      <c r="I276" s="180"/>
      <c r="J276" s="187"/>
      <c r="K276" s="180"/>
      <c r="L276" s="180"/>
      <c r="M276" s="180"/>
      <c r="N276" s="180"/>
      <c r="O276" s="218"/>
      <c r="P276" s="180"/>
      <c r="Q276" s="188"/>
      <c r="R276" s="180"/>
      <c r="S276" s="180"/>
      <c r="T276" s="180"/>
      <c r="U276" s="180"/>
      <c r="V276" s="180"/>
      <c r="W276" s="180"/>
      <c r="X276" s="201"/>
      <c r="AJ276" s="149" t="str">
        <f>IF('Cable Info'!L136="","",CONCATENATE('Cable Info'!L136," - ",'Cable Info'!M136))</f>
        <v/>
      </c>
      <c r="AM276" s="149" t="str">
        <f t="shared" si="48"/>
        <v/>
      </c>
      <c r="AO276" s="149" t="str">
        <f>IF('Cable Info'!N136="","",CONCATENATE('Cable Info'!N136," - ",'Cable Info'!O136))</f>
        <v/>
      </c>
      <c r="AR276" s="149" t="str">
        <f t="shared" si="49"/>
        <v/>
      </c>
      <c r="AT276" s="149" t="str">
        <f>IF('Cable Info'!P136="","",CONCATENATE('Cable Info'!P136," - ",'Cable Info'!Q136))</f>
        <v/>
      </c>
      <c r="AW276" s="149" t="str">
        <f t="shared" si="50"/>
        <v/>
      </c>
      <c r="AY276" s="149" t="str">
        <f>IF('Cable Info'!R136="","",CONCATENATE('Cable Info'!R136," - ",'Cable Info'!S136))</f>
        <v/>
      </c>
      <c r="BB276" s="149" t="str">
        <f t="shared" si="51"/>
        <v/>
      </c>
      <c r="BD276" s="149" t="str">
        <f>IF('Cable Info'!T136="","",CONCATENATE('Cable Info'!T136," - ",'Cable Info'!U136))</f>
        <v/>
      </c>
      <c r="BG276" s="149" t="str">
        <f t="shared" si="52"/>
        <v/>
      </c>
      <c r="BI276" s="149" t="str">
        <f>IF('Cable Info'!V136="","",CONCATENATE('Cable Info'!V136," - ",'Cable Info'!W136))</f>
        <v/>
      </c>
      <c r="BL276" s="149" t="str">
        <f t="shared" si="53"/>
        <v/>
      </c>
    </row>
    <row r="277" spans="1:64" x14ac:dyDescent="0.2">
      <c r="A277" s="180"/>
      <c r="B277" s="180"/>
      <c r="C277" s="180"/>
      <c r="D277" s="180"/>
      <c r="E277" s="180"/>
      <c r="F277" s="187"/>
      <c r="G277" s="180"/>
      <c r="H277" s="180"/>
      <c r="I277" s="180"/>
      <c r="J277" s="187"/>
      <c r="K277" s="180"/>
      <c r="L277" s="180"/>
      <c r="M277" s="180"/>
      <c r="N277" s="180"/>
      <c r="O277" s="218"/>
      <c r="P277" s="180"/>
      <c r="Q277" s="188"/>
      <c r="R277" s="180"/>
      <c r="S277" s="180"/>
      <c r="T277" s="180"/>
      <c r="U277" s="180"/>
      <c r="V277" s="180"/>
      <c r="W277" s="180"/>
      <c r="X277" s="201"/>
      <c r="AJ277" s="149" t="str">
        <f>IF('Cable Info'!L137="","",CONCATENATE('Cable Info'!L137," - ",'Cable Info'!M137))</f>
        <v/>
      </c>
      <c r="AM277" s="149" t="str">
        <f t="shared" si="48"/>
        <v/>
      </c>
      <c r="AO277" s="149" t="str">
        <f>IF('Cable Info'!N137="","",CONCATENATE('Cable Info'!N137," - ",'Cable Info'!O137))</f>
        <v/>
      </c>
      <c r="AR277" s="149" t="str">
        <f t="shared" si="49"/>
        <v/>
      </c>
      <c r="AT277" s="149" t="str">
        <f>IF('Cable Info'!P137="","",CONCATENATE('Cable Info'!P137," - ",'Cable Info'!Q137))</f>
        <v/>
      </c>
      <c r="AW277" s="149" t="str">
        <f t="shared" si="50"/>
        <v/>
      </c>
      <c r="AY277" s="149" t="str">
        <f>IF('Cable Info'!R137="","",CONCATENATE('Cable Info'!R137," - ",'Cable Info'!S137))</f>
        <v/>
      </c>
      <c r="BB277" s="149" t="str">
        <f t="shared" si="51"/>
        <v/>
      </c>
      <c r="BD277" s="149" t="str">
        <f>IF('Cable Info'!T137="","",CONCATENATE('Cable Info'!T137," - ",'Cable Info'!U137))</f>
        <v/>
      </c>
      <c r="BG277" s="149" t="str">
        <f t="shared" si="52"/>
        <v/>
      </c>
      <c r="BI277" s="149" t="str">
        <f>IF('Cable Info'!V137="","",CONCATENATE('Cable Info'!V137," - ",'Cable Info'!W137))</f>
        <v/>
      </c>
      <c r="BL277" s="149" t="str">
        <f t="shared" si="53"/>
        <v/>
      </c>
    </row>
    <row r="278" spans="1:64" x14ac:dyDescent="0.2">
      <c r="A278" s="180"/>
      <c r="B278" s="180"/>
      <c r="C278" s="180"/>
      <c r="D278" s="180"/>
      <c r="E278" s="180"/>
      <c r="F278" s="187"/>
      <c r="G278" s="180"/>
      <c r="H278" s="180"/>
      <c r="I278" s="180"/>
      <c r="J278" s="187"/>
      <c r="K278" s="180"/>
      <c r="L278" s="180"/>
      <c r="M278" s="180"/>
      <c r="N278" s="180"/>
      <c r="O278" s="218"/>
      <c r="P278" s="180"/>
      <c r="Q278" s="188"/>
      <c r="R278" s="180"/>
      <c r="S278" s="180"/>
      <c r="T278" s="180"/>
      <c r="U278" s="180"/>
      <c r="V278" s="180"/>
      <c r="W278" s="180"/>
      <c r="X278" s="201"/>
      <c r="AJ278" s="149" t="str">
        <f>IF('Cable Info'!L138="","",CONCATENATE('Cable Info'!L138," - ",'Cable Info'!M138))</f>
        <v/>
      </c>
      <c r="AM278" s="149" t="str">
        <f t="shared" si="48"/>
        <v/>
      </c>
      <c r="AO278" s="149" t="str">
        <f>IF('Cable Info'!N138="","",CONCATENATE('Cable Info'!N138," - ",'Cable Info'!O138))</f>
        <v/>
      </c>
      <c r="AR278" s="149" t="str">
        <f t="shared" si="49"/>
        <v/>
      </c>
      <c r="AT278" s="149" t="str">
        <f>IF('Cable Info'!P138="","",CONCATENATE('Cable Info'!P138," - ",'Cable Info'!Q138))</f>
        <v/>
      </c>
      <c r="AW278" s="149" t="str">
        <f t="shared" si="50"/>
        <v/>
      </c>
      <c r="AY278" s="149" t="str">
        <f>IF('Cable Info'!R138="","",CONCATENATE('Cable Info'!R138," - ",'Cable Info'!S138))</f>
        <v/>
      </c>
      <c r="BB278" s="149" t="str">
        <f t="shared" si="51"/>
        <v/>
      </c>
      <c r="BD278" s="149" t="str">
        <f>IF('Cable Info'!T138="","",CONCATENATE('Cable Info'!T138," - ",'Cable Info'!U138))</f>
        <v/>
      </c>
      <c r="BG278" s="149" t="str">
        <f t="shared" si="52"/>
        <v/>
      </c>
      <c r="BI278" s="149" t="str">
        <f>IF('Cable Info'!V138="","",CONCATENATE('Cable Info'!V138," - ",'Cable Info'!W138))</f>
        <v/>
      </c>
      <c r="BL278" s="149" t="str">
        <f t="shared" si="53"/>
        <v/>
      </c>
    </row>
    <row r="279" spans="1:64" x14ac:dyDescent="0.2">
      <c r="A279" s="180"/>
      <c r="B279" s="180"/>
      <c r="C279" s="180"/>
      <c r="D279" s="180"/>
      <c r="E279" s="180"/>
      <c r="F279" s="187"/>
      <c r="G279" s="180"/>
      <c r="H279" s="180"/>
      <c r="I279" s="180"/>
      <c r="J279" s="187"/>
      <c r="K279" s="180"/>
      <c r="L279" s="180"/>
      <c r="M279" s="180"/>
      <c r="N279" s="180"/>
      <c r="O279" s="218"/>
      <c r="P279" s="180"/>
      <c r="Q279" s="188"/>
      <c r="R279" s="180"/>
      <c r="S279" s="180"/>
      <c r="T279" s="180"/>
      <c r="U279" s="180"/>
      <c r="V279" s="180"/>
      <c r="W279" s="180"/>
      <c r="X279" s="201"/>
      <c r="AJ279" s="149" t="str">
        <f>IF('Cable Info'!L139="","",CONCATENATE('Cable Info'!L139," - ",'Cable Info'!M139))</f>
        <v/>
      </c>
      <c r="AM279" s="149" t="str">
        <f t="shared" si="48"/>
        <v/>
      </c>
      <c r="AO279" s="149" t="str">
        <f>IF('Cable Info'!N139="","",CONCATENATE('Cable Info'!N139," - ",'Cable Info'!O139))</f>
        <v/>
      </c>
      <c r="AR279" s="149" t="str">
        <f t="shared" si="49"/>
        <v/>
      </c>
      <c r="AT279" s="149" t="str">
        <f>IF('Cable Info'!P139="","",CONCATENATE('Cable Info'!P139," - ",'Cable Info'!Q139))</f>
        <v/>
      </c>
      <c r="AW279" s="149" t="str">
        <f t="shared" si="50"/>
        <v/>
      </c>
      <c r="AY279" s="149" t="str">
        <f>IF('Cable Info'!R139="","",CONCATENATE('Cable Info'!R139," - ",'Cable Info'!S139))</f>
        <v/>
      </c>
      <c r="BB279" s="149" t="str">
        <f t="shared" si="51"/>
        <v/>
      </c>
      <c r="BD279" s="149" t="str">
        <f>IF('Cable Info'!T139="","",CONCATENATE('Cable Info'!T139," - ",'Cable Info'!U139))</f>
        <v/>
      </c>
      <c r="BG279" s="149" t="str">
        <f t="shared" si="52"/>
        <v/>
      </c>
      <c r="BI279" s="149" t="str">
        <f>IF('Cable Info'!V139="","",CONCATENATE('Cable Info'!V139," - ",'Cable Info'!W139))</f>
        <v/>
      </c>
      <c r="BL279" s="149" t="str">
        <f t="shared" si="53"/>
        <v/>
      </c>
    </row>
    <row r="280" spans="1:64" x14ac:dyDescent="0.2">
      <c r="A280" s="180"/>
      <c r="B280" s="180"/>
      <c r="C280" s="180"/>
      <c r="D280" s="180"/>
      <c r="E280" s="180"/>
      <c r="F280" s="187"/>
      <c r="G280" s="180"/>
      <c r="H280" s="180"/>
      <c r="I280" s="180"/>
      <c r="J280" s="187"/>
      <c r="K280" s="180"/>
      <c r="L280" s="180"/>
      <c r="M280" s="180"/>
      <c r="N280" s="180"/>
      <c r="O280" s="218"/>
      <c r="P280" s="180"/>
      <c r="Q280" s="188"/>
      <c r="R280" s="180"/>
      <c r="S280" s="180"/>
      <c r="T280" s="180"/>
      <c r="U280" s="180"/>
      <c r="V280" s="180"/>
      <c r="W280" s="180"/>
      <c r="X280" s="201"/>
      <c r="AJ280" s="149" t="str">
        <f>IF('Cable Info'!L140="","",CONCATENATE('Cable Info'!L140," - ",'Cable Info'!M140))</f>
        <v/>
      </c>
      <c r="AM280" s="149" t="str">
        <f t="shared" si="48"/>
        <v/>
      </c>
      <c r="AO280" s="149" t="str">
        <f>IF('Cable Info'!N140="","",CONCATENATE('Cable Info'!N140," - ",'Cable Info'!O140))</f>
        <v/>
      </c>
      <c r="AR280" s="149" t="str">
        <f t="shared" si="49"/>
        <v/>
      </c>
      <c r="AT280" s="149" t="str">
        <f>IF('Cable Info'!P140="","",CONCATENATE('Cable Info'!P140," - ",'Cable Info'!Q140))</f>
        <v/>
      </c>
      <c r="AW280" s="149" t="str">
        <f t="shared" si="50"/>
        <v/>
      </c>
      <c r="AY280" s="149" t="str">
        <f>IF('Cable Info'!R140="","",CONCATENATE('Cable Info'!R140," - ",'Cable Info'!S140))</f>
        <v/>
      </c>
      <c r="BB280" s="149" t="str">
        <f t="shared" si="51"/>
        <v/>
      </c>
      <c r="BD280" s="149" t="str">
        <f>IF('Cable Info'!T140="","",CONCATENATE('Cable Info'!T140," - ",'Cable Info'!U140))</f>
        <v/>
      </c>
      <c r="BG280" s="149" t="str">
        <f t="shared" si="52"/>
        <v/>
      </c>
      <c r="BI280" s="149" t="str">
        <f>IF('Cable Info'!V140="","",CONCATENATE('Cable Info'!V140," - ",'Cable Info'!W140))</f>
        <v/>
      </c>
      <c r="BL280" s="149" t="str">
        <f t="shared" si="53"/>
        <v/>
      </c>
    </row>
    <row r="281" spans="1:64" x14ac:dyDescent="0.2">
      <c r="A281" s="180"/>
      <c r="B281" s="180"/>
      <c r="C281" s="180"/>
      <c r="D281" s="180"/>
      <c r="E281" s="180"/>
      <c r="F281" s="187"/>
      <c r="G281" s="180"/>
      <c r="H281" s="180"/>
      <c r="I281" s="180"/>
      <c r="J281" s="187"/>
      <c r="K281" s="180"/>
      <c r="L281" s="180"/>
      <c r="M281" s="180"/>
      <c r="N281" s="180"/>
      <c r="O281" s="218"/>
      <c r="P281" s="180"/>
      <c r="Q281" s="188"/>
      <c r="R281" s="180"/>
      <c r="S281" s="180"/>
      <c r="T281" s="180"/>
      <c r="U281" s="180"/>
      <c r="V281" s="180"/>
      <c r="W281" s="180"/>
      <c r="X281" s="201"/>
      <c r="AJ281" s="149" t="str">
        <f>IF('Cable Info'!L141="","",CONCATENATE('Cable Info'!L141," - ",'Cable Info'!M141))</f>
        <v/>
      </c>
      <c r="AM281" s="149" t="str">
        <f t="shared" si="48"/>
        <v/>
      </c>
      <c r="AO281" s="149" t="str">
        <f>IF('Cable Info'!N141="","",CONCATENATE('Cable Info'!N141," - ",'Cable Info'!O141))</f>
        <v/>
      </c>
      <c r="AR281" s="149" t="str">
        <f t="shared" si="49"/>
        <v/>
      </c>
      <c r="AT281" s="149" t="str">
        <f>IF('Cable Info'!P141="","",CONCATENATE('Cable Info'!P141," - ",'Cable Info'!Q141))</f>
        <v/>
      </c>
      <c r="AW281" s="149" t="str">
        <f t="shared" si="50"/>
        <v/>
      </c>
      <c r="AY281" s="149" t="str">
        <f>IF('Cable Info'!R141="","",CONCATENATE('Cable Info'!R141," - ",'Cable Info'!S141))</f>
        <v/>
      </c>
      <c r="BB281" s="149" t="str">
        <f t="shared" si="51"/>
        <v/>
      </c>
      <c r="BD281" s="149" t="str">
        <f>IF('Cable Info'!T141="","",CONCATENATE('Cable Info'!T141," - ",'Cable Info'!U141))</f>
        <v/>
      </c>
      <c r="BG281" s="149" t="str">
        <f t="shared" si="52"/>
        <v/>
      </c>
      <c r="BI281" s="149" t="str">
        <f>IF('Cable Info'!V141="","",CONCATENATE('Cable Info'!V141," - ",'Cable Info'!W141))</f>
        <v/>
      </c>
      <c r="BL281" s="149" t="str">
        <f t="shared" si="53"/>
        <v/>
      </c>
    </row>
    <row r="282" spans="1:64" x14ac:dyDescent="0.2">
      <c r="A282" s="180"/>
      <c r="B282" s="180"/>
      <c r="C282" s="180"/>
      <c r="D282" s="180"/>
      <c r="E282" s="180"/>
      <c r="F282" s="187"/>
      <c r="G282" s="180"/>
      <c r="H282" s="180"/>
      <c r="I282" s="180"/>
      <c r="J282" s="187"/>
      <c r="K282" s="180"/>
      <c r="L282" s="180"/>
      <c r="M282" s="180"/>
      <c r="N282" s="180"/>
      <c r="O282" s="218"/>
      <c r="P282" s="180"/>
      <c r="Q282" s="188"/>
      <c r="R282" s="180"/>
      <c r="S282" s="180"/>
      <c r="T282" s="180"/>
      <c r="U282" s="180"/>
      <c r="V282" s="180"/>
      <c r="W282" s="180"/>
      <c r="X282" s="201"/>
      <c r="AJ282" s="149" t="str">
        <f>IF('Cable Info'!L142="","",CONCATENATE('Cable Info'!L142," - ",'Cable Info'!M142))</f>
        <v/>
      </c>
      <c r="AM282" s="149" t="str">
        <f t="shared" si="48"/>
        <v/>
      </c>
      <c r="AO282" s="149" t="str">
        <f>IF('Cable Info'!N142="","",CONCATENATE('Cable Info'!N142," - ",'Cable Info'!O142))</f>
        <v/>
      </c>
      <c r="AR282" s="149" t="str">
        <f t="shared" si="49"/>
        <v/>
      </c>
      <c r="AT282" s="149" t="str">
        <f>IF('Cable Info'!P142="","",CONCATENATE('Cable Info'!P142," - ",'Cable Info'!Q142))</f>
        <v/>
      </c>
      <c r="AW282" s="149" t="str">
        <f t="shared" si="50"/>
        <v/>
      </c>
      <c r="AY282" s="149" t="str">
        <f>IF('Cable Info'!R142="","",CONCATENATE('Cable Info'!R142," - ",'Cable Info'!S142))</f>
        <v/>
      </c>
      <c r="BB282" s="149" t="str">
        <f t="shared" si="51"/>
        <v/>
      </c>
      <c r="BD282" s="149" t="str">
        <f>IF('Cable Info'!T142="","",CONCATENATE('Cable Info'!T142," - ",'Cable Info'!U142))</f>
        <v/>
      </c>
      <c r="BG282" s="149" t="str">
        <f t="shared" si="52"/>
        <v/>
      </c>
      <c r="BI282" s="149" t="str">
        <f>IF('Cable Info'!V142="","",CONCATENATE('Cable Info'!V142," - ",'Cable Info'!W142))</f>
        <v/>
      </c>
      <c r="BL282" s="149" t="str">
        <f t="shared" si="53"/>
        <v/>
      </c>
    </row>
    <row r="283" spans="1:64" x14ac:dyDescent="0.2">
      <c r="A283" s="180"/>
      <c r="B283" s="180"/>
      <c r="C283" s="180"/>
      <c r="D283" s="180"/>
      <c r="E283" s="180"/>
      <c r="F283" s="187"/>
      <c r="G283" s="180"/>
      <c r="H283" s="180"/>
      <c r="I283" s="180"/>
      <c r="J283" s="187"/>
      <c r="K283" s="180"/>
      <c r="L283" s="180"/>
      <c r="M283" s="180"/>
      <c r="N283" s="180"/>
      <c r="O283" s="218"/>
      <c r="P283" s="180"/>
      <c r="Q283" s="188"/>
      <c r="R283" s="180"/>
      <c r="S283" s="180"/>
      <c r="T283" s="180"/>
      <c r="U283" s="180"/>
      <c r="V283" s="180"/>
      <c r="W283" s="180"/>
      <c r="X283" s="201"/>
      <c r="AJ283" s="149" t="str">
        <f>IF('Cable Info'!L143="","",CONCATENATE('Cable Info'!L143," - ",'Cable Info'!M143))</f>
        <v/>
      </c>
      <c r="AM283" s="149" t="str">
        <f t="shared" si="48"/>
        <v/>
      </c>
      <c r="AO283" s="149" t="str">
        <f>IF('Cable Info'!N143="","",CONCATENATE('Cable Info'!N143," - ",'Cable Info'!O143))</f>
        <v/>
      </c>
      <c r="AR283" s="149" t="str">
        <f t="shared" si="49"/>
        <v/>
      </c>
      <c r="AT283" s="149" t="str">
        <f>IF('Cable Info'!P143="","",CONCATENATE('Cable Info'!P143," - ",'Cable Info'!Q143))</f>
        <v/>
      </c>
      <c r="AW283" s="149" t="str">
        <f t="shared" si="50"/>
        <v/>
      </c>
      <c r="AY283" s="149" t="str">
        <f>IF('Cable Info'!R143="","",CONCATENATE('Cable Info'!R143," - ",'Cable Info'!S143))</f>
        <v/>
      </c>
      <c r="BB283" s="149" t="str">
        <f t="shared" si="51"/>
        <v/>
      </c>
      <c r="BD283" s="149" t="str">
        <f>IF('Cable Info'!T143="","",CONCATENATE('Cable Info'!T143," - ",'Cable Info'!U143))</f>
        <v/>
      </c>
      <c r="BG283" s="149" t="str">
        <f t="shared" si="52"/>
        <v/>
      </c>
      <c r="BI283" s="149" t="str">
        <f>IF('Cable Info'!V143="","",CONCATENATE('Cable Info'!V143," - ",'Cable Info'!W143))</f>
        <v/>
      </c>
      <c r="BL283" s="149" t="str">
        <f t="shared" si="53"/>
        <v/>
      </c>
    </row>
    <row r="284" spans="1:64" x14ac:dyDescent="0.2">
      <c r="A284" s="180"/>
      <c r="B284" s="180"/>
      <c r="C284" s="180"/>
      <c r="D284" s="180"/>
      <c r="E284" s="180"/>
      <c r="F284" s="187"/>
      <c r="G284" s="180"/>
      <c r="H284" s="180"/>
      <c r="I284" s="180"/>
      <c r="J284" s="187"/>
      <c r="K284" s="180"/>
      <c r="L284" s="180"/>
      <c r="M284" s="180"/>
      <c r="N284" s="180"/>
      <c r="O284" s="218"/>
      <c r="P284" s="180"/>
      <c r="Q284" s="188"/>
      <c r="R284" s="180"/>
      <c r="S284" s="180"/>
      <c r="T284" s="180"/>
      <c r="U284" s="180"/>
      <c r="V284" s="180"/>
      <c r="W284" s="180"/>
      <c r="X284" s="201"/>
      <c r="AJ284" s="149" t="str">
        <f>IF('Cable Info'!L144="","",CONCATENATE('Cable Info'!L144," - ",'Cable Info'!M144))</f>
        <v/>
      </c>
      <c r="AM284" s="149" t="str">
        <f t="shared" si="48"/>
        <v/>
      </c>
      <c r="AO284" s="149" t="str">
        <f>IF('Cable Info'!N144="","",CONCATENATE('Cable Info'!N144," - ",'Cable Info'!O144))</f>
        <v/>
      </c>
      <c r="AR284" s="149" t="str">
        <f t="shared" si="49"/>
        <v/>
      </c>
      <c r="AT284" s="149" t="str">
        <f>IF('Cable Info'!P144="","",CONCATENATE('Cable Info'!P144," - ",'Cable Info'!Q144))</f>
        <v/>
      </c>
      <c r="AW284" s="149" t="str">
        <f t="shared" si="50"/>
        <v/>
      </c>
      <c r="AY284" s="149" t="str">
        <f>IF('Cable Info'!R144="","",CONCATENATE('Cable Info'!R144," - ",'Cable Info'!S144))</f>
        <v/>
      </c>
      <c r="BB284" s="149" t="str">
        <f t="shared" si="51"/>
        <v/>
      </c>
      <c r="BD284" s="149" t="str">
        <f>IF('Cable Info'!T144="","",CONCATENATE('Cable Info'!T144," - ",'Cable Info'!U144))</f>
        <v/>
      </c>
      <c r="BG284" s="149" t="str">
        <f t="shared" si="52"/>
        <v/>
      </c>
      <c r="BI284" s="149" t="str">
        <f>IF('Cable Info'!V144="","",CONCATENATE('Cable Info'!V144," - ",'Cable Info'!W144))</f>
        <v/>
      </c>
      <c r="BL284" s="149" t="str">
        <f t="shared" si="53"/>
        <v/>
      </c>
    </row>
    <row r="285" spans="1:64" x14ac:dyDescent="0.2">
      <c r="A285" s="180"/>
      <c r="B285" s="180"/>
      <c r="C285" s="180"/>
      <c r="D285" s="180"/>
      <c r="E285" s="180"/>
      <c r="F285" s="187"/>
      <c r="G285" s="180"/>
      <c r="H285" s="180"/>
      <c r="I285" s="180"/>
      <c r="J285" s="187"/>
      <c r="K285" s="180"/>
      <c r="L285" s="180"/>
      <c r="M285" s="180"/>
      <c r="N285" s="180"/>
      <c r="O285" s="218"/>
      <c r="P285" s="180"/>
      <c r="Q285" s="188"/>
      <c r="R285" s="180"/>
      <c r="S285" s="180"/>
      <c r="T285" s="180"/>
      <c r="U285" s="180"/>
      <c r="V285" s="180"/>
      <c r="W285" s="180"/>
      <c r="X285" s="201"/>
      <c r="AJ285" s="149" t="str">
        <f>IF('Cable Info'!L145="","",CONCATENATE('Cable Info'!L145," - ",'Cable Info'!M145))</f>
        <v/>
      </c>
      <c r="AM285" s="149" t="str">
        <f t="shared" si="48"/>
        <v/>
      </c>
      <c r="AO285" s="149" t="str">
        <f>IF('Cable Info'!N145="","",CONCATENATE('Cable Info'!N145," - ",'Cable Info'!O145))</f>
        <v/>
      </c>
      <c r="AR285" s="149" t="str">
        <f t="shared" si="49"/>
        <v/>
      </c>
      <c r="AT285" s="149" t="str">
        <f>IF('Cable Info'!P145="","",CONCATENATE('Cable Info'!P145," - ",'Cable Info'!Q145))</f>
        <v/>
      </c>
      <c r="AW285" s="149" t="str">
        <f t="shared" si="50"/>
        <v/>
      </c>
      <c r="AY285" s="149" t="str">
        <f>IF('Cable Info'!R145="","",CONCATENATE('Cable Info'!R145," - ",'Cable Info'!S145))</f>
        <v/>
      </c>
      <c r="BB285" s="149" t="str">
        <f t="shared" si="51"/>
        <v/>
      </c>
      <c r="BD285" s="149" t="str">
        <f>IF('Cable Info'!T145="","",CONCATENATE('Cable Info'!T145," - ",'Cable Info'!U145))</f>
        <v/>
      </c>
      <c r="BG285" s="149" t="str">
        <f t="shared" si="52"/>
        <v/>
      </c>
      <c r="BI285" s="149" t="str">
        <f>IF('Cable Info'!V145="","",CONCATENATE('Cable Info'!V145," - ",'Cable Info'!W145))</f>
        <v/>
      </c>
      <c r="BL285" s="149" t="str">
        <f t="shared" si="53"/>
        <v/>
      </c>
    </row>
    <row r="286" spans="1:64" x14ac:dyDescent="0.2">
      <c r="A286" s="180"/>
      <c r="B286" s="180"/>
      <c r="C286" s="180"/>
      <c r="D286" s="180"/>
      <c r="E286" s="180"/>
      <c r="F286" s="187"/>
      <c r="G286" s="180"/>
      <c r="H286" s="180"/>
      <c r="I286" s="180"/>
      <c r="J286" s="187"/>
      <c r="K286" s="180"/>
      <c r="L286" s="180"/>
      <c r="M286" s="180"/>
      <c r="N286" s="180"/>
      <c r="O286" s="218"/>
      <c r="P286" s="180"/>
      <c r="Q286" s="188"/>
      <c r="R286" s="180"/>
      <c r="S286" s="180"/>
      <c r="T286" s="180"/>
      <c r="U286" s="180"/>
      <c r="V286" s="180"/>
      <c r="W286" s="180"/>
      <c r="X286" s="201"/>
      <c r="AJ286" s="149" t="str">
        <f>IF('Cable Info'!L146="","",CONCATENATE('Cable Info'!L146," - ",'Cable Info'!M146))</f>
        <v/>
      </c>
      <c r="AM286" s="149" t="str">
        <f t="shared" si="48"/>
        <v/>
      </c>
      <c r="AO286" s="149" t="str">
        <f>IF('Cable Info'!N146="","",CONCATENATE('Cable Info'!N146," - ",'Cable Info'!O146))</f>
        <v/>
      </c>
      <c r="AR286" s="149" t="str">
        <f t="shared" si="49"/>
        <v/>
      </c>
      <c r="AT286" s="149" t="str">
        <f>IF('Cable Info'!P146="","",CONCATENATE('Cable Info'!P146," - ",'Cable Info'!Q146))</f>
        <v/>
      </c>
      <c r="AW286" s="149" t="str">
        <f t="shared" si="50"/>
        <v/>
      </c>
      <c r="AY286" s="149" t="str">
        <f>IF('Cable Info'!R146="","",CONCATENATE('Cable Info'!R146," - ",'Cable Info'!S146))</f>
        <v/>
      </c>
      <c r="BB286" s="149" t="str">
        <f t="shared" si="51"/>
        <v/>
      </c>
      <c r="BD286" s="149" t="str">
        <f>IF('Cable Info'!T146="","",CONCATENATE('Cable Info'!T146," - ",'Cable Info'!U146))</f>
        <v/>
      </c>
      <c r="BG286" s="149" t="str">
        <f t="shared" si="52"/>
        <v/>
      </c>
      <c r="BI286" s="149" t="str">
        <f>IF('Cable Info'!V146="","",CONCATENATE('Cable Info'!V146," - ",'Cable Info'!W146))</f>
        <v/>
      </c>
      <c r="BL286" s="149" t="str">
        <f t="shared" si="53"/>
        <v/>
      </c>
    </row>
    <row r="287" spans="1:64" x14ac:dyDescent="0.2">
      <c r="A287" s="180"/>
      <c r="B287" s="180"/>
      <c r="C287" s="180"/>
      <c r="D287" s="180"/>
      <c r="E287" s="180"/>
      <c r="F287" s="187"/>
      <c r="G287" s="180"/>
      <c r="H287" s="180"/>
      <c r="I287" s="180"/>
      <c r="J287" s="187"/>
      <c r="K287" s="180"/>
      <c r="L287" s="180"/>
      <c r="M287" s="180"/>
      <c r="N287" s="180"/>
      <c r="O287" s="218"/>
      <c r="P287" s="180"/>
      <c r="Q287" s="188"/>
      <c r="R287" s="180"/>
      <c r="S287" s="180"/>
      <c r="T287" s="180"/>
      <c r="U287" s="180"/>
      <c r="V287" s="180"/>
      <c r="W287" s="180"/>
      <c r="X287" s="201"/>
      <c r="AJ287" s="149" t="str">
        <f>IF('Cable Info'!L147="","",CONCATENATE('Cable Info'!L147," - ",'Cable Info'!M147))</f>
        <v/>
      </c>
      <c r="AM287" s="149" t="str">
        <f t="shared" si="48"/>
        <v/>
      </c>
      <c r="AO287" s="149" t="str">
        <f>IF('Cable Info'!N147="","",CONCATENATE('Cable Info'!N147," - ",'Cable Info'!O147))</f>
        <v/>
      </c>
      <c r="AR287" s="149" t="str">
        <f t="shared" si="49"/>
        <v/>
      </c>
      <c r="AT287" s="149" t="str">
        <f>IF('Cable Info'!P147="","",CONCATENATE('Cable Info'!P147," - ",'Cable Info'!Q147))</f>
        <v/>
      </c>
      <c r="AW287" s="149" t="str">
        <f t="shared" si="50"/>
        <v/>
      </c>
      <c r="AY287" s="149" t="str">
        <f>IF('Cable Info'!R147="","",CONCATENATE('Cable Info'!R147," - ",'Cable Info'!S147))</f>
        <v/>
      </c>
      <c r="BB287" s="149" t="str">
        <f t="shared" si="51"/>
        <v/>
      </c>
      <c r="BD287" s="149" t="str">
        <f>IF('Cable Info'!T147="","",CONCATENATE('Cable Info'!T147," - ",'Cable Info'!U147))</f>
        <v/>
      </c>
      <c r="BG287" s="149" t="str">
        <f t="shared" si="52"/>
        <v/>
      </c>
      <c r="BI287" s="149" t="str">
        <f>IF('Cable Info'!V147="","",CONCATENATE('Cable Info'!V147," - ",'Cable Info'!W147))</f>
        <v/>
      </c>
      <c r="BL287" s="149" t="str">
        <f t="shared" si="53"/>
        <v/>
      </c>
    </row>
    <row r="288" spans="1:64" x14ac:dyDescent="0.2">
      <c r="A288" s="180"/>
      <c r="B288" s="180"/>
      <c r="C288" s="180"/>
      <c r="D288" s="180"/>
      <c r="E288" s="180"/>
      <c r="F288" s="187"/>
      <c r="G288" s="180"/>
      <c r="H288" s="180"/>
      <c r="I288" s="180"/>
      <c r="J288" s="187"/>
      <c r="K288" s="180"/>
      <c r="L288" s="180"/>
      <c r="M288" s="180"/>
      <c r="N288" s="180"/>
      <c r="O288" s="218"/>
      <c r="P288" s="180"/>
      <c r="Q288" s="188"/>
      <c r="R288" s="180"/>
      <c r="S288" s="180"/>
      <c r="T288" s="180"/>
      <c r="U288" s="180"/>
      <c r="V288" s="180"/>
      <c r="W288" s="180"/>
      <c r="X288" s="201"/>
      <c r="AJ288" s="149" t="str">
        <f>IF('Cable Info'!L148="","",CONCATENATE('Cable Info'!L148," - ",'Cable Info'!M148))</f>
        <v/>
      </c>
      <c r="AM288" s="149" t="str">
        <f t="shared" si="48"/>
        <v/>
      </c>
      <c r="AO288" s="149" t="str">
        <f>IF('Cable Info'!N148="","",CONCATENATE('Cable Info'!N148," - ",'Cable Info'!O148))</f>
        <v/>
      </c>
      <c r="AR288" s="149" t="str">
        <f t="shared" si="49"/>
        <v/>
      </c>
      <c r="AT288" s="149" t="str">
        <f>IF('Cable Info'!P148="","",CONCATENATE('Cable Info'!P148," - ",'Cable Info'!Q148))</f>
        <v/>
      </c>
      <c r="AW288" s="149" t="str">
        <f t="shared" si="50"/>
        <v/>
      </c>
      <c r="AY288" s="149" t="str">
        <f>IF('Cable Info'!R148="","",CONCATENATE('Cable Info'!R148," - ",'Cable Info'!S148))</f>
        <v/>
      </c>
      <c r="BB288" s="149" t="str">
        <f t="shared" si="51"/>
        <v/>
      </c>
      <c r="BD288" s="149" t="str">
        <f>IF('Cable Info'!T148="","",CONCATENATE('Cable Info'!T148," - ",'Cable Info'!U148))</f>
        <v/>
      </c>
      <c r="BG288" s="149" t="str">
        <f t="shared" si="52"/>
        <v/>
      </c>
      <c r="BI288" s="149" t="str">
        <f>IF('Cable Info'!V148="","",CONCATENATE('Cable Info'!V148," - ",'Cable Info'!W148))</f>
        <v/>
      </c>
      <c r="BL288" s="149" t="str">
        <f t="shared" si="53"/>
        <v/>
      </c>
    </row>
    <row r="289" spans="1:64" x14ac:dyDescent="0.2">
      <c r="A289" s="180"/>
      <c r="B289" s="180"/>
      <c r="C289" s="180"/>
      <c r="D289" s="180"/>
      <c r="E289" s="180"/>
      <c r="F289" s="187"/>
      <c r="G289" s="180"/>
      <c r="H289" s="180"/>
      <c r="I289" s="180"/>
      <c r="J289" s="187"/>
      <c r="K289" s="180"/>
      <c r="L289" s="180"/>
      <c r="M289" s="180"/>
      <c r="N289" s="180"/>
      <c r="O289" s="218"/>
      <c r="P289" s="180"/>
      <c r="Q289" s="188"/>
      <c r="R289" s="180"/>
      <c r="S289" s="180"/>
      <c r="T289" s="180"/>
      <c r="U289" s="180"/>
      <c r="V289" s="180"/>
      <c r="W289" s="180"/>
      <c r="X289" s="201"/>
      <c r="AJ289" s="149" t="str">
        <f>IF('Cable Info'!L149="","",CONCATENATE('Cable Info'!L149," - ",'Cable Info'!M149))</f>
        <v/>
      </c>
      <c r="AM289" s="149" t="str">
        <f t="shared" si="48"/>
        <v/>
      </c>
      <c r="AO289" s="149" t="str">
        <f>IF('Cable Info'!N149="","",CONCATENATE('Cable Info'!N149," - ",'Cable Info'!O149))</f>
        <v/>
      </c>
      <c r="AR289" s="149" t="str">
        <f t="shared" si="49"/>
        <v/>
      </c>
      <c r="AT289" s="149" t="str">
        <f>IF('Cable Info'!P149="","",CONCATENATE('Cable Info'!P149," - ",'Cable Info'!Q149))</f>
        <v/>
      </c>
      <c r="AW289" s="149" t="str">
        <f t="shared" si="50"/>
        <v/>
      </c>
      <c r="AY289" s="149" t="str">
        <f>IF('Cable Info'!R149="","",CONCATENATE('Cable Info'!R149," - ",'Cable Info'!S149))</f>
        <v/>
      </c>
      <c r="BB289" s="149" t="str">
        <f t="shared" si="51"/>
        <v/>
      </c>
      <c r="BD289" s="149" t="str">
        <f>IF('Cable Info'!T149="","",CONCATENATE('Cable Info'!T149," - ",'Cable Info'!U149))</f>
        <v/>
      </c>
      <c r="BG289" s="149" t="str">
        <f t="shared" si="52"/>
        <v/>
      </c>
      <c r="BI289" s="149" t="str">
        <f>IF('Cable Info'!V149="","",CONCATENATE('Cable Info'!V149," - ",'Cable Info'!W149))</f>
        <v/>
      </c>
      <c r="BL289" s="149" t="str">
        <f t="shared" si="53"/>
        <v/>
      </c>
    </row>
    <row r="290" spans="1:64" x14ac:dyDescent="0.2">
      <c r="A290" s="180"/>
      <c r="B290" s="180"/>
      <c r="C290" s="180"/>
      <c r="D290" s="180"/>
      <c r="E290" s="180"/>
      <c r="F290" s="187"/>
      <c r="G290" s="180"/>
      <c r="H290" s="180"/>
      <c r="I290" s="180"/>
      <c r="J290" s="187"/>
      <c r="K290" s="180"/>
      <c r="L290" s="180"/>
      <c r="M290" s="180"/>
      <c r="N290" s="180"/>
      <c r="O290" s="218"/>
      <c r="P290" s="180"/>
      <c r="Q290" s="188"/>
      <c r="R290" s="180"/>
      <c r="S290" s="180"/>
      <c r="T290" s="180"/>
      <c r="U290" s="180"/>
      <c r="V290" s="180"/>
      <c r="W290" s="180"/>
      <c r="X290" s="201"/>
      <c r="AJ290" s="149" t="str">
        <f>IF('Cable Info'!L150="","",CONCATENATE('Cable Info'!L150," - ",'Cable Info'!M150))</f>
        <v/>
      </c>
      <c r="AM290" s="149" t="str">
        <f t="shared" si="48"/>
        <v/>
      </c>
      <c r="AO290" s="149" t="str">
        <f>IF('Cable Info'!N150="","",CONCATENATE('Cable Info'!N150," - ",'Cable Info'!O150))</f>
        <v/>
      </c>
      <c r="AR290" s="149" t="str">
        <f t="shared" si="49"/>
        <v/>
      </c>
      <c r="AT290" s="149" t="str">
        <f>IF('Cable Info'!P150="","",CONCATENATE('Cable Info'!P150," - ",'Cable Info'!Q150))</f>
        <v/>
      </c>
      <c r="AW290" s="149" t="str">
        <f t="shared" si="50"/>
        <v/>
      </c>
      <c r="AY290" s="149" t="str">
        <f>IF('Cable Info'!R150="","",CONCATENATE('Cable Info'!R150," - ",'Cable Info'!S150))</f>
        <v/>
      </c>
      <c r="BB290" s="149" t="str">
        <f t="shared" si="51"/>
        <v/>
      </c>
      <c r="BD290" s="149" t="str">
        <f>IF('Cable Info'!T150="","",CONCATENATE('Cable Info'!T150," - ",'Cable Info'!U150))</f>
        <v/>
      </c>
      <c r="BG290" s="149" t="str">
        <f t="shared" si="52"/>
        <v/>
      </c>
      <c r="BI290" s="149" t="str">
        <f>IF('Cable Info'!V150="","",CONCATENATE('Cable Info'!V150," - ",'Cable Info'!W150))</f>
        <v/>
      </c>
      <c r="BL290" s="149" t="str">
        <f t="shared" si="53"/>
        <v/>
      </c>
    </row>
    <row r="291" spans="1:64" x14ac:dyDescent="0.2">
      <c r="A291" s="180"/>
      <c r="B291" s="180"/>
      <c r="C291" s="180"/>
      <c r="D291" s="180"/>
      <c r="E291" s="180"/>
      <c r="F291" s="187"/>
      <c r="G291" s="180"/>
      <c r="H291" s="180"/>
      <c r="I291" s="180"/>
      <c r="J291" s="187"/>
      <c r="K291" s="180"/>
      <c r="L291" s="180"/>
      <c r="M291" s="180"/>
      <c r="N291" s="180"/>
      <c r="O291" s="218"/>
      <c r="P291" s="180"/>
      <c r="Q291" s="188"/>
      <c r="R291" s="180"/>
      <c r="S291" s="180"/>
      <c r="T291" s="180"/>
      <c r="U291" s="180"/>
      <c r="V291" s="180"/>
      <c r="W291" s="180"/>
      <c r="X291" s="201"/>
      <c r="AJ291" s="149" t="str">
        <f>IF('Cable Info'!L151="","",CONCATENATE('Cable Info'!L151," - ",'Cable Info'!M151))</f>
        <v/>
      </c>
      <c r="AM291" s="149" t="str">
        <f t="shared" si="48"/>
        <v/>
      </c>
      <c r="AO291" s="149" t="str">
        <f>IF('Cable Info'!N151="","",CONCATENATE('Cable Info'!N151," - ",'Cable Info'!O151))</f>
        <v/>
      </c>
      <c r="AR291" s="149" t="str">
        <f t="shared" si="49"/>
        <v/>
      </c>
      <c r="AT291" s="149" t="str">
        <f>IF('Cable Info'!P151="","",CONCATENATE('Cable Info'!P151," - ",'Cable Info'!Q151))</f>
        <v/>
      </c>
      <c r="AW291" s="149" t="str">
        <f t="shared" si="50"/>
        <v/>
      </c>
      <c r="AY291" s="149" t="str">
        <f>IF('Cable Info'!R151="","",CONCATENATE('Cable Info'!R151," - ",'Cable Info'!S151))</f>
        <v/>
      </c>
      <c r="BB291" s="149" t="str">
        <f t="shared" si="51"/>
        <v/>
      </c>
      <c r="BD291" s="149" t="str">
        <f>IF('Cable Info'!T151="","",CONCATENATE('Cable Info'!T151," - ",'Cable Info'!U151))</f>
        <v/>
      </c>
      <c r="BG291" s="149" t="str">
        <f t="shared" si="52"/>
        <v/>
      </c>
      <c r="BI291" s="149" t="str">
        <f>IF('Cable Info'!V151="","",CONCATENATE('Cable Info'!V151," - ",'Cable Info'!W151))</f>
        <v/>
      </c>
      <c r="BL291" s="149" t="str">
        <f t="shared" si="53"/>
        <v/>
      </c>
    </row>
    <row r="292" spans="1:64" x14ac:dyDescent="0.2">
      <c r="A292" s="180"/>
      <c r="B292" s="180"/>
      <c r="C292" s="180"/>
      <c r="D292" s="180"/>
      <c r="E292" s="180"/>
      <c r="F292" s="187"/>
      <c r="G292" s="180"/>
      <c r="H292" s="180"/>
      <c r="I292" s="180"/>
      <c r="J292" s="187"/>
      <c r="K292" s="180"/>
      <c r="L292" s="180"/>
      <c r="M292" s="180"/>
      <c r="N292" s="180"/>
      <c r="O292" s="218"/>
      <c r="P292" s="180"/>
      <c r="Q292" s="188"/>
      <c r="R292" s="180"/>
      <c r="S292" s="180"/>
      <c r="T292" s="180"/>
      <c r="U292" s="180"/>
      <c r="V292" s="180"/>
      <c r="W292" s="180"/>
      <c r="X292" s="201"/>
      <c r="AJ292" s="149" t="str">
        <f>IF('Cable Info'!L152="","",CONCATENATE('Cable Info'!L152," - ",'Cable Info'!M152))</f>
        <v/>
      </c>
      <c r="AM292" s="149" t="str">
        <f t="shared" si="48"/>
        <v/>
      </c>
      <c r="AO292" s="149" t="str">
        <f>IF('Cable Info'!N152="","",CONCATENATE('Cable Info'!N152," - ",'Cable Info'!O152))</f>
        <v/>
      </c>
      <c r="AR292" s="149" t="str">
        <f t="shared" si="49"/>
        <v/>
      </c>
      <c r="AT292" s="149" t="str">
        <f>IF('Cable Info'!P152="","",CONCATENATE('Cable Info'!P152," - ",'Cable Info'!Q152))</f>
        <v/>
      </c>
      <c r="AW292" s="149" t="str">
        <f t="shared" si="50"/>
        <v/>
      </c>
      <c r="AY292" s="149" t="str">
        <f>IF('Cable Info'!R152="","",CONCATENATE('Cable Info'!R152," - ",'Cable Info'!S152))</f>
        <v/>
      </c>
      <c r="BB292" s="149" t="str">
        <f t="shared" si="51"/>
        <v/>
      </c>
      <c r="BD292" s="149" t="str">
        <f>IF('Cable Info'!T152="","",CONCATENATE('Cable Info'!T152," - ",'Cable Info'!U152))</f>
        <v/>
      </c>
      <c r="BG292" s="149" t="str">
        <f t="shared" si="52"/>
        <v/>
      </c>
      <c r="BI292" s="149" t="str">
        <f>IF('Cable Info'!V152="","",CONCATENATE('Cable Info'!V152," - ",'Cable Info'!W152))</f>
        <v/>
      </c>
      <c r="BL292" s="149" t="str">
        <f t="shared" si="53"/>
        <v/>
      </c>
    </row>
    <row r="293" spans="1:64" x14ac:dyDescent="0.2">
      <c r="A293" s="180"/>
      <c r="B293" s="180"/>
      <c r="C293" s="180"/>
      <c r="D293" s="180"/>
      <c r="E293" s="180"/>
      <c r="F293" s="187"/>
      <c r="G293" s="180"/>
      <c r="H293" s="180"/>
      <c r="I293" s="180"/>
      <c r="J293" s="187"/>
      <c r="K293" s="180"/>
      <c r="L293" s="180"/>
      <c r="M293" s="180"/>
      <c r="N293" s="180"/>
      <c r="O293" s="218"/>
      <c r="P293" s="180"/>
      <c r="Q293" s="188"/>
      <c r="R293" s="180"/>
      <c r="S293" s="180"/>
      <c r="T293" s="180"/>
      <c r="U293" s="180"/>
      <c r="V293" s="180"/>
      <c r="W293" s="180"/>
      <c r="X293" s="201"/>
      <c r="AJ293" s="149" t="str">
        <f>IF('Cable Info'!L153="","",CONCATENATE('Cable Info'!L153," - ",'Cable Info'!M153))</f>
        <v/>
      </c>
      <c r="AM293" s="149" t="str">
        <f t="shared" si="48"/>
        <v/>
      </c>
      <c r="AO293" s="149" t="str">
        <f>IF('Cable Info'!N153="","",CONCATENATE('Cable Info'!N153," - ",'Cable Info'!O153))</f>
        <v/>
      </c>
      <c r="AR293" s="149" t="str">
        <f t="shared" si="49"/>
        <v/>
      </c>
      <c r="AT293" s="149" t="str">
        <f>IF('Cable Info'!P153="","",CONCATENATE('Cable Info'!P153," - ",'Cable Info'!Q153))</f>
        <v/>
      </c>
      <c r="AW293" s="149" t="str">
        <f t="shared" si="50"/>
        <v/>
      </c>
      <c r="AY293" s="149" t="str">
        <f>IF('Cable Info'!R153="","",CONCATENATE('Cable Info'!R153," - ",'Cable Info'!S153))</f>
        <v/>
      </c>
      <c r="BB293" s="149" t="str">
        <f t="shared" si="51"/>
        <v/>
      </c>
      <c r="BD293" s="149" t="str">
        <f>IF('Cable Info'!T153="","",CONCATENATE('Cable Info'!T153," - ",'Cable Info'!U153))</f>
        <v/>
      </c>
      <c r="BG293" s="149" t="str">
        <f t="shared" si="52"/>
        <v/>
      </c>
      <c r="BI293" s="149" t="str">
        <f>IF('Cable Info'!V153="","",CONCATENATE('Cable Info'!V153," - ",'Cable Info'!W153))</f>
        <v/>
      </c>
      <c r="BL293" s="149" t="str">
        <f t="shared" si="53"/>
        <v/>
      </c>
    </row>
    <row r="294" spans="1:64" x14ac:dyDescent="0.2">
      <c r="A294" s="180"/>
      <c r="B294" s="180"/>
      <c r="C294" s="180"/>
      <c r="D294" s="180"/>
      <c r="E294" s="180"/>
      <c r="F294" s="187"/>
      <c r="G294" s="180"/>
      <c r="H294" s="180"/>
      <c r="I294" s="180"/>
      <c r="J294" s="187"/>
      <c r="K294" s="180"/>
      <c r="L294" s="180"/>
      <c r="M294" s="180"/>
      <c r="N294" s="180"/>
      <c r="O294" s="218"/>
      <c r="P294" s="180"/>
      <c r="Q294" s="188"/>
      <c r="R294" s="180"/>
      <c r="S294" s="180"/>
      <c r="T294" s="180"/>
      <c r="U294" s="180"/>
      <c r="V294" s="180"/>
      <c r="W294" s="180"/>
      <c r="X294" s="201"/>
      <c r="AJ294" s="149" t="str">
        <f>IF('Cable Info'!L154="","",CONCATENATE('Cable Info'!L154," - ",'Cable Info'!M154))</f>
        <v/>
      </c>
      <c r="AM294" s="149" t="str">
        <f t="shared" si="48"/>
        <v/>
      </c>
      <c r="AO294" s="149" t="str">
        <f>IF('Cable Info'!N154="","",CONCATENATE('Cable Info'!N154," - ",'Cable Info'!O154))</f>
        <v/>
      </c>
      <c r="AR294" s="149" t="str">
        <f t="shared" si="49"/>
        <v/>
      </c>
      <c r="AT294" s="149" t="str">
        <f>IF('Cable Info'!P154="","",CONCATENATE('Cable Info'!P154," - ",'Cable Info'!Q154))</f>
        <v/>
      </c>
      <c r="AW294" s="149" t="str">
        <f t="shared" si="50"/>
        <v/>
      </c>
      <c r="AY294" s="149" t="str">
        <f>IF('Cable Info'!R154="","",CONCATENATE('Cable Info'!R154," - ",'Cable Info'!S154))</f>
        <v/>
      </c>
      <c r="BB294" s="149" t="str">
        <f t="shared" si="51"/>
        <v/>
      </c>
      <c r="BD294" s="149" t="str">
        <f>IF('Cable Info'!T154="","",CONCATENATE('Cable Info'!T154," - ",'Cable Info'!U154))</f>
        <v/>
      </c>
      <c r="BG294" s="149" t="str">
        <f t="shared" si="52"/>
        <v/>
      </c>
      <c r="BI294" s="149" t="str">
        <f>IF('Cable Info'!V154="","",CONCATENATE('Cable Info'!V154," - ",'Cable Info'!W154))</f>
        <v/>
      </c>
      <c r="BL294" s="149" t="str">
        <f t="shared" si="53"/>
        <v/>
      </c>
    </row>
    <row r="295" spans="1:64" x14ac:dyDescent="0.2">
      <c r="A295" s="180"/>
      <c r="B295" s="180"/>
      <c r="C295" s="180"/>
      <c r="D295" s="180"/>
      <c r="E295" s="180"/>
      <c r="F295" s="187"/>
      <c r="G295" s="180"/>
      <c r="H295" s="180"/>
      <c r="I295" s="180"/>
      <c r="J295" s="187"/>
      <c r="K295" s="180"/>
      <c r="L295" s="180"/>
      <c r="M295" s="180"/>
      <c r="N295" s="180"/>
      <c r="O295" s="218"/>
      <c r="P295" s="180"/>
      <c r="Q295" s="188"/>
      <c r="R295" s="180"/>
      <c r="S295" s="180"/>
      <c r="T295" s="180"/>
      <c r="U295" s="180"/>
      <c r="V295" s="180"/>
      <c r="W295" s="180"/>
      <c r="X295" s="201"/>
      <c r="AJ295" s="149" t="str">
        <f>IF('Cable Info'!L155="","",CONCATENATE('Cable Info'!L155," - ",'Cable Info'!M155))</f>
        <v/>
      </c>
      <c r="AM295" s="149" t="str">
        <f t="shared" si="48"/>
        <v/>
      </c>
      <c r="AO295" s="149" t="str">
        <f>IF('Cable Info'!N155="","",CONCATENATE('Cable Info'!N155," - ",'Cable Info'!O155))</f>
        <v/>
      </c>
      <c r="AR295" s="149" t="str">
        <f t="shared" si="49"/>
        <v/>
      </c>
      <c r="AT295" s="149" t="str">
        <f>IF('Cable Info'!P155="","",CONCATENATE('Cable Info'!P155," - ",'Cable Info'!Q155))</f>
        <v/>
      </c>
      <c r="AW295" s="149" t="str">
        <f t="shared" si="50"/>
        <v/>
      </c>
      <c r="AY295" s="149" t="str">
        <f>IF('Cable Info'!R155="","",CONCATENATE('Cable Info'!R155," - ",'Cable Info'!S155))</f>
        <v/>
      </c>
      <c r="BB295" s="149" t="str">
        <f t="shared" si="51"/>
        <v/>
      </c>
      <c r="BD295" s="149" t="str">
        <f>IF('Cable Info'!T155="","",CONCATENATE('Cable Info'!T155," - ",'Cable Info'!U155))</f>
        <v/>
      </c>
      <c r="BG295" s="149" t="str">
        <f t="shared" si="52"/>
        <v/>
      </c>
      <c r="BI295" s="149" t="str">
        <f>IF('Cable Info'!V155="","",CONCATENATE('Cable Info'!V155," - ",'Cable Info'!W155))</f>
        <v/>
      </c>
      <c r="BL295" s="149" t="str">
        <f t="shared" si="53"/>
        <v/>
      </c>
    </row>
    <row r="296" spans="1:64" x14ac:dyDescent="0.2">
      <c r="A296" s="180"/>
      <c r="B296" s="180"/>
      <c r="C296" s="180"/>
      <c r="D296" s="180"/>
      <c r="E296" s="180"/>
      <c r="F296" s="187"/>
      <c r="G296" s="180"/>
      <c r="H296" s="180"/>
      <c r="I296" s="180"/>
      <c r="J296" s="187"/>
      <c r="K296" s="180"/>
      <c r="L296" s="180"/>
      <c r="M296" s="180"/>
      <c r="N296" s="180"/>
      <c r="O296" s="218"/>
      <c r="P296" s="180"/>
      <c r="Q296" s="188"/>
      <c r="R296" s="180"/>
      <c r="S296" s="180"/>
      <c r="T296" s="180"/>
      <c r="U296" s="180"/>
      <c r="V296" s="180"/>
      <c r="W296" s="180"/>
      <c r="X296" s="201"/>
      <c r="AJ296" s="149" t="str">
        <f>IF('Cable Info'!L156="","",CONCATENATE('Cable Info'!L156," - ",'Cable Info'!M156))</f>
        <v/>
      </c>
      <c r="AM296" s="149" t="str">
        <f t="shared" si="48"/>
        <v/>
      </c>
      <c r="AO296" s="149" t="str">
        <f>IF('Cable Info'!N156="","",CONCATENATE('Cable Info'!N156," - ",'Cable Info'!O156))</f>
        <v/>
      </c>
      <c r="AR296" s="149" t="str">
        <f t="shared" si="49"/>
        <v/>
      </c>
      <c r="AT296" s="149" t="str">
        <f>IF('Cable Info'!P156="","",CONCATENATE('Cable Info'!P156," - ",'Cable Info'!Q156))</f>
        <v/>
      </c>
      <c r="AW296" s="149" t="str">
        <f t="shared" si="50"/>
        <v/>
      </c>
      <c r="AY296" s="149" t="str">
        <f>IF('Cable Info'!R156="","",CONCATENATE('Cable Info'!R156," - ",'Cable Info'!S156))</f>
        <v/>
      </c>
      <c r="BB296" s="149" t="str">
        <f t="shared" si="51"/>
        <v/>
      </c>
      <c r="BD296" s="149" t="str">
        <f>IF('Cable Info'!T156="","",CONCATENATE('Cable Info'!T156," - ",'Cable Info'!U156))</f>
        <v/>
      </c>
      <c r="BG296" s="149" t="str">
        <f t="shared" si="52"/>
        <v/>
      </c>
      <c r="BI296" s="149" t="str">
        <f>IF('Cable Info'!V156="","",CONCATENATE('Cable Info'!V156," - ",'Cable Info'!W156))</f>
        <v/>
      </c>
      <c r="BL296" s="149" t="str">
        <f t="shared" si="53"/>
        <v/>
      </c>
    </row>
    <row r="297" spans="1:64" x14ac:dyDescent="0.2">
      <c r="A297" s="180"/>
      <c r="B297" s="180"/>
      <c r="C297" s="180"/>
      <c r="D297" s="180"/>
      <c r="E297" s="180"/>
      <c r="F297" s="187"/>
      <c r="G297" s="180"/>
      <c r="H297" s="180"/>
      <c r="I297" s="180"/>
      <c r="J297" s="187"/>
      <c r="K297" s="180"/>
      <c r="L297" s="180"/>
      <c r="M297" s="180"/>
      <c r="N297" s="180"/>
      <c r="O297" s="218"/>
      <c r="P297" s="180"/>
      <c r="Q297" s="188"/>
      <c r="R297" s="180"/>
      <c r="S297" s="180"/>
      <c r="T297" s="180"/>
      <c r="U297" s="180"/>
      <c r="V297" s="180"/>
      <c r="W297" s="180"/>
      <c r="X297" s="201"/>
      <c r="AJ297" s="149" t="str">
        <f>IF('Cable Info'!L157="","",CONCATENATE('Cable Info'!L157," - ",'Cable Info'!M157))</f>
        <v/>
      </c>
      <c r="AM297" s="149" t="str">
        <f t="shared" si="48"/>
        <v/>
      </c>
      <c r="AO297" s="149" t="str">
        <f>IF('Cable Info'!N157="","",CONCATENATE('Cable Info'!N157," - ",'Cable Info'!O157))</f>
        <v/>
      </c>
      <c r="AR297" s="149" t="str">
        <f t="shared" si="49"/>
        <v/>
      </c>
      <c r="AT297" s="149" t="str">
        <f>IF('Cable Info'!P157="","",CONCATENATE('Cable Info'!P157," - ",'Cable Info'!Q157))</f>
        <v/>
      </c>
      <c r="AW297" s="149" t="str">
        <f t="shared" si="50"/>
        <v/>
      </c>
      <c r="AY297" s="149" t="str">
        <f>IF('Cable Info'!R157="","",CONCATENATE('Cable Info'!R157," - ",'Cable Info'!S157))</f>
        <v/>
      </c>
      <c r="BB297" s="149" t="str">
        <f t="shared" si="51"/>
        <v/>
      </c>
      <c r="BD297" s="149" t="str">
        <f>IF('Cable Info'!T157="","",CONCATENATE('Cable Info'!T157," - ",'Cable Info'!U157))</f>
        <v/>
      </c>
      <c r="BG297" s="149" t="str">
        <f t="shared" si="52"/>
        <v/>
      </c>
      <c r="BI297" s="149" t="str">
        <f>IF('Cable Info'!V157="","",CONCATENATE('Cable Info'!V157," - ",'Cable Info'!W157))</f>
        <v/>
      </c>
      <c r="BL297" s="149" t="str">
        <f t="shared" si="53"/>
        <v/>
      </c>
    </row>
    <row r="298" spans="1:64" x14ac:dyDescent="0.2">
      <c r="A298" s="180"/>
      <c r="B298" s="180"/>
      <c r="C298" s="180"/>
      <c r="D298" s="180"/>
      <c r="E298" s="180"/>
      <c r="F298" s="187"/>
      <c r="G298" s="180"/>
      <c r="H298" s="180"/>
      <c r="I298" s="180"/>
      <c r="J298" s="187"/>
      <c r="K298" s="180"/>
      <c r="L298" s="180"/>
      <c r="M298" s="180"/>
      <c r="N298" s="180"/>
      <c r="O298" s="218"/>
      <c r="P298" s="180"/>
      <c r="Q298" s="188"/>
      <c r="R298" s="180"/>
      <c r="S298" s="180"/>
      <c r="T298" s="180"/>
      <c r="U298" s="180"/>
      <c r="V298" s="180"/>
      <c r="W298" s="180"/>
      <c r="X298" s="201"/>
      <c r="AJ298" s="149" t="str">
        <f>IF('Cable Info'!L158="","",CONCATENATE('Cable Info'!L158," - ",'Cable Info'!M158))</f>
        <v/>
      </c>
      <c r="AM298" s="149" t="str">
        <f t="shared" si="48"/>
        <v/>
      </c>
      <c r="AO298" s="149" t="str">
        <f>IF('Cable Info'!N158="","",CONCATENATE('Cable Info'!N158," - ",'Cable Info'!O158))</f>
        <v/>
      </c>
      <c r="AR298" s="149" t="str">
        <f t="shared" si="49"/>
        <v/>
      </c>
      <c r="AT298" s="149" t="str">
        <f>IF('Cable Info'!P158="","",CONCATENATE('Cable Info'!P158," - ",'Cable Info'!Q158))</f>
        <v/>
      </c>
      <c r="AW298" s="149" t="str">
        <f t="shared" si="50"/>
        <v/>
      </c>
      <c r="AY298" s="149" t="str">
        <f>IF('Cable Info'!R158="","",CONCATENATE('Cable Info'!R158," - ",'Cable Info'!S158))</f>
        <v/>
      </c>
      <c r="BB298" s="149" t="str">
        <f t="shared" si="51"/>
        <v/>
      </c>
      <c r="BD298" s="149" t="str">
        <f>IF('Cable Info'!T158="","",CONCATENATE('Cable Info'!T158," - ",'Cable Info'!U158))</f>
        <v/>
      </c>
      <c r="BG298" s="149" t="str">
        <f t="shared" si="52"/>
        <v/>
      </c>
      <c r="BI298" s="149" t="str">
        <f>IF('Cable Info'!V158="","",CONCATENATE('Cable Info'!V158," - ",'Cable Info'!W158))</f>
        <v/>
      </c>
      <c r="BL298" s="149" t="str">
        <f t="shared" si="53"/>
        <v/>
      </c>
    </row>
    <row r="299" spans="1:64" x14ac:dyDescent="0.2">
      <c r="A299" s="180"/>
      <c r="B299" s="180"/>
      <c r="C299" s="180"/>
      <c r="D299" s="180"/>
      <c r="E299" s="180"/>
      <c r="F299" s="187"/>
      <c r="G299" s="180"/>
      <c r="H299" s="180"/>
      <c r="I299" s="180"/>
      <c r="J299" s="187"/>
      <c r="K299" s="180"/>
      <c r="L299" s="180"/>
      <c r="M299" s="180"/>
      <c r="N299" s="180"/>
      <c r="O299" s="218"/>
      <c r="P299" s="180"/>
      <c r="Q299" s="188"/>
      <c r="R299" s="180"/>
      <c r="S299" s="180"/>
      <c r="T299" s="180"/>
      <c r="U299" s="180"/>
      <c r="V299" s="180"/>
      <c r="W299" s="180"/>
      <c r="X299" s="201"/>
      <c r="AJ299" s="149" t="str">
        <f>IF('Cable Info'!L159="","",CONCATENATE('Cable Info'!L159," - ",'Cable Info'!M159))</f>
        <v/>
      </c>
      <c r="AM299" s="149" t="str">
        <f t="shared" si="48"/>
        <v/>
      </c>
      <c r="AO299" s="149" t="str">
        <f>IF('Cable Info'!N159="","",CONCATENATE('Cable Info'!N159," - ",'Cable Info'!O159))</f>
        <v/>
      </c>
      <c r="AR299" s="149" t="str">
        <f t="shared" si="49"/>
        <v/>
      </c>
      <c r="AT299" s="149" t="str">
        <f>IF('Cable Info'!P159="","",CONCATENATE('Cable Info'!P159," - ",'Cable Info'!Q159))</f>
        <v/>
      </c>
      <c r="AW299" s="149" t="str">
        <f t="shared" si="50"/>
        <v/>
      </c>
      <c r="AY299" s="149" t="str">
        <f>IF('Cable Info'!R159="","",CONCATENATE('Cable Info'!R159," - ",'Cable Info'!S159))</f>
        <v/>
      </c>
      <c r="BB299" s="149" t="str">
        <f t="shared" si="51"/>
        <v/>
      </c>
      <c r="BD299" s="149" t="str">
        <f>IF('Cable Info'!T159="","",CONCATENATE('Cable Info'!T159," - ",'Cable Info'!U159))</f>
        <v/>
      </c>
      <c r="BG299" s="149" t="str">
        <f t="shared" si="52"/>
        <v/>
      </c>
      <c r="BI299" s="149" t="str">
        <f>IF('Cable Info'!V159="","",CONCATENATE('Cable Info'!V159," - ",'Cable Info'!W159))</f>
        <v/>
      </c>
      <c r="BL299" s="149" t="str">
        <f t="shared" si="53"/>
        <v/>
      </c>
    </row>
    <row r="300" spans="1:64" x14ac:dyDescent="0.2">
      <c r="A300" s="180"/>
      <c r="B300" s="180"/>
      <c r="C300" s="180"/>
      <c r="D300" s="180"/>
      <c r="E300" s="180"/>
      <c r="F300" s="187"/>
      <c r="G300" s="180"/>
      <c r="H300" s="180"/>
      <c r="I300" s="180"/>
      <c r="J300" s="187"/>
      <c r="K300" s="180"/>
      <c r="L300" s="180"/>
      <c r="M300" s="180"/>
      <c r="N300" s="180"/>
      <c r="O300" s="218"/>
      <c r="P300" s="180"/>
      <c r="Q300" s="188"/>
      <c r="R300" s="180"/>
      <c r="S300" s="180"/>
      <c r="T300" s="180"/>
      <c r="U300" s="180"/>
      <c r="V300" s="180"/>
      <c r="W300" s="180"/>
      <c r="X300" s="201"/>
      <c r="AJ300" s="149" t="str">
        <f>IF('Cable Info'!L160="","",CONCATENATE('Cable Info'!L160," - ",'Cable Info'!M160))</f>
        <v/>
      </c>
      <c r="AM300" s="149" t="str">
        <f t="shared" si="48"/>
        <v/>
      </c>
      <c r="AO300" s="149" t="str">
        <f>IF('Cable Info'!N160="","",CONCATENATE('Cable Info'!N160," - ",'Cable Info'!O160))</f>
        <v/>
      </c>
      <c r="AR300" s="149" t="str">
        <f t="shared" si="49"/>
        <v/>
      </c>
      <c r="AT300" s="149" t="str">
        <f>IF('Cable Info'!P160="","",CONCATENATE('Cable Info'!P160," - ",'Cable Info'!Q160))</f>
        <v/>
      </c>
      <c r="AW300" s="149" t="str">
        <f t="shared" si="50"/>
        <v/>
      </c>
      <c r="AY300" s="149" t="str">
        <f>IF('Cable Info'!R160="","",CONCATENATE('Cable Info'!R160," - ",'Cable Info'!S160))</f>
        <v/>
      </c>
      <c r="BB300" s="149" t="str">
        <f t="shared" si="51"/>
        <v/>
      </c>
      <c r="BD300" s="149" t="str">
        <f>IF('Cable Info'!T160="","",CONCATENATE('Cable Info'!T160," - ",'Cable Info'!U160))</f>
        <v/>
      </c>
      <c r="BG300" s="149" t="str">
        <f t="shared" si="52"/>
        <v/>
      </c>
      <c r="BI300" s="149" t="str">
        <f>IF('Cable Info'!V160="","",CONCATENATE('Cable Info'!V160," - ",'Cable Info'!W160))</f>
        <v/>
      </c>
      <c r="BL300" s="149" t="str">
        <f t="shared" si="53"/>
        <v/>
      </c>
    </row>
    <row r="301" spans="1:64" x14ac:dyDescent="0.2">
      <c r="A301" s="180"/>
      <c r="B301" s="180"/>
      <c r="C301" s="180"/>
      <c r="D301" s="180"/>
      <c r="E301" s="180"/>
      <c r="F301" s="187"/>
      <c r="G301" s="180"/>
      <c r="H301" s="180"/>
      <c r="I301" s="180"/>
      <c r="J301" s="187"/>
      <c r="K301" s="180"/>
      <c r="L301" s="180"/>
      <c r="M301" s="180"/>
      <c r="N301" s="180"/>
      <c r="O301" s="218"/>
      <c r="P301" s="180"/>
      <c r="Q301" s="188"/>
      <c r="R301" s="180"/>
      <c r="S301" s="180"/>
      <c r="T301" s="180"/>
      <c r="U301" s="180"/>
      <c r="V301" s="180"/>
      <c r="W301" s="180"/>
      <c r="X301" s="201"/>
      <c r="AJ301" s="149" t="str">
        <f>IF('Cable Info'!L161="","",CONCATENATE('Cable Info'!L161," - ",'Cable Info'!M161))</f>
        <v/>
      </c>
      <c r="AM301" s="149" t="str">
        <f t="shared" si="48"/>
        <v/>
      </c>
      <c r="AO301" s="149" t="str">
        <f>IF('Cable Info'!N161="","",CONCATENATE('Cable Info'!N161," - ",'Cable Info'!O161))</f>
        <v/>
      </c>
      <c r="AR301" s="149" t="str">
        <f t="shared" si="49"/>
        <v/>
      </c>
      <c r="AT301" s="149" t="str">
        <f>IF('Cable Info'!P161="","",CONCATENATE('Cable Info'!P161," - ",'Cable Info'!Q161))</f>
        <v/>
      </c>
      <c r="AW301" s="149" t="str">
        <f t="shared" si="50"/>
        <v/>
      </c>
      <c r="AY301" s="149" t="str">
        <f>IF('Cable Info'!R161="","",CONCATENATE('Cable Info'!R161," - ",'Cable Info'!S161))</f>
        <v/>
      </c>
      <c r="BB301" s="149" t="str">
        <f t="shared" si="51"/>
        <v/>
      </c>
      <c r="BD301" s="149" t="str">
        <f>IF('Cable Info'!T161="","",CONCATENATE('Cable Info'!T161," - ",'Cable Info'!U161))</f>
        <v/>
      </c>
      <c r="BG301" s="149" t="str">
        <f t="shared" si="52"/>
        <v/>
      </c>
      <c r="BI301" s="149" t="str">
        <f>IF('Cable Info'!V161="","",CONCATENATE('Cable Info'!V161," - ",'Cable Info'!W161))</f>
        <v/>
      </c>
      <c r="BL301" s="149" t="str">
        <f t="shared" si="53"/>
        <v/>
      </c>
    </row>
    <row r="302" spans="1:64" x14ac:dyDescent="0.2">
      <c r="A302" s="180"/>
      <c r="B302" s="180"/>
      <c r="C302" s="180"/>
      <c r="D302" s="180"/>
      <c r="E302" s="180"/>
      <c r="F302" s="187"/>
      <c r="G302" s="180"/>
      <c r="H302" s="180"/>
      <c r="I302" s="180"/>
      <c r="J302" s="187"/>
      <c r="K302" s="180"/>
      <c r="L302" s="180"/>
      <c r="M302" s="180"/>
      <c r="N302" s="180"/>
      <c r="O302" s="218"/>
      <c r="P302" s="180"/>
      <c r="Q302" s="188"/>
      <c r="R302" s="180"/>
      <c r="S302" s="180"/>
      <c r="T302" s="180"/>
      <c r="U302" s="180"/>
      <c r="V302" s="180"/>
      <c r="W302" s="180"/>
      <c r="X302" s="201"/>
      <c r="AJ302" s="149" t="str">
        <f>IF('Cable Info'!L162="","",CONCATENATE('Cable Info'!L162," - ",'Cable Info'!M162))</f>
        <v/>
      </c>
      <c r="AM302" s="149" t="str">
        <f t="shared" si="48"/>
        <v/>
      </c>
      <c r="AO302" s="149" t="str">
        <f>IF('Cable Info'!N162="","",CONCATENATE('Cable Info'!N162," - ",'Cable Info'!O162))</f>
        <v/>
      </c>
      <c r="AR302" s="149" t="str">
        <f t="shared" si="49"/>
        <v/>
      </c>
      <c r="AT302" s="149" t="str">
        <f>IF('Cable Info'!P162="","",CONCATENATE('Cable Info'!P162," - ",'Cable Info'!Q162))</f>
        <v/>
      </c>
      <c r="AW302" s="149" t="str">
        <f t="shared" si="50"/>
        <v/>
      </c>
      <c r="AY302" s="149" t="str">
        <f>IF('Cable Info'!R162="","",CONCATENATE('Cable Info'!R162," - ",'Cable Info'!S162))</f>
        <v/>
      </c>
      <c r="BB302" s="149" t="str">
        <f t="shared" si="51"/>
        <v/>
      </c>
      <c r="BD302" s="149" t="str">
        <f>IF('Cable Info'!T162="","",CONCATENATE('Cable Info'!T162," - ",'Cable Info'!U162))</f>
        <v/>
      </c>
      <c r="BG302" s="149" t="str">
        <f t="shared" si="52"/>
        <v/>
      </c>
      <c r="BI302" s="149" t="str">
        <f>IF('Cable Info'!V162="","",CONCATENATE('Cable Info'!V162," - ",'Cable Info'!W162))</f>
        <v/>
      </c>
      <c r="BL302" s="149" t="str">
        <f t="shared" si="53"/>
        <v/>
      </c>
    </row>
    <row r="303" spans="1:64" x14ac:dyDescent="0.2">
      <c r="A303" s="180"/>
      <c r="B303" s="180"/>
      <c r="C303" s="180"/>
      <c r="D303" s="180"/>
      <c r="E303" s="180"/>
      <c r="F303" s="187"/>
      <c r="G303" s="180"/>
      <c r="H303" s="180"/>
      <c r="I303" s="180"/>
      <c r="J303" s="187"/>
      <c r="K303" s="180"/>
      <c r="L303" s="180"/>
      <c r="M303" s="180"/>
      <c r="N303" s="180"/>
      <c r="O303" s="218"/>
      <c r="P303" s="180"/>
      <c r="Q303" s="188"/>
      <c r="R303" s="180"/>
      <c r="S303" s="180"/>
      <c r="T303" s="180"/>
      <c r="U303" s="180"/>
      <c r="V303" s="180"/>
      <c r="W303" s="180"/>
      <c r="X303" s="201"/>
      <c r="AJ303" s="149" t="str">
        <f>IF('Cable Info'!L163="","",CONCATENATE('Cable Info'!L163," - ",'Cable Info'!M163))</f>
        <v/>
      </c>
      <c r="AM303" s="149" t="str">
        <f t="shared" si="48"/>
        <v/>
      </c>
      <c r="AO303" s="149" t="str">
        <f>IF('Cable Info'!N163="","",CONCATENATE('Cable Info'!N163," - ",'Cable Info'!O163))</f>
        <v/>
      </c>
      <c r="AR303" s="149" t="str">
        <f t="shared" si="49"/>
        <v/>
      </c>
      <c r="AT303" s="149" t="str">
        <f>IF('Cable Info'!P163="","",CONCATENATE('Cable Info'!P163," - ",'Cable Info'!Q163))</f>
        <v/>
      </c>
      <c r="AW303" s="149" t="str">
        <f t="shared" si="50"/>
        <v/>
      </c>
      <c r="AY303" s="149" t="str">
        <f>IF('Cable Info'!R163="","",CONCATENATE('Cable Info'!R163," - ",'Cable Info'!S163))</f>
        <v/>
      </c>
      <c r="BB303" s="149" t="str">
        <f t="shared" si="51"/>
        <v/>
      </c>
      <c r="BD303" s="149" t="str">
        <f>IF('Cable Info'!T163="","",CONCATENATE('Cable Info'!T163," - ",'Cable Info'!U163))</f>
        <v/>
      </c>
      <c r="BG303" s="149" t="str">
        <f t="shared" si="52"/>
        <v/>
      </c>
      <c r="BI303" s="149" t="str">
        <f>IF('Cable Info'!V163="","",CONCATENATE('Cable Info'!V163," - ",'Cable Info'!W163))</f>
        <v/>
      </c>
      <c r="BL303" s="149" t="str">
        <f t="shared" si="53"/>
        <v/>
      </c>
    </row>
    <row r="304" spans="1:64" x14ac:dyDescent="0.2">
      <c r="A304" s="180"/>
      <c r="B304" s="180"/>
      <c r="C304" s="180"/>
      <c r="D304" s="180"/>
      <c r="E304" s="180"/>
      <c r="F304" s="187"/>
      <c r="G304" s="180"/>
      <c r="H304" s="180"/>
      <c r="I304" s="180"/>
      <c r="J304" s="187"/>
      <c r="K304" s="180"/>
      <c r="L304" s="180"/>
      <c r="M304" s="180"/>
      <c r="N304" s="180"/>
      <c r="O304" s="218"/>
      <c r="P304" s="180"/>
      <c r="Q304" s="188"/>
      <c r="R304" s="180"/>
      <c r="S304" s="180"/>
      <c r="T304" s="180"/>
      <c r="U304" s="180"/>
      <c r="V304" s="180"/>
      <c r="W304" s="180"/>
      <c r="X304" s="201"/>
      <c r="AJ304" s="149" t="str">
        <f>IF('Cable Info'!L164="","",CONCATENATE('Cable Info'!L164," - ",'Cable Info'!M164))</f>
        <v/>
      </c>
      <c r="AM304" s="149" t="str">
        <f t="shared" si="48"/>
        <v/>
      </c>
      <c r="AO304" s="149" t="str">
        <f>IF('Cable Info'!N164="","",CONCATENATE('Cable Info'!N164," - ",'Cable Info'!O164))</f>
        <v/>
      </c>
      <c r="AR304" s="149" t="str">
        <f t="shared" si="49"/>
        <v/>
      </c>
      <c r="AT304" s="149" t="str">
        <f>IF('Cable Info'!P164="","",CONCATENATE('Cable Info'!P164," - ",'Cable Info'!Q164))</f>
        <v/>
      </c>
      <c r="AW304" s="149" t="str">
        <f t="shared" si="50"/>
        <v/>
      </c>
      <c r="AY304" s="149" t="str">
        <f>IF('Cable Info'!R164="","",CONCATENATE('Cable Info'!R164," - ",'Cable Info'!S164))</f>
        <v/>
      </c>
      <c r="BB304" s="149" t="str">
        <f t="shared" si="51"/>
        <v/>
      </c>
      <c r="BD304" s="149" t="str">
        <f>IF('Cable Info'!T164="","",CONCATENATE('Cable Info'!T164," - ",'Cable Info'!U164))</f>
        <v/>
      </c>
      <c r="BG304" s="149" t="str">
        <f t="shared" si="52"/>
        <v/>
      </c>
      <c r="BI304" s="149" t="str">
        <f>IF('Cable Info'!V164="","",CONCATENATE('Cable Info'!V164," - ",'Cable Info'!W164))</f>
        <v/>
      </c>
      <c r="BL304" s="149" t="str">
        <f t="shared" si="53"/>
        <v/>
      </c>
    </row>
    <row r="305" spans="1:64" x14ac:dyDescent="0.2">
      <c r="A305" s="180"/>
      <c r="B305" s="180"/>
      <c r="C305" s="180"/>
      <c r="D305" s="180"/>
      <c r="E305" s="180"/>
      <c r="F305" s="187"/>
      <c r="G305" s="180"/>
      <c r="H305" s="180"/>
      <c r="I305" s="180"/>
      <c r="J305" s="187"/>
      <c r="K305" s="180"/>
      <c r="L305" s="180"/>
      <c r="M305" s="180"/>
      <c r="N305" s="180"/>
      <c r="O305" s="218"/>
      <c r="P305" s="180"/>
      <c r="Q305" s="188"/>
      <c r="R305" s="180"/>
      <c r="S305" s="180"/>
      <c r="T305" s="180"/>
      <c r="U305" s="180"/>
      <c r="V305" s="180"/>
      <c r="W305" s="180"/>
      <c r="X305" s="201"/>
      <c r="AJ305" s="149" t="str">
        <f>IF('Cable Info'!L165="","",CONCATENATE('Cable Info'!L165," - ",'Cable Info'!M165))</f>
        <v/>
      </c>
      <c r="AM305" s="149" t="str">
        <f t="shared" si="48"/>
        <v/>
      </c>
      <c r="AO305" s="149" t="str">
        <f>IF('Cable Info'!N165="","",CONCATENATE('Cable Info'!N165," - ",'Cable Info'!O165))</f>
        <v/>
      </c>
      <c r="AR305" s="149" t="str">
        <f t="shared" si="49"/>
        <v/>
      </c>
      <c r="AT305" s="149" t="str">
        <f>IF('Cable Info'!P165="","",CONCATENATE('Cable Info'!P165," - ",'Cable Info'!Q165))</f>
        <v/>
      </c>
      <c r="AW305" s="149" t="str">
        <f t="shared" si="50"/>
        <v/>
      </c>
      <c r="AY305" s="149" t="str">
        <f>IF('Cable Info'!R165="","",CONCATENATE('Cable Info'!R165," - ",'Cable Info'!S165))</f>
        <v/>
      </c>
      <c r="BB305" s="149" t="str">
        <f t="shared" si="51"/>
        <v/>
      </c>
      <c r="BD305" s="149" t="str">
        <f>IF('Cable Info'!T165="","",CONCATENATE('Cable Info'!T165," - ",'Cable Info'!U165))</f>
        <v/>
      </c>
      <c r="BG305" s="149" t="str">
        <f t="shared" si="52"/>
        <v/>
      </c>
      <c r="BI305" s="149" t="str">
        <f>IF('Cable Info'!V165="","",CONCATENATE('Cable Info'!V165," - ",'Cable Info'!W165))</f>
        <v/>
      </c>
      <c r="BL305" s="149" t="str">
        <f t="shared" si="53"/>
        <v/>
      </c>
    </row>
    <row r="306" spans="1:64" x14ac:dyDescent="0.2">
      <c r="A306" s="180"/>
      <c r="B306" s="180"/>
      <c r="C306" s="180"/>
      <c r="D306" s="180"/>
      <c r="E306" s="180"/>
      <c r="F306" s="187"/>
      <c r="G306" s="180"/>
      <c r="H306" s="180"/>
      <c r="I306" s="180"/>
      <c r="J306" s="187"/>
      <c r="K306" s="180"/>
      <c r="L306" s="180"/>
      <c r="M306" s="180"/>
      <c r="N306" s="180"/>
      <c r="O306" s="218"/>
      <c r="P306" s="180"/>
      <c r="Q306" s="188"/>
      <c r="R306" s="180"/>
      <c r="S306" s="180"/>
      <c r="T306" s="180"/>
      <c r="U306" s="180"/>
      <c r="V306" s="180"/>
      <c r="W306" s="180"/>
      <c r="X306" s="201"/>
      <c r="AJ306" s="149" t="str">
        <f>IF('Cable Info'!L166="","",CONCATENATE('Cable Info'!L166," - ",'Cable Info'!M166))</f>
        <v/>
      </c>
      <c r="AM306" s="149" t="str">
        <f t="shared" si="48"/>
        <v/>
      </c>
      <c r="AO306" s="149" t="str">
        <f>IF('Cable Info'!N166="","",CONCATENATE('Cable Info'!N166," - ",'Cable Info'!O166))</f>
        <v/>
      </c>
      <c r="AR306" s="149" t="str">
        <f t="shared" si="49"/>
        <v/>
      </c>
      <c r="AT306" s="149" t="str">
        <f>IF('Cable Info'!P166="","",CONCATENATE('Cable Info'!P166," - ",'Cable Info'!Q166))</f>
        <v/>
      </c>
      <c r="AW306" s="149" t="str">
        <f t="shared" si="50"/>
        <v/>
      </c>
      <c r="AY306" s="149" t="str">
        <f>IF('Cable Info'!R166="","",CONCATENATE('Cable Info'!R166," - ",'Cable Info'!S166))</f>
        <v/>
      </c>
      <c r="BB306" s="149" t="str">
        <f t="shared" si="51"/>
        <v/>
      </c>
      <c r="BD306" s="149" t="str">
        <f>IF('Cable Info'!T166="","",CONCATENATE('Cable Info'!T166," - ",'Cable Info'!U166))</f>
        <v/>
      </c>
      <c r="BG306" s="149" t="str">
        <f t="shared" si="52"/>
        <v/>
      </c>
      <c r="BI306" s="149" t="str">
        <f>IF('Cable Info'!V166="","",CONCATENATE('Cable Info'!V166," - ",'Cable Info'!W166))</f>
        <v/>
      </c>
      <c r="BL306" s="149" t="str">
        <f t="shared" si="53"/>
        <v/>
      </c>
    </row>
    <row r="307" spans="1:64" x14ac:dyDescent="0.2">
      <c r="A307" s="180"/>
      <c r="B307" s="180"/>
      <c r="C307" s="180"/>
      <c r="D307" s="180"/>
      <c r="E307" s="180"/>
      <c r="F307" s="187"/>
      <c r="G307" s="180"/>
      <c r="H307" s="180"/>
      <c r="I307" s="180"/>
      <c r="J307" s="187"/>
      <c r="K307" s="180"/>
      <c r="L307" s="180"/>
      <c r="M307" s="180"/>
      <c r="N307" s="180"/>
      <c r="O307" s="218"/>
      <c r="P307" s="180"/>
      <c r="Q307" s="188"/>
      <c r="R307" s="180"/>
      <c r="S307" s="180"/>
      <c r="T307" s="180"/>
      <c r="U307" s="180"/>
      <c r="V307" s="180"/>
      <c r="W307" s="180"/>
      <c r="X307" s="201"/>
      <c r="AJ307" s="149" t="str">
        <f>IF('Cable Info'!L167="","",CONCATENATE('Cable Info'!L167," - ",'Cable Info'!M167))</f>
        <v/>
      </c>
      <c r="AM307" s="149" t="str">
        <f t="shared" si="48"/>
        <v/>
      </c>
      <c r="AO307" s="149" t="str">
        <f>IF('Cable Info'!N167="","",CONCATENATE('Cable Info'!N167," - ",'Cable Info'!O167))</f>
        <v/>
      </c>
      <c r="AR307" s="149" t="str">
        <f t="shared" si="49"/>
        <v/>
      </c>
      <c r="AT307" s="149" t="str">
        <f>IF('Cable Info'!P167="","",CONCATENATE('Cable Info'!P167," - ",'Cable Info'!Q167))</f>
        <v/>
      </c>
      <c r="AW307" s="149" t="str">
        <f t="shared" si="50"/>
        <v/>
      </c>
      <c r="AY307" s="149" t="str">
        <f>IF('Cable Info'!R167="","",CONCATENATE('Cable Info'!R167," - ",'Cable Info'!S167))</f>
        <v/>
      </c>
      <c r="BB307" s="149" t="str">
        <f t="shared" si="51"/>
        <v/>
      </c>
      <c r="BD307" s="149" t="str">
        <f>IF('Cable Info'!T167="","",CONCATENATE('Cable Info'!T167," - ",'Cable Info'!U167))</f>
        <v/>
      </c>
      <c r="BG307" s="149" t="str">
        <f t="shared" si="52"/>
        <v/>
      </c>
      <c r="BI307" s="149" t="str">
        <f>IF('Cable Info'!V167="","",CONCATENATE('Cable Info'!V167," - ",'Cable Info'!W167))</f>
        <v/>
      </c>
      <c r="BL307" s="149" t="str">
        <f t="shared" si="53"/>
        <v/>
      </c>
    </row>
    <row r="308" spans="1:64" x14ac:dyDescent="0.2">
      <c r="A308" s="180"/>
      <c r="B308" s="180"/>
      <c r="C308" s="180"/>
      <c r="D308" s="180"/>
      <c r="E308" s="180"/>
      <c r="F308" s="187"/>
      <c r="G308" s="180"/>
      <c r="H308" s="180"/>
      <c r="I308" s="180"/>
      <c r="J308" s="187"/>
      <c r="K308" s="180"/>
      <c r="L308" s="180"/>
      <c r="M308" s="180"/>
      <c r="N308" s="180"/>
      <c r="O308" s="218"/>
      <c r="P308" s="180"/>
      <c r="Q308" s="188"/>
      <c r="R308" s="180"/>
      <c r="S308" s="180"/>
      <c r="T308" s="180"/>
      <c r="U308" s="180"/>
      <c r="V308" s="180"/>
      <c r="W308" s="180"/>
      <c r="X308" s="201"/>
      <c r="AJ308" s="149" t="str">
        <f>IF('Cable Info'!L168="","",CONCATENATE('Cable Info'!L168," - ",'Cable Info'!M168))</f>
        <v/>
      </c>
      <c r="AM308" s="149" t="str">
        <f t="shared" si="48"/>
        <v/>
      </c>
      <c r="AO308" s="149" t="str">
        <f>IF('Cable Info'!N168="","",CONCATENATE('Cable Info'!N168," - ",'Cable Info'!O168))</f>
        <v/>
      </c>
      <c r="AR308" s="149" t="str">
        <f t="shared" si="49"/>
        <v/>
      </c>
      <c r="AT308" s="149" t="str">
        <f>IF('Cable Info'!P168="","",CONCATENATE('Cable Info'!P168," - ",'Cable Info'!Q168))</f>
        <v/>
      </c>
      <c r="AW308" s="149" t="str">
        <f t="shared" si="50"/>
        <v/>
      </c>
      <c r="AY308" s="149" t="str">
        <f>IF('Cable Info'!R168="","",CONCATENATE('Cable Info'!R168," - ",'Cable Info'!S168))</f>
        <v/>
      </c>
      <c r="BB308" s="149" t="str">
        <f t="shared" si="51"/>
        <v/>
      </c>
      <c r="BD308" s="149" t="str">
        <f>IF('Cable Info'!T168="","",CONCATENATE('Cable Info'!T168," - ",'Cable Info'!U168))</f>
        <v/>
      </c>
      <c r="BG308" s="149" t="str">
        <f t="shared" si="52"/>
        <v/>
      </c>
      <c r="BI308" s="149" t="str">
        <f>IF('Cable Info'!V168="","",CONCATENATE('Cable Info'!V168," - ",'Cable Info'!W168))</f>
        <v/>
      </c>
      <c r="BL308" s="149" t="str">
        <f t="shared" si="53"/>
        <v/>
      </c>
    </row>
    <row r="309" spans="1:64" x14ac:dyDescent="0.2">
      <c r="A309" s="180"/>
      <c r="B309" s="180"/>
      <c r="C309" s="180"/>
      <c r="D309" s="180"/>
      <c r="E309" s="180"/>
      <c r="F309" s="187"/>
      <c r="G309" s="180"/>
      <c r="H309" s="180"/>
      <c r="I309" s="180"/>
      <c r="J309" s="187"/>
      <c r="K309" s="180"/>
      <c r="L309" s="180"/>
      <c r="M309" s="180"/>
      <c r="N309" s="180"/>
      <c r="O309" s="218"/>
      <c r="P309" s="180"/>
      <c r="Q309" s="188"/>
      <c r="R309" s="180"/>
      <c r="S309" s="180"/>
      <c r="T309" s="180"/>
      <c r="U309" s="180"/>
      <c r="V309" s="180"/>
      <c r="W309" s="180"/>
      <c r="X309" s="201"/>
      <c r="AJ309" s="149" t="str">
        <f>IF('Cable Info'!L169="","",CONCATENATE('Cable Info'!L169," - ",'Cable Info'!M169))</f>
        <v/>
      </c>
      <c r="AM309" s="149" t="str">
        <f t="shared" si="48"/>
        <v/>
      </c>
      <c r="AO309" s="149" t="str">
        <f>IF('Cable Info'!N169="","",CONCATENATE('Cable Info'!N169," - ",'Cable Info'!O169))</f>
        <v/>
      </c>
      <c r="AR309" s="149" t="str">
        <f t="shared" si="49"/>
        <v/>
      </c>
      <c r="AT309" s="149" t="str">
        <f>IF('Cable Info'!P169="","",CONCATENATE('Cable Info'!P169," - ",'Cable Info'!Q169))</f>
        <v/>
      </c>
      <c r="AW309" s="149" t="str">
        <f t="shared" si="50"/>
        <v/>
      </c>
      <c r="AY309" s="149" t="str">
        <f>IF('Cable Info'!R169="","",CONCATENATE('Cable Info'!R169," - ",'Cable Info'!S169))</f>
        <v/>
      </c>
      <c r="BB309" s="149" t="str">
        <f t="shared" si="51"/>
        <v/>
      </c>
      <c r="BD309" s="149" t="str">
        <f>IF('Cable Info'!T169="","",CONCATENATE('Cable Info'!T169," - ",'Cable Info'!U169))</f>
        <v/>
      </c>
      <c r="BG309" s="149" t="str">
        <f t="shared" si="52"/>
        <v/>
      </c>
      <c r="BI309" s="149" t="str">
        <f>IF('Cable Info'!V169="","",CONCATENATE('Cable Info'!V169," - ",'Cable Info'!W169))</f>
        <v/>
      </c>
      <c r="BL309" s="149" t="str">
        <f t="shared" si="53"/>
        <v/>
      </c>
    </row>
    <row r="310" spans="1:64" x14ac:dyDescent="0.2">
      <c r="A310" s="180"/>
      <c r="B310" s="180"/>
      <c r="C310" s="180"/>
      <c r="D310" s="180"/>
      <c r="E310" s="180"/>
      <c r="F310" s="187"/>
      <c r="G310" s="180"/>
      <c r="H310" s="180"/>
      <c r="I310" s="180"/>
      <c r="J310" s="187"/>
      <c r="K310" s="180"/>
      <c r="L310" s="180"/>
      <c r="M310" s="180"/>
      <c r="N310" s="180"/>
      <c r="O310" s="218"/>
      <c r="P310" s="180"/>
      <c r="Q310" s="188"/>
      <c r="R310" s="180"/>
      <c r="S310" s="180"/>
      <c r="T310" s="180"/>
      <c r="U310" s="180"/>
      <c r="V310" s="180"/>
      <c r="W310" s="180"/>
      <c r="X310" s="201"/>
      <c r="AJ310" s="149" t="str">
        <f>IF('Cable Info'!L170="","",CONCATENATE('Cable Info'!L170," - ",'Cable Info'!M170))</f>
        <v/>
      </c>
      <c r="AM310" s="149" t="str">
        <f t="shared" si="48"/>
        <v/>
      </c>
      <c r="AO310" s="149" t="str">
        <f>IF('Cable Info'!N170="","",CONCATENATE('Cable Info'!N170," - ",'Cable Info'!O170))</f>
        <v/>
      </c>
      <c r="AR310" s="149" t="str">
        <f t="shared" si="49"/>
        <v/>
      </c>
      <c r="AT310" s="149" t="str">
        <f>IF('Cable Info'!P170="","",CONCATENATE('Cable Info'!P170," - ",'Cable Info'!Q170))</f>
        <v/>
      </c>
      <c r="AW310" s="149" t="str">
        <f t="shared" si="50"/>
        <v/>
      </c>
      <c r="AY310" s="149" t="str">
        <f>IF('Cable Info'!R170="","",CONCATENATE('Cable Info'!R170," - ",'Cable Info'!S170))</f>
        <v/>
      </c>
      <c r="BB310" s="149" t="str">
        <f t="shared" si="51"/>
        <v/>
      </c>
      <c r="BD310" s="149" t="str">
        <f>IF('Cable Info'!T170="","",CONCATENATE('Cable Info'!T170," - ",'Cable Info'!U170))</f>
        <v/>
      </c>
      <c r="BG310" s="149" t="str">
        <f t="shared" si="52"/>
        <v/>
      </c>
      <c r="BI310" s="149" t="str">
        <f>IF('Cable Info'!V170="","",CONCATENATE('Cable Info'!V170," - ",'Cable Info'!W170))</f>
        <v/>
      </c>
      <c r="BL310" s="149" t="str">
        <f t="shared" si="53"/>
        <v/>
      </c>
    </row>
    <row r="311" spans="1:64" x14ac:dyDescent="0.2">
      <c r="A311" s="180"/>
      <c r="B311" s="180"/>
      <c r="C311" s="180"/>
      <c r="D311" s="180"/>
      <c r="E311" s="180"/>
      <c r="F311" s="187"/>
      <c r="G311" s="180"/>
      <c r="H311" s="180"/>
      <c r="I311" s="180"/>
      <c r="J311" s="187"/>
      <c r="K311" s="180"/>
      <c r="L311" s="180"/>
      <c r="M311" s="180"/>
      <c r="N311" s="180"/>
      <c r="O311" s="218"/>
      <c r="P311" s="180"/>
      <c r="Q311" s="188"/>
      <c r="R311" s="180"/>
      <c r="S311" s="180"/>
      <c r="T311" s="180"/>
      <c r="U311" s="180"/>
      <c r="V311" s="180"/>
      <c r="W311" s="180"/>
      <c r="X311" s="201"/>
      <c r="AJ311" s="149" t="str">
        <f>IF('Cable Info'!L171="","",CONCATENATE('Cable Info'!L171," - ",'Cable Info'!M171))</f>
        <v/>
      </c>
      <c r="AM311" s="149" t="str">
        <f t="shared" si="48"/>
        <v/>
      </c>
      <c r="AO311" s="149" t="str">
        <f>IF('Cable Info'!N171="","",CONCATENATE('Cable Info'!N171," - ",'Cable Info'!O171))</f>
        <v/>
      </c>
      <c r="AR311" s="149" t="str">
        <f t="shared" si="49"/>
        <v/>
      </c>
      <c r="AT311" s="149" t="str">
        <f>IF('Cable Info'!P171="","",CONCATENATE('Cable Info'!P171," - ",'Cable Info'!Q171))</f>
        <v/>
      </c>
      <c r="AW311" s="149" t="str">
        <f t="shared" si="50"/>
        <v/>
      </c>
      <c r="AY311" s="149" t="str">
        <f>IF('Cable Info'!R171="","",CONCATENATE('Cable Info'!R171," - ",'Cable Info'!S171))</f>
        <v/>
      </c>
      <c r="BB311" s="149" t="str">
        <f t="shared" si="51"/>
        <v/>
      </c>
      <c r="BD311" s="149" t="str">
        <f>IF('Cable Info'!T171="","",CONCATENATE('Cable Info'!T171," - ",'Cable Info'!U171))</f>
        <v/>
      </c>
      <c r="BG311" s="149" t="str">
        <f t="shared" si="52"/>
        <v/>
      </c>
      <c r="BI311" s="149" t="str">
        <f>IF('Cable Info'!V171="","",CONCATENATE('Cable Info'!V171," - ",'Cable Info'!W171))</f>
        <v/>
      </c>
      <c r="BL311" s="149" t="str">
        <f t="shared" si="53"/>
        <v/>
      </c>
    </row>
    <row r="312" spans="1:64" x14ac:dyDescent="0.2">
      <c r="A312" s="180"/>
      <c r="B312" s="180"/>
      <c r="C312" s="180"/>
      <c r="D312" s="180"/>
      <c r="E312" s="180"/>
      <c r="F312" s="187"/>
      <c r="G312" s="180"/>
      <c r="H312" s="180"/>
      <c r="I312" s="180"/>
      <c r="J312" s="187"/>
      <c r="K312" s="180"/>
      <c r="L312" s="180"/>
      <c r="M312" s="180"/>
      <c r="N312" s="180"/>
      <c r="O312" s="218"/>
      <c r="P312" s="180"/>
      <c r="Q312" s="188"/>
      <c r="R312" s="180"/>
      <c r="S312" s="180"/>
      <c r="T312" s="180"/>
      <c r="U312" s="180"/>
      <c r="V312" s="180"/>
      <c r="W312" s="180"/>
      <c r="X312" s="201"/>
      <c r="AJ312" s="149" t="str">
        <f>IF('Cable Info'!L172="","",CONCATENATE('Cable Info'!L172," - ",'Cable Info'!M172))</f>
        <v/>
      </c>
      <c r="AM312" s="149" t="str">
        <f t="shared" si="48"/>
        <v/>
      </c>
      <c r="AO312" s="149" t="str">
        <f>IF('Cable Info'!N172="","",CONCATENATE('Cable Info'!N172," - ",'Cable Info'!O172))</f>
        <v/>
      </c>
      <c r="AR312" s="149" t="str">
        <f t="shared" si="49"/>
        <v/>
      </c>
      <c r="AT312" s="149" t="str">
        <f>IF('Cable Info'!P172="","",CONCATENATE('Cable Info'!P172," - ",'Cable Info'!Q172))</f>
        <v/>
      </c>
      <c r="AW312" s="149" t="str">
        <f t="shared" si="50"/>
        <v/>
      </c>
      <c r="AY312" s="149" t="str">
        <f>IF('Cable Info'!R172="","",CONCATENATE('Cable Info'!R172," - ",'Cable Info'!S172))</f>
        <v/>
      </c>
      <c r="BB312" s="149" t="str">
        <f t="shared" si="51"/>
        <v/>
      </c>
      <c r="BD312" s="149" t="str">
        <f>IF('Cable Info'!T172="","",CONCATENATE('Cable Info'!T172," - ",'Cable Info'!U172))</f>
        <v/>
      </c>
      <c r="BG312" s="149" t="str">
        <f t="shared" si="52"/>
        <v/>
      </c>
      <c r="BI312" s="149" t="str">
        <f>IF('Cable Info'!V172="","",CONCATENATE('Cable Info'!V172," - ",'Cable Info'!W172))</f>
        <v/>
      </c>
      <c r="BL312" s="149" t="str">
        <f t="shared" si="53"/>
        <v/>
      </c>
    </row>
    <row r="313" spans="1:64" x14ac:dyDescent="0.2">
      <c r="A313" s="180"/>
      <c r="B313" s="180"/>
      <c r="C313" s="180"/>
      <c r="D313" s="180"/>
      <c r="E313" s="180"/>
      <c r="F313" s="187"/>
      <c r="G313" s="180"/>
      <c r="H313" s="180"/>
      <c r="I313" s="180"/>
      <c r="J313" s="187"/>
      <c r="K313" s="180"/>
      <c r="L313" s="180"/>
      <c r="M313" s="180"/>
      <c r="N313" s="180"/>
      <c r="O313" s="218"/>
      <c r="P313" s="180"/>
      <c r="Q313" s="188"/>
      <c r="R313" s="180"/>
      <c r="S313" s="180"/>
      <c r="T313" s="180"/>
      <c r="U313" s="180"/>
      <c r="V313" s="180"/>
      <c r="W313" s="180"/>
      <c r="X313" s="201"/>
      <c r="AJ313" s="149" t="str">
        <f>IF('Cable Info'!L173="","",CONCATENATE('Cable Info'!L173," - ",'Cable Info'!M173))</f>
        <v/>
      </c>
      <c r="AM313" s="149" t="str">
        <f t="shared" si="48"/>
        <v/>
      </c>
      <c r="AO313" s="149" t="str">
        <f>IF('Cable Info'!N173="","",CONCATENATE('Cable Info'!N173," - ",'Cable Info'!O173))</f>
        <v/>
      </c>
      <c r="AR313" s="149" t="str">
        <f t="shared" si="49"/>
        <v/>
      </c>
      <c r="AT313" s="149" t="str">
        <f>IF('Cable Info'!P173="","",CONCATENATE('Cable Info'!P173," - ",'Cable Info'!Q173))</f>
        <v/>
      </c>
      <c r="AW313" s="149" t="str">
        <f t="shared" si="50"/>
        <v/>
      </c>
      <c r="AY313" s="149" t="str">
        <f>IF('Cable Info'!R173="","",CONCATENATE('Cable Info'!R173," - ",'Cable Info'!S173))</f>
        <v/>
      </c>
      <c r="BB313" s="149" t="str">
        <f t="shared" si="51"/>
        <v/>
      </c>
      <c r="BD313" s="149" t="str">
        <f>IF('Cable Info'!T173="","",CONCATENATE('Cable Info'!T173," - ",'Cable Info'!U173))</f>
        <v/>
      </c>
      <c r="BG313" s="149" t="str">
        <f t="shared" si="52"/>
        <v/>
      </c>
      <c r="BI313" s="149" t="str">
        <f>IF('Cable Info'!V173="","",CONCATENATE('Cable Info'!V173," - ",'Cable Info'!W173))</f>
        <v/>
      </c>
      <c r="BL313" s="149" t="str">
        <f t="shared" si="53"/>
        <v/>
      </c>
    </row>
    <row r="314" spans="1:64" x14ac:dyDescent="0.2">
      <c r="A314" s="180"/>
      <c r="B314" s="180"/>
      <c r="C314" s="180"/>
      <c r="D314" s="180"/>
      <c r="E314" s="180"/>
      <c r="F314" s="187"/>
      <c r="G314" s="180"/>
      <c r="H314" s="180"/>
      <c r="I314" s="180"/>
      <c r="J314" s="187"/>
      <c r="K314" s="180"/>
      <c r="L314" s="180"/>
      <c r="M314" s="180"/>
      <c r="N314" s="180"/>
      <c r="O314" s="218"/>
      <c r="P314" s="180"/>
      <c r="Q314" s="188"/>
      <c r="R314" s="180"/>
      <c r="S314" s="180"/>
      <c r="T314" s="180"/>
      <c r="U314" s="180"/>
      <c r="V314" s="180"/>
      <c r="W314" s="180"/>
      <c r="X314" s="201"/>
      <c r="AJ314" s="149" t="str">
        <f>IF('Cable Info'!L174="","",CONCATENATE('Cable Info'!L174," - ",'Cable Info'!M174))</f>
        <v/>
      </c>
      <c r="AM314" s="149" t="str">
        <f t="shared" si="48"/>
        <v/>
      </c>
      <c r="AO314" s="149" t="str">
        <f>IF('Cable Info'!N174="","",CONCATENATE('Cable Info'!N174," - ",'Cable Info'!O174))</f>
        <v/>
      </c>
      <c r="AR314" s="149" t="str">
        <f t="shared" si="49"/>
        <v/>
      </c>
      <c r="AT314" s="149" t="str">
        <f>IF('Cable Info'!P174="","",CONCATENATE('Cable Info'!P174," - ",'Cable Info'!Q174))</f>
        <v/>
      </c>
      <c r="AW314" s="149" t="str">
        <f t="shared" si="50"/>
        <v/>
      </c>
      <c r="AY314" s="149" t="str">
        <f>IF('Cable Info'!R174="","",CONCATENATE('Cable Info'!R174," - ",'Cable Info'!S174))</f>
        <v/>
      </c>
      <c r="BB314" s="149" t="str">
        <f t="shared" si="51"/>
        <v/>
      </c>
      <c r="BD314" s="149" t="str">
        <f>IF('Cable Info'!T174="","",CONCATENATE('Cable Info'!T174," - ",'Cable Info'!U174))</f>
        <v/>
      </c>
      <c r="BG314" s="149" t="str">
        <f t="shared" si="52"/>
        <v/>
      </c>
      <c r="BI314" s="149" t="str">
        <f>IF('Cable Info'!V174="","",CONCATENATE('Cable Info'!V174," - ",'Cable Info'!W174))</f>
        <v/>
      </c>
      <c r="BL314" s="149" t="str">
        <f t="shared" si="53"/>
        <v/>
      </c>
    </row>
    <row r="315" spans="1:64" x14ac:dyDescent="0.2">
      <c r="A315" s="180"/>
      <c r="B315" s="180"/>
      <c r="C315" s="180"/>
      <c r="D315" s="180"/>
      <c r="E315" s="180"/>
      <c r="F315" s="187"/>
      <c r="G315" s="180"/>
      <c r="H315" s="180"/>
      <c r="I315" s="180"/>
      <c r="J315" s="187"/>
      <c r="K315" s="180"/>
      <c r="L315" s="180"/>
      <c r="M315" s="180"/>
      <c r="N315" s="180"/>
      <c r="O315" s="218"/>
      <c r="P315" s="180"/>
      <c r="Q315" s="188"/>
      <c r="R315" s="180"/>
      <c r="S315" s="180"/>
      <c r="T315" s="180"/>
      <c r="U315" s="180"/>
      <c r="V315" s="180"/>
      <c r="W315" s="180"/>
      <c r="X315" s="201"/>
      <c r="AJ315" s="149" t="str">
        <f>IF('Cable Info'!L175="","",CONCATENATE('Cable Info'!L175," - ",'Cable Info'!M175))</f>
        <v/>
      </c>
      <c r="AM315" s="149" t="str">
        <f t="shared" si="48"/>
        <v/>
      </c>
      <c r="AO315" s="149" t="str">
        <f>IF('Cable Info'!N175="","",CONCATENATE('Cable Info'!N175," - ",'Cable Info'!O175))</f>
        <v/>
      </c>
      <c r="AR315" s="149" t="str">
        <f t="shared" si="49"/>
        <v/>
      </c>
      <c r="AT315" s="149" t="str">
        <f>IF('Cable Info'!P175="","",CONCATENATE('Cable Info'!P175," - ",'Cable Info'!Q175))</f>
        <v/>
      </c>
      <c r="AW315" s="149" t="str">
        <f t="shared" si="50"/>
        <v/>
      </c>
      <c r="AY315" s="149" t="str">
        <f>IF('Cable Info'!R175="","",CONCATENATE('Cable Info'!R175," - ",'Cable Info'!S175))</f>
        <v/>
      </c>
      <c r="BB315" s="149" t="str">
        <f t="shared" si="51"/>
        <v/>
      </c>
      <c r="BD315" s="149" t="str">
        <f>IF('Cable Info'!T175="","",CONCATENATE('Cable Info'!T175," - ",'Cable Info'!U175))</f>
        <v/>
      </c>
      <c r="BG315" s="149" t="str">
        <f t="shared" si="52"/>
        <v/>
      </c>
      <c r="BI315" s="149" t="str">
        <f>IF('Cable Info'!V175="","",CONCATENATE('Cable Info'!V175," - ",'Cable Info'!W175))</f>
        <v/>
      </c>
      <c r="BL315" s="149" t="str">
        <f t="shared" si="53"/>
        <v/>
      </c>
    </row>
    <row r="316" spans="1:64" x14ac:dyDescent="0.2">
      <c r="A316" s="180"/>
      <c r="B316" s="180"/>
      <c r="C316" s="180"/>
      <c r="D316" s="180"/>
      <c r="E316" s="180"/>
      <c r="F316" s="187"/>
      <c r="G316" s="180"/>
      <c r="H316" s="180"/>
      <c r="I316" s="180"/>
      <c r="J316" s="187"/>
      <c r="K316" s="180"/>
      <c r="L316" s="180"/>
      <c r="M316" s="180"/>
      <c r="N316" s="180"/>
      <c r="O316" s="218"/>
      <c r="P316" s="180"/>
      <c r="Q316" s="188"/>
      <c r="R316" s="180"/>
      <c r="S316" s="180"/>
      <c r="T316" s="180"/>
      <c r="U316" s="180"/>
      <c r="V316" s="180"/>
      <c r="W316" s="180"/>
      <c r="X316" s="201"/>
      <c r="AJ316" s="149" t="str">
        <f>IF('Cable Info'!L176="","",CONCATENATE('Cable Info'!L176," - ",'Cable Info'!M176))</f>
        <v/>
      </c>
      <c r="AM316" s="149" t="str">
        <f t="shared" si="48"/>
        <v/>
      </c>
      <c r="AO316" s="149" t="str">
        <f>IF('Cable Info'!N176="","",CONCATENATE('Cable Info'!N176," - ",'Cable Info'!O176))</f>
        <v/>
      </c>
      <c r="AR316" s="149" t="str">
        <f t="shared" si="49"/>
        <v/>
      </c>
      <c r="AT316" s="149" t="str">
        <f>IF('Cable Info'!P176="","",CONCATENATE('Cable Info'!P176," - ",'Cable Info'!Q176))</f>
        <v/>
      </c>
      <c r="AW316" s="149" t="str">
        <f t="shared" si="50"/>
        <v/>
      </c>
      <c r="AY316" s="149" t="str">
        <f>IF('Cable Info'!R176="","",CONCATENATE('Cable Info'!R176," - ",'Cable Info'!S176))</f>
        <v/>
      </c>
      <c r="BB316" s="149" t="str">
        <f t="shared" si="51"/>
        <v/>
      </c>
      <c r="BD316" s="149" t="str">
        <f>IF('Cable Info'!T176="","",CONCATENATE('Cable Info'!T176," - ",'Cable Info'!U176))</f>
        <v/>
      </c>
      <c r="BG316" s="149" t="str">
        <f t="shared" si="52"/>
        <v/>
      </c>
      <c r="BI316" s="149" t="str">
        <f>IF('Cable Info'!V176="","",CONCATENATE('Cable Info'!V176," - ",'Cable Info'!W176))</f>
        <v/>
      </c>
      <c r="BL316" s="149" t="str">
        <f t="shared" si="53"/>
        <v/>
      </c>
    </row>
    <row r="317" spans="1:64" x14ac:dyDescent="0.2">
      <c r="A317" s="180"/>
      <c r="B317" s="180"/>
      <c r="C317" s="180"/>
      <c r="D317" s="180"/>
      <c r="E317" s="180"/>
      <c r="F317" s="187"/>
      <c r="G317" s="180"/>
      <c r="H317" s="180"/>
      <c r="I317" s="180"/>
      <c r="J317" s="187"/>
      <c r="K317" s="180"/>
      <c r="L317" s="180"/>
      <c r="M317" s="180"/>
      <c r="N317" s="180"/>
      <c r="O317" s="218"/>
      <c r="P317" s="180"/>
      <c r="Q317" s="188"/>
      <c r="R317" s="180"/>
      <c r="S317" s="180"/>
      <c r="T317" s="180"/>
      <c r="U317" s="180"/>
      <c r="V317" s="180"/>
      <c r="W317" s="180"/>
      <c r="X317" s="201"/>
      <c r="AJ317" s="149" t="str">
        <f>IF('Cable Info'!L177="","",CONCATENATE('Cable Info'!L177," - ",'Cable Info'!M177))</f>
        <v/>
      </c>
      <c r="AM317" s="149" t="str">
        <f t="shared" si="48"/>
        <v/>
      </c>
      <c r="AO317" s="149" t="str">
        <f>IF('Cable Info'!N177="","",CONCATENATE('Cable Info'!N177," - ",'Cable Info'!O177))</f>
        <v/>
      </c>
      <c r="AR317" s="149" t="str">
        <f t="shared" si="49"/>
        <v/>
      </c>
      <c r="AT317" s="149" t="str">
        <f>IF('Cable Info'!P177="","",CONCATENATE('Cable Info'!P177," - ",'Cable Info'!Q177))</f>
        <v/>
      </c>
      <c r="AW317" s="149" t="str">
        <f t="shared" si="50"/>
        <v/>
      </c>
      <c r="AY317" s="149" t="str">
        <f>IF('Cable Info'!R177="","",CONCATENATE('Cable Info'!R177," - ",'Cable Info'!S177))</f>
        <v/>
      </c>
      <c r="BB317" s="149" t="str">
        <f t="shared" si="51"/>
        <v/>
      </c>
      <c r="BD317" s="149" t="str">
        <f>IF('Cable Info'!T177="","",CONCATENATE('Cable Info'!T177," - ",'Cable Info'!U177))</f>
        <v/>
      </c>
      <c r="BG317" s="149" t="str">
        <f t="shared" si="52"/>
        <v/>
      </c>
      <c r="BI317" s="149" t="str">
        <f>IF('Cable Info'!V177="","",CONCATENATE('Cable Info'!V177," - ",'Cable Info'!W177))</f>
        <v/>
      </c>
      <c r="BL317" s="149" t="str">
        <f t="shared" si="53"/>
        <v/>
      </c>
    </row>
    <row r="318" spans="1:64" x14ac:dyDescent="0.2">
      <c r="A318" s="180"/>
      <c r="B318" s="180"/>
      <c r="C318" s="180"/>
      <c r="D318" s="180"/>
      <c r="E318" s="180"/>
      <c r="F318" s="187"/>
      <c r="G318" s="180"/>
      <c r="H318" s="180"/>
      <c r="I318" s="180"/>
      <c r="J318" s="187"/>
      <c r="K318" s="180"/>
      <c r="L318" s="180"/>
      <c r="M318" s="180"/>
      <c r="N318" s="180"/>
      <c r="O318" s="218"/>
      <c r="P318" s="180"/>
      <c r="Q318" s="188"/>
      <c r="R318" s="180"/>
      <c r="S318" s="180"/>
      <c r="T318" s="180"/>
      <c r="U318" s="180"/>
      <c r="V318" s="180"/>
      <c r="W318" s="180"/>
      <c r="X318" s="201"/>
      <c r="AJ318" s="149" t="str">
        <f>IF('Cable Info'!L178="","",CONCATENATE('Cable Info'!L178," - ",'Cable Info'!M178))</f>
        <v/>
      </c>
      <c r="AM318" s="149" t="str">
        <f t="shared" si="48"/>
        <v/>
      </c>
      <c r="AO318" s="149" t="str">
        <f>IF('Cable Info'!N178="","",CONCATENATE('Cable Info'!N178," - ",'Cable Info'!O178))</f>
        <v/>
      </c>
      <c r="AR318" s="149" t="str">
        <f t="shared" si="49"/>
        <v/>
      </c>
      <c r="AT318" s="149" t="str">
        <f>IF('Cable Info'!P178="","",CONCATENATE('Cable Info'!P178," - ",'Cable Info'!Q178))</f>
        <v/>
      </c>
      <c r="AW318" s="149" t="str">
        <f t="shared" si="50"/>
        <v/>
      </c>
      <c r="AY318" s="149" t="str">
        <f>IF('Cable Info'!R178="","",CONCATENATE('Cable Info'!R178," - ",'Cable Info'!S178))</f>
        <v/>
      </c>
      <c r="BB318" s="149" t="str">
        <f t="shared" si="51"/>
        <v/>
      </c>
      <c r="BD318" s="149" t="str">
        <f>IF('Cable Info'!T178="","",CONCATENATE('Cable Info'!T178," - ",'Cable Info'!U178))</f>
        <v/>
      </c>
      <c r="BG318" s="149" t="str">
        <f t="shared" si="52"/>
        <v/>
      </c>
      <c r="BI318" s="149" t="str">
        <f>IF('Cable Info'!V178="","",CONCATENATE('Cable Info'!V178," - ",'Cable Info'!W178))</f>
        <v/>
      </c>
      <c r="BL318" s="149" t="str">
        <f t="shared" si="53"/>
        <v/>
      </c>
    </row>
    <row r="319" spans="1:64" x14ac:dyDescent="0.2">
      <c r="A319" s="180"/>
      <c r="B319" s="180"/>
      <c r="C319" s="180"/>
      <c r="D319" s="180"/>
      <c r="E319" s="180"/>
      <c r="F319" s="187"/>
      <c r="G319" s="180"/>
      <c r="H319" s="180"/>
      <c r="I319" s="180"/>
      <c r="J319" s="187"/>
      <c r="K319" s="180"/>
      <c r="L319" s="180"/>
      <c r="M319" s="180"/>
      <c r="N319" s="180"/>
      <c r="O319" s="218"/>
      <c r="P319" s="180"/>
      <c r="Q319" s="188"/>
      <c r="R319" s="180"/>
      <c r="S319" s="180"/>
      <c r="T319" s="180"/>
      <c r="U319" s="180"/>
      <c r="V319" s="180"/>
      <c r="W319" s="180"/>
      <c r="X319" s="201"/>
      <c r="AJ319" s="149" t="str">
        <f>IF('Cable Info'!L179="","",CONCATENATE('Cable Info'!L179," - ",'Cable Info'!M179))</f>
        <v/>
      </c>
      <c r="AM319" s="149" t="str">
        <f t="shared" si="48"/>
        <v/>
      </c>
      <c r="AO319" s="149" t="str">
        <f>IF('Cable Info'!N179="","",CONCATENATE('Cable Info'!N179," - ",'Cable Info'!O179))</f>
        <v/>
      </c>
      <c r="AR319" s="149" t="str">
        <f t="shared" si="49"/>
        <v/>
      </c>
      <c r="AT319" s="149" t="str">
        <f>IF('Cable Info'!P179="","",CONCATENATE('Cable Info'!P179," - ",'Cable Info'!Q179))</f>
        <v/>
      </c>
      <c r="AW319" s="149" t="str">
        <f t="shared" si="50"/>
        <v/>
      </c>
      <c r="AY319" s="149" t="str">
        <f>IF('Cable Info'!R179="","",CONCATENATE('Cable Info'!R179," - ",'Cable Info'!S179))</f>
        <v/>
      </c>
      <c r="BB319" s="149" t="str">
        <f t="shared" si="51"/>
        <v/>
      </c>
      <c r="BD319" s="149" t="str">
        <f>IF('Cable Info'!T179="","",CONCATENATE('Cable Info'!T179," - ",'Cable Info'!U179))</f>
        <v/>
      </c>
      <c r="BG319" s="149" t="str">
        <f t="shared" si="52"/>
        <v/>
      </c>
      <c r="BI319" s="149" t="str">
        <f>IF('Cable Info'!V179="","",CONCATENATE('Cable Info'!V179," - ",'Cable Info'!W179))</f>
        <v/>
      </c>
      <c r="BL319" s="149" t="str">
        <f t="shared" si="53"/>
        <v/>
      </c>
    </row>
    <row r="320" spans="1:64" x14ac:dyDescent="0.2">
      <c r="A320" s="180"/>
      <c r="B320" s="180"/>
      <c r="C320" s="180"/>
      <c r="D320" s="180"/>
      <c r="E320" s="180"/>
      <c r="F320" s="187"/>
      <c r="G320" s="180"/>
      <c r="H320" s="180"/>
      <c r="I320" s="180"/>
      <c r="J320" s="187"/>
      <c r="K320" s="180"/>
      <c r="L320" s="180"/>
      <c r="M320" s="180"/>
      <c r="N320" s="180"/>
      <c r="O320" s="218"/>
      <c r="P320" s="180"/>
      <c r="Q320" s="188"/>
      <c r="R320" s="180"/>
      <c r="S320" s="180"/>
      <c r="T320" s="180"/>
      <c r="U320" s="180"/>
      <c r="V320" s="180"/>
      <c r="W320" s="180"/>
      <c r="X320" s="201"/>
      <c r="AJ320" s="149" t="str">
        <f>IF('Cable Info'!L180="","",CONCATENATE('Cable Info'!L180," - ",'Cable Info'!M180))</f>
        <v/>
      </c>
      <c r="AM320" s="149" t="str">
        <f t="shared" si="48"/>
        <v/>
      </c>
      <c r="AO320" s="149" t="str">
        <f>IF('Cable Info'!N180="","",CONCATENATE('Cable Info'!N180," - ",'Cable Info'!O180))</f>
        <v/>
      </c>
      <c r="AR320" s="149" t="str">
        <f t="shared" si="49"/>
        <v/>
      </c>
      <c r="AT320" s="149" t="str">
        <f>IF('Cable Info'!P180="","",CONCATENATE('Cable Info'!P180," - ",'Cable Info'!Q180))</f>
        <v/>
      </c>
      <c r="AW320" s="149" t="str">
        <f t="shared" si="50"/>
        <v/>
      </c>
      <c r="AY320" s="149" t="str">
        <f>IF('Cable Info'!R180="","",CONCATENATE('Cable Info'!R180," - ",'Cable Info'!S180))</f>
        <v/>
      </c>
      <c r="BB320" s="149" t="str">
        <f t="shared" si="51"/>
        <v/>
      </c>
      <c r="BD320" s="149" t="str">
        <f>IF('Cable Info'!T180="","",CONCATENATE('Cable Info'!T180," - ",'Cable Info'!U180))</f>
        <v/>
      </c>
      <c r="BG320" s="149" t="str">
        <f t="shared" si="52"/>
        <v/>
      </c>
      <c r="BI320" s="149" t="str">
        <f>IF('Cable Info'!V180="","",CONCATENATE('Cable Info'!V180," - ",'Cable Info'!W180))</f>
        <v/>
      </c>
      <c r="BL320" s="149" t="str">
        <f t="shared" si="53"/>
        <v/>
      </c>
    </row>
    <row r="321" spans="1:64" x14ac:dyDescent="0.2">
      <c r="A321" s="180"/>
      <c r="B321" s="180"/>
      <c r="C321" s="180"/>
      <c r="D321" s="180"/>
      <c r="E321" s="180"/>
      <c r="F321" s="187"/>
      <c r="G321" s="180"/>
      <c r="H321" s="180"/>
      <c r="I321" s="180"/>
      <c r="J321" s="187"/>
      <c r="K321" s="180"/>
      <c r="L321" s="180"/>
      <c r="M321" s="180"/>
      <c r="N321" s="180"/>
      <c r="O321" s="218"/>
      <c r="P321" s="180"/>
      <c r="Q321" s="188"/>
      <c r="R321" s="180"/>
      <c r="S321" s="180"/>
      <c r="T321" s="180"/>
      <c r="U321" s="180"/>
      <c r="V321" s="180"/>
      <c r="W321" s="180"/>
      <c r="X321" s="201"/>
      <c r="AJ321" s="149" t="str">
        <f>IF('Cable Info'!L181="","",CONCATENATE('Cable Info'!L181," - ",'Cable Info'!M181))</f>
        <v/>
      </c>
      <c r="AM321" s="149" t="str">
        <f t="shared" si="48"/>
        <v/>
      </c>
      <c r="AO321" s="149" t="str">
        <f>IF('Cable Info'!N181="","",CONCATENATE('Cable Info'!N181," - ",'Cable Info'!O181))</f>
        <v/>
      </c>
      <c r="AR321" s="149" t="str">
        <f t="shared" si="49"/>
        <v/>
      </c>
      <c r="AT321" s="149" t="str">
        <f>IF('Cable Info'!P181="","",CONCATENATE('Cable Info'!P181," - ",'Cable Info'!Q181))</f>
        <v/>
      </c>
      <c r="AW321" s="149" t="str">
        <f t="shared" si="50"/>
        <v/>
      </c>
      <c r="AY321" s="149" t="str">
        <f>IF('Cable Info'!R181="","",CONCATENATE('Cable Info'!R181," - ",'Cable Info'!S181))</f>
        <v/>
      </c>
      <c r="BB321" s="149" t="str">
        <f t="shared" si="51"/>
        <v/>
      </c>
      <c r="BD321" s="149" t="str">
        <f>IF('Cable Info'!T181="","",CONCATENATE('Cable Info'!T181," - ",'Cable Info'!U181))</f>
        <v/>
      </c>
      <c r="BG321" s="149" t="str">
        <f t="shared" si="52"/>
        <v/>
      </c>
      <c r="BI321" s="149" t="str">
        <f>IF('Cable Info'!V181="","",CONCATENATE('Cable Info'!V181," - ",'Cable Info'!W181))</f>
        <v/>
      </c>
      <c r="BL321" s="149" t="str">
        <f t="shared" si="53"/>
        <v/>
      </c>
    </row>
    <row r="322" spans="1:64" x14ac:dyDescent="0.2">
      <c r="A322" s="180"/>
      <c r="B322" s="180"/>
      <c r="C322" s="180"/>
      <c r="D322" s="180"/>
      <c r="E322" s="180"/>
      <c r="F322" s="187"/>
      <c r="G322" s="180"/>
      <c r="H322" s="180"/>
      <c r="I322" s="180"/>
      <c r="J322" s="187"/>
      <c r="K322" s="180"/>
      <c r="L322" s="180"/>
      <c r="M322" s="180"/>
      <c r="N322" s="180"/>
      <c r="O322" s="218"/>
      <c r="P322" s="180"/>
      <c r="Q322" s="188"/>
      <c r="R322" s="180"/>
      <c r="S322" s="180"/>
      <c r="T322" s="180"/>
      <c r="U322" s="180"/>
      <c r="V322" s="180"/>
      <c r="W322" s="180"/>
      <c r="X322" s="201"/>
      <c r="AJ322" s="149" t="str">
        <f>IF('Cable Info'!L182="","",CONCATENATE('Cable Info'!L182," - ",'Cable Info'!M182))</f>
        <v/>
      </c>
      <c r="AM322" s="149" t="str">
        <f t="shared" si="48"/>
        <v/>
      </c>
      <c r="AO322" s="149" t="str">
        <f>IF('Cable Info'!N182="","",CONCATENATE('Cable Info'!N182," - ",'Cable Info'!O182))</f>
        <v/>
      </c>
      <c r="AR322" s="149" t="str">
        <f t="shared" si="49"/>
        <v/>
      </c>
      <c r="AT322" s="149" t="str">
        <f>IF('Cable Info'!P182="","",CONCATENATE('Cable Info'!P182," - ",'Cable Info'!Q182))</f>
        <v/>
      </c>
      <c r="AW322" s="149" t="str">
        <f t="shared" si="50"/>
        <v/>
      </c>
      <c r="AY322" s="149" t="str">
        <f>IF('Cable Info'!R182="","",CONCATENATE('Cable Info'!R182," - ",'Cable Info'!S182))</f>
        <v/>
      </c>
      <c r="BB322" s="149" t="str">
        <f t="shared" si="51"/>
        <v/>
      </c>
      <c r="BD322" s="149" t="str">
        <f>IF('Cable Info'!T182="","",CONCATENATE('Cable Info'!T182," - ",'Cable Info'!U182))</f>
        <v/>
      </c>
      <c r="BG322" s="149" t="str">
        <f t="shared" si="52"/>
        <v/>
      </c>
      <c r="BI322" s="149" t="str">
        <f>IF('Cable Info'!V182="","",CONCATENATE('Cable Info'!V182," - ",'Cable Info'!W182))</f>
        <v/>
      </c>
      <c r="BL322" s="149" t="str">
        <f t="shared" si="53"/>
        <v/>
      </c>
    </row>
    <row r="323" spans="1:64" x14ac:dyDescent="0.2">
      <c r="A323" s="180"/>
      <c r="B323" s="180"/>
      <c r="C323" s="180"/>
      <c r="D323" s="180"/>
      <c r="E323" s="180"/>
      <c r="F323" s="187"/>
      <c r="G323" s="180"/>
      <c r="H323" s="180"/>
      <c r="I323" s="180"/>
      <c r="J323" s="187"/>
      <c r="K323" s="180"/>
      <c r="L323" s="180"/>
      <c r="M323" s="180"/>
      <c r="N323" s="180"/>
      <c r="O323" s="218"/>
      <c r="P323" s="180"/>
      <c r="Q323" s="188"/>
      <c r="R323" s="180"/>
      <c r="S323" s="180"/>
      <c r="T323" s="180"/>
      <c r="U323" s="180"/>
      <c r="V323" s="180"/>
      <c r="W323" s="180"/>
      <c r="X323" s="201"/>
      <c r="AJ323" s="149" t="str">
        <f>IF('Cable Info'!L183="","",CONCATENATE('Cable Info'!L183," - ",'Cable Info'!M183))</f>
        <v/>
      </c>
      <c r="AM323" s="149" t="str">
        <f t="shared" si="48"/>
        <v/>
      </c>
      <c r="AO323" s="149" t="str">
        <f>IF('Cable Info'!N183="","",CONCATENATE('Cable Info'!N183," - ",'Cable Info'!O183))</f>
        <v/>
      </c>
      <c r="AR323" s="149" t="str">
        <f t="shared" si="49"/>
        <v/>
      </c>
      <c r="AT323" s="149" t="str">
        <f>IF('Cable Info'!P183="","",CONCATENATE('Cable Info'!P183," - ",'Cable Info'!Q183))</f>
        <v/>
      </c>
      <c r="AW323" s="149" t="str">
        <f t="shared" si="50"/>
        <v/>
      </c>
      <c r="AY323" s="149" t="str">
        <f>IF('Cable Info'!R183="","",CONCATENATE('Cable Info'!R183," - ",'Cable Info'!S183))</f>
        <v/>
      </c>
      <c r="BB323" s="149" t="str">
        <f t="shared" si="51"/>
        <v/>
      </c>
      <c r="BD323" s="149" t="str">
        <f>IF('Cable Info'!T183="","",CONCATENATE('Cable Info'!T183," - ",'Cable Info'!U183))</f>
        <v/>
      </c>
      <c r="BG323" s="149" t="str">
        <f t="shared" si="52"/>
        <v/>
      </c>
      <c r="BI323" s="149" t="str">
        <f>IF('Cable Info'!V183="","",CONCATENATE('Cable Info'!V183," - ",'Cable Info'!W183))</f>
        <v/>
      </c>
      <c r="BL323" s="149" t="str">
        <f t="shared" si="53"/>
        <v/>
      </c>
    </row>
    <row r="324" spans="1:64" x14ac:dyDescent="0.2">
      <c r="A324" s="180"/>
      <c r="B324" s="180"/>
      <c r="C324" s="180"/>
      <c r="D324" s="180"/>
      <c r="E324" s="180"/>
      <c r="F324" s="187"/>
      <c r="G324" s="180"/>
      <c r="H324" s="180"/>
      <c r="I324" s="180"/>
      <c r="J324" s="187"/>
      <c r="K324" s="180"/>
      <c r="L324" s="180"/>
      <c r="M324" s="180"/>
      <c r="N324" s="180"/>
      <c r="O324" s="218"/>
      <c r="P324" s="180"/>
      <c r="Q324" s="188"/>
      <c r="R324" s="180"/>
      <c r="S324" s="180"/>
      <c r="T324" s="180"/>
      <c r="U324" s="180"/>
      <c r="V324" s="180"/>
      <c r="W324" s="180"/>
      <c r="X324" s="201"/>
      <c r="AJ324" s="149" t="str">
        <f>IF('Cable Info'!L184="","",CONCATENATE('Cable Info'!L184," - ",'Cable Info'!M184))</f>
        <v/>
      </c>
      <c r="AM324" s="149" t="str">
        <f t="shared" si="48"/>
        <v/>
      </c>
      <c r="AO324" s="149" t="str">
        <f>IF('Cable Info'!N184="","",CONCATENATE('Cable Info'!N184," - ",'Cable Info'!O184))</f>
        <v/>
      </c>
      <c r="AR324" s="149" t="str">
        <f t="shared" si="49"/>
        <v/>
      </c>
      <c r="AT324" s="149" t="str">
        <f>IF('Cable Info'!P184="","",CONCATENATE('Cable Info'!P184," - ",'Cable Info'!Q184))</f>
        <v/>
      </c>
      <c r="AW324" s="149" t="str">
        <f t="shared" si="50"/>
        <v/>
      </c>
      <c r="AY324" s="149" t="str">
        <f>IF('Cable Info'!R184="","",CONCATENATE('Cable Info'!R184," - ",'Cable Info'!S184))</f>
        <v/>
      </c>
      <c r="BB324" s="149" t="str">
        <f t="shared" si="51"/>
        <v/>
      </c>
      <c r="BD324" s="149" t="str">
        <f>IF('Cable Info'!T184="","",CONCATENATE('Cable Info'!T184," - ",'Cable Info'!U184))</f>
        <v/>
      </c>
      <c r="BG324" s="149" t="str">
        <f t="shared" si="52"/>
        <v/>
      </c>
      <c r="BI324" s="149" t="str">
        <f>IF('Cable Info'!V184="","",CONCATENATE('Cable Info'!V184," - ",'Cable Info'!W184))</f>
        <v/>
      </c>
      <c r="BL324" s="149" t="str">
        <f t="shared" si="53"/>
        <v/>
      </c>
    </row>
    <row r="325" spans="1:64" x14ac:dyDescent="0.2">
      <c r="A325" s="180"/>
      <c r="B325" s="180"/>
      <c r="C325" s="180"/>
      <c r="D325" s="180"/>
      <c r="E325" s="180"/>
      <c r="F325" s="187"/>
      <c r="G325" s="180"/>
      <c r="H325" s="180"/>
      <c r="I325" s="180"/>
      <c r="J325" s="187"/>
      <c r="K325" s="180"/>
      <c r="L325" s="180"/>
      <c r="M325" s="180"/>
      <c r="N325" s="180"/>
      <c r="O325" s="218"/>
      <c r="P325" s="180"/>
      <c r="Q325" s="188"/>
      <c r="R325" s="180"/>
      <c r="S325" s="180"/>
      <c r="T325" s="180"/>
      <c r="U325" s="180"/>
      <c r="V325" s="180"/>
      <c r="W325" s="180"/>
      <c r="X325" s="201"/>
      <c r="AJ325" s="149" t="str">
        <f>IF('Cable Info'!L185="","",CONCATENATE('Cable Info'!L185," - ",'Cable Info'!M185))</f>
        <v/>
      </c>
      <c r="AM325" s="149" t="str">
        <f t="shared" si="48"/>
        <v/>
      </c>
      <c r="AO325" s="149" t="str">
        <f>IF('Cable Info'!N185="","",CONCATENATE('Cable Info'!N185," - ",'Cable Info'!O185))</f>
        <v/>
      </c>
      <c r="AR325" s="149" t="str">
        <f t="shared" si="49"/>
        <v/>
      </c>
      <c r="AT325" s="149" t="str">
        <f>IF('Cable Info'!P185="","",CONCATENATE('Cable Info'!P185," - ",'Cable Info'!Q185))</f>
        <v/>
      </c>
      <c r="AW325" s="149" t="str">
        <f t="shared" si="50"/>
        <v/>
      </c>
      <c r="AY325" s="149" t="str">
        <f>IF('Cable Info'!R185="","",CONCATENATE('Cable Info'!R185," - ",'Cable Info'!S185))</f>
        <v/>
      </c>
      <c r="BB325" s="149" t="str">
        <f t="shared" si="51"/>
        <v/>
      </c>
      <c r="BD325" s="149" t="str">
        <f>IF('Cable Info'!T185="","",CONCATENATE('Cable Info'!T185," - ",'Cable Info'!U185))</f>
        <v/>
      </c>
      <c r="BG325" s="149" t="str">
        <f t="shared" si="52"/>
        <v/>
      </c>
      <c r="BI325" s="149" t="str">
        <f>IF('Cable Info'!V185="","",CONCATENATE('Cable Info'!V185," - ",'Cable Info'!W185))</f>
        <v/>
      </c>
      <c r="BL325" s="149" t="str">
        <f t="shared" si="53"/>
        <v/>
      </c>
    </row>
    <row r="326" spans="1:64" x14ac:dyDescent="0.2">
      <c r="A326" s="180"/>
      <c r="B326" s="180"/>
      <c r="C326" s="180"/>
      <c r="D326" s="180"/>
      <c r="E326" s="180"/>
      <c r="F326" s="187"/>
      <c r="G326" s="180"/>
      <c r="H326" s="180"/>
      <c r="I326" s="180"/>
      <c r="J326" s="187"/>
      <c r="K326" s="180"/>
      <c r="L326" s="180"/>
      <c r="M326" s="180"/>
      <c r="N326" s="180"/>
      <c r="O326" s="218"/>
      <c r="P326" s="180"/>
      <c r="Q326" s="188"/>
      <c r="R326" s="180"/>
      <c r="S326" s="180"/>
      <c r="T326" s="180"/>
      <c r="U326" s="180"/>
      <c r="V326" s="180"/>
      <c r="W326" s="180"/>
      <c r="X326" s="201"/>
      <c r="AJ326" s="149" t="str">
        <f>IF('Cable Info'!L186="","",CONCATENATE('Cable Info'!L186," - ",'Cable Info'!M186))</f>
        <v/>
      </c>
      <c r="AM326" s="149" t="str">
        <f t="shared" si="48"/>
        <v/>
      </c>
      <c r="AO326" s="149" t="str">
        <f>IF('Cable Info'!N186="","",CONCATENATE('Cable Info'!N186," - ",'Cable Info'!O186))</f>
        <v/>
      </c>
      <c r="AR326" s="149" t="str">
        <f t="shared" si="49"/>
        <v/>
      </c>
      <c r="AT326" s="149" t="str">
        <f>IF('Cable Info'!P186="","",CONCATENATE('Cable Info'!P186," - ",'Cable Info'!Q186))</f>
        <v/>
      </c>
      <c r="AW326" s="149" t="str">
        <f t="shared" si="50"/>
        <v/>
      </c>
      <c r="AY326" s="149" t="str">
        <f>IF('Cable Info'!R186="","",CONCATENATE('Cable Info'!R186," - ",'Cable Info'!S186))</f>
        <v/>
      </c>
      <c r="BB326" s="149" t="str">
        <f t="shared" si="51"/>
        <v/>
      </c>
      <c r="BD326" s="149" t="str">
        <f>IF('Cable Info'!T186="","",CONCATENATE('Cable Info'!T186," - ",'Cable Info'!U186))</f>
        <v/>
      </c>
      <c r="BG326" s="149" t="str">
        <f t="shared" si="52"/>
        <v/>
      </c>
      <c r="BI326" s="149" t="str">
        <f>IF('Cable Info'!V186="","",CONCATENATE('Cable Info'!V186," - ",'Cable Info'!W186))</f>
        <v/>
      </c>
      <c r="BL326" s="149" t="str">
        <f t="shared" si="53"/>
        <v/>
      </c>
    </row>
    <row r="327" spans="1:64" x14ac:dyDescent="0.2">
      <c r="A327" s="180"/>
      <c r="B327" s="180"/>
      <c r="C327" s="180"/>
      <c r="D327" s="180"/>
      <c r="E327" s="180"/>
      <c r="F327" s="187"/>
      <c r="G327" s="180"/>
      <c r="H327" s="180"/>
      <c r="I327" s="180"/>
      <c r="J327" s="187"/>
      <c r="K327" s="180"/>
      <c r="L327" s="180"/>
      <c r="M327" s="180"/>
      <c r="N327" s="180"/>
      <c r="O327" s="218"/>
      <c r="P327" s="180"/>
      <c r="Q327" s="188"/>
      <c r="R327" s="180"/>
      <c r="S327" s="180"/>
      <c r="T327" s="180"/>
      <c r="U327" s="180"/>
      <c r="V327" s="180"/>
      <c r="W327" s="180"/>
      <c r="X327" s="201"/>
      <c r="AJ327" s="149" t="str">
        <f>IF('Cable Info'!L187="","",CONCATENATE('Cable Info'!L187," - ",'Cable Info'!M187))</f>
        <v/>
      </c>
      <c r="AM327" s="149" t="str">
        <f t="shared" si="48"/>
        <v/>
      </c>
      <c r="AO327" s="149" t="str">
        <f>IF('Cable Info'!N187="","",CONCATENATE('Cable Info'!N187," - ",'Cable Info'!O187))</f>
        <v/>
      </c>
      <c r="AR327" s="149" t="str">
        <f t="shared" si="49"/>
        <v/>
      </c>
      <c r="AT327" s="149" t="str">
        <f>IF('Cable Info'!P187="","",CONCATENATE('Cable Info'!P187," - ",'Cable Info'!Q187))</f>
        <v/>
      </c>
      <c r="AW327" s="149" t="str">
        <f t="shared" si="50"/>
        <v/>
      </c>
      <c r="AY327" s="149" t="str">
        <f>IF('Cable Info'!R187="","",CONCATENATE('Cable Info'!R187," - ",'Cable Info'!S187))</f>
        <v/>
      </c>
      <c r="BB327" s="149" t="str">
        <f t="shared" si="51"/>
        <v/>
      </c>
      <c r="BD327" s="149" t="str">
        <f>IF('Cable Info'!T187="","",CONCATENATE('Cable Info'!T187," - ",'Cable Info'!U187))</f>
        <v/>
      </c>
      <c r="BG327" s="149" t="str">
        <f t="shared" si="52"/>
        <v/>
      </c>
      <c r="BI327" s="149" t="str">
        <f>IF('Cable Info'!V187="","",CONCATENATE('Cable Info'!V187," - ",'Cable Info'!W187))</f>
        <v/>
      </c>
      <c r="BL327" s="149" t="str">
        <f t="shared" si="53"/>
        <v/>
      </c>
    </row>
    <row r="328" spans="1:64" x14ac:dyDescent="0.2">
      <c r="A328" s="180"/>
      <c r="B328" s="180"/>
      <c r="C328" s="180"/>
      <c r="D328" s="180"/>
      <c r="E328" s="180"/>
      <c r="F328" s="187"/>
      <c r="G328" s="180"/>
      <c r="H328" s="180"/>
      <c r="I328" s="180"/>
      <c r="J328" s="187"/>
      <c r="K328" s="180"/>
      <c r="L328" s="180"/>
      <c r="M328" s="180"/>
      <c r="N328" s="180"/>
      <c r="O328" s="218"/>
      <c r="P328" s="180"/>
      <c r="Q328" s="188"/>
      <c r="R328" s="180"/>
      <c r="S328" s="180"/>
      <c r="T328" s="180"/>
      <c r="U328" s="180"/>
      <c r="V328" s="180"/>
      <c r="W328" s="180"/>
      <c r="X328" s="201"/>
      <c r="AJ328" s="149" t="str">
        <f>IF('Cable Info'!L188="","",CONCATENATE('Cable Info'!L188," - ",'Cable Info'!M188))</f>
        <v/>
      </c>
      <c r="AM328" s="149" t="str">
        <f t="shared" si="48"/>
        <v/>
      </c>
      <c r="AO328" s="149" t="str">
        <f>IF('Cable Info'!N188="","",CONCATENATE('Cable Info'!N188," - ",'Cable Info'!O188))</f>
        <v/>
      </c>
      <c r="AR328" s="149" t="str">
        <f t="shared" si="49"/>
        <v/>
      </c>
      <c r="AT328" s="149" t="str">
        <f>IF('Cable Info'!P188="","",CONCATENATE('Cable Info'!P188," - ",'Cable Info'!Q188))</f>
        <v/>
      </c>
      <c r="AW328" s="149" t="str">
        <f t="shared" si="50"/>
        <v/>
      </c>
      <c r="AY328" s="149" t="str">
        <f>IF('Cable Info'!R188="","",CONCATENATE('Cable Info'!R188," - ",'Cable Info'!S188))</f>
        <v/>
      </c>
      <c r="BB328" s="149" t="str">
        <f t="shared" si="51"/>
        <v/>
      </c>
      <c r="BD328" s="149" t="str">
        <f>IF('Cable Info'!T188="","",CONCATENATE('Cable Info'!T188," - ",'Cable Info'!U188))</f>
        <v/>
      </c>
      <c r="BG328" s="149" t="str">
        <f t="shared" si="52"/>
        <v/>
      </c>
      <c r="BI328" s="149" t="str">
        <f>IF('Cable Info'!V188="","",CONCATENATE('Cable Info'!V188," - ",'Cable Info'!W188))</f>
        <v/>
      </c>
      <c r="BL328" s="149" t="str">
        <f t="shared" si="53"/>
        <v/>
      </c>
    </row>
    <row r="329" spans="1:64" x14ac:dyDescent="0.2">
      <c r="A329" s="180"/>
      <c r="B329" s="180"/>
      <c r="C329" s="180"/>
      <c r="D329" s="180"/>
      <c r="E329" s="180"/>
      <c r="F329" s="187"/>
      <c r="G329" s="180"/>
      <c r="H329" s="180"/>
      <c r="I329" s="180"/>
      <c r="J329" s="187"/>
      <c r="K329" s="180"/>
      <c r="L329" s="180"/>
      <c r="M329" s="180"/>
      <c r="N329" s="180"/>
      <c r="O329" s="218"/>
      <c r="P329" s="180"/>
      <c r="Q329" s="188"/>
      <c r="R329" s="180"/>
      <c r="S329" s="180"/>
      <c r="T329" s="180"/>
      <c r="U329" s="180"/>
      <c r="V329" s="180"/>
      <c r="W329" s="180"/>
      <c r="X329" s="201"/>
      <c r="AJ329" s="149" t="str">
        <f>IF('Cable Info'!L189="","",CONCATENATE('Cable Info'!L189," - ",'Cable Info'!M189))</f>
        <v/>
      </c>
      <c r="AM329" s="149" t="str">
        <f t="shared" si="48"/>
        <v/>
      </c>
      <c r="AO329" s="149" t="str">
        <f>IF('Cable Info'!N189="","",CONCATENATE('Cable Info'!N189," - ",'Cable Info'!O189))</f>
        <v/>
      </c>
      <c r="AR329" s="149" t="str">
        <f t="shared" si="49"/>
        <v/>
      </c>
      <c r="AT329" s="149" t="str">
        <f>IF('Cable Info'!P189="","",CONCATENATE('Cable Info'!P189," - ",'Cable Info'!Q189))</f>
        <v/>
      </c>
      <c r="AW329" s="149" t="str">
        <f t="shared" si="50"/>
        <v/>
      </c>
      <c r="AY329" s="149" t="str">
        <f>IF('Cable Info'!R189="","",CONCATENATE('Cable Info'!R189," - ",'Cable Info'!S189))</f>
        <v/>
      </c>
      <c r="BB329" s="149" t="str">
        <f t="shared" si="51"/>
        <v/>
      </c>
      <c r="BD329" s="149" t="str">
        <f>IF('Cable Info'!T189="","",CONCATENATE('Cable Info'!T189," - ",'Cable Info'!U189))</f>
        <v/>
      </c>
      <c r="BG329" s="149" t="str">
        <f t="shared" si="52"/>
        <v/>
      </c>
      <c r="BI329" s="149" t="str">
        <f>IF('Cable Info'!V189="","",CONCATENATE('Cable Info'!V189," - ",'Cable Info'!W189))</f>
        <v/>
      </c>
      <c r="BL329" s="149" t="str">
        <f t="shared" si="53"/>
        <v/>
      </c>
    </row>
    <row r="330" spans="1:64" x14ac:dyDescent="0.2">
      <c r="A330" s="180"/>
      <c r="B330" s="180"/>
      <c r="C330" s="180"/>
      <c r="D330" s="180"/>
      <c r="E330" s="180"/>
      <c r="F330" s="187"/>
      <c r="G330" s="180"/>
      <c r="H330" s="180"/>
      <c r="I330" s="180"/>
      <c r="J330" s="187"/>
      <c r="K330" s="180"/>
      <c r="L330" s="180"/>
      <c r="M330" s="180"/>
      <c r="N330" s="180"/>
      <c r="O330" s="218"/>
      <c r="P330" s="180"/>
      <c r="Q330" s="188"/>
      <c r="R330" s="180"/>
      <c r="S330" s="180"/>
      <c r="T330" s="180"/>
      <c r="U330" s="180"/>
      <c r="V330" s="180"/>
      <c r="W330" s="180"/>
      <c r="X330" s="201"/>
      <c r="AJ330" s="149" t="str">
        <f>IF('Cable Info'!L190="","",CONCATENATE('Cable Info'!L190," - ",'Cable Info'!M190))</f>
        <v/>
      </c>
      <c r="AM330" s="149" t="str">
        <f t="shared" si="48"/>
        <v/>
      </c>
      <c r="AO330" s="149" t="str">
        <f>IF('Cable Info'!N190="","",CONCATENATE('Cable Info'!N190," - ",'Cable Info'!O190))</f>
        <v/>
      </c>
      <c r="AR330" s="149" t="str">
        <f t="shared" si="49"/>
        <v/>
      </c>
      <c r="AT330" s="149" t="str">
        <f>IF('Cable Info'!P190="","",CONCATENATE('Cable Info'!P190," - ",'Cable Info'!Q190))</f>
        <v/>
      </c>
      <c r="AW330" s="149" t="str">
        <f t="shared" si="50"/>
        <v/>
      </c>
      <c r="AY330" s="149" t="str">
        <f>IF('Cable Info'!R190="","",CONCATENATE('Cable Info'!R190," - ",'Cable Info'!S190))</f>
        <v/>
      </c>
      <c r="BB330" s="149" t="str">
        <f t="shared" si="51"/>
        <v/>
      </c>
      <c r="BD330" s="149" t="str">
        <f>IF('Cable Info'!T190="","",CONCATENATE('Cable Info'!T190," - ",'Cable Info'!U190))</f>
        <v/>
      </c>
      <c r="BG330" s="149" t="str">
        <f t="shared" si="52"/>
        <v/>
      </c>
      <c r="BI330" s="149" t="str">
        <f>IF('Cable Info'!V190="","",CONCATENATE('Cable Info'!V190," - ",'Cable Info'!W190))</f>
        <v/>
      </c>
      <c r="BL330" s="149" t="str">
        <f t="shared" si="53"/>
        <v/>
      </c>
    </row>
    <row r="331" spans="1:64" x14ac:dyDescent="0.2">
      <c r="A331" s="180"/>
      <c r="B331" s="180"/>
      <c r="C331" s="180"/>
      <c r="D331" s="180"/>
      <c r="E331" s="180"/>
      <c r="F331" s="187"/>
      <c r="G331" s="180"/>
      <c r="H331" s="180"/>
      <c r="I331" s="180"/>
      <c r="J331" s="187"/>
      <c r="K331" s="180"/>
      <c r="L331" s="180"/>
      <c r="M331" s="180"/>
      <c r="N331" s="180"/>
      <c r="O331" s="218"/>
      <c r="P331" s="180"/>
      <c r="Q331" s="188"/>
      <c r="R331" s="180"/>
      <c r="S331" s="180"/>
      <c r="T331" s="180"/>
      <c r="U331" s="180"/>
      <c r="V331" s="180"/>
      <c r="W331" s="180"/>
      <c r="X331" s="201"/>
      <c r="AJ331" s="149" t="str">
        <f>IF('Cable Info'!L191="","",CONCATENATE('Cable Info'!L191," - ",'Cable Info'!M191))</f>
        <v/>
      </c>
      <c r="AM331" s="149" t="str">
        <f t="shared" si="48"/>
        <v/>
      </c>
      <c r="AO331" s="149" t="str">
        <f>IF('Cable Info'!N191="","",CONCATENATE('Cable Info'!N191," - ",'Cable Info'!O191))</f>
        <v/>
      </c>
      <c r="AR331" s="149" t="str">
        <f t="shared" si="49"/>
        <v/>
      </c>
      <c r="AT331" s="149" t="str">
        <f>IF('Cable Info'!P191="","",CONCATENATE('Cable Info'!P191," - ",'Cable Info'!Q191))</f>
        <v/>
      </c>
      <c r="AW331" s="149" t="str">
        <f t="shared" si="50"/>
        <v/>
      </c>
      <c r="AY331" s="149" t="str">
        <f>IF('Cable Info'!R191="","",CONCATENATE('Cable Info'!R191," - ",'Cable Info'!S191))</f>
        <v/>
      </c>
      <c r="BB331" s="149" t="str">
        <f t="shared" si="51"/>
        <v/>
      </c>
      <c r="BD331" s="149" t="str">
        <f>IF('Cable Info'!T191="","",CONCATENATE('Cable Info'!T191," - ",'Cable Info'!U191))</f>
        <v/>
      </c>
      <c r="BG331" s="149" t="str">
        <f t="shared" si="52"/>
        <v/>
      </c>
      <c r="BI331" s="149" t="str">
        <f>IF('Cable Info'!V191="","",CONCATENATE('Cable Info'!V191," - ",'Cable Info'!W191))</f>
        <v/>
      </c>
      <c r="BL331" s="149" t="str">
        <f t="shared" si="53"/>
        <v/>
      </c>
    </row>
    <row r="332" spans="1:64" x14ac:dyDescent="0.2">
      <c r="A332" s="180"/>
      <c r="B332" s="180"/>
      <c r="C332" s="180"/>
      <c r="D332" s="180"/>
      <c r="E332" s="180"/>
      <c r="F332" s="187"/>
      <c r="G332" s="180"/>
      <c r="H332" s="180"/>
      <c r="I332" s="180"/>
      <c r="J332" s="187"/>
      <c r="K332" s="180"/>
      <c r="L332" s="180"/>
      <c r="M332" s="180"/>
      <c r="N332" s="180"/>
      <c r="O332" s="218"/>
      <c r="P332" s="180"/>
      <c r="Q332" s="188"/>
      <c r="R332" s="180"/>
      <c r="S332" s="180"/>
      <c r="T332" s="180"/>
      <c r="U332" s="180"/>
      <c r="V332" s="180"/>
      <c r="W332" s="180"/>
      <c r="X332" s="201"/>
      <c r="AJ332" s="149" t="str">
        <f>IF('Cable Info'!L192="","",CONCATENATE('Cable Info'!L192," - ",'Cable Info'!M192))</f>
        <v/>
      </c>
      <c r="AM332" s="149" t="str">
        <f t="shared" si="48"/>
        <v/>
      </c>
      <c r="AO332" s="149" t="str">
        <f>IF('Cable Info'!N192="","",CONCATENATE('Cable Info'!N192," - ",'Cable Info'!O192))</f>
        <v/>
      </c>
      <c r="AR332" s="149" t="str">
        <f t="shared" si="49"/>
        <v/>
      </c>
      <c r="AT332" s="149" t="str">
        <f>IF('Cable Info'!P192="","",CONCATENATE('Cable Info'!P192," - ",'Cable Info'!Q192))</f>
        <v/>
      </c>
      <c r="AW332" s="149" t="str">
        <f t="shared" si="50"/>
        <v/>
      </c>
      <c r="AY332" s="149" t="str">
        <f>IF('Cable Info'!R192="","",CONCATENATE('Cable Info'!R192," - ",'Cable Info'!S192))</f>
        <v/>
      </c>
      <c r="BB332" s="149" t="str">
        <f t="shared" si="51"/>
        <v/>
      </c>
      <c r="BD332" s="149" t="str">
        <f>IF('Cable Info'!T192="","",CONCATENATE('Cable Info'!T192," - ",'Cable Info'!U192))</f>
        <v/>
      </c>
      <c r="BG332" s="149" t="str">
        <f t="shared" si="52"/>
        <v/>
      </c>
      <c r="BI332" s="149" t="str">
        <f>IF('Cable Info'!V192="","",CONCATENATE('Cable Info'!V192," - ",'Cable Info'!W192))</f>
        <v/>
      </c>
      <c r="BL332" s="149" t="str">
        <f t="shared" si="53"/>
        <v/>
      </c>
    </row>
    <row r="333" spans="1:64" x14ac:dyDescent="0.2">
      <c r="A333" s="180"/>
      <c r="B333" s="180"/>
      <c r="C333" s="180"/>
      <c r="D333" s="180"/>
      <c r="E333" s="180"/>
      <c r="F333" s="187"/>
      <c r="G333" s="180"/>
      <c r="H333" s="180"/>
      <c r="I333" s="180"/>
      <c r="J333" s="187"/>
      <c r="K333" s="180"/>
      <c r="L333" s="180"/>
      <c r="M333" s="180"/>
      <c r="N333" s="180"/>
      <c r="O333" s="218"/>
      <c r="P333" s="180"/>
      <c r="Q333" s="188"/>
      <c r="R333" s="180"/>
      <c r="S333" s="180"/>
      <c r="T333" s="180"/>
      <c r="U333" s="180"/>
      <c r="V333" s="180"/>
      <c r="W333" s="180"/>
      <c r="X333" s="201"/>
      <c r="AJ333" s="149" t="str">
        <f>IF('Cable Info'!L193="","",CONCATENATE('Cable Info'!L193," - ",'Cable Info'!M193))</f>
        <v/>
      </c>
      <c r="AM333" s="149" t="str">
        <f t="shared" si="48"/>
        <v/>
      </c>
      <c r="AO333" s="149" t="str">
        <f>IF('Cable Info'!N193="","",CONCATENATE('Cable Info'!N193," - ",'Cable Info'!O193))</f>
        <v/>
      </c>
      <c r="AR333" s="149" t="str">
        <f t="shared" si="49"/>
        <v/>
      </c>
      <c r="AT333" s="149" t="str">
        <f>IF('Cable Info'!P193="","",CONCATENATE('Cable Info'!P193," - ",'Cable Info'!Q193))</f>
        <v/>
      </c>
      <c r="AW333" s="149" t="str">
        <f t="shared" si="50"/>
        <v/>
      </c>
      <c r="AY333" s="149" t="str">
        <f>IF('Cable Info'!R193="","",CONCATENATE('Cable Info'!R193," - ",'Cable Info'!S193))</f>
        <v/>
      </c>
      <c r="BB333" s="149" t="str">
        <f t="shared" si="51"/>
        <v/>
      </c>
      <c r="BD333" s="149" t="str">
        <f>IF('Cable Info'!T193="","",CONCATENATE('Cable Info'!T193," - ",'Cable Info'!U193))</f>
        <v/>
      </c>
      <c r="BG333" s="149" t="str">
        <f t="shared" si="52"/>
        <v/>
      </c>
      <c r="BI333" s="149" t="str">
        <f>IF('Cable Info'!V193="","",CONCATENATE('Cable Info'!V193," - ",'Cable Info'!W193))</f>
        <v/>
      </c>
      <c r="BL333" s="149" t="str">
        <f t="shared" si="53"/>
        <v/>
      </c>
    </row>
    <row r="334" spans="1:64" x14ac:dyDescent="0.2">
      <c r="A334" s="180"/>
      <c r="B334" s="180"/>
      <c r="C334" s="180"/>
      <c r="D334" s="180"/>
      <c r="E334" s="180"/>
      <c r="F334" s="187"/>
      <c r="G334" s="180"/>
      <c r="H334" s="180"/>
      <c r="I334" s="180"/>
      <c r="J334" s="187"/>
      <c r="K334" s="180"/>
      <c r="L334" s="180"/>
      <c r="M334" s="180"/>
      <c r="N334" s="180"/>
      <c r="O334" s="218"/>
      <c r="P334" s="180"/>
      <c r="Q334" s="188"/>
      <c r="R334" s="180"/>
      <c r="S334" s="180"/>
      <c r="T334" s="180"/>
      <c r="U334" s="180"/>
      <c r="V334" s="180"/>
      <c r="W334" s="180"/>
      <c r="X334" s="201"/>
      <c r="AJ334" s="149" t="str">
        <f>IF('Cable Info'!L194="","",CONCATENATE('Cable Info'!L194," - ",'Cable Info'!M194))</f>
        <v/>
      </c>
      <c r="AM334" s="149" t="str">
        <f t="shared" si="48"/>
        <v/>
      </c>
      <c r="AO334" s="149" t="str">
        <f>IF('Cable Info'!N194="","",CONCATENATE('Cable Info'!N194," - ",'Cable Info'!O194))</f>
        <v/>
      </c>
      <c r="AR334" s="149" t="str">
        <f t="shared" si="49"/>
        <v/>
      </c>
      <c r="AT334" s="149" t="str">
        <f>IF('Cable Info'!P194="","",CONCATENATE('Cable Info'!P194," - ",'Cable Info'!Q194))</f>
        <v/>
      </c>
      <c r="AW334" s="149" t="str">
        <f t="shared" si="50"/>
        <v/>
      </c>
      <c r="AY334" s="149" t="str">
        <f>IF('Cable Info'!R194="","",CONCATENATE('Cable Info'!R194," - ",'Cable Info'!S194))</f>
        <v/>
      </c>
      <c r="BB334" s="149" t="str">
        <f t="shared" si="51"/>
        <v/>
      </c>
      <c r="BD334" s="149" t="str">
        <f>IF('Cable Info'!T194="","",CONCATENATE('Cable Info'!T194," - ",'Cable Info'!U194))</f>
        <v/>
      </c>
      <c r="BG334" s="149" t="str">
        <f t="shared" si="52"/>
        <v/>
      </c>
      <c r="BI334" s="149" t="str">
        <f>IF('Cable Info'!V194="","",CONCATENATE('Cable Info'!V194," - ",'Cable Info'!W194))</f>
        <v/>
      </c>
      <c r="BL334" s="149" t="str">
        <f t="shared" si="53"/>
        <v/>
      </c>
    </row>
    <row r="335" spans="1:64" x14ac:dyDescent="0.2">
      <c r="A335" s="180"/>
      <c r="B335" s="180"/>
      <c r="C335" s="180"/>
      <c r="D335" s="180"/>
      <c r="E335" s="180"/>
      <c r="F335" s="187"/>
      <c r="G335" s="180"/>
      <c r="H335" s="180"/>
      <c r="I335" s="180"/>
      <c r="J335" s="187"/>
      <c r="K335" s="180"/>
      <c r="L335" s="180"/>
      <c r="M335" s="180"/>
      <c r="N335" s="180"/>
      <c r="O335" s="218"/>
      <c r="P335" s="180"/>
      <c r="Q335" s="188"/>
      <c r="R335" s="180"/>
      <c r="S335" s="180"/>
      <c r="T335" s="180"/>
      <c r="U335" s="180"/>
      <c r="V335" s="180"/>
      <c r="W335" s="180"/>
      <c r="X335" s="201"/>
      <c r="AJ335" s="149" t="str">
        <f>IF('Cable Info'!L195="","",CONCATENATE('Cable Info'!L195," - ",'Cable Info'!M195))</f>
        <v/>
      </c>
      <c r="AM335" s="149" t="str">
        <f t="shared" ref="AM335:AM398" si="54">IF(AK335="",AJ335,CONCATENATE(AJ335,"  &lt;=&gt; ",AK335," ",AL335))</f>
        <v/>
      </c>
      <c r="AO335" s="149" t="str">
        <f>IF('Cable Info'!N195="","",CONCATENATE('Cable Info'!N195," - ",'Cable Info'!O195))</f>
        <v/>
      </c>
      <c r="AR335" s="149" t="str">
        <f t="shared" ref="AR335:AR398" si="55">IF(AP335="",AO335,CONCATENATE(AO335,"  &lt;=&gt; ",AP335," ",AQ335))</f>
        <v/>
      </c>
      <c r="AT335" s="149" t="str">
        <f>IF('Cable Info'!P195="","",CONCATENATE('Cable Info'!P195," - ",'Cable Info'!Q195))</f>
        <v/>
      </c>
      <c r="AW335" s="149" t="str">
        <f t="shared" ref="AW335:AW398" si="56">IF(AU335="",AT335,CONCATENATE(AT335,"  &lt;=&gt; ",AU335," ",AV335))</f>
        <v/>
      </c>
      <c r="AY335" s="149" t="str">
        <f>IF('Cable Info'!R195="","",CONCATENATE('Cable Info'!R195," - ",'Cable Info'!S195))</f>
        <v/>
      </c>
      <c r="BB335" s="149" t="str">
        <f t="shared" ref="BB335:BB398" si="57">IF(AZ335="",AY335,CONCATENATE(AY335,"  &lt;=&gt; ",AZ335," ",BA335))</f>
        <v/>
      </c>
      <c r="BD335" s="149" t="str">
        <f>IF('Cable Info'!T195="","",CONCATENATE('Cable Info'!T195," - ",'Cable Info'!U195))</f>
        <v/>
      </c>
      <c r="BG335" s="149" t="str">
        <f t="shared" ref="BG335:BG398" si="58">IF(BE335="",BD335,CONCATENATE(BD335,"  &lt;=&gt; ",BE335," ",BF335))</f>
        <v/>
      </c>
      <c r="BI335" s="149" t="str">
        <f>IF('Cable Info'!V195="","",CONCATENATE('Cable Info'!V195," - ",'Cable Info'!W195))</f>
        <v/>
      </c>
      <c r="BL335" s="149" t="str">
        <f t="shared" ref="BL335:BL398" si="59">IF(BJ335="",BI335,CONCATENATE(BI335,"  &lt;=&gt; ",BJ335," ",BK335))</f>
        <v/>
      </c>
    </row>
    <row r="336" spans="1:64" x14ac:dyDescent="0.2">
      <c r="A336" s="180"/>
      <c r="B336" s="180"/>
      <c r="C336" s="180"/>
      <c r="D336" s="180"/>
      <c r="E336" s="180"/>
      <c r="F336" s="187"/>
      <c r="G336" s="180"/>
      <c r="H336" s="180"/>
      <c r="I336" s="180"/>
      <c r="J336" s="187"/>
      <c r="K336" s="180"/>
      <c r="L336" s="180"/>
      <c r="M336" s="180"/>
      <c r="N336" s="180"/>
      <c r="O336" s="218"/>
      <c r="P336" s="180"/>
      <c r="Q336" s="188"/>
      <c r="R336" s="180"/>
      <c r="S336" s="180"/>
      <c r="T336" s="180"/>
      <c r="U336" s="180"/>
      <c r="V336" s="180"/>
      <c r="W336" s="180"/>
      <c r="X336" s="201"/>
      <c r="AJ336" s="149" t="str">
        <f>IF('Cable Info'!L196="","",CONCATENATE('Cable Info'!L196," - ",'Cable Info'!M196))</f>
        <v/>
      </c>
      <c r="AM336" s="149" t="str">
        <f t="shared" si="54"/>
        <v/>
      </c>
      <c r="AO336" s="149" t="str">
        <f>IF('Cable Info'!N196="","",CONCATENATE('Cable Info'!N196," - ",'Cable Info'!O196))</f>
        <v/>
      </c>
      <c r="AR336" s="149" t="str">
        <f t="shared" si="55"/>
        <v/>
      </c>
      <c r="AT336" s="149" t="str">
        <f>IF('Cable Info'!P196="","",CONCATENATE('Cable Info'!P196," - ",'Cable Info'!Q196))</f>
        <v/>
      </c>
      <c r="AW336" s="149" t="str">
        <f t="shared" si="56"/>
        <v/>
      </c>
      <c r="AY336" s="149" t="str">
        <f>IF('Cable Info'!R196="","",CONCATENATE('Cable Info'!R196," - ",'Cable Info'!S196))</f>
        <v/>
      </c>
      <c r="BB336" s="149" t="str">
        <f t="shared" si="57"/>
        <v/>
      </c>
      <c r="BD336" s="149" t="str">
        <f>IF('Cable Info'!T196="","",CONCATENATE('Cable Info'!T196," - ",'Cable Info'!U196))</f>
        <v/>
      </c>
      <c r="BG336" s="149" t="str">
        <f t="shared" si="58"/>
        <v/>
      </c>
      <c r="BI336" s="149" t="str">
        <f>IF('Cable Info'!V196="","",CONCATENATE('Cable Info'!V196," - ",'Cable Info'!W196))</f>
        <v/>
      </c>
      <c r="BL336" s="149" t="str">
        <f t="shared" si="59"/>
        <v/>
      </c>
    </row>
    <row r="337" spans="1:64" x14ac:dyDescent="0.2">
      <c r="A337" s="180"/>
      <c r="B337" s="180"/>
      <c r="C337" s="180"/>
      <c r="D337" s="180"/>
      <c r="E337" s="180"/>
      <c r="F337" s="187"/>
      <c r="G337" s="180"/>
      <c r="H337" s="180"/>
      <c r="I337" s="180"/>
      <c r="J337" s="187"/>
      <c r="K337" s="180"/>
      <c r="L337" s="180"/>
      <c r="M337" s="180"/>
      <c r="N337" s="180"/>
      <c r="O337" s="218"/>
      <c r="P337" s="180"/>
      <c r="Q337" s="188"/>
      <c r="R337" s="180"/>
      <c r="S337" s="180"/>
      <c r="T337" s="180"/>
      <c r="U337" s="180"/>
      <c r="V337" s="180"/>
      <c r="W337" s="180"/>
      <c r="X337" s="201"/>
      <c r="AJ337" s="149" t="str">
        <f>IF('Cable Info'!L197="","",CONCATENATE('Cable Info'!L197," - ",'Cable Info'!M197))</f>
        <v/>
      </c>
      <c r="AM337" s="149" t="str">
        <f t="shared" si="54"/>
        <v/>
      </c>
      <c r="AO337" s="149" t="str">
        <f>IF('Cable Info'!N197="","",CONCATENATE('Cable Info'!N197," - ",'Cable Info'!O197))</f>
        <v/>
      </c>
      <c r="AR337" s="149" t="str">
        <f t="shared" si="55"/>
        <v/>
      </c>
      <c r="AT337" s="149" t="str">
        <f>IF('Cable Info'!P197="","",CONCATENATE('Cable Info'!P197," - ",'Cable Info'!Q197))</f>
        <v/>
      </c>
      <c r="AW337" s="149" t="str">
        <f t="shared" si="56"/>
        <v/>
      </c>
      <c r="AY337" s="149" t="str">
        <f>IF('Cable Info'!R197="","",CONCATENATE('Cable Info'!R197," - ",'Cable Info'!S197))</f>
        <v/>
      </c>
      <c r="BB337" s="149" t="str">
        <f t="shared" si="57"/>
        <v/>
      </c>
      <c r="BD337" s="149" t="str">
        <f>IF('Cable Info'!T197="","",CONCATENATE('Cable Info'!T197," - ",'Cable Info'!U197))</f>
        <v/>
      </c>
      <c r="BG337" s="149" t="str">
        <f t="shared" si="58"/>
        <v/>
      </c>
      <c r="BI337" s="149" t="str">
        <f>IF('Cable Info'!V197="","",CONCATENATE('Cable Info'!V197," - ",'Cable Info'!W197))</f>
        <v/>
      </c>
      <c r="BL337" s="149" t="str">
        <f t="shared" si="59"/>
        <v/>
      </c>
    </row>
    <row r="338" spans="1:64" x14ac:dyDescent="0.2">
      <c r="A338" s="180"/>
      <c r="B338" s="180"/>
      <c r="C338" s="180"/>
      <c r="D338" s="180"/>
      <c r="E338" s="180"/>
      <c r="F338" s="187"/>
      <c r="G338" s="180"/>
      <c r="H338" s="180"/>
      <c r="I338" s="180"/>
      <c r="J338" s="187"/>
      <c r="K338" s="180"/>
      <c r="L338" s="180"/>
      <c r="M338" s="180"/>
      <c r="N338" s="180"/>
      <c r="O338" s="218"/>
      <c r="P338" s="180"/>
      <c r="Q338" s="188"/>
      <c r="R338" s="180"/>
      <c r="S338" s="180"/>
      <c r="T338" s="180"/>
      <c r="U338" s="180"/>
      <c r="V338" s="180"/>
      <c r="W338" s="180"/>
      <c r="X338" s="201"/>
      <c r="AJ338" s="149" t="str">
        <f>IF('Cable Info'!L198="","",CONCATENATE('Cable Info'!L198," - ",'Cable Info'!M198))</f>
        <v/>
      </c>
      <c r="AM338" s="149" t="str">
        <f t="shared" si="54"/>
        <v/>
      </c>
      <c r="AO338" s="149" t="str">
        <f>IF('Cable Info'!N198="","",CONCATENATE('Cable Info'!N198," - ",'Cable Info'!O198))</f>
        <v/>
      </c>
      <c r="AR338" s="149" t="str">
        <f t="shared" si="55"/>
        <v/>
      </c>
      <c r="AT338" s="149" t="str">
        <f>IF('Cable Info'!P198="","",CONCATENATE('Cable Info'!P198," - ",'Cable Info'!Q198))</f>
        <v/>
      </c>
      <c r="AW338" s="149" t="str">
        <f t="shared" si="56"/>
        <v/>
      </c>
      <c r="AY338" s="149" t="str">
        <f>IF('Cable Info'!R198="","",CONCATENATE('Cable Info'!R198," - ",'Cable Info'!S198))</f>
        <v/>
      </c>
      <c r="BB338" s="149" t="str">
        <f t="shared" si="57"/>
        <v/>
      </c>
      <c r="BD338" s="149" t="str">
        <f>IF('Cable Info'!T198="","",CONCATENATE('Cable Info'!T198," - ",'Cable Info'!U198))</f>
        <v/>
      </c>
      <c r="BG338" s="149" t="str">
        <f t="shared" si="58"/>
        <v/>
      </c>
      <c r="BI338" s="149" t="str">
        <f>IF('Cable Info'!V198="","",CONCATENATE('Cable Info'!V198," - ",'Cable Info'!W198))</f>
        <v/>
      </c>
      <c r="BL338" s="149" t="str">
        <f t="shared" si="59"/>
        <v/>
      </c>
    </row>
    <row r="339" spans="1:64" x14ac:dyDescent="0.2">
      <c r="A339" s="180"/>
      <c r="B339" s="180"/>
      <c r="C339" s="180"/>
      <c r="D339" s="180"/>
      <c r="E339" s="180"/>
      <c r="F339" s="187"/>
      <c r="G339" s="180"/>
      <c r="H339" s="180"/>
      <c r="I339" s="180"/>
      <c r="J339" s="187"/>
      <c r="K339" s="180"/>
      <c r="L339" s="180"/>
      <c r="M339" s="180"/>
      <c r="N339" s="180"/>
      <c r="O339" s="218"/>
      <c r="P339" s="180"/>
      <c r="Q339" s="188"/>
      <c r="R339" s="180"/>
      <c r="S339" s="180"/>
      <c r="T339" s="180"/>
      <c r="U339" s="180"/>
      <c r="V339" s="180"/>
      <c r="W339" s="180"/>
      <c r="X339" s="201"/>
      <c r="AJ339" s="149" t="str">
        <f>IF('Cable Info'!L199="","",CONCATENATE('Cable Info'!L199," - ",'Cable Info'!M199))</f>
        <v/>
      </c>
      <c r="AM339" s="149" t="str">
        <f t="shared" si="54"/>
        <v/>
      </c>
      <c r="AO339" s="149" t="str">
        <f>IF('Cable Info'!N199="","",CONCATENATE('Cable Info'!N199," - ",'Cable Info'!O199))</f>
        <v/>
      </c>
      <c r="AR339" s="149" t="str">
        <f t="shared" si="55"/>
        <v/>
      </c>
      <c r="AT339" s="149" t="str">
        <f>IF('Cable Info'!P199="","",CONCATENATE('Cable Info'!P199," - ",'Cable Info'!Q199))</f>
        <v/>
      </c>
      <c r="AW339" s="149" t="str">
        <f t="shared" si="56"/>
        <v/>
      </c>
      <c r="AY339" s="149" t="str">
        <f>IF('Cable Info'!R199="","",CONCATENATE('Cable Info'!R199," - ",'Cable Info'!S199))</f>
        <v/>
      </c>
      <c r="BB339" s="149" t="str">
        <f t="shared" si="57"/>
        <v/>
      </c>
      <c r="BD339" s="149" t="str">
        <f>IF('Cable Info'!T199="","",CONCATENATE('Cable Info'!T199," - ",'Cable Info'!U199))</f>
        <v/>
      </c>
      <c r="BG339" s="149" t="str">
        <f t="shared" si="58"/>
        <v/>
      </c>
      <c r="BI339" s="149" t="str">
        <f>IF('Cable Info'!V199="","",CONCATENATE('Cable Info'!V199," - ",'Cable Info'!W199))</f>
        <v/>
      </c>
      <c r="BL339" s="149" t="str">
        <f t="shared" si="59"/>
        <v/>
      </c>
    </row>
    <row r="340" spans="1:64" x14ac:dyDescent="0.2">
      <c r="A340" s="180"/>
      <c r="B340" s="180"/>
      <c r="C340" s="180"/>
      <c r="D340" s="180"/>
      <c r="E340" s="180"/>
      <c r="F340" s="187"/>
      <c r="G340" s="180"/>
      <c r="H340" s="180"/>
      <c r="I340" s="180"/>
      <c r="J340" s="187"/>
      <c r="K340" s="180"/>
      <c r="L340" s="180"/>
      <c r="M340" s="180"/>
      <c r="N340" s="180"/>
      <c r="O340" s="218"/>
      <c r="P340" s="180"/>
      <c r="Q340" s="188"/>
      <c r="R340" s="180"/>
      <c r="S340" s="180"/>
      <c r="T340" s="180"/>
      <c r="U340" s="180"/>
      <c r="V340" s="180"/>
      <c r="W340" s="180"/>
      <c r="X340" s="201"/>
      <c r="AJ340" s="149" t="str">
        <f>IF('Cable Info'!L200="","",CONCATENATE('Cable Info'!L200," - ",'Cable Info'!M200))</f>
        <v/>
      </c>
      <c r="AM340" s="149" t="str">
        <f t="shared" si="54"/>
        <v/>
      </c>
      <c r="AO340" s="149" t="str">
        <f>IF('Cable Info'!N200="","",CONCATENATE('Cable Info'!N200," - ",'Cable Info'!O200))</f>
        <v/>
      </c>
      <c r="AR340" s="149" t="str">
        <f t="shared" si="55"/>
        <v/>
      </c>
      <c r="AT340" s="149" t="str">
        <f>IF('Cable Info'!P200="","",CONCATENATE('Cable Info'!P200," - ",'Cable Info'!Q200))</f>
        <v/>
      </c>
      <c r="AW340" s="149" t="str">
        <f t="shared" si="56"/>
        <v/>
      </c>
      <c r="AY340" s="149" t="str">
        <f>IF('Cable Info'!R200="","",CONCATENATE('Cable Info'!R200," - ",'Cable Info'!S200))</f>
        <v/>
      </c>
      <c r="BB340" s="149" t="str">
        <f t="shared" si="57"/>
        <v/>
      </c>
      <c r="BD340" s="149" t="str">
        <f>IF('Cable Info'!T200="","",CONCATENATE('Cable Info'!T200," - ",'Cable Info'!U200))</f>
        <v/>
      </c>
      <c r="BG340" s="149" t="str">
        <f t="shared" si="58"/>
        <v/>
      </c>
      <c r="BI340" s="149" t="str">
        <f>IF('Cable Info'!V200="","",CONCATENATE('Cable Info'!V200," - ",'Cable Info'!W200))</f>
        <v/>
      </c>
      <c r="BL340" s="149" t="str">
        <f t="shared" si="59"/>
        <v/>
      </c>
    </row>
    <row r="341" spans="1:64" x14ac:dyDescent="0.2">
      <c r="A341" s="180"/>
      <c r="B341" s="180"/>
      <c r="C341" s="180"/>
      <c r="D341" s="180"/>
      <c r="E341" s="180"/>
      <c r="F341" s="187"/>
      <c r="G341" s="180"/>
      <c r="H341" s="180"/>
      <c r="I341" s="180"/>
      <c r="J341" s="187"/>
      <c r="K341" s="180"/>
      <c r="L341" s="180"/>
      <c r="M341" s="180"/>
      <c r="N341" s="180"/>
      <c r="O341" s="218"/>
      <c r="P341" s="180"/>
      <c r="Q341" s="188"/>
      <c r="R341" s="180"/>
      <c r="S341" s="180"/>
      <c r="T341" s="180"/>
      <c r="U341" s="180"/>
      <c r="V341" s="180"/>
      <c r="W341" s="180"/>
      <c r="X341" s="201"/>
      <c r="AJ341" s="149" t="str">
        <f>IF('Cable Info'!L201="","",CONCATENATE('Cable Info'!L201," - ",'Cable Info'!M201))</f>
        <v/>
      </c>
      <c r="AM341" s="149" t="str">
        <f t="shared" si="54"/>
        <v/>
      </c>
      <c r="AO341" s="149" t="str">
        <f>IF('Cable Info'!N201="","",CONCATENATE('Cable Info'!N201," - ",'Cable Info'!O201))</f>
        <v/>
      </c>
      <c r="AR341" s="149" t="str">
        <f t="shared" si="55"/>
        <v/>
      </c>
      <c r="AT341" s="149" t="str">
        <f>IF('Cable Info'!P201="","",CONCATENATE('Cable Info'!P201," - ",'Cable Info'!Q201))</f>
        <v/>
      </c>
      <c r="AW341" s="149" t="str">
        <f t="shared" si="56"/>
        <v/>
      </c>
      <c r="AY341" s="149" t="str">
        <f>IF('Cable Info'!R201="","",CONCATENATE('Cable Info'!R201," - ",'Cable Info'!S201))</f>
        <v/>
      </c>
      <c r="BB341" s="149" t="str">
        <f t="shared" si="57"/>
        <v/>
      </c>
      <c r="BD341" s="149" t="str">
        <f>IF('Cable Info'!T201="","",CONCATENATE('Cable Info'!T201," - ",'Cable Info'!U201))</f>
        <v/>
      </c>
      <c r="BG341" s="149" t="str">
        <f t="shared" si="58"/>
        <v/>
      </c>
      <c r="BI341" s="149" t="str">
        <f>IF('Cable Info'!V201="","",CONCATENATE('Cable Info'!V201," - ",'Cable Info'!W201))</f>
        <v/>
      </c>
      <c r="BL341" s="149" t="str">
        <f t="shared" si="59"/>
        <v/>
      </c>
    </row>
    <row r="342" spans="1:64" x14ac:dyDescent="0.2">
      <c r="A342" s="180"/>
      <c r="B342" s="180"/>
      <c r="C342" s="180"/>
      <c r="D342" s="180"/>
      <c r="E342" s="180"/>
      <c r="F342" s="187"/>
      <c r="G342" s="180"/>
      <c r="H342" s="180"/>
      <c r="I342" s="180"/>
      <c r="J342" s="187"/>
      <c r="K342" s="180"/>
      <c r="L342" s="180"/>
      <c r="M342" s="180"/>
      <c r="N342" s="180"/>
      <c r="O342" s="218"/>
      <c r="P342" s="180"/>
      <c r="Q342" s="188"/>
      <c r="R342" s="180"/>
      <c r="S342" s="180"/>
      <c r="T342" s="180"/>
      <c r="U342" s="180"/>
      <c r="V342" s="180"/>
      <c r="W342" s="180"/>
      <c r="X342" s="201"/>
      <c r="AJ342" s="149" t="str">
        <f>IF('Cable Info'!L202="","",CONCATENATE('Cable Info'!L202," - ",'Cable Info'!M202))</f>
        <v/>
      </c>
      <c r="AM342" s="149" t="str">
        <f t="shared" si="54"/>
        <v/>
      </c>
      <c r="AO342" s="149" t="str">
        <f>IF('Cable Info'!N202="","",CONCATENATE('Cable Info'!N202," - ",'Cable Info'!O202))</f>
        <v/>
      </c>
      <c r="AR342" s="149" t="str">
        <f t="shared" si="55"/>
        <v/>
      </c>
      <c r="AT342" s="149" t="str">
        <f>IF('Cable Info'!P202="","",CONCATENATE('Cable Info'!P202," - ",'Cable Info'!Q202))</f>
        <v/>
      </c>
      <c r="AW342" s="149" t="str">
        <f t="shared" si="56"/>
        <v/>
      </c>
      <c r="AY342" s="149" t="str">
        <f>IF('Cable Info'!R202="","",CONCATENATE('Cable Info'!R202," - ",'Cable Info'!S202))</f>
        <v/>
      </c>
      <c r="BB342" s="149" t="str">
        <f t="shared" si="57"/>
        <v/>
      </c>
      <c r="BD342" s="149" t="str">
        <f>IF('Cable Info'!T202="","",CONCATENATE('Cable Info'!T202," - ",'Cable Info'!U202))</f>
        <v/>
      </c>
      <c r="BG342" s="149" t="str">
        <f t="shared" si="58"/>
        <v/>
      </c>
      <c r="BI342" s="149" t="str">
        <f>IF('Cable Info'!V202="","",CONCATENATE('Cable Info'!V202," - ",'Cable Info'!W202))</f>
        <v/>
      </c>
      <c r="BL342" s="149" t="str">
        <f t="shared" si="59"/>
        <v/>
      </c>
    </row>
    <row r="343" spans="1:64" x14ac:dyDescent="0.2">
      <c r="A343" s="180"/>
      <c r="B343" s="180"/>
      <c r="C343" s="180"/>
      <c r="D343" s="180"/>
      <c r="E343" s="180"/>
      <c r="F343" s="187"/>
      <c r="G343" s="180"/>
      <c r="H343" s="180"/>
      <c r="I343" s="180"/>
      <c r="J343" s="187"/>
      <c r="K343" s="180"/>
      <c r="L343" s="180"/>
      <c r="M343" s="180"/>
      <c r="N343" s="180"/>
      <c r="O343" s="218"/>
      <c r="P343" s="180"/>
      <c r="Q343" s="188"/>
      <c r="R343" s="180"/>
      <c r="S343" s="180"/>
      <c r="T343" s="180"/>
      <c r="U343" s="180"/>
      <c r="V343" s="180"/>
      <c r="W343" s="180"/>
      <c r="X343" s="201"/>
      <c r="AJ343" s="149" t="str">
        <f>IF('Cable Info'!L203="","",CONCATENATE('Cable Info'!L203," - ",'Cable Info'!M203))</f>
        <v/>
      </c>
      <c r="AM343" s="149" t="str">
        <f t="shared" si="54"/>
        <v/>
      </c>
      <c r="AO343" s="149" t="str">
        <f>IF('Cable Info'!N203="","",CONCATENATE('Cable Info'!N203," - ",'Cable Info'!O203))</f>
        <v/>
      </c>
      <c r="AR343" s="149" t="str">
        <f t="shared" si="55"/>
        <v/>
      </c>
      <c r="AT343" s="149" t="str">
        <f>IF('Cable Info'!P203="","",CONCATENATE('Cable Info'!P203," - ",'Cable Info'!Q203))</f>
        <v/>
      </c>
      <c r="AW343" s="149" t="str">
        <f t="shared" si="56"/>
        <v/>
      </c>
      <c r="AY343" s="149" t="str">
        <f>IF('Cable Info'!R203="","",CONCATENATE('Cable Info'!R203," - ",'Cable Info'!S203))</f>
        <v/>
      </c>
      <c r="BB343" s="149" t="str">
        <f t="shared" si="57"/>
        <v/>
      </c>
      <c r="BD343" s="149" t="str">
        <f>IF('Cable Info'!T203="","",CONCATENATE('Cable Info'!T203," - ",'Cable Info'!U203))</f>
        <v/>
      </c>
      <c r="BG343" s="149" t="str">
        <f t="shared" si="58"/>
        <v/>
      </c>
      <c r="BI343" s="149" t="str">
        <f>IF('Cable Info'!V203="","",CONCATENATE('Cable Info'!V203," - ",'Cable Info'!W203))</f>
        <v/>
      </c>
      <c r="BL343" s="149" t="str">
        <f t="shared" si="59"/>
        <v/>
      </c>
    </row>
    <row r="344" spans="1:64" x14ac:dyDescent="0.2">
      <c r="A344" s="180"/>
      <c r="B344" s="180"/>
      <c r="C344" s="180"/>
      <c r="D344" s="180"/>
      <c r="E344" s="180"/>
      <c r="F344" s="187"/>
      <c r="G344" s="180"/>
      <c r="H344" s="180"/>
      <c r="I344" s="180"/>
      <c r="J344" s="187"/>
      <c r="K344" s="180"/>
      <c r="L344" s="180"/>
      <c r="M344" s="180"/>
      <c r="N344" s="180"/>
      <c r="O344" s="218"/>
      <c r="P344" s="180"/>
      <c r="Q344" s="188"/>
      <c r="R344" s="180"/>
      <c r="S344" s="180"/>
      <c r="T344" s="180"/>
      <c r="U344" s="180"/>
      <c r="V344" s="180"/>
      <c r="W344" s="180"/>
      <c r="X344" s="201"/>
      <c r="AJ344" s="149" t="str">
        <f>IF('Cable Info'!L204="","",CONCATENATE('Cable Info'!L204," - ",'Cable Info'!M204))</f>
        <v/>
      </c>
      <c r="AM344" s="149" t="str">
        <f t="shared" si="54"/>
        <v/>
      </c>
      <c r="AO344" s="149" t="str">
        <f>IF('Cable Info'!N204="","",CONCATENATE('Cable Info'!N204," - ",'Cable Info'!O204))</f>
        <v/>
      </c>
      <c r="AR344" s="149" t="str">
        <f t="shared" si="55"/>
        <v/>
      </c>
      <c r="AT344" s="149" t="str">
        <f>IF('Cable Info'!P204="","",CONCATENATE('Cable Info'!P204," - ",'Cable Info'!Q204))</f>
        <v/>
      </c>
      <c r="AW344" s="149" t="str">
        <f t="shared" si="56"/>
        <v/>
      </c>
      <c r="AY344" s="149" t="str">
        <f>IF('Cable Info'!R204="","",CONCATENATE('Cable Info'!R204," - ",'Cable Info'!S204))</f>
        <v/>
      </c>
      <c r="BB344" s="149" t="str">
        <f t="shared" si="57"/>
        <v/>
      </c>
      <c r="BD344" s="149" t="str">
        <f>IF('Cable Info'!T204="","",CONCATENATE('Cable Info'!T204," - ",'Cable Info'!U204))</f>
        <v/>
      </c>
      <c r="BG344" s="149" t="str">
        <f t="shared" si="58"/>
        <v/>
      </c>
      <c r="BI344" s="149" t="str">
        <f>IF('Cable Info'!V204="","",CONCATENATE('Cable Info'!V204," - ",'Cable Info'!W204))</f>
        <v/>
      </c>
      <c r="BL344" s="149" t="str">
        <f t="shared" si="59"/>
        <v/>
      </c>
    </row>
    <row r="345" spans="1:64" x14ac:dyDescent="0.2">
      <c r="A345" s="180"/>
      <c r="B345" s="180"/>
      <c r="C345" s="180"/>
      <c r="D345" s="180"/>
      <c r="E345" s="180"/>
      <c r="F345" s="187"/>
      <c r="G345" s="180"/>
      <c r="H345" s="180"/>
      <c r="I345" s="180"/>
      <c r="J345" s="187"/>
      <c r="K345" s="180"/>
      <c r="L345" s="180"/>
      <c r="M345" s="180"/>
      <c r="N345" s="180"/>
      <c r="O345" s="218"/>
      <c r="P345" s="180"/>
      <c r="Q345" s="188"/>
      <c r="R345" s="180"/>
      <c r="S345" s="180"/>
      <c r="T345" s="180"/>
      <c r="U345" s="180"/>
      <c r="V345" s="180"/>
      <c r="W345" s="180"/>
      <c r="X345" s="201"/>
      <c r="AJ345" s="149" t="str">
        <f>IF('Cable Info'!L205="","",CONCATENATE('Cable Info'!L205," - ",'Cable Info'!M205))</f>
        <v/>
      </c>
      <c r="AM345" s="149" t="str">
        <f t="shared" si="54"/>
        <v/>
      </c>
      <c r="AO345" s="149" t="str">
        <f>IF('Cable Info'!N205="","",CONCATENATE('Cable Info'!N205," - ",'Cable Info'!O205))</f>
        <v/>
      </c>
      <c r="AR345" s="149" t="str">
        <f t="shared" si="55"/>
        <v/>
      </c>
      <c r="AT345" s="149" t="str">
        <f>IF('Cable Info'!P205="","",CONCATENATE('Cable Info'!P205," - ",'Cable Info'!Q205))</f>
        <v/>
      </c>
      <c r="AW345" s="149" t="str">
        <f t="shared" si="56"/>
        <v/>
      </c>
      <c r="AY345" s="149" t="str">
        <f>IF('Cable Info'!R205="","",CONCATENATE('Cable Info'!R205," - ",'Cable Info'!S205))</f>
        <v/>
      </c>
      <c r="BB345" s="149" t="str">
        <f t="shared" si="57"/>
        <v/>
      </c>
      <c r="BD345" s="149" t="str">
        <f>IF('Cable Info'!T205="","",CONCATENATE('Cable Info'!T205," - ",'Cable Info'!U205))</f>
        <v/>
      </c>
      <c r="BG345" s="149" t="str">
        <f t="shared" si="58"/>
        <v/>
      </c>
      <c r="BI345" s="149" t="str">
        <f>IF('Cable Info'!V205="","",CONCATENATE('Cable Info'!V205," - ",'Cable Info'!W205))</f>
        <v/>
      </c>
      <c r="BL345" s="149" t="str">
        <f t="shared" si="59"/>
        <v/>
      </c>
    </row>
    <row r="346" spans="1:64" x14ac:dyDescent="0.2">
      <c r="A346" s="180"/>
      <c r="B346" s="180"/>
      <c r="C346" s="180"/>
      <c r="D346" s="180"/>
      <c r="E346" s="180"/>
      <c r="F346" s="187"/>
      <c r="G346" s="180"/>
      <c r="H346" s="180"/>
      <c r="I346" s="180"/>
      <c r="J346" s="187"/>
      <c r="K346" s="180"/>
      <c r="L346" s="180"/>
      <c r="M346" s="180"/>
      <c r="N346" s="180"/>
      <c r="O346" s="218"/>
      <c r="P346" s="180"/>
      <c r="Q346" s="188"/>
      <c r="R346" s="180"/>
      <c r="S346" s="180"/>
      <c r="T346" s="180"/>
      <c r="U346" s="180"/>
      <c r="V346" s="180"/>
      <c r="W346" s="180"/>
      <c r="X346" s="201"/>
      <c r="AJ346" s="149" t="str">
        <f>IF('Cable Info'!L206="","",CONCATENATE('Cable Info'!L206," - ",'Cable Info'!M206))</f>
        <v/>
      </c>
      <c r="AM346" s="149" t="str">
        <f t="shared" si="54"/>
        <v/>
      </c>
      <c r="AO346" s="149" t="str">
        <f>IF('Cable Info'!N206="","",CONCATENATE('Cable Info'!N206," - ",'Cable Info'!O206))</f>
        <v/>
      </c>
      <c r="AR346" s="149" t="str">
        <f t="shared" si="55"/>
        <v/>
      </c>
      <c r="AT346" s="149" t="str">
        <f>IF('Cable Info'!P206="","",CONCATENATE('Cable Info'!P206," - ",'Cable Info'!Q206))</f>
        <v/>
      </c>
      <c r="AW346" s="149" t="str">
        <f t="shared" si="56"/>
        <v/>
      </c>
      <c r="AY346" s="149" t="str">
        <f>IF('Cable Info'!R206="","",CONCATENATE('Cable Info'!R206," - ",'Cable Info'!S206))</f>
        <v/>
      </c>
      <c r="BB346" s="149" t="str">
        <f t="shared" si="57"/>
        <v/>
      </c>
      <c r="BD346" s="149" t="str">
        <f>IF('Cable Info'!T206="","",CONCATENATE('Cable Info'!T206," - ",'Cable Info'!U206))</f>
        <v/>
      </c>
      <c r="BG346" s="149" t="str">
        <f t="shared" si="58"/>
        <v/>
      </c>
      <c r="BI346" s="149" t="str">
        <f>IF('Cable Info'!V206="","",CONCATENATE('Cable Info'!V206," - ",'Cable Info'!W206))</f>
        <v/>
      </c>
      <c r="BL346" s="149" t="str">
        <f t="shared" si="59"/>
        <v/>
      </c>
    </row>
    <row r="347" spans="1:64" x14ac:dyDescent="0.2">
      <c r="A347" s="180"/>
      <c r="B347" s="180"/>
      <c r="C347" s="180"/>
      <c r="D347" s="180"/>
      <c r="E347" s="180"/>
      <c r="F347" s="187"/>
      <c r="G347" s="180"/>
      <c r="H347" s="180"/>
      <c r="I347" s="180"/>
      <c r="J347" s="187"/>
      <c r="K347" s="180"/>
      <c r="L347" s="180"/>
      <c r="M347" s="180"/>
      <c r="N347" s="180"/>
      <c r="O347" s="218"/>
      <c r="P347" s="180"/>
      <c r="Q347" s="188"/>
      <c r="R347" s="180"/>
      <c r="S347" s="180"/>
      <c r="T347" s="180"/>
      <c r="U347" s="180"/>
      <c r="V347" s="180"/>
      <c r="W347" s="180"/>
      <c r="X347" s="201"/>
      <c r="AJ347" s="149" t="str">
        <f>IF('Cable Info'!L207="","",CONCATENATE('Cable Info'!L207," - ",'Cable Info'!M207))</f>
        <v/>
      </c>
      <c r="AM347" s="149" t="str">
        <f t="shared" si="54"/>
        <v/>
      </c>
      <c r="AO347" s="149" t="str">
        <f>IF('Cable Info'!N207="","",CONCATENATE('Cable Info'!N207," - ",'Cable Info'!O207))</f>
        <v/>
      </c>
      <c r="AR347" s="149" t="str">
        <f t="shared" si="55"/>
        <v/>
      </c>
      <c r="AT347" s="149" t="str">
        <f>IF('Cable Info'!P207="","",CONCATENATE('Cable Info'!P207," - ",'Cable Info'!Q207))</f>
        <v/>
      </c>
      <c r="AW347" s="149" t="str">
        <f t="shared" si="56"/>
        <v/>
      </c>
      <c r="AY347" s="149" t="str">
        <f>IF('Cable Info'!R207="","",CONCATENATE('Cable Info'!R207," - ",'Cable Info'!S207))</f>
        <v/>
      </c>
      <c r="BB347" s="149" t="str">
        <f t="shared" si="57"/>
        <v/>
      </c>
      <c r="BD347" s="149" t="str">
        <f>IF('Cable Info'!T207="","",CONCATENATE('Cable Info'!T207," - ",'Cable Info'!U207))</f>
        <v/>
      </c>
      <c r="BG347" s="149" t="str">
        <f t="shared" si="58"/>
        <v/>
      </c>
      <c r="BI347" s="149" t="str">
        <f>IF('Cable Info'!V207="","",CONCATENATE('Cable Info'!V207," - ",'Cable Info'!W207))</f>
        <v/>
      </c>
      <c r="BL347" s="149" t="str">
        <f t="shared" si="59"/>
        <v/>
      </c>
    </row>
    <row r="348" spans="1:64" x14ac:dyDescent="0.2">
      <c r="A348" s="180"/>
      <c r="B348" s="180"/>
      <c r="C348" s="180"/>
      <c r="D348" s="180"/>
      <c r="E348" s="180"/>
      <c r="F348" s="187"/>
      <c r="G348" s="180"/>
      <c r="H348" s="180"/>
      <c r="I348" s="180"/>
      <c r="J348" s="187"/>
      <c r="K348" s="180"/>
      <c r="L348" s="180"/>
      <c r="M348" s="180"/>
      <c r="N348" s="180"/>
      <c r="O348" s="218"/>
      <c r="P348" s="180"/>
      <c r="Q348" s="188"/>
      <c r="R348" s="180"/>
      <c r="S348" s="180"/>
      <c r="T348" s="180"/>
      <c r="U348" s="180"/>
      <c r="V348" s="180"/>
      <c r="W348" s="180"/>
      <c r="X348" s="201"/>
      <c r="AJ348" s="149" t="str">
        <f>IF('Cable Info'!L208="","",CONCATENATE('Cable Info'!L208," - ",'Cable Info'!M208))</f>
        <v/>
      </c>
      <c r="AM348" s="149" t="str">
        <f t="shared" si="54"/>
        <v/>
      </c>
      <c r="AO348" s="149" t="str">
        <f>IF('Cable Info'!N208="","",CONCATENATE('Cable Info'!N208," - ",'Cable Info'!O208))</f>
        <v/>
      </c>
      <c r="AR348" s="149" t="str">
        <f t="shared" si="55"/>
        <v/>
      </c>
      <c r="AT348" s="149" t="str">
        <f>IF('Cable Info'!P208="","",CONCATENATE('Cable Info'!P208," - ",'Cable Info'!Q208))</f>
        <v/>
      </c>
      <c r="AW348" s="149" t="str">
        <f t="shared" si="56"/>
        <v/>
      </c>
      <c r="AY348" s="149" t="str">
        <f>IF('Cable Info'!R208="","",CONCATENATE('Cable Info'!R208," - ",'Cable Info'!S208))</f>
        <v/>
      </c>
      <c r="BB348" s="149" t="str">
        <f t="shared" si="57"/>
        <v/>
      </c>
      <c r="BD348" s="149" t="str">
        <f>IF('Cable Info'!T208="","",CONCATENATE('Cable Info'!T208," - ",'Cable Info'!U208))</f>
        <v/>
      </c>
      <c r="BG348" s="149" t="str">
        <f t="shared" si="58"/>
        <v/>
      </c>
      <c r="BI348" s="149" t="str">
        <f>IF('Cable Info'!V208="","",CONCATENATE('Cable Info'!V208," - ",'Cable Info'!W208))</f>
        <v/>
      </c>
      <c r="BL348" s="149" t="str">
        <f t="shared" si="59"/>
        <v/>
      </c>
    </row>
    <row r="349" spans="1:64" x14ac:dyDescent="0.2">
      <c r="A349" s="180"/>
      <c r="B349" s="180"/>
      <c r="C349" s="180"/>
      <c r="D349" s="180"/>
      <c r="E349" s="180"/>
      <c r="F349" s="187"/>
      <c r="G349" s="180"/>
      <c r="H349" s="180"/>
      <c r="I349" s="180"/>
      <c r="J349" s="187"/>
      <c r="K349" s="180"/>
      <c r="L349" s="180"/>
      <c r="M349" s="180"/>
      <c r="N349" s="180"/>
      <c r="O349" s="218"/>
      <c r="P349" s="180"/>
      <c r="Q349" s="188"/>
      <c r="R349" s="180"/>
      <c r="S349" s="180"/>
      <c r="T349" s="180"/>
      <c r="U349" s="180"/>
      <c r="V349" s="180"/>
      <c r="W349" s="180"/>
      <c r="X349" s="201"/>
      <c r="AJ349" s="149" t="str">
        <f>IF('Cable Info'!L209="","",CONCATENATE('Cable Info'!L209," - ",'Cable Info'!M209))</f>
        <v/>
      </c>
      <c r="AM349" s="149" t="str">
        <f t="shared" si="54"/>
        <v/>
      </c>
      <c r="AO349" s="149" t="str">
        <f>IF('Cable Info'!N209="","",CONCATENATE('Cable Info'!N209," - ",'Cable Info'!O209))</f>
        <v/>
      </c>
      <c r="AR349" s="149" t="str">
        <f t="shared" si="55"/>
        <v/>
      </c>
      <c r="AT349" s="149" t="str">
        <f>IF('Cable Info'!P209="","",CONCATENATE('Cable Info'!P209," - ",'Cable Info'!Q209))</f>
        <v/>
      </c>
      <c r="AW349" s="149" t="str">
        <f t="shared" si="56"/>
        <v/>
      </c>
      <c r="AY349" s="149" t="str">
        <f>IF('Cable Info'!R209="","",CONCATENATE('Cable Info'!R209," - ",'Cable Info'!S209))</f>
        <v/>
      </c>
      <c r="BB349" s="149" t="str">
        <f t="shared" si="57"/>
        <v/>
      </c>
      <c r="BD349" s="149" t="str">
        <f>IF('Cable Info'!T209="","",CONCATENATE('Cable Info'!T209," - ",'Cable Info'!U209))</f>
        <v/>
      </c>
      <c r="BG349" s="149" t="str">
        <f t="shared" si="58"/>
        <v/>
      </c>
      <c r="BI349" s="149" t="str">
        <f>IF('Cable Info'!V209="","",CONCATENATE('Cable Info'!V209," - ",'Cable Info'!W209))</f>
        <v/>
      </c>
      <c r="BL349" s="149" t="str">
        <f t="shared" si="59"/>
        <v/>
      </c>
    </row>
    <row r="350" spans="1:64" x14ac:dyDescent="0.2">
      <c r="A350" s="180"/>
      <c r="B350" s="180"/>
      <c r="C350" s="180"/>
      <c r="D350" s="180"/>
      <c r="E350" s="180"/>
      <c r="F350" s="187"/>
      <c r="G350" s="180"/>
      <c r="H350" s="180"/>
      <c r="I350" s="180"/>
      <c r="J350" s="187"/>
      <c r="K350" s="180"/>
      <c r="L350" s="180"/>
      <c r="M350" s="180"/>
      <c r="N350" s="180"/>
      <c r="O350" s="218"/>
      <c r="P350" s="180"/>
      <c r="Q350" s="188"/>
      <c r="R350" s="180"/>
      <c r="S350" s="180"/>
      <c r="T350" s="180"/>
      <c r="U350" s="180"/>
      <c r="V350" s="180"/>
      <c r="W350" s="180"/>
      <c r="X350" s="201"/>
      <c r="AJ350" s="149" t="str">
        <f>IF('Cable Info'!L210="","",CONCATENATE('Cable Info'!L210," - ",'Cable Info'!M210))</f>
        <v/>
      </c>
      <c r="AM350" s="149" t="str">
        <f t="shared" si="54"/>
        <v/>
      </c>
      <c r="AO350" s="149" t="str">
        <f>IF('Cable Info'!N210="","",CONCATENATE('Cable Info'!N210," - ",'Cable Info'!O210))</f>
        <v/>
      </c>
      <c r="AR350" s="149" t="str">
        <f t="shared" si="55"/>
        <v/>
      </c>
      <c r="AT350" s="149" t="str">
        <f>IF('Cable Info'!P210="","",CONCATENATE('Cable Info'!P210," - ",'Cable Info'!Q210))</f>
        <v/>
      </c>
      <c r="AW350" s="149" t="str">
        <f t="shared" si="56"/>
        <v/>
      </c>
      <c r="AY350" s="149" t="str">
        <f>IF('Cable Info'!R210="","",CONCATENATE('Cable Info'!R210," - ",'Cable Info'!S210))</f>
        <v/>
      </c>
      <c r="BB350" s="149" t="str">
        <f t="shared" si="57"/>
        <v/>
      </c>
      <c r="BD350" s="149" t="str">
        <f>IF('Cable Info'!T210="","",CONCATENATE('Cable Info'!T210," - ",'Cable Info'!U210))</f>
        <v/>
      </c>
      <c r="BG350" s="149" t="str">
        <f t="shared" si="58"/>
        <v/>
      </c>
      <c r="BI350" s="149" t="str">
        <f>IF('Cable Info'!V210="","",CONCATENATE('Cable Info'!V210," - ",'Cable Info'!W210))</f>
        <v/>
      </c>
      <c r="BL350" s="149" t="str">
        <f t="shared" si="59"/>
        <v/>
      </c>
    </row>
    <row r="351" spans="1:64" x14ac:dyDescent="0.2">
      <c r="A351" s="180"/>
      <c r="B351" s="180"/>
      <c r="C351" s="180"/>
      <c r="D351" s="180"/>
      <c r="E351" s="180"/>
      <c r="F351" s="187"/>
      <c r="G351" s="180"/>
      <c r="H351" s="180"/>
      <c r="I351" s="180"/>
      <c r="J351" s="187"/>
      <c r="K351" s="180"/>
      <c r="L351" s="180"/>
      <c r="M351" s="180"/>
      <c r="N351" s="180"/>
      <c r="O351" s="218"/>
      <c r="P351" s="180"/>
      <c r="Q351" s="188"/>
      <c r="R351" s="180"/>
      <c r="S351" s="180"/>
      <c r="T351" s="180"/>
      <c r="U351" s="180"/>
      <c r="V351" s="180"/>
      <c r="W351" s="180"/>
      <c r="X351" s="201"/>
      <c r="AJ351" s="149" t="str">
        <f>IF('Cable Info'!L211="","",CONCATENATE('Cable Info'!L211," - ",'Cable Info'!M211))</f>
        <v/>
      </c>
      <c r="AM351" s="149" t="str">
        <f t="shared" si="54"/>
        <v/>
      </c>
      <c r="AO351" s="149" t="str">
        <f>IF('Cable Info'!N211="","",CONCATENATE('Cable Info'!N211," - ",'Cable Info'!O211))</f>
        <v/>
      </c>
      <c r="AR351" s="149" t="str">
        <f t="shared" si="55"/>
        <v/>
      </c>
      <c r="AT351" s="149" t="str">
        <f>IF('Cable Info'!P211="","",CONCATENATE('Cable Info'!P211," - ",'Cable Info'!Q211))</f>
        <v/>
      </c>
      <c r="AW351" s="149" t="str">
        <f t="shared" si="56"/>
        <v/>
      </c>
      <c r="AY351" s="149" t="str">
        <f>IF('Cable Info'!R211="","",CONCATENATE('Cable Info'!R211," - ",'Cable Info'!S211))</f>
        <v/>
      </c>
      <c r="BB351" s="149" t="str">
        <f t="shared" si="57"/>
        <v/>
      </c>
      <c r="BD351" s="149" t="str">
        <f>IF('Cable Info'!T211="","",CONCATENATE('Cable Info'!T211," - ",'Cable Info'!U211))</f>
        <v/>
      </c>
      <c r="BG351" s="149" t="str">
        <f t="shared" si="58"/>
        <v/>
      </c>
      <c r="BI351" s="149" t="str">
        <f>IF('Cable Info'!V211="","",CONCATENATE('Cable Info'!V211," - ",'Cable Info'!W211))</f>
        <v/>
      </c>
      <c r="BL351" s="149" t="str">
        <f t="shared" si="59"/>
        <v/>
      </c>
    </row>
    <row r="352" spans="1:64" x14ac:dyDescent="0.2">
      <c r="A352" s="180"/>
      <c r="B352" s="180"/>
      <c r="C352" s="180"/>
      <c r="D352" s="180"/>
      <c r="E352" s="180"/>
      <c r="F352" s="187"/>
      <c r="G352" s="180"/>
      <c r="H352" s="180"/>
      <c r="I352" s="180"/>
      <c r="J352" s="187"/>
      <c r="K352" s="180"/>
      <c r="L352" s="180"/>
      <c r="M352" s="180"/>
      <c r="N352" s="180"/>
      <c r="O352" s="218"/>
      <c r="P352" s="180"/>
      <c r="Q352" s="188"/>
      <c r="R352" s="180"/>
      <c r="S352" s="180"/>
      <c r="T352" s="180"/>
      <c r="U352" s="180"/>
      <c r="V352" s="180"/>
      <c r="W352" s="180"/>
      <c r="X352" s="201"/>
      <c r="AJ352" s="149" t="str">
        <f>IF('Cable Info'!L212="","",CONCATENATE('Cable Info'!L212," - ",'Cable Info'!M212))</f>
        <v/>
      </c>
      <c r="AM352" s="149" t="str">
        <f t="shared" si="54"/>
        <v/>
      </c>
      <c r="AO352" s="149" t="str">
        <f>IF('Cable Info'!N212="","",CONCATENATE('Cable Info'!N212," - ",'Cable Info'!O212))</f>
        <v/>
      </c>
      <c r="AR352" s="149" t="str">
        <f t="shared" si="55"/>
        <v/>
      </c>
      <c r="AT352" s="149" t="str">
        <f>IF('Cable Info'!P212="","",CONCATENATE('Cable Info'!P212," - ",'Cable Info'!Q212))</f>
        <v/>
      </c>
      <c r="AW352" s="149" t="str">
        <f t="shared" si="56"/>
        <v/>
      </c>
      <c r="AY352" s="149" t="str">
        <f>IF('Cable Info'!R212="","",CONCATENATE('Cable Info'!R212," - ",'Cable Info'!S212))</f>
        <v/>
      </c>
      <c r="BB352" s="149" t="str">
        <f t="shared" si="57"/>
        <v/>
      </c>
      <c r="BD352" s="149" t="str">
        <f>IF('Cable Info'!T212="","",CONCATENATE('Cable Info'!T212," - ",'Cable Info'!U212))</f>
        <v/>
      </c>
      <c r="BG352" s="149" t="str">
        <f t="shared" si="58"/>
        <v/>
      </c>
      <c r="BI352" s="149" t="str">
        <f>IF('Cable Info'!V212="","",CONCATENATE('Cable Info'!V212," - ",'Cable Info'!W212))</f>
        <v/>
      </c>
      <c r="BL352" s="149" t="str">
        <f t="shared" si="59"/>
        <v/>
      </c>
    </row>
    <row r="353" spans="1:64" x14ac:dyDescent="0.2">
      <c r="A353" s="180"/>
      <c r="B353" s="180"/>
      <c r="C353" s="180"/>
      <c r="D353" s="180"/>
      <c r="E353" s="180"/>
      <c r="F353" s="187"/>
      <c r="G353" s="180"/>
      <c r="H353" s="180"/>
      <c r="I353" s="180"/>
      <c r="J353" s="187"/>
      <c r="K353" s="180"/>
      <c r="L353" s="180"/>
      <c r="M353" s="180"/>
      <c r="N353" s="180"/>
      <c r="O353" s="218"/>
      <c r="P353" s="180"/>
      <c r="Q353" s="188"/>
      <c r="R353" s="180"/>
      <c r="S353" s="180"/>
      <c r="T353" s="180"/>
      <c r="U353" s="180"/>
      <c r="V353" s="180"/>
      <c r="W353" s="180"/>
      <c r="X353" s="201"/>
      <c r="AJ353" s="149" t="str">
        <f>IF('Cable Info'!L213="","",CONCATENATE('Cable Info'!L213," - ",'Cable Info'!M213))</f>
        <v/>
      </c>
      <c r="AM353" s="149" t="str">
        <f t="shared" si="54"/>
        <v/>
      </c>
      <c r="AO353" s="149" t="str">
        <f>IF('Cable Info'!N213="","",CONCATENATE('Cable Info'!N213," - ",'Cable Info'!O213))</f>
        <v/>
      </c>
      <c r="AR353" s="149" t="str">
        <f t="shared" si="55"/>
        <v/>
      </c>
      <c r="AT353" s="149" t="str">
        <f>IF('Cable Info'!P213="","",CONCATENATE('Cable Info'!P213," - ",'Cable Info'!Q213))</f>
        <v/>
      </c>
      <c r="AW353" s="149" t="str">
        <f t="shared" si="56"/>
        <v/>
      </c>
      <c r="AY353" s="149" t="str">
        <f>IF('Cable Info'!R213="","",CONCATENATE('Cable Info'!R213," - ",'Cable Info'!S213))</f>
        <v/>
      </c>
      <c r="BB353" s="149" t="str">
        <f t="shared" si="57"/>
        <v/>
      </c>
      <c r="BD353" s="149" t="str">
        <f>IF('Cable Info'!T213="","",CONCATENATE('Cable Info'!T213," - ",'Cable Info'!U213))</f>
        <v/>
      </c>
      <c r="BG353" s="149" t="str">
        <f t="shared" si="58"/>
        <v/>
      </c>
      <c r="BI353" s="149" t="str">
        <f>IF('Cable Info'!V213="","",CONCATENATE('Cable Info'!V213," - ",'Cable Info'!W213))</f>
        <v/>
      </c>
      <c r="BL353" s="149" t="str">
        <f t="shared" si="59"/>
        <v/>
      </c>
    </row>
    <row r="354" spans="1:64" x14ac:dyDescent="0.2">
      <c r="A354" s="180"/>
      <c r="B354" s="180"/>
      <c r="C354" s="180"/>
      <c r="D354" s="180"/>
      <c r="E354" s="180"/>
      <c r="F354" s="187"/>
      <c r="G354" s="180"/>
      <c r="H354" s="180"/>
      <c r="I354" s="180"/>
      <c r="J354" s="187"/>
      <c r="K354" s="180"/>
      <c r="L354" s="180"/>
      <c r="M354" s="180"/>
      <c r="N354" s="180"/>
      <c r="O354" s="218"/>
      <c r="P354" s="180"/>
      <c r="Q354" s="188"/>
      <c r="R354" s="180"/>
      <c r="S354" s="180"/>
      <c r="T354" s="180"/>
      <c r="U354" s="180"/>
      <c r="V354" s="180"/>
      <c r="W354" s="180"/>
      <c r="X354" s="201"/>
      <c r="AJ354" s="149" t="str">
        <f>IF('Cable Info'!L214="","",CONCATENATE('Cable Info'!L214," - ",'Cable Info'!M214))</f>
        <v/>
      </c>
      <c r="AM354" s="149" t="str">
        <f t="shared" si="54"/>
        <v/>
      </c>
      <c r="AO354" s="149" t="str">
        <f>IF('Cable Info'!N214="","",CONCATENATE('Cable Info'!N214," - ",'Cable Info'!O214))</f>
        <v/>
      </c>
      <c r="AR354" s="149" t="str">
        <f t="shared" si="55"/>
        <v/>
      </c>
      <c r="AT354" s="149" t="str">
        <f>IF('Cable Info'!P214="","",CONCATENATE('Cable Info'!P214," - ",'Cable Info'!Q214))</f>
        <v/>
      </c>
      <c r="AW354" s="149" t="str">
        <f t="shared" si="56"/>
        <v/>
      </c>
      <c r="AY354" s="149" t="str">
        <f>IF('Cable Info'!R214="","",CONCATENATE('Cable Info'!R214," - ",'Cable Info'!S214))</f>
        <v/>
      </c>
      <c r="BB354" s="149" t="str">
        <f t="shared" si="57"/>
        <v/>
      </c>
      <c r="BD354" s="149" t="str">
        <f>IF('Cable Info'!T214="","",CONCATENATE('Cable Info'!T214," - ",'Cable Info'!U214))</f>
        <v/>
      </c>
      <c r="BG354" s="149" t="str">
        <f t="shared" si="58"/>
        <v/>
      </c>
      <c r="BI354" s="149" t="str">
        <f>IF('Cable Info'!V214="","",CONCATENATE('Cable Info'!V214," - ",'Cable Info'!W214))</f>
        <v/>
      </c>
      <c r="BL354" s="149" t="str">
        <f t="shared" si="59"/>
        <v/>
      </c>
    </row>
    <row r="355" spans="1:64" x14ac:dyDescent="0.2">
      <c r="A355" s="180"/>
      <c r="B355" s="180"/>
      <c r="C355" s="180"/>
      <c r="D355" s="180"/>
      <c r="E355" s="180"/>
      <c r="F355" s="187"/>
      <c r="G355" s="180"/>
      <c r="H355" s="180"/>
      <c r="I355" s="180"/>
      <c r="J355" s="187"/>
      <c r="K355" s="180"/>
      <c r="L355" s="180"/>
      <c r="M355" s="180"/>
      <c r="N355" s="180"/>
      <c r="O355" s="218"/>
      <c r="P355" s="180"/>
      <c r="Q355" s="188"/>
      <c r="R355" s="180"/>
      <c r="S355" s="180"/>
      <c r="T355" s="180"/>
      <c r="U355" s="180"/>
      <c r="V355" s="180"/>
      <c r="W355" s="180"/>
      <c r="X355" s="201"/>
      <c r="AJ355" s="149" t="str">
        <f>IF('Cable Info'!L215="","",CONCATENATE('Cable Info'!L215," - ",'Cable Info'!M215))</f>
        <v/>
      </c>
      <c r="AM355" s="149" t="str">
        <f t="shared" si="54"/>
        <v/>
      </c>
      <c r="AO355" s="149" t="str">
        <f>IF('Cable Info'!N215="","",CONCATENATE('Cable Info'!N215," - ",'Cable Info'!O215))</f>
        <v/>
      </c>
      <c r="AR355" s="149" t="str">
        <f t="shared" si="55"/>
        <v/>
      </c>
      <c r="AT355" s="149" t="str">
        <f>IF('Cable Info'!P215="","",CONCATENATE('Cable Info'!P215," - ",'Cable Info'!Q215))</f>
        <v/>
      </c>
      <c r="AW355" s="149" t="str">
        <f t="shared" si="56"/>
        <v/>
      </c>
      <c r="AY355" s="149" t="str">
        <f>IF('Cable Info'!R215="","",CONCATENATE('Cable Info'!R215," - ",'Cable Info'!S215))</f>
        <v/>
      </c>
      <c r="BB355" s="149" t="str">
        <f t="shared" si="57"/>
        <v/>
      </c>
      <c r="BD355" s="149" t="str">
        <f>IF('Cable Info'!T215="","",CONCATENATE('Cable Info'!T215," - ",'Cable Info'!U215))</f>
        <v/>
      </c>
      <c r="BG355" s="149" t="str">
        <f t="shared" si="58"/>
        <v/>
      </c>
      <c r="BI355" s="149" t="str">
        <f>IF('Cable Info'!V215="","",CONCATENATE('Cable Info'!V215," - ",'Cable Info'!W215))</f>
        <v/>
      </c>
      <c r="BL355" s="149" t="str">
        <f t="shared" si="59"/>
        <v/>
      </c>
    </row>
    <row r="356" spans="1:64" x14ac:dyDescent="0.2">
      <c r="A356" s="180"/>
      <c r="B356" s="180"/>
      <c r="C356" s="180"/>
      <c r="D356" s="180"/>
      <c r="E356" s="180"/>
      <c r="F356" s="187"/>
      <c r="G356" s="180"/>
      <c r="H356" s="180"/>
      <c r="I356" s="180"/>
      <c r="J356" s="187"/>
      <c r="K356" s="180"/>
      <c r="L356" s="180"/>
      <c r="M356" s="180"/>
      <c r="N356" s="180"/>
      <c r="O356" s="218"/>
      <c r="P356" s="180"/>
      <c r="Q356" s="188"/>
      <c r="R356" s="180"/>
      <c r="S356" s="180"/>
      <c r="T356" s="180"/>
      <c r="U356" s="180"/>
      <c r="V356" s="180"/>
      <c r="W356" s="180"/>
      <c r="X356" s="201"/>
      <c r="AJ356" s="149" t="str">
        <f>IF('Cable Info'!L216="","",CONCATENATE('Cable Info'!L216," - ",'Cable Info'!M216))</f>
        <v/>
      </c>
      <c r="AM356" s="149" t="str">
        <f t="shared" si="54"/>
        <v/>
      </c>
      <c r="AO356" s="149" t="str">
        <f>IF('Cable Info'!N216="","",CONCATENATE('Cable Info'!N216," - ",'Cable Info'!O216))</f>
        <v/>
      </c>
      <c r="AR356" s="149" t="str">
        <f t="shared" si="55"/>
        <v/>
      </c>
      <c r="AT356" s="149" t="str">
        <f>IF('Cable Info'!P216="","",CONCATENATE('Cable Info'!P216," - ",'Cable Info'!Q216))</f>
        <v/>
      </c>
      <c r="AW356" s="149" t="str">
        <f t="shared" si="56"/>
        <v/>
      </c>
      <c r="AY356" s="149" t="str">
        <f>IF('Cable Info'!R216="","",CONCATENATE('Cable Info'!R216," - ",'Cable Info'!S216))</f>
        <v/>
      </c>
      <c r="BB356" s="149" t="str">
        <f t="shared" si="57"/>
        <v/>
      </c>
      <c r="BD356" s="149" t="str">
        <f>IF('Cable Info'!T216="","",CONCATENATE('Cable Info'!T216," - ",'Cable Info'!U216))</f>
        <v/>
      </c>
      <c r="BG356" s="149" t="str">
        <f t="shared" si="58"/>
        <v/>
      </c>
      <c r="BI356" s="149" t="str">
        <f>IF('Cable Info'!V216="","",CONCATENATE('Cable Info'!V216," - ",'Cable Info'!W216))</f>
        <v/>
      </c>
      <c r="BL356" s="149" t="str">
        <f t="shared" si="59"/>
        <v/>
      </c>
    </row>
    <row r="357" spans="1:64" x14ac:dyDescent="0.2">
      <c r="A357" s="180"/>
      <c r="B357" s="180"/>
      <c r="C357" s="180"/>
      <c r="D357" s="180"/>
      <c r="E357" s="180"/>
      <c r="F357" s="187"/>
      <c r="G357" s="180"/>
      <c r="H357" s="180"/>
      <c r="I357" s="180"/>
      <c r="J357" s="187"/>
      <c r="K357" s="180"/>
      <c r="L357" s="180"/>
      <c r="M357" s="180"/>
      <c r="N357" s="180"/>
      <c r="O357" s="218"/>
      <c r="P357" s="180"/>
      <c r="Q357" s="188"/>
      <c r="R357" s="180"/>
      <c r="S357" s="180"/>
      <c r="T357" s="180"/>
      <c r="U357" s="180"/>
      <c r="V357" s="180"/>
      <c r="W357" s="180"/>
      <c r="X357" s="201"/>
      <c r="AJ357" s="149" t="str">
        <f>IF('Cable Info'!L217="","",CONCATENATE('Cable Info'!L217," - ",'Cable Info'!M217))</f>
        <v/>
      </c>
      <c r="AM357" s="149" t="str">
        <f t="shared" si="54"/>
        <v/>
      </c>
      <c r="AO357" s="149" t="str">
        <f>IF('Cable Info'!N217="","",CONCATENATE('Cable Info'!N217," - ",'Cable Info'!O217))</f>
        <v/>
      </c>
      <c r="AR357" s="149" t="str">
        <f t="shared" si="55"/>
        <v/>
      </c>
      <c r="AT357" s="149" t="str">
        <f>IF('Cable Info'!P217="","",CONCATENATE('Cable Info'!P217," - ",'Cable Info'!Q217))</f>
        <v/>
      </c>
      <c r="AW357" s="149" t="str">
        <f t="shared" si="56"/>
        <v/>
      </c>
      <c r="AY357" s="149" t="str">
        <f>IF('Cable Info'!R217="","",CONCATENATE('Cable Info'!R217," - ",'Cable Info'!S217))</f>
        <v/>
      </c>
      <c r="BB357" s="149" t="str">
        <f t="shared" si="57"/>
        <v/>
      </c>
      <c r="BD357" s="149" t="str">
        <f>IF('Cable Info'!T217="","",CONCATENATE('Cable Info'!T217," - ",'Cable Info'!U217))</f>
        <v/>
      </c>
      <c r="BG357" s="149" t="str">
        <f t="shared" si="58"/>
        <v/>
      </c>
      <c r="BI357" s="149" t="str">
        <f>IF('Cable Info'!V217="","",CONCATENATE('Cable Info'!V217," - ",'Cable Info'!W217))</f>
        <v/>
      </c>
      <c r="BL357" s="149" t="str">
        <f t="shared" si="59"/>
        <v/>
      </c>
    </row>
    <row r="358" spans="1:64" x14ac:dyDescent="0.2">
      <c r="A358" s="180"/>
      <c r="B358" s="180"/>
      <c r="C358" s="180"/>
      <c r="D358" s="180"/>
      <c r="E358" s="180"/>
      <c r="F358" s="187"/>
      <c r="G358" s="180"/>
      <c r="H358" s="180"/>
      <c r="I358" s="180"/>
      <c r="J358" s="187"/>
      <c r="K358" s="180"/>
      <c r="L358" s="180"/>
      <c r="M358" s="180"/>
      <c r="N358" s="180"/>
      <c r="O358" s="218"/>
      <c r="P358" s="180"/>
      <c r="Q358" s="188"/>
      <c r="R358" s="180"/>
      <c r="S358" s="180"/>
      <c r="T358" s="180"/>
      <c r="U358" s="180"/>
      <c r="V358" s="180"/>
      <c r="W358" s="180"/>
      <c r="X358" s="201"/>
      <c r="AJ358" s="149" t="str">
        <f>IF('Cable Info'!L218="","",CONCATENATE('Cable Info'!L218," - ",'Cable Info'!M218))</f>
        <v/>
      </c>
      <c r="AM358" s="149" t="str">
        <f t="shared" si="54"/>
        <v/>
      </c>
      <c r="AO358" s="149" t="str">
        <f>IF('Cable Info'!N218="","",CONCATENATE('Cable Info'!N218," - ",'Cable Info'!O218))</f>
        <v/>
      </c>
      <c r="AR358" s="149" t="str">
        <f t="shared" si="55"/>
        <v/>
      </c>
      <c r="AT358" s="149" t="str">
        <f>IF('Cable Info'!P218="","",CONCATENATE('Cable Info'!P218," - ",'Cable Info'!Q218))</f>
        <v/>
      </c>
      <c r="AW358" s="149" t="str">
        <f t="shared" si="56"/>
        <v/>
      </c>
      <c r="AY358" s="149" t="str">
        <f>IF('Cable Info'!R218="","",CONCATENATE('Cable Info'!R218," - ",'Cable Info'!S218))</f>
        <v/>
      </c>
      <c r="BB358" s="149" t="str">
        <f t="shared" si="57"/>
        <v/>
      </c>
      <c r="BD358" s="149" t="str">
        <f>IF('Cable Info'!T218="","",CONCATENATE('Cable Info'!T218," - ",'Cable Info'!U218))</f>
        <v/>
      </c>
      <c r="BG358" s="149" t="str">
        <f t="shared" si="58"/>
        <v/>
      </c>
      <c r="BI358" s="149" t="str">
        <f>IF('Cable Info'!V218="","",CONCATENATE('Cable Info'!V218," - ",'Cable Info'!W218))</f>
        <v/>
      </c>
      <c r="BL358" s="149" t="str">
        <f t="shared" si="59"/>
        <v/>
      </c>
    </row>
    <row r="359" spans="1:64" x14ac:dyDescent="0.2">
      <c r="A359" s="180"/>
      <c r="B359" s="180"/>
      <c r="C359" s="180"/>
      <c r="D359" s="180"/>
      <c r="E359" s="180"/>
      <c r="F359" s="187"/>
      <c r="G359" s="180"/>
      <c r="H359" s="180"/>
      <c r="I359" s="180"/>
      <c r="J359" s="187"/>
      <c r="K359" s="180"/>
      <c r="L359" s="180"/>
      <c r="M359" s="180"/>
      <c r="N359" s="180"/>
      <c r="O359" s="218"/>
      <c r="P359" s="180"/>
      <c r="Q359" s="188"/>
      <c r="R359" s="180"/>
      <c r="S359" s="180"/>
      <c r="T359" s="180"/>
      <c r="U359" s="180"/>
      <c r="V359" s="180"/>
      <c r="W359" s="180"/>
      <c r="X359" s="201"/>
      <c r="AJ359" s="149" t="str">
        <f>IF('Cable Info'!L219="","",CONCATENATE('Cable Info'!L219," - ",'Cable Info'!M219))</f>
        <v/>
      </c>
      <c r="AM359" s="149" t="str">
        <f t="shared" si="54"/>
        <v/>
      </c>
      <c r="AO359" s="149" t="str">
        <f>IF('Cable Info'!N219="","",CONCATENATE('Cable Info'!N219," - ",'Cable Info'!O219))</f>
        <v/>
      </c>
      <c r="AR359" s="149" t="str">
        <f t="shared" si="55"/>
        <v/>
      </c>
      <c r="AT359" s="149" t="str">
        <f>IF('Cable Info'!P219="","",CONCATENATE('Cable Info'!P219," - ",'Cable Info'!Q219))</f>
        <v/>
      </c>
      <c r="AW359" s="149" t="str">
        <f t="shared" si="56"/>
        <v/>
      </c>
      <c r="AY359" s="149" t="str">
        <f>IF('Cable Info'!R219="","",CONCATENATE('Cable Info'!R219," - ",'Cable Info'!S219))</f>
        <v/>
      </c>
      <c r="BB359" s="149" t="str">
        <f t="shared" si="57"/>
        <v/>
      </c>
      <c r="BD359" s="149" t="str">
        <f>IF('Cable Info'!T219="","",CONCATENATE('Cable Info'!T219," - ",'Cable Info'!U219))</f>
        <v/>
      </c>
      <c r="BG359" s="149" t="str">
        <f t="shared" si="58"/>
        <v/>
      </c>
      <c r="BI359" s="149" t="str">
        <f>IF('Cable Info'!V219="","",CONCATENATE('Cable Info'!V219," - ",'Cable Info'!W219))</f>
        <v/>
      </c>
      <c r="BL359" s="149" t="str">
        <f t="shared" si="59"/>
        <v/>
      </c>
    </row>
    <row r="360" spans="1:64" x14ac:dyDescent="0.2">
      <c r="A360" s="180"/>
      <c r="B360" s="180"/>
      <c r="C360" s="180"/>
      <c r="D360" s="180"/>
      <c r="E360" s="180"/>
      <c r="F360" s="187"/>
      <c r="G360" s="180"/>
      <c r="H360" s="180"/>
      <c r="I360" s="180"/>
      <c r="J360" s="187"/>
      <c r="K360" s="180"/>
      <c r="L360" s="180"/>
      <c r="M360" s="180"/>
      <c r="N360" s="180"/>
      <c r="O360" s="218"/>
      <c r="P360" s="180"/>
      <c r="Q360" s="188"/>
      <c r="R360" s="180"/>
      <c r="S360" s="180"/>
      <c r="T360" s="180"/>
      <c r="U360" s="180"/>
      <c r="V360" s="180"/>
      <c r="W360" s="180"/>
      <c r="X360" s="201"/>
      <c r="AJ360" s="149" t="str">
        <f>IF('Cable Info'!L220="","",CONCATENATE('Cable Info'!L220," - ",'Cable Info'!M220))</f>
        <v/>
      </c>
      <c r="AM360" s="149" t="str">
        <f t="shared" si="54"/>
        <v/>
      </c>
      <c r="AO360" s="149" t="str">
        <f>IF('Cable Info'!N220="","",CONCATENATE('Cable Info'!N220," - ",'Cable Info'!O220))</f>
        <v/>
      </c>
      <c r="AR360" s="149" t="str">
        <f t="shared" si="55"/>
        <v/>
      </c>
      <c r="AT360" s="149" t="str">
        <f>IF('Cable Info'!P220="","",CONCATENATE('Cable Info'!P220," - ",'Cable Info'!Q220))</f>
        <v/>
      </c>
      <c r="AW360" s="149" t="str">
        <f t="shared" si="56"/>
        <v/>
      </c>
      <c r="AY360" s="149" t="str">
        <f>IF('Cable Info'!R220="","",CONCATENATE('Cable Info'!R220," - ",'Cable Info'!S220))</f>
        <v/>
      </c>
      <c r="BB360" s="149" t="str">
        <f t="shared" si="57"/>
        <v/>
      </c>
      <c r="BD360" s="149" t="str">
        <f>IF('Cable Info'!T220="","",CONCATENATE('Cable Info'!T220," - ",'Cable Info'!U220))</f>
        <v/>
      </c>
      <c r="BG360" s="149" t="str">
        <f t="shared" si="58"/>
        <v/>
      </c>
      <c r="BI360" s="149" t="str">
        <f>IF('Cable Info'!V220="","",CONCATENATE('Cable Info'!V220," - ",'Cable Info'!W220))</f>
        <v/>
      </c>
      <c r="BL360" s="149" t="str">
        <f t="shared" si="59"/>
        <v/>
      </c>
    </row>
    <row r="361" spans="1:64" x14ac:dyDescent="0.2">
      <c r="A361" s="180"/>
      <c r="B361" s="180"/>
      <c r="C361" s="180"/>
      <c r="D361" s="180"/>
      <c r="E361" s="180"/>
      <c r="F361" s="187"/>
      <c r="G361" s="180"/>
      <c r="H361" s="180"/>
      <c r="I361" s="180"/>
      <c r="J361" s="187"/>
      <c r="K361" s="180"/>
      <c r="L361" s="180"/>
      <c r="M361" s="180"/>
      <c r="N361" s="180"/>
      <c r="O361" s="218"/>
      <c r="P361" s="180"/>
      <c r="Q361" s="188"/>
      <c r="R361" s="180"/>
      <c r="S361" s="180"/>
      <c r="T361" s="180"/>
      <c r="U361" s="180"/>
      <c r="V361" s="180"/>
      <c r="W361" s="180"/>
      <c r="X361" s="201"/>
      <c r="AJ361" s="149" t="str">
        <f>IF('Cable Info'!L221="","",CONCATENATE('Cable Info'!L221," - ",'Cable Info'!M221))</f>
        <v/>
      </c>
      <c r="AM361" s="149" t="str">
        <f t="shared" si="54"/>
        <v/>
      </c>
      <c r="AO361" s="149" t="str">
        <f>IF('Cable Info'!N221="","",CONCATENATE('Cable Info'!N221," - ",'Cable Info'!O221))</f>
        <v/>
      </c>
      <c r="AR361" s="149" t="str">
        <f t="shared" si="55"/>
        <v/>
      </c>
      <c r="AT361" s="149" t="str">
        <f>IF('Cable Info'!P221="","",CONCATENATE('Cable Info'!P221," - ",'Cable Info'!Q221))</f>
        <v/>
      </c>
      <c r="AW361" s="149" t="str">
        <f t="shared" si="56"/>
        <v/>
      </c>
      <c r="AY361" s="149" t="str">
        <f>IF('Cable Info'!R221="","",CONCATENATE('Cable Info'!R221," - ",'Cable Info'!S221))</f>
        <v/>
      </c>
      <c r="BB361" s="149" t="str">
        <f t="shared" si="57"/>
        <v/>
      </c>
      <c r="BD361" s="149" t="str">
        <f>IF('Cable Info'!T221="","",CONCATENATE('Cable Info'!T221," - ",'Cable Info'!U221))</f>
        <v/>
      </c>
      <c r="BG361" s="149" t="str">
        <f t="shared" si="58"/>
        <v/>
      </c>
      <c r="BI361" s="149" t="str">
        <f>IF('Cable Info'!V221="","",CONCATENATE('Cable Info'!V221," - ",'Cable Info'!W221))</f>
        <v/>
      </c>
      <c r="BL361" s="149" t="str">
        <f t="shared" si="59"/>
        <v/>
      </c>
    </row>
    <row r="362" spans="1:64" x14ac:dyDescent="0.2">
      <c r="A362" s="180"/>
      <c r="B362" s="180"/>
      <c r="C362" s="180"/>
      <c r="D362" s="180"/>
      <c r="E362" s="180"/>
      <c r="F362" s="187"/>
      <c r="G362" s="180"/>
      <c r="H362" s="180"/>
      <c r="I362" s="180"/>
      <c r="J362" s="187"/>
      <c r="K362" s="180"/>
      <c r="L362" s="180"/>
      <c r="M362" s="180"/>
      <c r="N362" s="180"/>
      <c r="O362" s="218"/>
      <c r="P362" s="180"/>
      <c r="Q362" s="188"/>
      <c r="R362" s="180"/>
      <c r="S362" s="180"/>
      <c r="T362" s="180"/>
      <c r="U362" s="180"/>
      <c r="V362" s="180"/>
      <c r="W362" s="180"/>
      <c r="X362" s="201"/>
      <c r="AJ362" s="149" t="str">
        <f>IF('Cable Info'!L222="","",CONCATENATE('Cable Info'!L222," - ",'Cable Info'!M222))</f>
        <v/>
      </c>
      <c r="AM362" s="149" t="str">
        <f t="shared" si="54"/>
        <v/>
      </c>
      <c r="AO362" s="149" t="str">
        <f>IF('Cable Info'!N222="","",CONCATENATE('Cable Info'!N222," - ",'Cable Info'!O222))</f>
        <v/>
      </c>
      <c r="AR362" s="149" t="str">
        <f t="shared" si="55"/>
        <v/>
      </c>
      <c r="AT362" s="149" t="str">
        <f>IF('Cable Info'!P222="","",CONCATENATE('Cable Info'!P222," - ",'Cable Info'!Q222))</f>
        <v/>
      </c>
      <c r="AW362" s="149" t="str">
        <f t="shared" si="56"/>
        <v/>
      </c>
      <c r="AY362" s="149" t="str">
        <f>IF('Cable Info'!R222="","",CONCATENATE('Cable Info'!R222," - ",'Cable Info'!S222))</f>
        <v/>
      </c>
      <c r="BB362" s="149" t="str">
        <f t="shared" si="57"/>
        <v/>
      </c>
      <c r="BD362" s="149" t="str">
        <f>IF('Cable Info'!T222="","",CONCATENATE('Cable Info'!T222," - ",'Cable Info'!U222))</f>
        <v/>
      </c>
      <c r="BG362" s="149" t="str">
        <f t="shared" si="58"/>
        <v/>
      </c>
      <c r="BI362" s="149" t="str">
        <f>IF('Cable Info'!V222="","",CONCATENATE('Cable Info'!V222," - ",'Cable Info'!W222))</f>
        <v/>
      </c>
      <c r="BL362" s="149" t="str">
        <f t="shared" si="59"/>
        <v/>
      </c>
    </row>
    <row r="363" spans="1:64" x14ac:dyDescent="0.2">
      <c r="A363" s="180"/>
      <c r="B363" s="180"/>
      <c r="C363" s="180"/>
      <c r="D363" s="180"/>
      <c r="E363" s="180"/>
      <c r="F363" s="187"/>
      <c r="G363" s="180"/>
      <c r="H363" s="180"/>
      <c r="I363" s="180"/>
      <c r="J363" s="187"/>
      <c r="K363" s="180"/>
      <c r="L363" s="180"/>
      <c r="M363" s="180"/>
      <c r="N363" s="180"/>
      <c r="O363" s="218"/>
      <c r="P363" s="180"/>
      <c r="Q363" s="188"/>
      <c r="R363" s="180"/>
      <c r="S363" s="180"/>
      <c r="T363" s="180"/>
      <c r="U363" s="180"/>
      <c r="V363" s="180"/>
      <c r="W363" s="180"/>
      <c r="X363" s="201"/>
      <c r="AJ363" s="149" t="str">
        <f>IF('Cable Info'!L223="","",CONCATENATE('Cable Info'!L223," - ",'Cable Info'!M223))</f>
        <v/>
      </c>
      <c r="AM363" s="149" t="str">
        <f t="shared" si="54"/>
        <v/>
      </c>
      <c r="AO363" s="149" t="str">
        <f>IF('Cable Info'!N223="","",CONCATENATE('Cable Info'!N223," - ",'Cable Info'!O223))</f>
        <v/>
      </c>
      <c r="AR363" s="149" t="str">
        <f t="shared" si="55"/>
        <v/>
      </c>
      <c r="AT363" s="149" t="str">
        <f>IF('Cable Info'!P223="","",CONCATENATE('Cable Info'!P223," - ",'Cable Info'!Q223))</f>
        <v/>
      </c>
      <c r="AW363" s="149" t="str">
        <f t="shared" si="56"/>
        <v/>
      </c>
      <c r="AY363" s="149" t="str">
        <f>IF('Cable Info'!R223="","",CONCATENATE('Cable Info'!R223," - ",'Cable Info'!S223))</f>
        <v/>
      </c>
      <c r="BB363" s="149" t="str">
        <f t="shared" si="57"/>
        <v/>
      </c>
      <c r="BD363" s="149" t="str">
        <f>IF('Cable Info'!T223="","",CONCATENATE('Cable Info'!T223," - ",'Cable Info'!U223))</f>
        <v/>
      </c>
      <c r="BG363" s="149" t="str">
        <f t="shared" si="58"/>
        <v/>
      </c>
      <c r="BI363" s="149" t="str">
        <f>IF('Cable Info'!V223="","",CONCATENATE('Cable Info'!V223," - ",'Cable Info'!W223))</f>
        <v/>
      </c>
      <c r="BL363" s="149" t="str">
        <f t="shared" si="59"/>
        <v/>
      </c>
    </row>
    <row r="364" spans="1:64" x14ac:dyDescent="0.2">
      <c r="A364" s="180"/>
      <c r="B364" s="180"/>
      <c r="C364" s="180"/>
      <c r="D364" s="180"/>
      <c r="E364" s="180"/>
      <c r="F364" s="187"/>
      <c r="G364" s="180"/>
      <c r="H364" s="180"/>
      <c r="I364" s="180"/>
      <c r="J364" s="187"/>
      <c r="K364" s="180"/>
      <c r="L364" s="180"/>
      <c r="M364" s="180"/>
      <c r="N364" s="180"/>
      <c r="O364" s="218"/>
      <c r="P364" s="180"/>
      <c r="Q364" s="188"/>
      <c r="R364" s="180"/>
      <c r="S364" s="180"/>
      <c r="T364" s="180"/>
      <c r="U364" s="180"/>
      <c r="V364" s="180"/>
      <c r="W364" s="180"/>
      <c r="X364" s="201"/>
      <c r="AJ364" s="149" t="str">
        <f>IF('Cable Info'!L224="","",CONCATENATE('Cable Info'!L224," - ",'Cable Info'!M224))</f>
        <v/>
      </c>
      <c r="AM364" s="149" t="str">
        <f t="shared" si="54"/>
        <v/>
      </c>
      <c r="AO364" s="149" t="str">
        <f>IF('Cable Info'!N224="","",CONCATENATE('Cable Info'!N224," - ",'Cable Info'!O224))</f>
        <v/>
      </c>
      <c r="AR364" s="149" t="str">
        <f t="shared" si="55"/>
        <v/>
      </c>
      <c r="AT364" s="149" t="str">
        <f>IF('Cable Info'!P224="","",CONCATENATE('Cable Info'!P224," - ",'Cable Info'!Q224))</f>
        <v/>
      </c>
      <c r="AW364" s="149" t="str">
        <f t="shared" si="56"/>
        <v/>
      </c>
      <c r="AY364" s="149" t="str">
        <f>IF('Cable Info'!R224="","",CONCATENATE('Cable Info'!R224," - ",'Cable Info'!S224))</f>
        <v/>
      </c>
      <c r="BB364" s="149" t="str">
        <f t="shared" si="57"/>
        <v/>
      </c>
      <c r="BD364" s="149" t="str">
        <f>IF('Cable Info'!T224="","",CONCATENATE('Cable Info'!T224," - ",'Cable Info'!U224))</f>
        <v/>
      </c>
      <c r="BG364" s="149" t="str">
        <f t="shared" si="58"/>
        <v/>
      </c>
      <c r="BI364" s="149" t="str">
        <f>IF('Cable Info'!V224="","",CONCATENATE('Cable Info'!V224," - ",'Cable Info'!W224))</f>
        <v/>
      </c>
      <c r="BL364" s="149" t="str">
        <f t="shared" si="59"/>
        <v/>
      </c>
    </row>
    <row r="365" spans="1:64" x14ac:dyDescent="0.2">
      <c r="A365" s="180"/>
      <c r="B365" s="180"/>
      <c r="C365" s="180"/>
      <c r="D365" s="180"/>
      <c r="E365" s="180"/>
      <c r="F365" s="187"/>
      <c r="G365" s="180"/>
      <c r="H365" s="180"/>
      <c r="I365" s="180"/>
      <c r="J365" s="187"/>
      <c r="K365" s="180"/>
      <c r="L365" s="180"/>
      <c r="M365" s="180"/>
      <c r="N365" s="180"/>
      <c r="O365" s="218"/>
      <c r="P365" s="180"/>
      <c r="Q365" s="188"/>
      <c r="R365" s="180"/>
      <c r="S365" s="180"/>
      <c r="T365" s="180"/>
      <c r="U365" s="180"/>
      <c r="V365" s="180"/>
      <c r="W365" s="180"/>
      <c r="X365" s="201"/>
      <c r="AJ365" s="149" t="str">
        <f>IF('Cable Info'!L225="","",CONCATENATE('Cable Info'!L225," - ",'Cable Info'!M225))</f>
        <v/>
      </c>
      <c r="AM365" s="149" t="str">
        <f t="shared" si="54"/>
        <v/>
      </c>
      <c r="AO365" s="149" t="str">
        <f>IF('Cable Info'!N225="","",CONCATENATE('Cable Info'!N225," - ",'Cable Info'!O225))</f>
        <v/>
      </c>
      <c r="AR365" s="149" t="str">
        <f t="shared" si="55"/>
        <v/>
      </c>
      <c r="AT365" s="149" t="str">
        <f>IF('Cable Info'!P225="","",CONCATENATE('Cable Info'!P225," - ",'Cable Info'!Q225))</f>
        <v/>
      </c>
      <c r="AW365" s="149" t="str">
        <f t="shared" si="56"/>
        <v/>
      </c>
      <c r="AY365" s="149" t="str">
        <f>IF('Cable Info'!R225="","",CONCATENATE('Cable Info'!R225," - ",'Cable Info'!S225))</f>
        <v/>
      </c>
      <c r="BB365" s="149" t="str">
        <f t="shared" si="57"/>
        <v/>
      </c>
      <c r="BD365" s="149" t="str">
        <f>IF('Cable Info'!T225="","",CONCATENATE('Cable Info'!T225," - ",'Cable Info'!U225))</f>
        <v/>
      </c>
      <c r="BG365" s="149" t="str">
        <f t="shared" si="58"/>
        <v/>
      </c>
      <c r="BI365" s="149" t="str">
        <f>IF('Cable Info'!V225="","",CONCATENATE('Cable Info'!V225," - ",'Cable Info'!W225))</f>
        <v/>
      </c>
      <c r="BL365" s="149" t="str">
        <f t="shared" si="59"/>
        <v/>
      </c>
    </row>
    <row r="366" spans="1:64" x14ac:dyDescent="0.2">
      <c r="A366" s="180"/>
      <c r="B366" s="180"/>
      <c r="C366" s="180"/>
      <c r="D366" s="180"/>
      <c r="E366" s="180"/>
      <c r="F366" s="187"/>
      <c r="G366" s="180"/>
      <c r="H366" s="180"/>
      <c r="I366" s="180"/>
      <c r="J366" s="187"/>
      <c r="K366" s="180"/>
      <c r="L366" s="180"/>
      <c r="M366" s="180"/>
      <c r="N366" s="180"/>
      <c r="O366" s="218"/>
      <c r="P366" s="180"/>
      <c r="Q366" s="188"/>
      <c r="R366" s="180"/>
      <c r="S366" s="180"/>
      <c r="T366" s="180"/>
      <c r="U366" s="180"/>
      <c r="V366" s="180"/>
      <c r="W366" s="180"/>
      <c r="X366" s="201"/>
      <c r="AJ366" s="149" t="str">
        <f>IF('Cable Info'!L226="","",CONCATENATE('Cable Info'!L226," - ",'Cable Info'!M226))</f>
        <v/>
      </c>
      <c r="AM366" s="149" t="str">
        <f t="shared" si="54"/>
        <v/>
      </c>
      <c r="AO366" s="149" t="str">
        <f>IF('Cable Info'!N226="","",CONCATENATE('Cable Info'!N226," - ",'Cable Info'!O226))</f>
        <v/>
      </c>
      <c r="AR366" s="149" t="str">
        <f t="shared" si="55"/>
        <v/>
      </c>
      <c r="AT366" s="149" t="str">
        <f>IF('Cable Info'!P226="","",CONCATENATE('Cable Info'!P226," - ",'Cable Info'!Q226))</f>
        <v/>
      </c>
      <c r="AW366" s="149" t="str">
        <f t="shared" si="56"/>
        <v/>
      </c>
      <c r="AY366" s="149" t="str">
        <f>IF('Cable Info'!R226="","",CONCATENATE('Cable Info'!R226," - ",'Cable Info'!S226))</f>
        <v/>
      </c>
      <c r="BB366" s="149" t="str">
        <f t="shared" si="57"/>
        <v/>
      </c>
      <c r="BD366" s="149" t="str">
        <f>IF('Cable Info'!T226="","",CONCATENATE('Cable Info'!T226," - ",'Cable Info'!U226))</f>
        <v/>
      </c>
      <c r="BG366" s="149" t="str">
        <f t="shared" si="58"/>
        <v/>
      </c>
      <c r="BI366" s="149" t="str">
        <f>IF('Cable Info'!V226="","",CONCATENATE('Cable Info'!V226," - ",'Cable Info'!W226))</f>
        <v/>
      </c>
      <c r="BL366" s="149" t="str">
        <f t="shared" si="59"/>
        <v/>
      </c>
    </row>
    <row r="367" spans="1:64" x14ac:dyDescent="0.2">
      <c r="A367" s="180"/>
      <c r="B367" s="180"/>
      <c r="C367" s="180"/>
      <c r="D367" s="180"/>
      <c r="E367" s="180"/>
      <c r="F367" s="187"/>
      <c r="G367" s="180"/>
      <c r="H367" s="180"/>
      <c r="I367" s="180"/>
      <c r="J367" s="187"/>
      <c r="K367" s="180"/>
      <c r="L367" s="180"/>
      <c r="M367" s="180"/>
      <c r="N367" s="180"/>
      <c r="O367" s="218"/>
      <c r="P367" s="180"/>
      <c r="Q367" s="188"/>
      <c r="R367" s="180"/>
      <c r="S367" s="180"/>
      <c r="T367" s="180"/>
      <c r="U367" s="180"/>
      <c r="V367" s="180"/>
      <c r="W367" s="180"/>
      <c r="X367" s="201"/>
      <c r="AJ367" s="149" t="str">
        <f>IF('Cable Info'!L227="","",CONCATENATE('Cable Info'!L227," - ",'Cable Info'!M227))</f>
        <v/>
      </c>
      <c r="AM367" s="149" t="str">
        <f t="shared" si="54"/>
        <v/>
      </c>
      <c r="AO367" s="149" t="str">
        <f>IF('Cable Info'!N227="","",CONCATENATE('Cable Info'!N227," - ",'Cable Info'!O227))</f>
        <v/>
      </c>
      <c r="AR367" s="149" t="str">
        <f t="shared" si="55"/>
        <v/>
      </c>
      <c r="AT367" s="149" t="str">
        <f>IF('Cable Info'!P227="","",CONCATENATE('Cable Info'!P227," - ",'Cable Info'!Q227))</f>
        <v/>
      </c>
      <c r="AW367" s="149" t="str">
        <f t="shared" si="56"/>
        <v/>
      </c>
      <c r="AY367" s="149" t="str">
        <f>IF('Cable Info'!R227="","",CONCATENATE('Cable Info'!R227," - ",'Cable Info'!S227))</f>
        <v/>
      </c>
      <c r="BB367" s="149" t="str">
        <f t="shared" si="57"/>
        <v/>
      </c>
      <c r="BD367" s="149" t="str">
        <f>IF('Cable Info'!T227="","",CONCATENATE('Cable Info'!T227," - ",'Cable Info'!U227))</f>
        <v/>
      </c>
      <c r="BG367" s="149" t="str">
        <f t="shared" si="58"/>
        <v/>
      </c>
      <c r="BI367" s="149" t="str">
        <f>IF('Cable Info'!V227="","",CONCATENATE('Cable Info'!V227," - ",'Cable Info'!W227))</f>
        <v/>
      </c>
      <c r="BL367" s="149" t="str">
        <f t="shared" si="59"/>
        <v/>
      </c>
    </row>
    <row r="368" spans="1:64" x14ac:dyDescent="0.2">
      <c r="A368" s="180"/>
      <c r="B368" s="180"/>
      <c r="C368" s="180"/>
      <c r="D368" s="180"/>
      <c r="E368" s="180"/>
      <c r="F368" s="187"/>
      <c r="G368" s="180"/>
      <c r="H368" s="180"/>
      <c r="I368" s="180"/>
      <c r="J368" s="187"/>
      <c r="K368" s="180"/>
      <c r="L368" s="180"/>
      <c r="M368" s="180"/>
      <c r="N368" s="180"/>
      <c r="O368" s="218"/>
      <c r="P368" s="180"/>
      <c r="Q368" s="188"/>
      <c r="R368" s="180"/>
      <c r="S368" s="180"/>
      <c r="T368" s="180"/>
      <c r="U368" s="180"/>
      <c r="V368" s="180"/>
      <c r="W368" s="180"/>
      <c r="X368" s="201"/>
      <c r="AJ368" s="149" t="str">
        <f>IF('Cable Info'!L228="","",CONCATENATE('Cable Info'!L228," - ",'Cable Info'!M228))</f>
        <v/>
      </c>
      <c r="AM368" s="149" t="str">
        <f t="shared" si="54"/>
        <v/>
      </c>
      <c r="AO368" s="149" t="str">
        <f>IF('Cable Info'!N228="","",CONCATENATE('Cable Info'!N228," - ",'Cable Info'!O228))</f>
        <v/>
      </c>
      <c r="AR368" s="149" t="str">
        <f t="shared" si="55"/>
        <v/>
      </c>
      <c r="AT368" s="149" t="str">
        <f>IF('Cable Info'!P228="","",CONCATENATE('Cable Info'!P228," - ",'Cable Info'!Q228))</f>
        <v/>
      </c>
      <c r="AW368" s="149" t="str">
        <f t="shared" si="56"/>
        <v/>
      </c>
      <c r="AY368" s="149" t="str">
        <f>IF('Cable Info'!R228="","",CONCATENATE('Cable Info'!R228," - ",'Cable Info'!S228))</f>
        <v/>
      </c>
      <c r="BB368" s="149" t="str">
        <f t="shared" si="57"/>
        <v/>
      </c>
      <c r="BD368" s="149" t="str">
        <f>IF('Cable Info'!T228="","",CONCATENATE('Cable Info'!T228," - ",'Cable Info'!U228))</f>
        <v/>
      </c>
      <c r="BG368" s="149" t="str">
        <f t="shared" si="58"/>
        <v/>
      </c>
      <c r="BI368" s="149" t="str">
        <f>IF('Cable Info'!V228="","",CONCATENATE('Cable Info'!V228," - ",'Cable Info'!W228))</f>
        <v/>
      </c>
      <c r="BL368" s="149" t="str">
        <f t="shared" si="59"/>
        <v/>
      </c>
    </row>
    <row r="369" spans="1:64" x14ac:dyDescent="0.2">
      <c r="A369" s="180"/>
      <c r="B369" s="180"/>
      <c r="C369" s="180"/>
      <c r="D369" s="180"/>
      <c r="E369" s="180"/>
      <c r="F369" s="187"/>
      <c r="G369" s="180"/>
      <c r="H369" s="180"/>
      <c r="I369" s="180"/>
      <c r="J369" s="187"/>
      <c r="K369" s="180"/>
      <c r="L369" s="180"/>
      <c r="M369" s="180"/>
      <c r="N369" s="180"/>
      <c r="O369" s="218"/>
      <c r="P369" s="180"/>
      <c r="Q369" s="188"/>
      <c r="R369" s="180"/>
      <c r="S369" s="180"/>
      <c r="T369" s="180"/>
      <c r="U369" s="180"/>
      <c r="V369" s="180"/>
      <c r="W369" s="180"/>
      <c r="X369" s="201"/>
      <c r="AJ369" s="149" t="str">
        <f>IF('Cable Info'!L229="","",CONCATENATE('Cable Info'!L229," - ",'Cable Info'!M229))</f>
        <v/>
      </c>
      <c r="AM369" s="149" t="str">
        <f t="shared" si="54"/>
        <v/>
      </c>
      <c r="AO369" s="149" t="str">
        <f>IF('Cable Info'!N229="","",CONCATENATE('Cable Info'!N229," - ",'Cable Info'!O229))</f>
        <v/>
      </c>
      <c r="AR369" s="149" t="str">
        <f t="shared" si="55"/>
        <v/>
      </c>
      <c r="AT369" s="149" t="str">
        <f>IF('Cable Info'!P229="","",CONCATENATE('Cable Info'!P229," - ",'Cable Info'!Q229))</f>
        <v/>
      </c>
      <c r="AW369" s="149" t="str">
        <f t="shared" si="56"/>
        <v/>
      </c>
      <c r="AY369" s="149" t="str">
        <f>IF('Cable Info'!R229="","",CONCATENATE('Cable Info'!R229," - ",'Cable Info'!S229))</f>
        <v/>
      </c>
      <c r="BB369" s="149" t="str">
        <f t="shared" si="57"/>
        <v/>
      </c>
      <c r="BD369" s="149" t="str">
        <f>IF('Cable Info'!T229="","",CONCATENATE('Cable Info'!T229," - ",'Cable Info'!U229))</f>
        <v/>
      </c>
      <c r="BG369" s="149" t="str">
        <f t="shared" si="58"/>
        <v/>
      </c>
      <c r="BI369" s="149" t="str">
        <f>IF('Cable Info'!V229="","",CONCATENATE('Cable Info'!V229," - ",'Cable Info'!W229))</f>
        <v/>
      </c>
      <c r="BL369" s="149" t="str">
        <f t="shared" si="59"/>
        <v/>
      </c>
    </row>
    <row r="370" spans="1:64" x14ac:dyDescent="0.2">
      <c r="A370" s="180"/>
      <c r="B370" s="180"/>
      <c r="C370" s="180"/>
      <c r="D370" s="180"/>
      <c r="E370" s="180"/>
      <c r="F370" s="187"/>
      <c r="G370" s="180"/>
      <c r="H370" s="180"/>
      <c r="I370" s="180"/>
      <c r="J370" s="187"/>
      <c r="K370" s="180"/>
      <c r="L370" s="180"/>
      <c r="M370" s="180"/>
      <c r="N370" s="180"/>
      <c r="O370" s="218"/>
      <c r="P370" s="180"/>
      <c r="Q370" s="188"/>
      <c r="R370" s="180"/>
      <c r="S370" s="180"/>
      <c r="T370" s="180"/>
      <c r="U370" s="180"/>
      <c r="V370" s="180"/>
      <c r="W370" s="180"/>
      <c r="X370" s="201"/>
      <c r="AJ370" s="149" t="str">
        <f>IF('Cable Info'!L230="","",CONCATENATE('Cable Info'!L230," - ",'Cable Info'!M230))</f>
        <v/>
      </c>
      <c r="AM370" s="149" t="str">
        <f t="shared" si="54"/>
        <v/>
      </c>
      <c r="AO370" s="149" t="str">
        <f>IF('Cable Info'!N230="","",CONCATENATE('Cable Info'!N230," - ",'Cable Info'!O230))</f>
        <v/>
      </c>
      <c r="AR370" s="149" t="str">
        <f t="shared" si="55"/>
        <v/>
      </c>
      <c r="AT370" s="149" t="str">
        <f>IF('Cable Info'!P230="","",CONCATENATE('Cable Info'!P230," - ",'Cable Info'!Q230))</f>
        <v/>
      </c>
      <c r="AW370" s="149" t="str">
        <f t="shared" si="56"/>
        <v/>
      </c>
      <c r="AY370" s="149" t="str">
        <f>IF('Cable Info'!R230="","",CONCATENATE('Cable Info'!R230," - ",'Cable Info'!S230))</f>
        <v/>
      </c>
      <c r="BB370" s="149" t="str">
        <f t="shared" si="57"/>
        <v/>
      </c>
      <c r="BD370" s="149" t="str">
        <f>IF('Cable Info'!T230="","",CONCATENATE('Cable Info'!T230," - ",'Cable Info'!U230))</f>
        <v/>
      </c>
      <c r="BG370" s="149" t="str">
        <f t="shared" si="58"/>
        <v/>
      </c>
      <c r="BI370" s="149" t="str">
        <f>IF('Cable Info'!V230="","",CONCATENATE('Cable Info'!V230," - ",'Cable Info'!W230))</f>
        <v/>
      </c>
      <c r="BL370" s="149" t="str">
        <f t="shared" si="59"/>
        <v/>
      </c>
    </row>
    <row r="371" spans="1:64" x14ac:dyDescent="0.2">
      <c r="A371" s="180"/>
      <c r="B371" s="180"/>
      <c r="C371" s="180"/>
      <c r="D371" s="180"/>
      <c r="E371" s="180"/>
      <c r="F371" s="187"/>
      <c r="G371" s="180"/>
      <c r="H371" s="180"/>
      <c r="I371" s="180"/>
      <c r="J371" s="187"/>
      <c r="K371" s="180"/>
      <c r="L371" s="180"/>
      <c r="M371" s="180"/>
      <c r="N371" s="180"/>
      <c r="O371" s="218"/>
      <c r="P371" s="180"/>
      <c r="Q371" s="188"/>
      <c r="R371" s="180"/>
      <c r="S371" s="180"/>
      <c r="T371" s="180"/>
      <c r="U371" s="180"/>
      <c r="V371" s="180"/>
      <c r="W371" s="180"/>
      <c r="X371" s="201"/>
      <c r="AJ371" s="149" t="str">
        <f>IF('Cable Info'!L231="","",CONCATENATE('Cable Info'!L231," - ",'Cable Info'!M231))</f>
        <v/>
      </c>
      <c r="AM371" s="149" t="str">
        <f t="shared" si="54"/>
        <v/>
      </c>
      <c r="AO371" s="149" t="str">
        <f>IF('Cable Info'!N231="","",CONCATENATE('Cable Info'!N231," - ",'Cable Info'!O231))</f>
        <v/>
      </c>
      <c r="AR371" s="149" t="str">
        <f t="shared" si="55"/>
        <v/>
      </c>
      <c r="AT371" s="149" t="str">
        <f>IF('Cable Info'!P231="","",CONCATENATE('Cable Info'!P231," - ",'Cable Info'!Q231))</f>
        <v/>
      </c>
      <c r="AW371" s="149" t="str">
        <f t="shared" si="56"/>
        <v/>
      </c>
      <c r="AY371" s="149" t="str">
        <f>IF('Cable Info'!R231="","",CONCATENATE('Cable Info'!R231," - ",'Cable Info'!S231))</f>
        <v/>
      </c>
      <c r="BB371" s="149" t="str">
        <f t="shared" si="57"/>
        <v/>
      </c>
      <c r="BD371" s="149" t="str">
        <f>IF('Cable Info'!T231="","",CONCATENATE('Cable Info'!T231," - ",'Cable Info'!U231))</f>
        <v/>
      </c>
      <c r="BG371" s="149" t="str">
        <f t="shared" si="58"/>
        <v/>
      </c>
      <c r="BI371" s="149" t="str">
        <f>IF('Cable Info'!V231="","",CONCATENATE('Cable Info'!V231," - ",'Cable Info'!W231))</f>
        <v/>
      </c>
      <c r="BL371" s="149" t="str">
        <f t="shared" si="59"/>
        <v/>
      </c>
    </row>
    <row r="372" spans="1:64" x14ac:dyDescent="0.2">
      <c r="A372" s="180"/>
      <c r="B372" s="180"/>
      <c r="C372" s="180"/>
      <c r="D372" s="180"/>
      <c r="E372" s="180"/>
      <c r="F372" s="187"/>
      <c r="G372" s="180"/>
      <c r="H372" s="180"/>
      <c r="I372" s="180"/>
      <c r="J372" s="187"/>
      <c r="K372" s="180"/>
      <c r="L372" s="180"/>
      <c r="M372" s="180"/>
      <c r="N372" s="180"/>
      <c r="O372" s="218"/>
      <c r="P372" s="180"/>
      <c r="Q372" s="188"/>
      <c r="R372" s="180"/>
      <c r="S372" s="180"/>
      <c r="T372" s="180"/>
      <c r="U372" s="180"/>
      <c r="V372" s="180"/>
      <c r="W372" s="180"/>
      <c r="X372" s="201"/>
      <c r="AJ372" s="149" t="str">
        <f>IF('Cable Info'!L232="","",CONCATENATE('Cable Info'!L232," - ",'Cable Info'!M232))</f>
        <v/>
      </c>
      <c r="AM372" s="149" t="str">
        <f t="shared" si="54"/>
        <v/>
      </c>
      <c r="AO372" s="149" t="str">
        <f>IF('Cable Info'!N232="","",CONCATENATE('Cable Info'!N232," - ",'Cable Info'!O232))</f>
        <v/>
      </c>
      <c r="AR372" s="149" t="str">
        <f t="shared" si="55"/>
        <v/>
      </c>
      <c r="AT372" s="149" t="str">
        <f>IF('Cable Info'!P232="","",CONCATENATE('Cable Info'!P232," - ",'Cable Info'!Q232))</f>
        <v/>
      </c>
      <c r="AW372" s="149" t="str">
        <f t="shared" si="56"/>
        <v/>
      </c>
      <c r="AY372" s="149" t="str">
        <f>IF('Cable Info'!R232="","",CONCATENATE('Cable Info'!R232," - ",'Cable Info'!S232))</f>
        <v/>
      </c>
      <c r="BB372" s="149" t="str">
        <f t="shared" si="57"/>
        <v/>
      </c>
      <c r="BD372" s="149" t="str">
        <f>IF('Cable Info'!T232="","",CONCATENATE('Cable Info'!T232," - ",'Cable Info'!U232))</f>
        <v/>
      </c>
      <c r="BG372" s="149" t="str">
        <f t="shared" si="58"/>
        <v/>
      </c>
      <c r="BI372" s="149" t="str">
        <f>IF('Cable Info'!V232="","",CONCATENATE('Cable Info'!V232," - ",'Cable Info'!W232))</f>
        <v/>
      </c>
      <c r="BL372" s="149" t="str">
        <f t="shared" si="59"/>
        <v/>
      </c>
    </row>
    <row r="373" spans="1:64" x14ac:dyDescent="0.2">
      <c r="A373" s="180"/>
      <c r="B373" s="180"/>
      <c r="C373" s="180"/>
      <c r="D373" s="180"/>
      <c r="E373" s="180"/>
      <c r="F373" s="187"/>
      <c r="G373" s="180"/>
      <c r="H373" s="180"/>
      <c r="I373" s="180"/>
      <c r="J373" s="187"/>
      <c r="K373" s="180"/>
      <c r="L373" s="180"/>
      <c r="M373" s="180"/>
      <c r="N373" s="180"/>
      <c r="O373" s="218"/>
      <c r="P373" s="180"/>
      <c r="Q373" s="188"/>
      <c r="R373" s="180"/>
      <c r="S373" s="180"/>
      <c r="T373" s="180"/>
      <c r="U373" s="180"/>
      <c r="V373" s="180"/>
      <c r="W373" s="180"/>
      <c r="X373" s="201"/>
      <c r="AJ373" s="149" t="str">
        <f>IF('Cable Info'!L233="","",CONCATENATE('Cable Info'!L233," - ",'Cable Info'!M233))</f>
        <v/>
      </c>
      <c r="AM373" s="149" t="str">
        <f t="shared" si="54"/>
        <v/>
      </c>
      <c r="AO373" s="149" t="str">
        <f>IF('Cable Info'!N233="","",CONCATENATE('Cable Info'!N233," - ",'Cable Info'!O233))</f>
        <v/>
      </c>
      <c r="AR373" s="149" t="str">
        <f t="shared" si="55"/>
        <v/>
      </c>
      <c r="AT373" s="149" t="str">
        <f>IF('Cable Info'!P233="","",CONCATENATE('Cable Info'!P233," - ",'Cable Info'!Q233))</f>
        <v/>
      </c>
      <c r="AW373" s="149" t="str">
        <f t="shared" si="56"/>
        <v/>
      </c>
      <c r="AY373" s="149" t="str">
        <f>IF('Cable Info'!R233="","",CONCATENATE('Cable Info'!R233," - ",'Cable Info'!S233))</f>
        <v/>
      </c>
      <c r="BB373" s="149" t="str">
        <f t="shared" si="57"/>
        <v/>
      </c>
      <c r="BD373" s="149" t="str">
        <f>IF('Cable Info'!T233="","",CONCATENATE('Cable Info'!T233," - ",'Cable Info'!U233))</f>
        <v/>
      </c>
      <c r="BG373" s="149" t="str">
        <f t="shared" si="58"/>
        <v/>
      </c>
      <c r="BI373" s="149" t="str">
        <f>IF('Cable Info'!V233="","",CONCATENATE('Cable Info'!V233," - ",'Cable Info'!W233))</f>
        <v/>
      </c>
      <c r="BL373" s="149" t="str">
        <f t="shared" si="59"/>
        <v/>
      </c>
    </row>
    <row r="374" spans="1:64" x14ac:dyDescent="0.2">
      <c r="A374" s="180"/>
      <c r="B374" s="180"/>
      <c r="C374" s="180"/>
      <c r="D374" s="180"/>
      <c r="E374" s="180"/>
      <c r="F374" s="187"/>
      <c r="G374" s="180"/>
      <c r="H374" s="180"/>
      <c r="I374" s="180"/>
      <c r="J374" s="187"/>
      <c r="K374" s="180"/>
      <c r="L374" s="180"/>
      <c r="M374" s="180"/>
      <c r="N374" s="180"/>
      <c r="O374" s="218"/>
      <c r="P374" s="180"/>
      <c r="Q374" s="188"/>
      <c r="R374" s="180"/>
      <c r="S374" s="180"/>
      <c r="T374" s="180"/>
      <c r="U374" s="180"/>
      <c r="V374" s="180"/>
      <c r="W374" s="180"/>
      <c r="X374" s="201"/>
      <c r="AJ374" s="149" t="str">
        <f>IF('Cable Info'!L234="","",CONCATENATE('Cable Info'!L234," - ",'Cable Info'!M234))</f>
        <v/>
      </c>
      <c r="AM374" s="149" t="str">
        <f t="shared" si="54"/>
        <v/>
      </c>
      <c r="AO374" s="149" t="str">
        <f>IF('Cable Info'!N234="","",CONCATENATE('Cable Info'!N234," - ",'Cable Info'!O234))</f>
        <v/>
      </c>
      <c r="AR374" s="149" t="str">
        <f t="shared" si="55"/>
        <v/>
      </c>
      <c r="AT374" s="149" t="str">
        <f>IF('Cable Info'!P234="","",CONCATENATE('Cable Info'!P234," - ",'Cable Info'!Q234))</f>
        <v/>
      </c>
      <c r="AW374" s="149" t="str">
        <f t="shared" si="56"/>
        <v/>
      </c>
      <c r="AY374" s="149" t="str">
        <f>IF('Cable Info'!R234="","",CONCATENATE('Cable Info'!R234," - ",'Cable Info'!S234))</f>
        <v/>
      </c>
      <c r="BB374" s="149" t="str">
        <f t="shared" si="57"/>
        <v/>
      </c>
      <c r="BD374" s="149" t="str">
        <f>IF('Cable Info'!T234="","",CONCATENATE('Cable Info'!T234," - ",'Cable Info'!U234))</f>
        <v/>
      </c>
      <c r="BG374" s="149" t="str">
        <f t="shared" si="58"/>
        <v/>
      </c>
      <c r="BI374" s="149" t="str">
        <f>IF('Cable Info'!V234="","",CONCATENATE('Cable Info'!V234," - ",'Cable Info'!W234))</f>
        <v/>
      </c>
      <c r="BL374" s="149" t="str">
        <f t="shared" si="59"/>
        <v/>
      </c>
    </row>
    <row r="375" spans="1:64" x14ac:dyDescent="0.2">
      <c r="A375" s="180"/>
      <c r="B375" s="180"/>
      <c r="C375" s="180"/>
      <c r="D375" s="180"/>
      <c r="E375" s="180"/>
      <c r="F375" s="187"/>
      <c r="G375" s="180"/>
      <c r="H375" s="180"/>
      <c r="I375" s="180"/>
      <c r="J375" s="187"/>
      <c r="K375" s="180"/>
      <c r="L375" s="180"/>
      <c r="M375" s="180"/>
      <c r="N375" s="180"/>
      <c r="O375" s="218"/>
      <c r="P375" s="180"/>
      <c r="Q375" s="188"/>
      <c r="R375" s="180"/>
      <c r="S375" s="180"/>
      <c r="T375" s="180"/>
      <c r="U375" s="180"/>
      <c r="V375" s="180"/>
      <c r="W375" s="180"/>
      <c r="X375" s="201"/>
      <c r="AJ375" s="149" t="str">
        <f>IF('Cable Info'!L235="","",CONCATENATE('Cable Info'!L235," - ",'Cable Info'!M235))</f>
        <v/>
      </c>
      <c r="AM375" s="149" t="str">
        <f t="shared" si="54"/>
        <v/>
      </c>
      <c r="AO375" s="149" t="str">
        <f>IF('Cable Info'!N235="","",CONCATENATE('Cable Info'!N235," - ",'Cable Info'!O235))</f>
        <v/>
      </c>
      <c r="AR375" s="149" t="str">
        <f t="shared" si="55"/>
        <v/>
      </c>
      <c r="AT375" s="149" t="str">
        <f>IF('Cable Info'!P235="","",CONCATENATE('Cable Info'!P235," - ",'Cable Info'!Q235))</f>
        <v/>
      </c>
      <c r="AW375" s="149" t="str">
        <f t="shared" si="56"/>
        <v/>
      </c>
      <c r="AY375" s="149" t="str">
        <f>IF('Cable Info'!R235="","",CONCATENATE('Cable Info'!R235," - ",'Cable Info'!S235))</f>
        <v/>
      </c>
      <c r="BB375" s="149" t="str">
        <f t="shared" si="57"/>
        <v/>
      </c>
      <c r="BD375" s="149" t="str">
        <f>IF('Cable Info'!T235="","",CONCATENATE('Cable Info'!T235," - ",'Cable Info'!U235))</f>
        <v/>
      </c>
      <c r="BG375" s="149" t="str">
        <f t="shared" si="58"/>
        <v/>
      </c>
      <c r="BI375" s="149" t="str">
        <f>IF('Cable Info'!V235="","",CONCATENATE('Cable Info'!V235," - ",'Cable Info'!W235))</f>
        <v/>
      </c>
      <c r="BL375" s="149" t="str">
        <f t="shared" si="59"/>
        <v/>
      </c>
    </row>
    <row r="376" spans="1:64" x14ac:dyDescent="0.2">
      <c r="A376" s="180"/>
      <c r="B376" s="180"/>
      <c r="C376" s="180"/>
      <c r="D376" s="180"/>
      <c r="E376" s="180"/>
      <c r="F376" s="187"/>
      <c r="G376" s="180"/>
      <c r="H376" s="180"/>
      <c r="I376" s="180"/>
      <c r="J376" s="187"/>
      <c r="K376" s="180"/>
      <c r="L376" s="180"/>
      <c r="M376" s="180"/>
      <c r="N376" s="180"/>
      <c r="O376" s="218"/>
      <c r="P376" s="180"/>
      <c r="Q376" s="188"/>
      <c r="R376" s="180"/>
      <c r="S376" s="180"/>
      <c r="T376" s="180"/>
      <c r="U376" s="180"/>
      <c r="V376" s="180"/>
      <c r="W376" s="180"/>
      <c r="X376" s="201"/>
      <c r="AJ376" s="149" t="str">
        <f>IF('Cable Info'!L236="","",CONCATENATE('Cable Info'!L236," - ",'Cable Info'!M236))</f>
        <v/>
      </c>
      <c r="AM376" s="149" t="str">
        <f t="shared" si="54"/>
        <v/>
      </c>
      <c r="AO376" s="149" t="str">
        <f>IF('Cable Info'!N236="","",CONCATENATE('Cable Info'!N236," - ",'Cable Info'!O236))</f>
        <v/>
      </c>
      <c r="AR376" s="149" t="str">
        <f t="shared" si="55"/>
        <v/>
      </c>
      <c r="AT376" s="149" t="str">
        <f>IF('Cable Info'!P236="","",CONCATENATE('Cable Info'!P236," - ",'Cable Info'!Q236))</f>
        <v/>
      </c>
      <c r="AW376" s="149" t="str">
        <f t="shared" si="56"/>
        <v/>
      </c>
      <c r="AY376" s="149" t="str">
        <f>IF('Cable Info'!R236="","",CONCATENATE('Cable Info'!R236," - ",'Cable Info'!S236))</f>
        <v/>
      </c>
      <c r="BB376" s="149" t="str">
        <f t="shared" si="57"/>
        <v/>
      </c>
      <c r="BD376" s="149" t="str">
        <f>IF('Cable Info'!T236="","",CONCATENATE('Cable Info'!T236," - ",'Cable Info'!U236))</f>
        <v/>
      </c>
      <c r="BG376" s="149" t="str">
        <f t="shared" si="58"/>
        <v/>
      </c>
      <c r="BI376" s="149" t="str">
        <f>IF('Cable Info'!V236="","",CONCATENATE('Cable Info'!V236," - ",'Cable Info'!W236))</f>
        <v/>
      </c>
      <c r="BL376" s="149" t="str">
        <f t="shared" si="59"/>
        <v/>
      </c>
    </row>
    <row r="377" spans="1:64" x14ac:dyDescent="0.2">
      <c r="A377" s="180"/>
      <c r="B377" s="180"/>
      <c r="C377" s="180"/>
      <c r="D377" s="180"/>
      <c r="E377" s="180"/>
      <c r="F377" s="187"/>
      <c r="G377" s="180"/>
      <c r="H377" s="180"/>
      <c r="I377" s="180"/>
      <c r="J377" s="187"/>
      <c r="K377" s="180"/>
      <c r="L377" s="180"/>
      <c r="M377" s="180"/>
      <c r="N377" s="180"/>
      <c r="O377" s="218"/>
      <c r="P377" s="180"/>
      <c r="Q377" s="188"/>
      <c r="R377" s="180"/>
      <c r="S377" s="180"/>
      <c r="T377" s="180"/>
      <c r="U377" s="180"/>
      <c r="V377" s="180"/>
      <c r="W377" s="180"/>
      <c r="X377" s="201"/>
      <c r="AJ377" s="149" t="str">
        <f>IF('Cable Info'!L237="","",CONCATENATE('Cable Info'!L237," - ",'Cable Info'!M237))</f>
        <v/>
      </c>
      <c r="AM377" s="149" t="str">
        <f t="shared" si="54"/>
        <v/>
      </c>
      <c r="AO377" s="149" t="str">
        <f>IF('Cable Info'!N237="","",CONCATENATE('Cable Info'!N237," - ",'Cable Info'!O237))</f>
        <v/>
      </c>
      <c r="AR377" s="149" t="str">
        <f t="shared" si="55"/>
        <v/>
      </c>
      <c r="AT377" s="149" t="str">
        <f>IF('Cable Info'!P237="","",CONCATENATE('Cable Info'!P237," - ",'Cable Info'!Q237))</f>
        <v/>
      </c>
      <c r="AW377" s="149" t="str">
        <f t="shared" si="56"/>
        <v/>
      </c>
      <c r="AY377" s="149" t="str">
        <f>IF('Cable Info'!R237="","",CONCATENATE('Cable Info'!R237," - ",'Cable Info'!S237))</f>
        <v/>
      </c>
      <c r="BB377" s="149" t="str">
        <f t="shared" si="57"/>
        <v/>
      </c>
      <c r="BD377" s="149" t="str">
        <f>IF('Cable Info'!T237="","",CONCATENATE('Cable Info'!T237," - ",'Cable Info'!U237))</f>
        <v/>
      </c>
      <c r="BG377" s="149" t="str">
        <f t="shared" si="58"/>
        <v/>
      </c>
      <c r="BI377" s="149" t="str">
        <f>IF('Cable Info'!V237="","",CONCATENATE('Cable Info'!V237," - ",'Cable Info'!W237))</f>
        <v/>
      </c>
      <c r="BL377" s="149" t="str">
        <f t="shared" si="59"/>
        <v/>
      </c>
    </row>
    <row r="378" spans="1:64" x14ac:dyDescent="0.2">
      <c r="A378" s="180"/>
      <c r="B378" s="180"/>
      <c r="C378" s="180"/>
      <c r="D378" s="180"/>
      <c r="E378" s="180"/>
      <c r="F378" s="187"/>
      <c r="G378" s="180"/>
      <c r="H378" s="180"/>
      <c r="I378" s="180"/>
      <c r="J378" s="187"/>
      <c r="K378" s="180"/>
      <c r="L378" s="180"/>
      <c r="M378" s="180"/>
      <c r="N378" s="180"/>
      <c r="O378" s="218"/>
      <c r="P378" s="180"/>
      <c r="Q378" s="188"/>
      <c r="R378" s="180"/>
      <c r="S378" s="180"/>
      <c r="T378" s="180"/>
      <c r="U378" s="180"/>
      <c r="V378" s="180"/>
      <c r="W378" s="180"/>
      <c r="X378" s="201"/>
      <c r="AJ378" s="149" t="str">
        <f>IF('Cable Info'!L238="","",CONCATENATE('Cable Info'!L238," - ",'Cable Info'!M238))</f>
        <v/>
      </c>
      <c r="AM378" s="149" t="str">
        <f t="shared" si="54"/>
        <v/>
      </c>
      <c r="AO378" s="149" t="str">
        <f>IF('Cable Info'!N238="","",CONCATENATE('Cable Info'!N238," - ",'Cable Info'!O238))</f>
        <v/>
      </c>
      <c r="AR378" s="149" t="str">
        <f t="shared" si="55"/>
        <v/>
      </c>
      <c r="AT378" s="149" t="str">
        <f>IF('Cable Info'!P238="","",CONCATENATE('Cable Info'!P238," - ",'Cable Info'!Q238))</f>
        <v/>
      </c>
      <c r="AW378" s="149" t="str">
        <f t="shared" si="56"/>
        <v/>
      </c>
      <c r="AY378" s="149" t="str">
        <f>IF('Cable Info'!R238="","",CONCATENATE('Cable Info'!R238," - ",'Cable Info'!S238))</f>
        <v/>
      </c>
      <c r="BB378" s="149" t="str">
        <f t="shared" si="57"/>
        <v/>
      </c>
      <c r="BD378" s="149" t="str">
        <f>IF('Cable Info'!T238="","",CONCATENATE('Cable Info'!T238," - ",'Cable Info'!U238))</f>
        <v/>
      </c>
      <c r="BG378" s="149" t="str">
        <f t="shared" si="58"/>
        <v/>
      </c>
      <c r="BI378" s="149" t="str">
        <f>IF('Cable Info'!V238="","",CONCATENATE('Cable Info'!V238," - ",'Cable Info'!W238))</f>
        <v/>
      </c>
      <c r="BL378" s="149" t="str">
        <f t="shared" si="59"/>
        <v/>
      </c>
    </row>
    <row r="379" spans="1:64" x14ac:dyDescent="0.2">
      <c r="A379" s="180"/>
      <c r="B379" s="180"/>
      <c r="C379" s="180"/>
      <c r="D379" s="180"/>
      <c r="E379" s="180"/>
      <c r="F379" s="187"/>
      <c r="G379" s="180"/>
      <c r="H379" s="180"/>
      <c r="I379" s="180"/>
      <c r="J379" s="187"/>
      <c r="K379" s="180"/>
      <c r="L379" s="180"/>
      <c r="M379" s="180"/>
      <c r="N379" s="180"/>
      <c r="O379" s="218"/>
      <c r="P379" s="180"/>
      <c r="Q379" s="188"/>
      <c r="R379" s="180"/>
      <c r="S379" s="180"/>
      <c r="T379" s="180"/>
      <c r="U379" s="180"/>
      <c r="V379" s="180"/>
      <c r="W379" s="180"/>
      <c r="X379" s="201"/>
      <c r="AJ379" s="149" t="str">
        <f>IF('Cable Info'!L239="","",CONCATENATE('Cable Info'!L239," - ",'Cable Info'!M239))</f>
        <v/>
      </c>
      <c r="AM379" s="149" t="str">
        <f t="shared" si="54"/>
        <v/>
      </c>
      <c r="AO379" s="149" t="str">
        <f>IF('Cable Info'!N239="","",CONCATENATE('Cable Info'!N239," - ",'Cable Info'!O239))</f>
        <v/>
      </c>
      <c r="AR379" s="149" t="str">
        <f t="shared" si="55"/>
        <v/>
      </c>
      <c r="AT379" s="149" t="str">
        <f>IF('Cable Info'!P239="","",CONCATENATE('Cable Info'!P239," - ",'Cable Info'!Q239))</f>
        <v/>
      </c>
      <c r="AW379" s="149" t="str">
        <f t="shared" si="56"/>
        <v/>
      </c>
      <c r="AY379" s="149" t="str">
        <f>IF('Cable Info'!R239="","",CONCATENATE('Cable Info'!R239," - ",'Cable Info'!S239))</f>
        <v/>
      </c>
      <c r="BB379" s="149" t="str">
        <f t="shared" si="57"/>
        <v/>
      </c>
      <c r="BD379" s="149" t="str">
        <f>IF('Cable Info'!T239="","",CONCATENATE('Cable Info'!T239," - ",'Cable Info'!U239))</f>
        <v/>
      </c>
      <c r="BG379" s="149" t="str">
        <f t="shared" si="58"/>
        <v/>
      </c>
      <c r="BI379" s="149" t="str">
        <f>IF('Cable Info'!V239="","",CONCATENATE('Cable Info'!V239," - ",'Cable Info'!W239))</f>
        <v/>
      </c>
      <c r="BL379" s="149" t="str">
        <f t="shared" si="59"/>
        <v/>
      </c>
    </row>
    <row r="380" spans="1:64" x14ac:dyDescent="0.2">
      <c r="A380" s="180"/>
      <c r="B380" s="180"/>
      <c r="C380" s="180"/>
      <c r="D380" s="180"/>
      <c r="E380" s="180"/>
      <c r="F380" s="187"/>
      <c r="G380" s="180"/>
      <c r="H380" s="180"/>
      <c r="I380" s="180"/>
      <c r="J380" s="187"/>
      <c r="K380" s="180"/>
      <c r="L380" s="180"/>
      <c r="M380" s="180"/>
      <c r="N380" s="180"/>
      <c r="O380" s="218"/>
      <c r="P380" s="180"/>
      <c r="Q380" s="188"/>
      <c r="R380" s="180"/>
      <c r="S380" s="180"/>
      <c r="T380" s="180"/>
      <c r="U380" s="180"/>
      <c r="V380" s="180"/>
      <c r="W380" s="180"/>
      <c r="X380" s="201"/>
      <c r="AJ380" s="149" t="str">
        <f>IF('Cable Info'!L240="","",CONCATENATE('Cable Info'!L240," - ",'Cable Info'!M240))</f>
        <v/>
      </c>
      <c r="AM380" s="149" t="str">
        <f t="shared" si="54"/>
        <v/>
      </c>
      <c r="AO380" s="149" t="str">
        <f>IF('Cable Info'!N240="","",CONCATENATE('Cable Info'!N240," - ",'Cable Info'!O240))</f>
        <v/>
      </c>
      <c r="AR380" s="149" t="str">
        <f t="shared" si="55"/>
        <v/>
      </c>
      <c r="AT380" s="149" t="str">
        <f>IF('Cable Info'!P240="","",CONCATENATE('Cable Info'!P240," - ",'Cable Info'!Q240))</f>
        <v/>
      </c>
      <c r="AW380" s="149" t="str">
        <f t="shared" si="56"/>
        <v/>
      </c>
      <c r="AY380" s="149" t="str">
        <f>IF('Cable Info'!R240="","",CONCATENATE('Cable Info'!R240," - ",'Cable Info'!S240))</f>
        <v/>
      </c>
      <c r="BB380" s="149" t="str">
        <f t="shared" si="57"/>
        <v/>
      </c>
      <c r="BD380" s="149" t="str">
        <f>IF('Cable Info'!T240="","",CONCATENATE('Cable Info'!T240," - ",'Cable Info'!U240))</f>
        <v/>
      </c>
      <c r="BG380" s="149" t="str">
        <f t="shared" si="58"/>
        <v/>
      </c>
      <c r="BI380" s="149" t="str">
        <f>IF('Cable Info'!V240="","",CONCATENATE('Cable Info'!V240," - ",'Cable Info'!W240))</f>
        <v/>
      </c>
      <c r="BL380" s="149" t="str">
        <f t="shared" si="59"/>
        <v/>
      </c>
    </row>
    <row r="381" spans="1:64" x14ac:dyDescent="0.2">
      <c r="A381" s="180"/>
      <c r="B381" s="180"/>
      <c r="C381" s="180"/>
      <c r="D381" s="180"/>
      <c r="E381" s="180"/>
      <c r="F381" s="187"/>
      <c r="G381" s="180"/>
      <c r="H381" s="180"/>
      <c r="I381" s="180"/>
      <c r="J381" s="187"/>
      <c r="K381" s="180"/>
      <c r="L381" s="180"/>
      <c r="M381" s="180"/>
      <c r="N381" s="180"/>
      <c r="O381" s="218"/>
      <c r="P381" s="180"/>
      <c r="Q381" s="188"/>
      <c r="R381" s="180"/>
      <c r="S381" s="180"/>
      <c r="T381" s="180"/>
      <c r="U381" s="180"/>
      <c r="V381" s="180"/>
      <c r="W381" s="180"/>
      <c r="X381" s="201"/>
      <c r="AJ381" s="149" t="str">
        <f>IF('Cable Info'!L241="","",CONCATENATE('Cable Info'!L241," - ",'Cable Info'!M241))</f>
        <v/>
      </c>
      <c r="AM381" s="149" t="str">
        <f t="shared" si="54"/>
        <v/>
      </c>
      <c r="AO381" s="149" t="str">
        <f>IF('Cable Info'!N241="","",CONCATENATE('Cable Info'!N241," - ",'Cable Info'!O241))</f>
        <v/>
      </c>
      <c r="AR381" s="149" t="str">
        <f t="shared" si="55"/>
        <v/>
      </c>
      <c r="AT381" s="149" t="str">
        <f>IF('Cable Info'!P241="","",CONCATENATE('Cable Info'!P241," - ",'Cable Info'!Q241))</f>
        <v/>
      </c>
      <c r="AW381" s="149" t="str">
        <f t="shared" si="56"/>
        <v/>
      </c>
      <c r="AY381" s="149" t="str">
        <f>IF('Cable Info'!R241="","",CONCATENATE('Cable Info'!R241," - ",'Cable Info'!S241))</f>
        <v/>
      </c>
      <c r="BB381" s="149" t="str">
        <f t="shared" si="57"/>
        <v/>
      </c>
      <c r="BD381" s="149" t="str">
        <f>IF('Cable Info'!T241="","",CONCATENATE('Cable Info'!T241," - ",'Cable Info'!U241))</f>
        <v/>
      </c>
      <c r="BG381" s="149" t="str">
        <f t="shared" si="58"/>
        <v/>
      </c>
      <c r="BI381" s="149" t="str">
        <f>IF('Cable Info'!V241="","",CONCATENATE('Cable Info'!V241," - ",'Cable Info'!W241))</f>
        <v/>
      </c>
      <c r="BL381" s="149" t="str">
        <f t="shared" si="59"/>
        <v/>
      </c>
    </row>
    <row r="382" spans="1:64" x14ac:dyDescent="0.2">
      <c r="A382" s="180"/>
      <c r="B382" s="180"/>
      <c r="C382" s="180"/>
      <c r="D382" s="180"/>
      <c r="E382" s="180"/>
      <c r="F382" s="187"/>
      <c r="G382" s="180"/>
      <c r="H382" s="180"/>
      <c r="I382" s="180"/>
      <c r="J382" s="187"/>
      <c r="K382" s="180"/>
      <c r="L382" s="180"/>
      <c r="M382" s="180"/>
      <c r="N382" s="180"/>
      <c r="O382" s="218"/>
      <c r="P382" s="180"/>
      <c r="Q382" s="188"/>
      <c r="R382" s="180"/>
      <c r="S382" s="180"/>
      <c r="T382" s="180"/>
      <c r="U382" s="180"/>
      <c r="V382" s="180"/>
      <c r="W382" s="180"/>
      <c r="X382" s="201"/>
      <c r="AJ382" s="149" t="str">
        <f>IF('Cable Info'!L242="","",CONCATENATE('Cable Info'!L242," - ",'Cable Info'!M242))</f>
        <v/>
      </c>
      <c r="AM382" s="149" t="str">
        <f t="shared" si="54"/>
        <v/>
      </c>
      <c r="AO382" s="149" t="str">
        <f>IF('Cable Info'!N242="","",CONCATENATE('Cable Info'!N242," - ",'Cable Info'!O242))</f>
        <v/>
      </c>
      <c r="AR382" s="149" t="str">
        <f t="shared" si="55"/>
        <v/>
      </c>
      <c r="AT382" s="149" t="str">
        <f>IF('Cable Info'!P242="","",CONCATENATE('Cable Info'!P242," - ",'Cable Info'!Q242))</f>
        <v/>
      </c>
      <c r="AW382" s="149" t="str">
        <f t="shared" si="56"/>
        <v/>
      </c>
      <c r="AY382" s="149" t="str">
        <f>IF('Cable Info'!R242="","",CONCATENATE('Cable Info'!R242," - ",'Cable Info'!S242))</f>
        <v/>
      </c>
      <c r="BB382" s="149" t="str">
        <f t="shared" si="57"/>
        <v/>
      </c>
      <c r="BD382" s="149" t="str">
        <f>IF('Cable Info'!T242="","",CONCATENATE('Cable Info'!T242," - ",'Cable Info'!U242))</f>
        <v/>
      </c>
      <c r="BG382" s="149" t="str">
        <f t="shared" si="58"/>
        <v/>
      </c>
      <c r="BI382" s="149" t="str">
        <f>IF('Cable Info'!V242="","",CONCATENATE('Cable Info'!V242," - ",'Cable Info'!W242))</f>
        <v/>
      </c>
      <c r="BL382" s="149" t="str">
        <f t="shared" si="59"/>
        <v/>
      </c>
    </row>
    <row r="383" spans="1:64" x14ac:dyDescent="0.2">
      <c r="A383" s="180"/>
      <c r="B383" s="180"/>
      <c r="C383" s="180"/>
      <c r="D383" s="180"/>
      <c r="E383" s="180"/>
      <c r="F383" s="187"/>
      <c r="G383" s="180"/>
      <c r="H383" s="180"/>
      <c r="I383" s="180"/>
      <c r="J383" s="187"/>
      <c r="K383" s="180"/>
      <c r="L383" s="180"/>
      <c r="M383" s="180"/>
      <c r="N383" s="180"/>
      <c r="O383" s="218"/>
      <c r="P383" s="180"/>
      <c r="Q383" s="188"/>
      <c r="R383" s="180"/>
      <c r="S383" s="180"/>
      <c r="T383" s="180"/>
      <c r="U383" s="180"/>
      <c r="V383" s="180"/>
      <c r="W383" s="180"/>
      <c r="X383" s="201"/>
      <c r="AJ383" s="149" t="str">
        <f>IF('Cable Info'!L243="","",CONCATENATE('Cable Info'!L243," - ",'Cable Info'!M243))</f>
        <v/>
      </c>
      <c r="AM383" s="149" t="str">
        <f t="shared" si="54"/>
        <v/>
      </c>
      <c r="AO383" s="149" t="str">
        <f>IF('Cable Info'!N243="","",CONCATENATE('Cable Info'!N243," - ",'Cable Info'!O243))</f>
        <v/>
      </c>
      <c r="AR383" s="149" t="str">
        <f t="shared" si="55"/>
        <v/>
      </c>
      <c r="AT383" s="149" t="str">
        <f>IF('Cable Info'!P243="","",CONCATENATE('Cable Info'!P243," - ",'Cable Info'!Q243))</f>
        <v/>
      </c>
      <c r="AW383" s="149" t="str">
        <f t="shared" si="56"/>
        <v/>
      </c>
      <c r="AY383" s="149" t="str">
        <f>IF('Cable Info'!R243="","",CONCATENATE('Cable Info'!R243," - ",'Cable Info'!S243))</f>
        <v/>
      </c>
      <c r="BB383" s="149" t="str">
        <f t="shared" si="57"/>
        <v/>
      </c>
      <c r="BD383" s="149" t="str">
        <f>IF('Cable Info'!T243="","",CONCATENATE('Cable Info'!T243," - ",'Cable Info'!U243))</f>
        <v/>
      </c>
      <c r="BG383" s="149" t="str">
        <f t="shared" si="58"/>
        <v/>
      </c>
      <c r="BI383" s="149" t="str">
        <f>IF('Cable Info'!V243="","",CONCATENATE('Cable Info'!V243," - ",'Cable Info'!W243))</f>
        <v/>
      </c>
      <c r="BL383" s="149" t="str">
        <f t="shared" si="59"/>
        <v/>
      </c>
    </row>
    <row r="384" spans="1:64" x14ac:dyDescent="0.2">
      <c r="A384" s="180"/>
      <c r="B384" s="180"/>
      <c r="C384" s="180"/>
      <c r="D384" s="180"/>
      <c r="E384" s="180"/>
      <c r="F384" s="187"/>
      <c r="G384" s="180"/>
      <c r="H384" s="180"/>
      <c r="I384" s="180"/>
      <c r="J384" s="187"/>
      <c r="K384" s="180"/>
      <c r="L384" s="180"/>
      <c r="M384" s="180"/>
      <c r="N384" s="180"/>
      <c r="O384" s="218"/>
      <c r="P384" s="180"/>
      <c r="Q384" s="188"/>
      <c r="R384" s="180"/>
      <c r="S384" s="180"/>
      <c r="T384" s="180"/>
      <c r="U384" s="180"/>
      <c r="V384" s="180"/>
      <c r="W384" s="180"/>
      <c r="X384" s="201"/>
      <c r="AJ384" s="149" t="str">
        <f>IF('Cable Info'!L244="","",CONCATENATE('Cable Info'!L244," - ",'Cable Info'!M244))</f>
        <v/>
      </c>
      <c r="AM384" s="149" t="str">
        <f t="shared" si="54"/>
        <v/>
      </c>
      <c r="AO384" s="149" t="str">
        <f>IF('Cable Info'!N244="","",CONCATENATE('Cable Info'!N244," - ",'Cable Info'!O244))</f>
        <v/>
      </c>
      <c r="AR384" s="149" t="str">
        <f t="shared" si="55"/>
        <v/>
      </c>
      <c r="AT384" s="149" t="str">
        <f>IF('Cable Info'!P244="","",CONCATENATE('Cable Info'!P244," - ",'Cable Info'!Q244))</f>
        <v/>
      </c>
      <c r="AW384" s="149" t="str">
        <f t="shared" si="56"/>
        <v/>
      </c>
      <c r="AY384" s="149" t="str">
        <f>IF('Cable Info'!R244="","",CONCATENATE('Cable Info'!R244," - ",'Cable Info'!S244))</f>
        <v/>
      </c>
      <c r="BB384" s="149" t="str">
        <f t="shared" si="57"/>
        <v/>
      </c>
      <c r="BD384" s="149" t="str">
        <f>IF('Cable Info'!T244="","",CONCATENATE('Cable Info'!T244," - ",'Cable Info'!U244))</f>
        <v/>
      </c>
      <c r="BG384" s="149" t="str">
        <f t="shared" si="58"/>
        <v/>
      </c>
      <c r="BI384" s="149" t="str">
        <f>IF('Cable Info'!V244="","",CONCATENATE('Cable Info'!V244," - ",'Cable Info'!W244))</f>
        <v/>
      </c>
      <c r="BL384" s="149" t="str">
        <f t="shared" si="59"/>
        <v/>
      </c>
    </row>
    <row r="385" spans="1:64" x14ac:dyDescent="0.2">
      <c r="A385" s="180"/>
      <c r="B385" s="180"/>
      <c r="C385" s="180"/>
      <c r="D385" s="180"/>
      <c r="E385" s="180"/>
      <c r="F385" s="187"/>
      <c r="G385" s="180"/>
      <c r="H385" s="180"/>
      <c r="I385" s="180"/>
      <c r="J385" s="187"/>
      <c r="K385" s="180"/>
      <c r="L385" s="180"/>
      <c r="M385" s="180"/>
      <c r="N385" s="180"/>
      <c r="O385" s="218"/>
      <c r="P385" s="180"/>
      <c r="Q385" s="188"/>
      <c r="R385" s="180"/>
      <c r="S385" s="180"/>
      <c r="T385" s="180"/>
      <c r="U385" s="180"/>
      <c r="V385" s="180"/>
      <c r="W385" s="180"/>
      <c r="X385" s="201"/>
      <c r="AJ385" s="149" t="str">
        <f>IF('Cable Info'!L245="","",CONCATENATE('Cable Info'!L245," - ",'Cable Info'!M245))</f>
        <v/>
      </c>
      <c r="AM385" s="149" t="str">
        <f t="shared" si="54"/>
        <v/>
      </c>
      <c r="AO385" s="149" t="str">
        <f>IF('Cable Info'!N245="","",CONCATENATE('Cable Info'!N245," - ",'Cable Info'!O245))</f>
        <v/>
      </c>
      <c r="AR385" s="149" t="str">
        <f t="shared" si="55"/>
        <v/>
      </c>
      <c r="AT385" s="149" t="str">
        <f>IF('Cable Info'!P245="","",CONCATENATE('Cable Info'!P245," - ",'Cable Info'!Q245))</f>
        <v/>
      </c>
      <c r="AW385" s="149" t="str">
        <f t="shared" si="56"/>
        <v/>
      </c>
      <c r="AY385" s="149" t="str">
        <f>IF('Cable Info'!R245="","",CONCATENATE('Cable Info'!R245," - ",'Cable Info'!S245))</f>
        <v/>
      </c>
      <c r="BB385" s="149" t="str">
        <f t="shared" si="57"/>
        <v/>
      </c>
      <c r="BD385" s="149" t="str">
        <f>IF('Cable Info'!T245="","",CONCATENATE('Cable Info'!T245," - ",'Cable Info'!U245))</f>
        <v/>
      </c>
      <c r="BG385" s="149" t="str">
        <f t="shared" si="58"/>
        <v/>
      </c>
      <c r="BI385" s="149" t="str">
        <f>IF('Cable Info'!V245="","",CONCATENATE('Cable Info'!V245," - ",'Cable Info'!W245))</f>
        <v/>
      </c>
      <c r="BL385" s="149" t="str">
        <f t="shared" si="59"/>
        <v/>
      </c>
    </row>
    <row r="386" spans="1:64" x14ac:dyDescent="0.2">
      <c r="A386" s="180"/>
      <c r="B386" s="180"/>
      <c r="C386" s="180"/>
      <c r="D386" s="180"/>
      <c r="E386" s="180"/>
      <c r="F386" s="187"/>
      <c r="G386" s="180"/>
      <c r="H386" s="180"/>
      <c r="I386" s="180"/>
      <c r="J386" s="187"/>
      <c r="K386" s="180"/>
      <c r="L386" s="180"/>
      <c r="M386" s="180"/>
      <c r="N386" s="180"/>
      <c r="O386" s="218"/>
      <c r="P386" s="180"/>
      <c r="Q386" s="188"/>
      <c r="R386" s="180"/>
      <c r="S386" s="180"/>
      <c r="T386" s="180"/>
      <c r="U386" s="180"/>
      <c r="V386" s="180"/>
      <c r="W386" s="180"/>
      <c r="X386" s="201"/>
      <c r="AJ386" s="149" t="str">
        <f>IF('Cable Info'!L246="","",CONCATENATE('Cable Info'!L246," - ",'Cable Info'!M246))</f>
        <v/>
      </c>
      <c r="AM386" s="149" t="str">
        <f t="shared" si="54"/>
        <v/>
      </c>
      <c r="AO386" s="149" t="str">
        <f>IF('Cable Info'!N246="","",CONCATENATE('Cable Info'!N246," - ",'Cable Info'!O246))</f>
        <v/>
      </c>
      <c r="AR386" s="149" t="str">
        <f t="shared" si="55"/>
        <v/>
      </c>
      <c r="AT386" s="149" t="str">
        <f>IF('Cable Info'!P246="","",CONCATENATE('Cable Info'!P246," - ",'Cable Info'!Q246))</f>
        <v/>
      </c>
      <c r="AW386" s="149" t="str">
        <f t="shared" si="56"/>
        <v/>
      </c>
      <c r="AY386" s="149" t="str">
        <f>IF('Cable Info'!R246="","",CONCATENATE('Cable Info'!R246," - ",'Cable Info'!S246))</f>
        <v/>
      </c>
      <c r="BB386" s="149" t="str">
        <f t="shared" si="57"/>
        <v/>
      </c>
      <c r="BD386" s="149" t="str">
        <f>IF('Cable Info'!T246="","",CONCATENATE('Cable Info'!T246," - ",'Cable Info'!U246))</f>
        <v/>
      </c>
      <c r="BG386" s="149" t="str">
        <f t="shared" si="58"/>
        <v/>
      </c>
      <c r="BI386" s="149" t="str">
        <f>IF('Cable Info'!V246="","",CONCATENATE('Cable Info'!V246," - ",'Cable Info'!W246))</f>
        <v/>
      </c>
      <c r="BL386" s="149" t="str">
        <f t="shared" si="59"/>
        <v/>
      </c>
    </row>
    <row r="387" spans="1:64" x14ac:dyDescent="0.2">
      <c r="A387" s="180"/>
      <c r="B387" s="180"/>
      <c r="C387" s="180"/>
      <c r="D387" s="180"/>
      <c r="E387" s="180"/>
      <c r="F387" s="187"/>
      <c r="G387" s="180"/>
      <c r="H387" s="180"/>
      <c r="I387" s="180"/>
      <c r="J387" s="187"/>
      <c r="K387" s="180"/>
      <c r="L387" s="180"/>
      <c r="M387" s="180"/>
      <c r="N387" s="180"/>
      <c r="O387" s="218"/>
      <c r="P387" s="180"/>
      <c r="Q387" s="188"/>
      <c r="R387" s="180"/>
      <c r="S387" s="180"/>
      <c r="T387" s="180"/>
      <c r="U387" s="180"/>
      <c r="V387" s="180"/>
      <c r="W387" s="180"/>
      <c r="X387" s="201"/>
      <c r="AJ387" s="149" t="str">
        <f>IF('Cable Info'!L247="","",CONCATENATE('Cable Info'!L247," - ",'Cable Info'!M247))</f>
        <v/>
      </c>
      <c r="AM387" s="149" t="str">
        <f t="shared" si="54"/>
        <v/>
      </c>
      <c r="AO387" s="149" t="str">
        <f>IF('Cable Info'!N247="","",CONCATENATE('Cable Info'!N247," - ",'Cable Info'!O247))</f>
        <v/>
      </c>
      <c r="AR387" s="149" t="str">
        <f t="shared" si="55"/>
        <v/>
      </c>
      <c r="AT387" s="149" t="str">
        <f>IF('Cable Info'!P247="","",CONCATENATE('Cable Info'!P247," - ",'Cable Info'!Q247))</f>
        <v/>
      </c>
      <c r="AW387" s="149" t="str">
        <f t="shared" si="56"/>
        <v/>
      </c>
      <c r="AY387" s="149" t="str">
        <f>IF('Cable Info'!R247="","",CONCATENATE('Cable Info'!R247," - ",'Cable Info'!S247))</f>
        <v/>
      </c>
      <c r="BB387" s="149" t="str">
        <f t="shared" si="57"/>
        <v/>
      </c>
      <c r="BD387" s="149" t="str">
        <f>IF('Cable Info'!T247="","",CONCATENATE('Cable Info'!T247," - ",'Cable Info'!U247))</f>
        <v/>
      </c>
      <c r="BG387" s="149" t="str">
        <f t="shared" si="58"/>
        <v/>
      </c>
      <c r="BI387" s="149" t="str">
        <f>IF('Cable Info'!V247="","",CONCATENATE('Cable Info'!V247," - ",'Cable Info'!W247))</f>
        <v/>
      </c>
      <c r="BL387" s="149" t="str">
        <f t="shared" si="59"/>
        <v/>
      </c>
    </row>
    <row r="388" spans="1:64" x14ac:dyDescent="0.2">
      <c r="A388" s="180"/>
      <c r="B388" s="180"/>
      <c r="C388" s="180"/>
      <c r="D388" s="180"/>
      <c r="E388" s="180"/>
      <c r="F388" s="187"/>
      <c r="G388" s="180"/>
      <c r="H388" s="180"/>
      <c r="I388" s="180"/>
      <c r="J388" s="187"/>
      <c r="K388" s="180"/>
      <c r="L388" s="180"/>
      <c r="M388" s="180"/>
      <c r="N388" s="180"/>
      <c r="O388" s="218"/>
      <c r="P388" s="180"/>
      <c r="Q388" s="188"/>
      <c r="R388" s="180"/>
      <c r="S388" s="180"/>
      <c r="T388" s="180"/>
      <c r="U388" s="180"/>
      <c r="V388" s="180"/>
      <c r="W388" s="180"/>
      <c r="X388" s="201"/>
      <c r="AJ388" s="149" t="str">
        <f>IF('Cable Info'!L248="","",CONCATENATE('Cable Info'!L248," - ",'Cable Info'!M248))</f>
        <v/>
      </c>
      <c r="AM388" s="149" t="str">
        <f t="shared" si="54"/>
        <v/>
      </c>
      <c r="AO388" s="149" t="str">
        <f>IF('Cable Info'!N248="","",CONCATENATE('Cable Info'!N248," - ",'Cable Info'!O248))</f>
        <v/>
      </c>
      <c r="AR388" s="149" t="str">
        <f t="shared" si="55"/>
        <v/>
      </c>
      <c r="AT388" s="149" t="str">
        <f>IF('Cable Info'!P248="","",CONCATENATE('Cable Info'!P248," - ",'Cable Info'!Q248))</f>
        <v/>
      </c>
      <c r="AW388" s="149" t="str">
        <f t="shared" si="56"/>
        <v/>
      </c>
      <c r="AY388" s="149" t="str">
        <f>IF('Cable Info'!R248="","",CONCATENATE('Cable Info'!R248," - ",'Cable Info'!S248))</f>
        <v/>
      </c>
      <c r="BB388" s="149" t="str">
        <f t="shared" si="57"/>
        <v/>
      </c>
      <c r="BD388" s="149" t="str">
        <f>IF('Cable Info'!T248="","",CONCATENATE('Cable Info'!T248," - ",'Cable Info'!U248))</f>
        <v/>
      </c>
      <c r="BG388" s="149" t="str">
        <f t="shared" si="58"/>
        <v/>
      </c>
      <c r="BI388" s="149" t="str">
        <f>IF('Cable Info'!V248="","",CONCATENATE('Cable Info'!V248," - ",'Cable Info'!W248))</f>
        <v/>
      </c>
      <c r="BL388" s="149" t="str">
        <f t="shared" si="59"/>
        <v/>
      </c>
    </row>
    <row r="389" spans="1:64" x14ac:dyDescent="0.2">
      <c r="A389" s="180"/>
      <c r="B389" s="180"/>
      <c r="C389" s="180"/>
      <c r="D389" s="180"/>
      <c r="E389" s="180"/>
      <c r="F389" s="187"/>
      <c r="G389" s="180"/>
      <c r="H389" s="180"/>
      <c r="I389" s="180"/>
      <c r="J389" s="187"/>
      <c r="K389" s="180"/>
      <c r="L389" s="180"/>
      <c r="M389" s="180"/>
      <c r="N389" s="180"/>
      <c r="O389" s="218"/>
      <c r="P389" s="180"/>
      <c r="Q389" s="188"/>
      <c r="R389" s="180"/>
      <c r="S389" s="180"/>
      <c r="T389" s="180"/>
      <c r="U389" s="180"/>
      <c r="V389" s="180"/>
      <c r="W389" s="180"/>
      <c r="X389" s="201"/>
      <c r="AJ389" s="149" t="str">
        <f>IF('Cable Info'!L249="","",CONCATENATE('Cable Info'!L249," - ",'Cable Info'!M249))</f>
        <v/>
      </c>
      <c r="AM389" s="149" t="str">
        <f t="shared" si="54"/>
        <v/>
      </c>
      <c r="AO389" s="149" t="str">
        <f>IF('Cable Info'!N249="","",CONCATENATE('Cable Info'!N249," - ",'Cable Info'!O249))</f>
        <v/>
      </c>
      <c r="AR389" s="149" t="str">
        <f t="shared" si="55"/>
        <v/>
      </c>
      <c r="AT389" s="149" t="str">
        <f>IF('Cable Info'!P249="","",CONCATENATE('Cable Info'!P249," - ",'Cable Info'!Q249))</f>
        <v/>
      </c>
      <c r="AW389" s="149" t="str">
        <f t="shared" si="56"/>
        <v/>
      </c>
      <c r="AY389" s="149" t="str">
        <f>IF('Cable Info'!R249="","",CONCATENATE('Cable Info'!R249," - ",'Cable Info'!S249))</f>
        <v/>
      </c>
      <c r="BB389" s="149" t="str">
        <f t="shared" si="57"/>
        <v/>
      </c>
      <c r="BD389" s="149" t="str">
        <f>IF('Cable Info'!T249="","",CONCATENATE('Cable Info'!T249," - ",'Cable Info'!U249))</f>
        <v/>
      </c>
      <c r="BG389" s="149" t="str">
        <f t="shared" si="58"/>
        <v/>
      </c>
      <c r="BI389" s="149" t="str">
        <f>IF('Cable Info'!V249="","",CONCATENATE('Cable Info'!V249," - ",'Cable Info'!W249))</f>
        <v/>
      </c>
      <c r="BL389" s="149" t="str">
        <f t="shared" si="59"/>
        <v/>
      </c>
    </row>
    <row r="390" spans="1:64" x14ac:dyDescent="0.2">
      <c r="A390" s="180"/>
      <c r="B390" s="180"/>
      <c r="C390" s="180"/>
      <c r="D390" s="180"/>
      <c r="E390" s="180"/>
      <c r="F390" s="187"/>
      <c r="G390" s="180"/>
      <c r="H390" s="180"/>
      <c r="I390" s="180"/>
      <c r="J390" s="187"/>
      <c r="K390" s="180"/>
      <c r="L390" s="180"/>
      <c r="M390" s="180"/>
      <c r="N390" s="180"/>
      <c r="O390" s="218"/>
      <c r="P390" s="180"/>
      <c r="Q390" s="188"/>
      <c r="R390" s="180"/>
      <c r="S390" s="180"/>
      <c r="T390" s="180"/>
      <c r="U390" s="180"/>
      <c r="V390" s="180"/>
      <c r="W390" s="180"/>
      <c r="X390" s="201"/>
      <c r="AJ390" s="149" t="str">
        <f>IF('Cable Info'!L250="","",CONCATENATE('Cable Info'!L250," - ",'Cable Info'!M250))</f>
        <v/>
      </c>
      <c r="AM390" s="149" t="str">
        <f t="shared" si="54"/>
        <v/>
      </c>
      <c r="AO390" s="149" t="str">
        <f>IF('Cable Info'!N250="","",CONCATENATE('Cable Info'!N250," - ",'Cable Info'!O250))</f>
        <v/>
      </c>
      <c r="AR390" s="149" t="str">
        <f t="shared" si="55"/>
        <v/>
      </c>
      <c r="AT390" s="149" t="str">
        <f>IF('Cable Info'!P250="","",CONCATENATE('Cable Info'!P250," - ",'Cable Info'!Q250))</f>
        <v/>
      </c>
      <c r="AW390" s="149" t="str">
        <f t="shared" si="56"/>
        <v/>
      </c>
      <c r="AY390" s="149" t="str">
        <f>IF('Cable Info'!R250="","",CONCATENATE('Cable Info'!R250," - ",'Cable Info'!S250))</f>
        <v/>
      </c>
      <c r="BB390" s="149" t="str">
        <f t="shared" si="57"/>
        <v/>
      </c>
      <c r="BD390" s="149" t="str">
        <f>IF('Cable Info'!T250="","",CONCATENATE('Cable Info'!T250," - ",'Cable Info'!U250))</f>
        <v/>
      </c>
      <c r="BG390" s="149" t="str">
        <f t="shared" si="58"/>
        <v/>
      </c>
      <c r="BI390" s="149" t="str">
        <f>IF('Cable Info'!V250="","",CONCATENATE('Cable Info'!V250," - ",'Cable Info'!W250))</f>
        <v/>
      </c>
      <c r="BL390" s="149" t="str">
        <f t="shared" si="59"/>
        <v/>
      </c>
    </row>
    <row r="391" spans="1:64" x14ac:dyDescent="0.2">
      <c r="A391" s="180"/>
      <c r="B391" s="180"/>
      <c r="C391" s="180"/>
      <c r="D391" s="180"/>
      <c r="E391" s="180"/>
      <c r="F391" s="187"/>
      <c r="G391" s="180"/>
      <c r="H391" s="180"/>
      <c r="I391" s="180"/>
      <c r="J391" s="187"/>
      <c r="K391" s="180"/>
      <c r="L391" s="180"/>
      <c r="M391" s="180"/>
      <c r="N391" s="180"/>
      <c r="O391" s="218"/>
      <c r="P391" s="180"/>
      <c r="Q391" s="188"/>
      <c r="R391" s="180"/>
      <c r="S391" s="180"/>
      <c r="T391" s="180"/>
      <c r="U391" s="180"/>
      <c r="V391" s="180"/>
      <c r="W391" s="180"/>
      <c r="X391" s="201"/>
      <c r="AJ391" s="149" t="str">
        <f>IF('Cable Info'!L251="","",CONCATENATE('Cable Info'!L251," - ",'Cable Info'!M251))</f>
        <v/>
      </c>
      <c r="AM391" s="149" t="str">
        <f t="shared" si="54"/>
        <v/>
      </c>
      <c r="AO391" s="149" t="str">
        <f>IF('Cable Info'!N251="","",CONCATENATE('Cable Info'!N251," - ",'Cable Info'!O251))</f>
        <v/>
      </c>
      <c r="AR391" s="149" t="str">
        <f t="shared" si="55"/>
        <v/>
      </c>
      <c r="AT391" s="149" t="str">
        <f>IF('Cable Info'!P251="","",CONCATENATE('Cable Info'!P251," - ",'Cable Info'!Q251))</f>
        <v/>
      </c>
      <c r="AW391" s="149" t="str">
        <f t="shared" si="56"/>
        <v/>
      </c>
      <c r="AY391" s="149" t="str">
        <f>IF('Cable Info'!R251="","",CONCATENATE('Cable Info'!R251," - ",'Cable Info'!S251))</f>
        <v/>
      </c>
      <c r="BB391" s="149" t="str">
        <f t="shared" si="57"/>
        <v/>
      </c>
      <c r="BD391" s="149" t="str">
        <f>IF('Cable Info'!T251="","",CONCATENATE('Cable Info'!T251," - ",'Cable Info'!U251))</f>
        <v/>
      </c>
      <c r="BG391" s="149" t="str">
        <f t="shared" si="58"/>
        <v/>
      </c>
      <c r="BI391" s="149" t="str">
        <f>IF('Cable Info'!V251="","",CONCATENATE('Cable Info'!V251," - ",'Cable Info'!W251))</f>
        <v/>
      </c>
      <c r="BL391" s="149" t="str">
        <f t="shared" si="59"/>
        <v/>
      </c>
    </row>
    <row r="392" spans="1:64" x14ac:dyDescent="0.2">
      <c r="A392" s="180"/>
      <c r="B392" s="180"/>
      <c r="C392" s="180"/>
      <c r="D392" s="180"/>
      <c r="E392" s="180"/>
      <c r="F392" s="187"/>
      <c r="G392" s="180"/>
      <c r="H392" s="180"/>
      <c r="I392" s="180"/>
      <c r="J392" s="187"/>
      <c r="K392" s="180"/>
      <c r="L392" s="180"/>
      <c r="M392" s="180"/>
      <c r="N392" s="180"/>
      <c r="O392" s="218"/>
      <c r="P392" s="180"/>
      <c r="Q392" s="188"/>
      <c r="R392" s="180"/>
      <c r="S392" s="180"/>
      <c r="T392" s="180"/>
      <c r="U392" s="180"/>
      <c r="V392" s="180"/>
      <c r="W392" s="180"/>
      <c r="X392" s="201"/>
      <c r="AJ392" s="149" t="str">
        <f>IF('Cable Info'!L252="","",CONCATENATE('Cable Info'!L252," - ",'Cable Info'!M252))</f>
        <v/>
      </c>
      <c r="AM392" s="149" t="str">
        <f t="shared" si="54"/>
        <v/>
      </c>
      <c r="AO392" s="149" t="str">
        <f>IF('Cable Info'!N252="","",CONCATENATE('Cable Info'!N252," - ",'Cable Info'!O252))</f>
        <v/>
      </c>
      <c r="AR392" s="149" t="str">
        <f t="shared" si="55"/>
        <v/>
      </c>
      <c r="AT392" s="149" t="str">
        <f>IF('Cable Info'!P252="","",CONCATENATE('Cable Info'!P252," - ",'Cable Info'!Q252))</f>
        <v/>
      </c>
      <c r="AW392" s="149" t="str">
        <f t="shared" si="56"/>
        <v/>
      </c>
      <c r="AY392" s="149" t="str">
        <f>IF('Cable Info'!R252="","",CONCATENATE('Cable Info'!R252," - ",'Cable Info'!S252))</f>
        <v/>
      </c>
      <c r="BB392" s="149" t="str">
        <f t="shared" si="57"/>
        <v/>
      </c>
      <c r="BD392" s="149" t="str">
        <f>IF('Cable Info'!T252="","",CONCATENATE('Cable Info'!T252," - ",'Cable Info'!U252))</f>
        <v/>
      </c>
      <c r="BG392" s="149" t="str">
        <f t="shared" si="58"/>
        <v/>
      </c>
      <c r="BI392" s="149" t="str">
        <f>IF('Cable Info'!V252="","",CONCATENATE('Cable Info'!V252," - ",'Cable Info'!W252))</f>
        <v/>
      </c>
      <c r="BL392" s="149" t="str">
        <f t="shared" si="59"/>
        <v/>
      </c>
    </row>
    <row r="393" spans="1:64" x14ac:dyDescent="0.2">
      <c r="A393" s="180"/>
      <c r="B393" s="180"/>
      <c r="C393" s="180"/>
      <c r="D393" s="180"/>
      <c r="E393" s="180"/>
      <c r="F393" s="187"/>
      <c r="G393" s="180"/>
      <c r="H393" s="180"/>
      <c r="I393" s="180"/>
      <c r="J393" s="187"/>
      <c r="K393" s="180"/>
      <c r="L393" s="180"/>
      <c r="M393" s="180"/>
      <c r="N393" s="180"/>
      <c r="O393" s="218"/>
      <c r="P393" s="180"/>
      <c r="Q393" s="188"/>
      <c r="R393" s="180"/>
      <c r="S393" s="180"/>
      <c r="T393" s="180"/>
      <c r="U393" s="180"/>
      <c r="V393" s="180"/>
      <c r="W393" s="180"/>
      <c r="X393" s="201"/>
      <c r="AJ393" s="149" t="str">
        <f>IF('Cable Info'!L253="","",CONCATENATE('Cable Info'!L253," - ",'Cable Info'!M253))</f>
        <v/>
      </c>
      <c r="AM393" s="149" t="str">
        <f t="shared" si="54"/>
        <v/>
      </c>
      <c r="AO393" s="149" t="str">
        <f>IF('Cable Info'!N253="","",CONCATENATE('Cable Info'!N253," - ",'Cable Info'!O253))</f>
        <v/>
      </c>
      <c r="AR393" s="149" t="str">
        <f t="shared" si="55"/>
        <v/>
      </c>
      <c r="AT393" s="149" t="str">
        <f>IF('Cable Info'!P253="","",CONCATENATE('Cable Info'!P253," - ",'Cable Info'!Q253))</f>
        <v/>
      </c>
      <c r="AW393" s="149" t="str">
        <f t="shared" si="56"/>
        <v/>
      </c>
      <c r="AY393" s="149" t="str">
        <f>IF('Cable Info'!R253="","",CONCATENATE('Cable Info'!R253," - ",'Cable Info'!S253))</f>
        <v/>
      </c>
      <c r="BB393" s="149" t="str">
        <f t="shared" si="57"/>
        <v/>
      </c>
      <c r="BD393" s="149" t="str">
        <f>IF('Cable Info'!T253="","",CONCATENATE('Cable Info'!T253," - ",'Cable Info'!U253))</f>
        <v/>
      </c>
      <c r="BG393" s="149" t="str">
        <f t="shared" si="58"/>
        <v/>
      </c>
      <c r="BI393" s="149" t="str">
        <f>IF('Cable Info'!V253="","",CONCATENATE('Cable Info'!V253," - ",'Cable Info'!W253))</f>
        <v/>
      </c>
      <c r="BL393" s="149" t="str">
        <f t="shared" si="59"/>
        <v/>
      </c>
    </row>
    <row r="394" spans="1:64" x14ac:dyDescent="0.2">
      <c r="A394" s="180"/>
      <c r="B394" s="180"/>
      <c r="C394" s="180"/>
      <c r="D394" s="180"/>
      <c r="E394" s="180"/>
      <c r="F394" s="187"/>
      <c r="G394" s="180"/>
      <c r="H394" s="180"/>
      <c r="I394" s="180"/>
      <c r="J394" s="187"/>
      <c r="K394" s="180"/>
      <c r="L394" s="180"/>
      <c r="M394" s="180"/>
      <c r="N394" s="180"/>
      <c r="O394" s="218"/>
      <c r="P394" s="180"/>
      <c r="Q394" s="188"/>
      <c r="R394" s="180"/>
      <c r="S394" s="180"/>
      <c r="T394" s="180"/>
      <c r="U394" s="180"/>
      <c r="V394" s="180"/>
      <c r="W394" s="180"/>
      <c r="X394" s="201"/>
      <c r="AJ394" s="149" t="str">
        <f>IF('Cable Info'!L254="","",CONCATENATE('Cable Info'!L254," - ",'Cable Info'!M254))</f>
        <v/>
      </c>
      <c r="AM394" s="149" t="str">
        <f t="shared" si="54"/>
        <v/>
      </c>
      <c r="AO394" s="149" t="str">
        <f>IF('Cable Info'!N254="","",CONCATENATE('Cable Info'!N254," - ",'Cable Info'!O254))</f>
        <v/>
      </c>
      <c r="AR394" s="149" t="str">
        <f t="shared" si="55"/>
        <v/>
      </c>
      <c r="AT394" s="149" t="str">
        <f>IF('Cable Info'!P254="","",CONCATENATE('Cable Info'!P254," - ",'Cable Info'!Q254))</f>
        <v/>
      </c>
      <c r="AW394" s="149" t="str">
        <f t="shared" si="56"/>
        <v/>
      </c>
      <c r="AY394" s="149" t="str">
        <f>IF('Cable Info'!R254="","",CONCATENATE('Cable Info'!R254," - ",'Cable Info'!S254))</f>
        <v/>
      </c>
      <c r="BB394" s="149" t="str">
        <f t="shared" si="57"/>
        <v/>
      </c>
      <c r="BD394" s="149" t="str">
        <f>IF('Cable Info'!T254="","",CONCATENATE('Cable Info'!T254," - ",'Cable Info'!U254))</f>
        <v/>
      </c>
      <c r="BG394" s="149" t="str">
        <f t="shared" si="58"/>
        <v/>
      </c>
      <c r="BI394" s="149" t="str">
        <f>IF('Cable Info'!V254="","",CONCATENATE('Cable Info'!V254," - ",'Cable Info'!W254))</f>
        <v/>
      </c>
      <c r="BL394" s="149" t="str">
        <f t="shared" si="59"/>
        <v/>
      </c>
    </row>
    <row r="395" spans="1:64" x14ac:dyDescent="0.2">
      <c r="A395" s="180"/>
      <c r="B395" s="180"/>
      <c r="C395" s="180"/>
      <c r="D395" s="180"/>
      <c r="E395" s="180"/>
      <c r="F395" s="187"/>
      <c r="G395" s="180"/>
      <c r="H395" s="180"/>
      <c r="I395" s="180"/>
      <c r="J395" s="187"/>
      <c r="K395" s="180"/>
      <c r="L395" s="180"/>
      <c r="M395" s="180"/>
      <c r="N395" s="180"/>
      <c r="O395" s="218"/>
      <c r="P395" s="180"/>
      <c r="Q395" s="188"/>
      <c r="R395" s="180"/>
      <c r="S395" s="180"/>
      <c r="T395" s="180"/>
      <c r="U395" s="180"/>
      <c r="V395" s="180"/>
      <c r="W395" s="180"/>
      <c r="X395" s="201"/>
      <c r="AJ395" s="149" t="str">
        <f>IF('Cable Info'!L255="","",CONCATENATE('Cable Info'!L255," - ",'Cable Info'!M255))</f>
        <v/>
      </c>
      <c r="AM395" s="149" t="str">
        <f t="shared" si="54"/>
        <v/>
      </c>
      <c r="AO395" s="149" t="str">
        <f>IF('Cable Info'!N255="","",CONCATENATE('Cable Info'!N255," - ",'Cable Info'!O255))</f>
        <v/>
      </c>
      <c r="AR395" s="149" t="str">
        <f t="shared" si="55"/>
        <v/>
      </c>
      <c r="AT395" s="149" t="str">
        <f>IF('Cable Info'!P255="","",CONCATENATE('Cable Info'!P255," - ",'Cable Info'!Q255))</f>
        <v/>
      </c>
      <c r="AW395" s="149" t="str">
        <f t="shared" si="56"/>
        <v/>
      </c>
      <c r="AY395" s="149" t="str">
        <f>IF('Cable Info'!R255="","",CONCATENATE('Cable Info'!R255," - ",'Cable Info'!S255))</f>
        <v/>
      </c>
      <c r="BB395" s="149" t="str">
        <f t="shared" si="57"/>
        <v/>
      </c>
      <c r="BD395" s="149" t="str">
        <f>IF('Cable Info'!T255="","",CONCATENATE('Cable Info'!T255," - ",'Cable Info'!U255))</f>
        <v/>
      </c>
      <c r="BG395" s="149" t="str">
        <f t="shared" si="58"/>
        <v/>
      </c>
      <c r="BI395" s="149" t="str">
        <f>IF('Cable Info'!V255="","",CONCATENATE('Cable Info'!V255," - ",'Cable Info'!W255))</f>
        <v/>
      </c>
      <c r="BL395" s="149" t="str">
        <f t="shared" si="59"/>
        <v/>
      </c>
    </row>
    <row r="396" spans="1:64" x14ac:dyDescent="0.2">
      <c r="A396" s="180"/>
      <c r="B396" s="180"/>
      <c r="C396" s="180"/>
      <c r="D396" s="180"/>
      <c r="E396" s="180"/>
      <c r="F396" s="187"/>
      <c r="G396" s="180"/>
      <c r="H396" s="180"/>
      <c r="I396" s="180"/>
      <c r="J396" s="187"/>
      <c r="K396" s="180"/>
      <c r="L396" s="180"/>
      <c r="M396" s="180"/>
      <c r="N396" s="180"/>
      <c r="O396" s="218"/>
      <c r="P396" s="180"/>
      <c r="Q396" s="188"/>
      <c r="R396" s="180"/>
      <c r="S396" s="180"/>
      <c r="T396" s="180"/>
      <c r="U396" s="180"/>
      <c r="V396" s="180"/>
      <c r="W396" s="180"/>
      <c r="X396" s="201"/>
      <c r="AJ396" s="149" t="str">
        <f>IF('Cable Info'!L256="","",CONCATENATE('Cable Info'!L256," - ",'Cable Info'!M256))</f>
        <v/>
      </c>
      <c r="AM396" s="149" t="str">
        <f t="shared" si="54"/>
        <v/>
      </c>
      <c r="AO396" s="149" t="str">
        <f>IF('Cable Info'!N256="","",CONCATENATE('Cable Info'!N256," - ",'Cable Info'!O256))</f>
        <v/>
      </c>
      <c r="AR396" s="149" t="str">
        <f t="shared" si="55"/>
        <v/>
      </c>
      <c r="AT396" s="149" t="str">
        <f>IF('Cable Info'!P256="","",CONCATENATE('Cable Info'!P256," - ",'Cable Info'!Q256))</f>
        <v/>
      </c>
      <c r="AW396" s="149" t="str">
        <f t="shared" si="56"/>
        <v/>
      </c>
      <c r="AY396" s="149" t="str">
        <f>IF('Cable Info'!R256="","",CONCATENATE('Cable Info'!R256," - ",'Cable Info'!S256))</f>
        <v/>
      </c>
      <c r="BB396" s="149" t="str">
        <f t="shared" si="57"/>
        <v/>
      </c>
      <c r="BD396" s="149" t="str">
        <f>IF('Cable Info'!T256="","",CONCATENATE('Cable Info'!T256," - ",'Cable Info'!U256))</f>
        <v/>
      </c>
      <c r="BG396" s="149" t="str">
        <f t="shared" si="58"/>
        <v/>
      </c>
      <c r="BI396" s="149" t="str">
        <f>IF('Cable Info'!V256="","",CONCATENATE('Cable Info'!V256," - ",'Cable Info'!W256))</f>
        <v/>
      </c>
      <c r="BL396" s="149" t="str">
        <f t="shared" si="59"/>
        <v/>
      </c>
    </row>
    <row r="397" spans="1:64" x14ac:dyDescent="0.2">
      <c r="A397" s="180"/>
      <c r="B397" s="180"/>
      <c r="C397" s="180"/>
      <c r="D397" s="180"/>
      <c r="E397" s="180"/>
      <c r="F397" s="187"/>
      <c r="G397" s="180"/>
      <c r="H397" s="180"/>
      <c r="I397" s="180"/>
      <c r="J397" s="187"/>
      <c r="K397" s="180"/>
      <c r="L397" s="180"/>
      <c r="M397" s="180"/>
      <c r="N397" s="180"/>
      <c r="O397" s="218"/>
      <c r="P397" s="180"/>
      <c r="Q397" s="188"/>
      <c r="R397" s="180"/>
      <c r="S397" s="180"/>
      <c r="T397" s="180"/>
      <c r="U397" s="180"/>
      <c r="V397" s="180"/>
      <c r="W397" s="180"/>
      <c r="X397" s="201"/>
      <c r="AJ397" s="149" t="str">
        <f>IF('Cable Info'!L257="","",CONCATENATE('Cable Info'!L257," - ",'Cable Info'!M257))</f>
        <v/>
      </c>
      <c r="AM397" s="149" t="str">
        <f t="shared" si="54"/>
        <v/>
      </c>
      <c r="AO397" s="149" t="str">
        <f>IF('Cable Info'!N257="","",CONCATENATE('Cable Info'!N257," - ",'Cable Info'!O257))</f>
        <v/>
      </c>
      <c r="AR397" s="149" t="str">
        <f t="shared" si="55"/>
        <v/>
      </c>
      <c r="AT397" s="149" t="str">
        <f>IF('Cable Info'!P257="","",CONCATENATE('Cable Info'!P257," - ",'Cable Info'!Q257))</f>
        <v/>
      </c>
      <c r="AW397" s="149" t="str">
        <f t="shared" si="56"/>
        <v/>
      </c>
      <c r="AY397" s="149" t="str">
        <f>IF('Cable Info'!R257="","",CONCATENATE('Cable Info'!R257," - ",'Cable Info'!S257))</f>
        <v/>
      </c>
      <c r="BB397" s="149" t="str">
        <f t="shared" si="57"/>
        <v/>
      </c>
      <c r="BD397" s="149" t="str">
        <f>IF('Cable Info'!T257="","",CONCATENATE('Cable Info'!T257," - ",'Cable Info'!U257))</f>
        <v/>
      </c>
      <c r="BG397" s="149" t="str">
        <f t="shared" si="58"/>
        <v/>
      </c>
      <c r="BI397" s="149" t="str">
        <f>IF('Cable Info'!V257="","",CONCATENATE('Cable Info'!V257," - ",'Cable Info'!W257))</f>
        <v/>
      </c>
      <c r="BL397" s="149" t="str">
        <f t="shared" si="59"/>
        <v/>
      </c>
    </row>
    <row r="398" spans="1:64" x14ac:dyDescent="0.2">
      <c r="A398" s="180"/>
      <c r="B398" s="180"/>
      <c r="C398" s="180"/>
      <c r="D398" s="180"/>
      <c r="E398" s="180"/>
      <c r="F398" s="187"/>
      <c r="G398" s="180"/>
      <c r="H398" s="180"/>
      <c r="I398" s="180"/>
      <c r="J398" s="187"/>
      <c r="K398" s="180"/>
      <c r="L398" s="180"/>
      <c r="M398" s="180"/>
      <c r="N398" s="180"/>
      <c r="O398" s="218"/>
      <c r="P398" s="180"/>
      <c r="Q398" s="188"/>
      <c r="R398" s="180"/>
      <c r="S398" s="180"/>
      <c r="T398" s="180"/>
      <c r="U398" s="180"/>
      <c r="V398" s="180"/>
      <c r="W398" s="180"/>
      <c r="X398" s="201"/>
      <c r="AJ398" s="149" t="str">
        <f>IF('Cable Info'!L258="","",CONCATENATE('Cable Info'!L258," - ",'Cable Info'!M258))</f>
        <v/>
      </c>
      <c r="AM398" s="149" t="str">
        <f t="shared" si="54"/>
        <v/>
      </c>
      <c r="AO398" s="149" t="str">
        <f>IF('Cable Info'!N258="","",CONCATENATE('Cable Info'!N258," - ",'Cable Info'!O258))</f>
        <v/>
      </c>
      <c r="AR398" s="149" t="str">
        <f t="shared" si="55"/>
        <v/>
      </c>
      <c r="AT398" s="149" t="str">
        <f>IF('Cable Info'!P258="","",CONCATENATE('Cable Info'!P258," - ",'Cable Info'!Q258))</f>
        <v/>
      </c>
      <c r="AW398" s="149" t="str">
        <f t="shared" si="56"/>
        <v/>
      </c>
      <c r="AY398" s="149" t="str">
        <f>IF('Cable Info'!R258="","",CONCATENATE('Cable Info'!R258," - ",'Cable Info'!S258))</f>
        <v/>
      </c>
      <c r="BB398" s="149" t="str">
        <f t="shared" si="57"/>
        <v/>
      </c>
      <c r="BD398" s="149" t="str">
        <f>IF('Cable Info'!T258="","",CONCATENATE('Cable Info'!T258," - ",'Cable Info'!U258))</f>
        <v/>
      </c>
      <c r="BG398" s="149" t="str">
        <f t="shared" si="58"/>
        <v/>
      </c>
      <c r="BI398" s="149" t="str">
        <f>IF('Cable Info'!V258="","",CONCATENATE('Cable Info'!V258," - ",'Cable Info'!W258))</f>
        <v/>
      </c>
      <c r="BL398" s="149" t="str">
        <f t="shared" si="59"/>
        <v/>
      </c>
    </row>
    <row r="399" spans="1:64" x14ac:dyDescent="0.2">
      <c r="A399" s="180"/>
      <c r="B399" s="180"/>
      <c r="C399" s="180"/>
      <c r="D399" s="180"/>
      <c r="E399" s="180"/>
      <c r="F399" s="187"/>
      <c r="G399" s="180"/>
      <c r="H399" s="180"/>
      <c r="I399" s="180"/>
      <c r="J399" s="187"/>
      <c r="K399" s="180"/>
      <c r="L399" s="180"/>
      <c r="M399" s="180"/>
      <c r="N399" s="180"/>
      <c r="O399" s="218"/>
      <c r="P399" s="180"/>
      <c r="Q399" s="188"/>
      <c r="R399" s="180"/>
      <c r="S399" s="180"/>
      <c r="T399" s="180"/>
      <c r="U399" s="180"/>
      <c r="V399" s="180"/>
      <c r="W399" s="180"/>
      <c r="X399" s="201"/>
      <c r="AJ399" s="149" t="str">
        <f>IF('Cable Info'!L259="","",CONCATENATE('Cable Info'!L259," - ",'Cable Info'!M259))</f>
        <v/>
      </c>
      <c r="AM399" s="149" t="str">
        <f t="shared" ref="AM399:AM462" si="60">IF(AK399="",AJ399,CONCATENATE(AJ399,"  &lt;=&gt; ",AK399," ",AL399))</f>
        <v/>
      </c>
      <c r="AO399" s="149" t="str">
        <f>IF('Cable Info'!N259="","",CONCATENATE('Cable Info'!N259," - ",'Cable Info'!O259))</f>
        <v/>
      </c>
      <c r="AR399" s="149" t="str">
        <f t="shared" ref="AR399:AR462" si="61">IF(AP399="",AO399,CONCATENATE(AO399,"  &lt;=&gt; ",AP399," ",AQ399))</f>
        <v/>
      </c>
      <c r="AT399" s="149" t="str">
        <f>IF('Cable Info'!P259="","",CONCATENATE('Cable Info'!P259," - ",'Cable Info'!Q259))</f>
        <v/>
      </c>
      <c r="AW399" s="149" t="str">
        <f t="shared" ref="AW399:AW462" si="62">IF(AU399="",AT399,CONCATENATE(AT399,"  &lt;=&gt; ",AU399," ",AV399))</f>
        <v/>
      </c>
      <c r="AY399" s="149" t="str">
        <f>IF('Cable Info'!R259="","",CONCATENATE('Cable Info'!R259," - ",'Cable Info'!S259))</f>
        <v/>
      </c>
      <c r="BB399" s="149" t="str">
        <f t="shared" ref="BB399:BB462" si="63">IF(AZ399="",AY399,CONCATENATE(AY399,"  &lt;=&gt; ",AZ399," ",BA399))</f>
        <v/>
      </c>
      <c r="BD399" s="149" t="str">
        <f>IF('Cable Info'!T259="","",CONCATENATE('Cable Info'!T259," - ",'Cable Info'!U259))</f>
        <v/>
      </c>
      <c r="BG399" s="149" t="str">
        <f t="shared" ref="BG399:BG462" si="64">IF(BE399="",BD399,CONCATENATE(BD399,"  &lt;=&gt; ",BE399," ",BF399))</f>
        <v/>
      </c>
      <c r="BI399" s="149" t="str">
        <f>IF('Cable Info'!V259="","",CONCATENATE('Cable Info'!V259," - ",'Cable Info'!W259))</f>
        <v/>
      </c>
      <c r="BL399" s="149" t="str">
        <f t="shared" ref="BL399:BL462" si="65">IF(BJ399="",BI399,CONCATENATE(BI399,"  &lt;=&gt; ",BJ399," ",BK399))</f>
        <v/>
      </c>
    </row>
    <row r="400" spans="1:64" x14ac:dyDescent="0.2">
      <c r="A400" s="180"/>
      <c r="B400" s="180"/>
      <c r="C400" s="180"/>
      <c r="D400" s="180"/>
      <c r="E400" s="180"/>
      <c r="F400" s="187"/>
      <c r="G400" s="180"/>
      <c r="H400" s="180"/>
      <c r="I400" s="180"/>
      <c r="J400" s="187"/>
      <c r="K400" s="180"/>
      <c r="L400" s="180"/>
      <c r="M400" s="180"/>
      <c r="N400" s="180"/>
      <c r="O400" s="218"/>
      <c r="P400" s="180"/>
      <c r="Q400" s="188"/>
      <c r="R400" s="180"/>
      <c r="S400" s="180"/>
      <c r="T400" s="180"/>
      <c r="U400" s="180"/>
      <c r="V400" s="180"/>
      <c r="W400" s="180"/>
      <c r="X400" s="201"/>
      <c r="AJ400" s="149" t="str">
        <f>IF('Cable Info'!L260="","",CONCATENATE('Cable Info'!L260," - ",'Cable Info'!M260))</f>
        <v/>
      </c>
      <c r="AM400" s="149" t="str">
        <f t="shared" si="60"/>
        <v/>
      </c>
      <c r="AO400" s="149" t="str">
        <f>IF('Cable Info'!N260="","",CONCATENATE('Cable Info'!N260," - ",'Cable Info'!O260))</f>
        <v/>
      </c>
      <c r="AR400" s="149" t="str">
        <f t="shared" si="61"/>
        <v/>
      </c>
      <c r="AT400" s="149" t="str">
        <f>IF('Cable Info'!P260="","",CONCATENATE('Cable Info'!P260," - ",'Cable Info'!Q260))</f>
        <v/>
      </c>
      <c r="AW400" s="149" t="str">
        <f t="shared" si="62"/>
        <v/>
      </c>
      <c r="AY400" s="149" t="str">
        <f>IF('Cable Info'!R260="","",CONCATENATE('Cable Info'!R260," - ",'Cable Info'!S260))</f>
        <v/>
      </c>
      <c r="BB400" s="149" t="str">
        <f t="shared" si="63"/>
        <v/>
      </c>
      <c r="BD400" s="149" t="str">
        <f>IF('Cable Info'!T260="","",CONCATENATE('Cable Info'!T260," - ",'Cable Info'!U260))</f>
        <v/>
      </c>
      <c r="BG400" s="149" t="str">
        <f t="shared" si="64"/>
        <v/>
      </c>
      <c r="BI400" s="149" t="str">
        <f>IF('Cable Info'!V260="","",CONCATENATE('Cable Info'!V260," - ",'Cable Info'!W260))</f>
        <v/>
      </c>
      <c r="BL400" s="149" t="str">
        <f t="shared" si="65"/>
        <v/>
      </c>
    </row>
    <row r="401" spans="1:64" x14ac:dyDescent="0.2">
      <c r="A401" s="180"/>
      <c r="B401" s="180"/>
      <c r="C401" s="180"/>
      <c r="D401" s="180"/>
      <c r="E401" s="180"/>
      <c r="F401" s="187"/>
      <c r="G401" s="180"/>
      <c r="H401" s="180"/>
      <c r="I401" s="180"/>
      <c r="J401" s="187"/>
      <c r="K401" s="180"/>
      <c r="L401" s="180"/>
      <c r="M401" s="180"/>
      <c r="N401" s="180"/>
      <c r="O401" s="218"/>
      <c r="P401" s="180"/>
      <c r="Q401" s="188"/>
      <c r="R401" s="180"/>
      <c r="S401" s="180"/>
      <c r="T401" s="180"/>
      <c r="U401" s="180"/>
      <c r="V401" s="180"/>
      <c r="W401" s="180"/>
      <c r="X401" s="201"/>
      <c r="AJ401" s="149" t="str">
        <f>IF('Cable Info'!L261="","",CONCATENATE('Cable Info'!L261," - ",'Cable Info'!M261))</f>
        <v/>
      </c>
      <c r="AM401" s="149" t="str">
        <f t="shared" si="60"/>
        <v/>
      </c>
      <c r="AO401" s="149" t="str">
        <f>IF('Cable Info'!N261="","",CONCATENATE('Cable Info'!N261," - ",'Cable Info'!O261))</f>
        <v/>
      </c>
      <c r="AR401" s="149" t="str">
        <f t="shared" si="61"/>
        <v/>
      </c>
      <c r="AT401" s="149" t="str">
        <f>IF('Cable Info'!P261="","",CONCATENATE('Cable Info'!P261," - ",'Cable Info'!Q261))</f>
        <v/>
      </c>
      <c r="AW401" s="149" t="str">
        <f t="shared" si="62"/>
        <v/>
      </c>
      <c r="AY401" s="149" t="str">
        <f>IF('Cable Info'!R261="","",CONCATENATE('Cable Info'!R261," - ",'Cable Info'!S261))</f>
        <v/>
      </c>
      <c r="BB401" s="149" t="str">
        <f t="shared" si="63"/>
        <v/>
      </c>
      <c r="BD401" s="149" t="str">
        <f>IF('Cable Info'!T261="","",CONCATENATE('Cable Info'!T261," - ",'Cable Info'!U261))</f>
        <v/>
      </c>
      <c r="BG401" s="149" t="str">
        <f t="shared" si="64"/>
        <v/>
      </c>
      <c r="BI401" s="149" t="str">
        <f>IF('Cable Info'!V261="","",CONCATENATE('Cable Info'!V261," - ",'Cable Info'!W261))</f>
        <v/>
      </c>
      <c r="BL401" s="149" t="str">
        <f t="shared" si="65"/>
        <v/>
      </c>
    </row>
    <row r="402" spans="1:64" x14ac:dyDescent="0.2">
      <c r="A402" s="180"/>
      <c r="B402" s="180"/>
      <c r="C402" s="180"/>
      <c r="D402" s="180"/>
      <c r="E402" s="180"/>
      <c r="F402" s="187"/>
      <c r="G402" s="180"/>
      <c r="H402" s="180"/>
      <c r="I402" s="180"/>
      <c r="J402" s="187"/>
      <c r="K402" s="180"/>
      <c r="L402" s="180"/>
      <c r="M402" s="180"/>
      <c r="N402" s="180"/>
      <c r="O402" s="218"/>
      <c r="P402" s="180"/>
      <c r="Q402" s="188"/>
      <c r="R402" s="180"/>
      <c r="S402" s="180"/>
      <c r="T402" s="180"/>
      <c r="U402" s="180"/>
      <c r="V402" s="180"/>
      <c r="W402" s="180"/>
      <c r="X402" s="201"/>
      <c r="AJ402" s="149" t="str">
        <f>IF('Cable Info'!L262="","",CONCATENATE('Cable Info'!L262," - ",'Cable Info'!M262))</f>
        <v/>
      </c>
      <c r="AM402" s="149" t="str">
        <f t="shared" si="60"/>
        <v/>
      </c>
      <c r="AO402" s="149" t="str">
        <f>IF('Cable Info'!N262="","",CONCATENATE('Cable Info'!N262," - ",'Cable Info'!O262))</f>
        <v/>
      </c>
      <c r="AR402" s="149" t="str">
        <f t="shared" si="61"/>
        <v/>
      </c>
      <c r="AT402" s="149" t="str">
        <f>IF('Cable Info'!P262="","",CONCATENATE('Cable Info'!P262," - ",'Cable Info'!Q262))</f>
        <v/>
      </c>
      <c r="AW402" s="149" t="str">
        <f t="shared" si="62"/>
        <v/>
      </c>
      <c r="AY402" s="149" t="str">
        <f>IF('Cable Info'!R262="","",CONCATENATE('Cable Info'!R262," - ",'Cable Info'!S262))</f>
        <v/>
      </c>
      <c r="BB402" s="149" t="str">
        <f t="shared" si="63"/>
        <v/>
      </c>
      <c r="BD402" s="149" t="str">
        <f>IF('Cable Info'!T262="","",CONCATENATE('Cable Info'!T262," - ",'Cable Info'!U262))</f>
        <v/>
      </c>
      <c r="BG402" s="149" t="str">
        <f t="shared" si="64"/>
        <v/>
      </c>
      <c r="BI402" s="149" t="str">
        <f>IF('Cable Info'!V262="","",CONCATENATE('Cable Info'!V262," - ",'Cable Info'!W262))</f>
        <v/>
      </c>
      <c r="BL402" s="149" t="str">
        <f t="shared" si="65"/>
        <v/>
      </c>
    </row>
    <row r="403" spans="1:64" x14ac:dyDescent="0.2">
      <c r="A403" s="180"/>
      <c r="B403" s="180"/>
      <c r="C403" s="180"/>
      <c r="D403" s="180"/>
      <c r="E403" s="180"/>
      <c r="F403" s="187"/>
      <c r="G403" s="180"/>
      <c r="H403" s="180"/>
      <c r="I403" s="180"/>
      <c r="J403" s="187"/>
      <c r="K403" s="180"/>
      <c r="L403" s="180"/>
      <c r="M403" s="180"/>
      <c r="N403" s="180"/>
      <c r="O403" s="218"/>
      <c r="P403" s="180"/>
      <c r="Q403" s="188"/>
      <c r="R403" s="180"/>
      <c r="S403" s="180"/>
      <c r="T403" s="180"/>
      <c r="U403" s="180"/>
      <c r="V403" s="180"/>
      <c r="W403" s="180"/>
      <c r="X403" s="201"/>
      <c r="AJ403" s="149" t="str">
        <f>IF('Cable Info'!L263="","",CONCATENATE('Cable Info'!L263," - ",'Cable Info'!M263))</f>
        <v/>
      </c>
      <c r="AM403" s="149" t="str">
        <f t="shared" si="60"/>
        <v/>
      </c>
      <c r="AO403" s="149" t="str">
        <f>IF('Cable Info'!N263="","",CONCATENATE('Cable Info'!N263," - ",'Cable Info'!O263))</f>
        <v/>
      </c>
      <c r="AR403" s="149" t="str">
        <f t="shared" si="61"/>
        <v/>
      </c>
      <c r="AT403" s="149" t="str">
        <f>IF('Cable Info'!P263="","",CONCATENATE('Cable Info'!P263," - ",'Cable Info'!Q263))</f>
        <v/>
      </c>
      <c r="AW403" s="149" t="str">
        <f t="shared" si="62"/>
        <v/>
      </c>
      <c r="AY403" s="149" t="str">
        <f>IF('Cable Info'!R263="","",CONCATENATE('Cable Info'!R263," - ",'Cable Info'!S263))</f>
        <v/>
      </c>
      <c r="BB403" s="149" t="str">
        <f t="shared" si="63"/>
        <v/>
      </c>
      <c r="BD403" s="149" t="str">
        <f>IF('Cable Info'!T263="","",CONCATENATE('Cable Info'!T263," - ",'Cable Info'!U263))</f>
        <v/>
      </c>
      <c r="BG403" s="149" t="str">
        <f t="shared" si="64"/>
        <v/>
      </c>
      <c r="BI403" s="149" t="str">
        <f>IF('Cable Info'!V263="","",CONCATENATE('Cable Info'!V263," - ",'Cable Info'!W263))</f>
        <v/>
      </c>
      <c r="BL403" s="149" t="str">
        <f t="shared" si="65"/>
        <v/>
      </c>
    </row>
    <row r="404" spans="1:64" x14ac:dyDescent="0.2">
      <c r="A404" s="180"/>
      <c r="B404" s="180"/>
      <c r="C404" s="180"/>
      <c r="D404" s="180"/>
      <c r="E404" s="180"/>
      <c r="F404" s="187"/>
      <c r="G404" s="180"/>
      <c r="H404" s="180"/>
      <c r="I404" s="180"/>
      <c r="J404" s="187"/>
      <c r="K404" s="180"/>
      <c r="L404" s="180"/>
      <c r="M404" s="180"/>
      <c r="N404" s="180"/>
      <c r="O404" s="218"/>
      <c r="P404" s="180"/>
      <c r="Q404" s="188"/>
      <c r="R404" s="180"/>
      <c r="S404" s="180"/>
      <c r="T404" s="180"/>
      <c r="U404" s="180"/>
      <c r="V404" s="180"/>
      <c r="W404" s="180"/>
      <c r="X404" s="201"/>
      <c r="AJ404" s="149" t="str">
        <f>IF('Cable Info'!L264="","",CONCATENATE('Cable Info'!L264," - ",'Cable Info'!M264))</f>
        <v/>
      </c>
      <c r="AM404" s="149" t="str">
        <f t="shared" si="60"/>
        <v/>
      </c>
      <c r="AO404" s="149" t="str">
        <f>IF('Cable Info'!N264="","",CONCATENATE('Cable Info'!N264," - ",'Cable Info'!O264))</f>
        <v/>
      </c>
      <c r="AR404" s="149" t="str">
        <f t="shared" si="61"/>
        <v/>
      </c>
      <c r="AT404" s="149" t="str">
        <f>IF('Cable Info'!P264="","",CONCATENATE('Cable Info'!P264," - ",'Cable Info'!Q264))</f>
        <v/>
      </c>
      <c r="AW404" s="149" t="str">
        <f t="shared" si="62"/>
        <v/>
      </c>
      <c r="AY404" s="149" t="str">
        <f>IF('Cable Info'!R264="","",CONCATENATE('Cable Info'!R264," - ",'Cable Info'!S264))</f>
        <v/>
      </c>
      <c r="BB404" s="149" t="str">
        <f t="shared" si="63"/>
        <v/>
      </c>
      <c r="BD404" s="149" t="str">
        <f>IF('Cable Info'!T264="","",CONCATENATE('Cable Info'!T264," - ",'Cable Info'!U264))</f>
        <v/>
      </c>
      <c r="BG404" s="149" t="str">
        <f t="shared" si="64"/>
        <v/>
      </c>
      <c r="BI404" s="149" t="str">
        <f>IF('Cable Info'!V264="","",CONCATENATE('Cable Info'!V264," - ",'Cable Info'!W264))</f>
        <v/>
      </c>
      <c r="BL404" s="149" t="str">
        <f t="shared" si="65"/>
        <v/>
      </c>
    </row>
    <row r="405" spans="1:64" x14ac:dyDescent="0.2">
      <c r="A405" s="180"/>
      <c r="B405" s="180"/>
      <c r="C405" s="180"/>
      <c r="D405" s="180"/>
      <c r="E405" s="180"/>
      <c r="F405" s="187"/>
      <c r="G405" s="180"/>
      <c r="H405" s="180"/>
      <c r="I405" s="180"/>
      <c r="J405" s="187"/>
      <c r="K405" s="180"/>
      <c r="L405" s="180"/>
      <c r="M405" s="180"/>
      <c r="N405" s="180"/>
      <c r="O405" s="218"/>
      <c r="P405" s="180"/>
      <c r="Q405" s="188"/>
      <c r="R405" s="180"/>
      <c r="S405" s="180"/>
      <c r="T405" s="180"/>
      <c r="U405" s="180"/>
      <c r="V405" s="180"/>
      <c r="W405" s="180"/>
      <c r="X405" s="201"/>
      <c r="AJ405" s="149" t="str">
        <f>IF('Cable Info'!L265="","",CONCATENATE('Cable Info'!L265," - ",'Cable Info'!M265))</f>
        <v/>
      </c>
      <c r="AM405" s="149" t="str">
        <f t="shared" si="60"/>
        <v/>
      </c>
      <c r="AO405" s="149" t="str">
        <f>IF('Cable Info'!N265="","",CONCATENATE('Cable Info'!N265," - ",'Cable Info'!O265))</f>
        <v/>
      </c>
      <c r="AR405" s="149" t="str">
        <f t="shared" si="61"/>
        <v/>
      </c>
      <c r="AT405" s="149" t="str">
        <f>IF('Cable Info'!P265="","",CONCATENATE('Cable Info'!P265," - ",'Cable Info'!Q265))</f>
        <v/>
      </c>
      <c r="AW405" s="149" t="str">
        <f t="shared" si="62"/>
        <v/>
      </c>
      <c r="AY405" s="149" t="str">
        <f>IF('Cable Info'!R265="","",CONCATENATE('Cable Info'!R265," - ",'Cable Info'!S265))</f>
        <v/>
      </c>
      <c r="BB405" s="149" t="str">
        <f t="shared" si="63"/>
        <v/>
      </c>
      <c r="BD405" s="149" t="str">
        <f>IF('Cable Info'!T265="","",CONCATENATE('Cable Info'!T265," - ",'Cable Info'!U265))</f>
        <v/>
      </c>
      <c r="BG405" s="149" t="str">
        <f t="shared" si="64"/>
        <v/>
      </c>
      <c r="BI405" s="149" t="str">
        <f>IF('Cable Info'!V265="","",CONCATENATE('Cable Info'!V265," - ",'Cable Info'!W265))</f>
        <v/>
      </c>
      <c r="BL405" s="149" t="str">
        <f t="shared" si="65"/>
        <v/>
      </c>
    </row>
    <row r="406" spans="1:64" x14ac:dyDescent="0.2">
      <c r="A406" s="180"/>
      <c r="B406" s="180"/>
      <c r="C406" s="180"/>
      <c r="D406" s="180"/>
      <c r="E406" s="180"/>
      <c r="F406" s="187"/>
      <c r="G406" s="180"/>
      <c r="H406" s="180"/>
      <c r="I406" s="180"/>
      <c r="J406" s="187"/>
      <c r="K406" s="180"/>
      <c r="L406" s="180"/>
      <c r="M406" s="180"/>
      <c r="N406" s="180"/>
      <c r="O406" s="218"/>
      <c r="P406" s="180"/>
      <c r="Q406" s="188"/>
      <c r="R406" s="180"/>
      <c r="S406" s="180"/>
      <c r="T406" s="180"/>
      <c r="U406" s="180"/>
      <c r="V406" s="180"/>
      <c r="W406" s="180"/>
      <c r="X406" s="201"/>
      <c r="AJ406" s="149" t="str">
        <f>IF('Cable Info'!L266="","",CONCATENATE('Cable Info'!L266," - ",'Cable Info'!M266))</f>
        <v/>
      </c>
      <c r="AM406" s="149" t="str">
        <f t="shared" si="60"/>
        <v/>
      </c>
      <c r="AO406" s="149" t="str">
        <f>IF('Cable Info'!N266="","",CONCATENATE('Cable Info'!N266," - ",'Cable Info'!O266))</f>
        <v/>
      </c>
      <c r="AR406" s="149" t="str">
        <f t="shared" si="61"/>
        <v/>
      </c>
      <c r="AT406" s="149" t="str">
        <f>IF('Cable Info'!P266="","",CONCATENATE('Cable Info'!P266," - ",'Cable Info'!Q266))</f>
        <v/>
      </c>
      <c r="AW406" s="149" t="str">
        <f t="shared" si="62"/>
        <v/>
      </c>
      <c r="AY406" s="149" t="str">
        <f>IF('Cable Info'!R266="","",CONCATENATE('Cable Info'!R266," - ",'Cable Info'!S266))</f>
        <v/>
      </c>
      <c r="BB406" s="149" t="str">
        <f t="shared" si="63"/>
        <v/>
      </c>
      <c r="BD406" s="149" t="str">
        <f>IF('Cable Info'!T266="","",CONCATENATE('Cable Info'!T266," - ",'Cable Info'!U266))</f>
        <v/>
      </c>
      <c r="BG406" s="149" t="str">
        <f t="shared" si="64"/>
        <v/>
      </c>
      <c r="BI406" s="149" t="str">
        <f>IF('Cable Info'!V266="","",CONCATENATE('Cable Info'!V266," - ",'Cable Info'!W266))</f>
        <v/>
      </c>
      <c r="BL406" s="149" t="str">
        <f t="shared" si="65"/>
        <v/>
      </c>
    </row>
    <row r="407" spans="1:64" x14ac:dyDescent="0.2">
      <c r="A407" s="180"/>
      <c r="B407" s="180"/>
      <c r="C407" s="180"/>
      <c r="D407" s="180"/>
      <c r="E407" s="180"/>
      <c r="F407" s="187"/>
      <c r="G407" s="180"/>
      <c r="H407" s="180"/>
      <c r="I407" s="180"/>
      <c r="J407" s="187"/>
      <c r="K407" s="180"/>
      <c r="L407" s="180"/>
      <c r="M407" s="180"/>
      <c r="N407" s="180"/>
      <c r="O407" s="218"/>
      <c r="P407" s="180"/>
      <c r="Q407" s="188"/>
      <c r="R407" s="180"/>
      <c r="S407" s="180"/>
      <c r="T407" s="180"/>
      <c r="U407" s="180"/>
      <c r="V407" s="180"/>
      <c r="W407" s="180"/>
      <c r="X407" s="201"/>
      <c r="AJ407" s="149" t="str">
        <f>IF('Cable Info'!L267="","",CONCATENATE('Cable Info'!L267," - ",'Cable Info'!M267))</f>
        <v/>
      </c>
      <c r="AM407" s="149" t="str">
        <f t="shared" si="60"/>
        <v/>
      </c>
      <c r="AO407" s="149" t="str">
        <f>IF('Cable Info'!N267="","",CONCATENATE('Cable Info'!N267," - ",'Cable Info'!O267))</f>
        <v/>
      </c>
      <c r="AR407" s="149" t="str">
        <f t="shared" si="61"/>
        <v/>
      </c>
      <c r="AT407" s="149" t="str">
        <f>IF('Cable Info'!P267="","",CONCATENATE('Cable Info'!P267," - ",'Cable Info'!Q267))</f>
        <v/>
      </c>
      <c r="AW407" s="149" t="str">
        <f t="shared" si="62"/>
        <v/>
      </c>
      <c r="AY407" s="149" t="str">
        <f>IF('Cable Info'!R267="","",CONCATENATE('Cable Info'!R267," - ",'Cable Info'!S267))</f>
        <v/>
      </c>
      <c r="BB407" s="149" t="str">
        <f t="shared" si="63"/>
        <v/>
      </c>
      <c r="BD407" s="149" t="str">
        <f>IF('Cable Info'!T267="","",CONCATENATE('Cable Info'!T267," - ",'Cable Info'!U267))</f>
        <v/>
      </c>
      <c r="BG407" s="149" t="str">
        <f t="shared" si="64"/>
        <v/>
      </c>
      <c r="BI407" s="149" t="str">
        <f>IF('Cable Info'!V267="","",CONCATENATE('Cable Info'!V267," - ",'Cable Info'!W267))</f>
        <v/>
      </c>
      <c r="BL407" s="149" t="str">
        <f t="shared" si="65"/>
        <v/>
      </c>
    </row>
    <row r="408" spans="1:64" x14ac:dyDescent="0.2">
      <c r="A408" s="180"/>
      <c r="B408" s="180"/>
      <c r="C408" s="180"/>
      <c r="D408" s="180"/>
      <c r="E408" s="180"/>
      <c r="F408" s="187"/>
      <c r="G408" s="180"/>
      <c r="H408" s="180"/>
      <c r="I408" s="180"/>
      <c r="J408" s="187"/>
      <c r="K408" s="180"/>
      <c r="L408" s="180"/>
      <c r="M408" s="180"/>
      <c r="N408" s="180"/>
      <c r="O408" s="218"/>
      <c r="P408" s="180"/>
      <c r="Q408" s="188"/>
      <c r="R408" s="180"/>
      <c r="S408" s="180"/>
      <c r="T408" s="180"/>
      <c r="U408" s="180"/>
      <c r="V408" s="180"/>
      <c r="W408" s="180"/>
      <c r="X408" s="201"/>
      <c r="AJ408" s="149" t="str">
        <f>IF('Cable Info'!L268="","",CONCATENATE('Cable Info'!L268," - ",'Cable Info'!M268))</f>
        <v/>
      </c>
      <c r="AM408" s="149" t="str">
        <f t="shared" si="60"/>
        <v/>
      </c>
      <c r="AO408" s="149" t="str">
        <f>IF('Cable Info'!N268="","",CONCATENATE('Cable Info'!N268," - ",'Cable Info'!O268))</f>
        <v/>
      </c>
      <c r="AR408" s="149" t="str">
        <f t="shared" si="61"/>
        <v/>
      </c>
      <c r="AT408" s="149" t="str">
        <f>IF('Cable Info'!P268="","",CONCATENATE('Cable Info'!P268," - ",'Cable Info'!Q268))</f>
        <v/>
      </c>
      <c r="AW408" s="149" t="str">
        <f t="shared" si="62"/>
        <v/>
      </c>
      <c r="AY408" s="149" t="str">
        <f>IF('Cable Info'!R268="","",CONCATENATE('Cable Info'!R268," - ",'Cable Info'!S268))</f>
        <v/>
      </c>
      <c r="BB408" s="149" t="str">
        <f t="shared" si="63"/>
        <v/>
      </c>
      <c r="BD408" s="149" t="str">
        <f>IF('Cable Info'!T268="","",CONCATENATE('Cable Info'!T268," - ",'Cable Info'!U268))</f>
        <v/>
      </c>
      <c r="BG408" s="149" t="str">
        <f t="shared" si="64"/>
        <v/>
      </c>
      <c r="BI408" s="149" t="str">
        <f>IF('Cable Info'!V268="","",CONCATENATE('Cable Info'!V268," - ",'Cable Info'!W268))</f>
        <v/>
      </c>
      <c r="BL408" s="149" t="str">
        <f t="shared" si="65"/>
        <v/>
      </c>
    </row>
    <row r="409" spans="1:64" x14ac:dyDescent="0.2">
      <c r="A409" s="180"/>
      <c r="B409" s="180"/>
      <c r="C409" s="180"/>
      <c r="D409" s="180"/>
      <c r="E409" s="180"/>
      <c r="F409" s="187"/>
      <c r="G409" s="180"/>
      <c r="H409" s="180"/>
      <c r="I409" s="180"/>
      <c r="J409" s="187"/>
      <c r="K409" s="180"/>
      <c r="L409" s="180"/>
      <c r="M409" s="180"/>
      <c r="N409" s="180"/>
      <c r="O409" s="218"/>
      <c r="P409" s="180"/>
      <c r="Q409" s="188"/>
      <c r="R409" s="180"/>
      <c r="S409" s="180"/>
      <c r="T409" s="180"/>
      <c r="U409" s="180"/>
      <c r="V409" s="180"/>
      <c r="W409" s="180"/>
      <c r="X409" s="201"/>
      <c r="AJ409" s="149" t="str">
        <f>IF('Cable Info'!L269="","",CONCATENATE('Cable Info'!L269," - ",'Cable Info'!M269))</f>
        <v/>
      </c>
      <c r="AM409" s="149" t="str">
        <f t="shared" si="60"/>
        <v/>
      </c>
      <c r="AO409" s="149" t="str">
        <f>IF('Cable Info'!N269="","",CONCATENATE('Cable Info'!N269," - ",'Cable Info'!O269))</f>
        <v/>
      </c>
      <c r="AR409" s="149" t="str">
        <f t="shared" si="61"/>
        <v/>
      </c>
      <c r="AT409" s="149" t="str">
        <f>IF('Cable Info'!P269="","",CONCATENATE('Cable Info'!P269," - ",'Cable Info'!Q269))</f>
        <v/>
      </c>
      <c r="AW409" s="149" t="str">
        <f t="shared" si="62"/>
        <v/>
      </c>
      <c r="AY409" s="149" t="str">
        <f>IF('Cable Info'!R269="","",CONCATENATE('Cable Info'!R269," - ",'Cable Info'!S269))</f>
        <v/>
      </c>
      <c r="BB409" s="149" t="str">
        <f t="shared" si="63"/>
        <v/>
      </c>
      <c r="BD409" s="149" t="str">
        <f>IF('Cable Info'!T269="","",CONCATENATE('Cable Info'!T269," - ",'Cable Info'!U269))</f>
        <v/>
      </c>
      <c r="BG409" s="149" t="str">
        <f t="shared" si="64"/>
        <v/>
      </c>
      <c r="BI409" s="149" t="str">
        <f>IF('Cable Info'!V269="","",CONCATENATE('Cable Info'!V269," - ",'Cable Info'!W269))</f>
        <v/>
      </c>
      <c r="BL409" s="149" t="str">
        <f t="shared" si="65"/>
        <v/>
      </c>
    </row>
    <row r="410" spans="1:64" x14ac:dyDescent="0.2">
      <c r="A410" s="180"/>
      <c r="B410" s="180"/>
      <c r="C410" s="180"/>
      <c r="D410" s="180"/>
      <c r="E410" s="180"/>
      <c r="F410" s="187"/>
      <c r="G410" s="180"/>
      <c r="H410" s="180"/>
      <c r="I410" s="180"/>
      <c r="J410" s="187"/>
      <c r="K410" s="180"/>
      <c r="L410" s="180"/>
      <c r="M410" s="180"/>
      <c r="N410" s="180"/>
      <c r="O410" s="218"/>
      <c r="P410" s="180"/>
      <c r="Q410" s="188"/>
      <c r="R410" s="180"/>
      <c r="S410" s="180"/>
      <c r="T410" s="180"/>
      <c r="U410" s="180"/>
      <c r="V410" s="180"/>
      <c r="W410" s="180"/>
      <c r="X410" s="201"/>
      <c r="AJ410" s="149" t="str">
        <f>IF('Cable Info'!L270="","",CONCATENATE('Cable Info'!L270," - ",'Cable Info'!M270))</f>
        <v/>
      </c>
      <c r="AM410" s="149" t="str">
        <f t="shared" si="60"/>
        <v/>
      </c>
      <c r="AO410" s="149" t="str">
        <f>IF('Cable Info'!N270="","",CONCATENATE('Cable Info'!N270," - ",'Cable Info'!O270))</f>
        <v/>
      </c>
      <c r="AR410" s="149" t="str">
        <f t="shared" si="61"/>
        <v/>
      </c>
      <c r="AT410" s="149" t="str">
        <f>IF('Cable Info'!P270="","",CONCATENATE('Cable Info'!P270," - ",'Cable Info'!Q270))</f>
        <v/>
      </c>
      <c r="AW410" s="149" t="str">
        <f t="shared" si="62"/>
        <v/>
      </c>
      <c r="AY410" s="149" t="str">
        <f>IF('Cable Info'!R270="","",CONCATENATE('Cable Info'!R270," - ",'Cable Info'!S270))</f>
        <v/>
      </c>
      <c r="BB410" s="149" t="str">
        <f t="shared" si="63"/>
        <v/>
      </c>
      <c r="BD410" s="149" t="str">
        <f>IF('Cable Info'!T270="","",CONCATENATE('Cable Info'!T270," - ",'Cable Info'!U270))</f>
        <v/>
      </c>
      <c r="BG410" s="149" t="str">
        <f t="shared" si="64"/>
        <v/>
      </c>
      <c r="BI410" s="149" t="str">
        <f>IF('Cable Info'!V270="","",CONCATENATE('Cable Info'!V270," - ",'Cable Info'!W270))</f>
        <v/>
      </c>
      <c r="BL410" s="149" t="str">
        <f t="shared" si="65"/>
        <v/>
      </c>
    </row>
    <row r="411" spans="1:64" x14ac:dyDescent="0.2">
      <c r="A411" s="180"/>
      <c r="B411" s="180"/>
      <c r="C411" s="180"/>
      <c r="D411" s="180"/>
      <c r="E411" s="180"/>
      <c r="F411" s="187"/>
      <c r="G411" s="180"/>
      <c r="H411" s="180"/>
      <c r="I411" s="180"/>
      <c r="J411" s="187"/>
      <c r="K411" s="180"/>
      <c r="L411" s="180"/>
      <c r="M411" s="180"/>
      <c r="N411" s="180"/>
      <c r="O411" s="218"/>
      <c r="P411" s="180"/>
      <c r="Q411" s="188"/>
      <c r="R411" s="180"/>
      <c r="S411" s="180"/>
      <c r="T411" s="180"/>
      <c r="U411" s="180"/>
      <c r="V411" s="180"/>
      <c r="W411" s="180"/>
      <c r="X411" s="201"/>
      <c r="AJ411" s="149" t="str">
        <f>IF('Cable Info'!L271="","",CONCATENATE('Cable Info'!L271," - ",'Cable Info'!M271))</f>
        <v/>
      </c>
      <c r="AM411" s="149" t="str">
        <f t="shared" si="60"/>
        <v/>
      </c>
      <c r="AO411" s="149" t="str">
        <f>IF('Cable Info'!N271="","",CONCATENATE('Cable Info'!N271," - ",'Cable Info'!O271))</f>
        <v/>
      </c>
      <c r="AR411" s="149" t="str">
        <f t="shared" si="61"/>
        <v/>
      </c>
      <c r="AT411" s="149" t="str">
        <f>IF('Cable Info'!P271="","",CONCATENATE('Cable Info'!P271," - ",'Cable Info'!Q271))</f>
        <v/>
      </c>
      <c r="AW411" s="149" t="str">
        <f t="shared" si="62"/>
        <v/>
      </c>
      <c r="AY411" s="149" t="str">
        <f>IF('Cable Info'!R271="","",CONCATENATE('Cable Info'!R271," - ",'Cable Info'!S271))</f>
        <v/>
      </c>
      <c r="BB411" s="149" t="str">
        <f t="shared" si="63"/>
        <v/>
      </c>
      <c r="BD411" s="149" t="str">
        <f>IF('Cable Info'!T271="","",CONCATENATE('Cable Info'!T271," - ",'Cable Info'!U271))</f>
        <v/>
      </c>
      <c r="BG411" s="149" t="str">
        <f t="shared" si="64"/>
        <v/>
      </c>
      <c r="BI411" s="149" t="str">
        <f>IF('Cable Info'!V271="","",CONCATENATE('Cable Info'!V271," - ",'Cable Info'!W271))</f>
        <v/>
      </c>
      <c r="BL411" s="149" t="str">
        <f t="shared" si="65"/>
        <v/>
      </c>
    </row>
    <row r="412" spans="1:64" x14ac:dyDescent="0.2">
      <c r="A412" s="180"/>
      <c r="B412" s="180"/>
      <c r="C412" s="180"/>
      <c r="D412" s="180"/>
      <c r="E412" s="180"/>
      <c r="F412" s="187"/>
      <c r="G412" s="180"/>
      <c r="H412" s="180"/>
      <c r="I412" s="180"/>
      <c r="J412" s="187"/>
      <c r="K412" s="180"/>
      <c r="L412" s="180"/>
      <c r="M412" s="180"/>
      <c r="N412" s="180"/>
      <c r="O412" s="218"/>
      <c r="P412" s="180"/>
      <c r="Q412" s="188"/>
      <c r="R412" s="180"/>
      <c r="S412" s="180"/>
      <c r="T412" s="180"/>
      <c r="U412" s="180"/>
      <c r="V412" s="180"/>
      <c r="W412" s="180"/>
      <c r="X412" s="201"/>
      <c r="AJ412" s="149" t="str">
        <f>IF('Cable Info'!L272="","",CONCATENATE('Cable Info'!L272," - ",'Cable Info'!M272))</f>
        <v/>
      </c>
      <c r="AM412" s="149" t="str">
        <f t="shared" si="60"/>
        <v/>
      </c>
      <c r="AO412" s="149" t="str">
        <f>IF('Cable Info'!N272="","",CONCATENATE('Cable Info'!N272," - ",'Cable Info'!O272))</f>
        <v/>
      </c>
      <c r="AR412" s="149" t="str">
        <f t="shared" si="61"/>
        <v/>
      </c>
      <c r="AT412" s="149" t="str">
        <f>IF('Cable Info'!P272="","",CONCATENATE('Cable Info'!P272," - ",'Cable Info'!Q272))</f>
        <v/>
      </c>
      <c r="AW412" s="149" t="str">
        <f t="shared" si="62"/>
        <v/>
      </c>
      <c r="AY412" s="149" t="str">
        <f>IF('Cable Info'!R272="","",CONCATENATE('Cable Info'!R272," - ",'Cable Info'!S272))</f>
        <v/>
      </c>
      <c r="BB412" s="149" t="str">
        <f t="shared" si="63"/>
        <v/>
      </c>
      <c r="BD412" s="149" t="str">
        <f>IF('Cable Info'!T272="","",CONCATENATE('Cable Info'!T272," - ",'Cable Info'!U272))</f>
        <v/>
      </c>
      <c r="BG412" s="149" t="str">
        <f t="shared" si="64"/>
        <v/>
      </c>
      <c r="BI412" s="149" t="str">
        <f>IF('Cable Info'!V272="","",CONCATENATE('Cable Info'!V272," - ",'Cable Info'!W272))</f>
        <v/>
      </c>
      <c r="BL412" s="149" t="str">
        <f t="shared" si="65"/>
        <v/>
      </c>
    </row>
    <row r="413" spans="1:64" x14ac:dyDescent="0.2">
      <c r="A413" s="180"/>
      <c r="B413" s="180"/>
      <c r="C413" s="180"/>
      <c r="D413" s="180"/>
      <c r="E413" s="180"/>
      <c r="F413" s="187"/>
      <c r="G413" s="180"/>
      <c r="H413" s="180"/>
      <c r="I413" s="180"/>
      <c r="J413" s="187"/>
      <c r="K413" s="180"/>
      <c r="L413" s="180"/>
      <c r="M413" s="180"/>
      <c r="N413" s="180"/>
      <c r="O413" s="218"/>
      <c r="P413" s="180"/>
      <c r="Q413" s="188"/>
      <c r="R413" s="180"/>
      <c r="S413" s="180"/>
      <c r="T413" s="180"/>
      <c r="U413" s="180"/>
      <c r="V413" s="180"/>
      <c r="W413" s="180"/>
      <c r="X413" s="201"/>
      <c r="AJ413" s="149" t="str">
        <f>IF('Cable Info'!L273="","",CONCATENATE('Cable Info'!L273," - ",'Cable Info'!M273))</f>
        <v/>
      </c>
      <c r="AM413" s="149" t="str">
        <f t="shared" si="60"/>
        <v/>
      </c>
      <c r="AO413" s="149" t="str">
        <f>IF('Cable Info'!N273="","",CONCATENATE('Cable Info'!N273," - ",'Cable Info'!O273))</f>
        <v/>
      </c>
      <c r="AR413" s="149" t="str">
        <f t="shared" si="61"/>
        <v/>
      </c>
      <c r="AT413" s="149" t="str">
        <f>IF('Cable Info'!P273="","",CONCATENATE('Cable Info'!P273," - ",'Cable Info'!Q273))</f>
        <v/>
      </c>
      <c r="AW413" s="149" t="str">
        <f t="shared" si="62"/>
        <v/>
      </c>
      <c r="AY413" s="149" t="str">
        <f>IF('Cable Info'!R273="","",CONCATENATE('Cable Info'!R273," - ",'Cable Info'!S273))</f>
        <v/>
      </c>
      <c r="BB413" s="149" t="str">
        <f t="shared" si="63"/>
        <v/>
      </c>
      <c r="BD413" s="149" t="str">
        <f>IF('Cable Info'!T273="","",CONCATENATE('Cable Info'!T273," - ",'Cable Info'!U273))</f>
        <v/>
      </c>
      <c r="BG413" s="149" t="str">
        <f t="shared" si="64"/>
        <v/>
      </c>
      <c r="BI413" s="149" t="str">
        <f>IF('Cable Info'!V273="","",CONCATENATE('Cable Info'!V273," - ",'Cable Info'!W273))</f>
        <v/>
      </c>
      <c r="BL413" s="149" t="str">
        <f t="shared" si="65"/>
        <v/>
      </c>
    </row>
    <row r="414" spans="1:64" x14ac:dyDescent="0.2">
      <c r="A414" s="180"/>
      <c r="B414" s="180"/>
      <c r="C414" s="180"/>
      <c r="D414" s="180"/>
      <c r="E414" s="180"/>
      <c r="F414" s="187"/>
      <c r="G414" s="180"/>
      <c r="H414" s="180"/>
      <c r="I414" s="180"/>
      <c r="J414" s="187"/>
      <c r="K414" s="180"/>
      <c r="L414" s="180"/>
      <c r="M414" s="180"/>
      <c r="N414" s="180"/>
      <c r="O414" s="218"/>
      <c r="P414" s="180"/>
      <c r="Q414" s="188"/>
      <c r="R414" s="180"/>
      <c r="S414" s="180"/>
      <c r="T414" s="180"/>
      <c r="U414" s="180"/>
      <c r="V414" s="180"/>
      <c r="W414" s="180"/>
      <c r="X414" s="201"/>
      <c r="AJ414" s="149" t="str">
        <f>IF('Cable Info'!L274="","",CONCATENATE('Cable Info'!L274," - ",'Cable Info'!M274))</f>
        <v/>
      </c>
      <c r="AM414" s="149" t="str">
        <f t="shared" si="60"/>
        <v/>
      </c>
      <c r="AO414" s="149" t="str">
        <f>IF('Cable Info'!N274="","",CONCATENATE('Cable Info'!N274," - ",'Cable Info'!O274))</f>
        <v/>
      </c>
      <c r="AR414" s="149" t="str">
        <f t="shared" si="61"/>
        <v/>
      </c>
      <c r="AT414" s="149" t="str">
        <f>IF('Cable Info'!P274="","",CONCATENATE('Cable Info'!P274," - ",'Cable Info'!Q274))</f>
        <v/>
      </c>
      <c r="AW414" s="149" t="str">
        <f t="shared" si="62"/>
        <v/>
      </c>
      <c r="AY414" s="149" t="str">
        <f>IF('Cable Info'!R274="","",CONCATENATE('Cable Info'!R274," - ",'Cable Info'!S274))</f>
        <v/>
      </c>
      <c r="BB414" s="149" t="str">
        <f t="shared" si="63"/>
        <v/>
      </c>
      <c r="BD414" s="149" t="str">
        <f>IF('Cable Info'!T274="","",CONCATENATE('Cable Info'!T274," - ",'Cable Info'!U274))</f>
        <v/>
      </c>
      <c r="BG414" s="149" t="str">
        <f t="shared" si="64"/>
        <v/>
      </c>
      <c r="BI414" s="149" t="str">
        <f>IF('Cable Info'!V274="","",CONCATENATE('Cable Info'!V274," - ",'Cable Info'!W274))</f>
        <v/>
      </c>
      <c r="BL414" s="149" t="str">
        <f t="shared" si="65"/>
        <v/>
      </c>
    </row>
    <row r="415" spans="1:64" x14ac:dyDescent="0.2">
      <c r="A415" s="180"/>
      <c r="B415" s="180"/>
      <c r="C415" s="180"/>
      <c r="D415" s="180"/>
      <c r="E415" s="180"/>
      <c r="F415" s="187"/>
      <c r="G415" s="180"/>
      <c r="H415" s="180"/>
      <c r="I415" s="180"/>
      <c r="J415" s="187"/>
      <c r="K415" s="180"/>
      <c r="L415" s="180"/>
      <c r="M415" s="180"/>
      <c r="N415" s="180"/>
      <c r="O415" s="218"/>
      <c r="P415" s="180"/>
      <c r="Q415" s="188"/>
      <c r="R415" s="180"/>
      <c r="S415" s="180"/>
      <c r="T415" s="180"/>
      <c r="U415" s="180"/>
      <c r="V415" s="180"/>
      <c r="W415" s="180"/>
      <c r="X415" s="201"/>
      <c r="AJ415" s="149" t="str">
        <f>IF('Cable Info'!L275="","",CONCATENATE('Cable Info'!L275," - ",'Cable Info'!M275))</f>
        <v/>
      </c>
      <c r="AM415" s="149" t="str">
        <f t="shared" si="60"/>
        <v/>
      </c>
      <c r="AO415" s="149" t="str">
        <f>IF('Cable Info'!N275="","",CONCATENATE('Cable Info'!N275," - ",'Cable Info'!O275))</f>
        <v/>
      </c>
      <c r="AR415" s="149" t="str">
        <f t="shared" si="61"/>
        <v/>
      </c>
      <c r="AT415" s="149" t="str">
        <f>IF('Cable Info'!P275="","",CONCATENATE('Cable Info'!P275," - ",'Cable Info'!Q275))</f>
        <v/>
      </c>
      <c r="AW415" s="149" t="str">
        <f t="shared" si="62"/>
        <v/>
      </c>
      <c r="AY415" s="149" t="str">
        <f>IF('Cable Info'!R275="","",CONCATENATE('Cable Info'!R275," - ",'Cable Info'!S275))</f>
        <v/>
      </c>
      <c r="BB415" s="149" t="str">
        <f t="shared" si="63"/>
        <v/>
      </c>
      <c r="BD415" s="149" t="str">
        <f>IF('Cable Info'!T275="","",CONCATENATE('Cable Info'!T275," - ",'Cable Info'!U275))</f>
        <v/>
      </c>
      <c r="BG415" s="149" t="str">
        <f t="shared" si="64"/>
        <v/>
      </c>
      <c r="BI415" s="149" t="str">
        <f>IF('Cable Info'!V275="","",CONCATENATE('Cable Info'!V275," - ",'Cable Info'!W275))</f>
        <v/>
      </c>
      <c r="BL415" s="149" t="str">
        <f t="shared" si="65"/>
        <v/>
      </c>
    </row>
    <row r="416" spans="1:64" x14ac:dyDescent="0.2">
      <c r="A416" s="180"/>
      <c r="B416" s="180"/>
      <c r="C416" s="180"/>
      <c r="D416" s="180"/>
      <c r="E416" s="180"/>
      <c r="F416" s="187"/>
      <c r="G416" s="180"/>
      <c r="H416" s="180"/>
      <c r="I416" s="180"/>
      <c r="J416" s="187"/>
      <c r="K416" s="180"/>
      <c r="L416" s="180"/>
      <c r="M416" s="180"/>
      <c r="N416" s="180"/>
      <c r="O416" s="218"/>
      <c r="P416" s="180"/>
      <c r="Q416" s="188"/>
      <c r="R416" s="180"/>
      <c r="S416" s="180"/>
      <c r="T416" s="180"/>
      <c r="U416" s="180"/>
      <c r="V416" s="180"/>
      <c r="W416" s="180"/>
      <c r="X416" s="201"/>
      <c r="AJ416" s="149" t="str">
        <f>IF('Cable Info'!L276="","",CONCATENATE('Cable Info'!L276," - ",'Cable Info'!M276))</f>
        <v/>
      </c>
      <c r="AM416" s="149" t="str">
        <f t="shared" si="60"/>
        <v/>
      </c>
      <c r="AO416" s="149" t="str">
        <f>IF('Cable Info'!N276="","",CONCATENATE('Cable Info'!N276," - ",'Cable Info'!O276))</f>
        <v/>
      </c>
      <c r="AR416" s="149" t="str">
        <f t="shared" si="61"/>
        <v/>
      </c>
      <c r="AT416" s="149" t="str">
        <f>IF('Cable Info'!P276="","",CONCATENATE('Cable Info'!P276," - ",'Cable Info'!Q276))</f>
        <v/>
      </c>
      <c r="AW416" s="149" t="str">
        <f t="shared" si="62"/>
        <v/>
      </c>
      <c r="AY416" s="149" t="str">
        <f>IF('Cable Info'!R276="","",CONCATENATE('Cable Info'!R276," - ",'Cable Info'!S276))</f>
        <v/>
      </c>
      <c r="BB416" s="149" t="str">
        <f t="shared" si="63"/>
        <v/>
      </c>
      <c r="BD416" s="149" t="str">
        <f>IF('Cable Info'!T276="","",CONCATENATE('Cable Info'!T276," - ",'Cable Info'!U276))</f>
        <v/>
      </c>
      <c r="BG416" s="149" t="str">
        <f t="shared" si="64"/>
        <v/>
      </c>
      <c r="BI416" s="149" t="str">
        <f>IF('Cable Info'!V276="","",CONCATENATE('Cable Info'!V276," - ",'Cable Info'!W276))</f>
        <v/>
      </c>
      <c r="BL416" s="149" t="str">
        <f t="shared" si="65"/>
        <v/>
      </c>
    </row>
    <row r="417" spans="1:64" x14ac:dyDescent="0.2">
      <c r="A417" s="180"/>
      <c r="B417" s="180"/>
      <c r="C417" s="180"/>
      <c r="D417" s="180"/>
      <c r="E417" s="180"/>
      <c r="F417" s="187"/>
      <c r="G417" s="180"/>
      <c r="H417" s="180"/>
      <c r="I417" s="180"/>
      <c r="J417" s="187"/>
      <c r="K417" s="180"/>
      <c r="L417" s="180"/>
      <c r="M417" s="180"/>
      <c r="N417" s="180"/>
      <c r="O417" s="218"/>
      <c r="P417" s="180"/>
      <c r="Q417" s="188"/>
      <c r="R417" s="180"/>
      <c r="S417" s="180"/>
      <c r="T417" s="180"/>
      <c r="U417" s="180"/>
      <c r="V417" s="180"/>
      <c r="W417" s="180"/>
      <c r="X417" s="201"/>
      <c r="AJ417" s="149" t="str">
        <f>IF('Cable Info'!L277="","",CONCATENATE('Cable Info'!L277," - ",'Cable Info'!M277))</f>
        <v/>
      </c>
      <c r="AM417" s="149" t="str">
        <f t="shared" si="60"/>
        <v/>
      </c>
      <c r="AO417" s="149" t="str">
        <f>IF('Cable Info'!N277="","",CONCATENATE('Cable Info'!N277," - ",'Cable Info'!O277))</f>
        <v/>
      </c>
      <c r="AR417" s="149" t="str">
        <f t="shared" si="61"/>
        <v/>
      </c>
      <c r="AT417" s="149" t="str">
        <f>IF('Cable Info'!P277="","",CONCATENATE('Cable Info'!P277," - ",'Cable Info'!Q277))</f>
        <v/>
      </c>
      <c r="AW417" s="149" t="str">
        <f t="shared" si="62"/>
        <v/>
      </c>
      <c r="AY417" s="149" t="str">
        <f>IF('Cable Info'!R277="","",CONCATENATE('Cable Info'!R277," - ",'Cable Info'!S277))</f>
        <v/>
      </c>
      <c r="BB417" s="149" t="str">
        <f t="shared" si="63"/>
        <v/>
      </c>
      <c r="BD417" s="149" t="str">
        <f>IF('Cable Info'!T277="","",CONCATENATE('Cable Info'!T277," - ",'Cable Info'!U277))</f>
        <v/>
      </c>
      <c r="BG417" s="149" t="str">
        <f t="shared" si="64"/>
        <v/>
      </c>
      <c r="BI417" s="149" t="str">
        <f>IF('Cable Info'!V277="","",CONCATENATE('Cable Info'!V277," - ",'Cable Info'!W277))</f>
        <v/>
      </c>
      <c r="BL417" s="149" t="str">
        <f t="shared" si="65"/>
        <v/>
      </c>
    </row>
    <row r="418" spans="1:64" x14ac:dyDescent="0.2">
      <c r="A418" s="180"/>
      <c r="B418" s="180"/>
      <c r="C418" s="180"/>
      <c r="D418" s="180"/>
      <c r="E418" s="180"/>
      <c r="F418" s="187"/>
      <c r="G418" s="180"/>
      <c r="H418" s="180"/>
      <c r="I418" s="180"/>
      <c r="J418" s="187"/>
      <c r="K418" s="180"/>
      <c r="L418" s="180"/>
      <c r="M418" s="180"/>
      <c r="N418" s="180"/>
      <c r="O418" s="218"/>
      <c r="P418" s="180"/>
      <c r="Q418" s="188"/>
      <c r="R418" s="180"/>
      <c r="S418" s="180"/>
      <c r="T418" s="180"/>
      <c r="U418" s="180"/>
      <c r="V418" s="180"/>
      <c r="W418" s="180"/>
      <c r="X418" s="201"/>
      <c r="AJ418" s="149" t="str">
        <f>IF('Cable Info'!L278="","",CONCATENATE('Cable Info'!L278," - ",'Cable Info'!M278))</f>
        <v/>
      </c>
      <c r="AM418" s="149" t="str">
        <f t="shared" si="60"/>
        <v/>
      </c>
      <c r="AO418" s="149" t="str">
        <f>IF('Cable Info'!N278="","",CONCATENATE('Cable Info'!N278," - ",'Cable Info'!O278))</f>
        <v/>
      </c>
      <c r="AR418" s="149" t="str">
        <f t="shared" si="61"/>
        <v/>
      </c>
      <c r="AT418" s="149" t="str">
        <f>IF('Cable Info'!P278="","",CONCATENATE('Cable Info'!P278," - ",'Cable Info'!Q278))</f>
        <v/>
      </c>
      <c r="AW418" s="149" t="str">
        <f t="shared" si="62"/>
        <v/>
      </c>
      <c r="AY418" s="149" t="str">
        <f>IF('Cable Info'!R278="","",CONCATENATE('Cable Info'!R278," - ",'Cable Info'!S278))</f>
        <v/>
      </c>
      <c r="BB418" s="149" t="str">
        <f t="shared" si="63"/>
        <v/>
      </c>
      <c r="BD418" s="149" t="str">
        <f>IF('Cable Info'!T278="","",CONCATENATE('Cable Info'!T278," - ",'Cable Info'!U278))</f>
        <v/>
      </c>
      <c r="BG418" s="149" t="str">
        <f t="shared" si="64"/>
        <v/>
      </c>
      <c r="BI418" s="149" t="str">
        <f>IF('Cable Info'!V278="","",CONCATENATE('Cable Info'!V278," - ",'Cable Info'!W278))</f>
        <v/>
      </c>
      <c r="BL418" s="149" t="str">
        <f t="shared" si="65"/>
        <v/>
      </c>
    </row>
    <row r="419" spans="1:64" x14ac:dyDescent="0.2">
      <c r="A419" s="180"/>
      <c r="B419" s="180"/>
      <c r="C419" s="180"/>
      <c r="D419" s="180"/>
      <c r="E419" s="180"/>
      <c r="F419" s="187"/>
      <c r="G419" s="180"/>
      <c r="H419" s="180"/>
      <c r="I419" s="180"/>
      <c r="J419" s="187"/>
      <c r="K419" s="180"/>
      <c r="L419" s="180"/>
      <c r="M419" s="180"/>
      <c r="N419" s="180"/>
      <c r="O419" s="218"/>
      <c r="P419" s="180"/>
      <c r="Q419" s="188"/>
      <c r="R419" s="180"/>
      <c r="S419" s="180"/>
      <c r="T419" s="180"/>
      <c r="U419" s="180"/>
      <c r="V419" s="180"/>
      <c r="W419" s="180"/>
      <c r="X419" s="201"/>
      <c r="AJ419" s="149" t="str">
        <f>IF('Cable Info'!L279="","",CONCATENATE('Cable Info'!L279," - ",'Cable Info'!M279))</f>
        <v/>
      </c>
      <c r="AM419" s="149" t="str">
        <f t="shared" si="60"/>
        <v/>
      </c>
      <c r="AO419" s="149" t="str">
        <f>IF('Cable Info'!N279="","",CONCATENATE('Cable Info'!N279," - ",'Cable Info'!O279))</f>
        <v/>
      </c>
      <c r="AR419" s="149" t="str">
        <f t="shared" si="61"/>
        <v/>
      </c>
      <c r="AT419" s="149" t="str">
        <f>IF('Cable Info'!P279="","",CONCATENATE('Cable Info'!P279," - ",'Cable Info'!Q279))</f>
        <v/>
      </c>
      <c r="AW419" s="149" t="str">
        <f t="shared" si="62"/>
        <v/>
      </c>
      <c r="AY419" s="149" t="str">
        <f>IF('Cable Info'!R279="","",CONCATENATE('Cable Info'!R279," - ",'Cable Info'!S279))</f>
        <v/>
      </c>
      <c r="BB419" s="149" t="str">
        <f t="shared" si="63"/>
        <v/>
      </c>
      <c r="BD419" s="149" t="str">
        <f>IF('Cable Info'!T279="","",CONCATENATE('Cable Info'!T279," - ",'Cable Info'!U279))</f>
        <v/>
      </c>
      <c r="BG419" s="149" t="str">
        <f t="shared" si="64"/>
        <v/>
      </c>
      <c r="BI419" s="149" t="str">
        <f>IF('Cable Info'!V279="","",CONCATENATE('Cable Info'!V279," - ",'Cable Info'!W279))</f>
        <v/>
      </c>
      <c r="BL419" s="149" t="str">
        <f t="shared" si="65"/>
        <v/>
      </c>
    </row>
    <row r="420" spans="1:64" x14ac:dyDescent="0.2">
      <c r="A420" s="180"/>
      <c r="B420" s="180"/>
      <c r="C420" s="180"/>
      <c r="D420" s="180"/>
      <c r="E420" s="180"/>
      <c r="F420" s="187"/>
      <c r="G420" s="180"/>
      <c r="H420" s="180"/>
      <c r="I420" s="180"/>
      <c r="J420" s="187"/>
      <c r="K420" s="180"/>
      <c r="L420" s="180"/>
      <c r="M420" s="180"/>
      <c r="N420" s="180"/>
      <c r="O420" s="218"/>
      <c r="P420" s="180"/>
      <c r="Q420" s="188"/>
      <c r="R420" s="180"/>
      <c r="S420" s="180"/>
      <c r="T420" s="180"/>
      <c r="U420" s="180"/>
      <c r="V420" s="180"/>
      <c r="W420" s="180"/>
      <c r="X420" s="201"/>
      <c r="AJ420" s="149" t="str">
        <f>IF('Cable Info'!L280="","",CONCATENATE('Cable Info'!L280," - ",'Cable Info'!M280))</f>
        <v/>
      </c>
      <c r="AM420" s="149" t="str">
        <f t="shared" si="60"/>
        <v/>
      </c>
      <c r="AO420" s="149" t="str">
        <f>IF('Cable Info'!N280="","",CONCATENATE('Cable Info'!N280," - ",'Cable Info'!O280))</f>
        <v/>
      </c>
      <c r="AR420" s="149" t="str">
        <f t="shared" si="61"/>
        <v/>
      </c>
      <c r="AT420" s="149" t="str">
        <f>IF('Cable Info'!P280="","",CONCATENATE('Cable Info'!P280," - ",'Cable Info'!Q280))</f>
        <v/>
      </c>
      <c r="AW420" s="149" t="str">
        <f t="shared" si="62"/>
        <v/>
      </c>
      <c r="AY420" s="149" t="str">
        <f>IF('Cable Info'!R280="","",CONCATENATE('Cable Info'!R280," - ",'Cable Info'!S280))</f>
        <v/>
      </c>
      <c r="BB420" s="149" t="str">
        <f t="shared" si="63"/>
        <v/>
      </c>
      <c r="BD420" s="149" t="str">
        <f>IF('Cable Info'!T280="","",CONCATENATE('Cable Info'!T280," - ",'Cable Info'!U280))</f>
        <v/>
      </c>
      <c r="BG420" s="149" t="str">
        <f t="shared" si="64"/>
        <v/>
      </c>
      <c r="BI420" s="149" t="str">
        <f>IF('Cable Info'!V280="","",CONCATENATE('Cable Info'!V280," - ",'Cable Info'!W280))</f>
        <v/>
      </c>
      <c r="BL420" s="149" t="str">
        <f t="shared" si="65"/>
        <v/>
      </c>
    </row>
    <row r="421" spans="1:64" x14ac:dyDescent="0.2">
      <c r="A421" s="180"/>
      <c r="B421" s="180"/>
      <c r="C421" s="180"/>
      <c r="D421" s="180"/>
      <c r="E421" s="180"/>
      <c r="F421" s="187"/>
      <c r="G421" s="180"/>
      <c r="H421" s="180"/>
      <c r="I421" s="180"/>
      <c r="J421" s="187"/>
      <c r="K421" s="180"/>
      <c r="L421" s="180"/>
      <c r="M421" s="180"/>
      <c r="N421" s="180"/>
      <c r="O421" s="218"/>
      <c r="P421" s="180"/>
      <c r="Q421" s="188"/>
      <c r="R421" s="180"/>
      <c r="S421" s="180"/>
      <c r="T421" s="180"/>
      <c r="U421" s="180"/>
      <c r="V421" s="180"/>
      <c r="W421" s="180"/>
      <c r="X421" s="201"/>
      <c r="AJ421" s="149" t="str">
        <f>IF('Cable Info'!L281="","",CONCATENATE('Cable Info'!L281," - ",'Cable Info'!M281))</f>
        <v/>
      </c>
      <c r="AM421" s="149" t="str">
        <f t="shared" si="60"/>
        <v/>
      </c>
      <c r="AO421" s="149" t="str">
        <f>IF('Cable Info'!N281="","",CONCATENATE('Cable Info'!N281," - ",'Cable Info'!O281))</f>
        <v/>
      </c>
      <c r="AR421" s="149" t="str">
        <f t="shared" si="61"/>
        <v/>
      </c>
      <c r="AT421" s="149" t="str">
        <f>IF('Cable Info'!P281="","",CONCATENATE('Cable Info'!P281," - ",'Cable Info'!Q281))</f>
        <v/>
      </c>
      <c r="AW421" s="149" t="str">
        <f t="shared" si="62"/>
        <v/>
      </c>
      <c r="AY421" s="149" t="str">
        <f>IF('Cable Info'!R281="","",CONCATENATE('Cable Info'!R281," - ",'Cable Info'!S281))</f>
        <v/>
      </c>
      <c r="BB421" s="149" t="str">
        <f t="shared" si="63"/>
        <v/>
      </c>
      <c r="BD421" s="149" t="str">
        <f>IF('Cable Info'!T281="","",CONCATENATE('Cable Info'!T281," - ",'Cable Info'!U281))</f>
        <v/>
      </c>
      <c r="BG421" s="149" t="str">
        <f t="shared" si="64"/>
        <v/>
      </c>
      <c r="BI421" s="149" t="str">
        <f>IF('Cable Info'!V281="","",CONCATENATE('Cable Info'!V281," - ",'Cable Info'!W281))</f>
        <v/>
      </c>
      <c r="BL421" s="149" t="str">
        <f t="shared" si="65"/>
        <v/>
      </c>
    </row>
    <row r="422" spans="1:64" x14ac:dyDescent="0.2">
      <c r="A422" s="180"/>
      <c r="B422" s="180"/>
      <c r="C422" s="180"/>
      <c r="D422" s="180"/>
      <c r="E422" s="180"/>
      <c r="F422" s="187"/>
      <c r="G422" s="180"/>
      <c r="H422" s="180"/>
      <c r="I422" s="180"/>
      <c r="J422" s="187"/>
      <c r="K422" s="180"/>
      <c r="L422" s="180"/>
      <c r="M422" s="180"/>
      <c r="N422" s="180"/>
      <c r="O422" s="218"/>
      <c r="P422" s="180"/>
      <c r="Q422" s="188"/>
      <c r="R422" s="180"/>
      <c r="S422" s="180"/>
      <c r="T422" s="180"/>
      <c r="U422" s="180"/>
      <c r="V422" s="180"/>
      <c r="W422" s="180"/>
      <c r="X422" s="201"/>
      <c r="AJ422" s="149" t="str">
        <f>IF('Cable Info'!L282="","",CONCATENATE('Cable Info'!L282," - ",'Cable Info'!M282))</f>
        <v/>
      </c>
      <c r="AM422" s="149" t="str">
        <f t="shared" si="60"/>
        <v/>
      </c>
      <c r="AO422" s="149" t="str">
        <f>IF('Cable Info'!N282="","",CONCATENATE('Cable Info'!N282," - ",'Cable Info'!O282))</f>
        <v/>
      </c>
      <c r="AR422" s="149" t="str">
        <f t="shared" si="61"/>
        <v/>
      </c>
      <c r="AT422" s="149" t="str">
        <f>IF('Cable Info'!P282="","",CONCATENATE('Cable Info'!P282," - ",'Cable Info'!Q282))</f>
        <v/>
      </c>
      <c r="AW422" s="149" t="str">
        <f t="shared" si="62"/>
        <v/>
      </c>
      <c r="AY422" s="149" t="str">
        <f>IF('Cable Info'!R282="","",CONCATENATE('Cable Info'!R282," - ",'Cable Info'!S282))</f>
        <v/>
      </c>
      <c r="BB422" s="149" t="str">
        <f t="shared" si="63"/>
        <v/>
      </c>
      <c r="BD422" s="149" t="str">
        <f>IF('Cable Info'!T282="","",CONCATENATE('Cable Info'!T282," - ",'Cable Info'!U282))</f>
        <v/>
      </c>
      <c r="BG422" s="149" t="str">
        <f t="shared" si="64"/>
        <v/>
      </c>
      <c r="BI422" s="149" t="str">
        <f>IF('Cable Info'!V282="","",CONCATENATE('Cable Info'!V282," - ",'Cable Info'!W282))</f>
        <v/>
      </c>
      <c r="BL422" s="149" t="str">
        <f t="shared" si="65"/>
        <v/>
      </c>
    </row>
    <row r="423" spans="1:64" x14ac:dyDescent="0.2">
      <c r="A423" s="180"/>
      <c r="B423" s="180"/>
      <c r="C423" s="180"/>
      <c r="D423" s="180"/>
      <c r="E423" s="180"/>
      <c r="F423" s="187"/>
      <c r="G423" s="180"/>
      <c r="H423" s="180"/>
      <c r="I423" s="180"/>
      <c r="J423" s="187"/>
      <c r="K423" s="180"/>
      <c r="L423" s="180"/>
      <c r="M423" s="180"/>
      <c r="N423" s="180"/>
      <c r="O423" s="218"/>
      <c r="P423" s="180"/>
      <c r="Q423" s="188"/>
      <c r="R423" s="180"/>
      <c r="S423" s="180"/>
      <c r="T423" s="180"/>
      <c r="U423" s="180"/>
      <c r="V423" s="180"/>
      <c r="W423" s="180"/>
      <c r="X423" s="201"/>
      <c r="AJ423" s="149" t="str">
        <f>IF('Cable Info'!L283="","",CONCATENATE('Cable Info'!L283," - ",'Cable Info'!M283))</f>
        <v/>
      </c>
      <c r="AM423" s="149" t="str">
        <f t="shared" si="60"/>
        <v/>
      </c>
      <c r="AO423" s="149" t="str">
        <f>IF('Cable Info'!N283="","",CONCATENATE('Cable Info'!N283," - ",'Cable Info'!O283))</f>
        <v/>
      </c>
      <c r="AR423" s="149" t="str">
        <f t="shared" si="61"/>
        <v/>
      </c>
      <c r="AT423" s="149" t="str">
        <f>IF('Cable Info'!P283="","",CONCATENATE('Cable Info'!P283," - ",'Cable Info'!Q283))</f>
        <v/>
      </c>
      <c r="AW423" s="149" t="str">
        <f t="shared" si="62"/>
        <v/>
      </c>
      <c r="AY423" s="149" t="str">
        <f>IF('Cable Info'!R283="","",CONCATENATE('Cable Info'!R283," - ",'Cable Info'!S283))</f>
        <v/>
      </c>
      <c r="BB423" s="149" t="str">
        <f t="shared" si="63"/>
        <v/>
      </c>
      <c r="BD423" s="149" t="str">
        <f>IF('Cable Info'!T283="","",CONCATENATE('Cable Info'!T283," - ",'Cable Info'!U283))</f>
        <v/>
      </c>
      <c r="BG423" s="149" t="str">
        <f t="shared" si="64"/>
        <v/>
      </c>
      <c r="BI423" s="149" t="str">
        <f>IF('Cable Info'!V283="","",CONCATENATE('Cable Info'!V283," - ",'Cable Info'!W283))</f>
        <v/>
      </c>
      <c r="BL423" s="149" t="str">
        <f t="shared" si="65"/>
        <v/>
      </c>
    </row>
    <row r="424" spans="1:64" x14ac:dyDescent="0.2">
      <c r="A424" s="180"/>
      <c r="B424" s="180"/>
      <c r="C424" s="180"/>
      <c r="D424" s="180"/>
      <c r="E424" s="180"/>
      <c r="F424" s="187"/>
      <c r="G424" s="180"/>
      <c r="H424" s="180"/>
      <c r="I424" s="180"/>
      <c r="J424" s="187"/>
      <c r="K424" s="180"/>
      <c r="L424" s="180"/>
      <c r="M424" s="180"/>
      <c r="N424" s="180"/>
      <c r="O424" s="218"/>
      <c r="P424" s="180"/>
      <c r="Q424" s="188"/>
      <c r="R424" s="180"/>
      <c r="S424" s="180"/>
      <c r="T424" s="180"/>
      <c r="U424" s="180"/>
      <c r="V424" s="180"/>
      <c r="W424" s="180"/>
      <c r="X424" s="201"/>
      <c r="AJ424" s="149" t="str">
        <f>IF('Cable Info'!L284="","",CONCATENATE('Cable Info'!L284," - ",'Cable Info'!M284))</f>
        <v/>
      </c>
      <c r="AM424" s="149" t="str">
        <f t="shared" si="60"/>
        <v/>
      </c>
      <c r="AO424" s="149" t="str">
        <f>IF('Cable Info'!N284="","",CONCATENATE('Cable Info'!N284," - ",'Cable Info'!O284))</f>
        <v/>
      </c>
      <c r="AR424" s="149" t="str">
        <f t="shared" si="61"/>
        <v/>
      </c>
      <c r="AT424" s="149" t="str">
        <f>IF('Cable Info'!P284="","",CONCATENATE('Cable Info'!P284," - ",'Cable Info'!Q284))</f>
        <v/>
      </c>
      <c r="AW424" s="149" t="str">
        <f t="shared" si="62"/>
        <v/>
      </c>
      <c r="AY424" s="149" t="str">
        <f>IF('Cable Info'!R284="","",CONCATENATE('Cable Info'!R284," - ",'Cable Info'!S284))</f>
        <v/>
      </c>
      <c r="BB424" s="149" t="str">
        <f t="shared" si="63"/>
        <v/>
      </c>
      <c r="BD424" s="149" t="str">
        <f>IF('Cable Info'!T284="","",CONCATENATE('Cable Info'!T284," - ",'Cable Info'!U284))</f>
        <v/>
      </c>
      <c r="BG424" s="149" t="str">
        <f t="shared" si="64"/>
        <v/>
      </c>
      <c r="BI424" s="149" t="str">
        <f>IF('Cable Info'!V284="","",CONCATENATE('Cable Info'!V284," - ",'Cable Info'!W284))</f>
        <v/>
      </c>
      <c r="BL424" s="149" t="str">
        <f t="shared" si="65"/>
        <v/>
      </c>
    </row>
    <row r="425" spans="1:64" x14ac:dyDescent="0.2">
      <c r="A425" s="180"/>
      <c r="B425" s="180"/>
      <c r="C425" s="180"/>
      <c r="D425" s="180"/>
      <c r="E425" s="180"/>
      <c r="F425" s="187"/>
      <c r="G425" s="180"/>
      <c r="H425" s="180"/>
      <c r="I425" s="180"/>
      <c r="J425" s="187"/>
      <c r="K425" s="180"/>
      <c r="L425" s="180"/>
      <c r="M425" s="180"/>
      <c r="N425" s="180"/>
      <c r="O425" s="218"/>
      <c r="P425" s="180"/>
      <c r="Q425" s="188"/>
      <c r="R425" s="180"/>
      <c r="S425" s="180"/>
      <c r="T425" s="180"/>
      <c r="U425" s="180"/>
      <c r="V425" s="180"/>
      <c r="W425" s="180"/>
      <c r="X425" s="201"/>
      <c r="AJ425" s="149" t="str">
        <f>IF('Cable Info'!L285="","",CONCATENATE('Cable Info'!L285," - ",'Cable Info'!M285))</f>
        <v/>
      </c>
      <c r="AM425" s="149" t="str">
        <f t="shared" si="60"/>
        <v/>
      </c>
      <c r="AO425" s="149" t="str">
        <f>IF('Cable Info'!N285="","",CONCATENATE('Cable Info'!N285," - ",'Cable Info'!O285))</f>
        <v/>
      </c>
      <c r="AR425" s="149" t="str">
        <f t="shared" si="61"/>
        <v/>
      </c>
      <c r="AT425" s="149" t="str">
        <f>IF('Cable Info'!P285="","",CONCATENATE('Cable Info'!P285," - ",'Cable Info'!Q285))</f>
        <v/>
      </c>
      <c r="AW425" s="149" t="str">
        <f t="shared" si="62"/>
        <v/>
      </c>
      <c r="AY425" s="149" t="str">
        <f>IF('Cable Info'!R285="","",CONCATENATE('Cable Info'!R285," - ",'Cable Info'!S285))</f>
        <v/>
      </c>
      <c r="BB425" s="149" t="str">
        <f t="shared" si="63"/>
        <v/>
      </c>
      <c r="BD425" s="149" t="str">
        <f>IF('Cable Info'!T285="","",CONCATENATE('Cable Info'!T285," - ",'Cable Info'!U285))</f>
        <v/>
      </c>
      <c r="BG425" s="149" t="str">
        <f t="shared" si="64"/>
        <v/>
      </c>
      <c r="BI425" s="149" t="str">
        <f>IF('Cable Info'!V285="","",CONCATENATE('Cable Info'!V285," - ",'Cable Info'!W285))</f>
        <v/>
      </c>
      <c r="BL425" s="149" t="str">
        <f t="shared" si="65"/>
        <v/>
      </c>
    </row>
    <row r="426" spans="1:64" x14ac:dyDescent="0.2">
      <c r="A426" s="180"/>
      <c r="B426" s="180"/>
      <c r="C426" s="180"/>
      <c r="D426" s="180"/>
      <c r="E426" s="180"/>
      <c r="F426" s="187"/>
      <c r="G426" s="180"/>
      <c r="H426" s="180"/>
      <c r="I426" s="180"/>
      <c r="J426" s="187"/>
      <c r="K426" s="180"/>
      <c r="L426" s="180"/>
      <c r="M426" s="180"/>
      <c r="N426" s="180"/>
      <c r="O426" s="218"/>
      <c r="P426" s="180"/>
      <c r="Q426" s="188"/>
      <c r="R426" s="180"/>
      <c r="S426" s="180"/>
      <c r="T426" s="180"/>
      <c r="U426" s="180"/>
      <c r="V426" s="180"/>
      <c r="W426" s="180"/>
      <c r="X426" s="201"/>
      <c r="AJ426" s="149" t="str">
        <f>IF('Cable Info'!L286="","",CONCATENATE('Cable Info'!L286," - ",'Cable Info'!M286))</f>
        <v/>
      </c>
      <c r="AM426" s="149" t="str">
        <f t="shared" si="60"/>
        <v/>
      </c>
      <c r="AO426" s="149" t="str">
        <f>IF('Cable Info'!N286="","",CONCATENATE('Cable Info'!N286," - ",'Cable Info'!O286))</f>
        <v/>
      </c>
      <c r="AR426" s="149" t="str">
        <f t="shared" si="61"/>
        <v/>
      </c>
      <c r="AT426" s="149" t="str">
        <f>IF('Cable Info'!P286="","",CONCATENATE('Cable Info'!P286," - ",'Cable Info'!Q286))</f>
        <v/>
      </c>
      <c r="AW426" s="149" t="str">
        <f t="shared" si="62"/>
        <v/>
      </c>
      <c r="AY426" s="149" t="str">
        <f>IF('Cable Info'!R286="","",CONCATENATE('Cable Info'!R286," - ",'Cable Info'!S286))</f>
        <v/>
      </c>
      <c r="BB426" s="149" t="str">
        <f t="shared" si="63"/>
        <v/>
      </c>
      <c r="BD426" s="149" t="str">
        <f>IF('Cable Info'!T286="","",CONCATENATE('Cable Info'!T286," - ",'Cable Info'!U286))</f>
        <v/>
      </c>
      <c r="BG426" s="149" t="str">
        <f t="shared" si="64"/>
        <v/>
      </c>
      <c r="BI426" s="149" t="str">
        <f>IF('Cable Info'!V286="","",CONCATENATE('Cable Info'!V286," - ",'Cable Info'!W286))</f>
        <v/>
      </c>
      <c r="BL426" s="149" t="str">
        <f t="shared" si="65"/>
        <v/>
      </c>
    </row>
    <row r="427" spans="1:64" x14ac:dyDescent="0.2">
      <c r="A427" s="180"/>
      <c r="B427" s="180"/>
      <c r="C427" s="180"/>
      <c r="D427" s="180"/>
      <c r="E427" s="180"/>
      <c r="F427" s="187"/>
      <c r="G427" s="180"/>
      <c r="H427" s="180"/>
      <c r="I427" s="180"/>
      <c r="J427" s="187"/>
      <c r="K427" s="180"/>
      <c r="L427" s="180"/>
      <c r="M427" s="180"/>
      <c r="N427" s="180"/>
      <c r="O427" s="218"/>
      <c r="P427" s="180"/>
      <c r="Q427" s="188"/>
      <c r="R427" s="180"/>
      <c r="S427" s="180"/>
      <c r="T427" s="180"/>
      <c r="U427" s="180"/>
      <c r="V427" s="180"/>
      <c r="W427" s="180"/>
      <c r="X427" s="201"/>
      <c r="AJ427" s="149" t="str">
        <f>IF('Cable Info'!L287="","",CONCATENATE('Cable Info'!L287," - ",'Cable Info'!M287))</f>
        <v/>
      </c>
      <c r="AM427" s="149" t="str">
        <f t="shared" si="60"/>
        <v/>
      </c>
      <c r="AO427" s="149" t="str">
        <f>IF('Cable Info'!N287="","",CONCATENATE('Cable Info'!N287," - ",'Cable Info'!O287))</f>
        <v/>
      </c>
      <c r="AR427" s="149" t="str">
        <f t="shared" si="61"/>
        <v/>
      </c>
      <c r="AT427" s="149" t="str">
        <f>IF('Cable Info'!P287="","",CONCATENATE('Cable Info'!P287," - ",'Cable Info'!Q287))</f>
        <v/>
      </c>
      <c r="AW427" s="149" t="str">
        <f t="shared" si="62"/>
        <v/>
      </c>
      <c r="AY427" s="149" t="str">
        <f>IF('Cable Info'!R287="","",CONCATENATE('Cable Info'!R287," - ",'Cable Info'!S287))</f>
        <v/>
      </c>
      <c r="BB427" s="149" t="str">
        <f t="shared" si="63"/>
        <v/>
      </c>
      <c r="BD427" s="149" t="str">
        <f>IF('Cable Info'!T287="","",CONCATENATE('Cable Info'!T287," - ",'Cable Info'!U287))</f>
        <v/>
      </c>
      <c r="BG427" s="149" t="str">
        <f t="shared" si="64"/>
        <v/>
      </c>
      <c r="BI427" s="149" t="str">
        <f>IF('Cable Info'!V287="","",CONCATENATE('Cable Info'!V287," - ",'Cable Info'!W287))</f>
        <v/>
      </c>
      <c r="BL427" s="149" t="str">
        <f t="shared" si="65"/>
        <v/>
      </c>
    </row>
    <row r="428" spans="1:64" x14ac:dyDescent="0.2">
      <c r="A428" s="180"/>
      <c r="B428" s="180"/>
      <c r="C428" s="180"/>
      <c r="D428" s="180"/>
      <c r="E428" s="180"/>
      <c r="F428" s="187"/>
      <c r="G428" s="180"/>
      <c r="H428" s="180"/>
      <c r="I428" s="180"/>
      <c r="J428" s="187"/>
      <c r="K428" s="180"/>
      <c r="L428" s="180"/>
      <c r="M428" s="180"/>
      <c r="N428" s="180"/>
      <c r="O428" s="218"/>
      <c r="P428" s="180"/>
      <c r="Q428" s="188"/>
      <c r="R428" s="180"/>
      <c r="S428" s="180"/>
      <c r="T428" s="180"/>
      <c r="U428" s="180"/>
      <c r="V428" s="180"/>
      <c r="W428" s="180"/>
      <c r="X428" s="201"/>
      <c r="AJ428" s="149" t="str">
        <f>IF('Cable Info'!L288="","",CONCATENATE('Cable Info'!L288," - ",'Cable Info'!M288))</f>
        <v/>
      </c>
      <c r="AM428" s="149" t="str">
        <f t="shared" si="60"/>
        <v/>
      </c>
      <c r="AO428" s="149" t="str">
        <f>IF('Cable Info'!N288="","",CONCATENATE('Cable Info'!N288," - ",'Cable Info'!O288))</f>
        <v/>
      </c>
      <c r="AR428" s="149" t="str">
        <f t="shared" si="61"/>
        <v/>
      </c>
      <c r="AT428" s="149" t="str">
        <f>IF('Cable Info'!P288="","",CONCATENATE('Cable Info'!P288," - ",'Cable Info'!Q288))</f>
        <v/>
      </c>
      <c r="AW428" s="149" t="str">
        <f t="shared" si="62"/>
        <v/>
      </c>
      <c r="AY428" s="149" t="str">
        <f>IF('Cable Info'!R288="","",CONCATENATE('Cable Info'!R288," - ",'Cable Info'!S288))</f>
        <v/>
      </c>
      <c r="BB428" s="149" t="str">
        <f t="shared" si="63"/>
        <v/>
      </c>
      <c r="BD428" s="149" t="str">
        <f>IF('Cable Info'!T288="","",CONCATENATE('Cable Info'!T288," - ",'Cable Info'!U288))</f>
        <v/>
      </c>
      <c r="BG428" s="149" t="str">
        <f t="shared" si="64"/>
        <v/>
      </c>
      <c r="BI428" s="149" t="str">
        <f>IF('Cable Info'!V288="","",CONCATENATE('Cable Info'!V288," - ",'Cable Info'!W288))</f>
        <v/>
      </c>
      <c r="BL428" s="149" t="str">
        <f t="shared" si="65"/>
        <v/>
      </c>
    </row>
    <row r="429" spans="1:64" x14ac:dyDescent="0.2">
      <c r="A429" s="180"/>
      <c r="B429" s="180"/>
      <c r="C429" s="180"/>
      <c r="D429" s="180"/>
      <c r="E429" s="180"/>
      <c r="F429" s="187"/>
      <c r="G429" s="180"/>
      <c r="H429" s="180"/>
      <c r="I429" s="180"/>
      <c r="J429" s="187"/>
      <c r="K429" s="180"/>
      <c r="L429" s="180"/>
      <c r="M429" s="180"/>
      <c r="N429" s="180"/>
      <c r="O429" s="218"/>
      <c r="P429" s="180"/>
      <c r="Q429" s="188"/>
      <c r="R429" s="180"/>
      <c r="S429" s="180"/>
      <c r="T429" s="180"/>
      <c r="U429" s="180"/>
      <c r="V429" s="180"/>
      <c r="W429" s="180"/>
      <c r="X429" s="201"/>
      <c r="AJ429" s="149" t="str">
        <f>IF('Cable Info'!L289="","",CONCATENATE('Cable Info'!L289," - ",'Cable Info'!M289))</f>
        <v/>
      </c>
      <c r="AM429" s="149" t="str">
        <f t="shared" si="60"/>
        <v/>
      </c>
      <c r="AO429" s="149" t="str">
        <f>IF('Cable Info'!N289="","",CONCATENATE('Cable Info'!N289," - ",'Cable Info'!O289))</f>
        <v/>
      </c>
      <c r="AR429" s="149" t="str">
        <f t="shared" si="61"/>
        <v/>
      </c>
      <c r="AT429" s="149" t="str">
        <f>IF('Cable Info'!P289="","",CONCATENATE('Cable Info'!P289," - ",'Cable Info'!Q289))</f>
        <v/>
      </c>
      <c r="AW429" s="149" t="str">
        <f t="shared" si="62"/>
        <v/>
      </c>
      <c r="AY429" s="149" t="str">
        <f>IF('Cable Info'!R289="","",CONCATENATE('Cable Info'!R289," - ",'Cable Info'!S289))</f>
        <v/>
      </c>
      <c r="BB429" s="149" t="str">
        <f t="shared" si="63"/>
        <v/>
      </c>
      <c r="BD429" s="149" t="str">
        <f>IF('Cable Info'!T289="","",CONCATENATE('Cable Info'!T289," - ",'Cable Info'!U289))</f>
        <v/>
      </c>
      <c r="BG429" s="149" t="str">
        <f t="shared" si="64"/>
        <v/>
      </c>
      <c r="BI429" s="149" t="str">
        <f>IF('Cable Info'!V289="","",CONCATENATE('Cable Info'!V289," - ",'Cable Info'!W289))</f>
        <v/>
      </c>
      <c r="BL429" s="149" t="str">
        <f t="shared" si="65"/>
        <v/>
      </c>
    </row>
    <row r="430" spans="1:64" x14ac:dyDescent="0.2">
      <c r="A430" s="180"/>
      <c r="B430" s="180"/>
      <c r="C430" s="180"/>
      <c r="D430" s="180"/>
      <c r="E430" s="180"/>
      <c r="F430" s="187"/>
      <c r="G430" s="180"/>
      <c r="H430" s="180"/>
      <c r="I430" s="180"/>
      <c r="J430" s="187"/>
      <c r="K430" s="180"/>
      <c r="L430" s="180"/>
      <c r="M430" s="180"/>
      <c r="N430" s="180"/>
      <c r="O430" s="218"/>
      <c r="P430" s="180"/>
      <c r="Q430" s="188"/>
      <c r="R430" s="180"/>
      <c r="S430" s="180"/>
      <c r="T430" s="180"/>
      <c r="U430" s="180"/>
      <c r="V430" s="180"/>
      <c r="W430" s="180"/>
      <c r="X430" s="201"/>
      <c r="AJ430" s="149" t="str">
        <f>IF('Cable Info'!L290="","",CONCATENATE('Cable Info'!L290," - ",'Cable Info'!M290))</f>
        <v/>
      </c>
      <c r="AM430" s="149" t="str">
        <f t="shared" si="60"/>
        <v/>
      </c>
      <c r="AO430" s="149" t="str">
        <f>IF('Cable Info'!N290="","",CONCATENATE('Cable Info'!N290," - ",'Cable Info'!O290))</f>
        <v/>
      </c>
      <c r="AR430" s="149" t="str">
        <f t="shared" si="61"/>
        <v/>
      </c>
      <c r="AT430" s="149" t="str">
        <f>IF('Cable Info'!P290="","",CONCATENATE('Cable Info'!P290," - ",'Cable Info'!Q290))</f>
        <v/>
      </c>
      <c r="AW430" s="149" t="str">
        <f t="shared" si="62"/>
        <v/>
      </c>
      <c r="AY430" s="149" t="str">
        <f>IF('Cable Info'!R290="","",CONCATENATE('Cable Info'!R290," - ",'Cable Info'!S290))</f>
        <v/>
      </c>
      <c r="BB430" s="149" t="str">
        <f t="shared" si="63"/>
        <v/>
      </c>
      <c r="BD430" s="149" t="str">
        <f>IF('Cable Info'!T290="","",CONCATENATE('Cable Info'!T290," - ",'Cable Info'!U290))</f>
        <v/>
      </c>
      <c r="BG430" s="149" t="str">
        <f t="shared" si="64"/>
        <v/>
      </c>
      <c r="BI430" s="149" t="str">
        <f>IF('Cable Info'!V290="","",CONCATENATE('Cable Info'!V290," - ",'Cable Info'!W290))</f>
        <v/>
      </c>
      <c r="BL430" s="149" t="str">
        <f t="shared" si="65"/>
        <v/>
      </c>
    </row>
    <row r="431" spans="1:64" x14ac:dyDescent="0.2">
      <c r="A431" s="180"/>
      <c r="B431" s="180"/>
      <c r="C431" s="180"/>
      <c r="D431" s="180"/>
      <c r="E431" s="180"/>
      <c r="F431" s="187"/>
      <c r="G431" s="180"/>
      <c r="H431" s="180"/>
      <c r="I431" s="180"/>
      <c r="J431" s="187"/>
      <c r="K431" s="180"/>
      <c r="L431" s="180"/>
      <c r="M431" s="180"/>
      <c r="N431" s="180"/>
      <c r="O431" s="218"/>
      <c r="P431" s="180"/>
      <c r="Q431" s="188"/>
      <c r="R431" s="180"/>
      <c r="S431" s="180"/>
      <c r="T431" s="180"/>
      <c r="U431" s="180"/>
      <c r="V431" s="180"/>
      <c r="W431" s="180"/>
      <c r="X431" s="201"/>
      <c r="AJ431" s="149" t="str">
        <f>IF('Cable Info'!L291="","",CONCATENATE('Cable Info'!L291," - ",'Cable Info'!M291))</f>
        <v/>
      </c>
      <c r="AM431" s="149" t="str">
        <f t="shared" si="60"/>
        <v/>
      </c>
      <c r="AO431" s="149" t="str">
        <f>IF('Cable Info'!N291="","",CONCATENATE('Cable Info'!N291," - ",'Cable Info'!O291))</f>
        <v/>
      </c>
      <c r="AR431" s="149" t="str">
        <f t="shared" si="61"/>
        <v/>
      </c>
      <c r="AT431" s="149" t="str">
        <f>IF('Cable Info'!P291="","",CONCATENATE('Cable Info'!P291," - ",'Cable Info'!Q291))</f>
        <v/>
      </c>
      <c r="AW431" s="149" t="str">
        <f t="shared" si="62"/>
        <v/>
      </c>
      <c r="AY431" s="149" t="str">
        <f>IF('Cable Info'!R291="","",CONCATENATE('Cable Info'!R291," - ",'Cable Info'!S291))</f>
        <v/>
      </c>
      <c r="BB431" s="149" t="str">
        <f t="shared" si="63"/>
        <v/>
      </c>
      <c r="BD431" s="149" t="str">
        <f>IF('Cable Info'!T291="","",CONCATENATE('Cable Info'!T291," - ",'Cable Info'!U291))</f>
        <v/>
      </c>
      <c r="BG431" s="149" t="str">
        <f t="shared" si="64"/>
        <v/>
      </c>
      <c r="BI431" s="149" t="str">
        <f>IF('Cable Info'!V291="","",CONCATENATE('Cable Info'!V291," - ",'Cable Info'!W291))</f>
        <v/>
      </c>
      <c r="BL431" s="149" t="str">
        <f t="shared" si="65"/>
        <v/>
      </c>
    </row>
    <row r="432" spans="1:64" x14ac:dyDescent="0.2">
      <c r="A432" s="180"/>
      <c r="B432" s="180"/>
      <c r="C432" s="180"/>
      <c r="D432" s="180"/>
      <c r="E432" s="180"/>
      <c r="F432" s="187"/>
      <c r="G432" s="180"/>
      <c r="H432" s="180"/>
      <c r="I432" s="180"/>
      <c r="J432" s="187"/>
      <c r="K432" s="180"/>
      <c r="L432" s="180"/>
      <c r="M432" s="180"/>
      <c r="N432" s="180"/>
      <c r="O432" s="218"/>
      <c r="P432" s="180"/>
      <c r="Q432" s="188"/>
      <c r="R432" s="180"/>
      <c r="S432" s="180"/>
      <c r="T432" s="180"/>
      <c r="U432" s="180"/>
      <c r="V432" s="180"/>
      <c r="W432" s="180"/>
      <c r="X432" s="201"/>
      <c r="AJ432" s="149" t="str">
        <f>IF('Cable Info'!L292="","",CONCATENATE('Cable Info'!L292," - ",'Cable Info'!M292))</f>
        <v/>
      </c>
      <c r="AM432" s="149" t="str">
        <f t="shared" si="60"/>
        <v/>
      </c>
      <c r="AO432" s="149" t="str">
        <f>IF('Cable Info'!N292="","",CONCATENATE('Cable Info'!N292," - ",'Cable Info'!O292))</f>
        <v/>
      </c>
      <c r="AR432" s="149" t="str">
        <f t="shared" si="61"/>
        <v/>
      </c>
      <c r="AT432" s="149" t="str">
        <f>IF('Cable Info'!P292="","",CONCATENATE('Cable Info'!P292," - ",'Cable Info'!Q292))</f>
        <v/>
      </c>
      <c r="AW432" s="149" t="str">
        <f t="shared" si="62"/>
        <v/>
      </c>
      <c r="AY432" s="149" t="str">
        <f>IF('Cable Info'!R292="","",CONCATENATE('Cable Info'!R292," - ",'Cable Info'!S292))</f>
        <v/>
      </c>
      <c r="BB432" s="149" t="str">
        <f t="shared" si="63"/>
        <v/>
      </c>
      <c r="BD432" s="149" t="str">
        <f>IF('Cable Info'!T292="","",CONCATENATE('Cable Info'!T292," - ",'Cable Info'!U292))</f>
        <v/>
      </c>
      <c r="BG432" s="149" t="str">
        <f t="shared" si="64"/>
        <v/>
      </c>
      <c r="BI432" s="149" t="str">
        <f>IF('Cable Info'!V292="","",CONCATENATE('Cable Info'!V292," - ",'Cable Info'!W292))</f>
        <v/>
      </c>
      <c r="BL432" s="149" t="str">
        <f t="shared" si="65"/>
        <v/>
      </c>
    </row>
    <row r="433" spans="1:64" x14ac:dyDescent="0.2">
      <c r="A433" s="180"/>
      <c r="B433" s="180"/>
      <c r="C433" s="180"/>
      <c r="D433" s="180"/>
      <c r="E433" s="180"/>
      <c r="F433" s="187"/>
      <c r="G433" s="180"/>
      <c r="H433" s="180"/>
      <c r="I433" s="180"/>
      <c r="J433" s="187"/>
      <c r="K433" s="180"/>
      <c r="L433" s="180"/>
      <c r="M433" s="180"/>
      <c r="N433" s="180"/>
      <c r="O433" s="218"/>
      <c r="P433" s="180"/>
      <c r="Q433" s="188"/>
      <c r="R433" s="180"/>
      <c r="S433" s="180"/>
      <c r="T433" s="180"/>
      <c r="U433" s="180"/>
      <c r="V433" s="180"/>
      <c r="W433" s="180"/>
      <c r="X433" s="201"/>
      <c r="AJ433" s="149" t="str">
        <f>IF('Cable Info'!L293="","",CONCATENATE('Cable Info'!L293," - ",'Cable Info'!M293))</f>
        <v/>
      </c>
      <c r="AM433" s="149" t="str">
        <f t="shared" si="60"/>
        <v/>
      </c>
      <c r="AO433" s="149" t="str">
        <f>IF('Cable Info'!N293="","",CONCATENATE('Cable Info'!N293," - ",'Cable Info'!O293))</f>
        <v/>
      </c>
      <c r="AR433" s="149" t="str">
        <f t="shared" si="61"/>
        <v/>
      </c>
      <c r="AT433" s="149" t="str">
        <f>IF('Cable Info'!P293="","",CONCATENATE('Cable Info'!P293," - ",'Cable Info'!Q293))</f>
        <v/>
      </c>
      <c r="AW433" s="149" t="str">
        <f t="shared" si="62"/>
        <v/>
      </c>
      <c r="AY433" s="149" t="str">
        <f>IF('Cable Info'!R293="","",CONCATENATE('Cable Info'!R293," - ",'Cable Info'!S293))</f>
        <v/>
      </c>
      <c r="BB433" s="149" t="str">
        <f t="shared" si="63"/>
        <v/>
      </c>
      <c r="BD433" s="149" t="str">
        <f>IF('Cable Info'!T293="","",CONCATENATE('Cable Info'!T293," - ",'Cable Info'!U293))</f>
        <v/>
      </c>
      <c r="BG433" s="149" t="str">
        <f t="shared" si="64"/>
        <v/>
      </c>
      <c r="BI433" s="149" t="str">
        <f>IF('Cable Info'!V293="","",CONCATENATE('Cable Info'!V293," - ",'Cable Info'!W293))</f>
        <v/>
      </c>
      <c r="BL433" s="149" t="str">
        <f t="shared" si="65"/>
        <v/>
      </c>
    </row>
    <row r="434" spans="1:64" x14ac:dyDescent="0.2">
      <c r="A434" s="180"/>
      <c r="B434" s="180"/>
      <c r="C434" s="180"/>
      <c r="D434" s="180"/>
      <c r="E434" s="180"/>
      <c r="F434" s="187"/>
      <c r="G434" s="180"/>
      <c r="H434" s="180"/>
      <c r="I434" s="180"/>
      <c r="J434" s="187"/>
      <c r="K434" s="180"/>
      <c r="L434" s="180"/>
      <c r="M434" s="180"/>
      <c r="N434" s="180"/>
      <c r="O434" s="218"/>
      <c r="P434" s="180"/>
      <c r="Q434" s="188"/>
      <c r="R434" s="180"/>
      <c r="S434" s="180"/>
      <c r="T434" s="180"/>
      <c r="U434" s="180"/>
      <c r="V434" s="180"/>
      <c r="W434" s="180"/>
      <c r="X434" s="201"/>
      <c r="AJ434" s="149" t="str">
        <f>IF('Cable Info'!L294="","",CONCATENATE('Cable Info'!L294," - ",'Cable Info'!M294))</f>
        <v/>
      </c>
      <c r="AM434" s="149" t="str">
        <f t="shared" si="60"/>
        <v/>
      </c>
      <c r="AO434" s="149" t="str">
        <f>IF('Cable Info'!N294="","",CONCATENATE('Cable Info'!N294," - ",'Cable Info'!O294))</f>
        <v/>
      </c>
      <c r="AR434" s="149" t="str">
        <f t="shared" si="61"/>
        <v/>
      </c>
      <c r="AT434" s="149" t="str">
        <f>IF('Cable Info'!P294="","",CONCATENATE('Cable Info'!P294," - ",'Cable Info'!Q294))</f>
        <v/>
      </c>
      <c r="AW434" s="149" t="str">
        <f t="shared" si="62"/>
        <v/>
      </c>
      <c r="AY434" s="149" t="str">
        <f>IF('Cable Info'!R294="","",CONCATENATE('Cable Info'!R294," - ",'Cable Info'!S294))</f>
        <v/>
      </c>
      <c r="BB434" s="149" t="str">
        <f t="shared" si="63"/>
        <v/>
      </c>
      <c r="BD434" s="149" t="str">
        <f>IF('Cable Info'!T294="","",CONCATENATE('Cable Info'!T294," - ",'Cable Info'!U294))</f>
        <v/>
      </c>
      <c r="BG434" s="149" t="str">
        <f t="shared" si="64"/>
        <v/>
      </c>
      <c r="BI434" s="149" t="str">
        <f>IF('Cable Info'!V294="","",CONCATENATE('Cable Info'!V294," - ",'Cable Info'!W294))</f>
        <v/>
      </c>
      <c r="BL434" s="149" t="str">
        <f t="shared" si="65"/>
        <v/>
      </c>
    </row>
    <row r="435" spans="1:64" x14ac:dyDescent="0.2">
      <c r="A435" s="180"/>
      <c r="B435" s="180"/>
      <c r="C435" s="180"/>
      <c r="D435" s="180"/>
      <c r="E435" s="180"/>
      <c r="F435" s="187"/>
      <c r="G435" s="180"/>
      <c r="H435" s="180"/>
      <c r="I435" s="180"/>
      <c r="J435" s="187"/>
      <c r="K435" s="180"/>
      <c r="L435" s="180"/>
      <c r="M435" s="180"/>
      <c r="N435" s="180"/>
      <c r="O435" s="218"/>
      <c r="P435" s="180"/>
      <c r="Q435" s="188"/>
      <c r="R435" s="180"/>
      <c r="S435" s="180"/>
      <c r="T435" s="180"/>
      <c r="U435" s="180"/>
      <c r="V435" s="180"/>
      <c r="W435" s="180"/>
      <c r="X435" s="201"/>
      <c r="AJ435" s="149" t="str">
        <f>IF('Cable Info'!L295="","",CONCATENATE('Cable Info'!L295," - ",'Cable Info'!M295))</f>
        <v/>
      </c>
      <c r="AM435" s="149" t="str">
        <f t="shared" si="60"/>
        <v/>
      </c>
      <c r="AO435" s="149" t="str">
        <f>IF('Cable Info'!N295="","",CONCATENATE('Cable Info'!N295," - ",'Cable Info'!O295))</f>
        <v/>
      </c>
      <c r="AR435" s="149" t="str">
        <f t="shared" si="61"/>
        <v/>
      </c>
      <c r="AT435" s="149" t="str">
        <f>IF('Cable Info'!P295="","",CONCATENATE('Cable Info'!P295," - ",'Cable Info'!Q295))</f>
        <v/>
      </c>
      <c r="AW435" s="149" t="str">
        <f t="shared" si="62"/>
        <v/>
      </c>
      <c r="AY435" s="149" t="str">
        <f>IF('Cable Info'!R295="","",CONCATENATE('Cable Info'!R295," - ",'Cable Info'!S295))</f>
        <v/>
      </c>
      <c r="BB435" s="149" t="str">
        <f t="shared" si="63"/>
        <v/>
      </c>
      <c r="BD435" s="149" t="str">
        <f>IF('Cable Info'!T295="","",CONCATENATE('Cable Info'!T295," - ",'Cable Info'!U295))</f>
        <v/>
      </c>
      <c r="BG435" s="149" t="str">
        <f t="shared" si="64"/>
        <v/>
      </c>
      <c r="BI435" s="149" t="str">
        <f>IF('Cable Info'!V295="","",CONCATENATE('Cable Info'!V295," - ",'Cable Info'!W295))</f>
        <v/>
      </c>
      <c r="BL435" s="149" t="str">
        <f t="shared" si="65"/>
        <v/>
      </c>
    </row>
    <row r="436" spans="1:64" x14ac:dyDescent="0.2">
      <c r="A436" s="180"/>
      <c r="B436" s="180"/>
      <c r="C436" s="180"/>
      <c r="D436" s="180"/>
      <c r="E436" s="180"/>
      <c r="F436" s="187"/>
      <c r="G436" s="180"/>
      <c r="H436" s="180"/>
      <c r="I436" s="180"/>
      <c r="J436" s="187"/>
      <c r="K436" s="180"/>
      <c r="L436" s="180"/>
      <c r="M436" s="180"/>
      <c r="N436" s="180"/>
      <c r="O436" s="218"/>
      <c r="P436" s="180"/>
      <c r="Q436" s="188"/>
      <c r="R436" s="180"/>
      <c r="S436" s="180"/>
      <c r="T436" s="180"/>
      <c r="U436" s="180"/>
      <c r="V436" s="180"/>
      <c r="W436" s="180"/>
      <c r="X436" s="201"/>
      <c r="AJ436" s="149" t="str">
        <f>IF('Cable Info'!L296="","",CONCATENATE('Cable Info'!L296," - ",'Cable Info'!M296))</f>
        <v/>
      </c>
      <c r="AM436" s="149" t="str">
        <f t="shared" si="60"/>
        <v/>
      </c>
      <c r="AO436" s="149" t="str">
        <f>IF('Cable Info'!N296="","",CONCATENATE('Cable Info'!N296," - ",'Cable Info'!O296))</f>
        <v/>
      </c>
      <c r="AR436" s="149" t="str">
        <f t="shared" si="61"/>
        <v/>
      </c>
      <c r="AT436" s="149" t="str">
        <f>IF('Cable Info'!P296="","",CONCATENATE('Cable Info'!P296," - ",'Cable Info'!Q296))</f>
        <v/>
      </c>
      <c r="AW436" s="149" t="str">
        <f t="shared" si="62"/>
        <v/>
      </c>
      <c r="AY436" s="149" t="str">
        <f>IF('Cable Info'!R296="","",CONCATENATE('Cable Info'!R296," - ",'Cable Info'!S296))</f>
        <v/>
      </c>
      <c r="BB436" s="149" t="str">
        <f t="shared" si="63"/>
        <v/>
      </c>
      <c r="BD436" s="149" t="str">
        <f>IF('Cable Info'!T296="","",CONCATENATE('Cable Info'!T296," - ",'Cable Info'!U296))</f>
        <v/>
      </c>
      <c r="BG436" s="149" t="str">
        <f t="shared" si="64"/>
        <v/>
      </c>
      <c r="BI436" s="149" t="str">
        <f>IF('Cable Info'!V296="","",CONCATENATE('Cable Info'!V296," - ",'Cable Info'!W296))</f>
        <v/>
      </c>
      <c r="BL436" s="149" t="str">
        <f t="shared" si="65"/>
        <v/>
      </c>
    </row>
    <row r="437" spans="1:64" x14ac:dyDescent="0.2">
      <c r="A437" s="180"/>
      <c r="B437" s="180"/>
      <c r="C437" s="180"/>
      <c r="D437" s="180"/>
      <c r="E437" s="180"/>
      <c r="F437" s="187"/>
      <c r="G437" s="180"/>
      <c r="H437" s="180"/>
      <c r="I437" s="180"/>
      <c r="J437" s="187"/>
      <c r="K437" s="180"/>
      <c r="L437" s="180"/>
      <c r="M437" s="180"/>
      <c r="N437" s="180"/>
      <c r="O437" s="218"/>
      <c r="P437" s="180"/>
      <c r="Q437" s="188"/>
      <c r="R437" s="180"/>
      <c r="S437" s="180"/>
      <c r="T437" s="180"/>
      <c r="U437" s="180"/>
      <c r="V437" s="180"/>
      <c r="W437" s="180"/>
      <c r="X437" s="201"/>
      <c r="AJ437" s="149" t="str">
        <f>IF('Cable Info'!L297="","",CONCATENATE('Cable Info'!L297," - ",'Cable Info'!M297))</f>
        <v/>
      </c>
      <c r="AM437" s="149" t="str">
        <f t="shared" si="60"/>
        <v/>
      </c>
      <c r="AO437" s="149" t="str">
        <f>IF('Cable Info'!N297="","",CONCATENATE('Cable Info'!N297," - ",'Cable Info'!O297))</f>
        <v/>
      </c>
      <c r="AR437" s="149" t="str">
        <f t="shared" si="61"/>
        <v/>
      </c>
      <c r="AT437" s="149" t="str">
        <f>IF('Cable Info'!P297="","",CONCATENATE('Cable Info'!P297," - ",'Cable Info'!Q297))</f>
        <v/>
      </c>
      <c r="AW437" s="149" t="str">
        <f t="shared" si="62"/>
        <v/>
      </c>
      <c r="AY437" s="149" t="str">
        <f>IF('Cable Info'!R297="","",CONCATENATE('Cable Info'!R297," - ",'Cable Info'!S297))</f>
        <v/>
      </c>
      <c r="BB437" s="149" t="str">
        <f t="shared" si="63"/>
        <v/>
      </c>
      <c r="BD437" s="149" t="str">
        <f>IF('Cable Info'!T297="","",CONCATENATE('Cable Info'!T297," - ",'Cable Info'!U297))</f>
        <v/>
      </c>
      <c r="BG437" s="149" t="str">
        <f t="shared" si="64"/>
        <v/>
      </c>
      <c r="BI437" s="149" t="str">
        <f>IF('Cable Info'!V297="","",CONCATENATE('Cable Info'!V297," - ",'Cable Info'!W297))</f>
        <v/>
      </c>
      <c r="BL437" s="149" t="str">
        <f t="shared" si="65"/>
        <v/>
      </c>
    </row>
    <row r="438" spans="1:64" x14ac:dyDescent="0.2">
      <c r="A438" s="180"/>
      <c r="B438" s="180"/>
      <c r="C438" s="180"/>
      <c r="D438" s="180"/>
      <c r="E438" s="180"/>
      <c r="F438" s="187"/>
      <c r="G438" s="180"/>
      <c r="H438" s="180"/>
      <c r="I438" s="180"/>
      <c r="J438" s="187"/>
      <c r="K438" s="180"/>
      <c r="L438" s="180"/>
      <c r="M438" s="180"/>
      <c r="N438" s="180"/>
      <c r="O438" s="218"/>
      <c r="P438" s="180"/>
      <c r="Q438" s="188"/>
      <c r="R438" s="180"/>
      <c r="S438" s="180"/>
      <c r="T438" s="180"/>
      <c r="U438" s="180"/>
      <c r="V438" s="180"/>
      <c r="W438" s="180"/>
      <c r="X438" s="201"/>
      <c r="AJ438" s="149" t="str">
        <f>IF('Cable Info'!L298="","",CONCATENATE('Cable Info'!L298," - ",'Cable Info'!M298))</f>
        <v/>
      </c>
      <c r="AM438" s="149" t="str">
        <f t="shared" si="60"/>
        <v/>
      </c>
      <c r="AO438" s="149" t="str">
        <f>IF('Cable Info'!N298="","",CONCATENATE('Cable Info'!N298," - ",'Cable Info'!O298))</f>
        <v/>
      </c>
      <c r="AR438" s="149" t="str">
        <f t="shared" si="61"/>
        <v/>
      </c>
      <c r="AT438" s="149" t="str">
        <f>IF('Cable Info'!P298="","",CONCATENATE('Cable Info'!P298," - ",'Cable Info'!Q298))</f>
        <v/>
      </c>
      <c r="AW438" s="149" t="str">
        <f t="shared" si="62"/>
        <v/>
      </c>
      <c r="AY438" s="149" t="str">
        <f>IF('Cable Info'!R298="","",CONCATENATE('Cable Info'!R298," - ",'Cable Info'!S298))</f>
        <v/>
      </c>
      <c r="BB438" s="149" t="str">
        <f t="shared" si="63"/>
        <v/>
      </c>
      <c r="BD438" s="149" t="str">
        <f>IF('Cable Info'!T298="","",CONCATENATE('Cable Info'!T298," - ",'Cable Info'!U298))</f>
        <v/>
      </c>
      <c r="BG438" s="149" t="str">
        <f t="shared" si="64"/>
        <v/>
      </c>
      <c r="BI438" s="149" t="str">
        <f>IF('Cable Info'!V298="","",CONCATENATE('Cable Info'!V298," - ",'Cable Info'!W298))</f>
        <v/>
      </c>
      <c r="BL438" s="149" t="str">
        <f t="shared" si="65"/>
        <v/>
      </c>
    </row>
    <row r="439" spans="1:64" x14ac:dyDescent="0.2">
      <c r="A439" s="180"/>
      <c r="B439" s="180"/>
      <c r="C439" s="180"/>
      <c r="D439" s="180"/>
      <c r="E439" s="180"/>
      <c r="F439" s="187"/>
      <c r="G439" s="180"/>
      <c r="H439" s="180"/>
      <c r="I439" s="180"/>
      <c r="J439" s="187"/>
      <c r="K439" s="180"/>
      <c r="L439" s="180"/>
      <c r="M439" s="180"/>
      <c r="N439" s="180"/>
      <c r="O439" s="218"/>
      <c r="P439" s="180"/>
      <c r="Q439" s="188"/>
      <c r="R439" s="180"/>
      <c r="S439" s="180"/>
      <c r="T439" s="180"/>
      <c r="U439" s="180"/>
      <c r="V439" s="180"/>
      <c r="W439" s="180"/>
      <c r="X439" s="201"/>
      <c r="AJ439" s="149" t="str">
        <f>IF('Cable Info'!L299="","",CONCATENATE('Cable Info'!L299," - ",'Cable Info'!M299))</f>
        <v/>
      </c>
      <c r="AM439" s="149" t="str">
        <f t="shared" si="60"/>
        <v/>
      </c>
      <c r="AO439" s="149" t="str">
        <f>IF('Cable Info'!N299="","",CONCATENATE('Cable Info'!N299," - ",'Cable Info'!O299))</f>
        <v/>
      </c>
      <c r="AR439" s="149" t="str">
        <f t="shared" si="61"/>
        <v/>
      </c>
      <c r="AT439" s="149" t="str">
        <f>IF('Cable Info'!P299="","",CONCATENATE('Cable Info'!P299," - ",'Cable Info'!Q299))</f>
        <v/>
      </c>
      <c r="AW439" s="149" t="str">
        <f t="shared" si="62"/>
        <v/>
      </c>
      <c r="AY439" s="149" t="str">
        <f>IF('Cable Info'!R299="","",CONCATENATE('Cable Info'!R299," - ",'Cable Info'!S299))</f>
        <v/>
      </c>
      <c r="BB439" s="149" t="str">
        <f t="shared" si="63"/>
        <v/>
      </c>
      <c r="BD439" s="149" t="str">
        <f>IF('Cable Info'!T299="","",CONCATENATE('Cable Info'!T299," - ",'Cable Info'!U299))</f>
        <v/>
      </c>
      <c r="BG439" s="149" t="str">
        <f t="shared" si="64"/>
        <v/>
      </c>
      <c r="BI439" s="149" t="str">
        <f>IF('Cable Info'!V299="","",CONCATENATE('Cable Info'!V299," - ",'Cable Info'!W299))</f>
        <v/>
      </c>
      <c r="BL439" s="149" t="str">
        <f t="shared" si="65"/>
        <v/>
      </c>
    </row>
    <row r="440" spans="1:64" x14ac:dyDescent="0.2">
      <c r="A440" s="180"/>
      <c r="B440" s="180"/>
      <c r="C440" s="180"/>
      <c r="D440" s="180"/>
      <c r="E440" s="180"/>
      <c r="F440" s="187"/>
      <c r="G440" s="180"/>
      <c r="H440" s="180"/>
      <c r="I440" s="180"/>
      <c r="J440" s="187"/>
      <c r="K440" s="180"/>
      <c r="L440" s="180"/>
      <c r="M440" s="180"/>
      <c r="N440" s="180"/>
      <c r="O440" s="218"/>
      <c r="P440" s="180"/>
      <c r="Q440" s="188"/>
      <c r="R440" s="180"/>
      <c r="S440" s="180"/>
      <c r="T440" s="180"/>
      <c r="U440" s="180"/>
      <c r="V440" s="180"/>
      <c r="W440" s="180"/>
      <c r="X440" s="201"/>
      <c r="AJ440" s="149" t="str">
        <f>IF('Cable Info'!L300="","",CONCATENATE('Cable Info'!L300," - ",'Cable Info'!M300))</f>
        <v/>
      </c>
      <c r="AM440" s="149" t="str">
        <f t="shared" si="60"/>
        <v/>
      </c>
      <c r="AO440" s="149" t="str">
        <f>IF('Cable Info'!N300="","",CONCATENATE('Cable Info'!N300," - ",'Cable Info'!O300))</f>
        <v/>
      </c>
      <c r="AR440" s="149" t="str">
        <f t="shared" si="61"/>
        <v/>
      </c>
      <c r="AT440" s="149" t="str">
        <f>IF('Cable Info'!P300="","",CONCATENATE('Cable Info'!P300," - ",'Cable Info'!Q300))</f>
        <v/>
      </c>
      <c r="AW440" s="149" t="str">
        <f t="shared" si="62"/>
        <v/>
      </c>
      <c r="AY440" s="149" t="str">
        <f>IF('Cable Info'!R300="","",CONCATENATE('Cable Info'!R300," - ",'Cable Info'!S300))</f>
        <v/>
      </c>
      <c r="BB440" s="149" t="str">
        <f t="shared" si="63"/>
        <v/>
      </c>
      <c r="BD440" s="149" t="str">
        <f>IF('Cable Info'!T300="","",CONCATENATE('Cable Info'!T300," - ",'Cable Info'!U300))</f>
        <v/>
      </c>
      <c r="BG440" s="149" t="str">
        <f t="shared" si="64"/>
        <v/>
      </c>
      <c r="BI440" s="149" t="str">
        <f>IF('Cable Info'!V300="","",CONCATENATE('Cable Info'!V300," - ",'Cable Info'!W300))</f>
        <v/>
      </c>
      <c r="BL440" s="149" t="str">
        <f t="shared" si="65"/>
        <v/>
      </c>
    </row>
    <row r="441" spans="1:64" x14ac:dyDescent="0.2">
      <c r="A441" s="180"/>
      <c r="B441" s="180"/>
      <c r="C441" s="180"/>
      <c r="D441" s="180"/>
      <c r="E441" s="180"/>
      <c r="F441" s="187"/>
      <c r="G441" s="180"/>
      <c r="H441" s="180"/>
      <c r="I441" s="180"/>
      <c r="J441" s="187"/>
      <c r="K441" s="180"/>
      <c r="L441" s="180"/>
      <c r="M441" s="180"/>
      <c r="N441" s="180"/>
      <c r="O441" s="218"/>
      <c r="P441" s="180"/>
      <c r="Q441" s="188"/>
      <c r="R441" s="180"/>
      <c r="S441" s="180"/>
      <c r="T441" s="180"/>
      <c r="U441" s="180"/>
      <c r="V441" s="180"/>
      <c r="W441" s="180"/>
      <c r="X441" s="201"/>
      <c r="AJ441" s="149" t="str">
        <f>IF('Cable Info'!L301="","",CONCATENATE('Cable Info'!L301," - ",'Cable Info'!M301))</f>
        <v/>
      </c>
      <c r="AM441" s="149" t="str">
        <f t="shared" si="60"/>
        <v/>
      </c>
      <c r="AO441" s="149" t="str">
        <f>IF('Cable Info'!N301="","",CONCATENATE('Cable Info'!N301," - ",'Cable Info'!O301))</f>
        <v/>
      </c>
      <c r="AR441" s="149" t="str">
        <f t="shared" si="61"/>
        <v/>
      </c>
      <c r="AT441" s="149" t="str">
        <f>IF('Cable Info'!P301="","",CONCATENATE('Cable Info'!P301," - ",'Cable Info'!Q301))</f>
        <v/>
      </c>
      <c r="AW441" s="149" t="str">
        <f t="shared" si="62"/>
        <v/>
      </c>
      <c r="AY441" s="149" t="str">
        <f>IF('Cable Info'!R301="","",CONCATENATE('Cable Info'!R301," - ",'Cable Info'!S301))</f>
        <v/>
      </c>
      <c r="BB441" s="149" t="str">
        <f t="shared" si="63"/>
        <v/>
      </c>
      <c r="BD441" s="149" t="str">
        <f>IF('Cable Info'!T301="","",CONCATENATE('Cable Info'!T301," - ",'Cable Info'!U301))</f>
        <v/>
      </c>
      <c r="BG441" s="149" t="str">
        <f t="shared" si="64"/>
        <v/>
      </c>
      <c r="BI441" s="149" t="str">
        <f>IF('Cable Info'!V301="","",CONCATENATE('Cable Info'!V301," - ",'Cable Info'!W301))</f>
        <v/>
      </c>
      <c r="BL441" s="149" t="str">
        <f t="shared" si="65"/>
        <v/>
      </c>
    </row>
    <row r="442" spans="1:64" x14ac:dyDescent="0.2">
      <c r="A442" s="180"/>
      <c r="B442" s="180"/>
      <c r="C442" s="180"/>
      <c r="D442" s="180"/>
      <c r="E442" s="180"/>
      <c r="F442" s="187"/>
      <c r="G442" s="180"/>
      <c r="H442" s="180"/>
      <c r="I442" s="180"/>
      <c r="J442" s="187"/>
      <c r="K442" s="180"/>
      <c r="L442" s="180"/>
      <c r="M442" s="180"/>
      <c r="N442" s="180"/>
      <c r="O442" s="218"/>
      <c r="P442" s="180"/>
      <c r="Q442" s="188"/>
      <c r="R442" s="180"/>
      <c r="S442" s="180"/>
      <c r="T442" s="180"/>
      <c r="U442" s="180"/>
      <c r="V442" s="180"/>
      <c r="W442" s="180"/>
      <c r="X442" s="201"/>
      <c r="AJ442" s="149" t="str">
        <f>IF('Cable Info'!L302="","",CONCATENATE('Cable Info'!L302," - ",'Cable Info'!M302))</f>
        <v/>
      </c>
      <c r="AM442" s="149" t="str">
        <f t="shared" si="60"/>
        <v/>
      </c>
      <c r="AO442" s="149" t="str">
        <f>IF('Cable Info'!N302="","",CONCATENATE('Cable Info'!N302," - ",'Cable Info'!O302))</f>
        <v/>
      </c>
      <c r="AR442" s="149" t="str">
        <f t="shared" si="61"/>
        <v/>
      </c>
      <c r="AT442" s="149" t="str">
        <f>IF('Cable Info'!P302="","",CONCATENATE('Cable Info'!P302," - ",'Cable Info'!Q302))</f>
        <v/>
      </c>
      <c r="AW442" s="149" t="str">
        <f t="shared" si="62"/>
        <v/>
      </c>
      <c r="AY442" s="149" t="str">
        <f>IF('Cable Info'!R302="","",CONCATENATE('Cable Info'!R302," - ",'Cable Info'!S302))</f>
        <v/>
      </c>
      <c r="BB442" s="149" t="str">
        <f t="shared" si="63"/>
        <v/>
      </c>
      <c r="BD442" s="149" t="str">
        <f>IF('Cable Info'!T302="","",CONCATENATE('Cable Info'!T302," - ",'Cable Info'!U302))</f>
        <v/>
      </c>
      <c r="BG442" s="149" t="str">
        <f t="shared" si="64"/>
        <v/>
      </c>
      <c r="BI442" s="149" t="str">
        <f>IF('Cable Info'!V302="","",CONCATENATE('Cable Info'!V302," - ",'Cable Info'!W302))</f>
        <v/>
      </c>
      <c r="BL442" s="149" t="str">
        <f t="shared" si="65"/>
        <v/>
      </c>
    </row>
    <row r="443" spans="1:64" x14ac:dyDescent="0.2">
      <c r="A443" s="180"/>
      <c r="B443" s="180"/>
      <c r="C443" s="180"/>
      <c r="D443" s="180"/>
      <c r="E443" s="180"/>
      <c r="F443" s="187"/>
      <c r="G443" s="180"/>
      <c r="H443" s="180"/>
      <c r="I443" s="180"/>
      <c r="J443" s="187"/>
      <c r="K443" s="180"/>
      <c r="L443" s="180"/>
      <c r="M443" s="180"/>
      <c r="N443" s="180"/>
      <c r="O443" s="218"/>
      <c r="P443" s="180"/>
      <c r="Q443" s="188"/>
      <c r="R443" s="180"/>
      <c r="S443" s="180"/>
      <c r="T443" s="180"/>
      <c r="U443" s="180"/>
      <c r="V443" s="180"/>
      <c r="W443" s="180"/>
      <c r="X443" s="201"/>
      <c r="AJ443" s="149" t="str">
        <f>IF('Cable Info'!L303="","",CONCATENATE('Cable Info'!L303," - ",'Cable Info'!M303))</f>
        <v/>
      </c>
      <c r="AM443" s="149" t="str">
        <f t="shared" si="60"/>
        <v/>
      </c>
      <c r="AO443" s="149" t="str">
        <f>IF('Cable Info'!N303="","",CONCATENATE('Cable Info'!N303," - ",'Cable Info'!O303))</f>
        <v/>
      </c>
      <c r="AR443" s="149" t="str">
        <f t="shared" si="61"/>
        <v/>
      </c>
      <c r="AT443" s="149" t="str">
        <f>IF('Cable Info'!P303="","",CONCATENATE('Cable Info'!P303," - ",'Cable Info'!Q303))</f>
        <v/>
      </c>
      <c r="AW443" s="149" t="str">
        <f t="shared" si="62"/>
        <v/>
      </c>
      <c r="AY443" s="149" t="str">
        <f>IF('Cable Info'!R303="","",CONCATENATE('Cable Info'!R303," - ",'Cable Info'!S303))</f>
        <v/>
      </c>
      <c r="BB443" s="149" t="str">
        <f t="shared" si="63"/>
        <v/>
      </c>
      <c r="BD443" s="149" t="str">
        <f>IF('Cable Info'!T303="","",CONCATENATE('Cable Info'!T303," - ",'Cable Info'!U303))</f>
        <v/>
      </c>
      <c r="BG443" s="149" t="str">
        <f t="shared" si="64"/>
        <v/>
      </c>
      <c r="BI443" s="149" t="str">
        <f>IF('Cable Info'!V303="","",CONCATENATE('Cable Info'!V303," - ",'Cable Info'!W303))</f>
        <v/>
      </c>
      <c r="BL443" s="149" t="str">
        <f t="shared" si="65"/>
        <v/>
      </c>
    </row>
    <row r="444" spans="1:64" x14ac:dyDescent="0.2">
      <c r="A444" s="180"/>
      <c r="B444" s="180"/>
      <c r="C444" s="180"/>
      <c r="D444" s="180"/>
      <c r="E444" s="180"/>
      <c r="F444" s="187"/>
      <c r="G444" s="180"/>
      <c r="H444" s="180"/>
      <c r="I444" s="180"/>
      <c r="J444" s="187"/>
      <c r="K444" s="180"/>
      <c r="L444" s="180"/>
      <c r="M444" s="180"/>
      <c r="N444" s="180"/>
      <c r="O444" s="218"/>
      <c r="P444" s="180"/>
      <c r="Q444" s="188"/>
      <c r="R444" s="180"/>
      <c r="S444" s="180"/>
      <c r="T444" s="180"/>
      <c r="U444" s="180"/>
      <c r="V444" s="180"/>
      <c r="W444" s="180"/>
      <c r="X444" s="201"/>
      <c r="AJ444" s="149" t="str">
        <f>IF('Cable Info'!L304="","",CONCATENATE('Cable Info'!L304," - ",'Cable Info'!M304))</f>
        <v/>
      </c>
      <c r="AM444" s="149" t="str">
        <f t="shared" si="60"/>
        <v/>
      </c>
      <c r="AO444" s="149" t="str">
        <f>IF('Cable Info'!N304="","",CONCATENATE('Cable Info'!N304," - ",'Cable Info'!O304))</f>
        <v/>
      </c>
      <c r="AR444" s="149" t="str">
        <f t="shared" si="61"/>
        <v/>
      </c>
      <c r="AT444" s="149" t="str">
        <f>IF('Cable Info'!P304="","",CONCATENATE('Cable Info'!P304," - ",'Cable Info'!Q304))</f>
        <v/>
      </c>
      <c r="AW444" s="149" t="str">
        <f t="shared" si="62"/>
        <v/>
      </c>
      <c r="AY444" s="149" t="str">
        <f>IF('Cable Info'!R304="","",CONCATENATE('Cable Info'!R304," - ",'Cable Info'!S304))</f>
        <v/>
      </c>
      <c r="BB444" s="149" t="str">
        <f t="shared" si="63"/>
        <v/>
      </c>
      <c r="BD444" s="149" t="str">
        <f>IF('Cable Info'!T304="","",CONCATENATE('Cable Info'!T304," - ",'Cable Info'!U304))</f>
        <v/>
      </c>
      <c r="BG444" s="149" t="str">
        <f t="shared" si="64"/>
        <v/>
      </c>
      <c r="BI444" s="149" t="str">
        <f>IF('Cable Info'!V304="","",CONCATENATE('Cable Info'!V304," - ",'Cable Info'!W304))</f>
        <v/>
      </c>
      <c r="BL444" s="149" t="str">
        <f t="shared" si="65"/>
        <v/>
      </c>
    </row>
    <row r="445" spans="1:64" x14ac:dyDescent="0.2">
      <c r="A445" s="180"/>
      <c r="B445" s="180"/>
      <c r="C445" s="180"/>
      <c r="D445" s="180"/>
      <c r="E445" s="180"/>
      <c r="F445" s="187"/>
      <c r="G445" s="180"/>
      <c r="H445" s="180"/>
      <c r="I445" s="180"/>
      <c r="J445" s="187"/>
      <c r="K445" s="180"/>
      <c r="L445" s="180"/>
      <c r="M445" s="180"/>
      <c r="N445" s="180"/>
      <c r="O445" s="218"/>
      <c r="P445" s="180"/>
      <c r="Q445" s="188"/>
      <c r="R445" s="180"/>
      <c r="S445" s="180"/>
      <c r="T445" s="180"/>
      <c r="U445" s="180"/>
      <c r="V445" s="180"/>
      <c r="W445" s="180"/>
      <c r="X445" s="201"/>
      <c r="AJ445" s="149" t="str">
        <f>IF('Cable Info'!L305="","",CONCATENATE('Cable Info'!L305," - ",'Cable Info'!M305))</f>
        <v/>
      </c>
      <c r="AM445" s="149" t="str">
        <f t="shared" si="60"/>
        <v/>
      </c>
      <c r="AO445" s="149" t="str">
        <f>IF('Cable Info'!N305="","",CONCATENATE('Cable Info'!N305," - ",'Cable Info'!O305))</f>
        <v/>
      </c>
      <c r="AR445" s="149" t="str">
        <f t="shared" si="61"/>
        <v/>
      </c>
      <c r="AT445" s="149" t="str">
        <f>IF('Cable Info'!P305="","",CONCATENATE('Cable Info'!P305," - ",'Cable Info'!Q305))</f>
        <v/>
      </c>
      <c r="AW445" s="149" t="str">
        <f t="shared" si="62"/>
        <v/>
      </c>
      <c r="AY445" s="149" t="str">
        <f>IF('Cable Info'!R305="","",CONCATENATE('Cable Info'!R305," - ",'Cable Info'!S305))</f>
        <v/>
      </c>
      <c r="BB445" s="149" t="str">
        <f t="shared" si="63"/>
        <v/>
      </c>
      <c r="BD445" s="149" t="str">
        <f>IF('Cable Info'!T305="","",CONCATENATE('Cable Info'!T305," - ",'Cable Info'!U305))</f>
        <v/>
      </c>
      <c r="BG445" s="149" t="str">
        <f t="shared" si="64"/>
        <v/>
      </c>
      <c r="BI445" s="149" t="str">
        <f>IF('Cable Info'!V305="","",CONCATENATE('Cable Info'!V305," - ",'Cable Info'!W305))</f>
        <v/>
      </c>
      <c r="BL445" s="149" t="str">
        <f t="shared" si="65"/>
        <v/>
      </c>
    </row>
    <row r="446" spans="1:64" x14ac:dyDescent="0.2">
      <c r="A446" s="180"/>
      <c r="B446" s="180"/>
      <c r="C446" s="180"/>
      <c r="D446" s="180"/>
      <c r="E446" s="180"/>
      <c r="F446" s="187"/>
      <c r="G446" s="180"/>
      <c r="H446" s="180"/>
      <c r="I446" s="180"/>
      <c r="J446" s="187"/>
      <c r="K446" s="180"/>
      <c r="L446" s="180"/>
      <c r="M446" s="180"/>
      <c r="N446" s="180"/>
      <c r="O446" s="218"/>
      <c r="P446" s="180"/>
      <c r="Q446" s="188"/>
      <c r="R446" s="180"/>
      <c r="S446" s="180"/>
      <c r="T446" s="180"/>
      <c r="U446" s="180"/>
      <c r="V446" s="180"/>
      <c r="W446" s="180"/>
      <c r="X446" s="201"/>
      <c r="AJ446" s="149" t="str">
        <f>IF('Cable Info'!L306="","",CONCATENATE('Cable Info'!L306," - ",'Cable Info'!M306))</f>
        <v/>
      </c>
      <c r="AM446" s="149" t="str">
        <f t="shared" si="60"/>
        <v/>
      </c>
      <c r="AO446" s="149" t="str">
        <f>IF('Cable Info'!N306="","",CONCATENATE('Cable Info'!N306," - ",'Cable Info'!O306))</f>
        <v/>
      </c>
      <c r="AR446" s="149" t="str">
        <f t="shared" si="61"/>
        <v/>
      </c>
      <c r="AT446" s="149" t="str">
        <f>IF('Cable Info'!P306="","",CONCATENATE('Cable Info'!P306," - ",'Cable Info'!Q306))</f>
        <v/>
      </c>
      <c r="AW446" s="149" t="str">
        <f t="shared" si="62"/>
        <v/>
      </c>
      <c r="AY446" s="149" t="str">
        <f>IF('Cable Info'!R306="","",CONCATENATE('Cable Info'!R306," - ",'Cable Info'!S306))</f>
        <v/>
      </c>
      <c r="BB446" s="149" t="str">
        <f t="shared" si="63"/>
        <v/>
      </c>
      <c r="BD446" s="149" t="str">
        <f>IF('Cable Info'!T306="","",CONCATENATE('Cable Info'!T306," - ",'Cable Info'!U306))</f>
        <v/>
      </c>
      <c r="BG446" s="149" t="str">
        <f t="shared" si="64"/>
        <v/>
      </c>
      <c r="BI446" s="149" t="str">
        <f>IF('Cable Info'!V306="","",CONCATENATE('Cable Info'!V306," - ",'Cable Info'!W306))</f>
        <v/>
      </c>
      <c r="BL446" s="149" t="str">
        <f t="shared" si="65"/>
        <v/>
      </c>
    </row>
    <row r="447" spans="1:64" x14ac:dyDescent="0.2">
      <c r="A447" s="180"/>
      <c r="B447" s="180"/>
      <c r="C447" s="180"/>
      <c r="D447" s="180"/>
      <c r="E447" s="180"/>
      <c r="F447" s="187"/>
      <c r="G447" s="180"/>
      <c r="H447" s="180"/>
      <c r="I447" s="180"/>
      <c r="J447" s="187"/>
      <c r="K447" s="180"/>
      <c r="L447" s="180"/>
      <c r="M447" s="180"/>
      <c r="N447" s="180"/>
      <c r="O447" s="218"/>
      <c r="P447" s="180"/>
      <c r="Q447" s="188"/>
      <c r="R447" s="180"/>
      <c r="S447" s="180"/>
      <c r="T447" s="180"/>
      <c r="U447" s="180"/>
      <c r="V447" s="180"/>
      <c r="W447" s="180"/>
      <c r="X447" s="201"/>
      <c r="AJ447" s="149" t="str">
        <f>IF('Cable Info'!L307="","",CONCATENATE('Cable Info'!L307," - ",'Cable Info'!M307))</f>
        <v/>
      </c>
      <c r="AM447" s="149" t="str">
        <f t="shared" si="60"/>
        <v/>
      </c>
      <c r="AO447" s="149" t="str">
        <f>IF('Cable Info'!N307="","",CONCATENATE('Cable Info'!N307," - ",'Cable Info'!O307))</f>
        <v/>
      </c>
      <c r="AR447" s="149" t="str">
        <f t="shared" si="61"/>
        <v/>
      </c>
      <c r="AT447" s="149" t="str">
        <f>IF('Cable Info'!P307="","",CONCATENATE('Cable Info'!P307," - ",'Cable Info'!Q307))</f>
        <v/>
      </c>
      <c r="AW447" s="149" t="str">
        <f t="shared" si="62"/>
        <v/>
      </c>
      <c r="AY447" s="149" t="str">
        <f>IF('Cable Info'!R307="","",CONCATENATE('Cable Info'!R307," - ",'Cable Info'!S307))</f>
        <v/>
      </c>
      <c r="BB447" s="149" t="str">
        <f t="shared" si="63"/>
        <v/>
      </c>
      <c r="BD447" s="149" t="str">
        <f>IF('Cable Info'!T307="","",CONCATENATE('Cable Info'!T307," - ",'Cable Info'!U307))</f>
        <v/>
      </c>
      <c r="BG447" s="149" t="str">
        <f t="shared" si="64"/>
        <v/>
      </c>
      <c r="BI447" s="149" t="str">
        <f>IF('Cable Info'!V307="","",CONCATENATE('Cable Info'!V307," - ",'Cable Info'!W307))</f>
        <v/>
      </c>
      <c r="BL447" s="149" t="str">
        <f t="shared" si="65"/>
        <v/>
      </c>
    </row>
    <row r="448" spans="1:64" x14ac:dyDescent="0.2">
      <c r="A448" s="180"/>
      <c r="B448" s="180"/>
      <c r="C448" s="180"/>
      <c r="D448" s="180"/>
      <c r="E448" s="180"/>
      <c r="F448" s="187"/>
      <c r="G448" s="180"/>
      <c r="H448" s="180"/>
      <c r="I448" s="180"/>
      <c r="J448" s="187"/>
      <c r="K448" s="180"/>
      <c r="L448" s="180"/>
      <c r="M448" s="180"/>
      <c r="N448" s="180"/>
      <c r="O448" s="218"/>
      <c r="P448" s="180"/>
      <c r="Q448" s="188"/>
      <c r="R448" s="180"/>
      <c r="S448" s="180"/>
      <c r="T448" s="180"/>
      <c r="U448" s="180"/>
      <c r="V448" s="180"/>
      <c r="W448" s="180"/>
      <c r="X448" s="201"/>
      <c r="AJ448" s="149" t="str">
        <f>IF('Cable Info'!L308="","",CONCATENATE('Cable Info'!L308," - ",'Cable Info'!M308))</f>
        <v/>
      </c>
      <c r="AM448" s="149" t="str">
        <f t="shared" si="60"/>
        <v/>
      </c>
      <c r="AO448" s="149" t="str">
        <f>IF('Cable Info'!N308="","",CONCATENATE('Cable Info'!N308," - ",'Cable Info'!O308))</f>
        <v/>
      </c>
      <c r="AR448" s="149" t="str">
        <f t="shared" si="61"/>
        <v/>
      </c>
      <c r="AT448" s="149" t="str">
        <f>IF('Cable Info'!P308="","",CONCATENATE('Cable Info'!P308," - ",'Cable Info'!Q308))</f>
        <v/>
      </c>
      <c r="AW448" s="149" t="str">
        <f t="shared" si="62"/>
        <v/>
      </c>
      <c r="AY448" s="149" t="str">
        <f>IF('Cable Info'!R308="","",CONCATENATE('Cable Info'!R308," - ",'Cable Info'!S308))</f>
        <v/>
      </c>
      <c r="BB448" s="149" t="str">
        <f t="shared" si="63"/>
        <v/>
      </c>
      <c r="BD448" s="149" t="str">
        <f>IF('Cable Info'!T308="","",CONCATENATE('Cable Info'!T308," - ",'Cable Info'!U308))</f>
        <v/>
      </c>
      <c r="BG448" s="149" t="str">
        <f t="shared" si="64"/>
        <v/>
      </c>
      <c r="BI448" s="149" t="str">
        <f>IF('Cable Info'!V308="","",CONCATENATE('Cable Info'!V308," - ",'Cable Info'!W308))</f>
        <v/>
      </c>
      <c r="BL448" s="149" t="str">
        <f t="shared" si="65"/>
        <v/>
      </c>
    </row>
    <row r="449" spans="1:64" x14ac:dyDescent="0.2">
      <c r="A449" s="180"/>
      <c r="B449" s="180"/>
      <c r="C449" s="180"/>
      <c r="D449" s="180"/>
      <c r="E449" s="180"/>
      <c r="F449" s="187"/>
      <c r="G449" s="180"/>
      <c r="H449" s="180"/>
      <c r="I449" s="180"/>
      <c r="J449" s="187"/>
      <c r="K449" s="180"/>
      <c r="L449" s="180"/>
      <c r="M449" s="180"/>
      <c r="N449" s="180"/>
      <c r="O449" s="218"/>
      <c r="P449" s="180"/>
      <c r="Q449" s="188"/>
      <c r="R449" s="180"/>
      <c r="S449" s="180"/>
      <c r="T449" s="180"/>
      <c r="U449" s="180"/>
      <c r="V449" s="180"/>
      <c r="W449" s="180"/>
      <c r="X449" s="201"/>
      <c r="AJ449" s="149" t="str">
        <f>IF('Cable Info'!L309="","",CONCATENATE('Cable Info'!L309," - ",'Cable Info'!M309))</f>
        <v/>
      </c>
      <c r="AM449" s="149" t="str">
        <f t="shared" si="60"/>
        <v/>
      </c>
      <c r="AO449" s="149" t="str">
        <f>IF('Cable Info'!N309="","",CONCATENATE('Cable Info'!N309," - ",'Cable Info'!O309))</f>
        <v/>
      </c>
      <c r="AR449" s="149" t="str">
        <f t="shared" si="61"/>
        <v/>
      </c>
      <c r="AT449" s="149" t="str">
        <f>IF('Cable Info'!P309="","",CONCATENATE('Cable Info'!P309," - ",'Cable Info'!Q309))</f>
        <v/>
      </c>
      <c r="AW449" s="149" t="str">
        <f t="shared" si="62"/>
        <v/>
      </c>
      <c r="AY449" s="149" t="str">
        <f>IF('Cable Info'!R309="","",CONCATENATE('Cable Info'!R309," - ",'Cable Info'!S309))</f>
        <v/>
      </c>
      <c r="BB449" s="149" t="str">
        <f t="shared" si="63"/>
        <v/>
      </c>
      <c r="BD449" s="149" t="str">
        <f>IF('Cable Info'!T309="","",CONCATENATE('Cable Info'!T309," - ",'Cable Info'!U309))</f>
        <v/>
      </c>
      <c r="BG449" s="149" t="str">
        <f t="shared" si="64"/>
        <v/>
      </c>
      <c r="BI449" s="149" t="str">
        <f>IF('Cable Info'!V309="","",CONCATENATE('Cable Info'!V309," - ",'Cable Info'!W309))</f>
        <v/>
      </c>
      <c r="BL449" s="149" t="str">
        <f t="shared" si="65"/>
        <v/>
      </c>
    </row>
    <row r="450" spans="1:64" x14ac:dyDescent="0.2">
      <c r="A450" s="180"/>
      <c r="B450" s="180"/>
      <c r="C450" s="180"/>
      <c r="D450" s="180"/>
      <c r="E450" s="180"/>
      <c r="F450" s="187"/>
      <c r="G450" s="180"/>
      <c r="H450" s="180"/>
      <c r="I450" s="180"/>
      <c r="J450" s="187"/>
      <c r="K450" s="180"/>
      <c r="L450" s="180"/>
      <c r="M450" s="180"/>
      <c r="N450" s="180"/>
      <c r="O450" s="218"/>
      <c r="P450" s="180"/>
      <c r="Q450" s="188"/>
      <c r="R450" s="180"/>
      <c r="S450" s="180"/>
      <c r="T450" s="180"/>
      <c r="U450" s="180"/>
      <c r="V450" s="180"/>
      <c r="W450" s="180"/>
      <c r="X450" s="201"/>
      <c r="AJ450" s="149" t="str">
        <f>IF('Cable Info'!L310="","",CONCATENATE('Cable Info'!L310," - ",'Cable Info'!M310))</f>
        <v/>
      </c>
      <c r="AM450" s="149" t="str">
        <f t="shared" si="60"/>
        <v/>
      </c>
      <c r="AO450" s="149" t="str">
        <f>IF('Cable Info'!N310="","",CONCATENATE('Cable Info'!N310," - ",'Cable Info'!O310))</f>
        <v/>
      </c>
      <c r="AR450" s="149" t="str">
        <f t="shared" si="61"/>
        <v/>
      </c>
      <c r="AT450" s="149" t="str">
        <f>IF('Cable Info'!P310="","",CONCATENATE('Cable Info'!P310," - ",'Cable Info'!Q310))</f>
        <v/>
      </c>
      <c r="AW450" s="149" t="str">
        <f t="shared" si="62"/>
        <v/>
      </c>
      <c r="AY450" s="149" t="str">
        <f>IF('Cable Info'!R310="","",CONCATENATE('Cable Info'!R310," - ",'Cable Info'!S310))</f>
        <v/>
      </c>
      <c r="BB450" s="149" t="str">
        <f t="shared" si="63"/>
        <v/>
      </c>
      <c r="BD450" s="149" t="str">
        <f>IF('Cable Info'!T310="","",CONCATENATE('Cable Info'!T310," - ",'Cable Info'!U310))</f>
        <v/>
      </c>
      <c r="BG450" s="149" t="str">
        <f t="shared" si="64"/>
        <v/>
      </c>
      <c r="BI450" s="149" t="str">
        <f>IF('Cable Info'!V310="","",CONCATENATE('Cable Info'!V310," - ",'Cable Info'!W310))</f>
        <v/>
      </c>
      <c r="BL450" s="149" t="str">
        <f t="shared" si="65"/>
        <v/>
      </c>
    </row>
    <row r="451" spans="1:64" x14ac:dyDescent="0.2">
      <c r="A451" s="180"/>
      <c r="B451" s="180"/>
      <c r="C451" s="180"/>
      <c r="D451" s="180"/>
      <c r="E451" s="180"/>
      <c r="F451" s="187"/>
      <c r="G451" s="180"/>
      <c r="H451" s="180"/>
      <c r="I451" s="180"/>
      <c r="J451" s="187"/>
      <c r="K451" s="180"/>
      <c r="L451" s="180"/>
      <c r="M451" s="180"/>
      <c r="N451" s="180"/>
      <c r="O451" s="218"/>
      <c r="P451" s="180"/>
      <c r="Q451" s="188"/>
      <c r="R451" s="180"/>
      <c r="S451" s="180"/>
      <c r="T451" s="180"/>
      <c r="U451" s="180"/>
      <c r="V451" s="180"/>
      <c r="W451" s="180"/>
      <c r="X451" s="201"/>
      <c r="AJ451" s="149" t="str">
        <f>IF('Cable Info'!L311="","",CONCATENATE('Cable Info'!L311," - ",'Cable Info'!M311))</f>
        <v/>
      </c>
      <c r="AM451" s="149" t="str">
        <f t="shared" si="60"/>
        <v/>
      </c>
      <c r="AO451" s="149" t="str">
        <f>IF('Cable Info'!N311="","",CONCATENATE('Cable Info'!N311," - ",'Cable Info'!O311))</f>
        <v/>
      </c>
      <c r="AR451" s="149" t="str">
        <f t="shared" si="61"/>
        <v/>
      </c>
      <c r="AT451" s="149" t="str">
        <f>IF('Cable Info'!P311="","",CONCATENATE('Cable Info'!P311," - ",'Cable Info'!Q311))</f>
        <v/>
      </c>
      <c r="AW451" s="149" t="str">
        <f t="shared" si="62"/>
        <v/>
      </c>
      <c r="AY451" s="149" t="str">
        <f>IF('Cable Info'!R311="","",CONCATENATE('Cable Info'!R311," - ",'Cable Info'!S311))</f>
        <v/>
      </c>
      <c r="BB451" s="149" t="str">
        <f t="shared" si="63"/>
        <v/>
      </c>
      <c r="BD451" s="149" t="str">
        <f>IF('Cable Info'!T311="","",CONCATENATE('Cable Info'!T311," - ",'Cable Info'!U311))</f>
        <v/>
      </c>
      <c r="BG451" s="149" t="str">
        <f t="shared" si="64"/>
        <v/>
      </c>
      <c r="BI451" s="149" t="str">
        <f>IF('Cable Info'!V311="","",CONCATENATE('Cable Info'!V311," - ",'Cable Info'!W311))</f>
        <v/>
      </c>
      <c r="BL451" s="149" t="str">
        <f t="shared" si="65"/>
        <v/>
      </c>
    </row>
    <row r="452" spans="1:64" x14ac:dyDescent="0.2">
      <c r="A452" s="180"/>
      <c r="B452" s="180"/>
      <c r="C452" s="180"/>
      <c r="D452" s="180"/>
      <c r="E452" s="180"/>
      <c r="F452" s="187"/>
      <c r="G452" s="180"/>
      <c r="H452" s="180"/>
      <c r="I452" s="180"/>
      <c r="J452" s="187"/>
      <c r="K452" s="180"/>
      <c r="L452" s="180"/>
      <c r="M452" s="180"/>
      <c r="N452" s="180"/>
      <c r="O452" s="218"/>
      <c r="P452" s="180"/>
      <c r="Q452" s="188"/>
      <c r="R452" s="180"/>
      <c r="S452" s="180"/>
      <c r="T452" s="180"/>
      <c r="U452" s="180"/>
      <c r="V452" s="180"/>
      <c r="W452" s="180"/>
      <c r="X452" s="201"/>
      <c r="AJ452" s="149" t="str">
        <f>IF('Cable Info'!L312="","",CONCATENATE('Cable Info'!L312," - ",'Cable Info'!M312))</f>
        <v/>
      </c>
      <c r="AM452" s="149" t="str">
        <f t="shared" si="60"/>
        <v/>
      </c>
      <c r="AO452" s="149" t="str">
        <f>IF('Cable Info'!N312="","",CONCATENATE('Cable Info'!N312," - ",'Cable Info'!O312))</f>
        <v/>
      </c>
      <c r="AR452" s="149" t="str">
        <f t="shared" si="61"/>
        <v/>
      </c>
      <c r="AT452" s="149" t="str">
        <f>IF('Cable Info'!P312="","",CONCATENATE('Cable Info'!P312," - ",'Cable Info'!Q312))</f>
        <v/>
      </c>
      <c r="AW452" s="149" t="str">
        <f t="shared" si="62"/>
        <v/>
      </c>
      <c r="AY452" s="149" t="str">
        <f>IF('Cable Info'!R312="","",CONCATENATE('Cable Info'!R312," - ",'Cable Info'!S312))</f>
        <v/>
      </c>
      <c r="BB452" s="149" t="str">
        <f t="shared" si="63"/>
        <v/>
      </c>
      <c r="BD452" s="149" t="str">
        <f>IF('Cable Info'!T312="","",CONCATENATE('Cable Info'!T312," - ",'Cable Info'!U312))</f>
        <v/>
      </c>
      <c r="BG452" s="149" t="str">
        <f t="shared" si="64"/>
        <v/>
      </c>
      <c r="BI452" s="149" t="str">
        <f>IF('Cable Info'!V312="","",CONCATENATE('Cable Info'!V312," - ",'Cable Info'!W312))</f>
        <v/>
      </c>
      <c r="BL452" s="149" t="str">
        <f t="shared" si="65"/>
        <v/>
      </c>
    </row>
    <row r="453" spans="1:64" x14ac:dyDescent="0.2">
      <c r="A453" s="180"/>
      <c r="B453" s="180"/>
      <c r="C453" s="180"/>
      <c r="D453" s="180"/>
      <c r="E453" s="180"/>
      <c r="F453" s="187"/>
      <c r="G453" s="180"/>
      <c r="H453" s="180"/>
      <c r="I453" s="180"/>
      <c r="J453" s="187"/>
      <c r="K453" s="180"/>
      <c r="L453" s="180"/>
      <c r="M453" s="180"/>
      <c r="N453" s="180"/>
      <c r="O453" s="218"/>
      <c r="P453" s="180"/>
      <c r="Q453" s="188"/>
      <c r="R453" s="180"/>
      <c r="S453" s="180"/>
      <c r="T453" s="180"/>
      <c r="U453" s="180"/>
      <c r="V453" s="180"/>
      <c r="W453" s="180"/>
      <c r="X453" s="201"/>
      <c r="AJ453" s="149" t="str">
        <f>IF('Cable Info'!L313="","",CONCATENATE('Cable Info'!L313," - ",'Cable Info'!M313))</f>
        <v/>
      </c>
      <c r="AM453" s="149" t="str">
        <f t="shared" si="60"/>
        <v/>
      </c>
      <c r="AO453" s="149" t="str">
        <f>IF('Cable Info'!N313="","",CONCATENATE('Cable Info'!N313," - ",'Cable Info'!O313))</f>
        <v/>
      </c>
      <c r="AR453" s="149" t="str">
        <f t="shared" si="61"/>
        <v/>
      </c>
      <c r="AT453" s="149" t="str">
        <f>IF('Cable Info'!P313="","",CONCATENATE('Cable Info'!P313," - ",'Cable Info'!Q313))</f>
        <v/>
      </c>
      <c r="AW453" s="149" t="str">
        <f t="shared" si="62"/>
        <v/>
      </c>
      <c r="AY453" s="149" t="str">
        <f>IF('Cable Info'!R313="","",CONCATENATE('Cable Info'!R313," - ",'Cable Info'!S313))</f>
        <v/>
      </c>
      <c r="BB453" s="149" t="str">
        <f t="shared" si="63"/>
        <v/>
      </c>
      <c r="BD453" s="149" t="str">
        <f>IF('Cable Info'!T313="","",CONCATENATE('Cable Info'!T313," - ",'Cable Info'!U313))</f>
        <v/>
      </c>
      <c r="BG453" s="149" t="str">
        <f t="shared" si="64"/>
        <v/>
      </c>
      <c r="BI453" s="149" t="str">
        <f>IF('Cable Info'!V313="","",CONCATENATE('Cable Info'!V313," - ",'Cable Info'!W313))</f>
        <v/>
      </c>
      <c r="BL453" s="149" t="str">
        <f t="shared" si="65"/>
        <v/>
      </c>
    </row>
    <row r="454" spans="1:64" x14ac:dyDescent="0.2">
      <c r="A454" s="180"/>
      <c r="B454" s="180"/>
      <c r="C454" s="180"/>
      <c r="D454" s="180"/>
      <c r="E454" s="180"/>
      <c r="F454" s="187"/>
      <c r="G454" s="180"/>
      <c r="H454" s="180"/>
      <c r="I454" s="180"/>
      <c r="J454" s="187"/>
      <c r="K454" s="180"/>
      <c r="L454" s="180"/>
      <c r="M454" s="180"/>
      <c r="N454" s="180"/>
      <c r="O454" s="218"/>
      <c r="P454" s="180"/>
      <c r="Q454" s="188"/>
      <c r="R454" s="180"/>
      <c r="S454" s="180"/>
      <c r="T454" s="180"/>
      <c r="U454" s="180"/>
      <c r="V454" s="180"/>
      <c r="W454" s="180"/>
      <c r="X454" s="201"/>
      <c r="AJ454" s="149" t="str">
        <f>IF('Cable Info'!L314="","",CONCATENATE('Cable Info'!L314," - ",'Cable Info'!M314))</f>
        <v/>
      </c>
      <c r="AM454" s="149" t="str">
        <f t="shared" si="60"/>
        <v/>
      </c>
      <c r="AO454" s="149" t="str">
        <f>IF('Cable Info'!N314="","",CONCATENATE('Cable Info'!N314," - ",'Cable Info'!O314))</f>
        <v/>
      </c>
      <c r="AR454" s="149" t="str">
        <f t="shared" si="61"/>
        <v/>
      </c>
      <c r="AT454" s="149" t="str">
        <f>IF('Cable Info'!P314="","",CONCATENATE('Cable Info'!P314," - ",'Cable Info'!Q314))</f>
        <v/>
      </c>
      <c r="AW454" s="149" t="str">
        <f t="shared" si="62"/>
        <v/>
      </c>
      <c r="AY454" s="149" t="str">
        <f>IF('Cable Info'!R314="","",CONCATENATE('Cable Info'!R314," - ",'Cable Info'!S314))</f>
        <v/>
      </c>
      <c r="BB454" s="149" t="str">
        <f t="shared" si="63"/>
        <v/>
      </c>
      <c r="BD454" s="149" t="str">
        <f>IF('Cable Info'!T314="","",CONCATENATE('Cable Info'!T314," - ",'Cable Info'!U314))</f>
        <v/>
      </c>
      <c r="BG454" s="149" t="str">
        <f t="shared" si="64"/>
        <v/>
      </c>
      <c r="BI454" s="149" t="str">
        <f>IF('Cable Info'!V314="","",CONCATENATE('Cable Info'!V314," - ",'Cable Info'!W314))</f>
        <v/>
      </c>
      <c r="BL454" s="149" t="str">
        <f t="shared" si="65"/>
        <v/>
      </c>
    </row>
    <row r="455" spans="1:64" x14ac:dyDescent="0.2">
      <c r="A455" s="180"/>
      <c r="B455" s="180"/>
      <c r="C455" s="180"/>
      <c r="D455" s="180"/>
      <c r="E455" s="180"/>
      <c r="F455" s="187"/>
      <c r="G455" s="180"/>
      <c r="H455" s="180"/>
      <c r="I455" s="180"/>
      <c r="J455" s="187"/>
      <c r="K455" s="180"/>
      <c r="L455" s="180"/>
      <c r="M455" s="180"/>
      <c r="N455" s="180"/>
      <c r="O455" s="218"/>
      <c r="P455" s="180"/>
      <c r="Q455" s="188"/>
      <c r="R455" s="180"/>
      <c r="S455" s="180"/>
      <c r="T455" s="180"/>
      <c r="U455" s="180"/>
      <c r="V455" s="180"/>
      <c r="W455" s="180"/>
      <c r="X455" s="201"/>
      <c r="AJ455" s="149" t="str">
        <f>IF('Cable Info'!L315="","",CONCATENATE('Cable Info'!L315," - ",'Cable Info'!M315))</f>
        <v/>
      </c>
      <c r="AM455" s="149" t="str">
        <f t="shared" si="60"/>
        <v/>
      </c>
      <c r="AO455" s="149" t="str">
        <f>IF('Cable Info'!N315="","",CONCATENATE('Cable Info'!N315," - ",'Cable Info'!O315))</f>
        <v/>
      </c>
      <c r="AR455" s="149" t="str">
        <f t="shared" si="61"/>
        <v/>
      </c>
      <c r="AT455" s="149" t="str">
        <f>IF('Cable Info'!P315="","",CONCATENATE('Cable Info'!P315," - ",'Cable Info'!Q315))</f>
        <v/>
      </c>
      <c r="AW455" s="149" t="str">
        <f t="shared" si="62"/>
        <v/>
      </c>
      <c r="AY455" s="149" t="str">
        <f>IF('Cable Info'!R315="","",CONCATENATE('Cable Info'!R315," - ",'Cable Info'!S315))</f>
        <v/>
      </c>
      <c r="BB455" s="149" t="str">
        <f t="shared" si="63"/>
        <v/>
      </c>
      <c r="BD455" s="149" t="str">
        <f>IF('Cable Info'!T315="","",CONCATENATE('Cable Info'!T315," - ",'Cable Info'!U315))</f>
        <v/>
      </c>
      <c r="BG455" s="149" t="str">
        <f t="shared" si="64"/>
        <v/>
      </c>
      <c r="BI455" s="149" t="str">
        <f>IF('Cable Info'!V315="","",CONCATENATE('Cable Info'!V315," - ",'Cable Info'!W315))</f>
        <v/>
      </c>
      <c r="BL455" s="149" t="str">
        <f t="shared" si="65"/>
        <v/>
      </c>
    </row>
    <row r="456" spans="1:64" x14ac:dyDescent="0.2">
      <c r="A456" s="180"/>
      <c r="B456" s="180"/>
      <c r="C456" s="180"/>
      <c r="D456" s="180"/>
      <c r="E456" s="180"/>
      <c r="F456" s="187"/>
      <c r="G456" s="180"/>
      <c r="H456" s="180"/>
      <c r="I456" s="180"/>
      <c r="J456" s="187"/>
      <c r="K456" s="180"/>
      <c r="L456" s="180"/>
      <c r="M456" s="180"/>
      <c r="N456" s="180"/>
      <c r="O456" s="218"/>
      <c r="P456" s="180"/>
      <c r="Q456" s="188"/>
      <c r="R456" s="180"/>
      <c r="S456" s="180"/>
      <c r="T456" s="180"/>
      <c r="U456" s="180"/>
      <c r="V456" s="180"/>
      <c r="W456" s="180"/>
      <c r="X456" s="201"/>
      <c r="AJ456" s="149" t="str">
        <f>IF('Cable Info'!L316="","",CONCATENATE('Cable Info'!L316," - ",'Cable Info'!M316))</f>
        <v/>
      </c>
      <c r="AM456" s="149" t="str">
        <f t="shared" si="60"/>
        <v/>
      </c>
      <c r="AO456" s="149" t="str">
        <f>IF('Cable Info'!N316="","",CONCATENATE('Cable Info'!N316," - ",'Cable Info'!O316))</f>
        <v/>
      </c>
      <c r="AR456" s="149" t="str">
        <f t="shared" si="61"/>
        <v/>
      </c>
      <c r="AT456" s="149" t="str">
        <f>IF('Cable Info'!P316="","",CONCATENATE('Cable Info'!P316," - ",'Cable Info'!Q316))</f>
        <v/>
      </c>
      <c r="AW456" s="149" t="str">
        <f t="shared" si="62"/>
        <v/>
      </c>
      <c r="AY456" s="149" t="str">
        <f>IF('Cable Info'!R316="","",CONCATENATE('Cable Info'!R316," - ",'Cable Info'!S316))</f>
        <v/>
      </c>
      <c r="BB456" s="149" t="str">
        <f t="shared" si="63"/>
        <v/>
      </c>
      <c r="BD456" s="149" t="str">
        <f>IF('Cable Info'!T316="","",CONCATENATE('Cable Info'!T316," - ",'Cable Info'!U316))</f>
        <v/>
      </c>
      <c r="BG456" s="149" t="str">
        <f t="shared" si="64"/>
        <v/>
      </c>
      <c r="BI456" s="149" t="str">
        <f>IF('Cable Info'!V316="","",CONCATENATE('Cable Info'!V316," - ",'Cable Info'!W316))</f>
        <v/>
      </c>
      <c r="BL456" s="149" t="str">
        <f t="shared" si="65"/>
        <v/>
      </c>
    </row>
    <row r="457" spans="1:64" x14ac:dyDescent="0.2">
      <c r="A457" s="180"/>
      <c r="B457" s="180"/>
      <c r="C457" s="180"/>
      <c r="D457" s="180"/>
      <c r="E457" s="180"/>
      <c r="F457" s="187"/>
      <c r="G457" s="180"/>
      <c r="H457" s="180"/>
      <c r="I457" s="180"/>
      <c r="J457" s="187"/>
      <c r="K457" s="180"/>
      <c r="L457" s="180"/>
      <c r="M457" s="180"/>
      <c r="N457" s="180"/>
      <c r="O457" s="218"/>
      <c r="P457" s="180"/>
      <c r="Q457" s="188"/>
      <c r="R457" s="180"/>
      <c r="S457" s="180"/>
      <c r="T457" s="180"/>
      <c r="U457" s="180"/>
      <c r="V457" s="180"/>
      <c r="W457" s="180"/>
      <c r="X457" s="201"/>
      <c r="AJ457" s="149" t="str">
        <f>IF('Cable Info'!L317="","",CONCATENATE('Cable Info'!L317," - ",'Cable Info'!M317))</f>
        <v/>
      </c>
      <c r="AM457" s="149" t="str">
        <f t="shared" si="60"/>
        <v/>
      </c>
      <c r="AO457" s="149" t="str">
        <f>IF('Cable Info'!N317="","",CONCATENATE('Cable Info'!N317," - ",'Cable Info'!O317))</f>
        <v/>
      </c>
      <c r="AR457" s="149" t="str">
        <f t="shared" si="61"/>
        <v/>
      </c>
      <c r="AT457" s="149" t="str">
        <f>IF('Cable Info'!P317="","",CONCATENATE('Cable Info'!P317," - ",'Cable Info'!Q317))</f>
        <v/>
      </c>
      <c r="AW457" s="149" t="str">
        <f t="shared" si="62"/>
        <v/>
      </c>
      <c r="AY457" s="149" t="str">
        <f>IF('Cable Info'!R317="","",CONCATENATE('Cable Info'!R317," - ",'Cable Info'!S317))</f>
        <v/>
      </c>
      <c r="BB457" s="149" t="str">
        <f t="shared" si="63"/>
        <v/>
      </c>
      <c r="BD457" s="149" t="str">
        <f>IF('Cable Info'!T317="","",CONCATENATE('Cable Info'!T317," - ",'Cable Info'!U317))</f>
        <v/>
      </c>
      <c r="BG457" s="149" t="str">
        <f t="shared" si="64"/>
        <v/>
      </c>
      <c r="BI457" s="149" t="str">
        <f>IF('Cable Info'!V317="","",CONCATENATE('Cable Info'!V317," - ",'Cable Info'!W317))</f>
        <v/>
      </c>
      <c r="BL457" s="149" t="str">
        <f t="shared" si="65"/>
        <v/>
      </c>
    </row>
    <row r="458" spans="1:64" x14ac:dyDescent="0.2">
      <c r="A458" s="180"/>
      <c r="B458" s="180"/>
      <c r="C458" s="180"/>
      <c r="D458" s="180"/>
      <c r="E458" s="180"/>
      <c r="F458" s="187"/>
      <c r="G458" s="180"/>
      <c r="H458" s="180"/>
      <c r="I458" s="180"/>
      <c r="J458" s="187"/>
      <c r="K458" s="180"/>
      <c r="L458" s="180"/>
      <c r="M458" s="180"/>
      <c r="N458" s="180"/>
      <c r="O458" s="218"/>
      <c r="P458" s="180"/>
      <c r="Q458" s="188"/>
      <c r="R458" s="180"/>
      <c r="S458" s="180"/>
      <c r="T458" s="180"/>
      <c r="U458" s="180"/>
      <c r="V458" s="180"/>
      <c r="W458" s="180"/>
      <c r="X458" s="201"/>
      <c r="AJ458" s="149" t="str">
        <f>IF('Cable Info'!L318="","",CONCATENATE('Cable Info'!L318," - ",'Cable Info'!M318))</f>
        <v/>
      </c>
      <c r="AM458" s="149" t="str">
        <f t="shared" si="60"/>
        <v/>
      </c>
      <c r="AO458" s="149" t="str">
        <f>IF('Cable Info'!N318="","",CONCATENATE('Cable Info'!N318," - ",'Cable Info'!O318))</f>
        <v/>
      </c>
      <c r="AR458" s="149" t="str">
        <f t="shared" si="61"/>
        <v/>
      </c>
      <c r="AT458" s="149" t="str">
        <f>IF('Cable Info'!P318="","",CONCATENATE('Cable Info'!P318," - ",'Cable Info'!Q318))</f>
        <v/>
      </c>
      <c r="AW458" s="149" t="str">
        <f t="shared" si="62"/>
        <v/>
      </c>
      <c r="AY458" s="149" t="str">
        <f>IF('Cable Info'!R318="","",CONCATENATE('Cable Info'!R318," - ",'Cable Info'!S318))</f>
        <v/>
      </c>
      <c r="BB458" s="149" t="str">
        <f t="shared" si="63"/>
        <v/>
      </c>
      <c r="BD458" s="149" t="str">
        <f>IF('Cable Info'!T318="","",CONCATENATE('Cable Info'!T318," - ",'Cable Info'!U318))</f>
        <v/>
      </c>
      <c r="BG458" s="149" t="str">
        <f t="shared" si="64"/>
        <v/>
      </c>
      <c r="BI458" s="149" t="str">
        <f>IF('Cable Info'!V318="","",CONCATENATE('Cable Info'!V318," - ",'Cable Info'!W318))</f>
        <v/>
      </c>
      <c r="BL458" s="149" t="str">
        <f t="shared" si="65"/>
        <v/>
      </c>
    </row>
    <row r="459" spans="1:64" x14ac:dyDescent="0.2">
      <c r="A459" s="180"/>
      <c r="B459" s="180"/>
      <c r="C459" s="180"/>
      <c r="D459" s="180"/>
      <c r="E459" s="180"/>
      <c r="F459" s="187"/>
      <c r="G459" s="180"/>
      <c r="H459" s="180"/>
      <c r="I459" s="180"/>
      <c r="J459" s="187"/>
      <c r="K459" s="180"/>
      <c r="L459" s="180"/>
      <c r="M459" s="180"/>
      <c r="N459" s="180"/>
      <c r="O459" s="218"/>
      <c r="P459" s="180"/>
      <c r="Q459" s="188"/>
      <c r="R459" s="180"/>
      <c r="S459" s="180"/>
      <c r="T459" s="180"/>
      <c r="U459" s="180"/>
      <c r="V459" s="180"/>
      <c r="W459" s="180"/>
      <c r="X459" s="201"/>
      <c r="AJ459" s="149" t="str">
        <f>IF('Cable Info'!L319="","",CONCATENATE('Cable Info'!L319," - ",'Cable Info'!M319))</f>
        <v/>
      </c>
      <c r="AM459" s="149" t="str">
        <f t="shared" si="60"/>
        <v/>
      </c>
      <c r="AO459" s="149" t="str">
        <f>IF('Cable Info'!N319="","",CONCATENATE('Cable Info'!N319," - ",'Cable Info'!O319))</f>
        <v/>
      </c>
      <c r="AR459" s="149" t="str">
        <f t="shared" si="61"/>
        <v/>
      </c>
      <c r="AT459" s="149" t="str">
        <f>IF('Cable Info'!P319="","",CONCATENATE('Cable Info'!P319," - ",'Cable Info'!Q319))</f>
        <v/>
      </c>
      <c r="AW459" s="149" t="str">
        <f t="shared" si="62"/>
        <v/>
      </c>
      <c r="AY459" s="149" t="str">
        <f>IF('Cable Info'!R319="","",CONCATENATE('Cable Info'!R319," - ",'Cable Info'!S319))</f>
        <v/>
      </c>
      <c r="BB459" s="149" t="str">
        <f t="shared" si="63"/>
        <v/>
      </c>
      <c r="BD459" s="149" t="str">
        <f>IF('Cable Info'!T319="","",CONCATENATE('Cable Info'!T319," - ",'Cable Info'!U319))</f>
        <v/>
      </c>
      <c r="BG459" s="149" t="str">
        <f t="shared" si="64"/>
        <v/>
      </c>
      <c r="BI459" s="149" t="str">
        <f>IF('Cable Info'!V319="","",CONCATENATE('Cable Info'!V319," - ",'Cable Info'!W319))</f>
        <v/>
      </c>
      <c r="BL459" s="149" t="str">
        <f t="shared" si="65"/>
        <v/>
      </c>
    </row>
    <row r="460" spans="1:64" x14ac:dyDescent="0.2">
      <c r="A460" s="180"/>
      <c r="B460" s="180"/>
      <c r="C460" s="180"/>
      <c r="D460" s="180"/>
      <c r="E460" s="180"/>
      <c r="F460" s="187"/>
      <c r="G460" s="180"/>
      <c r="H460" s="180"/>
      <c r="I460" s="180"/>
      <c r="J460" s="187"/>
      <c r="K460" s="180"/>
      <c r="L460" s="180"/>
      <c r="M460" s="180"/>
      <c r="N460" s="180"/>
      <c r="O460" s="218"/>
      <c r="P460" s="180"/>
      <c r="Q460" s="188"/>
      <c r="R460" s="180"/>
      <c r="S460" s="180"/>
      <c r="T460" s="180"/>
      <c r="U460" s="180"/>
      <c r="V460" s="180"/>
      <c r="W460" s="180"/>
      <c r="X460" s="201"/>
      <c r="AJ460" s="149" t="str">
        <f>IF('Cable Info'!L320="","",CONCATENATE('Cable Info'!L320," - ",'Cable Info'!M320))</f>
        <v/>
      </c>
      <c r="AM460" s="149" t="str">
        <f t="shared" si="60"/>
        <v/>
      </c>
      <c r="AO460" s="149" t="str">
        <f>IF('Cable Info'!N320="","",CONCATENATE('Cable Info'!N320," - ",'Cable Info'!O320))</f>
        <v/>
      </c>
      <c r="AR460" s="149" t="str">
        <f t="shared" si="61"/>
        <v/>
      </c>
      <c r="AT460" s="149" t="str">
        <f>IF('Cable Info'!P320="","",CONCATENATE('Cable Info'!P320," - ",'Cable Info'!Q320))</f>
        <v/>
      </c>
      <c r="AW460" s="149" t="str">
        <f t="shared" si="62"/>
        <v/>
      </c>
      <c r="AY460" s="149" t="str">
        <f>IF('Cable Info'!R320="","",CONCATENATE('Cable Info'!R320," - ",'Cable Info'!S320))</f>
        <v/>
      </c>
      <c r="BB460" s="149" t="str">
        <f t="shared" si="63"/>
        <v/>
      </c>
      <c r="BD460" s="149" t="str">
        <f>IF('Cable Info'!T320="","",CONCATENATE('Cable Info'!T320," - ",'Cable Info'!U320))</f>
        <v/>
      </c>
      <c r="BG460" s="149" t="str">
        <f t="shared" si="64"/>
        <v/>
      </c>
      <c r="BI460" s="149" t="str">
        <f>IF('Cable Info'!V320="","",CONCATENATE('Cable Info'!V320," - ",'Cable Info'!W320))</f>
        <v/>
      </c>
      <c r="BL460" s="149" t="str">
        <f t="shared" si="65"/>
        <v/>
      </c>
    </row>
    <row r="461" spans="1:64" x14ac:dyDescent="0.2">
      <c r="A461" s="180"/>
      <c r="B461" s="180"/>
      <c r="C461" s="180"/>
      <c r="D461" s="180"/>
      <c r="E461" s="180"/>
      <c r="F461" s="187"/>
      <c r="G461" s="180"/>
      <c r="H461" s="180"/>
      <c r="I461" s="180"/>
      <c r="J461" s="187"/>
      <c r="K461" s="180"/>
      <c r="L461" s="180"/>
      <c r="M461" s="180"/>
      <c r="N461" s="180"/>
      <c r="O461" s="218"/>
      <c r="P461" s="180"/>
      <c r="Q461" s="188"/>
      <c r="R461" s="180"/>
      <c r="S461" s="180"/>
      <c r="T461" s="180"/>
      <c r="U461" s="180"/>
      <c r="V461" s="180"/>
      <c r="W461" s="180"/>
      <c r="X461" s="201"/>
      <c r="AJ461" s="149" t="str">
        <f>IF('Cable Info'!L321="","",CONCATENATE('Cable Info'!L321," - ",'Cable Info'!M321))</f>
        <v/>
      </c>
      <c r="AM461" s="149" t="str">
        <f t="shared" si="60"/>
        <v/>
      </c>
      <c r="AO461" s="149" t="str">
        <f>IF('Cable Info'!N321="","",CONCATENATE('Cable Info'!N321," - ",'Cable Info'!O321))</f>
        <v/>
      </c>
      <c r="AR461" s="149" t="str">
        <f t="shared" si="61"/>
        <v/>
      </c>
      <c r="AT461" s="149" t="str">
        <f>IF('Cable Info'!P321="","",CONCATENATE('Cable Info'!P321," - ",'Cable Info'!Q321))</f>
        <v/>
      </c>
      <c r="AW461" s="149" t="str">
        <f t="shared" si="62"/>
        <v/>
      </c>
      <c r="AY461" s="149" t="str">
        <f>IF('Cable Info'!R321="","",CONCATENATE('Cable Info'!R321," - ",'Cable Info'!S321))</f>
        <v/>
      </c>
      <c r="BB461" s="149" t="str">
        <f t="shared" si="63"/>
        <v/>
      </c>
      <c r="BD461" s="149" t="str">
        <f>IF('Cable Info'!T321="","",CONCATENATE('Cable Info'!T321," - ",'Cable Info'!U321))</f>
        <v/>
      </c>
      <c r="BG461" s="149" t="str">
        <f t="shared" si="64"/>
        <v/>
      </c>
      <c r="BI461" s="149" t="str">
        <f>IF('Cable Info'!V321="","",CONCATENATE('Cable Info'!V321," - ",'Cable Info'!W321))</f>
        <v/>
      </c>
      <c r="BL461" s="149" t="str">
        <f t="shared" si="65"/>
        <v/>
      </c>
    </row>
    <row r="462" spans="1:64" x14ac:dyDescent="0.2">
      <c r="A462" s="180"/>
      <c r="B462" s="180"/>
      <c r="C462" s="180"/>
      <c r="D462" s="180"/>
      <c r="E462" s="180"/>
      <c r="F462" s="187"/>
      <c r="G462" s="180"/>
      <c r="H462" s="180"/>
      <c r="I462" s="180"/>
      <c r="J462" s="187"/>
      <c r="K462" s="180"/>
      <c r="L462" s="180"/>
      <c r="M462" s="180"/>
      <c r="N462" s="180"/>
      <c r="O462" s="218"/>
      <c r="P462" s="180"/>
      <c r="Q462" s="188"/>
      <c r="R462" s="180"/>
      <c r="S462" s="180"/>
      <c r="T462" s="180"/>
      <c r="U462" s="180"/>
      <c r="V462" s="180"/>
      <c r="W462" s="180"/>
      <c r="X462" s="201"/>
      <c r="AJ462" s="149" t="str">
        <f>IF('Cable Info'!L322="","",CONCATENATE('Cable Info'!L322," - ",'Cable Info'!M322))</f>
        <v/>
      </c>
      <c r="AM462" s="149" t="str">
        <f t="shared" si="60"/>
        <v/>
      </c>
      <c r="AO462" s="149" t="str">
        <f>IF('Cable Info'!N322="","",CONCATENATE('Cable Info'!N322," - ",'Cable Info'!O322))</f>
        <v/>
      </c>
      <c r="AR462" s="149" t="str">
        <f t="shared" si="61"/>
        <v/>
      </c>
      <c r="AT462" s="149" t="str">
        <f>IF('Cable Info'!P322="","",CONCATENATE('Cable Info'!P322," - ",'Cable Info'!Q322))</f>
        <v/>
      </c>
      <c r="AW462" s="149" t="str">
        <f t="shared" si="62"/>
        <v/>
      </c>
      <c r="AY462" s="149" t="str">
        <f>IF('Cable Info'!R322="","",CONCATENATE('Cable Info'!R322," - ",'Cable Info'!S322))</f>
        <v/>
      </c>
      <c r="BB462" s="149" t="str">
        <f t="shared" si="63"/>
        <v/>
      </c>
      <c r="BD462" s="149" t="str">
        <f>IF('Cable Info'!T322="","",CONCATENATE('Cable Info'!T322," - ",'Cable Info'!U322))</f>
        <v/>
      </c>
      <c r="BG462" s="149" t="str">
        <f t="shared" si="64"/>
        <v/>
      </c>
      <c r="BI462" s="149" t="str">
        <f>IF('Cable Info'!V322="","",CONCATENATE('Cable Info'!V322," - ",'Cable Info'!W322))</f>
        <v/>
      </c>
      <c r="BL462" s="149" t="str">
        <f t="shared" si="65"/>
        <v/>
      </c>
    </row>
    <row r="463" spans="1:64" x14ac:dyDescent="0.2">
      <c r="A463" s="180"/>
      <c r="B463" s="180"/>
      <c r="C463" s="180"/>
      <c r="D463" s="180"/>
      <c r="E463" s="180"/>
      <c r="F463" s="187"/>
      <c r="G463" s="180"/>
      <c r="H463" s="180"/>
      <c r="I463" s="180"/>
      <c r="J463" s="187"/>
      <c r="K463" s="180"/>
      <c r="L463" s="180"/>
      <c r="M463" s="180"/>
      <c r="N463" s="180"/>
      <c r="O463" s="218"/>
      <c r="P463" s="180"/>
      <c r="Q463" s="188"/>
      <c r="R463" s="180"/>
      <c r="S463" s="180"/>
      <c r="T463" s="180"/>
      <c r="U463" s="180"/>
      <c r="V463" s="180"/>
      <c r="W463" s="180"/>
      <c r="X463" s="201"/>
      <c r="AJ463" s="149" t="str">
        <f>IF('Cable Info'!L323="","",CONCATENATE('Cable Info'!L323," - ",'Cable Info'!M323))</f>
        <v/>
      </c>
      <c r="AM463" s="149" t="str">
        <f t="shared" ref="AM463:AM526" si="66">IF(AK463="",AJ463,CONCATENATE(AJ463,"  &lt;=&gt; ",AK463," ",AL463))</f>
        <v/>
      </c>
      <c r="AO463" s="149" t="str">
        <f>IF('Cable Info'!N323="","",CONCATENATE('Cable Info'!N323," - ",'Cable Info'!O323))</f>
        <v/>
      </c>
      <c r="AR463" s="149" t="str">
        <f t="shared" ref="AR463:AR526" si="67">IF(AP463="",AO463,CONCATENATE(AO463,"  &lt;=&gt; ",AP463," ",AQ463))</f>
        <v/>
      </c>
      <c r="AT463" s="149" t="str">
        <f>IF('Cable Info'!P323="","",CONCATENATE('Cable Info'!P323," - ",'Cable Info'!Q323))</f>
        <v/>
      </c>
      <c r="AW463" s="149" t="str">
        <f t="shared" ref="AW463:AW526" si="68">IF(AU463="",AT463,CONCATENATE(AT463,"  &lt;=&gt; ",AU463," ",AV463))</f>
        <v/>
      </c>
      <c r="AY463" s="149" t="str">
        <f>IF('Cable Info'!R323="","",CONCATENATE('Cable Info'!R323," - ",'Cable Info'!S323))</f>
        <v/>
      </c>
      <c r="BB463" s="149" t="str">
        <f t="shared" ref="BB463:BB526" si="69">IF(AZ463="",AY463,CONCATENATE(AY463,"  &lt;=&gt; ",AZ463," ",BA463))</f>
        <v/>
      </c>
      <c r="BD463" s="149" t="str">
        <f>IF('Cable Info'!T323="","",CONCATENATE('Cable Info'!T323," - ",'Cable Info'!U323))</f>
        <v/>
      </c>
      <c r="BG463" s="149" t="str">
        <f t="shared" ref="BG463:BG526" si="70">IF(BE463="",BD463,CONCATENATE(BD463,"  &lt;=&gt; ",BE463," ",BF463))</f>
        <v/>
      </c>
      <c r="BI463" s="149" t="str">
        <f>IF('Cable Info'!V323="","",CONCATENATE('Cable Info'!V323," - ",'Cable Info'!W323))</f>
        <v/>
      </c>
      <c r="BL463" s="149" t="str">
        <f t="shared" ref="BL463:BL526" si="71">IF(BJ463="",BI463,CONCATENATE(BI463,"  &lt;=&gt; ",BJ463," ",BK463))</f>
        <v/>
      </c>
    </row>
    <row r="464" spans="1:64" x14ac:dyDescent="0.2">
      <c r="A464" s="180"/>
      <c r="B464" s="180"/>
      <c r="C464" s="180"/>
      <c r="D464" s="180"/>
      <c r="E464" s="180"/>
      <c r="F464" s="187"/>
      <c r="G464" s="180"/>
      <c r="H464" s="180"/>
      <c r="I464" s="180"/>
      <c r="J464" s="187"/>
      <c r="K464" s="180"/>
      <c r="L464" s="180"/>
      <c r="M464" s="180"/>
      <c r="N464" s="180"/>
      <c r="O464" s="218"/>
      <c r="P464" s="180"/>
      <c r="Q464" s="188"/>
      <c r="R464" s="180"/>
      <c r="S464" s="180"/>
      <c r="T464" s="180"/>
      <c r="U464" s="180"/>
      <c r="V464" s="180"/>
      <c r="W464" s="180"/>
      <c r="X464" s="201"/>
      <c r="AJ464" s="149" t="str">
        <f>IF('Cable Info'!L324="","",CONCATENATE('Cable Info'!L324," - ",'Cable Info'!M324))</f>
        <v/>
      </c>
      <c r="AM464" s="149" t="str">
        <f t="shared" si="66"/>
        <v/>
      </c>
      <c r="AO464" s="149" t="str">
        <f>IF('Cable Info'!N324="","",CONCATENATE('Cable Info'!N324," - ",'Cable Info'!O324))</f>
        <v/>
      </c>
      <c r="AR464" s="149" t="str">
        <f t="shared" si="67"/>
        <v/>
      </c>
      <c r="AT464" s="149" t="str">
        <f>IF('Cable Info'!P324="","",CONCATENATE('Cable Info'!P324," - ",'Cable Info'!Q324))</f>
        <v/>
      </c>
      <c r="AW464" s="149" t="str">
        <f t="shared" si="68"/>
        <v/>
      </c>
      <c r="AY464" s="149" t="str">
        <f>IF('Cable Info'!R324="","",CONCATENATE('Cable Info'!R324," - ",'Cable Info'!S324))</f>
        <v/>
      </c>
      <c r="BB464" s="149" t="str">
        <f t="shared" si="69"/>
        <v/>
      </c>
      <c r="BD464" s="149" t="str">
        <f>IF('Cable Info'!T324="","",CONCATENATE('Cable Info'!T324," - ",'Cable Info'!U324))</f>
        <v/>
      </c>
      <c r="BG464" s="149" t="str">
        <f t="shared" si="70"/>
        <v/>
      </c>
      <c r="BI464" s="149" t="str">
        <f>IF('Cable Info'!V324="","",CONCATENATE('Cable Info'!V324," - ",'Cable Info'!W324))</f>
        <v/>
      </c>
      <c r="BL464" s="149" t="str">
        <f t="shared" si="71"/>
        <v/>
      </c>
    </row>
    <row r="465" spans="1:64" x14ac:dyDescent="0.2">
      <c r="A465" s="180"/>
      <c r="B465" s="180"/>
      <c r="C465" s="180"/>
      <c r="D465" s="180"/>
      <c r="E465" s="180"/>
      <c r="F465" s="187"/>
      <c r="G465" s="180"/>
      <c r="H465" s="180"/>
      <c r="I465" s="180"/>
      <c r="J465" s="187"/>
      <c r="K465" s="180"/>
      <c r="L465" s="180"/>
      <c r="M465" s="180"/>
      <c r="N465" s="180"/>
      <c r="O465" s="218"/>
      <c r="P465" s="180"/>
      <c r="Q465" s="188"/>
      <c r="R465" s="180"/>
      <c r="S465" s="180"/>
      <c r="T465" s="180"/>
      <c r="U465" s="180"/>
      <c r="V465" s="180"/>
      <c r="W465" s="180"/>
      <c r="X465" s="201"/>
      <c r="AJ465" s="149" t="str">
        <f>IF('Cable Info'!L325="","",CONCATENATE('Cable Info'!L325," - ",'Cable Info'!M325))</f>
        <v/>
      </c>
      <c r="AM465" s="149" t="str">
        <f t="shared" si="66"/>
        <v/>
      </c>
      <c r="AO465" s="149" t="str">
        <f>IF('Cable Info'!N325="","",CONCATENATE('Cable Info'!N325," - ",'Cable Info'!O325))</f>
        <v/>
      </c>
      <c r="AR465" s="149" t="str">
        <f t="shared" si="67"/>
        <v/>
      </c>
      <c r="AT465" s="149" t="str">
        <f>IF('Cable Info'!P325="","",CONCATENATE('Cable Info'!P325," - ",'Cable Info'!Q325))</f>
        <v/>
      </c>
      <c r="AW465" s="149" t="str">
        <f t="shared" si="68"/>
        <v/>
      </c>
      <c r="AY465" s="149" t="str">
        <f>IF('Cable Info'!R325="","",CONCATENATE('Cable Info'!R325," - ",'Cable Info'!S325))</f>
        <v/>
      </c>
      <c r="BB465" s="149" t="str">
        <f t="shared" si="69"/>
        <v/>
      </c>
      <c r="BD465" s="149" t="str">
        <f>IF('Cable Info'!T325="","",CONCATENATE('Cable Info'!T325," - ",'Cable Info'!U325))</f>
        <v/>
      </c>
      <c r="BG465" s="149" t="str">
        <f t="shared" si="70"/>
        <v/>
      </c>
      <c r="BI465" s="149" t="str">
        <f>IF('Cable Info'!V325="","",CONCATENATE('Cable Info'!V325," - ",'Cable Info'!W325))</f>
        <v/>
      </c>
      <c r="BL465" s="149" t="str">
        <f t="shared" si="71"/>
        <v/>
      </c>
    </row>
    <row r="466" spans="1:64" x14ac:dyDescent="0.2">
      <c r="A466" s="180"/>
      <c r="B466" s="180"/>
      <c r="C466" s="180"/>
      <c r="D466" s="180"/>
      <c r="E466" s="180"/>
      <c r="F466" s="187"/>
      <c r="G466" s="180"/>
      <c r="H466" s="180"/>
      <c r="I466" s="180"/>
      <c r="J466" s="187"/>
      <c r="K466" s="180"/>
      <c r="L466" s="180"/>
      <c r="M466" s="180"/>
      <c r="N466" s="180"/>
      <c r="O466" s="218"/>
      <c r="P466" s="180"/>
      <c r="Q466" s="188"/>
      <c r="R466" s="180"/>
      <c r="S466" s="180"/>
      <c r="T466" s="180"/>
      <c r="U466" s="180"/>
      <c r="V466" s="180"/>
      <c r="W466" s="180"/>
      <c r="X466" s="201"/>
      <c r="AJ466" s="149" t="str">
        <f>IF('Cable Info'!L326="","",CONCATENATE('Cable Info'!L326," - ",'Cable Info'!M326))</f>
        <v/>
      </c>
      <c r="AM466" s="149" t="str">
        <f t="shared" si="66"/>
        <v/>
      </c>
      <c r="AO466" s="149" t="str">
        <f>IF('Cable Info'!N326="","",CONCATENATE('Cable Info'!N326," - ",'Cable Info'!O326))</f>
        <v/>
      </c>
      <c r="AR466" s="149" t="str">
        <f t="shared" si="67"/>
        <v/>
      </c>
      <c r="AT466" s="149" t="str">
        <f>IF('Cable Info'!P326="","",CONCATENATE('Cable Info'!P326," - ",'Cable Info'!Q326))</f>
        <v/>
      </c>
      <c r="AW466" s="149" t="str">
        <f t="shared" si="68"/>
        <v/>
      </c>
      <c r="AY466" s="149" t="str">
        <f>IF('Cable Info'!R326="","",CONCATENATE('Cable Info'!R326," - ",'Cable Info'!S326))</f>
        <v/>
      </c>
      <c r="BB466" s="149" t="str">
        <f t="shared" si="69"/>
        <v/>
      </c>
      <c r="BD466" s="149" t="str">
        <f>IF('Cable Info'!T326="","",CONCATENATE('Cable Info'!T326," - ",'Cable Info'!U326))</f>
        <v/>
      </c>
      <c r="BG466" s="149" t="str">
        <f t="shared" si="70"/>
        <v/>
      </c>
      <c r="BI466" s="149" t="str">
        <f>IF('Cable Info'!V326="","",CONCATENATE('Cable Info'!V326," - ",'Cable Info'!W326))</f>
        <v/>
      </c>
      <c r="BL466" s="149" t="str">
        <f t="shared" si="71"/>
        <v/>
      </c>
    </row>
    <row r="467" spans="1:64" x14ac:dyDescent="0.2">
      <c r="A467" s="180"/>
      <c r="B467" s="180"/>
      <c r="C467" s="180"/>
      <c r="D467" s="180"/>
      <c r="E467" s="180"/>
      <c r="F467" s="187"/>
      <c r="G467" s="180"/>
      <c r="H467" s="180"/>
      <c r="I467" s="180"/>
      <c r="J467" s="187"/>
      <c r="K467" s="180"/>
      <c r="L467" s="180"/>
      <c r="M467" s="180"/>
      <c r="N467" s="180"/>
      <c r="O467" s="218"/>
      <c r="P467" s="180"/>
      <c r="Q467" s="188"/>
      <c r="R467" s="180"/>
      <c r="S467" s="180"/>
      <c r="T467" s="180"/>
      <c r="U467" s="180"/>
      <c r="V467" s="180"/>
      <c r="W467" s="180"/>
      <c r="X467" s="201"/>
      <c r="AJ467" s="149" t="str">
        <f>IF('Cable Info'!L327="","",CONCATENATE('Cable Info'!L327," - ",'Cable Info'!M327))</f>
        <v/>
      </c>
      <c r="AM467" s="149" t="str">
        <f t="shared" si="66"/>
        <v/>
      </c>
      <c r="AO467" s="149" t="str">
        <f>IF('Cable Info'!N327="","",CONCATENATE('Cable Info'!N327," - ",'Cable Info'!O327))</f>
        <v/>
      </c>
      <c r="AR467" s="149" t="str">
        <f t="shared" si="67"/>
        <v/>
      </c>
      <c r="AT467" s="149" t="str">
        <f>IF('Cable Info'!P327="","",CONCATENATE('Cable Info'!P327," - ",'Cable Info'!Q327))</f>
        <v/>
      </c>
      <c r="AW467" s="149" t="str">
        <f t="shared" si="68"/>
        <v/>
      </c>
      <c r="AY467" s="149" t="str">
        <f>IF('Cable Info'!R327="","",CONCATENATE('Cable Info'!R327," - ",'Cable Info'!S327))</f>
        <v/>
      </c>
      <c r="BB467" s="149" t="str">
        <f t="shared" si="69"/>
        <v/>
      </c>
      <c r="BD467" s="149" t="str">
        <f>IF('Cable Info'!T327="","",CONCATENATE('Cable Info'!T327," - ",'Cable Info'!U327))</f>
        <v/>
      </c>
      <c r="BG467" s="149" t="str">
        <f t="shared" si="70"/>
        <v/>
      </c>
      <c r="BI467" s="149" t="str">
        <f>IF('Cable Info'!V327="","",CONCATENATE('Cable Info'!V327," - ",'Cable Info'!W327))</f>
        <v/>
      </c>
      <c r="BL467" s="149" t="str">
        <f t="shared" si="71"/>
        <v/>
      </c>
    </row>
    <row r="468" spans="1:64" x14ac:dyDescent="0.2">
      <c r="A468" s="180"/>
      <c r="B468" s="180"/>
      <c r="C468" s="180"/>
      <c r="D468" s="180"/>
      <c r="E468" s="180"/>
      <c r="F468" s="187"/>
      <c r="G468" s="180"/>
      <c r="H468" s="180"/>
      <c r="I468" s="180"/>
      <c r="J468" s="187"/>
      <c r="K468" s="180"/>
      <c r="L468" s="180"/>
      <c r="M468" s="180"/>
      <c r="N468" s="180"/>
      <c r="O468" s="218"/>
      <c r="P468" s="180"/>
      <c r="Q468" s="188"/>
      <c r="R468" s="180"/>
      <c r="S468" s="180"/>
      <c r="T468" s="180"/>
      <c r="U468" s="180"/>
      <c r="V468" s="180"/>
      <c r="W468" s="180"/>
      <c r="X468" s="201"/>
      <c r="AJ468" s="149" t="str">
        <f>IF('Cable Info'!L328="","",CONCATENATE('Cable Info'!L328," - ",'Cable Info'!M328))</f>
        <v/>
      </c>
      <c r="AM468" s="149" t="str">
        <f t="shared" si="66"/>
        <v/>
      </c>
      <c r="AO468" s="149" t="str">
        <f>IF('Cable Info'!N328="","",CONCATENATE('Cable Info'!N328," - ",'Cable Info'!O328))</f>
        <v/>
      </c>
      <c r="AR468" s="149" t="str">
        <f t="shared" si="67"/>
        <v/>
      </c>
      <c r="AT468" s="149" t="str">
        <f>IF('Cable Info'!P328="","",CONCATENATE('Cable Info'!P328," - ",'Cable Info'!Q328))</f>
        <v/>
      </c>
      <c r="AW468" s="149" t="str">
        <f t="shared" si="68"/>
        <v/>
      </c>
      <c r="AY468" s="149" t="str">
        <f>IF('Cable Info'!R328="","",CONCATENATE('Cable Info'!R328," - ",'Cable Info'!S328))</f>
        <v/>
      </c>
      <c r="BB468" s="149" t="str">
        <f t="shared" si="69"/>
        <v/>
      </c>
      <c r="BD468" s="149" t="str">
        <f>IF('Cable Info'!T328="","",CONCATENATE('Cable Info'!T328," - ",'Cable Info'!U328))</f>
        <v/>
      </c>
      <c r="BG468" s="149" t="str">
        <f t="shared" si="70"/>
        <v/>
      </c>
      <c r="BI468" s="149" t="str">
        <f>IF('Cable Info'!V328="","",CONCATENATE('Cable Info'!V328," - ",'Cable Info'!W328))</f>
        <v/>
      </c>
      <c r="BL468" s="149" t="str">
        <f t="shared" si="71"/>
        <v/>
      </c>
    </row>
    <row r="469" spans="1:64" x14ac:dyDescent="0.2">
      <c r="A469" s="180"/>
      <c r="B469" s="180"/>
      <c r="C469" s="180"/>
      <c r="D469" s="180"/>
      <c r="E469" s="180"/>
      <c r="F469" s="187"/>
      <c r="G469" s="180"/>
      <c r="H469" s="180"/>
      <c r="I469" s="180"/>
      <c r="J469" s="187"/>
      <c r="K469" s="180"/>
      <c r="L469" s="180"/>
      <c r="M469" s="180"/>
      <c r="N469" s="180"/>
      <c r="O469" s="218"/>
      <c r="P469" s="180"/>
      <c r="Q469" s="188"/>
      <c r="R469" s="180"/>
      <c r="S469" s="180"/>
      <c r="T469" s="180"/>
      <c r="U469" s="180"/>
      <c r="V469" s="180"/>
      <c r="W469" s="180"/>
      <c r="X469" s="201"/>
      <c r="AJ469" s="149" t="str">
        <f>IF('Cable Info'!L329="","",CONCATENATE('Cable Info'!L329," - ",'Cable Info'!M329))</f>
        <v/>
      </c>
      <c r="AM469" s="149" t="str">
        <f t="shared" si="66"/>
        <v/>
      </c>
      <c r="AO469" s="149" t="str">
        <f>IF('Cable Info'!N329="","",CONCATENATE('Cable Info'!N329," - ",'Cable Info'!O329))</f>
        <v/>
      </c>
      <c r="AR469" s="149" t="str">
        <f t="shared" si="67"/>
        <v/>
      </c>
      <c r="AT469" s="149" t="str">
        <f>IF('Cable Info'!P329="","",CONCATENATE('Cable Info'!P329," - ",'Cable Info'!Q329))</f>
        <v/>
      </c>
      <c r="AW469" s="149" t="str">
        <f t="shared" si="68"/>
        <v/>
      </c>
      <c r="AY469" s="149" t="str">
        <f>IF('Cable Info'!R329="","",CONCATENATE('Cable Info'!R329," - ",'Cable Info'!S329))</f>
        <v/>
      </c>
      <c r="BB469" s="149" t="str">
        <f t="shared" si="69"/>
        <v/>
      </c>
      <c r="BD469" s="149" t="str">
        <f>IF('Cable Info'!T329="","",CONCATENATE('Cable Info'!T329," - ",'Cable Info'!U329))</f>
        <v/>
      </c>
      <c r="BG469" s="149" t="str">
        <f t="shared" si="70"/>
        <v/>
      </c>
      <c r="BI469" s="149" t="str">
        <f>IF('Cable Info'!V329="","",CONCATENATE('Cable Info'!V329," - ",'Cable Info'!W329))</f>
        <v/>
      </c>
      <c r="BL469" s="149" t="str">
        <f t="shared" si="71"/>
        <v/>
      </c>
    </row>
    <row r="470" spans="1:64" x14ac:dyDescent="0.2">
      <c r="A470" s="180"/>
      <c r="B470" s="180"/>
      <c r="C470" s="180"/>
      <c r="D470" s="180"/>
      <c r="E470" s="180"/>
      <c r="F470" s="187"/>
      <c r="G470" s="180"/>
      <c r="H470" s="180"/>
      <c r="I470" s="180"/>
      <c r="J470" s="187"/>
      <c r="K470" s="180"/>
      <c r="L470" s="180"/>
      <c r="M470" s="180"/>
      <c r="N470" s="180"/>
      <c r="O470" s="218"/>
      <c r="P470" s="180"/>
      <c r="Q470" s="188"/>
      <c r="R470" s="180"/>
      <c r="S470" s="180"/>
      <c r="T470" s="180"/>
      <c r="U470" s="180"/>
      <c r="V470" s="180"/>
      <c r="W470" s="180"/>
      <c r="X470" s="201"/>
      <c r="AJ470" s="149" t="str">
        <f>IF('Cable Info'!L330="","",CONCATENATE('Cable Info'!L330," - ",'Cable Info'!M330))</f>
        <v/>
      </c>
      <c r="AM470" s="149" t="str">
        <f t="shared" si="66"/>
        <v/>
      </c>
      <c r="AO470" s="149" t="str">
        <f>IF('Cable Info'!N330="","",CONCATENATE('Cable Info'!N330," - ",'Cable Info'!O330))</f>
        <v/>
      </c>
      <c r="AR470" s="149" t="str">
        <f t="shared" si="67"/>
        <v/>
      </c>
      <c r="AT470" s="149" t="str">
        <f>IF('Cable Info'!P330="","",CONCATENATE('Cable Info'!P330," - ",'Cable Info'!Q330))</f>
        <v/>
      </c>
      <c r="AW470" s="149" t="str">
        <f t="shared" si="68"/>
        <v/>
      </c>
      <c r="AY470" s="149" t="str">
        <f>IF('Cable Info'!R330="","",CONCATENATE('Cable Info'!R330," - ",'Cable Info'!S330))</f>
        <v/>
      </c>
      <c r="BB470" s="149" t="str">
        <f t="shared" si="69"/>
        <v/>
      </c>
      <c r="BD470" s="149" t="str">
        <f>IF('Cable Info'!T330="","",CONCATENATE('Cable Info'!T330," - ",'Cable Info'!U330))</f>
        <v/>
      </c>
      <c r="BG470" s="149" t="str">
        <f t="shared" si="70"/>
        <v/>
      </c>
      <c r="BI470" s="149" t="str">
        <f>IF('Cable Info'!V330="","",CONCATENATE('Cable Info'!V330," - ",'Cable Info'!W330))</f>
        <v/>
      </c>
      <c r="BL470" s="149" t="str">
        <f t="shared" si="71"/>
        <v/>
      </c>
    </row>
    <row r="471" spans="1:64" x14ac:dyDescent="0.2">
      <c r="A471" s="180"/>
      <c r="B471" s="180"/>
      <c r="C471" s="180"/>
      <c r="D471" s="180"/>
      <c r="E471" s="180"/>
      <c r="F471" s="187"/>
      <c r="G471" s="180"/>
      <c r="H471" s="180"/>
      <c r="I471" s="180"/>
      <c r="J471" s="187"/>
      <c r="K471" s="180"/>
      <c r="L471" s="180"/>
      <c r="M471" s="180"/>
      <c r="N471" s="180"/>
      <c r="O471" s="218"/>
      <c r="P471" s="180"/>
      <c r="Q471" s="188"/>
      <c r="R471" s="180"/>
      <c r="S471" s="180"/>
      <c r="T471" s="180"/>
      <c r="U471" s="180"/>
      <c r="V471" s="180"/>
      <c r="W471" s="180"/>
      <c r="X471" s="201"/>
      <c r="AJ471" s="149" t="str">
        <f>IF('Cable Info'!L331="","",CONCATENATE('Cable Info'!L331," - ",'Cable Info'!M331))</f>
        <v/>
      </c>
      <c r="AM471" s="149" t="str">
        <f t="shared" si="66"/>
        <v/>
      </c>
      <c r="AO471" s="149" t="str">
        <f>IF('Cable Info'!N331="","",CONCATENATE('Cable Info'!N331," - ",'Cable Info'!O331))</f>
        <v/>
      </c>
      <c r="AR471" s="149" t="str">
        <f t="shared" si="67"/>
        <v/>
      </c>
      <c r="AT471" s="149" t="str">
        <f>IF('Cable Info'!P331="","",CONCATENATE('Cable Info'!P331," - ",'Cable Info'!Q331))</f>
        <v/>
      </c>
      <c r="AW471" s="149" t="str">
        <f t="shared" si="68"/>
        <v/>
      </c>
      <c r="AY471" s="149" t="str">
        <f>IF('Cable Info'!R331="","",CONCATENATE('Cable Info'!R331," - ",'Cable Info'!S331))</f>
        <v/>
      </c>
      <c r="BB471" s="149" t="str">
        <f t="shared" si="69"/>
        <v/>
      </c>
      <c r="BD471" s="149" t="str">
        <f>IF('Cable Info'!T331="","",CONCATENATE('Cable Info'!T331," - ",'Cable Info'!U331))</f>
        <v/>
      </c>
      <c r="BG471" s="149" t="str">
        <f t="shared" si="70"/>
        <v/>
      </c>
      <c r="BI471" s="149" t="str">
        <f>IF('Cable Info'!V331="","",CONCATENATE('Cable Info'!V331," - ",'Cable Info'!W331))</f>
        <v/>
      </c>
      <c r="BL471" s="149" t="str">
        <f t="shared" si="71"/>
        <v/>
      </c>
    </row>
    <row r="472" spans="1:64" x14ac:dyDescent="0.2">
      <c r="A472" s="180"/>
      <c r="B472" s="180"/>
      <c r="C472" s="180"/>
      <c r="D472" s="180"/>
      <c r="E472" s="180"/>
      <c r="F472" s="187"/>
      <c r="G472" s="180"/>
      <c r="H472" s="180"/>
      <c r="I472" s="180"/>
      <c r="J472" s="187"/>
      <c r="K472" s="180"/>
      <c r="L472" s="180"/>
      <c r="M472" s="180"/>
      <c r="N472" s="180"/>
      <c r="O472" s="218"/>
      <c r="P472" s="180"/>
      <c r="Q472" s="188"/>
      <c r="R472" s="180"/>
      <c r="S472" s="180"/>
      <c r="T472" s="180"/>
      <c r="U472" s="180"/>
      <c r="V472" s="180"/>
      <c r="W472" s="180"/>
      <c r="X472" s="201"/>
      <c r="AJ472" s="149" t="str">
        <f>IF('Cable Info'!L332="","",CONCATENATE('Cable Info'!L332," - ",'Cable Info'!M332))</f>
        <v/>
      </c>
      <c r="AM472" s="149" t="str">
        <f t="shared" si="66"/>
        <v/>
      </c>
      <c r="AO472" s="149" t="str">
        <f>IF('Cable Info'!N332="","",CONCATENATE('Cable Info'!N332," - ",'Cable Info'!O332))</f>
        <v/>
      </c>
      <c r="AR472" s="149" t="str">
        <f t="shared" si="67"/>
        <v/>
      </c>
      <c r="AT472" s="149" t="str">
        <f>IF('Cable Info'!P332="","",CONCATENATE('Cable Info'!P332," - ",'Cable Info'!Q332))</f>
        <v/>
      </c>
      <c r="AW472" s="149" t="str">
        <f t="shared" si="68"/>
        <v/>
      </c>
      <c r="AY472" s="149" t="str">
        <f>IF('Cable Info'!R332="","",CONCATENATE('Cable Info'!R332," - ",'Cable Info'!S332))</f>
        <v/>
      </c>
      <c r="BB472" s="149" t="str">
        <f t="shared" si="69"/>
        <v/>
      </c>
      <c r="BD472" s="149" t="str">
        <f>IF('Cable Info'!T332="","",CONCATENATE('Cable Info'!T332," - ",'Cable Info'!U332))</f>
        <v/>
      </c>
      <c r="BG472" s="149" t="str">
        <f t="shared" si="70"/>
        <v/>
      </c>
      <c r="BI472" s="149" t="str">
        <f>IF('Cable Info'!V332="","",CONCATENATE('Cable Info'!V332," - ",'Cable Info'!W332))</f>
        <v/>
      </c>
      <c r="BL472" s="149" t="str">
        <f t="shared" si="71"/>
        <v/>
      </c>
    </row>
    <row r="473" spans="1:64" x14ac:dyDescent="0.2">
      <c r="A473" s="180"/>
      <c r="B473" s="180"/>
      <c r="C473" s="180"/>
      <c r="D473" s="180"/>
      <c r="E473" s="180"/>
      <c r="F473" s="187"/>
      <c r="G473" s="180"/>
      <c r="H473" s="180"/>
      <c r="I473" s="180"/>
      <c r="J473" s="187"/>
      <c r="K473" s="180"/>
      <c r="L473" s="180"/>
      <c r="M473" s="180"/>
      <c r="N473" s="180"/>
      <c r="O473" s="218"/>
      <c r="P473" s="180"/>
      <c r="Q473" s="188"/>
      <c r="R473" s="180"/>
      <c r="S473" s="180"/>
      <c r="T473" s="180"/>
      <c r="U473" s="180"/>
      <c r="V473" s="180"/>
      <c r="W473" s="180"/>
      <c r="X473" s="201"/>
      <c r="AJ473" s="149" t="str">
        <f>IF('Cable Info'!L333="","",CONCATENATE('Cable Info'!L333," - ",'Cable Info'!M333))</f>
        <v/>
      </c>
      <c r="AM473" s="149" t="str">
        <f t="shared" si="66"/>
        <v/>
      </c>
      <c r="AO473" s="149" t="str">
        <f>IF('Cable Info'!N333="","",CONCATENATE('Cable Info'!N333," - ",'Cable Info'!O333))</f>
        <v/>
      </c>
      <c r="AR473" s="149" t="str">
        <f t="shared" si="67"/>
        <v/>
      </c>
      <c r="AT473" s="149" t="str">
        <f>IF('Cable Info'!P333="","",CONCATENATE('Cable Info'!P333," - ",'Cable Info'!Q333))</f>
        <v/>
      </c>
      <c r="AW473" s="149" t="str">
        <f t="shared" si="68"/>
        <v/>
      </c>
      <c r="AY473" s="149" t="str">
        <f>IF('Cable Info'!R333="","",CONCATENATE('Cable Info'!R333," - ",'Cable Info'!S333))</f>
        <v/>
      </c>
      <c r="BB473" s="149" t="str">
        <f t="shared" si="69"/>
        <v/>
      </c>
      <c r="BD473" s="149" t="str">
        <f>IF('Cable Info'!T333="","",CONCATENATE('Cable Info'!T333," - ",'Cable Info'!U333))</f>
        <v/>
      </c>
      <c r="BG473" s="149" t="str">
        <f t="shared" si="70"/>
        <v/>
      </c>
      <c r="BI473" s="149" t="str">
        <f>IF('Cable Info'!V333="","",CONCATENATE('Cable Info'!V333," - ",'Cable Info'!W333))</f>
        <v/>
      </c>
      <c r="BL473" s="149" t="str">
        <f t="shared" si="71"/>
        <v/>
      </c>
    </row>
    <row r="474" spans="1:64" x14ac:dyDescent="0.2">
      <c r="A474" s="180"/>
      <c r="B474" s="180"/>
      <c r="C474" s="180"/>
      <c r="D474" s="180"/>
      <c r="E474" s="180"/>
      <c r="F474" s="187"/>
      <c r="G474" s="180"/>
      <c r="H474" s="180"/>
      <c r="I474" s="180"/>
      <c r="J474" s="187"/>
      <c r="K474" s="180"/>
      <c r="L474" s="180"/>
      <c r="M474" s="180"/>
      <c r="N474" s="180"/>
      <c r="O474" s="218"/>
      <c r="P474" s="180"/>
      <c r="Q474" s="188"/>
      <c r="R474" s="180"/>
      <c r="S474" s="180"/>
      <c r="T474" s="180"/>
      <c r="U474" s="180"/>
      <c r="V474" s="180"/>
      <c r="W474" s="180"/>
      <c r="X474" s="201"/>
      <c r="AJ474" s="149" t="str">
        <f>IF('Cable Info'!L334="","",CONCATENATE('Cable Info'!L334," - ",'Cable Info'!M334))</f>
        <v/>
      </c>
      <c r="AM474" s="149" t="str">
        <f t="shared" si="66"/>
        <v/>
      </c>
      <c r="AO474" s="149" t="str">
        <f>IF('Cable Info'!N334="","",CONCATENATE('Cable Info'!N334," - ",'Cable Info'!O334))</f>
        <v/>
      </c>
      <c r="AR474" s="149" t="str">
        <f t="shared" si="67"/>
        <v/>
      </c>
      <c r="AT474" s="149" t="str">
        <f>IF('Cable Info'!P334="","",CONCATENATE('Cable Info'!P334," - ",'Cable Info'!Q334))</f>
        <v/>
      </c>
      <c r="AW474" s="149" t="str">
        <f t="shared" si="68"/>
        <v/>
      </c>
      <c r="AY474" s="149" t="str">
        <f>IF('Cable Info'!R334="","",CONCATENATE('Cable Info'!R334," - ",'Cable Info'!S334))</f>
        <v/>
      </c>
      <c r="BB474" s="149" t="str">
        <f t="shared" si="69"/>
        <v/>
      </c>
      <c r="BD474" s="149" t="str">
        <f>IF('Cable Info'!T334="","",CONCATENATE('Cable Info'!T334," - ",'Cable Info'!U334))</f>
        <v/>
      </c>
      <c r="BG474" s="149" t="str">
        <f t="shared" si="70"/>
        <v/>
      </c>
      <c r="BI474" s="149" t="str">
        <f>IF('Cable Info'!V334="","",CONCATENATE('Cable Info'!V334," - ",'Cable Info'!W334))</f>
        <v/>
      </c>
      <c r="BL474" s="149" t="str">
        <f t="shared" si="71"/>
        <v/>
      </c>
    </row>
    <row r="475" spans="1:64" x14ac:dyDescent="0.2">
      <c r="A475" s="180"/>
      <c r="B475" s="180"/>
      <c r="C475" s="180"/>
      <c r="D475" s="180"/>
      <c r="E475" s="180"/>
      <c r="F475" s="187"/>
      <c r="G475" s="180"/>
      <c r="H475" s="180"/>
      <c r="I475" s="180"/>
      <c r="J475" s="187"/>
      <c r="K475" s="180"/>
      <c r="L475" s="180"/>
      <c r="M475" s="180"/>
      <c r="N475" s="180"/>
      <c r="O475" s="218"/>
      <c r="P475" s="180"/>
      <c r="Q475" s="188"/>
      <c r="R475" s="180"/>
      <c r="S475" s="180"/>
      <c r="T475" s="180"/>
      <c r="U475" s="180"/>
      <c r="V475" s="180"/>
      <c r="W475" s="180"/>
      <c r="X475" s="201"/>
      <c r="AJ475" s="149" t="str">
        <f>IF('Cable Info'!L335="","",CONCATENATE('Cable Info'!L335," - ",'Cable Info'!M335))</f>
        <v/>
      </c>
      <c r="AM475" s="149" t="str">
        <f t="shared" si="66"/>
        <v/>
      </c>
      <c r="AO475" s="149" t="str">
        <f>IF('Cable Info'!N335="","",CONCATENATE('Cable Info'!N335," - ",'Cable Info'!O335))</f>
        <v/>
      </c>
      <c r="AR475" s="149" t="str">
        <f t="shared" si="67"/>
        <v/>
      </c>
      <c r="AT475" s="149" t="str">
        <f>IF('Cable Info'!P335="","",CONCATENATE('Cable Info'!P335," - ",'Cable Info'!Q335))</f>
        <v/>
      </c>
      <c r="AW475" s="149" t="str">
        <f t="shared" si="68"/>
        <v/>
      </c>
      <c r="AY475" s="149" t="str">
        <f>IF('Cable Info'!R335="","",CONCATENATE('Cable Info'!R335," - ",'Cable Info'!S335))</f>
        <v/>
      </c>
      <c r="BB475" s="149" t="str">
        <f t="shared" si="69"/>
        <v/>
      </c>
      <c r="BD475" s="149" t="str">
        <f>IF('Cable Info'!T335="","",CONCATENATE('Cable Info'!T335," - ",'Cable Info'!U335))</f>
        <v/>
      </c>
      <c r="BG475" s="149" t="str">
        <f t="shared" si="70"/>
        <v/>
      </c>
      <c r="BI475" s="149" t="str">
        <f>IF('Cable Info'!V335="","",CONCATENATE('Cable Info'!V335," - ",'Cable Info'!W335))</f>
        <v/>
      </c>
      <c r="BL475" s="149" t="str">
        <f t="shared" si="71"/>
        <v/>
      </c>
    </row>
    <row r="476" spans="1:64" x14ac:dyDescent="0.2">
      <c r="A476" s="180"/>
      <c r="B476" s="180"/>
      <c r="C476" s="180"/>
      <c r="D476" s="180"/>
      <c r="E476" s="180"/>
      <c r="F476" s="187"/>
      <c r="G476" s="180"/>
      <c r="H476" s="180"/>
      <c r="I476" s="180"/>
      <c r="J476" s="187"/>
      <c r="K476" s="180"/>
      <c r="L476" s="180"/>
      <c r="M476" s="180"/>
      <c r="N476" s="180"/>
      <c r="O476" s="218"/>
      <c r="P476" s="180"/>
      <c r="Q476" s="188"/>
      <c r="R476" s="180"/>
      <c r="S476" s="180"/>
      <c r="T476" s="180"/>
      <c r="U476" s="180"/>
      <c r="V476" s="180"/>
      <c r="W476" s="180"/>
      <c r="X476" s="201"/>
      <c r="AJ476" s="149" t="str">
        <f>IF('Cable Info'!L336="","",CONCATENATE('Cable Info'!L336," - ",'Cable Info'!M336))</f>
        <v/>
      </c>
      <c r="AM476" s="149" t="str">
        <f t="shared" si="66"/>
        <v/>
      </c>
      <c r="AO476" s="149" t="str">
        <f>IF('Cable Info'!N336="","",CONCATENATE('Cable Info'!N336," - ",'Cable Info'!O336))</f>
        <v/>
      </c>
      <c r="AR476" s="149" t="str">
        <f t="shared" si="67"/>
        <v/>
      </c>
      <c r="AT476" s="149" t="str">
        <f>IF('Cable Info'!P336="","",CONCATENATE('Cable Info'!P336," - ",'Cable Info'!Q336))</f>
        <v/>
      </c>
      <c r="AW476" s="149" t="str">
        <f t="shared" si="68"/>
        <v/>
      </c>
      <c r="AY476" s="149" t="str">
        <f>IF('Cable Info'!R336="","",CONCATENATE('Cable Info'!R336," - ",'Cable Info'!S336))</f>
        <v/>
      </c>
      <c r="BB476" s="149" t="str">
        <f t="shared" si="69"/>
        <v/>
      </c>
      <c r="BD476" s="149" t="str">
        <f>IF('Cable Info'!T336="","",CONCATENATE('Cable Info'!T336," - ",'Cable Info'!U336))</f>
        <v/>
      </c>
      <c r="BG476" s="149" t="str">
        <f t="shared" si="70"/>
        <v/>
      </c>
      <c r="BI476" s="149" t="str">
        <f>IF('Cable Info'!V336="","",CONCATENATE('Cable Info'!V336," - ",'Cable Info'!W336))</f>
        <v/>
      </c>
      <c r="BL476" s="149" t="str">
        <f t="shared" si="71"/>
        <v/>
      </c>
    </row>
    <row r="477" spans="1:64" x14ac:dyDescent="0.2">
      <c r="A477" s="180"/>
      <c r="B477" s="180"/>
      <c r="C477" s="180"/>
      <c r="D477" s="180"/>
      <c r="E477" s="180"/>
      <c r="F477" s="187"/>
      <c r="G477" s="180"/>
      <c r="H477" s="180"/>
      <c r="I477" s="180"/>
      <c r="J477" s="187"/>
      <c r="K477" s="180"/>
      <c r="L477" s="180"/>
      <c r="M477" s="180"/>
      <c r="N477" s="180"/>
      <c r="O477" s="218"/>
      <c r="P477" s="180"/>
      <c r="Q477" s="188"/>
      <c r="R477" s="180"/>
      <c r="S477" s="180"/>
      <c r="T477" s="180"/>
      <c r="U477" s="180"/>
      <c r="V477" s="180"/>
      <c r="W477" s="180"/>
      <c r="X477" s="201"/>
      <c r="AJ477" s="149" t="str">
        <f>IF('Cable Info'!L337="","",CONCATENATE('Cable Info'!L337," - ",'Cable Info'!M337))</f>
        <v/>
      </c>
      <c r="AM477" s="149" t="str">
        <f t="shared" si="66"/>
        <v/>
      </c>
      <c r="AO477" s="149" t="str">
        <f>IF('Cable Info'!N337="","",CONCATENATE('Cable Info'!N337," - ",'Cable Info'!O337))</f>
        <v/>
      </c>
      <c r="AR477" s="149" t="str">
        <f t="shared" si="67"/>
        <v/>
      </c>
      <c r="AT477" s="149" t="str">
        <f>IF('Cable Info'!P337="","",CONCATENATE('Cable Info'!P337," - ",'Cable Info'!Q337))</f>
        <v/>
      </c>
      <c r="AW477" s="149" t="str">
        <f t="shared" si="68"/>
        <v/>
      </c>
      <c r="AY477" s="149" t="str">
        <f>IF('Cable Info'!R337="","",CONCATENATE('Cable Info'!R337," - ",'Cable Info'!S337))</f>
        <v/>
      </c>
      <c r="BB477" s="149" t="str">
        <f t="shared" si="69"/>
        <v/>
      </c>
      <c r="BD477" s="149" t="str">
        <f>IF('Cable Info'!T337="","",CONCATENATE('Cable Info'!T337," - ",'Cable Info'!U337))</f>
        <v/>
      </c>
      <c r="BG477" s="149" t="str">
        <f t="shared" si="70"/>
        <v/>
      </c>
      <c r="BI477" s="149" t="str">
        <f>IF('Cable Info'!V337="","",CONCATENATE('Cable Info'!V337," - ",'Cable Info'!W337))</f>
        <v/>
      </c>
      <c r="BL477" s="149" t="str">
        <f t="shared" si="71"/>
        <v/>
      </c>
    </row>
    <row r="478" spans="1:64" x14ac:dyDescent="0.2">
      <c r="A478" s="180"/>
      <c r="B478" s="180"/>
      <c r="C478" s="180"/>
      <c r="D478" s="180"/>
      <c r="E478" s="180"/>
      <c r="F478" s="187"/>
      <c r="G478" s="180"/>
      <c r="H478" s="180"/>
      <c r="I478" s="180"/>
      <c r="J478" s="187"/>
      <c r="K478" s="180"/>
      <c r="L478" s="180"/>
      <c r="M478" s="180"/>
      <c r="N478" s="180"/>
      <c r="O478" s="218"/>
      <c r="P478" s="180"/>
      <c r="Q478" s="188"/>
      <c r="R478" s="180"/>
      <c r="S478" s="180"/>
      <c r="T478" s="180"/>
      <c r="U478" s="180"/>
      <c r="V478" s="180"/>
      <c r="W478" s="180"/>
      <c r="X478" s="201"/>
      <c r="AJ478" s="149" t="str">
        <f>IF('Cable Info'!L338="","",CONCATENATE('Cable Info'!L338," - ",'Cable Info'!M338))</f>
        <v/>
      </c>
      <c r="AM478" s="149" t="str">
        <f t="shared" si="66"/>
        <v/>
      </c>
      <c r="AO478" s="149" t="str">
        <f>IF('Cable Info'!N338="","",CONCATENATE('Cable Info'!N338," - ",'Cable Info'!O338))</f>
        <v/>
      </c>
      <c r="AR478" s="149" t="str">
        <f t="shared" si="67"/>
        <v/>
      </c>
      <c r="AT478" s="149" t="str">
        <f>IF('Cable Info'!P338="","",CONCATENATE('Cable Info'!P338," - ",'Cable Info'!Q338))</f>
        <v/>
      </c>
      <c r="AW478" s="149" t="str">
        <f t="shared" si="68"/>
        <v/>
      </c>
      <c r="AY478" s="149" t="str">
        <f>IF('Cable Info'!R338="","",CONCATENATE('Cable Info'!R338," - ",'Cable Info'!S338))</f>
        <v/>
      </c>
      <c r="BB478" s="149" t="str">
        <f t="shared" si="69"/>
        <v/>
      </c>
      <c r="BD478" s="149" t="str">
        <f>IF('Cable Info'!T338="","",CONCATENATE('Cable Info'!T338," - ",'Cable Info'!U338))</f>
        <v/>
      </c>
      <c r="BG478" s="149" t="str">
        <f t="shared" si="70"/>
        <v/>
      </c>
      <c r="BI478" s="149" t="str">
        <f>IF('Cable Info'!V338="","",CONCATENATE('Cable Info'!V338," - ",'Cable Info'!W338))</f>
        <v/>
      </c>
      <c r="BL478" s="149" t="str">
        <f t="shared" si="71"/>
        <v/>
      </c>
    </row>
    <row r="479" spans="1:64" x14ac:dyDescent="0.2">
      <c r="A479" s="180"/>
      <c r="B479" s="180"/>
      <c r="C479" s="180"/>
      <c r="D479" s="180"/>
      <c r="E479" s="180"/>
      <c r="F479" s="187"/>
      <c r="G479" s="180"/>
      <c r="H479" s="180"/>
      <c r="I479" s="180"/>
      <c r="J479" s="187"/>
      <c r="K479" s="180"/>
      <c r="L479" s="180"/>
      <c r="M479" s="180"/>
      <c r="N479" s="180"/>
      <c r="O479" s="218"/>
      <c r="P479" s="180"/>
      <c r="Q479" s="188"/>
      <c r="R479" s="180"/>
      <c r="S479" s="180"/>
      <c r="T479" s="180"/>
      <c r="U479" s="180"/>
      <c r="V479" s="180"/>
      <c r="W479" s="180"/>
      <c r="X479" s="201"/>
      <c r="AJ479" s="149" t="str">
        <f>IF('Cable Info'!L339="","",CONCATENATE('Cable Info'!L339," - ",'Cable Info'!M339))</f>
        <v/>
      </c>
      <c r="AM479" s="149" t="str">
        <f t="shared" si="66"/>
        <v/>
      </c>
      <c r="AO479" s="149" t="str">
        <f>IF('Cable Info'!N339="","",CONCATENATE('Cable Info'!N339," - ",'Cable Info'!O339))</f>
        <v/>
      </c>
      <c r="AR479" s="149" t="str">
        <f t="shared" si="67"/>
        <v/>
      </c>
      <c r="AT479" s="149" t="str">
        <f>IF('Cable Info'!P339="","",CONCATENATE('Cable Info'!P339," - ",'Cable Info'!Q339))</f>
        <v/>
      </c>
      <c r="AW479" s="149" t="str">
        <f t="shared" si="68"/>
        <v/>
      </c>
      <c r="AY479" s="149" t="str">
        <f>IF('Cable Info'!R339="","",CONCATENATE('Cable Info'!R339," - ",'Cable Info'!S339))</f>
        <v/>
      </c>
      <c r="BB479" s="149" t="str">
        <f t="shared" si="69"/>
        <v/>
      </c>
      <c r="BD479" s="149" t="str">
        <f>IF('Cable Info'!T339="","",CONCATENATE('Cable Info'!T339," - ",'Cable Info'!U339))</f>
        <v/>
      </c>
      <c r="BG479" s="149" t="str">
        <f t="shared" si="70"/>
        <v/>
      </c>
      <c r="BI479" s="149" t="str">
        <f>IF('Cable Info'!V339="","",CONCATENATE('Cable Info'!V339," - ",'Cable Info'!W339))</f>
        <v/>
      </c>
      <c r="BL479" s="149" t="str">
        <f t="shared" si="71"/>
        <v/>
      </c>
    </row>
    <row r="480" spans="1:64" x14ac:dyDescent="0.2">
      <c r="A480" s="180"/>
      <c r="B480" s="180"/>
      <c r="C480" s="180"/>
      <c r="D480" s="180"/>
      <c r="E480" s="180"/>
      <c r="F480" s="187"/>
      <c r="G480" s="180"/>
      <c r="H480" s="180"/>
      <c r="I480" s="180"/>
      <c r="J480" s="187"/>
      <c r="K480" s="180"/>
      <c r="L480" s="180"/>
      <c r="M480" s="180"/>
      <c r="N480" s="180"/>
      <c r="O480" s="218"/>
      <c r="P480" s="180"/>
      <c r="Q480" s="188"/>
      <c r="R480" s="180"/>
      <c r="S480" s="180"/>
      <c r="T480" s="180"/>
      <c r="U480" s="180"/>
      <c r="V480" s="180"/>
      <c r="W480" s="180"/>
      <c r="X480" s="201"/>
      <c r="AJ480" s="149" t="str">
        <f>IF('Cable Info'!L340="","",CONCATENATE('Cable Info'!L340," - ",'Cable Info'!M340))</f>
        <v/>
      </c>
      <c r="AM480" s="149" t="str">
        <f t="shared" si="66"/>
        <v/>
      </c>
      <c r="AO480" s="149" t="str">
        <f>IF('Cable Info'!N340="","",CONCATENATE('Cable Info'!N340," - ",'Cable Info'!O340))</f>
        <v/>
      </c>
      <c r="AR480" s="149" t="str">
        <f t="shared" si="67"/>
        <v/>
      </c>
      <c r="AT480" s="149" t="str">
        <f>IF('Cable Info'!P340="","",CONCATENATE('Cable Info'!P340," - ",'Cable Info'!Q340))</f>
        <v/>
      </c>
      <c r="AW480" s="149" t="str">
        <f t="shared" si="68"/>
        <v/>
      </c>
      <c r="AY480" s="149" t="str">
        <f>IF('Cable Info'!R340="","",CONCATENATE('Cable Info'!R340," - ",'Cable Info'!S340))</f>
        <v/>
      </c>
      <c r="BB480" s="149" t="str">
        <f t="shared" si="69"/>
        <v/>
      </c>
      <c r="BD480" s="149" t="str">
        <f>IF('Cable Info'!T340="","",CONCATENATE('Cable Info'!T340," - ",'Cable Info'!U340))</f>
        <v/>
      </c>
      <c r="BG480" s="149" t="str">
        <f t="shared" si="70"/>
        <v/>
      </c>
      <c r="BI480" s="149" t="str">
        <f>IF('Cable Info'!V340="","",CONCATENATE('Cable Info'!V340," - ",'Cable Info'!W340))</f>
        <v/>
      </c>
      <c r="BL480" s="149" t="str">
        <f t="shared" si="71"/>
        <v/>
      </c>
    </row>
    <row r="481" spans="1:64" x14ac:dyDescent="0.2">
      <c r="A481" s="180"/>
      <c r="B481" s="180"/>
      <c r="C481" s="180"/>
      <c r="D481" s="180"/>
      <c r="E481" s="180"/>
      <c r="F481" s="187"/>
      <c r="G481" s="180"/>
      <c r="H481" s="180"/>
      <c r="I481" s="180"/>
      <c r="J481" s="187"/>
      <c r="K481" s="180"/>
      <c r="L481" s="180"/>
      <c r="M481" s="180"/>
      <c r="N481" s="180"/>
      <c r="O481" s="218"/>
      <c r="P481" s="180"/>
      <c r="Q481" s="188"/>
      <c r="R481" s="180"/>
      <c r="S481" s="180"/>
      <c r="T481" s="180"/>
      <c r="U481" s="180"/>
      <c r="V481" s="180"/>
      <c r="W481" s="180"/>
      <c r="X481" s="201"/>
      <c r="AJ481" s="149" t="str">
        <f>IF('Cable Info'!L341="","",CONCATENATE('Cable Info'!L341," - ",'Cable Info'!M341))</f>
        <v/>
      </c>
      <c r="AM481" s="149" t="str">
        <f t="shared" si="66"/>
        <v/>
      </c>
      <c r="AO481" s="149" t="str">
        <f>IF('Cable Info'!N341="","",CONCATENATE('Cable Info'!N341," - ",'Cable Info'!O341))</f>
        <v/>
      </c>
      <c r="AR481" s="149" t="str">
        <f t="shared" si="67"/>
        <v/>
      </c>
      <c r="AT481" s="149" t="str">
        <f>IF('Cable Info'!P341="","",CONCATENATE('Cable Info'!P341," - ",'Cable Info'!Q341))</f>
        <v/>
      </c>
      <c r="AW481" s="149" t="str">
        <f t="shared" si="68"/>
        <v/>
      </c>
      <c r="AY481" s="149" t="str">
        <f>IF('Cable Info'!R341="","",CONCATENATE('Cable Info'!R341," - ",'Cable Info'!S341))</f>
        <v/>
      </c>
      <c r="BB481" s="149" t="str">
        <f t="shared" si="69"/>
        <v/>
      </c>
      <c r="BD481" s="149" t="str">
        <f>IF('Cable Info'!T341="","",CONCATENATE('Cable Info'!T341," - ",'Cable Info'!U341))</f>
        <v/>
      </c>
      <c r="BG481" s="149" t="str">
        <f t="shared" si="70"/>
        <v/>
      </c>
      <c r="BI481" s="149" t="str">
        <f>IF('Cable Info'!V341="","",CONCATENATE('Cable Info'!V341," - ",'Cable Info'!W341))</f>
        <v/>
      </c>
      <c r="BL481" s="149" t="str">
        <f t="shared" si="71"/>
        <v/>
      </c>
    </row>
    <row r="482" spans="1:64" x14ac:dyDescent="0.2">
      <c r="A482" s="180"/>
      <c r="B482" s="180"/>
      <c r="C482" s="180"/>
      <c r="D482" s="180"/>
      <c r="E482" s="180"/>
      <c r="F482" s="187"/>
      <c r="G482" s="180"/>
      <c r="H482" s="180"/>
      <c r="I482" s="180"/>
      <c r="J482" s="187"/>
      <c r="K482" s="180"/>
      <c r="L482" s="180"/>
      <c r="M482" s="180"/>
      <c r="N482" s="180"/>
      <c r="O482" s="218"/>
      <c r="P482" s="180"/>
      <c r="Q482" s="188"/>
      <c r="R482" s="180"/>
      <c r="S482" s="180"/>
      <c r="T482" s="180"/>
      <c r="U482" s="180"/>
      <c r="V482" s="180"/>
      <c r="W482" s="180"/>
      <c r="X482" s="201"/>
      <c r="AJ482" s="149" t="str">
        <f>IF('Cable Info'!L342="","",CONCATENATE('Cable Info'!L342," - ",'Cable Info'!M342))</f>
        <v/>
      </c>
      <c r="AM482" s="149" t="str">
        <f t="shared" si="66"/>
        <v/>
      </c>
      <c r="AO482" s="149" t="str">
        <f>IF('Cable Info'!N342="","",CONCATENATE('Cable Info'!N342," - ",'Cable Info'!O342))</f>
        <v/>
      </c>
      <c r="AR482" s="149" t="str">
        <f t="shared" si="67"/>
        <v/>
      </c>
      <c r="AT482" s="149" t="str">
        <f>IF('Cable Info'!P342="","",CONCATENATE('Cable Info'!P342," - ",'Cable Info'!Q342))</f>
        <v/>
      </c>
      <c r="AW482" s="149" t="str">
        <f t="shared" si="68"/>
        <v/>
      </c>
      <c r="AY482" s="149" t="str">
        <f>IF('Cable Info'!R342="","",CONCATENATE('Cable Info'!R342," - ",'Cable Info'!S342))</f>
        <v/>
      </c>
      <c r="BB482" s="149" t="str">
        <f t="shared" si="69"/>
        <v/>
      </c>
      <c r="BD482" s="149" t="str">
        <f>IF('Cable Info'!T342="","",CONCATENATE('Cable Info'!T342," - ",'Cable Info'!U342))</f>
        <v/>
      </c>
      <c r="BG482" s="149" t="str">
        <f t="shared" si="70"/>
        <v/>
      </c>
      <c r="BI482" s="149" t="str">
        <f>IF('Cable Info'!V342="","",CONCATENATE('Cable Info'!V342," - ",'Cable Info'!W342))</f>
        <v/>
      </c>
      <c r="BL482" s="149" t="str">
        <f t="shared" si="71"/>
        <v/>
      </c>
    </row>
    <row r="483" spans="1:64" x14ac:dyDescent="0.2">
      <c r="A483" s="180"/>
      <c r="B483" s="180"/>
      <c r="C483" s="180"/>
      <c r="D483" s="180"/>
      <c r="E483" s="180"/>
      <c r="F483" s="187"/>
      <c r="G483" s="180"/>
      <c r="H483" s="180"/>
      <c r="I483" s="180"/>
      <c r="J483" s="187"/>
      <c r="K483" s="180"/>
      <c r="L483" s="180"/>
      <c r="M483" s="180"/>
      <c r="N483" s="180"/>
      <c r="O483" s="218"/>
      <c r="P483" s="180"/>
      <c r="Q483" s="188"/>
      <c r="R483" s="180"/>
      <c r="S483" s="180"/>
      <c r="T483" s="180"/>
      <c r="U483" s="180"/>
      <c r="V483" s="180"/>
      <c r="W483" s="180"/>
      <c r="X483" s="201"/>
      <c r="AJ483" s="149" t="str">
        <f>IF('Cable Info'!L343="","",CONCATENATE('Cable Info'!L343," - ",'Cable Info'!M343))</f>
        <v/>
      </c>
      <c r="AM483" s="149" t="str">
        <f t="shared" si="66"/>
        <v/>
      </c>
      <c r="AO483" s="149" t="str">
        <f>IF('Cable Info'!N343="","",CONCATENATE('Cable Info'!N343," - ",'Cable Info'!O343))</f>
        <v/>
      </c>
      <c r="AR483" s="149" t="str">
        <f t="shared" si="67"/>
        <v/>
      </c>
      <c r="AT483" s="149" t="str">
        <f>IF('Cable Info'!P343="","",CONCATENATE('Cable Info'!P343," - ",'Cable Info'!Q343))</f>
        <v/>
      </c>
      <c r="AW483" s="149" t="str">
        <f t="shared" si="68"/>
        <v/>
      </c>
      <c r="AY483" s="149" t="str">
        <f>IF('Cable Info'!R343="","",CONCATENATE('Cable Info'!R343," - ",'Cable Info'!S343))</f>
        <v/>
      </c>
      <c r="BB483" s="149" t="str">
        <f t="shared" si="69"/>
        <v/>
      </c>
      <c r="BD483" s="149" t="str">
        <f>IF('Cable Info'!T343="","",CONCATENATE('Cable Info'!T343," - ",'Cable Info'!U343))</f>
        <v/>
      </c>
      <c r="BG483" s="149" t="str">
        <f t="shared" si="70"/>
        <v/>
      </c>
      <c r="BI483" s="149" t="str">
        <f>IF('Cable Info'!V343="","",CONCATENATE('Cable Info'!V343," - ",'Cable Info'!W343))</f>
        <v/>
      </c>
      <c r="BL483" s="149" t="str">
        <f t="shared" si="71"/>
        <v/>
      </c>
    </row>
    <row r="484" spans="1:64" x14ac:dyDescent="0.2">
      <c r="A484" s="180"/>
      <c r="B484" s="180"/>
      <c r="C484" s="180"/>
      <c r="D484" s="180"/>
      <c r="E484" s="180"/>
      <c r="F484" s="187"/>
      <c r="G484" s="180"/>
      <c r="H484" s="180"/>
      <c r="I484" s="180"/>
      <c r="J484" s="187"/>
      <c r="K484" s="180"/>
      <c r="L484" s="180"/>
      <c r="M484" s="180"/>
      <c r="N484" s="180"/>
      <c r="O484" s="218"/>
      <c r="P484" s="180"/>
      <c r="Q484" s="188"/>
      <c r="R484" s="180"/>
      <c r="S484" s="180"/>
      <c r="T484" s="180"/>
      <c r="U484" s="180"/>
      <c r="V484" s="180"/>
      <c r="W484" s="180"/>
      <c r="X484" s="201"/>
      <c r="AJ484" s="149" t="str">
        <f>IF('Cable Info'!L344="","",CONCATENATE('Cable Info'!L344," - ",'Cable Info'!M344))</f>
        <v/>
      </c>
      <c r="AM484" s="149" t="str">
        <f t="shared" si="66"/>
        <v/>
      </c>
      <c r="AO484" s="149" t="str">
        <f>IF('Cable Info'!N344="","",CONCATENATE('Cable Info'!N344," - ",'Cable Info'!O344))</f>
        <v/>
      </c>
      <c r="AR484" s="149" t="str">
        <f t="shared" si="67"/>
        <v/>
      </c>
      <c r="AT484" s="149" t="str">
        <f>IF('Cable Info'!P344="","",CONCATENATE('Cable Info'!P344," - ",'Cable Info'!Q344))</f>
        <v/>
      </c>
      <c r="AW484" s="149" t="str">
        <f t="shared" si="68"/>
        <v/>
      </c>
      <c r="AY484" s="149" t="str">
        <f>IF('Cable Info'!R344="","",CONCATENATE('Cable Info'!R344," - ",'Cable Info'!S344))</f>
        <v/>
      </c>
      <c r="BB484" s="149" t="str">
        <f t="shared" si="69"/>
        <v/>
      </c>
      <c r="BD484" s="149" t="str">
        <f>IF('Cable Info'!T344="","",CONCATENATE('Cable Info'!T344," - ",'Cable Info'!U344))</f>
        <v/>
      </c>
      <c r="BG484" s="149" t="str">
        <f t="shared" si="70"/>
        <v/>
      </c>
      <c r="BI484" s="149" t="str">
        <f>IF('Cable Info'!V344="","",CONCATENATE('Cable Info'!V344," - ",'Cable Info'!W344))</f>
        <v/>
      </c>
      <c r="BL484" s="149" t="str">
        <f t="shared" si="71"/>
        <v/>
      </c>
    </row>
    <row r="485" spans="1:64" x14ac:dyDescent="0.2">
      <c r="A485" s="180"/>
      <c r="B485" s="180"/>
      <c r="C485" s="180"/>
      <c r="D485" s="180"/>
      <c r="E485" s="180"/>
      <c r="F485" s="187"/>
      <c r="G485" s="180"/>
      <c r="H485" s="180"/>
      <c r="I485" s="180"/>
      <c r="J485" s="187"/>
      <c r="K485" s="180"/>
      <c r="L485" s="180"/>
      <c r="M485" s="180"/>
      <c r="N485" s="180"/>
      <c r="O485" s="218"/>
      <c r="P485" s="180"/>
      <c r="Q485" s="188"/>
      <c r="R485" s="180"/>
      <c r="S485" s="180"/>
      <c r="T485" s="180"/>
      <c r="U485" s="180"/>
      <c r="V485" s="180"/>
      <c r="W485" s="180"/>
      <c r="X485" s="201"/>
      <c r="AJ485" s="149" t="str">
        <f>IF('Cable Info'!L345="","",CONCATENATE('Cable Info'!L345," - ",'Cable Info'!M345))</f>
        <v/>
      </c>
      <c r="AM485" s="149" t="str">
        <f t="shared" si="66"/>
        <v/>
      </c>
      <c r="AO485" s="149" t="str">
        <f>IF('Cable Info'!N345="","",CONCATENATE('Cable Info'!N345," - ",'Cable Info'!O345))</f>
        <v/>
      </c>
      <c r="AR485" s="149" t="str">
        <f t="shared" si="67"/>
        <v/>
      </c>
      <c r="AT485" s="149" t="str">
        <f>IF('Cable Info'!P345="","",CONCATENATE('Cable Info'!P345," - ",'Cable Info'!Q345))</f>
        <v/>
      </c>
      <c r="AW485" s="149" t="str">
        <f t="shared" si="68"/>
        <v/>
      </c>
      <c r="AY485" s="149" t="str">
        <f>IF('Cable Info'!R345="","",CONCATENATE('Cable Info'!R345," - ",'Cable Info'!S345))</f>
        <v/>
      </c>
      <c r="BB485" s="149" t="str">
        <f t="shared" si="69"/>
        <v/>
      </c>
      <c r="BD485" s="149" t="str">
        <f>IF('Cable Info'!T345="","",CONCATENATE('Cable Info'!T345," - ",'Cable Info'!U345))</f>
        <v/>
      </c>
      <c r="BG485" s="149" t="str">
        <f t="shared" si="70"/>
        <v/>
      </c>
      <c r="BI485" s="149" t="str">
        <f>IF('Cable Info'!V345="","",CONCATENATE('Cable Info'!V345," - ",'Cable Info'!W345))</f>
        <v/>
      </c>
      <c r="BL485" s="149" t="str">
        <f t="shared" si="71"/>
        <v/>
      </c>
    </row>
    <row r="486" spans="1:64" x14ac:dyDescent="0.2">
      <c r="A486" s="180"/>
      <c r="B486" s="180"/>
      <c r="C486" s="180"/>
      <c r="D486" s="180"/>
      <c r="E486" s="180"/>
      <c r="F486" s="187"/>
      <c r="G486" s="180"/>
      <c r="H486" s="180"/>
      <c r="I486" s="180"/>
      <c r="J486" s="187"/>
      <c r="K486" s="180"/>
      <c r="L486" s="180"/>
      <c r="M486" s="180"/>
      <c r="N486" s="180"/>
      <c r="O486" s="218"/>
      <c r="P486" s="180"/>
      <c r="Q486" s="188"/>
      <c r="R486" s="180"/>
      <c r="S486" s="180"/>
      <c r="T486" s="180"/>
      <c r="U486" s="180"/>
      <c r="V486" s="180"/>
      <c r="W486" s="180"/>
      <c r="X486" s="201"/>
      <c r="AJ486" s="149" t="str">
        <f>IF('Cable Info'!L346="","",CONCATENATE('Cable Info'!L346," - ",'Cable Info'!M346))</f>
        <v/>
      </c>
      <c r="AM486" s="149" t="str">
        <f t="shared" si="66"/>
        <v/>
      </c>
      <c r="AO486" s="149" t="str">
        <f>IF('Cable Info'!N346="","",CONCATENATE('Cable Info'!N346," - ",'Cable Info'!O346))</f>
        <v/>
      </c>
      <c r="AR486" s="149" t="str">
        <f t="shared" si="67"/>
        <v/>
      </c>
      <c r="AT486" s="149" t="str">
        <f>IF('Cable Info'!P346="","",CONCATENATE('Cable Info'!P346," - ",'Cable Info'!Q346))</f>
        <v/>
      </c>
      <c r="AW486" s="149" t="str">
        <f t="shared" si="68"/>
        <v/>
      </c>
      <c r="AY486" s="149" t="str">
        <f>IF('Cable Info'!R346="","",CONCATENATE('Cable Info'!R346," - ",'Cable Info'!S346))</f>
        <v/>
      </c>
      <c r="BB486" s="149" t="str">
        <f t="shared" si="69"/>
        <v/>
      </c>
      <c r="BD486" s="149" t="str">
        <f>IF('Cable Info'!T346="","",CONCATENATE('Cable Info'!T346," - ",'Cable Info'!U346))</f>
        <v/>
      </c>
      <c r="BG486" s="149" t="str">
        <f t="shared" si="70"/>
        <v/>
      </c>
      <c r="BI486" s="149" t="str">
        <f>IF('Cable Info'!V346="","",CONCATENATE('Cable Info'!V346," - ",'Cable Info'!W346))</f>
        <v/>
      </c>
      <c r="BL486" s="149" t="str">
        <f t="shared" si="71"/>
        <v/>
      </c>
    </row>
    <row r="487" spans="1:64" x14ac:dyDescent="0.2">
      <c r="A487" s="180"/>
      <c r="B487" s="180"/>
      <c r="C487" s="180"/>
      <c r="D487" s="180"/>
      <c r="E487" s="180"/>
      <c r="F487" s="187"/>
      <c r="G487" s="180"/>
      <c r="H487" s="180"/>
      <c r="I487" s="180"/>
      <c r="J487" s="187"/>
      <c r="K487" s="180"/>
      <c r="L487" s="180"/>
      <c r="M487" s="180"/>
      <c r="N487" s="180"/>
      <c r="O487" s="218"/>
      <c r="P487" s="180"/>
      <c r="Q487" s="188"/>
      <c r="R487" s="180"/>
      <c r="S487" s="180"/>
      <c r="T487" s="180"/>
      <c r="U487" s="180"/>
      <c r="V487" s="180"/>
      <c r="W487" s="180"/>
      <c r="X487" s="201"/>
      <c r="AJ487" s="149" t="str">
        <f>IF('Cable Info'!L347="","",CONCATENATE('Cable Info'!L347," - ",'Cable Info'!M347))</f>
        <v/>
      </c>
      <c r="AM487" s="149" t="str">
        <f t="shared" si="66"/>
        <v/>
      </c>
      <c r="AO487" s="149" t="str">
        <f>IF('Cable Info'!N347="","",CONCATENATE('Cable Info'!N347," - ",'Cable Info'!O347))</f>
        <v/>
      </c>
      <c r="AR487" s="149" t="str">
        <f t="shared" si="67"/>
        <v/>
      </c>
      <c r="AT487" s="149" t="str">
        <f>IF('Cable Info'!P347="","",CONCATENATE('Cable Info'!P347," - ",'Cable Info'!Q347))</f>
        <v/>
      </c>
      <c r="AW487" s="149" t="str">
        <f t="shared" si="68"/>
        <v/>
      </c>
      <c r="AY487" s="149" t="str">
        <f>IF('Cable Info'!R347="","",CONCATENATE('Cable Info'!R347," - ",'Cable Info'!S347))</f>
        <v/>
      </c>
      <c r="BB487" s="149" t="str">
        <f t="shared" si="69"/>
        <v/>
      </c>
      <c r="BD487" s="149" t="str">
        <f>IF('Cable Info'!T347="","",CONCATENATE('Cable Info'!T347," - ",'Cable Info'!U347))</f>
        <v/>
      </c>
      <c r="BG487" s="149" t="str">
        <f t="shared" si="70"/>
        <v/>
      </c>
      <c r="BI487" s="149" t="str">
        <f>IF('Cable Info'!V347="","",CONCATENATE('Cable Info'!V347," - ",'Cable Info'!W347))</f>
        <v/>
      </c>
      <c r="BL487" s="149" t="str">
        <f t="shared" si="71"/>
        <v/>
      </c>
    </row>
    <row r="488" spans="1:64" x14ac:dyDescent="0.2">
      <c r="A488" s="180"/>
      <c r="B488" s="180"/>
      <c r="C488" s="180"/>
      <c r="D488" s="180"/>
      <c r="E488" s="180"/>
      <c r="F488" s="187"/>
      <c r="G488" s="180"/>
      <c r="H488" s="180"/>
      <c r="I488" s="180"/>
      <c r="J488" s="187"/>
      <c r="K488" s="180"/>
      <c r="L488" s="180"/>
      <c r="M488" s="180"/>
      <c r="N488" s="180"/>
      <c r="O488" s="218"/>
      <c r="P488" s="180"/>
      <c r="Q488" s="188"/>
      <c r="R488" s="180"/>
      <c r="S488" s="180"/>
      <c r="T488" s="180"/>
      <c r="U488" s="180"/>
      <c r="V488" s="180"/>
      <c r="W488" s="180"/>
      <c r="X488" s="201"/>
      <c r="AJ488" s="149" t="str">
        <f>IF('Cable Info'!L348="","",CONCATENATE('Cable Info'!L348," - ",'Cable Info'!M348))</f>
        <v/>
      </c>
      <c r="AM488" s="149" t="str">
        <f t="shared" si="66"/>
        <v/>
      </c>
      <c r="AO488" s="149" t="str">
        <f>IF('Cable Info'!N348="","",CONCATENATE('Cable Info'!N348," - ",'Cable Info'!O348))</f>
        <v/>
      </c>
      <c r="AR488" s="149" t="str">
        <f t="shared" si="67"/>
        <v/>
      </c>
      <c r="AT488" s="149" t="str">
        <f>IF('Cable Info'!P348="","",CONCATENATE('Cable Info'!P348," - ",'Cable Info'!Q348))</f>
        <v/>
      </c>
      <c r="AW488" s="149" t="str">
        <f t="shared" si="68"/>
        <v/>
      </c>
      <c r="AY488" s="149" t="str">
        <f>IF('Cable Info'!R348="","",CONCATENATE('Cable Info'!R348," - ",'Cable Info'!S348))</f>
        <v/>
      </c>
      <c r="BB488" s="149" t="str">
        <f t="shared" si="69"/>
        <v/>
      </c>
      <c r="BD488" s="149" t="str">
        <f>IF('Cable Info'!T348="","",CONCATENATE('Cable Info'!T348," - ",'Cable Info'!U348))</f>
        <v/>
      </c>
      <c r="BG488" s="149" t="str">
        <f t="shared" si="70"/>
        <v/>
      </c>
      <c r="BI488" s="149" t="str">
        <f>IF('Cable Info'!V348="","",CONCATENATE('Cable Info'!V348," - ",'Cable Info'!W348))</f>
        <v/>
      </c>
      <c r="BL488" s="149" t="str">
        <f t="shared" si="71"/>
        <v/>
      </c>
    </row>
    <row r="489" spans="1:64" x14ac:dyDescent="0.2">
      <c r="A489" s="180"/>
      <c r="B489" s="180"/>
      <c r="C489" s="180"/>
      <c r="D489" s="180"/>
      <c r="E489" s="180"/>
      <c r="F489" s="187"/>
      <c r="G489" s="180"/>
      <c r="H489" s="180"/>
      <c r="I489" s="180"/>
      <c r="J489" s="187"/>
      <c r="K489" s="180"/>
      <c r="L489" s="180"/>
      <c r="M489" s="180"/>
      <c r="N489" s="180"/>
      <c r="O489" s="218"/>
      <c r="P489" s="180"/>
      <c r="Q489" s="188"/>
      <c r="R489" s="180"/>
      <c r="S489" s="180"/>
      <c r="T489" s="180"/>
      <c r="U489" s="180"/>
      <c r="V489" s="180"/>
      <c r="W489" s="180"/>
      <c r="X489" s="201"/>
      <c r="AJ489" s="149" t="str">
        <f>IF('Cable Info'!L349="","",CONCATENATE('Cable Info'!L349," - ",'Cable Info'!M349))</f>
        <v/>
      </c>
      <c r="AM489" s="149" t="str">
        <f t="shared" si="66"/>
        <v/>
      </c>
      <c r="AO489" s="149" t="str">
        <f>IF('Cable Info'!N349="","",CONCATENATE('Cable Info'!N349," - ",'Cable Info'!O349))</f>
        <v/>
      </c>
      <c r="AR489" s="149" t="str">
        <f t="shared" si="67"/>
        <v/>
      </c>
      <c r="AT489" s="149" t="str">
        <f>IF('Cable Info'!P349="","",CONCATENATE('Cable Info'!P349," - ",'Cable Info'!Q349))</f>
        <v/>
      </c>
      <c r="AW489" s="149" t="str">
        <f t="shared" si="68"/>
        <v/>
      </c>
      <c r="AY489" s="149" t="str">
        <f>IF('Cable Info'!R349="","",CONCATENATE('Cable Info'!R349," - ",'Cable Info'!S349))</f>
        <v/>
      </c>
      <c r="BB489" s="149" t="str">
        <f t="shared" si="69"/>
        <v/>
      </c>
      <c r="BD489" s="149" t="str">
        <f>IF('Cable Info'!T349="","",CONCATENATE('Cable Info'!T349," - ",'Cable Info'!U349))</f>
        <v/>
      </c>
      <c r="BG489" s="149" t="str">
        <f t="shared" si="70"/>
        <v/>
      </c>
      <c r="BI489" s="149" t="str">
        <f>IF('Cable Info'!V349="","",CONCATENATE('Cable Info'!V349," - ",'Cable Info'!W349))</f>
        <v/>
      </c>
      <c r="BL489" s="149" t="str">
        <f t="shared" si="71"/>
        <v/>
      </c>
    </row>
    <row r="490" spans="1:64" x14ac:dyDescent="0.2">
      <c r="A490" s="180"/>
      <c r="B490" s="180"/>
      <c r="C490" s="180"/>
      <c r="D490" s="180"/>
      <c r="E490" s="180"/>
      <c r="F490" s="187"/>
      <c r="G490" s="180"/>
      <c r="H490" s="180"/>
      <c r="I490" s="180"/>
      <c r="J490" s="187"/>
      <c r="K490" s="180"/>
      <c r="L490" s="180"/>
      <c r="M490" s="180"/>
      <c r="N490" s="180"/>
      <c r="O490" s="218"/>
      <c r="P490" s="180"/>
      <c r="Q490" s="188"/>
      <c r="R490" s="180"/>
      <c r="S490" s="180"/>
      <c r="T490" s="180"/>
      <c r="U490" s="180"/>
      <c r="V490" s="180"/>
      <c r="W490" s="180"/>
      <c r="X490" s="201"/>
      <c r="AJ490" s="149" t="str">
        <f>IF('Cable Info'!L350="","",CONCATENATE('Cable Info'!L350," - ",'Cable Info'!M350))</f>
        <v/>
      </c>
      <c r="AM490" s="149" t="str">
        <f t="shared" si="66"/>
        <v/>
      </c>
      <c r="AO490" s="149" t="str">
        <f>IF('Cable Info'!N350="","",CONCATENATE('Cable Info'!N350," - ",'Cable Info'!O350))</f>
        <v/>
      </c>
      <c r="AR490" s="149" t="str">
        <f t="shared" si="67"/>
        <v/>
      </c>
      <c r="AT490" s="149" t="str">
        <f>IF('Cable Info'!P350="","",CONCATENATE('Cable Info'!P350," - ",'Cable Info'!Q350))</f>
        <v/>
      </c>
      <c r="AW490" s="149" t="str">
        <f t="shared" si="68"/>
        <v/>
      </c>
      <c r="AY490" s="149" t="str">
        <f>IF('Cable Info'!R350="","",CONCATENATE('Cable Info'!R350," - ",'Cable Info'!S350))</f>
        <v/>
      </c>
      <c r="BB490" s="149" t="str">
        <f t="shared" si="69"/>
        <v/>
      </c>
      <c r="BD490" s="149" t="str">
        <f>IF('Cable Info'!T350="","",CONCATENATE('Cable Info'!T350," - ",'Cable Info'!U350))</f>
        <v/>
      </c>
      <c r="BG490" s="149" t="str">
        <f t="shared" si="70"/>
        <v/>
      </c>
      <c r="BI490" s="149" t="str">
        <f>IF('Cable Info'!V350="","",CONCATENATE('Cable Info'!V350," - ",'Cable Info'!W350))</f>
        <v/>
      </c>
      <c r="BL490" s="149" t="str">
        <f t="shared" si="71"/>
        <v/>
      </c>
    </row>
    <row r="491" spans="1:64" x14ac:dyDescent="0.2">
      <c r="A491" s="180"/>
      <c r="B491" s="180"/>
      <c r="C491" s="180"/>
      <c r="D491" s="180"/>
      <c r="E491" s="180"/>
      <c r="F491" s="187"/>
      <c r="G491" s="180"/>
      <c r="H491" s="180"/>
      <c r="I491" s="180"/>
      <c r="J491" s="187"/>
      <c r="K491" s="180"/>
      <c r="L491" s="180"/>
      <c r="M491" s="180"/>
      <c r="N491" s="180"/>
      <c r="O491" s="218"/>
      <c r="P491" s="180"/>
      <c r="Q491" s="188"/>
      <c r="R491" s="180"/>
      <c r="S491" s="180"/>
      <c r="T491" s="180"/>
      <c r="U491" s="180"/>
      <c r="V491" s="180"/>
      <c r="W491" s="180"/>
      <c r="X491" s="201"/>
      <c r="AJ491" s="149" t="str">
        <f>IF('Cable Info'!L351="","",CONCATENATE('Cable Info'!L351," - ",'Cable Info'!M351))</f>
        <v/>
      </c>
      <c r="AM491" s="149" t="str">
        <f t="shared" si="66"/>
        <v/>
      </c>
      <c r="AO491" s="149" t="str">
        <f>IF('Cable Info'!N351="","",CONCATENATE('Cable Info'!N351," - ",'Cable Info'!O351))</f>
        <v/>
      </c>
      <c r="AR491" s="149" t="str">
        <f t="shared" si="67"/>
        <v/>
      </c>
      <c r="AT491" s="149" t="str">
        <f>IF('Cable Info'!P351="","",CONCATENATE('Cable Info'!P351," - ",'Cable Info'!Q351))</f>
        <v/>
      </c>
      <c r="AW491" s="149" t="str">
        <f t="shared" si="68"/>
        <v/>
      </c>
      <c r="AY491" s="149" t="str">
        <f>IF('Cable Info'!R351="","",CONCATENATE('Cable Info'!R351," - ",'Cable Info'!S351))</f>
        <v/>
      </c>
      <c r="BB491" s="149" t="str">
        <f t="shared" si="69"/>
        <v/>
      </c>
      <c r="BD491" s="149" t="str">
        <f>IF('Cable Info'!T351="","",CONCATENATE('Cable Info'!T351," - ",'Cable Info'!U351))</f>
        <v/>
      </c>
      <c r="BG491" s="149" t="str">
        <f t="shared" si="70"/>
        <v/>
      </c>
      <c r="BI491" s="149" t="str">
        <f>IF('Cable Info'!V351="","",CONCATENATE('Cable Info'!V351," - ",'Cable Info'!W351))</f>
        <v/>
      </c>
      <c r="BL491" s="149" t="str">
        <f t="shared" si="71"/>
        <v/>
      </c>
    </row>
    <row r="492" spans="1:64" x14ac:dyDescent="0.2">
      <c r="A492" s="180"/>
      <c r="B492" s="180"/>
      <c r="C492" s="180"/>
      <c r="D492" s="180"/>
      <c r="E492" s="180"/>
      <c r="F492" s="187"/>
      <c r="G492" s="180"/>
      <c r="H492" s="180"/>
      <c r="I492" s="180"/>
      <c r="J492" s="187"/>
      <c r="K492" s="180"/>
      <c r="L492" s="180"/>
      <c r="M492" s="180"/>
      <c r="N492" s="180"/>
      <c r="O492" s="218"/>
      <c r="P492" s="180"/>
      <c r="Q492" s="188"/>
      <c r="R492" s="180"/>
      <c r="S492" s="180"/>
      <c r="T492" s="180"/>
      <c r="U492" s="180"/>
      <c r="V492" s="180"/>
      <c r="W492" s="180"/>
      <c r="X492" s="201"/>
      <c r="AJ492" s="149" t="str">
        <f>IF('Cable Info'!L352="","",CONCATENATE('Cable Info'!L352," - ",'Cable Info'!M352))</f>
        <v/>
      </c>
      <c r="AM492" s="149" t="str">
        <f t="shared" si="66"/>
        <v/>
      </c>
      <c r="AO492" s="149" t="str">
        <f>IF('Cable Info'!N352="","",CONCATENATE('Cable Info'!N352," - ",'Cable Info'!O352))</f>
        <v/>
      </c>
      <c r="AR492" s="149" t="str">
        <f t="shared" si="67"/>
        <v/>
      </c>
      <c r="AT492" s="149" t="str">
        <f>IF('Cable Info'!P352="","",CONCATENATE('Cable Info'!P352," - ",'Cable Info'!Q352))</f>
        <v/>
      </c>
      <c r="AW492" s="149" t="str">
        <f t="shared" si="68"/>
        <v/>
      </c>
      <c r="AY492" s="149" t="str">
        <f>IF('Cable Info'!R352="","",CONCATENATE('Cable Info'!R352," - ",'Cable Info'!S352))</f>
        <v/>
      </c>
      <c r="BB492" s="149" t="str">
        <f t="shared" si="69"/>
        <v/>
      </c>
      <c r="BD492" s="149" t="str">
        <f>IF('Cable Info'!T352="","",CONCATENATE('Cable Info'!T352," - ",'Cable Info'!U352))</f>
        <v/>
      </c>
      <c r="BG492" s="149" t="str">
        <f t="shared" si="70"/>
        <v/>
      </c>
      <c r="BI492" s="149" t="str">
        <f>IF('Cable Info'!V352="","",CONCATENATE('Cable Info'!V352," - ",'Cable Info'!W352))</f>
        <v/>
      </c>
      <c r="BL492" s="149" t="str">
        <f t="shared" si="71"/>
        <v/>
      </c>
    </row>
    <row r="493" spans="1:64" x14ac:dyDescent="0.2">
      <c r="A493" s="180"/>
      <c r="B493" s="180"/>
      <c r="C493" s="180"/>
      <c r="D493" s="180"/>
      <c r="E493" s="180"/>
      <c r="F493" s="187"/>
      <c r="G493" s="180"/>
      <c r="H493" s="180"/>
      <c r="I493" s="180"/>
      <c r="J493" s="187"/>
      <c r="K493" s="180"/>
      <c r="L493" s="180"/>
      <c r="M493" s="180"/>
      <c r="N493" s="180"/>
      <c r="O493" s="218"/>
      <c r="P493" s="180"/>
      <c r="Q493" s="188"/>
      <c r="R493" s="180"/>
      <c r="S493" s="180"/>
      <c r="T493" s="180"/>
      <c r="U493" s="180"/>
      <c r="V493" s="180"/>
      <c r="W493" s="180"/>
      <c r="X493" s="201"/>
      <c r="AJ493" s="149" t="str">
        <f>IF('Cable Info'!L353="","",CONCATENATE('Cable Info'!L353," - ",'Cable Info'!M353))</f>
        <v/>
      </c>
      <c r="AM493" s="149" t="str">
        <f t="shared" si="66"/>
        <v/>
      </c>
      <c r="AO493" s="149" t="str">
        <f>IF('Cable Info'!N353="","",CONCATENATE('Cable Info'!N353," - ",'Cable Info'!O353))</f>
        <v/>
      </c>
      <c r="AR493" s="149" t="str">
        <f t="shared" si="67"/>
        <v/>
      </c>
      <c r="AT493" s="149" t="str">
        <f>IF('Cable Info'!P353="","",CONCATENATE('Cable Info'!P353," - ",'Cable Info'!Q353))</f>
        <v/>
      </c>
      <c r="AW493" s="149" t="str">
        <f t="shared" si="68"/>
        <v/>
      </c>
      <c r="AY493" s="149" t="str">
        <f>IF('Cable Info'!R353="","",CONCATENATE('Cable Info'!R353," - ",'Cable Info'!S353))</f>
        <v/>
      </c>
      <c r="BB493" s="149" t="str">
        <f t="shared" si="69"/>
        <v/>
      </c>
      <c r="BD493" s="149" t="str">
        <f>IF('Cable Info'!T353="","",CONCATENATE('Cable Info'!T353," - ",'Cable Info'!U353))</f>
        <v/>
      </c>
      <c r="BG493" s="149" t="str">
        <f t="shared" si="70"/>
        <v/>
      </c>
      <c r="BI493" s="149" t="str">
        <f>IF('Cable Info'!V353="","",CONCATENATE('Cable Info'!V353," - ",'Cable Info'!W353))</f>
        <v/>
      </c>
      <c r="BL493" s="149" t="str">
        <f t="shared" si="71"/>
        <v/>
      </c>
    </row>
    <row r="494" spans="1:64" x14ac:dyDescent="0.2">
      <c r="A494" s="180"/>
      <c r="B494" s="180"/>
      <c r="C494" s="180"/>
      <c r="D494" s="180"/>
      <c r="E494" s="180"/>
      <c r="F494" s="187"/>
      <c r="G494" s="180"/>
      <c r="H494" s="180"/>
      <c r="I494" s="180"/>
      <c r="J494" s="187"/>
      <c r="K494" s="180"/>
      <c r="L494" s="180"/>
      <c r="M494" s="180"/>
      <c r="N494" s="180"/>
      <c r="O494" s="218"/>
      <c r="P494" s="180"/>
      <c r="Q494" s="188"/>
      <c r="R494" s="180"/>
      <c r="S494" s="180"/>
      <c r="T494" s="180"/>
      <c r="U494" s="180"/>
      <c r="V494" s="180"/>
      <c r="W494" s="180"/>
      <c r="X494" s="201"/>
      <c r="AJ494" s="149" t="str">
        <f>IF('Cable Info'!L354="","",CONCATENATE('Cable Info'!L354," - ",'Cable Info'!M354))</f>
        <v/>
      </c>
      <c r="AM494" s="149" t="str">
        <f t="shared" si="66"/>
        <v/>
      </c>
      <c r="AO494" s="149" t="str">
        <f>IF('Cable Info'!N354="","",CONCATENATE('Cable Info'!N354," - ",'Cable Info'!O354))</f>
        <v/>
      </c>
      <c r="AR494" s="149" t="str">
        <f t="shared" si="67"/>
        <v/>
      </c>
      <c r="AT494" s="149" t="str">
        <f>IF('Cable Info'!P354="","",CONCATENATE('Cable Info'!P354," - ",'Cable Info'!Q354))</f>
        <v/>
      </c>
      <c r="AW494" s="149" t="str">
        <f t="shared" si="68"/>
        <v/>
      </c>
      <c r="AY494" s="149" t="str">
        <f>IF('Cable Info'!R354="","",CONCATENATE('Cable Info'!R354," - ",'Cable Info'!S354))</f>
        <v/>
      </c>
      <c r="BB494" s="149" t="str">
        <f t="shared" si="69"/>
        <v/>
      </c>
      <c r="BD494" s="149" t="str">
        <f>IF('Cable Info'!T354="","",CONCATENATE('Cable Info'!T354," - ",'Cable Info'!U354))</f>
        <v/>
      </c>
      <c r="BG494" s="149" t="str">
        <f t="shared" si="70"/>
        <v/>
      </c>
      <c r="BI494" s="149" t="str">
        <f>IF('Cable Info'!V354="","",CONCATENATE('Cable Info'!V354," - ",'Cable Info'!W354))</f>
        <v/>
      </c>
      <c r="BL494" s="149" t="str">
        <f t="shared" si="71"/>
        <v/>
      </c>
    </row>
    <row r="495" spans="1:64" x14ac:dyDescent="0.2">
      <c r="A495" s="180"/>
      <c r="B495" s="180"/>
      <c r="C495" s="180"/>
      <c r="D495" s="180"/>
      <c r="E495" s="180"/>
      <c r="F495" s="187"/>
      <c r="G495" s="180"/>
      <c r="H495" s="180"/>
      <c r="I495" s="180"/>
      <c r="J495" s="187"/>
      <c r="K495" s="180"/>
      <c r="L495" s="180"/>
      <c r="M495" s="180"/>
      <c r="N495" s="180"/>
      <c r="O495" s="218"/>
      <c r="P495" s="180"/>
      <c r="Q495" s="188"/>
      <c r="R495" s="180"/>
      <c r="S495" s="180"/>
      <c r="T495" s="180"/>
      <c r="U495" s="180"/>
      <c r="V495" s="180"/>
      <c r="W495" s="180"/>
      <c r="X495" s="201"/>
      <c r="AJ495" s="149" t="str">
        <f>IF('Cable Info'!L355="","",CONCATENATE('Cable Info'!L355," - ",'Cable Info'!M355))</f>
        <v/>
      </c>
      <c r="AM495" s="149" t="str">
        <f t="shared" si="66"/>
        <v/>
      </c>
      <c r="AO495" s="149" t="str">
        <f>IF('Cable Info'!N355="","",CONCATENATE('Cable Info'!N355," - ",'Cable Info'!O355))</f>
        <v/>
      </c>
      <c r="AR495" s="149" t="str">
        <f t="shared" si="67"/>
        <v/>
      </c>
      <c r="AT495" s="149" t="str">
        <f>IF('Cable Info'!P355="","",CONCATENATE('Cable Info'!P355," - ",'Cable Info'!Q355))</f>
        <v/>
      </c>
      <c r="AW495" s="149" t="str">
        <f t="shared" si="68"/>
        <v/>
      </c>
      <c r="AY495" s="149" t="str">
        <f>IF('Cable Info'!R355="","",CONCATENATE('Cable Info'!R355," - ",'Cable Info'!S355))</f>
        <v/>
      </c>
      <c r="BB495" s="149" t="str">
        <f t="shared" si="69"/>
        <v/>
      </c>
      <c r="BD495" s="149" t="str">
        <f>IF('Cable Info'!T355="","",CONCATENATE('Cable Info'!T355," - ",'Cable Info'!U355))</f>
        <v/>
      </c>
      <c r="BG495" s="149" t="str">
        <f t="shared" si="70"/>
        <v/>
      </c>
      <c r="BI495" s="149" t="str">
        <f>IF('Cable Info'!V355="","",CONCATENATE('Cable Info'!V355," - ",'Cable Info'!W355))</f>
        <v/>
      </c>
      <c r="BL495" s="149" t="str">
        <f t="shared" si="71"/>
        <v/>
      </c>
    </row>
    <row r="496" spans="1:64" x14ac:dyDescent="0.2">
      <c r="A496" s="180"/>
      <c r="B496" s="180"/>
      <c r="C496" s="180"/>
      <c r="D496" s="180"/>
      <c r="E496" s="180"/>
      <c r="F496" s="187"/>
      <c r="G496" s="180"/>
      <c r="H496" s="180"/>
      <c r="I496" s="180"/>
      <c r="J496" s="187"/>
      <c r="K496" s="180"/>
      <c r="L496" s="180"/>
      <c r="M496" s="180"/>
      <c r="N496" s="180"/>
      <c r="O496" s="218"/>
      <c r="P496" s="180"/>
      <c r="Q496" s="188"/>
      <c r="R496" s="180"/>
      <c r="S496" s="180"/>
      <c r="T496" s="180"/>
      <c r="U496" s="180"/>
      <c r="V496" s="180"/>
      <c r="W496" s="180"/>
      <c r="X496" s="201"/>
      <c r="AJ496" s="149" t="str">
        <f>IF('Cable Info'!L356="","",CONCATENATE('Cable Info'!L356," - ",'Cable Info'!M356))</f>
        <v/>
      </c>
      <c r="AM496" s="149" t="str">
        <f t="shared" si="66"/>
        <v/>
      </c>
      <c r="AO496" s="149" t="str">
        <f>IF('Cable Info'!N356="","",CONCATENATE('Cable Info'!N356," - ",'Cable Info'!O356))</f>
        <v/>
      </c>
      <c r="AR496" s="149" t="str">
        <f t="shared" si="67"/>
        <v/>
      </c>
      <c r="AT496" s="149" t="str">
        <f>IF('Cable Info'!P356="","",CONCATENATE('Cable Info'!P356," - ",'Cable Info'!Q356))</f>
        <v/>
      </c>
      <c r="AW496" s="149" t="str">
        <f t="shared" si="68"/>
        <v/>
      </c>
      <c r="AY496" s="149" t="str">
        <f>IF('Cable Info'!R356="","",CONCATENATE('Cable Info'!R356," - ",'Cable Info'!S356))</f>
        <v/>
      </c>
      <c r="BB496" s="149" t="str">
        <f t="shared" si="69"/>
        <v/>
      </c>
      <c r="BD496" s="149" t="str">
        <f>IF('Cable Info'!T356="","",CONCATENATE('Cable Info'!T356," - ",'Cable Info'!U356))</f>
        <v/>
      </c>
      <c r="BG496" s="149" t="str">
        <f t="shared" si="70"/>
        <v/>
      </c>
      <c r="BI496" s="149" t="str">
        <f>IF('Cable Info'!V356="","",CONCATENATE('Cable Info'!V356," - ",'Cable Info'!W356))</f>
        <v/>
      </c>
      <c r="BL496" s="149" t="str">
        <f t="shared" si="71"/>
        <v/>
      </c>
    </row>
    <row r="497" spans="1:64" x14ac:dyDescent="0.2">
      <c r="A497" s="180"/>
      <c r="B497" s="180"/>
      <c r="C497" s="180"/>
      <c r="D497" s="180"/>
      <c r="E497" s="180"/>
      <c r="F497" s="187"/>
      <c r="G497" s="180"/>
      <c r="H497" s="180"/>
      <c r="I497" s="180"/>
      <c r="J497" s="187"/>
      <c r="K497" s="180"/>
      <c r="L497" s="180"/>
      <c r="M497" s="180"/>
      <c r="N497" s="180"/>
      <c r="O497" s="218"/>
      <c r="P497" s="180"/>
      <c r="Q497" s="188"/>
      <c r="R497" s="180"/>
      <c r="S497" s="180"/>
      <c r="T497" s="180"/>
      <c r="U497" s="180"/>
      <c r="V497" s="180"/>
      <c r="W497" s="180"/>
      <c r="X497" s="201"/>
      <c r="AJ497" s="149" t="str">
        <f>IF('Cable Info'!L357="","",CONCATENATE('Cable Info'!L357," - ",'Cable Info'!M357))</f>
        <v/>
      </c>
      <c r="AM497" s="149" t="str">
        <f t="shared" si="66"/>
        <v/>
      </c>
      <c r="AO497" s="149" t="str">
        <f>IF('Cable Info'!N357="","",CONCATENATE('Cable Info'!N357," - ",'Cable Info'!O357))</f>
        <v/>
      </c>
      <c r="AR497" s="149" t="str">
        <f t="shared" si="67"/>
        <v/>
      </c>
      <c r="AT497" s="149" t="str">
        <f>IF('Cable Info'!P357="","",CONCATENATE('Cable Info'!P357," - ",'Cable Info'!Q357))</f>
        <v/>
      </c>
      <c r="AW497" s="149" t="str">
        <f t="shared" si="68"/>
        <v/>
      </c>
      <c r="AY497" s="149" t="str">
        <f>IF('Cable Info'!R357="","",CONCATENATE('Cable Info'!R357," - ",'Cable Info'!S357))</f>
        <v/>
      </c>
      <c r="BB497" s="149" t="str">
        <f t="shared" si="69"/>
        <v/>
      </c>
      <c r="BD497" s="149" t="str">
        <f>IF('Cable Info'!T357="","",CONCATENATE('Cable Info'!T357," - ",'Cable Info'!U357))</f>
        <v/>
      </c>
      <c r="BG497" s="149" t="str">
        <f t="shared" si="70"/>
        <v/>
      </c>
      <c r="BI497" s="149" t="str">
        <f>IF('Cable Info'!V357="","",CONCATENATE('Cable Info'!V357," - ",'Cable Info'!W357))</f>
        <v/>
      </c>
      <c r="BL497" s="149" t="str">
        <f t="shared" si="71"/>
        <v/>
      </c>
    </row>
    <row r="498" spans="1:64" x14ac:dyDescent="0.2">
      <c r="A498" s="180"/>
      <c r="B498" s="180"/>
      <c r="C498" s="180"/>
      <c r="D498" s="180"/>
      <c r="E498" s="180"/>
      <c r="F498" s="187"/>
      <c r="G498" s="180"/>
      <c r="H498" s="180"/>
      <c r="I498" s="180"/>
      <c r="J498" s="187"/>
      <c r="K498" s="180"/>
      <c r="L498" s="180"/>
      <c r="M498" s="180"/>
      <c r="N498" s="180"/>
      <c r="O498" s="218"/>
      <c r="P498" s="180"/>
      <c r="Q498" s="188"/>
      <c r="R498" s="180"/>
      <c r="S498" s="180"/>
      <c r="T498" s="180"/>
      <c r="U498" s="180"/>
      <c r="V498" s="180"/>
      <c r="W498" s="180"/>
      <c r="X498" s="201"/>
      <c r="AJ498" s="149" t="str">
        <f>IF('Cable Info'!L358="","",CONCATENATE('Cable Info'!L358," - ",'Cable Info'!M358))</f>
        <v/>
      </c>
      <c r="AM498" s="149" t="str">
        <f t="shared" si="66"/>
        <v/>
      </c>
      <c r="AO498" s="149" t="str">
        <f>IF('Cable Info'!N358="","",CONCATENATE('Cable Info'!N358," - ",'Cable Info'!O358))</f>
        <v/>
      </c>
      <c r="AR498" s="149" t="str">
        <f t="shared" si="67"/>
        <v/>
      </c>
      <c r="AT498" s="149" t="str">
        <f>IF('Cable Info'!P358="","",CONCATENATE('Cable Info'!P358," - ",'Cable Info'!Q358))</f>
        <v/>
      </c>
      <c r="AW498" s="149" t="str">
        <f t="shared" si="68"/>
        <v/>
      </c>
      <c r="AY498" s="149" t="str">
        <f>IF('Cable Info'!R358="","",CONCATENATE('Cable Info'!R358," - ",'Cable Info'!S358))</f>
        <v/>
      </c>
      <c r="BB498" s="149" t="str">
        <f t="shared" si="69"/>
        <v/>
      </c>
      <c r="BD498" s="149" t="str">
        <f>IF('Cable Info'!T358="","",CONCATENATE('Cable Info'!T358," - ",'Cable Info'!U358))</f>
        <v/>
      </c>
      <c r="BG498" s="149" t="str">
        <f t="shared" si="70"/>
        <v/>
      </c>
      <c r="BI498" s="149" t="str">
        <f>IF('Cable Info'!V358="","",CONCATENATE('Cable Info'!V358," - ",'Cable Info'!W358))</f>
        <v/>
      </c>
      <c r="BL498" s="149" t="str">
        <f t="shared" si="71"/>
        <v/>
      </c>
    </row>
    <row r="499" spans="1:64" x14ac:dyDescent="0.2">
      <c r="A499" s="180"/>
      <c r="B499" s="180"/>
      <c r="C499" s="180"/>
      <c r="D499" s="180"/>
      <c r="E499" s="180"/>
      <c r="F499" s="187"/>
      <c r="G499" s="180"/>
      <c r="H499" s="180"/>
      <c r="I499" s="180"/>
      <c r="J499" s="187"/>
      <c r="K499" s="180"/>
      <c r="L499" s="180"/>
      <c r="M499" s="180"/>
      <c r="N499" s="180"/>
      <c r="O499" s="218"/>
      <c r="P499" s="180"/>
      <c r="Q499" s="188"/>
      <c r="R499" s="180"/>
      <c r="S499" s="180"/>
      <c r="T499" s="180"/>
      <c r="U499" s="180"/>
      <c r="V499" s="180"/>
      <c r="W499" s="180"/>
      <c r="X499" s="201"/>
      <c r="AJ499" s="149" t="str">
        <f>IF('Cable Info'!L359="","",CONCATENATE('Cable Info'!L359," - ",'Cable Info'!M359))</f>
        <v/>
      </c>
      <c r="AM499" s="149" t="str">
        <f t="shared" si="66"/>
        <v/>
      </c>
      <c r="AO499" s="149" t="str">
        <f>IF('Cable Info'!N359="","",CONCATENATE('Cable Info'!N359," - ",'Cable Info'!O359))</f>
        <v/>
      </c>
      <c r="AR499" s="149" t="str">
        <f t="shared" si="67"/>
        <v/>
      </c>
      <c r="AT499" s="149" t="str">
        <f>IF('Cable Info'!P359="","",CONCATENATE('Cable Info'!P359," - ",'Cable Info'!Q359))</f>
        <v/>
      </c>
      <c r="AW499" s="149" t="str">
        <f t="shared" si="68"/>
        <v/>
      </c>
      <c r="AY499" s="149" t="str">
        <f>IF('Cable Info'!R359="","",CONCATENATE('Cable Info'!R359," - ",'Cable Info'!S359))</f>
        <v/>
      </c>
      <c r="BB499" s="149" t="str">
        <f t="shared" si="69"/>
        <v/>
      </c>
      <c r="BD499" s="149" t="str">
        <f>IF('Cable Info'!T359="","",CONCATENATE('Cable Info'!T359," - ",'Cable Info'!U359))</f>
        <v/>
      </c>
      <c r="BG499" s="149" t="str">
        <f t="shared" si="70"/>
        <v/>
      </c>
      <c r="BI499" s="149" t="str">
        <f>IF('Cable Info'!V359="","",CONCATENATE('Cable Info'!V359," - ",'Cable Info'!W359))</f>
        <v/>
      </c>
      <c r="BL499" s="149" t="str">
        <f t="shared" si="71"/>
        <v/>
      </c>
    </row>
    <row r="500" spans="1:64" x14ac:dyDescent="0.2">
      <c r="A500" s="180"/>
      <c r="B500" s="180"/>
      <c r="C500" s="180"/>
      <c r="D500" s="180"/>
      <c r="E500" s="180"/>
      <c r="F500" s="187"/>
      <c r="G500" s="180"/>
      <c r="H500" s="180"/>
      <c r="I500" s="180"/>
      <c r="J500" s="187"/>
      <c r="K500" s="180"/>
      <c r="L500" s="180"/>
      <c r="M500" s="180"/>
      <c r="N500" s="180"/>
      <c r="O500" s="218"/>
      <c r="P500" s="180"/>
      <c r="Q500" s="188"/>
      <c r="R500" s="180"/>
      <c r="S500" s="180"/>
      <c r="T500" s="180"/>
      <c r="U500" s="180"/>
      <c r="V500" s="180"/>
      <c r="W500" s="180"/>
      <c r="X500" s="201"/>
      <c r="AJ500" s="149" t="str">
        <f>IF('Cable Info'!L360="","",CONCATENATE('Cable Info'!L360," - ",'Cable Info'!M360))</f>
        <v/>
      </c>
      <c r="AM500" s="149" t="str">
        <f t="shared" si="66"/>
        <v/>
      </c>
      <c r="AO500" s="149" t="str">
        <f>IF('Cable Info'!N360="","",CONCATENATE('Cable Info'!N360," - ",'Cable Info'!O360))</f>
        <v/>
      </c>
      <c r="AR500" s="149" t="str">
        <f t="shared" si="67"/>
        <v/>
      </c>
      <c r="AT500" s="149" t="str">
        <f>IF('Cable Info'!P360="","",CONCATENATE('Cable Info'!P360," - ",'Cable Info'!Q360))</f>
        <v/>
      </c>
      <c r="AW500" s="149" t="str">
        <f t="shared" si="68"/>
        <v/>
      </c>
      <c r="AY500" s="149" t="str">
        <f>IF('Cable Info'!R360="","",CONCATENATE('Cable Info'!R360," - ",'Cable Info'!S360))</f>
        <v/>
      </c>
      <c r="BB500" s="149" t="str">
        <f t="shared" si="69"/>
        <v/>
      </c>
      <c r="BD500" s="149" t="str">
        <f>IF('Cable Info'!T360="","",CONCATENATE('Cable Info'!T360," - ",'Cable Info'!U360))</f>
        <v/>
      </c>
      <c r="BG500" s="149" t="str">
        <f t="shared" si="70"/>
        <v/>
      </c>
      <c r="BI500" s="149" t="str">
        <f>IF('Cable Info'!V360="","",CONCATENATE('Cable Info'!V360," - ",'Cable Info'!W360))</f>
        <v/>
      </c>
      <c r="BL500" s="149" t="str">
        <f t="shared" si="71"/>
        <v/>
      </c>
    </row>
    <row r="501" spans="1:64" x14ac:dyDescent="0.2">
      <c r="A501" s="180"/>
      <c r="B501" s="180"/>
      <c r="C501" s="180"/>
      <c r="D501" s="180"/>
      <c r="E501" s="180"/>
      <c r="F501" s="187"/>
      <c r="G501" s="180"/>
      <c r="H501" s="180"/>
      <c r="I501" s="180"/>
      <c r="J501" s="187"/>
      <c r="K501" s="180"/>
      <c r="L501" s="180"/>
      <c r="M501" s="180"/>
      <c r="N501" s="180"/>
      <c r="O501" s="218"/>
      <c r="P501" s="180"/>
      <c r="Q501" s="188"/>
      <c r="R501" s="180"/>
      <c r="S501" s="180"/>
      <c r="T501" s="180"/>
      <c r="U501" s="180"/>
      <c r="V501" s="180"/>
      <c r="W501" s="180"/>
      <c r="X501" s="201"/>
      <c r="AJ501" s="149" t="str">
        <f>IF('Cable Info'!L361="","",CONCATENATE('Cable Info'!L361," - ",'Cable Info'!M361))</f>
        <v/>
      </c>
      <c r="AM501" s="149" t="str">
        <f t="shared" si="66"/>
        <v/>
      </c>
      <c r="AO501" s="149" t="str">
        <f>IF('Cable Info'!N361="","",CONCATENATE('Cable Info'!N361," - ",'Cable Info'!O361))</f>
        <v/>
      </c>
      <c r="AR501" s="149" t="str">
        <f t="shared" si="67"/>
        <v/>
      </c>
      <c r="AT501" s="149" t="str">
        <f>IF('Cable Info'!P361="","",CONCATENATE('Cable Info'!P361," - ",'Cable Info'!Q361))</f>
        <v/>
      </c>
      <c r="AW501" s="149" t="str">
        <f t="shared" si="68"/>
        <v/>
      </c>
      <c r="AY501" s="149" t="str">
        <f>IF('Cable Info'!R361="","",CONCATENATE('Cable Info'!R361," - ",'Cable Info'!S361))</f>
        <v/>
      </c>
      <c r="BB501" s="149" t="str">
        <f t="shared" si="69"/>
        <v/>
      </c>
      <c r="BD501" s="149" t="str">
        <f>IF('Cable Info'!T361="","",CONCATENATE('Cable Info'!T361," - ",'Cable Info'!U361))</f>
        <v/>
      </c>
      <c r="BG501" s="149" t="str">
        <f t="shared" si="70"/>
        <v/>
      </c>
      <c r="BI501" s="149" t="str">
        <f>IF('Cable Info'!V361="","",CONCATENATE('Cable Info'!V361," - ",'Cable Info'!W361))</f>
        <v/>
      </c>
      <c r="BL501" s="149" t="str">
        <f t="shared" si="71"/>
        <v/>
      </c>
    </row>
    <row r="502" spans="1:64" x14ac:dyDescent="0.2">
      <c r="A502" s="180"/>
      <c r="B502" s="180"/>
      <c r="C502" s="180"/>
      <c r="D502" s="180"/>
      <c r="E502" s="180"/>
      <c r="F502" s="187"/>
      <c r="G502" s="180"/>
      <c r="H502" s="180"/>
      <c r="I502" s="180"/>
      <c r="J502" s="187"/>
      <c r="K502" s="180"/>
      <c r="L502" s="180"/>
      <c r="M502" s="180"/>
      <c r="N502" s="180"/>
      <c r="O502" s="218"/>
      <c r="P502" s="180"/>
      <c r="Q502" s="188"/>
      <c r="R502" s="180"/>
      <c r="S502" s="180"/>
      <c r="T502" s="180"/>
      <c r="U502" s="180"/>
      <c r="V502" s="180"/>
      <c r="W502" s="180"/>
      <c r="X502" s="201"/>
      <c r="AJ502" s="149" t="str">
        <f>IF('Cable Info'!L362="","",CONCATENATE('Cable Info'!L362," - ",'Cable Info'!M362))</f>
        <v/>
      </c>
      <c r="AM502" s="149" t="str">
        <f t="shared" si="66"/>
        <v/>
      </c>
      <c r="AO502" s="149" t="str">
        <f>IF('Cable Info'!N362="","",CONCATENATE('Cable Info'!N362," - ",'Cable Info'!O362))</f>
        <v/>
      </c>
      <c r="AR502" s="149" t="str">
        <f t="shared" si="67"/>
        <v/>
      </c>
      <c r="AT502" s="149" t="str">
        <f>IF('Cable Info'!P362="","",CONCATENATE('Cable Info'!P362," - ",'Cable Info'!Q362))</f>
        <v/>
      </c>
      <c r="AW502" s="149" t="str">
        <f t="shared" si="68"/>
        <v/>
      </c>
      <c r="AY502" s="149" t="str">
        <f>IF('Cable Info'!R362="","",CONCATENATE('Cable Info'!R362," - ",'Cable Info'!S362))</f>
        <v/>
      </c>
      <c r="BB502" s="149" t="str">
        <f t="shared" si="69"/>
        <v/>
      </c>
      <c r="BD502" s="149" t="str">
        <f>IF('Cable Info'!T362="","",CONCATENATE('Cable Info'!T362," - ",'Cable Info'!U362))</f>
        <v/>
      </c>
      <c r="BG502" s="149" t="str">
        <f t="shared" si="70"/>
        <v/>
      </c>
      <c r="BI502" s="149" t="str">
        <f>IF('Cable Info'!V362="","",CONCATENATE('Cable Info'!V362," - ",'Cable Info'!W362))</f>
        <v/>
      </c>
      <c r="BL502" s="149" t="str">
        <f t="shared" si="71"/>
        <v/>
      </c>
    </row>
    <row r="503" spans="1:64" x14ac:dyDescent="0.2">
      <c r="A503" s="180"/>
      <c r="B503" s="180"/>
      <c r="C503" s="180"/>
      <c r="D503" s="180"/>
      <c r="E503" s="180"/>
      <c r="F503" s="187"/>
      <c r="G503" s="180"/>
      <c r="H503" s="180"/>
      <c r="I503" s="180"/>
      <c r="J503" s="187"/>
      <c r="K503" s="180"/>
      <c r="L503" s="180"/>
      <c r="M503" s="180"/>
      <c r="N503" s="180"/>
      <c r="O503" s="218"/>
      <c r="P503" s="180"/>
      <c r="Q503" s="188"/>
      <c r="R503" s="180"/>
      <c r="S503" s="180"/>
      <c r="T503" s="180"/>
      <c r="U503" s="180"/>
      <c r="V503" s="180"/>
      <c r="W503" s="180"/>
      <c r="X503" s="201"/>
      <c r="AJ503" s="149" t="str">
        <f>IF('Cable Info'!L363="","",CONCATENATE('Cable Info'!L363," - ",'Cable Info'!M363))</f>
        <v/>
      </c>
      <c r="AM503" s="149" t="str">
        <f t="shared" si="66"/>
        <v/>
      </c>
      <c r="AO503" s="149" t="str">
        <f>IF('Cable Info'!N363="","",CONCATENATE('Cable Info'!N363," - ",'Cable Info'!O363))</f>
        <v/>
      </c>
      <c r="AR503" s="149" t="str">
        <f t="shared" si="67"/>
        <v/>
      </c>
      <c r="AT503" s="149" t="str">
        <f>IF('Cable Info'!P363="","",CONCATENATE('Cable Info'!P363," - ",'Cable Info'!Q363))</f>
        <v/>
      </c>
      <c r="AW503" s="149" t="str">
        <f t="shared" si="68"/>
        <v/>
      </c>
      <c r="AY503" s="149" t="str">
        <f>IF('Cable Info'!R363="","",CONCATENATE('Cable Info'!R363," - ",'Cable Info'!S363))</f>
        <v/>
      </c>
      <c r="BB503" s="149" t="str">
        <f t="shared" si="69"/>
        <v/>
      </c>
      <c r="BD503" s="149" t="str">
        <f>IF('Cable Info'!T363="","",CONCATENATE('Cable Info'!T363," - ",'Cable Info'!U363))</f>
        <v/>
      </c>
      <c r="BG503" s="149" t="str">
        <f t="shared" si="70"/>
        <v/>
      </c>
      <c r="BI503" s="149" t="str">
        <f>IF('Cable Info'!V363="","",CONCATENATE('Cable Info'!V363," - ",'Cable Info'!W363))</f>
        <v/>
      </c>
      <c r="BL503" s="149" t="str">
        <f t="shared" si="71"/>
        <v/>
      </c>
    </row>
    <row r="504" spans="1:64" x14ac:dyDescent="0.2">
      <c r="A504" s="180"/>
      <c r="B504" s="180"/>
      <c r="C504" s="180"/>
      <c r="D504" s="180"/>
      <c r="E504" s="180"/>
      <c r="F504" s="187"/>
      <c r="G504" s="180"/>
      <c r="H504" s="180"/>
      <c r="I504" s="180"/>
      <c r="J504" s="187"/>
      <c r="K504" s="180"/>
      <c r="L504" s="180"/>
      <c r="M504" s="180"/>
      <c r="N504" s="180"/>
      <c r="O504" s="218"/>
      <c r="P504" s="180"/>
      <c r="Q504" s="188"/>
      <c r="R504" s="180"/>
      <c r="S504" s="180"/>
      <c r="T504" s="180"/>
      <c r="U504" s="180"/>
      <c r="V504" s="180"/>
      <c r="W504" s="180"/>
      <c r="X504" s="201"/>
      <c r="AJ504" s="149" t="str">
        <f>IF('Cable Info'!L364="","",CONCATENATE('Cable Info'!L364," - ",'Cable Info'!M364))</f>
        <v/>
      </c>
      <c r="AM504" s="149" t="str">
        <f t="shared" si="66"/>
        <v/>
      </c>
      <c r="AO504" s="149" t="str">
        <f>IF('Cable Info'!N364="","",CONCATENATE('Cable Info'!N364," - ",'Cable Info'!O364))</f>
        <v/>
      </c>
      <c r="AR504" s="149" t="str">
        <f t="shared" si="67"/>
        <v/>
      </c>
      <c r="AT504" s="149" t="str">
        <f>IF('Cable Info'!P364="","",CONCATENATE('Cable Info'!P364," - ",'Cable Info'!Q364))</f>
        <v/>
      </c>
      <c r="AW504" s="149" t="str">
        <f t="shared" si="68"/>
        <v/>
      </c>
      <c r="AY504" s="149" t="str">
        <f>IF('Cable Info'!R364="","",CONCATENATE('Cable Info'!R364," - ",'Cable Info'!S364))</f>
        <v/>
      </c>
      <c r="BB504" s="149" t="str">
        <f t="shared" si="69"/>
        <v/>
      </c>
      <c r="BD504" s="149" t="str">
        <f>IF('Cable Info'!T364="","",CONCATENATE('Cable Info'!T364," - ",'Cable Info'!U364))</f>
        <v/>
      </c>
      <c r="BG504" s="149" t="str">
        <f t="shared" si="70"/>
        <v/>
      </c>
      <c r="BI504" s="149" t="str">
        <f>IF('Cable Info'!V364="","",CONCATENATE('Cable Info'!V364," - ",'Cable Info'!W364))</f>
        <v/>
      </c>
      <c r="BL504" s="149" t="str">
        <f t="shared" si="71"/>
        <v/>
      </c>
    </row>
    <row r="505" spans="1:64" x14ac:dyDescent="0.2">
      <c r="A505" s="180"/>
      <c r="B505" s="180"/>
      <c r="C505" s="180"/>
      <c r="D505" s="180"/>
      <c r="E505" s="180"/>
      <c r="F505" s="187"/>
      <c r="G505" s="180"/>
      <c r="H505" s="180"/>
      <c r="I505" s="180"/>
      <c r="J505" s="187"/>
      <c r="K505" s="180"/>
      <c r="L505" s="180"/>
      <c r="M505" s="180"/>
      <c r="N505" s="180"/>
      <c r="O505" s="218"/>
      <c r="P505" s="180"/>
      <c r="Q505" s="188"/>
      <c r="R505" s="180"/>
      <c r="S505" s="180"/>
      <c r="T505" s="180"/>
      <c r="U505" s="180"/>
      <c r="V505" s="180"/>
      <c r="W505" s="180"/>
      <c r="X505" s="201"/>
      <c r="AJ505" s="149" t="str">
        <f>IF('Cable Info'!L365="","",CONCATENATE('Cable Info'!L365," - ",'Cable Info'!M365))</f>
        <v/>
      </c>
      <c r="AM505" s="149" t="str">
        <f t="shared" si="66"/>
        <v/>
      </c>
      <c r="AO505" s="149" t="str">
        <f>IF('Cable Info'!N365="","",CONCATENATE('Cable Info'!N365," - ",'Cable Info'!O365))</f>
        <v/>
      </c>
      <c r="AR505" s="149" t="str">
        <f t="shared" si="67"/>
        <v/>
      </c>
      <c r="AT505" s="149" t="str">
        <f>IF('Cable Info'!P365="","",CONCATENATE('Cable Info'!P365," - ",'Cable Info'!Q365))</f>
        <v/>
      </c>
      <c r="AW505" s="149" t="str">
        <f t="shared" si="68"/>
        <v/>
      </c>
      <c r="AY505" s="149" t="str">
        <f>IF('Cable Info'!R365="","",CONCATENATE('Cable Info'!R365," - ",'Cable Info'!S365))</f>
        <v/>
      </c>
      <c r="BB505" s="149" t="str">
        <f t="shared" si="69"/>
        <v/>
      </c>
      <c r="BD505" s="149" t="str">
        <f>IF('Cable Info'!T365="","",CONCATENATE('Cable Info'!T365," - ",'Cable Info'!U365))</f>
        <v/>
      </c>
      <c r="BG505" s="149" t="str">
        <f t="shared" si="70"/>
        <v/>
      </c>
      <c r="BI505" s="149" t="str">
        <f>IF('Cable Info'!V365="","",CONCATENATE('Cable Info'!V365," - ",'Cable Info'!W365))</f>
        <v/>
      </c>
      <c r="BL505" s="149" t="str">
        <f t="shared" si="71"/>
        <v/>
      </c>
    </row>
    <row r="506" spans="1:64" x14ac:dyDescent="0.2">
      <c r="A506" s="180"/>
      <c r="B506" s="180"/>
      <c r="C506" s="180"/>
      <c r="D506" s="180"/>
      <c r="E506" s="180"/>
      <c r="F506" s="187"/>
      <c r="G506" s="180"/>
      <c r="H506" s="180"/>
      <c r="I506" s="180"/>
      <c r="J506" s="187"/>
      <c r="K506" s="180"/>
      <c r="L506" s="180"/>
      <c r="M506" s="180"/>
      <c r="N506" s="180"/>
      <c r="O506" s="218"/>
      <c r="P506" s="180"/>
      <c r="Q506" s="188"/>
      <c r="R506" s="180"/>
      <c r="S506" s="180"/>
      <c r="T506" s="180"/>
      <c r="U506" s="180"/>
      <c r="V506" s="180"/>
      <c r="W506" s="180"/>
      <c r="X506" s="201"/>
      <c r="AJ506" s="149" t="str">
        <f>IF('Cable Info'!L366="","",CONCATENATE('Cable Info'!L366," - ",'Cable Info'!M366))</f>
        <v/>
      </c>
      <c r="AM506" s="149" t="str">
        <f t="shared" si="66"/>
        <v/>
      </c>
      <c r="AO506" s="149" t="str">
        <f>IF('Cable Info'!N366="","",CONCATENATE('Cable Info'!N366," - ",'Cable Info'!O366))</f>
        <v/>
      </c>
      <c r="AR506" s="149" t="str">
        <f t="shared" si="67"/>
        <v/>
      </c>
      <c r="AT506" s="149" t="str">
        <f>IF('Cable Info'!P366="","",CONCATENATE('Cable Info'!P366," - ",'Cable Info'!Q366))</f>
        <v/>
      </c>
      <c r="AW506" s="149" t="str">
        <f t="shared" si="68"/>
        <v/>
      </c>
      <c r="AY506" s="149" t="str">
        <f>IF('Cable Info'!R366="","",CONCATENATE('Cable Info'!R366," - ",'Cable Info'!S366))</f>
        <v/>
      </c>
      <c r="BB506" s="149" t="str">
        <f t="shared" si="69"/>
        <v/>
      </c>
      <c r="BD506" s="149" t="str">
        <f>IF('Cable Info'!T366="","",CONCATENATE('Cable Info'!T366," - ",'Cable Info'!U366))</f>
        <v/>
      </c>
      <c r="BG506" s="149" t="str">
        <f t="shared" si="70"/>
        <v/>
      </c>
      <c r="BI506" s="149" t="str">
        <f>IF('Cable Info'!V366="","",CONCATENATE('Cable Info'!V366," - ",'Cable Info'!W366))</f>
        <v/>
      </c>
      <c r="BL506" s="149" t="str">
        <f t="shared" si="71"/>
        <v/>
      </c>
    </row>
    <row r="507" spans="1:64" x14ac:dyDescent="0.2">
      <c r="A507" s="180"/>
      <c r="B507" s="180"/>
      <c r="C507" s="180"/>
      <c r="D507" s="180"/>
      <c r="E507" s="180"/>
      <c r="F507" s="187"/>
      <c r="G507" s="180"/>
      <c r="H507" s="180"/>
      <c r="I507" s="180"/>
      <c r="J507" s="187"/>
      <c r="K507" s="180"/>
      <c r="L507" s="180"/>
      <c r="M507" s="180"/>
      <c r="N507" s="180"/>
      <c r="O507" s="218"/>
      <c r="P507" s="180"/>
      <c r="Q507" s="188"/>
      <c r="R507" s="180"/>
      <c r="S507" s="180"/>
      <c r="T507" s="180"/>
      <c r="U507" s="180"/>
      <c r="V507" s="180"/>
      <c r="W507" s="180"/>
      <c r="X507" s="201"/>
      <c r="AJ507" s="149" t="str">
        <f>IF('Cable Info'!L367="","",CONCATENATE('Cable Info'!L367," - ",'Cable Info'!M367))</f>
        <v/>
      </c>
      <c r="AM507" s="149" t="str">
        <f t="shared" si="66"/>
        <v/>
      </c>
      <c r="AO507" s="149" t="str">
        <f>IF('Cable Info'!N367="","",CONCATENATE('Cable Info'!N367," - ",'Cable Info'!O367))</f>
        <v/>
      </c>
      <c r="AR507" s="149" t="str">
        <f t="shared" si="67"/>
        <v/>
      </c>
      <c r="AT507" s="149" t="str">
        <f>IF('Cable Info'!P367="","",CONCATENATE('Cable Info'!P367," - ",'Cable Info'!Q367))</f>
        <v/>
      </c>
      <c r="AW507" s="149" t="str">
        <f t="shared" si="68"/>
        <v/>
      </c>
      <c r="AY507" s="149" t="str">
        <f>IF('Cable Info'!R367="","",CONCATENATE('Cable Info'!R367," - ",'Cable Info'!S367))</f>
        <v/>
      </c>
      <c r="BB507" s="149" t="str">
        <f t="shared" si="69"/>
        <v/>
      </c>
      <c r="BD507" s="149" t="str">
        <f>IF('Cable Info'!T367="","",CONCATENATE('Cable Info'!T367," - ",'Cable Info'!U367))</f>
        <v/>
      </c>
      <c r="BG507" s="149" t="str">
        <f t="shared" si="70"/>
        <v/>
      </c>
      <c r="BI507" s="149" t="str">
        <f>IF('Cable Info'!V367="","",CONCATENATE('Cable Info'!V367," - ",'Cable Info'!W367))</f>
        <v/>
      </c>
      <c r="BL507" s="149" t="str">
        <f t="shared" si="71"/>
        <v/>
      </c>
    </row>
    <row r="508" spans="1:64" x14ac:dyDescent="0.2">
      <c r="A508" s="180"/>
      <c r="B508" s="180"/>
      <c r="C508" s="180"/>
      <c r="D508" s="180"/>
      <c r="E508" s="180"/>
      <c r="F508" s="187"/>
      <c r="G508" s="180"/>
      <c r="H508" s="180"/>
      <c r="I508" s="180"/>
      <c r="J508" s="187"/>
      <c r="K508" s="180"/>
      <c r="L508" s="180"/>
      <c r="M508" s="180"/>
      <c r="N508" s="180"/>
      <c r="O508" s="218"/>
      <c r="P508" s="180"/>
      <c r="Q508" s="188"/>
      <c r="R508" s="180"/>
      <c r="S508" s="180"/>
      <c r="T508" s="180"/>
      <c r="U508" s="180"/>
      <c r="V508" s="180"/>
      <c r="W508" s="180"/>
      <c r="X508" s="201"/>
      <c r="AJ508" s="149" t="str">
        <f>IF('Cable Info'!L368="","",CONCATENATE('Cable Info'!L368," - ",'Cable Info'!M368))</f>
        <v/>
      </c>
      <c r="AM508" s="149" t="str">
        <f t="shared" si="66"/>
        <v/>
      </c>
      <c r="AO508" s="149" t="str">
        <f>IF('Cable Info'!N368="","",CONCATENATE('Cable Info'!N368," - ",'Cable Info'!O368))</f>
        <v/>
      </c>
      <c r="AR508" s="149" t="str">
        <f t="shared" si="67"/>
        <v/>
      </c>
      <c r="AT508" s="149" t="str">
        <f>IF('Cable Info'!P368="","",CONCATENATE('Cable Info'!P368," - ",'Cable Info'!Q368))</f>
        <v/>
      </c>
      <c r="AW508" s="149" t="str">
        <f t="shared" si="68"/>
        <v/>
      </c>
      <c r="AY508" s="149" t="str">
        <f>IF('Cable Info'!R368="","",CONCATENATE('Cable Info'!R368," - ",'Cable Info'!S368))</f>
        <v/>
      </c>
      <c r="BB508" s="149" t="str">
        <f t="shared" si="69"/>
        <v/>
      </c>
      <c r="BD508" s="149" t="str">
        <f>IF('Cable Info'!T368="","",CONCATENATE('Cable Info'!T368," - ",'Cable Info'!U368))</f>
        <v/>
      </c>
      <c r="BG508" s="149" t="str">
        <f t="shared" si="70"/>
        <v/>
      </c>
      <c r="BI508" s="149" t="str">
        <f>IF('Cable Info'!V368="","",CONCATENATE('Cable Info'!V368," - ",'Cable Info'!W368))</f>
        <v/>
      </c>
      <c r="BL508" s="149" t="str">
        <f t="shared" si="71"/>
        <v/>
      </c>
    </row>
    <row r="509" spans="1:64" x14ac:dyDescent="0.2">
      <c r="A509" s="180"/>
      <c r="B509" s="180"/>
      <c r="C509" s="180"/>
      <c r="D509" s="180"/>
      <c r="E509" s="180"/>
      <c r="F509" s="187"/>
      <c r="G509" s="180"/>
      <c r="H509" s="180"/>
      <c r="I509" s="180"/>
      <c r="J509" s="187"/>
      <c r="K509" s="180"/>
      <c r="L509" s="180"/>
      <c r="M509" s="180"/>
      <c r="N509" s="180"/>
      <c r="O509" s="218"/>
      <c r="P509" s="180"/>
      <c r="Q509" s="188"/>
      <c r="R509" s="180"/>
      <c r="S509" s="180"/>
      <c r="T509" s="180"/>
      <c r="U509" s="180"/>
      <c r="V509" s="180"/>
      <c r="W509" s="180"/>
      <c r="X509" s="201"/>
      <c r="AJ509" s="149" t="str">
        <f>IF('Cable Info'!L369="","",CONCATENATE('Cable Info'!L369," - ",'Cable Info'!M369))</f>
        <v/>
      </c>
      <c r="AM509" s="149" t="str">
        <f t="shared" si="66"/>
        <v/>
      </c>
      <c r="AO509" s="149" t="str">
        <f>IF('Cable Info'!N369="","",CONCATENATE('Cable Info'!N369," - ",'Cable Info'!O369))</f>
        <v/>
      </c>
      <c r="AR509" s="149" t="str">
        <f t="shared" si="67"/>
        <v/>
      </c>
      <c r="AT509" s="149" t="str">
        <f>IF('Cable Info'!P369="","",CONCATENATE('Cable Info'!P369," - ",'Cable Info'!Q369))</f>
        <v/>
      </c>
      <c r="AW509" s="149" t="str">
        <f t="shared" si="68"/>
        <v/>
      </c>
      <c r="AY509" s="149" t="str">
        <f>IF('Cable Info'!R369="","",CONCATENATE('Cable Info'!R369," - ",'Cable Info'!S369))</f>
        <v/>
      </c>
      <c r="BB509" s="149" t="str">
        <f t="shared" si="69"/>
        <v/>
      </c>
      <c r="BD509" s="149" t="str">
        <f>IF('Cable Info'!T369="","",CONCATENATE('Cable Info'!T369," - ",'Cable Info'!U369))</f>
        <v/>
      </c>
      <c r="BG509" s="149" t="str">
        <f t="shared" si="70"/>
        <v/>
      </c>
      <c r="BI509" s="149" t="str">
        <f>IF('Cable Info'!V369="","",CONCATENATE('Cable Info'!V369," - ",'Cable Info'!W369))</f>
        <v/>
      </c>
      <c r="BL509" s="149" t="str">
        <f t="shared" si="71"/>
        <v/>
      </c>
    </row>
    <row r="510" spans="1:64" x14ac:dyDescent="0.2">
      <c r="A510" s="180"/>
      <c r="B510" s="180"/>
      <c r="C510" s="180"/>
      <c r="D510" s="180"/>
      <c r="E510" s="180"/>
      <c r="F510" s="187"/>
      <c r="G510" s="180"/>
      <c r="H510" s="180"/>
      <c r="I510" s="180"/>
      <c r="J510" s="187"/>
      <c r="K510" s="180"/>
      <c r="L510" s="180"/>
      <c r="M510" s="180"/>
      <c r="N510" s="180"/>
      <c r="O510" s="218"/>
      <c r="P510" s="180"/>
      <c r="Q510" s="188"/>
      <c r="R510" s="180"/>
      <c r="S510" s="180"/>
      <c r="T510" s="180"/>
      <c r="U510" s="180"/>
      <c r="V510" s="180"/>
      <c r="W510" s="180"/>
      <c r="X510" s="201"/>
      <c r="AJ510" s="149" t="str">
        <f>IF('Cable Info'!L370="","",CONCATENATE('Cable Info'!L370," - ",'Cable Info'!M370))</f>
        <v/>
      </c>
      <c r="AM510" s="149" t="str">
        <f t="shared" si="66"/>
        <v/>
      </c>
      <c r="AO510" s="149" t="str">
        <f>IF('Cable Info'!N370="","",CONCATENATE('Cable Info'!N370," - ",'Cable Info'!O370))</f>
        <v/>
      </c>
      <c r="AR510" s="149" t="str">
        <f t="shared" si="67"/>
        <v/>
      </c>
      <c r="AT510" s="149" t="str">
        <f>IF('Cable Info'!P370="","",CONCATENATE('Cable Info'!P370," - ",'Cable Info'!Q370))</f>
        <v/>
      </c>
      <c r="AW510" s="149" t="str">
        <f t="shared" si="68"/>
        <v/>
      </c>
      <c r="AY510" s="149" t="str">
        <f>IF('Cable Info'!R370="","",CONCATENATE('Cable Info'!R370," - ",'Cable Info'!S370))</f>
        <v/>
      </c>
      <c r="BB510" s="149" t="str">
        <f t="shared" si="69"/>
        <v/>
      </c>
      <c r="BD510" s="149" t="str">
        <f>IF('Cable Info'!T370="","",CONCATENATE('Cable Info'!T370," - ",'Cable Info'!U370))</f>
        <v/>
      </c>
      <c r="BG510" s="149" t="str">
        <f t="shared" si="70"/>
        <v/>
      </c>
      <c r="BI510" s="149" t="str">
        <f>IF('Cable Info'!V370="","",CONCATENATE('Cable Info'!V370," - ",'Cable Info'!W370))</f>
        <v/>
      </c>
      <c r="BL510" s="149" t="str">
        <f t="shared" si="71"/>
        <v/>
      </c>
    </row>
    <row r="511" spans="1:64" x14ac:dyDescent="0.2">
      <c r="A511" s="180"/>
      <c r="B511" s="180"/>
      <c r="C511" s="180"/>
      <c r="D511" s="180"/>
      <c r="E511" s="180"/>
      <c r="F511" s="187"/>
      <c r="G511" s="180"/>
      <c r="H511" s="180"/>
      <c r="I511" s="180"/>
      <c r="J511" s="187"/>
      <c r="K511" s="180"/>
      <c r="L511" s="180"/>
      <c r="M511" s="180"/>
      <c r="N511" s="180"/>
      <c r="O511" s="218"/>
      <c r="P511" s="180"/>
      <c r="Q511" s="188"/>
      <c r="R511" s="180"/>
      <c r="S511" s="180"/>
      <c r="T511" s="180"/>
      <c r="U511" s="180"/>
      <c r="V511" s="180"/>
      <c r="W511" s="180"/>
      <c r="X511" s="201"/>
      <c r="AJ511" s="149" t="str">
        <f>IF('Cable Info'!L371="","",CONCATENATE('Cable Info'!L371," - ",'Cable Info'!M371))</f>
        <v/>
      </c>
      <c r="AM511" s="149" t="str">
        <f t="shared" si="66"/>
        <v/>
      </c>
      <c r="AO511" s="149" t="str">
        <f>IF('Cable Info'!N371="","",CONCATENATE('Cable Info'!N371," - ",'Cable Info'!O371))</f>
        <v/>
      </c>
      <c r="AR511" s="149" t="str">
        <f t="shared" si="67"/>
        <v/>
      </c>
      <c r="AT511" s="149" t="str">
        <f>IF('Cable Info'!P371="","",CONCATENATE('Cable Info'!P371," - ",'Cable Info'!Q371))</f>
        <v/>
      </c>
      <c r="AW511" s="149" t="str">
        <f t="shared" si="68"/>
        <v/>
      </c>
      <c r="AY511" s="149" t="str">
        <f>IF('Cable Info'!R371="","",CONCATENATE('Cable Info'!R371," - ",'Cable Info'!S371))</f>
        <v/>
      </c>
      <c r="BB511" s="149" t="str">
        <f t="shared" si="69"/>
        <v/>
      </c>
      <c r="BD511" s="149" t="str">
        <f>IF('Cable Info'!T371="","",CONCATENATE('Cable Info'!T371," - ",'Cable Info'!U371))</f>
        <v/>
      </c>
      <c r="BG511" s="149" t="str">
        <f t="shared" si="70"/>
        <v/>
      </c>
      <c r="BI511" s="149" t="str">
        <f>IF('Cable Info'!V371="","",CONCATENATE('Cable Info'!V371," - ",'Cable Info'!W371))</f>
        <v/>
      </c>
      <c r="BL511" s="149" t="str">
        <f t="shared" si="71"/>
        <v/>
      </c>
    </row>
    <row r="512" spans="1:64" x14ac:dyDescent="0.2">
      <c r="A512" s="180"/>
      <c r="B512" s="180"/>
      <c r="C512" s="180"/>
      <c r="D512" s="180"/>
      <c r="E512" s="180"/>
      <c r="F512" s="187"/>
      <c r="G512" s="180"/>
      <c r="H512" s="180"/>
      <c r="I512" s="180"/>
      <c r="J512" s="187"/>
      <c r="K512" s="180"/>
      <c r="L512" s="180"/>
      <c r="M512" s="180"/>
      <c r="N512" s="180"/>
      <c r="O512" s="218"/>
      <c r="P512" s="180"/>
      <c r="Q512" s="188"/>
      <c r="R512" s="180"/>
      <c r="S512" s="180"/>
      <c r="T512" s="180"/>
      <c r="U512" s="180"/>
      <c r="V512" s="180"/>
      <c r="W512" s="180"/>
      <c r="X512" s="201"/>
      <c r="AJ512" s="149" t="str">
        <f>IF('Cable Info'!L372="","",CONCATENATE('Cable Info'!L372," - ",'Cable Info'!M372))</f>
        <v/>
      </c>
      <c r="AM512" s="149" t="str">
        <f t="shared" si="66"/>
        <v/>
      </c>
      <c r="AO512" s="149" t="str">
        <f>IF('Cable Info'!N372="","",CONCATENATE('Cable Info'!N372," - ",'Cable Info'!O372))</f>
        <v/>
      </c>
      <c r="AR512" s="149" t="str">
        <f t="shared" si="67"/>
        <v/>
      </c>
      <c r="AT512" s="149" t="str">
        <f>IF('Cable Info'!P372="","",CONCATENATE('Cable Info'!P372," - ",'Cable Info'!Q372))</f>
        <v/>
      </c>
      <c r="AW512" s="149" t="str">
        <f t="shared" si="68"/>
        <v/>
      </c>
      <c r="AY512" s="149" t="str">
        <f>IF('Cable Info'!R372="","",CONCATENATE('Cable Info'!R372," - ",'Cable Info'!S372))</f>
        <v/>
      </c>
      <c r="BB512" s="149" t="str">
        <f t="shared" si="69"/>
        <v/>
      </c>
      <c r="BD512" s="149" t="str">
        <f>IF('Cable Info'!T372="","",CONCATENATE('Cable Info'!T372," - ",'Cable Info'!U372))</f>
        <v/>
      </c>
      <c r="BG512" s="149" t="str">
        <f t="shared" si="70"/>
        <v/>
      </c>
      <c r="BI512" s="149" t="str">
        <f>IF('Cable Info'!V372="","",CONCATENATE('Cable Info'!V372," - ",'Cable Info'!W372))</f>
        <v/>
      </c>
      <c r="BL512" s="149" t="str">
        <f t="shared" si="71"/>
        <v/>
      </c>
    </row>
    <row r="513" spans="1:64" x14ac:dyDescent="0.2">
      <c r="A513" s="180"/>
      <c r="B513" s="180"/>
      <c r="C513" s="180"/>
      <c r="D513" s="180"/>
      <c r="E513" s="180"/>
      <c r="F513" s="187"/>
      <c r="G513" s="180"/>
      <c r="H513" s="180"/>
      <c r="I513" s="180"/>
      <c r="J513" s="187"/>
      <c r="K513" s="180"/>
      <c r="L513" s="180"/>
      <c r="M513" s="180"/>
      <c r="N513" s="180"/>
      <c r="O513" s="218"/>
      <c r="P513" s="180"/>
      <c r="Q513" s="188"/>
      <c r="R513" s="180"/>
      <c r="S513" s="180"/>
      <c r="T513" s="180"/>
      <c r="U513" s="180"/>
      <c r="V513" s="180"/>
      <c r="W513" s="180"/>
      <c r="X513" s="201"/>
      <c r="AJ513" s="149" t="str">
        <f>IF('Cable Info'!L373="","",CONCATENATE('Cable Info'!L373," - ",'Cable Info'!M373))</f>
        <v/>
      </c>
      <c r="AM513" s="149" t="str">
        <f t="shared" si="66"/>
        <v/>
      </c>
      <c r="AO513" s="149" t="str">
        <f>IF('Cable Info'!N373="","",CONCATENATE('Cable Info'!N373," - ",'Cable Info'!O373))</f>
        <v/>
      </c>
      <c r="AR513" s="149" t="str">
        <f t="shared" si="67"/>
        <v/>
      </c>
      <c r="AT513" s="149" t="str">
        <f>IF('Cable Info'!P373="","",CONCATENATE('Cable Info'!P373," - ",'Cable Info'!Q373))</f>
        <v/>
      </c>
      <c r="AW513" s="149" t="str">
        <f t="shared" si="68"/>
        <v/>
      </c>
      <c r="AY513" s="149" t="str">
        <f>IF('Cable Info'!R373="","",CONCATENATE('Cable Info'!R373," - ",'Cable Info'!S373))</f>
        <v/>
      </c>
      <c r="BB513" s="149" t="str">
        <f t="shared" si="69"/>
        <v/>
      </c>
      <c r="BD513" s="149" t="str">
        <f>IF('Cable Info'!T373="","",CONCATENATE('Cable Info'!T373," - ",'Cable Info'!U373))</f>
        <v/>
      </c>
      <c r="BG513" s="149" t="str">
        <f t="shared" si="70"/>
        <v/>
      </c>
      <c r="BI513" s="149" t="str">
        <f>IF('Cable Info'!V373="","",CONCATENATE('Cable Info'!V373," - ",'Cable Info'!W373))</f>
        <v/>
      </c>
      <c r="BL513" s="149" t="str">
        <f t="shared" si="71"/>
        <v/>
      </c>
    </row>
    <row r="514" spans="1:64" x14ac:dyDescent="0.2">
      <c r="A514" s="180"/>
      <c r="B514" s="180"/>
      <c r="C514" s="180"/>
      <c r="D514" s="180"/>
      <c r="E514" s="180"/>
      <c r="F514" s="187"/>
      <c r="G514" s="180"/>
      <c r="H514" s="180"/>
      <c r="I514" s="180"/>
      <c r="J514" s="187"/>
      <c r="K514" s="180"/>
      <c r="L514" s="180"/>
      <c r="M514" s="180"/>
      <c r="N514" s="180"/>
      <c r="O514" s="218"/>
      <c r="P514" s="180"/>
      <c r="Q514" s="188"/>
      <c r="R514" s="180"/>
      <c r="S514" s="180"/>
      <c r="T514" s="180"/>
      <c r="U514" s="180"/>
      <c r="V514" s="180"/>
      <c r="W514" s="180"/>
      <c r="X514" s="201"/>
      <c r="AJ514" s="149" t="str">
        <f>IF('Cable Info'!L374="","",CONCATENATE('Cable Info'!L374," - ",'Cable Info'!M374))</f>
        <v/>
      </c>
      <c r="AM514" s="149" t="str">
        <f t="shared" si="66"/>
        <v/>
      </c>
      <c r="AO514" s="149" t="str">
        <f>IF('Cable Info'!N374="","",CONCATENATE('Cable Info'!N374," - ",'Cable Info'!O374))</f>
        <v/>
      </c>
      <c r="AR514" s="149" t="str">
        <f t="shared" si="67"/>
        <v/>
      </c>
      <c r="AT514" s="149" t="str">
        <f>IF('Cable Info'!P374="","",CONCATENATE('Cable Info'!P374," - ",'Cable Info'!Q374))</f>
        <v/>
      </c>
      <c r="AW514" s="149" t="str">
        <f t="shared" si="68"/>
        <v/>
      </c>
      <c r="AY514" s="149" t="str">
        <f>IF('Cable Info'!R374="","",CONCATENATE('Cable Info'!R374," - ",'Cable Info'!S374))</f>
        <v/>
      </c>
      <c r="BB514" s="149" t="str">
        <f t="shared" si="69"/>
        <v/>
      </c>
      <c r="BD514" s="149" t="str">
        <f>IF('Cable Info'!T374="","",CONCATENATE('Cable Info'!T374," - ",'Cable Info'!U374))</f>
        <v/>
      </c>
      <c r="BG514" s="149" t="str">
        <f t="shared" si="70"/>
        <v/>
      </c>
      <c r="BI514" s="149" t="str">
        <f>IF('Cable Info'!V374="","",CONCATENATE('Cable Info'!V374," - ",'Cable Info'!W374))</f>
        <v/>
      </c>
      <c r="BL514" s="149" t="str">
        <f t="shared" si="71"/>
        <v/>
      </c>
    </row>
    <row r="515" spans="1:64" x14ac:dyDescent="0.2">
      <c r="A515" s="180"/>
      <c r="B515" s="180"/>
      <c r="C515" s="180"/>
      <c r="D515" s="180"/>
      <c r="E515" s="180"/>
      <c r="F515" s="187"/>
      <c r="G515" s="180"/>
      <c r="H515" s="180"/>
      <c r="I515" s="180"/>
      <c r="J515" s="187"/>
      <c r="K515" s="180"/>
      <c r="L515" s="180"/>
      <c r="M515" s="180"/>
      <c r="N515" s="180"/>
      <c r="O515" s="218"/>
      <c r="P515" s="180"/>
      <c r="Q515" s="188"/>
      <c r="R515" s="180"/>
      <c r="S515" s="180"/>
      <c r="T515" s="180"/>
      <c r="U515" s="180"/>
      <c r="V515" s="180"/>
      <c r="W515" s="180"/>
      <c r="X515" s="201"/>
      <c r="AJ515" s="149" t="str">
        <f>IF('Cable Info'!L375="","",CONCATENATE('Cable Info'!L375," - ",'Cable Info'!M375))</f>
        <v/>
      </c>
      <c r="AM515" s="149" t="str">
        <f t="shared" si="66"/>
        <v/>
      </c>
      <c r="AO515" s="149" t="str">
        <f>IF('Cable Info'!N375="","",CONCATENATE('Cable Info'!N375," - ",'Cable Info'!O375))</f>
        <v/>
      </c>
      <c r="AR515" s="149" t="str">
        <f t="shared" si="67"/>
        <v/>
      </c>
      <c r="AT515" s="149" t="str">
        <f>IF('Cable Info'!P375="","",CONCATENATE('Cable Info'!P375," - ",'Cable Info'!Q375))</f>
        <v/>
      </c>
      <c r="AW515" s="149" t="str">
        <f t="shared" si="68"/>
        <v/>
      </c>
      <c r="AY515" s="149" t="str">
        <f>IF('Cable Info'!R375="","",CONCATENATE('Cable Info'!R375," - ",'Cable Info'!S375))</f>
        <v/>
      </c>
      <c r="BB515" s="149" t="str">
        <f t="shared" si="69"/>
        <v/>
      </c>
      <c r="BD515" s="149" t="str">
        <f>IF('Cable Info'!T375="","",CONCATENATE('Cable Info'!T375," - ",'Cable Info'!U375))</f>
        <v/>
      </c>
      <c r="BG515" s="149" t="str">
        <f t="shared" si="70"/>
        <v/>
      </c>
      <c r="BI515" s="149" t="str">
        <f>IF('Cable Info'!V375="","",CONCATENATE('Cable Info'!V375," - ",'Cable Info'!W375))</f>
        <v/>
      </c>
      <c r="BL515" s="149" t="str">
        <f t="shared" si="71"/>
        <v/>
      </c>
    </row>
    <row r="516" spans="1:64" x14ac:dyDescent="0.2">
      <c r="A516" s="180"/>
      <c r="B516" s="180"/>
      <c r="C516" s="180"/>
      <c r="D516" s="180"/>
      <c r="E516" s="180"/>
      <c r="F516" s="187"/>
      <c r="G516" s="180"/>
      <c r="H516" s="180"/>
      <c r="I516" s="180"/>
      <c r="J516" s="187"/>
      <c r="K516" s="180"/>
      <c r="L516" s="180"/>
      <c r="M516" s="180"/>
      <c r="N516" s="180"/>
      <c r="O516" s="218"/>
      <c r="P516" s="180"/>
      <c r="Q516" s="188"/>
      <c r="R516" s="180"/>
      <c r="S516" s="180"/>
      <c r="T516" s="180"/>
      <c r="U516" s="180"/>
      <c r="V516" s="180"/>
      <c r="W516" s="180"/>
      <c r="X516" s="201"/>
      <c r="AJ516" s="149" t="str">
        <f>IF('Cable Info'!L376="","",CONCATENATE('Cable Info'!L376," - ",'Cable Info'!M376))</f>
        <v/>
      </c>
      <c r="AM516" s="149" t="str">
        <f t="shared" si="66"/>
        <v/>
      </c>
      <c r="AO516" s="149" t="str">
        <f>IF('Cable Info'!N376="","",CONCATENATE('Cable Info'!N376," - ",'Cable Info'!O376))</f>
        <v/>
      </c>
      <c r="AR516" s="149" t="str">
        <f t="shared" si="67"/>
        <v/>
      </c>
      <c r="AT516" s="149" t="str">
        <f>IF('Cable Info'!P376="","",CONCATENATE('Cable Info'!P376," - ",'Cable Info'!Q376))</f>
        <v/>
      </c>
      <c r="AW516" s="149" t="str">
        <f t="shared" si="68"/>
        <v/>
      </c>
      <c r="AY516" s="149" t="str">
        <f>IF('Cable Info'!R376="","",CONCATENATE('Cable Info'!R376," - ",'Cable Info'!S376))</f>
        <v/>
      </c>
      <c r="BB516" s="149" t="str">
        <f t="shared" si="69"/>
        <v/>
      </c>
      <c r="BD516" s="149" t="str">
        <f>IF('Cable Info'!T376="","",CONCATENATE('Cable Info'!T376," - ",'Cable Info'!U376))</f>
        <v/>
      </c>
      <c r="BG516" s="149" t="str">
        <f t="shared" si="70"/>
        <v/>
      </c>
      <c r="BI516" s="149" t="str">
        <f>IF('Cable Info'!V376="","",CONCATENATE('Cable Info'!V376," - ",'Cable Info'!W376))</f>
        <v/>
      </c>
      <c r="BL516" s="149" t="str">
        <f t="shared" si="71"/>
        <v/>
      </c>
    </row>
    <row r="517" spans="1:64" x14ac:dyDescent="0.2">
      <c r="A517" s="180"/>
      <c r="B517" s="180"/>
      <c r="C517" s="180"/>
      <c r="D517" s="180"/>
      <c r="E517" s="180"/>
      <c r="F517" s="187"/>
      <c r="G517" s="180"/>
      <c r="H517" s="180"/>
      <c r="I517" s="180"/>
      <c r="J517" s="187"/>
      <c r="K517" s="180"/>
      <c r="L517" s="180"/>
      <c r="M517" s="180"/>
      <c r="N517" s="180"/>
      <c r="O517" s="218"/>
      <c r="P517" s="180"/>
      <c r="Q517" s="188"/>
      <c r="R517" s="180"/>
      <c r="S517" s="180"/>
      <c r="T517" s="180"/>
      <c r="U517" s="180"/>
      <c r="V517" s="180"/>
      <c r="W517" s="180"/>
      <c r="X517" s="201"/>
      <c r="AJ517" s="149" t="str">
        <f>IF('Cable Info'!L377="","",CONCATENATE('Cable Info'!L377," - ",'Cable Info'!M377))</f>
        <v/>
      </c>
      <c r="AM517" s="149" t="str">
        <f t="shared" si="66"/>
        <v/>
      </c>
      <c r="AO517" s="149" t="str">
        <f>IF('Cable Info'!N377="","",CONCATENATE('Cable Info'!N377," - ",'Cable Info'!O377))</f>
        <v/>
      </c>
      <c r="AR517" s="149" t="str">
        <f t="shared" si="67"/>
        <v/>
      </c>
      <c r="AT517" s="149" t="str">
        <f>IF('Cable Info'!P377="","",CONCATENATE('Cable Info'!P377," - ",'Cable Info'!Q377))</f>
        <v/>
      </c>
      <c r="AW517" s="149" t="str">
        <f t="shared" si="68"/>
        <v/>
      </c>
      <c r="AY517" s="149" t="str">
        <f>IF('Cable Info'!R377="","",CONCATENATE('Cable Info'!R377," - ",'Cable Info'!S377))</f>
        <v/>
      </c>
      <c r="BB517" s="149" t="str">
        <f t="shared" si="69"/>
        <v/>
      </c>
      <c r="BD517" s="149" t="str">
        <f>IF('Cable Info'!T377="","",CONCATENATE('Cable Info'!T377," - ",'Cable Info'!U377))</f>
        <v/>
      </c>
      <c r="BG517" s="149" t="str">
        <f t="shared" si="70"/>
        <v/>
      </c>
      <c r="BI517" s="149" t="str">
        <f>IF('Cable Info'!V377="","",CONCATENATE('Cable Info'!V377," - ",'Cable Info'!W377))</f>
        <v/>
      </c>
      <c r="BL517" s="149" t="str">
        <f t="shared" si="71"/>
        <v/>
      </c>
    </row>
    <row r="518" spans="1:64" x14ac:dyDescent="0.2">
      <c r="A518" s="180"/>
      <c r="B518" s="180"/>
      <c r="C518" s="180"/>
      <c r="D518" s="180"/>
      <c r="E518" s="180"/>
      <c r="F518" s="187"/>
      <c r="G518" s="180"/>
      <c r="H518" s="180"/>
      <c r="I518" s="180"/>
      <c r="J518" s="187"/>
      <c r="K518" s="180"/>
      <c r="L518" s="180"/>
      <c r="M518" s="180"/>
      <c r="N518" s="180"/>
      <c r="O518" s="218"/>
      <c r="P518" s="180"/>
      <c r="Q518" s="188"/>
      <c r="R518" s="180"/>
      <c r="S518" s="180"/>
      <c r="T518" s="180"/>
      <c r="U518" s="180"/>
      <c r="V518" s="180"/>
      <c r="W518" s="180"/>
      <c r="X518" s="201"/>
      <c r="AJ518" s="149" t="str">
        <f>IF('Cable Info'!L378="","",CONCATENATE('Cable Info'!L378," - ",'Cable Info'!M378))</f>
        <v/>
      </c>
      <c r="AM518" s="149" t="str">
        <f t="shared" si="66"/>
        <v/>
      </c>
      <c r="AO518" s="149" t="str">
        <f>IF('Cable Info'!N378="","",CONCATENATE('Cable Info'!N378," - ",'Cable Info'!O378))</f>
        <v/>
      </c>
      <c r="AR518" s="149" t="str">
        <f t="shared" si="67"/>
        <v/>
      </c>
      <c r="AT518" s="149" t="str">
        <f>IF('Cable Info'!P378="","",CONCATENATE('Cable Info'!P378," - ",'Cable Info'!Q378))</f>
        <v/>
      </c>
      <c r="AW518" s="149" t="str">
        <f t="shared" si="68"/>
        <v/>
      </c>
      <c r="AY518" s="149" t="str">
        <f>IF('Cable Info'!R378="","",CONCATENATE('Cable Info'!R378," - ",'Cable Info'!S378))</f>
        <v/>
      </c>
      <c r="BB518" s="149" t="str">
        <f t="shared" si="69"/>
        <v/>
      </c>
      <c r="BD518" s="149" t="str">
        <f>IF('Cable Info'!T378="","",CONCATENATE('Cable Info'!T378," - ",'Cable Info'!U378))</f>
        <v/>
      </c>
      <c r="BG518" s="149" t="str">
        <f t="shared" si="70"/>
        <v/>
      </c>
      <c r="BI518" s="149" t="str">
        <f>IF('Cable Info'!V378="","",CONCATENATE('Cable Info'!V378," - ",'Cable Info'!W378))</f>
        <v/>
      </c>
      <c r="BL518" s="149" t="str">
        <f t="shared" si="71"/>
        <v/>
      </c>
    </row>
    <row r="519" spans="1:64" x14ac:dyDescent="0.2">
      <c r="A519" s="180"/>
      <c r="B519" s="180"/>
      <c r="C519" s="180"/>
      <c r="D519" s="180"/>
      <c r="E519" s="180"/>
      <c r="F519" s="187"/>
      <c r="G519" s="180"/>
      <c r="H519" s="180"/>
      <c r="I519" s="180"/>
      <c r="J519" s="187"/>
      <c r="K519" s="180"/>
      <c r="L519" s="180"/>
      <c r="M519" s="180"/>
      <c r="N519" s="180"/>
      <c r="O519" s="218"/>
      <c r="P519" s="180"/>
      <c r="Q519" s="188"/>
      <c r="R519" s="180"/>
      <c r="S519" s="180"/>
      <c r="T519" s="180"/>
      <c r="U519" s="180"/>
      <c r="V519" s="180"/>
      <c r="W519" s="180"/>
      <c r="X519" s="201"/>
      <c r="AJ519" s="149" t="str">
        <f>IF('Cable Info'!L379="","",CONCATENATE('Cable Info'!L379," - ",'Cable Info'!M379))</f>
        <v/>
      </c>
      <c r="AM519" s="149" t="str">
        <f t="shared" si="66"/>
        <v/>
      </c>
      <c r="AO519" s="149" t="str">
        <f>IF('Cable Info'!N379="","",CONCATENATE('Cable Info'!N379," - ",'Cable Info'!O379))</f>
        <v/>
      </c>
      <c r="AR519" s="149" t="str">
        <f t="shared" si="67"/>
        <v/>
      </c>
      <c r="AT519" s="149" t="str">
        <f>IF('Cable Info'!P379="","",CONCATENATE('Cable Info'!P379," - ",'Cable Info'!Q379))</f>
        <v/>
      </c>
      <c r="AW519" s="149" t="str">
        <f t="shared" si="68"/>
        <v/>
      </c>
      <c r="AY519" s="149" t="str">
        <f>IF('Cable Info'!R379="","",CONCATENATE('Cable Info'!R379," - ",'Cable Info'!S379))</f>
        <v/>
      </c>
      <c r="BB519" s="149" t="str">
        <f t="shared" si="69"/>
        <v/>
      </c>
      <c r="BD519" s="149" t="str">
        <f>IF('Cable Info'!T379="","",CONCATENATE('Cable Info'!T379," - ",'Cable Info'!U379))</f>
        <v/>
      </c>
      <c r="BG519" s="149" t="str">
        <f t="shared" si="70"/>
        <v/>
      </c>
      <c r="BI519" s="149" t="str">
        <f>IF('Cable Info'!V379="","",CONCATENATE('Cable Info'!V379," - ",'Cable Info'!W379))</f>
        <v/>
      </c>
      <c r="BL519" s="149" t="str">
        <f t="shared" si="71"/>
        <v/>
      </c>
    </row>
    <row r="520" spans="1:64" x14ac:dyDescent="0.2">
      <c r="A520" s="180"/>
      <c r="B520" s="180"/>
      <c r="C520" s="180"/>
      <c r="D520" s="180"/>
      <c r="E520" s="180"/>
      <c r="F520" s="187"/>
      <c r="G520" s="180"/>
      <c r="H520" s="180"/>
      <c r="I520" s="180"/>
      <c r="J520" s="187"/>
      <c r="K520" s="180"/>
      <c r="L520" s="180"/>
      <c r="M520" s="180"/>
      <c r="N520" s="180"/>
      <c r="O520" s="218"/>
      <c r="P520" s="180"/>
      <c r="Q520" s="188"/>
      <c r="R520" s="180"/>
      <c r="S520" s="180"/>
      <c r="T520" s="180"/>
      <c r="U520" s="180"/>
      <c r="V520" s="180"/>
      <c r="W520" s="180"/>
      <c r="X520" s="201"/>
      <c r="AJ520" s="149" t="str">
        <f>IF('Cable Info'!L380="","",CONCATENATE('Cable Info'!L380," - ",'Cable Info'!M380))</f>
        <v/>
      </c>
      <c r="AM520" s="149" t="str">
        <f t="shared" si="66"/>
        <v/>
      </c>
      <c r="AO520" s="149" t="str">
        <f>IF('Cable Info'!N380="","",CONCATENATE('Cable Info'!N380," - ",'Cable Info'!O380))</f>
        <v/>
      </c>
      <c r="AR520" s="149" t="str">
        <f t="shared" si="67"/>
        <v/>
      </c>
      <c r="AT520" s="149" t="str">
        <f>IF('Cable Info'!P380="","",CONCATENATE('Cable Info'!P380," - ",'Cable Info'!Q380))</f>
        <v/>
      </c>
      <c r="AW520" s="149" t="str">
        <f t="shared" si="68"/>
        <v/>
      </c>
      <c r="AY520" s="149" t="str">
        <f>IF('Cable Info'!R380="","",CONCATENATE('Cable Info'!R380," - ",'Cable Info'!S380))</f>
        <v/>
      </c>
      <c r="BB520" s="149" t="str">
        <f t="shared" si="69"/>
        <v/>
      </c>
      <c r="BD520" s="149" t="str">
        <f>IF('Cable Info'!T380="","",CONCATENATE('Cable Info'!T380," - ",'Cable Info'!U380))</f>
        <v/>
      </c>
      <c r="BG520" s="149" t="str">
        <f t="shared" si="70"/>
        <v/>
      </c>
      <c r="BI520" s="149" t="str">
        <f>IF('Cable Info'!V380="","",CONCATENATE('Cable Info'!V380," - ",'Cable Info'!W380))</f>
        <v/>
      </c>
      <c r="BL520" s="149" t="str">
        <f t="shared" si="71"/>
        <v/>
      </c>
    </row>
    <row r="521" spans="1:64" x14ac:dyDescent="0.2">
      <c r="A521" s="180"/>
      <c r="B521" s="180"/>
      <c r="C521" s="180"/>
      <c r="D521" s="180"/>
      <c r="E521" s="180"/>
      <c r="F521" s="187"/>
      <c r="G521" s="180"/>
      <c r="H521" s="180"/>
      <c r="I521" s="180"/>
      <c r="J521" s="187"/>
      <c r="K521" s="180"/>
      <c r="L521" s="180"/>
      <c r="M521" s="180"/>
      <c r="N521" s="180"/>
      <c r="O521" s="218"/>
      <c r="P521" s="180"/>
      <c r="Q521" s="188"/>
      <c r="R521" s="180"/>
      <c r="S521" s="180"/>
      <c r="T521" s="180"/>
      <c r="U521" s="180"/>
      <c r="V521" s="180"/>
      <c r="W521" s="180"/>
      <c r="X521" s="201"/>
      <c r="AJ521" s="149" t="str">
        <f>IF('Cable Info'!L381="","",CONCATENATE('Cable Info'!L381," - ",'Cable Info'!M381))</f>
        <v/>
      </c>
      <c r="AM521" s="149" t="str">
        <f t="shared" si="66"/>
        <v/>
      </c>
      <c r="AO521" s="149" t="str">
        <f>IF('Cable Info'!N381="","",CONCATENATE('Cable Info'!N381," - ",'Cable Info'!O381))</f>
        <v/>
      </c>
      <c r="AR521" s="149" t="str">
        <f t="shared" si="67"/>
        <v/>
      </c>
      <c r="AT521" s="149" t="str">
        <f>IF('Cable Info'!P381="","",CONCATENATE('Cable Info'!P381," - ",'Cable Info'!Q381))</f>
        <v/>
      </c>
      <c r="AW521" s="149" t="str">
        <f t="shared" si="68"/>
        <v/>
      </c>
      <c r="AY521" s="149" t="str">
        <f>IF('Cable Info'!R381="","",CONCATENATE('Cable Info'!R381," - ",'Cable Info'!S381))</f>
        <v/>
      </c>
      <c r="BB521" s="149" t="str">
        <f t="shared" si="69"/>
        <v/>
      </c>
      <c r="BD521" s="149" t="str">
        <f>IF('Cable Info'!T381="","",CONCATENATE('Cable Info'!T381," - ",'Cable Info'!U381))</f>
        <v/>
      </c>
      <c r="BG521" s="149" t="str">
        <f t="shared" si="70"/>
        <v/>
      </c>
      <c r="BI521" s="149" t="str">
        <f>IF('Cable Info'!V381="","",CONCATENATE('Cable Info'!V381," - ",'Cable Info'!W381))</f>
        <v/>
      </c>
      <c r="BL521" s="149" t="str">
        <f t="shared" si="71"/>
        <v/>
      </c>
    </row>
    <row r="522" spans="1:64" x14ac:dyDescent="0.2">
      <c r="A522" s="180"/>
      <c r="B522" s="180"/>
      <c r="C522" s="180"/>
      <c r="D522" s="180"/>
      <c r="E522" s="180"/>
      <c r="F522" s="187"/>
      <c r="G522" s="180"/>
      <c r="H522" s="180"/>
      <c r="I522" s="180"/>
      <c r="J522" s="187"/>
      <c r="K522" s="180"/>
      <c r="L522" s="180"/>
      <c r="M522" s="180"/>
      <c r="N522" s="180"/>
      <c r="O522" s="218"/>
      <c r="P522" s="180"/>
      <c r="Q522" s="188"/>
      <c r="R522" s="180"/>
      <c r="S522" s="180"/>
      <c r="T522" s="180"/>
      <c r="U522" s="180"/>
      <c r="V522" s="180"/>
      <c r="W522" s="180"/>
      <c r="X522" s="201"/>
      <c r="AJ522" s="149" t="str">
        <f>IF('Cable Info'!L382="","",CONCATENATE('Cable Info'!L382," - ",'Cable Info'!M382))</f>
        <v/>
      </c>
      <c r="AM522" s="149" t="str">
        <f t="shared" si="66"/>
        <v/>
      </c>
      <c r="AO522" s="149" t="str">
        <f>IF('Cable Info'!N382="","",CONCATENATE('Cable Info'!N382," - ",'Cable Info'!O382))</f>
        <v/>
      </c>
      <c r="AR522" s="149" t="str">
        <f t="shared" si="67"/>
        <v/>
      </c>
      <c r="AT522" s="149" t="str">
        <f>IF('Cable Info'!P382="","",CONCATENATE('Cable Info'!P382," - ",'Cable Info'!Q382))</f>
        <v/>
      </c>
      <c r="AW522" s="149" t="str">
        <f t="shared" si="68"/>
        <v/>
      </c>
      <c r="AY522" s="149" t="str">
        <f>IF('Cable Info'!R382="","",CONCATENATE('Cable Info'!R382," - ",'Cable Info'!S382))</f>
        <v/>
      </c>
      <c r="BB522" s="149" t="str">
        <f t="shared" si="69"/>
        <v/>
      </c>
      <c r="BD522" s="149" t="str">
        <f>IF('Cable Info'!T382="","",CONCATENATE('Cable Info'!T382," - ",'Cable Info'!U382))</f>
        <v/>
      </c>
      <c r="BG522" s="149" t="str">
        <f t="shared" si="70"/>
        <v/>
      </c>
      <c r="BI522" s="149" t="str">
        <f>IF('Cable Info'!V382="","",CONCATENATE('Cable Info'!V382," - ",'Cable Info'!W382))</f>
        <v/>
      </c>
      <c r="BL522" s="149" t="str">
        <f t="shared" si="71"/>
        <v/>
      </c>
    </row>
    <row r="523" spans="1:64" x14ac:dyDescent="0.2">
      <c r="A523" s="180"/>
      <c r="B523" s="180"/>
      <c r="C523" s="180"/>
      <c r="D523" s="180"/>
      <c r="E523" s="180"/>
      <c r="F523" s="187"/>
      <c r="G523" s="180"/>
      <c r="H523" s="180"/>
      <c r="I523" s="180"/>
      <c r="J523" s="187"/>
      <c r="K523" s="180"/>
      <c r="L523" s="180"/>
      <c r="M523" s="180"/>
      <c r="N523" s="180"/>
      <c r="O523" s="218"/>
      <c r="P523" s="180"/>
      <c r="Q523" s="188"/>
      <c r="R523" s="180"/>
      <c r="S523" s="180"/>
      <c r="T523" s="180"/>
      <c r="U523" s="180"/>
      <c r="V523" s="180"/>
      <c r="W523" s="180"/>
      <c r="X523" s="201"/>
      <c r="AJ523" s="149" t="str">
        <f>IF('Cable Info'!L383="","",CONCATENATE('Cable Info'!L383," - ",'Cable Info'!M383))</f>
        <v/>
      </c>
      <c r="AM523" s="149" t="str">
        <f t="shared" si="66"/>
        <v/>
      </c>
      <c r="AO523" s="149" t="str">
        <f>IF('Cable Info'!N383="","",CONCATENATE('Cable Info'!N383," - ",'Cable Info'!O383))</f>
        <v/>
      </c>
      <c r="AR523" s="149" t="str">
        <f t="shared" si="67"/>
        <v/>
      </c>
      <c r="AT523" s="149" t="str">
        <f>IF('Cable Info'!P383="","",CONCATENATE('Cable Info'!P383," - ",'Cable Info'!Q383))</f>
        <v/>
      </c>
      <c r="AW523" s="149" t="str">
        <f t="shared" si="68"/>
        <v/>
      </c>
      <c r="AY523" s="149" t="str">
        <f>IF('Cable Info'!R383="","",CONCATENATE('Cable Info'!R383," - ",'Cable Info'!S383))</f>
        <v/>
      </c>
      <c r="BB523" s="149" t="str">
        <f t="shared" si="69"/>
        <v/>
      </c>
      <c r="BD523" s="149" t="str">
        <f>IF('Cable Info'!T383="","",CONCATENATE('Cable Info'!T383," - ",'Cable Info'!U383))</f>
        <v/>
      </c>
      <c r="BG523" s="149" t="str">
        <f t="shared" si="70"/>
        <v/>
      </c>
      <c r="BI523" s="149" t="str">
        <f>IF('Cable Info'!V383="","",CONCATENATE('Cable Info'!V383," - ",'Cable Info'!W383))</f>
        <v/>
      </c>
      <c r="BL523" s="149" t="str">
        <f t="shared" si="71"/>
        <v/>
      </c>
    </row>
    <row r="524" spans="1:64" x14ac:dyDescent="0.2">
      <c r="A524" s="180"/>
      <c r="B524" s="180"/>
      <c r="C524" s="180"/>
      <c r="D524" s="180"/>
      <c r="E524" s="180"/>
      <c r="F524" s="187"/>
      <c r="G524" s="180"/>
      <c r="H524" s="180"/>
      <c r="I524" s="180"/>
      <c r="J524" s="187"/>
      <c r="K524" s="180"/>
      <c r="L524" s="180"/>
      <c r="M524" s="180"/>
      <c r="N524" s="180"/>
      <c r="O524" s="218"/>
      <c r="P524" s="180"/>
      <c r="Q524" s="188"/>
      <c r="R524" s="180"/>
      <c r="S524" s="180"/>
      <c r="T524" s="180"/>
      <c r="U524" s="180"/>
      <c r="V524" s="180"/>
      <c r="W524" s="180"/>
      <c r="X524" s="201"/>
      <c r="AJ524" s="149" t="str">
        <f>IF('Cable Info'!L384="","",CONCATENATE('Cable Info'!L384," - ",'Cable Info'!M384))</f>
        <v/>
      </c>
      <c r="AM524" s="149" t="str">
        <f t="shared" si="66"/>
        <v/>
      </c>
      <c r="AO524" s="149" t="str">
        <f>IF('Cable Info'!N384="","",CONCATENATE('Cable Info'!N384," - ",'Cable Info'!O384))</f>
        <v/>
      </c>
      <c r="AR524" s="149" t="str">
        <f t="shared" si="67"/>
        <v/>
      </c>
      <c r="AT524" s="149" t="str">
        <f>IF('Cable Info'!P384="","",CONCATENATE('Cable Info'!P384," - ",'Cable Info'!Q384))</f>
        <v/>
      </c>
      <c r="AW524" s="149" t="str">
        <f t="shared" si="68"/>
        <v/>
      </c>
      <c r="AY524" s="149" t="str">
        <f>IF('Cable Info'!R384="","",CONCATENATE('Cable Info'!R384," - ",'Cable Info'!S384))</f>
        <v/>
      </c>
      <c r="BB524" s="149" t="str">
        <f t="shared" si="69"/>
        <v/>
      </c>
      <c r="BD524" s="149" t="str">
        <f>IF('Cable Info'!T384="","",CONCATENATE('Cable Info'!T384," - ",'Cable Info'!U384))</f>
        <v/>
      </c>
      <c r="BG524" s="149" t="str">
        <f t="shared" si="70"/>
        <v/>
      </c>
      <c r="BI524" s="149" t="str">
        <f>IF('Cable Info'!V384="","",CONCATENATE('Cable Info'!V384," - ",'Cable Info'!W384))</f>
        <v/>
      </c>
      <c r="BL524" s="149" t="str">
        <f t="shared" si="71"/>
        <v/>
      </c>
    </row>
    <row r="525" spans="1:64" x14ac:dyDescent="0.2">
      <c r="A525" s="180"/>
      <c r="B525" s="180"/>
      <c r="C525" s="180"/>
      <c r="D525" s="180"/>
      <c r="E525" s="180"/>
      <c r="F525" s="187"/>
      <c r="G525" s="180"/>
      <c r="H525" s="180"/>
      <c r="I525" s="180"/>
      <c r="J525" s="187"/>
      <c r="K525" s="180"/>
      <c r="L525" s="180"/>
      <c r="M525" s="180"/>
      <c r="N525" s="180"/>
      <c r="O525" s="218"/>
      <c r="P525" s="180"/>
      <c r="Q525" s="188"/>
      <c r="R525" s="180"/>
      <c r="S525" s="180"/>
      <c r="T525" s="180"/>
      <c r="U525" s="180"/>
      <c r="V525" s="180"/>
      <c r="W525" s="180"/>
      <c r="X525" s="201"/>
      <c r="AJ525" s="149" t="str">
        <f>IF('Cable Info'!L385="","",CONCATENATE('Cable Info'!L385," - ",'Cable Info'!M385))</f>
        <v/>
      </c>
      <c r="AM525" s="149" t="str">
        <f t="shared" si="66"/>
        <v/>
      </c>
      <c r="AO525" s="149" t="str">
        <f>IF('Cable Info'!N385="","",CONCATENATE('Cable Info'!N385," - ",'Cable Info'!O385))</f>
        <v/>
      </c>
      <c r="AR525" s="149" t="str">
        <f t="shared" si="67"/>
        <v/>
      </c>
      <c r="AT525" s="149" t="str">
        <f>IF('Cable Info'!P385="","",CONCATENATE('Cable Info'!P385," - ",'Cable Info'!Q385))</f>
        <v/>
      </c>
      <c r="AW525" s="149" t="str">
        <f t="shared" si="68"/>
        <v/>
      </c>
      <c r="AY525" s="149" t="str">
        <f>IF('Cable Info'!R385="","",CONCATENATE('Cable Info'!R385," - ",'Cable Info'!S385))</f>
        <v/>
      </c>
      <c r="BB525" s="149" t="str">
        <f t="shared" si="69"/>
        <v/>
      </c>
      <c r="BD525" s="149" t="str">
        <f>IF('Cable Info'!T385="","",CONCATENATE('Cable Info'!T385," - ",'Cable Info'!U385))</f>
        <v/>
      </c>
      <c r="BG525" s="149" t="str">
        <f t="shared" si="70"/>
        <v/>
      </c>
      <c r="BI525" s="149" t="str">
        <f>IF('Cable Info'!V385="","",CONCATENATE('Cable Info'!V385," - ",'Cable Info'!W385))</f>
        <v/>
      </c>
      <c r="BL525" s="149" t="str">
        <f t="shared" si="71"/>
        <v/>
      </c>
    </row>
    <row r="526" spans="1:64" x14ac:dyDescent="0.2">
      <c r="A526" s="180"/>
      <c r="B526" s="180"/>
      <c r="C526" s="180"/>
      <c r="D526" s="180"/>
      <c r="E526" s="180"/>
      <c r="F526" s="187"/>
      <c r="G526" s="180"/>
      <c r="H526" s="180"/>
      <c r="I526" s="180"/>
      <c r="J526" s="187"/>
      <c r="K526" s="180"/>
      <c r="L526" s="180"/>
      <c r="M526" s="180"/>
      <c r="N526" s="180"/>
      <c r="O526" s="218"/>
      <c r="P526" s="180"/>
      <c r="Q526" s="188"/>
      <c r="R526" s="180"/>
      <c r="S526" s="180"/>
      <c r="T526" s="180"/>
      <c r="U526" s="180"/>
      <c r="V526" s="180"/>
      <c r="W526" s="180"/>
      <c r="X526" s="201"/>
      <c r="AJ526" s="149" t="str">
        <f>IF('Cable Info'!L386="","",CONCATENATE('Cable Info'!L386," - ",'Cable Info'!M386))</f>
        <v/>
      </c>
      <c r="AM526" s="149" t="str">
        <f t="shared" si="66"/>
        <v/>
      </c>
      <c r="AO526" s="149" t="str">
        <f>IF('Cable Info'!N386="","",CONCATENATE('Cable Info'!N386," - ",'Cable Info'!O386))</f>
        <v/>
      </c>
      <c r="AR526" s="149" t="str">
        <f t="shared" si="67"/>
        <v/>
      </c>
      <c r="AT526" s="149" t="str">
        <f>IF('Cable Info'!P386="","",CONCATENATE('Cable Info'!P386," - ",'Cable Info'!Q386))</f>
        <v/>
      </c>
      <c r="AW526" s="149" t="str">
        <f t="shared" si="68"/>
        <v/>
      </c>
      <c r="AY526" s="149" t="str">
        <f>IF('Cable Info'!R386="","",CONCATENATE('Cable Info'!R386," - ",'Cable Info'!S386))</f>
        <v/>
      </c>
      <c r="BB526" s="149" t="str">
        <f t="shared" si="69"/>
        <v/>
      </c>
      <c r="BD526" s="149" t="str">
        <f>IF('Cable Info'!T386="","",CONCATENATE('Cable Info'!T386," - ",'Cable Info'!U386))</f>
        <v/>
      </c>
      <c r="BG526" s="149" t="str">
        <f t="shared" si="70"/>
        <v/>
      </c>
      <c r="BI526" s="149" t="str">
        <f>IF('Cable Info'!V386="","",CONCATENATE('Cable Info'!V386," - ",'Cable Info'!W386))</f>
        <v/>
      </c>
      <c r="BL526" s="149" t="str">
        <f t="shared" si="71"/>
        <v/>
      </c>
    </row>
    <row r="527" spans="1:64" x14ac:dyDescent="0.2">
      <c r="A527" s="180"/>
      <c r="B527" s="180"/>
      <c r="C527" s="180"/>
      <c r="D527" s="180"/>
      <c r="E527" s="180"/>
      <c r="F527" s="187"/>
      <c r="G527" s="180"/>
      <c r="H527" s="180"/>
      <c r="I527" s="180"/>
      <c r="J527" s="187"/>
      <c r="K527" s="180"/>
      <c r="L527" s="180"/>
      <c r="M527" s="180"/>
      <c r="N527" s="180"/>
      <c r="O527" s="218"/>
      <c r="P527" s="180"/>
      <c r="Q527" s="188"/>
      <c r="R527" s="180"/>
      <c r="S527" s="180"/>
      <c r="T527" s="180"/>
      <c r="U527" s="180"/>
      <c r="V527" s="180"/>
      <c r="W527" s="180"/>
      <c r="X527" s="201"/>
      <c r="AJ527" s="149" t="str">
        <f>IF('Cable Info'!L387="","",CONCATENATE('Cable Info'!L387," - ",'Cable Info'!M387))</f>
        <v/>
      </c>
      <c r="AM527" s="149" t="str">
        <f t="shared" ref="AM527:AM590" si="72">IF(AK527="",AJ527,CONCATENATE(AJ527,"  &lt;=&gt; ",AK527," ",AL527))</f>
        <v/>
      </c>
      <c r="AO527" s="149" t="str">
        <f>IF('Cable Info'!N387="","",CONCATENATE('Cable Info'!N387," - ",'Cable Info'!O387))</f>
        <v/>
      </c>
      <c r="AR527" s="149" t="str">
        <f t="shared" ref="AR527:AR590" si="73">IF(AP527="",AO527,CONCATENATE(AO527,"  &lt;=&gt; ",AP527," ",AQ527))</f>
        <v/>
      </c>
      <c r="AT527" s="149" t="str">
        <f>IF('Cable Info'!P387="","",CONCATENATE('Cable Info'!P387," - ",'Cable Info'!Q387))</f>
        <v/>
      </c>
      <c r="AW527" s="149" t="str">
        <f t="shared" ref="AW527:AW590" si="74">IF(AU527="",AT527,CONCATENATE(AT527,"  &lt;=&gt; ",AU527," ",AV527))</f>
        <v/>
      </c>
      <c r="AY527" s="149" t="str">
        <f>IF('Cable Info'!R387="","",CONCATENATE('Cable Info'!R387," - ",'Cable Info'!S387))</f>
        <v/>
      </c>
      <c r="BB527" s="149" t="str">
        <f t="shared" ref="BB527:BB590" si="75">IF(AZ527="",AY527,CONCATENATE(AY527,"  &lt;=&gt; ",AZ527," ",BA527))</f>
        <v/>
      </c>
      <c r="BD527" s="149" t="str">
        <f>IF('Cable Info'!T387="","",CONCATENATE('Cable Info'!T387," - ",'Cable Info'!U387))</f>
        <v/>
      </c>
      <c r="BG527" s="149" t="str">
        <f t="shared" ref="BG527:BG590" si="76">IF(BE527="",BD527,CONCATENATE(BD527,"  &lt;=&gt; ",BE527," ",BF527))</f>
        <v/>
      </c>
      <c r="BI527" s="149" t="str">
        <f>IF('Cable Info'!V387="","",CONCATENATE('Cable Info'!V387," - ",'Cable Info'!W387))</f>
        <v/>
      </c>
      <c r="BL527" s="149" t="str">
        <f t="shared" ref="BL527:BL590" si="77">IF(BJ527="",BI527,CONCATENATE(BI527,"  &lt;=&gt; ",BJ527," ",BK527))</f>
        <v/>
      </c>
    </row>
    <row r="528" spans="1:64" x14ac:dyDescent="0.2">
      <c r="A528" s="180"/>
      <c r="B528" s="180"/>
      <c r="C528" s="180"/>
      <c r="D528" s="180"/>
      <c r="E528" s="180"/>
      <c r="F528" s="187"/>
      <c r="G528" s="180"/>
      <c r="H528" s="180"/>
      <c r="I528" s="180"/>
      <c r="J528" s="187"/>
      <c r="K528" s="180"/>
      <c r="L528" s="180"/>
      <c r="M528" s="180"/>
      <c r="N528" s="180"/>
      <c r="O528" s="218"/>
      <c r="P528" s="180"/>
      <c r="Q528" s="188"/>
      <c r="R528" s="180"/>
      <c r="S528" s="180"/>
      <c r="T528" s="180"/>
      <c r="U528" s="180"/>
      <c r="V528" s="180"/>
      <c r="W528" s="180"/>
      <c r="X528" s="201"/>
      <c r="AJ528" s="149" t="str">
        <f>IF('Cable Info'!L388="","",CONCATENATE('Cable Info'!L388," - ",'Cable Info'!M388))</f>
        <v/>
      </c>
      <c r="AM528" s="149" t="str">
        <f t="shared" si="72"/>
        <v/>
      </c>
      <c r="AO528" s="149" t="str">
        <f>IF('Cable Info'!N388="","",CONCATENATE('Cable Info'!N388," - ",'Cable Info'!O388))</f>
        <v/>
      </c>
      <c r="AR528" s="149" t="str">
        <f t="shared" si="73"/>
        <v/>
      </c>
      <c r="AT528" s="149" t="str">
        <f>IF('Cable Info'!P388="","",CONCATENATE('Cable Info'!P388," - ",'Cable Info'!Q388))</f>
        <v/>
      </c>
      <c r="AW528" s="149" t="str">
        <f t="shared" si="74"/>
        <v/>
      </c>
      <c r="AY528" s="149" t="str">
        <f>IF('Cable Info'!R388="","",CONCATENATE('Cable Info'!R388," - ",'Cable Info'!S388))</f>
        <v/>
      </c>
      <c r="BB528" s="149" t="str">
        <f t="shared" si="75"/>
        <v/>
      </c>
      <c r="BD528" s="149" t="str">
        <f>IF('Cable Info'!T388="","",CONCATENATE('Cable Info'!T388," - ",'Cable Info'!U388))</f>
        <v/>
      </c>
      <c r="BG528" s="149" t="str">
        <f t="shared" si="76"/>
        <v/>
      </c>
      <c r="BI528" s="149" t="str">
        <f>IF('Cable Info'!V388="","",CONCATENATE('Cable Info'!V388," - ",'Cable Info'!W388))</f>
        <v/>
      </c>
      <c r="BL528" s="149" t="str">
        <f t="shared" si="77"/>
        <v/>
      </c>
    </row>
    <row r="529" spans="1:64" x14ac:dyDescent="0.2">
      <c r="A529" s="180"/>
      <c r="B529" s="180"/>
      <c r="C529" s="180"/>
      <c r="D529" s="180"/>
      <c r="E529" s="180"/>
      <c r="F529" s="187"/>
      <c r="G529" s="180"/>
      <c r="H529" s="180"/>
      <c r="I529" s="180"/>
      <c r="J529" s="187"/>
      <c r="K529" s="180"/>
      <c r="L529" s="180"/>
      <c r="M529" s="180"/>
      <c r="N529" s="180"/>
      <c r="O529" s="218"/>
      <c r="P529" s="180"/>
      <c r="Q529" s="188"/>
      <c r="R529" s="180"/>
      <c r="S529" s="180"/>
      <c r="T529" s="180"/>
      <c r="U529" s="180"/>
      <c r="V529" s="180"/>
      <c r="W529" s="180"/>
      <c r="X529" s="201"/>
      <c r="AJ529" s="149" t="str">
        <f>IF('Cable Info'!L389="","",CONCATENATE('Cable Info'!L389," - ",'Cable Info'!M389))</f>
        <v/>
      </c>
      <c r="AM529" s="149" t="str">
        <f t="shared" si="72"/>
        <v/>
      </c>
      <c r="AO529" s="149" t="str">
        <f>IF('Cable Info'!N389="","",CONCATENATE('Cable Info'!N389," - ",'Cable Info'!O389))</f>
        <v/>
      </c>
      <c r="AR529" s="149" t="str">
        <f t="shared" si="73"/>
        <v/>
      </c>
      <c r="AT529" s="149" t="str">
        <f>IF('Cable Info'!P389="","",CONCATENATE('Cable Info'!P389," - ",'Cable Info'!Q389))</f>
        <v/>
      </c>
      <c r="AW529" s="149" t="str">
        <f t="shared" si="74"/>
        <v/>
      </c>
      <c r="AY529" s="149" t="str">
        <f>IF('Cable Info'!R389="","",CONCATENATE('Cable Info'!R389," - ",'Cable Info'!S389))</f>
        <v/>
      </c>
      <c r="BB529" s="149" t="str">
        <f t="shared" si="75"/>
        <v/>
      </c>
      <c r="BD529" s="149" t="str">
        <f>IF('Cable Info'!T389="","",CONCATENATE('Cable Info'!T389," - ",'Cable Info'!U389))</f>
        <v/>
      </c>
      <c r="BG529" s="149" t="str">
        <f t="shared" si="76"/>
        <v/>
      </c>
      <c r="BI529" s="149" t="str">
        <f>IF('Cable Info'!V389="","",CONCATENATE('Cable Info'!V389," - ",'Cable Info'!W389))</f>
        <v/>
      </c>
      <c r="BL529" s="149" t="str">
        <f t="shared" si="77"/>
        <v/>
      </c>
    </row>
    <row r="530" spans="1:64" x14ac:dyDescent="0.2">
      <c r="A530" s="180"/>
      <c r="B530" s="180"/>
      <c r="C530" s="180"/>
      <c r="D530" s="180"/>
      <c r="E530" s="180"/>
      <c r="F530" s="187"/>
      <c r="G530" s="180"/>
      <c r="H530" s="180"/>
      <c r="I530" s="180"/>
      <c r="J530" s="187"/>
      <c r="K530" s="180"/>
      <c r="L530" s="180"/>
      <c r="M530" s="180"/>
      <c r="N530" s="180"/>
      <c r="O530" s="218"/>
      <c r="P530" s="180"/>
      <c r="Q530" s="188"/>
      <c r="R530" s="180"/>
      <c r="S530" s="180"/>
      <c r="T530" s="180"/>
      <c r="U530" s="180"/>
      <c r="V530" s="180"/>
      <c r="W530" s="180"/>
      <c r="X530" s="201"/>
      <c r="AJ530" s="149" t="str">
        <f>IF('Cable Info'!L390="","",CONCATENATE('Cable Info'!L390," - ",'Cable Info'!M390))</f>
        <v/>
      </c>
      <c r="AM530" s="149" t="str">
        <f t="shared" si="72"/>
        <v/>
      </c>
      <c r="AO530" s="149" t="str">
        <f>IF('Cable Info'!N390="","",CONCATENATE('Cable Info'!N390," - ",'Cable Info'!O390))</f>
        <v/>
      </c>
      <c r="AR530" s="149" t="str">
        <f t="shared" si="73"/>
        <v/>
      </c>
      <c r="AT530" s="149" t="str">
        <f>IF('Cable Info'!P390="","",CONCATENATE('Cable Info'!P390," - ",'Cable Info'!Q390))</f>
        <v/>
      </c>
      <c r="AW530" s="149" t="str">
        <f t="shared" si="74"/>
        <v/>
      </c>
      <c r="AY530" s="149" t="str">
        <f>IF('Cable Info'!R390="","",CONCATENATE('Cable Info'!R390," - ",'Cable Info'!S390))</f>
        <v/>
      </c>
      <c r="BB530" s="149" t="str">
        <f t="shared" si="75"/>
        <v/>
      </c>
      <c r="BD530" s="149" t="str">
        <f>IF('Cable Info'!T390="","",CONCATENATE('Cable Info'!T390," - ",'Cable Info'!U390))</f>
        <v/>
      </c>
      <c r="BG530" s="149" t="str">
        <f t="shared" si="76"/>
        <v/>
      </c>
      <c r="BI530" s="149" t="str">
        <f>IF('Cable Info'!V390="","",CONCATENATE('Cable Info'!V390," - ",'Cable Info'!W390))</f>
        <v/>
      </c>
      <c r="BL530" s="149" t="str">
        <f t="shared" si="77"/>
        <v/>
      </c>
    </row>
    <row r="531" spans="1:64" x14ac:dyDescent="0.2">
      <c r="A531" s="180"/>
      <c r="B531" s="180"/>
      <c r="C531" s="180"/>
      <c r="D531" s="180"/>
      <c r="E531" s="180"/>
      <c r="F531" s="187"/>
      <c r="G531" s="180"/>
      <c r="H531" s="180"/>
      <c r="I531" s="180"/>
      <c r="J531" s="187"/>
      <c r="K531" s="180"/>
      <c r="L531" s="180"/>
      <c r="M531" s="180"/>
      <c r="N531" s="180"/>
      <c r="O531" s="218"/>
      <c r="P531" s="180"/>
      <c r="Q531" s="188"/>
      <c r="R531" s="180"/>
      <c r="S531" s="180"/>
      <c r="T531" s="180"/>
      <c r="U531" s="180"/>
      <c r="V531" s="180"/>
      <c r="W531" s="180"/>
      <c r="X531" s="201"/>
      <c r="AJ531" s="149" t="str">
        <f>IF('Cable Info'!L391="","",CONCATENATE('Cable Info'!L391," - ",'Cable Info'!M391))</f>
        <v/>
      </c>
      <c r="AM531" s="149" t="str">
        <f t="shared" si="72"/>
        <v/>
      </c>
      <c r="AO531" s="149" t="str">
        <f>IF('Cable Info'!N391="","",CONCATENATE('Cable Info'!N391," - ",'Cable Info'!O391))</f>
        <v/>
      </c>
      <c r="AR531" s="149" t="str">
        <f t="shared" si="73"/>
        <v/>
      </c>
      <c r="AT531" s="149" t="str">
        <f>IF('Cable Info'!P391="","",CONCATENATE('Cable Info'!P391," - ",'Cable Info'!Q391))</f>
        <v/>
      </c>
      <c r="AW531" s="149" t="str">
        <f t="shared" si="74"/>
        <v/>
      </c>
      <c r="AY531" s="149" t="str">
        <f>IF('Cable Info'!R391="","",CONCATENATE('Cable Info'!R391," - ",'Cable Info'!S391))</f>
        <v/>
      </c>
      <c r="BB531" s="149" t="str">
        <f t="shared" si="75"/>
        <v/>
      </c>
      <c r="BD531" s="149" t="str">
        <f>IF('Cable Info'!T391="","",CONCATENATE('Cable Info'!T391," - ",'Cable Info'!U391))</f>
        <v/>
      </c>
      <c r="BG531" s="149" t="str">
        <f t="shared" si="76"/>
        <v/>
      </c>
      <c r="BI531" s="149" t="str">
        <f>IF('Cable Info'!V391="","",CONCATENATE('Cable Info'!V391," - ",'Cable Info'!W391))</f>
        <v/>
      </c>
      <c r="BL531" s="149" t="str">
        <f t="shared" si="77"/>
        <v/>
      </c>
    </row>
    <row r="532" spans="1:64" x14ac:dyDescent="0.2">
      <c r="A532" s="180"/>
      <c r="B532" s="180"/>
      <c r="C532" s="180"/>
      <c r="D532" s="180"/>
      <c r="E532" s="180"/>
      <c r="F532" s="187"/>
      <c r="G532" s="180"/>
      <c r="H532" s="180"/>
      <c r="I532" s="180"/>
      <c r="J532" s="187"/>
      <c r="K532" s="180"/>
      <c r="L532" s="180"/>
      <c r="M532" s="180"/>
      <c r="N532" s="180"/>
      <c r="O532" s="218"/>
      <c r="P532" s="180"/>
      <c r="Q532" s="188"/>
      <c r="R532" s="180"/>
      <c r="S532" s="180"/>
      <c r="T532" s="180"/>
      <c r="U532" s="180"/>
      <c r="V532" s="180"/>
      <c r="W532" s="180"/>
      <c r="X532" s="201"/>
      <c r="AJ532" s="149" t="str">
        <f>IF('Cable Info'!L392="","",CONCATENATE('Cable Info'!L392," - ",'Cable Info'!M392))</f>
        <v/>
      </c>
      <c r="AM532" s="149" t="str">
        <f t="shared" si="72"/>
        <v/>
      </c>
      <c r="AO532" s="149" t="str">
        <f>IF('Cable Info'!N392="","",CONCATENATE('Cable Info'!N392," - ",'Cable Info'!O392))</f>
        <v/>
      </c>
      <c r="AR532" s="149" t="str">
        <f t="shared" si="73"/>
        <v/>
      </c>
      <c r="AT532" s="149" t="str">
        <f>IF('Cable Info'!P392="","",CONCATENATE('Cable Info'!P392," - ",'Cable Info'!Q392))</f>
        <v/>
      </c>
      <c r="AW532" s="149" t="str">
        <f t="shared" si="74"/>
        <v/>
      </c>
      <c r="AY532" s="149" t="str">
        <f>IF('Cable Info'!R392="","",CONCATENATE('Cable Info'!R392," - ",'Cable Info'!S392))</f>
        <v/>
      </c>
      <c r="BB532" s="149" t="str">
        <f t="shared" si="75"/>
        <v/>
      </c>
      <c r="BD532" s="149" t="str">
        <f>IF('Cable Info'!T392="","",CONCATENATE('Cable Info'!T392," - ",'Cable Info'!U392))</f>
        <v/>
      </c>
      <c r="BG532" s="149" t="str">
        <f t="shared" si="76"/>
        <v/>
      </c>
      <c r="BI532" s="149" t="str">
        <f>IF('Cable Info'!V392="","",CONCATENATE('Cable Info'!V392," - ",'Cable Info'!W392))</f>
        <v/>
      </c>
      <c r="BL532" s="149" t="str">
        <f t="shared" si="77"/>
        <v/>
      </c>
    </row>
    <row r="533" spans="1:64" x14ac:dyDescent="0.2">
      <c r="A533" s="180"/>
      <c r="B533" s="180"/>
      <c r="C533" s="180"/>
      <c r="D533" s="180"/>
      <c r="E533" s="180"/>
      <c r="F533" s="187"/>
      <c r="G533" s="180"/>
      <c r="H533" s="180"/>
      <c r="I533" s="180"/>
      <c r="J533" s="187"/>
      <c r="K533" s="180"/>
      <c r="L533" s="180"/>
      <c r="M533" s="180"/>
      <c r="N533" s="180"/>
      <c r="O533" s="218"/>
      <c r="P533" s="180"/>
      <c r="Q533" s="188"/>
      <c r="R533" s="180"/>
      <c r="S533" s="180"/>
      <c r="T533" s="180"/>
      <c r="U533" s="180"/>
      <c r="V533" s="180"/>
      <c r="W533" s="180"/>
      <c r="X533" s="201"/>
      <c r="AJ533" s="149" t="str">
        <f>IF('Cable Info'!L393="","",CONCATENATE('Cable Info'!L393," - ",'Cable Info'!M393))</f>
        <v/>
      </c>
      <c r="AM533" s="149" t="str">
        <f t="shared" si="72"/>
        <v/>
      </c>
      <c r="AO533" s="149" t="str">
        <f>IF('Cable Info'!N393="","",CONCATENATE('Cable Info'!N393," - ",'Cable Info'!O393))</f>
        <v/>
      </c>
      <c r="AR533" s="149" t="str">
        <f t="shared" si="73"/>
        <v/>
      </c>
      <c r="AT533" s="149" t="str">
        <f>IF('Cable Info'!P393="","",CONCATENATE('Cable Info'!P393," - ",'Cable Info'!Q393))</f>
        <v/>
      </c>
      <c r="AW533" s="149" t="str">
        <f t="shared" si="74"/>
        <v/>
      </c>
      <c r="AY533" s="149" t="str">
        <f>IF('Cable Info'!R393="","",CONCATENATE('Cable Info'!R393," - ",'Cable Info'!S393))</f>
        <v/>
      </c>
      <c r="BB533" s="149" t="str">
        <f t="shared" si="75"/>
        <v/>
      </c>
      <c r="BD533" s="149" t="str">
        <f>IF('Cable Info'!T393="","",CONCATENATE('Cable Info'!T393," - ",'Cable Info'!U393))</f>
        <v/>
      </c>
      <c r="BG533" s="149" t="str">
        <f t="shared" si="76"/>
        <v/>
      </c>
      <c r="BI533" s="149" t="str">
        <f>IF('Cable Info'!V393="","",CONCATENATE('Cable Info'!V393," - ",'Cable Info'!W393))</f>
        <v/>
      </c>
      <c r="BL533" s="149" t="str">
        <f t="shared" si="77"/>
        <v/>
      </c>
    </row>
    <row r="534" spans="1:64" x14ac:dyDescent="0.2">
      <c r="A534" s="180"/>
      <c r="B534" s="180"/>
      <c r="C534" s="180"/>
      <c r="D534" s="180"/>
      <c r="E534" s="180"/>
      <c r="F534" s="187"/>
      <c r="G534" s="180"/>
      <c r="H534" s="180"/>
      <c r="I534" s="180"/>
      <c r="J534" s="187"/>
      <c r="K534" s="180"/>
      <c r="L534" s="180"/>
      <c r="M534" s="180"/>
      <c r="N534" s="180"/>
      <c r="O534" s="218"/>
      <c r="P534" s="180"/>
      <c r="Q534" s="188"/>
      <c r="R534" s="180"/>
      <c r="S534" s="180"/>
      <c r="T534" s="180"/>
      <c r="U534" s="180"/>
      <c r="V534" s="180"/>
      <c r="W534" s="180"/>
      <c r="X534" s="201"/>
      <c r="AJ534" s="149" t="str">
        <f>IF('Cable Info'!L394="","",CONCATENATE('Cable Info'!L394," - ",'Cable Info'!M394))</f>
        <v/>
      </c>
      <c r="AM534" s="149" t="str">
        <f t="shared" si="72"/>
        <v/>
      </c>
      <c r="AO534" s="149" t="str">
        <f>IF('Cable Info'!N394="","",CONCATENATE('Cable Info'!N394," - ",'Cable Info'!O394))</f>
        <v/>
      </c>
      <c r="AR534" s="149" t="str">
        <f t="shared" si="73"/>
        <v/>
      </c>
      <c r="AT534" s="149" t="str">
        <f>IF('Cable Info'!P394="","",CONCATENATE('Cable Info'!P394," - ",'Cable Info'!Q394))</f>
        <v/>
      </c>
      <c r="AW534" s="149" t="str">
        <f t="shared" si="74"/>
        <v/>
      </c>
      <c r="AY534" s="149" t="str">
        <f>IF('Cable Info'!R394="","",CONCATENATE('Cable Info'!R394," - ",'Cable Info'!S394))</f>
        <v/>
      </c>
      <c r="BB534" s="149" t="str">
        <f t="shared" si="75"/>
        <v/>
      </c>
      <c r="BD534" s="149" t="str">
        <f>IF('Cable Info'!T394="","",CONCATENATE('Cable Info'!T394," - ",'Cable Info'!U394))</f>
        <v/>
      </c>
      <c r="BG534" s="149" t="str">
        <f t="shared" si="76"/>
        <v/>
      </c>
      <c r="BI534" s="149" t="str">
        <f>IF('Cable Info'!V394="","",CONCATENATE('Cable Info'!V394," - ",'Cable Info'!W394))</f>
        <v/>
      </c>
      <c r="BL534" s="149" t="str">
        <f t="shared" si="77"/>
        <v/>
      </c>
    </row>
    <row r="535" spans="1:64" x14ac:dyDescent="0.2">
      <c r="A535" s="180"/>
      <c r="B535" s="180"/>
      <c r="C535" s="180"/>
      <c r="D535" s="180"/>
      <c r="E535" s="180"/>
      <c r="F535" s="187"/>
      <c r="G535" s="180"/>
      <c r="H535" s="180"/>
      <c r="I535" s="180"/>
      <c r="J535" s="187"/>
      <c r="K535" s="180"/>
      <c r="L535" s="180"/>
      <c r="M535" s="180"/>
      <c r="N535" s="180"/>
      <c r="O535" s="218"/>
      <c r="P535" s="180"/>
      <c r="Q535" s="188"/>
      <c r="R535" s="180"/>
      <c r="S535" s="180"/>
      <c r="T535" s="180"/>
      <c r="U535" s="180"/>
      <c r="V535" s="180"/>
      <c r="W535" s="180"/>
      <c r="X535" s="201"/>
      <c r="AJ535" s="149" t="str">
        <f>IF('Cable Info'!L395="","",CONCATENATE('Cable Info'!L395," - ",'Cable Info'!M395))</f>
        <v/>
      </c>
      <c r="AM535" s="149" t="str">
        <f t="shared" si="72"/>
        <v/>
      </c>
      <c r="AO535" s="149" t="str">
        <f>IF('Cable Info'!N395="","",CONCATENATE('Cable Info'!N395," - ",'Cable Info'!O395))</f>
        <v/>
      </c>
      <c r="AR535" s="149" t="str">
        <f t="shared" si="73"/>
        <v/>
      </c>
      <c r="AT535" s="149" t="str">
        <f>IF('Cable Info'!P395="","",CONCATENATE('Cable Info'!P395," - ",'Cable Info'!Q395))</f>
        <v/>
      </c>
      <c r="AW535" s="149" t="str">
        <f t="shared" si="74"/>
        <v/>
      </c>
      <c r="AY535" s="149" t="str">
        <f>IF('Cable Info'!R395="","",CONCATENATE('Cable Info'!R395," - ",'Cable Info'!S395))</f>
        <v/>
      </c>
      <c r="BB535" s="149" t="str">
        <f t="shared" si="75"/>
        <v/>
      </c>
      <c r="BD535" s="149" t="str">
        <f>IF('Cable Info'!T395="","",CONCATENATE('Cable Info'!T395," - ",'Cable Info'!U395))</f>
        <v/>
      </c>
      <c r="BG535" s="149" t="str">
        <f t="shared" si="76"/>
        <v/>
      </c>
      <c r="BI535" s="149" t="str">
        <f>IF('Cable Info'!V395="","",CONCATENATE('Cable Info'!V395," - ",'Cable Info'!W395))</f>
        <v/>
      </c>
      <c r="BL535" s="149" t="str">
        <f t="shared" si="77"/>
        <v/>
      </c>
    </row>
    <row r="536" spans="1:64" x14ac:dyDescent="0.2">
      <c r="A536" s="180"/>
      <c r="B536" s="180"/>
      <c r="C536" s="180"/>
      <c r="D536" s="180"/>
      <c r="E536" s="180"/>
      <c r="F536" s="187"/>
      <c r="G536" s="180"/>
      <c r="H536" s="180"/>
      <c r="I536" s="180"/>
      <c r="J536" s="187"/>
      <c r="K536" s="180"/>
      <c r="L536" s="180"/>
      <c r="M536" s="180"/>
      <c r="N536" s="180"/>
      <c r="O536" s="218"/>
      <c r="P536" s="180"/>
      <c r="Q536" s="188"/>
      <c r="R536" s="180"/>
      <c r="S536" s="180"/>
      <c r="T536" s="180"/>
      <c r="U536" s="180"/>
      <c r="V536" s="180"/>
      <c r="W536" s="180"/>
      <c r="X536" s="201"/>
      <c r="AJ536" s="149" t="str">
        <f>IF('Cable Info'!L396="","",CONCATENATE('Cable Info'!L396," - ",'Cable Info'!M396))</f>
        <v/>
      </c>
      <c r="AM536" s="149" t="str">
        <f t="shared" si="72"/>
        <v/>
      </c>
      <c r="AO536" s="149" t="str">
        <f>IF('Cable Info'!N396="","",CONCATENATE('Cable Info'!N396," - ",'Cable Info'!O396))</f>
        <v/>
      </c>
      <c r="AR536" s="149" t="str">
        <f t="shared" si="73"/>
        <v/>
      </c>
      <c r="AT536" s="149" t="str">
        <f>IF('Cable Info'!P396="","",CONCATENATE('Cable Info'!P396," - ",'Cable Info'!Q396))</f>
        <v/>
      </c>
      <c r="AW536" s="149" t="str">
        <f t="shared" si="74"/>
        <v/>
      </c>
      <c r="AY536" s="149" t="str">
        <f>IF('Cable Info'!R396="","",CONCATENATE('Cable Info'!R396," - ",'Cable Info'!S396))</f>
        <v/>
      </c>
      <c r="BB536" s="149" t="str">
        <f t="shared" si="75"/>
        <v/>
      </c>
      <c r="BD536" s="149" t="str">
        <f>IF('Cable Info'!T396="","",CONCATENATE('Cable Info'!T396," - ",'Cable Info'!U396))</f>
        <v/>
      </c>
      <c r="BG536" s="149" t="str">
        <f t="shared" si="76"/>
        <v/>
      </c>
      <c r="BI536" s="149" t="str">
        <f>IF('Cable Info'!V396="","",CONCATENATE('Cable Info'!V396," - ",'Cable Info'!W396))</f>
        <v/>
      </c>
      <c r="BL536" s="149" t="str">
        <f t="shared" si="77"/>
        <v/>
      </c>
    </row>
    <row r="537" spans="1:64" x14ac:dyDescent="0.2">
      <c r="A537" s="180"/>
      <c r="B537" s="180"/>
      <c r="C537" s="180"/>
      <c r="D537" s="180"/>
      <c r="E537" s="180"/>
      <c r="F537" s="187"/>
      <c r="G537" s="180"/>
      <c r="H537" s="180"/>
      <c r="I537" s="180"/>
      <c r="J537" s="187"/>
      <c r="K537" s="180"/>
      <c r="L537" s="180"/>
      <c r="M537" s="180"/>
      <c r="N537" s="180"/>
      <c r="O537" s="218"/>
      <c r="P537" s="180"/>
      <c r="Q537" s="188"/>
      <c r="R537" s="180"/>
      <c r="S537" s="180"/>
      <c r="T537" s="180"/>
      <c r="U537" s="180"/>
      <c r="V537" s="180"/>
      <c r="W537" s="180"/>
      <c r="X537" s="201"/>
      <c r="AJ537" s="149" t="str">
        <f>IF('Cable Info'!L397="","",CONCATENATE('Cable Info'!L397," - ",'Cable Info'!M397))</f>
        <v/>
      </c>
      <c r="AM537" s="149" t="str">
        <f t="shared" si="72"/>
        <v/>
      </c>
      <c r="AO537" s="149" t="str">
        <f>IF('Cable Info'!N397="","",CONCATENATE('Cable Info'!N397," - ",'Cable Info'!O397))</f>
        <v/>
      </c>
      <c r="AR537" s="149" t="str">
        <f t="shared" si="73"/>
        <v/>
      </c>
      <c r="AT537" s="149" t="str">
        <f>IF('Cable Info'!P397="","",CONCATENATE('Cable Info'!P397," - ",'Cable Info'!Q397))</f>
        <v/>
      </c>
      <c r="AW537" s="149" t="str">
        <f t="shared" si="74"/>
        <v/>
      </c>
      <c r="AY537" s="149" t="str">
        <f>IF('Cable Info'!R397="","",CONCATENATE('Cable Info'!R397," - ",'Cable Info'!S397))</f>
        <v/>
      </c>
      <c r="BB537" s="149" t="str">
        <f t="shared" si="75"/>
        <v/>
      </c>
      <c r="BD537" s="149" t="str">
        <f>IF('Cable Info'!T397="","",CONCATENATE('Cable Info'!T397," - ",'Cable Info'!U397))</f>
        <v/>
      </c>
      <c r="BG537" s="149" t="str">
        <f t="shared" si="76"/>
        <v/>
      </c>
      <c r="BI537" s="149" t="str">
        <f>IF('Cable Info'!V397="","",CONCATENATE('Cable Info'!V397," - ",'Cable Info'!W397))</f>
        <v/>
      </c>
      <c r="BL537" s="149" t="str">
        <f t="shared" si="77"/>
        <v/>
      </c>
    </row>
    <row r="538" spans="1:64" x14ac:dyDescent="0.2">
      <c r="A538" s="180"/>
      <c r="B538" s="180"/>
      <c r="C538" s="180"/>
      <c r="D538" s="180"/>
      <c r="E538" s="180"/>
      <c r="F538" s="187"/>
      <c r="G538" s="180"/>
      <c r="H538" s="180"/>
      <c r="I538" s="180"/>
      <c r="J538" s="187"/>
      <c r="K538" s="180"/>
      <c r="L538" s="180"/>
      <c r="M538" s="180"/>
      <c r="N538" s="180"/>
      <c r="O538" s="218"/>
      <c r="P538" s="180"/>
      <c r="Q538" s="188"/>
      <c r="R538" s="180"/>
      <c r="S538" s="180"/>
      <c r="T538" s="180"/>
      <c r="U538" s="180"/>
      <c r="V538" s="180"/>
      <c r="W538" s="180"/>
      <c r="X538" s="201"/>
      <c r="AJ538" s="149" t="str">
        <f>IF('Cable Info'!L398="","",CONCATENATE('Cable Info'!L398," - ",'Cable Info'!M398))</f>
        <v/>
      </c>
      <c r="AM538" s="149" t="str">
        <f t="shared" si="72"/>
        <v/>
      </c>
      <c r="AO538" s="149" t="str">
        <f>IF('Cable Info'!N398="","",CONCATENATE('Cable Info'!N398," - ",'Cable Info'!O398))</f>
        <v/>
      </c>
      <c r="AR538" s="149" t="str">
        <f t="shared" si="73"/>
        <v/>
      </c>
      <c r="AT538" s="149" t="str">
        <f>IF('Cable Info'!P398="","",CONCATENATE('Cable Info'!P398," - ",'Cable Info'!Q398))</f>
        <v/>
      </c>
      <c r="AW538" s="149" t="str">
        <f t="shared" si="74"/>
        <v/>
      </c>
      <c r="AY538" s="149" t="str">
        <f>IF('Cable Info'!R398="","",CONCATENATE('Cable Info'!R398," - ",'Cable Info'!S398))</f>
        <v/>
      </c>
      <c r="BB538" s="149" t="str">
        <f t="shared" si="75"/>
        <v/>
      </c>
      <c r="BD538" s="149" t="str">
        <f>IF('Cable Info'!T398="","",CONCATENATE('Cable Info'!T398," - ",'Cable Info'!U398))</f>
        <v/>
      </c>
      <c r="BG538" s="149" t="str">
        <f t="shared" si="76"/>
        <v/>
      </c>
      <c r="BI538" s="149" t="str">
        <f>IF('Cable Info'!V398="","",CONCATENATE('Cable Info'!V398," - ",'Cable Info'!W398))</f>
        <v/>
      </c>
      <c r="BL538" s="149" t="str">
        <f t="shared" si="77"/>
        <v/>
      </c>
    </row>
    <row r="539" spans="1:64" x14ac:dyDescent="0.2">
      <c r="A539" s="180"/>
      <c r="B539" s="180"/>
      <c r="C539" s="180"/>
      <c r="D539" s="180"/>
      <c r="E539" s="180"/>
      <c r="F539" s="187"/>
      <c r="G539" s="180"/>
      <c r="H539" s="180"/>
      <c r="I539" s="180"/>
      <c r="J539" s="187"/>
      <c r="K539" s="180"/>
      <c r="L539" s="180"/>
      <c r="M539" s="180"/>
      <c r="N539" s="180"/>
      <c r="O539" s="218"/>
      <c r="P539" s="180"/>
      <c r="Q539" s="188"/>
      <c r="R539" s="180"/>
      <c r="S539" s="180"/>
      <c r="T539" s="180"/>
      <c r="U539" s="180"/>
      <c r="V539" s="180"/>
      <c r="W539" s="180"/>
      <c r="X539" s="201"/>
      <c r="AJ539" s="149" t="str">
        <f>IF('Cable Info'!L399="","",CONCATENATE('Cable Info'!L399," - ",'Cable Info'!M399))</f>
        <v/>
      </c>
      <c r="AM539" s="149" t="str">
        <f t="shared" si="72"/>
        <v/>
      </c>
      <c r="AO539" s="149" t="str">
        <f>IF('Cable Info'!N399="","",CONCATENATE('Cable Info'!N399," - ",'Cable Info'!O399))</f>
        <v/>
      </c>
      <c r="AR539" s="149" t="str">
        <f t="shared" si="73"/>
        <v/>
      </c>
      <c r="AT539" s="149" t="str">
        <f>IF('Cable Info'!P399="","",CONCATENATE('Cable Info'!P399," - ",'Cable Info'!Q399))</f>
        <v/>
      </c>
      <c r="AW539" s="149" t="str">
        <f t="shared" si="74"/>
        <v/>
      </c>
      <c r="AY539" s="149" t="str">
        <f>IF('Cable Info'!R399="","",CONCATENATE('Cable Info'!R399," - ",'Cable Info'!S399))</f>
        <v/>
      </c>
      <c r="BB539" s="149" t="str">
        <f t="shared" si="75"/>
        <v/>
      </c>
      <c r="BD539" s="149" t="str">
        <f>IF('Cable Info'!T399="","",CONCATENATE('Cable Info'!T399," - ",'Cable Info'!U399))</f>
        <v/>
      </c>
      <c r="BG539" s="149" t="str">
        <f t="shared" si="76"/>
        <v/>
      </c>
      <c r="BI539" s="149" t="str">
        <f>IF('Cable Info'!V399="","",CONCATENATE('Cable Info'!V399," - ",'Cable Info'!W399))</f>
        <v/>
      </c>
      <c r="BL539" s="149" t="str">
        <f t="shared" si="77"/>
        <v/>
      </c>
    </row>
    <row r="540" spans="1:64" x14ac:dyDescent="0.2">
      <c r="A540" s="180"/>
      <c r="B540" s="180"/>
      <c r="C540" s="180"/>
      <c r="D540" s="180"/>
      <c r="E540" s="180"/>
      <c r="F540" s="187"/>
      <c r="G540" s="180"/>
      <c r="H540" s="180"/>
      <c r="I540" s="180"/>
      <c r="J540" s="187"/>
      <c r="K540" s="180"/>
      <c r="L540" s="180"/>
      <c r="M540" s="180"/>
      <c r="N540" s="180"/>
      <c r="O540" s="218"/>
      <c r="P540" s="180"/>
      <c r="Q540" s="188"/>
      <c r="R540" s="180"/>
      <c r="S540" s="180"/>
      <c r="T540" s="180"/>
      <c r="U540" s="180"/>
      <c r="V540" s="180"/>
      <c r="W540" s="180"/>
      <c r="X540" s="201"/>
      <c r="AJ540" s="149" t="str">
        <f>IF('Cable Info'!L400="","",CONCATENATE('Cable Info'!L400," - ",'Cable Info'!M400))</f>
        <v/>
      </c>
      <c r="AM540" s="149" t="str">
        <f t="shared" si="72"/>
        <v/>
      </c>
      <c r="AO540" s="149" t="str">
        <f>IF('Cable Info'!N400="","",CONCATENATE('Cable Info'!N400," - ",'Cable Info'!O400))</f>
        <v/>
      </c>
      <c r="AR540" s="149" t="str">
        <f t="shared" si="73"/>
        <v/>
      </c>
      <c r="AT540" s="149" t="str">
        <f>IF('Cable Info'!P400="","",CONCATENATE('Cable Info'!P400," - ",'Cable Info'!Q400))</f>
        <v/>
      </c>
      <c r="AW540" s="149" t="str">
        <f t="shared" si="74"/>
        <v/>
      </c>
      <c r="AY540" s="149" t="str">
        <f>IF('Cable Info'!R400="","",CONCATENATE('Cable Info'!R400," - ",'Cable Info'!S400))</f>
        <v/>
      </c>
      <c r="BB540" s="149" t="str">
        <f t="shared" si="75"/>
        <v/>
      </c>
      <c r="BD540" s="149" t="str">
        <f>IF('Cable Info'!T400="","",CONCATENATE('Cable Info'!T400," - ",'Cable Info'!U400))</f>
        <v/>
      </c>
      <c r="BG540" s="149" t="str">
        <f t="shared" si="76"/>
        <v/>
      </c>
      <c r="BI540" s="149" t="str">
        <f>IF('Cable Info'!V400="","",CONCATENATE('Cable Info'!V400," - ",'Cable Info'!W400))</f>
        <v/>
      </c>
      <c r="BL540" s="149" t="str">
        <f t="shared" si="77"/>
        <v/>
      </c>
    </row>
    <row r="541" spans="1:64" x14ac:dyDescent="0.2">
      <c r="A541" s="180"/>
      <c r="B541" s="180"/>
      <c r="C541" s="180"/>
      <c r="D541" s="180"/>
      <c r="E541" s="180"/>
      <c r="F541" s="187"/>
      <c r="G541" s="180"/>
      <c r="H541" s="180"/>
      <c r="I541" s="180"/>
      <c r="J541" s="187"/>
      <c r="K541" s="180"/>
      <c r="L541" s="180"/>
      <c r="M541" s="180"/>
      <c r="N541" s="180"/>
      <c r="O541" s="218"/>
      <c r="P541" s="180"/>
      <c r="Q541" s="188"/>
      <c r="R541" s="180"/>
      <c r="S541" s="180"/>
      <c r="T541" s="180"/>
      <c r="U541" s="180"/>
      <c r="V541" s="180"/>
      <c r="W541" s="180"/>
      <c r="X541" s="201"/>
      <c r="AJ541" s="149" t="str">
        <f>IF('Cable Info'!L401="","",CONCATENATE('Cable Info'!L401," - ",'Cable Info'!M401))</f>
        <v/>
      </c>
      <c r="AM541" s="149" t="str">
        <f t="shared" si="72"/>
        <v/>
      </c>
      <c r="AO541" s="149" t="str">
        <f>IF('Cable Info'!N401="","",CONCATENATE('Cable Info'!N401," - ",'Cable Info'!O401))</f>
        <v/>
      </c>
      <c r="AR541" s="149" t="str">
        <f t="shared" si="73"/>
        <v/>
      </c>
      <c r="AT541" s="149" t="str">
        <f>IF('Cable Info'!P401="","",CONCATENATE('Cable Info'!P401," - ",'Cable Info'!Q401))</f>
        <v/>
      </c>
      <c r="AW541" s="149" t="str">
        <f t="shared" si="74"/>
        <v/>
      </c>
      <c r="AY541" s="149" t="str">
        <f>IF('Cable Info'!R401="","",CONCATENATE('Cable Info'!R401," - ",'Cable Info'!S401))</f>
        <v/>
      </c>
      <c r="BB541" s="149" t="str">
        <f t="shared" si="75"/>
        <v/>
      </c>
      <c r="BD541" s="149" t="str">
        <f>IF('Cable Info'!T401="","",CONCATENATE('Cable Info'!T401," - ",'Cable Info'!U401))</f>
        <v/>
      </c>
      <c r="BG541" s="149" t="str">
        <f t="shared" si="76"/>
        <v/>
      </c>
      <c r="BI541" s="149" t="str">
        <f>IF('Cable Info'!V401="","",CONCATENATE('Cable Info'!V401," - ",'Cable Info'!W401))</f>
        <v/>
      </c>
      <c r="BL541" s="149" t="str">
        <f t="shared" si="77"/>
        <v/>
      </c>
    </row>
    <row r="542" spans="1:64" x14ac:dyDescent="0.2">
      <c r="A542" s="180"/>
      <c r="B542" s="180"/>
      <c r="C542" s="180"/>
      <c r="D542" s="180"/>
      <c r="E542" s="180"/>
      <c r="F542" s="187"/>
      <c r="G542" s="180"/>
      <c r="H542" s="180"/>
      <c r="I542" s="180"/>
      <c r="J542" s="187"/>
      <c r="K542" s="180"/>
      <c r="L542" s="180"/>
      <c r="M542" s="180"/>
      <c r="N542" s="180"/>
      <c r="O542" s="218"/>
      <c r="P542" s="180"/>
      <c r="Q542" s="188"/>
      <c r="R542" s="180"/>
      <c r="S542" s="180"/>
      <c r="T542" s="180"/>
      <c r="U542" s="180"/>
      <c r="V542" s="180"/>
      <c r="W542" s="180"/>
      <c r="X542" s="201"/>
      <c r="AJ542" s="149" t="str">
        <f>IF('Cable Info'!L402="","",CONCATENATE('Cable Info'!L402," - ",'Cable Info'!M402))</f>
        <v/>
      </c>
      <c r="AM542" s="149" t="str">
        <f t="shared" si="72"/>
        <v/>
      </c>
      <c r="AO542" s="149" t="str">
        <f>IF('Cable Info'!N402="","",CONCATENATE('Cable Info'!N402," - ",'Cable Info'!O402))</f>
        <v/>
      </c>
      <c r="AR542" s="149" t="str">
        <f t="shared" si="73"/>
        <v/>
      </c>
      <c r="AT542" s="149" t="str">
        <f>IF('Cable Info'!P402="","",CONCATENATE('Cable Info'!P402," - ",'Cable Info'!Q402))</f>
        <v/>
      </c>
      <c r="AW542" s="149" t="str">
        <f t="shared" si="74"/>
        <v/>
      </c>
      <c r="AY542" s="149" t="str">
        <f>IF('Cable Info'!R402="","",CONCATENATE('Cable Info'!R402," - ",'Cable Info'!S402))</f>
        <v/>
      </c>
      <c r="BB542" s="149" t="str">
        <f t="shared" si="75"/>
        <v/>
      </c>
      <c r="BD542" s="149" t="str">
        <f>IF('Cable Info'!T402="","",CONCATENATE('Cable Info'!T402," - ",'Cable Info'!U402))</f>
        <v/>
      </c>
      <c r="BG542" s="149" t="str">
        <f t="shared" si="76"/>
        <v/>
      </c>
      <c r="BI542" s="149" t="str">
        <f>IF('Cable Info'!V402="","",CONCATENATE('Cable Info'!V402," - ",'Cable Info'!W402))</f>
        <v/>
      </c>
      <c r="BL542" s="149" t="str">
        <f t="shared" si="77"/>
        <v/>
      </c>
    </row>
    <row r="543" spans="1:64" x14ac:dyDescent="0.2">
      <c r="A543" s="180"/>
      <c r="B543" s="180"/>
      <c r="C543" s="180"/>
      <c r="D543" s="180"/>
      <c r="E543" s="180"/>
      <c r="F543" s="187"/>
      <c r="G543" s="180"/>
      <c r="H543" s="180"/>
      <c r="I543" s="180"/>
      <c r="J543" s="187"/>
      <c r="K543" s="180"/>
      <c r="L543" s="180"/>
      <c r="M543" s="180"/>
      <c r="N543" s="180"/>
      <c r="O543" s="218"/>
      <c r="P543" s="180"/>
      <c r="Q543" s="188"/>
      <c r="R543" s="180"/>
      <c r="S543" s="180"/>
      <c r="T543" s="180"/>
      <c r="U543" s="180"/>
      <c r="V543" s="180"/>
      <c r="W543" s="180"/>
      <c r="X543" s="201"/>
      <c r="AJ543" s="149" t="str">
        <f>IF('Cable Info'!L403="","",CONCATENATE('Cable Info'!L403," - ",'Cable Info'!M403))</f>
        <v/>
      </c>
      <c r="AM543" s="149" t="str">
        <f t="shared" si="72"/>
        <v/>
      </c>
      <c r="AO543" s="149" t="str">
        <f>IF('Cable Info'!N403="","",CONCATENATE('Cable Info'!N403," - ",'Cable Info'!O403))</f>
        <v/>
      </c>
      <c r="AR543" s="149" t="str">
        <f t="shared" si="73"/>
        <v/>
      </c>
      <c r="AT543" s="149" t="str">
        <f>IF('Cable Info'!P403="","",CONCATENATE('Cable Info'!P403," - ",'Cable Info'!Q403))</f>
        <v/>
      </c>
      <c r="AW543" s="149" t="str">
        <f t="shared" si="74"/>
        <v/>
      </c>
      <c r="AY543" s="149" t="str">
        <f>IF('Cable Info'!R403="","",CONCATENATE('Cable Info'!R403," - ",'Cable Info'!S403))</f>
        <v/>
      </c>
      <c r="BB543" s="149" t="str">
        <f t="shared" si="75"/>
        <v/>
      </c>
      <c r="BD543" s="149" t="str">
        <f>IF('Cable Info'!T403="","",CONCATENATE('Cable Info'!T403," - ",'Cable Info'!U403))</f>
        <v/>
      </c>
      <c r="BG543" s="149" t="str">
        <f t="shared" si="76"/>
        <v/>
      </c>
      <c r="BI543" s="149" t="str">
        <f>IF('Cable Info'!V403="","",CONCATENATE('Cable Info'!V403," - ",'Cable Info'!W403))</f>
        <v/>
      </c>
      <c r="BL543" s="149" t="str">
        <f t="shared" si="77"/>
        <v/>
      </c>
    </row>
    <row r="544" spans="1:64" x14ac:dyDescent="0.2">
      <c r="A544" s="180"/>
      <c r="B544" s="180"/>
      <c r="C544" s="180"/>
      <c r="D544" s="180"/>
      <c r="E544" s="180"/>
      <c r="F544" s="187"/>
      <c r="G544" s="180"/>
      <c r="H544" s="180"/>
      <c r="I544" s="180"/>
      <c r="J544" s="187"/>
      <c r="K544" s="180"/>
      <c r="L544" s="180"/>
      <c r="M544" s="180"/>
      <c r="N544" s="180"/>
      <c r="O544" s="218"/>
      <c r="P544" s="180"/>
      <c r="Q544" s="188"/>
      <c r="R544" s="180"/>
      <c r="S544" s="180"/>
      <c r="T544" s="180"/>
      <c r="U544" s="180"/>
      <c r="V544" s="180"/>
      <c r="W544" s="180"/>
      <c r="X544" s="201"/>
      <c r="AJ544" s="149" t="str">
        <f>IF('Cable Info'!L404="","",CONCATENATE('Cable Info'!L404," - ",'Cable Info'!M404))</f>
        <v/>
      </c>
      <c r="AM544" s="149" t="str">
        <f t="shared" si="72"/>
        <v/>
      </c>
      <c r="AO544" s="149" t="str">
        <f>IF('Cable Info'!N404="","",CONCATENATE('Cable Info'!N404," - ",'Cable Info'!O404))</f>
        <v/>
      </c>
      <c r="AR544" s="149" t="str">
        <f t="shared" si="73"/>
        <v/>
      </c>
      <c r="AT544" s="149" t="str">
        <f>IF('Cable Info'!P404="","",CONCATENATE('Cable Info'!P404," - ",'Cable Info'!Q404))</f>
        <v/>
      </c>
      <c r="AW544" s="149" t="str">
        <f t="shared" si="74"/>
        <v/>
      </c>
      <c r="AY544" s="149" t="str">
        <f>IF('Cable Info'!R404="","",CONCATENATE('Cable Info'!R404," - ",'Cable Info'!S404))</f>
        <v/>
      </c>
      <c r="BB544" s="149" t="str">
        <f t="shared" si="75"/>
        <v/>
      </c>
      <c r="BD544" s="149" t="str">
        <f>IF('Cable Info'!T404="","",CONCATENATE('Cable Info'!T404," - ",'Cable Info'!U404))</f>
        <v/>
      </c>
      <c r="BG544" s="149" t="str">
        <f t="shared" si="76"/>
        <v/>
      </c>
      <c r="BI544" s="149" t="str">
        <f>IF('Cable Info'!V404="","",CONCATENATE('Cable Info'!V404," - ",'Cable Info'!W404))</f>
        <v/>
      </c>
      <c r="BL544" s="149" t="str">
        <f t="shared" si="77"/>
        <v/>
      </c>
    </row>
    <row r="545" spans="1:64" x14ac:dyDescent="0.2">
      <c r="A545" s="180"/>
      <c r="B545" s="180"/>
      <c r="C545" s="180"/>
      <c r="D545" s="180"/>
      <c r="E545" s="180"/>
      <c r="F545" s="187"/>
      <c r="G545" s="180"/>
      <c r="H545" s="180"/>
      <c r="I545" s="180"/>
      <c r="J545" s="187"/>
      <c r="K545" s="180"/>
      <c r="L545" s="180"/>
      <c r="M545" s="180"/>
      <c r="N545" s="180"/>
      <c r="O545" s="218"/>
      <c r="P545" s="180"/>
      <c r="Q545" s="188"/>
      <c r="R545" s="180"/>
      <c r="S545" s="180"/>
      <c r="T545" s="180"/>
      <c r="U545" s="180"/>
      <c r="V545" s="180"/>
      <c r="W545" s="180"/>
      <c r="X545" s="201"/>
      <c r="AJ545" s="149" t="str">
        <f>IF('Cable Info'!L405="","",CONCATENATE('Cable Info'!L405," - ",'Cable Info'!M405))</f>
        <v/>
      </c>
      <c r="AM545" s="149" t="str">
        <f t="shared" si="72"/>
        <v/>
      </c>
      <c r="AO545" s="149" t="str">
        <f>IF('Cable Info'!N405="","",CONCATENATE('Cable Info'!N405," - ",'Cable Info'!O405))</f>
        <v/>
      </c>
      <c r="AR545" s="149" t="str">
        <f t="shared" si="73"/>
        <v/>
      </c>
      <c r="AT545" s="149" t="str">
        <f>IF('Cable Info'!P405="","",CONCATENATE('Cable Info'!P405," - ",'Cable Info'!Q405))</f>
        <v/>
      </c>
      <c r="AW545" s="149" t="str">
        <f t="shared" si="74"/>
        <v/>
      </c>
      <c r="AY545" s="149" t="str">
        <f>IF('Cable Info'!R405="","",CONCATENATE('Cable Info'!R405," - ",'Cable Info'!S405))</f>
        <v/>
      </c>
      <c r="BB545" s="149" t="str">
        <f t="shared" si="75"/>
        <v/>
      </c>
      <c r="BD545" s="149" t="str">
        <f>IF('Cable Info'!T405="","",CONCATENATE('Cable Info'!T405," - ",'Cable Info'!U405))</f>
        <v/>
      </c>
      <c r="BG545" s="149" t="str">
        <f t="shared" si="76"/>
        <v/>
      </c>
      <c r="BI545" s="149" t="str">
        <f>IF('Cable Info'!V405="","",CONCATENATE('Cable Info'!V405," - ",'Cable Info'!W405))</f>
        <v/>
      </c>
      <c r="BL545" s="149" t="str">
        <f t="shared" si="77"/>
        <v/>
      </c>
    </row>
    <row r="546" spans="1:64" x14ac:dyDescent="0.2">
      <c r="A546" s="180"/>
      <c r="B546" s="180"/>
      <c r="C546" s="180"/>
      <c r="D546" s="180"/>
      <c r="E546" s="180"/>
      <c r="F546" s="187"/>
      <c r="G546" s="180"/>
      <c r="H546" s="180"/>
      <c r="I546" s="180"/>
      <c r="J546" s="187"/>
      <c r="K546" s="180"/>
      <c r="L546" s="180"/>
      <c r="M546" s="180"/>
      <c r="N546" s="180"/>
      <c r="O546" s="218"/>
      <c r="P546" s="180"/>
      <c r="Q546" s="188"/>
      <c r="R546" s="180"/>
      <c r="S546" s="180"/>
      <c r="T546" s="180"/>
      <c r="U546" s="180"/>
      <c r="V546" s="180"/>
      <c r="W546" s="180"/>
      <c r="X546" s="201"/>
      <c r="AJ546" s="149" t="str">
        <f>IF('Cable Info'!L406="","",CONCATENATE('Cable Info'!L406," - ",'Cable Info'!M406))</f>
        <v/>
      </c>
      <c r="AM546" s="149" t="str">
        <f t="shared" si="72"/>
        <v/>
      </c>
      <c r="AO546" s="149" t="str">
        <f>IF('Cable Info'!N406="","",CONCATENATE('Cable Info'!N406," - ",'Cable Info'!O406))</f>
        <v/>
      </c>
      <c r="AR546" s="149" t="str">
        <f t="shared" si="73"/>
        <v/>
      </c>
      <c r="AT546" s="149" t="str">
        <f>IF('Cable Info'!P406="","",CONCATENATE('Cable Info'!P406," - ",'Cable Info'!Q406))</f>
        <v/>
      </c>
      <c r="AW546" s="149" t="str">
        <f t="shared" si="74"/>
        <v/>
      </c>
      <c r="AY546" s="149" t="str">
        <f>IF('Cable Info'!R406="","",CONCATENATE('Cable Info'!R406," - ",'Cable Info'!S406))</f>
        <v/>
      </c>
      <c r="BB546" s="149" t="str">
        <f t="shared" si="75"/>
        <v/>
      </c>
      <c r="BD546" s="149" t="str">
        <f>IF('Cable Info'!T406="","",CONCATENATE('Cable Info'!T406," - ",'Cable Info'!U406))</f>
        <v/>
      </c>
      <c r="BG546" s="149" t="str">
        <f t="shared" si="76"/>
        <v/>
      </c>
      <c r="BI546" s="149" t="str">
        <f>IF('Cable Info'!V406="","",CONCATENATE('Cable Info'!V406," - ",'Cable Info'!W406))</f>
        <v/>
      </c>
      <c r="BL546" s="149" t="str">
        <f t="shared" si="77"/>
        <v/>
      </c>
    </row>
    <row r="547" spans="1:64" x14ac:dyDescent="0.2">
      <c r="A547" s="180"/>
      <c r="B547" s="180"/>
      <c r="C547" s="180"/>
      <c r="D547" s="180"/>
      <c r="E547" s="180"/>
      <c r="F547" s="187"/>
      <c r="G547" s="180"/>
      <c r="H547" s="180"/>
      <c r="I547" s="180"/>
      <c r="J547" s="187"/>
      <c r="K547" s="180"/>
      <c r="L547" s="180"/>
      <c r="M547" s="180"/>
      <c r="N547" s="180"/>
      <c r="O547" s="218"/>
      <c r="P547" s="180"/>
      <c r="Q547" s="188"/>
      <c r="R547" s="180"/>
      <c r="S547" s="180"/>
      <c r="T547" s="180"/>
      <c r="U547" s="180"/>
      <c r="V547" s="180"/>
      <c r="W547" s="180"/>
      <c r="X547" s="201"/>
      <c r="AJ547" s="149" t="str">
        <f>IF('Cable Info'!L407="","",CONCATENATE('Cable Info'!L407," - ",'Cable Info'!M407))</f>
        <v/>
      </c>
      <c r="AM547" s="149" t="str">
        <f t="shared" si="72"/>
        <v/>
      </c>
      <c r="AO547" s="149" t="str">
        <f>IF('Cable Info'!N407="","",CONCATENATE('Cable Info'!N407," - ",'Cable Info'!O407))</f>
        <v/>
      </c>
      <c r="AR547" s="149" t="str">
        <f t="shared" si="73"/>
        <v/>
      </c>
      <c r="AT547" s="149" t="str">
        <f>IF('Cable Info'!P407="","",CONCATENATE('Cable Info'!P407," - ",'Cable Info'!Q407))</f>
        <v/>
      </c>
      <c r="AW547" s="149" t="str">
        <f t="shared" si="74"/>
        <v/>
      </c>
      <c r="AY547" s="149" t="str">
        <f>IF('Cable Info'!R407="","",CONCATENATE('Cable Info'!R407," - ",'Cable Info'!S407))</f>
        <v/>
      </c>
      <c r="BB547" s="149" t="str">
        <f t="shared" si="75"/>
        <v/>
      </c>
      <c r="BD547" s="149" t="str">
        <f>IF('Cable Info'!T407="","",CONCATENATE('Cable Info'!T407," - ",'Cable Info'!U407))</f>
        <v/>
      </c>
      <c r="BG547" s="149" t="str">
        <f t="shared" si="76"/>
        <v/>
      </c>
      <c r="BI547" s="149" t="str">
        <f>IF('Cable Info'!V407="","",CONCATENATE('Cable Info'!V407," - ",'Cable Info'!W407))</f>
        <v/>
      </c>
      <c r="BL547" s="149" t="str">
        <f t="shared" si="77"/>
        <v/>
      </c>
    </row>
    <row r="548" spans="1:64" x14ac:dyDescent="0.2">
      <c r="A548" s="180"/>
      <c r="B548" s="180"/>
      <c r="C548" s="180"/>
      <c r="D548" s="180"/>
      <c r="E548" s="180"/>
      <c r="F548" s="187"/>
      <c r="G548" s="180"/>
      <c r="H548" s="180"/>
      <c r="I548" s="180"/>
      <c r="J548" s="187"/>
      <c r="K548" s="180"/>
      <c r="L548" s="180"/>
      <c r="M548" s="180"/>
      <c r="N548" s="180"/>
      <c r="O548" s="218"/>
      <c r="P548" s="180"/>
      <c r="Q548" s="188"/>
      <c r="R548" s="180"/>
      <c r="S548" s="180"/>
      <c r="T548" s="180"/>
      <c r="U548" s="180"/>
      <c r="V548" s="180"/>
      <c r="W548" s="180"/>
      <c r="X548" s="201"/>
      <c r="AJ548" s="149" t="str">
        <f>IF('Cable Info'!L408="","",CONCATENATE('Cable Info'!L408," - ",'Cable Info'!M408))</f>
        <v/>
      </c>
      <c r="AM548" s="149" t="str">
        <f t="shared" si="72"/>
        <v/>
      </c>
      <c r="AO548" s="149" t="str">
        <f>IF('Cable Info'!N408="","",CONCATENATE('Cable Info'!N408," - ",'Cable Info'!O408))</f>
        <v/>
      </c>
      <c r="AR548" s="149" t="str">
        <f t="shared" si="73"/>
        <v/>
      </c>
      <c r="AT548" s="149" t="str">
        <f>IF('Cable Info'!P408="","",CONCATENATE('Cable Info'!P408," - ",'Cable Info'!Q408))</f>
        <v/>
      </c>
      <c r="AW548" s="149" t="str">
        <f t="shared" si="74"/>
        <v/>
      </c>
      <c r="AY548" s="149" t="str">
        <f>IF('Cable Info'!R408="","",CONCATENATE('Cable Info'!R408," - ",'Cable Info'!S408))</f>
        <v/>
      </c>
      <c r="BB548" s="149" t="str">
        <f t="shared" si="75"/>
        <v/>
      </c>
      <c r="BD548" s="149" t="str">
        <f>IF('Cable Info'!T408="","",CONCATENATE('Cable Info'!T408," - ",'Cable Info'!U408))</f>
        <v/>
      </c>
      <c r="BG548" s="149" t="str">
        <f t="shared" si="76"/>
        <v/>
      </c>
      <c r="BI548" s="149" t="str">
        <f>IF('Cable Info'!V408="","",CONCATENATE('Cable Info'!V408," - ",'Cable Info'!W408))</f>
        <v/>
      </c>
      <c r="BL548" s="149" t="str">
        <f t="shared" si="77"/>
        <v/>
      </c>
    </row>
    <row r="549" spans="1:64" x14ac:dyDescent="0.2">
      <c r="A549" s="180"/>
      <c r="B549" s="180"/>
      <c r="C549" s="180"/>
      <c r="D549" s="180"/>
      <c r="E549" s="180"/>
      <c r="F549" s="187"/>
      <c r="G549" s="180"/>
      <c r="H549" s="180"/>
      <c r="I549" s="180"/>
      <c r="J549" s="187"/>
      <c r="K549" s="180"/>
      <c r="L549" s="180"/>
      <c r="M549" s="180"/>
      <c r="N549" s="180"/>
      <c r="O549" s="218"/>
      <c r="P549" s="180"/>
      <c r="Q549" s="188"/>
      <c r="R549" s="180"/>
      <c r="S549" s="180"/>
      <c r="T549" s="180"/>
      <c r="U549" s="180"/>
      <c r="V549" s="180"/>
      <c r="W549" s="180"/>
      <c r="X549" s="201"/>
      <c r="AJ549" s="149" t="str">
        <f>IF('Cable Info'!L409="","",CONCATENATE('Cable Info'!L409," - ",'Cable Info'!M409))</f>
        <v/>
      </c>
      <c r="AM549" s="149" t="str">
        <f t="shared" si="72"/>
        <v/>
      </c>
      <c r="AO549" s="149" t="str">
        <f>IF('Cable Info'!N409="","",CONCATENATE('Cable Info'!N409," - ",'Cable Info'!O409))</f>
        <v/>
      </c>
      <c r="AR549" s="149" t="str">
        <f t="shared" si="73"/>
        <v/>
      </c>
      <c r="AT549" s="149" t="str">
        <f>IF('Cable Info'!P409="","",CONCATENATE('Cable Info'!P409," - ",'Cable Info'!Q409))</f>
        <v/>
      </c>
      <c r="AW549" s="149" t="str">
        <f t="shared" si="74"/>
        <v/>
      </c>
      <c r="AY549" s="149" t="str">
        <f>IF('Cable Info'!R409="","",CONCATENATE('Cable Info'!R409," - ",'Cable Info'!S409))</f>
        <v/>
      </c>
      <c r="BB549" s="149" t="str">
        <f t="shared" si="75"/>
        <v/>
      </c>
      <c r="BD549" s="149" t="str">
        <f>IF('Cable Info'!T409="","",CONCATENATE('Cable Info'!T409," - ",'Cable Info'!U409))</f>
        <v/>
      </c>
      <c r="BG549" s="149" t="str">
        <f t="shared" si="76"/>
        <v/>
      </c>
      <c r="BI549" s="149" t="str">
        <f>IF('Cable Info'!V409="","",CONCATENATE('Cable Info'!V409," - ",'Cable Info'!W409))</f>
        <v/>
      </c>
      <c r="BL549" s="149" t="str">
        <f t="shared" si="77"/>
        <v/>
      </c>
    </row>
    <row r="550" spans="1:64" x14ac:dyDescent="0.2">
      <c r="A550" s="180"/>
      <c r="B550" s="180"/>
      <c r="C550" s="180"/>
      <c r="D550" s="180"/>
      <c r="E550" s="180"/>
      <c r="F550" s="187"/>
      <c r="G550" s="180"/>
      <c r="H550" s="180"/>
      <c r="I550" s="180"/>
      <c r="J550" s="187"/>
      <c r="K550" s="180"/>
      <c r="L550" s="180"/>
      <c r="M550" s="180"/>
      <c r="N550" s="180"/>
      <c r="O550" s="218"/>
      <c r="P550" s="180"/>
      <c r="Q550" s="188"/>
      <c r="R550" s="180"/>
      <c r="S550" s="180"/>
      <c r="T550" s="180"/>
      <c r="U550" s="180"/>
      <c r="V550" s="180"/>
      <c r="W550" s="180"/>
      <c r="X550" s="201"/>
      <c r="AJ550" s="149" t="str">
        <f>IF('Cable Info'!L410="","",CONCATENATE('Cable Info'!L410," - ",'Cable Info'!M410))</f>
        <v/>
      </c>
      <c r="AM550" s="149" t="str">
        <f t="shared" si="72"/>
        <v/>
      </c>
      <c r="AO550" s="149" t="str">
        <f>IF('Cable Info'!N410="","",CONCATENATE('Cable Info'!N410," - ",'Cable Info'!O410))</f>
        <v/>
      </c>
      <c r="AR550" s="149" t="str">
        <f t="shared" si="73"/>
        <v/>
      </c>
      <c r="AT550" s="149" t="str">
        <f>IF('Cable Info'!P410="","",CONCATENATE('Cable Info'!P410," - ",'Cable Info'!Q410))</f>
        <v/>
      </c>
      <c r="AW550" s="149" t="str">
        <f t="shared" si="74"/>
        <v/>
      </c>
      <c r="AY550" s="149" t="str">
        <f>IF('Cable Info'!R410="","",CONCATENATE('Cable Info'!R410," - ",'Cable Info'!S410))</f>
        <v/>
      </c>
      <c r="BB550" s="149" t="str">
        <f t="shared" si="75"/>
        <v/>
      </c>
      <c r="BD550" s="149" t="str">
        <f>IF('Cable Info'!T410="","",CONCATENATE('Cable Info'!T410," - ",'Cable Info'!U410))</f>
        <v/>
      </c>
      <c r="BG550" s="149" t="str">
        <f t="shared" si="76"/>
        <v/>
      </c>
      <c r="BI550" s="149" t="str">
        <f>IF('Cable Info'!V410="","",CONCATENATE('Cable Info'!V410," - ",'Cable Info'!W410))</f>
        <v/>
      </c>
      <c r="BL550" s="149" t="str">
        <f t="shared" si="77"/>
        <v/>
      </c>
    </row>
    <row r="551" spans="1:64" x14ac:dyDescent="0.2">
      <c r="A551" s="180"/>
      <c r="B551" s="180"/>
      <c r="C551" s="180"/>
      <c r="D551" s="180"/>
      <c r="E551" s="180"/>
      <c r="F551" s="187"/>
      <c r="G551" s="180"/>
      <c r="H551" s="180"/>
      <c r="I551" s="180"/>
      <c r="J551" s="187"/>
      <c r="K551" s="180"/>
      <c r="L551" s="180"/>
      <c r="M551" s="180"/>
      <c r="N551" s="180"/>
      <c r="O551" s="218"/>
      <c r="P551" s="180"/>
      <c r="Q551" s="188"/>
      <c r="R551" s="180"/>
      <c r="S551" s="180"/>
      <c r="T551" s="180"/>
      <c r="U551" s="180"/>
      <c r="V551" s="180"/>
      <c r="W551" s="180"/>
      <c r="X551" s="201"/>
      <c r="AJ551" s="149" t="str">
        <f>IF('Cable Info'!L411="","",CONCATENATE('Cable Info'!L411," - ",'Cable Info'!M411))</f>
        <v/>
      </c>
      <c r="AM551" s="149" t="str">
        <f t="shared" si="72"/>
        <v/>
      </c>
      <c r="AO551" s="149" t="str">
        <f>IF('Cable Info'!N411="","",CONCATENATE('Cable Info'!N411," - ",'Cable Info'!O411))</f>
        <v/>
      </c>
      <c r="AR551" s="149" t="str">
        <f t="shared" si="73"/>
        <v/>
      </c>
      <c r="AT551" s="149" t="str">
        <f>IF('Cable Info'!P411="","",CONCATENATE('Cable Info'!P411," - ",'Cable Info'!Q411))</f>
        <v/>
      </c>
      <c r="AW551" s="149" t="str">
        <f t="shared" si="74"/>
        <v/>
      </c>
      <c r="AY551" s="149" t="str">
        <f>IF('Cable Info'!R411="","",CONCATENATE('Cable Info'!R411," - ",'Cable Info'!S411))</f>
        <v/>
      </c>
      <c r="BB551" s="149" t="str">
        <f t="shared" si="75"/>
        <v/>
      </c>
      <c r="BD551" s="149" t="str">
        <f>IF('Cable Info'!T411="","",CONCATENATE('Cable Info'!T411," - ",'Cable Info'!U411))</f>
        <v/>
      </c>
      <c r="BG551" s="149" t="str">
        <f t="shared" si="76"/>
        <v/>
      </c>
      <c r="BI551" s="149" t="str">
        <f>IF('Cable Info'!V411="","",CONCATENATE('Cable Info'!V411," - ",'Cable Info'!W411))</f>
        <v/>
      </c>
      <c r="BL551" s="149" t="str">
        <f t="shared" si="77"/>
        <v/>
      </c>
    </row>
    <row r="552" spans="1:64" x14ac:dyDescent="0.2">
      <c r="A552" s="180"/>
      <c r="B552" s="180"/>
      <c r="C552" s="180"/>
      <c r="D552" s="180"/>
      <c r="E552" s="180"/>
      <c r="F552" s="187"/>
      <c r="G552" s="180"/>
      <c r="H552" s="180"/>
      <c r="I552" s="180"/>
      <c r="J552" s="187"/>
      <c r="K552" s="180"/>
      <c r="L552" s="180"/>
      <c r="M552" s="180"/>
      <c r="N552" s="180"/>
      <c r="O552" s="218"/>
      <c r="P552" s="180"/>
      <c r="Q552" s="188"/>
      <c r="R552" s="180"/>
      <c r="S552" s="180"/>
      <c r="T552" s="180"/>
      <c r="U552" s="180"/>
      <c r="V552" s="180"/>
      <c r="W552" s="180"/>
      <c r="X552" s="201"/>
      <c r="AJ552" s="149" t="str">
        <f>IF('Cable Info'!L412="","",CONCATENATE('Cable Info'!L412," - ",'Cable Info'!M412))</f>
        <v/>
      </c>
      <c r="AM552" s="149" t="str">
        <f t="shared" si="72"/>
        <v/>
      </c>
      <c r="AO552" s="149" t="str">
        <f>IF('Cable Info'!N412="","",CONCATENATE('Cable Info'!N412," - ",'Cable Info'!O412))</f>
        <v/>
      </c>
      <c r="AR552" s="149" t="str">
        <f t="shared" si="73"/>
        <v/>
      </c>
      <c r="AT552" s="149" t="str">
        <f>IF('Cable Info'!P412="","",CONCATENATE('Cable Info'!P412," - ",'Cable Info'!Q412))</f>
        <v/>
      </c>
      <c r="AW552" s="149" t="str">
        <f t="shared" si="74"/>
        <v/>
      </c>
      <c r="AY552" s="149" t="str">
        <f>IF('Cable Info'!R412="","",CONCATENATE('Cable Info'!R412," - ",'Cable Info'!S412))</f>
        <v/>
      </c>
      <c r="BB552" s="149" t="str">
        <f t="shared" si="75"/>
        <v/>
      </c>
      <c r="BD552" s="149" t="str">
        <f>IF('Cable Info'!T412="","",CONCATENATE('Cable Info'!T412," - ",'Cable Info'!U412))</f>
        <v/>
      </c>
      <c r="BG552" s="149" t="str">
        <f t="shared" si="76"/>
        <v/>
      </c>
      <c r="BI552" s="149" t="str">
        <f>IF('Cable Info'!V412="","",CONCATENATE('Cable Info'!V412," - ",'Cable Info'!W412))</f>
        <v/>
      </c>
      <c r="BL552" s="149" t="str">
        <f t="shared" si="77"/>
        <v/>
      </c>
    </row>
    <row r="553" spans="1:64" x14ac:dyDescent="0.2">
      <c r="A553" s="180"/>
      <c r="B553" s="180"/>
      <c r="C553" s="180"/>
      <c r="D553" s="180"/>
      <c r="E553" s="180"/>
      <c r="F553" s="187"/>
      <c r="G553" s="180"/>
      <c r="H553" s="180"/>
      <c r="I553" s="180"/>
      <c r="J553" s="187"/>
      <c r="K553" s="180"/>
      <c r="L553" s="180"/>
      <c r="M553" s="180"/>
      <c r="N553" s="180"/>
      <c r="O553" s="218"/>
      <c r="P553" s="180"/>
      <c r="Q553" s="188"/>
      <c r="R553" s="180"/>
      <c r="S553" s="180"/>
      <c r="T553" s="180"/>
      <c r="U553" s="180"/>
      <c r="V553" s="180"/>
      <c r="W553" s="180"/>
      <c r="X553" s="201"/>
      <c r="AJ553" s="149" t="str">
        <f>IF('Cable Info'!L413="","",CONCATENATE('Cable Info'!L413," - ",'Cable Info'!M413))</f>
        <v/>
      </c>
      <c r="AM553" s="149" t="str">
        <f t="shared" si="72"/>
        <v/>
      </c>
      <c r="AO553" s="149" t="str">
        <f>IF('Cable Info'!N413="","",CONCATENATE('Cable Info'!N413," - ",'Cable Info'!O413))</f>
        <v/>
      </c>
      <c r="AR553" s="149" t="str">
        <f t="shared" si="73"/>
        <v/>
      </c>
      <c r="AT553" s="149" t="str">
        <f>IF('Cable Info'!P413="","",CONCATENATE('Cable Info'!P413," - ",'Cable Info'!Q413))</f>
        <v/>
      </c>
      <c r="AW553" s="149" t="str">
        <f t="shared" si="74"/>
        <v/>
      </c>
      <c r="AY553" s="149" t="str">
        <f>IF('Cable Info'!R413="","",CONCATENATE('Cable Info'!R413," - ",'Cable Info'!S413))</f>
        <v/>
      </c>
      <c r="BB553" s="149" t="str">
        <f t="shared" si="75"/>
        <v/>
      </c>
      <c r="BD553" s="149" t="str">
        <f>IF('Cable Info'!T413="","",CONCATENATE('Cable Info'!T413," - ",'Cable Info'!U413))</f>
        <v/>
      </c>
      <c r="BG553" s="149" t="str">
        <f t="shared" si="76"/>
        <v/>
      </c>
      <c r="BI553" s="149" t="str">
        <f>IF('Cable Info'!V413="","",CONCATENATE('Cable Info'!V413," - ",'Cable Info'!W413))</f>
        <v/>
      </c>
      <c r="BL553" s="149" t="str">
        <f t="shared" si="77"/>
        <v/>
      </c>
    </row>
    <row r="554" spans="1:64" x14ac:dyDescent="0.2">
      <c r="A554" s="180"/>
      <c r="B554" s="180"/>
      <c r="C554" s="180"/>
      <c r="D554" s="180"/>
      <c r="E554" s="180"/>
      <c r="F554" s="187"/>
      <c r="G554" s="180"/>
      <c r="H554" s="180"/>
      <c r="I554" s="180"/>
      <c r="J554" s="187"/>
      <c r="K554" s="180"/>
      <c r="L554" s="180"/>
      <c r="M554" s="180"/>
      <c r="N554" s="180"/>
      <c r="O554" s="218"/>
      <c r="P554" s="180"/>
      <c r="Q554" s="188"/>
      <c r="R554" s="180"/>
      <c r="S554" s="180"/>
      <c r="T554" s="180"/>
      <c r="U554" s="180"/>
      <c r="V554" s="180"/>
      <c r="W554" s="180"/>
      <c r="X554" s="201"/>
      <c r="AJ554" s="149" t="str">
        <f>IF('Cable Info'!L414="","",CONCATENATE('Cable Info'!L414," - ",'Cable Info'!M414))</f>
        <v/>
      </c>
      <c r="AM554" s="149" t="str">
        <f t="shared" si="72"/>
        <v/>
      </c>
      <c r="AO554" s="149" t="str">
        <f>IF('Cable Info'!N414="","",CONCATENATE('Cable Info'!N414," - ",'Cable Info'!O414))</f>
        <v/>
      </c>
      <c r="AR554" s="149" t="str">
        <f t="shared" si="73"/>
        <v/>
      </c>
      <c r="AT554" s="149" t="str">
        <f>IF('Cable Info'!P414="","",CONCATENATE('Cable Info'!P414," - ",'Cable Info'!Q414))</f>
        <v/>
      </c>
      <c r="AW554" s="149" t="str">
        <f t="shared" si="74"/>
        <v/>
      </c>
      <c r="AY554" s="149" t="str">
        <f>IF('Cable Info'!R414="","",CONCATENATE('Cable Info'!R414," - ",'Cable Info'!S414))</f>
        <v/>
      </c>
      <c r="BB554" s="149" t="str">
        <f t="shared" si="75"/>
        <v/>
      </c>
      <c r="BD554" s="149" t="str">
        <f>IF('Cable Info'!T414="","",CONCATENATE('Cable Info'!T414," - ",'Cable Info'!U414))</f>
        <v/>
      </c>
      <c r="BG554" s="149" t="str">
        <f t="shared" si="76"/>
        <v/>
      </c>
      <c r="BI554" s="149" t="str">
        <f>IF('Cable Info'!V414="","",CONCATENATE('Cable Info'!V414," - ",'Cable Info'!W414))</f>
        <v/>
      </c>
      <c r="BL554" s="149" t="str">
        <f t="shared" si="77"/>
        <v/>
      </c>
    </row>
    <row r="555" spans="1:64" x14ac:dyDescent="0.2">
      <c r="A555" s="180"/>
      <c r="B555" s="180"/>
      <c r="C555" s="180"/>
      <c r="D555" s="180"/>
      <c r="E555" s="180"/>
      <c r="F555" s="187"/>
      <c r="G555" s="180"/>
      <c r="H555" s="180"/>
      <c r="I555" s="180"/>
      <c r="J555" s="187"/>
      <c r="K555" s="180"/>
      <c r="L555" s="180"/>
      <c r="M555" s="180"/>
      <c r="N555" s="180"/>
      <c r="O555" s="218"/>
      <c r="P555" s="180"/>
      <c r="Q555" s="188"/>
      <c r="R555" s="180"/>
      <c r="S555" s="180"/>
      <c r="T555" s="180"/>
      <c r="U555" s="180"/>
      <c r="V555" s="180"/>
      <c r="W555" s="180"/>
      <c r="X555" s="201"/>
      <c r="AJ555" s="149" t="str">
        <f>IF('Cable Info'!L415="","",CONCATENATE('Cable Info'!L415," - ",'Cable Info'!M415))</f>
        <v/>
      </c>
      <c r="AM555" s="149" t="str">
        <f t="shared" si="72"/>
        <v/>
      </c>
      <c r="AO555" s="149" t="str">
        <f>IF('Cable Info'!N415="","",CONCATENATE('Cable Info'!N415," - ",'Cable Info'!O415))</f>
        <v/>
      </c>
      <c r="AR555" s="149" t="str">
        <f t="shared" si="73"/>
        <v/>
      </c>
      <c r="AT555" s="149" t="str">
        <f>IF('Cable Info'!P415="","",CONCATENATE('Cable Info'!P415," - ",'Cable Info'!Q415))</f>
        <v/>
      </c>
      <c r="AW555" s="149" t="str">
        <f t="shared" si="74"/>
        <v/>
      </c>
      <c r="AY555" s="149" t="str">
        <f>IF('Cable Info'!R415="","",CONCATENATE('Cable Info'!R415," - ",'Cable Info'!S415))</f>
        <v/>
      </c>
      <c r="BB555" s="149" t="str">
        <f t="shared" si="75"/>
        <v/>
      </c>
      <c r="BD555" s="149" t="str">
        <f>IF('Cable Info'!T415="","",CONCATENATE('Cable Info'!T415," - ",'Cable Info'!U415))</f>
        <v/>
      </c>
      <c r="BG555" s="149" t="str">
        <f t="shared" si="76"/>
        <v/>
      </c>
      <c r="BI555" s="149" t="str">
        <f>IF('Cable Info'!V415="","",CONCATENATE('Cable Info'!V415," - ",'Cable Info'!W415))</f>
        <v/>
      </c>
      <c r="BL555" s="149" t="str">
        <f t="shared" si="77"/>
        <v/>
      </c>
    </row>
    <row r="556" spans="1:64" x14ac:dyDescent="0.2">
      <c r="A556" s="180"/>
      <c r="B556" s="180"/>
      <c r="C556" s="180"/>
      <c r="D556" s="180"/>
      <c r="E556" s="180"/>
      <c r="F556" s="187"/>
      <c r="G556" s="180"/>
      <c r="H556" s="180"/>
      <c r="I556" s="180"/>
      <c r="J556" s="187"/>
      <c r="K556" s="180"/>
      <c r="L556" s="180"/>
      <c r="M556" s="180"/>
      <c r="N556" s="180"/>
      <c r="O556" s="218"/>
      <c r="P556" s="180"/>
      <c r="Q556" s="188"/>
      <c r="R556" s="180"/>
      <c r="S556" s="180"/>
      <c r="T556" s="180"/>
      <c r="U556" s="180"/>
      <c r="V556" s="180"/>
      <c r="W556" s="180"/>
      <c r="X556" s="201"/>
      <c r="AJ556" s="149" t="str">
        <f>IF('Cable Info'!L416="","",CONCATENATE('Cable Info'!L416," - ",'Cable Info'!M416))</f>
        <v/>
      </c>
      <c r="AM556" s="149" t="str">
        <f t="shared" si="72"/>
        <v/>
      </c>
      <c r="AO556" s="149" t="str">
        <f>IF('Cable Info'!N416="","",CONCATENATE('Cable Info'!N416," - ",'Cable Info'!O416))</f>
        <v/>
      </c>
      <c r="AR556" s="149" t="str">
        <f t="shared" si="73"/>
        <v/>
      </c>
      <c r="AT556" s="149" t="str">
        <f>IF('Cable Info'!P416="","",CONCATENATE('Cable Info'!P416," - ",'Cable Info'!Q416))</f>
        <v/>
      </c>
      <c r="AW556" s="149" t="str">
        <f t="shared" si="74"/>
        <v/>
      </c>
      <c r="AY556" s="149" t="str">
        <f>IF('Cable Info'!R416="","",CONCATENATE('Cable Info'!R416," - ",'Cable Info'!S416))</f>
        <v/>
      </c>
      <c r="BB556" s="149" t="str">
        <f t="shared" si="75"/>
        <v/>
      </c>
      <c r="BD556" s="149" t="str">
        <f>IF('Cable Info'!T416="","",CONCATENATE('Cable Info'!T416," - ",'Cable Info'!U416))</f>
        <v/>
      </c>
      <c r="BG556" s="149" t="str">
        <f t="shared" si="76"/>
        <v/>
      </c>
      <c r="BI556" s="149" t="str">
        <f>IF('Cable Info'!V416="","",CONCATENATE('Cable Info'!V416," - ",'Cable Info'!W416))</f>
        <v/>
      </c>
      <c r="BL556" s="149" t="str">
        <f t="shared" si="77"/>
        <v/>
      </c>
    </row>
    <row r="557" spans="1:64" x14ac:dyDescent="0.2">
      <c r="A557" s="180"/>
      <c r="B557" s="180"/>
      <c r="C557" s="180"/>
      <c r="D557" s="180"/>
      <c r="E557" s="180"/>
      <c r="F557" s="187"/>
      <c r="G557" s="180"/>
      <c r="H557" s="180"/>
      <c r="I557" s="180"/>
      <c r="J557" s="187"/>
      <c r="K557" s="180"/>
      <c r="L557" s="180"/>
      <c r="M557" s="180"/>
      <c r="N557" s="180"/>
      <c r="O557" s="218"/>
      <c r="P557" s="180"/>
      <c r="Q557" s="188"/>
      <c r="R557" s="180"/>
      <c r="S557" s="180"/>
      <c r="T557" s="180"/>
      <c r="U557" s="180"/>
      <c r="V557" s="180"/>
      <c r="W557" s="180"/>
      <c r="X557" s="201"/>
      <c r="AJ557" s="149" t="str">
        <f>IF('Cable Info'!L417="","",CONCATENATE('Cable Info'!L417," - ",'Cable Info'!M417))</f>
        <v/>
      </c>
      <c r="AM557" s="149" t="str">
        <f t="shared" si="72"/>
        <v/>
      </c>
      <c r="AO557" s="149" t="str">
        <f>IF('Cable Info'!N417="","",CONCATENATE('Cable Info'!N417," - ",'Cable Info'!O417))</f>
        <v/>
      </c>
      <c r="AR557" s="149" t="str">
        <f t="shared" si="73"/>
        <v/>
      </c>
      <c r="AT557" s="149" t="str">
        <f>IF('Cable Info'!P417="","",CONCATENATE('Cable Info'!P417," - ",'Cable Info'!Q417))</f>
        <v/>
      </c>
      <c r="AW557" s="149" t="str">
        <f t="shared" si="74"/>
        <v/>
      </c>
      <c r="AY557" s="149" t="str">
        <f>IF('Cable Info'!R417="","",CONCATENATE('Cable Info'!R417," - ",'Cable Info'!S417))</f>
        <v/>
      </c>
      <c r="BB557" s="149" t="str">
        <f t="shared" si="75"/>
        <v/>
      </c>
      <c r="BD557" s="149" t="str">
        <f>IF('Cable Info'!T417="","",CONCATENATE('Cable Info'!T417," - ",'Cable Info'!U417))</f>
        <v/>
      </c>
      <c r="BG557" s="149" t="str">
        <f t="shared" si="76"/>
        <v/>
      </c>
      <c r="BI557" s="149" t="str">
        <f>IF('Cable Info'!V417="","",CONCATENATE('Cable Info'!V417," - ",'Cable Info'!W417))</f>
        <v/>
      </c>
      <c r="BL557" s="149" t="str">
        <f t="shared" si="77"/>
        <v/>
      </c>
    </row>
    <row r="558" spans="1:64" x14ac:dyDescent="0.2">
      <c r="A558" s="180"/>
      <c r="B558" s="180"/>
      <c r="C558" s="180"/>
      <c r="D558" s="180"/>
      <c r="E558" s="180"/>
      <c r="F558" s="187"/>
      <c r="G558" s="180"/>
      <c r="H558" s="180"/>
      <c r="I558" s="180"/>
      <c r="J558" s="187"/>
      <c r="K558" s="180"/>
      <c r="L558" s="180"/>
      <c r="M558" s="180"/>
      <c r="N558" s="180"/>
      <c r="O558" s="218"/>
      <c r="P558" s="180"/>
      <c r="Q558" s="188"/>
      <c r="R558" s="180"/>
      <c r="S558" s="180"/>
      <c r="T558" s="180"/>
      <c r="U558" s="180"/>
      <c r="V558" s="180"/>
      <c r="W558" s="180"/>
      <c r="X558" s="201"/>
      <c r="AJ558" s="149" t="str">
        <f>IF('Cable Info'!L418="","",CONCATENATE('Cable Info'!L418," - ",'Cable Info'!M418))</f>
        <v/>
      </c>
      <c r="AM558" s="149" t="str">
        <f t="shared" si="72"/>
        <v/>
      </c>
      <c r="AO558" s="149" t="str">
        <f>IF('Cable Info'!N418="","",CONCATENATE('Cable Info'!N418," - ",'Cable Info'!O418))</f>
        <v/>
      </c>
      <c r="AR558" s="149" t="str">
        <f t="shared" si="73"/>
        <v/>
      </c>
      <c r="AT558" s="149" t="str">
        <f>IF('Cable Info'!P418="","",CONCATENATE('Cable Info'!P418," - ",'Cable Info'!Q418))</f>
        <v/>
      </c>
      <c r="AW558" s="149" t="str">
        <f t="shared" si="74"/>
        <v/>
      </c>
      <c r="AY558" s="149" t="str">
        <f>IF('Cable Info'!R418="","",CONCATENATE('Cable Info'!R418," - ",'Cable Info'!S418))</f>
        <v/>
      </c>
      <c r="BB558" s="149" t="str">
        <f t="shared" si="75"/>
        <v/>
      </c>
      <c r="BD558" s="149" t="str">
        <f>IF('Cable Info'!T418="","",CONCATENATE('Cable Info'!T418," - ",'Cable Info'!U418))</f>
        <v/>
      </c>
      <c r="BG558" s="149" t="str">
        <f t="shared" si="76"/>
        <v/>
      </c>
      <c r="BI558" s="149" t="str">
        <f>IF('Cable Info'!V418="","",CONCATENATE('Cable Info'!V418," - ",'Cable Info'!W418))</f>
        <v/>
      </c>
      <c r="BL558" s="149" t="str">
        <f t="shared" si="77"/>
        <v/>
      </c>
    </row>
    <row r="559" spans="1:64" x14ac:dyDescent="0.2">
      <c r="A559" s="180"/>
      <c r="B559" s="180"/>
      <c r="C559" s="180"/>
      <c r="D559" s="180"/>
      <c r="E559" s="180"/>
      <c r="F559" s="187"/>
      <c r="G559" s="180"/>
      <c r="H559" s="180"/>
      <c r="I559" s="180"/>
      <c r="J559" s="187"/>
      <c r="K559" s="180"/>
      <c r="L559" s="180"/>
      <c r="M559" s="180"/>
      <c r="N559" s="180"/>
      <c r="O559" s="218"/>
      <c r="P559" s="180"/>
      <c r="Q559" s="188"/>
      <c r="R559" s="180"/>
      <c r="S559" s="180"/>
      <c r="T559" s="180"/>
      <c r="U559" s="180"/>
      <c r="V559" s="180"/>
      <c r="W559" s="180"/>
      <c r="X559" s="201"/>
      <c r="AJ559" s="149" t="str">
        <f>IF('Cable Info'!L419="","",CONCATENATE('Cable Info'!L419," - ",'Cable Info'!M419))</f>
        <v/>
      </c>
      <c r="AM559" s="149" t="str">
        <f t="shared" si="72"/>
        <v/>
      </c>
      <c r="AO559" s="149" t="str">
        <f>IF('Cable Info'!N419="","",CONCATENATE('Cable Info'!N419," - ",'Cable Info'!O419))</f>
        <v/>
      </c>
      <c r="AR559" s="149" t="str">
        <f t="shared" si="73"/>
        <v/>
      </c>
      <c r="AT559" s="149" t="str">
        <f>IF('Cable Info'!P419="","",CONCATENATE('Cable Info'!P419," - ",'Cable Info'!Q419))</f>
        <v/>
      </c>
      <c r="AW559" s="149" t="str">
        <f t="shared" si="74"/>
        <v/>
      </c>
      <c r="AY559" s="149" t="str">
        <f>IF('Cable Info'!R419="","",CONCATENATE('Cable Info'!R419," - ",'Cable Info'!S419))</f>
        <v/>
      </c>
      <c r="BB559" s="149" t="str">
        <f t="shared" si="75"/>
        <v/>
      </c>
      <c r="BD559" s="149" t="str">
        <f>IF('Cable Info'!T419="","",CONCATENATE('Cable Info'!T419," - ",'Cable Info'!U419))</f>
        <v/>
      </c>
      <c r="BG559" s="149" t="str">
        <f t="shared" si="76"/>
        <v/>
      </c>
      <c r="BI559" s="149" t="str">
        <f>IF('Cable Info'!V419="","",CONCATENATE('Cable Info'!V419," - ",'Cable Info'!W419))</f>
        <v/>
      </c>
      <c r="BL559" s="149" t="str">
        <f t="shared" si="77"/>
        <v/>
      </c>
    </row>
    <row r="560" spans="1:64" x14ac:dyDescent="0.2">
      <c r="A560" s="180"/>
      <c r="B560" s="180"/>
      <c r="C560" s="180"/>
      <c r="D560" s="180"/>
      <c r="E560" s="180"/>
      <c r="F560" s="187"/>
      <c r="G560" s="180"/>
      <c r="H560" s="180"/>
      <c r="I560" s="180"/>
      <c r="J560" s="187"/>
      <c r="K560" s="180"/>
      <c r="L560" s="180"/>
      <c r="M560" s="180"/>
      <c r="N560" s="180"/>
      <c r="O560" s="218"/>
      <c r="P560" s="180"/>
      <c r="Q560" s="188"/>
      <c r="R560" s="180"/>
      <c r="S560" s="180"/>
      <c r="T560" s="180"/>
      <c r="U560" s="180"/>
      <c r="V560" s="180"/>
      <c r="W560" s="180"/>
      <c r="X560" s="201"/>
      <c r="AJ560" s="149" t="str">
        <f>IF('Cable Info'!L420="","",CONCATENATE('Cable Info'!L420," - ",'Cable Info'!M420))</f>
        <v/>
      </c>
      <c r="AM560" s="149" t="str">
        <f t="shared" si="72"/>
        <v/>
      </c>
      <c r="AO560" s="149" t="str">
        <f>IF('Cable Info'!N420="","",CONCATENATE('Cable Info'!N420," - ",'Cable Info'!O420))</f>
        <v/>
      </c>
      <c r="AR560" s="149" t="str">
        <f t="shared" si="73"/>
        <v/>
      </c>
      <c r="AT560" s="149" t="str">
        <f>IF('Cable Info'!P420="","",CONCATENATE('Cable Info'!P420," - ",'Cable Info'!Q420))</f>
        <v/>
      </c>
      <c r="AW560" s="149" t="str">
        <f t="shared" si="74"/>
        <v/>
      </c>
      <c r="AY560" s="149" t="str">
        <f>IF('Cable Info'!R420="","",CONCATENATE('Cable Info'!R420," - ",'Cable Info'!S420))</f>
        <v/>
      </c>
      <c r="BB560" s="149" t="str">
        <f t="shared" si="75"/>
        <v/>
      </c>
      <c r="BD560" s="149" t="str">
        <f>IF('Cable Info'!T420="","",CONCATENATE('Cable Info'!T420," - ",'Cable Info'!U420))</f>
        <v/>
      </c>
      <c r="BG560" s="149" t="str">
        <f t="shared" si="76"/>
        <v/>
      </c>
      <c r="BI560" s="149" t="str">
        <f>IF('Cable Info'!V420="","",CONCATENATE('Cable Info'!V420," - ",'Cable Info'!W420))</f>
        <v/>
      </c>
      <c r="BL560" s="149" t="str">
        <f t="shared" si="77"/>
        <v/>
      </c>
    </row>
    <row r="561" spans="1:64" x14ac:dyDescent="0.2">
      <c r="A561" s="180"/>
      <c r="B561" s="180"/>
      <c r="C561" s="180"/>
      <c r="D561" s="180"/>
      <c r="E561" s="180"/>
      <c r="F561" s="187"/>
      <c r="G561" s="180"/>
      <c r="H561" s="180"/>
      <c r="I561" s="180"/>
      <c r="J561" s="187"/>
      <c r="K561" s="180"/>
      <c r="L561" s="180"/>
      <c r="M561" s="180"/>
      <c r="N561" s="180"/>
      <c r="O561" s="218"/>
      <c r="P561" s="180"/>
      <c r="Q561" s="188"/>
      <c r="R561" s="180"/>
      <c r="S561" s="180"/>
      <c r="T561" s="180"/>
      <c r="U561" s="180"/>
      <c r="V561" s="180"/>
      <c r="W561" s="180"/>
      <c r="X561" s="201"/>
      <c r="AJ561" s="149" t="str">
        <f>IF('Cable Info'!L421="","",CONCATENATE('Cable Info'!L421," - ",'Cable Info'!M421))</f>
        <v/>
      </c>
      <c r="AM561" s="149" t="str">
        <f t="shared" si="72"/>
        <v/>
      </c>
      <c r="AO561" s="149" t="str">
        <f>IF('Cable Info'!N421="","",CONCATENATE('Cable Info'!N421," - ",'Cable Info'!O421))</f>
        <v/>
      </c>
      <c r="AR561" s="149" t="str">
        <f t="shared" si="73"/>
        <v/>
      </c>
      <c r="AT561" s="149" t="str">
        <f>IF('Cable Info'!P421="","",CONCATENATE('Cable Info'!P421," - ",'Cable Info'!Q421))</f>
        <v/>
      </c>
      <c r="AW561" s="149" t="str">
        <f t="shared" si="74"/>
        <v/>
      </c>
      <c r="AY561" s="149" t="str">
        <f>IF('Cable Info'!R421="","",CONCATENATE('Cable Info'!R421," - ",'Cable Info'!S421))</f>
        <v/>
      </c>
      <c r="BB561" s="149" t="str">
        <f t="shared" si="75"/>
        <v/>
      </c>
      <c r="BD561" s="149" t="str">
        <f>IF('Cable Info'!T421="","",CONCATENATE('Cable Info'!T421," - ",'Cable Info'!U421))</f>
        <v/>
      </c>
      <c r="BG561" s="149" t="str">
        <f t="shared" si="76"/>
        <v/>
      </c>
      <c r="BI561" s="149" t="str">
        <f>IF('Cable Info'!V421="","",CONCATENATE('Cable Info'!V421," - ",'Cable Info'!W421))</f>
        <v/>
      </c>
      <c r="BL561" s="149" t="str">
        <f t="shared" si="77"/>
        <v/>
      </c>
    </row>
    <row r="562" spans="1:64" x14ac:dyDescent="0.2">
      <c r="A562" s="180"/>
      <c r="B562" s="180"/>
      <c r="C562" s="180"/>
      <c r="D562" s="180"/>
      <c r="E562" s="180"/>
      <c r="F562" s="187"/>
      <c r="G562" s="180"/>
      <c r="H562" s="180"/>
      <c r="I562" s="180"/>
      <c r="J562" s="187"/>
      <c r="K562" s="180"/>
      <c r="L562" s="180"/>
      <c r="M562" s="180"/>
      <c r="N562" s="180"/>
      <c r="O562" s="218"/>
      <c r="P562" s="180"/>
      <c r="Q562" s="188"/>
      <c r="R562" s="180"/>
      <c r="S562" s="180"/>
      <c r="T562" s="180"/>
      <c r="U562" s="180"/>
      <c r="V562" s="180"/>
      <c r="W562" s="180"/>
      <c r="X562" s="201"/>
      <c r="AJ562" s="149" t="str">
        <f>IF('Cable Info'!L422="","",CONCATENATE('Cable Info'!L422," - ",'Cable Info'!M422))</f>
        <v/>
      </c>
      <c r="AM562" s="149" t="str">
        <f t="shared" si="72"/>
        <v/>
      </c>
      <c r="AO562" s="149" t="str">
        <f>IF('Cable Info'!N422="","",CONCATENATE('Cable Info'!N422," - ",'Cable Info'!O422))</f>
        <v/>
      </c>
      <c r="AR562" s="149" t="str">
        <f t="shared" si="73"/>
        <v/>
      </c>
      <c r="AT562" s="149" t="str">
        <f>IF('Cable Info'!P422="","",CONCATENATE('Cable Info'!P422," - ",'Cable Info'!Q422))</f>
        <v/>
      </c>
      <c r="AW562" s="149" t="str">
        <f t="shared" si="74"/>
        <v/>
      </c>
      <c r="AY562" s="149" t="str">
        <f>IF('Cable Info'!R422="","",CONCATENATE('Cable Info'!R422," - ",'Cable Info'!S422))</f>
        <v/>
      </c>
      <c r="BB562" s="149" t="str">
        <f t="shared" si="75"/>
        <v/>
      </c>
      <c r="BD562" s="149" t="str">
        <f>IF('Cable Info'!T422="","",CONCATENATE('Cable Info'!T422," - ",'Cable Info'!U422))</f>
        <v/>
      </c>
      <c r="BG562" s="149" t="str">
        <f t="shared" si="76"/>
        <v/>
      </c>
      <c r="BI562" s="149" t="str">
        <f>IF('Cable Info'!V422="","",CONCATENATE('Cable Info'!V422," - ",'Cable Info'!W422))</f>
        <v/>
      </c>
      <c r="BL562" s="149" t="str">
        <f t="shared" si="77"/>
        <v/>
      </c>
    </row>
    <row r="563" spans="1:64" x14ac:dyDescent="0.2">
      <c r="A563" s="180"/>
      <c r="B563" s="180"/>
      <c r="C563" s="180"/>
      <c r="D563" s="180"/>
      <c r="E563" s="180"/>
      <c r="F563" s="187"/>
      <c r="G563" s="180"/>
      <c r="H563" s="180"/>
      <c r="I563" s="180"/>
      <c r="J563" s="187"/>
      <c r="K563" s="180"/>
      <c r="L563" s="180"/>
      <c r="M563" s="180"/>
      <c r="N563" s="180"/>
      <c r="O563" s="218"/>
      <c r="P563" s="180"/>
      <c r="Q563" s="188"/>
      <c r="R563" s="180"/>
      <c r="S563" s="180"/>
      <c r="T563" s="180"/>
      <c r="U563" s="180"/>
      <c r="V563" s="180"/>
      <c r="W563" s="180"/>
      <c r="X563" s="201"/>
      <c r="AJ563" s="149" t="str">
        <f>IF('Cable Info'!L423="","",CONCATENATE('Cable Info'!L423," - ",'Cable Info'!M423))</f>
        <v/>
      </c>
      <c r="AM563" s="149" t="str">
        <f t="shared" si="72"/>
        <v/>
      </c>
      <c r="AO563" s="149" t="str">
        <f>IF('Cable Info'!N423="","",CONCATENATE('Cable Info'!N423," - ",'Cable Info'!O423))</f>
        <v/>
      </c>
      <c r="AR563" s="149" t="str">
        <f t="shared" si="73"/>
        <v/>
      </c>
      <c r="AT563" s="149" t="str">
        <f>IF('Cable Info'!P423="","",CONCATENATE('Cable Info'!P423," - ",'Cable Info'!Q423))</f>
        <v/>
      </c>
      <c r="AW563" s="149" t="str">
        <f t="shared" si="74"/>
        <v/>
      </c>
      <c r="AY563" s="149" t="str">
        <f>IF('Cable Info'!R423="","",CONCATENATE('Cable Info'!R423," - ",'Cable Info'!S423))</f>
        <v/>
      </c>
      <c r="BB563" s="149" t="str">
        <f t="shared" si="75"/>
        <v/>
      </c>
      <c r="BD563" s="149" t="str">
        <f>IF('Cable Info'!T423="","",CONCATENATE('Cable Info'!T423," - ",'Cable Info'!U423))</f>
        <v/>
      </c>
      <c r="BG563" s="149" t="str">
        <f t="shared" si="76"/>
        <v/>
      </c>
      <c r="BI563" s="149" t="str">
        <f>IF('Cable Info'!V423="","",CONCATENATE('Cable Info'!V423," - ",'Cable Info'!W423))</f>
        <v/>
      </c>
      <c r="BL563" s="149" t="str">
        <f t="shared" si="77"/>
        <v/>
      </c>
    </row>
    <row r="564" spans="1:64" x14ac:dyDescent="0.2">
      <c r="A564" s="180"/>
      <c r="B564" s="180"/>
      <c r="C564" s="180"/>
      <c r="D564" s="180"/>
      <c r="E564" s="180"/>
      <c r="F564" s="187"/>
      <c r="G564" s="180"/>
      <c r="H564" s="180"/>
      <c r="I564" s="180"/>
      <c r="J564" s="187"/>
      <c r="K564" s="180"/>
      <c r="L564" s="180"/>
      <c r="M564" s="180"/>
      <c r="N564" s="180"/>
      <c r="O564" s="218"/>
      <c r="P564" s="180"/>
      <c r="Q564" s="188"/>
      <c r="R564" s="180"/>
      <c r="S564" s="180"/>
      <c r="T564" s="180"/>
      <c r="U564" s="180"/>
      <c r="V564" s="180"/>
      <c r="W564" s="180"/>
      <c r="X564" s="201"/>
      <c r="AJ564" s="149" t="str">
        <f>IF('Cable Info'!L424="","",CONCATENATE('Cable Info'!L424," - ",'Cable Info'!M424))</f>
        <v/>
      </c>
      <c r="AM564" s="149" t="str">
        <f t="shared" si="72"/>
        <v/>
      </c>
      <c r="AO564" s="149" t="str">
        <f>IF('Cable Info'!N424="","",CONCATENATE('Cable Info'!N424," - ",'Cable Info'!O424))</f>
        <v/>
      </c>
      <c r="AR564" s="149" t="str">
        <f t="shared" si="73"/>
        <v/>
      </c>
      <c r="AT564" s="149" t="str">
        <f>IF('Cable Info'!P424="","",CONCATENATE('Cable Info'!P424," - ",'Cable Info'!Q424))</f>
        <v/>
      </c>
      <c r="AW564" s="149" t="str">
        <f t="shared" si="74"/>
        <v/>
      </c>
      <c r="AY564" s="149" t="str">
        <f>IF('Cable Info'!R424="","",CONCATENATE('Cable Info'!R424," - ",'Cable Info'!S424))</f>
        <v/>
      </c>
      <c r="BB564" s="149" t="str">
        <f t="shared" si="75"/>
        <v/>
      </c>
      <c r="BD564" s="149" t="str">
        <f>IF('Cable Info'!T424="","",CONCATENATE('Cable Info'!T424," - ",'Cable Info'!U424))</f>
        <v/>
      </c>
      <c r="BG564" s="149" t="str">
        <f t="shared" si="76"/>
        <v/>
      </c>
      <c r="BI564" s="149" t="str">
        <f>IF('Cable Info'!V424="","",CONCATENATE('Cable Info'!V424," - ",'Cable Info'!W424))</f>
        <v/>
      </c>
      <c r="BL564" s="149" t="str">
        <f t="shared" si="77"/>
        <v/>
      </c>
    </row>
    <row r="565" spans="1:64" x14ac:dyDescent="0.2">
      <c r="A565" s="180"/>
      <c r="B565" s="180"/>
      <c r="C565" s="180"/>
      <c r="D565" s="180"/>
      <c r="E565" s="180"/>
      <c r="F565" s="187"/>
      <c r="G565" s="180"/>
      <c r="H565" s="180"/>
      <c r="I565" s="180"/>
      <c r="J565" s="187"/>
      <c r="K565" s="180"/>
      <c r="L565" s="180"/>
      <c r="M565" s="180"/>
      <c r="N565" s="180"/>
      <c r="O565" s="218"/>
      <c r="P565" s="180"/>
      <c r="Q565" s="188"/>
      <c r="R565" s="180"/>
      <c r="S565" s="180"/>
      <c r="T565" s="180"/>
      <c r="U565" s="180"/>
      <c r="V565" s="180"/>
      <c r="W565" s="180"/>
      <c r="X565" s="201"/>
      <c r="AJ565" s="149" t="str">
        <f>IF('Cable Info'!L425="","",CONCATENATE('Cable Info'!L425," - ",'Cable Info'!M425))</f>
        <v/>
      </c>
      <c r="AM565" s="149" t="str">
        <f t="shared" si="72"/>
        <v/>
      </c>
      <c r="AO565" s="149" t="str">
        <f>IF('Cable Info'!N425="","",CONCATENATE('Cable Info'!N425," - ",'Cable Info'!O425))</f>
        <v/>
      </c>
      <c r="AR565" s="149" t="str">
        <f t="shared" si="73"/>
        <v/>
      </c>
      <c r="AT565" s="149" t="str">
        <f>IF('Cable Info'!P425="","",CONCATENATE('Cable Info'!P425," - ",'Cable Info'!Q425))</f>
        <v/>
      </c>
      <c r="AW565" s="149" t="str">
        <f t="shared" si="74"/>
        <v/>
      </c>
      <c r="AY565" s="149" t="str">
        <f>IF('Cable Info'!R425="","",CONCATENATE('Cable Info'!R425," - ",'Cable Info'!S425))</f>
        <v/>
      </c>
      <c r="BB565" s="149" t="str">
        <f t="shared" si="75"/>
        <v/>
      </c>
      <c r="BD565" s="149" t="str">
        <f>IF('Cable Info'!T425="","",CONCATENATE('Cable Info'!T425," - ",'Cable Info'!U425))</f>
        <v/>
      </c>
      <c r="BG565" s="149" t="str">
        <f t="shared" si="76"/>
        <v/>
      </c>
      <c r="BI565" s="149" t="str">
        <f>IF('Cable Info'!V425="","",CONCATENATE('Cable Info'!V425," - ",'Cable Info'!W425))</f>
        <v/>
      </c>
      <c r="BL565" s="149" t="str">
        <f t="shared" si="77"/>
        <v/>
      </c>
    </row>
    <row r="566" spans="1:64" x14ac:dyDescent="0.2">
      <c r="A566" s="180"/>
      <c r="B566" s="180"/>
      <c r="C566" s="180"/>
      <c r="D566" s="180"/>
      <c r="E566" s="180"/>
      <c r="F566" s="187"/>
      <c r="G566" s="180"/>
      <c r="H566" s="180"/>
      <c r="I566" s="180"/>
      <c r="J566" s="187"/>
      <c r="K566" s="180"/>
      <c r="L566" s="180"/>
      <c r="M566" s="180"/>
      <c r="N566" s="180"/>
      <c r="O566" s="218"/>
      <c r="P566" s="180"/>
      <c r="Q566" s="188"/>
      <c r="R566" s="180"/>
      <c r="S566" s="180"/>
      <c r="T566" s="180"/>
      <c r="U566" s="180"/>
      <c r="V566" s="180"/>
      <c r="W566" s="180"/>
      <c r="X566" s="201"/>
      <c r="AJ566" s="149" t="str">
        <f>IF('Cable Info'!L426="","",CONCATENATE('Cable Info'!L426," - ",'Cable Info'!M426))</f>
        <v/>
      </c>
      <c r="AM566" s="149" t="str">
        <f t="shared" si="72"/>
        <v/>
      </c>
      <c r="AO566" s="149" t="str">
        <f>IF('Cable Info'!N426="","",CONCATENATE('Cable Info'!N426," - ",'Cable Info'!O426))</f>
        <v/>
      </c>
      <c r="AR566" s="149" t="str">
        <f t="shared" si="73"/>
        <v/>
      </c>
      <c r="AT566" s="149" t="str">
        <f>IF('Cable Info'!P426="","",CONCATENATE('Cable Info'!P426," - ",'Cable Info'!Q426))</f>
        <v/>
      </c>
      <c r="AW566" s="149" t="str">
        <f t="shared" si="74"/>
        <v/>
      </c>
      <c r="AY566" s="149" t="str">
        <f>IF('Cable Info'!R426="","",CONCATENATE('Cable Info'!R426," - ",'Cable Info'!S426))</f>
        <v/>
      </c>
      <c r="BB566" s="149" t="str">
        <f t="shared" si="75"/>
        <v/>
      </c>
      <c r="BD566" s="149" t="str">
        <f>IF('Cable Info'!T426="","",CONCATENATE('Cable Info'!T426," - ",'Cable Info'!U426))</f>
        <v/>
      </c>
      <c r="BG566" s="149" t="str">
        <f t="shared" si="76"/>
        <v/>
      </c>
      <c r="BI566" s="149" t="str">
        <f>IF('Cable Info'!V426="","",CONCATENATE('Cable Info'!V426," - ",'Cable Info'!W426))</f>
        <v/>
      </c>
      <c r="BL566" s="149" t="str">
        <f t="shared" si="77"/>
        <v/>
      </c>
    </row>
    <row r="567" spans="1:64" x14ac:dyDescent="0.2">
      <c r="A567" s="180"/>
      <c r="B567" s="180"/>
      <c r="C567" s="180"/>
      <c r="D567" s="180"/>
      <c r="E567" s="180"/>
      <c r="F567" s="187"/>
      <c r="G567" s="180"/>
      <c r="H567" s="180"/>
      <c r="I567" s="180"/>
      <c r="J567" s="187"/>
      <c r="K567" s="180"/>
      <c r="L567" s="180"/>
      <c r="M567" s="180"/>
      <c r="N567" s="180"/>
      <c r="O567" s="218"/>
      <c r="P567" s="180"/>
      <c r="Q567" s="188"/>
      <c r="R567" s="180"/>
      <c r="S567" s="180"/>
      <c r="T567" s="180"/>
      <c r="U567" s="180"/>
      <c r="V567" s="180"/>
      <c r="W567" s="180"/>
      <c r="X567" s="201"/>
      <c r="AJ567" s="149" t="str">
        <f>IF('Cable Info'!L427="","",CONCATENATE('Cable Info'!L427," - ",'Cable Info'!M427))</f>
        <v/>
      </c>
      <c r="AM567" s="149" t="str">
        <f t="shared" si="72"/>
        <v/>
      </c>
      <c r="AO567" s="149" t="str">
        <f>IF('Cable Info'!N427="","",CONCATENATE('Cable Info'!N427," - ",'Cable Info'!O427))</f>
        <v/>
      </c>
      <c r="AR567" s="149" t="str">
        <f t="shared" si="73"/>
        <v/>
      </c>
      <c r="AT567" s="149" t="str">
        <f>IF('Cable Info'!P427="","",CONCATENATE('Cable Info'!P427," - ",'Cable Info'!Q427))</f>
        <v/>
      </c>
      <c r="AW567" s="149" t="str">
        <f t="shared" si="74"/>
        <v/>
      </c>
      <c r="AY567" s="149" t="str">
        <f>IF('Cable Info'!R427="","",CONCATENATE('Cable Info'!R427," - ",'Cable Info'!S427))</f>
        <v/>
      </c>
      <c r="BB567" s="149" t="str">
        <f t="shared" si="75"/>
        <v/>
      </c>
      <c r="BD567" s="149" t="str">
        <f>IF('Cable Info'!T427="","",CONCATENATE('Cable Info'!T427," - ",'Cable Info'!U427))</f>
        <v/>
      </c>
      <c r="BG567" s="149" t="str">
        <f t="shared" si="76"/>
        <v/>
      </c>
      <c r="BI567" s="149" t="str">
        <f>IF('Cable Info'!V427="","",CONCATENATE('Cable Info'!V427," - ",'Cable Info'!W427))</f>
        <v/>
      </c>
      <c r="BL567" s="149" t="str">
        <f t="shared" si="77"/>
        <v/>
      </c>
    </row>
    <row r="568" spans="1:64" x14ac:dyDescent="0.2">
      <c r="A568" s="180"/>
      <c r="B568" s="180"/>
      <c r="C568" s="180"/>
      <c r="D568" s="180"/>
      <c r="E568" s="180"/>
      <c r="F568" s="187"/>
      <c r="G568" s="180"/>
      <c r="H568" s="180"/>
      <c r="I568" s="180"/>
      <c r="J568" s="187"/>
      <c r="K568" s="180"/>
      <c r="L568" s="180"/>
      <c r="M568" s="180"/>
      <c r="N568" s="180"/>
      <c r="O568" s="218"/>
      <c r="P568" s="180"/>
      <c r="Q568" s="188"/>
      <c r="R568" s="180"/>
      <c r="S568" s="180"/>
      <c r="T568" s="180"/>
      <c r="U568" s="180"/>
      <c r="V568" s="180"/>
      <c r="W568" s="180"/>
      <c r="X568" s="201"/>
      <c r="AJ568" s="149" t="str">
        <f>IF('Cable Info'!L428="","",CONCATENATE('Cable Info'!L428," - ",'Cable Info'!M428))</f>
        <v/>
      </c>
      <c r="AM568" s="149" t="str">
        <f t="shared" si="72"/>
        <v/>
      </c>
      <c r="AO568" s="149" t="str">
        <f>IF('Cable Info'!N428="","",CONCATENATE('Cable Info'!N428," - ",'Cable Info'!O428))</f>
        <v/>
      </c>
      <c r="AR568" s="149" t="str">
        <f t="shared" si="73"/>
        <v/>
      </c>
      <c r="AT568" s="149" t="str">
        <f>IF('Cable Info'!P428="","",CONCATENATE('Cable Info'!P428," - ",'Cable Info'!Q428))</f>
        <v/>
      </c>
      <c r="AW568" s="149" t="str">
        <f t="shared" si="74"/>
        <v/>
      </c>
      <c r="AY568" s="149" t="str">
        <f>IF('Cable Info'!R428="","",CONCATENATE('Cable Info'!R428," - ",'Cable Info'!S428))</f>
        <v/>
      </c>
      <c r="BB568" s="149" t="str">
        <f t="shared" si="75"/>
        <v/>
      </c>
      <c r="BD568" s="149" t="str">
        <f>IF('Cable Info'!T428="","",CONCATENATE('Cable Info'!T428," - ",'Cable Info'!U428))</f>
        <v/>
      </c>
      <c r="BG568" s="149" t="str">
        <f t="shared" si="76"/>
        <v/>
      </c>
      <c r="BI568" s="149" t="str">
        <f>IF('Cable Info'!V428="","",CONCATENATE('Cable Info'!V428," - ",'Cable Info'!W428))</f>
        <v/>
      </c>
      <c r="BL568" s="149" t="str">
        <f t="shared" si="77"/>
        <v/>
      </c>
    </row>
    <row r="569" spans="1:64" x14ac:dyDescent="0.2">
      <c r="A569" s="180"/>
      <c r="B569" s="180"/>
      <c r="C569" s="180"/>
      <c r="D569" s="180"/>
      <c r="E569" s="180"/>
      <c r="F569" s="187"/>
      <c r="G569" s="180"/>
      <c r="H569" s="180"/>
      <c r="I569" s="180"/>
      <c r="J569" s="187"/>
      <c r="K569" s="180"/>
      <c r="L569" s="180"/>
      <c r="M569" s="180"/>
      <c r="N569" s="180"/>
      <c r="O569" s="218"/>
      <c r="P569" s="180"/>
      <c r="Q569" s="188"/>
      <c r="R569" s="180"/>
      <c r="S569" s="180"/>
      <c r="T569" s="180"/>
      <c r="U569" s="180"/>
      <c r="V569" s="180"/>
      <c r="W569" s="180"/>
      <c r="X569" s="201"/>
      <c r="AJ569" s="149" t="str">
        <f>IF('Cable Info'!L429="","",CONCATENATE('Cable Info'!L429," - ",'Cable Info'!M429))</f>
        <v/>
      </c>
      <c r="AM569" s="149" t="str">
        <f t="shared" si="72"/>
        <v/>
      </c>
      <c r="AO569" s="149" t="str">
        <f>IF('Cable Info'!N429="","",CONCATENATE('Cable Info'!N429," - ",'Cable Info'!O429))</f>
        <v/>
      </c>
      <c r="AR569" s="149" t="str">
        <f t="shared" si="73"/>
        <v/>
      </c>
      <c r="AT569" s="149" t="str">
        <f>IF('Cable Info'!P429="","",CONCATENATE('Cable Info'!P429," - ",'Cable Info'!Q429))</f>
        <v/>
      </c>
      <c r="AW569" s="149" t="str">
        <f t="shared" si="74"/>
        <v/>
      </c>
      <c r="AY569" s="149" t="str">
        <f>IF('Cable Info'!R429="","",CONCATENATE('Cable Info'!R429," - ",'Cable Info'!S429))</f>
        <v/>
      </c>
      <c r="BB569" s="149" t="str">
        <f t="shared" si="75"/>
        <v/>
      </c>
      <c r="BD569" s="149" t="str">
        <f>IF('Cable Info'!T429="","",CONCATENATE('Cable Info'!T429," - ",'Cable Info'!U429))</f>
        <v/>
      </c>
      <c r="BG569" s="149" t="str">
        <f t="shared" si="76"/>
        <v/>
      </c>
      <c r="BI569" s="149" t="str">
        <f>IF('Cable Info'!V429="","",CONCATENATE('Cable Info'!V429," - ",'Cable Info'!W429))</f>
        <v/>
      </c>
      <c r="BL569" s="149" t="str">
        <f t="shared" si="77"/>
        <v/>
      </c>
    </row>
    <row r="570" spans="1:64" x14ac:dyDescent="0.2">
      <c r="A570" s="180"/>
      <c r="B570" s="180"/>
      <c r="C570" s="180"/>
      <c r="D570" s="180"/>
      <c r="E570" s="180"/>
      <c r="F570" s="187"/>
      <c r="G570" s="180"/>
      <c r="H570" s="180"/>
      <c r="I570" s="180"/>
      <c r="J570" s="187"/>
      <c r="K570" s="180"/>
      <c r="L570" s="180"/>
      <c r="M570" s="180"/>
      <c r="N570" s="180"/>
      <c r="O570" s="218"/>
      <c r="P570" s="180"/>
      <c r="Q570" s="188"/>
      <c r="R570" s="180"/>
      <c r="S570" s="180"/>
      <c r="T570" s="180"/>
      <c r="U570" s="180"/>
      <c r="V570" s="180"/>
      <c r="W570" s="180"/>
      <c r="X570" s="201"/>
      <c r="AJ570" s="149" t="str">
        <f>IF('Cable Info'!L430="","",CONCATENATE('Cable Info'!L430," - ",'Cable Info'!M430))</f>
        <v/>
      </c>
      <c r="AM570" s="149" t="str">
        <f t="shared" si="72"/>
        <v/>
      </c>
      <c r="AO570" s="149" t="str">
        <f>IF('Cable Info'!N430="","",CONCATENATE('Cable Info'!N430," - ",'Cable Info'!O430))</f>
        <v/>
      </c>
      <c r="AR570" s="149" t="str">
        <f t="shared" si="73"/>
        <v/>
      </c>
      <c r="AT570" s="149" t="str">
        <f>IF('Cable Info'!P430="","",CONCATENATE('Cable Info'!P430," - ",'Cable Info'!Q430))</f>
        <v/>
      </c>
      <c r="AW570" s="149" t="str">
        <f t="shared" si="74"/>
        <v/>
      </c>
      <c r="AY570" s="149" t="str">
        <f>IF('Cable Info'!R430="","",CONCATENATE('Cable Info'!R430," - ",'Cable Info'!S430))</f>
        <v/>
      </c>
      <c r="BB570" s="149" t="str">
        <f t="shared" si="75"/>
        <v/>
      </c>
      <c r="BD570" s="149" t="str">
        <f>IF('Cable Info'!T430="","",CONCATENATE('Cable Info'!T430," - ",'Cable Info'!U430))</f>
        <v/>
      </c>
      <c r="BG570" s="149" t="str">
        <f t="shared" si="76"/>
        <v/>
      </c>
      <c r="BI570" s="149" t="str">
        <f>IF('Cable Info'!V430="","",CONCATENATE('Cable Info'!V430," - ",'Cable Info'!W430))</f>
        <v/>
      </c>
      <c r="BL570" s="149" t="str">
        <f t="shared" si="77"/>
        <v/>
      </c>
    </row>
    <row r="571" spans="1:64" x14ac:dyDescent="0.2">
      <c r="A571" s="180"/>
      <c r="B571" s="180"/>
      <c r="C571" s="180"/>
      <c r="D571" s="180"/>
      <c r="E571" s="180"/>
      <c r="F571" s="187"/>
      <c r="G571" s="180"/>
      <c r="H571" s="180"/>
      <c r="I571" s="180"/>
      <c r="J571" s="187"/>
      <c r="K571" s="180"/>
      <c r="L571" s="180"/>
      <c r="M571" s="180"/>
      <c r="N571" s="180"/>
      <c r="O571" s="218"/>
      <c r="P571" s="180"/>
      <c r="Q571" s="188"/>
      <c r="R571" s="180"/>
      <c r="S571" s="180"/>
      <c r="T571" s="180"/>
      <c r="U571" s="180"/>
      <c r="V571" s="180"/>
      <c r="W571" s="180"/>
      <c r="X571" s="201"/>
      <c r="AJ571" s="149" t="str">
        <f>IF('Cable Info'!L431="","",CONCATENATE('Cable Info'!L431," - ",'Cable Info'!M431))</f>
        <v/>
      </c>
      <c r="AM571" s="149" t="str">
        <f t="shared" si="72"/>
        <v/>
      </c>
      <c r="AO571" s="149" t="str">
        <f>IF('Cable Info'!N431="","",CONCATENATE('Cable Info'!N431," - ",'Cable Info'!O431))</f>
        <v/>
      </c>
      <c r="AR571" s="149" t="str">
        <f t="shared" si="73"/>
        <v/>
      </c>
      <c r="AT571" s="149" t="str">
        <f>IF('Cable Info'!P431="","",CONCATENATE('Cable Info'!P431," - ",'Cable Info'!Q431))</f>
        <v/>
      </c>
      <c r="AW571" s="149" t="str">
        <f t="shared" si="74"/>
        <v/>
      </c>
      <c r="AY571" s="149" t="str">
        <f>IF('Cable Info'!R431="","",CONCATENATE('Cable Info'!R431," - ",'Cable Info'!S431))</f>
        <v/>
      </c>
      <c r="BB571" s="149" t="str">
        <f t="shared" si="75"/>
        <v/>
      </c>
      <c r="BD571" s="149" t="str">
        <f>IF('Cable Info'!T431="","",CONCATENATE('Cable Info'!T431," - ",'Cable Info'!U431))</f>
        <v/>
      </c>
      <c r="BG571" s="149" t="str">
        <f t="shared" si="76"/>
        <v/>
      </c>
      <c r="BI571" s="149" t="str">
        <f>IF('Cable Info'!V431="","",CONCATENATE('Cable Info'!V431," - ",'Cable Info'!W431))</f>
        <v/>
      </c>
      <c r="BL571" s="149" t="str">
        <f t="shared" si="77"/>
        <v/>
      </c>
    </row>
    <row r="572" spans="1:64" x14ac:dyDescent="0.2">
      <c r="A572" s="180"/>
      <c r="B572" s="180"/>
      <c r="C572" s="180"/>
      <c r="D572" s="180"/>
      <c r="E572" s="180"/>
      <c r="F572" s="187"/>
      <c r="G572" s="180"/>
      <c r="H572" s="180"/>
      <c r="I572" s="180"/>
      <c r="J572" s="187"/>
      <c r="K572" s="180"/>
      <c r="L572" s="180"/>
      <c r="M572" s="180"/>
      <c r="N572" s="180"/>
      <c r="O572" s="218"/>
      <c r="P572" s="180"/>
      <c r="Q572" s="188"/>
      <c r="R572" s="180"/>
      <c r="S572" s="180"/>
      <c r="T572" s="180"/>
      <c r="U572" s="180"/>
      <c r="V572" s="180"/>
      <c r="W572" s="180"/>
      <c r="X572" s="201"/>
      <c r="AJ572" s="149" t="str">
        <f>IF('Cable Info'!L432="","",CONCATENATE('Cable Info'!L432," - ",'Cable Info'!M432))</f>
        <v/>
      </c>
      <c r="AM572" s="149" t="str">
        <f t="shared" si="72"/>
        <v/>
      </c>
      <c r="AO572" s="149" t="str">
        <f>IF('Cable Info'!N432="","",CONCATENATE('Cable Info'!N432," - ",'Cable Info'!O432))</f>
        <v/>
      </c>
      <c r="AR572" s="149" t="str">
        <f t="shared" si="73"/>
        <v/>
      </c>
      <c r="AT572" s="149" t="str">
        <f>IF('Cable Info'!P432="","",CONCATENATE('Cable Info'!P432," - ",'Cable Info'!Q432))</f>
        <v/>
      </c>
      <c r="AW572" s="149" t="str">
        <f t="shared" si="74"/>
        <v/>
      </c>
      <c r="AY572" s="149" t="str">
        <f>IF('Cable Info'!R432="","",CONCATENATE('Cable Info'!R432," - ",'Cable Info'!S432))</f>
        <v/>
      </c>
      <c r="BB572" s="149" t="str">
        <f t="shared" si="75"/>
        <v/>
      </c>
      <c r="BD572" s="149" t="str">
        <f>IF('Cable Info'!T432="","",CONCATENATE('Cable Info'!T432," - ",'Cable Info'!U432))</f>
        <v/>
      </c>
      <c r="BG572" s="149" t="str">
        <f t="shared" si="76"/>
        <v/>
      </c>
      <c r="BI572" s="149" t="str">
        <f>IF('Cable Info'!V432="","",CONCATENATE('Cable Info'!V432," - ",'Cable Info'!W432))</f>
        <v/>
      </c>
      <c r="BL572" s="149" t="str">
        <f t="shared" si="77"/>
        <v/>
      </c>
    </row>
    <row r="573" spans="1:64" x14ac:dyDescent="0.2">
      <c r="A573" s="180"/>
      <c r="B573" s="180"/>
      <c r="C573" s="180"/>
      <c r="D573" s="180"/>
      <c r="E573" s="180"/>
      <c r="F573" s="187"/>
      <c r="G573" s="180"/>
      <c r="H573" s="180"/>
      <c r="I573" s="180"/>
      <c r="J573" s="187"/>
      <c r="K573" s="180"/>
      <c r="L573" s="180"/>
      <c r="M573" s="180"/>
      <c r="N573" s="180"/>
      <c r="O573" s="218"/>
      <c r="P573" s="180"/>
      <c r="Q573" s="188"/>
      <c r="R573" s="180"/>
      <c r="S573" s="180"/>
      <c r="T573" s="180"/>
      <c r="U573" s="180"/>
      <c r="V573" s="180"/>
      <c r="W573" s="180"/>
      <c r="X573" s="201"/>
      <c r="AJ573" s="149" t="str">
        <f>IF('Cable Info'!L433="","",CONCATENATE('Cable Info'!L433," - ",'Cable Info'!M433))</f>
        <v/>
      </c>
      <c r="AM573" s="149" t="str">
        <f t="shared" si="72"/>
        <v/>
      </c>
      <c r="AO573" s="149" t="str">
        <f>IF('Cable Info'!N433="","",CONCATENATE('Cable Info'!N433," - ",'Cable Info'!O433))</f>
        <v/>
      </c>
      <c r="AR573" s="149" t="str">
        <f t="shared" si="73"/>
        <v/>
      </c>
      <c r="AT573" s="149" t="str">
        <f>IF('Cable Info'!P433="","",CONCATENATE('Cable Info'!P433," - ",'Cable Info'!Q433))</f>
        <v/>
      </c>
      <c r="AW573" s="149" t="str">
        <f t="shared" si="74"/>
        <v/>
      </c>
      <c r="AY573" s="149" t="str">
        <f>IF('Cable Info'!R433="","",CONCATENATE('Cable Info'!R433," - ",'Cable Info'!S433))</f>
        <v/>
      </c>
      <c r="BB573" s="149" t="str">
        <f t="shared" si="75"/>
        <v/>
      </c>
      <c r="BD573" s="149" t="str">
        <f>IF('Cable Info'!T433="","",CONCATENATE('Cable Info'!T433," - ",'Cable Info'!U433))</f>
        <v/>
      </c>
      <c r="BG573" s="149" t="str">
        <f t="shared" si="76"/>
        <v/>
      </c>
      <c r="BI573" s="149" t="str">
        <f>IF('Cable Info'!V433="","",CONCATENATE('Cable Info'!V433," - ",'Cable Info'!W433))</f>
        <v/>
      </c>
      <c r="BL573" s="149" t="str">
        <f t="shared" si="77"/>
        <v/>
      </c>
    </row>
    <row r="574" spans="1:64" x14ac:dyDescent="0.2">
      <c r="A574" s="180"/>
      <c r="B574" s="180"/>
      <c r="C574" s="180"/>
      <c r="D574" s="180"/>
      <c r="E574" s="180"/>
      <c r="F574" s="187"/>
      <c r="G574" s="180"/>
      <c r="H574" s="180"/>
      <c r="I574" s="180"/>
      <c r="J574" s="187"/>
      <c r="K574" s="180"/>
      <c r="L574" s="180"/>
      <c r="M574" s="180"/>
      <c r="N574" s="180"/>
      <c r="O574" s="218"/>
      <c r="P574" s="180"/>
      <c r="Q574" s="188"/>
      <c r="R574" s="180"/>
      <c r="S574" s="180"/>
      <c r="T574" s="180"/>
      <c r="U574" s="180"/>
      <c r="V574" s="180"/>
      <c r="W574" s="180"/>
      <c r="X574" s="201"/>
      <c r="AJ574" s="149" t="str">
        <f>IF('Cable Info'!L434="","",CONCATENATE('Cable Info'!L434," - ",'Cable Info'!M434))</f>
        <v/>
      </c>
      <c r="AM574" s="149" t="str">
        <f t="shared" si="72"/>
        <v/>
      </c>
      <c r="AO574" s="149" t="str">
        <f>IF('Cable Info'!N434="","",CONCATENATE('Cable Info'!N434," - ",'Cable Info'!O434))</f>
        <v/>
      </c>
      <c r="AR574" s="149" t="str">
        <f t="shared" si="73"/>
        <v/>
      </c>
      <c r="AT574" s="149" t="str">
        <f>IF('Cable Info'!P434="","",CONCATENATE('Cable Info'!P434," - ",'Cable Info'!Q434))</f>
        <v/>
      </c>
      <c r="AW574" s="149" t="str">
        <f t="shared" si="74"/>
        <v/>
      </c>
      <c r="AY574" s="149" t="str">
        <f>IF('Cable Info'!R434="","",CONCATENATE('Cable Info'!R434," - ",'Cable Info'!S434))</f>
        <v/>
      </c>
      <c r="BB574" s="149" t="str">
        <f t="shared" si="75"/>
        <v/>
      </c>
      <c r="BD574" s="149" t="str">
        <f>IF('Cable Info'!T434="","",CONCATENATE('Cable Info'!T434," - ",'Cable Info'!U434))</f>
        <v/>
      </c>
      <c r="BG574" s="149" t="str">
        <f t="shared" si="76"/>
        <v/>
      </c>
      <c r="BI574" s="149" t="str">
        <f>IF('Cable Info'!V434="","",CONCATENATE('Cable Info'!V434," - ",'Cable Info'!W434))</f>
        <v/>
      </c>
      <c r="BL574" s="149" t="str">
        <f t="shared" si="77"/>
        <v/>
      </c>
    </row>
    <row r="575" spans="1:64" x14ac:dyDescent="0.2">
      <c r="A575" s="180"/>
      <c r="B575" s="180"/>
      <c r="C575" s="180"/>
      <c r="D575" s="180"/>
      <c r="E575" s="180"/>
      <c r="F575" s="187"/>
      <c r="G575" s="180"/>
      <c r="H575" s="180"/>
      <c r="I575" s="180"/>
      <c r="J575" s="187"/>
      <c r="K575" s="180"/>
      <c r="L575" s="180"/>
      <c r="M575" s="180"/>
      <c r="N575" s="180"/>
      <c r="O575" s="218"/>
      <c r="P575" s="180"/>
      <c r="Q575" s="188"/>
      <c r="R575" s="180"/>
      <c r="S575" s="180"/>
      <c r="T575" s="180"/>
      <c r="U575" s="180"/>
      <c r="V575" s="180"/>
      <c r="W575" s="180"/>
      <c r="X575" s="201"/>
      <c r="AJ575" s="149" t="str">
        <f>IF('Cable Info'!L435="","",CONCATENATE('Cable Info'!L435," - ",'Cable Info'!M435))</f>
        <v/>
      </c>
      <c r="AM575" s="149" t="str">
        <f t="shared" si="72"/>
        <v/>
      </c>
      <c r="AO575" s="149" t="str">
        <f>IF('Cable Info'!N435="","",CONCATENATE('Cable Info'!N435," - ",'Cable Info'!O435))</f>
        <v/>
      </c>
      <c r="AR575" s="149" t="str">
        <f t="shared" si="73"/>
        <v/>
      </c>
      <c r="AT575" s="149" t="str">
        <f>IF('Cable Info'!P435="","",CONCATENATE('Cable Info'!P435," - ",'Cable Info'!Q435))</f>
        <v/>
      </c>
      <c r="AW575" s="149" t="str">
        <f t="shared" si="74"/>
        <v/>
      </c>
      <c r="AY575" s="149" t="str">
        <f>IF('Cable Info'!R435="","",CONCATENATE('Cable Info'!R435," - ",'Cable Info'!S435))</f>
        <v/>
      </c>
      <c r="BB575" s="149" t="str">
        <f t="shared" si="75"/>
        <v/>
      </c>
      <c r="BD575" s="149" t="str">
        <f>IF('Cable Info'!T435="","",CONCATENATE('Cable Info'!T435," - ",'Cable Info'!U435))</f>
        <v/>
      </c>
      <c r="BG575" s="149" t="str">
        <f t="shared" si="76"/>
        <v/>
      </c>
      <c r="BI575" s="149" t="str">
        <f>IF('Cable Info'!V435="","",CONCATENATE('Cable Info'!V435," - ",'Cable Info'!W435))</f>
        <v/>
      </c>
      <c r="BL575" s="149" t="str">
        <f t="shared" si="77"/>
        <v/>
      </c>
    </row>
    <row r="576" spans="1:64" x14ac:dyDescent="0.2">
      <c r="A576" s="180"/>
      <c r="B576" s="180"/>
      <c r="C576" s="180"/>
      <c r="D576" s="180"/>
      <c r="E576" s="180"/>
      <c r="F576" s="187"/>
      <c r="G576" s="180"/>
      <c r="H576" s="180"/>
      <c r="I576" s="180"/>
      <c r="J576" s="187"/>
      <c r="K576" s="180"/>
      <c r="L576" s="180"/>
      <c r="M576" s="180"/>
      <c r="N576" s="180"/>
      <c r="O576" s="218"/>
      <c r="P576" s="180"/>
      <c r="Q576" s="188"/>
      <c r="R576" s="180"/>
      <c r="S576" s="180"/>
      <c r="T576" s="180"/>
      <c r="U576" s="180"/>
      <c r="V576" s="180"/>
      <c r="W576" s="180"/>
      <c r="X576" s="201"/>
      <c r="AJ576" s="149" t="str">
        <f>IF('Cable Info'!L436="","",CONCATENATE('Cable Info'!L436," - ",'Cable Info'!M436))</f>
        <v/>
      </c>
      <c r="AM576" s="149" t="str">
        <f t="shared" si="72"/>
        <v/>
      </c>
      <c r="AO576" s="149" t="str">
        <f>IF('Cable Info'!N436="","",CONCATENATE('Cable Info'!N436," - ",'Cable Info'!O436))</f>
        <v/>
      </c>
      <c r="AR576" s="149" t="str">
        <f t="shared" si="73"/>
        <v/>
      </c>
      <c r="AT576" s="149" t="str">
        <f>IF('Cable Info'!P436="","",CONCATENATE('Cable Info'!P436," - ",'Cable Info'!Q436))</f>
        <v/>
      </c>
      <c r="AW576" s="149" t="str">
        <f t="shared" si="74"/>
        <v/>
      </c>
      <c r="AY576" s="149" t="str">
        <f>IF('Cable Info'!R436="","",CONCATENATE('Cable Info'!R436," - ",'Cable Info'!S436))</f>
        <v/>
      </c>
      <c r="BB576" s="149" t="str">
        <f t="shared" si="75"/>
        <v/>
      </c>
      <c r="BD576" s="149" t="str">
        <f>IF('Cable Info'!T436="","",CONCATENATE('Cable Info'!T436," - ",'Cable Info'!U436))</f>
        <v/>
      </c>
      <c r="BG576" s="149" t="str">
        <f t="shared" si="76"/>
        <v/>
      </c>
      <c r="BI576" s="149" t="str">
        <f>IF('Cable Info'!V436="","",CONCATENATE('Cable Info'!V436," - ",'Cable Info'!W436))</f>
        <v/>
      </c>
      <c r="BL576" s="149" t="str">
        <f t="shared" si="77"/>
        <v/>
      </c>
    </row>
    <row r="577" spans="1:64" x14ac:dyDescent="0.2">
      <c r="A577" s="180"/>
      <c r="B577" s="180"/>
      <c r="C577" s="180"/>
      <c r="D577" s="180"/>
      <c r="E577" s="180"/>
      <c r="F577" s="187"/>
      <c r="G577" s="180"/>
      <c r="H577" s="180"/>
      <c r="I577" s="180"/>
      <c r="J577" s="187"/>
      <c r="K577" s="180"/>
      <c r="L577" s="180"/>
      <c r="M577" s="180"/>
      <c r="N577" s="180"/>
      <c r="O577" s="218"/>
      <c r="P577" s="180"/>
      <c r="Q577" s="188"/>
      <c r="R577" s="180"/>
      <c r="S577" s="180"/>
      <c r="T577" s="180"/>
      <c r="U577" s="180"/>
      <c r="V577" s="180"/>
      <c r="W577" s="180"/>
      <c r="X577" s="201"/>
      <c r="AJ577" s="149" t="str">
        <f>IF('Cable Info'!L437="","",CONCATENATE('Cable Info'!L437," - ",'Cable Info'!M437))</f>
        <v/>
      </c>
      <c r="AM577" s="149" t="str">
        <f t="shared" si="72"/>
        <v/>
      </c>
      <c r="AO577" s="149" t="str">
        <f>IF('Cable Info'!N437="","",CONCATENATE('Cable Info'!N437," - ",'Cable Info'!O437))</f>
        <v/>
      </c>
      <c r="AR577" s="149" t="str">
        <f t="shared" si="73"/>
        <v/>
      </c>
      <c r="AT577" s="149" t="str">
        <f>IF('Cable Info'!P437="","",CONCATENATE('Cable Info'!P437," - ",'Cable Info'!Q437))</f>
        <v/>
      </c>
      <c r="AW577" s="149" t="str">
        <f t="shared" si="74"/>
        <v/>
      </c>
      <c r="AY577" s="149" t="str">
        <f>IF('Cable Info'!R437="","",CONCATENATE('Cable Info'!R437," - ",'Cable Info'!S437))</f>
        <v/>
      </c>
      <c r="BB577" s="149" t="str">
        <f t="shared" si="75"/>
        <v/>
      </c>
      <c r="BD577" s="149" t="str">
        <f>IF('Cable Info'!T437="","",CONCATENATE('Cable Info'!T437," - ",'Cable Info'!U437))</f>
        <v/>
      </c>
      <c r="BG577" s="149" t="str">
        <f t="shared" si="76"/>
        <v/>
      </c>
      <c r="BI577" s="149" t="str">
        <f>IF('Cable Info'!V437="","",CONCATENATE('Cable Info'!V437," - ",'Cable Info'!W437))</f>
        <v/>
      </c>
      <c r="BL577" s="149" t="str">
        <f t="shared" si="77"/>
        <v/>
      </c>
    </row>
    <row r="578" spans="1:64" x14ac:dyDescent="0.2">
      <c r="A578" s="180"/>
      <c r="B578" s="180"/>
      <c r="C578" s="180"/>
      <c r="D578" s="180"/>
      <c r="E578" s="180"/>
      <c r="F578" s="187"/>
      <c r="G578" s="180"/>
      <c r="H578" s="180"/>
      <c r="I578" s="180"/>
      <c r="J578" s="187"/>
      <c r="K578" s="180"/>
      <c r="L578" s="180"/>
      <c r="M578" s="180"/>
      <c r="N578" s="180"/>
      <c r="O578" s="218"/>
      <c r="P578" s="180"/>
      <c r="Q578" s="188"/>
      <c r="R578" s="180"/>
      <c r="S578" s="180"/>
      <c r="T578" s="180"/>
      <c r="U578" s="180"/>
      <c r="V578" s="180"/>
      <c r="W578" s="180"/>
      <c r="X578" s="201"/>
      <c r="AJ578" s="149" t="str">
        <f>IF('Cable Info'!L438="","",CONCATENATE('Cable Info'!L438," - ",'Cable Info'!M438))</f>
        <v/>
      </c>
      <c r="AM578" s="149" t="str">
        <f t="shared" si="72"/>
        <v/>
      </c>
      <c r="AO578" s="149" t="str">
        <f>IF('Cable Info'!N438="","",CONCATENATE('Cable Info'!N438," - ",'Cable Info'!O438))</f>
        <v/>
      </c>
      <c r="AR578" s="149" t="str">
        <f t="shared" si="73"/>
        <v/>
      </c>
      <c r="AT578" s="149" t="str">
        <f>IF('Cable Info'!P438="","",CONCATENATE('Cable Info'!P438," - ",'Cable Info'!Q438))</f>
        <v/>
      </c>
      <c r="AW578" s="149" t="str">
        <f t="shared" si="74"/>
        <v/>
      </c>
      <c r="AY578" s="149" t="str">
        <f>IF('Cable Info'!R438="","",CONCATENATE('Cable Info'!R438," - ",'Cable Info'!S438))</f>
        <v/>
      </c>
      <c r="BB578" s="149" t="str">
        <f t="shared" si="75"/>
        <v/>
      </c>
      <c r="BD578" s="149" t="str">
        <f>IF('Cable Info'!T438="","",CONCATENATE('Cable Info'!T438," - ",'Cable Info'!U438))</f>
        <v/>
      </c>
      <c r="BG578" s="149" t="str">
        <f t="shared" si="76"/>
        <v/>
      </c>
      <c r="BI578" s="149" t="str">
        <f>IF('Cable Info'!V438="","",CONCATENATE('Cable Info'!V438," - ",'Cable Info'!W438))</f>
        <v/>
      </c>
      <c r="BL578" s="149" t="str">
        <f t="shared" si="77"/>
        <v/>
      </c>
    </row>
    <row r="579" spans="1:64" x14ac:dyDescent="0.2">
      <c r="A579" s="180"/>
      <c r="B579" s="180"/>
      <c r="C579" s="180"/>
      <c r="D579" s="180"/>
      <c r="E579" s="180"/>
      <c r="F579" s="187"/>
      <c r="G579" s="180"/>
      <c r="H579" s="180"/>
      <c r="I579" s="180"/>
      <c r="J579" s="187"/>
      <c r="K579" s="180"/>
      <c r="L579" s="180"/>
      <c r="M579" s="180"/>
      <c r="N579" s="180"/>
      <c r="O579" s="218"/>
      <c r="P579" s="180"/>
      <c r="Q579" s="188"/>
      <c r="R579" s="180"/>
      <c r="S579" s="180"/>
      <c r="T579" s="180"/>
      <c r="U579" s="180"/>
      <c r="V579" s="180"/>
      <c r="W579" s="180"/>
      <c r="X579" s="201"/>
      <c r="AJ579" s="149" t="str">
        <f>IF('Cable Info'!L439="","",CONCATENATE('Cable Info'!L439," - ",'Cable Info'!M439))</f>
        <v/>
      </c>
      <c r="AM579" s="149" t="str">
        <f t="shared" si="72"/>
        <v/>
      </c>
      <c r="AO579" s="149" t="str">
        <f>IF('Cable Info'!N439="","",CONCATENATE('Cable Info'!N439," - ",'Cable Info'!O439))</f>
        <v/>
      </c>
      <c r="AR579" s="149" t="str">
        <f t="shared" si="73"/>
        <v/>
      </c>
      <c r="AT579" s="149" t="str">
        <f>IF('Cable Info'!P439="","",CONCATENATE('Cable Info'!P439," - ",'Cable Info'!Q439))</f>
        <v/>
      </c>
      <c r="AW579" s="149" t="str">
        <f t="shared" si="74"/>
        <v/>
      </c>
      <c r="AY579" s="149" t="str">
        <f>IF('Cable Info'!R439="","",CONCATENATE('Cable Info'!R439," - ",'Cable Info'!S439))</f>
        <v/>
      </c>
      <c r="BB579" s="149" t="str">
        <f t="shared" si="75"/>
        <v/>
      </c>
      <c r="BD579" s="149" t="str">
        <f>IF('Cable Info'!T439="","",CONCATENATE('Cable Info'!T439," - ",'Cable Info'!U439))</f>
        <v/>
      </c>
      <c r="BG579" s="149" t="str">
        <f t="shared" si="76"/>
        <v/>
      </c>
      <c r="BI579" s="149" t="str">
        <f>IF('Cable Info'!V439="","",CONCATENATE('Cable Info'!V439," - ",'Cable Info'!W439))</f>
        <v/>
      </c>
      <c r="BL579" s="149" t="str">
        <f t="shared" si="77"/>
        <v/>
      </c>
    </row>
    <row r="580" spans="1:64" x14ac:dyDescent="0.2">
      <c r="A580" s="180"/>
      <c r="B580" s="180"/>
      <c r="C580" s="180"/>
      <c r="D580" s="180"/>
      <c r="E580" s="180"/>
      <c r="F580" s="187"/>
      <c r="G580" s="180"/>
      <c r="H580" s="180"/>
      <c r="I580" s="180"/>
      <c r="J580" s="187"/>
      <c r="K580" s="180"/>
      <c r="L580" s="180"/>
      <c r="M580" s="180"/>
      <c r="N580" s="180"/>
      <c r="O580" s="218"/>
      <c r="P580" s="180"/>
      <c r="Q580" s="188"/>
      <c r="R580" s="180"/>
      <c r="S580" s="180"/>
      <c r="T580" s="180"/>
      <c r="U580" s="180"/>
      <c r="V580" s="180"/>
      <c r="W580" s="180"/>
      <c r="X580" s="201"/>
      <c r="AJ580" s="149" t="str">
        <f>IF('Cable Info'!L440="","",CONCATENATE('Cable Info'!L440," - ",'Cable Info'!M440))</f>
        <v/>
      </c>
      <c r="AM580" s="149" t="str">
        <f t="shared" si="72"/>
        <v/>
      </c>
      <c r="AO580" s="149" t="str">
        <f>IF('Cable Info'!N440="","",CONCATENATE('Cable Info'!N440," - ",'Cable Info'!O440))</f>
        <v/>
      </c>
      <c r="AR580" s="149" t="str">
        <f t="shared" si="73"/>
        <v/>
      </c>
      <c r="AT580" s="149" t="str">
        <f>IF('Cable Info'!P440="","",CONCATENATE('Cable Info'!P440," - ",'Cable Info'!Q440))</f>
        <v/>
      </c>
      <c r="AW580" s="149" t="str">
        <f t="shared" si="74"/>
        <v/>
      </c>
      <c r="AY580" s="149" t="str">
        <f>IF('Cable Info'!R440="","",CONCATENATE('Cable Info'!R440," - ",'Cable Info'!S440))</f>
        <v/>
      </c>
      <c r="BB580" s="149" t="str">
        <f t="shared" si="75"/>
        <v/>
      </c>
      <c r="BD580" s="149" t="str">
        <f>IF('Cable Info'!T440="","",CONCATENATE('Cable Info'!T440," - ",'Cable Info'!U440))</f>
        <v/>
      </c>
      <c r="BG580" s="149" t="str">
        <f t="shared" si="76"/>
        <v/>
      </c>
      <c r="BI580" s="149" t="str">
        <f>IF('Cable Info'!V440="","",CONCATENATE('Cable Info'!V440," - ",'Cable Info'!W440))</f>
        <v/>
      </c>
      <c r="BL580" s="149" t="str">
        <f t="shared" si="77"/>
        <v/>
      </c>
    </row>
    <row r="581" spans="1:64" x14ac:dyDescent="0.2">
      <c r="A581" s="180"/>
      <c r="B581" s="180"/>
      <c r="C581" s="180"/>
      <c r="D581" s="180"/>
      <c r="E581" s="180"/>
      <c r="F581" s="187"/>
      <c r="G581" s="180"/>
      <c r="H581" s="180"/>
      <c r="I581" s="180"/>
      <c r="J581" s="187"/>
      <c r="K581" s="180"/>
      <c r="L581" s="180"/>
      <c r="M581" s="180"/>
      <c r="N581" s="180"/>
      <c r="O581" s="218"/>
      <c r="P581" s="180"/>
      <c r="Q581" s="188"/>
      <c r="R581" s="180"/>
      <c r="S581" s="180"/>
      <c r="T581" s="180"/>
      <c r="U581" s="180"/>
      <c r="V581" s="180"/>
      <c r="W581" s="180"/>
      <c r="X581" s="201"/>
      <c r="AJ581" s="149" t="str">
        <f>IF('Cable Info'!L441="","",CONCATENATE('Cable Info'!L441," - ",'Cable Info'!M441))</f>
        <v/>
      </c>
      <c r="AM581" s="149" t="str">
        <f t="shared" si="72"/>
        <v/>
      </c>
      <c r="AO581" s="149" t="str">
        <f>IF('Cable Info'!N441="","",CONCATENATE('Cable Info'!N441," - ",'Cable Info'!O441))</f>
        <v/>
      </c>
      <c r="AR581" s="149" t="str">
        <f t="shared" si="73"/>
        <v/>
      </c>
      <c r="AT581" s="149" t="str">
        <f>IF('Cable Info'!P441="","",CONCATENATE('Cable Info'!P441," - ",'Cable Info'!Q441))</f>
        <v/>
      </c>
      <c r="AW581" s="149" t="str">
        <f t="shared" si="74"/>
        <v/>
      </c>
      <c r="AY581" s="149" t="str">
        <f>IF('Cable Info'!R441="","",CONCATENATE('Cable Info'!R441," - ",'Cable Info'!S441))</f>
        <v/>
      </c>
      <c r="BB581" s="149" t="str">
        <f t="shared" si="75"/>
        <v/>
      </c>
      <c r="BD581" s="149" t="str">
        <f>IF('Cable Info'!T441="","",CONCATENATE('Cable Info'!T441," - ",'Cable Info'!U441))</f>
        <v/>
      </c>
      <c r="BG581" s="149" t="str">
        <f t="shared" si="76"/>
        <v/>
      </c>
      <c r="BI581" s="149" t="str">
        <f>IF('Cable Info'!V441="","",CONCATENATE('Cable Info'!V441," - ",'Cable Info'!W441))</f>
        <v/>
      </c>
      <c r="BL581" s="149" t="str">
        <f t="shared" si="77"/>
        <v/>
      </c>
    </row>
    <row r="582" spans="1:64" x14ac:dyDescent="0.2">
      <c r="A582" s="180"/>
      <c r="B582" s="180"/>
      <c r="C582" s="180"/>
      <c r="D582" s="180"/>
      <c r="E582" s="180"/>
      <c r="F582" s="187"/>
      <c r="G582" s="180"/>
      <c r="H582" s="180"/>
      <c r="I582" s="180"/>
      <c r="J582" s="187"/>
      <c r="K582" s="180"/>
      <c r="L582" s="180"/>
      <c r="M582" s="180"/>
      <c r="N582" s="180"/>
      <c r="O582" s="218"/>
      <c r="P582" s="180"/>
      <c r="Q582" s="188"/>
      <c r="R582" s="180"/>
      <c r="S582" s="180"/>
      <c r="T582" s="180"/>
      <c r="U582" s="180"/>
      <c r="V582" s="180"/>
      <c r="W582" s="180"/>
      <c r="X582" s="201"/>
      <c r="AJ582" s="149" t="str">
        <f>IF('Cable Info'!L442="","",CONCATENATE('Cable Info'!L442," - ",'Cable Info'!M442))</f>
        <v/>
      </c>
      <c r="AM582" s="149" t="str">
        <f t="shared" si="72"/>
        <v/>
      </c>
      <c r="AO582" s="149" t="str">
        <f>IF('Cable Info'!N442="","",CONCATENATE('Cable Info'!N442," - ",'Cable Info'!O442))</f>
        <v/>
      </c>
      <c r="AR582" s="149" t="str">
        <f t="shared" si="73"/>
        <v/>
      </c>
      <c r="AT582" s="149" t="str">
        <f>IF('Cable Info'!P442="","",CONCATENATE('Cable Info'!P442," - ",'Cable Info'!Q442))</f>
        <v/>
      </c>
      <c r="AW582" s="149" t="str">
        <f t="shared" si="74"/>
        <v/>
      </c>
      <c r="AY582" s="149" t="str">
        <f>IF('Cable Info'!R442="","",CONCATENATE('Cable Info'!R442," - ",'Cable Info'!S442))</f>
        <v/>
      </c>
      <c r="BB582" s="149" t="str">
        <f t="shared" si="75"/>
        <v/>
      </c>
      <c r="BD582" s="149" t="str">
        <f>IF('Cable Info'!T442="","",CONCATENATE('Cable Info'!T442," - ",'Cable Info'!U442))</f>
        <v/>
      </c>
      <c r="BG582" s="149" t="str">
        <f t="shared" si="76"/>
        <v/>
      </c>
      <c r="BI582" s="149" t="str">
        <f>IF('Cable Info'!V442="","",CONCATENATE('Cable Info'!V442," - ",'Cable Info'!W442))</f>
        <v/>
      </c>
      <c r="BL582" s="149" t="str">
        <f t="shared" si="77"/>
        <v/>
      </c>
    </row>
    <row r="583" spans="1:64" x14ac:dyDescent="0.2">
      <c r="A583" s="180"/>
      <c r="B583" s="180"/>
      <c r="C583" s="180"/>
      <c r="D583" s="180"/>
      <c r="E583" s="180"/>
      <c r="F583" s="187"/>
      <c r="G583" s="180"/>
      <c r="H583" s="180"/>
      <c r="I583" s="180"/>
      <c r="J583" s="187"/>
      <c r="K583" s="180"/>
      <c r="L583" s="180"/>
      <c r="M583" s="180"/>
      <c r="N583" s="180"/>
      <c r="O583" s="218"/>
      <c r="P583" s="180"/>
      <c r="Q583" s="188"/>
      <c r="R583" s="180"/>
      <c r="S583" s="180"/>
      <c r="T583" s="180"/>
      <c r="U583" s="180"/>
      <c r="V583" s="180"/>
      <c r="W583" s="180"/>
      <c r="X583" s="201"/>
      <c r="AJ583" s="149" t="str">
        <f>IF('Cable Info'!L443="","",CONCATENATE('Cable Info'!L443," - ",'Cable Info'!M443))</f>
        <v/>
      </c>
      <c r="AM583" s="149" t="str">
        <f t="shared" si="72"/>
        <v/>
      </c>
      <c r="AO583" s="149" t="str">
        <f>IF('Cable Info'!N443="","",CONCATENATE('Cable Info'!N443," - ",'Cable Info'!O443))</f>
        <v/>
      </c>
      <c r="AR583" s="149" t="str">
        <f t="shared" si="73"/>
        <v/>
      </c>
      <c r="AT583" s="149" t="str">
        <f>IF('Cable Info'!P443="","",CONCATENATE('Cable Info'!P443," - ",'Cable Info'!Q443))</f>
        <v/>
      </c>
      <c r="AW583" s="149" t="str">
        <f t="shared" si="74"/>
        <v/>
      </c>
      <c r="AY583" s="149" t="str">
        <f>IF('Cable Info'!R443="","",CONCATENATE('Cable Info'!R443," - ",'Cable Info'!S443))</f>
        <v/>
      </c>
      <c r="BB583" s="149" t="str">
        <f t="shared" si="75"/>
        <v/>
      </c>
      <c r="BD583" s="149" t="str">
        <f>IF('Cable Info'!T443="","",CONCATENATE('Cable Info'!T443," - ",'Cable Info'!U443))</f>
        <v/>
      </c>
      <c r="BG583" s="149" t="str">
        <f t="shared" si="76"/>
        <v/>
      </c>
      <c r="BI583" s="149" t="str">
        <f>IF('Cable Info'!V443="","",CONCATENATE('Cable Info'!V443," - ",'Cable Info'!W443))</f>
        <v/>
      </c>
      <c r="BL583" s="149" t="str">
        <f t="shared" si="77"/>
        <v/>
      </c>
    </row>
    <row r="584" spans="1:64" x14ac:dyDescent="0.2">
      <c r="A584" s="180"/>
      <c r="B584" s="180"/>
      <c r="C584" s="180"/>
      <c r="D584" s="180"/>
      <c r="E584" s="180"/>
      <c r="F584" s="187"/>
      <c r="G584" s="180"/>
      <c r="H584" s="180"/>
      <c r="I584" s="180"/>
      <c r="J584" s="187"/>
      <c r="K584" s="180"/>
      <c r="L584" s="180"/>
      <c r="M584" s="180"/>
      <c r="N584" s="180"/>
      <c r="O584" s="218"/>
      <c r="P584" s="180"/>
      <c r="Q584" s="188"/>
      <c r="R584" s="180"/>
      <c r="S584" s="180"/>
      <c r="T584" s="180"/>
      <c r="U584" s="180"/>
      <c r="V584" s="180"/>
      <c r="W584" s="180"/>
      <c r="X584" s="201"/>
      <c r="AJ584" s="149" t="str">
        <f>IF('Cable Info'!L444="","",CONCATENATE('Cable Info'!L444," - ",'Cable Info'!M444))</f>
        <v/>
      </c>
      <c r="AM584" s="149" t="str">
        <f t="shared" si="72"/>
        <v/>
      </c>
      <c r="AO584" s="149" t="str">
        <f>IF('Cable Info'!N444="","",CONCATENATE('Cable Info'!N444," - ",'Cable Info'!O444))</f>
        <v/>
      </c>
      <c r="AR584" s="149" t="str">
        <f t="shared" si="73"/>
        <v/>
      </c>
      <c r="AT584" s="149" t="str">
        <f>IF('Cable Info'!P444="","",CONCATENATE('Cable Info'!P444," - ",'Cable Info'!Q444))</f>
        <v/>
      </c>
      <c r="AW584" s="149" t="str">
        <f t="shared" si="74"/>
        <v/>
      </c>
      <c r="AY584" s="149" t="str">
        <f>IF('Cable Info'!R444="","",CONCATENATE('Cable Info'!R444," - ",'Cable Info'!S444))</f>
        <v/>
      </c>
      <c r="BB584" s="149" t="str">
        <f t="shared" si="75"/>
        <v/>
      </c>
      <c r="BD584" s="149" t="str">
        <f>IF('Cable Info'!T444="","",CONCATENATE('Cable Info'!T444," - ",'Cable Info'!U444))</f>
        <v/>
      </c>
      <c r="BG584" s="149" t="str">
        <f t="shared" si="76"/>
        <v/>
      </c>
      <c r="BI584" s="149" t="str">
        <f>IF('Cable Info'!V444="","",CONCATENATE('Cable Info'!V444," - ",'Cable Info'!W444))</f>
        <v/>
      </c>
      <c r="BL584" s="149" t="str">
        <f t="shared" si="77"/>
        <v/>
      </c>
    </row>
    <row r="585" spans="1:64" x14ac:dyDescent="0.2">
      <c r="A585" s="180"/>
      <c r="B585" s="180"/>
      <c r="C585" s="180"/>
      <c r="D585" s="180"/>
      <c r="E585" s="180"/>
      <c r="F585" s="187"/>
      <c r="G585" s="180"/>
      <c r="H585" s="180"/>
      <c r="I585" s="180"/>
      <c r="J585" s="187"/>
      <c r="K585" s="180"/>
      <c r="L585" s="180"/>
      <c r="M585" s="180"/>
      <c r="N585" s="180"/>
      <c r="O585" s="218"/>
      <c r="P585" s="180"/>
      <c r="Q585" s="188"/>
      <c r="R585" s="180"/>
      <c r="S585" s="180"/>
      <c r="T585" s="180"/>
      <c r="U585" s="180"/>
      <c r="V585" s="180"/>
      <c r="W585" s="180"/>
      <c r="X585" s="201"/>
      <c r="AJ585" s="149" t="str">
        <f>IF('Cable Info'!L445="","",CONCATENATE('Cable Info'!L445," - ",'Cable Info'!M445))</f>
        <v/>
      </c>
      <c r="AM585" s="149" t="str">
        <f t="shared" si="72"/>
        <v/>
      </c>
      <c r="AO585" s="149" t="str">
        <f>IF('Cable Info'!N445="","",CONCATENATE('Cable Info'!N445," - ",'Cable Info'!O445))</f>
        <v/>
      </c>
      <c r="AR585" s="149" t="str">
        <f t="shared" si="73"/>
        <v/>
      </c>
      <c r="AT585" s="149" t="str">
        <f>IF('Cable Info'!P445="","",CONCATENATE('Cable Info'!P445," - ",'Cable Info'!Q445))</f>
        <v/>
      </c>
      <c r="AW585" s="149" t="str">
        <f t="shared" si="74"/>
        <v/>
      </c>
      <c r="AY585" s="149" t="str">
        <f>IF('Cable Info'!R445="","",CONCATENATE('Cable Info'!R445," - ",'Cable Info'!S445))</f>
        <v/>
      </c>
      <c r="BB585" s="149" t="str">
        <f t="shared" si="75"/>
        <v/>
      </c>
      <c r="BD585" s="149" t="str">
        <f>IF('Cable Info'!T445="","",CONCATENATE('Cable Info'!T445," - ",'Cable Info'!U445))</f>
        <v/>
      </c>
      <c r="BG585" s="149" t="str">
        <f t="shared" si="76"/>
        <v/>
      </c>
      <c r="BI585" s="149" t="str">
        <f>IF('Cable Info'!V445="","",CONCATENATE('Cable Info'!V445," - ",'Cable Info'!W445))</f>
        <v/>
      </c>
      <c r="BL585" s="149" t="str">
        <f t="shared" si="77"/>
        <v/>
      </c>
    </row>
    <row r="586" spans="1:64" x14ac:dyDescent="0.2">
      <c r="A586" s="180"/>
      <c r="B586" s="180"/>
      <c r="C586" s="180"/>
      <c r="D586" s="180"/>
      <c r="E586" s="180"/>
      <c r="F586" s="187"/>
      <c r="G586" s="180"/>
      <c r="H586" s="180"/>
      <c r="I586" s="180"/>
      <c r="J586" s="187"/>
      <c r="K586" s="180"/>
      <c r="L586" s="180"/>
      <c r="M586" s="180"/>
      <c r="N586" s="180"/>
      <c r="O586" s="218"/>
      <c r="P586" s="180"/>
      <c r="Q586" s="188"/>
      <c r="R586" s="180"/>
      <c r="S586" s="180"/>
      <c r="T586" s="180"/>
      <c r="U586" s="180"/>
      <c r="V586" s="180"/>
      <c r="W586" s="180"/>
      <c r="X586" s="201"/>
      <c r="AJ586" s="149" t="str">
        <f>IF('Cable Info'!L446="","",CONCATENATE('Cable Info'!L446," - ",'Cable Info'!M446))</f>
        <v/>
      </c>
      <c r="AM586" s="149" t="str">
        <f t="shared" si="72"/>
        <v/>
      </c>
      <c r="AO586" s="149" t="str">
        <f>IF('Cable Info'!N446="","",CONCATENATE('Cable Info'!N446," - ",'Cable Info'!O446))</f>
        <v/>
      </c>
      <c r="AR586" s="149" t="str">
        <f t="shared" si="73"/>
        <v/>
      </c>
      <c r="AT586" s="149" t="str">
        <f>IF('Cable Info'!P446="","",CONCATENATE('Cable Info'!P446," - ",'Cable Info'!Q446))</f>
        <v/>
      </c>
      <c r="AW586" s="149" t="str">
        <f t="shared" si="74"/>
        <v/>
      </c>
      <c r="AY586" s="149" t="str">
        <f>IF('Cable Info'!R446="","",CONCATENATE('Cable Info'!R446," - ",'Cable Info'!S446))</f>
        <v/>
      </c>
      <c r="BB586" s="149" t="str">
        <f t="shared" si="75"/>
        <v/>
      </c>
      <c r="BD586" s="149" t="str">
        <f>IF('Cable Info'!T446="","",CONCATENATE('Cable Info'!T446," - ",'Cable Info'!U446))</f>
        <v/>
      </c>
      <c r="BG586" s="149" t="str">
        <f t="shared" si="76"/>
        <v/>
      </c>
      <c r="BI586" s="149" t="str">
        <f>IF('Cable Info'!V446="","",CONCATENATE('Cable Info'!V446," - ",'Cable Info'!W446))</f>
        <v/>
      </c>
      <c r="BL586" s="149" t="str">
        <f t="shared" si="77"/>
        <v/>
      </c>
    </row>
    <row r="587" spans="1:64" x14ac:dyDescent="0.2">
      <c r="A587" s="180"/>
      <c r="B587" s="180"/>
      <c r="C587" s="180"/>
      <c r="D587" s="180"/>
      <c r="E587" s="180"/>
      <c r="F587" s="187"/>
      <c r="G587" s="180"/>
      <c r="H587" s="180"/>
      <c r="I587" s="180"/>
      <c r="J587" s="187"/>
      <c r="K587" s="180"/>
      <c r="L587" s="180"/>
      <c r="M587" s="180"/>
      <c r="N587" s="180"/>
      <c r="O587" s="218"/>
      <c r="P587" s="180"/>
      <c r="Q587" s="188"/>
      <c r="R587" s="180"/>
      <c r="S587" s="180"/>
      <c r="T587" s="180"/>
      <c r="U587" s="180"/>
      <c r="V587" s="180"/>
      <c r="W587" s="180"/>
      <c r="X587" s="201"/>
      <c r="AJ587" s="149" t="str">
        <f>IF('Cable Info'!L447="","",CONCATENATE('Cable Info'!L447," - ",'Cable Info'!M447))</f>
        <v/>
      </c>
      <c r="AM587" s="149" t="str">
        <f t="shared" si="72"/>
        <v/>
      </c>
      <c r="AO587" s="149" t="str">
        <f>IF('Cable Info'!N447="","",CONCATENATE('Cable Info'!N447," - ",'Cable Info'!O447))</f>
        <v/>
      </c>
      <c r="AR587" s="149" t="str">
        <f t="shared" si="73"/>
        <v/>
      </c>
      <c r="AT587" s="149" t="str">
        <f>IF('Cable Info'!P447="","",CONCATENATE('Cable Info'!P447," - ",'Cable Info'!Q447))</f>
        <v/>
      </c>
      <c r="AW587" s="149" t="str">
        <f t="shared" si="74"/>
        <v/>
      </c>
      <c r="AY587" s="149" t="str">
        <f>IF('Cable Info'!R447="","",CONCATENATE('Cable Info'!R447," - ",'Cable Info'!S447))</f>
        <v/>
      </c>
      <c r="BB587" s="149" t="str">
        <f t="shared" si="75"/>
        <v/>
      </c>
      <c r="BD587" s="149" t="str">
        <f>IF('Cable Info'!T447="","",CONCATENATE('Cable Info'!T447," - ",'Cable Info'!U447))</f>
        <v/>
      </c>
      <c r="BG587" s="149" t="str">
        <f t="shared" si="76"/>
        <v/>
      </c>
      <c r="BI587" s="149" t="str">
        <f>IF('Cable Info'!V447="","",CONCATENATE('Cable Info'!V447," - ",'Cable Info'!W447))</f>
        <v/>
      </c>
      <c r="BL587" s="149" t="str">
        <f t="shared" si="77"/>
        <v/>
      </c>
    </row>
    <row r="588" spans="1:64" x14ac:dyDescent="0.2">
      <c r="A588" s="180"/>
      <c r="B588" s="180"/>
      <c r="C588" s="180"/>
      <c r="D588" s="180"/>
      <c r="E588" s="180"/>
      <c r="F588" s="187"/>
      <c r="G588" s="180"/>
      <c r="H588" s="180"/>
      <c r="I588" s="180"/>
      <c r="J588" s="187"/>
      <c r="K588" s="180"/>
      <c r="L588" s="180"/>
      <c r="M588" s="180"/>
      <c r="N588" s="180"/>
      <c r="O588" s="218"/>
      <c r="P588" s="180"/>
      <c r="Q588" s="188"/>
      <c r="R588" s="180"/>
      <c r="S588" s="180"/>
      <c r="T588" s="180"/>
      <c r="U588" s="180"/>
      <c r="V588" s="180"/>
      <c r="W588" s="180"/>
      <c r="X588" s="201"/>
      <c r="AJ588" s="149" t="str">
        <f>IF('Cable Info'!L448="","",CONCATENATE('Cable Info'!L448," - ",'Cable Info'!M448))</f>
        <v/>
      </c>
      <c r="AM588" s="149" t="str">
        <f t="shared" si="72"/>
        <v/>
      </c>
      <c r="AO588" s="149" t="str">
        <f>IF('Cable Info'!N448="","",CONCATENATE('Cable Info'!N448," - ",'Cable Info'!O448))</f>
        <v/>
      </c>
      <c r="AR588" s="149" t="str">
        <f t="shared" si="73"/>
        <v/>
      </c>
      <c r="AT588" s="149" t="str">
        <f>IF('Cable Info'!P448="","",CONCATENATE('Cable Info'!P448," - ",'Cable Info'!Q448))</f>
        <v/>
      </c>
      <c r="AW588" s="149" t="str">
        <f t="shared" si="74"/>
        <v/>
      </c>
      <c r="AY588" s="149" t="str">
        <f>IF('Cable Info'!R448="","",CONCATENATE('Cable Info'!R448," - ",'Cable Info'!S448))</f>
        <v/>
      </c>
      <c r="BB588" s="149" t="str">
        <f t="shared" si="75"/>
        <v/>
      </c>
      <c r="BD588" s="149" t="str">
        <f>IF('Cable Info'!T448="","",CONCATENATE('Cable Info'!T448," - ",'Cable Info'!U448))</f>
        <v/>
      </c>
      <c r="BG588" s="149" t="str">
        <f t="shared" si="76"/>
        <v/>
      </c>
      <c r="BI588" s="149" t="str">
        <f>IF('Cable Info'!V448="","",CONCATENATE('Cable Info'!V448," - ",'Cable Info'!W448))</f>
        <v/>
      </c>
      <c r="BL588" s="149" t="str">
        <f t="shared" si="77"/>
        <v/>
      </c>
    </row>
    <row r="589" spans="1:64" x14ac:dyDescent="0.2">
      <c r="A589" s="180"/>
      <c r="B589" s="180"/>
      <c r="C589" s="180"/>
      <c r="D589" s="180"/>
      <c r="E589" s="180"/>
      <c r="F589" s="187"/>
      <c r="G589" s="180"/>
      <c r="H589" s="180"/>
      <c r="I589" s="180"/>
      <c r="J589" s="187"/>
      <c r="K589" s="180"/>
      <c r="L589" s="180"/>
      <c r="M589" s="180"/>
      <c r="N589" s="180"/>
      <c r="O589" s="218"/>
      <c r="P589" s="180"/>
      <c r="Q589" s="188"/>
      <c r="R589" s="180"/>
      <c r="S589" s="180"/>
      <c r="T589" s="180"/>
      <c r="U589" s="180"/>
      <c r="V589" s="180"/>
      <c r="W589" s="180"/>
      <c r="X589" s="201"/>
      <c r="AJ589" s="149" t="str">
        <f>IF('Cable Info'!L449="","",CONCATENATE('Cable Info'!L449," - ",'Cable Info'!M449))</f>
        <v/>
      </c>
      <c r="AM589" s="149" t="str">
        <f t="shared" si="72"/>
        <v/>
      </c>
      <c r="AO589" s="149" t="str">
        <f>IF('Cable Info'!N449="","",CONCATENATE('Cable Info'!N449," - ",'Cable Info'!O449))</f>
        <v/>
      </c>
      <c r="AR589" s="149" t="str">
        <f t="shared" si="73"/>
        <v/>
      </c>
      <c r="AT589" s="149" t="str">
        <f>IF('Cable Info'!P449="","",CONCATENATE('Cable Info'!P449," - ",'Cable Info'!Q449))</f>
        <v/>
      </c>
      <c r="AW589" s="149" t="str">
        <f t="shared" si="74"/>
        <v/>
      </c>
      <c r="AY589" s="149" t="str">
        <f>IF('Cable Info'!R449="","",CONCATENATE('Cable Info'!R449," - ",'Cable Info'!S449))</f>
        <v/>
      </c>
      <c r="BB589" s="149" t="str">
        <f t="shared" si="75"/>
        <v/>
      </c>
      <c r="BD589" s="149" t="str">
        <f>IF('Cable Info'!T449="","",CONCATENATE('Cable Info'!T449," - ",'Cable Info'!U449))</f>
        <v/>
      </c>
      <c r="BG589" s="149" t="str">
        <f t="shared" si="76"/>
        <v/>
      </c>
      <c r="BI589" s="149" t="str">
        <f>IF('Cable Info'!V449="","",CONCATENATE('Cable Info'!V449," - ",'Cable Info'!W449))</f>
        <v/>
      </c>
      <c r="BL589" s="149" t="str">
        <f t="shared" si="77"/>
        <v/>
      </c>
    </row>
    <row r="590" spans="1:64" x14ac:dyDescent="0.2">
      <c r="A590" s="180"/>
      <c r="B590" s="180"/>
      <c r="C590" s="180"/>
      <c r="D590" s="180"/>
      <c r="E590" s="180"/>
      <c r="F590" s="187"/>
      <c r="G590" s="180"/>
      <c r="H590" s="180"/>
      <c r="I590" s="180"/>
      <c r="J590" s="187"/>
      <c r="K590" s="180"/>
      <c r="L590" s="180"/>
      <c r="M590" s="180"/>
      <c r="N590" s="180"/>
      <c r="O590" s="218"/>
      <c r="P590" s="180"/>
      <c r="Q590" s="188"/>
      <c r="R590" s="180"/>
      <c r="S590" s="180"/>
      <c r="T590" s="180"/>
      <c r="U590" s="180"/>
      <c r="V590" s="180"/>
      <c r="W590" s="180"/>
      <c r="X590" s="201"/>
      <c r="AJ590" s="149" t="str">
        <f>IF('Cable Info'!L450="","",CONCATENATE('Cable Info'!L450," - ",'Cable Info'!M450))</f>
        <v/>
      </c>
      <c r="AM590" s="149" t="str">
        <f t="shared" si="72"/>
        <v/>
      </c>
      <c r="AO590" s="149" t="str">
        <f>IF('Cable Info'!N450="","",CONCATENATE('Cable Info'!N450," - ",'Cable Info'!O450))</f>
        <v/>
      </c>
      <c r="AR590" s="149" t="str">
        <f t="shared" si="73"/>
        <v/>
      </c>
      <c r="AT590" s="149" t="str">
        <f>IF('Cable Info'!P450="","",CONCATENATE('Cable Info'!P450," - ",'Cable Info'!Q450))</f>
        <v/>
      </c>
      <c r="AW590" s="149" t="str">
        <f t="shared" si="74"/>
        <v/>
      </c>
      <c r="AY590" s="149" t="str">
        <f>IF('Cable Info'!R450="","",CONCATENATE('Cable Info'!R450," - ",'Cable Info'!S450))</f>
        <v/>
      </c>
      <c r="BB590" s="149" t="str">
        <f t="shared" si="75"/>
        <v/>
      </c>
      <c r="BD590" s="149" t="str">
        <f>IF('Cable Info'!T450="","",CONCATENATE('Cable Info'!T450," - ",'Cable Info'!U450))</f>
        <v/>
      </c>
      <c r="BG590" s="149" t="str">
        <f t="shared" si="76"/>
        <v/>
      </c>
      <c r="BI590" s="149" t="str">
        <f>IF('Cable Info'!V450="","",CONCATENATE('Cable Info'!V450," - ",'Cable Info'!W450))</f>
        <v/>
      </c>
      <c r="BL590" s="149" t="str">
        <f t="shared" si="77"/>
        <v/>
      </c>
    </row>
    <row r="591" spans="1:64" x14ac:dyDescent="0.2">
      <c r="A591" s="180"/>
      <c r="B591" s="180"/>
      <c r="C591" s="180"/>
      <c r="D591" s="180"/>
      <c r="E591" s="180"/>
      <c r="F591" s="187"/>
      <c r="G591" s="180"/>
      <c r="H591" s="180"/>
      <c r="I591" s="180"/>
      <c r="J591" s="187"/>
      <c r="K591" s="180"/>
      <c r="L591" s="180"/>
      <c r="M591" s="180"/>
      <c r="N591" s="180"/>
      <c r="O591" s="218"/>
      <c r="P591" s="180"/>
      <c r="Q591" s="188"/>
      <c r="R591" s="180"/>
      <c r="S591" s="180"/>
      <c r="T591" s="180"/>
      <c r="U591" s="180"/>
      <c r="V591" s="180"/>
      <c r="W591" s="180"/>
      <c r="X591" s="201"/>
      <c r="AJ591" s="149" t="str">
        <f>IF('Cable Info'!L451="","",CONCATENATE('Cable Info'!L451," - ",'Cable Info'!M451))</f>
        <v/>
      </c>
      <c r="AM591" s="149" t="str">
        <f t="shared" ref="AM591:AM654" si="78">IF(AK591="",AJ591,CONCATENATE(AJ591,"  &lt;=&gt; ",AK591," ",AL591))</f>
        <v/>
      </c>
      <c r="AO591" s="149" t="str">
        <f>IF('Cable Info'!N451="","",CONCATENATE('Cable Info'!N451," - ",'Cable Info'!O451))</f>
        <v/>
      </c>
      <c r="AR591" s="149" t="str">
        <f t="shared" ref="AR591:AR654" si="79">IF(AP591="",AO591,CONCATENATE(AO591,"  &lt;=&gt; ",AP591," ",AQ591))</f>
        <v/>
      </c>
      <c r="AT591" s="149" t="str">
        <f>IF('Cable Info'!P451="","",CONCATENATE('Cable Info'!P451," - ",'Cable Info'!Q451))</f>
        <v/>
      </c>
      <c r="AW591" s="149" t="str">
        <f t="shared" ref="AW591:AW654" si="80">IF(AU591="",AT591,CONCATENATE(AT591,"  &lt;=&gt; ",AU591," ",AV591))</f>
        <v/>
      </c>
      <c r="AY591" s="149" t="str">
        <f>IF('Cable Info'!R451="","",CONCATENATE('Cable Info'!R451," - ",'Cable Info'!S451))</f>
        <v/>
      </c>
      <c r="BB591" s="149" t="str">
        <f t="shared" ref="BB591:BB654" si="81">IF(AZ591="",AY591,CONCATENATE(AY591,"  &lt;=&gt; ",AZ591," ",BA591))</f>
        <v/>
      </c>
      <c r="BD591" s="149" t="str">
        <f>IF('Cable Info'!T451="","",CONCATENATE('Cable Info'!T451," - ",'Cable Info'!U451))</f>
        <v/>
      </c>
      <c r="BG591" s="149" t="str">
        <f t="shared" ref="BG591:BG654" si="82">IF(BE591="",BD591,CONCATENATE(BD591,"  &lt;=&gt; ",BE591," ",BF591))</f>
        <v/>
      </c>
      <c r="BI591" s="149" t="str">
        <f>IF('Cable Info'!V451="","",CONCATENATE('Cable Info'!V451," - ",'Cable Info'!W451))</f>
        <v/>
      </c>
      <c r="BL591" s="149" t="str">
        <f t="shared" ref="BL591:BL654" si="83">IF(BJ591="",BI591,CONCATENATE(BI591,"  &lt;=&gt; ",BJ591," ",BK591))</f>
        <v/>
      </c>
    </row>
    <row r="592" spans="1:64" x14ac:dyDescent="0.2">
      <c r="A592" s="180"/>
      <c r="B592" s="180"/>
      <c r="C592" s="180"/>
      <c r="D592" s="180"/>
      <c r="E592" s="180"/>
      <c r="F592" s="187"/>
      <c r="G592" s="180"/>
      <c r="H592" s="180"/>
      <c r="I592" s="180"/>
      <c r="J592" s="187"/>
      <c r="K592" s="180"/>
      <c r="L592" s="180"/>
      <c r="M592" s="180"/>
      <c r="N592" s="180"/>
      <c r="O592" s="218"/>
      <c r="P592" s="180"/>
      <c r="Q592" s="188"/>
      <c r="R592" s="180"/>
      <c r="S592" s="180"/>
      <c r="T592" s="180"/>
      <c r="U592" s="180"/>
      <c r="V592" s="180"/>
      <c r="W592" s="180"/>
      <c r="X592" s="201"/>
      <c r="AJ592" s="149" t="str">
        <f>IF('Cable Info'!L452="","",CONCATENATE('Cable Info'!L452," - ",'Cable Info'!M452))</f>
        <v/>
      </c>
      <c r="AM592" s="149" t="str">
        <f t="shared" si="78"/>
        <v/>
      </c>
      <c r="AO592" s="149" t="str">
        <f>IF('Cable Info'!N452="","",CONCATENATE('Cable Info'!N452," - ",'Cable Info'!O452))</f>
        <v/>
      </c>
      <c r="AR592" s="149" t="str">
        <f t="shared" si="79"/>
        <v/>
      </c>
      <c r="AT592" s="149" t="str">
        <f>IF('Cable Info'!P452="","",CONCATENATE('Cable Info'!P452," - ",'Cable Info'!Q452))</f>
        <v/>
      </c>
      <c r="AW592" s="149" t="str">
        <f t="shared" si="80"/>
        <v/>
      </c>
      <c r="AY592" s="149" t="str">
        <f>IF('Cable Info'!R452="","",CONCATENATE('Cable Info'!R452," - ",'Cable Info'!S452))</f>
        <v/>
      </c>
      <c r="BB592" s="149" t="str">
        <f t="shared" si="81"/>
        <v/>
      </c>
      <c r="BD592" s="149" t="str">
        <f>IF('Cable Info'!T452="","",CONCATENATE('Cable Info'!T452," - ",'Cable Info'!U452))</f>
        <v/>
      </c>
      <c r="BG592" s="149" t="str">
        <f t="shared" si="82"/>
        <v/>
      </c>
      <c r="BI592" s="149" t="str">
        <f>IF('Cable Info'!V452="","",CONCATENATE('Cable Info'!V452," - ",'Cable Info'!W452))</f>
        <v/>
      </c>
      <c r="BL592" s="149" t="str">
        <f t="shared" si="83"/>
        <v/>
      </c>
    </row>
    <row r="593" spans="1:64" x14ac:dyDescent="0.2">
      <c r="A593" s="180"/>
      <c r="B593" s="180"/>
      <c r="C593" s="180"/>
      <c r="D593" s="180"/>
      <c r="E593" s="180"/>
      <c r="F593" s="187"/>
      <c r="G593" s="180"/>
      <c r="H593" s="180"/>
      <c r="I593" s="180"/>
      <c r="J593" s="187"/>
      <c r="K593" s="180"/>
      <c r="L593" s="180"/>
      <c r="M593" s="180"/>
      <c r="N593" s="180"/>
      <c r="O593" s="218"/>
      <c r="P593" s="180"/>
      <c r="Q593" s="188"/>
      <c r="R593" s="180"/>
      <c r="S593" s="180"/>
      <c r="T593" s="180"/>
      <c r="U593" s="180"/>
      <c r="V593" s="180"/>
      <c r="W593" s="180"/>
      <c r="X593" s="201"/>
      <c r="AJ593" s="149" t="str">
        <f>IF('Cable Info'!L453="","",CONCATENATE('Cable Info'!L453," - ",'Cable Info'!M453))</f>
        <v/>
      </c>
      <c r="AM593" s="149" t="str">
        <f t="shared" si="78"/>
        <v/>
      </c>
      <c r="AO593" s="149" t="str">
        <f>IF('Cable Info'!N453="","",CONCATENATE('Cable Info'!N453," - ",'Cable Info'!O453))</f>
        <v/>
      </c>
      <c r="AR593" s="149" t="str">
        <f t="shared" si="79"/>
        <v/>
      </c>
      <c r="AT593" s="149" t="str">
        <f>IF('Cable Info'!P453="","",CONCATENATE('Cable Info'!P453," - ",'Cable Info'!Q453))</f>
        <v/>
      </c>
      <c r="AW593" s="149" t="str">
        <f t="shared" si="80"/>
        <v/>
      </c>
      <c r="AY593" s="149" t="str">
        <f>IF('Cable Info'!R453="","",CONCATENATE('Cable Info'!R453," - ",'Cable Info'!S453))</f>
        <v/>
      </c>
      <c r="BB593" s="149" t="str">
        <f t="shared" si="81"/>
        <v/>
      </c>
      <c r="BD593" s="149" t="str">
        <f>IF('Cable Info'!T453="","",CONCATENATE('Cable Info'!T453," - ",'Cable Info'!U453))</f>
        <v/>
      </c>
      <c r="BG593" s="149" t="str">
        <f t="shared" si="82"/>
        <v/>
      </c>
      <c r="BI593" s="149" t="str">
        <f>IF('Cable Info'!V453="","",CONCATENATE('Cable Info'!V453," - ",'Cable Info'!W453))</f>
        <v/>
      </c>
      <c r="BL593" s="149" t="str">
        <f t="shared" si="83"/>
        <v/>
      </c>
    </row>
    <row r="594" spans="1:64" x14ac:dyDescent="0.2">
      <c r="A594" s="180"/>
      <c r="B594" s="180"/>
      <c r="C594" s="180"/>
      <c r="D594" s="180"/>
      <c r="E594" s="180"/>
      <c r="F594" s="187"/>
      <c r="G594" s="180"/>
      <c r="H594" s="180"/>
      <c r="I594" s="180"/>
      <c r="J594" s="187"/>
      <c r="K594" s="180"/>
      <c r="L594" s="180"/>
      <c r="M594" s="180"/>
      <c r="N594" s="180"/>
      <c r="O594" s="218"/>
      <c r="P594" s="180"/>
      <c r="Q594" s="188"/>
      <c r="R594" s="180"/>
      <c r="S594" s="180"/>
      <c r="T594" s="180"/>
      <c r="U594" s="180"/>
      <c r="V594" s="180"/>
      <c r="W594" s="180"/>
      <c r="X594" s="201"/>
      <c r="AJ594" s="149" t="str">
        <f>IF('Cable Info'!L454="","",CONCATENATE('Cable Info'!L454," - ",'Cable Info'!M454))</f>
        <v/>
      </c>
      <c r="AM594" s="149" t="str">
        <f t="shared" si="78"/>
        <v/>
      </c>
      <c r="AO594" s="149" t="str">
        <f>IF('Cable Info'!N454="","",CONCATENATE('Cable Info'!N454," - ",'Cable Info'!O454))</f>
        <v/>
      </c>
      <c r="AR594" s="149" t="str">
        <f t="shared" si="79"/>
        <v/>
      </c>
      <c r="AT594" s="149" t="str">
        <f>IF('Cable Info'!P454="","",CONCATENATE('Cable Info'!P454," - ",'Cable Info'!Q454))</f>
        <v/>
      </c>
      <c r="AW594" s="149" t="str">
        <f t="shared" si="80"/>
        <v/>
      </c>
      <c r="AY594" s="149" t="str">
        <f>IF('Cable Info'!R454="","",CONCATENATE('Cable Info'!R454," - ",'Cable Info'!S454))</f>
        <v/>
      </c>
      <c r="BB594" s="149" t="str">
        <f t="shared" si="81"/>
        <v/>
      </c>
      <c r="BD594" s="149" t="str">
        <f>IF('Cable Info'!T454="","",CONCATENATE('Cable Info'!T454," - ",'Cable Info'!U454))</f>
        <v/>
      </c>
      <c r="BG594" s="149" t="str">
        <f t="shared" si="82"/>
        <v/>
      </c>
      <c r="BI594" s="149" t="str">
        <f>IF('Cable Info'!V454="","",CONCATENATE('Cable Info'!V454," - ",'Cable Info'!W454))</f>
        <v/>
      </c>
      <c r="BL594" s="149" t="str">
        <f t="shared" si="83"/>
        <v/>
      </c>
    </row>
    <row r="595" spans="1:64" x14ac:dyDescent="0.2">
      <c r="A595" s="180"/>
      <c r="B595" s="180"/>
      <c r="C595" s="180"/>
      <c r="D595" s="180"/>
      <c r="E595" s="180"/>
      <c r="F595" s="187"/>
      <c r="G595" s="180"/>
      <c r="H595" s="180"/>
      <c r="I595" s="180"/>
      <c r="J595" s="187"/>
      <c r="K595" s="180"/>
      <c r="L595" s="180"/>
      <c r="M595" s="180"/>
      <c r="N595" s="180"/>
      <c r="O595" s="218"/>
      <c r="P595" s="180"/>
      <c r="Q595" s="188"/>
      <c r="R595" s="180"/>
      <c r="S595" s="180"/>
      <c r="T595" s="180"/>
      <c r="U595" s="180"/>
      <c r="V595" s="180"/>
      <c r="W595" s="180"/>
      <c r="X595" s="201"/>
      <c r="AJ595" s="149" t="str">
        <f>IF('Cable Info'!L455="","",CONCATENATE('Cable Info'!L455," - ",'Cable Info'!M455))</f>
        <v/>
      </c>
      <c r="AM595" s="149" t="str">
        <f t="shared" si="78"/>
        <v/>
      </c>
      <c r="AO595" s="149" t="str">
        <f>IF('Cable Info'!N455="","",CONCATENATE('Cable Info'!N455," - ",'Cable Info'!O455))</f>
        <v/>
      </c>
      <c r="AR595" s="149" t="str">
        <f t="shared" si="79"/>
        <v/>
      </c>
      <c r="AT595" s="149" t="str">
        <f>IF('Cable Info'!P455="","",CONCATENATE('Cable Info'!P455," - ",'Cable Info'!Q455))</f>
        <v/>
      </c>
      <c r="AW595" s="149" t="str">
        <f t="shared" si="80"/>
        <v/>
      </c>
      <c r="AY595" s="149" t="str">
        <f>IF('Cable Info'!R455="","",CONCATENATE('Cable Info'!R455," - ",'Cable Info'!S455))</f>
        <v/>
      </c>
      <c r="BB595" s="149" t="str">
        <f t="shared" si="81"/>
        <v/>
      </c>
      <c r="BD595" s="149" t="str">
        <f>IF('Cable Info'!T455="","",CONCATENATE('Cable Info'!T455," - ",'Cable Info'!U455))</f>
        <v/>
      </c>
      <c r="BG595" s="149" t="str">
        <f t="shared" si="82"/>
        <v/>
      </c>
      <c r="BI595" s="149" t="str">
        <f>IF('Cable Info'!V455="","",CONCATENATE('Cable Info'!V455," - ",'Cable Info'!W455))</f>
        <v/>
      </c>
      <c r="BL595" s="149" t="str">
        <f t="shared" si="83"/>
        <v/>
      </c>
    </row>
    <row r="596" spans="1:64" x14ac:dyDescent="0.2">
      <c r="A596" s="180"/>
      <c r="B596" s="180"/>
      <c r="C596" s="180"/>
      <c r="D596" s="180"/>
      <c r="E596" s="180"/>
      <c r="F596" s="187"/>
      <c r="G596" s="180"/>
      <c r="H596" s="180"/>
      <c r="I596" s="180"/>
      <c r="J596" s="187"/>
      <c r="K596" s="180"/>
      <c r="L596" s="180"/>
      <c r="M596" s="180"/>
      <c r="N596" s="180"/>
      <c r="O596" s="218"/>
      <c r="P596" s="180"/>
      <c r="Q596" s="188"/>
      <c r="R596" s="180"/>
      <c r="S596" s="180"/>
      <c r="T596" s="180"/>
      <c r="U596" s="180"/>
      <c r="V596" s="180"/>
      <c r="W596" s="180"/>
      <c r="X596" s="201"/>
      <c r="AJ596" s="149" t="str">
        <f>IF('Cable Info'!L456="","",CONCATENATE('Cable Info'!L456," - ",'Cable Info'!M456))</f>
        <v/>
      </c>
      <c r="AM596" s="149" t="str">
        <f t="shared" si="78"/>
        <v/>
      </c>
      <c r="AO596" s="149" t="str">
        <f>IF('Cable Info'!N456="","",CONCATENATE('Cable Info'!N456," - ",'Cable Info'!O456))</f>
        <v/>
      </c>
      <c r="AR596" s="149" t="str">
        <f t="shared" si="79"/>
        <v/>
      </c>
      <c r="AT596" s="149" t="str">
        <f>IF('Cable Info'!P456="","",CONCATENATE('Cable Info'!P456," - ",'Cable Info'!Q456))</f>
        <v/>
      </c>
      <c r="AW596" s="149" t="str">
        <f t="shared" si="80"/>
        <v/>
      </c>
      <c r="AY596" s="149" t="str">
        <f>IF('Cable Info'!R456="","",CONCATENATE('Cable Info'!R456," - ",'Cable Info'!S456))</f>
        <v/>
      </c>
      <c r="BB596" s="149" t="str">
        <f t="shared" si="81"/>
        <v/>
      </c>
      <c r="BD596" s="149" t="str">
        <f>IF('Cable Info'!T456="","",CONCATENATE('Cable Info'!T456," - ",'Cable Info'!U456))</f>
        <v/>
      </c>
      <c r="BG596" s="149" t="str">
        <f t="shared" si="82"/>
        <v/>
      </c>
      <c r="BI596" s="149" t="str">
        <f>IF('Cable Info'!V456="","",CONCATENATE('Cable Info'!V456," - ",'Cable Info'!W456))</f>
        <v/>
      </c>
      <c r="BL596" s="149" t="str">
        <f t="shared" si="83"/>
        <v/>
      </c>
    </row>
    <row r="597" spans="1:64" x14ac:dyDescent="0.2">
      <c r="A597" s="180"/>
      <c r="B597" s="180"/>
      <c r="C597" s="180"/>
      <c r="D597" s="180"/>
      <c r="E597" s="180"/>
      <c r="F597" s="187"/>
      <c r="G597" s="180"/>
      <c r="H597" s="180"/>
      <c r="I597" s="180"/>
      <c r="J597" s="187"/>
      <c r="K597" s="180"/>
      <c r="L597" s="180"/>
      <c r="M597" s="180"/>
      <c r="N597" s="180"/>
      <c r="O597" s="218"/>
      <c r="P597" s="180"/>
      <c r="Q597" s="188"/>
      <c r="R597" s="180"/>
      <c r="S597" s="180"/>
      <c r="T597" s="180"/>
      <c r="U597" s="180"/>
      <c r="V597" s="180"/>
      <c r="W597" s="180"/>
      <c r="X597" s="201"/>
      <c r="AJ597" s="149" t="str">
        <f>IF('Cable Info'!L457="","",CONCATENATE('Cable Info'!L457," - ",'Cable Info'!M457))</f>
        <v/>
      </c>
      <c r="AM597" s="149" t="str">
        <f t="shared" si="78"/>
        <v/>
      </c>
      <c r="AO597" s="149" t="str">
        <f>IF('Cable Info'!N457="","",CONCATENATE('Cable Info'!N457," - ",'Cable Info'!O457))</f>
        <v/>
      </c>
      <c r="AR597" s="149" t="str">
        <f t="shared" si="79"/>
        <v/>
      </c>
      <c r="AT597" s="149" t="str">
        <f>IF('Cable Info'!P457="","",CONCATENATE('Cable Info'!P457," - ",'Cable Info'!Q457))</f>
        <v/>
      </c>
      <c r="AW597" s="149" t="str">
        <f t="shared" si="80"/>
        <v/>
      </c>
      <c r="AY597" s="149" t="str">
        <f>IF('Cable Info'!R457="","",CONCATENATE('Cable Info'!R457," - ",'Cable Info'!S457))</f>
        <v/>
      </c>
      <c r="BB597" s="149" t="str">
        <f t="shared" si="81"/>
        <v/>
      </c>
      <c r="BD597" s="149" t="str">
        <f>IF('Cable Info'!T457="","",CONCATENATE('Cable Info'!T457," - ",'Cable Info'!U457))</f>
        <v/>
      </c>
      <c r="BG597" s="149" t="str">
        <f t="shared" si="82"/>
        <v/>
      </c>
      <c r="BI597" s="149" t="str">
        <f>IF('Cable Info'!V457="","",CONCATENATE('Cable Info'!V457," - ",'Cable Info'!W457))</f>
        <v/>
      </c>
      <c r="BL597" s="149" t="str">
        <f t="shared" si="83"/>
        <v/>
      </c>
    </row>
    <row r="598" spans="1:64" x14ac:dyDescent="0.2">
      <c r="A598" s="180"/>
      <c r="B598" s="180"/>
      <c r="C598" s="180"/>
      <c r="D598" s="180"/>
      <c r="E598" s="180"/>
      <c r="F598" s="187"/>
      <c r="G598" s="180"/>
      <c r="H598" s="180"/>
      <c r="I598" s="180"/>
      <c r="J598" s="187"/>
      <c r="K598" s="180"/>
      <c r="L598" s="180"/>
      <c r="M598" s="180"/>
      <c r="N598" s="180"/>
      <c r="O598" s="218"/>
      <c r="P598" s="180"/>
      <c r="Q598" s="188"/>
      <c r="R598" s="180"/>
      <c r="S598" s="180"/>
      <c r="T598" s="180"/>
      <c r="U598" s="180"/>
      <c r="V598" s="180"/>
      <c r="W598" s="180"/>
      <c r="X598" s="201"/>
      <c r="AJ598" s="149" t="str">
        <f>IF('Cable Info'!L458="","",CONCATENATE('Cable Info'!L458," - ",'Cable Info'!M458))</f>
        <v/>
      </c>
      <c r="AM598" s="149" t="str">
        <f t="shared" si="78"/>
        <v/>
      </c>
      <c r="AO598" s="149" t="str">
        <f>IF('Cable Info'!N458="","",CONCATENATE('Cable Info'!N458," - ",'Cable Info'!O458))</f>
        <v/>
      </c>
      <c r="AR598" s="149" t="str">
        <f t="shared" si="79"/>
        <v/>
      </c>
      <c r="AT598" s="149" t="str">
        <f>IF('Cable Info'!P458="","",CONCATENATE('Cable Info'!P458," - ",'Cable Info'!Q458))</f>
        <v/>
      </c>
      <c r="AW598" s="149" t="str">
        <f t="shared" si="80"/>
        <v/>
      </c>
      <c r="AY598" s="149" t="str">
        <f>IF('Cable Info'!R458="","",CONCATENATE('Cable Info'!R458," - ",'Cable Info'!S458))</f>
        <v/>
      </c>
      <c r="BB598" s="149" t="str">
        <f t="shared" si="81"/>
        <v/>
      </c>
      <c r="BD598" s="149" t="str">
        <f>IF('Cable Info'!T458="","",CONCATENATE('Cable Info'!T458," - ",'Cable Info'!U458))</f>
        <v/>
      </c>
      <c r="BG598" s="149" t="str">
        <f t="shared" si="82"/>
        <v/>
      </c>
      <c r="BI598" s="149" t="str">
        <f>IF('Cable Info'!V458="","",CONCATENATE('Cable Info'!V458," - ",'Cable Info'!W458))</f>
        <v/>
      </c>
      <c r="BL598" s="149" t="str">
        <f t="shared" si="83"/>
        <v/>
      </c>
    </row>
    <row r="599" spans="1:64" x14ac:dyDescent="0.2">
      <c r="A599" s="180"/>
      <c r="B599" s="180"/>
      <c r="C599" s="180"/>
      <c r="D599" s="180"/>
      <c r="E599" s="180"/>
      <c r="F599" s="187"/>
      <c r="G599" s="180"/>
      <c r="H599" s="180"/>
      <c r="I599" s="180"/>
      <c r="J599" s="187"/>
      <c r="K599" s="180"/>
      <c r="L599" s="180"/>
      <c r="M599" s="180"/>
      <c r="N599" s="180"/>
      <c r="O599" s="218"/>
      <c r="P599" s="180"/>
      <c r="Q599" s="188"/>
      <c r="R599" s="180"/>
      <c r="S599" s="180"/>
      <c r="T599" s="180"/>
      <c r="U599" s="180"/>
      <c r="V599" s="180"/>
      <c r="W599" s="180"/>
      <c r="X599" s="201"/>
      <c r="AJ599" s="149" t="str">
        <f>IF('Cable Info'!L459="","",CONCATENATE('Cable Info'!L459," - ",'Cable Info'!M459))</f>
        <v/>
      </c>
      <c r="AM599" s="149" t="str">
        <f t="shared" si="78"/>
        <v/>
      </c>
      <c r="AO599" s="149" t="str">
        <f>IF('Cable Info'!N459="","",CONCATENATE('Cable Info'!N459," - ",'Cable Info'!O459))</f>
        <v/>
      </c>
      <c r="AR599" s="149" t="str">
        <f t="shared" si="79"/>
        <v/>
      </c>
      <c r="AT599" s="149" t="str">
        <f>IF('Cable Info'!P459="","",CONCATENATE('Cable Info'!P459," - ",'Cable Info'!Q459))</f>
        <v/>
      </c>
      <c r="AW599" s="149" t="str">
        <f t="shared" si="80"/>
        <v/>
      </c>
      <c r="AY599" s="149" t="str">
        <f>IF('Cable Info'!R459="","",CONCATENATE('Cable Info'!R459," - ",'Cable Info'!S459))</f>
        <v/>
      </c>
      <c r="BB599" s="149" t="str">
        <f t="shared" si="81"/>
        <v/>
      </c>
      <c r="BD599" s="149" t="str">
        <f>IF('Cable Info'!T459="","",CONCATENATE('Cable Info'!T459," - ",'Cable Info'!U459))</f>
        <v/>
      </c>
      <c r="BG599" s="149" t="str">
        <f t="shared" si="82"/>
        <v/>
      </c>
      <c r="BI599" s="149" t="str">
        <f>IF('Cable Info'!V459="","",CONCATENATE('Cable Info'!V459," - ",'Cable Info'!W459))</f>
        <v/>
      </c>
      <c r="BL599" s="149" t="str">
        <f t="shared" si="83"/>
        <v/>
      </c>
    </row>
    <row r="600" spans="1:64" x14ac:dyDescent="0.2">
      <c r="A600" s="180"/>
      <c r="B600" s="180"/>
      <c r="C600" s="180"/>
      <c r="D600" s="180"/>
      <c r="E600" s="180"/>
      <c r="F600" s="187"/>
      <c r="G600" s="180"/>
      <c r="H600" s="180"/>
      <c r="I600" s="180"/>
      <c r="J600" s="187"/>
      <c r="K600" s="180"/>
      <c r="L600" s="180"/>
      <c r="M600" s="180"/>
      <c r="N600" s="180"/>
      <c r="O600" s="218"/>
      <c r="P600" s="180"/>
      <c r="Q600" s="188"/>
      <c r="R600" s="180"/>
      <c r="S600" s="180"/>
      <c r="T600" s="180"/>
      <c r="U600" s="180"/>
      <c r="V600" s="180"/>
      <c r="W600" s="180"/>
      <c r="X600" s="201"/>
      <c r="AJ600" s="149" t="str">
        <f>IF('Cable Info'!L460="","",CONCATENATE('Cable Info'!L460," - ",'Cable Info'!M460))</f>
        <v/>
      </c>
      <c r="AM600" s="149" t="str">
        <f t="shared" si="78"/>
        <v/>
      </c>
      <c r="AO600" s="149" t="str">
        <f>IF('Cable Info'!N460="","",CONCATENATE('Cable Info'!N460," - ",'Cable Info'!O460))</f>
        <v/>
      </c>
      <c r="AR600" s="149" t="str">
        <f t="shared" si="79"/>
        <v/>
      </c>
      <c r="AT600" s="149" t="str">
        <f>IF('Cable Info'!P460="","",CONCATENATE('Cable Info'!P460," - ",'Cable Info'!Q460))</f>
        <v/>
      </c>
      <c r="AW600" s="149" t="str">
        <f t="shared" si="80"/>
        <v/>
      </c>
      <c r="AY600" s="149" t="str">
        <f>IF('Cable Info'!R460="","",CONCATENATE('Cable Info'!R460," - ",'Cable Info'!S460))</f>
        <v/>
      </c>
      <c r="BB600" s="149" t="str">
        <f t="shared" si="81"/>
        <v/>
      </c>
      <c r="BD600" s="149" t="str">
        <f>IF('Cable Info'!T460="","",CONCATENATE('Cable Info'!T460," - ",'Cable Info'!U460))</f>
        <v/>
      </c>
      <c r="BG600" s="149" t="str">
        <f t="shared" si="82"/>
        <v/>
      </c>
      <c r="BI600" s="149" t="str">
        <f>IF('Cable Info'!V460="","",CONCATENATE('Cable Info'!V460," - ",'Cable Info'!W460))</f>
        <v/>
      </c>
      <c r="BL600" s="149" t="str">
        <f t="shared" si="83"/>
        <v/>
      </c>
    </row>
    <row r="601" spans="1:64" x14ac:dyDescent="0.2">
      <c r="A601" s="180"/>
      <c r="B601" s="180"/>
      <c r="C601" s="180"/>
      <c r="D601" s="180"/>
      <c r="E601" s="180"/>
      <c r="F601" s="187"/>
      <c r="G601" s="180"/>
      <c r="H601" s="180"/>
      <c r="I601" s="180"/>
      <c r="J601" s="187"/>
      <c r="K601" s="180"/>
      <c r="L601" s="180"/>
      <c r="M601" s="180"/>
      <c r="N601" s="180"/>
      <c r="O601" s="218"/>
      <c r="P601" s="180"/>
      <c r="Q601" s="188"/>
      <c r="R601" s="180"/>
      <c r="S601" s="180"/>
      <c r="T601" s="180"/>
      <c r="U601" s="180"/>
      <c r="V601" s="180"/>
      <c r="W601" s="180"/>
      <c r="X601" s="201"/>
      <c r="AJ601" s="149" t="str">
        <f>IF('Cable Info'!L461="","",CONCATENATE('Cable Info'!L461," - ",'Cable Info'!M461))</f>
        <v/>
      </c>
      <c r="AM601" s="149" t="str">
        <f t="shared" si="78"/>
        <v/>
      </c>
      <c r="AO601" s="149" t="str">
        <f>IF('Cable Info'!N461="","",CONCATENATE('Cable Info'!N461," - ",'Cable Info'!O461))</f>
        <v/>
      </c>
      <c r="AR601" s="149" t="str">
        <f t="shared" si="79"/>
        <v/>
      </c>
      <c r="AT601" s="149" t="str">
        <f>IF('Cable Info'!P461="","",CONCATENATE('Cable Info'!P461," - ",'Cable Info'!Q461))</f>
        <v/>
      </c>
      <c r="AW601" s="149" t="str">
        <f t="shared" si="80"/>
        <v/>
      </c>
      <c r="AY601" s="149" t="str">
        <f>IF('Cable Info'!R461="","",CONCATENATE('Cable Info'!R461," - ",'Cable Info'!S461))</f>
        <v/>
      </c>
      <c r="BB601" s="149" t="str">
        <f t="shared" si="81"/>
        <v/>
      </c>
      <c r="BD601" s="149" t="str">
        <f>IF('Cable Info'!T461="","",CONCATENATE('Cable Info'!T461," - ",'Cable Info'!U461))</f>
        <v/>
      </c>
      <c r="BG601" s="149" t="str">
        <f t="shared" si="82"/>
        <v/>
      </c>
      <c r="BI601" s="149" t="str">
        <f>IF('Cable Info'!V461="","",CONCATENATE('Cable Info'!V461," - ",'Cable Info'!W461))</f>
        <v/>
      </c>
      <c r="BL601" s="149" t="str">
        <f t="shared" si="83"/>
        <v/>
      </c>
    </row>
    <row r="602" spans="1:64" x14ac:dyDescent="0.2">
      <c r="A602" s="180"/>
      <c r="B602" s="180"/>
      <c r="C602" s="180"/>
      <c r="D602" s="180"/>
      <c r="E602" s="180"/>
      <c r="F602" s="187"/>
      <c r="G602" s="180"/>
      <c r="H602" s="180"/>
      <c r="I602" s="180"/>
      <c r="J602" s="187"/>
      <c r="K602" s="180"/>
      <c r="L602" s="180"/>
      <c r="M602" s="180"/>
      <c r="N602" s="180"/>
      <c r="O602" s="218"/>
      <c r="P602" s="180"/>
      <c r="Q602" s="188"/>
      <c r="R602" s="180"/>
      <c r="S602" s="180"/>
      <c r="T602" s="180"/>
      <c r="U602" s="180"/>
      <c r="V602" s="180"/>
      <c r="W602" s="180"/>
      <c r="X602" s="201"/>
      <c r="AJ602" s="149" t="str">
        <f>IF('Cable Info'!L462="","",CONCATENATE('Cable Info'!L462," - ",'Cable Info'!M462))</f>
        <v/>
      </c>
      <c r="AM602" s="149" t="str">
        <f t="shared" si="78"/>
        <v/>
      </c>
      <c r="AO602" s="149" t="str">
        <f>IF('Cable Info'!N462="","",CONCATENATE('Cable Info'!N462," - ",'Cable Info'!O462))</f>
        <v/>
      </c>
      <c r="AR602" s="149" t="str">
        <f t="shared" si="79"/>
        <v/>
      </c>
      <c r="AT602" s="149" t="str">
        <f>IF('Cable Info'!P462="","",CONCATENATE('Cable Info'!P462," - ",'Cable Info'!Q462))</f>
        <v/>
      </c>
      <c r="AW602" s="149" t="str">
        <f t="shared" si="80"/>
        <v/>
      </c>
      <c r="AY602" s="149" t="str">
        <f>IF('Cable Info'!R462="","",CONCATENATE('Cable Info'!R462," - ",'Cable Info'!S462))</f>
        <v/>
      </c>
      <c r="BB602" s="149" t="str">
        <f t="shared" si="81"/>
        <v/>
      </c>
      <c r="BD602" s="149" t="str">
        <f>IF('Cable Info'!T462="","",CONCATENATE('Cable Info'!T462," - ",'Cable Info'!U462))</f>
        <v/>
      </c>
      <c r="BG602" s="149" t="str">
        <f t="shared" si="82"/>
        <v/>
      </c>
      <c r="BI602" s="149" t="str">
        <f>IF('Cable Info'!V462="","",CONCATENATE('Cable Info'!V462," - ",'Cable Info'!W462))</f>
        <v/>
      </c>
      <c r="BL602" s="149" t="str">
        <f t="shared" si="83"/>
        <v/>
      </c>
    </row>
    <row r="603" spans="1:64" x14ac:dyDescent="0.2">
      <c r="A603" s="180"/>
      <c r="B603" s="180"/>
      <c r="C603" s="180"/>
      <c r="D603" s="180"/>
      <c r="E603" s="180"/>
      <c r="F603" s="187"/>
      <c r="G603" s="180"/>
      <c r="H603" s="180"/>
      <c r="I603" s="180"/>
      <c r="J603" s="187"/>
      <c r="K603" s="180"/>
      <c r="L603" s="180"/>
      <c r="M603" s="180"/>
      <c r="N603" s="180"/>
      <c r="O603" s="218"/>
      <c r="P603" s="180"/>
      <c r="Q603" s="188"/>
      <c r="R603" s="180"/>
      <c r="S603" s="180"/>
      <c r="T603" s="180"/>
      <c r="U603" s="180"/>
      <c r="V603" s="180"/>
      <c r="W603" s="180"/>
      <c r="X603" s="201"/>
      <c r="AJ603" s="149" t="str">
        <f>IF('Cable Info'!L463="","",CONCATENATE('Cable Info'!L463," - ",'Cable Info'!M463))</f>
        <v/>
      </c>
      <c r="AM603" s="149" t="str">
        <f t="shared" si="78"/>
        <v/>
      </c>
      <c r="AO603" s="149" t="str">
        <f>IF('Cable Info'!N463="","",CONCATENATE('Cable Info'!N463," - ",'Cable Info'!O463))</f>
        <v/>
      </c>
      <c r="AR603" s="149" t="str">
        <f t="shared" si="79"/>
        <v/>
      </c>
      <c r="AT603" s="149" t="str">
        <f>IF('Cable Info'!P463="","",CONCATENATE('Cable Info'!P463," - ",'Cable Info'!Q463))</f>
        <v/>
      </c>
      <c r="AW603" s="149" t="str">
        <f t="shared" si="80"/>
        <v/>
      </c>
      <c r="AY603" s="149" t="str">
        <f>IF('Cable Info'!R463="","",CONCATENATE('Cable Info'!R463," - ",'Cable Info'!S463))</f>
        <v/>
      </c>
      <c r="BB603" s="149" t="str">
        <f t="shared" si="81"/>
        <v/>
      </c>
      <c r="BD603" s="149" t="str">
        <f>IF('Cable Info'!T463="","",CONCATENATE('Cable Info'!T463," - ",'Cable Info'!U463))</f>
        <v/>
      </c>
      <c r="BG603" s="149" t="str">
        <f t="shared" si="82"/>
        <v/>
      </c>
      <c r="BI603" s="149" t="str">
        <f>IF('Cable Info'!V463="","",CONCATENATE('Cable Info'!V463," - ",'Cable Info'!W463))</f>
        <v/>
      </c>
      <c r="BL603" s="149" t="str">
        <f t="shared" si="83"/>
        <v/>
      </c>
    </row>
    <row r="604" spans="1:64" x14ac:dyDescent="0.2">
      <c r="A604" s="180"/>
      <c r="B604" s="180"/>
      <c r="C604" s="180"/>
      <c r="D604" s="180"/>
      <c r="E604" s="180"/>
      <c r="F604" s="187"/>
      <c r="G604" s="180"/>
      <c r="H604" s="180"/>
      <c r="I604" s="180"/>
      <c r="J604" s="187"/>
      <c r="K604" s="180"/>
      <c r="L604" s="180"/>
      <c r="M604" s="180"/>
      <c r="N604" s="180"/>
      <c r="O604" s="218"/>
      <c r="P604" s="180"/>
      <c r="Q604" s="188"/>
      <c r="R604" s="180"/>
      <c r="S604" s="180"/>
      <c r="T604" s="180"/>
      <c r="U604" s="180"/>
      <c r="V604" s="180"/>
      <c r="W604" s="180"/>
      <c r="X604" s="201"/>
      <c r="AJ604" s="149" t="str">
        <f>IF('Cable Info'!L464="","",CONCATENATE('Cable Info'!L464," - ",'Cable Info'!M464))</f>
        <v/>
      </c>
      <c r="AM604" s="149" t="str">
        <f t="shared" si="78"/>
        <v/>
      </c>
      <c r="AO604" s="149" t="str">
        <f>IF('Cable Info'!N464="","",CONCATENATE('Cable Info'!N464," - ",'Cable Info'!O464))</f>
        <v/>
      </c>
      <c r="AR604" s="149" t="str">
        <f t="shared" si="79"/>
        <v/>
      </c>
      <c r="AT604" s="149" t="str">
        <f>IF('Cable Info'!P464="","",CONCATENATE('Cable Info'!P464," - ",'Cable Info'!Q464))</f>
        <v/>
      </c>
      <c r="AW604" s="149" t="str">
        <f t="shared" si="80"/>
        <v/>
      </c>
      <c r="AY604" s="149" t="str">
        <f>IF('Cable Info'!R464="","",CONCATENATE('Cable Info'!R464," - ",'Cable Info'!S464))</f>
        <v/>
      </c>
      <c r="BB604" s="149" t="str">
        <f t="shared" si="81"/>
        <v/>
      </c>
      <c r="BD604" s="149" t="str">
        <f>IF('Cable Info'!T464="","",CONCATENATE('Cable Info'!T464," - ",'Cable Info'!U464))</f>
        <v/>
      </c>
      <c r="BG604" s="149" t="str">
        <f t="shared" si="82"/>
        <v/>
      </c>
      <c r="BI604" s="149" t="str">
        <f>IF('Cable Info'!V464="","",CONCATENATE('Cable Info'!V464," - ",'Cable Info'!W464))</f>
        <v/>
      </c>
      <c r="BL604" s="149" t="str">
        <f t="shared" si="83"/>
        <v/>
      </c>
    </row>
    <row r="605" spans="1:64" x14ac:dyDescent="0.2">
      <c r="A605" s="180"/>
      <c r="B605" s="180"/>
      <c r="C605" s="180"/>
      <c r="D605" s="180"/>
      <c r="E605" s="180"/>
      <c r="F605" s="187"/>
      <c r="G605" s="180"/>
      <c r="H605" s="180"/>
      <c r="I605" s="180"/>
      <c r="J605" s="187"/>
      <c r="K605" s="180"/>
      <c r="L605" s="180"/>
      <c r="M605" s="180"/>
      <c r="N605" s="180"/>
      <c r="O605" s="218"/>
      <c r="P605" s="180"/>
      <c r="Q605" s="188"/>
      <c r="R605" s="180"/>
      <c r="S605" s="180"/>
      <c r="T605" s="180"/>
      <c r="U605" s="180"/>
      <c r="V605" s="180"/>
      <c r="W605" s="180"/>
      <c r="X605" s="201"/>
      <c r="AJ605" s="149" t="str">
        <f>IF('Cable Info'!L465="","",CONCATENATE('Cable Info'!L465," - ",'Cable Info'!M465))</f>
        <v/>
      </c>
      <c r="AM605" s="149" t="str">
        <f t="shared" si="78"/>
        <v/>
      </c>
      <c r="AO605" s="149" t="str">
        <f>IF('Cable Info'!N465="","",CONCATENATE('Cable Info'!N465," - ",'Cable Info'!O465))</f>
        <v/>
      </c>
      <c r="AR605" s="149" t="str">
        <f t="shared" si="79"/>
        <v/>
      </c>
      <c r="AT605" s="149" t="str">
        <f>IF('Cable Info'!P465="","",CONCATENATE('Cable Info'!P465," - ",'Cable Info'!Q465))</f>
        <v/>
      </c>
      <c r="AW605" s="149" t="str">
        <f t="shared" si="80"/>
        <v/>
      </c>
      <c r="AY605" s="149" t="str">
        <f>IF('Cable Info'!R465="","",CONCATENATE('Cable Info'!R465," - ",'Cable Info'!S465))</f>
        <v/>
      </c>
      <c r="BB605" s="149" t="str">
        <f t="shared" si="81"/>
        <v/>
      </c>
      <c r="BD605" s="149" t="str">
        <f>IF('Cable Info'!T465="","",CONCATENATE('Cable Info'!T465," - ",'Cable Info'!U465))</f>
        <v/>
      </c>
      <c r="BG605" s="149" t="str">
        <f t="shared" si="82"/>
        <v/>
      </c>
      <c r="BI605" s="149" t="str">
        <f>IF('Cable Info'!V465="","",CONCATENATE('Cable Info'!V465," - ",'Cable Info'!W465))</f>
        <v/>
      </c>
      <c r="BL605" s="149" t="str">
        <f t="shared" si="83"/>
        <v/>
      </c>
    </row>
    <row r="606" spans="1:64" x14ac:dyDescent="0.2">
      <c r="A606" s="180"/>
      <c r="B606" s="180"/>
      <c r="C606" s="180"/>
      <c r="D606" s="180"/>
      <c r="E606" s="180"/>
      <c r="F606" s="187"/>
      <c r="G606" s="180"/>
      <c r="H606" s="180"/>
      <c r="I606" s="180"/>
      <c r="J606" s="187"/>
      <c r="K606" s="180"/>
      <c r="L606" s="180"/>
      <c r="M606" s="180"/>
      <c r="N606" s="180"/>
      <c r="O606" s="218"/>
      <c r="P606" s="180"/>
      <c r="Q606" s="188"/>
      <c r="R606" s="180"/>
      <c r="S606" s="180"/>
      <c r="T606" s="180"/>
      <c r="U606" s="180"/>
      <c r="V606" s="180"/>
      <c r="W606" s="180"/>
      <c r="X606" s="201"/>
      <c r="AJ606" s="149" t="str">
        <f>IF('Cable Info'!L466="","",CONCATENATE('Cable Info'!L466," - ",'Cable Info'!M466))</f>
        <v/>
      </c>
      <c r="AM606" s="149" t="str">
        <f t="shared" si="78"/>
        <v/>
      </c>
      <c r="AO606" s="149" t="str">
        <f>IF('Cable Info'!N466="","",CONCATENATE('Cable Info'!N466," - ",'Cable Info'!O466))</f>
        <v/>
      </c>
      <c r="AR606" s="149" t="str">
        <f t="shared" si="79"/>
        <v/>
      </c>
      <c r="AT606" s="149" t="str">
        <f>IF('Cable Info'!P466="","",CONCATENATE('Cable Info'!P466," - ",'Cable Info'!Q466))</f>
        <v/>
      </c>
      <c r="AW606" s="149" t="str">
        <f t="shared" si="80"/>
        <v/>
      </c>
      <c r="AY606" s="149" t="str">
        <f>IF('Cable Info'!R466="","",CONCATENATE('Cable Info'!R466," - ",'Cable Info'!S466))</f>
        <v/>
      </c>
      <c r="BB606" s="149" t="str">
        <f t="shared" si="81"/>
        <v/>
      </c>
      <c r="BD606" s="149" t="str">
        <f>IF('Cable Info'!T466="","",CONCATENATE('Cable Info'!T466," - ",'Cable Info'!U466))</f>
        <v/>
      </c>
      <c r="BG606" s="149" t="str">
        <f t="shared" si="82"/>
        <v/>
      </c>
      <c r="BI606" s="149" t="str">
        <f>IF('Cable Info'!V466="","",CONCATENATE('Cable Info'!V466," - ",'Cable Info'!W466))</f>
        <v/>
      </c>
      <c r="BL606" s="149" t="str">
        <f t="shared" si="83"/>
        <v/>
      </c>
    </row>
    <row r="607" spans="1:64" x14ac:dyDescent="0.2">
      <c r="A607" s="180"/>
      <c r="B607" s="180"/>
      <c r="C607" s="180"/>
      <c r="D607" s="180"/>
      <c r="E607" s="180"/>
      <c r="F607" s="187"/>
      <c r="G607" s="180"/>
      <c r="H607" s="180"/>
      <c r="I607" s="180"/>
      <c r="J607" s="187"/>
      <c r="K607" s="180"/>
      <c r="L607" s="180"/>
      <c r="M607" s="180"/>
      <c r="N607" s="180"/>
      <c r="O607" s="218"/>
      <c r="P607" s="180"/>
      <c r="Q607" s="188"/>
      <c r="R607" s="180"/>
      <c r="S607" s="180"/>
      <c r="T607" s="180"/>
      <c r="U607" s="180"/>
      <c r="V607" s="180"/>
      <c r="W607" s="180"/>
      <c r="X607" s="201"/>
      <c r="AJ607" s="149" t="str">
        <f>IF('Cable Info'!L467="","",CONCATENATE('Cable Info'!L467," - ",'Cable Info'!M467))</f>
        <v/>
      </c>
      <c r="AM607" s="149" t="str">
        <f t="shared" si="78"/>
        <v/>
      </c>
      <c r="AO607" s="149" t="str">
        <f>IF('Cable Info'!N467="","",CONCATENATE('Cable Info'!N467," - ",'Cable Info'!O467))</f>
        <v/>
      </c>
      <c r="AR607" s="149" t="str">
        <f t="shared" si="79"/>
        <v/>
      </c>
      <c r="AT607" s="149" t="str">
        <f>IF('Cable Info'!P467="","",CONCATENATE('Cable Info'!P467," - ",'Cable Info'!Q467))</f>
        <v/>
      </c>
      <c r="AW607" s="149" t="str">
        <f t="shared" si="80"/>
        <v/>
      </c>
      <c r="AY607" s="149" t="str">
        <f>IF('Cable Info'!R467="","",CONCATENATE('Cable Info'!R467," - ",'Cable Info'!S467))</f>
        <v/>
      </c>
      <c r="BB607" s="149" t="str">
        <f t="shared" si="81"/>
        <v/>
      </c>
      <c r="BD607" s="149" t="str">
        <f>IF('Cable Info'!T467="","",CONCATENATE('Cable Info'!T467," - ",'Cable Info'!U467))</f>
        <v/>
      </c>
      <c r="BG607" s="149" t="str">
        <f t="shared" si="82"/>
        <v/>
      </c>
      <c r="BI607" s="149" t="str">
        <f>IF('Cable Info'!V467="","",CONCATENATE('Cable Info'!V467," - ",'Cable Info'!W467))</f>
        <v/>
      </c>
      <c r="BL607" s="149" t="str">
        <f t="shared" si="83"/>
        <v/>
      </c>
    </row>
    <row r="608" spans="1:64" x14ac:dyDescent="0.2">
      <c r="A608" s="180"/>
      <c r="B608" s="180"/>
      <c r="C608" s="180"/>
      <c r="D608" s="180"/>
      <c r="E608" s="180"/>
      <c r="F608" s="187"/>
      <c r="G608" s="180"/>
      <c r="H608" s="180"/>
      <c r="I608" s="180"/>
      <c r="J608" s="187"/>
      <c r="K608" s="180"/>
      <c r="L608" s="180"/>
      <c r="M608" s="180"/>
      <c r="N608" s="180"/>
      <c r="O608" s="218"/>
      <c r="P608" s="180"/>
      <c r="Q608" s="188"/>
      <c r="R608" s="180"/>
      <c r="S608" s="180"/>
      <c r="T608" s="180"/>
      <c r="U608" s="180"/>
      <c r="V608" s="180"/>
      <c r="W608" s="180"/>
      <c r="X608" s="201"/>
      <c r="AJ608" s="149" t="str">
        <f>IF('Cable Info'!L468="","",CONCATENATE('Cable Info'!L468," - ",'Cable Info'!M468))</f>
        <v/>
      </c>
      <c r="AM608" s="149" t="str">
        <f t="shared" si="78"/>
        <v/>
      </c>
      <c r="AO608" s="149" t="str">
        <f>IF('Cable Info'!N468="","",CONCATENATE('Cable Info'!N468," - ",'Cable Info'!O468))</f>
        <v/>
      </c>
      <c r="AR608" s="149" t="str">
        <f t="shared" si="79"/>
        <v/>
      </c>
      <c r="AT608" s="149" t="str">
        <f>IF('Cable Info'!P468="","",CONCATENATE('Cable Info'!P468," - ",'Cable Info'!Q468))</f>
        <v/>
      </c>
      <c r="AW608" s="149" t="str">
        <f t="shared" si="80"/>
        <v/>
      </c>
      <c r="AY608" s="149" t="str">
        <f>IF('Cable Info'!R468="","",CONCATENATE('Cable Info'!R468," - ",'Cable Info'!S468))</f>
        <v/>
      </c>
      <c r="BB608" s="149" t="str">
        <f t="shared" si="81"/>
        <v/>
      </c>
      <c r="BD608" s="149" t="str">
        <f>IF('Cable Info'!T468="","",CONCATENATE('Cable Info'!T468," - ",'Cable Info'!U468))</f>
        <v/>
      </c>
      <c r="BG608" s="149" t="str">
        <f t="shared" si="82"/>
        <v/>
      </c>
      <c r="BI608" s="149" t="str">
        <f>IF('Cable Info'!V468="","",CONCATENATE('Cable Info'!V468," - ",'Cable Info'!W468))</f>
        <v/>
      </c>
      <c r="BL608" s="149" t="str">
        <f t="shared" si="83"/>
        <v/>
      </c>
    </row>
    <row r="609" spans="1:64" x14ac:dyDescent="0.2">
      <c r="A609" s="180"/>
      <c r="B609" s="180"/>
      <c r="C609" s="180"/>
      <c r="D609" s="180"/>
      <c r="E609" s="180"/>
      <c r="F609" s="187"/>
      <c r="G609" s="180"/>
      <c r="H609" s="180"/>
      <c r="I609" s="180"/>
      <c r="J609" s="187"/>
      <c r="K609" s="180"/>
      <c r="L609" s="180"/>
      <c r="M609" s="180"/>
      <c r="N609" s="180"/>
      <c r="O609" s="218"/>
      <c r="P609" s="180"/>
      <c r="Q609" s="188"/>
      <c r="R609" s="180"/>
      <c r="S609" s="180"/>
      <c r="T609" s="180"/>
      <c r="U609" s="180"/>
      <c r="V609" s="180"/>
      <c r="W609" s="180"/>
      <c r="X609" s="201"/>
      <c r="AJ609" s="149" t="str">
        <f>IF('Cable Info'!L469="","",CONCATENATE('Cable Info'!L469," - ",'Cable Info'!M469))</f>
        <v/>
      </c>
      <c r="AM609" s="149" t="str">
        <f t="shared" si="78"/>
        <v/>
      </c>
      <c r="AO609" s="149" t="str">
        <f>IF('Cable Info'!N469="","",CONCATENATE('Cable Info'!N469," - ",'Cable Info'!O469))</f>
        <v/>
      </c>
      <c r="AR609" s="149" t="str">
        <f t="shared" si="79"/>
        <v/>
      </c>
      <c r="AT609" s="149" t="str">
        <f>IF('Cable Info'!P469="","",CONCATENATE('Cable Info'!P469," - ",'Cable Info'!Q469))</f>
        <v/>
      </c>
      <c r="AW609" s="149" t="str">
        <f t="shared" si="80"/>
        <v/>
      </c>
      <c r="AY609" s="149" t="str">
        <f>IF('Cable Info'!R469="","",CONCATENATE('Cable Info'!R469," - ",'Cable Info'!S469))</f>
        <v/>
      </c>
      <c r="BB609" s="149" t="str">
        <f t="shared" si="81"/>
        <v/>
      </c>
      <c r="BD609" s="149" t="str">
        <f>IF('Cable Info'!T469="","",CONCATENATE('Cable Info'!T469," - ",'Cable Info'!U469))</f>
        <v/>
      </c>
      <c r="BG609" s="149" t="str">
        <f t="shared" si="82"/>
        <v/>
      </c>
      <c r="BI609" s="149" t="str">
        <f>IF('Cable Info'!V469="","",CONCATENATE('Cable Info'!V469," - ",'Cable Info'!W469))</f>
        <v/>
      </c>
      <c r="BL609" s="149" t="str">
        <f t="shared" si="83"/>
        <v/>
      </c>
    </row>
    <row r="610" spans="1:64" x14ac:dyDescent="0.2">
      <c r="A610" s="180"/>
      <c r="B610" s="180"/>
      <c r="C610" s="180"/>
      <c r="D610" s="180"/>
      <c r="E610" s="180"/>
      <c r="F610" s="187"/>
      <c r="G610" s="180"/>
      <c r="H610" s="180"/>
      <c r="I610" s="180"/>
      <c r="J610" s="187"/>
      <c r="K610" s="180"/>
      <c r="L610" s="180"/>
      <c r="M610" s="180"/>
      <c r="N610" s="180"/>
      <c r="O610" s="218"/>
      <c r="P610" s="180"/>
      <c r="Q610" s="188"/>
      <c r="R610" s="180"/>
      <c r="S610" s="180"/>
      <c r="T610" s="180"/>
      <c r="U610" s="180"/>
      <c r="V610" s="180"/>
      <c r="W610" s="180"/>
      <c r="X610" s="201"/>
      <c r="AJ610" s="149" t="str">
        <f>IF('Cable Info'!L470="","",CONCATENATE('Cable Info'!L470," - ",'Cable Info'!M470))</f>
        <v/>
      </c>
      <c r="AM610" s="149" t="str">
        <f t="shared" si="78"/>
        <v/>
      </c>
      <c r="AO610" s="149" t="str">
        <f>IF('Cable Info'!N470="","",CONCATENATE('Cable Info'!N470," - ",'Cable Info'!O470))</f>
        <v/>
      </c>
      <c r="AR610" s="149" t="str">
        <f t="shared" si="79"/>
        <v/>
      </c>
      <c r="AT610" s="149" t="str">
        <f>IF('Cable Info'!P470="","",CONCATENATE('Cable Info'!P470," - ",'Cable Info'!Q470))</f>
        <v/>
      </c>
      <c r="AW610" s="149" t="str">
        <f t="shared" si="80"/>
        <v/>
      </c>
      <c r="AY610" s="149" t="str">
        <f>IF('Cable Info'!R470="","",CONCATENATE('Cable Info'!R470," - ",'Cable Info'!S470))</f>
        <v/>
      </c>
      <c r="BB610" s="149" t="str">
        <f t="shared" si="81"/>
        <v/>
      </c>
      <c r="BD610" s="149" t="str">
        <f>IF('Cable Info'!T470="","",CONCATENATE('Cable Info'!T470," - ",'Cable Info'!U470))</f>
        <v/>
      </c>
      <c r="BG610" s="149" t="str">
        <f t="shared" si="82"/>
        <v/>
      </c>
      <c r="BI610" s="149" t="str">
        <f>IF('Cable Info'!V470="","",CONCATENATE('Cable Info'!V470," - ",'Cable Info'!W470))</f>
        <v/>
      </c>
      <c r="BL610" s="149" t="str">
        <f t="shared" si="83"/>
        <v/>
      </c>
    </row>
    <row r="611" spans="1:64" x14ac:dyDescent="0.2">
      <c r="A611" s="180"/>
      <c r="B611" s="180"/>
      <c r="C611" s="180"/>
      <c r="D611" s="180"/>
      <c r="E611" s="180"/>
      <c r="F611" s="187"/>
      <c r="G611" s="180"/>
      <c r="H611" s="180"/>
      <c r="I611" s="180"/>
      <c r="J611" s="187"/>
      <c r="K611" s="180"/>
      <c r="L611" s="180"/>
      <c r="M611" s="180"/>
      <c r="N611" s="180"/>
      <c r="O611" s="218"/>
      <c r="P611" s="180"/>
      <c r="Q611" s="188"/>
      <c r="R611" s="180"/>
      <c r="S611" s="180"/>
      <c r="T611" s="180"/>
      <c r="U611" s="180"/>
      <c r="V611" s="180"/>
      <c r="W611" s="180"/>
      <c r="X611" s="201"/>
      <c r="AJ611" s="149" t="str">
        <f>IF('Cable Info'!L471="","",CONCATENATE('Cable Info'!L471," - ",'Cable Info'!M471))</f>
        <v/>
      </c>
      <c r="AM611" s="149" t="str">
        <f t="shared" si="78"/>
        <v/>
      </c>
      <c r="AO611" s="149" t="str">
        <f>IF('Cable Info'!N471="","",CONCATENATE('Cable Info'!N471," - ",'Cable Info'!O471))</f>
        <v/>
      </c>
      <c r="AR611" s="149" t="str">
        <f t="shared" si="79"/>
        <v/>
      </c>
      <c r="AT611" s="149" t="str">
        <f>IF('Cable Info'!P471="","",CONCATENATE('Cable Info'!P471," - ",'Cable Info'!Q471))</f>
        <v/>
      </c>
      <c r="AW611" s="149" t="str">
        <f t="shared" si="80"/>
        <v/>
      </c>
      <c r="AY611" s="149" t="str">
        <f>IF('Cable Info'!R471="","",CONCATENATE('Cable Info'!R471," - ",'Cable Info'!S471))</f>
        <v/>
      </c>
      <c r="BB611" s="149" t="str">
        <f t="shared" si="81"/>
        <v/>
      </c>
      <c r="BD611" s="149" t="str">
        <f>IF('Cable Info'!T471="","",CONCATENATE('Cable Info'!T471," - ",'Cable Info'!U471))</f>
        <v/>
      </c>
      <c r="BG611" s="149" t="str">
        <f t="shared" si="82"/>
        <v/>
      </c>
      <c r="BI611" s="149" t="str">
        <f>IF('Cable Info'!V471="","",CONCATENATE('Cable Info'!V471," - ",'Cable Info'!W471))</f>
        <v/>
      </c>
      <c r="BL611" s="149" t="str">
        <f t="shared" si="83"/>
        <v/>
      </c>
    </row>
    <row r="612" spans="1:64" x14ac:dyDescent="0.2">
      <c r="A612" s="180"/>
      <c r="B612" s="180"/>
      <c r="C612" s="180"/>
      <c r="D612" s="180"/>
      <c r="E612" s="180"/>
      <c r="F612" s="187"/>
      <c r="G612" s="180"/>
      <c r="H612" s="180"/>
      <c r="I612" s="180"/>
      <c r="J612" s="187"/>
      <c r="K612" s="180"/>
      <c r="L612" s="180"/>
      <c r="M612" s="180"/>
      <c r="N612" s="180"/>
      <c r="O612" s="218"/>
      <c r="P612" s="180"/>
      <c r="Q612" s="188"/>
      <c r="R612" s="180"/>
      <c r="S612" s="180"/>
      <c r="T612" s="180"/>
      <c r="U612" s="180"/>
      <c r="V612" s="180"/>
      <c r="W612" s="180"/>
      <c r="X612" s="201"/>
      <c r="AJ612" s="149" t="str">
        <f>IF('Cable Info'!L472="","",CONCATENATE('Cable Info'!L472," - ",'Cable Info'!M472))</f>
        <v/>
      </c>
      <c r="AM612" s="149" t="str">
        <f t="shared" si="78"/>
        <v/>
      </c>
      <c r="AO612" s="149" t="str">
        <f>IF('Cable Info'!N472="","",CONCATENATE('Cable Info'!N472," - ",'Cable Info'!O472))</f>
        <v/>
      </c>
      <c r="AR612" s="149" t="str">
        <f t="shared" si="79"/>
        <v/>
      </c>
      <c r="AT612" s="149" t="str">
        <f>IF('Cable Info'!P472="","",CONCATENATE('Cable Info'!P472," - ",'Cable Info'!Q472))</f>
        <v/>
      </c>
      <c r="AW612" s="149" t="str">
        <f t="shared" si="80"/>
        <v/>
      </c>
      <c r="AY612" s="149" t="str">
        <f>IF('Cable Info'!R472="","",CONCATENATE('Cable Info'!R472," - ",'Cable Info'!S472))</f>
        <v/>
      </c>
      <c r="BB612" s="149" t="str">
        <f t="shared" si="81"/>
        <v/>
      </c>
      <c r="BD612" s="149" t="str">
        <f>IF('Cable Info'!T472="","",CONCATENATE('Cable Info'!T472," - ",'Cable Info'!U472))</f>
        <v/>
      </c>
      <c r="BG612" s="149" t="str">
        <f t="shared" si="82"/>
        <v/>
      </c>
      <c r="BI612" s="149" t="str">
        <f>IF('Cable Info'!V472="","",CONCATENATE('Cable Info'!V472," - ",'Cable Info'!W472))</f>
        <v/>
      </c>
      <c r="BL612" s="149" t="str">
        <f t="shared" si="83"/>
        <v/>
      </c>
    </row>
    <row r="613" spans="1:64" x14ac:dyDescent="0.2">
      <c r="A613" s="180"/>
      <c r="B613" s="180"/>
      <c r="C613" s="180"/>
      <c r="D613" s="180"/>
      <c r="E613" s="180"/>
      <c r="F613" s="187"/>
      <c r="G613" s="180"/>
      <c r="H613" s="180"/>
      <c r="I613" s="180"/>
      <c r="J613" s="187"/>
      <c r="K613" s="180"/>
      <c r="L613" s="180"/>
      <c r="M613" s="180"/>
      <c r="N613" s="180"/>
      <c r="O613" s="218"/>
      <c r="P613" s="180"/>
      <c r="Q613" s="188"/>
      <c r="R613" s="180"/>
      <c r="S613" s="180"/>
      <c r="T613" s="180"/>
      <c r="U613" s="180"/>
      <c r="V613" s="180"/>
      <c r="W613" s="180"/>
      <c r="X613" s="201"/>
      <c r="AJ613" s="149" t="str">
        <f>IF('Cable Info'!L473="","",CONCATENATE('Cable Info'!L473," - ",'Cable Info'!M473))</f>
        <v/>
      </c>
      <c r="AM613" s="149" t="str">
        <f t="shared" si="78"/>
        <v/>
      </c>
      <c r="AO613" s="149" t="str">
        <f>IF('Cable Info'!N473="","",CONCATENATE('Cable Info'!N473," - ",'Cable Info'!O473))</f>
        <v/>
      </c>
      <c r="AR613" s="149" t="str">
        <f t="shared" si="79"/>
        <v/>
      </c>
      <c r="AT613" s="149" t="str">
        <f>IF('Cable Info'!P473="","",CONCATENATE('Cable Info'!P473," - ",'Cable Info'!Q473))</f>
        <v/>
      </c>
      <c r="AW613" s="149" t="str">
        <f t="shared" si="80"/>
        <v/>
      </c>
      <c r="AY613" s="149" t="str">
        <f>IF('Cable Info'!R473="","",CONCATENATE('Cable Info'!R473," - ",'Cable Info'!S473))</f>
        <v/>
      </c>
      <c r="BB613" s="149" t="str">
        <f t="shared" si="81"/>
        <v/>
      </c>
      <c r="BD613" s="149" t="str">
        <f>IF('Cable Info'!T473="","",CONCATENATE('Cable Info'!T473," - ",'Cable Info'!U473))</f>
        <v/>
      </c>
      <c r="BG613" s="149" t="str">
        <f t="shared" si="82"/>
        <v/>
      </c>
      <c r="BI613" s="149" t="str">
        <f>IF('Cable Info'!V473="","",CONCATENATE('Cable Info'!V473," - ",'Cable Info'!W473))</f>
        <v/>
      </c>
      <c r="BL613" s="149" t="str">
        <f t="shared" si="83"/>
        <v/>
      </c>
    </row>
    <row r="614" spans="1:64" x14ac:dyDescent="0.2">
      <c r="A614" s="180"/>
      <c r="B614" s="180"/>
      <c r="C614" s="180"/>
      <c r="D614" s="180"/>
      <c r="E614" s="180"/>
      <c r="F614" s="187"/>
      <c r="G614" s="180"/>
      <c r="H614" s="180"/>
      <c r="I614" s="180"/>
      <c r="J614" s="187"/>
      <c r="K614" s="180"/>
      <c r="L614" s="180"/>
      <c r="M614" s="180"/>
      <c r="N614" s="180"/>
      <c r="O614" s="218"/>
      <c r="P614" s="180"/>
      <c r="Q614" s="188"/>
      <c r="R614" s="180"/>
      <c r="S614" s="180"/>
      <c r="T614" s="180"/>
      <c r="U614" s="180"/>
      <c r="V614" s="180"/>
      <c r="W614" s="180"/>
      <c r="X614" s="201"/>
      <c r="AJ614" s="149" t="str">
        <f>IF('Cable Info'!L474="","",CONCATENATE('Cable Info'!L474," - ",'Cable Info'!M474))</f>
        <v/>
      </c>
      <c r="AM614" s="149" t="str">
        <f t="shared" si="78"/>
        <v/>
      </c>
      <c r="AO614" s="149" t="str">
        <f>IF('Cable Info'!N474="","",CONCATENATE('Cable Info'!N474," - ",'Cable Info'!O474))</f>
        <v/>
      </c>
      <c r="AR614" s="149" t="str">
        <f t="shared" si="79"/>
        <v/>
      </c>
      <c r="AT614" s="149" t="str">
        <f>IF('Cable Info'!P474="","",CONCATENATE('Cable Info'!P474," - ",'Cable Info'!Q474))</f>
        <v/>
      </c>
      <c r="AW614" s="149" t="str">
        <f t="shared" si="80"/>
        <v/>
      </c>
      <c r="AY614" s="149" t="str">
        <f>IF('Cable Info'!R474="","",CONCATENATE('Cable Info'!R474," - ",'Cable Info'!S474))</f>
        <v/>
      </c>
      <c r="BB614" s="149" t="str">
        <f t="shared" si="81"/>
        <v/>
      </c>
      <c r="BD614" s="149" t="str">
        <f>IF('Cable Info'!T474="","",CONCATENATE('Cable Info'!T474," - ",'Cable Info'!U474))</f>
        <v/>
      </c>
      <c r="BG614" s="149" t="str">
        <f t="shared" si="82"/>
        <v/>
      </c>
      <c r="BI614" s="149" t="str">
        <f>IF('Cable Info'!V474="","",CONCATENATE('Cable Info'!V474," - ",'Cable Info'!W474))</f>
        <v/>
      </c>
      <c r="BL614" s="149" t="str">
        <f t="shared" si="83"/>
        <v/>
      </c>
    </row>
    <row r="615" spans="1:64" x14ac:dyDescent="0.2">
      <c r="A615" s="180"/>
      <c r="B615" s="180"/>
      <c r="C615" s="180"/>
      <c r="D615" s="180"/>
      <c r="E615" s="180"/>
      <c r="F615" s="187"/>
      <c r="G615" s="180"/>
      <c r="H615" s="180"/>
      <c r="I615" s="180"/>
      <c r="J615" s="187"/>
      <c r="K615" s="180"/>
      <c r="L615" s="180"/>
      <c r="M615" s="180"/>
      <c r="N615" s="180"/>
      <c r="O615" s="218"/>
      <c r="P615" s="180"/>
      <c r="Q615" s="188"/>
      <c r="R615" s="180"/>
      <c r="S615" s="180"/>
      <c r="T615" s="180"/>
      <c r="U615" s="180"/>
      <c r="V615" s="180"/>
      <c r="W615" s="180"/>
      <c r="X615" s="201"/>
      <c r="AJ615" s="149" t="str">
        <f>IF('Cable Info'!L475="","",CONCATENATE('Cable Info'!L475," - ",'Cable Info'!M475))</f>
        <v/>
      </c>
      <c r="AM615" s="149" t="str">
        <f t="shared" si="78"/>
        <v/>
      </c>
      <c r="AO615" s="149" t="str">
        <f>IF('Cable Info'!N475="","",CONCATENATE('Cable Info'!N475," - ",'Cable Info'!O475))</f>
        <v/>
      </c>
      <c r="AR615" s="149" t="str">
        <f t="shared" si="79"/>
        <v/>
      </c>
      <c r="AT615" s="149" t="str">
        <f>IF('Cable Info'!P475="","",CONCATENATE('Cable Info'!P475," - ",'Cable Info'!Q475))</f>
        <v/>
      </c>
      <c r="AW615" s="149" t="str">
        <f t="shared" si="80"/>
        <v/>
      </c>
      <c r="AY615" s="149" t="str">
        <f>IF('Cable Info'!R475="","",CONCATENATE('Cable Info'!R475," - ",'Cable Info'!S475))</f>
        <v/>
      </c>
      <c r="BB615" s="149" t="str">
        <f t="shared" si="81"/>
        <v/>
      </c>
      <c r="BD615" s="149" t="str">
        <f>IF('Cable Info'!T475="","",CONCATENATE('Cable Info'!T475," - ",'Cable Info'!U475))</f>
        <v/>
      </c>
      <c r="BG615" s="149" t="str">
        <f t="shared" si="82"/>
        <v/>
      </c>
      <c r="BI615" s="149" t="str">
        <f>IF('Cable Info'!V475="","",CONCATENATE('Cable Info'!V475," - ",'Cable Info'!W475))</f>
        <v/>
      </c>
      <c r="BL615" s="149" t="str">
        <f t="shared" si="83"/>
        <v/>
      </c>
    </row>
    <row r="616" spans="1:64" x14ac:dyDescent="0.2">
      <c r="A616" s="180"/>
      <c r="B616" s="180"/>
      <c r="C616" s="180"/>
      <c r="D616" s="180"/>
      <c r="E616" s="180"/>
      <c r="F616" s="187"/>
      <c r="G616" s="180"/>
      <c r="H616" s="180"/>
      <c r="I616" s="180"/>
      <c r="J616" s="187"/>
      <c r="K616" s="180"/>
      <c r="L616" s="180"/>
      <c r="M616" s="180"/>
      <c r="N616" s="180"/>
      <c r="O616" s="218"/>
      <c r="P616" s="180"/>
      <c r="Q616" s="188"/>
      <c r="R616" s="180"/>
      <c r="S616" s="180"/>
      <c r="T616" s="180"/>
      <c r="U616" s="180"/>
      <c r="V616" s="180"/>
      <c r="W616" s="180"/>
      <c r="X616" s="201"/>
      <c r="AJ616" s="149" t="str">
        <f>IF('Cable Info'!L476="","",CONCATENATE('Cable Info'!L476," - ",'Cable Info'!M476))</f>
        <v/>
      </c>
      <c r="AM616" s="149" t="str">
        <f t="shared" si="78"/>
        <v/>
      </c>
      <c r="AO616" s="149" t="str">
        <f>IF('Cable Info'!N476="","",CONCATENATE('Cable Info'!N476," - ",'Cable Info'!O476))</f>
        <v/>
      </c>
      <c r="AR616" s="149" t="str">
        <f t="shared" si="79"/>
        <v/>
      </c>
      <c r="AT616" s="149" t="str">
        <f>IF('Cable Info'!P476="","",CONCATENATE('Cable Info'!P476," - ",'Cable Info'!Q476))</f>
        <v/>
      </c>
      <c r="AW616" s="149" t="str">
        <f t="shared" si="80"/>
        <v/>
      </c>
      <c r="AY616" s="149" t="str">
        <f>IF('Cable Info'!R476="","",CONCATENATE('Cable Info'!R476," - ",'Cable Info'!S476))</f>
        <v/>
      </c>
      <c r="BB616" s="149" t="str">
        <f t="shared" si="81"/>
        <v/>
      </c>
      <c r="BD616" s="149" t="str">
        <f>IF('Cable Info'!T476="","",CONCATENATE('Cable Info'!T476," - ",'Cable Info'!U476))</f>
        <v/>
      </c>
      <c r="BG616" s="149" t="str">
        <f t="shared" si="82"/>
        <v/>
      </c>
      <c r="BI616" s="149" t="str">
        <f>IF('Cable Info'!V476="","",CONCATENATE('Cable Info'!V476," - ",'Cable Info'!W476))</f>
        <v/>
      </c>
      <c r="BL616" s="149" t="str">
        <f t="shared" si="83"/>
        <v/>
      </c>
    </row>
    <row r="617" spans="1:64" x14ac:dyDescent="0.2">
      <c r="A617" s="180"/>
      <c r="B617" s="180"/>
      <c r="C617" s="180"/>
      <c r="D617" s="180"/>
      <c r="E617" s="180"/>
      <c r="F617" s="187"/>
      <c r="G617" s="180"/>
      <c r="H617" s="180"/>
      <c r="I617" s="180"/>
      <c r="J617" s="187"/>
      <c r="K617" s="180"/>
      <c r="L617" s="180"/>
      <c r="M617" s="180"/>
      <c r="N617" s="180"/>
      <c r="O617" s="218"/>
      <c r="P617" s="180"/>
      <c r="Q617" s="188"/>
      <c r="R617" s="180"/>
      <c r="S617" s="180"/>
      <c r="T617" s="180"/>
      <c r="U617" s="180"/>
      <c r="V617" s="180"/>
      <c r="W617" s="180"/>
      <c r="X617" s="201"/>
      <c r="AJ617" s="149" t="str">
        <f>IF('Cable Info'!L477="","",CONCATENATE('Cable Info'!L477," - ",'Cable Info'!M477))</f>
        <v/>
      </c>
      <c r="AM617" s="149" t="str">
        <f t="shared" si="78"/>
        <v/>
      </c>
      <c r="AO617" s="149" t="str">
        <f>IF('Cable Info'!N477="","",CONCATENATE('Cable Info'!N477," - ",'Cable Info'!O477))</f>
        <v/>
      </c>
      <c r="AR617" s="149" t="str">
        <f t="shared" si="79"/>
        <v/>
      </c>
      <c r="AT617" s="149" t="str">
        <f>IF('Cable Info'!P477="","",CONCATENATE('Cable Info'!P477," - ",'Cable Info'!Q477))</f>
        <v/>
      </c>
      <c r="AW617" s="149" t="str">
        <f t="shared" si="80"/>
        <v/>
      </c>
      <c r="AY617" s="149" t="str">
        <f>IF('Cable Info'!R477="","",CONCATENATE('Cable Info'!R477," - ",'Cable Info'!S477))</f>
        <v/>
      </c>
      <c r="BB617" s="149" t="str">
        <f t="shared" si="81"/>
        <v/>
      </c>
      <c r="BD617" s="149" t="str">
        <f>IF('Cable Info'!T477="","",CONCATENATE('Cable Info'!T477," - ",'Cable Info'!U477))</f>
        <v/>
      </c>
      <c r="BG617" s="149" t="str">
        <f t="shared" si="82"/>
        <v/>
      </c>
      <c r="BI617" s="149" t="str">
        <f>IF('Cable Info'!V477="","",CONCATENATE('Cable Info'!V477," - ",'Cable Info'!W477))</f>
        <v/>
      </c>
      <c r="BL617" s="149" t="str">
        <f t="shared" si="83"/>
        <v/>
      </c>
    </row>
    <row r="618" spans="1:64" x14ac:dyDescent="0.2">
      <c r="A618" s="180"/>
      <c r="B618" s="180"/>
      <c r="C618" s="180"/>
      <c r="D618" s="180"/>
      <c r="E618" s="180"/>
      <c r="F618" s="187"/>
      <c r="G618" s="180"/>
      <c r="H618" s="180"/>
      <c r="I618" s="180"/>
      <c r="J618" s="187"/>
      <c r="K618" s="180"/>
      <c r="L618" s="180"/>
      <c r="M618" s="180"/>
      <c r="N618" s="180"/>
      <c r="O618" s="218"/>
      <c r="P618" s="180"/>
      <c r="Q618" s="188"/>
      <c r="R618" s="180"/>
      <c r="S618" s="180"/>
      <c r="T618" s="180"/>
      <c r="U618" s="180"/>
      <c r="V618" s="180"/>
      <c r="W618" s="180"/>
      <c r="X618" s="201"/>
      <c r="AJ618" s="149" t="str">
        <f>IF('Cable Info'!L478="","",CONCATENATE('Cable Info'!L478," - ",'Cable Info'!M478))</f>
        <v/>
      </c>
      <c r="AM618" s="149" t="str">
        <f t="shared" si="78"/>
        <v/>
      </c>
      <c r="AO618" s="149" t="str">
        <f>IF('Cable Info'!N478="","",CONCATENATE('Cable Info'!N478," - ",'Cable Info'!O478))</f>
        <v/>
      </c>
      <c r="AR618" s="149" t="str">
        <f t="shared" si="79"/>
        <v/>
      </c>
      <c r="AT618" s="149" t="str">
        <f>IF('Cable Info'!P478="","",CONCATENATE('Cable Info'!P478," - ",'Cable Info'!Q478))</f>
        <v/>
      </c>
      <c r="AW618" s="149" t="str">
        <f t="shared" si="80"/>
        <v/>
      </c>
      <c r="AY618" s="149" t="str">
        <f>IF('Cable Info'!R478="","",CONCATENATE('Cable Info'!R478," - ",'Cable Info'!S478))</f>
        <v/>
      </c>
      <c r="BB618" s="149" t="str">
        <f t="shared" si="81"/>
        <v/>
      </c>
      <c r="BD618" s="149" t="str">
        <f>IF('Cable Info'!T478="","",CONCATENATE('Cable Info'!T478," - ",'Cable Info'!U478))</f>
        <v/>
      </c>
      <c r="BG618" s="149" t="str">
        <f t="shared" si="82"/>
        <v/>
      </c>
      <c r="BI618" s="149" t="str">
        <f>IF('Cable Info'!V478="","",CONCATENATE('Cable Info'!V478," - ",'Cable Info'!W478))</f>
        <v/>
      </c>
      <c r="BL618" s="149" t="str">
        <f t="shared" si="83"/>
        <v/>
      </c>
    </row>
    <row r="619" spans="1:64" x14ac:dyDescent="0.2">
      <c r="A619" s="180"/>
      <c r="B619" s="180"/>
      <c r="C619" s="180"/>
      <c r="D619" s="180"/>
      <c r="E619" s="180"/>
      <c r="F619" s="187"/>
      <c r="G619" s="180"/>
      <c r="H619" s="180"/>
      <c r="I619" s="180"/>
      <c r="J619" s="187"/>
      <c r="K619" s="180"/>
      <c r="L619" s="180"/>
      <c r="M619" s="180"/>
      <c r="N619" s="180"/>
      <c r="O619" s="218"/>
      <c r="P619" s="180"/>
      <c r="Q619" s="188"/>
      <c r="R619" s="180"/>
      <c r="S619" s="180"/>
      <c r="T619" s="180"/>
      <c r="U619" s="180"/>
      <c r="V619" s="180"/>
      <c r="W619" s="180"/>
      <c r="X619" s="201"/>
      <c r="AJ619" s="149" t="str">
        <f>IF('Cable Info'!L479="","",CONCATENATE('Cable Info'!L479," - ",'Cable Info'!M479))</f>
        <v/>
      </c>
      <c r="AM619" s="149" t="str">
        <f t="shared" si="78"/>
        <v/>
      </c>
      <c r="AO619" s="149" t="str">
        <f>IF('Cable Info'!N479="","",CONCATENATE('Cable Info'!N479," - ",'Cable Info'!O479))</f>
        <v/>
      </c>
      <c r="AR619" s="149" t="str">
        <f t="shared" si="79"/>
        <v/>
      </c>
      <c r="AT619" s="149" t="str">
        <f>IF('Cable Info'!P479="","",CONCATENATE('Cable Info'!P479," - ",'Cable Info'!Q479))</f>
        <v/>
      </c>
      <c r="AW619" s="149" t="str">
        <f t="shared" si="80"/>
        <v/>
      </c>
      <c r="AY619" s="149" t="str">
        <f>IF('Cable Info'!R479="","",CONCATENATE('Cable Info'!R479," - ",'Cable Info'!S479))</f>
        <v/>
      </c>
      <c r="BB619" s="149" t="str">
        <f t="shared" si="81"/>
        <v/>
      </c>
      <c r="BD619" s="149" t="str">
        <f>IF('Cable Info'!T479="","",CONCATENATE('Cable Info'!T479," - ",'Cable Info'!U479))</f>
        <v/>
      </c>
      <c r="BG619" s="149" t="str">
        <f t="shared" si="82"/>
        <v/>
      </c>
      <c r="BI619" s="149" t="str">
        <f>IF('Cable Info'!V479="","",CONCATENATE('Cable Info'!V479," - ",'Cable Info'!W479))</f>
        <v/>
      </c>
      <c r="BL619" s="149" t="str">
        <f t="shared" si="83"/>
        <v/>
      </c>
    </row>
    <row r="620" spans="1:64" x14ac:dyDescent="0.2">
      <c r="A620" s="180"/>
      <c r="B620" s="180"/>
      <c r="C620" s="180"/>
      <c r="D620" s="180"/>
      <c r="E620" s="180"/>
      <c r="F620" s="187"/>
      <c r="G620" s="180"/>
      <c r="H620" s="180"/>
      <c r="I620" s="180"/>
      <c r="J620" s="187"/>
      <c r="K620" s="180"/>
      <c r="L620" s="180"/>
      <c r="M620" s="180"/>
      <c r="N620" s="180"/>
      <c r="O620" s="218"/>
      <c r="P620" s="180"/>
      <c r="Q620" s="188"/>
      <c r="R620" s="180"/>
      <c r="S620" s="180"/>
      <c r="T620" s="180"/>
      <c r="U620" s="180"/>
      <c r="V620" s="180"/>
      <c r="W620" s="180"/>
      <c r="X620" s="201"/>
      <c r="AJ620" s="149" t="str">
        <f>IF('Cable Info'!L480="","",CONCATENATE('Cable Info'!L480," - ",'Cable Info'!M480))</f>
        <v/>
      </c>
      <c r="AM620" s="149" t="str">
        <f t="shared" si="78"/>
        <v/>
      </c>
      <c r="AO620" s="149" t="str">
        <f>IF('Cable Info'!N480="","",CONCATENATE('Cable Info'!N480," - ",'Cable Info'!O480))</f>
        <v/>
      </c>
      <c r="AR620" s="149" t="str">
        <f t="shared" si="79"/>
        <v/>
      </c>
      <c r="AT620" s="149" t="str">
        <f>IF('Cable Info'!P480="","",CONCATENATE('Cable Info'!P480," - ",'Cable Info'!Q480))</f>
        <v/>
      </c>
      <c r="AW620" s="149" t="str">
        <f t="shared" si="80"/>
        <v/>
      </c>
      <c r="AY620" s="149" t="str">
        <f>IF('Cable Info'!R480="","",CONCATENATE('Cable Info'!R480," - ",'Cable Info'!S480))</f>
        <v/>
      </c>
      <c r="BB620" s="149" t="str">
        <f t="shared" si="81"/>
        <v/>
      </c>
      <c r="BD620" s="149" t="str">
        <f>IF('Cable Info'!T480="","",CONCATENATE('Cable Info'!T480," - ",'Cable Info'!U480))</f>
        <v/>
      </c>
      <c r="BG620" s="149" t="str">
        <f t="shared" si="82"/>
        <v/>
      </c>
      <c r="BI620" s="149" t="str">
        <f>IF('Cable Info'!V480="","",CONCATENATE('Cable Info'!V480," - ",'Cable Info'!W480))</f>
        <v/>
      </c>
      <c r="BL620" s="149" t="str">
        <f t="shared" si="83"/>
        <v/>
      </c>
    </row>
    <row r="621" spans="1:64" x14ac:dyDescent="0.2">
      <c r="A621" s="180"/>
      <c r="B621" s="180"/>
      <c r="C621" s="180"/>
      <c r="D621" s="180"/>
      <c r="E621" s="180"/>
      <c r="F621" s="187"/>
      <c r="G621" s="180"/>
      <c r="H621" s="180"/>
      <c r="I621" s="180"/>
      <c r="J621" s="187"/>
      <c r="K621" s="180"/>
      <c r="L621" s="180"/>
      <c r="M621" s="180"/>
      <c r="N621" s="180"/>
      <c r="O621" s="218"/>
      <c r="P621" s="180"/>
      <c r="Q621" s="188"/>
      <c r="R621" s="180"/>
      <c r="S621" s="180"/>
      <c r="T621" s="180"/>
      <c r="U621" s="180"/>
      <c r="V621" s="180"/>
      <c r="W621" s="180"/>
      <c r="X621" s="201"/>
      <c r="AJ621" s="149" t="str">
        <f>IF('Cable Info'!L481="","",CONCATENATE('Cable Info'!L481," - ",'Cable Info'!M481))</f>
        <v/>
      </c>
      <c r="AM621" s="149" t="str">
        <f t="shared" si="78"/>
        <v/>
      </c>
      <c r="AO621" s="149" t="str">
        <f>IF('Cable Info'!N481="","",CONCATENATE('Cable Info'!N481," - ",'Cable Info'!O481))</f>
        <v/>
      </c>
      <c r="AR621" s="149" t="str">
        <f t="shared" si="79"/>
        <v/>
      </c>
      <c r="AT621" s="149" t="str">
        <f>IF('Cable Info'!P481="","",CONCATENATE('Cable Info'!P481," - ",'Cable Info'!Q481))</f>
        <v/>
      </c>
      <c r="AW621" s="149" t="str">
        <f t="shared" si="80"/>
        <v/>
      </c>
      <c r="AY621" s="149" t="str">
        <f>IF('Cable Info'!R481="","",CONCATENATE('Cable Info'!R481," - ",'Cable Info'!S481))</f>
        <v/>
      </c>
      <c r="BB621" s="149" t="str">
        <f t="shared" si="81"/>
        <v/>
      </c>
      <c r="BD621" s="149" t="str">
        <f>IF('Cable Info'!T481="","",CONCATENATE('Cable Info'!T481," - ",'Cable Info'!U481))</f>
        <v/>
      </c>
      <c r="BG621" s="149" t="str">
        <f t="shared" si="82"/>
        <v/>
      </c>
      <c r="BI621" s="149" t="str">
        <f>IF('Cable Info'!V481="","",CONCATENATE('Cable Info'!V481," - ",'Cable Info'!W481))</f>
        <v/>
      </c>
      <c r="BL621" s="149" t="str">
        <f t="shared" si="83"/>
        <v/>
      </c>
    </row>
    <row r="622" spans="1:64" x14ac:dyDescent="0.2">
      <c r="A622" s="180"/>
      <c r="B622" s="180"/>
      <c r="C622" s="180"/>
      <c r="D622" s="180"/>
      <c r="E622" s="180"/>
      <c r="F622" s="187"/>
      <c r="G622" s="180"/>
      <c r="H622" s="180"/>
      <c r="I622" s="180"/>
      <c r="J622" s="187"/>
      <c r="K622" s="180"/>
      <c r="L622" s="180"/>
      <c r="M622" s="180"/>
      <c r="N622" s="180"/>
      <c r="O622" s="218"/>
      <c r="P622" s="180"/>
      <c r="Q622" s="188"/>
      <c r="R622" s="180"/>
      <c r="S622" s="180"/>
      <c r="T622" s="180"/>
      <c r="U622" s="180"/>
      <c r="V622" s="180"/>
      <c r="W622" s="180"/>
      <c r="X622" s="201"/>
      <c r="AJ622" s="149" t="str">
        <f>IF('Cable Info'!L482="","",CONCATENATE('Cable Info'!L482," - ",'Cable Info'!M482))</f>
        <v/>
      </c>
      <c r="AM622" s="149" t="str">
        <f t="shared" si="78"/>
        <v/>
      </c>
      <c r="AO622" s="149" t="str">
        <f>IF('Cable Info'!N482="","",CONCATENATE('Cable Info'!N482," - ",'Cable Info'!O482))</f>
        <v/>
      </c>
      <c r="AR622" s="149" t="str">
        <f t="shared" si="79"/>
        <v/>
      </c>
      <c r="AT622" s="149" t="str">
        <f>IF('Cable Info'!P482="","",CONCATENATE('Cable Info'!P482," - ",'Cable Info'!Q482))</f>
        <v/>
      </c>
      <c r="AW622" s="149" t="str">
        <f t="shared" si="80"/>
        <v/>
      </c>
      <c r="AY622" s="149" t="str">
        <f>IF('Cable Info'!R482="","",CONCATENATE('Cable Info'!R482," - ",'Cable Info'!S482))</f>
        <v/>
      </c>
      <c r="BB622" s="149" t="str">
        <f t="shared" si="81"/>
        <v/>
      </c>
      <c r="BD622" s="149" t="str">
        <f>IF('Cable Info'!T482="","",CONCATENATE('Cable Info'!T482," - ",'Cable Info'!U482))</f>
        <v/>
      </c>
      <c r="BG622" s="149" t="str">
        <f t="shared" si="82"/>
        <v/>
      </c>
      <c r="BI622" s="149" t="str">
        <f>IF('Cable Info'!V482="","",CONCATENATE('Cable Info'!V482," - ",'Cable Info'!W482))</f>
        <v/>
      </c>
      <c r="BL622" s="149" t="str">
        <f t="shared" si="83"/>
        <v/>
      </c>
    </row>
    <row r="623" spans="1:64" x14ac:dyDescent="0.2">
      <c r="A623" s="180"/>
      <c r="B623" s="180"/>
      <c r="C623" s="180"/>
      <c r="D623" s="180"/>
      <c r="E623" s="180"/>
      <c r="F623" s="187"/>
      <c r="G623" s="180"/>
      <c r="H623" s="180"/>
      <c r="I623" s="180"/>
      <c r="J623" s="187"/>
      <c r="K623" s="180"/>
      <c r="L623" s="180"/>
      <c r="M623" s="180"/>
      <c r="N623" s="180"/>
      <c r="O623" s="218"/>
      <c r="P623" s="180"/>
      <c r="Q623" s="188"/>
      <c r="R623" s="180"/>
      <c r="S623" s="180"/>
      <c r="T623" s="180"/>
      <c r="U623" s="180"/>
      <c r="V623" s="180"/>
      <c r="W623" s="180"/>
      <c r="X623" s="201"/>
      <c r="AJ623" s="149" t="str">
        <f>IF('Cable Info'!L483="","",CONCATENATE('Cable Info'!L483," - ",'Cable Info'!M483))</f>
        <v/>
      </c>
      <c r="AM623" s="149" t="str">
        <f t="shared" si="78"/>
        <v/>
      </c>
      <c r="AO623" s="149" t="str">
        <f>IF('Cable Info'!N483="","",CONCATENATE('Cable Info'!N483," - ",'Cable Info'!O483))</f>
        <v/>
      </c>
      <c r="AR623" s="149" t="str">
        <f t="shared" si="79"/>
        <v/>
      </c>
      <c r="AT623" s="149" t="str">
        <f>IF('Cable Info'!P483="","",CONCATENATE('Cable Info'!P483," - ",'Cable Info'!Q483))</f>
        <v/>
      </c>
      <c r="AW623" s="149" t="str">
        <f t="shared" si="80"/>
        <v/>
      </c>
      <c r="AY623" s="149" t="str">
        <f>IF('Cable Info'!R483="","",CONCATENATE('Cable Info'!R483," - ",'Cable Info'!S483))</f>
        <v/>
      </c>
      <c r="BB623" s="149" t="str">
        <f t="shared" si="81"/>
        <v/>
      </c>
      <c r="BD623" s="149" t="str">
        <f>IF('Cable Info'!T483="","",CONCATENATE('Cable Info'!T483," - ",'Cable Info'!U483))</f>
        <v/>
      </c>
      <c r="BG623" s="149" t="str">
        <f t="shared" si="82"/>
        <v/>
      </c>
      <c r="BI623" s="149" t="str">
        <f>IF('Cable Info'!V483="","",CONCATENATE('Cable Info'!V483," - ",'Cable Info'!W483))</f>
        <v/>
      </c>
      <c r="BL623" s="149" t="str">
        <f t="shared" si="83"/>
        <v/>
      </c>
    </row>
    <row r="624" spans="1:64" x14ac:dyDescent="0.2">
      <c r="A624" s="180"/>
      <c r="B624" s="180"/>
      <c r="C624" s="180"/>
      <c r="D624" s="180"/>
      <c r="E624" s="180"/>
      <c r="F624" s="187"/>
      <c r="G624" s="180"/>
      <c r="H624" s="180"/>
      <c r="I624" s="180"/>
      <c r="J624" s="187"/>
      <c r="K624" s="180"/>
      <c r="L624" s="180"/>
      <c r="M624" s="180"/>
      <c r="N624" s="180"/>
      <c r="O624" s="218"/>
      <c r="P624" s="180"/>
      <c r="Q624" s="188"/>
      <c r="R624" s="180"/>
      <c r="S624" s="180"/>
      <c r="T624" s="180"/>
      <c r="U624" s="180"/>
      <c r="V624" s="180"/>
      <c r="W624" s="180"/>
      <c r="X624" s="201"/>
      <c r="AJ624" s="149" t="str">
        <f>IF('Cable Info'!L484="","",CONCATENATE('Cable Info'!L484," - ",'Cable Info'!M484))</f>
        <v/>
      </c>
      <c r="AM624" s="149" t="str">
        <f t="shared" si="78"/>
        <v/>
      </c>
      <c r="AO624" s="149" t="str">
        <f>IF('Cable Info'!N484="","",CONCATENATE('Cable Info'!N484," - ",'Cable Info'!O484))</f>
        <v/>
      </c>
      <c r="AR624" s="149" t="str">
        <f t="shared" si="79"/>
        <v/>
      </c>
      <c r="AT624" s="149" t="str">
        <f>IF('Cable Info'!P484="","",CONCATENATE('Cable Info'!P484," - ",'Cable Info'!Q484))</f>
        <v/>
      </c>
      <c r="AW624" s="149" t="str">
        <f t="shared" si="80"/>
        <v/>
      </c>
      <c r="AY624" s="149" t="str">
        <f>IF('Cable Info'!R484="","",CONCATENATE('Cable Info'!R484," - ",'Cable Info'!S484))</f>
        <v/>
      </c>
      <c r="BB624" s="149" t="str">
        <f t="shared" si="81"/>
        <v/>
      </c>
      <c r="BD624" s="149" t="str">
        <f>IF('Cable Info'!T484="","",CONCATENATE('Cable Info'!T484," - ",'Cable Info'!U484))</f>
        <v/>
      </c>
      <c r="BG624" s="149" t="str">
        <f t="shared" si="82"/>
        <v/>
      </c>
      <c r="BI624" s="149" t="str">
        <f>IF('Cable Info'!V484="","",CONCATENATE('Cable Info'!V484," - ",'Cable Info'!W484))</f>
        <v/>
      </c>
      <c r="BL624" s="149" t="str">
        <f t="shared" si="83"/>
        <v/>
      </c>
    </row>
    <row r="625" spans="1:64" x14ac:dyDescent="0.2">
      <c r="A625" s="180"/>
      <c r="B625" s="180"/>
      <c r="C625" s="180"/>
      <c r="D625" s="180"/>
      <c r="E625" s="180"/>
      <c r="F625" s="187"/>
      <c r="G625" s="180"/>
      <c r="H625" s="180"/>
      <c r="I625" s="180"/>
      <c r="J625" s="187"/>
      <c r="K625" s="180"/>
      <c r="L625" s="180"/>
      <c r="M625" s="180"/>
      <c r="N625" s="180"/>
      <c r="O625" s="218"/>
      <c r="P625" s="180"/>
      <c r="Q625" s="188"/>
      <c r="R625" s="180"/>
      <c r="S625" s="180"/>
      <c r="T625" s="180"/>
      <c r="U625" s="180"/>
      <c r="V625" s="180"/>
      <c r="W625" s="180"/>
      <c r="X625" s="201"/>
      <c r="AJ625" s="149" t="str">
        <f>IF('Cable Info'!L485="","",CONCATENATE('Cable Info'!L485," - ",'Cable Info'!M485))</f>
        <v/>
      </c>
      <c r="AM625" s="149" t="str">
        <f t="shared" si="78"/>
        <v/>
      </c>
      <c r="AO625" s="149" t="str">
        <f>IF('Cable Info'!N485="","",CONCATENATE('Cable Info'!N485," - ",'Cable Info'!O485))</f>
        <v/>
      </c>
      <c r="AR625" s="149" t="str">
        <f t="shared" si="79"/>
        <v/>
      </c>
      <c r="AT625" s="149" t="str">
        <f>IF('Cable Info'!P485="","",CONCATENATE('Cable Info'!P485," - ",'Cable Info'!Q485))</f>
        <v/>
      </c>
      <c r="AW625" s="149" t="str">
        <f t="shared" si="80"/>
        <v/>
      </c>
      <c r="AY625" s="149" t="str">
        <f>IF('Cable Info'!R485="","",CONCATENATE('Cable Info'!R485," - ",'Cable Info'!S485))</f>
        <v/>
      </c>
      <c r="BB625" s="149" t="str">
        <f t="shared" si="81"/>
        <v/>
      </c>
      <c r="BD625" s="149" t="str">
        <f>IF('Cable Info'!T485="","",CONCATENATE('Cable Info'!T485," - ",'Cable Info'!U485))</f>
        <v/>
      </c>
      <c r="BG625" s="149" t="str">
        <f t="shared" si="82"/>
        <v/>
      </c>
      <c r="BI625" s="149" t="str">
        <f>IF('Cable Info'!V485="","",CONCATENATE('Cable Info'!V485," - ",'Cable Info'!W485))</f>
        <v/>
      </c>
      <c r="BL625" s="149" t="str">
        <f t="shared" si="83"/>
        <v/>
      </c>
    </row>
    <row r="626" spans="1:64" x14ac:dyDescent="0.2">
      <c r="A626" s="180"/>
      <c r="B626" s="180"/>
      <c r="C626" s="180"/>
      <c r="D626" s="180"/>
      <c r="E626" s="180"/>
      <c r="F626" s="187"/>
      <c r="G626" s="180"/>
      <c r="H626" s="180"/>
      <c r="I626" s="180"/>
      <c r="J626" s="187"/>
      <c r="K626" s="180"/>
      <c r="L626" s="180"/>
      <c r="M626" s="180"/>
      <c r="N626" s="180"/>
      <c r="O626" s="218"/>
      <c r="P626" s="180"/>
      <c r="Q626" s="188"/>
      <c r="R626" s="180"/>
      <c r="S626" s="180"/>
      <c r="T626" s="180"/>
      <c r="U626" s="180"/>
      <c r="V626" s="180"/>
      <c r="W626" s="180"/>
      <c r="X626" s="201"/>
      <c r="AJ626" s="149" t="str">
        <f>IF('Cable Info'!L486="","",CONCATENATE('Cable Info'!L486," - ",'Cable Info'!M486))</f>
        <v/>
      </c>
      <c r="AM626" s="149" t="str">
        <f t="shared" si="78"/>
        <v/>
      </c>
      <c r="AO626" s="149" t="str">
        <f>IF('Cable Info'!N486="","",CONCATENATE('Cable Info'!N486," - ",'Cable Info'!O486))</f>
        <v/>
      </c>
      <c r="AR626" s="149" t="str">
        <f t="shared" si="79"/>
        <v/>
      </c>
      <c r="AT626" s="149" t="str">
        <f>IF('Cable Info'!P486="","",CONCATENATE('Cable Info'!P486," - ",'Cable Info'!Q486))</f>
        <v/>
      </c>
      <c r="AW626" s="149" t="str">
        <f t="shared" si="80"/>
        <v/>
      </c>
      <c r="AY626" s="149" t="str">
        <f>IF('Cable Info'!R486="","",CONCATENATE('Cable Info'!R486," - ",'Cable Info'!S486))</f>
        <v/>
      </c>
      <c r="BB626" s="149" t="str">
        <f t="shared" si="81"/>
        <v/>
      </c>
      <c r="BD626" s="149" t="str">
        <f>IF('Cable Info'!T486="","",CONCATENATE('Cable Info'!T486," - ",'Cable Info'!U486))</f>
        <v/>
      </c>
      <c r="BG626" s="149" t="str">
        <f t="shared" si="82"/>
        <v/>
      </c>
      <c r="BI626" s="149" t="str">
        <f>IF('Cable Info'!V486="","",CONCATENATE('Cable Info'!V486," - ",'Cable Info'!W486))</f>
        <v/>
      </c>
      <c r="BL626" s="149" t="str">
        <f t="shared" si="83"/>
        <v/>
      </c>
    </row>
    <row r="627" spans="1:64" x14ac:dyDescent="0.2">
      <c r="A627" s="180"/>
      <c r="B627" s="180"/>
      <c r="C627" s="180"/>
      <c r="D627" s="180"/>
      <c r="E627" s="180"/>
      <c r="F627" s="187"/>
      <c r="G627" s="180"/>
      <c r="H627" s="180"/>
      <c r="I627" s="180"/>
      <c r="J627" s="187"/>
      <c r="K627" s="180"/>
      <c r="L627" s="180"/>
      <c r="M627" s="180"/>
      <c r="N627" s="180"/>
      <c r="O627" s="218"/>
      <c r="P627" s="180"/>
      <c r="Q627" s="188"/>
      <c r="R627" s="180"/>
      <c r="S627" s="180"/>
      <c r="T627" s="180"/>
      <c r="U627" s="180"/>
      <c r="V627" s="180"/>
      <c r="W627" s="180"/>
      <c r="X627" s="201"/>
      <c r="AJ627" s="149" t="str">
        <f>IF('Cable Info'!L487="","",CONCATENATE('Cable Info'!L487," - ",'Cable Info'!M487))</f>
        <v/>
      </c>
      <c r="AM627" s="149" t="str">
        <f t="shared" si="78"/>
        <v/>
      </c>
      <c r="AO627" s="149" t="str">
        <f>IF('Cable Info'!N487="","",CONCATENATE('Cable Info'!N487," - ",'Cable Info'!O487))</f>
        <v/>
      </c>
      <c r="AR627" s="149" t="str">
        <f t="shared" si="79"/>
        <v/>
      </c>
      <c r="AT627" s="149" t="str">
        <f>IF('Cable Info'!P487="","",CONCATENATE('Cable Info'!P487," - ",'Cable Info'!Q487))</f>
        <v/>
      </c>
      <c r="AW627" s="149" t="str">
        <f t="shared" si="80"/>
        <v/>
      </c>
      <c r="AY627" s="149" t="str">
        <f>IF('Cable Info'!R487="","",CONCATENATE('Cable Info'!R487," - ",'Cable Info'!S487))</f>
        <v/>
      </c>
      <c r="BB627" s="149" t="str">
        <f t="shared" si="81"/>
        <v/>
      </c>
      <c r="BD627" s="149" t="str">
        <f>IF('Cable Info'!T487="","",CONCATENATE('Cable Info'!T487," - ",'Cable Info'!U487))</f>
        <v/>
      </c>
      <c r="BG627" s="149" t="str">
        <f t="shared" si="82"/>
        <v/>
      </c>
      <c r="BI627" s="149" t="str">
        <f>IF('Cable Info'!V487="","",CONCATENATE('Cable Info'!V487," - ",'Cable Info'!W487))</f>
        <v/>
      </c>
      <c r="BL627" s="149" t="str">
        <f t="shared" si="83"/>
        <v/>
      </c>
    </row>
    <row r="628" spans="1:64" x14ac:dyDescent="0.2">
      <c r="A628" s="180"/>
      <c r="B628" s="180"/>
      <c r="C628" s="180"/>
      <c r="D628" s="180"/>
      <c r="E628" s="180"/>
      <c r="F628" s="187"/>
      <c r="G628" s="180"/>
      <c r="H628" s="180"/>
      <c r="I628" s="180"/>
      <c r="J628" s="187"/>
      <c r="K628" s="180"/>
      <c r="L628" s="180"/>
      <c r="M628" s="180"/>
      <c r="N628" s="180"/>
      <c r="O628" s="218"/>
      <c r="P628" s="180"/>
      <c r="Q628" s="188"/>
      <c r="R628" s="180"/>
      <c r="S628" s="180"/>
      <c r="T628" s="180"/>
      <c r="U628" s="180"/>
      <c r="V628" s="180"/>
      <c r="W628" s="180"/>
      <c r="X628" s="201"/>
      <c r="AJ628" s="149" t="str">
        <f>IF('Cable Info'!L488="","",CONCATENATE('Cable Info'!L488," - ",'Cable Info'!M488))</f>
        <v/>
      </c>
      <c r="AM628" s="149" t="str">
        <f t="shared" si="78"/>
        <v/>
      </c>
      <c r="AO628" s="149" t="str">
        <f>IF('Cable Info'!N488="","",CONCATENATE('Cable Info'!N488," - ",'Cable Info'!O488))</f>
        <v/>
      </c>
      <c r="AR628" s="149" t="str">
        <f t="shared" si="79"/>
        <v/>
      </c>
      <c r="AT628" s="149" t="str">
        <f>IF('Cable Info'!P488="","",CONCATENATE('Cable Info'!P488," - ",'Cable Info'!Q488))</f>
        <v/>
      </c>
      <c r="AW628" s="149" t="str">
        <f t="shared" si="80"/>
        <v/>
      </c>
      <c r="AY628" s="149" t="str">
        <f>IF('Cable Info'!R488="","",CONCATENATE('Cable Info'!R488," - ",'Cable Info'!S488))</f>
        <v/>
      </c>
      <c r="BB628" s="149" t="str">
        <f t="shared" si="81"/>
        <v/>
      </c>
      <c r="BD628" s="149" t="str">
        <f>IF('Cable Info'!T488="","",CONCATENATE('Cable Info'!T488," - ",'Cable Info'!U488))</f>
        <v/>
      </c>
      <c r="BG628" s="149" t="str">
        <f t="shared" si="82"/>
        <v/>
      </c>
      <c r="BI628" s="149" t="str">
        <f>IF('Cable Info'!V488="","",CONCATENATE('Cable Info'!V488," - ",'Cable Info'!W488))</f>
        <v/>
      </c>
      <c r="BL628" s="149" t="str">
        <f t="shared" si="83"/>
        <v/>
      </c>
    </row>
    <row r="629" spans="1:64" x14ac:dyDescent="0.2">
      <c r="A629" s="180"/>
      <c r="B629" s="180"/>
      <c r="C629" s="180"/>
      <c r="D629" s="180"/>
      <c r="E629" s="180"/>
      <c r="F629" s="187"/>
      <c r="G629" s="180"/>
      <c r="H629" s="180"/>
      <c r="I629" s="180"/>
      <c r="J629" s="187"/>
      <c r="K629" s="180"/>
      <c r="L629" s="180"/>
      <c r="M629" s="180"/>
      <c r="N629" s="180"/>
      <c r="O629" s="218"/>
      <c r="P629" s="180"/>
      <c r="Q629" s="188"/>
      <c r="R629" s="180"/>
      <c r="S629" s="180"/>
      <c r="T629" s="180"/>
      <c r="U629" s="180"/>
      <c r="V629" s="180"/>
      <c r="W629" s="180"/>
      <c r="X629" s="201"/>
      <c r="AJ629" s="149" t="str">
        <f>IF('Cable Info'!L489="","",CONCATENATE('Cable Info'!L489," - ",'Cable Info'!M489))</f>
        <v/>
      </c>
      <c r="AM629" s="149" t="str">
        <f t="shared" si="78"/>
        <v/>
      </c>
      <c r="AO629" s="149" t="str">
        <f>IF('Cable Info'!N489="","",CONCATENATE('Cable Info'!N489," - ",'Cable Info'!O489))</f>
        <v/>
      </c>
      <c r="AR629" s="149" t="str">
        <f t="shared" si="79"/>
        <v/>
      </c>
      <c r="AT629" s="149" t="str">
        <f>IF('Cable Info'!P489="","",CONCATENATE('Cable Info'!P489," - ",'Cable Info'!Q489))</f>
        <v/>
      </c>
      <c r="AW629" s="149" t="str">
        <f t="shared" si="80"/>
        <v/>
      </c>
      <c r="AY629" s="149" t="str">
        <f>IF('Cable Info'!R489="","",CONCATENATE('Cable Info'!R489," - ",'Cable Info'!S489))</f>
        <v/>
      </c>
      <c r="BB629" s="149" t="str">
        <f t="shared" si="81"/>
        <v/>
      </c>
      <c r="BD629" s="149" t="str">
        <f>IF('Cable Info'!T489="","",CONCATENATE('Cable Info'!T489," - ",'Cable Info'!U489))</f>
        <v/>
      </c>
      <c r="BG629" s="149" t="str">
        <f t="shared" si="82"/>
        <v/>
      </c>
      <c r="BI629" s="149" t="str">
        <f>IF('Cable Info'!V489="","",CONCATENATE('Cable Info'!V489," - ",'Cable Info'!W489))</f>
        <v/>
      </c>
      <c r="BL629" s="149" t="str">
        <f t="shared" si="83"/>
        <v/>
      </c>
    </row>
    <row r="630" spans="1:64" x14ac:dyDescent="0.2">
      <c r="A630" s="180"/>
      <c r="B630" s="180"/>
      <c r="C630" s="180"/>
      <c r="D630" s="180"/>
      <c r="E630" s="180"/>
      <c r="F630" s="187"/>
      <c r="G630" s="180"/>
      <c r="H630" s="180"/>
      <c r="I630" s="180"/>
      <c r="J630" s="187"/>
      <c r="K630" s="180"/>
      <c r="L630" s="180"/>
      <c r="M630" s="180"/>
      <c r="N630" s="180"/>
      <c r="O630" s="218"/>
      <c r="P630" s="180"/>
      <c r="Q630" s="188"/>
      <c r="R630" s="180"/>
      <c r="S630" s="180"/>
      <c r="T630" s="180"/>
      <c r="U630" s="180"/>
      <c r="V630" s="180"/>
      <c r="W630" s="180"/>
      <c r="X630" s="201"/>
      <c r="AJ630" s="149" t="str">
        <f>IF('Cable Info'!L490="","",CONCATENATE('Cable Info'!L490," - ",'Cable Info'!M490))</f>
        <v/>
      </c>
      <c r="AM630" s="149" t="str">
        <f t="shared" si="78"/>
        <v/>
      </c>
      <c r="AO630" s="149" t="str">
        <f>IF('Cable Info'!N490="","",CONCATENATE('Cable Info'!N490," - ",'Cable Info'!O490))</f>
        <v/>
      </c>
      <c r="AR630" s="149" t="str">
        <f t="shared" si="79"/>
        <v/>
      </c>
      <c r="AT630" s="149" t="str">
        <f>IF('Cable Info'!P490="","",CONCATENATE('Cable Info'!P490," - ",'Cable Info'!Q490))</f>
        <v/>
      </c>
      <c r="AW630" s="149" t="str">
        <f t="shared" si="80"/>
        <v/>
      </c>
      <c r="AY630" s="149" t="str">
        <f>IF('Cable Info'!R490="","",CONCATENATE('Cable Info'!R490," - ",'Cable Info'!S490))</f>
        <v/>
      </c>
      <c r="BB630" s="149" t="str">
        <f t="shared" si="81"/>
        <v/>
      </c>
      <c r="BD630" s="149" t="str">
        <f>IF('Cable Info'!T490="","",CONCATENATE('Cable Info'!T490," - ",'Cable Info'!U490))</f>
        <v/>
      </c>
      <c r="BG630" s="149" t="str">
        <f t="shared" si="82"/>
        <v/>
      </c>
      <c r="BI630" s="149" t="str">
        <f>IF('Cable Info'!V490="","",CONCATENATE('Cable Info'!V490," - ",'Cable Info'!W490))</f>
        <v/>
      </c>
      <c r="BL630" s="149" t="str">
        <f t="shared" si="83"/>
        <v/>
      </c>
    </row>
    <row r="631" spans="1:64" x14ac:dyDescent="0.2">
      <c r="A631" s="180"/>
      <c r="B631" s="180"/>
      <c r="C631" s="180"/>
      <c r="D631" s="180"/>
      <c r="E631" s="180"/>
      <c r="F631" s="187"/>
      <c r="G631" s="180"/>
      <c r="H631" s="180"/>
      <c r="I631" s="180"/>
      <c r="J631" s="187"/>
      <c r="K631" s="180"/>
      <c r="L631" s="180"/>
      <c r="M631" s="180"/>
      <c r="N631" s="180"/>
      <c r="O631" s="218"/>
      <c r="P631" s="180"/>
      <c r="Q631" s="188"/>
      <c r="R631" s="180"/>
      <c r="S631" s="180"/>
      <c r="T631" s="180"/>
      <c r="U631" s="180"/>
      <c r="V631" s="180"/>
      <c r="W631" s="180"/>
      <c r="X631" s="201"/>
      <c r="AJ631" s="149" t="str">
        <f>IF('Cable Info'!L491="","",CONCATENATE('Cable Info'!L491," - ",'Cable Info'!M491))</f>
        <v/>
      </c>
      <c r="AM631" s="149" t="str">
        <f t="shared" si="78"/>
        <v/>
      </c>
      <c r="AO631" s="149" t="str">
        <f>IF('Cable Info'!N491="","",CONCATENATE('Cable Info'!N491," - ",'Cable Info'!O491))</f>
        <v/>
      </c>
      <c r="AR631" s="149" t="str">
        <f t="shared" si="79"/>
        <v/>
      </c>
      <c r="AT631" s="149" t="str">
        <f>IF('Cable Info'!P491="","",CONCATENATE('Cable Info'!P491," - ",'Cable Info'!Q491))</f>
        <v/>
      </c>
      <c r="AW631" s="149" t="str">
        <f t="shared" si="80"/>
        <v/>
      </c>
      <c r="AY631" s="149" t="str">
        <f>IF('Cable Info'!R491="","",CONCATENATE('Cable Info'!R491," - ",'Cable Info'!S491))</f>
        <v/>
      </c>
      <c r="BB631" s="149" t="str">
        <f t="shared" si="81"/>
        <v/>
      </c>
      <c r="BD631" s="149" t="str">
        <f>IF('Cable Info'!T491="","",CONCATENATE('Cable Info'!T491," - ",'Cable Info'!U491))</f>
        <v/>
      </c>
      <c r="BG631" s="149" t="str">
        <f t="shared" si="82"/>
        <v/>
      </c>
      <c r="BI631" s="149" t="str">
        <f>IF('Cable Info'!V491="","",CONCATENATE('Cable Info'!V491," - ",'Cable Info'!W491))</f>
        <v/>
      </c>
      <c r="BL631" s="149" t="str">
        <f t="shared" si="83"/>
        <v/>
      </c>
    </row>
    <row r="632" spans="1:64" x14ac:dyDescent="0.2">
      <c r="A632" s="180"/>
      <c r="B632" s="180"/>
      <c r="C632" s="180"/>
      <c r="D632" s="180"/>
      <c r="E632" s="180"/>
      <c r="F632" s="187"/>
      <c r="G632" s="180"/>
      <c r="H632" s="180"/>
      <c r="I632" s="180"/>
      <c r="J632" s="187"/>
      <c r="K632" s="180"/>
      <c r="L632" s="180"/>
      <c r="M632" s="180"/>
      <c r="N632" s="180"/>
      <c r="O632" s="218"/>
      <c r="P632" s="180"/>
      <c r="Q632" s="188"/>
      <c r="R632" s="180"/>
      <c r="S632" s="180"/>
      <c r="T632" s="180"/>
      <c r="U632" s="180"/>
      <c r="V632" s="180"/>
      <c r="W632" s="180"/>
      <c r="X632" s="201"/>
      <c r="AJ632" s="149" t="str">
        <f>IF('Cable Info'!L492="","",CONCATENATE('Cable Info'!L492," - ",'Cable Info'!M492))</f>
        <v/>
      </c>
      <c r="AM632" s="149" t="str">
        <f t="shared" si="78"/>
        <v/>
      </c>
      <c r="AO632" s="149" t="str">
        <f>IF('Cable Info'!N492="","",CONCATENATE('Cable Info'!N492," - ",'Cable Info'!O492))</f>
        <v/>
      </c>
      <c r="AR632" s="149" t="str">
        <f t="shared" si="79"/>
        <v/>
      </c>
      <c r="AT632" s="149" t="str">
        <f>IF('Cable Info'!P492="","",CONCATENATE('Cable Info'!P492," - ",'Cable Info'!Q492))</f>
        <v/>
      </c>
      <c r="AW632" s="149" t="str">
        <f t="shared" si="80"/>
        <v/>
      </c>
      <c r="AY632" s="149" t="str">
        <f>IF('Cable Info'!R492="","",CONCATENATE('Cable Info'!R492," - ",'Cable Info'!S492))</f>
        <v/>
      </c>
      <c r="BB632" s="149" t="str">
        <f t="shared" si="81"/>
        <v/>
      </c>
      <c r="BD632" s="149" t="str">
        <f>IF('Cable Info'!T492="","",CONCATENATE('Cable Info'!T492," - ",'Cable Info'!U492))</f>
        <v/>
      </c>
      <c r="BG632" s="149" t="str">
        <f t="shared" si="82"/>
        <v/>
      </c>
      <c r="BI632" s="149" t="str">
        <f>IF('Cable Info'!V492="","",CONCATENATE('Cable Info'!V492," - ",'Cable Info'!W492))</f>
        <v/>
      </c>
      <c r="BL632" s="149" t="str">
        <f t="shared" si="83"/>
        <v/>
      </c>
    </row>
    <row r="633" spans="1:64" x14ac:dyDescent="0.2">
      <c r="A633" s="180"/>
      <c r="B633" s="180"/>
      <c r="C633" s="180"/>
      <c r="D633" s="180"/>
      <c r="E633" s="180"/>
      <c r="F633" s="187"/>
      <c r="G633" s="180"/>
      <c r="H633" s="180"/>
      <c r="I633" s="180"/>
      <c r="J633" s="187"/>
      <c r="K633" s="180"/>
      <c r="L633" s="180"/>
      <c r="M633" s="180"/>
      <c r="N633" s="180"/>
      <c r="O633" s="218"/>
      <c r="P633" s="180"/>
      <c r="Q633" s="188"/>
      <c r="R633" s="180"/>
      <c r="S633" s="180"/>
      <c r="T633" s="180"/>
      <c r="U633" s="180"/>
      <c r="V633" s="180"/>
      <c r="W633" s="180"/>
      <c r="X633" s="201"/>
      <c r="AJ633" s="149" t="str">
        <f>IF('Cable Info'!L493="","",CONCATENATE('Cable Info'!L493," - ",'Cable Info'!M493))</f>
        <v/>
      </c>
      <c r="AM633" s="149" t="str">
        <f t="shared" si="78"/>
        <v/>
      </c>
      <c r="AO633" s="149" t="str">
        <f>IF('Cable Info'!N493="","",CONCATENATE('Cable Info'!N493," - ",'Cable Info'!O493))</f>
        <v/>
      </c>
      <c r="AR633" s="149" t="str">
        <f t="shared" si="79"/>
        <v/>
      </c>
      <c r="AT633" s="149" t="str">
        <f>IF('Cable Info'!P493="","",CONCATENATE('Cable Info'!P493," - ",'Cable Info'!Q493))</f>
        <v/>
      </c>
      <c r="AW633" s="149" t="str">
        <f t="shared" si="80"/>
        <v/>
      </c>
      <c r="AY633" s="149" t="str">
        <f>IF('Cable Info'!R493="","",CONCATENATE('Cable Info'!R493," - ",'Cable Info'!S493))</f>
        <v/>
      </c>
      <c r="BB633" s="149" t="str">
        <f t="shared" si="81"/>
        <v/>
      </c>
      <c r="BD633" s="149" t="str">
        <f>IF('Cable Info'!T493="","",CONCATENATE('Cable Info'!T493," - ",'Cable Info'!U493))</f>
        <v/>
      </c>
      <c r="BG633" s="149" t="str">
        <f t="shared" si="82"/>
        <v/>
      </c>
      <c r="BI633" s="149" t="str">
        <f>IF('Cable Info'!V493="","",CONCATENATE('Cable Info'!V493," - ",'Cable Info'!W493))</f>
        <v/>
      </c>
      <c r="BL633" s="149" t="str">
        <f t="shared" si="83"/>
        <v/>
      </c>
    </row>
    <row r="634" spans="1:64" x14ac:dyDescent="0.2">
      <c r="A634" s="180"/>
      <c r="B634" s="180"/>
      <c r="C634" s="180"/>
      <c r="D634" s="180"/>
      <c r="E634" s="180"/>
      <c r="F634" s="187"/>
      <c r="G634" s="180"/>
      <c r="H634" s="180"/>
      <c r="I634" s="180"/>
      <c r="J634" s="187"/>
      <c r="K634" s="180"/>
      <c r="L634" s="180"/>
      <c r="M634" s="180"/>
      <c r="N634" s="180"/>
      <c r="O634" s="218"/>
      <c r="P634" s="180"/>
      <c r="Q634" s="188"/>
      <c r="R634" s="180"/>
      <c r="S634" s="180"/>
      <c r="T634" s="180"/>
      <c r="U634" s="180"/>
      <c r="V634" s="180"/>
      <c r="W634" s="180"/>
      <c r="X634" s="201"/>
      <c r="AJ634" s="149" t="str">
        <f>IF('Cable Info'!L494="","",CONCATENATE('Cable Info'!L494," - ",'Cable Info'!M494))</f>
        <v/>
      </c>
      <c r="AM634" s="149" t="str">
        <f t="shared" si="78"/>
        <v/>
      </c>
      <c r="AO634" s="149" t="str">
        <f>IF('Cable Info'!N494="","",CONCATENATE('Cable Info'!N494," - ",'Cable Info'!O494))</f>
        <v/>
      </c>
      <c r="AR634" s="149" t="str">
        <f t="shared" si="79"/>
        <v/>
      </c>
      <c r="AT634" s="149" t="str">
        <f>IF('Cable Info'!P494="","",CONCATENATE('Cable Info'!P494," - ",'Cable Info'!Q494))</f>
        <v/>
      </c>
      <c r="AW634" s="149" t="str">
        <f t="shared" si="80"/>
        <v/>
      </c>
      <c r="AY634" s="149" t="str">
        <f>IF('Cable Info'!R494="","",CONCATENATE('Cable Info'!R494," - ",'Cable Info'!S494))</f>
        <v/>
      </c>
      <c r="BB634" s="149" t="str">
        <f t="shared" si="81"/>
        <v/>
      </c>
      <c r="BD634" s="149" t="str">
        <f>IF('Cable Info'!T494="","",CONCATENATE('Cable Info'!T494," - ",'Cable Info'!U494))</f>
        <v/>
      </c>
      <c r="BG634" s="149" t="str">
        <f t="shared" si="82"/>
        <v/>
      </c>
      <c r="BI634" s="149" t="str">
        <f>IF('Cable Info'!V494="","",CONCATENATE('Cable Info'!V494," - ",'Cable Info'!W494))</f>
        <v/>
      </c>
      <c r="BL634" s="149" t="str">
        <f t="shared" si="83"/>
        <v/>
      </c>
    </row>
    <row r="635" spans="1:64" x14ac:dyDescent="0.2">
      <c r="A635" s="180"/>
      <c r="B635" s="180"/>
      <c r="C635" s="180"/>
      <c r="D635" s="180"/>
      <c r="E635" s="180"/>
      <c r="F635" s="187"/>
      <c r="G635" s="180"/>
      <c r="H635" s="180"/>
      <c r="I635" s="180"/>
      <c r="J635" s="187"/>
      <c r="K635" s="180"/>
      <c r="L635" s="180"/>
      <c r="M635" s="180"/>
      <c r="N635" s="180"/>
      <c r="O635" s="218"/>
      <c r="P635" s="180"/>
      <c r="Q635" s="188"/>
      <c r="R635" s="180"/>
      <c r="S635" s="180"/>
      <c r="T635" s="180"/>
      <c r="U635" s="180"/>
      <c r="V635" s="180"/>
      <c r="W635" s="180"/>
      <c r="X635" s="201"/>
      <c r="AJ635" s="149" t="str">
        <f>IF('Cable Info'!L495="","",CONCATENATE('Cable Info'!L495," - ",'Cable Info'!M495))</f>
        <v/>
      </c>
      <c r="AM635" s="149" t="str">
        <f t="shared" si="78"/>
        <v/>
      </c>
      <c r="AO635" s="149" t="str">
        <f>IF('Cable Info'!N495="","",CONCATENATE('Cable Info'!N495," - ",'Cable Info'!O495))</f>
        <v/>
      </c>
      <c r="AR635" s="149" t="str">
        <f t="shared" si="79"/>
        <v/>
      </c>
      <c r="AT635" s="149" t="str">
        <f>IF('Cable Info'!P495="","",CONCATENATE('Cable Info'!P495," - ",'Cable Info'!Q495))</f>
        <v/>
      </c>
      <c r="AW635" s="149" t="str">
        <f t="shared" si="80"/>
        <v/>
      </c>
      <c r="AY635" s="149" t="str">
        <f>IF('Cable Info'!R495="","",CONCATENATE('Cable Info'!R495," - ",'Cable Info'!S495))</f>
        <v/>
      </c>
      <c r="BB635" s="149" t="str">
        <f t="shared" si="81"/>
        <v/>
      </c>
      <c r="BD635" s="149" t="str">
        <f>IF('Cable Info'!T495="","",CONCATENATE('Cable Info'!T495," - ",'Cable Info'!U495))</f>
        <v/>
      </c>
      <c r="BG635" s="149" t="str">
        <f t="shared" si="82"/>
        <v/>
      </c>
      <c r="BI635" s="149" t="str">
        <f>IF('Cable Info'!V495="","",CONCATENATE('Cable Info'!V495," - ",'Cable Info'!W495))</f>
        <v/>
      </c>
      <c r="BL635" s="149" t="str">
        <f t="shared" si="83"/>
        <v/>
      </c>
    </row>
    <row r="636" spans="1:64" x14ac:dyDescent="0.2">
      <c r="A636" s="180"/>
      <c r="B636" s="180"/>
      <c r="C636" s="180"/>
      <c r="D636" s="180"/>
      <c r="E636" s="180"/>
      <c r="F636" s="187"/>
      <c r="G636" s="180"/>
      <c r="H636" s="180"/>
      <c r="I636" s="180"/>
      <c r="J636" s="187"/>
      <c r="K636" s="180"/>
      <c r="L636" s="180"/>
      <c r="M636" s="180"/>
      <c r="N636" s="180"/>
      <c r="O636" s="218"/>
      <c r="P636" s="180"/>
      <c r="Q636" s="188"/>
      <c r="R636" s="180"/>
      <c r="S636" s="180"/>
      <c r="T636" s="180"/>
      <c r="U636" s="180"/>
      <c r="V636" s="180"/>
      <c r="W636" s="180"/>
      <c r="X636" s="201"/>
      <c r="AJ636" s="149" t="str">
        <f>IF('Cable Info'!L496="","",CONCATENATE('Cable Info'!L496," - ",'Cable Info'!M496))</f>
        <v/>
      </c>
      <c r="AM636" s="149" t="str">
        <f t="shared" si="78"/>
        <v/>
      </c>
      <c r="AO636" s="149" t="str">
        <f>IF('Cable Info'!N496="","",CONCATENATE('Cable Info'!N496," - ",'Cable Info'!O496))</f>
        <v/>
      </c>
      <c r="AR636" s="149" t="str">
        <f t="shared" si="79"/>
        <v/>
      </c>
      <c r="AT636" s="149" t="str">
        <f>IF('Cable Info'!P496="","",CONCATENATE('Cable Info'!P496," - ",'Cable Info'!Q496))</f>
        <v/>
      </c>
      <c r="AW636" s="149" t="str">
        <f t="shared" si="80"/>
        <v/>
      </c>
      <c r="AY636" s="149" t="str">
        <f>IF('Cable Info'!R496="","",CONCATENATE('Cable Info'!R496," - ",'Cable Info'!S496))</f>
        <v/>
      </c>
      <c r="BB636" s="149" t="str">
        <f t="shared" si="81"/>
        <v/>
      </c>
      <c r="BD636" s="149" t="str">
        <f>IF('Cable Info'!T496="","",CONCATENATE('Cable Info'!T496," - ",'Cable Info'!U496))</f>
        <v/>
      </c>
      <c r="BG636" s="149" t="str">
        <f t="shared" si="82"/>
        <v/>
      </c>
      <c r="BI636" s="149" t="str">
        <f>IF('Cable Info'!V496="","",CONCATENATE('Cable Info'!V496," - ",'Cable Info'!W496))</f>
        <v/>
      </c>
      <c r="BL636" s="149" t="str">
        <f t="shared" si="83"/>
        <v/>
      </c>
    </row>
    <row r="637" spans="1:64" x14ac:dyDescent="0.2">
      <c r="A637" s="180"/>
      <c r="B637" s="180"/>
      <c r="C637" s="180"/>
      <c r="D637" s="180"/>
      <c r="E637" s="180"/>
      <c r="F637" s="187"/>
      <c r="G637" s="180"/>
      <c r="H637" s="180"/>
      <c r="I637" s="180"/>
      <c r="J637" s="187"/>
      <c r="K637" s="180"/>
      <c r="L637" s="180"/>
      <c r="M637" s="180"/>
      <c r="N637" s="180"/>
      <c r="O637" s="218"/>
      <c r="P637" s="180"/>
      <c r="Q637" s="188"/>
      <c r="R637" s="180"/>
      <c r="S637" s="180"/>
      <c r="T637" s="180"/>
      <c r="U637" s="180"/>
      <c r="V637" s="180"/>
      <c r="W637" s="180"/>
      <c r="X637" s="201"/>
      <c r="AJ637" s="149" t="str">
        <f>IF('Cable Info'!L497="","",CONCATENATE('Cable Info'!L497," - ",'Cable Info'!M497))</f>
        <v/>
      </c>
      <c r="AM637" s="149" t="str">
        <f t="shared" si="78"/>
        <v/>
      </c>
      <c r="AO637" s="149" t="str">
        <f>IF('Cable Info'!N497="","",CONCATENATE('Cable Info'!N497," - ",'Cable Info'!O497))</f>
        <v/>
      </c>
      <c r="AR637" s="149" t="str">
        <f t="shared" si="79"/>
        <v/>
      </c>
      <c r="AT637" s="149" t="str">
        <f>IF('Cable Info'!P497="","",CONCATENATE('Cable Info'!P497," - ",'Cable Info'!Q497))</f>
        <v/>
      </c>
      <c r="AW637" s="149" t="str">
        <f t="shared" si="80"/>
        <v/>
      </c>
      <c r="AY637" s="149" t="str">
        <f>IF('Cable Info'!R497="","",CONCATENATE('Cable Info'!R497," - ",'Cable Info'!S497))</f>
        <v/>
      </c>
      <c r="BB637" s="149" t="str">
        <f t="shared" si="81"/>
        <v/>
      </c>
      <c r="BD637" s="149" t="str">
        <f>IF('Cable Info'!T497="","",CONCATENATE('Cable Info'!T497," - ",'Cable Info'!U497))</f>
        <v/>
      </c>
      <c r="BG637" s="149" t="str">
        <f t="shared" si="82"/>
        <v/>
      </c>
      <c r="BI637" s="149" t="str">
        <f>IF('Cable Info'!V497="","",CONCATENATE('Cable Info'!V497," - ",'Cable Info'!W497))</f>
        <v/>
      </c>
      <c r="BL637" s="149" t="str">
        <f t="shared" si="83"/>
        <v/>
      </c>
    </row>
    <row r="638" spans="1:64" x14ac:dyDescent="0.2">
      <c r="A638" s="180"/>
      <c r="B638" s="180"/>
      <c r="C638" s="180"/>
      <c r="D638" s="180"/>
      <c r="E638" s="180"/>
      <c r="F638" s="187"/>
      <c r="G638" s="180"/>
      <c r="H638" s="180"/>
      <c r="I638" s="180"/>
      <c r="J638" s="187"/>
      <c r="K638" s="180"/>
      <c r="L638" s="180"/>
      <c r="M638" s="180"/>
      <c r="N638" s="180"/>
      <c r="O638" s="218"/>
      <c r="P638" s="180"/>
      <c r="Q638" s="188"/>
      <c r="R638" s="180"/>
      <c r="S638" s="180"/>
      <c r="T638" s="180"/>
      <c r="U638" s="180"/>
      <c r="V638" s="180"/>
      <c r="W638" s="180"/>
      <c r="X638" s="201"/>
      <c r="AJ638" s="149" t="str">
        <f>IF('Cable Info'!L498="","",CONCATENATE('Cable Info'!L498," - ",'Cable Info'!M498))</f>
        <v/>
      </c>
      <c r="AM638" s="149" t="str">
        <f t="shared" si="78"/>
        <v/>
      </c>
      <c r="AO638" s="149" t="str">
        <f>IF('Cable Info'!N498="","",CONCATENATE('Cable Info'!N498," - ",'Cable Info'!O498))</f>
        <v/>
      </c>
      <c r="AR638" s="149" t="str">
        <f t="shared" si="79"/>
        <v/>
      </c>
      <c r="AT638" s="149" t="str">
        <f>IF('Cable Info'!P498="","",CONCATENATE('Cable Info'!P498," - ",'Cable Info'!Q498))</f>
        <v/>
      </c>
      <c r="AW638" s="149" t="str">
        <f t="shared" si="80"/>
        <v/>
      </c>
      <c r="AY638" s="149" t="str">
        <f>IF('Cable Info'!R498="","",CONCATENATE('Cable Info'!R498," - ",'Cable Info'!S498))</f>
        <v/>
      </c>
      <c r="BB638" s="149" t="str">
        <f t="shared" si="81"/>
        <v/>
      </c>
      <c r="BD638" s="149" t="str">
        <f>IF('Cable Info'!T498="","",CONCATENATE('Cable Info'!T498," - ",'Cable Info'!U498))</f>
        <v/>
      </c>
      <c r="BG638" s="149" t="str">
        <f t="shared" si="82"/>
        <v/>
      </c>
      <c r="BI638" s="149" t="str">
        <f>IF('Cable Info'!V498="","",CONCATENATE('Cable Info'!V498," - ",'Cable Info'!W498))</f>
        <v/>
      </c>
      <c r="BL638" s="149" t="str">
        <f t="shared" si="83"/>
        <v/>
      </c>
    </row>
    <row r="639" spans="1:64" x14ac:dyDescent="0.2">
      <c r="A639" s="180"/>
      <c r="B639" s="180"/>
      <c r="C639" s="180"/>
      <c r="D639" s="180"/>
      <c r="E639" s="180"/>
      <c r="F639" s="187"/>
      <c r="G639" s="180"/>
      <c r="H639" s="180"/>
      <c r="I639" s="180"/>
      <c r="J639" s="187"/>
      <c r="K639" s="180"/>
      <c r="L639" s="180"/>
      <c r="M639" s="180"/>
      <c r="N639" s="180"/>
      <c r="O639" s="218"/>
      <c r="P639" s="180"/>
      <c r="Q639" s="188"/>
      <c r="R639" s="180"/>
      <c r="S639" s="180"/>
      <c r="T639" s="180"/>
      <c r="U639" s="180"/>
      <c r="V639" s="180"/>
      <c r="W639" s="180"/>
      <c r="X639" s="201"/>
      <c r="AJ639" s="149" t="str">
        <f>IF('Cable Info'!L499="","",CONCATENATE('Cable Info'!L499," - ",'Cable Info'!M499))</f>
        <v/>
      </c>
      <c r="AM639" s="149" t="str">
        <f t="shared" si="78"/>
        <v/>
      </c>
      <c r="AO639" s="149" t="str">
        <f>IF('Cable Info'!N499="","",CONCATENATE('Cable Info'!N499," - ",'Cable Info'!O499))</f>
        <v/>
      </c>
      <c r="AR639" s="149" t="str">
        <f t="shared" si="79"/>
        <v/>
      </c>
      <c r="AT639" s="149" t="str">
        <f>IF('Cable Info'!P499="","",CONCATENATE('Cable Info'!P499," - ",'Cable Info'!Q499))</f>
        <v/>
      </c>
      <c r="AW639" s="149" t="str">
        <f t="shared" si="80"/>
        <v/>
      </c>
      <c r="AY639" s="149" t="str">
        <f>IF('Cable Info'!R499="","",CONCATENATE('Cable Info'!R499," - ",'Cable Info'!S499))</f>
        <v/>
      </c>
      <c r="BB639" s="149" t="str">
        <f t="shared" si="81"/>
        <v/>
      </c>
      <c r="BD639" s="149" t="str">
        <f>IF('Cable Info'!T499="","",CONCATENATE('Cable Info'!T499," - ",'Cable Info'!U499))</f>
        <v/>
      </c>
      <c r="BG639" s="149" t="str">
        <f t="shared" si="82"/>
        <v/>
      </c>
      <c r="BI639" s="149" t="str">
        <f>IF('Cable Info'!V499="","",CONCATENATE('Cable Info'!V499," - ",'Cable Info'!W499))</f>
        <v/>
      </c>
      <c r="BL639" s="149" t="str">
        <f t="shared" si="83"/>
        <v/>
      </c>
    </row>
    <row r="640" spans="1:64" x14ac:dyDescent="0.2">
      <c r="A640" s="180"/>
      <c r="B640" s="180"/>
      <c r="C640" s="180"/>
      <c r="D640" s="180"/>
      <c r="E640" s="180"/>
      <c r="F640" s="187"/>
      <c r="G640" s="180"/>
      <c r="H640" s="180"/>
      <c r="I640" s="180"/>
      <c r="J640" s="187"/>
      <c r="K640" s="180"/>
      <c r="L640" s="180"/>
      <c r="M640" s="180"/>
      <c r="N640" s="180"/>
      <c r="O640" s="218"/>
      <c r="P640" s="180"/>
      <c r="Q640" s="188"/>
      <c r="R640" s="180"/>
      <c r="S640" s="180"/>
      <c r="T640" s="180"/>
      <c r="U640" s="180"/>
      <c r="V640" s="180"/>
      <c r="W640" s="180"/>
      <c r="X640" s="201"/>
      <c r="AJ640" s="149" t="str">
        <f>IF('Cable Info'!L500="","",CONCATENATE('Cable Info'!L500," - ",'Cable Info'!M500))</f>
        <v/>
      </c>
      <c r="AM640" s="149" t="str">
        <f t="shared" si="78"/>
        <v/>
      </c>
      <c r="AO640" s="149" t="str">
        <f>IF('Cable Info'!N500="","",CONCATENATE('Cable Info'!N500," - ",'Cable Info'!O500))</f>
        <v/>
      </c>
      <c r="AR640" s="149" t="str">
        <f t="shared" si="79"/>
        <v/>
      </c>
      <c r="AT640" s="149" t="str">
        <f>IF('Cable Info'!P500="","",CONCATENATE('Cable Info'!P500," - ",'Cable Info'!Q500))</f>
        <v/>
      </c>
      <c r="AW640" s="149" t="str">
        <f t="shared" si="80"/>
        <v/>
      </c>
      <c r="AY640" s="149" t="str">
        <f>IF('Cable Info'!R500="","",CONCATENATE('Cable Info'!R500," - ",'Cable Info'!S500))</f>
        <v/>
      </c>
      <c r="BB640" s="149" t="str">
        <f t="shared" si="81"/>
        <v/>
      </c>
      <c r="BD640" s="149" t="str">
        <f>IF('Cable Info'!T500="","",CONCATENATE('Cable Info'!T500," - ",'Cable Info'!U500))</f>
        <v/>
      </c>
      <c r="BG640" s="149" t="str">
        <f t="shared" si="82"/>
        <v/>
      </c>
      <c r="BI640" s="149" t="str">
        <f>IF('Cable Info'!V500="","",CONCATENATE('Cable Info'!V500," - ",'Cable Info'!W500))</f>
        <v/>
      </c>
      <c r="BL640" s="149" t="str">
        <f t="shared" si="83"/>
        <v/>
      </c>
    </row>
    <row r="641" spans="1:64" x14ac:dyDescent="0.2">
      <c r="A641" s="180"/>
      <c r="B641" s="180"/>
      <c r="C641" s="180"/>
      <c r="D641" s="180"/>
      <c r="E641" s="180"/>
      <c r="F641" s="187"/>
      <c r="G641" s="180"/>
      <c r="H641" s="180"/>
      <c r="I641" s="180"/>
      <c r="J641" s="187"/>
      <c r="K641" s="180"/>
      <c r="L641" s="180"/>
      <c r="M641" s="180"/>
      <c r="N641" s="180"/>
      <c r="O641" s="218"/>
      <c r="P641" s="180"/>
      <c r="Q641" s="188"/>
      <c r="R641" s="180"/>
      <c r="S641" s="180"/>
      <c r="T641" s="180"/>
      <c r="U641" s="180"/>
      <c r="V641" s="180"/>
      <c r="W641" s="180"/>
      <c r="X641" s="201"/>
      <c r="AJ641" s="149" t="str">
        <f>IF('Cable Info'!L501="","",CONCATENATE('Cable Info'!L501," - ",'Cable Info'!M501))</f>
        <v/>
      </c>
      <c r="AM641" s="149" t="str">
        <f t="shared" si="78"/>
        <v/>
      </c>
      <c r="AO641" s="149" t="str">
        <f>IF('Cable Info'!N501="","",CONCATENATE('Cable Info'!N501," - ",'Cable Info'!O501))</f>
        <v/>
      </c>
      <c r="AR641" s="149" t="str">
        <f t="shared" si="79"/>
        <v/>
      </c>
      <c r="AT641" s="149" t="str">
        <f>IF('Cable Info'!P501="","",CONCATENATE('Cable Info'!P501," - ",'Cable Info'!Q501))</f>
        <v/>
      </c>
      <c r="AW641" s="149" t="str">
        <f t="shared" si="80"/>
        <v/>
      </c>
      <c r="AY641" s="149" t="str">
        <f>IF('Cable Info'!R501="","",CONCATENATE('Cable Info'!R501," - ",'Cable Info'!S501))</f>
        <v/>
      </c>
      <c r="BB641" s="149" t="str">
        <f t="shared" si="81"/>
        <v/>
      </c>
      <c r="BD641" s="149" t="str">
        <f>IF('Cable Info'!T501="","",CONCATENATE('Cable Info'!T501," - ",'Cable Info'!U501))</f>
        <v/>
      </c>
      <c r="BG641" s="149" t="str">
        <f t="shared" si="82"/>
        <v/>
      </c>
      <c r="BI641" s="149" t="str">
        <f>IF('Cable Info'!V501="","",CONCATENATE('Cable Info'!V501," - ",'Cable Info'!W501))</f>
        <v/>
      </c>
      <c r="BL641" s="149" t="str">
        <f t="shared" si="83"/>
        <v/>
      </c>
    </row>
    <row r="642" spans="1:64" x14ac:dyDescent="0.2">
      <c r="A642" s="180"/>
      <c r="B642" s="180"/>
      <c r="C642" s="180"/>
      <c r="D642" s="180"/>
      <c r="E642" s="180"/>
      <c r="F642" s="187"/>
      <c r="G642" s="180"/>
      <c r="H642" s="180"/>
      <c r="I642" s="180"/>
      <c r="J642" s="187"/>
      <c r="K642" s="180"/>
      <c r="L642" s="180"/>
      <c r="M642" s="180"/>
      <c r="N642" s="180"/>
      <c r="O642" s="218"/>
      <c r="P642" s="180"/>
      <c r="Q642" s="188"/>
      <c r="R642" s="180"/>
      <c r="S642" s="180"/>
      <c r="T642" s="180"/>
      <c r="U642" s="180"/>
      <c r="V642" s="180"/>
      <c r="W642" s="180"/>
      <c r="X642" s="201"/>
      <c r="AJ642" s="149" t="str">
        <f>IF('Cable Info'!L502="","",CONCATENATE('Cable Info'!L502," - ",'Cable Info'!M502))</f>
        <v/>
      </c>
      <c r="AM642" s="149" t="str">
        <f t="shared" si="78"/>
        <v/>
      </c>
      <c r="AO642" s="149" t="str">
        <f>IF('Cable Info'!N502="","",CONCATENATE('Cable Info'!N502," - ",'Cable Info'!O502))</f>
        <v/>
      </c>
      <c r="AR642" s="149" t="str">
        <f t="shared" si="79"/>
        <v/>
      </c>
      <c r="AT642" s="149" t="str">
        <f>IF('Cable Info'!P502="","",CONCATENATE('Cable Info'!P502," - ",'Cable Info'!Q502))</f>
        <v/>
      </c>
      <c r="AW642" s="149" t="str">
        <f t="shared" si="80"/>
        <v/>
      </c>
      <c r="AY642" s="149" t="str">
        <f>IF('Cable Info'!R502="","",CONCATENATE('Cable Info'!R502," - ",'Cable Info'!S502))</f>
        <v/>
      </c>
      <c r="BB642" s="149" t="str">
        <f t="shared" si="81"/>
        <v/>
      </c>
      <c r="BD642" s="149" t="str">
        <f>IF('Cable Info'!T502="","",CONCATENATE('Cable Info'!T502," - ",'Cable Info'!U502))</f>
        <v/>
      </c>
      <c r="BG642" s="149" t="str">
        <f t="shared" si="82"/>
        <v/>
      </c>
      <c r="BI642" s="149" t="str">
        <f>IF('Cable Info'!V502="","",CONCATENATE('Cable Info'!V502," - ",'Cable Info'!W502))</f>
        <v/>
      </c>
      <c r="BL642" s="149" t="str">
        <f t="shared" si="83"/>
        <v/>
      </c>
    </row>
    <row r="643" spans="1:64" x14ac:dyDescent="0.2">
      <c r="A643" s="180"/>
      <c r="B643" s="180"/>
      <c r="C643" s="180"/>
      <c r="D643" s="180"/>
      <c r="E643" s="180"/>
      <c r="F643" s="187"/>
      <c r="G643" s="180"/>
      <c r="H643" s="180"/>
      <c r="I643" s="180"/>
      <c r="J643" s="187"/>
      <c r="K643" s="180"/>
      <c r="L643" s="180"/>
      <c r="M643" s="180"/>
      <c r="N643" s="180"/>
      <c r="O643" s="218"/>
      <c r="P643" s="180"/>
      <c r="Q643" s="188"/>
      <c r="R643" s="180"/>
      <c r="S643" s="180"/>
      <c r="T643" s="180"/>
      <c r="U643" s="180"/>
      <c r="V643" s="180"/>
      <c r="W643" s="180"/>
      <c r="X643" s="201"/>
      <c r="AJ643" s="149" t="str">
        <f>IF('Cable Info'!L503="","",CONCATENATE('Cable Info'!L503," - ",'Cable Info'!M503))</f>
        <v/>
      </c>
      <c r="AM643" s="149" t="str">
        <f t="shared" si="78"/>
        <v/>
      </c>
      <c r="AO643" s="149" t="str">
        <f>IF('Cable Info'!N503="","",CONCATENATE('Cable Info'!N503," - ",'Cable Info'!O503))</f>
        <v/>
      </c>
      <c r="AR643" s="149" t="str">
        <f t="shared" si="79"/>
        <v/>
      </c>
      <c r="AT643" s="149" t="str">
        <f>IF('Cable Info'!P503="","",CONCATENATE('Cable Info'!P503," - ",'Cable Info'!Q503))</f>
        <v/>
      </c>
      <c r="AW643" s="149" t="str">
        <f t="shared" si="80"/>
        <v/>
      </c>
      <c r="AY643" s="149" t="str">
        <f>IF('Cable Info'!R503="","",CONCATENATE('Cable Info'!R503," - ",'Cable Info'!S503))</f>
        <v/>
      </c>
      <c r="BB643" s="149" t="str">
        <f t="shared" si="81"/>
        <v/>
      </c>
      <c r="BD643" s="149" t="str">
        <f>IF('Cable Info'!T503="","",CONCATENATE('Cable Info'!T503," - ",'Cable Info'!U503))</f>
        <v/>
      </c>
      <c r="BG643" s="149" t="str">
        <f t="shared" si="82"/>
        <v/>
      </c>
      <c r="BI643" s="149" t="str">
        <f>IF('Cable Info'!V503="","",CONCATENATE('Cable Info'!V503," - ",'Cable Info'!W503))</f>
        <v/>
      </c>
      <c r="BL643" s="149" t="str">
        <f t="shared" si="83"/>
        <v/>
      </c>
    </row>
    <row r="644" spans="1:64" x14ac:dyDescent="0.2">
      <c r="A644" s="180"/>
      <c r="B644" s="180"/>
      <c r="C644" s="180"/>
      <c r="D644" s="180"/>
      <c r="E644" s="180"/>
      <c r="F644" s="187"/>
      <c r="G644" s="180"/>
      <c r="H644" s="180"/>
      <c r="I644" s="180"/>
      <c r="J644" s="187"/>
      <c r="K644" s="180"/>
      <c r="L644" s="180"/>
      <c r="M644" s="180"/>
      <c r="N644" s="180"/>
      <c r="O644" s="218"/>
      <c r="P644" s="180"/>
      <c r="Q644" s="188"/>
      <c r="R644" s="180"/>
      <c r="S644" s="180"/>
      <c r="T644" s="180"/>
      <c r="U644" s="180"/>
      <c r="V644" s="180"/>
      <c r="W644" s="180"/>
      <c r="X644" s="201"/>
      <c r="AJ644" s="149" t="str">
        <f>IF('Cable Info'!L504="","",CONCATENATE('Cable Info'!L504," - ",'Cable Info'!M504))</f>
        <v/>
      </c>
      <c r="AM644" s="149" t="str">
        <f t="shared" si="78"/>
        <v/>
      </c>
      <c r="AO644" s="149" t="str">
        <f>IF('Cable Info'!N504="","",CONCATENATE('Cable Info'!N504," - ",'Cable Info'!O504))</f>
        <v/>
      </c>
      <c r="AR644" s="149" t="str">
        <f t="shared" si="79"/>
        <v/>
      </c>
      <c r="AT644" s="149" t="str">
        <f>IF('Cable Info'!P504="","",CONCATENATE('Cable Info'!P504," - ",'Cable Info'!Q504))</f>
        <v/>
      </c>
      <c r="AW644" s="149" t="str">
        <f t="shared" si="80"/>
        <v/>
      </c>
      <c r="AY644" s="149" t="str">
        <f>IF('Cable Info'!R504="","",CONCATENATE('Cable Info'!R504," - ",'Cable Info'!S504))</f>
        <v/>
      </c>
      <c r="BB644" s="149" t="str">
        <f t="shared" si="81"/>
        <v/>
      </c>
      <c r="BD644" s="149" t="str">
        <f>IF('Cable Info'!T504="","",CONCATENATE('Cable Info'!T504," - ",'Cable Info'!U504))</f>
        <v/>
      </c>
      <c r="BG644" s="149" t="str">
        <f t="shared" si="82"/>
        <v/>
      </c>
      <c r="BI644" s="149" t="str">
        <f>IF('Cable Info'!V504="","",CONCATENATE('Cable Info'!V504," - ",'Cable Info'!W504))</f>
        <v/>
      </c>
      <c r="BL644" s="149" t="str">
        <f t="shared" si="83"/>
        <v/>
      </c>
    </row>
    <row r="645" spans="1:64" x14ac:dyDescent="0.2">
      <c r="A645" s="180"/>
      <c r="B645" s="180"/>
      <c r="C645" s="180"/>
      <c r="D645" s="180"/>
      <c r="E645" s="180"/>
      <c r="F645" s="187"/>
      <c r="G645" s="180"/>
      <c r="H645" s="180"/>
      <c r="I645" s="180"/>
      <c r="J645" s="187"/>
      <c r="K645" s="180"/>
      <c r="L645" s="180"/>
      <c r="M645" s="180"/>
      <c r="N645" s="180"/>
      <c r="O645" s="218"/>
      <c r="P645" s="180"/>
      <c r="Q645" s="188"/>
      <c r="R645" s="180"/>
      <c r="S645" s="180"/>
      <c r="T645" s="180"/>
      <c r="U645" s="180"/>
      <c r="V645" s="180"/>
      <c r="W645" s="180"/>
      <c r="X645" s="201"/>
      <c r="AJ645" s="149" t="str">
        <f>IF('Cable Info'!L505="","",CONCATENATE('Cable Info'!L505," - ",'Cable Info'!M505))</f>
        <v/>
      </c>
      <c r="AM645" s="149" t="str">
        <f t="shared" si="78"/>
        <v/>
      </c>
      <c r="AO645" s="149" t="str">
        <f>IF('Cable Info'!N505="","",CONCATENATE('Cable Info'!N505," - ",'Cable Info'!O505))</f>
        <v/>
      </c>
      <c r="AR645" s="149" t="str">
        <f t="shared" si="79"/>
        <v/>
      </c>
      <c r="AT645" s="149" t="str">
        <f>IF('Cable Info'!P505="","",CONCATENATE('Cable Info'!P505," - ",'Cable Info'!Q505))</f>
        <v/>
      </c>
      <c r="AW645" s="149" t="str">
        <f t="shared" si="80"/>
        <v/>
      </c>
      <c r="AY645" s="149" t="str">
        <f>IF('Cable Info'!R505="","",CONCATENATE('Cable Info'!R505," - ",'Cable Info'!S505))</f>
        <v/>
      </c>
      <c r="BB645" s="149" t="str">
        <f t="shared" si="81"/>
        <v/>
      </c>
      <c r="BD645" s="149" t="str">
        <f>IF('Cable Info'!T505="","",CONCATENATE('Cable Info'!T505," - ",'Cable Info'!U505))</f>
        <v/>
      </c>
      <c r="BG645" s="149" t="str">
        <f t="shared" si="82"/>
        <v/>
      </c>
      <c r="BI645" s="149" t="str">
        <f>IF('Cable Info'!V505="","",CONCATENATE('Cable Info'!V505," - ",'Cable Info'!W505))</f>
        <v/>
      </c>
      <c r="BL645" s="149" t="str">
        <f t="shared" si="83"/>
        <v/>
      </c>
    </row>
    <row r="646" spans="1:64" x14ac:dyDescent="0.2">
      <c r="A646" s="180"/>
      <c r="B646" s="180"/>
      <c r="C646" s="180"/>
      <c r="D646" s="180"/>
      <c r="E646" s="180"/>
      <c r="F646" s="187"/>
      <c r="G646" s="180"/>
      <c r="H646" s="180"/>
      <c r="I646" s="180"/>
      <c r="J646" s="187"/>
      <c r="K646" s="180"/>
      <c r="L646" s="180"/>
      <c r="M646" s="180"/>
      <c r="N646" s="180"/>
      <c r="O646" s="218"/>
      <c r="P646" s="180"/>
      <c r="Q646" s="188"/>
      <c r="R646" s="180"/>
      <c r="S646" s="180"/>
      <c r="T646" s="180"/>
      <c r="U646" s="180"/>
      <c r="V646" s="180"/>
      <c r="W646" s="180"/>
      <c r="X646" s="201"/>
      <c r="AJ646" s="149" t="str">
        <f>IF('Cable Info'!L506="","",CONCATENATE('Cable Info'!L506," - ",'Cable Info'!M506))</f>
        <v/>
      </c>
      <c r="AM646" s="149" t="str">
        <f t="shared" si="78"/>
        <v/>
      </c>
      <c r="AO646" s="149" t="str">
        <f>IF('Cable Info'!N506="","",CONCATENATE('Cable Info'!N506," - ",'Cable Info'!O506))</f>
        <v/>
      </c>
      <c r="AR646" s="149" t="str">
        <f t="shared" si="79"/>
        <v/>
      </c>
      <c r="AT646" s="149" t="str">
        <f>IF('Cable Info'!P506="","",CONCATENATE('Cable Info'!P506," - ",'Cable Info'!Q506))</f>
        <v/>
      </c>
      <c r="AW646" s="149" t="str">
        <f t="shared" si="80"/>
        <v/>
      </c>
      <c r="AY646" s="149" t="str">
        <f>IF('Cable Info'!R506="","",CONCATENATE('Cable Info'!R506," - ",'Cable Info'!S506))</f>
        <v/>
      </c>
      <c r="BB646" s="149" t="str">
        <f t="shared" si="81"/>
        <v/>
      </c>
      <c r="BD646" s="149" t="str">
        <f>IF('Cable Info'!T506="","",CONCATENATE('Cable Info'!T506," - ",'Cable Info'!U506))</f>
        <v/>
      </c>
      <c r="BG646" s="149" t="str">
        <f t="shared" si="82"/>
        <v/>
      </c>
      <c r="BI646" s="149" t="str">
        <f>IF('Cable Info'!V506="","",CONCATENATE('Cable Info'!V506," - ",'Cable Info'!W506))</f>
        <v/>
      </c>
      <c r="BL646" s="149" t="str">
        <f t="shared" si="83"/>
        <v/>
      </c>
    </row>
    <row r="647" spans="1:64" x14ac:dyDescent="0.2">
      <c r="A647" s="180"/>
      <c r="B647" s="180"/>
      <c r="C647" s="180"/>
      <c r="D647" s="180"/>
      <c r="E647" s="180"/>
      <c r="F647" s="187"/>
      <c r="G647" s="180"/>
      <c r="H647" s="180"/>
      <c r="I647" s="180"/>
      <c r="J647" s="187"/>
      <c r="K647" s="180"/>
      <c r="L647" s="180"/>
      <c r="M647" s="180"/>
      <c r="N647" s="180"/>
      <c r="O647" s="218"/>
      <c r="P647" s="180"/>
      <c r="Q647" s="188"/>
      <c r="R647" s="180"/>
      <c r="S647" s="180"/>
      <c r="T647" s="180"/>
      <c r="U647" s="180"/>
      <c r="V647" s="180"/>
      <c r="W647" s="180"/>
      <c r="X647" s="201"/>
      <c r="AJ647" s="149" t="str">
        <f>IF('Cable Info'!L507="","",CONCATENATE('Cable Info'!L507," - ",'Cable Info'!M507))</f>
        <v/>
      </c>
      <c r="AM647" s="149" t="str">
        <f t="shared" si="78"/>
        <v/>
      </c>
      <c r="AO647" s="149" t="str">
        <f>IF('Cable Info'!N507="","",CONCATENATE('Cable Info'!N507," - ",'Cable Info'!O507))</f>
        <v/>
      </c>
      <c r="AR647" s="149" t="str">
        <f t="shared" si="79"/>
        <v/>
      </c>
      <c r="AT647" s="149" t="str">
        <f>IF('Cable Info'!P507="","",CONCATENATE('Cable Info'!P507," - ",'Cable Info'!Q507))</f>
        <v/>
      </c>
      <c r="AW647" s="149" t="str">
        <f t="shared" si="80"/>
        <v/>
      </c>
      <c r="AY647" s="149" t="str">
        <f>IF('Cable Info'!R507="","",CONCATENATE('Cable Info'!R507," - ",'Cable Info'!S507))</f>
        <v/>
      </c>
      <c r="BB647" s="149" t="str">
        <f t="shared" si="81"/>
        <v/>
      </c>
      <c r="BD647" s="149" t="str">
        <f>IF('Cable Info'!T507="","",CONCATENATE('Cable Info'!T507," - ",'Cable Info'!U507))</f>
        <v/>
      </c>
      <c r="BG647" s="149" t="str">
        <f t="shared" si="82"/>
        <v/>
      </c>
      <c r="BI647" s="149" t="str">
        <f>IF('Cable Info'!V507="","",CONCATENATE('Cable Info'!V507," - ",'Cable Info'!W507))</f>
        <v/>
      </c>
      <c r="BL647" s="149" t="str">
        <f t="shared" si="83"/>
        <v/>
      </c>
    </row>
    <row r="648" spans="1:64" x14ac:dyDescent="0.2">
      <c r="A648" s="180"/>
      <c r="B648" s="180"/>
      <c r="C648" s="180"/>
      <c r="D648" s="180"/>
      <c r="E648" s="180"/>
      <c r="F648" s="187"/>
      <c r="G648" s="180"/>
      <c r="H648" s="180"/>
      <c r="I648" s="180"/>
      <c r="J648" s="187"/>
      <c r="K648" s="180"/>
      <c r="L648" s="180"/>
      <c r="M648" s="180"/>
      <c r="N648" s="180"/>
      <c r="O648" s="218"/>
      <c r="P648" s="180"/>
      <c r="Q648" s="188"/>
      <c r="R648" s="180"/>
      <c r="S648" s="180"/>
      <c r="T648" s="180"/>
      <c r="U648" s="180"/>
      <c r="V648" s="180"/>
      <c r="W648" s="180"/>
      <c r="X648" s="201"/>
      <c r="AJ648" s="149" t="str">
        <f>IF('Cable Info'!L508="","",CONCATENATE('Cable Info'!L508," - ",'Cable Info'!M508))</f>
        <v/>
      </c>
      <c r="AM648" s="149" t="str">
        <f t="shared" si="78"/>
        <v/>
      </c>
      <c r="AO648" s="149" t="str">
        <f>IF('Cable Info'!N508="","",CONCATENATE('Cable Info'!N508," - ",'Cable Info'!O508))</f>
        <v/>
      </c>
      <c r="AR648" s="149" t="str">
        <f t="shared" si="79"/>
        <v/>
      </c>
      <c r="AT648" s="149" t="str">
        <f>IF('Cable Info'!P508="","",CONCATENATE('Cable Info'!P508," - ",'Cable Info'!Q508))</f>
        <v/>
      </c>
      <c r="AW648" s="149" t="str">
        <f t="shared" si="80"/>
        <v/>
      </c>
      <c r="AY648" s="149" t="str">
        <f>IF('Cable Info'!R508="","",CONCATENATE('Cable Info'!R508," - ",'Cable Info'!S508))</f>
        <v/>
      </c>
      <c r="BB648" s="149" t="str">
        <f t="shared" si="81"/>
        <v/>
      </c>
      <c r="BD648" s="149" t="str">
        <f>IF('Cable Info'!T508="","",CONCATENATE('Cable Info'!T508," - ",'Cable Info'!U508))</f>
        <v/>
      </c>
      <c r="BG648" s="149" t="str">
        <f t="shared" si="82"/>
        <v/>
      </c>
      <c r="BI648" s="149" t="str">
        <f>IF('Cable Info'!V508="","",CONCATENATE('Cable Info'!V508," - ",'Cable Info'!W508))</f>
        <v/>
      </c>
      <c r="BL648" s="149" t="str">
        <f t="shared" si="83"/>
        <v/>
      </c>
    </row>
    <row r="649" spans="1:64" x14ac:dyDescent="0.2">
      <c r="A649" s="180"/>
      <c r="B649" s="180"/>
      <c r="C649" s="180"/>
      <c r="D649" s="180"/>
      <c r="E649" s="180"/>
      <c r="F649" s="187"/>
      <c r="G649" s="180"/>
      <c r="H649" s="180"/>
      <c r="I649" s="180"/>
      <c r="J649" s="187"/>
      <c r="K649" s="180"/>
      <c r="L649" s="180"/>
      <c r="M649" s="180"/>
      <c r="N649" s="180"/>
      <c r="O649" s="218"/>
      <c r="P649" s="180"/>
      <c r="Q649" s="188"/>
      <c r="R649" s="180"/>
      <c r="S649" s="180"/>
      <c r="T649" s="180"/>
      <c r="U649" s="180"/>
      <c r="V649" s="180"/>
      <c r="W649" s="180"/>
      <c r="X649" s="201"/>
      <c r="AJ649" s="149" t="str">
        <f>IF('Cable Info'!L509="","",CONCATENATE('Cable Info'!L509," - ",'Cable Info'!M509))</f>
        <v/>
      </c>
      <c r="AM649" s="149" t="str">
        <f t="shared" si="78"/>
        <v/>
      </c>
      <c r="AO649" s="149" t="str">
        <f>IF('Cable Info'!N509="","",CONCATENATE('Cable Info'!N509," - ",'Cable Info'!O509))</f>
        <v/>
      </c>
      <c r="AR649" s="149" t="str">
        <f t="shared" si="79"/>
        <v/>
      </c>
      <c r="AT649" s="149" t="str">
        <f>IF('Cable Info'!P509="","",CONCATENATE('Cable Info'!P509," - ",'Cable Info'!Q509))</f>
        <v/>
      </c>
      <c r="AW649" s="149" t="str">
        <f t="shared" si="80"/>
        <v/>
      </c>
      <c r="AY649" s="149" t="str">
        <f>IF('Cable Info'!R509="","",CONCATENATE('Cable Info'!R509," - ",'Cable Info'!S509))</f>
        <v/>
      </c>
      <c r="BB649" s="149" t="str">
        <f t="shared" si="81"/>
        <v/>
      </c>
      <c r="BD649" s="149" t="str">
        <f>IF('Cable Info'!T509="","",CONCATENATE('Cable Info'!T509," - ",'Cable Info'!U509))</f>
        <v/>
      </c>
      <c r="BG649" s="149" t="str">
        <f t="shared" si="82"/>
        <v/>
      </c>
      <c r="BI649" s="149" t="str">
        <f>IF('Cable Info'!V509="","",CONCATENATE('Cable Info'!V509," - ",'Cable Info'!W509))</f>
        <v/>
      </c>
      <c r="BL649" s="149" t="str">
        <f t="shared" si="83"/>
        <v/>
      </c>
    </row>
    <row r="650" spans="1:64" x14ac:dyDescent="0.2">
      <c r="A650" s="180"/>
      <c r="B650" s="180"/>
      <c r="C650" s="180"/>
      <c r="D650" s="180"/>
      <c r="E650" s="180"/>
      <c r="F650" s="187"/>
      <c r="G650" s="180"/>
      <c r="H650" s="180"/>
      <c r="I650" s="180"/>
      <c r="J650" s="187"/>
      <c r="K650" s="180"/>
      <c r="L650" s="180"/>
      <c r="M650" s="180"/>
      <c r="N650" s="180"/>
      <c r="O650" s="218"/>
      <c r="P650" s="180"/>
      <c r="Q650" s="188"/>
      <c r="R650" s="180"/>
      <c r="S650" s="180"/>
      <c r="T650" s="180"/>
      <c r="U650" s="180"/>
      <c r="V650" s="180"/>
      <c r="W650" s="180"/>
      <c r="X650" s="201"/>
      <c r="AJ650" s="149" t="str">
        <f>IF('Cable Info'!L510="","",CONCATENATE('Cable Info'!L510," - ",'Cable Info'!M510))</f>
        <v/>
      </c>
      <c r="AM650" s="149" t="str">
        <f t="shared" si="78"/>
        <v/>
      </c>
      <c r="AO650" s="149" t="str">
        <f>IF('Cable Info'!N510="","",CONCATENATE('Cable Info'!N510," - ",'Cable Info'!O510))</f>
        <v/>
      </c>
      <c r="AR650" s="149" t="str">
        <f t="shared" si="79"/>
        <v/>
      </c>
      <c r="AT650" s="149" t="str">
        <f>IF('Cable Info'!P510="","",CONCATENATE('Cable Info'!P510," - ",'Cable Info'!Q510))</f>
        <v/>
      </c>
      <c r="AW650" s="149" t="str">
        <f t="shared" si="80"/>
        <v/>
      </c>
      <c r="AY650" s="149" t="str">
        <f>IF('Cable Info'!R510="","",CONCATENATE('Cable Info'!R510," - ",'Cable Info'!S510))</f>
        <v/>
      </c>
      <c r="BB650" s="149" t="str">
        <f t="shared" si="81"/>
        <v/>
      </c>
      <c r="BD650" s="149" t="str">
        <f>IF('Cable Info'!T510="","",CONCATENATE('Cable Info'!T510," - ",'Cable Info'!U510))</f>
        <v/>
      </c>
      <c r="BG650" s="149" t="str">
        <f t="shared" si="82"/>
        <v/>
      </c>
      <c r="BI650" s="149" t="str">
        <f>IF('Cable Info'!V510="","",CONCATENATE('Cable Info'!V510," - ",'Cable Info'!W510))</f>
        <v/>
      </c>
      <c r="BL650" s="149" t="str">
        <f t="shared" si="83"/>
        <v/>
      </c>
    </row>
    <row r="651" spans="1:64" x14ac:dyDescent="0.2">
      <c r="A651" s="180"/>
      <c r="B651" s="180"/>
      <c r="C651" s="180"/>
      <c r="D651" s="180"/>
      <c r="E651" s="180"/>
      <c r="F651" s="187"/>
      <c r="G651" s="180"/>
      <c r="H651" s="180"/>
      <c r="I651" s="180"/>
      <c r="J651" s="187"/>
      <c r="K651" s="180"/>
      <c r="L651" s="180"/>
      <c r="M651" s="180"/>
      <c r="N651" s="180"/>
      <c r="O651" s="218"/>
      <c r="P651" s="180"/>
      <c r="Q651" s="188"/>
      <c r="R651" s="180"/>
      <c r="S651" s="180"/>
      <c r="T651" s="180"/>
      <c r="U651" s="180"/>
      <c r="V651" s="180"/>
      <c r="W651" s="180"/>
      <c r="X651" s="201"/>
      <c r="AJ651" s="149" t="str">
        <f>IF('Cable Info'!L511="","",CONCATENATE('Cable Info'!L511," - ",'Cable Info'!M511))</f>
        <v/>
      </c>
      <c r="AM651" s="149" t="str">
        <f t="shared" si="78"/>
        <v/>
      </c>
      <c r="AO651" s="149" t="str">
        <f>IF('Cable Info'!N511="","",CONCATENATE('Cable Info'!N511," - ",'Cable Info'!O511))</f>
        <v/>
      </c>
      <c r="AR651" s="149" t="str">
        <f t="shared" si="79"/>
        <v/>
      </c>
      <c r="AT651" s="149" t="str">
        <f>IF('Cable Info'!P511="","",CONCATENATE('Cable Info'!P511," - ",'Cable Info'!Q511))</f>
        <v/>
      </c>
      <c r="AW651" s="149" t="str">
        <f t="shared" si="80"/>
        <v/>
      </c>
      <c r="AY651" s="149" t="str">
        <f>IF('Cable Info'!R511="","",CONCATENATE('Cable Info'!R511," - ",'Cable Info'!S511))</f>
        <v/>
      </c>
      <c r="BB651" s="149" t="str">
        <f t="shared" si="81"/>
        <v/>
      </c>
      <c r="BD651" s="149" t="str">
        <f>IF('Cable Info'!T511="","",CONCATENATE('Cable Info'!T511," - ",'Cable Info'!U511))</f>
        <v/>
      </c>
      <c r="BG651" s="149" t="str">
        <f t="shared" si="82"/>
        <v/>
      </c>
      <c r="BI651" s="149" t="str">
        <f>IF('Cable Info'!V511="","",CONCATENATE('Cable Info'!V511," - ",'Cable Info'!W511))</f>
        <v/>
      </c>
      <c r="BL651" s="149" t="str">
        <f t="shared" si="83"/>
        <v/>
      </c>
    </row>
    <row r="652" spans="1:64" x14ac:dyDescent="0.2">
      <c r="A652" s="180"/>
      <c r="B652" s="180"/>
      <c r="C652" s="180"/>
      <c r="D652" s="180"/>
      <c r="E652" s="180"/>
      <c r="F652" s="187"/>
      <c r="G652" s="180"/>
      <c r="H652" s="180"/>
      <c r="I652" s="180"/>
      <c r="J652" s="187"/>
      <c r="K652" s="180"/>
      <c r="L652" s="180"/>
      <c r="M652" s="180"/>
      <c r="N652" s="180"/>
      <c r="O652" s="218"/>
      <c r="P652" s="180"/>
      <c r="Q652" s="188"/>
      <c r="R652" s="180"/>
      <c r="S652" s="180"/>
      <c r="T652" s="180"/>
      <c r="U652" s="180"/>
      <c r="V652" s="180"/>
      <c r="W652" s="180"/>
      <c r="X652" s="201"/>
      <c r="AJ652" s="149" t="str">
        <f>IF('Cable Info'!L512="","",CONCATENATE('Cable Info'!L512," - ",'Cable Info'!M512))</f>
        <v/>
      </c>
      <c r="AM652" s="149" t="str">
        <f t="shared" si="78"/>
        <v/>
      </c>
      <c r="AO652" s="149" t="str">
        <f>IF('Cable Info'!N512="","",CONCATENATE('Cable Info'!N512," - ",'Cable Info'!O512))</f>
        <v/>
      </c>
      <c r="AR652" s="149" t="str">
        <f t="shared" si="79"/>
        <v/>
      </c>
      <c r="AT652" s="149" t="str">
        <f>IF('Cable Info'!P512="","",CONCATENATE('Cable Info'!P512," - ",'Cable Info'!Q512))</f>
        <v/>
      </c>
      <c r="AW652" s="149" t="str">
        <f t="shared" si="80"/>
        <v/>
      </c>
      <c r="AY652" s="149" t="str">
        <f>IF('Cable Info'!R512="","",CONCATENATE('Cable Info'!R512," - ",'Cable Info'!S512))</f>
        <v/>
      </c>
      <c r="BB652" s="149" t="str">
        <f t="shared" si="81"/>
        <v/>
      </c>
      <c r="BD652" s="149" t="str">
        <f>IF('Cable Info'!T512="","",CONCATENATE('Cable Info'!T512," - ",'Cable Info'!U512))</f>
        <v/>
      </c>
      <c r="BG652" s="149" t="str">
        <f t="shared" si="82"/>
        <v/>
      </c>
      <c r="BI652" s="149" t="str">
        <f>IF('Cable Info'!V512="","",CONCATENATE('Cable Info'!V512," - ",'Cable Info'!W512))</f>
        <v/>
      </c>
      <c r="BL652" s="149" t="str">
        <f t="shared" si="83"/>
        <v/>
      </c>
    </row>
    <row r="653" spans="1:64" x14ac:dyDescent="0.2">
      <c r="A653" s="180"/>
      <c r="B653" s="180"/>
      <c r="C653" s="180"/>
      <c r="D653" s="180"/>
      <c r="E653" s="180"/>
      <c r="F653" s="187"/>
      <c r="G653" s="180"/>
      <c r="H653" s="180"/>
      <c r="I653" s="180"/>
      <c r="J653" s="187"/>
      <c r="K653" s="180"/>
      <c r="L653" s="180"/>
      <c r="M653" s="180"/>
      <c r="N653" s="180"/>
      <c r="O653" s="218"/>
      <c r="P653" s="180"/>
      <c r="Q653" s="188"/>
      <c r="R653" s="180"/>
      <c r="S653" s="180"/>
      <c r="T653" s="180"/>
      <c r="U653" s="180"/>
      <c r="V653" s="180"/>
      <c r="W653" s="180"/>
      <c r="X653" s="201"/>
      <c r="AJ653" s="149" t="str">
        <f>IF('Cable Info'!L513="","",CONCATENATE('Cable Info'!L513," - ",'Cable Info'!M513))</f>
        <v/>
      </c>
      <c r="AM653" s="149" t="str">
        <f t="shared" si="78"/>
        <v/>
      </c>
      <c r="AO653" s="149" t="str">
        <f>IF('Cable Info'!N513="","",CONCATENATE('Cable Info'!N513," - ",'Cable Info'!O513))</f>
        <v/>
      </c>
      <c r="AR653" s="149" t="str">
        <f t="shared" si="79"/>
        <v/>
      </c>
      <c r="AT653" s="149" t="str">
        <f>IF('Cable Info'!P513="","",CONCATENATE('Cable Info'!P513," - ",'Cable Info'!Q513))</f>
        <v/>
      </c>
      <c r="AW653" s="149" t="str">
        <f t="shared" si="80"/>
        <v/>
      </c>
      <c r="AY653" s="149" t="str">
        <f>IF('Cable Info'!R513="","",CONCATENATE('Cable Info'!R513," - ",'Cable Info'!S513))</f>
        <v/>
      </c>
      <c r="BB653" s="149" t="str">
        <f t="shared" si="81"/>
        <v/>
      </c>
      <c r="BD653" s="149" t="str">
        <f>IF('Cable Info'!T513="","",CONCATENATE('Cable Info'!T513," - ",'Cable Info'!U513))</f>
        <v/>
      </c>
      <c r="BG653" s="149" t="str">
        <f t="shared" si="82"/>
        <v/>
      </c>
      <c r="BI653" s="149" t="str">
        <f>IF('Cable Info'!V513="","",CONCATENATE('Cable Info'!V513," - ",'Cable Info'!W513))</f>
        <v/>
      </c>
      <c r="BL653" s="149" t="str">
        <f t="shared" si="83"/>
        <v/>
      </c>
    </row>
    <row r="654" spans="1:64" x14ac:dyDescent="0.2">
      <c r="A654" s="180"/>
      <c r="B654" s="180"/>
      <c r="C654" s="180"/>
      <c r="D654" s="180"/>
      <c r="E654" s="180"/>
      <c r="F654" s="187"/>
      <c r="G654" s="180"/>
      <c r="H654" s="180"/>
      <c r="I654" s="180"/>
      <c r="J654" s="187"/>
      <c r="K654" s="180"/>
      <c r="L654" s="180"/>
      <c r="M654" s="180"/>
      <c r="N654" s="180"/>
      <c r="O654" s="218"/>
      <c r="P654" s="180"/>
      <c r="Q654" s="188"/>
      <c r="R654" s="180"/>
      <c r="S654" s="180"/>
      <c r="T654" s="180"/>
      <c r="U654" s="180"/>
      <c r="V654" s="180"/>
      <c r="W654" s="180"/>
      <c r="X654" s="201"/>
      <c r="AJ654" s="149" t="str">
        <f>IF('Cable Info'!L514="","",CONCATENATE('Cable Info'!L514," - ",'Cable Info'!M514))</f>
        <v/>
      </c>
      <c r="AM654" s="149" t="str">
        <f t="shared" si="78"/>
        <v/>
      </c>
      <c r="AO654" s="149" t="str">
        <f>IF('Cable Info'!N514="","",CONCATENATE('Cable Info'!N514," - ",'Cable Info'!O514))</f>
        <v/>
      </c>
      <c r="AR654" s="149" t="str">
        <f t="shared" si="79"/>
        <v/>
      </c>
      <c r="AT654" s="149" t="str">
        <f>IF('Cable Info'!P514="","",CONCATENATE('Cable Info'!P514," - ",'Cable Info'!Q514))</f>
        <v/>
      </c>
      <c r="AW654" s="149" t="str">
        <f t="shared" si="80"/>
        <v/>
      </c>
      <c r="AY654" s="149" t="str">
        <f>IF('Cable Info'!R514="","",CONCATENATE('Cable Info'!R514," - ",'Cable Info'!S514))</f>
        <v/>
      </c>
      <c r="BB654" s="149" t="str">
        <f t="shared" si="81"/>
        <v/>
      </c>
      <c r="BD654" s="149" t="str">
        <f>IF('Cable Info'!T514="","",CONCATENATE('Cable Info'!T514," - ",'Cable Info'!U514))</f>
        <v/>
      </c>
      <c r="BG654" s="149" t="str">
        <f t="shared" si="82"/>
        <v/>
      </c>
      <c r="BI654" s="149" t="str">
        <f>IF('Cable Info'!V514="","",CONCATENATE('Cable Info'!V514," - ",'Cable Info'!W514))</f>
        <v/>
      </c>
      <c r="BL654" s="149" t="str">
        <f t="shared" si="83"/>
        <v/>
      </c>
    </row>
    <row r="655" spans="1:64" x14ac:dyDescent="0.2">
      <c r="A655" s="180"/>
      <c r="B655" s="180"/>
      <c r="C655" s="180"/>
      <c r="D655" s="180"/>
      <c r="E655" s="180"/>
      <c r="F655" s="187"/>
      <c r="G655" s="180"/>
      <c r="H655" s="180"/>
      <c r="I655" s="180"/>
      <c r="J655" s="187"/>
      <c r="K655" s="180"/>
      <c r="L655" s="180"/>
      <c r="M655" s="180"/>
      <c r="N655" s="180"/>
      <c r="O655" s="218"/>
      <c r="P655" s="180"/>
      <c r="Q655" s="188"/>
      <c r="R655" s="180"/>
      <c r="S655" s="180"/>
      <c r="T655" s="180"/>
      <c r="U655" s="180"/>
      <c r="V655" s="180"/>
      <c r="W655" s="180"/>
      <c r="X655" s="201"/>
      <c r="AJ655" s="149" t="str">
        <f>IF('Cable Info'!L515="","",CONCATENATE('Cable Info'!L515," - ",'Cable Info'!M515))</f>
        <v/>
      </c>
      <c r="AM655" s="149" t="str">
        <f t="shared" ref="AM655:AM718" si="84">IF(AK655="",AJ655,CONCATENATE(AJ655,"  &lt;=&gt; ",AK655," ",AL655))</f>
        <v/>
      </c>
      <c r="AO655" s="149" t="str">
        <f>IF('Cable Info'!N515="","",CONCATENATE('Cable Info'!N515," - ",'Cable Info'!O515))</f>
        <v/>
      </c>
      <c r="AR655" s="149" t="str">
        <f t="shared" ref="AR655:AR718" si="85">IF(AP655="",AO655,CONCATENATE(AO655,"  &lt;=&gt; ",AP655," ",AQ655))</f>
        <v/>
      </c>
      <c r="AT655" s="149" t="str">
        <f>IF('Cable Info'!P515="","",CONCATENATE('Cable Info'!P515," - ",'Cable Info'!Q515))</f>
        <v/>
      </c>
      <c r="AW655" s="149" t="str">
        <f t="shared" ref="AW655:AW718" si="86">IF(AU655="",AT655,CONCATENATE(AT655,"  &lt;=&gt; ",AU655," ",AV655))</f>
        <v/>
      </c>
      <c r="AY655" s="149" t="str">
        <f>IF('Cable Info'!R515="","",CONCATENATE('Cable Info'!R515," - ",'Cable Info'!S515))</f>
        <v/>
      </c>
      <c r="BB655" s="149" t="str">
        <f t="shared" ref="BB655:BB718" si="87">IF(AZ655="",AY655,CONCATENATE(AY655,"  &lt;=&gt; ",AZ655," ",BA655))</f>
        <v/>
      </c>
      <c r="BD655" s="149" t="str">
        <f>IF('Cable Info'!T515="","",CONCATENATE('Cable Info'!T515," - ",'Cable Info'!U515))</f>
        <v/>
      </c>
      <c r="BG655" s="149" t="str">
        <f t="shared" ref="BG655:BG718" si="88">IF(BE655="",BD655,CONCATENATE(BD655,"  &lt;=&gt; ",BE655," ",BF655))</f>
        <v/>
      </c>
      <c r="BI655" s="149" t="str">
        <f>IF('Cable Info'!V515="","",CONCATENATE('Cable Info'!V515," - ",'Cable Info'!W515))</f>
        <v/>
      </c>
      <c r="BL655" s="149" t="str">
        <f t="shared" ref="BL655:BL718" si="89">IF(BJ655="",BI655,CONCATENATE(BI655,"  &lt;=&gt; ",BJ655," ",BK655))</f>
        <v/>
      </c>
    </row>
    <row r="656" spans="1:64" x14ac:dyDescent="0.2">
      <c r="A656" s="180"/>
      <c r="B656" s="180"/>
      <c r="C656" s="180"/>
      <c r="D656" s="180"/>
      <c r="E656" s="180"/>
      <c r="F656" s="187"/>
      <c r="G656" s="180"/>
      <c r="H656" s="180"/>
      <c r="I656" s="180"/>
      <c r="J656" s="187"/>
      <c r="K656" s="180"/>
      <c r="L656" s="180"/>
      <c r="M656" s="180"/>
      <c r="N656" s="180"/>
      <c r="O656" s="218"/>
      <c r="P656" s="180"/>
      <c r="Q656" s="188"/>
      <c r="R656" s="180"/>
      <c r="S656" s="180"/>
      <c r="T656" s="180"/>
      <c r="U656" s="180"/>
      <c r="V656" s="180"/>
      <c r="W656" s="180"/>
      <c r="X656" s="201"/>
      <c r="AJ656" s="149" t="str">
        <f>IF('Cable Info'!L516="","",CONCATENATE('Cable Info'!L516," - ",'Cable Info'!M516))</f>
        <v/>
      </c>
      <c r="AM656" s="149" t="str">
        <f t="shared" si="84"/>
        <v/>
      </c>
      <c r="AO656" s="149" t="str">
        <f>IF('Cable Info'!N516="","",CONCATENATE('Cable Info'!N516," - ",'Cable Info'!O516))</f>
        <v/>
      </c>
      <c r="AR656" s="149" t="str">
        <f t="shared" si="85"/>
        <v/>
      </c>
      <c r="AT656" s="149" t="str">
        <f>IF('Cable Info'!P516="","",CONCATENATE('Cable Info'!P516," - ",'Cable Info'!Q516))</f>
        <v/>
      </c>
      <c r="AW656" s="149" t="str">
        <f t="shared" si="86"/>
        <v/>
      </c>
      <c r="AY656" s="149" t="str">
        <f>IF('Cable Info'!R516="","",CONCATENATE('Cable Info'!R516," - ",'Cable Info'!S516))</f>
        <v/>
      </c>
      <c r="BB656" s="149" t="str">
        <f t="shared" si="87"/>
        <v/>
      </c>
      <c r="BD656" s="149" t="str">
        <f>IF('Cable Info'!T516="","",CONCATENATE('Cable Info'!T516," - ",'Cable Info'!U516))</f>
        <v/>
      </c>
      <c r="BG656" s="149" t="str">
        <f t="shared" si="88"/>
        <v/>
      </c>
      <c r="BI656" s="149" t="str">
        <f>IF('Cable Info'!V516="","",CONCATENATE('Cable Info'!V516," - ",'Cable Info'!W516))</f>
        <v/>
      </c>
      <c r="BL656" s="149" t="str">
        <f t="shared" si="89"/>
        <v/>
      </c>
    </row>
    <row r="657" spans="1:64" x14ac:dyDescent="0.2">
      <c r="A657" s="180"/>
      <c r="B657" s="180"/>
      <c r="C657" s="180"/>
      <c r="D657" s="180"/>
      <c r="E657" s="180"/>
      <c r="F657" s="187"/>
      <c r="G657" s="180"/>
      <c r="H657" s="180"/>
      <c r="I657" s="180"/>
      <c r="J657" s="187"/>
      <c r="K657" s="180"/>
      <c r="L657" s="180"/>
      <c r="M657" s="180"/>
      <c r="N657" s="180"/>
      <c r="O657" s="218"/>
      <c r="P657" s="180"/>
      <c r="Q657" s="188"/>
      <c r="R657" s="180"/>
      <c r="S657" s="180"/>
      <c r="T657" s="180"/>
      <c r="U657" s="180"/>
      <c r="V657" s="180"/>
      <c r="W657" s="180"/>
      <c r="X657" s="201"/>
      <c r="AJ657" s="149" t="str">
        <f>IF('Cable Info'!L517="","",CONCATENATE('Cable Info'!L517," - ",'Cable Info'!M517))</f>
        <v/>
      </c>
      <c r="AM657" s="149" t="str">
        <f t="shared" si="84"/>
        <v/>
      </c>
      <c r="AO657" s="149" t="str">
        <f>IF('Cable Info'!N517="","",CONCATENATE('Cable Info'!N517," - ",'Cable Info'!O517))</f>
        <v/>
      </c>
      <c r="AR657" s="149" t="str">
        <f t="shared" si="85"/>
        <v/>
      </c>
      <c r="AT657" s="149" t="str">
        <f>IF('Cable Info'!P517="","",CONCATENATE('Cable Info'!P517," - ",'Cable Info'!Q517))</f>
        <v/>
      </c>
      <c r="AW657" s="149" t="str">
        <f t="shared" si="86"/>
        <v/>
      </c>
      <c r="AY657" s="149" t="str">
        <f>IF('Cable Info'!R517="","",CONCATENATE('Cable Info'!R517," - ",'Cable Info'!S517))</f>
        <v/>
      </c>
      <c r="BB657" s="149" t="str">
        <f t="shared" si="87"/>
        <v/>
      </c>
      <c r="BD657" s="149" t="str">
        <f>IF('Cable Info'!T517="","",CONCATENATE('Cable Info'!T517," - ",'Cable Info'!U517))</f>
        <v/>
      </c>
      <c r="BG657" s="149" t="str">
        <f t="shared" si="88"/>
        <v/>
      </c>
      <c r="BI657" s="149" t="str">
        <f>IF('Cable Info'!V517="","",CONCATENATE('Cable Info'!V517," - ",'Cable Info'!W517))</f>
        <v/>
      </c>
      <c r="BL657" s="149" t="str">
        <f t="shared" si="89"/>
        <v/>
      </c>
    </row>
    <row r="658" spans="1:64" x14ac:dyDescent="0.2">
      <c r="A658" s="180"/>
      <c r="B658" s="180"/>
      <c r="C658" s="180"/>
      <c r="D658" s="180"/>
      <c r="E658" s="180"/>
      <c r="F658" s="187"/>
      <c r="G658" s="180"/>
      <c r="H658" s="180"/>
      <c r="I658" s="180"/>
      <c r="J658" s="187"/>
      <c r="K658" s="180"/>
      <c r="L658" s="180"/>
      <c r="M658" s="180"/>
      <c r="N658" s="180"/>
      <c r="O658" s="218"/>
      <c r="P658" s="180"/>
      <c r="Q658" s="188"/>
      <c r="R658" s="180"/>
      <c r="S658" s="180"/>
      <c r="T658" s="180"/>
      <c r="U658" s="180"/>
      <c r="V658" s="180"/>
      <c r="W658" s="180"/>
      <c r="X658" s="201"/>
      <c r="AJ658" s="149" t="str">
        <f>IF('Cable Info'!L518="","",CONCATENATE('Cable Info'!L518," - ",'Cable Info'!M518))</f>
        <v/>
      </c>
      <c r="AM658" s="149" t="str">
        <f t="shared" si="84"/>
        <v/>
      </c>
      <c r="AO658" s="149" t="str">
        <f>IF('Cable Info'!N518="","",CONCATENATE('Cable Info'!N518," - ",'Cable Info'!O518))</f>
        <v/>
      </c>
      <c r="AR658" s="149" t="str">
        <f t="shared" si="85"/>
        <v/>
      </c>
      <c r="AT658" s="149" t="str">
        <f>IF('Cable Info'!P518="","",CONCATENATE('Cable Info'!P518," - ",'Cable Info'!Q518))</f>
        <v/>
      </c>
      <c r="AW658" s="149" t="str">
        <f t="shared" si="86"/>
        <v/>
      </c>
      <c r="AY658" s="149" t="str">
        <f>IF('Cable Info'!R518="","",CONCATENATE('Cable Info'!R518," - ",'Cable Info'!S518))</f>
        <v/>
      </c>
      <c r="BB658" s="149" t="str">
        <f t="shared" si="87"/>
        <v/>
      </c>
      <c r="BD658" s="149" t="str">
        <f>IF('Cable Info'!T518="","",CONCATENATE('Cable Info'!T518," - ",'Cable Info'!U518))</f>
        <v/>
      </c>
      <c r="BG658" s="149" t="str">
        <f t="shared" si="88"/>
        <v/>
      </c>
      <c r="BI658" s="149" t="str">
        <f>IF('Cable Info'!V518="","",CONCATENATE('Cable Info'!V518," - ",'Cable Info'!W518))</f>
        <v/>
      </c>
      <c r="BL658" s="149" t="str">
        <f t="shared" si="89"/>
        <v/>
      </c>
    </row>
    <row r="659" spans="1:64" x14ac:dyDescent="0.2">
      <c r="A659" s="180"/>
      <c r="B659" s="180"/>
      <c r="C659" s="180"/>
      <c r="D659" s="180"/>
      <c r="E659" s="180"/>
      <c r="F659" s="187"/>
      <c r="G659" s="180"/>
      <c r="H659" s="180"/>
      <c r="I659" s="180"/>
      <c r="J659" s="187"/>
      <c r="K659" s="180"/>
      <c r="L659" s="180"/>
      <c r="M659" s="180"/>
      <c r="N659" s="180"/>
      <c r="O659" s="218"/>
      <c r="P659" s="180"/>
      <c r="Q659" s="188"/>
      <c r="R659" s="180"/>
      <c r="S659" s="180"/>
      <c r="T659" s="180"/>
      <c r="U659" s="180"/>
      <c r="V659" s="180"/>
      <c r="W659" s="180"/>
      <c r="X659" s="201"/>
      <c r="AJ659" s="149" t="str">
        <f>IF('Cable Info'!L519="","",CONCATENATE('Cable Info'!L519," - ",'Cable Info'!M519))</f>
        <v/>
      </c>
      <c r="AM659" s="149" t="str">
        <f t="shared" si="84"/>
        <v/>
      </c>
      <c r="AO659" s="149" t="str">
        <f>IF('Cable Info'!N519="","",CONCATENATE('Cable Info'!N519," - ",'Cable Info'!O519))</f>
        <v/>
      </c>
      <c r="AR659" s="149" t="str">
        <f t="shared" si="85"/>
        <v/>
      </c>
      <c r="AT659" s="149" t="str">
        <f>IF('Cable Info'!P519="","",CONCATENATE('Cable Info'!P519," - ",'Cable Info'!Q519))</f>
        <v/>
      </c>
      <c r="AW659" s="149" t="str">
        <f t="shared" si="86"/>
        <v/>
      </c>
      <c r="AY659" s="149" t="str">
        <f>IF('Cable Info'!R519="","",CONCATENATE('Cable Info'!R519," - ",'Cable Info'!S519))</f>
        <v/>
      </c>
      <c r="BB659" s="149" t="str">
        <f t="shared" si="87"/>
        <v/>
      </c>
      <c r="BD659" s="149" t="str">
        <f>IF('Cable Info'!T519="","",CONCATENATE('Cable Info'!T519," - ",'Cable Info'!U519))</f>
        <v/>
      </c>
      <c r="BG659" s="149" t="str">
        <f t="shared" si="88"/>
        <v/>
      </c>
      <c r="BI659" s="149" t="str">
        <f>IF('Cable Info'!V519="","",CONCATENATE('Cable Info'!V519," - ",'Cable Info'!W519))</f>
        <v/>
      </c>
      <c r="BL659" s="149" t="str">
        <f t="shared" si="89"/>
        <v/>
      </c>
    </row>
    <row r="660" spans="1:64" x14ac:dyDescent="0.2">
      <c r="A660" s="180"/>
      <c r="B660" s="180"/>
      <c r="C660" s="180"/>
      <c r="D660" s="180"/>
      <c r="E660" s="180"/>
      <c r="F660" s="187"/>
      <c r="G660" s="180"/>
      <c r="H660" s="180"/>
      <c r="I660" s="180"/>
      <c r="J660" s="187"/>
      <c r="K660" s="180"/>
      <c r="L660" s="180"/>
      <c r="M660" s="180"/>
      <c r="N660" s="180"/>
      <c r="O660" s="218"/>
      <c r="P660" s="180"/>
      <c r="Q660" s="188"/>
      <c r="R660" s="180"/>
      <c r="S660" s="180"/>
      <c r="T660" s="180"/>
      <c r="U660" s="180"/>
      <c r="V660" s="180"/>
      <c r="W660" s="180"/>
      <c r="X660" s="201"/>
      <c r="AJ660" s="149" t="str">
        <f>IF('Cable Info'!L520="","",CONCATENATE('Cable Info'!L520," - ",'Cable Info'!M520))</f>
        <v/>
      </c>
      <c r="AM660" s="149" t="str">
        <f t="shared" si="84"/>
        <v/>
      </c>
      <c r="AO660" s="149" t="str">
        <f>IF('Cable Info'!N520="","",CONCATENATE('Cable Info'!N520," - ",'Cable Info'!O520))</f>
        <v/>
      </c>
      <c r="AR660" s="149" t="str">
        <f t="shared" si="85"/>
        <v/>
      </c>
      <c r="AT660" s="149" t="str">
        <f>IF('Cable Info'!P520="","",CONCATENATE('Cable Info'!P520," - ",'Cable Info'!Q520))</f>
        <v/>
      </c>
      <c r="AW660" s="149" t="str">
        <f t="shared" si="86"/>
        <v/>
      </c>
      <c r="AY660" s="149" t="str">
        <f>IF('Cable Info'!R520="","",CONCATENATE('Cable Info'!R520," - ",'Cable Info'!S520))</f>
        <v/>
      </c>
      <c r="BB660" s="149" t="str">
        <f t="shared" si="87"/>
        <v/>
      </c>
      <c r="BD660" s="149" t="str">
        <f>IF('Cable Info'!T520="","",CONCATENATE('Cable Info'!T520," - ",'Cable Info'!U520))</f>
        <v/>
      </c>
      <c r="BG660" s="149" t="str">
        <f t="shared" si="88"/>
        <v/>
      </c>
      <c r="BI660" s="149" t="str">
        <f>IF('Cable Info'!V520="","",CONCATENATE('Cable Info'!V520," - ",'Cable Info'!W520))</f>
        <v/>
      </c>
      <c r="BL660" s="149" t="str">
        <f t="shared" si="89"/>
        <v/>
      </c>
    </row>
    <row r="661" spans="1:64" x14ac:dyDescent="0.2">
      <c r="A661" s="180"/>
      <c r="B661" s="180"/>
      <c r="C661" s="180"/>
      <c r="D661" s="180"/>
      <c r="E661" s="180"/>
      <c r="F661" s="187"/>
      <c r="G661" s="180"/>
      <c r="H661" s="180"/>
      <c r="I661" s="180"/>
      <c r="J661" s="187"/>
      <c r="K661" s="180"/>
      <c r="L661" s="180"/>
      <c r="M661" s="180"/>
      <c r="N661" s="180"/>
      <c r="O661" s="218"/>
      <c r="P661" s="180"/>
      <c r="Q661" s="188"/>
      <c r="R661" s="180"/>
      <c r="S661" s="180"/>
      <c r="T661" s="180"/>
      <c r="U661" s="180"/>
      <c r="V661" s="180"/>
      <c r="W661" s="180"/>
      <c r="X661" s="201"/>
      <c r="AJ661" s="149" t="str">
        <f>IF('Cable Info'!L521="","",CONCATENATE('Cable Info'!L521," - ",'Cable Info'!M521))</f>
        <v/>
      </c>
      <c r="AM661" s="149" t="str">
        <f t="shared" si="84"/>
        <v/>
      </c>
      <c r="AO661" s="149" t="str">
        <f>IF('Cable Info'!N521="","",CONCATENATE('Cable Info'!N521," - ",'Cable Info'!O521))</f>
        <v/>
      </c>
      <c r="AR661" s="149" t="str">
        <f t="shared" si="85"/>
        <v/>
      </c>
      <c r="AT661" s="149" t="str">
        <f>IF('Cable Info'!P521="","",CONCATENATE('Cable Info'!P521," - ",'Cable Info'!Q521))</f>
        <v/>
      </c>
      <c r="AW661" s="149" t="str">
        <f t="shared" si="86"/>
        <v/>
      </c>
      <c r="AY661" s="149" t="str">
        <f>IF('Cable Info'!R521="","",CONCATENATE('Cable Info'!R521," - ",'Cable Info'!S521))</f>
        <v/>
      </c>
      <c r="BB661" s="149" t="str">
        <f t="shared" si="87"/>
        <v/>
      </c>
      <c r="BD661" s="149" t="str">
        <f>IF('Cable Info'!T521="","",CONCATENATE('Cable Info'!T521," - ",'Cable Info'!U521))</f>
        <v/>
      </c>
      <c r="BG661" s="149" t="str">
        <f t="shared" si="88"/>
        <v/>
      </c>
      <c r="BI661" s="149" t="str">
        <f>IF('Cable Info'!V521="","",CONCATENATE('Cable Info'!V521," - ",'Cable Info'!W521))</f>
        <v/>
      </c>
      <c r="BL661" s="149" t="str">
        <f t="shared" si="89"/>
        <v/>
      </c>
    </row>
    <row r="662" spans="1:64" x14ac:dyDescent="0.2">
      <c r="A662" s="180"/>
      <c r="B662" s="180"/>
      <c r="C662" s="180"/>
      <c r="D662" s="180"/>
      <c r="E662" s="180"/>
      <c r="F662" s="187"/>
      <c r="G662" s="180"/>
      <c r="H662" s="180"/>
      <c r="I662" s="180"/>
      <c r="J662" s="187"/>
      <c r="K662" s="180"/>
      <c r="L662" s="180"/>
      <c r="M662" s="180"/>
      <c r="N662" s="180"/>
      <c r="O662" s="218"/>
      <c r="P662" s="180"/>
      <c r="Q662" s="188"/>
      <c r="R662" s="180"/>
      <c r="S662" s="180"/>
      <c r="T662" s="180"/>
      <c r="U662" s="180"/>
      <c r="V662" s="180"/>
      <c r="W662" s="180"/>
      <c r="X662" s="201"/>
      <c r="AJ662" s="149" t="str">
        <f>IF('Cable Info'!L522="","",CONCATENATE('Cable Info'!L522," - ",'Cable Info'!M522))</f>
        <v/>
      </c>
      <c r="AM662" s="149" t="str">
        <f t="shared" si="84"/>
        <v/>
      </c>
      <c r="AO662" s="149" t="str">
        <f>IF('Cable Info'!N522="","",CONCATENATE('Cable Info'!N522," - ",'Cable Info'!O522))</f>
        <v/>
      </c>
      <c r="AR662" s="149" t="str">
        <f t="shared" si="85"/>
        <v/>
      </c>
      <c r="AT662" s="149" t="str">
        <f>IF('Cable Info'!P522="","",CONCATENATE('Cable Info'!P522," - ",'Cable Info'!Q522))</f>
        <v/>
      </c>
      <c r="AW662" s="149" t="str">
        <f t="shared" si="86"/>
        <v/>
      </c>
      <c r="AY662" s="149" t="str">
        <f>IF('Cable Info'!R522="","",CONCATENATE('Cable Info'!R522," - ",'Cable Info'!S522))</f>
        <v/>
      </c>
      <c r="BB662" s="149" t="str">
        <f t="shared" si="87"/>
        <v/>
      </c>
      <c r="BD662" s="149" t="str">
        <f>IF('Cable Info'!T522="","",CONCATENATE('Cable Info'!T522," - ",'Cable Info'!U522))</f>
        <v/>
      </c>
      <c r="BG662" s="149" t="str">
        <f t="shared" si="88"/>
        <v/>
      </c>
      <c r="BI662" s="149" t="str">
        <f>IF('Cable Info'!V522="","",CONCATENATE('Cable Info'!V522," - ",'Cable Info'!W522))</f>
        <v/>
      </c>
      <c r="BL662" s="149" t="str">
        <f t="shared" si="89"/>
        <v/>
      </c>
    </row>
    <row r="663" spans="1:64" x14ac:dyDescent="0.2">
      <c r="A663" s="180"/>
      <c r="B663" s="180"/>
      <c r="C663" s="180"/>
      <c r="D663" s="180"/>
      <c r="E663" s="180"/>
      <c r="F663" s="187"/>
      <c r="G663" s="180"/>
      <c r="H663" s="180"/>
      <c r="I663" s="180"/>
      <c r="J663" s="187"/>
      <c r="K663" s="180"/>
      <c r="L663" s="180"/>
      <c r="M663" s="180"/>
      <c r="N663" s="180"/>
      <c r="O663" s="218"/>
      <c r="P663" s="180"/>
      <c r="Q663" s="188"/>
      <c r="R663" s="180"/>
      <c r="S663" s="180"/>
      <c r="T663" s="180"/>
      <c r="U663" s="180"/>
      <c r="V663" s="180"/>
      <c r="W663" s="180"/>
      <c r="X663" s="201"/>
      <c r="AJ663" s="149" t="str">
        <f>IF('Cable Info'!L523="","",CONCATENATE('Cable Info'!L523," - ",'Cable Info'!M523))</f>
        <v/>
      </c>
      <c r="AM663" s="149" t="str">
        <f t="shared" si="84"/>
        <v/>
      </c>
      <c r="AO663" s="149" t="str">
        <f>IF('Cable Info'!N523="","",CONCATENATE('Cable Info'!N523," - ",'Cable Info'!O523))</f>
        <v/>
      </c>
      <c r="AR663" s="149" t="str">
        <f t="shared" si="85"/>
        <v/>
      </c>
      <c r="AT663" s="149" t="str">
        <f>IF('Cable Info'!P523="","",CONCATENATE('Cable Info'!P523," - ",'Cable Info'!Q523))</f>
        <v/>
      </c>
      <c r="AW663" s="149" t="str">
        <f t="shared" si="86"/>
        <v/>
      </c>
      <c r="AY663" s="149" t="str">
        <f>IF('Cable Info'!R523="","",CONCATENATE('Cable Info'!R523," - ",'Cable Info'!S523))</f>
        <v/>
      </c>
      <c r="BB663" s="149" t="str">
        <f t="shared" si="87"/>
        <v/>
      </c>
      <c r="BD663" s="149" t="str">
        <f>IF('Cable Info'!T523="","",CONCATENATE('Cable Info'!T523," - ",'Cable Info'!U523))</f>
        <v/>
      </c>
      <c r="BG663" s="149" t="str">
        <f t="shared" si="88"/>
        <v/>
      </c>
      <c r="BI663" s="149" t="str">
        <f>IF('Cable Info'!V523="","",CONCATENATE('Cable Info'!V523," - ",'Cable Info'!W523))</f>
        <v/>
      </c>
      <c r="BL663" s="149" t="str">
        <f t="shared" si="89"/>
        <v/>
      </c>
    </row>
    <row r="664" spans="1:64" x14ac:dyDescent="0.2">
      <c r="A664" s="180"/>
      <c r="B664" s="180"/>
      <c r="C664" s="180"/>
      <c r="D664" s="180"/>
      <c r="E664" s="180"/>
      <c r="F664" s="187"/>
      <c r="G664" s="180"/>
      <c r="H664" s="180"/>
      <c r="I664" s="180"/>
      <c r="J664" s="187"/>
      <c r="K664" s="180"/>
      <c r="L664" s="180"/>
      <c r="M664" s="180"/>
      <c r="N664" s="180"/>
      <c r="O664" s="218"/>
      <c r="P664" s="180"/>
      <c r="Q664" s="188"/>
      <c r="R664" s="180"/>
      <c r="S664" s="180"/>
      <c r="T664" s="180"/>
      <c r="U664" s="180"/>
      <c r="V664" s="180"/>
      <c r="W664" s="180"/>
      <c r="X664" s="201"/>
      <c r="AJ664" s="149" t="str">
        <f>IF('Cable Info'!L524="","",CONCATENATE('Cable Info'!L524," - ",'Cable Info'!M524))</f>
        <v/>
      </c>
      <c r="AM664" s="149" t="str">
        <f t="shared" si="84"/>
        <v/>
      </c>
      <c r="AO664" s="149" t="str">
        <f>IF('Cable Info'!N524="","",CONCATENATE('Cable Info'!N524," - ",'Cable Info'!O524))</f>
        <v/>
      </c>
      <c r="AR664" s="149" t="str">
        <f t="shared" si="85"/>
        <v/>
      </c>
      <c r="AT664" s="149" t="str">
        <f>IF('Cable Info'!P524="","",CONCATENATE('Cable Info'!P524," - ",'Cable Info'!Q524))</f>
        <v/>
      </c>
      <c r="AW664" s="149" t="str">
        <f t="shared" si="86"/>
        <v/>
      </c>
      <c r="AY664" s="149" t="str">
        <f>IF('Cable Info'!R524="","",CONCATENATE('Cable Info'!R524," - ",'Cable Info'!S524))</f>
        <v/>
      </c>
      <c r="BB664" s="149" t="str">
        <f t="shared" si="87"/>
        <v/>
      </c>
      <c r="BD664" s="149" t="str">
        <f>IF('Cable Info'!T524="","",CONCATENATE('Cable Info'!T524," - ",'Cable Info'!U524))</f>
        <v/>
      </c>
      <c r="BG664" s="149" t="str">
        <f t="shared" si="88"/>
        <v/>
      </c>
      <c r="BI664" s="149" t="str">
        <f>IF('Cable Info'!V524="","",CONCATENATE('Cable Info'!V524," - ",'Cable Info'!W524))</f>
        <v/>
      </c>
      <c r="BL664" s="149" t="str">
        <f t="shared" si="89"/>
        <v/>
      </c>
    </row>
    <row r="665" spans="1:64" x14ac:dyDescent="0.2">
      <c r="A665" s="180"/>
      <c r="B665" s="180"/>
      <c r="C665" s="180"/>
      <c r="D665" s="180"/>
      <c r="E665" s="180"/>
      <c r="F665" s="187"/>
      <c r="G665" s="180"/>
      <c r="H665" s="180"/>
      <c r="I665" s="180"/>
      <c r="J665" s="187"/>
      <c r="K665" s="180"/>
      <c r="L665" s="180"/>
      <c r="M665" s="180"/>
      <c r="N665" s="180"/>
      <c r="O665" s="218"/>
      <c r="P665" s="180"/>
      <c r="Q665" s="188"/>
      <c r="R665" s="180"/>
      <c r="S665" s="180"/>
      <c r="T665" s="180"/>
      <c r="U665" s="180"/>
      <c r="V665" s="180"/>
      <c r="W665" s="180"/>
      <c r="X665" s="201"/>
      <c r="AJ665" s="149" t="str">
        <f>IF('Cable Info'!L525="","",CONCATENATE('Cable Info'!L525," - ",'Cable Info'!M525))</f>
        <v/>
      </c>
      <c r="AM665" s="149" t="str">
        <f t="shared" si="84"/>
        <v/>
      </c>
      <c r="AO665" s="149" t="str">
        <f>IF('Cable Info'!N525="","",CONCATENATE('Cable Info'!N525," - ",'Cable Info'!O525))</f>
        <v/>
      </c>
      <c r="AR665" s="149" t="str">
        <f t="shared" si="85"/>
        <v/>
      </c>
      <c r="AT665" s="149" t="str">
        <f>IF('Cable Info'!P525="","",CONCATENATE('Cable Info'!P525," - ",'Cable Info'!Q525))</f>
        <v/>
      </c>
      <c r="AW665" s="149" t="str">
        <f t="shared" si="86"/>
        <v/>
      </c>
      <c r="AY665" s="149" t="str">
        <f>IF('Cable Info'!R525="","",CONCATENATE('Cable Info'!R525," - ",'Cable Info'!S525))</f>
        <v/>
      </c>
      <c r="BB665" s="149" t="str">
        <f t="shared" si="87"/>
        <v/>
      </c>
      <c r="BD665" s="149" t="str">
        <f>IF('Cable Info'!T525="","",CONCATENATE('Cable Info'!T525," - ",'Cable Info'!U525))</f>
        <v/>
      </c>
      <c r="BG665" s="149" t="str">
        <f t="shared" si="88"/>
        <v/>
      </c>
      <c r="BI665" s="149" t="str">
        <f>IF('Cable Info'!V525="","",CONCATENATE('Cable Info'!V525," - ",'Cable Info'!W525))</f>
        <v/>
      </c>
      <c r="BL665" s="149" t="str">
        <f t="shared" si="89"/>
        <v/>
      </c>
    </row>
    <row r="666" spans="1:64" x14ac:dyDescent="0.2">
      <c r="A666" s="180"/>
      <c r="B666" s="180"/>
      <c r="C666" s="180"/>
      <c r="D666" s="180"/>
      <c r="E666" s="180"/>
      <c r="F666" s="187"/>
      <c r="G666" s="180"/>
      <c r="H666" s="180"/>
      <c r="I666" s="180"/>
      <c r="J666" s="187"/>
      <c r="K666" s="180"/>
      <c r="L666" s="180"/>
      <c r="M666" s="180"/>
      <c r="N666" s="180"/>
      <c r="O666" s="218"/>
      <c r="P666" s="180"/>
      <c r="Q666" s="188"/>
      <c r="R666" s="180"/>
      <c r="S666" s="180"/>
      <c r="T666" s="180"/>
      <c r="U666" s="180"/>
      <c r="V666" s="180"/>
      <c r="W666" s="180"/>
      <c r="X666" s="201"/>
      <c r="AJ666" s="149" t="str">
        <f>IF('Cable Info'!L526="","",CONCATENATE('Cable Info'!L526," - ",'Cable Info'!M526))</f>
        <v/>
      </c>
      <c r="AM666" s="149" t="str">
        <f t="shared" si="84"/>
        <v/>
      </c>
      <c r="AO666" s="149" t="str">
        <f>IF('Cable Info'!N526="","",CONCATENATE('Cable Info'!N526," - ",'Cable Info'!O526))</f>
        <v/>
      </c>
      <c r="AR666" s="149" t="str">
        <f t="shared" si="85"/>
        <v/>
      </c>
      <c r="AT666" s="149" t="str">
        <f>IF('Cable Info'!P526="","",CONCATENATE('Cable Info'!P526," - ",'Cable Info'!Q526))</f>
        <v/>
      </c>
      <c r="AW666" s="149" t="str">
        <f t="shared" si="86"/>
        <v/>
      </c>
      <c r="AY666" s="149" t="str">
        <f>IF('Cable Info'!R526="","",CONCATENATE('Cable Info'!R526," - ",'Cable Info'!S526))</f>
        <v/>
      </c>
      <c r="BB666" s="149" t="str">
        <f t="shared" si="87"/>
        <v/>
      </c>
      <c r="BD666" s="149" t="str">
        <f>IF('Cable Info'!T526="","",CONCATENATE('Cable Info'!T526," - ",'Cable Info'!U526))</f>
        <v/>
      </c>
      <c r="BG666" s="149" t="str">
        <f t="shared" si="88"/>
        <v/>
      </c>
      <c r="BI666" s="149" t="str">
        <f>IF('Cable Info'!V526="","",CONCATENATE('Cable Info'!V526," - ",'Cable Info'!W526))</f>
        <v/>
      </c>
      <c r="BL666" s="149" t="str">
        <f t="shared" si="89"/>
        <v/>
      </c>
    </row>
    <row r="667" spans="1:64" x14ac:dyDescent="0.2">
      <c r="A667" s="180"/>
      <c r="B667" s="180"/>
      <c r="C667" s="180"/>
      <c r="D667" s="180"/>
      <c r="E667" s="180"/>
      <c r="F667" s="187"/>
      <c r="G667" s="180"/>
      <c r="H667" s="180"/>
      <c r="I667" s="180"/>
      <c r="J667" s="187"/>
      <c r="K667" s="180"/>
      <c r="L667" s="180"/>
      <c r="M667" s="180"/>
      <c r="N667" s="180"/>
      <c r="O667" s="218"/>
      <c r="P667" s="180"/>
      <c r="Q667" s="188"/>
      <c r="R667" s="180"/>
      <c r="S667" s="180"/>
      <c r="T667" s="180"/>
      <c r="U667" s="180"/>
      <c r="V667" s="180"/>
      <c r="W667" s="180"/>
      <c r="X667" s="201"/>
      <c r="AJ667" s="149" t="str">
        <f>IF('Cable Info'!L527="","",CONCATENATE('Cable Info'!L527," - ",'Cable Info'!M527))</f>
        <v/>
      </c>
      <c r="AM667" s="149" t="str">
        <f t="shared" si="84"/>
        <v/>
      </c>
      <c r="AO667" s="149" t="str">
        <f>IF('Cable Info'!N527="","",CONCATENATE('Cable Info'!N527," - ",'Cable Info'!O527))</f>
        <v/>
      </c>
      <c r="AR667" s="149" t="str">
        <f t="shared" si="85"/>
        <v/>
      </c>
      <c r="AT667" s="149" t="str">
        <f>IF('Cable Info'!P527="","",CONCATENATE('Cable Info'!P527," - ",'Cable Info'!Q527))</f>
        <v/>
      </c>
      <c r="AW667" s="149" t="str">
        <f t="shared" si="86"/>
        <v/>
      </c>
      <c r="AY667" s="149" t="str">
        <f>IF('Cable Info'!R527="","",CONCATENATE('Cable Info'!R527," - ",'Cable Info'!S527))</f>
        <v/>
      </c>
      <c r="BB667" s="149" t="str">
        <f t="shared" si="87"/>
        <v/>
      </c>
      <c r="BD667" s="149" t="str">
        <f>IF('Cable Info'!T527="","",CONCATENATE('Cable Info'!T527," - ",'Cable Info'!U527))</f>
        <v/>
      </c>
      <c r="BG667" s="149" t="str">
        <f t="shared" si="88"/>
        <v/>
      </c>
      <c r="BI667" s="149" t="str">
        <f>IF('Cable Info'!V527="","",CONCATENATE('Cable Info'!V527," - ",'Cable Info'!W527))</f>
        <v/>
      </c>
      <c r="BL667" s="149" t="str">
        <f t="shared" si="89"/>
        <v/>
      </c>
    </row>
    <row r="668" spans="1:64" x14ac:dyDescent="0.2">
      <c r="A668" s="180"/>
      <c r="B668" s="180"/>
      <c r="C668" s="180"/>
      <c r="D668" s="180"/>
      <c r="E668" s="180"/>
      <c r="F668" s="187"/>
      <c r="G668" s="180"/>
      <c r="H668" s="180"/>
      <c r="I668" s="180"/>
      <c r="J668" s="187"/>
      <c r="K668" s="180"/>
      <c r="L668" s="180"/>
      <c r="M668" s="180"/>
      <c r="N668" s="180"/>
      <c r="O668" s="218"/>
      <c r="P668" s="180"/>
      <c r="Q668" s="188"/>
      <c r="R668" s="180"/>
      <c r="S668" s="180"/>
      <c r="T668" s="180"/>
      <c r="U668" s="180"/>
      <c r="V668" s="180"/>
      <c r="W668" s="180"/>
      <c r="X668" s="201"/>
      <c r="AJ668" s="149" t="str">
        <f>IF('Cable Info'!L528="","",CONCATENATE('Cable Info'!L528," - ",'Cable Info'!M528))</f>
        <v/>
      </c>
      <c r="AM668" s="149" t="str">
        <f t="shared" si="84"/>
        <v/>
      </c>
      <c r="AO668" s="149" t="str">
        <f>IF('Cable Info'!N528="","",CONCATENATE('Cable Info'!N528," - ",'Cable Info'!O528))</f>
        <v/>
      </c>
      <c r="AR668" s="149" t="str">
        <f t="shared" si="85"/>
        <v/>
      </c>
      <c r="AT668" s="149" t="str">
        <f>IF('Cable Info'!P528="","",CONCATENATE('Cable Info'!P528," - ",'Cable Info'!Q528))</f>
        <v/>
      </c>
      <c r="AW668" s="149" t="str">
        <f t="shared" si="86"/>
        <v/>
      </c>
      <c r="AY668" s="149" t="str">
        <f>IF('Cable Info'!R528="","",CONCATENATE('Cable Info'!R528," - ",'Cable Info'!S528))</f>
        <v/>
      </c>
      <c r="BB668" s="149" t="str">
        <f t="shared" si="87"/>
        <v/>
      </c>
      <c r="BD668" s="149" t="str">
        <f>IF('Cable Info'!T528="","",CONCATENATE('Cable Info'!T528," - ",'Cable Info'!U528))</f>
        <v/>
      </c>
      <c r="BG668" s="149" t="str">
        <f t="shared" si="88"/>
        <v/>
      </c>
      <c r="BI668" s="149" t="str">
        <f>IF('Cable Info'!V528="","",CONCATENATE('Cable Info'!V528," - ",'Cable Info'!W528))</f>
        <v/>
      </c>
      <c r="BL668" s="149" t="str">
        <f t="shared" si="89"/>
        <v/>
      </c>
    </row>
    <row r="669" spans="1:64" x14ac:dyDescent="0.2">
      <c r="A669" s="180"/>
      <c r="B669" s="180"/>
      <c r="C669" s="180"/>
      <c r="D669" s="180"/>
      <c r="E669" s="180"/>
      <c r="F669" s="187"/>
      <c r="G669" s="180"/>
      <c r="H669" s="180"/>
      <c r="I669" s="180"/>
      <c r="J669" s="187"/>
      <c r="K669" s="180"/>
      <c r="L669" s="180"/>
      <c r="M669" s="180"/>
      <c r="N669" s="180"/>
      <c r="O669" s="218"/>
      <c r="P669" s="180"/>
      <c r="Q669" s="188"/>
      <c r="R669" s="180"/>
      <c r="S669" s="180"/>
      <c r="T669" s="180"/>
      <c r="U669" s="180"/>
      <c r="V669" s="180"/>
      <c r="W669" s="180"/>
      <c r="X669" s="201"/>
      <c r="AJ669" s="149" t="str">
        <f>IF('Cable Info'!L529="","",CONCATENATE('Cable Info'!L529," - ",'Cable Info'!M529))</f>
        <v/>
      </c>
      <c r="AM669" s="149" t="str">
        <f t="shared" si="84"/>
        <v/>
      </c>
      <c r="AO669" s="149" t="str">
        <f>IF('Cable Info'!N529="","",CONCATENATE('Cable Info'!N529," - ",'Cable Info'!O529))</f>
        <v/>
      </c>
      <c r="AR669" s="149" t="str">
        <f t="shared" si="85"/>
        <v/>
      </c>
      <c r="AT669" s="149" t="str">
        <f>IF('Cable Info'!P529="","",CONCATENATE('Cable Info'!P529," - ",'Cable Info'!Q529))</f>
        <v/>
      </c>
      <c r="AW669" s="149" t="str">
        <f t="shared" si="86"/>
        <v/>
      </c>
      <c r="AY669" s="149" t="str">
        <f>IF('Cable Info'!R529="","",CONCATENATE('Cable Info'!R529," - ",'Cable Info'!S529))</f>
        <v/>
      </c>
      <c r="BB669" s="149" t="str">
        <f t="shared" si="87"/>
        <v/>
      </c>
      <c r="BD669" s="149" t="str">
        <f>IF('Cable Info'!T529="","",CONCATENATE('Cable Info'!T529," - ",'Cable Info'!U529))</f>
        <v/>
      </c>
      <c r="BG669" s="149" t="str">
        <f t="shared" si="88"/>
        <v/>
      </c>
      <c r="BI669" s="149" t="str">
        <f>IF('Cable Info'!V529="","",CONCATENATE('Cable Info'!V529," - ",'Cable Info'!W529))</f>
        <v/>
      </c>
      <c r="BL669" s="149" t="str">
        <f t="shared" si="89"/>
        <v/>
      </c>
    </row>
    <row r="670" spans="1:64" x14ac:dyDescent="0.2">
      <c r="A670" s="180"/>
      <c r="B670" s="180"/>
      <c r="C670" s="180"/>
      <c r="D670" s="180"/>
      <c r="E670" s="180"/>
      <c r="F670" s="187"/>
      <c r="G670" s="180"/>
      <c r="H670" s="180"/>
      <c r="I670" s="180"/>
      <c r="J670" s="187"/>
      <c r="K670" s="180"/>
      <c r="L670" s="180"/>
      <c r="M670" s="180"/>
      <c r="N670" s="180"/>
      <c r="O670" s="218"/>
      <c r="P670" s="180"/>
      <c r="Q670" s="188"/>
      <c r="R670" s="180"/>
      <c r="S670" s="180"/>
      <c r="T670" s="180"/>
      <c r="U670" s="180"/>
      <c r="V670" s="180"/>
      <c r="W670" s="180"/>
      <c r="X670" s="201"/>
      <c r="AJ670" s="149" t="str">
        <f>IF('Cable Info'!L530="","",CONCATENATE('Cable Info'!L530," - ",'Cable Info'!M530))</f>
        <v/>
      </c>
      <c r="AM670" s="149" t="str">
        <f t="shared" si="84"/>
        <v/>
      </c>
      <c r="AO670" s="149" t="str">
        <f>IF('Cable Info'!N530="","",CONCATENATE('Cable Info'!N530," - ",'Cable Info'!O530))</f>
        <v/>
      </c>
      <c r="AR670" s="149" t="str">
        <f t="shared" si="85"/>
        <v/>
      </c>
      <c r="AT670" s="149" t="str">
        <f>IF('Cable Info'!P530="","",CONCATENATE('Cable Info'!P530," - ",'Cable Info'!Q530))</f>
        <v/>
      </c>
      <c r="AW670" s="149" t="str">
        <f t="shared" si="86"/>
        <v/>
      </c>
      <c r="AY670" s="149" t="str">
        <f>IF('Cable Info'!R530="","",CONCATENATE('Cable Info'!R530," - ",'Cable Info'!S530))</f>
        <v/>
      </c>
      <c r="BB670" s="149" t="str">
        <f t="shared" si="87"/>
        <v/>
      </c>
      <c r="BD670" s="149" t="str">
        <f>IF('Cable Info'!T530="","",CONCATENATE('Cable Info'!T530," - ",'Cable Info'!U530))</f>
        <v/>
      </c>
      <c r="BG670" s="149" t="str">
        <f t="shared" si="88"/>
        <v/>
      </c>
      <c r="BI670" s="149" t="str">
        <f>IF('Cable Info'!V530="","",CONCATENATE('Cable Info'!V530," - ",'Cable Info'!W530))</f>
        <v/>
      </c>
      <c r="BL670" s="149" t="str">
        <f t="shared" si="89"/>
        <v/>
      </c>
    </row>
    <row r="671" spans="1:64" x14ac:dyDescent="0.2">
      <c r="A671" s="180"/>
      <c r="B671" s="180"/>
      <c r="C671" s="180"/>
      <c r="D671" s="180"/>
      <c r="E671" s="180"/>
      <c r="F671" s="187"/>
      <c r="G671" s="180"/>
      <c r="H671" s="180"/>
      <c r="I671" s="180"/>
      <c r="J671" s="187"/>
      <c r="K671" s="180"/>
      <c r="L671" s="180"/>
      <c r="M671" s="180"/>
      <c r="N671" s="180"/>
      <c r="O671" s="218"/>
      <c r="P671" s="180"/>
      <c r="Q671" s="188"/>
      <c r="R671" s="180"/>
      <c r="S671" s="180"/>
      <c r="T671" s="180"/>
      <c r="U671" s="180"/>
      <c r="V671" s="180"/>
      <c r="W671" s="180"/>
      <c r="X671" s="201"/>
      <c r="AJ671" s="149" t="str">
        <f>IF('Cable Info'!L531="","",CONCATENATE('Cable Info'!L531," - ",'Cable Info'!M531))</f>
        <v/>
      </c>
      <c r="AM671" s="149" t="str">
        <f t="shared" si="84"/>
        <v/>
      </c>
      <c r="AO671" s="149" t="str">
        <f>IF('Cable Info'!N531="","",CONCATENATE('Cable Info'!N531," - ",'Cable Info'!O531))</f>
        <v/>
      </c>
      <c r="AR671" s="149" t="str">
        <f t="shared" si="85"/>
        <v/>
      </c>
      <c r="AT671" s="149" t="str">
        <f>IF('Cable Info'!P531="","",CONCATENATE('Cable Info'!P531," - ",'Cable Info'!Q531))</f>
        <v/>
      </c>
      <c r="AW671" s="149" t="str">
        <f t="shared" si="86"/>
        <v/>
      </c>
      <c r="AY671" s="149" t="str">
        <f>IF('Cable Info'!R531="","",CONCATENATE('Cable Info'!R531," - ",'Cable Info'!S531))</f>
        <v/>
      </c>
      <c r="BB671" s="149" t="str">
        <f t="shared" si="87"/>
        <v/>
      </c>
      <c r="BD671" s="149" t="str">
        <f>IF('Cable Info'!T531="","",CONCATENATE('Cable Info'!T531," - ",'Cable Info'!U531))</f>
        <v/>
      </c>
      <c r="BG671" s="149" t="str">
        <f t="shared" si="88"/>
        <v/>
      </c>
      <c r="BI671" s="149" t="str">
        <f>IF('Cable Info'!V531="","",CONCATENATE('Cable Info'!V531," - ",'Cable Info'!W531))</f>
        <v/>
      </c>
      <c r="BL671" s="149" t="str">
        <f t="shared" si="89"/>
        <v/>
      </c>
    </row>
    <row r="672" spans="1:64" x14ac:dyDescent="0.2">
      <c r="A672" s="180"/>
      <c r="B672" s="180"/>
      <c r="C672" s="180"/>
      <c r="D672" s="180"/>
      <c r="E672" s="180"/>
      <c r="F672" s="187"/>
      <c r="G672" s="180"/>
      <c r="H672" s="180"/>
      <c r="I672" s="180"/>
      <c r="J672" s="187"/>
      <c r="K672" s="180"/>
      <c r="L672" s="180"/>
      <c r="M672" s="180"/>
      <c r="N672" s="180"/>
      <c r="O672" s="218"/>
      <c r="P672" s="180"/>
      <c r="Q672" s="188"/>
      <c r="R672" s="180"/>
      <c r="S672" s="180"/>
      <c r="T672" s="180"/>
      <c r="U672" s="180"/>
      <c r="V672" s="180"/>
      <c r="W672" s="180"/>
      <c r="X672" s="201"/>
      <c r="AJ672" s="149" t="str">
        <f>IF('Cable Info'!L532="","",CONCATENATE('Cable Info'!L532," - ",'Cable Info'!M532))</f>
        <v/>
      </c>
      <c r="AM672" s="149" t="str">
        <f t="shared" si="84"/>
        <v/>
      </c>
      <c r="AO672" s="149" t="str">
        <f>IF('Cable Info'!N532="","",CONCATENATE('Cable Info'!N532," - ",'Cable Info'!O532))</f>
        <v/>
      </c>
      <c r="AR672" s="149" t="str">
        <f t="shared" si="85"/>
        <v/>
      </c>
      <c r="AT672" s="149" t="str">
        <f>IF('Cable Info'!P532="","",CONCATENATE('Cable Info'!P532," - ",'Cable Info'!Q532))</f>
        <v/>
      </c>
      <c r="AW672" s="149" t="str">
        <f t="shared" si="86"/>
        <v/>
      </c>
      <c r="AY672" s="149" t="str">
        <f>IF('Cable Info'!R532="","",CONCATENATE('Cable Info'!R532," - ",'Cable Info'!S532))</f>
        <v/>
      </c>
      <c r="BB672" s="149" t="str">
        <f t="shared" si="87"/>
        <v/>
      </c>
      <c r="BD672" s="149" t="str">
        <f>IF('Cable Info'!T532="","",CONCATENATE('Cable Info'!T532," - ",'Cable Info'!U532))</f>
        <v/>
      </c>
      <c r="BG672" s="149" t="str">
        <f t="shared" si="88"/>
        <v/>
      </c>
      <c r="BI672" s="149" t="str">
        <f>IF('Cable Info'!V532="","",CONCATENATE('Cable Info'!V532," - ",'Cable Info'!W532))</f>
        <v/>
      </c>
      <c r="BL672" s="149" t="str">
        <f t="shared" si="89"/>
        <v/>
      </c>
    </row>
    <row r="673" spans="1:64" x14ac:dyDescent="0.2">
      <c r="A673" s="180"/>
      <c r="B673" s="180"/>
      <c r="C673" s="180"/>
      <c r="D673" s="180"/>
      <c r="E673" s="180"/>
      <c r="F673" s="187"/>
      <c r="G673" s="180"/>
      <c r="H673" s="180"/>
      <c r="I673" s="180"/>
      <c r="J673" s="187"/>
      <c r="K673" s="180"/>
      <c r="L673" s="180"/>
      <c r="M673" s="180"/>
      <c r="N673" s="180"/>
      <c r="O673" s="218"/>
      <c r="P673" s="180"/>
      <c r="Q673" s="188"/>
      <c r="R673" s="180"/>
      <c r="S673" s="180"/>
      <c r="T673" s="180"/>
      <c r="U673" s="180"/>
      <c r="V673" s="180"/>
      <c r="W673" s="180"/>
      <c r="X673" s="201"/>
      <c r="AJ673" s="149" t="str">
        <f>IF('Cable Info'!L533="","",CONCATENATE('Cable Info'!L533," - ",'Cable Info'!M533))</f>
        <v/>
      </c>
      <c r="AM673" s="149" t="str">
        <f t="shared" si="84"/>
        <v/>
      </c>
      <c r="AO673" s="149" t="str">
        <f>IF('Cable Info'!N533="","",CONCATENATE('Cable Info'!N533," - ",'Cable Info'!O533))</f>
        <v/>
      </c>
      <c r="AR673" s="149" t="str">
        <f t="shared" si="85"/>
        <v/>
      </c>
      <c r="AT673" s="149" t="str">
        <f>IF('Cable Info'!P533="","",CONCATENATE('Cable Info'!P533," - ",'Cable Info'!Q533))</f>
        <v/>
      </c>
      <c r="AW673" s="149" t="str">
        <f t="shared" si="86"/>
        <v/>
      </c>
      <c r="AY673" s="149" t="str">
        <f>IF('Cable Info'!R533="","",CONCATENATE('Cable Info'!R533," - ",'Cable Info'!S533))</f>
        <v/>
      </c>
      <c r="BB673" s="149" t="str">
        <f t="shared" si="87"/>
        <v/>
      </c>
      <c r="BD673" s="149" t="str">
        <f>IF('Cable Info'!T533="","",CONCATENATE('Cable Info'!T533," - ",'Cable Info'!U533))</f>
        <v/>
      </c>
      <c r="BG673" s="149" t="str">
        <f t="shared" si="88"/>
        <v/>
      </c>
      <c r="BI673" s="149" t="str">
        <f>IF('Cable Info'!V533="","",CONCATENATE('Cable Info'!V533," - ",'Cable Info'!W533))</f>
        <v/>
      </c>
      <c r="BL673" s="149" t="str">
        <f t="shared" si="89"/>
        <v/>
      </c>
    </row>
    <row r="674" spans="1:64" x14ac:dyDescent="0.2">
      <c r="A674" s="180"/>
      <c r="B674" s="180"/>
      <c r="C674" s="180"/>
      <c r="D674" s="180"/>
      <c r="E674" s="180"/>
      <c r="F674" s="187"/>
      <c r="G674" s="180"/>
      <c r="H674" s="180"/>
      <c r="I674" s="180"/>
      <c r="J674" s="187"/>
      <c r="K674" s="180"/>
      <c r="L674" s="180"/>
      <c r="M674" s="180"/>
      <c r="N674" s="180"/>
      <c r="O674" s="218"/>
      <c r="P674" s="180"/>
      <c r="Q674" s="188"/>
      <c r="R674" s="180"/>
      <c r="S674" s="180"/>
      <c r="T674" s="180"/>
      <c r="U674" s="180"/>
      <c r="V674" s="180"/>
      <c r="W674" s="180"/>
      <c r="X674" s="201"/>
      <c r="AJ674" s="149" t="str">
        <f>IF('Cable Info'!L534="","",CONCATENATE('Cable Info'!L534," - ",'Cable Info'!M534))</f>
        <v/>
      </c>
      <c r="AM674" s="149" t="str">
        <f t="shared" si="84"/>
        <v/>
      </c>
      <c r="AO674" s="149" t="str">
        <f>IF('Cable Info'!N534="","",CONCATENATE('Cable Info'!N534," - ",'Cable Info'!O534))</f>
        <v/>
      </c>
      <c r="AR674" s="149" t="str">
        <f t="shared" si="85"/>
        <v/>
      </c>
      <c r="AT674" s="149" t="str">
        <f>IF('Cable Info'!P534="","",CONCATENATE('Cable Info'!P534," - ",'Cable Info'!Q534))</f>
        <v/>
      </c>
      <c r="AW674" s="149" t="str">
        <f t="shared" si="86"/>
        <v/>
      </c>
      <c r="AY674" s="149" t="str">
        <f>IF('Cable Info'!R534="","",CONCATENATE('Cable Info'!R534," - ",'Cable Info'!S534))</f>
        <v/>
      </c>
      <c r="BB674" s="149" t="str">
        <f t="shared" si="87"/>
        <v/>
      </c>
      <c r="BD674" s="149" t="str">
        <f>IF('Cable Info'!T534="","",CONCATENATE('Cable Info'!T534," - ",'Cable Info'!U534))</f>
        <v/>
      </c>
      <c r="BG674" s="149" t="str">
        <f t="shared" si="88"/>
        <v/>
      </c>
      <c r="BI674" s="149" t="str">
        <f>IF('Cable Info'!V534="","",CONCATENATE('Cable Info'!V534," - ",'Cable Info'!W534))</f>
        <v/>
      </c>
      <c r="BL674" s="149" t="str">
        <f t="shared" si="89"/>
        <v/>
      </c>
    </row>
    <row r="675" spans="1:64" x14ac:dyDescent="0.2">
      <c r="A675" s="180"/>
      <c r="B675" s="180"/>
      <c r="C675" s="180"/>
      <c r="D675" s="180"/>
      <c r="E675" s="180"/>
      <c r="F675" s="187"/>
      <c r="G675" s="180"/>
      <c r="H675" s="180"/>
      <c r="I675" s="180"/>
      <c r="J675" s="187"/>
      <c r="K675" s="180"/>
      <c r="L675" s="180"/>
      <c r="M675" s="180"/>
      <c r="N675" s="180"/>
      <c r="O675" s="218"/>
      <c r="P675" s="180"/>
      <c r="Q675" s="188"/>
      <c r="R675" s="180"/>
      <c r="S675" s="180"/>
      <c r="T675" s="180"/>
      <c r="U675" s="180"/>
      <c r="V675" s="180"/>
      <c r="W675" s="180"/>
      <c r="X675" s="201"/>
      <c r="AJ675" s="149" t="str">
        <f>IF('Cable Info'!L535="","",CONCATENATE('Cable Info'!L535," - ",'Cable Info'!M535))</f>
        <v/>
      </c>
      <c r="AM675" s="149" t="str">
        <f t="shared" si="84"/>
        <v/>
      </c>
      <c r="AO675" s="149" t="str">
        <f>IF('Cable Info'!N535="","",CONCATENATE('Cable Info'!N535," - ",'Cable Info'!O535))</f>
        <v/>
      </c>
      <c r="AR675" s="149" t="str">
        <f t="shared" si="85"/>
        <v/>
      </c>
      <c r="AT675" s="149" t="str">
        <f>IF('Cable Info'!P535="","",CONCATENATE('Cable Info'!P535," - ",'Cable Info'!Q535))</f>
        <v/>
      </c>
      <c r="AW675" s="149" t="str">
        <f t="shared" si="86"/>
        <v/>
      </c>
      <c r="AY675" s="149" t="str">
        <f>IF('Cable Info'!R535="","",CONCATENATE('Cable Info'!R535," - ",'Cable Info'!S535))</f>
        <v/>
      </c>
      <c r="BB675" s="149" t="str">
        <f t="shared" si="87"/>
        <v/>
      </c>
      <c r="BD675" s="149" t="str">
        <f>IF('Cable Info'!T535="","",CONCATENATE('Cable Info'!T535," - ",'Cable Info'!U535))</f>
        <v/>
      </c>
      <c r="BG675" s="149" t="str">
        <f t="shared" si="88"/>
        <v/>
      </c>
      <c r="BI675" s="149" t="str">
        <f>IF('Cable Info'!V535="","",CONCATENATE('Cable Info'!V535," - ",'Cable Info'!W535))</f>
        <v/>
      </c>
      <c r="BL675" s="149" t="str">
        <f t="shared" si="89"/>
        <v/>
      </c>
    </row>
    <row r="676" spans="1:64" x14ac:dyDescent="0.2">
      <c r="A676" s="180"/>
      <c r="B676" s="180"/>
      <c r="C676" s="180"/>
      <c r="D676" s="180"/>
      <c r="E676" s="180"/>
      <c r="F676" s="187"/>
      <c r="G676" s="180"/>
      <c r="H676" s="180"/>
      <c r="I676" s="180"/>
      <c r="J676" s="187"/>
      <c r="K676" s="180"/>
      <c r="L676" s="180"/>
      <c r="M676" s="180"/>
      <c r="N676" s="180"/>
      <c r="O676" s="218"/>
      <c r="P676" s="180"/>
      <c r="Q676" s="188"/>
      <c r="R676" s="180"/>
      <c r="S676" s="180"/>
      <c r="T676" s="180"/>
      <c r="U676" s="180"/>
      <c r="V676" s="180"/>
      <c r="W676" s="180"/>
      <c r="X676" s="201"/>
      <c r="AJ676" s="149" t="str">
        <f>IF('Cable Info'!L536="","",CONCATENATE('Cable Info'!L536," - ",'Cable Info'!M536))</f>
        <v/>
      </c>
      <c r="AM676" s="149" t="str">
        <f t="shared" si="84"/>
        <v/>
      </c>
      <c r="AO676" s="149" t="str">
        <f>IF('Cable Info'!N536="","",CONCATENATE('Cable Info'!N536," - ",'Cable Info'!O536))</f>
        <v/>
      </c>
      <c r="AR676" s="149" t="str">
        <f t="shared" si="85"/>
        <v/>
      </c>
      <c r="AT676" s="149" t="str">
        <f>IF('Cable Info'!P536="","",CONCATENATE('Cable Info'!P536," - ",'Cable Info'!Q536))</f>
        <v/>
      </c>
      <c r="AW676" s="149" t="str">
        <f t="shared" si="86"/>
        <v/>
      </c>
      <c r="AY676" s="149" t="str">
        <f>IF('Cable Info'!R536="","",CONCATENATE('Cable Info'!R536," - ",'Cable Info'!S536))</f>
        <v/>
      </c>
      <c r="BB676" s="149" t="str">
        <f t="shared" si="87"/>
        <v/>
      </c>
      <c r="BD676" s="149" t="str">
        <f>IF('Cable Info'!T536="","",CONCATENATE('Cable Info'!T536," - ",'Cable Info'!U536))</f>
        <v/>
      </c>
      <c r="BG676" s="149" t="str">
        <f t="shared" si="88"/>
        <v/>
      </c>
      <c r="BI676" s="149" t="str">
        <f>IF('Cable Info'!V536="","",CONCATENATE('Cable Info'!V536," - ",'Cable Info'!W536))</f>
        <v/>
      </c>
      <c r="BL676" s="149" t="str">
        <f t="shared" si="89"/>
        <v/>
      </c>
    </row>
    <row r="677" spans="1:64" x14ac:dyDescent="0.2">
      <c r="A677" s="180"/>
      <c r="B677" s="180"/>
      <c r="C677" s="180"/>
      <c r="D677" s="180"/>
      <c r="E677" s="180"/>
      <c r="F677" s="187"/>
      <c r="G677" s="180"/>
      <c r="H677" s="180"/>
      <c r="I677" s="180"/>
      <c r="J677" s="187"/>
      <c r="K677" s="180"/>
      <c r="L677" s="180"/>
      <c r="M677" s="180"/>
      <c r="N677" s="180"/>
      <c r="O677" s="218"/>
      <c r="P677" s="180"/>
      <c r="Q677" s="188"/>
      <c r="R677" s="180"/>
      <c r="S677" s="180"/>
      <c r="T677" s="180"/>
      <c r="U677" s="180"/>
      <c r="V677" s="180"/>
      <c r="W677" s="180"/>
      <c r="X677" s="201"/>
      <c r="AJ677" s="149" t="str">
        <f>IF('Cable Info'!L537="","",CONCATENATE('Cable Info'!L537," - ",'Cable Info'!M537))</f>
        <v/>
      </c>
      <c r="AM677" s="149" t="str">
        <f t="shared" si="84"/>
        <v/>
      </c>
      <c r="AO677" s="149" t="str">
        <f>IF('Cable Info'!N537="","",CONCATENATE('Cable Info'!N537," - ",'Cable Info'!O537))</f>
        <v/>
      </c>
      <c r="AR677" s="149" t="str">
        <f t="shared" si="85"/>
        <v/>
      </c>
      <c r="AT677" s="149" t="str">
        <f>IF('Cable Info'!P537="","",CONCATENATE('Cable Info'!P537," - ",'Cable Info'!Q537))</f>
        <v/>
      </c>
      <c r="AW677" s="149" t="str">
        <f t="shared" si="86"/>
        <v/>
      </c>
      <c r="AY677" s="149" t="str">
        <f>IF('Cable Info'!R537="","",CONCATENATE('Cable Info'!R537," - ",'Cable Info'!S537))</f>
        <v/>
      </c>
      <c r="BB677" s="149" t="str">
        <f t="shared" si="87"/>
        <v/>
      </c>
      <c r="BD677" s="149" t="str">
        <f>IF('Cable Info'!T537="","",CONCATENATE('Cable Info'!T537," - ",'Cable Info'!U537))</f>
        <v/>
      </c>
      <c r="BG677" s="149" t="str">
        <f t="shared" si="88"/>
        <v/>
      </c>
      <c r="BI677" s="149" t="str">
        <f>IF('Cable Info'!V537="","",CONCATENATE('Cable Info'!V537," - ",'Cable Info'!W537))</f>
        <v/>
      </c>
      <c r="BL677" s="149" t="str">
        <f t="shared" si="89"/>
        <v/>
      </c>
    </row>
    <row r="678" spans="1:64" x14ac:dyDescent="0.2">
      <c r="A678" s="180"/>
      <c r="B678" s="180"/>
      <c r="C678" s="180"/>
      <c r="D678" s="180"/>
      <c r="E678" s="180"/>
      <c r="F678" s="187"/>
      <c r="G678" s="180"/>
      <c r="H678" s="180"/>
      <c r="I678" s="180"/>
      <c r="J678" s="187"/>
      <c r="K678" s="180"/>
      <c r="L678" s="180"/>
      <c r="M678" s="180"/>
      <c r="N678" s="180"/>
      <c r="O678" s="218"/>
      <c r="P678" s="180"/>
      <c r="Q678" s="188"/>
      <c r="R678" s="180"/>
      <c r="S678" s="180"/>
      <c r="T678" s="180"/>
      <c r="U678" s="180"/>
      <c r="V678" s="180"/>
      <c r="W678" s="180"/>
      <c r="X678" s="201"/>
      <c r="AJ678" s="149" t="str">
        <f>IF('Cable Info'!L538="","",CONCATENATE('Cable Info'!L538," - ",'Cable Info'!M538))</f>
        <v/>
      </c>
      <c r="AM678" s="149" t="str">
        <f t="shared" si="84"/>
        <v/>
      </c>
      <c r="AO678" s="149" t="str">
        <f>IF('Cable Info'!N538="","",CONCATENATE('Cable Info'!N538," - ",'Cable Info'!O538))</f>
        <v/>
      </c>
      <c r="AR678" s="149" t="str">
        <f t="shared" si="85"/>
        <v/>
      </c>
      <c r="AT678" s="149" t="str">
        <f>IF('Cable Info'!P538="","",CONCATENATE('Cable Info'!P538," - ",'Cable Info'!Q538))</f>
        <v/>
      </c>
      <c r="AW678" s="149" t="str">
        <f t="shared" si="86"/>
        <v/>
      </c>
      <c r="AY678" s="149" t="str">
        <f>IF('Cable Info'!R538="","",CONCATENATE('Cable Info'!R538," - ",'Cable Info'!S538))</f>
        <v/>
      </c>
      <c r="BB678" s="149" t="str">
        <f t="shared" si="87"/>
        <v/>
      </c>
      <c r="BD678" s="149" t="str">
        <f>IF('Cable Info'!T538="","",CONCATENATE('Cable Info'!T538," - ",'Cable Info'!U538))</f>
        <v/>
      </c>
      <c r="BG678" s="149" t="str">
        <f t="shared" si="88"/>
        <v/>
      </c>
      <c r="BI678" s="149" t="str">
        <f>IF('Cable Info'!V538="","",CONCATENATE('Cable Info'!V538," - ",'Cable Info'!W538))</f>
        <v/>
      </c>
      <c r="BL678" s="149" t="str">
        <f t="shared" si="89"/>
        <v/>
      </c>
    </row>
    <row r="679" spans="1:64" x14ac:dyDescent="0.2">
      <c r="A679" s="180"/>
      <c r="B679" s="180"/>
      <c r="C679" s="180"/>
      <c r="D679" s="180"/>
      <c r="E679" s="180"/>
      <c r="F679" s="187"/>
      <c r="G679" s="180"/>
      <c r="H679" s="180"/>
      <c r="I679" s="180"/>
      <c r="J679" s="187"/>
      <c r="K679" s="180"/>
      <c r="L679" s="180"/>
      <c r="M679" s="180"/>
      <c r="N679" s="180"/>
      <c r="O679" s="218"/>
      <c r="P679" s="180"/>
      <c r="Q679" s="188"/>
      <c r="R679" s="180"/>
      <c r="S679" s="180"/>
      <c r="T679" s="180"/>
      <c r="U679" s="180"/>
      <c r="V679" s="180"/>
      <c r="W679" s="180"/>
      <c r="X679" s="201"/>
      <c r="AJ679" s="149" t="str">
        <f>IF('Cable Info'!L539="","",CONCATENATE('Cable Info'!L539," - ",'Cable Info'!M539))</f>
        <v/>
      </c>
      <c r="AM679" s="149" t="str">
        <f t="shared" si="84"/>
        <v/>
      </c>
      <c r="AO679" s="149" t="str">
        <f>IF('Cable Info'!N539="","",CONCATENATE('Cable Info'!N539," - ",'Cable Info'!O539))</f>
        <v/>
      </c>
      <c r="AR679" s="149" t="str">
        <f t="shared" si="85"/>
        <v/>
      </c>
      <c r="AT679" s="149" t="str">
        <f>IF('Cable Info'!P539="","",CONCATENATE('Cable Info'!P539," - ",'Cable Info'!Q539))</f>
        <v/>
      </c>
      <c r="AW679" s="149" t="str">
        <f t="shared" si="86"/>
        <v/>
      </c>
      <c r="AY679" s="149" t="str">
        <f>IF('Cable Info'!R539="","",CONCATENATE('Cable Info'!R539," - ",'Cable Info'!S539))</f>
        <v/>
      </c>
      <c r="BB679" s="149" t="str">
        <f t="shared" si="87"/>
        <v/>
      </c>
      <c r="BD679" s="149" t="str">
        <f>IF('Cable Info'!T539="","",CONCATENATE('Cable Info'!T539," - ",'Cable Info'!U539))</f>
        <v/>
      </c>
      <c r="BG679" s="149" t="str">
        <f t="shared" si="88"/>
        <v/>
      </c>
      <c r="BI679" s="149" t="str">
        <f>IF('Cable Info'!V539="","",CONCATENATE('Cable Info'!V539," - ",'Cable Info'!W539))</f>
        <v/>
      </c>
      <c r="BL679" s="149" t="str">
        <f t="shared" si="89"/>
        <v/>
      </c>
    </row>
    <row r="680" spans="1:64" x14ac:dyDescent="0.2">
      <c r="A680" s="180"/>
      <c r="B680" s="180"/>
      <c r="C680" s="180"/>
      <c r="D680" s="180"/>
      <c r="E680" s="180"/>
      <c r="F680" s="187"/>
      <c r="G680" s="180"/>
      <c r="H680" s="180"/>
      <c r="I680" s="180"/>
      <c r="J680" s="187"/>
      <c r="K680" s="180"/>
      <c r="L680" s="180"/>
      <c r="M680" s="180"/>
      <c r="N680" s="180"/>
      <c r="O680" s="218"/>
      <c r="P680" s="180"/>
      <c r="Q680" s="188"/>
      <c r="R680" s="180"/>
      <c r="S680" s="180"/>
      <c r="T680" s="180"/>
      <c r="U680" s="180"/>
      <c r="V680" s="180"/>
      <c r="W680" s="180"/>
      <c r="X680" s="201"/>
      <c r="AJ680" s="149" t="str">
        <f>IF('Cable Info'!L540="","",CONCATENATE('Cable Info'!L540," - ",'Cable Info'!M540))</f>
        <v/>
      </c>
      <c r="AM680" s="149" t="str">
        <f t="shared" si="84"/>
        <v/>
      </c>
      <c r="AO680" s="149" t="str">
        <f>IF('Cable Info'!N540="","",CONCATENATE('Cable Info'!N540," - ",'Cable Info'!O540))</f>
        <v/>
      </c>
      <c r="AR680" s="149" t="str">
        <f t="shared" si="85"/>
        <v/>
      </c>
      <c r="AT680" s="149" t="str">
        <f>IF('Cable Info'!P540="","",CONCATENATE('Cable Info'!P540," - ",'Cable Info'!Q540))</f>
        <v/>
      </c>
      <c r="AW680" s="149" t="str">
        <f t="shared" si="86"/>
        <v/>
      </c>
      <c r="AY680" s="149" t="str">
        <f>IF('Cable Info'!R540="","",CONCATENATE('Cable Info'!R540," - ",'Cable Info'!S540))</f>
        <v/>
      </c>
      <c r="BB680" s="149" t="str">
        <f t="shared" si="87"/>
        <v/>
      </c>
      <c r="BD680" s="149" t="str">
        <f>IF('Cable Info'!T540="","",CONCATENATE('Cable Info'!T540," - ",'Cable Info'!U540))</f>
        <v/>
      </c>
      <c r="BG680" s="149" t="str">
        <f t="shared" si="88"/>
        <v/>
      </c>
      <c r="BI680" s="149" t="str">
        <f>IF('Cable Info'!V540="","",CONCATENATE('Cable Info'!V540," - ",'Cable Info'!W540))</f>
        <v/>
      </c>
      <c r="BL680" s="149" t="str">
        <f t="shared" si="89"/>
        <v/>
      </c>
    </row>
    <row r="681" spans="1:64" x14ac:dyDescent="0.2">
      <c r="A681" s="180"/>
      <c r="B681" s="180"/>
      <c r="C681" s="180"/>
      <c r="D681" s="180"/>
      <c r="E681" s="180"/>
      <c r="F681" s="187"/>
      <c r="G681" s="180"/>
      <c r="H681" s="180"/>
      <c r="I681" s="180"/>
      <c r="J681" s="187"/>
      <c r="K681" s="180"/>
      <c r="L681" s="180"/>
      <c r="M681" s="180"/>
      <c r="N681" s="180"/>
      <c r="O681" s="218"/>
      <c r="P681" s="180"/>
      <c r="Q681" s="188"/>
      <c r="R681" s="180"/>
      <c r="S681" s="180"/>
      <c r="T681" s="180"/>
      <c r="U681" s="180"/>
      <c r="V681" s="180"/>
      <c r="W681" s="180"/>
      <c r="X681" s="201"/>
      <c r="AJ681" s="149" t="str">
        <f>IF('Cable Info'!L541="","",CONCATENATE('Cable Info'!L541," - ",'Cable Info'!M541))</f>
        <v/>
      </c>
      <c r="AM681" s="149" t="str">
        <f t="shared" si="84"/>
        <v/>
      </c>
      <c r="AO681" s="149" t="str">
        <f>IF('Cable Info'!N541="","",CONCATENATE('Cable Info'!N541," - ",'Cable Info'!O541))</f>
        <v/>
      </c>
      <c r="AR681" s="149" t="str">
        <f t="shared" si="85"/>
        <v/>
      </c>
      <c r="AT681" s="149" t="str">
        <f>IF('Cable Info'!P541="","",CONCATENATE('Cable Info'!P541," - ",'Cable Info'!Q541))</f>
        <v/>
      </c>
      <c r="AW681" s="149" t="str">
        <f t="shared" si="86"/>
        <v/>
      </c>
      <c r="AY681" s="149" t="str">
        <f>IF('Cable Info'!R541="","",CONCATENATE('Cable Info'!R541," - ",'Cable Info'!S541))</f>
        <v/>
      </c>
      <c r="BB681" s="149" t="str">
        <f t="shared" si="87"/>
        <v/>
      </c>
      <c r="BD681" s="149" t="str">
        <f>IF('Cable Info'!T541="","",CONCATENATE('Cable Info'!T541," - ",'Cable Info'!U541))</f>
        <v/>
      </c>
      <c r="BG681" s="149" t="str">
        <f t="shared" si="88"/>
        <v/>
      </c>
      <c r="BI681" s="149" t="str">
        <f>IF('Cable Info'!V541="","",CONCATENATE('Cable Info'!V541," - ",'Cable Info'!W541))</f>
        <v/>
      </c>
      <c r="BL681" s="149" t="str">
        <f t="shared" si="89"/>
        <v/>
      </c>
    </row>
    <row r="682" spans="1:64" x14ac:dyDescent="0.2">
      <c r="A682" s="180"/>
      <c r="B682" s="180"/>
      <c r="C682" s="180"/>
      <c r="D682" s="180"/>
      <c r="E682" s="180"/>
      <c r="F682" s="187"/>
      <c r="G682" s="180"/>
      <c r="H682" s="180"/>
      <c r="I682" s="180"/>
      <c r="J682" s="187"/>
      <c r="K682" s="180"/>
      <c r="L682" s="180"/>
      <c r="M682" s="180"/>
      <c r="N682" s="180"/>
      <c r="O682" s="218"/>
      <c r="P682" s="180"/>
      <c r="Q682" s="188"/>
      <c r="R682" s="180"/>
      <c r="S682" s="180"/>
      <c r="T682" s="180"/>
      <c r="U682" s="180"/>
      <c r="V682" s="180"/>
      <c r="W682" s="180"/>
      <c r="X682" s="201"/>
      <c r="AJ682" s="149" t="str">
        <f>IF('Cable Info'!L542="","",CONCATENATE('Cable Info'!L542," - ",'Cable Info'!M542))</f>
        <v/>
      </c>
      <c r="AM682" s="149" t="str">
        <f t="shared" si="84"/>
        <v/>
      </c>
      <c r="AO682" s="149" t="str">
        <f>IF('Cable Info'!N542="","",CONCATENATE('Cable Info'!N542," - ",'Cable Info'!O542))</f>
        <v/>
      </c>
      <c r="AR682" s="149" t="str">
        <f t="shared" si="85"/>
        <v/>
      </c>
      <c r="AT682" s="149" t="str">
        <f>IF('Cable Info'!P542="","",CONCATENATE('Cable Info'!P542," - ",'Cable Info'!Q542))</f>
        <v/>
      </c>
      <c r="AW682" s="149" t="str">
        <f t="shared" si="86"/>
        <v/>
      </c>
      <c r="AY682" s="149" t="str">
        <f>IF('Cable Info'!R542="","",CONCATENATE('Cable Info'!R542," - ",'Cable Info'!S542))</f>
        <v/>
      </c>
      <c r="BB682" s="149" t="str">
        <f t="shared" si="87"/>
        <v/>
      </c>
      <c r="BD682" s="149" t="str">
        <f>IF('Cable Info'!T542="","",CONCATENATE('Cable Info'!T542," - ",'Cable Info'!U542))</f>
        <v/>
      </c>
      <c r="BG682" s="149" t="str">
        <f t="shared" si="88"/>
        <v/>
      </c>
      <c r="BI682" s="149" t="str">
        <f>IF('Cable Info'!V542="","",CONCATENATE('Cable Info'!V542," - ",'Cable Info'!W542))</f>
        <v/>
      </c>
      <c r="BL682" s="149" t="str">
        <f t="shared" si="89"/>
        <v/>
      </c>
    </row>
    <row r="683" spans="1:64" x14ac:dyDescent="0.2">
      <c r="A683" s="180"/>
      <c r="B683" s="180"/>
      <c r="C683" s="180"/>
      <c r="D683" s="180"/>
      <c r="E683" s="180"/>
      <c r="F683" s="187"/>
      <c r="G683" s="180"/>
      <c r="H683" s="180"/>
      <c r="I683" s="180"/>
      <c r="J683" s="187"/>
      <c r="K683" s="180"/>
      <c r="L683" s="180"/>
      <c r="M683" s="180"/>
      <c r="N683" s="180"/>
      <c r="O683" s="218"/>
      <c r="P683" s="180"/>
      <c r="Q683" s="188"/>
      <c r="R683" s="180"/>
      <c r="S683" s="180"/>
      <c r="T683" s="180"/>
      <c r="U683" s="180"/>
      <c r="V683" s="180"/>
      <c r="W683" s="180"/>
      <c r="X683" s="201"/>
      <c r="AJ683" s="149" t="str">
        <f>IF('Cable Info'!L543="","",CONCATENATE('Cable Info'!L543," - ",'Cable Info'!M543))</f>
        <v/>
      </c>
      <c r="AM683" s="149" t="str">
        <f t="shared" si="84"/>
        <v/>
      </c>
      <c r="AO683" s="149" t="str">
        <f>IF('Cable Info'!N543="","",CONCATENATE('Cable Info'!N543," - ",'Cable Info'!O543))</f>
        <v/>
      </c>
      <c r="AR683" s="149" t="str">
        <f t="shared" si="85"/>
        <v/>
      </c>
      <c r="AT683" s="149" t="str">
        <f>IF('Cable Info'!P543="","",CONCATENATE('Cable Info'!P543," - ",'Cable Info'!Q543))</f>
        <v/>
      </c>
      <c r="AW683" s="149" t="str">
        <f t="shared" si="86"/>
        <v/>
      </c>
      <c r="AY683" s="149" t="str">
        <f>IF('Cable Info'!R543="","",CONCATENATE('Cable Info'!R543," - ",'Cable Info'!S543))</f>
        <v/>
      </c>
      <c r="BB683" s="149" t="str">
        <f t="shared" si="87"/>
        <v/>
      </c>
      <c r="BD683" s="149" t="str">
        <f>IF('Cable Info'!T543="","",CONCATENATE('Cable Info'!T543," - ",'Cable Info'!U543))</f>
        <v/>
      </c>
      <c r="BG683" s="149" t="str">
        <f t="shared" si="88"/>
        <v/>
      </c>
      <c r="BI683" s="149" t="str">
        <f>IF('Cable Info'!V543="","",CONCATENATE('Cable Info'!V543," - ",'Cable Info'!W543))</f>
        <v/>
      </c>
      <c r="BL683" s="149" t="str">
        <f t="shared" si="89"/>
        <v/>
      </c>
    </row>
    <row r="684" spans="1:64" x14ac:dyDescent="0.2">
      <c r="A684" s="180"/>
      <c r="B684" s="180"/>
      <c r="C684" s="180"/>
      <c r="D684" s="180"/>
      <c r="E684" s="180"/>
      <c r="F684" s="187"/>
      <c r="G684" s="180"/>
      <c r="H684" s="180"/>
      <c r="I684" s="180"/>
      <c r="J684" s="187"/>
      <c r="K684" s="180"/>
      <c r="L684" s="180"/>
      <c r="M684" s="180"/>
      <c r="N684" s="180"/>
      <c r="O684" s="218"/>
      <c r="P684" s="180"/>
      <c r="Q684" s="188"/>
      <c r="R684" s="180"/>
      <c r="S684" s="180"/>
      <c r="T684" s="180"/>
      <c r="U684" s="180"/>
      <c r="V684" s="180"/>
      <c r="W684" s="180"/>
      <c r="X684" s="201"/>
      <c r="AJ684" s="149" t="str">
        <f>IF('Cable Info'!L544="","",CONCATENATE('Cable Info'!L544," - ",'Cable Info'!M544))</f>
        <v/>
      </c>
      <c r="AM684" s="149" t="str">
        <f t="shared" si="84"/>
        <v/>
      </c>
      <c r="AO684" s="149" t="str">
        <f>IF('Cable Info'!N544="","",CONCATENATE('Cable Info'!N544," - ",'Cable Info'!O544))</f>
        <v/>
      </c>
      <c r="AR684" s="149" t="str">
        <f t="shared" si="85"/>
        <v/>
      </c>
      <c r="AT684" s="149" t="str">
        <f>IF('Cable Info'!P544="","",CONCATENATE('Cable Info'!P544," - ",'Cable Info'!Q544))</f>
        <v/>
      </c>
      <c r="AW684" s="149" t="str">
        <f t="shared" si="86"/>
        <v/>
      </c>
      <c r="AY684" s="149" t="str">
        <f>IF('Cable Info'!R544="","",CONCATENATE('Cable Info'!R544," - ",'Cable Info'!S544))</f>
        <v/>
      </c>
      <c r="BB684" s="149" t="str">
        <f t="shared" si="87"/>
        <v/>
      </c>
      <c r="BD684" s="149" t="str">
        <f>IF('Cable Info'!T544="","",CONCATENATE('Cable Info'!T544," - ",'Cable Info'!U544))</f>
        <v/>
      </c>
      <c r="BG684" s="149" t="str">
        <f t="shared" si="88"/>
        <v/>
      </c>
      <c r="BI684" s="149" t="str">
        <f>IF('Cable Info'!V544="","",CONCATENATE('Cable Info'!V544," - ",'Cable Info'!W544))</f>
        <v/>
      </c>
      <c r="BL684" s="149" t="str">
        <f t="shared" si="89"/>
        <v/>
      </c>
    </row>
    <row r="685" spans="1:64" x14ac:dyDescent="0.2">
      <c r="A685" s="180"/>
      <c r="B685" s="180"/>
      <c r="C685" s="180"/>
      <c r="D685" s="180"/>
      <c r="E685" s="180"/>
      <c r="F685" s="187"/>
      <c r="G685" s="180"/>
      <c r="H685" s="180"/>
      <c r="I685" s="180"/>
      <c r="J685" s="187"/>
      <c r="K685" s="180"/>
      <c r="L685" s="180"/>
      <c r="M685" s="180"/>
      <c r="N685" s="180"/>
      <c r="O685" s="218"/>
      <c r="P685" s="180"/>
      <c r="Q685" s="188"/>
      <c r="R685" s="180"/>
      <c r="S685" s="180"/>
      <c r="T685" s="180"/>
      <c r="U685" s="180"/>
      <c r="V685" s="180"/>
      <c r="W685" s="180"/>
      <c r="X685" s="201"/>
      <c r="AJ685" s="149" t="str">
        <f>IF('Cable Info'!L545="","",CONCATENATE('Cable Info'!L545," - ",'Cable Info'!M545))</f>
        <v/>
      </c>
      <c r="AM685" s="149" t="str">
        <f t="shared" si="84"/>
        <v/>
      </c>
      <c r="AO685" s="149" t="str">
        <f>IF('Cable Info'!N545="","",CONCATENATE('Cable Info'!N545," - ",'Cable Info'!O545))</f>
        <v/>
      </c>
      <c r="AR685" s="149" t="str">
        <f t="shared" si="85"/>
        <v/>
      </c>
      <c r="AT685" s="149" t="str">
        <f>IF('Cable Info'!P545="","",CONCATENATE('Cable Info'!P545," - ",'Cable Info'!Q545))</f>
        <v/>
      </c>
      <c r="AW685" s="149" t="str">
        <f t="shared" si="86"/>
        <v/>
      </c>
      <c r="AY685" s="149" t="str">
        <f>IF('Cable Info'!R545="","",CONCATENATE('Cable Info'!R545," - ",'Cable Info'!S545))</f>
        <v/>
      </c>
      <c r="BB685" s="149" t="str">
        <f t="shared" si="87"/>
        <v/>
      </c>
      <c r="BD685" s="149" t="str">
        <f>IF('Cable Info'!T545="","",CONCATENATE('Cable Info'!T545," - ",'Cable Info'!U545))</f>
        <v/>
      </c>
      <c r="BG685" s="149" t="str">
        <f t="shared" si="88"/>
        <v/>
      </c>
      <c r="BI685" s="149" t="str">
        <f>IF('Cable Info'!V545="","",CONCATENATE('Cable Info'!V545," - ",'Cable Info'!W545))</f>
        <v/>
      </c>
      <c r="BL685" s="149" t="str">
        <f t="shared" si="89"/>
        <v/>
      </c>
    </row>
    <row r="686" spans="1:64" x14ac:dyDescent="0.2">
      <c r="A686" s="180"/>
      <c r="B686" s="180"/>
      <c r="C686" s="180"/>
      <c r="D686" s="180"/>
      <c r="E686" s="180"/>
      <c r="F686" s="187"/>
      <c r="G686" s="180"/>
      <c r="H686" s="180"/>
      <c r="I686" s="180"/>
      <c r="J686" s="187"/>
      <c r="K686" s="180"/>
      <c r="L686" s="180"/>
      <c r="M686" s="180"/>
      <c r="N686" s="180"/>
      <c r="O686" s="218"/>
      <c r="P686" s="180"/>
      <c r="Q686" s="188"/>
      <c r="R686" s="180"/>
      <c r="S686" s="180"/>
      <c r="T686" s="180"/>
      <c r="U686" s="180"/>
      <c r="V686" s="180"/>
      <c r="W686" s="180"/>
      <c r="X686" s="201"/>
      <c r="AJ686" s="149" t="str">
        <f>IF('Cable Info'!L546="","",CONCATENATE('Cable Info'!L546," - ",'Cable Info'!M546))</f>
        <v/>
      </c>
      <c r="AM686" s="149" t="str">
        <f t="shared" si="84"/>
        <v/>
      </c>
      <c r="AO686" s="149" t="str">
        <f>IF('Cable Info'!N546="","",CONCATENATE('Cable Info'!N546," - ",'Cable Info'!O546))</f>
        <v/>
      </c>
      <c r="AR686" s="149" t="str">
        <f t="shared" si="85"/>
        <v/>
      </c>
      <c r="AT686" s="149" t="str">
        <f>IF('Cable Info'!P546="","",CONCATENATE('Cable Info'!P546," - ",'Cable Info'!Q546))</f>
        <v/>
      </c>
      <c r="AW686" s="149" t="str">
        <f t="shared" si="86"/>
        <v/>
      </c>
      <c r="AY686" s="149" t="str">
        <f>IF('Cable Info'!R546="","",CONCATENATE('Cable Info'!R546," - ",'Cable Info'!S546))</f>
        <v/>
      </c>
      <c r="BB686" s="149" t="str">
        <f t="shared" si="87"/>
        <v/>
      </c>
      <c r="BD686" s="149" t="str">
        <f>IF('Cable Info'!T546="","",CONCATENATE('Cable Info'!T546," - ",'Cable Info'!U546))</f>
        <v/>
      </c>
      <c r="BG686" s="149" t="str">
        <f t="shared" si="88"/>
        <v/>
      </c>
      <c r="BI686" s="149" t="str">
        <f>IF('Cable Info'!V546="","",CONCATENATE('Cable Info'!V546," - ",'Cable Info'!W546))</f>
        <v/>
      </c>
      <c r="BL686" s="149" t="str">
        <f t="shared" si="89"/>
        <v/>
      </c>
    </row>
    <row r="687" spans="1:64" x14ac:dyDescent="0.2">
      <c r="A687" s="180"/>
      <c r="B687" s="180"/>
      <c r="C687" s="180"/>
      <c r="D687" s="180"/>
      <c r="E687" s="180"/>
      <c r="F687" s="187"/>
      <c r="G687" s="180"/>
      <c r="H687" s="180"/>
      <c r="I687" s="180"/>
      <c r="J687" s="187"/>
      <c r="K687" s="180"/>
      <c r="L687" s="180"/>
      <c r="M687" s="180"/>
      <c r="N687" s="180"/>
      <c r="O687" s="218"/>
      <c r="P687" s="180"/>
      <c r="Q687" s="188"/>
      <c r="R687" s="180"/>
      <c r="S687" s="180"/>
      <c r="T687" s="180"/>
      <c r="U687" s="180"/>
      <c r="V687" s="180"/>
      <c r="W687" s="180"/>
      <c r="X687" s="201"/>
      <c r="AJ687" s="149" t="str">
        <f>IF('Cable Info'!L547="","",CONCATENATE('Cable Info'!L547," - ",'Cable Info'!M547))</f>
        <v/>
      </c>
      <c r="AM687" s="149" t="str">
        <f t="shared" si="84"/>
        <v/>
      </c>
      <c r="AO687" s="149" t="str">
        <f>IF('Cable Info'!N547="","",CONCATENATE('Cable Info'!N547," - ",'Cable Info'!O547))</f>
        <v/>
      </c>
      <c r="AR687" s="149" t="str">
        <f t="shared" si="85"/>
        <v/>
      </c>
      <c r="AT687" s="149" t="str">
        <f>IF('Cable Info'!P547="","",CONCATENATE('Cable Info'!P547," - ",'Cable Info'!Q547))</f>
        <v/>
      </c>
      <c r="AW687" s="149" t="str">
        <f t="shared" si="86"/>
        <v/>
      </c>
      <c r="AY687" s="149" t="str">
        <f>IF('Cable Info'!R547="","",CONCATENATE('Cable Info'!R547," - ",'Cable Info'!S547))</f>
        <v/>
      </c>
      <c r="BB687" s="149" t="str">
        <f t="shared" si="87"/>
        <v/>
      </c>
      <c r="BD687" s="149" t="str">
        <f>IF('Cable Info'!T547="","",CONCATENATE('Cable Info'!T547," - ",'Cable Info'!U547))</f>
        <v/>
      </c>
      <c r="BG687" s="149" t="str">
        <f t="shared" si="88"/>
        <v/>
      </c>
      <c r="BI687" s="149" t="str">
        <f>IF('Cable Info'!V547="","",CONCATENATE('Cable Info'!V547," - ",'Cable Info'!W547))</f>
        <v/>
      </c>
      <c r="BL687" s="149" t="str">
        <f t="shared" si="89"/>
        <v/>
      </c>
    </row>
    <row r="688" spans="1:64" x14ac:dyDescent="0.2">
      <c r="A688" s="180"/>
      <c r="B688" s="180"/>
      <c r="C688" s="180"/>
      <c r="D688" s="180"/>
      <c r="E688" s="180"/>
      <c r="F688" s="187"/>
      <c r="G688" s="180"/>
      <c r="H688" s="180"/>
      <c r="I688" s="180"/>
      <c r="J688" s="187"/>
      <c r="K688" s="180"/>
      <c r="L688" s="180"/>
      <c r="M688" s="180"/>
      <c r="N688" s="180"/>
      <c r="O688" s="218"/>
      <c r="P688" s="180"/>
      <c r="Q688" s="188"/>
      <c r="R688" s="180"/>
      <c r="S688" s="180"/>
      <c r="T688" s="180"/>
      <c r="U688" s="180"/>
      <c r="V688" s="180"/>
      <c r="W688" s="180"/>
      <c r="X688" s="201"/>
      <c r="AJ688" s="149" t="str">
        <f>IF('Cable Info'!L548="","",CONCATENATE('Cable Info'!L548," - ",'Cable Info'!M548))</f>
        <v/>
      </c>
      <c r="AM688" s="149" t="str">
        <f t="shared" si="84"/>
        <v/>
      </c>
      <c r="AO688" s="149" t="str">
        <f>IF('Cable Info'!N548="","",CONCATENATE('Cable Info'!N548," - ",'Cable Info'!O548))</f>
        <v/>
      </c>
      <c r="AR688" s="149" t="str">
        <f t="shared" si="85"/>
        <v/>
      </c>
      <c r="AT688" s="149" t="str">
        <f>IF('Cable Info'!P548="","",CONCATENATE('Cable Info'!P548," - ",'Cable Info'!Q548))</f>
        <v/>
      </c>
      <c r="AW688" s="149" t="str">
        <f t="shared" si="86"/>
        <v/>
      </c>
      <c r="AY688" s="149" t="str">
        <f>IF('Cable Info'!R548="","",CONCATENATE('Cable Info'!R548," - ",'Cable Info'!S548))</f>
        <v/>
      </c>
      <c r="BB688" s="149" t="str">
        <f t="shared" si="87"/>
        <v/>
      </c>
      <c r="BD688" s="149" t="str">
        <f>IF('Cable Info'!T548="","",CONCATENATE('Cable Info'!T548," - ",'Cable Info'!U548))</f>
        <v/>
      </c>
      <c r="BG688" s="149" t="str">
        <f t="shared" si="88"/>
        <v/>
      </c>
      <c r="BI688" s="149" t="str">
        <f>IF('Cable Info'!V548="","",CONCATENATE('Cable Info'!V548," - ",'Cable Info'!W548))</f>
        <v/>
      </c>
      <c r="BL688" s="149" t="str">
        <f t="shared" si="89"/>
        <v/>
      </c>
    </row>
    <row r="689" spans="1:64" x14ac:dyDescent="0.2">
      <c r="A689" s="180"/>
      <c r="B689" s="180"/>
      <c r="C689" s="180"/>
      <c r="D689" s="180"/>
      <c r="E689" s="180"/>
      <c r="F689" s="187"/>
      <c r="G689" s="180"/>
      <c r="H689" s="180"/>
      <c r="I689" s="180"/>
      <c r="J689" s="187"/>
      <c r="K689" s="180"/>
      <c r="L689" s="180"/>
      <c r="M689" s="180"/>
      <c r="N689" s="180"/>
      <c r="O689" s="218"/>
      <c r="P689" s="180"/>
      <c r="Q689" s="188"/>
      <c r="R689" s="180"/>
      <c r="S689" s="180"/>
      <c r="T689" s="180"/>
      <c r="U689" s="180"/>
      <c r="V689" s="180"/>
      <c r="W689" s="180"/>
      <c r="X689" s="201"/>
      <c r="AJ689" s="149" t="str">
        <f>IF('Cable Info'!L549="","",CONCATENATE('Cable Info'!L549," - ",'Cable Info'!M549))</f>
        <v/>
      </c>
      <c r="AM689" s="149" t="str">
        <f t="shared" si="84"/>
        <v/>
      </c>
      <c r="AO689" s="149" t="str">
        <f>IF('Cable Info'!N549="","",CONCATENATE('Cable Info'!N549," - ",'Cable Info'!O549))</f>
        <v/>
      </c>
      <c r="AR689" s="149" t="str">
        <f t="shared" si="85"/>
        <v/>
      </c>
      <c r="AT689" s="149" t="str">
        <f>IF('Cable Info'!P549="","",CONCATENATE('Cable Info'!P549," - ",'Cable Info'!Q549))</f>
        <v/>
      </c>
      <c r="AW689" s="149" t="str">
        <f t="shared" si="86"/>
        <v/>
      </c>
      <c r="AY689" s="149" t="str">
        <f>IF('Cable Info'!R549="","",CONCATENATE('Cable Info'!R549," - ",'Cable Info'!S549))</f>
        <v/>
      </c>
      <c r="BB689" s="149" t="str">
        <f t="shared" si="87"/>
        <v/>
      </c>
      <c r="BD689" s="149" t="str">
        <f>IF('Cable Info'!T549="","",CONCATENATE('Cable Info'!T549," - ",'Cable Info'!U549))</f>
        <v/>
      </c>
      <c r="BG689" s="149" t="str">
        <f t="shared" si="88"/>
        <v/>
      </c>
      <c r="BI689" s="149" t="str">
        <f>IF('Cable Info'!V549="","",CONCATENATE('Cable Info'!V549," - ",'Cable Info'!W549))</f>
        <v/>
      </c>
      <c r="BL689" s="149" t="str">
        <f t="shared" si="89"/>
        <v/>
      </c>
    </row>
    <row r="690" spans="1:64" x14ac:dyDescent="0.2">
      <c r="A690" s="180"/>
      <c r="B690" s="180"/>
      <c r="C690" s="180"/>
      <c r="D690" s="180"/>
      <c r="E690" s="180"/>
      <c r="F690" s="187"/>
      <c r="G690" s="180"/>
      <c r="H690" s="180"/>
      <c r="I690" s="180"/>
      <c r="J690" s="187"/>
      <c r="K690" s="180"/>
      <c r="L690" s="180"/>
      <c r="M690" s="180"/>
      <c r="N690" s="180"/>
      <c r="O690" s="218"/>
      <c r="P690" s="180"/>
      <c r="Q690" s="188"/>
      <c r="R690" s="180"/>
      <c r="S690" s="180"/>
      <c r="T690" s="180"/>
      <c r="U690" s="180"/>
      <c r="V690" s="180"/>
      <c r="W690" s="180"/>
      <c r="X690" s="201"/>
      <c r="AJ690" s="149" t="str">
        <f>IF('Cable Info'!L550="","",CONCATENATE('Cable Info'!L550," - ",'Cable Info'!M550))</f>
        <v/>
      </c>
      <c r="AM690" s="149" t="str">
        <f t="shared" si="84"/>
        <v/>
      </c>
      <c r="AO690" s="149" t="str">
        <f>IF('Cable Info'!N550="","",CONCATENATE('Cable Info'!N550," - ",'Cable Info'!O550))</f>
        <v/>
      </c>
      <c r="AR690" s="149" t="str">
        <f t="shared" si="85"/>
        <v/>
      </c>
      <c r="AT690" s="149" t="str">
        <f>IF('Cable Info'!P550="","",CONCATENATE('Cable Info'!P550," - ",'Cable Info'!Q550))</f>
        <v/>
      </c>
      <c r="AW690" s="149" t="str">
        <f t="shared" si="86"/>
        <v/>
      </c>
      <c r="AY690" s="149" t="str">
        <f>IF('Cable Info'!R550="","",CONCATENATE('Cable Info'!R550," - ",'Cable Info'!S550))</f>
        <v/>
      </c>
      <c r="BB690" s="149" t="str">
        <f t="shared" si="87"/>
        <v/>
      </c>
      <c r="BD690" s="149" t="str">
        <f>IF('Cable Info'!T550="","",CONCATENATE('Cable Info'!T550," - ",'Cable Info'!U550))</f>
        <v/>
      </c>
      <c r="BG690" s="149" t="str">
        <f t="shared" si="88"/>
        <v/>
      </c>
      <c r="BI690" s="149" t="str">
        <f>IF('Cable Info'!V550="","",CONCATENATE('Cable Info'!V550," - ",'Cable Info'!W550))</f>
        <v/>
      </c>
      <c r="BL690" s="149" t="str">
        <f t="shared" si="89"/>
        <v/>
      </c>
    </row>
    <row r="691" spans="1:64" x14ac:dyDescent="0.2">
      <c r="A691" s="180"/>
      <c r="B691" s="180"/>
      <c r="C691" s="180"/>
      <c r="D691" s="180"/>
      <c r="E691" s="180"/>
      <c r="F691" s="187"/>
      <c r="G691" s="180"/>
      <c r="H691" s="180"/>
      <c r="I691" s="180"/>
      <c r="J691" s="187"/>
      <c r="K691" s="180"/>
      <c r="L691" s="180"/>
      <c r="M691" s="180"/>
      <c r="N691" s="180"/>
      <c r="O691" s="218"/>
      <c r="P691" s="180"/>
      <c r="Q691" s="188"/>
      <c r="R691" s="180"/>
      <c r="S691" s="180"/>
      <c r="T691" s="180"/>
      <c r="U691" s="180"/>
      <c r="V691" s="180"/>
      <c r="W691" s="180"/>
      <c r="X691" s="201"/>
      <c r="AJ691" s="149" t="str">
        <f>IF('Cable Info'!L551="","",CONCATENATE('Cable Info'!L551," - ",'Cable Info'!M551))</f>
        <v/>
      </c>
      <c r="AM691" s="149" t="str">
        <f t="shared" si="84"/>
        <v/>
      </c>
      <c r="AO691" s="149" t="str">
        <f>IF('Cable Info'!N551="","",CONCATENATE('Cable Info'!N551," - ",'Cable Info'!O551))</f>
        <v/>
      </c>
      <c r="AR691" s="149" t="str">
        <f t="shared" si="85"/>
        <v/>
      </c>
      <c r="AT691" s="149" t="str">
        <f>IF('Cable Info'!P551="","",CONCATENATE('Cable Info'!P551," - ",'Cable Info'!Q551))</f>
        <v/>
      </c>
      <c r="AW691" s="149" t="str">
        <f t="shared" si="86"/>
        <v/>
      </c>
      <c r="AY691" s="149" t="str">
        <f>IF('Cable Info'!R551="","",CONCATENATE('Cable Info'!R551," - ",'Cable Info'!S551))</f>
        <v/>
      </c>
      <c r="BB691" s="149" t="str">
        <f t="shared" si="87"/>
        <v/>
      </c>
      <c r="BD691" s="149" t="str">
        <f>IF('Cable Info'!T551="","",CONCATENATE('Cable Info'!T551," - ",'Cable Info'!U551))</f>
        <v/>
      </c>
      <c r="BG691" s="149" t="str">
        <f t="shared" si="88"/>
        <v/>
      </c>
      <c r="BI691" s="149" t="str">
        <f>IF('Cable Info'!V551="","",CONCATENATE('Cable Info'!V551," - ",'Cable Info'!W551))</f>
        <v/>
      </c>
      <c r="BL691" s="149" t="str">
        <f t="shared" si="89"/>
        <v/>
      </c>
    </row>
    <row r="692" spans="1:64" x14ac:dyDescent="0.2">
      <c r="A692" s="180"/>
      <c r="B692" s="180"/>
      <c r="C692" s="180"/>
      <c r="D692" s="180"/>
      <c r="E692" s="180"/>
      <c r="F692" s="187"/>
      <c r="G692" s="180"/>
      <c r="H692" s="180"/>
      <c r="I692" s="180"/>
      <c r="J692" s="187"/>
      <c r="K692" s="180"/>
      <c r="L692" s="180"/>
      <c r="M692" s="180"/>
      <c r="N692" s="180"/>
      <c r="O692" s="218"/>
      <c r="P692" s="180"/>
      <c r="Q692" s="188"/>
      <c r="R692" s="180"/>
      <c r="S692" s="180"/>
      <c r="T692" s="180"/>
      <c r="U692" s="180"/>
      <c r="V692" s="180"/>
      <c r="W692" s="180"/>
      <c r="X692" s="201"/>
      <c r="AJ692" s="149" t="str">
        <f>IF('Cable Info'!L552="","",CONCATENATE('Cable Info'!L552," - ",'Cable Info'!M552))</f>
        <v/>
      </c>
      <c r="AM692" s="149" t="str">
        <f t="shared" si="84"/>
        <v/>
      </c>
      <c r="AO692" s="149" t="str">
        <f>IF('Cable Info'!N552="","",CONCATENATE('Cable Info'!N552," - ",'Cable Info'!O552))</f>
        <v/>
      </c>
      <c r="AR692" s="149" t="str">
        <f t="shared" si="85"/>
        <v/>
      </c>
      <c r="AT692" s="149" t="str">
        <f>IF('Cable Info'!P552="","",CONCATENATE('Cable Info'!P552," - ",'Cable Info'!Q552))</f>
        <v/>
      </c>
      <c r="AW692" s="149" t="str">
        <f t="shared" si="86"/>
        <v/>
      </c>
      <c r="AY692" s="149" t="str">
        <f>IF('Cable Info'!R552="","",CONCATENATE('Cable Info'!R552," - ",'Cable Info'!S552))</f>
        <v/>
      </c>
      <c r="BB692" s="149" t="str">
        <f t="shared" si="87"/>
        <v/>
      </c>
      <c r="BD692" s="149" t="str">
        <f>IF('Cable Info'!T552="","",CONCATENATE('Cable Info'!T552," - ",'Cable Info'!U552))</f>
        <v/>
      </c>
      <c r="BG692" s="149" t="str">
        <f t="shared" si="88"/>
        <v/>
      </c>
      <c r="BI692" s="149" t="str">
        <f>IF('Cable Info'!V552="","",CONCATENATE('Cable Info'!V552," - ",'Cable Info'!W552))</f>
        <v/>
      </c>
      <c r="BL692" s="149" t="str">
        <f t="shared" si="89"/>
        <v/>
      </c>
    </row>
    <row r="693" spans="1:64" x14ac:dyDescent="0.2">
      <c r="A693" s="180"/>
      <c r="B693" s="180"/>
      <c r="C693" s="180"/>
      <c r="D693" s="180"/>
      <c r="E693" s="180"/>
      <c r="F693" s="187"/>
      <c r="G693" s="180"/>
      <c r="H693" s="180"/>
      <c r="I693" s="180"/>
      <c r="J693" s="187"/>
      <c r="K693" s="180"/>
      <c r="L693" s="180"/>
      <c r="M693" s="180"/>
      <c r="N693" s="180"/>
      <c r="O693" s="218"/>
      <c r="P693" s="180"/>
      <c r="Q693" s="188"/>
      <c r="R693" s="180"/>
      <c r="S693" s="180"/>
      <c r="T693" s="180"/>
      <c r="U693" s="180"/>
      <c r="V693" s="180"/>
      <c r="W693" s="180"/>
      <c r="X693" s="201"/>
      <c r="AJ693" s="149" t="str">
        <f>IF('Cable Info'!L553="","",CONCATENATE('Cable Info'!L553," - ",'Cable Info'!M553))</f>
        <v/>
      </c>
      <c r="AM693" s="149" t="str">
        <f t="shared" si="84"/>
        <v/>
      </c>
      <c r="AO693" s="149" t="str">
        <f>IF('Cable Info'!N553="","",CONCATENATE('Cable Info'!N553," - ",'Cable Info'!O553))</f>
        <v/>
      </c>
      <c r="AR693" s="149" t="str">
        <f t="shared" si="85"/>
        <v/>
      </c>
      <c r="AT693" s="149" t="str">
        <f>IF('Cable Info'!P553="","",CONCATENATE('Cable Info'!P553," - ",'Cable Info'!Q553))</f>
        <v/>
      </c>
      <c r="AW693" s="149" t="str">
        <f t="shared" si="86"/>
        <v/>
      </c>
      <c r="AY693" s="149" t="str">
        <f>IF('Cable Info'!R553="","",CONCATENATE('Cable Info'!R553," - ",'Cable Info'!S553))</f>
        <v/>
      </c>
      <c r="BB693" s="149" t="str">
        <f t="shared" si="87"/>
        <v/>
      </c>
      <c r="BD693" s="149" t="str">
        <f>IF('Cable Info'!T553="","",CONCATENATE('Cable Info'!T553," - ",'Cable Info'!U553))</f>
        <v/>
      </c>
      <c r="BG693" s="149" t="str">
        <f t="shared" si="88"/>
        <v/>
      </c>
      <c r="BI693" s="149" t="str">
        <f>IF('Cable Info'!V553="","",CONCATENATE('Cable Info'!V553," - ",'Cable Info'!W553))</f>
        <v/>
      </c>
      <c r="BL693" s="149" t="str">
        <f t="shared" si="89"/>
        <v/>
      </c>
    </row>
    <row r="694" spans="1:64" x14ac:dyDescent="0.2">
      <c r="A694" s="180"/>
      <c r="B694" s="180"/>
      <c r="C694" s="180"/>
      <c r="D694" s="180"/>
      <c r="E694" s="180"/>
      <c r="F694" s="187"/>
      <c r="G694" s="180"/>
      <c r="H694" s="180"/>
      <c r="I694" s="180"/>
      <c r="J694" s="187"/>
      <c r="K694" s="180"/>
      <c r="L694" s="180"/>
      <c r="M694" s="180"/>
      <c r="N694" s="180"/>
      <c r="O694" s="218"/>
      <c r="P694" s="180"/>
      <c r="Q694" s="188"/>
      <c r="R694" s="180"/>
      <c r="S694" s="180"/>
      <c r="T694" s="180"/>
      <c r="U694" s="180"/>
      <c r="V694" s="180"/>
      <c r="W694" s="180"/>
      <c r="X694" s="201"/>
      <c r="AJ694" s="149" t="str">
        <f>IF('Cable Info'!L554="","",CONCATENATE('Cable Info'!L554," - ",'Cable Info'!M554))</f>
        <v/>
      </c>
      <c r="AM694" s="149" t="str">
        <f t="shared" si="84"/>
        <v/>
      </c>
      <c r="AO694" s="149" t="str">
        <f>IF('Cable Info'!N554="","",CONCATENATE('Cable Info'!N554," - ",'Cable Info'!O554))</f>
        <v/>
      </c>
      <c r="AR694" s="149" t="str">
        <f t="shared" si="85"/>
        <v/>
      </c>
      <c r="AT694" s="149" t="str">
        <f>IF('Cable Info'!P554="","",CONCATENATE('Cable Info'!P554," - ",'Cable Info'!Q554))</f>
        <v/>
      </c>
      <c r="AW694" s="149" t="str">
        <f t="shared" si="86"/>
        <v/>
      </c>
      <c r="AY694" s="149" t="str">
        <f>IF('Cable Info'!R554="","",CONCATENATE('Cable Info'!R554," - ",'Cable Info'!S554))</f>
        <v/>
      </c>
      <c r="BB694" s="149" t="str">
        <f t="shared" si="87"/>
        <v/>
      </c>
      <c r="BD694" s="149" t="str">
        <f>IF('Cable Info'!T554="","",CONCATENATE('Cable Info'!T554," - ",'Cable Info'!U554))</f>
        <v/>
      </c>
      <c r="BG694" s="149" t="str">
        <f t="shared" si="88"/>
        <v/>
      </c>
      <c r="BI694" s="149" t="str">
        <f>IF('Cable Info'!V554="","",CONCATENATE('Cable Info'!V554," - ",'Cable Info'!W554))</f>
        <v/>
      </c>
      <c r="BL694" s="149" t="str">
        <f t="shared" si="89"/>
        <v/>
      </c>
    </row>
    <row r="695" spans="1:64" x14ac:dyDescent="0.2">
      <c r="A695" s="180"/>
      <c r="B695" s="180"/>
      <c r="C695" s="180"/>
      <c r="D695" s="180"/>
      <c r="E695" s="180"/>
      <c r="F695" s="187"/>
      <c r="G695" s="180"/>
      <c r="H695" s="180"/>
      <c r="I695" s="180"/>
      <c r="J695" s="187"/>
      <c r="K695" s="180"/>
      <c r="L695" s="180"/>
      <c r="M695" s="180"/>
      <c r="N695" s="180"/>
      <c r="O695" s="218"/>
      <c r="P695" s="180"/>
      <c r="Q695" s="188"/>
      <c r="R695" s="180"/>
      <c r="S695" s="180"/>
      <c r="T695" s="180"/>
      <c r="U695" s="180"/>
      <c r="V695" s="180"/>
      <c r="W695" s="180"/>
      <c r="X695" s="201"/>
      <c r="AJ695" s="149" t="str">
        <f>IF('Cable Info'!L555="","",CONCATENATE('Cable Info'!L555," - ",'Cable Info'!M555))</f>
        <v/>
      </c>
      <c r="AM695" s="149" t="str">
        <f t="shared" si="84"/>
        <v/>
      </c>
      <c r="AO695" s="149" t="str">
        <f>IF('Cable Info'!N555="","",CONCATENATE('Cable Info'!N555," - ",'Cable Info'!O555))</f>
        <v/>
      </c>
      <c r="AR695" s="149" t="str">
        <f t="shared" si="85"/>
        <v/>
      </c>
      <c r="AT695" s="149" t="str">
        <f>IF('Cable Info'!P555="","",CONCATENATE('Cable Info'!P555," - ",'Cable Info'!Q555))</f>
        <v/>
      </c>
      <c r="AW695" s="149" t="str">
        <f t="shared" si="86"/>
        <v/>
      </c>
      <c r="AY695" s="149" t="str">
        <f>IF('Cable Info'!R555="","",CONCATENATE('Cable Info'!R555," - ",'Cable Info'!S555))</f>
        <v/>
      </c>
      <c r="BB695" s="149" t="str">
        <f t="shared" si="87"/>
        <v/>
      </c>
      <c r="BD695" s="149" t="str">
        <f>IF('Cable Info'!T555="","",CONCATENATE('Cable Info'!T555," - ",'Cable Info'!U555))</f>
        <v/>
      </c>
      <c r="BG695" s="149" t="str">
        <f t="shared" si="88"/>
        <v/>
      </c>
      <c r="BI695" s="149" t="str">
        <f>IF('Cable Info'!V555="","",CONCATENATE('Cable Info'!V555," - ",'Cable Info'!W555))</f>
        <v/>
      </c>
      <c r="BL695" s="149" t="str">
        <f t="shared" si="89"/>
        <v/>
      </c>
    </row>
    <row r="696" spans="1:64" x14ac:dyDescent="0.2">
      <c r="A696" s="180"/>
      <c r="B696" s="180"/>
      <c r="C696" s="180"/>
      <c r="D696" s="180"/>
      <c r="E696" s="180"/>
      <c r="F696" s="187"/>
      <c r="G696" s="180"/>
      <c r="H696" s="180"/>
      <c r="I696" s="180"/>
      <c r="J696" s="187"/>
      <c r="K696" s="180"/>
      <c r="L696" s="180"/>
      <c r="M696" s="180"/>
      <c r="N696" s="180"/>
      <c r="O696" s="218"/>
      <c r="P696" s="180"/>
      <c r="Q696" s="188"/>
      <c r="R696" s="180"/>
      <c r="S696" s="180"/>
      <c r="T696" s="180"/>
      <c r="U696" s="180"/>
      <c r="V696" s="180"/>
      <c r="W696" s="180"/>
      <c r="X696" s="201"/>
      <c r="AJ696" s="149" t="str">
        <f>IF('Cable Info'!L556="","",CONCATENATE('Cable Info'!L556," - ",'Cable Info'!M556))</f>
        <v/>
      </c>
      <c r="AM696" s="149" t="str">
        <f t="shared" si="84"/>
        <v/>
      </c>
      <c r="AO696" s="149" t="str">
        <f>IF('Cable Info'!N556="","",CONCATENATE('Cable Info'!N556," - ",'Cable Info'!O556))</f>
        <v/>
      </c>
      <c r="AR696" s="149" t="str">
        <f t="shared" si="85"/>
        <v/>
      </c>
      <c r="AT696" s="149" t="str">
        <f>IF('Cable Info'!P556="","",CONCATENATE('Cable Info'!P556," - ",'Cable Info'!Q556))</f>
        <v/>
      </c>
      <c r="AW696" s="149" t="str">
        <f t="shared" si="86"/>
        <v/>
      </c>
      <c r="AY696" s="149" t="str">
        <f>IF('Cable Info'!R556="","",CONCATENATE('Cable Info'!R556," - ",'Cable Info'!S556))</f>
        <v/>
      </c>
      <c r="BB696" s="149" t="str">
        <f t="shared" si="87"/>
        <v/>
      </c>
      <c r="BD696" s="149" t="str">
        <f>IF('Cable Info'!T556="","",CONCATENATE('Cable Info'!T556," - ",'Cable Info'!U556))</f>
        <v/>
      </c>
      <c r="BG696" s="149" t="str">
        <f t="shared" si="88"/>
        <v/>
      </c>
      <c r="BI696" s="149" t="str">
        <f>IF('Cable Info'!V556="","",CONCATENATE('Cable Info'!V556," - ",'Cable Info'!W556))</f>
        <v/>
      </c>
      <c r="BL696" s="149" t="str">
        <f t="shared" si="89"/>
        <v/>
      </c>
    </row>
    <row r="697" spans="1:64" x14ac:dyDescent="0.2">
      <c r="A697" s="180"/>
      <c r="B697" s="180"/>
      <c r="C697" s="180"/>
      <c r="D697" s="180"/>
      <c r="E697" s="180"/>
      <c r="F697" s="187"/>
      <c r="G697" s="180"/>
      <c r="H697" s="180"/>
      <c r="I697" s="180"/>
      <c r="J697" s="187"/>
      <c r="K697" s="180"/>
      <c r="L697" s="180"/>
      <c r="M697" s="180"/>
      <c r="N697" s="180"/>
      <c r="O697" s="218"/>
      <c r="P697" s="180"/>
      <c r="Q697" s="188"/>
      <c r="R697" s="180"/>
      <c r="S697" s="180"/>
      <c r="T697" s="180"/>
      <c r="U697" s="180"/>
      <c r="V697" s="180"/>
      <c r="W697" s="180"/>
      <c r="X697" s="201"/>
      <c r="AJ697" s="149" t="str">
        <f>IF('Cable Info'!L557="","",CONCATENATE('Cable Info'!L557," - ",'Cable Info'!M557))</f>
        <v/>
      </c>
      <c r="AM697" s="149" t="str">
        <f t="shared" si="84"/>
        <v/>
      </c>
      <c r="AO697" s="149" t="str">
        <f>IF('Cable Info'!N557="","",CONCATENATE('Cable Info'!N557," - ",'Cable Info'!O557))</f>
        <v/>
      </c>
      <c r="AR697" s="149" t="str">
        <f t="shared" si="85"/>
        <v/>
      </c>
      <c r="AT697" s="149" t="str">
        <f>IF('Cable Info'!P557="","",CONCATENATE('Cable Info'!P557," - ",'Cable Info'!Q557))</f>
        <v/>
      </c>
      <c r="AW697" s="149" t="str">
        <f t="shared" si="86"/>
        <v/>
      </c>
      <c r="AY697" s="149" t="str">
        <f>IF('Cable Info'!R557="","",CONCATENATE('Cable Info'!R557," - ",'Cable Info'!S557))</f>
        <v/>
      </c>
      <c r="BB697" s="149" t="str">
        <f t="shared" si="87"/>
        <v/>
      </c>
      <c r="BD697" s="149" t="str">
        <f>IF('Cable Info'!T557="","",CONCATENATE('Cable Info'!T557," - ",'Cable Info'!U557))</f>
        <v/>
      </c>
      <c r="BG697" s="149" t="str">
        <f t="shared" si="88"/>
        <v/>
      </c>
      <c r="BI697" s="149" t="str">
        <f>IF('Cable Info'!V557="","",CONCATENATE('Cable Info'!V557," - ",'Cable Info'!W557))</f>
        <v/>
      </c>
      <c r="BL697" s="149" t="str">
        <f t="shared" si="89"/>
        <v/>
      </c>
    </row>
    <row r="698" spans="1:64" x14ac:dyDescent="0.2">
      <c r="A698" s="180"/>
      <c r="B698" s="180"/>
      <c r="C698" s="180"/>
      <c r="D698" s="180"/>
      <c r="E698" s="180"/>
      <c r="F698" s="187"/>
      <c r="G698" s="180"/>
      <c r="H698" s="180"/>
      <c r="I698" s="180"/>
      <c r="J698" s="187"/>
      <c r="K698" s="180"/>
      <c r="L698" s="180"/>
      <c r="M698" s="180"/>
      <c r="N698" s="180"/>
      <c r="O698" s="218"/>
      <c r="P698" s="180"/>
      <c r="Q698" s="188"/>
      <c r="R698" s="180"/>
      <c r="S698" s="180"/>
      <c r="T698" s="180"/>
      <c r="U698" s="180"/>
      <c r="V698" s="180"/>
      <c r="W698" s="180"/>
      <c r="X698" s="201"/>
      <c r="AJ698" s="149" t="str">
        <f>IF('Cable Info'!L558="","",CONCATENATE('Cable Info'!L558," - ",'Cable Info'!M558))</f>
        <v/>
      </c>
      <c r="AM698" s="149" t="str">
        <f t="shared" si="84"/>
        <v/>
      </c>
      <c r="AO698" s="149" t="str">
        <f>IF('Cable Info'!N558="","",CONCATENATE('Cable Info'!N558," - ",'Cable Info'!O558))</f>
        <v/>
      </c>
      <c r="AR698" s="149" t="str">
        <f t="shared" si="85"/>
        <v/>
      </c>
      <c r="AT698" s="149" t="str">
        <f>IF('Cable Info'!P558="","",CONCATENATE('Cable Info'!P558," - ",'Cable Info'!Q558))</f>
        <v/>
      </c>
      <c r="AW698" s="149" t="str">
        <f t="shared" si="86"/>
        <v/>
      </c>
      <c r="AY698" s="149" t="str">
        <f>IF('Cable Info'!R558="","",CONCATENATE('Cable Info'!R558," - ",'Cable Info'!S558))</f>
        <v/>
      </c>
      <c r="BB698" s="149" t="str">
        <f t="shared" si="87"/>
        <v/>
      </c>
      <c r="BD698" s="149" t="str">
        <f>IF('Cable Info'!T558="","",CONCATENATE('Cable Info'!T558," - ",'Cable Info'!U558))</f>
        <v/>
      </c>
      <c r="BG698" s="149" t="str">
        <f t="shared" si="88"/>
        <v/>
      </c>
      <c r="BI698" s="149" t="str">
        <f>IF('Cable Info'!V558="","",CONCATENATE('Cable Info'!V558," - ",'Cable Info'!W558))</f>
        <v/>
      </c>
      <c r="BL698" s="149" t="str">
        <f t="shared" si="89"/>
        <v/>
      </c>
    </row>
    <row r="699" spans="1:64" x14ac:dyDescent="0.2">
      <c r="A699" s="180"/>
      <c r="B699" s="180"/>
      <c r="C699" s="180"/>
      <c r="D699" s="180"/>
      <c r="E699" s="180"/>
      <c r="F699" s="187"/>
      <c r="G699" s="180"/>
      <c r="H699" s="180"/>
      <c r="I699" s="180"/>
      <c r="J699" s="187"/>
      <c r="K699" s="180"/>
      <c r="L699" s="180"/>
      <c r="M699" s="180"/>
      <c r="N699" s="180"/>
      <c r="O699" s="218"/>
      <c r="P699" s="180"/>
      <c r="Q699" s="188"/>
      <c r="R699" s="180"/>
      <c r="S699" s="180"/>
      <c r="T699" s="180"/>
      <c r="U699" s="180"/>
      <c r="V699" s="180"/>
      <c r="W699" s="180"/>
      <c r="X699" s="201"/>
      <c r="AJ699" s="149" t="str">
        <f>IF('Cable Info'!L559="","",CONCATENATE('Cable Info'!L559," - ",'Cable Info'!M559))</f>
        <v/>
      </c>
      <c r="AM699" s="149" t="str">
        <f t="shared" si="84"/>
        <v/>
      </c>
      <c r="AO699" s="149" t="str">
        <f>IF('Cable Info'!N559="","",CONCATENATE('Cable Info'!N559," - ",'Cable Info'!O559))</f>
        <v/>
      </c>
      <c r="AR699" s="149" t="str">
        <f t="shared" si="85"/>
        <v/>
      </c>
      <c r="AT699" s="149" t="str">
        <f>IF('Cable Info'!P559="","",CONCATENATE('Cable Info'!P559," - ",'Cable Info'!Q559))</f>
        <v/>
      </c>
      <c r="AW699" s="149" t="str">
        <f t="shared" si="86"/>
        <v/>
      </c>
      <c r="AY699" s="149" t="str">
        <f>IF('Cable Info'!R559="","",CONCATENATE('Cable Info'!R559," - ",'Cable Info'!S559))</f>
        <v/>
      </c>
      <c r="BB699" s="149" t="str">
        <f t="shared" si="87"/>
        <v/>
      </c>
      <c r="BD699" s="149" t="str">
        <f>IF('Cable Info'!T559="","",CONCATENATE('Cable Info'!T559," - ",'Cable Info'!U559))</f>
        <v/>
      </c>
      <c r="BG699" s="149" t="str">
        <f t="shared" si="88"/>
        <v/>
      </c>
      <c r="BI699" s="149" t="str">
        <f>IF('Cable Info'!V559="","",CONCATENATE('Cable Info'!V559," - ",'Cable Info'!W559))</f>
        <v/>
      </c>
      <c r="BL699" s="149" t="str">
        <f t="shared" si="89"/>
        <v/>
      </c>
    </row>
    <row r="700" spans="1:64" x14ac:dyDescent="0.2">
      <c r="A700" s="180"/>
      <c r="B700" s="180"/>
      <c r="C700" s="180"/>
      <c r="D700" s="180"/>
      <c r="E700" s="180"/>
      <c r="F700" s="187"/>
      <c r="G700" s="180"/>
      <c r="H700" s="180"/>
      <c r="I700" s="180"/>
      <c r="J700" s="187"/>
      <c r="K700" s="180"/>
      <c r="L700" s="180"/>
      <c r="M700" s="180"/>
      <c r="N700" s="180"/>
      <c r="O700" s="218"/>
      <c r="P700" s="180"/>
      <c r="Q700" s="188"/>
      <c r="R700" s="180"/>
      <c r="S700" s="180"/>
      <c r="T700" s="180"/>
      <c r="U700" s="180"/>
      <c r="V700" s="180"/>
      <c r="W700" s="180"/>
      <c r="X700" s="201"/>
      <c r="AJ700" s="149" t="str">
        <f>IF('Cable Info'!L560="","",CONCATENATE('Cable Info'!L560," - ",'Cable Info'!M560))</f>
        <v/>
      </c>
      <c r="AM700" s="149" t="str">
        <f t="shared" si="84"/>
        <v/>
      </c>
      <c r="AO700" s="149" t="str">
        <f>IF('Cable Info'!N560="","",CONCATENATE('Cable Info'!N560," - ",'Cable Info'!O560))</f>
        <v/>
      </c>
      <c r="AR700" s="149" t="str">
        <f t="shared" si="85"/>
        <v/>
      </c>
      <c r="AT700" s="149" t="str">
        <f>IF('Cable Info'!P560="","",CONCATENATE('Cable Info'!P560," - ",'Cable Info'!Q560))</f>
        <v/>
      </c>
      <c r="AW700" s="149" t="str">
        <f t="shared" si="86"/>
        <v/>
      </c>
      <c r="AY700" s="149" t="str">
        <f>IF('Cable Info'!R560="","",CONCATENATE('Cable Info'!R560," - ",'Cable Info'!S560))</f>
        <v/>
      </c>
      <c r="BB700" s="149" t="str">
        <f t="shared" si="87"/>
        <v/>
      </c>
      <c r="BD700" s="149" t="str">
        <f>IF('Cable Info'!T560="","",CONCATENATE('Cable Info'!T560," - ",'Cable Info'!U560))</f>
        <v/>
      </c>
      <c r="BG700" s="149" t="str">
        <f t="shared" si="88"/>
        <v/>
      </c>
      <c r="BI700" s="149" t="str">
        <f>IF('Cable Info'!V560="","",CONCATENATE('Cable Info'!V560," - ",'Cable Info'!W560))</f>
        <v/>
      </c>
      <c r="BL700" s="149" t="str">
        <f t="shared" si="89"/>
        <v/>
      </c>
    </row>
    <row r="701" spans="1:64" x14ac:dyDescent="0.2">
      <c r="A701" s="180"/>
      <c r="B701" s="180"/>
      <c r="C701" s="180"/>
      <c r="D701" s="180"/>
      <c r="E701" s="180"/>
      <c r="F701" s="187"/>
      <c r="G701" s="180"/>
      <c r="H701" s="180"/>
      <c r="I701" s="180"/>
      <c r="J701" s="187"/>
      <c r="K701" s="180"/>
      <c r="L701" s="180"/>
      <c r="M701" s="180"/>
      <c r="N701" s="180"/>
      <c r="O701" s="218"/>
      <c r="P701" s="180"/>
      <c r="Q701" s="188"/>
      <c r="R701" s="180"/>
      <c r="S701" s="180"/>
      <c r="T701" s="180"/>
      <c r="U701" s="180"/>
      <c r="V701" s="180"/>
      <c r="W701" s="180"/>
      <c r="X701" s="201"/>
      <c r="AJ701" s="149" t="str">
        <f>IF('Cable Info'!L561="","",CONCATENATE('Cable Info'!L561," - ",'Cable Info'!M561))</f>
        <v/>
      </c>
      <c r="AM701" s="149" t="str">
        <f t="shared" si="84"/>
        <v/>
      </c>
      <c r="AO701" s="149" t="str">
        <f>IF('Cable Info'!N561="","",CONCATENATE('Cable Info'!N561," - ",'Cable Info'!O561))</f>
        <v/>
      </c>
      <c r="AR701" s="149" t="str">
        <f t="shared" si="85"/>
        <v/>
      </c>
      <c r="AT701" s="149" t="str">
        <f>IF('Cable Info'!P561="","",CONCATENATE('Cable Info'!P561," - ",'Cable Info'!Q561))</f>
        <v/>
      </c>
      <c r="AW701" s="149" t="str">
        <f t="shared" si="86"/>
        <v/>
      </c>
      <c r="AY701" s="149" t="str">
        <f>IF('Cable Info'!R561="","",CONCATENATE('Cable Info'!R561," - ",'Cable Info'!S561))</f>
        <v/>
      </c>
      <c r="BB701" s="149" t="str">
        <f t="shared" si="87"/>
        <v/>
      </c>
      <c r="BD701" s="149" t="str">
        <f>IF('Cable Info'!T561="","",CONCATENATE('Cable Info'!T561," - ",'Cable Info'!U561))</f>
        <v/>
      </c>
      <c r="BG701" s="149" t="str">
        <f t="shared" si="88"/>
        <v/>
      </c>
      <c r="BI701" s="149" t="str">
        <f>IF('Cable Info'!V561="","",CONCATENATE('Cable Info'!V561," - ",'Cable Info'!W561))</f>
        <v/>
      </c>
      <c r="BL701" s="149" t="str">
        <f t="shared" si="89"/>
        <v/>
      </c>
    </row>
    <row r="702" spans="1:64" x14ac:dyDescent="0.2">
      <c r="A702" s="180"/>
      <c r="B702" s="180"/>
      <c r="C702" s="180"/>
      <c r="D702" s="180"/>
      <c r="E702" s="180"/>
      <c r="F702" s="187"/>
      <c r="G702" s="180"/>
      <c r="H702" s="180"/>
      <c r="I702" s="180"/>
      <c r="J702" s="187"/>
      <c r="K702" s="180"/>
      <c r="L702" s="180"/>
      <c r="M702" s="180"/>
      <c r="N702" s="180"/>
      <c r="O702" s="218"/>
      <c r="P702" s="180"/>
      <c r="Q702" s="188"/>
      <c r="R702" s="180"/>
      <c r="S702" s="180"/>
      <c r="T702" s="180"/>
      <c r="U702" s="180"/>
      <c r="V702" s="180"/>
      <c r="W702" s="180"/>
      <c r="X702" s="201"/>
      <c r="AJ702" s="149" t="str">
        <f>IF('Cable Info'!L562="","",CONCATENATE('Cable Info'!L562," - ",'Cable Info'!M562))</f>
        <v/>
      </c>
      <c r="AM702" s="149" t="str">
        <f t="shared" si="84"/>
        <v/>
      </c>
      <c r="AO702" s="149" t="str">
        <f>IF('Cable Info'!N562="","",CONCATENATE('Cable Info'!N562," - ",'Cable Info'!O562))</f>
        <v/>
      </c>
      <c r="AR702" s="149" t="str">
        <f t="shared" si="85"/>
        <v/>
      </c>
      <c r="AT702" s="149" t="str">
        <f>IF('Cable Info'!P562="","",CONCATENATE('Cable Info'!P562," - ",'Cable Info'!Q562))</f>
        <v/>
      </c>
      <c r="AW702" s="149" t="str">
        <f t="shared" si="86"/>
        <v/>
      </c>
      <c r="AY702" s="149" t="str">
        <f>IF('Cable Info'!R562="","",CONCATENATE('Cable Info'!R562," - ",'Cable Info'!S562))</f>
        <v/>
      </c>
      <c r="BB702" s="149" t="str">
        <f t="shared" si="87"/>
        <v/>
      </c>
      <c r="BD702" s="149" t="str">
        <f>IF('Cable Info'!T562="","",CONCATENATE('Cable Info'!T562," - ",'Cable Info'!U562))</f>
        <v/>
      </c>
      <c r="BG702" s="149" t="str">
        <f t="shared" si="88"/>
        <v/>
      </c>
      <c r="BI702" s="149" t="str">
        <f>IF('Cable Info'!V562="","",CONCATENATE('Cable Info'!V562," - ",'Cable Info'!W562))</f>
        <v/>
      </c>
      <c r="BL702" s="149" t="str">
        <f t="shared" si="89"/>
        <v/>
      </c>
    </row>
    <row r="703" spans="1:64" x14ac:dyDescent="0.2">
      <c r="A703" s="180"/>
      <c r="B703" s="180"/>
      <c r="C703" s="180"/>
      <c r="D703" s="180"/>
      <c r="E703" s="180"/>
      <c r="F703" s="187"/>
      <c r="G703" s="180"/>
      <c r="H703" s="180"/>
      <c r="I703" s="180"/>
      <c r="J703" s="187"/>
      <c r="K703" s="180"/>
      <c r="L703" s="180"/>
      <c r="M703" s="180"/>
      <c r="N703" s="180"/>
      <c r="O703" s="218"/>
      <c r="P703" s="180"/>
      <c r="Q703" s="188"/>
      <c r="R703" s="180"/>
      <c r="S703" s="180"/>
      <c r="T703" s="180"/>
      <c r="U703" s="180"/>
      <c r="V703" s="180"/>
      <c r="W703" s="180"/>
      <c r="X703" s="201"/>
      <c r="AJ703" s="149" t="str">
        <f>IF('Cable Info'!L563="","",CONCATENATE('Cable Info'!L563," - ",'Cable Info'!M563))</f>
        <v/>
      </c>
      <c r="AM703" s="149" t="str">
        <f t="shared" si="84"/>
        <v/>
      </c>
      <c r="AO703" s="149" t="str">
        <f>IF('Cable Info'!N563="","",CONCATENATE('Cable Info'!N563," - ",'Cable Info'!O563))</f>
        <v/>
      </c>
      <c r="AR703" s="149" t="str">
        <f t="shared" si="85"/>
        <v/>
      </c>
      <c r="AT703" s="149" t="str">
        <f>IF('Cable Info'!P563="","",CONCATENATE('Cable Info'!P563," - ",'Cable Info'!Q563))</f>
        <v/>
      </c>
      <c r="AW703" s="149" t="str">
        <f t="shared" si="86"/>
        <v/>
      </c>
      <c r="AY703" s="149" t="str">
        <f>IF('Cable Info'!R563="","",CONCATENATE('Cable Info'!R563," - ",'Cable Info'!S563))</f>
        <v/>
      </c>
      <c r="BB703" s="149" t="str">
        <f t="shared" si="87"/>
        <v/>
      </c>
      <c r="BD703" s="149" t="str">
        <f>IF('Cable Info'!T563="","",CONCATENATE('Cable Info'!T563," - ",'Cable Info'!U563))</f>
        <v/>
      </c>
      <c r="BG703" s="149" t="str">
        <f t="shared" si="88"/>
        <v/>
      </c>
      <c r="BI703" s="149" t="str">
        <f>IF('Cable Info'!V563="","",CONCATENATE('Cable Info'!V563," - ",'Cable Info'!W563))</f>
        <v/>
      </c>
      <c r="BL703" s="149" t="str">
        <f t="shared" si="89"/>
        <v/>
      </c>
    </row>
    <row r="704" spans="1:64" x14ac:dyDescent="0.2">
      <c r="A704" s="180"/>
      <c r="B704" s="180"/>
      <c r="C704" s="180"/>
      <c r="D704" s="180"/>
      <c r="E704" s="180"/>
      <c r="F704" s="187"/>
      <c r="G704" s="180"/>
      <c r="H704" s="180"/>
      <c r="I704" s="180"/>
      <c r="J704" s="187"/>
      <c r="K704" s="180"/>
      <c r="L704" s="180"/>
      <c r="M704" s="180"/>
      <c r="N704" s="180"/>
      <c r="O704" s="218"/>
      <c r="P704" s="180"/>
      <c r="Q704" s="188"/>
      <c r="R704" s="180"/>
      <c r="S704" s="180"/>
      <c r="T704" s="180"/>
      <c r="U704" s="180"/>
      <c r="V704" s="180"/>
      <c r="W704" s="180"/>
      <c r="X704" s="201"/>
      <c r="AJ704" s="149" t="str">
        <f>IF('Cable Info'!L564="","",CONCATENATE('Cable Info'!L564," - ",'Cable Info'!M564))</f>
        <v/>
      </c>
      <c r="AM704" s="149" t="str">
        <f t="shared" si="84"/>
        <v/>
      </c>
      <c r="AO704" s="149" t="str">
        <f>IF('Cable Info'!N564="","",CONCATENATE('Cable Info'!N564," - ",'Cable Info'!O564))</f>
        <v/>
      </c>
      <c r="AR704" s="149" t="str">
        <f t="shared" si="85"/>
        <v/>
      </c>
      <c r="AT704" s="149" t="str">
        <f>IF('Cable Info'!P564="","",CONCATENATE('Cable Info'!P564," - ",'Cable Info'!Q564))</f>
        <v/>
      </c>
      <c r="AW704" s="149" t="str">
        <f t="shared" si="86"/>
        <v/>
      </c>
      <c r="AY704" s="149" t="str">
        <f>IF('Cable Info'!R564="","",CONCATENATE('Cable Info'!R564," - ",'Cable Info'!S564))</f>
        <v/>
      </c>
      <c r="BB704" s="149" t="str">
        <f t="shared" si="87"/>
        <v/>
      </c>
      <c r="BD704" s="149" t="str">
        <f>IF('Cable Info'!T564="","",CONCATENATE('Cable Info'!T564," - ",'Cable Info'!U564))</f>
        <v/>
      </c>
      <c r="BG704" s="149" t="str">
        <f t="shared" si="88"/>
        <v/>
      </c>
      <c r="BI704" s="149" t="str">
        <f>IF('Cable Info'!V564="","",CONCATENATE('Cable Info'!V564," - ",'Cable Info'!W564))</f>
        <v/>
      </c>
      <c r="BL704" s="149" t="str">
        <f t="shared" si="89"/>
        <v/>
      </c>
    </row>
    <row r="705" spans="1:64" x14ac:dyDescent="0.2">
      <c r="A705" s="180"/>
      <c r="B705" s="180"/>
      <c r="C705" s="180"/>
      <c r="D705" s="180"/>
      <c r="E705" s="180"/>
      <c r="F705" s="187"/>
      <c r="G705" s="180"/>
      <c r="H705" s="180"/>
      <c r="I705" s="180"/>
      <c r="J705" s="187"/>
      <c r="K705" s="180"/>
      <c r="L705" s="180"/>
      <c r="M705" s="180"/>
      <c r="N705" s="180"/>
      <c r="O705" s="218"/>
      <c r="P705" s="180"/>
      <c r="Q705" s="188"/>
      <c r="R705" s="180"/>
      <c r="S705" s="180"/>
      <c r="T705" s="180"/>
      <c r="U705" s="180"/>
      <c r="V705" s="180"/>
      <c r="W705" s="180"/>
      <c r="X705" s="201"/>
      <c r="AJ705" s="149" t="str">
        <f>IF('Cable Info'!L565="","",CONCATENATE('Cable Info'!L565," - ",'Cable Info'!M565))</f>
        <v/>
      </c>
      <c r="AM705" s="149" t="str">
        <f t="shared" si="84"/>
        <v/>
      </c>
      <c r="AO705" s="149" t="str">
        <f>IF('Cable Info'!N565="","",CONCATENATE('Cable Info'!N565," - ",'Cable Info'!O565))</f>
        <v/>
      </c>
      <c r="AR705" s="149" t="str">
        <f t="shared" si="85"/>
        <v/>
      </c>
      <c r="AT705" s="149" t="str">
        <f>IF('Cable Info'!P565="","",CONCATENATE('Cable Info'!P565," - ",'Cable Info'!Q565))</f>
        <v/>
      </c>
      <c r="AW705" s="149" t="str">
        <f t="shared" si="86"/>
        <v/>
      </c>
      <c r="AY705" s="149" t="str">
        <f>IF('Cable Info'!R565="","",CONCATENATE('Cable Info'!R565," - ",'Cable Info'!S565))</f>
        <v/>
      </c>
      <c r="BB705" s="149" t="str">
        <f t="shared" si="87"/>
        <v/>
      </c>
      <c r="BD705" s="149" t="str">
        <f>IF('Cable Info'!T565="","",CONCATENATE('Cable Info'!T565," - ",'Cable Info'!U565))</f>
        <v/>
      </c>
      <c r="BG705" s="149" t="str">
        <f t="shared" si="88"/>
        <v/>
      </c>
      <c r="BI705" s="149" t="str">
        <f>IF('Cable Info'!V565="","",CONCATENATE('Cable Info'!V565," - ",'Cable Info'!W565))</f>
        <v/>
      </c>
      <c r="BL705" s="149" t="str">
        <f t="shared" si="89"/>
        <v/>
      </c>
    </row>
    <row r="706" spans="1:64" x14ac:dyDescent="0.2">
      <c r="A706" s="180"/>
      <c r="B706" s="180"/>
      <c r="C706" s="180"/>
      <c r="D706" s="180"/>
      <c r="E706" s="180"/>
      <c r="F706" s="187"/>
      <c r="G706" s="180"/>
      <c r="H706" s="180"/>
      <c r="I706" s="180"/>
      <c r="J706" s="187"/>
      <c r="K706" s="180"/>
      <c r="L706" s="180"/>
      <c r="M706" s="180"/>
      <c r="N706" s="180"/>
      <c r="O706" s="218"/>
      <c r="P706" s="180"/>
      <c r="Q706" s="188"/>
      <c r="R706" s="180"/>
      <c r="S706" s="180"/>
      <c r="T706" s="180"/>
      <c r="U706" s="180"/>
      <c r="V706" s="180"/>
      <c r="W706" s="180"/>
      <c r="X706" s="201"/>
      <c r="AJ706" s="149" t="str">
        <f>IF('Cable Info'!L566="","",CONCATENATE('Cable Info'!L566," - ",'Cable Info'!M566))</f>
        <v/>
      </c>
      <c r="AM706" s="149" t="str">
        <f t="shared" si="84"/>
        <v/>
      </c>
      <c r="AO706" s="149" t="str">
        <f>IF('Cable Info'!N566="","",CONCATENATE('Cable Info'!N566," - ",'Cable Info'!O566))</f>
        <v/>
      </c>
      <c r="AR706" s="149" t="str">
        <f t="shared" si="85"/>
        <v/>
      </c>
      <c r="AT706" s="149" t="str">
        <f>IF('Cable Info'!P566="","",CONCATENATE('Cable Info'!P566," - ",'Cable Info'!Q566))</f>
        <v/>
      </c>
      <c r="AW706" s="149" t="str">
        <f t="shared" si="86"/>
        <v/>
      </c>
      <c r="AY706" s="149" t="str">
        <f>IF('Cable Info'!R566="","",CONCATENATE('Cable Info'!R566," - ",'Cable Info'!S566))</f>
        <v/>
      </c>
      <c r="BB706" s="149" t="str">
        <f t="shared" si="87"/>
        <v/>
      </c>
      <c r="BD706" s="149" t="str">
        <f>IF('Cable Info'!T566="","",CONCATENATE('Cable Info'!T566," - ",'Cable Info'!U566))</f>
        <v/>
      </c>
      <c r="BG706" s="149" t="str">
        <f t="shared" si="88"/>
        <v/>
      </c>
      <c r="BI706" s="149" t="str">
        <f>IF('Cable Info'!V566="","",CONCATENATE('Cable Info'!V566," - ",'Cable Info'!W566))</f>
        <v/>
      </c>
      <c r="BL706" s="149" t="str">
        <f t="shared" si="89"/>
        <v/>
      </c>
    </row>
    <row r="707" spans="1:64" x14ac:dyDescent="0.2">
      <c r="A707" s="180"/>
      <c r="B707" s="180"/>
      <c r="C707" s="180"/>
      <c r="D707" s="180"/>
      <c r="E707" s="180"/>
      <c r="F707" s="187"/>
      <c r="G707" s="180"/>
      <c r="H707" s="180"/>
      <c r="I707" s="180"/>
      <c r="J707" s="187"/>
      <c r="K707" s="180"/>
      <c r="L707" s="180"/>
      <c r="M707" s="180"/>
      <c r="N707" s="180"/>
      <c r="O707" s="218"/>
      <c r="P707" s="180"/>
      <c r="Q707" s="188"/>
      <c r="R707" s="180"/>
      <c r="S707" s="180"/>
      <c r="T707" s="180"/>
      <c r="U707" s="180"/>
      <c r="V707" s="180"/>
      <c r="W707" s="180"/>
      <c r="X707" s="201"/>
      <c r="AJ707" s="149" t="str">
        <f>IF('Cable Info'!L567="","",CONCATENATE('Cable Info'!L567," - ",'Cable Info'!M567))</f>
        <v/>
      </c>
      <c r="AM707" s="149" t="str">
        <f t="shared" si="84"/>
        <v/>
      </c>
      <c r="AO707" s="149" t="str">
        <f>IF('Cable Info'!N567="","",CONCATENATE('Cable Info'!N567," - ",'Cable Info'!O567))</f>
        <v/>
      </c>
      <c r="AR707" s="149" t="str">
        <f t="shared" si="85"/>
        <v/>
      </c>
      <c r="AT707" s="149" t="str">
        <f>IF('Cable Info'!P567="","",CONCATENATE('Cable Info'!P567," - ",'Cable Info'!Q567))</f>
        <v/>
      </c>
      <c r="AW707" s="149" t="str">
        <f t="shared" si="86"/>
        <v/>
      </c>
      <c r="AY707" s="149" t="str">
        <f>IF('Cable Info'!R567="","",CONCATENATE('Cable Info'!R567," - ",'Cable Info'!S567))</f>
        <v/>
      </c>
      <c r="BB707" s="149" t="str">
        <f t="shared" si="87"/>
        <v/>
      </c>
      <c r="BD707" s="149" t="str">
        <f>IF('Cable Info'!T567="","",CONCATENATE('Cable Info'!T567," - ",'Cable Info'!U567))</f>
        <v/>
      </c>
      <c r="BG707" s="149" t="str">
        <f t="shared" si="88"/>
        <v/>
      </c>
      <c r="BI707" s="149" t="str">
        <f>IF('Cable Info'!V567="","",CONCATENATE('Cable Info'!V567," - ",'Cable Info'!W567))</f>
        <v/>
      </c>
      <c r="BL707" s="149" t="str">
        <f t="shared" si="89"/>
        <v/>
      </c>
    </row>
    <row r="708" spans="1:64" x14ac:dyDescent="0.2">
      <c r="A708" s="180"/>
      <c r="B708" s="180"/>
      <c r="C708" s="180"/>
      <c r="D708" s="180"/>
      <c r="E708" s="180"/>
      <c r="F708" s="187"/>
      <c r="G708" s="180"/>
      <c r="H708" s="180"/>
      <c r="I708" s="180"/>
      <c r="J708" s="187"/>
      <c r="K708" s="180"/>
      <c r="L708" s="180"/>
      <c r="M708" s="180"/>
      <c r="N708" s="180"/>
      <c r="O708" s="218"/>
      <c r="P708" s="180"/>
      <c r="Q708" s="188"/>
      <c r="R708" s="180"/>
      <c r="S708" s="180"/>
      <c r="T708" s="180"/>
      <c r="U708" s="180"/>
      <c r="V708" s="180"/>
      <c r="W708" s="180"/>
      <c r="X708" s="201"/>
      <c r="AJ708" s="149" t="str">
        <f>IF('Cable Info'!L568="","",CONCATENATE('Cable Info'!L568," - ",'Cable Info'!M568))</f>
        <v/>
      </c>
      <c r="AM708" s="149" t="str">
        <f t="shared" si="84"/>
        <v/>
      </c>
      <c r="AO708" s="149" t="str">
        <f>IF('Cable Info'!N568="","",CONCATENATE('Cable Info'!N568," - ",'Cable Info'!O568))</f>
        <v/>
      </c>
      <c r="AR708" s="149" t="str">
        <f t="shared" si="85"/>
        <v/>
      </c>
      <c r="AT708" s="149" t="str">
        <f>IF('Cable Info'!P568="","",CONCATENATE('Cable Info'!P568," - ",'Cable Info'!Q568))</f>
        <v/>
      </c>
      <c r="AW708" s="149" t="str">
        <f t="shared" si="86"/>
        <v/>
      </c>
      <c r="AY708" s="149" t="str">
        <f>IF('Cable Info'!R568="","",CONCATENATE('Cable Info'!R568," - ",'Cable Info'!S568))</f>
        <v/>
      </c>
      <c r="BB708" s="149" t="str">
        <f t="shared" si="87"/>
        <v/>
      </c>
      <c r="BD708" s="149" t="str">
        <f>IF('Cable Info'!T568="","",CONCATENATE('Cable Info'!T568," - ",'Cable Info'!U568))</f>
        <v/>
      </c>
      <c r="BG708" s="149" t="str">
        <f t="shared" si="88"/>
        <v/>
      </c>
      <c r="BI708" s="149" t="str">
        <f>IF('Cable Info'!V568="","",CONCATENATE('Cable Info'!V568," - ",'Cable Info'!W568))</f>
        <v/>
      </c>
      <c r="BL708" s="149" t="str">
        <f t="shared" si="89"/>
        <v/>
      </c>
    </row>
    <row r="709" spans="1:64" x14ac:dyDescent="0.2">
      <c r="A709" s="180"/>
      <c r="B709" s="180"/>
      <c r="C709" s="180"/>
      <c r="D709" s="180"/>
      <c r="E709" s="180"/>
      <c r="F709" s="187"/>
      <c r="G709" s="180"/>
      <c r="H709" s="180"/>
      <c r="I709" s="180"/>
      <c r="J709" s="187"/>
      <c r="K709" s="180"/>
      <c r="L709" s="180"/>
      <c r="M709" s="180"/>
      <c r="N709" s="180"/>
      <c r="O709" s="218"/>
      <c r="P709" s="180"/>
      <c r="Q709" s="188"/>
      <c r="R709" s="180"/>
      <c r="S709" s="180"/>
      <c r="T709" s="180"/>
      <c r="U709" s="180"/>
      <c r="V709" s="180"/>
      <c r="W709" s="180"/>
      <c r="X709" s="201"/>
      <c r="AJ709" s="149" t="str">
        <f>IF('Cable Info'!L569="","",CONCATENATE('Cable Info'!L569," - ",'Cable Info'!M569))</f>
        <v/>
      </c>
      <c r="AM709" s="149" t="str">
        <f t="shared" si="84"/>
        <v/>
      </c>
      <c r="AO709" s="149" t="str">
        <f>IF('Cable Info'!N569="","",CONCATENATE('Cable Info'!N569," - ",'Cable Info'!O569))</f>
        <v/>
      </c>
      <c r="AR709" s="149" t="str">
        <f t="shared" si="85"/>
        <v/>
      </c>
      <c r="AT709" s="149" t="str">
        <f>IF('Cable Info'!P569="","",CONCATENATE('Cable Info'!P569," - ",'Cable Info'!Q569))</f>
        <v/>
      </c>
      <c r="AW709" s="149" t="str">
        <f t="shared" si="86"/>
        <v/>
      </c>
      <c r="AY709" s="149" t="str">
        <f>IF('Cable Info'!R569="","",CONCATENATE('Cable Info'!R569," - ",'Cable Info'!S569))</f>
        <v/>
      </c>
      <c r="BB709" s="149" t="str">
        <f t="shared" si="87"/>
        <v/>
      </c>
      <c r="BD709" s="149" t="str">
        <f>IF('Cable Info'!T569="","",CONCATENATE('Cable Info'!T569," - ",'Cable Info'!U569))</f>
        <v/>
      </c>
      <c r="BG709" s="149" t="str">
        <f t="shared" si="88"/>
        <v/>
      </c>
      <c r="BI709" s="149" t="str">
        <f>IF('Cable Info'!V569="","",CONCATENATE('Cable Info'!V569," - ",'Cable Info'!W569))</f>
        <v/>
      </c>
      <c r="BL709" s="149" t="str">
        <f t="shared" si="89"/>
        <v/>
      </c>
    </row>
    <row r="710" spans="1:64" x14ac:dyDescent="0.2">
      <c r="A710" s="180"/>
      <c r="B710" s="180"/>
      <c r="C710" s="180"/>
      <c r="D710" s="180"/>
      <c r="E710" s="180"/>
      <c r="F710" s="187"/>
      <c r="G710" s="180"/>
      <c r="H710" s="180"/>
      <c r="I710" s="180"/>
      <c r="J710" s="187"/>
      <c r="K710" s="180"/>
      <c r="L710" s="180"/>
      <c r="M710" s="180"/>
      <c r="N710" s="180"/>
      <c r="O710" s="218"/>
      <c r="P710" s="180"/>
      <c r="Q710" s="188"/>
      <c r="R710" s="180"/>
      <c r="S710" s="180"/>
      <c r="T710" s="180"/>
      <c r="U710" s="180"/>
      <c r="V710" s="180"/>
      <c r="W710" s="180"/>
      <c r="X710" s="201"/>
      <c r="AJ710" s="149" t="str">
        <f>IF('Cable Info'!L570="","",CONCATENATE('Cable Info'!L570," - ",'Cable Info'!M570))</f>
        <v/>
      </c>
      <c r="AM710" s="149" t="str">
        <f t="shared" si="84"/>
        <v/>
      </c>
      <c r="AO710" s="149" t="str">
        <f>IF('Cable Info'!N570="","",CONCATENATE('Cable Info'!N570," - ",'Cable Info'!O570))</f>
        <v/>
      </c>
      <c r="AR710" s="149" t="str">
        <f t="shared" si="85"/>
        <v/>
      </c>
      <c r="AT710" s="149" t="str">
        <f>IF('Cable Info'!P570="","",CONCATENATE('Cable Info'!P570," - ",'Cable Info'!Q570))</f>
        <v/>
      </c>
      <c r="AW710" s="149" t="str">
        <f t="shared" si="86"/>
        <v/>
      </c>
      <c r="AY710" s="149" t="str">
        <f>IF('Cable Info'!R570="","",CONCATENATE('Cable Info'!R570," - ",'Cable Info'!S570))</f>
        <v/>
      </c>
      <c r="BB710" s="149" t="str">
        <f t="shared" si="87"/>
        <v/>
      </c>
      <c r="BD710" s="149" t="str">
        <f>IF('Cable Info'!T570="","",CONCATENATE('Cable Info'!T570," - ",'Cable Info'!U570))</f>
        <v/>
      </c>
      <c r="BG710" s="149" t="str">
        <f t="shared" si="88"/>
        <v/>
      </c>
      <c r="BI710" s="149" t="str">
        <f>IF('Cable Info'!V570="","",CONCATENATE('Cable Info'!V570," - ",'Cable Info'!W570))</f>
        <v/>
      </c>
      <c r="BL710" s="149" t="str">
        <f t="shared" si="89"/>
        <v/>
      </c>
    </row>
    <row r="711" spans="1:64" x14ac:dyDescent="0.2">
      <c r="A711" s="180"/>
      <c r="B711" s="180"/>
      <c r="C711" s="180"/>
      <c r="D711" s="180"/>
      <c r="E711" s="180"/>
      <c r="F711" s="187"/>
      <c r="G711" s="180"/>
      <c r="H711" s="180"/>
      <c r="I711" s="180"/>
      <c r="J711" s="187"/>
      <c r="K711" s="180"/>
      <c r="L711" s="180"/>
      <c r="M711" s="180"/>
      <c r="N711" s="180"/>
      <c r="O711" s="218"/>
      <c r="P711" s="180"/>
      <c r="Q711" s="188"/>
      <c r="R711" s="180"/>
      <c r="S711" s="180"/>
      <c r="T711" s="180"/>
      <c r="U711" s="180"/>
      <c r="V711" s="180"/>
      <c r="W711" s="180"/>
      <c r="X711" s="201"/>
      <c r="AJ711" s="149" t="str">
        <f>IF('Cable Info'!L571="","",CONCATENATE('Cable Info'!L571," - ",'Cable Info'!M571))</f>
        <v/>
      </c>
      <c r="AM711" s="149" t="str">
        <f t="shared" si="84"/>
        <v/>
      </c>
      <c r="AO711" s="149" t="str">
        <f>IF('Cable Info'!N571="","",CONCATENATE('Cable Info'!N571," - ",'Cable Info'!O571))</f>
        <v/>
      </c>
      <c r="AR711" s="149" t="str">
        <f t="shared" si="85"/>
        <v/>
      </c>
      <c r="AT711" s="149" t="str">
        <f>IF('Cable Info'!P571="","",CONCATENATE('Cable Info'!P571," - ",'Cable Info'!Q571))</f>
        <v/>
      </c>
      <c r="AW711" s="149" t="str">
        <f t="shared" si="86"/>
        <v/>
      </c>
      <c r="AY711" s="149" t="str">
        <f>IF('Cable Info'!R571="","",CONCATENATE('Cable Info'!R571," - ",'Cable Info'!S571))</f>
        <v/>
      </c>
      <c r="BB711" s="149" t="str">
        <f t="shared" si="87"/>
        <v/>
      </c>
      <c r="BD711" s="149" t="str">
        <f>IF('Cable Info'!T571="","",CONCATENATE('Cable Info'!T571," - ",'Cable Info'!U571))</f>
        <v/>
      </c>
      <c r="BG711" s="149" t="str">
        <f t="shared" si="88"/>
        <v/>
      </c>
      <c r="BI711" s="149" t="str">
        <f>IF('Cable Info'!V571="","",CONCATENATE('Cable Info'!V571," - ",'Cable Info'!W571))</f>
        <v/>
      </c>
      <c r="BL711" s="149" t="str">
        <f t="shared" si="89"/>
        <v/>
      </c>
    </row>
    <row r="712" spans="1:64" x14ac:dyDescent="0.2">
      <c r="A712" s="180"/>
      <c r="B712" s="180"/>
      <c r="C712" s="180"/>
      <c r="D712" s="180"/>
      <c r="E712" s="180"/>
      <c r="F712" s="187"/>
      <c r="G712" s="180"/>
      <c r="H712" s="180"/>
      <c r="I712" s="180"/>
      <c r="J712" s="187"/>
      <c r="K712" s="180"/>
      <c r="L712" s="180"/>
      <c r="M712" s="180"/>
      <c r="N712" s="180"/>
      <c r="O712" s="218"/>
      <c r="P712" s="180"/>
      <c r="Q712" s="188"/>
      <c r="R712" s="180"/>
      <c r="S712" s="180"/>
      <c r="T712" s="180"/>
      <c r="U712" s="180"/>
      <c r="V712" s="180"/>
      <c r="W712" s="180"/>
      <c r="X712" s="201"/>
      <c r="AJ712" s="149" t="str">
        <f>IF('Cable Info'!L572="","",CONCATENATE('Cable Info'!L572," - ",'Cable Info'!M572))</f>
        <v/>
      </c>
      <c r="AM712" s="149" t="str">
        <f t="shared" si="84"/>
        <v/>
      </c>
      <c r="AO712" s="149" t="str">
        <f>IF('Cable Info'!N572="","",CONCATENATE('Cable Info'!N572," - ",'Cable Info'!O572))</f>
        <v/>
      </c>
      <c r="AR712" s="149" t="str">
        <f t="shared" si="85"/>
        <v/>
      </c>
      <c r="AT712" s="149" t="str">
        <f>IF('Cable Info'!P572="","",CONCATENATE('Cable Info'!P572," - ",'Cable Info'!Q572))</f>
        <v/>
      </c>
      <c r="AW712" s="149" t="str">
        <f t="shared" si="86"/>
        <v/>
      </c>
      <c r="AY712" s="149" t="str">
        <f>IF('Cable Info'!R572="","",CONCATENATE('Cable Info'!R572," - ",'Cable Info'!S572))</f>
        <v/>
      </c>
      <c r="BB712" s="149" t="str">
        <f t="shared" si="87"/>
        <v/>
      </c>
      <c r="BD712" s="149" t="str">
        <f>IF('Cable Info'!T572="","",CONCATENATE('Cable Info'!T572," - ",'Cable Info'!U572))</f>
        <v/>
      </c>
      <c r="BG712" s="149" t="str">
        <f t="shared" si="88"/>
        <v/>
      </c>
      <c r="BI712" s="149" t="str">
        <f>IF('Cable Info'!V572="","",CONCATENATE('Cable Info'!V572," - ",'Cable Info'!W572))</f>
        <v/>
      </c>
      <c r="BL712" s="149" t="str">
        <f t="shared" si="89"/>
        <v/>
      </c>
    </row>
    <row r="713" spans="1:64" x14ac:dyDescent="0.2">
      <c r="A713" s="180"/>
      <c r="B713" s="180"/>
      <c r="C713" s="180"/>
      <c r="D713" s="180"/>
      <c r="E713" s="180"/>
      <c r="F713" s="187"/>
      <c r="G713" s="180"/>
      <c r="H713" s="180"/>
      <c r="I713" s="180"/>
      <c r="J713" s="187"/>
      <c r="K713" s="180"/>
      <c r="L713" s="180"/>
      <c r="M713" s="180"/>
      <c r="N713" s="180"/>
      <c r="O713" s="218"/>
      <c r="P713" s="180"/>
      <c r="Q713" s="188"/>
      <c r="R713" s="180"/>
      <c r="S713" s="180"/>
      <c r="T713" s="180"/>
      <c r="U713" s="180"/>
      <c r="V713" s="180"/>
      <c r="W713" s="180"/>
      <c r="X713" s="201"/>
      <c r="AJ713" s="149" t="str">
        <f>IF('Cable Info'!L573="","",CONCATENATE('Cable Info'!L573," - ",'Cable Info'!M573))</f>
        <v/>
      </c>
      <c r="AM713" s="149" t="str">
        <f t="shared" si="84"/>
        <v/>
      </c>
      <c r="AO713" s="149" t="str">
        <f>IF('Cable Info'!N573="","",CONCATENATE('Cable Info'!N573," - ",'Cable Info'!O573))</f>
        <v/>
      </c>
      <c r="AR713" s="149" t="str">
        <f t="shared" si="85"/>
        <v/>
      </c>
      <c r="AT713" s="149" t="str">
        <f>IF('Cable Info'!P573="","",CONCATENATE('Cable Info'!P573," - ",'Cable Info'!Q573))</f>
        <v/>
      </c>
      <c r="AW713" s="149" t="str">
        <f t="shared" si="86"/>
        <v/>
      </c>
      <c r="AY713" s="149" t="str">
        <f>IF('Cable Info'!R573="","",CONCATENATE('Cable Info'!R573," - ",'Cable Info'!S573))</f>
        <v/>
      </c>
      <c r="BB713" s="149" t="str">
        <f t="shared" si="87"/>
        <v/>
      </c>
      <c r="BD713" s="149" t="str">
        <f>IF('Cable Info'!T573="","",CONCATENATE('Cable Info'!T573," - ",'Cable Info'!U573))</f>
        <v/>
      </c>
      <c r="BG713" s="149" t="str">
        <f t="shared" si="88"/>
        <v/>
      </c>
      <c r="BI713" s="149" t="str">
        <f>IF('Cable Info'!V573="","",CONCATENATE('Cable Info'!V573," - ",'Cable Info'!W573))</f>
        <v/>
      </c>
      <c r="BL713" s="149" t="str">
        <f t="shared" si="89"/>
        <v/>
      </c>
    </row>
    <row r="714" spans="1:64" x14ac:dyDescent="0.2">
      <c r="A714" s="180"/>
      <c r="B714" s="180"/>
      <c r="C714" s="180"/>
      <c r="D714" s="180"/>
      <c r="E714" s="180"/>
      <c r="F714" s="187"/>
      <c r="G714" s="180"/>
      <c r="H714" s="180"/>
      <c r="I714" s="180"/>
      <c r="J714" s="187"/>
      <c r="K714" s="180"/>
      <c r="L714" s="180"/>
      <c r="M714" s="180"/>
      <c r="N714" s="180"/>
      <c r="O714" s="218"/>
      <c r="P714" s="180"/>
      <c r="Q714" s="188"/>
      <c r="R714" s="180"/>
      <c r="S714" s="180"/>
      <c r="T714" s="180"/>
      <c r="U714" s="180"/>
      <c r="V714" s="180"/>
      <c r="W714" s="180"/>
      <c r="X714" s="201"/>
      <c r="AJ714" s="149" t="str">
        <f>IF('Cable Info'!L574="","",CONCATENATE('Cable Info'!L574," - ",'Cable Info'!M574))</f>
        <v/>
      </c>
      <c r="AM714" s="149" t="str">
        <f t="shared" si="84"/>
        <v/>
      </c>
      <c r="AO714" s="149" t="str">
        <f>IF('Cable Info'!N574="","",CONCATENATE('Cable Info'!N574," - ",'Cable Info'!O574))</f>
        <v/>
      </c>
      <c r="AR714" s="149" t="str">
        <f t="shared" si="85"/>
        <v/>
      </c>
      <c r="AT714" s="149" t="str">
        <f>IF('Cable Info'!P574="","",CONCATENATE('Cable Info'!P574," - ",'Cable Info'!Q574))</f>
        <v/>
      </c>
      <c r="AW714" s="149" t="str">
        <f t="shared" si="86"/>
        <v/>
      </c>
      <c r="AY714" s="149" t="str">
        <f>IF('Cable Info'!R574="","",CONCATENATE('Cable Info'!R574," - ",'Cable Info'!S574))</f>
        <v/>
      </c>
      <c r="BB714" s="149" t="str">
        <f t="shared" si="87"/>
        <v/>
      </c>
      <c r="BD714" s="149" t="str">
        <f>IF('Cable Info'!T574="","",CONCATENATE('Cable Info'!T574," - ",'Cable Info'!U574))</f>
        <v/>
      </c>
      <c r="BG714" s="149" t="str">
        <f t="shared" si="88"/>
        <v/>
      </c>
      <c r="BI714" s="149" t="str">
        <f>IF('Cable Info'!V574="","",CONCATENATE('Cable Info'!V574," - ",'Cable Info'!W574))</f>
        <v/>
      </c>
      <c r="BL714" s="149" t="str">
        <f t="shared" si="89"/>
        <v/>
      </c>
    </row>
    <row r="715" spans="1:64" x14ac:dyDescent="0.2">
      <c r="A715" s="180"/>
      <c r="B715" s="180"/>
      <c r="C715" s="180"/>
      <c r="D715" s="180"/>
      <c r="E715" s="180"/>
      <c r="F715" s="187"/>
      <c r="G715" s="180"/>
      <c r="H715" s="180"/>
      <c r="I715" s="180"/>
      <c r="J715" s="187"/>
      <c r="K715" s="180"/>
      <c r="L715" s="180"/>
      <c r="M715" s="180"/>
      <c r="N715" s="180"/>
      <c r="O715" s="218"/>
      <c r="P715" s="180"/>
      <c r="Q715" s="188"/>
      <c r="R715" s="180"/>
      <c r="S715" s="180"/>
      <c r="T715" s="180"/>
      <c r="U715" s="180"/>
      <c r="V715" s="180"/>
      <c r="W715" s="180"/>
      <c r="X715" s="201"/>
      <c r="AJ715" s="149" t="str">
        <f>IF('Cable Info'!L575="","",CONCATENATE('Cable Info'!L575," - ",'Cable Info'!M575))</f>
        <v/>
      </c>
      <c r="AM715" s="149" t="str">
        <f t="shared" si="84"/>
        <v/>
      </c>
      <c r="AO715" s="149" t="str">
        <f>IF('Cable Info'!N575="","",CONCATENATE('Cable Info'!N575," - ",'Cable Info'!O575))</f>
        <v/>
      </c>
      <c r="AR715" s="149" t="str">
        <f t="shared" si="85"/>
        <v/>
      </c>
      <c r="AT715" s="149" t="str">
        <f>IF('Cable Info'!P575="","",CONCATENATE('Cable Info'!P575," - ",'Cable Info'!Q575))</f>
        <v/>
      </c>
      <c r="AW715" s="149" t="str">
        <f t="shared" si="86"/>
        <v/>
      </c>
      <c r="AY715" s="149" t="str">
        <f>IF('Cable Info'!R575="","",CONCATENATE('Cable Info'!R575," - ",'Cable Info'!S575))</f>
        <v/>
      </c>
      <c r="BB715" s="149" t="str">
        <f t="shared" si="87"/>
        <v/>
      </c>
      <c r="BD715" s="149" t="str">
        <f>IF('Cable Info'!T575="","",CONCATENATE('Cable Info'!T575," - ",'Cable Info'!U575))</f>
        <v/>
      </c>
      <c r="BG715" s="149" t="str">
        <f t="shared" si="88"/>
        <v/>
      </c>
      <c r="BI715" s="149" t="str">
        <f>IF('Cable Info'!V575="","",CONCATENATE('Cable Info'!V575," - ",'Cable Info'!W575))</f>
        <v/>
      </c>
      <c r="BL715" s="149" t="str">
        <f t="shared" si="89"/>
        <v/>
      </c>
    </row>
    <row r="716" spans="1:64" x14ac:dyDescent="0.2">
      <c r="A716" s="180"/>
      <c r="B716" s="180"/>
      <c r="C716" s="180"/>
      <c r="D716" s="180"/>
      <c r="E716" s="180"/>
      <c r="F716" s="187"/>
      <c r="G716" s="180"/>
      <c r="H716" s="180"/>
      <c r="I716" s="180"/>
      <c r="J716" s="187"/>
      <c r="K716" s="180"/>
      <c r="L716" s="180"/>
      <c r="M716" s="180"/>
      <c r="N716" s="180"/>
      <c r="O716" s="218"/>
      <c r="P716" s="180"/>
      <c r="Q716" s="188"/>
      <c r="R716" s="180"/>
      <c r="S716" s="180"/>
      <c r="T716" s="180"/>
      <c r="U716" s="180"/>
      <c r="V716" s="180"/>
      <c r="W716" s="180"/>
      <c r="X716" s="201"/>
      <c r="AJ716" s="149" t="str">
        <f>IF('Cable Info'!L576="","",CONCATENATE('Cable Info'!L576," - ",'Cable Info'!M576))</f>
        <v/>
      </c>
      <c r="AM716" s="149" t="str">
        <f t="shared" si="84"/>
        <v/>
      </c>
      <c r="AO716" s="149" t="str">
        <f>IF('Cable Info'!N576="","",CONCATENATE('Cable Info'!N576," - ",'Cable Info'!O576))</f>
        <v/>
      </c>
      <c r="AR716" s="149" t="str">
        <f t="shared" si="85"/>
        <v/>
      </c>
      <c r="AT716" s="149" t="str">
        <f>IF('Cable Info'!P576="","",CONCATENATE('Cable Info'!P576," - ",'Cable Info'!Q576))</f>
        <v/>
      </c>
      <c r="AW716" s="149" t="str">
        <f t="shared" si="86"/>
        <v/>
      </c>
      <c r="AY716" s="149" t="str">
        <f>IF('Cable Info'!R576="","",CONCATENATE('Cable Info'!R576," - ",'Cable Info'!S576))</f>
        <v/>
      </c>
      <c r="BB716" s="149" t="str">
        <f t="shared" si="87"/>
        <v/>
      </c>
      <c r="BD716" s="149" t="str">
        <f>IF('Cable Info'!T576="","",CONCATENATE('Cable Info'!T576," - ",'Cable Info'!U576))</f>
        <v/>
      </c>
      <c r="BG716" s="149" t="str">
        <f t="shared" si="88"/>
        <v/>
      </c>
      <c r="BI716" s="149" t="str">
        <f>IF('Cable Info'!V576="","",CONCATENATE('Cable Info'!V576," - ",'Cable Info'!W576))</f>
        <v/>
      </c>
      <c r="BL716" s="149" t="str">
        <f t="shared" si="89"/>
        <v/>
      </c>
    </row>
    <row r="717" spans="1:64" x14ac:dyDescent="0.2">
      <c r="A717" s="180"/>
      <c r="B717" s="180"/>
      <c r="C717" s="180"/>
      <c r="D717" s="180"/>
      <c r="E717" s="180"/>
      <c r="F717" s="187"/>
      <c r="G717" s="180"/>
      <c r="H717" s="180"/>
      <c r="I717" s="180"/>
      <c r="J717" s="187"/>
      <c r="K717" s="180"/>
      <c r="L717" s="180"/>
      <c r="M717" s="180"/>
      <c r="N717" s="180"/>
      <c r="O717" s="218"/>
      <c r="P717" s="180"/>
      <c r="Q717" s="188"/>
      <c r="R717" s="180"/>
      <c r="S717" s="180"/>
      <c r="T717" s="180"/>
      <c r="U717" s="180"/>
      <c r="V717" s="180"/>
      <c r="W717" s="180"/>
      <c r="X717" s="201"/>
      <c r="AJ717" s="149" t="str">
        <f>IF('Cable Info'!L577="","",CONCATENATE('Cable Info'!L577," - ",'Cable Info'!M577))</f>
        <v/>
      </c>
      <c r="AM717" s="149" t="str">
        <f t="shared" si="84"/>
        <v/>
      </c>
      <c r="AO717" s="149" t="str">
        <f>IF('Cable Info'!N577="","",CONCATENATE('Cable Info'!N577," - ",'Cable Info'!O577))</f>
        <v/>
      </c>
      <c r="AR717" s="149" t="str">
        <f t="shared" si="85"/>
        <v/>
      </c>
      <c r="AT717" s="149" t="str">
        <f>IF('Cable Info'!P577="","",CONCATENATE('Cable Info'!P577," - ",'Cable Info'!Q577))</f>
        <v/>
      </c>
      <c r="AW717" s="149" t="str">
        <f t="shared" si="86"/>
        <v/>
      </c>
      <c r="AY717" s="149" t="str">
        <f>IF('Cable Info'!R577="","",CONCATENATE('Cable Info'!R577," - ",'Cable Info'!S577))</f>
        <v/>
      </c>
      <c r="BB717" s="149" t="str">
        <f t="shared" si="87"/>
        <v/>
      </c>
      <c r="BD717" s="149" t="str">
        <f>IF('Cable Info'!T577="","",CONCATENATE('Cable Info'!T577," - ",'Cable Info'!U577))</f>
        <v/>
      </c>
      <c r="BG717" s="149" t="str">
        <f t="shared" si="88"/>
        <v/>
      </c>
      <c r="BI717" s="149" t="str">
        <f>IF('Cable Info'!V577="","",CONCATENATE('Cable Info'!V577," - ",'Cable Info'!W577))</f>
        <v/>
      </c>
      <c r="BL717" s="149" t="str">
        <f t="shared" si="89"/>
        <v/>
      </c>
    </row>
    <row r="718" spans="1:64" x14ac:dyDescent="0.2">
      <c r="A718" s="180"/>
      <c r="B718" s="180"/>
      <c r="C718" s="180"/>
      <c r="D718" s="180"/>
      <c r="E718" s="180"/>
      <c r="F718" s="187"/>
      <c r="G718" s="180"/>
      <c r="H718" s="180"/>
      <c r="I718" s="180"/>
      <c r="J718" s="187"/>
      <c r="K718" s="180"/>
      <c r="L718" s="180"/>
      <c r="M718" s="180"/>
      <c r="N718" s="180"/>
      <c r="O718" s="218"/>
      <c r="P718" s="180"/>
      <c r="Q718" s="188"/>
      <c r="R718" s="180"/>
      <c r="S718" s="180"/>
      <c r="T718" s="180"/>
      <c r="U718" s="180"/>
      <c r="V718" s="180"/>
      <c r="W718" s="180"/>
      <c r="X718" s="201"/>
      <c r="AJ718" s="149" t="str">
        <f>IF('Cable Info'!L578="","",CONCATENATE('Cable Info'!L578," - ",'Cable Info'!M578))</f>
        <v/>
      </c>
      <c r="AM718" s="149" t="str">
        <f t="shared" si="84"/>
        <v/>
      </c>
      <c r="AO718" s="149" t="str">
        <f>IF('Cable Info'!N578="","",CONCATENATE('Cable Info'!N578," - ",'Cable Info'!O578))</f>
        <v/>
      </c>
      <c r="AR718" s="149" t="str">
        <f t="shared" si="85"/>
        <v/>
      </c>
      <c r="AT718" s="149" t="str">
        <f>IF('Cable Info'!P578="","",CONCATENATE('Cable Info'!P578," - ",'Cable Info'!Q578))</f>
        <v/>
      </c>
      <c r="AW718" s="149" t="str">
        <f t="shared" si="86"/>
        <v/>
      </c>
      <c r="AY718" s="149" t="str">
        <f>IF('Cable Info'!R578="","",CONCATENATE('Cable Info'!R578," - ",'Cable Info'!S578))</f>
        <v/>
      </c>
      <c r="BB718" s="149" t="str">
        <f t="shared" si="87"/>
        <v/>
      </c>
      <c r="BD718" s="149" t="str">
        <f>IF('Cable Info'!T578="","",CONCATENATE('Cable Info'!T578," - ",'Cable Info'!U578))</f>
        <v/>
      </c>
      <c r="BG718" s="149" t="str">
        <f t="shared" si="88"/>
        <v/>
      </c>
      <c r="BI718" s="149" t="str">
        <f>IF('Cable Info'!V578="","",CONCATENATE('Cable Info'!V578," - ",'Cable Info'!W578))</f>
        <v/>
      </c>
      <c r="BL718" s="149" t="str">
        <f t="shared" si="89"/>
        <v/>
      </c>
    </row>
    <row r="719" spans="1:64" x14ac:dyDescent="0.2">
      <c r="A719" s="180"/>
      <c r="B719" s="180"/>
      <c r="C719" s="180"/>
      <c r="D719" s="180"/>
      <c r="E719" s="180"/>
      <c r="F719" s="187"/>
      <c r="G719" s="180"/>
      <c r="H719" s="180"/>
      <c r="I719" s="180"/>
      <c r="J719" s="187"/>
      <c r="K719" s="180"/>
      <c r="L719" s="180"/>
      <c r="M719" s="180"/>
      <c r="N719" s="180"/>
      <c r="O719" s="218"/>
      <c r="P719" s="180"/>
      <c r="Q719" s="188"/>
      <c r="R719" s="180"/>
      <c r="S719" s="180"/>
      <c r="T719" s="180"/>
      <c r="U719" s="180"/>
      <c r="V719" s="180"/>
      <c r="W719" s="180"/>
      <c r="X719" s="201"/>
      <c r="AJ719" s="149" t="str">
        <f>IF('Cable Info'!L579="","",CONCATENATE('Cable Info'!L579," - ",'Cable Info'!M579))</f>
        <v/>
      </c>
      <c r="AM719" s="149" t="str">
        <f t="shared" ref="AM719:AM782" si="90">IF(AK719="",AJ719,CONCATENATE(AJ719,"  &lt;=&gt; ",AK719," ",AL719))</f>
        <v/>
      </c>
      <c r="AO719" s="149" t="str">
        <f>IF('Cable Info'!N579="","",CONCATENATE('Cable Info'!N579," - ",'Cable Info'!O579))</f>
        <v/>
      </c>
      <c r="AR719" s="149" t="str">
        <f t="shared" ref="AR719:AR782" si="91">IF(AP719="",AO719,CONCATENATE(AO719,"  &lt;=&gt; ",AP719," ",AQ719))</f>
        <v/>
      </c>
      <c r="AT719" s="149" t="str">
        <f>IF('Cable Info'!P579="","",CONCATENATE('Cable Info'!P579," - ",'Cable Info'!Q579))</f>
        <v/>
      </c>
      <c r="AW719" s="149" t="str">
        <f t="shared" ref="AW719:AW782" si="92">IF(AU719="",AT719,CONCATENATE(AT719,"  &lt;=&gt; ",AU719," ",AV719))</f>
        <v/>
      </c>
      <c r="AY719" s="149" t="str">
        <f>IF('Cable Info'!R579="","",CONCATENATE('Cable Info'!R579," - ",'Cable Info'!S579))</f>
        <v/>
      </c>
      <c r="BB719" s="149" t="str">
        <f t="shared" ref="BB719:BB782" si="93">IF(AZ719="",AY719,CONCATENATE(AY719,"  &lt;=&gt; ",AZ719," ",BA719))</f>
        <v/>
      </c>
      <c r="BD719" s="149" t="str">
        <f>IF('Cable Info'!T579="","",CONCATENATE('Cable Info'!T579," - ",'Cable Info'!U579))</f>
        <v/>
      </c>
      <c r="BG719" s="149" t="str">
        <f t="shared" ref="BG719:BG782" si="94">IF(BE719="",BD719,CONCATENATE(BD719,"  &lt;=&gt; ",BE719," ",BF719))</f>
        <v/>
      </c>
      <c r="BI719" s="149" t="str">
        <f>IF('Cable Info'!V579="","",CONCATENATE('Cable Info'!V579," - ",'Cable Info'!W579))</f>
        <v/>
      </c>
      <c r="BL719" s="149" t="str">
        <f t="shared" ref="BL719:BL782" si="95">IF(BJ719="",BI719,CONCATENATE(BI719,"  &lt;=&gt; ",BJ719," ",BK719))</f>
        <v/>
      </c>
    </row>
    <row r="720" spans="1:64" x14ac:dyDescent="0.2">
      <c r="A720" s="180"/>
      <c r="B720" s="180"/>
      <c r="C720" s="180"/>
      <c r="D720" s="180"/>
      <c r="E720" s="180"/>
      <c r="F720" s="187"/>
      <c r="G720" s="180"/>
      <c r="H720" s="180"/>
      <c r="I720" s="180"/>
      <c r="J720" s="187"/>
      <c r="K720" s="180"/>
      <c r="L720" s="180"/>
      <c r="M720" s="180"/>
      <c r="N720" s="180"/>
      <c r="O720" s="218"/>
      <c r="P720" s="180"/>
      <c r="Q720" s="188"/>
      <c r="R720" s="180"/>
      <c r="S720" s="180"/>
      <c r="T720" s="180"/>
      <c r="U720" s="180"/>
      <c r="V720" s="180"/>
      <c r="W720" s="180"/>
      <c r="X720" s="201"/>
      <c r="AJ720" s="149" t="str">
        <f>IF('Cable Info'!L580="","",CONCATENATE('Cable Info'!L580," - ",'Cable Info'!M580))</f>
        <v/>
      </c>
      <c r="AM720" s="149" t="str">
        <f t="shared" si="90"/>
        <v/>
      </c>
      <c r="AO720" s="149" t="str">
        <f>IF('Cable Info'!N580="","",CONCATENATE('Cable Info'!N580," - ",'Cable Info'!O580))</f>
        <v/>
      </c>
      <c r="AR720" s="149" t="str">
        <f t="shared" si="91"/>
        <v/>
      </c>
      <c r="AT720" s="149" t="str">
        <f>IF('Cable Info'!P580="","",CONCATENATE('Cable Info'!P580," - ",'Cable Info'!Q580))</f>
        <v/>
      </c>
      <c r="AW720" s="149" t="str">
        <f t="shared" si="92"/>
        <v/>
      </c>
      <c r="AY720" s="149" t="str">
        <f>IF('Cable Info'!R580="","",CONCATENATE('Cable Info'!R580," - ",'Cable Info'!S580))</f>
        <v/>
      </c>
      <c r="BB720" s="149" t="str">
        <f t="shared" si="93"/>
        <v/>
      </c>
      <c r="BD720" s="149" t="str">
        <f>IF('Cable Info'!T580="","",CONCATENATE('Cable Info'!T580," - ",'Cable Info'!U580))</f>
        <v/>
      </c>
      <c r="BG720" s="149" t="str">
        <f t="shared" si="94"/>
        <v/>
      </c>
      <c r="BI720" s="149" t="str">
        <f>IF('Cable Info'!V580="","",CONCATENATE('Cable Info'!V580," - ",'Cable Info'!W580))</f>
        <v/>
      </c>
      <c r="BL720" s="149" t="str">
        <f t="shared" si="95"/>
        <v/>
      </c>
    </row>
    <row r="721" spans="1:64" x14ac:dyDescent="0.2">
      <c r="A721" s="180"/>
      <c r="B721" s="180"/>
      <c r="C721" s="180"/>
      <c r="D721" s="180"/>
      <c r="E721" s="180"/>
      <c r="F721" s="187"/>
      <c r="G721" s="180"/>
      <c r="H721" s="180"/>
      <c r="I721" s="180"/>
      <c r="J721" s="187"/>
      <c r="K721" s="180"/>
      <c r="L721" s="180"/>
      <c r="M721" s="180"/>
      <c r="N721" s="180"/>
      <c r="O721" s="218"/>
      <c r="P721" s="180"/>
      <c r="Q721" s="188"/>
      <c r="R721" s="180"/>
      <c r="S721" s="180"/>
      <c r="T721" s="180"/>
      <c r="U721" s="180"/>
      <c r="V721" s="180"/>
      <c r="W721" s="180"/>
      <c r="X721" s="201"/>
      <c r="AJ721" s="149" t="str">
        <f>IF('Cable Info'!L581="","",CONCATENATE('Cable Info'!L581," - ",'Cable Info'!M581))</f>
        <v/>
      </c>
      <c r="AM721" s="149" t="str">
        <f t="shared" si="90"/>
        <v/>
      </c>
      <c r="AO721" s="149" t="str">
        <f>IF('Cable Info'!N581="","",CONCATENATE('Cable Info'!N581," - ",'Cable Info'!O581))</f>
        <v/>
      </c>
      <c r="AR721" s="149" t="str">
        <f t="shared" si="91"/>
        <v/>
      </c>
      <c r="AT721" s="149" t="str">
        <f>IF('Cable Info'!P581="","",CONCATENATE('Cable Info'!P581," - ",'Cable Info'!Q581))</f>
        <v/>
      </c>
      <c r="AW721" s="149" t="str">
        <f t="shared" si="92"/>
        <v/>
      </c>
      <c r="AY721" s="149" t="str">
        <f>IF('Cable Info'!R581="","",CONCATENATE('Cable Info'!R581," - ",'Cable Info'!S581))</f>
        <v/>
      </c>
      <c r="BB721" s="149" t="str">
        <f t="shared" si="93"/>
        <v/>
      </c>
      <c r="BD721" s="149" t="str">
        <f>IF('Cable Info'!T581="","",CONCATENATE('Cable Info'!T581," - ",'Cable Info'!U581))</f>
        <v/>
      </c>
      <c r="BG721" s="149" t="str">
        <f t="shared" si="94"/>
        <v/>
      </c>
      <c r="BI721" s="149" t="str">
        <f>IF('Cable Info'!V581="","",CONCATENATE('Cable Info'!V581," - ",'Cable Info'!W581))</f>
        <v/>
      </c>
      <c r="BL721" s="149" t="str">
        <f t="shared" si="95"/>
        <v/>
      </c>
    </row>
    <row r="722" spans="1:64" x14ac:dyDescent="0.2">
      <c r="A722" s="180"/>
      <c r="B722" s="180"/>
      <c r="C722" s="180"/>
      <c r="D722" s="180"/>
      <c r="E722" s="180"/>
      <c r="F722" s="187"/>
      <c r="G722" s="180"/>
      <c r="H722" s="180"/>
      <c r="I722" s="180"/>
      <c r="J722" s="187"/>
      <c r="K722" s="180"/>
      <c r="L722" s="180"/>
      <c r="M722" s="180"/>
      <c r="N722" s="180"/>
      <c r="O722" s="218"/>
      <c r="P722" s="180"/>
      <c r="Q722" s="188"/>
      <c r="R722" s="180"/>
      <c r="S722" s="180"/>
      <c r="T722" s="180"/>
      <c r="U722" s="180"/>
      <c r="V722" s="180"/>
      <c r="W722" s="180"/>
      <c r="X722" s="201"/>
      <c r="AJ722" s="149" t="str">
        <f>IF('Cable Info'!L582="","",CONCATENATE('Cable Info'!L582," - ",'Cable Info'!M582))</f>
        <v/>
      </c>
      <c r="AM722" s="149" t="str">
        <f t="shared" si="90"/>
        <v/>
      </c>
      <c r="AO722" s="149" t="str">
        <f>IF('Cable Info'!N582="","",CONCATENATE('Cable Info'!N582," - ",'Cable Info'!O582))</f>
        <v/>
      </c>
      <c r="AR722" s="149" t="str">
        <f t="shared" si="91"/>
        <v/>
      </c>
      <c r="AT722" s="149" t="str">
        <f>IF('Cable Info'!P582="","",CONCATENATE('Cable Info'!P582," - ",'Cable Info'!Q582))</f>
        <v/>
      </c>
      <c r="AW722" s="149" t="str">
        <f t="shared" si="92"/>
        <v/>
      </c>
      <c r="AY722" s="149" t="str">
        <f>IF('Cable Info'!R582="","",CONCATENATE('Cable Info'!R582," - ",'Cable Info'!S582))</f>
        <v/>
      </c>
      <c r="BB722" s="149" t="str">
        <f t="shared" si="93"/>
        <v/>
      </c>
      <c r="BD722" s="149" t="str">
        <f>IF('Cable Info'!T582="","",CONCATENATE('Cable Info'!T582," - ",'Cable Info'!U582))</f>
        <v/>
      </c>
      <c r="BG722" s="149" t="str">
        <f t="shared" si="94"/>
        <v/>
      </c>
      <c r="BI722" s="149" t="str">
        <f>IF('Cable Info'!V582="","",CONCATENATE('Cable Info'!V582," - ",'Cable Info'!W582))</f>
        <v/>
      </c>
      <c r="BL722" s="149" t="str">
        <f t="shared" si="95"/>
        <v/>
      </c>
    </row>
    <row r="723" spans="1:64" x14ac:dyDescent="0.2">
      <c r="A723" s="180"/>
      <c r="B723" s="180"/>
      <c r="C723" s="180"/>
      <c r="D723" s="180"/>
      <c r="E723" s="180"/>
      <c r="F723" s="187"/>
      <c r="G723" s="180"/>
      <c r="H723" s="180"/>
      <c r="I723" s="180"/>
      <c r="J723" s="187"/>
      <c r="K723" s="180"/>
      <c r="L723" s="180"/>
      <c r="M723" s="180"/>
      <c r="N723" s="180"/>
      <c r="O723" s="218"/>
      <c r="P723" s="180"/>
      <c r="Q723" s="188"/>
      <c r="R723" s="180"/>
      <c r="S723" s="180"/>
      <c r="T723" s="180"/>
      <c r="U723" s="180"/>
      <c r="V723" s="180"/>
      <c r="W723" s="180"/>
      <c r="X723" s="201"/>
      <c r="AJ723" s="149" t="str">
        <f>IF('Cable Info'!L583="","",CONCATENATE('Cable Info'!L583," - ",'Cable Info'!M583))</f>
        <v/>
      </c>
      <c r="AM723" s="149" t="str">
        <f t="shared" si="90"/>
        <v/>
      </c>
      <c r="AO723" s="149" t="str">
        <f>IF('Cable Info'!N583="","",CONCATENATE('Cable Info'!N583," - ",'Cable Info'!O583))</f>
        <v/>
      </c>
      <c r="AR723" s="149" t="str">
        <f t="shared" si="91"/>
        <v/>
      </c>
      <c r="AT723" s="149" t="str">
        <f>IF('Cable Info'!P583="","",CONCATENATE('Cable Info'!P583," - ",'Cable Info'!Q583))</f>
        <v/>
      </c>
      <c r="AW723" s="149" t="str">
        <f t="shared" si="92"/>
        <v/>
      </c>
      <c r="AY723" s="149" t="str">
        <f>IF('Cable Info'!R583="","",CONCATENATE('Cable Info'!R583," - ",'Cable Info'!S583))</f>
        <v/>
      </c>
      <c r="BB723" s="149" t="str">
        <f t="shared" si="93"/>
        <v/>
      </c>
      <c r="BD723" s="149" t="str">
        <f>IF('Cable Info'!T583="","",CONCATENATE('Cable Info'!T583," - ",'Cable Info'!U583))</f>
        <v/>
      </c>
      <c r="BG723" s="149" t="str">
        <f t="shared" si="94"/>
        <v/>
      </c>
      <c r="BI723" s="149" t="str">
        <f>IF('Cable Info'!V583="","",CONCATENATE('Cable Info'!V583," - ",'Cable Info'!W583))</f>
        <v/>
      </c>
      <c r="BL723" s="149" t="str">
        <f t="shared" si="95"/>
        <v/>
      </c>
    </row>
    <row r="724" spans="1:64" x14ac:dyDescent="0.2">
      <c r="A724" s="180"/>
      <c r="B724" s="180"/>
      <c r="C724" s="180"/>
      <c r="D724" s="180"/>
      <c r="E724" s="180"/>
      <c r="F724" s="187"/>
      <c r="G724" s="180"/>
      <c r="H724" s="180"/>
      <c r="I724" s="180"/>
      <c r="J724" s="187"/>
      <c r="K724" s="180"/>
      <c r="L724" s="180"/>
      <c r="M724" s="180"/>
      <c r="N724" s="180"/>
      <c r="O724" s="218"/>
      <c r="P724" s="180"/>
      <c r="Q724" s="188"/>
      <c r="R724" s="180"/>
      <c r="S724" s="180"/>
      <c r="T724" s="180"/>
      <c r="U724" s="180"/>
      <c r="V724" s="180"/>
      <c r="W724" s="180"/>
      <c r="X724" s="201"/>
      <c r="AJ724" s="149" t="str">
        <f>IF('Cable Info'!L584="","",CONCATENATE('Cable Info'!L584," - ",'Cable Info'!M584))</f>
        <v/>
      </c>
      <c r="AM724" s="149" t="str">
        <f t="shared" si="90"/>
        <v/>
      </c>
      <c r="AO724" s="149" t="str">
        <f>IF('Cable Info'!N584="","",CONCATENATE('Cable Info'!N584," - ",'Cable Info'!O584))</f>
        <v/>
      </c>
      <c r="AR724" s="149" t="str">
        <f t="shared" si="91"/>
        <v/>
      </c>
      <c r="AT724" s="149" t="str">
        <f>IF('Cable Info'!P584="","",CONCATENATE('Cable Info'!P584," - ",'Cable Info'!Q584))</f>
        <v/>
      </c>
      <c r="AW724" s="149" t="str">
        <f t="shared" si="92"/>
        <v/>
      </c>
      <c r="AY724" s="149" t="str">
        <f>IF('Cable Info'!R584="","",CONCATENATE('Cable Info'!R584," - ",'Cable Info'!S584))</f>
        <v/>
      </c>
      <c r="BB724" s="149" t="str">
        <f t="shared" si="93"/>
        <v/>
      </c>
      <c r="BD724" s="149" t="str">
        <f>IF('Cable Info'!T584="","",CONCATENATE('Cable Info'!T584," - ",'Cable Info'!U584))</f>
        <v/>
      </c>
      <c r="BG724" s="149" t="str">
        <f t="shared" si="94"/>
        <v/>
      </c>
      <c r="BI724" s="149" t="str">
        <f>IF('Cable Info'!V584="","",CONCATENATE('Cable Info'!V584," - ",'Cable Info'!W584))</f>
        <v/>
      </c>
      <c r="BL724" s="149" t="str">
        <f t="shared" si="95"/>
        <v/>
      </c>
    </row>
    <row r="725" spans="1:64" x14ac:dyDescent="0.2">
      <c r="A725" s="180"/>
      <c r="B725" s="180"/>
      <c r="C725" s="180"/>
      <c r="D725" s="180"/>
      <c r="E725" s="180"/>
      <c r="F725" s="187"/>
      <c r="G725" s="180"/>
      <c r="H725" s="180"/>
      <c r="I725" s="180"/>
      <c r="J725" s="187"/>
      <c r="K725" s="180"/>
      <c r="L725" s="180"/>
      <c r="M725" s="180"/>
      <c r="N725" s="180"/>
      <c r="O725" s="218"/>
      <c r="P725" s="180"/>
      <c r="Q725" s="188"/>
      <c r="R725" s="180"/>
      <c r="S725" s="180"/>
      <c r="T725" s="180"/>
      <c r="U725" s="180"/>
      <c r="V725" s="180"/>
      <c r="W725" s="180"/>
      <c r="X725" s="201"/>
      <c r="AJ725" s="149" t="str">
        <f>IF('Cable Info'!L585="","",CONCATENATE('Cable Info'!L585," - ",'Cable Info'!M585))</f>
        <v/>
      </c>
      <c r="AM725" s="149" t="str">
        <f t="shared" si="90"/>
        <v/>
      </c>
      <c r="AO725" s="149" t="str">
        <f>IF('Cable Info'!N585="","",CONCATENATE('Cable Info'!N585," - ",'Cable Info'!O585))</f>
        <v/>
      </c>
      <c r="AR725" s="149" t="str">
        <f t="shared" si="91"/>
        <v/>
      </c>
      <c r="AT725" s="149" t="str">
        <f>IF('Cable Info'!P585="","",CONCATENATE('Cable Info'!P585," - ",'Cable Info'!Q585))</f>
        <v/>
      </c>
      <c r="AW725" s="149" t="str">
        <f t="shared" si="92"/>
        <v/>
      </c>
      <c r="AY725" s="149" t="str">
        <f>IF('Cable Info'!R585="","",CONCATENATE('Cable Info'!R585," - ",'Cable Info'!S585))</f>
        <v/>
      </c>
      <c r="BB725" s="149" t="str">
        <f t="shared" si="93"/>
        <v/>
      </c>
      <c r="BD725" s="149" t="str">
        <f>IF('Cable Info'!T585="","",CONCATENATE('Cable Info'!T585," - ",'Cable Info'!U585))</f>
        <v/>
      </c>
      <c r="BG725" s="149" t="str">
        <f t="shared" si="94"/>
        <v/>
      </c>
      <c r="BI725" s="149" t="str">
        <f>IF('Cable Info'!V585="","",CONCATENATE('Cable Info'!V585," - ",'Cable Info'!W585))</f>
        <v/>
      </c>
      <c r="BL725" s="149" t="str">
        <f t="shared" si="95"/>
        <v/>
      </c>
    </row>
    <row r="726" spans="1:64" x14ac:dyDescent="0.2">
      <c r="A726" s="180"/>
      <c r="B726" s="180"/>
      <c r="C726" s="180"/>
      <c r="D726" s="180"/>
      <c r="E726" s="180"/>
      <c r="F726" s="187"/>
      <c r="G726" s="180"/>
      <c r="H726" s="180"/>
      <c r="I726" s="180"/>
      <c r="J726" s="187"/>
      <c r="K726" s="180"/>
      <c r="L726" s="180"/>
      <c r="M726" s="180"/>
      <c r="N726" s="180"/>
      <c r="O726" s="218"/>
      <c r="P726" s="180"/>
      <c r="Q726" s="188"/>
      <c r="R726" s="180"/>
      <c r="S726" s="180"/>
      <c r="T726" s="180"/>
      <c r="U726" s="180"/>
      <c r="V726" s="180"/>
      <c r="W726" s="180"/>
      <c r="X726" s="201"/>
      <c r="AJ726" s="149" t="str">
        <f>IF('Cable Info'!L586="","",CONCATENATE('Cable Info'!L586," - ",'Cable Info'!M586))</f>
        <v/>
      </c>
      <c r="AM726" s="149" t="str">
        <f t="shared" si="90"/>
        <v/>
      </c>
      <c r="AO726" s="149" t="str">
        <f>IF('Cable Info'!N586="","",CONCATENATE('Cable Info'!N586," - ",'Cable Info'!O586))</f>
        <v/>
      </c>
      <c r="AR726" s="149" t="str">
        <f t="shared" si="91"/>
        <v/>
      </c>
      <c r="AT726" s="149" t="str">
        <f>IF('Cable Info'!P586="","",CONCATENATE('Cable Info'!P586," - ",'Cable Info'!Q586))</f>
        <v/>
      </c>
      <c r="AW726" s="149" t="str">
        <f t="shared" si="92"/>
        <v/>
      </c>
      <c r="AY726" s="149" t="str">
        <f>IF('Cable Info'!R586="","",CONCATENATE('Cable Info'!R586," - ",'Cable Info'!S586))</f>
        <v/>
      </c>
      <c r="BB726" s="149" t="str">
        <f t="shared" si="93"/>
        <v/>
      </c>
      <c r="BD726" s="149" t="str">
        <f>IF('Cable Info'!T586="","",CONCATENATE('Cable Info'!T586," - ",'Cable Info'!U586))</f>
        <v/>
      </c>
      <c r="BG726" s="149" t="str">
        <f t="shared" si="94"/>
        <v/>
      </c>
      <c r="BI726" s="149" t="str">
        <f>IF('Cable Info'!V586="","",CONCATENATE('Cable Info'!V586," - ",'Cable Info'!W586))</f>
        <v/>
      </c>
      <c r="BL726" s="149" t="str">
        <f t="shared" si="95"/>
        <v/>
      </c>
    </row>
    <row r="727" spans="1:64" x14ac:dyDescent="0.2">
      <c r="A727" s="180"/>
      <c r="B727" s="180"/>
      <c r="C727" s="180"/>
      <c r="D727" s="180"/>
      <c r="E727" s="180"/>
      <c r="F727" s="187"/>
      <c r="G727" s="180"/>
      <c r="H727" s="180"/>
      <c r="I727" s="180"/>
      <c r="J727" s="187"/>
      <c r="K727" s="180"/>
      <c r="L727" s="180"/>
      <c r="M727" s="180"/>
      <c r="N727" s="180"/>
      <c r="O727" s="218"/>
      <c r="P727" s="180"/>
      <c r="Q727" s="188"/>
      <c r="R727" s="180"/>
      <c r="S727" s="180"/>
      <c r="T727" s="180"/>
      <c r="U727" s="180"/>
      <c r="V727" s="180"/>
      <c r="W727" s="180"/>
      <c r="X727" s="201"/>
      <c r="AJ727" s="149" t="str">
        <f>IF('Cable Info'!L587="","",CONCATENATE('Cable Info'!L587," - ",'Cable Info'!M587))</f>
        <v/>
      </c>
      <c r="AM727" s="149" t="str">
        <f t="shared" si="90"/>
        <v/>
      </c>
      <c r="AO727" s="149" t="str">
        <f>IF('Cable Info'!N587="","",CONCATENATE('Cable Info'!N587," - ",'Cable Info'!O587))</f>
        <v/>
      </c>
      <c r="AR727" s="149" t="str">
        <f t="shared" si="91"/>
        <v/>
      </c>
      <c r="AT727" s="149" t="str">
        <f>IF('Cable Info'!P587="","",CONCATENATE('Cable Info'!P587," - ",'Cable Info'!Q587))</f>
        <v/>
      </c>
      <c r="AW727" s="149" t="str">
        <f t="shared" si="92"/>
        <v/>
      </c>
      <c r="AY727" s="149" t="str">
        <f>IF('Cable Info'!R587="","",CONCATENATE('Cable Info'!R587," - ",'Cable Info'!S587))</f>
        <v/>
      </c>
      <c r="BB727" s="149" t="str">
        <f t="shared" si="93"/>
        <v/>
      </c>
      <c r="BD727" s="149" t="str">
        <f>IF('Cable Info'!T587="","",CONCATENATE('Cable Info'!T587," - ",'Cable Info'!U587))</f>
        <v/>
      </c>
      <c r="BG727" s="149" t="str">
        <f t="shared" si="94"/>
        <v/>
      </c>
      <c r="BI727" s="149" t="str">
        <f>IF('Cable Info'!V587="","",CONCATENATE('Cable Info'!V587," - ",'Cable Info'!W587))</f>
        <v/>
      </c>
      <c r="BL727" s="149" t="str">
        <f t="shared" si="95"/>
        <v/>
      </c>
    </row>
    <row r="728" spans="1:64" x14ac:dyDescent="0.2">
      <c r="A728" s="180"/>
      <c r="B728" s="180"/>
      <c r="C728" s="180"/>
      <c r="D728" s="180"/>
      <c r="E728" s="180"/>
      <c r="F728" s="187"/>
      <c r="G728" s="180"/>
      <c r="H728" s="180"/>
      <c r="I728" s="180"/>
      <c r="J728" s="187"/>
      <c r="K728" s="180"/>
      <c r="L728" s="180"/>
      <c r="M728" s="180"/>
      <c r="N728" s="180"/>
      <c r="O728" s="218"/>
      <c r="P728" s="180"/>
      <c r="Q728" s="188"/>
      <c r="R728" s="180"/>
      <c r="S728" s="180"/>
      <c r="T728" s="180"/>
      <c r="U728" s="180"/>
      <c r="V728" s="180"/>
      <c r="W728" s="180"/>
      <c r="X728" s="201"/>
      <c r="AJ728" s="149" t="str">
        <f>IF('Cable Info'!L588="","",CONCATENATE('Cable Info'!L588," - ",'Cable Info'!M588))</f>
        <v/>
      </c>
      <c r="AM728" s="149" t="str">
        <f t="shared" si="90"/>
        <v/>
      </c>
      <c r="AO728" s="149" t="str">
        <f>IF('Cable Info'!N588="","",CONCATENATE('Cable Info'!N588," - ",'Cable Info'!O588))</f>
        <v/>
      </c>
      <c r="AR728" s="149" t="str">
        <f t="shared" si="91"/>
        <v/>
      </c>
      <c r="AT728" s="149" t="str">
        <f>IF('Cable Info'!P588="","",CONCATENATE('Cable Info'!P588," - ",'Cable Info'!Q588))</f>
        <v/>
      </c>
      <c r="AW728" s="149" t="str">
        <f t="shared" si="92"/>
        <v/>
      </c>
      <c r="AY728" s="149" t="str">
        <f>IF('Cable Info'!R588="","",CONCATENATE('Cable Info'!R588," - ",'Cable Info'!S588))</f>
        <v/>
      </c>
      <c r="BB728" s="149" t="str">
        <f t="shared" si="93"/>
        <v/>
      </c>
      <c r="BD728" s="149" t="str">
        <f>IF('Cable Info'!T588="","",CONCATENATE('Cable Info'!T588," - ",'Cable Info'!U588))</f>
        <v/>
      </c>
      <c r="BG728" s="149" t="str">
        <f t="shared" si="94"/>
        <v/>
      </c>
      <c r="BI728" s="149" t="str">
        <f>IF('Cable Info'!V588="","",CONCATENATE('Cable Info'!V588," - ",'Cable Info'!W588))</f>
        <v/>
      </c>
      <c r="BL728" s="149" t="str">
        <f t="shared" si="95"/>
        <v/>
      </c>
    </row>
    <row r="729" spans="1:64" x14ac:dyDescent="0.2">
      <c r="A729" s="180"/>
      <c r="B729" s="180"/>
      <c r="C729" s="180"/>
      <c r="D729" s="180"/>
      <c r="E729" s="180"/>
      <c r="F729" s="187"/>
      <c r="G729" s="180"/>
      <c r="H729" s="180"/>
      <c r="I729" s="180"/>
      <c r="J729" s="187"/>
      <c r="K729" s="180"/>
      <c r="L729" s="180"/>
      <c r="M729" s="180"/>
      <c r="N729" s="180"/>
      <c r="O729" s="218"/>
      <c r="P729" s="180"/>
      <c r="Q729" s="188"/>
      <c r="R729" s="180"/>
      <c r="S729" s="180"/>
      <c r="T729" s="180"/>
      <c r="U729" s="180"/>
      <c r="V729" s="180"/>
      <c r="W729" s="180"/>
      <c r="X729" s="201"/>
      <c r="AJ729" s="149" t="str">
        <f>IF('Cable Info'!L589="","",CONCATENATE('Cable Info'!L589," - ",'Cable Info'!M589))</f>
        <v/>
      </c>
      <c r="AM729" s="149" t="str">
        <f t="shared" si="90"/>
        <v/>
      </c>
      <c r="AO729" s="149" t="str">
        <f>IF('Cable Info'!N589="","",CONCATENATE('Cable Info'!N589," - ",'Cable Info'!O589))</f>
        <v/>
      </c>
      <c r="AR729" s="149" t="str">
        <f t="shared" si="91"/>
        <v/>
      </c>
      <c r="AT729" s="149" t="str">
        <f>IF('Cable Info'!P589="","",CONCATENATE('Cable Info'!P589," - ",'Cable Info'!Q589))</f>
        <v/>
      </c>
      <c r="AW729" s="149" t="str">
        <f t="shared" si="92"/>
        <v/>
      </c>
      <c r="AY729" s="149" t="str">
        <f>IF('Cable Info'!R589="","",CONCATENATE('Cable Info'!R589," - ",'Cable Info'!S589))</f>
        <v/>
      </c>
      <c r="BB729" s="149" t="str">
        <f t="shared" si="93"/>
        <v/>
      </c>
      <c r="BD729" s="149" t="str">
        <f>IF('Cable Info'!T589="","",CONCATENATE('Cable Info'!T589," - ",'Cable Info'!U589))</f>
        <v/>
      </c>
      <c r="BG729" s="149" t="str">
        <f t="shared" si="94"/>
        <v/>
      </c>
      <c r="BI729" s="149" t="str">
        <f>IF('Cable Info'!V589="","",CONCATENATE('Cable Info'!V589," - ",'Cable Info'!W589))</f>
        <v/>
      </c>
      <c r="BL729" s="149" t="str">
        <f t="shared" si="95"/>
        <v/>
      </c>
    </row>
    <row r="730" spans="1:64" x14ac:dyDescent="0.2">
      <c r="A730" s="180"/>
      <c r="B730" s="180"/>
      <c r="C730" s="180"/>
      <c r="D730" s="180"/>
      <c r="E730" s="180"/>
      <c r="F730" s="187"/>
      <c r="G730" s="180"/>
      <c r="H730" s="180"/>
      <c r="I730" s="180"/>
      <c r="J730" s="187"/>
      <c r="K730" s="180"/>
      <c r="L730" s="180"/>
      <c r="M730" s="180"/>
      <c r="N730" s="180"/>
      <c r="O730" s="218"/>
      <c r="P730" s="180"/>
      <c r="Q730" s="188"/>
      <c r="R730" s="180"/>
      <c r="S730" s="180"/>
      <c r="T730" s="180"/>
      <c r="U730" s="180"/>
      <c r="V730" s="180"/>
      <c r="W730" s="180"/>
      <c r="X730" s="201"/>
      <c r="AJ730" s="149" t="str">
        <f>IF('Cable Info'!L590="","",CONCATENATE('Cable Info'!L590," - ",'Cable Info'!M590))</f>
        <v/>
      </c>
      <c r="AM730" s="149" t="str">
        <f t="shared" si="90"/>
        <v/>
      </c>
      <c r="AO730" s="149" t="str">
        <f>IF('Cable Info'!N590="","",CONCATENATE('Cable Info'!N590," - ",'Cable Info'!O590))</f>
        <v/>
      </c>
      <c r="AR730" s="149" t="str">
        <f t="shared" si="91"/>
        <v/>
      </c>
      <c r="AT730" s="149" t="str">
        <f>IF('Cable Info'!P590="","",CONCATENATE('Cable Info'!P590," - ",'Cable Info'!Q590))</f>
        <v/>
      </c>
      <c r="AW730" s="149" t="str">
        <f t="shared" si="92"/>
        <v/>
      </c>
      <c r="AY730" s="149" t="str">
        <f>IF('Cable Info'!R590="","",CONCATENATE('Cable Info'!R590," - ",'Cable Info'!S590))</f>
        <v/>
      </c>
      <c r="BB730" s="149" t="str">
        <f t="shared" si="93"/>
        <v/>
      </c>
      <c r="BD730" s="149" t="str">
        <f>IF('Cable Info'!T590="","",CONCATENATE('Cable Info'!T590," - ",'Cable Info'!U590))</f>
        <v/>
      </c>
      <c r="BG730" s="149" t="str">
        <f t="shared" si="94"/>
        <v/>
      </c>
      <c r="BI730" s="149" t="str">
        <f>IF('Cable Info'!V590="","",CONCATENATE('Cable Info'!V590," - ",'Cable Info'!W590))</f>
        <v/>
      </c>
      <c r="BL730" s="149" t="str">
        <f t="shared" si="95"/>
        <v/>
      </c>
    </row>
    <row r="731" spans="1:64" x14ac:dyDescent="0.2">
      <c r="A731" s="180"/>
      <c r="B731" s="180"/>
      <c r="C731" s="180"/>
      <c r="D731" s="180"/>
      <c r="E731" s="180"/>
      <c r="F731" s="187"/>
      <c r="G731" s="180"/>
      <c r="H731" s="180"/>
      <c r="I731" s="180"/>
      <c r="J731" s="187"/>
      <c r="K731" s="180"/>
      <c r="L731" s="180"/>
      <c r="M731" s="180"/>
      <c r="N731" s="180"/>
      <c r="O731" s="218"/>
      <c r="P731" s="180"/>
      <c r="Q731" s="188"/>
      <c r="R731" s="180"/>
      <c r="S731" s="180"/>
      <c r="T731" s="180"/>
      <c r="U731" s="180"/>
      <c r="V731" s="180"/>
      <c r="W731" s="180"/>
      <c r="X731" s="201"/>
      <c r="AJ731" s="149" t="str">
        <f>IF('Cable Info'!L591="","",CONCATENATE('Cable Info'!L591," - ",'Cable Info'!M591))</f>
        <v/>
      </c>
      <c r="AM731" s="149" t="str">
        <f t="shared" si="90"/>
        <v/>
      </c>
      <c r="AO731" s="149" t="str">
        <f>IF('Cable Info'!N591="","",CONCATENATE('Cable Info'!N591," - ",'Cable Info'!O591))</f>
        <v/>
      </c>
      <c r="AR731" s="149" t="str">
        <f t="shared" si="91"/>
        <v/>
      </c>
      <c r="AT731" s="149" t="str">
        <f>IF('Cable Info'!P591="","",CONCATENATE('Cable Info'!P591," - ",'Cable Info'!Q591))</f>
        <v/>
      </c>
      <c r="AW731" s="149" t="str">
        <f t="shared" si="92"/>
        <v/>
      </c>
      <c r="AY731" s="149" t="str">
        <f>IF('Cable Info'!R591="","",CONCATENATE('Cable Info'!R591," - ",'Cable Info'!S591))</f>
        <v/>
      </c>
      <c r="BB731" s="149" t="str">
        <f t="shared" si="93"/>
        <v/>
      </c>
      <c r="BD731" s="149" t="str">
        <f>IF('Cable Info'!T591="","",CONCATENATE('Cable Info'!T591," - ",'Cable Info'!U591))</f>
        <v/>
      </c>
      <c r="BG731" s="149" t="str">
        <f t="shared" si="94"/>
        <v/>
      </c>
      <c r="BI731" s="149" t="str">
        <f>IF('Cable Info'!V591="","",CONCATENATE('Cable Info'!V591," - ",'Cable Info'!W591))</f>
        <v/>
      </c>
      <c r="BL731" s="149" t="str">
        <f t="shared" si="95"/>
        <v/>
      </c>
    </row>
    <row r="732" spans="1:64" x14ac:dyDescent="0.2">
      <c r="A732" s="180"/>
      <c r="B732" s="180"/>
      <c r="C732" s="180"/>
      <c r="D732" s="180"/>
      <c r="E732" s="180"/>
      <c r="F732" s="187"/>
      <c r="G732" s="180"/>
      <c r="H732" s="180"/>
      <c r="I732" s="180"/>
      <c r="J732" s="187"/>
      <c r="K732" s="180"/>
      <c r="L732" s="180"/>
      <c r="M732" s="180"/>
      <c r="N732" s="180"/>
      <c r="O732" s="218"/>
      <c r="P732" s="180"/>
      <c r="Q732" s="188"/>
      <c r="R732" s="180"/>
      <c r="S732" s="180"/>
      <c r="T732" s="180"/>
      <c r="U732" s="180"/>
      <c r="V732" s="180"/>
      <c r="W732" s="180"/>
      <c r="X732" s="201"/>
      <c r="AJ732" s="149" t="str">
        <f>IF('Cable Info'!L592="","",CONCATENATE('Cable Info'!L592," - ",'Cable Info'!M592))</f>
        <v/>
      </c>
      <c r="AM732" s="149" t="str">
        <f t="shared" si="90"/>
        <v/>
      </c>
      <c r="AO732" s="149" t="str">
        <f>IF('Cable Info'!N592="","",CONCATENATE('Cable Info'!N592," - ",'Cable Info'!O592))</f>
        <v/>
      </c>
      <c r="AR732" s="149" t="str">
        <f t="shared" si="91"/>
        <v/>
      </c>
      <c r="AT732" s="149" t="str">
        <f>IF('Cable Info'!P592="","",CONCATENATE('Cable Info'!P592," - ",'Cable Info'!Q592))</f>
        <v/>
      </c>
      <c r="AW732" s="149" t="str">
        <f t="shared" si="92"/>
        <v/>
      </c>
      <c r="AY732" s="149" t="str">
        <f>IF('Cable Info'!R592="","",CONCATENATE('Cable Info'!R592," - ",'Cable Info'!S592))</f>
        <v/>
      </c>
      <c r="BB732" s="149" t="str">
        <f t="shared" si="93"/>
        <v/>
      </c>
      <c r="BD732" s="149" t="str">
        <f>IF('Cable Info'!T592="","",CONCATENATE('Cable Info'!T592," - ",'Cable Info'!U592))</f>
        <v/>
      </c>
      <c r="BG732" s="149" t="str">
        <f t="shared" si="94"/>
        <v/>
      </c>
      <c r="BI732" s="149" t="str">
        <f>IF('Cable Info'!V592="","",CONCATENATE('Cable Info'!V592," - ",'Cable Info'!W592))</f>
        <v/>
      </c>
      <c r="BL732" s="149" t="str">
        <f t="shared" si="95"/>
        <v/>
      </c>
    </row>
    <row r="733" spans="1:64" x14ac:dyDescent="0.2">
      <c r="A733" s="180"/>
      <c r="B733" s="180"/>
      <c r="C733" s="180"/>
      <c r="D733" s="180"/>
      <c r="E733" s="180"/>
      <c r="F733" s="187"/>
      <c r="G733" s="180"/>
      <c r="H733" s="180"/>
      <c r="I733" s="180"/>
      <c r="J733" s="187"/>
      <c r="K733" s="180"/>
      <c r="L733" s="180"/>
      <c r="M733" s="180"/>
      <c r="N733" s="180"/>
      <c r="O733" s="218"/>
      <c r="P733" s="180"/>
      <c r="Q733" s="188"/>
      <c r="R733" s="180"/>
      <c r="S733" s="180"/>
      <c r="T733" s="180"/>
      <c r="U733" s="180"/>
      <c r="V733" s="180"/>
      <c r="W733" s="180"/>
      <c r="X733" s="201"/>
      <c r="AJ733" s="149" t="str">
        <f>IF('Cable Info'!L593="","",CONCATENATE('Cable Info'!L593," - ",'Cable Info'!M593))</f>
        <v/>
      </c>
      <c r="AM733" s="149" t="str">
        <f t="shared" si="90"/>
        <v/>
      </c>
      <c r="AO733" s="149" t="str">
        <f>IF('Cable Info'!N593="","",CONCATENATE('Cable Info'!N593," - ",'Cable Info'!O593))</f>
        <v/>
      </c>
      <c r="AR733" s="149" t="str">
        <f t="shared" si="91"/>
        <v/>
      </c>
      <c r="AT733" s="149" t="str">
        <f>IF('Cable Info'!P593="","",CONCATENATE('Cable Info'!P593," - ",'Cable Info'!Q593))</f>
        <v/>
      </c>
      <c r="AW733" s="149" t="str">
        <f t="shared" si="92"/>
        <v/>
      </c>
      <c r="AY733" s="149" t="str">
        <f>IF('Cable Info'!R593="","",CONCATENATE('Cable Info'!R593," - ",'Cable Info'!S593))</f>
        <v/>
      </c>
      <c r="BB733" s="149" t="str">
        <f t="shared" si="93"/>
        <v/>
      </c>
      <c r="BD733" s="149" t="str">
        <f>IF('Cable Info'!T593="","",CONCATENATE('Cable Info'!T593," - ",'Cable Info'!U593))</f>
        <v/>
      </c>
      <c r="BG733" s="149" t="str">
        <f t="shared" si="94"/>
        <v/>
      </c>
      <c r="BI733" s="149" t="str">
        <f>IF('Cable Info'!V593="","",CONCATENATE('Cable Info'!V593," - ",'Cable Info'!W593))</f>
        <v/>
      </c>
      <c r="BL733" s="149" t="str">
        <f t="shared" si="95"/>
        <v/>
      </c>
    </row>
    <row r="734" spans="1:64" x14ac:dyDescent="0.2">
      <c r="A734" s="180"/>
      <c r="B734" s="180"/>
      <c r="C734" s="180"/>
      <c r="D734" s="180"/>
      <c r="E734" s="180"/>
      <c r="F734" s="187"/>
      <c r="G734" s="180"/>
      <c r="H734" s="180"/>
      <c r="I734" s="180"/>
      <c r="J734" s="187"/>
      <c r="K734" s="180"/>
      <c r="L734" s="180"/>
      <c r="M734" s="180"/>
      <c r="N734" s="180"/>
      <c r="O734" s="218"/>
      <c r="P734" s="180"/>
      <c r="Q734" s="188"/>
      <c r="R734" s="180"/>
      <c r="S734" s="180"/>
      <c r="T734" s="180"/>
      <c r="U734" s="180"/>
      <c r="V734" s="180"/>
      <c r="W734" s="180"/>
      <c r="X734" s="201"/>
      <c r="AJ734" s="149" t="str">
        <f>IF('Cable Info'!L594="","",CONCATENATE('Cable Info'!L594," - ",'Cable Info'!M594))</f>
        <v/>
      </c>
      <c r="AM734" s="149" t="str">
        <f t="shared" si="90"/>
        <v/>
      </c>
      <c r="AO734" s="149" t="str">
        <f>IF('Cable Info'!N594="","",CONCATENATE('Cable Info'!N594," - ",'Cable Info'!O594))</f>
        <v/>
      </c>
      <c r="AR734" s="149" t="str">
        <f t="shared" si="91"/>
        <v/>
      </c>
      <c r="AT734" s="149" t="str">
        <f>IF('Cable Info'!P594="","",CONCATENATE('Cable Info'!P594," - ",'Cable Info'!Q594))</f>
        <v/>
      </c>
      <c r="AW734" s="149" t="str">
        <f t="shared" si="92"/>
        <v/>
      </c>
      <c r="AY734" s="149" t="str">
        <f>IF('Cable Info'!R594="","",CONCATENATE('Cable Info'!R594," - ",'Cable Info'!S594))</f>
        <v/>
      </c>
      <c r="BB734" s="149" t="str">
        <f t="shared" si="93"/>
        <v/>
      </c>
      <c r="BD734" s="149" t="str">
        <f>IF('Cable Info'!T594="","",CONCATENATE('Cable Info'!T594," - ",'Cable Info'!U594))</f>
        <v/>
      </c>
      <c r="BG734" s="149" t="str">
        <f t="shared" si="94"/>
        <v/>
      </c>
      <c r="BI734" s="149" t="str">
        <f>IF('Cable Info'!V594="","",CONCATENATE('Cable Info'!V594," - ",'Cable Info'!W594))</f>
        <v/>
      </c>
      <c r="BL734" s="149" t="str">
        <f t="shared" si="95"/>
        <v/>
      </c>
    </row>
    <row r="735" spans="1:64" x14ac:dyDescent="0.2">
      <c r="A735" s="180"/>
      <c r="B735" s="180"/>
      <c r="C735" s="180"/>
      <c r="D735" s="180"/>
      <c r="E735" s="180"/>
      <c r="F735" s="187"/>
      <c r="G735" s="180"/>
      <c r="H735" s="180"/>
      <c r="I735" s="180"/>
      <c r="J735" s="187"/>
      <c r="K735" s="180"/>
      <c r="L735" s="180"/>
      <c r="M735" s="180"/>
      <c r="N735" s="180"/>
      <c r="O735" s="218"/>
      <c r="P735" s="180"/>
      <c r="Q735" s="188"/>
      <c r="R735" s="180"/>
      <c r="S735" s="180"/>
      <c r="T735" s="180"/>
      <c r="U735" s="180"/>
      <c r="V735" s="180"/>
      <c r="W735" s="180"/>
      <c r="X735" s="201"/>
      <c r="AJ735" s="149" t="str">
        <f>IF('Cable Info'!L595="","",CONCATENATE('Cable Info'!L595," - ",'Cable Info'!M595))</f>
        <v/>
      </c>
      <c r="AM735" s="149" t="str">
        <f t="shared" si="90"/>
        <v/>
      </c>
      <c r="AO735" s="149" t="str">
        <f>IF('Cable Info'!N595="","",CONCATENATE('Cable Info'!N595," - ",'Cable Info'!O595))</f>
        <v/>
      </c>
      <c r="AR735" s="149" t="str">
        <f t="shared" si="91"/>
        <v/>
      </c>
      <c r="AT735" s="149" t="str">
        <f>IF('Cable Info'!P595="","",CONCATENATE('Cable Info'!P595," - ",'Cable Info'!Q595))</f>
        <v/>
      </c>
      <c r="AW735" s="149" t="str">
        <f t="shared" si="92"/>
        <v/>
      </c>
      <c r="AY735" s="149" t="str">
        <f>IF('Cable Info'!R595="","",CONCATENATE('Cable Info'!R595," - ",'Cable Info'!S595))</f>
        <v/>
      </c>
      <c r="BB735" s="149" t="str">
        <f t="shared" si="93"/>
        <v/>
      </c>
      <c r="BD735" s="149" t="str">
        <f>IF('Cable Info'!T595="","",CONCATENATE('Cable Info'!T595," - ",'Cable Info'!U595))</f>
        <v/>
      </c>
      <c r="BG735" s="149" t="str">
        <f t="shared" si="94"/>
        <v/>
      </c>
      <c r="BI735" s="149" t="str">
        <f>IF('Cable Info'!V595="","",CONCATENATE('Cable Info'!V595," - ",'Cable Info'!W595))</f>
        <v/>
      </c>
      <c r="BL735" s="149" t="str">
        <f t="shared" si="95"/>
        <v/>
      </c>
    </row>
    <row r="736" spans="1:64" x14ac:dyDescent="0.2">
      <c r="A736" s="180"/>
      <c r="B736" s="180"/>
      <c r="C736" s="180"/>
      <c r="D736" s="180"/>
      <c r="E736" s="180"/>
      <c r="F736" s="187"/>
      <c r="G736" s="180"/>
      <c r="H736" s="180"/>
      <c r="I736" s="180"/>
      <c r="J736" s="187"/>
      <c r="K736" s="180"/>
      <c r="L736" s="180"/>
      <c r="M736" s="180"/>
      <c r="N736" s="180"/>
      <c r="O736" s="218"/>
      <c r="P736" s="180"/>
      <c r="Q736" s="188"/>
      <c r="R736" s="180"/>
      <c r="S736" s="180"/>
      <c r="T736" s="180"/>
      <c r="U736" s="180"/>
      <c r="V736" s="180"/>
      <c r="W736" s="180"/>
      <c r="X736" s="201"/>
      <c r="AJ736" s="149" t="str">
        <f>IF('Cable Info'!L596="","",CONCATENATE('Cable Info'!L596," - ",'Cable Info'!M596))</f>
        <v/>
      </c>
      <c r="AM736" s="149" t="str">
        <f t="shared" si="90"/>
        <v/>
      </c>
      <c r="AO736" s="149" t="str">
        <f>IF('Cable Info'!N596="","",CONCATENATE('Cable Info'!N596," - ",'Cable Info'!O596))</f>
        <v/>
      </c>
      <c r="AR736" s="149" t="str">
        <f t="shared" si="91"/>
        <v/>
      </c>
      <c r="AT736" s="149" t="str">
        <f>IF('Cable Info'!P596="","",CONCATENATE('Cable Info'!P596," - ",'Cable Info'!Q596))</f>
        <v/>
      </c>
      <c r="AW736" s="149" t="str">
        <f t="shared" si="92"/>
        <v/>
      </c>
      <c r="AY736" s="149" t="str">
        <f>IF('Cable Info'!R596="","",CONCATENATE('Cable Info'!R596," - ",'Cable Info'!S596))</f>
        <v/>
      </c>
      <c r="BB736" s="149" t="str">
        <f t="shared" si="93"/>
        <v/>
      </c>
      <c r="BD736" s="149" t="str">
        <f>IF('Cable Info'!T596="","",CONCATENATE('Cable Info'!T596," - ",'Cable Info'!U596))</f>
        <v/>
      </c>
      <c r="BG736" s="149" t="str">
        <f t="shared" si="94"/>
        <v/>
      </c>
      <c r="BI736" s="149" t="str">
        <f>IF('Cable Info'!V596="","",CONCATENATE('Cable Info'!V596," - ",'Cable Info'!W596))</f>
        <v/>
      </c>
      <c r="BL736" s="149" t="str">
        <f t="shared" si="95"/>
        <v/>
      </c>
    </row>
    <row r="737" spans="1:64" x14ac:dyDescent="0.2">
      <c r="A737" s="180"/>
      <c r="B737" s="180"/>
      <c r="C737" s="180"/>
      <c r="D737" s="180"/>
      <c r="E737" s="180"/>
      <c r="F737" s="187"/>
      <c r="G737" s="180"/>
      <c r="H737" s="180"/>
      <c r="I737" s="180"/>
      <c r="J737" s="187"/>
      <c r="K737" s="180"/>
      <c r="L737" s="180"/>
      <c r="M737" s="180"/>
      <c r="N737" s="180"/>
      <c r="O737" s="218"/>
      <c r="P737" s="180"/>
      <c r="Q737" s="188"/>
      <c r="R737" s="180"/>
      <c r="S737" s="180"/>
      <c r="T737" s="180"/>
      <c r="U737" s="180"/>
      <c r="V737" s="180"/>
      <c r="W737" s="180"/>
      <c r="X737" s="201"/>
      <c r="AJ737" s="149" t="str">
        <f>IF('Cable Info'!L597="","",CONCATENATE('Cable Info'!L597," - ",'Cable Info'!M597))</f>
        <v/>
      </c>
      <c r="AM737" s="149" t="str">
        <f t="shared" si="90"/>
        <v/>
      </c>
      <c r="AO737" s="149" t="str">
        <f>IF('Cable Info'!N597="","",CONCATENATE('Cable Info'!N597," - ",'Cable Info'!O597))</f>
        <v/>
      </c>
      <c r="AR737" s="149" t="str">
        <f t="shared" si="91"/>
        <v/>
      </c>
      <c r="AT737" s="149" t="str">
        <f>IF('Cable Info'!P597="","",CONCATENATE('Cable Info'!P597," - ",'Cable Info'!Q597))</f>
        <v/>
      </c>
      <c r="AW737" s="149" t="str">
        <f t="shared" si="92"/>
        <v/>
      </c>
      <c r="AY737" s="149" t="str">
        <f>IF('Cable Info'!R597="","",CONCATENATE('Cable Info'!R597," - ",'Cable Info'!S597))</f>
        <v/>
      </c>
      <c r="BB737" s="149" t="str">
        <f t="shared" si="93"/>
        <v/>
      </c>
      <c r="BD737" s="149" t="str">
        <f>IF('Cable Info'!T597="","",CONCATENATE('Cable Info'!T597," - ",'Cable Info'!U597))</f>
        <v/>
      </c>
      <c r="BG737" s="149" t="str">
        <f t="shared" si="94"/>
        <v/>
      </c>
      <c r="BI737" s="149" t="str">
        <f>IF('Cable Info'!V597="","",CONCATENATE('Cable Info'!V597," - ",'Cable Info'!W597))</f>
        <v/>
      </c>
      <c r="BL737" s="149" t="str">
        <f t="shared" si="95"/>
        <v/>
      </c>
    </row>
    <row r="738" spans="1:64" x14ac:dyDescent="0.2">
      <c r="A738" s="180"/>
      <c r="B738" s="180"/>
      <c r="C738" s="180"/>
      <c r="D738" s="180"/>
      <c r="E738" s="180"/>
      <c r="F738" s="187"/>
      <c r="G738" s="180"/>
      <c r="H738" s="180"/>
      <c r="I738" s="180"/>
      <c r="J738" s="187"/>
      <c r="K738" s="180"/>
      <c r="L738" s="180"/>
      <c r="M738" s="180"/>
      <c r="N738" s="180"/>
      <c r="O738" s="218"/>
      <c r="P738" s="180"/>
      <c r="Q738" s="188"/>
      <c r="R738" s="180"/>
      <c r="S738" s="180"/>
      <c r="T738" s="180"/>
      <c r="U738" s="180"/>
      <c r="V738" s="180"/>
      <c r="W738" s="180"/>
      <c r="X738" s="201"/>
      <c r="AJ738" s="149" t="str">
        <f>IF('Cable Info'!L598="","",CONCATENATE('Cable Info'!L598," - ",'Cable Info'!M598))</f>
        <v/>
      </c>
      <c r="AM738" s="149" t="str">
        <f t="shared" si="90"/>
        <v/>
      </c>
      <c r="AO738" s="149" t="str">
        <f>IF('Cable Info'!N598="","",CONCATENATE('Cable Info'!N598," - ",'Cable Info'!O598))</f>
        <v/>
      </c>
      <c r="AR738" s="149" t="str">
        <f t="shared" si="91"/>
        <v/>
      </c>
      <c r="AT738" s="149" t="str">
        <f>IF('Cable Info'!P598="","",CONCATENATE('Cable Info'!P598," - ",'Cable Info'!Q598))</f>
        <v/>
      </c>
      <c r="AW738" s="149" t="str">
        <f t="shared" si="92"/>
        <v/>
      </c>
      <c r="AY738" s="149" t="str">
        <f>IF('Cable Info'!R598="","",CONCATENATE('Cable Info'!R598," - ",'Cable Info'!S598))</f>
        <v/>
      </c>
      <c r="BB738" s="149" t="str">
        <f t="shared" si="93"/>
        <v/>
      </c>
      <c r="BD738" s="149" t="str">
        <f>IF('Cable Info'!T598="","",CONCATENATE('Cable Info'!T598," - ",'Cable Info'!U598))</f>
        <v/>
      </c>
      <c r="BG738" s="149" t="str">
        <f t="shared" si="94"/>
        <v/>
      </c>
      <c r="BI738" s="149" t="str">
        <f>IF('Cable Info'!V598="","",CONCATENATE('Cable Info'!V598," - ",'Cable Info'!W598))</f>
        <v/>
      </c>
      <c r="BL738" s="149" t="str">
        <f t="shared" si="95"/>
        <v/>
      </c>
    </row>
    <row r="739" spans="1:64" x14ac:dyDescent="0.2">
      <c r="A739" s="180"/>
      <c r="B739" s="180"/>
      <c r="C739" s="180"/>
      <c r="D739" s="180"/>
      <c r="E739" s="180"/>
      <c r="F739" s="187"/>
      <c r="G739" s="180"/>
      <c r="H739" s="180"/>
      <c r="I739" s="180"/>
      <c r="J739" s="187"/>
      <c r="K739" s="180"/>
      <c r="L739" s="180"/>
      <c r="M739" s="180"/>
      <c r="N739" s="180"/>
      <c r="O739" s="218"/>
      <c r="P739" s="180"/>
      <c r="Q739" s="188"/>
      <c r="R739" s="180"/>
      <c r="S739" s="180"/>
      <c r="T739" s="180"/>
      <c r="U739" s="180"/>
      <c r="V739" s="180"/>
      <c r="W739" s="180"/>
      <c r="X739" s="201"/>
      <c r="AJ739" s="149" t="str">
        <f>IF('Cable Info'!L599="","",CONCATENATE('Cable Info'!L599," - ",'Cable Info'!M599))</f>
        <v/>
      </c>
      <c r="AM739" s="149" t="str">
        <f t="shared" si="90"/>
        <v/>
      </c>
      <c r="AO739" s="149" t="str">
        <f>IF('Cable Info'!N599="","",CONCATENATE('Cable Info'!N599," - ",'Cable Info'!O599))</f>
        <v/>
      </c>
      <c r="AR739" s="149" t="str">
        <f t="shared" si="91"/>
        <v/>
      </c>
      <c r="AT739" s="149" t="str">
        <f>IF('Cable Info'!P599="","",CONCATENATE('Cable Info'!P599," - ",'Cable Info'!Q599))</f>
        <v/>
      </c>
      <c r="AW739" s="149" t="str">
        <f t="shared" si="92"/>
        <v/>
      </c>
      <c r="AY739" s="149" t="str">
        <f>IF('Cable Info'!R599="","",CONCATENATE('Cable Info'!R599," - ",'Cable Info'!S599))</f>
        <v/>
      </c>
      <c r="BB739" s="149" t="str">
        <f t="shared" si="93"/>
        <v/>
      </c>
      <c r="BD739" s="149" t="str">
        <f>IF('Cable Info'!T599="","",CONCATENATE('Cable Info'!T599," - ",'Cable Info'!U599))</f>
        <v/>
      </c>
      <c r="BG739" s="149" t="str">
        <f t="shared" si="94"/>
        <v/>
      </c>
      <c r="BI739" s="149" t="str">
        <f>IF('Cable Info'!V599="","",CONCATENATE('Cable Info'!V599," - ",'Cable Info'!W599))</f>
        <v/>
      </c>
      <c r="BL739" s="149" t="str">
        <f t="shared" si="95"/>
        <v/>
      </c>
    </row>
    <row r="740" spans="1:64" x14ac:dyDescent="0.2">
      <c r="A740" s="180"/>
      <c r="B740" s="180"/>
      <c r="C740" s="180"/>
      <c r="D740" s="180"/>
      <c r="E740" s="180"/>
      <c r="F740" s="187"/>
      <c r="G740" s="180"/>
      <c r="H740" s="180"/>
      <c r="I740" s="180"/>
      <c r="J740" s="187"/>
      <c r="K740" s="180"/>
      <c r="L740" s="180"/>
      <c r="M740" s="180"/>
      <c r="N740" s="180"/>
      <c r="O740" s="218"/>
      <c r="P740" s="180"/>
      <c r="Q740" s="188"/>
      <c r="R740" s="180"/>
      <c r="S740" s="180"/>
      <c r="T740" s="180"/>
      <c r="U740" s="180"/>
      <c r="V740" s="180"/>
      <c r="W740" s="180"/>
      <c r="X740" s="201"/>
      <c r="AJ740" s="149" t="str">
        <f>IF('Cable Info'!L600="","",CONCATENATE('Cable Info'!L600," - ",'Cable Info'!M600))</f>
        <v/>
      </c>
      <c r="AM740" s="149" t="str">
        <f t="shared" si="90"/>
        <v/>
      </c>
      <c r="AO740" s="149" t="str">
        <f>IF('Cable Info'!N600="","",CONCATENATE('Cable Info'!N600," - ",'Cable Info'!O600))</f>
        <v/>
      </c>
      <c r="AR740" s="149" t="str">
        <f t="shared" si="91"/>
        <v/>
      </c>
      <c r="AT740" s="149" t="str">
        <f>IF('Cable Info'!P600="","",CONCATENATE('Cable Info'!P600," - ",'Cable Info'!Q600))</f>
        <v/>
      </c>
      <c r="AW740" s="149" t="str">
        <f t="shared" si="92"/>
        <v/>
      </c>
      <c r="AY740" s="149" t="str">
        <f>IF('Cable Info'!R600="","",CONCATENATE('Cable Info'!R600," - ",'Cable Info'!S600))</f>
        <v/>
      </c>
      <c r="BB740" s="149" t="str">
        <f t="shared" si="93"/>
        <v/>
      </c>
      <c r="BD740" s="149" t="str">
        <f>IF('Cable Info'!T600="","",CONCATENATE('Cable Info'!T600," - ",'Cable Info'!U600))</f>
        <v/>
      </c>
      <c r="BG740" s="149" t="str">
        <f t="shared" si="94"/>
        <v/>
      </c>
      <c r="BI740" s="149" t="str">
        <f>IF('Cable Info'!V600="","",CONCATENATE('Cable Info'!V600," - ",'Cable Info'!W600))</f>
        <v/>
      </c>
      <c r="BL740" s="149" t="str">
        <f t="shared" si="95"/>
        <v/>
      </c>
    </row>
    <row r="741" spans="1:64" x14ac:dyDescent="0.2">
      <c r="A741" s="180"/>
      <c r="B741" s="180"/>
      <c r="C741" s="180"/>
      <c r="D741" s="180"/>
      <c r="E741" s="180"/>
      <c r="F741" s="187"/>
      <c r="G741" s="180"/>
      <c r="H741" s="180"/>
      <c r="I741" s="180"/>
      <c r="J741" s="187"/>
      <c r="K741" s="180"/>
      <c r="L741" s="180"/>
      <c r="M741" s="180"/>
      <c r="N741" s="180"/>
      <c r="O741" s="218"/>
      <c r="P741" s="180"/>
      <c r="Q741" s="188"/>
      <c r="R741" s="180"/>
      <c r="S741" s="180"/>
      <c r="T741" s="180"/>
      <c r="U741" s="180"/>
      <c r="V741" s="180"/>
      <c r="W741" s="180"/>
      <c r="X741" s="201"/>
      <c r="AJ741" s="149" t="str">
        <f>IF('Cable Info'!L601="","",CONCATENATE('Cable Info'!L601," - ",'Cable Info'!M601))</f>
        <v/>
      </c>
      <c r="AM741" s="149" t="str">
        <f t="shared" si="90"/>
        <v/>
      </c>
      <c r="AO741" s="149" t="str">
        <f>IF('Cable Info'!N601="","",CONCATENATE('Cable Info'!N601," - ",'Cable Info'!O601))</f>
        <v/>
      </c>
      <c r="AR741" s="149" t="str">
        <f t="shared" si="91"/>
        <v/>
      </c>
      <c r="AT741" s="149" t="str">
        <f>IF('Cable Info'!P601="","",CONCATENATE('Cable Info'!P601," - ",'Cable Info'!Q601))</f>
        <v/>
      </c>
      <c r="AW741" s="149" t="str">
        <f t="shared" si="92"/>
        <v/>
      </c>
      <c r="AY741" s="149" t="str">
        <f>IF('Cable Info'!R601="","",CONCATENATE('Cable Info'!R601," - ",'Cable Info'!S601))</f>
        <v/>
      </c>
      <c r="BB741" s="149" t="str">
        <f t="shared" si="93"/>
        <v/>
      </c>
      <c r="BD741" s="149" t="str">
        <f>IF('Cable Info'!T601="","",CONCATENATE('Cable Info'!T601," - ",'Cable Info'!U601))</f>
        <v/>
      </c>
      <c r="BG741" s="149" t="str">
        <f t="shared" si="94"/>
        <v/>
      </c>
      <c r="BI741" s="149" t="str">
        <f>IF('Cable Info'!V601="","",CONCATENATE('Cable Info'!V601," - ",'Cable Info'!W601))</f>
        <v/>
      </c>
      <c r="BL741" s="149" t="str">
        <f t="shared" si="95"/>
        <v/>
      </c>
    </row>
    <row r="742" spans="1:64" x14ac:dyDescent="0.2">
      <c r="A742" s="180"/>
      <c r="B742" s="180"/>
      <c r="C742" s="180"/>
      <c r="D742" s="180"/>
      <c r="E742" s="180"/>
      <c r="F742" s="187"/>
      <c r="G742" s="180"/>
      <c r="H742" s="180"/>
      <c r="I742" s="180"/>
      <c r="J742" s="187"/>
      <c r="K742" s="180"/>
      <c r="L742" s="180"/>
      <c r="M742" s="180"/>
      <c r="N742" s="180"/>
      <c r="O742" s="218"/>
      <c r="P742" s="180"/>
      <c r="Q742" s="188"/>
      <c r="R742" s="180"/>
      <c r="S742" s="180"/>
      <c r="T742" s="180"/>
      <c r="U742" s="180"/>
      <c r="V742" s="180"/>
      <c r="W742" s="180"/>
      <c r="X742" s="201"/>
      <c r="AJ742" s="149" t="str">
        <f>IF('Cable Info'!L602="","",CONCATENATE('Cable Info'!L602," - ",'Cable Info'!M602))</f>
        <v/>
      </c>
      <c r="AM742" s="149" t="str">
        <f t="shared" si="90"/>
        <v/>
      </c>
      <c r="AO742" s="149" t="str">
        <f>IF('Cable Info'!N602="","",CONCATENATE('Cable Info'!N602," - ",'Cable Info'!O602))</f>
        <v/>
      </c>
      <c r="AR742" s="149" t="str">
        <f t="shared" si="91"/>
        <v/>
      </c>
      <c r="AT742" s="149" t="str">
        <f>IF('Cable Info'!P602="","",CONCATENATE('Cable Info'!P602," - ",'Cable Info'!Q602))</f>
        <v/>
      </c>
      <c r="AW742" s="149" t="str">
        <f t="shared" si="92"/>
        <v/>
      </c>
      <c r="AY742" s="149" t="str">
        <f>IF('Cable Info'!R602="","",CONCATENATE('Cable Info'!R602," - ",'Cable Info'!S602))</f>
        <v/>
      </c>
      <c r="BB742" s="149" t="str">
        <f t="shared" si="93"/>
        <v/>
      </c>
      <c r="BD742" s="149" t="str">
        <f>IF('Cable Info'!T602="","",CONCATENATE('Cable Info'!T602," - ",'Cable Info'!U602))</f>
        <v/>
      </c>
      <c r="BG742" s="149" t="str">
        <f t="shared" si="94"/>
        <v/>
      </c>
      <c r="BI742" s="149" t="str">
        <f>IF('Cable Info'!V602="","",CONCATENATE('Cable Info'!V602," - ",'Cable Info'!W602))</f>
        <v/>
      </c>
      <c r="BL742" s="149" t="str">
        <f t="shared" si="95"/>
        <v/>
      </c>
    </row>
    <row r="743" spans="1:64" x14ac:dyDescent="0.2">
      <c r="A743" s="180"/>
      <c r="B743" s="180"/>
      <c r="C743" s="180"/>
      <c r="D743" s="180"/>
      <c r="E743" s="180"/>
      <c r="F743" s="187"/>
      <c r="G743" s="180"/>
      <c r="H743" s="180"/>
      <c r="I743" s="180"/>
      <c r="J743" s="187"/>
      <c r="K743" s="180"/>
      <c r="L743" s="180"/>
      <c r="M743" s="180"/>
      <c r="N743" s="180"/>
      <c r="O743" s="218"/>
      <c r="P743" s="180"/>
      <c r="Q743" s="188"/>
      <c r="R743" s="180"/>
      <c r="S743" s="180"/>
      <c r="T743" s="180"/>
      <c r="U743" s="180"/>
      <c r="V743" s="180"/>
      <c r="W743" s="180"/>
      <c r="X743" s="201"/>
      <c r="AJ743" s="149" t="str">
        <f>IF('Cable Info'!L603="","",CONCATENATE('Cable Info'!L603," - ",'Cable Info'!M603))</f>
        <v/>
      </c>
      <c r="AM743" s="149" t="str">
        <f t="shared" si="90"/>
        <v/>
      </c>
      <c r="AO743" s="149" t="str">
        <f>IF('Cable Info'!N603="","",CONCATENATE('Cable Info'!N603," - ",'Cable Info'!O603))</f>
        <v/>
      </c>
      <c r="AR743" s="149" t="str">
        <f t="shared" si="91"/>
        <v/>
      </c>
      <c r="AT743" s="149" t="str">
        <f>IF('Cable Info'!P603="","",CONCATENATE('Cable Info'!P603," - ",'Cable Info'!Q603))</f>
        <v/>
      </c>
      <c r="AW743" s="149" t="str">
        <f t="shared" si="92"/>
        <v/>
      </c>
      <c r="AY743" s="149" t="str">
        <f>IF('Cable Info'!R603="","",CONCATENATE('Cable Info'!R603," - ",'Cable Info'!S603))</f>
        <v/>
      </c>
      <c r="BB743" s="149" t="str">
        <f t="shared" si="93"/>
        <v/>
      </c>
      <c r="BD743" s="149" t="str">
        <f>IF('Cable Info'!T603="","",CONCATENATE('Cable Info'!T603," - ",'Cable Info'!U603))</f>
        <v/>
      </c>
      <c r="BG743" s="149" t="str">
        <f t="shared" si="94"/>
        <v/>
      </c>
      <c r="BI743" s="149" t="str">
        <f>IF('Cable Info'!V603="","",CONCATENATE('Cable Info'!V603," - ",'Cable Info'!W603))</f>
        <v/>
      </c>
      <c r="BL743" s="149" t="str">
        <f t="shared" si="95"/>
        <v/>
      </c>
    </row>
    <row r="744" spans="1:64" x14ac:dyDescent="0.2">
      <c r="A744" s="180"/>
      <c r="B744" s="180"/>
      <c r="C744" s="180"/>
      <c r="D744" s="180"/>
      <c r="E744" s="180"/>
      <c r="F744" s="187"/>
      <c r="G744" s="180"/>
      <c r="H744" s="180"/>
      <c r="I744" s="180"/>
      <c r="J744" s="187"/>
      <c r="K744" s="180"/>
      <c r="L744" s="180"/>
      <c r="M744" s="180"/>
      <c r="N744" s="180"/>
      <c r="O744" s="218"/>
      <c r="P744" s="180"/>
      <c r="Q744" s="188"/>
      <c r="R744" s="180"/>
      <c r="S744" s="180"/>
      <c r="T744" s="180"/>
      <c r="U744" s="180"/>
      <c r="V744" s="180"/>
      <c r="W744" s="180"/>
      <c r="X744" s="201"/>
      <c r="AJ744" s="149" t="str">
        <f>IF('Cable Info'!L604="","",CONCATENATE('Cable Info'!L604," - ",'Cable Info'!M604))</f>
        <v/>
      </c>
      <c r="AM744" s="149" t="str">
        <f t="shared" si="90"/>
        <v/>
      </c>
      <c r="AO744" s="149" t="str">
        <f>IF('Cable Info'!N604="","",CONCATENATE('Cable Info'!N604," - ",'Cable Info'!O604))</f>
        <v/>
      </c>
      <c r="AR744" s="149" t="str">
        <f t="shared" si="91"/>
        <v/>
      </c>
      <c r="AT744" s="149" t="str">
        <f>IF('Cable Info'!P604="","",CONCATENATE('Cable Info'!P604," - ",'Cable Info'!Q604))</f>
        <v/>
      </c>
      <c r="AW744" s="149" t="str">
        <f t="shared" si="92"/>
        <v/>
      </c>
      <c r="AY744" s="149" t="str">
        <f>IF('Cable Info'!R604="","",CONCATENATE('Cable Info'!R604," - ",'Cable Info'!S604))</f>
        <v/>
      </c>
      <c r="BB744" s="149" t="str">
        <f t="shared" si="93"/>
        <v/>
      </c>
      <c r="BD744" s="149" t="str">
        <f>IF('Cable Info'!T604="","",CONCATENATE('Cable Info'!T604," - ",'Cable Info'!U604))</f>
        <v/>
      </c>
      <c r="BG744" s="149" t="str">
        <f t="shared" si="94"/>
        <v/>
      </c>
      <c r="BI744" s="149" t="str">
        <f>IF('Cable Info'!V604="","",CONCATENATE('Cable Info'!V604," - ",'Cable Info'!W604))</f>
        <v/>
      </c>
      <c r="BL744" s="149" t="str">
        <f t="shared" si="95"/>
        <v/>
      </c>
    </row>
    <row r="745" spans="1:64" x14ac:dyDescent="0.2">
      <c r="A745" s="180"/>
      <c r="B745" s="180"/>
      <c r="C745" s="180"/>
      <c r="D745" s="180"/>
      <c r="E745" s="180"/>
      <c r="F745" s="187"/>
      <c r="G745" s="180"/>
      <c r="H745" s="180"/>
      <c r="I745" s="180"/>
      <c r="J745" s="187"/>
      <c r="K745" s="180"/>
      <c r="L745" s="180"/>
      <c r="M745" s="180"/>
      <c r="N745" s="180"/>
      <c r="O745" s="218"/>
      <c r="P745" s="180"/>
      <c r="Q745" s="188"/>
      <c r="R745" s="180"/>
      <c r="S745" s="180"/>
      <c r="T745" s="180"/>
      <c r="U745" s="180"/>
      <c r="V745" s="180"/>
      <c r="W745" s="180"/>
      <c r="X745" s="201"/>
      <c r="AJ745" s="149" t="str">
        <f>IF('Cable Info'!L605="","",CONCATENATE('Cable Info'!L605," - ",'Cable Info'!M605))</f>
        <v/>
      </c>
      <c r="AM745" s="149" t="str">
        <f t="shared" si="90"/>
        <v/>
      </c>
      <c r="AO745" s="149" t="str">
        <f>IF('Cable Info'!N605="","",CONCATENATE('Cable Info'!N605," - ",'Cable Info'!O605))</f>
        <v/>
      </c>
      <c r="AR745" s="149" t="str">
        <f t="shared" si="91"/>
        <v/>
      </c>
      <c r="AT745" s="149" t="str">
        <f>IF('Cable Info'!P605="","",CONCATENATE('Cable Info'!P605," - ",'Cable Info'!Q605))</f>
        <v/>
      </c>
      <c r="AW745" s="149" t="str">
        <f t="shared" si="92"/>
        <v/>
      </c>
      <c r="AY745" s="149" t="str">
        <f>IF('Cable Info'!R605="","",CONCATENATE('Cable Info'!R605," - ",'Cable Info'!S605))</f>
        <v/>
      </c>
      <c r="BB745" s="149" t="str">
        <f t="shared" si="93"/>
        <v/>
      </c>
      <c r="BD745" s="149" t="str">
        <f>IF('Cable Info'!T605="","",CONCATENATE('Cable Info'!T605," - ",'Cable Info'!U605))</f>
        <v/>
      </c>
      <c r="BG745" s="149" t="str">
        <f t="shared" si="94"/>
        <v/>
      </c>
      <c r="BI745" s="149" t="str">
        <f>IF('Cable Info'!V605="","",CONCATENATE('Cable Info'!V605," - ",'Cable Info'!W605))</f>
        <v/>
      </c>
      <c r="BL745" s="149" t="str">
        <f t="shared" si="95"/>
        <v/>
      </c>
    </row>
    <row r="746" spans="1:64" x14ac:dyDescent="0.2">
      <c r="A746" s="180"/>
      <c r="B746" s="180"/>
      <c r="C746" s="180"/>
      <c r="D746" s="180"/>
      <c r="E746" s="180"/>
      <c r="F746" s="187"/>
      <c r="G746" s="180"/>
      <c r="H746" s="180"/>
      <c r="I746" s="180"/>
      <c r="J746" s="187"/>
      <c r="K746" s="180"/>
      <c r="L746" s="180"/>
      <c r="M746" s="180"/>
      <c r="N746" s="180"/>
      <c r="O746" s="218"/>
      <c r="P746" s="180"/>
      <c r="Q746" s="188"/>
      <c r="R746" s="180"/>
      <c r="S746" s="180"/>
      <c r="T746" s="180"/>
      <c r="U746" s="180"/>
      <c r="V746" s="180"/>
      <c r="W746" s="180"/>
      <c r="X746" s="201"/>
      <c r="AJ746" s="149" t="str">
        <f>IF('Cable Info'!L606="","",CONCATENATE('Cable Info'!L606," - ",'Cable Info'!M606))</f>
        <v/>
      </c>
      <c r="AM746" s="149" t="str">
        <f t="shared" si="90"/>
        <v/>
      </c>
      <c r="AO746" s="149" t="str">
        <f>IF('Cable Info'!N606="","",CONCATENATE('Cable Info'!N606," - ",'Cable Info'!O606))</f>
        <v/>
      </c>
      <c r="AR746" s="149" t="str">
        <f t="shared" si="91"/>
        <v/>
      </c>
      <c r="AT746" s="149" t="str">
        <f>IF('Cable Info'!P606="","",CONCATENATE('Cable Info'!P606," - ",'Cable Info'!Q606))</f>
        <v/>
      </c>
      <c r="AW746" s="149" t="str">
        <f t="shared" si="92"/>
        <v/>
      </c>
      <c r="AY746" s="149" t="str">
        <f>IF('Cable Info'!R606="","",CONCATENATE('Cable Info'!R606," - ",'Cable Info'!S606))</f>
        <v/>
      </c>
      <c r="BB746" s="149" t="str">
        <f t="shared" si="93"/>
        <v/>
      </c>
      <c r="BD746" s="149" t="str">
        <f>IF('Cable Info'!T606="","",CONCATENATE('Cable Info'!T606," - ",'Cable Info'!U606))</f>
        <v/>
      </c>
      <c r="BG746" s="149" t="str">
        <f t="shared" si="94"/>
        <v/>
      </c>
      <c r="BI746" s="149" t="str">
        <f>IF('Cable Info'!V606="","",CONCATENATE('Cable Info'!V606," - ",'Cable Info'!W606))</f>
        <v/>
      </c>
      <c r="BL746" s="149" t="str">
        <f t="shared" si="95"/>
        <v/>
      </c>
    </row>
    <row r="747" spans="1:64" x14ac:dyDescent="0.2">
      <c r="A747" s="180"/>
      <c r="B747" s="180"/>
      <c r="C747" s="180"/>
      <c r="D747" s="180"/>
      <c r="E747" s="180"/>
      <c r="F747" s="187"/>
      <c r="G747" s="180"/>
      <c r="H747" s="180"/>
      <c r="I747" s="180"/>
      <c r="J747" s="187"/>
      <c r="K747" s="180"/>
      <c r="L747" s="180"/>
      <c r="M747" s="180"/>
      <c r="N747" s="180"/>
      <c r="O747" s="218"/>
      <c r="P747" s="180"/>
      <c r="Q747" s="188"/>
      <c r="R747" s="180"/>
      <c r="S747" s="180"/>
      <c r="T747" s="180"/>
      <c r="U747" s="180"/>
      <c r="V747" s="180"/>
      <c r="W747" s="180"/>
      <c r="X747" s="201"/>
      <c r="AJ747" s="149" t="str">
        <f>IF('Cable Info'!L607="","",CONCATENATE('Cable Info'!L607," - ",'Cable Info'!M607))</f>
        <v/>
      </c>
      <c r="AM747" s="149" t="str">
        <f t="shared" si="90"/>
        <v/>
      </c>
      <c r="AO747" s="149" t="str">
        <f>IF('Cable Info'!N607="","",CONCATENATE('Cable Info'!N607," - ",'Cable Info'!O607))</f>
        <v/>
      </c>
      <c r="AR747" s="149" t="str">
        <f t="shared" si="91"/>
        <v/>
      </c>
      <c r="AT747" s="149" t="str">
        <f>IF('Cable Info'!P607="","",CONCATENATE('Cable Info'!P607," - ",'Cable Info'!Q607))</f>
        <v/>
      </c>
      <c r="AW747" s="149" t="str">
        <f t="shared" si="92"/>
        <v/>
      </c>
      <c r="AY747" s="149" t="str">
        <f>IF('Cable Info'!R607="","",CONCATENATE('Cable Info'!R607," - ",'Cable Info'!S607))</f>
        <v/>
      </c>
      <c r="BB747" s="149" t="str">
        <f t="shared" si="93"/>
        <v/>
      </c>
      <c r="BD747" s="149" t="str">
        <f>IF('Cable Info'!T607="","",CONCATENATE('Cable Info'!T607," - ",'Cable Info'!U607))</f>
        <v/>
      </c>
      <c r="BG747" s="149" t="str">
        <f t="shared" si="94"/>
        <v/>
      </c>
      <c r="BI747" s="149" t="str">
        <f>IF('Cable Info'!V607="","",CONCATENATE('Cable Info'!V607," - ",'Cable Info'!W607))</f>
        <v/>
      </c>
      <c r="BL747" s="149" t="str">
        <f t="shared" si="95"/>
        <v/>
      </c>
    </row>
    <row r="748" spans="1:64" x14ac:dyDescent="0.2">
      <c r="A748" s="180"/>
      <c r="B748" s="180"/>
      <c r="C748" s="180"/>
      <c r="D748" s="180"/>
      <c r="E748" s="180"/>
      <c r="F748" s="187"/>
      <c r="G748" s="180"/>
      <c r="H748" s="180"/>
      <c r="I748" s="180"/>
      <c r="J748" s="187"/>
      <c r="K748" s="180"/>
      <c r="L748" s="180"/>
      <c r="M748" s="180"/>
      <c r="N748" s="180"/>
      <c r="O748" s="218"/>
      <c r="P748" s="180"/>
      <c r="Q748" s="188"/>
      <c r="R748" s="180"/>
      <c r="S748" s="180"/>
      <c r="T748" s="180"/>
      <c r="U748" s="180"/>
      <c r="V748" s="180"/>
      <c r="W748" s="180"/>
      <c r="X748" s="201"/>
      <c r="AJ748" s="149" t="str">
        <f>IF('Cable Info'!L608="","",CONCATENATE('Cable Info'!L608," - ",'Cable Info'!M608))</f>
        <v/>
      </c>
      <c r="AM748" s="149" t="str">
        <f t="shared" si="90"/>
        <v/>
      </c>
      <c r="AO748" s="149" t="str">
        <f>IF('Cable Info'!N608="","",CONCATENATE('Cable Info'!N608," - ",'Cable Info'!O608))</f>
        <v/>
      </c>
      <c r="AR748" s="149" t="str">
        <f t="shared" si="91"/>
        <v/>
      </c>
      <c r="AT748" s="149" t="str">
        <f>IF('Cable Info'!P608="","",CONCATENATE('Cable Info'!P608," - ",'Cable Info'!Q608))</f>
        <v/>
      </c>
      <c r="AW748" s="149" t="str">
        <f t="shared" si="92"/>
        <v/>
      </c>
      <c r="AY748" s="149" t="str">
        <f>IF('Cable Info'!R608="","",CONCATENATE('Cable Info'!R608," - ",'Cable Info'!S608))</f>
        <v/>
      </c>
      <c r="BB748" s="149" t="str">
        <f t="shared" si="93"/>
        <v/>
      </c>
      <c r="BD748" s="149" t="str">
        <f>IF('Cable Info'!T608="","",CONCATENATE('Cable Info'!T608," - ",'Cable Info'!U608))</f>
        <v/>
      </c>
      <c r="BG748" s="149" t="str">
        <f t="shared" si="94"/>
        <v/>
      </c>
      <c r="BI748" s="149" t="str">
        <f>IF('Cable Info'!V608="","",CONCATENATE('Cable Info'!V608," - ",'Cable Info'!W608))</f>
        <v/>
      </c>
      <c r="BL748" s="149" t="str">
        <f t="shared" si="95"/>
        <v/>
      </c>
    </row>
    <row r="749" spans="1:64" x14ac:dyDescent="0.2">
      <c r="A749" s="180"/>
      <c r="B749" s="180"/>
      <c r="C749" s="180"/>
      <c r="D749" s="180"/>
      <c r="E749" s="180"/>
      <c r="F749" s="187"/>
      <c r="G749" s="180"/>
      <c r="H749" s="180"/>
      <c r="I749" s="180"/>
      <c r="J749" s="187"/>
      <c r="K749" s="180"/>
      <c r="L749" s="180"/>
      <c r="M749" s="180"/>
      <c r="N749" s="180"/>
      <c r="O749" s="218"/>
      <c r="P749" s="180"/>
      <c r="Q749" s="188"/>
      <c r="R749" s="180"/>
      <c r="S749" s="180"/>
      <c r="T749" s="180"/>
      <c r="U749" s="180"/>
      <c r="V749" s="180"/>
      <c r="W749" s="180"/>
      <c r="X749" s="201"/>
      <c r="AJ749" s="149" t="str">
        <f>IF('Cable Info'!L609="","",CONCATENATE('Cable Info'!L609," - ",'Cable Info'!M609))</f>
        <v/>
      </c>
      <c r="AM749" s="149" t="str">
        <f t="shared" si="90"/>
        <v/>
      </c>
      <c r="AO749" s="149" t="str">
        <f>IF('Cable Info'!N609="","",CONCATENATE('Cable Info'!N609," - ",'Cable Info'!O609))</f>
        <v/>
      </c>
      <c r="AR749" s="149" t="str">
        <f t="shared" si="91"/>
        <v/>
      </c>
      <c r="AT749" s="149" t="str">
        <f>IF('Cable Info'!P609="","",CONCATENATE('Cable Info'!P609," - ",'Cable Info'!Q609))</f>
        <v/>
      </c>
      <c r="AW749" s="149" t="str">
        <f t="shared" si="92"/>
        <v/>
      </c>
      <c r="AY749" s="149" t="str">
        <f>IF('Cable Info'!R609="","",CONCATENATE('Cable Info'!R609," - ",'Cable Info'!S609))</f>
        <v/>
      </c>
      <c r="BB749" s="149" t="str">
        <f t="shared" si="93"/>
        <v/>
      </c>
      <c r="BD749" s="149" t="str">
        <f>IF('Cable Info'!T609="","",CONCATENATE('Cable Info'!T609," - ",'Cable Info'!U609))</f>
        <v/>
      </c>
      <c r="BG749" s="149" t="str">
        <f t="shared" si="94"/>
        <v/>
      </c>
      <c r="BI749" s="149" t="str">
        <f>IF('Cable Info'!V609="","",CONCATENATE('Cable Info'!V609," - ",'Cable Info'!W609))</f>
        <v/>
      </c>
      <c r="BL749" s="149" t="str">
        <f t="shared" si="95"/>
        <v/>
      </c>
    </row>
    <row r="750" spans="1:64" x14ac:dyDescent="0.2">
      <c r="A750" s="180"/>
      <c r="B750" s="180"/>
      <c r="C750" s="180"/>
      <c r="D750" s="180"/>
      <c r="E750" s="180"/>
      <c r="F750" s="187"/>
      <c r="G750" s="180"/>
      <c r="H750" s="180"/>
      <c r="I750" s="180"/>
      <c r="J750" s="187"/>
      <c r="K750" s="180"/>
      <c r="L750" s="180"/>
      <c r="M750" s="180"/>
      <c r="N750" s="180"/>
      <c r="O750" s="218"/>
      <c r="P750" s="180"/>
      <c r="Q750" s="188"/>
      <c r="R750" s="180"/>
      <c r="S750" s="180"/>
      <c r="T750" s="180"/>
      <c r="U750" s="180"/>
      <c r="V750" s="180"/>
      <c r="W750" s="180"/>
      <c r="X750" s="201"/>
      <c r="AJ750" s="149" t="str">
        <f>IF('Cable Info'!L610="","",CONCATENATE('Cable Info'!L610," - ",'Cable Info'!M610))</f>
        <v/>
      </c>
      <c r="AM750" s="149" t="str">
        <f t="shared" si="90"/>
        <v/>
      </c>
      <c r="AO750" s="149" t="str">
        <f>IF('Cable Info'!N610="","",CONCATENATE('Cable Info'!N610," - ",'Cable Info'!O610))</f>
        <v/>
      </c>
      <c r="AR750" s="149" t="str">
        <f t="shared" si="91"/>
        <v/>
      </c>
      <c r="AT750" s="149" t="str">
        <f>IF('Cable Info'!P610="","",CONCATENATE('Cable Info'!P610," - ",'Cable Info'!Q610))</f>
        <v/>
      </c>
      <c r="AW750" s="149" t="str">
        <f t="shared" si="92"/>
        <v/>
      </c>
      <c r="AY750" s="149" t="str">
        <f>IF('Cable Info'!R610="","",CONCATENATE('Cable Info'!R610," - ",'Cable Info'!S610))</f>
        <v/>
      </c>
      <c r="BB750" s="149" t="str">
        <f t="shared" si="93"/>
        <v/>
      </c>
      <c r="BD750" s="149" t="str">
        <f>IF('Cable Info'!T610="","",CONCATENATE('Cable Info'!T610," - ",'Cable Info'!U610))</f>
        <v/>
      </c>
      <c r="BG750" s="149" t="str">
        <f t="shared" si="94"/>
        <v/>
      </c>
      <c r="BI750" s="149" t="str">
        <f>IF('Cable Info'!V610="","",CONCATENATE('Cable Info'!V610," - ",'Cable Info'!W610))</f>
        <v/>
      </c>
      <c r="BL750" s="149" t="str">
        <f t="shared" si="95"/>
        <v/>
      </c>
    </row>
    <row r="751" spans="1:64" x14ac:dyDescent="0.2">
      <c r="A751" s="180"/>
      <c r="B751" s="180"/>
      <c r="C751" s="180"/>
      <c r="D751" s="180"/>
      <c r="E751" s="180"/>
      <c r="F751" s="187"/>
      <c r="G751" s="180"/>
      <c r="H751" s="180"/>
      <c r="I751" s="180"/>
      <c r="J751" s="187"/>
      <c r="K751" s="180"/>
      <c r="L751" s="180"/>
      <c r="M751" s="180"/>
      <c r="N751" s="180"/>
      <c r="O751" s="218"/>
      <c r="P751" s="180"/>
      <c r="Q751" s="188"/>
      <c r="R751" s="180"/>
      <c r="S751" s="180"/>
      <c r="T751" s="180"/>
      <c r="U751" s="180"/>
      <c r="V751" s="180"/>
      <c r="W751" s="180"/>
      <c r="X751" s="201"/>
      <c r="AJ751" s="149" t="str">
        <f>IF('Cable Info'!L611="","",CONCATENATE('Cable Info'!L611," - ",'Cable Info'!M611))</f>
        <v/>
      </c>
      <c r="AM751" s="149" t="str">
        <f t="shared" si="90"/>
        <v/>
      </c>
      <c r="AO751" s="149" t="str">
        <f>IF('Cable Info'!N611="","",CONCATENATE('Cable Info'!N611," - ",'Cable Info'!O611))</f>
        <v/>
      </c>
      <c r="AR751" s="149" t="str">
        <f t="shared" si="91"/>
        <v/>
      </c>
      <c r="AT751" s="149" t="str">
        <f>IF('Cable Info'!P611="","",CONCATENATE('Cable Info'!P611," - ",'Cable Info'!Q611))</f>
        <v/>
      </c>
      <c r="AW751" s="149" t="str">
        <f t="shared" si="92"/>
        <v/>
      </c>
      <c r="AY751" s="149" t="str">
        <f>IF('Cable Info'!R611="","",CONCATENATE('Cable Info'!R611," - ",'Cable Info'!S611))</f>
        <v/>
      </c>
      <c r="BB751" s="149" t="str">
        <f t="shared" si="93"/>
        <v/>
      </c>
      <c r="BD751" s="149" t="str">
        <f>IF('Cable Info'!T611="","",CONCATENATE('Cable Info'!T611," - ",'Cable Info'!U611))</f>
        <v/>
      </c>
      <c r="BG751" s="149" t="str">
        <f t="shared" si="94"/>
        <v/>
      </c>
      <c r="BI751" s="149" t="str">
        <f>IF('Cable Info'!V611="","",CONCATENATE('Cable Info'!V611," - ",'Cable Info'!W611))</f>
        <v/>
      </c>
      <c r="BL751" s="149" t="str">
        <f t="shared" si="95"/>
        <v/>
      </c>
    </row>
    <row r="752" spans="1:64" x14ac:dyDescent="0.2">
      <c r="A752" s="180"/>
      <c r="B752" s="180"/>
      <c r="C752" s="180"/>
      <c r="D752" s="180"/>
      <c r="E752" s="180"/>
      <c r="F752" s="187"/>
      <c r="G752" s="180"/>
      <c r="H752" s="180"/>
      <c r="I752" s="180"/>
      <c r="J752" s="187"/>
      <c r="K752" s="180"/>
      <c r="L752" s="180"/>
      <c r="M752" s="180"/>
      <c r="N752" s="180"/>
      <c r="O752" s="218"/>
      <c r="P752" s="180"/>
      <c r="Q752" s="188"/>
      <c r="R752" s="180"/>
      <c r="S752" s="180"/>
      <c r="T752" s="180"/>
      <c r="U752" s="180"/>
      <c r="V752" s="180"/>
      <c r="W752" s="180"/>
      <c r="X752" s="201"/>
      <c r="AJ752" s="149" t="str">
        <f>IF('Cable Info'!L612="","",CONCATENATE('Cable Info'!L612," - ",'Cable Info'!M612))</f>
        <v/>
      </c>
      <c r="AM752" s="149" t="str">
        <f t="shared" si="90"/>
        <v/>
      </c>
      <c r="AO752" s="149" t="str">
        <f>IF('Cable Info'!N612="","",CONCATENATE('Cable Info'!N612," - ",'Cable Info'!O612))</f>
        <v/>
      </c>
      <c r="AR752" s="149" t="str">
        <f t="shared" si="91"/>
        <v/>
      </c>
      <c r="AT752" s="149" t="str">
        <f>IF('Cable Info'!P612="","",CONCATENATE('Cable Info'!P612," - ",'Cable Info'!Q612))</f>
        <v/>
      </c>
      <c r="AW752" s="149" t="str">
        <f t="shared" si="92"/>
        <v/>
      </c>
      <c r="AY752" s="149" t="str">
        <f>IF('Cable Info'!R612="","",CONCATENATE('Cable Info'!R612," - ",'Cable Info'!S612))</f>
        <v/>
      </c>
      <c r="BB752" s="149" t="str">
        <f t="shared" si="93"/>
        <v/>
      </c>
      <c r="BD752" s="149" t="str">
        <f>IF('Cable Info'!T612="","",CONCATENATE('Cable Info'!T612," - ",'Cable Info'!U612))</f>
        <v/>
      </c>
      <c r="BG752" s="149" t="str">
        <f t="shared" si="94"/>
        <v/>
      </c>
      <c r="BI752" s="149" t="str">
        <f>IF('Cable Info'!V612="","",CONCATENATE('Cable Info'!V612," - ",'Cable Info'!W612))</f>
        <v/>
      </c>
      <c r="BL752" s="149" t="str">
        <f t="shared" si="95"/>
        <v/>
      </c>
    </row>
    <row r="753" spans="1:64" x14ac:dyDescent="0.2">
      <c r="A753" s="180"/>
      <c r="B753" s="180"/>
      <c r="C753" s="180"/>
      <c r="D753" s="180"/>
      <c r="E753" s="180"/>
      <c r="F753" s="187"/>
      <c r="G753" s="180"/>
      <c r="H753" s="180"/>
      <c r="I753" s="180"/>
      <c r="J753" s="187"/>
      <c r="K753" s="180"/>
      <c r="L753" s="180"/>
      <c r="M753" s="180"/>
      <c r="N753" s="180"/>
      <c r="O753" s="218"/>
      <c r="P753" s="180"/>
      <c r="Q753" s="188"/>
      <c r="R753" s="180"/>
      <c r="S753" s="180"/>
      <c r="T753" s="180"/>
      <c r="U753" s="180"/>
      <c r="V753" s="180"/>
      <c r="W753" s="180"/>
      <c r="X753" s="201"/>
      <c r="AJ753" s="149" t="str">
        <f>IF('Cable Info'!L613="","",CONCATENATE('Cable Info'!L613," - ",'Cable Info'!M613))</f>
        <v/>
      </c>
      <c r="AM753" s="149" t="str">
        <f t="shared" si="90"/>
        <v/>
      </c>
      <c r="AO753" s="149" t="str">
        <f>IF('Cable Info'!N613="","",CONCATENATE('Cable Info'!N613," - ",'Cable Info'!O613))</f>
        <v/>
      </c>
      <c r="AR753" s="149" t="str">
        <f t="shared" si="91"/>
        <v/>
      </c>
      <c r="AT753" s="149" t="str">
        <f>IF('Cable Info'!P613="","",CONCATENATE('Cable Info'!P613," - ",'Cable Info'!Q613))</f>
        <v/>
      </c>
      <c r="AW753" s="149" t="str">
        <f t="shared" si="92"/>
        <v/>
      </c>
      <c r="AY753" s="149" t="str">
        <f>IF('Cable Info'!R613="","",CONCATENATE('Cable Info'!R613," - ",'Cable Info'!S613))</f>
        <v/>
      </c>
      <c r="BB753" s="149" t="str">
        <f t="shared" si="93"/>
        <v/>
      </c>
      <c r="BD753" s="149" t="str">
        <f>IF('Cable Info'!T613="","",CONCATENATE('Cable Info'!T613," - ",'Cable Info'!U613))</f>
        <v/>
      </c>
      <c r="BG753" s="149" t="str">
        <f t="shared" si="94"/>
        <v/>
      </c>
      <c r="BI753" s="149" t="str">
        <f>IF('Cable Info'!V613="","",CONCATENATE('Cable Info'!V613," - ",'Cable Info'!W613))</f>
        <v/>
      </c>
      <c r="BL753" s="149" t="str">
        <f t="shared" si="95"/>
        <v/>
      </c>
    </row>
    <row r="754" spans="1:64" x14ac:dyDescent="0.2">
      <c r="A754" s="180"/>
      <c r="B754" s="180"/>
      <c r="C754" s="180"/>
      <c r="D754" s="180"/>
      <c r="E754" s="180"/>
      <c r="F754" s="187"/>
      <c r="G754" s="180"/>
      <c r="H754" s="180"/>
      <c r="I754" s="180"/>
      <c r="J754" s="187"/>
      <c r="K754" s="180"/>
      <c r="L754" s="180"/>
      <c r="M754" s="180"/>
      <c r="N754" s="180"/>
      <c r="O754" s="218"/>
      <c r="P754" s="180"/>
      <c r="Q754" s="188"/>
      <c r="R754" s="180"/>
      <c r="S754" s="180"/>
      <c r="T754" s="180"/>
      <c r="U754" s="180"/>
      <c r="V754" s="180"/>
      <c r="W754" s="180"/>
      <c r="X754" s="201"/>
      <c r="AJ754" s="149" t="str">
        <f>IF('Cable Info'!L614="","",CONCATENATE('Cable Info'!L614," - ",'Cable Info'!M614))</f>
        <v/>
      </c>
      <c r="AM754" s="149" t="str">
        <f t="shared" si="90"/>
        <v/>
      </c>
      <c r="AO754" s="149" t="str">
        <f>IF('Cable Info'!N614="","",CONCATENATE('Cable Info'!N614," - ",'Cable Info'!O614))</f>
        <v/>
      </c>
      <c r="AR754" s="149" t="str">
        <f t="shared" si="91"/>
        <v/>
      </c>
      <c r="AT754" s="149" t="str">
        <f>IF('Cable Info'!P614="","",CONCATENATE('Cable Info'!P614," - ",'Cable Info'!Q614))</f>
        <v/>
      </c>
      <c r="AW754" s="149" t="str">
        <f t="shared" si="92"/>
        <v/>
      </c>
      <c r="AY754" s="149" t="str">
        <f>IF('Cable Info'!R614="","",CONCATENATE('Cable Info'!R614," - ",'Cable Info'!S614))</f>
        <v/>
      </c>
      <c r="BB754" s="149" t="str">
        <f t="shared" si="93"/>
        <v/>
      </c>
      <c r="BD754" s="149" t="str">
        <f>IF('Cable Info'!T614="","",CONCATENATE('Cable Info'!T614," - ",'Cable Info'!U614))</f>
        <v/>
      </c>
      <c r="BG754" s="149" t="str">
        <f t="shared" si="94"/>
        <v/>
      </c>
      <c r="BI754" s="149" t="str">
        <f>IF('Cable Info'!V614="","",CONCATENATE('Cable Info'!V614," - ",'Cable Info'!W614))</f>
        <v/>
      </c>
      <c r="BL754" s="149" t="str">
        <f t="shared" si="95"/>
        <v/>
      </c>
    </row>
    <row r="755" spans="1:64" x14ac:dyDescent="0.2">
      <c r="A755" s="180"/>
      <c r="B755" s="180"/>
      <c r="C755" s="180"/>
      <c r="D755" s="180"/>
      <c r="E755" s="180"/>
      <c r="F755" s="187"/>
      <c r="G755" s="180"/>
      <c r="H755" s="180"/>
      <c r="I755" s="180"/>
      <c r="J755" s="187"/>
      <c r="K755" s="180"/>
      <c r="L755" s="180"/>
      <c r="M755" s="180"/>
      <c r="N755" s="180"/>
      <c r="O755" s="218"/>
      <c r="P755" s="180"/>
      <c r="Q755" s="188"/>
      <c r="R755" s="180"/>
      <c r="S755" s="180"/>
      <c r="T755" s="180"/>
      <c r="U755" s="180"/>
      <c r="V755" s="180"/>
      <c r="W755" s="180"/>
      <c r="X755" s="201"/>
      <c r="AJ755" s="149" t="str">
        <f>IF('Cable Info'!L615="","",CONCATENATE('Cable Info'!L615," - ",'Cable Info'!M615))</f>
        <v/>
      </c>
      <c r="AM755" s="149" t="str">
        <f t="shared" si="90"/>
        <v/>
      </c>
      <c r="AO755" s="149" t="str">
        <f>IF('Cable Info'!N615="","",CONCATENATE('Cable Info'!N615," - ",'Cable Info'!O615))</f>
        <v/>
      </c>
      <c r="AR755" s="149" t="str">
        <f t="shared" si="91"/>
        <v/>
      </c>
      <c r="AT755" s="149" t="str">
        <f>IF('Cable Info'!P615="","",CONCATENATE('Cable Info'!P615," - ",'Cable Info'!Q615))</f>
        <v/>
      </c>
      <c r="AW755" s="149" t="str">
        <f t="shared" si="92"/>
        <v/>
      </c>
      <c r="AY755" s="149" t="str">
        <f>IF('Cable Info'!R615="","",CONCATENATE('Cable Info'!R615," - ",'Cable Info'!S615))</f>
        <v/>
      </c>
      <c r="BB755" s="149" t="str">
        <f t="shared" si="93"/>
        <v/>
      </c>
      <c r="BD755" s="149" t="str">
        <f>IF('Cable Info'!T615="","",CONCATENATE('Cable Info'!T615," - ",'Cable Info'!U615))</f>
        <v/>
      </c>
      <c r="BG755" s="149" t="str">
        <f t="shared" si="94"/>
        <v/>
      </c>
      <c r="BI755" s="149" t="str">
        <f>IF('Cable Info'!V615="","",CONCATENATE('Cable Info'!V615," - ",'Cable Info'!W615))</f>
        <v/>
      </c>
      <c r="BL755" s="149" t="str">
        <f t="shared" si="95"/>
        <v/>
      </c>
    </row>
    <row r="756" spans="1:64" x14ac:dyDescent="0.2">
      <c r="A756" s="180"/>
      <c r="B756" s="180"/>
      <c r="C756" s="180"/>
      <c r="D756" s="180"/>
      <c r="E756" s="180"/>
      <c r="F756" s="187"/>
      <c r="G756" s="180"/>
      <c r="H756" s="180"/>
      <c r="I756" s="180"/>
      <c r="J756" s="187"/>
      <c r="K756" s="180"/>
      <c r="L756" s="180"/>
      <c r="M756" s="180"/>
      <c r="N756" s="180"/>
      <c r="O756" s="218"/>
      <c r="P756" s="180"/>
      <c r="Q756" s="188"/>
      <c r="R756" s="180"/>
      <c r="S756" s="180"/>
      <c r="T756" s="180"/>
      <c r="U756" s="180"/>
      <c r="V756" s="180"/>
      <c r="W756" s="180"/>
      <c r="X756" s="201"/>
      <c r="AJ756" s="149" t="str">
        <f>IF('Cable Info'!L616="","",CONCATENATE('Cable Info'!L616," - ",'Cable Info'!M616))</f>
        <v/>
      </c>
      <c r="AM756" s="149" t="str">
        <f t="shared" si="90"/>
        <v/>
      </c>
      <c r="AO756" s="149" t="str">
        <f>IF('Cable Info'!N616="","",CONCATENATE('Cable Info'!N616," - ",'Cable Info'!O616))</f>
        <v/>
      </c>
      <c r="AR756" s="149" t="str">
        <f t="shared" si="91"/>
        <v/>
      </c>
      <c r="AT756" s="149" t="str">
        <f>IF('Cable Info'!P616="","",CONCATENATE('Cable Info'!P616," - ",'Cable Info'!Q616))</f>
        <v/>
      </c>
      <c r="AW756" s="149" t="str">
        <f t="shared" si="92"/>
        <v/>
      </c>
      <c r="AY756" s="149" t="str">
        <f>IF('Cable Info'!R616="","",CONCATENATE('Cable Info'!R616," - ",'Cable Info'!S616))</f>
        <v/>
      </c>
      <c r="BB756" s="149" t="str">
        <f t="shared" si="93"/>
        <v/>
      </c>
      <c r="BD756" s="149" t="str">
        <f>IF('Cable Info'!T616="","",CONCATENATE('Cable Info'!T616," - ",'Cable Info'!U616))</f>
        <v/>
      </c>
      <c r="BG756" s="149" t="str">
        <f t="shared" si="94"/>
        <v/>
      </c>
      <c r="BI756" s="149" t="str">
        <f>IF('Cable Info'!V616="","",CONCATENATE('Cable Info'!V616," - ",'Cable Info'!W616))</f>
        <v/>
      </c>
      <c r="BL756" s="149" t="str">
        <f t="shared" si="95"/>
        <v/>
      </c>
    </row>
    <row r="757" spans="1:64" x14ac:dyDescent="0.2">
      <c r="A757" s="180"/>
      <c r="B757" s="180"/>
      <c r="C757" s="180"/>
      <c r="D757" s="180"/>
      <c r="E757" s="180"/>
      <c r="F757" s="187"/>
      <c r="G757" s="180"/>
      <c r="H757" s="180"/>
      <c r="I757" s="180"/>
      <c r="J757" s="187"/>
      <c r="K757" s="180"/>
      <c r="L757" s="180"/>
      <c r="M757" s="180"/>
      <c r="N757" s="180"/>
      <c r="O757" s="218"/>
      <c r="P757" s="180"/>
      <c r="Q757" s="188"/>
      <c r="R757" s="180"/>
      <c r="S757" s="180"/>
      <c r="T757" s="180"/>
      <c r="U757" s="180"/>
      <c r="V757" s="180"/>
      <c r="W757" s="180"/>
      <c r="X757" s="201"/>
      <c r="AJ757" s="149" t="str">
        <f>IF('Cable Info'!L617="","",CONCATENATE('Cable Info'!L617," - ",'Cable Info'!M617))</f>
        <v/>
      </c>
      <c r="AM757" s="149" t="str">
        <f t="shared" si="90"/>
        <v/>
      </c>
      <c r="AO757" s="149" t="str">
        <f>IF('Cable Info'!N617="","",CONCATENATE('Cable Info'!N617," - ",'Cable Info'!O617))</f>
        <v/>
      </c>
      <c r="AR757" s="149" t="str">
        <f t="shared" si="91"/>
        <v/>
      </c>
      <c r="AT757" s="149" t="str">
        <f>IF('Cable Info'!P617="","",CONCATENATE('Cable Info'!P617," - ",'Cable Info'!Q617))</f>
        <v/>
      </c>
      <c r="AW757" s="149" t="str">
        <f t="shared" si="92"/>
        <v/>
      </c>
      <c r="AY757" s="149" t="str">
        <f>IF('Cable Info'!R617="","",CONCATENATE('Cable Info'!R617," - ",'Cable Info'!S617))</f>
        <v/>
      </c>
      <c r="BB757" s="149" t="str">
        <f t="shared" si="93"/>
        <v/>
      </c>
      <c r="BD757" s="149" t="str">
        <f>IF('Cable Info'!T617="","",CONCATENATE('Cable Info'!T617," - ",'Cable Info'!U617))</f>
        <v/>
      </c>
      <c r="BG757" s="149" t="str">
        <f t="shared" si="94"/>
        <v/>
      </c>
      <c r="BI757" s="149" t="str">
        <f>IF('Cable Info'!V617="","",CONCATENATE('Cable Info'!V617," - ",'Cable Info'!W617))</f>
        <v/>
      </c>
      <c r="BL757" s="149" t="str">
        <f t="shared" si="95"/>
        <v/>
      </c>
    </row>
    <row r="758" spans="1:64" x14ac:dyDescent="0.2">
      <c r="A758" s="180"/>
      <c r="B758" s="180"/>
      <c r="C758" s="180"/>
      <c r="D758" s="180"/>
      <c r="E758" s="180"/>
      <c r="F758" s="187"/>
      <c r="G758" s="180"/>
      <c r="H758" s="180"/>
      <c r="I758" s="180"/>
      <c r="J758" s="187"/>
      <c r="K758" s="180"/>
      <c r="L758" s="180"/>
      <c r="M758" s="180"/>
      <c r="N758" s="180"/>
      <c r="O758" s="218"/>
      <c r="P758" s="180"/>
      <c r="Q758" s="188"/>
      <c r="R758" s="180"/>
      <c r="S758" s="180"/>
      <c r="T758" s="180"/>
      <c r="U758" s="180"/>
      <c r="V758" s="180"/>
      <c r="W758" s="180"/>
      <c r="X758" s="201"/>
      <c r="AJ758" s="149" t="str">
        <f>IF('Cable Info'!L618="","",CONCATENATE('Cable Info'!L618," - ",'Cable Info'!M618))</f>
        <v/>
      </c>
      <c r="AM758" s="149" t="str">
        <f t="shared" si="90"/>
        <v/>
      </c>
      <c r="AO758" s="149" t="str">
        <f>IF('Cable Info'!N618="","",CONCATENATE('Cable Info'!N618," - ",'Cable Info'!O618))</f>
        <v/>
      </c>
      <c r="AR758" s="149" t="str">
        <f t="shared" si="91"/>
        <v/>
      </c>
      <c r="AT758" s="149" t="str">
        <f>IF('Cable Info'!P618="","",CONCATENATE('Cable Info'!P618," - ",'Cable Info'!Q618))</f>
        <v/>
      </c>
      <c r="AW758" s="149" t="str">
        <f t="shared" si="92"/>
        <v/>
      </c>
      <c r="AY758" s="149" t="str">
        <f>IF('Cable Info'!R618="","",CONCATENATE('Cable Info'!R618," - ",'Cable Info'!S618))</f>
        <v/>
      </c>
      <c r="BB758" s="149" t="str">
        <f t="shared" si="93"/>
        <v/>
      </c>
      <c r="BD758" s="149" t="str">
        <f>IF('Cable Info'!T618="","",CONCATENATE('Cable Info'!T618," - ",'Cable Info'!U618))</f>
        <v/>
      </c>
      <c r="BG758" s="149" t="str">
        <f t="shared" si="94"/>
        <v/>
      </c>
      <c r="BI758" s="149" t="str">
        <f>IF('Cable Info'!V618="","",CONCATENATE('Cable Info'!V618," - ",'Cable Info'!W618))</f>
        <v/>
      </c>
      <c r="BL758" s="149" t="str">
        <f t="shared" si="95"/>
        <v/>
      </c>
    </row>
    <row r="759" spans="1:64" x14ac:dyDescent="0.2">
      <c r="A759" s="180"/>
      <c r="B759" s="180"/>
      <c r="C759" s="180"/>
      <c r="D759" s="180"/>
      <c r="E759" s="180"/>
      <c r="F759" s="187"/>
      <c r="G759" s="180"/>
      <c r="H759" s="180"/>
      <c r="I759" s="180"/>
      <c r="J759" s="187"/>
      <c r="K759" s="180"/>
      <c r="L759" s="180"/>
      <c r="M759" s="180"/>
      <c r="N759" s="180"/>
      <c r="O759" s="218"/>
      <c r="P759" s="180"/>
      <c r="Q759" s="188"/>
      <c r="R759" s="180"/>
      <c r="S759" s="180"/>
      <c r="T759" s="180"/>
      <c r="U759" s="180"/>
      <c r="V759" s="180"/>
      <c r="W759" s="180"/>
      <c r="X759" s="201"/>
      <c r="AJ759" s="149" t="str">
        <f>IF('Cable Info'!L619="","",CONCATENATE('Cable Info'!L619," - ",'Cable Info'!M619))</f>
        <v/>
      </c>
      <c r="AM759" s="149" t="str">
        <f t="shared" si="90"/>
        <v/>
      </c>
      <c r="AO759" s="149" t="str">
        <f>IF('Cable Info'!N619="","",CONCATENATE('Cable Info'!N619," - ",'Cable Info'!O619))</f>
        <v/>
      </c>
      <c r="AR759" s="149" t="str">
        <f t="shared" si="91"/>
        <v/>
      </c>
      <c r="AT759" s="149" t="str">
        <f>IF('Cable Info'!P619="","",CONCATENATE('Cable Info'!P619," - ",'Cable Info'!Q619))</f>
        <v/>
      </c>
      <c r="AW759" s="149" t="str">
        <f t="shared" si="92"/>
        <v/>
      </c>
      <c r="AY759" s="149" t="str">
        <f>IF('Cable Info'!R619="","",CONCATENATE('Cable Info'!R619," - ",'Cable Info'!S619))</f>
        <v/>
      </c>
      <c r="BB759" s="149" t="str">
        <f t="shared" si="93"/>
        <v/>
      </c>
      <c r="BD759" s="149" t="str">
        <f>IF('Cable Info'!T619="","",CONCATENATE('Cable Info'!T619," - ",'Cable Info'!U619))</f>
        <v/>
      </c>
      <c r="BG759" s="149" t="str">
        <f t="shared" si="94"/>
        <v/>
      </c>
      <c r="BI759" s="149" t="str">
        <f>IF('Cable Info'!V619="","",CONCATENATE('Cable Info'!V619," - ",'Cable Info'!W619))</f>
        <v/>
      </c>
      <c r="BL759" s="149" t="str">
        <f t="shared" si="95"/>
        <v/>
      </c>
    </row>
    <row r="760" spans="1:64" x14ac:dyDescent="0.2">
      <c r="A760" s="180"/>
      <c r="B760" s="180"/>
      <c r="C760" s="180"/>
      <c r="D760" s="180"/>
      <c r="E760" s="180"/>
      <c r="F760" s="187"/>
      <c r="G760" s="180"/>
      <c r="H760" s="180"/>
      <c r="I760" s="180"/>
      <c r="J760" s="187"/>
      <c r="K760" s="180"/>
      <c r="L760" s="180"/>
      <c r="M760" s="180"/>
      <c r="N760" s="180"/>
      <c r="O760" s="218"/>
      <c r="P760" s="180"/>
      <c r="Q760" s="188"/>
      <c r="R760" s="180"/>
      <c r="S760" s="180"/>
      <c r="T760" s="180"/>
      <c r="U760" s="180"/>
      <c r="V760" s="180"/>
      <c r="W760" s="180"/>
      <c r="X760" s="201"/>
      <c r="AJ760" s="149" t="str">
        <f>IF('Cable Info'!L620="","",CONCATENATE('Cable Info'!L620," - ",'Cable Info'!M620))</f>
        <v/>
      </c>
      <c r="AM760" s="149" t="str">
        <f t="shared" si="90"/>
        <v/>
      </c>
      <c r="AO760" s="149" t="str">
        <f>IF('Cable Info'!N620="","",CONCATENATE('Cable Info'!N620," - ",'Cable Info'!O620))</f>
        <v/>
      </c>
      <c r="AR760" s="149" t="str">
        <f t="shared" si="91"/>
        <v/>
      </c>
      <c r="AT760" s="149" t="str">
        <f>IF('Cable Info'!P620="","",CONCATENATE('Cable Info'!P620," - ",'Cable Info'!Q620))</f>
        <v/>
      </c>
      <c r="AW760" s="149" t="str">
        <f t="shared" si="92"/>
        <v/>
      </c>
      <c r="AY760" s="149" t="str">
        <f>IF('Cable Info'!R620="","",CONCATENATE('Cable Info'!R620," - ",'Cable Info'!S620))</f>
        <v/>
      </c>
      <c r="BB760" s="149" t="str">
        <f t="shared" si="93"/>
        <v/>
      </c>
      <c r="BD760" s="149" t="str">
        <f>IF('Cable Info'!T620="","",CONCATENATE('Cable Info'!T620," - ",'Cable Info'!U620))</f>
        <v/>
      </c>
      <c r="BG760" s="149" t="str">
        <f t="shared" si="94"/>
        <v/>
      </c>
      <c r="BI760" s="149" t="str">
        <f>IF('Cable Info'!V620="","",CONCATENATE('Cable Info'!V620," - ",'Cable Info'!W620))</f>
        <v/>
      </c>
      <c r="BL760" s="149" t="str">
        <f t="shared" si="95"/>
        <v/>
      </c>
    </row>
    <row r="761" spans="1:64" x14ac:dyDescent="0.2">
      <c r="A761" s="180"/>
      <c r="B761" s="180"/>
      <c r="C761" s="180"/>
      <c r="D761" s="180"/>
      <c r="E761" s="180"/>
      <c r="F761" s="187"/>
      <c r="G761" s="180"/>
      <c r="H761" s="180"/>
      <c r="I761" s="180"/>
      <c r="J761" s="187"/>
      <c r="K761" s="180"/>
      <c r="L761" s="180"/>
      <c r="M761" s="180"/>
      <c r="N761" s="180"/>
      <c r="O761" s="218"/>
      <c r="P761" s="180"/>
      <c r="Q761" s="188"/>
      <c r="R761" s="180"/>
      <c r="S761" s="180"/>
      <c r="T761" s="180"/>
      <c r="U761" s="180"/>
      <c r="V761" s="180"/>
      <c r="W761" s="180"/>
      <c r="X761" s="201"/>
      <c r="AJ761" s="149" t="str">
        <f>IF('Cable Info'!L621="","",CONCATENATE('Cable Info'!L621," - ",'Cable Info'!M621))</f>
        <v/>
      </c>
      <c r="AM761" s="149" t="str">
        <f t="shared" si="90"/>
        <v/>
      </c>
      <c r="AO761" s="149" t="str">
        <f>IF('Cable Info'!N621="","",CONCATENATE('Cable Info'!N621," - ",'Cable Info'!O621))</f>
        <v/>
      </c>
      <c r="AR761" s="149" t="str">
        <f t="shared" si="91"/>
        <v/>
      </c>
      <c r="AT761" s="149" t="str">
        <f>IF('Cable Info'!P621="","",CONCATENATE('Cable Info'!P621," - ",'Cable Info'!Q621))</f>
        <v/>
      </c>
      <c r="AW761" s="149" t="str">
        <f t="shared" si="92"/>
        <v/>
      </c>
      <c r="AY761" s="149" t="str">
        <f>IF('Cable Info'!R621="","",CONCATENATE('Cable Info'!R621," - ",'Cable Info'!S621))</f>
        <v/>
      </c>
      <c r="BB761" s="149" t="str">
        <f t="shared" si="93"/>
        <v/>
      </c>
      <c r="BD761" s="149" t="str">
        <f>IF('Cable Info'!T621="","",CONCATENATE('Cable Info'!T621," - ",'Cable Info'!U621))</f>
        <v/>
      </c>
      <c r="BG761" s="149" t="str">
        <f t="shared" si="94"/>
        <v/>
      </c>
      <c r="BI761" s="149" t="str">
        <f>IF('Cable Info'!V621="","",CONCATENATE('Cable Info'!V621," - ",'Cable Info'!W621))</f>
        <v/>
      </c>
      <c r="BL761" s="149" t="str">
        <f t="shared" si="95"/>
        <v/>
      </c>
    </row>
    <row r="762" spans="1:64" x14ac:dyDescent="0.2">
      <c r="A762" s="180"/>
      <c r="B762" s="180"/>
      <c r="C762" s="180"/>
      <c r="D762" s="180"/>
      <c r="E762" s="180"/>
      <c r="F762" s="187"/>
      <c r="G762" s="180"/>
      <c r="H762" s="180"/>
      <c r="I762" s="180"/>
      <c r="J762" s="187"/>
      <c r="K762" s="180"/>
      <c r="L762" s="180"/>
      <c r="M762" s="180"/>
      <c r="N762" s="180"/>
      <c r="O762" s="218"/>
      <c r="P762" s="180"/>
      <c r="Q762" s="188"/>
      <c r="R762" s="180"/>
      <c r="S762" s="180"/>
      <c r="T762" s="180"/>
      <c r="U762" s="180"/>
      <c r="V762" s="180"/>
      <c r="W762" s="180"/>
      <c r="X762" s="201"/>
      <c r="AJ762" s="149" t="str">
        <f>IF('Cable Info'!L622="","",CONCATENATE('Cable Info'!L622," - ",'Cable Info'!M622))</f>
        <v/>
      </c>
      <c r="AM762" s="149" t="str">
        <f t="shared" si="90"/>
        <v/>
      </c>
      <c r="AO762" s="149" t="str">
        <f>IF('Cable Info'!N622="","",CONCATENATE('Cable Info'!N622," - ",'Cable Info'!O622))</f>
        <v/>
      </c>
      <c r="AR762" s="149" t="str">
        <f t="shared" si="91"/>
        <v/>
      </c>
      <c r="AT762" s="149" t="str">
        <f>IF('Cable Info'!P622="","",CONCATENATE('Cable Info'!P622," - ",'Cable Info'!Q622))</f>
        <v/>
      </c>
      <c r="AW762" s="149" t="str">
        <f t="shared" si="92"/>
        <v/>
      </c>
      <c r="AY762" s="149" t="str">
        <f>IF('Cable Info'!R622="","",CONCATENATE('Cable Info'!R622," - ",'Cable Info'!S622))</f>
        <v/>
      </c>
      <c r="BB762" s="149" t="str">
        <f t="shared" si="93"/>
        <v/>
      </c>
      <c r="BD762" s="149" t="str">
        <f>IF('Cable Info'!T622="","",CONCATENATE('Cable Info'!T622," - ",'Cable Info'!U622))</f>
        <v/>
      </c>
      <c r="BG762" s="149" t="str">
        <f t="shared" si="94"/>
        <v/>
      </c>
      <c r="BI762" s="149" t="str">
        <f>IF('Cable Info'!V622="","",CONCATENATE('Cable Info'!V622," - ",'Cable Info'!W622))</f>
        <v/>
      </c>
      <c r="BL762" s="149" t="str">
        <f t="shared" si="95"/>
        <v/>
      </c>
    </row>
    <row r="763" spans="1:64" x14ac:dyDescent="0.2">
      <c r="A763" s="180"/>
      <c r="B763" s="180"/>
      <c r="C763" s="180"/>
      <c r="D763" s="180"/>
      <c r="E763" s="180"/>
      <c r="F763" s="187"/>
      <c r="G763" s="180"/>
      <c r="H763" s="180"/>
      <c r="I763" s="180"/>
      <c r="J763" s="187"/>
      <c r="K763" s="180"/>
      <c r="L763" s="180"/>
      <c r="M763" s="180"/>
      <c r="N763" s="180"/>
      <c r="O763" s="218"/>
      <c r="P763" s="180"/>
      <c r="Q763" s="188"/>
      <c r="R763" s="180"/>
      <c r="S763" s="180"/>
      <c r="T763" s="180"/>
      <c r="U763" s="180"/>
      <c r="V763" s="180"/>
      <c r="W763" s="180"/>
      <c r="X763" s="201"/>
      <c r="AJ763" s="149" t="str">
        <f>IF('Cable Info'!L623="","",CONCATENATE('Cable Info'!L623," - ",'Cable Info'!M623))</f>
        <v/>
      </c>
      <c r="AM763" s="149" t="str">
        <f t="shared" si="90"/>
        <v/>
      </c>
      <c r="AO763" s="149" t="str">
        <f>IF('Cable Info'!N623="","",CONCATENATE('Cable Info'!N623," - ",'Cable Info'!O623))</f>
        <v/>
      </c>
      <c r="AR763" s="149" t="str">
        <f t="shared" si="91"/>
        <v/>
      </c>
      <c r="AT763" s="149" t="str">
        <f>IF('Cable Info'!P623="","",CONCATENATE('Cable Info'!P623," - ",'Cable Info'!Q623))</f>
        <v/>
      </c>
      <c r="AW763" s="149" t="str">
        <f t="shared" si="92"/>
        <v/>
      </c>
      <c r="AY763" s="149" t="str">
        <f>IF('Cable Info'!R623="","",CONCATENATE('Cable Info'!R623," - ",'Cable Info'!S623))</f>
        <v/>
      </c>
      <c r="BB763" s="149" t="str">
        <f t="shared" si="93"/>
        <v/>
      </c>
      <c r="BD763" s="149" t="str">
        <f>IF('Cable Info'!T623="","",CONCATENATE('Cable Info'!T623," - ",'Cable Info'!U623))</f>
        <v/>
      </c>
      <c r="BG763" s="149" t="str">
        <f t="shared" si="94"/>
        <v/>
      </c>
      <c r="BI763" s="149" t="str">
        <f>IF('Cable Info'!V623="","",CONCATENATE('Cable Info'!V623," - ",'Cable Info'!W623))</f>
        <v/>
      </c>
      <c r="BL763" s="149" t="str">
        <f t="shared" si="95"/>
        <v/>
      </c>
    </row>
    <row r="764" spans="1:64" x14ac:dyDescent="0.2">
      <c r="A764" s="180"/>
      <c r="B764" s="180"/>
      <c r="C764" s="180"/>
      <c r="D764" s="180"/>
      <c r="E764" s="180"/>
      <c r="F764" s="187"/>
      <c r="G764" s="180"/>
      <c r="H764" s="180"/>
      <c r="I764" s="180"/>
      <c r="J764" s="187"/>
      <c r="K764" s="180"/>
      <c r="L764" s="180"/>
      <c r="M764" s="180"/>
      <c r="N764" s="180"/>
      <c r="O764" s="218"/>
      <c r="P764" s="180"/>
      <c r="Q764" s="188"/>
      <c r="R764" s="180"/>
      <c r="S764" s="180"/>
      <c r="T764" s="180"/>
      <c r="U764" s="180"/>
      <c r="V764" s="180"/>
      <c r="W764" s="180"/>
      <c r="X764" s="201"/>
      <c r="AJ764" s="149" t="str">
        <f>IF('Cable Info'!L624="","",CONCATENATE('Cable Info'!L624," - ",'Cable Info'!M624))</f>
        <v/>
      </c>
      <c r="AM764" s="149" t="str">
        <f t="shared" si="90"/>
        <v/>
      </c>
      <c r="AO764" s="149" t="str">
        <f>IF('Cable Info'!N624="","",CONCATENATE('Cable Info'!N624," - ",'Cable Info'!O624))</f>
        <v/>
      </c>
      <c r="AR764" s="149" t="str">
        <f t="shared" si="91"/>
        <v/>
      </c>
      <c r="AT764" s="149" t="str">
        <f>IF('Cable Info'!P624="","",CONCATENATE('Cable Info'!P624," - ",'Cable Info'!Q624))</f>
        <v/>
      </c>
      <c r="AW764" s="149" t="str">
        <f t="shared" si="92"/>
        <v/>
      </c>
      <c r="AY764" s="149" t="str">
        <f>IF('Cable Info'!R624="","",CONCATENATE('Cable Info'!R624," - ",'Cable Info'!S624))</f>
        <v/>
      </c>
      <c r="BB764" s="149" t="str">
        <f t="shared" si="93"/>
        <v/>
      </c>
      <c r="BD764" s="149" t="str">
        <f>IF('Cable Info'!T624="","",CONCATENATE('Cable Info'!T624," - ",'Cable Info'!U624))</f>
        <v/>
      </c>
      <c r="BG764" s="149" t="str">
        <f t="shared" si="94"/>
        <v/>
      </c>
      <c r="BI764" s="149" t="str">
        <f>IF('Cable Info'!V624="","",CONCATENATE('Cable Info'!V624," - ",'Cable Info'!W624))</f>
        <v/>
      </c>
      <c r="BL764" s="149" t="str">
        <f t="shared" si="95"/>
        <v/>
      </c>
    </row>
    <row r="765" spans="1:64" x14ac:dyDescent="0.2">
      <c r="A765" s="180"/>
      <c r="B765" s="180"/>
      <c r="C765" s="180"/>
      <c r="D765" s="180"/>
      <c r="E765" s="180"/>
      <c r="F765" s="187"/>
      <c r="G765" s="180"/>
      <c r="H765" s="180"/>
      <c r="I765" s="180"/>
      <c r="J765" s="187"/>
      <c r="K765" s="180"/>
      <c r="L765" s="180"/>
      <c r="M765" s="180"/>
      <c r="N765" s="180"/>
      <c r="O765" s="218"/>
      <c r="P765" s="180"/>
      <c r="Q765" s="188"/>
      <c r="R765" s="180"/>
      <c r="S765" s="180"/>
      <c r="T765" s="180"/>
      <c r="U765" s="180"/>
      <c r="V765" s="180"/>
      <c r="W765" s="180"/>
      <c r="X765" s="201"/>
      <c r="AJ765" s="149" t="str">
        <f>IF('Cable Info'!L625="","",CONCATENATE('Cable Info'!L625," - ",'Cable Info'!M625))</f>
        <v/>
      </c>
      <c r="AM765" s="149" t="str">
        <f t="shared" si="90"/>
        <v/>
      </c>
      <c r="AO765" s="149" t="str">
        <f>IF('Cable Info'!N625="","",CONCATENATE('Cable Info'!N625," - ",'Cable Info'!O625))</f>
        <v/>
      </c>
      <c r="AR765" s="149" t="str">
        <f t="shared" si="91"/>
        <v/>
      </c>
      <c r="AT765" s="149" t="str">
        <f>IF('Cable Info'!P625="","",CONCATENATE('Cable Info'!P625," - ",'Cable Info'!Q625))</f>
        <v/>
      </c>
      <c r="AW765" s="149" t="str">
        <f t="shared" si="92"/>
        <v/>
      </c>
      <c r="AY765" s="149" t="str">
        <f>IF('Cable Info'!R625="","",CONCATENATE('Cable Info'!R625," - ",'Cable Info'!S625))</f>
        <v/>
      </c>
      <c r="BB765" s="149" t="str">
        <f t="shared" si="93"/>
        <v/>
      </c>
      <c r="BD765" s="149" t="str">
        <f>IF('Cable Info'!T625="","",CONCATENATE('Cable Info'!T625," - ",'Cable Info'!U625))</f>
        <v/>
      </c>
      <c r="BG765" s="149" t="str">
        <f t="shared" si="94"/>
        <v/>
      </c>
      <c r="BI765" s="149" t="str">
        <f>IF('Cable Info'!V625="","",CONCATENATE('Cable Info'!V625," - ",'Cable Info'!W625))</f>
        <v/>
      </c>
      <c r="BL765" s="149" t="str">
        <f t="shared" si="95"/>
        <v/>
      </c>
    </row>
    <row r="766" spans="1:64" x14ac:dyDescent="0.2">
      <c r="A766" s="180"/>
      <c r="B766" s="180"/>
      <c r="C766" s="180"/>
      <c r="D766" s="180"/>
      <c r="E766" s="180"/>
      <c r="F766" s="187"/>
      <c r="G766" s="180"/>
      <c r="H766" s="180"/>
      <c r="I766" s="180"/>
      <c r="J766" s="187"/>
      <c r="K766" s="180"/>
      <c r="L766" s="180"/>
      <c r="M766" s="180"/>
      <c r="N766" s="180"/>
      <c r="O766" s="218"/>
      <c r="P766" s="180"/>
      <c r="Q766" s="188"/>
      <c r="R766" s="180"/>
      <c r="S766" s="180"/>
      <c r="T766" s="180"/>
      <c r="U766" s="180"/>
      <c r="V766" s="180"/>
      <c r="W766" s="180"/>
      <c r="X766" s="201"/>
      <c r="AJ766" s="149" t="str">
        <f>IF('Cable Info'!L626="","",CONCATENATE('Cable Info'!L626," - ",'Cable Info'!M626))</f>
        <v/>
      </c>
      <c r="AM766" s="149" t="str">
        <f t="shared" si="90"/>
        <v/>
      </c>
      <c r="AO766" s="149" t="str">
        <f>IF('Cable Info'!N626="","",CONCATENATE('Cable Info'!N626," - ",'Cable Info'!O626))</f>
        <v/>
      </c>
      <c r="AR766" s="149" t="str">
        <f t="shared" si="91"/>
        <v/>
      </c>
      <c r="AT766" s="149" t="str">
        <f>IF('Cable Info'!P626="","",CONCATENATE('Cable Info'!P626," - ",'Cable Info'!Q626))</f>
        <v/>
      </c>
      <c r="AW766" s="149" t="str">
        <f t="shared" si="92"/>
        <v/>
      </c>
      <c r="AY766" s="149" t="str">
        <f>IF('Cable Info'!R626="","",CONCATENATE('Cable Info'!R626," - ",'Cable Info'!S626))</f>
        <v/>
      </c>
      <c r="BB766" s="149" t="str">
        <f t="shared" si="93"/>
        <v/>
      </c>
      <c r="BD766" s="149" t="str">
        <f>IF('Cable Info'!T626="","",CONCATENATE('Cable Info'!T626," - ",'Cable Info'!U626))</f>
        <v/>
      </c>
      <c r="BG766" s="149" t="str">
        <f t="shared" si="94"/>
        <v/>
      </c>
      <c r="BI766" s="149" t="str">
        <f>IF('Cable Info'!V626="","",CONCATENATE('Cable Info'!V626," - ",'Cable Info'!W626))</f>
        <v/>
      </c>
      <c r="BL766" s="149" t="str">
        <f t="shared" si="95"/>
        <v/>
      </c>
    </row>
    <row r="767" spans="1:64" x14ac:dyDescent="0.2">
      <c r="A767" s="180"/>
      <c r="B767" s="180"/>
      <c r="C767" s="180"/>
      <c r="D767" s="180"/>
      <c r="E767" s="180"/>
      <c r="F767" s="187"/>
      <c r="G767" s="180"/>
      <c r="H767" s="180"/>
      <c r="I767" s="180"/>
      <c r="J767" s="187"/>
      <c r="K767" s="180"/>
      <c r="L767" s="180"/>
      <c r="M767" s="180"/>
      <c r="N767" s="180"/>
      <c r="O767" s="218"/>
      <c r="P767" s="180"/>
      <c r="Q767" s="188"/>
      <c r="R767" s="180"/>
      <c r="S767" s="180"/>
      <c r="T767" s="180"/>
      <c r="U767" s="180"/>
      <c r="V767" s="180"/>
      <c r="W767" s="180"/>
      <c r="X767" s="201"/>
      <c r="AJ767" s="149" t="str">
        <f>IF('Cable Info'!L627="","",CONCATENATE('Cable Info'!L627," - ",'Cable Info'!M627))</f>
        <v/>
      </c>
      <c r="AM767" s="149" t="str">
        <f t="shared" si="90"/>
        <v/>
      </c>
      <c r="AO767" s="149" t="str">
        <f>IF('Cable Info'!N627="","",CONCATENATE('Cable Info'!N627," - ",'Cable Info'!O627))</f>
        <v/>
      </c>
      <c r="AR767" s="149" t="str">
        <f t="shared" si="91"/>
        <v/>
      </c>
      <c r="AT767" s="149" t="str">
        <f>IF('Cable Info'!P627="","",CONCATENATE('Cable Info'!P627," - ",'Cable Info'!Q627))</f>
        <v/>
      </c>
      <c r="AW767" s="149" t="str">
        <f t="shared" si="92"/>
        <v/>
      </c>
      <c r="AY767" s="149" t="str">
        <f>IF('Cable Info'!R627="","",CONCATENATE('Cable Info'!R627," - ",'Cable Info'!S627))</f>
        <v/>
      </c>
      <c r="BB767" s="149" t="str">
        <f t="shared" si="93"/>
        <v/>
      </c>
      <c r="BD767" s="149" t="str">
        <f>IF('Cable Info'!T627="","",CONCATENATE('Cable Info'!T627," - ",'Cable Info'!U627))</f>
        <v/>
      </c>
      <c r="BG767" s="149" t="str">
        <f t="shared" si="94"/>
        <v/>
      </c>
      <c r="BI767" s="149" t="str">
        <f>IF('Cable Info'!V627="","",CONCATENATE('Cable Info'!V627," - ",'Cable Info'!W627))</f>
        <v/>
      </c>
      <c r="BL767" s="149" t="str">
        <f t="shared" si="95"/>
        <v/>
      </c>
    </row>
    <row r="768" spans="1:64" x14ac:dyDescent="0.2">
      <c r="A768" s="180"/>
      <c r="B768" s="180"/>
      <c r="C768" s="180"/>
      <c r="D768" s="180"/>
      <c r="E768" s="180"/>
      <c r="F768" s="187"/>
      <c r="G768" s="180"/>
      <c r="H768" s="180"/>
      <c r="I768" s="180"/>
      <c r="J768" s="187"/>
      <c r="K768" s="180"/>
      <c r="L768" s="180"/>
      <c r="M768" s="180"/>
      <c r="N768" s="180"/>
      <c r="O768" s="218"/>
      <c r="P768" s="180"/>
      <c r="Q768" s="188"/>
      <c r="R768" s="180"/>
      <c r="S768" s="180"/>
      <c r="T768" s="180"/>
      <c r="U768" s="180"/>
      <c r="V768" s="180"/>
      <c r="W768" s="180"/>
      <c r="X768" s="201"/>
      <c r="AJ768" s="149" t="str">
        <f>IF('Cable Info'!L628="","",CONCATENATE('Cable Info'!L628," - ",'Cable Info'!M628))</f>
        <v/>
      </c>
      <c r="AM768" s="149" t="str">
        <f t="shared" si="90"/>
        <v/>
      </c>
      <c r="AO768" s="149" t="str">
        <f>IF('Cable Info'!N628="","",CONCATENATE('Cable Info'!N628," - ",'Cable Info'!O628))</f>
        <v/>
      </c>
      <c r="AR768" s="149" t="str">
        <f t="shared" si="91"/>
        <v/>
      </c>
      <c r="AT768" s="149" t="str">
        <f>IF('Cable Info'!P628="","",CONCATENATE('Cable Info'!P628," - ",'Cable Info'!Q628))</f>
        <v/>
      </c>
      <c r="AW768" s="149" t="str">
        <f t="shared" si="92"/>
        <v/>
      </c>
      <c r="AY768" s="149" t="str">
        <f>IF('Cable Info'!R628="","",CONCATENATE('Cable Info'!R628," - ",'Cable Info'!S628))</f>
        <v/>
      </c>
      <c r="BB768" s="149" t="str">
        <f t="shared" si="93"/>
        <v/>
      </c>
      <c r="BD768" s="149" t="str">
        <f>IF('Cable Info'!T628="","",CONCATENATE('Cable Info'!T628," - ",'Cable Info'!U628))</f>
        <v/>
      </c>
      <c r="BG768" s="149" t="str">
        <f t="shared" si="94"/>
        <v/>
      </c>
      <c r="BI768" s="149" t="str">
        <f>IF('Cable Info'!V628="","",CONCATENATE('Cable Info'!V628," - ",'Cable Info'!W628))</f>
        <v/>
      </c>
      <c r="BL768" s="149" t="str">
        <f t="shared" si="95"/>
        <v/>
      </c>
    </row>
    <row r="769" spans="1:64" x14ac:dyDescent="0.2">
      <c r="A769" s="180"/>
      <c r="B769" s="180"/>
      <c r="C769" s="180"/>
      <c r="D769" s="180"/>
      <c r="E769" s="180"/>
      <c r="F769" s="187"/>
      <c r="G769" s="180"/>
      <c r="H769" s="180"/>
      <c r="I769" s="180"/>
      <c r="J769" s="187"/>
      <c r="K769" s="180"/>
      <c r="L769" s="180"/>
      <c r="M769" s="180"/>
      <c r="N769" s="180"/>
      <c r="O769" s="218"/>
      <c r="P769" s="180"/>
      <c r="Q769" s="188"/>
      <c r="R769" s="180"/>
      <c r="S769" s="180"/>
      <c r="T769" s="180"/>
      <c r="U769" s="180"/>
      <c r="V769" s="180"/>
      <c r="W769" s="180"/>
      <c r="X769" s="201"/>
      <c r="AJ769" s="149" t="str">
        <f>IF('Cable Info'!L629="","",CONCATENATE('Cable Info'!L629," - ",'Cable Info'!M629))</f>
        <v/>
      </c>
      <c r="AM769" s="149" t="str">
        <f t="shared" si="90"/>
        <v/>
      </c>
      <c r="AO769" s="149" t="str">
        <f>IF('Cable Info'!N629="","",CONCATENATE('Cable Info'!N629," - ",'Cable Info'!O629))</f>
        <v/>
      </c>
      <c r="AR769" s="149" t="str">
        <f t="shared" si="91"/>
        <v/>
      </c>
      <c r="AT769" s="149" t="str">
        <f>IF('Cable Info'!P629="","",CONCATENATE('Cable Info'!P629," - ",'Cable Info'!Q629))</f>
        <v/>
      </c>
      <c r="AW769" s="149" t="str">
        <f t="shared" si="92"/>
        <v/>
      </c>
      <c r="AY769" s="149" t="str">
        <f>IF('Cable Info'!R629="","",CONCATENATE('Cable Info'!R629," - ",'Cable Info'!S629))</f>
        <v/>
      </c>
      <c r="BB769" s="149" t="str">
        <f t="shared" si="93"/>
        <v/>
      </c>
      <c r="BD769" s="149" t="str">
        <f>IF('Cable Info'!T629="","",CONCATENATE('Cable Info'!T629," - ",'Cable Info'!U629))</f>
        <v/>
      </c>
      <c r="BG769" s="149" t="str">
        <f t="shared" si="94"/>
        <v/>
      </c>
      <c r="BI769" s="149" t="str">
        <f>IF('Cable Info'!V629="","",CONCATENATE('Cable Info'!V629," - ",'Cable Info'!W629))</f>
        <v/>
      </c>
      <c r="BL769" s="149" t="str">
        <f t="shared" si="95"/>
        <v/>
      </c>
    </row>
    <row r="770" spans="1:64" x14ac:dyDescent="0.2">
      <c r="A770" s="180"/>
      <c r="B770" s="180"/>
      <c r="C770" s="180"/>
      <c r="D770" s="180"/>
      <c r="E770" s="180"/>
      <c r="F770" s="187"/>
      <c r="G770" s="180"/>
      <c r="H770" s="180"/>
      <c r="I770" s="180"/>
      <c r="J770" s="187"/>
      <c r="K770" s="180"/>
      <c r="L770" s="180"/>
      <c r="M770" s="180"/>
      <c r="N770" s="180"/>
      <c r="O770" s="218"/>
      <c r="P770" s="180"/>
      <c r="Q770" s="188"/>
      <c r="R770" s="180"/>
      <c r="S770" s="180"/>
      <c r="T770" s="180"/>
      <c r="U770" s="180"/>
      <c r="V770" s="180"/>
      <c r="W770" s="180"/>
      <c r="X770" s="201"/>
      <c r="AJ770" s="149" t="str">
        <f>IF('Cable Info'!L630="","",CONCATENATE('Cable Info'!L630," - ",'Cable Info'!M630))</f>
        <v/>
      </c>
      <c r="AM770" s="149" t="str">
        <f t="shared" si="90"/>
        <v/>
      </c>
      <c r="AO770" s="149" t="str">
        <f>IF('Cable Info'!N630="","",CONCATENATE('Cable Info'!N630," - ",'Cable Info'!O630))</f>
        <v/>
      </c>
      <c r="AR770" s="149" t="str">
        <f t="shared" si="91"/>
        <v/>
      </c>
      <c r="AT770" s="149" t="str">
        <f>IF('Cable Info'!P630="","",CONCATENATE('Cable Info'!P630," - ",'Cable Info'!Q630))</f>
        <v/>
      </c>
      <c r="AW770" s="149" t="str">
        <f t="shared" si="92"/>
        <v/>
      </c>
      <c r="AY770" s="149" t="str">
        <f>IF('Cable Info'!R630="","",CONCATENATE('Cable Info'!R630," - ",'Cable Info'!S630))</f>
        <v/>
      </c>
      <c r="BB770" s="149" t="str">
        <f t="shared" si="93"/>
        <v/>
      </c>
      <c r="BD770" s="149" t="str">
        <f>IF('Cable Info'!T630="","",CONCATENATE('Cable Info'!T630," - ",'Cable Info'!U630))</f>
        <v/>
      </c>
      <c r="BG770" s="149" t="str">
        <f t="shared" si="94"/>
        <v/>
      </c>
      <c r="BI770" s="149" t="str">
        <f>IF('Cable Info'!V630="","",CONCATENATE('Cable Info'!V630," - ",'Cable Info'!W630))</f>
        <v/>
      </c>
      <c r="BL770" s="149" t="str">
        <f t="shared" si="95"/>
        <v/>
      </c>
    </row>
    <row r="771" spans="1:64" x14ac:dyDescent="0.2">
      <c r="A771" s="180"/>
      <c r="B771" s="180"/>
      <c r="C771" s="180"/>
      <c r="D771" s="180"/>
      <c r="E771" s="180"/>
      <c r="F771" s="187"/>
      <c r="G771" s="180"/>
      <c r="H771" s="180"/>
      <c r="I771" s="180"/>
      <c r="J771" s="187"/>
      <c r="K771" s="180"/>
      <c r="L771" s="180"/>
      <c r="M771" s="180"/>
      <c r="N771" s="180"/>
      <c r="O771" s="218"/>
      <c r="P771" s="180"/>
      <c r="Q771" s="188"/>
      <c r="R771" s="180"/>
      <c r="S771" s="180"/>
      <c r="T771" s="180"/>
      <c r="U771" s="180"/>
      <c r="V771" s="180"/>
      <c r="W771" s="180"/>
      <c r="X771" s="201"/>
      <c r="AJ771" s="149" t="str">
        <f>IF('Cable Info'!L631="","",CONCATENATE('Cable Info'!L631," - ",'Cable Info'!M631))</f>
        <v/>
      </c>
      <c r="AM771" s="149" t="str">
        <f t="shared" si="90"/>
        <v/>
      </c>
      <c r="AO771" s="149" t="str">
        <f>IF('Cable Info'!N631="","",CONCATENATE('Cable Info'!N631," - ",'Cable Info'!O631))</f>
        <v/>
      </c>
      <c r="AR771" s="149" t="str">
        <f t="shared" si="91"/>
        <v/>
      </c>
      <c r="AT771" s="149" t="str">
        <f>IF('Cable Info'!P631="","",CONCATENATE('Cable Info'!P631," - ",'Cable Info'!Q631))</f>
        <v/>
      </c>
      <c r="AW771" s="149" t="str">
        <f t="shared" si="92"/>
        <v/>
      </c>
      <c r="AY771" s="149" t="str">
        <f>IF('Cable Info'!R631="","",CONCATENATE('Cable Info'!R631," - ",'Cable Info'!S631))</f>
        <v/>
      </c>
      <c r="BB771" s="149" t="str">
        <f t="shared" si="93"/>
        <v/>
      </c>
      <c r="BD771" s="149" t="str">
        <f>IF('Cable Info'!T631="","",CONCATENATE('Cable Info'!T631," - ",'Cable Info'!U631))</f>
        <v/>
      </c>
      <c r="BG771" s="149" t="str">
        <f t="shared" si="94"/>
        <v/>
      </c>
      <c r="BI771" s="149" t="str">
        <f>IF('Cable Info'!V631="","",CONCATENATE('Cable Info'!V631," - ",'Cable Info'!W631))</f>
        <v/>
      </c>
      <c r="BL771" s="149" t="str">
        <f t="shared" si="95"/>
        <v/>
      </c>
    </row>
    <row r="772" spans="1:64" x14ac:dyDescent="0.2">
      <c r="A772" s="180"/>
      <c r="B772" s="180"/>
      <c r="C772" s="180"/>
      <c r="D772" s="180"/>
      <c r="E772" s="180"/>
      <c r="F772" s="187"/>
      <c r="G772" s="180"/>
      <c r="H772" s="180"/>
      <c r="I772" s="180"/>
      <c r="J772" s="187"/>
      <c r="K772" s="180"/>
      <c r="L772" s="180"/>
      <c r="M772" s="180"/>
      <c r="N772" s="180"/>
      <c r="O772" s="218"/>
      <c r="P772" s="180"/>
      <c r="Q772" s="188"/>
      <c r="R772" s="180"/>
      <c r="S772" s="180"/>
      <c r="T772" s="180"/>
      <c r="U772" s="180"/>
      <c r="V772" s="180"/>
      <c r="W772" s="180"/>
      <c r="X772" s="201"/>
      <c r="AJ772" s="149" t="str">
        <f>IF('Cable Info'!L632="","",CONCATENATE('Cable Info'!L632," - ",'Cable Info'!M632))</f>
        <v/>
      </c>
      <c r="AM772" s="149" t="str">
        <f t="shared" si="90"/>
        <v/>
      </c>
      <c r="AO772" s="149" t="str">
        <f>IF('Cable Info'!N632="","",CONCATENATE('Cable Info'!N632," - ",'Cable Info'!O632))</f>
        <v/>
      </c>
      <c r="AR772" s="149" t="str">
        <f t="shared" si="91"/>
        <v/>
      </c>
      <c r="AT772" s="149" t="str">
        <f>IF('Cable Info'!P632="","",CONCATENATE('Cable Info'!P632," - ",'Cable Info'!Q632))</f>
        <v/>
      </c>
      <c r="AW772" s="149" t="str">
        <f t="shared" si="92"/>
        <v/>
      </c>
      <c r="AY772" s="149" t="str">
        <f>IF('Cable Info'!R632="","",CONCATENATE('Cable Info'!R632," - ",'Cable Info'!S632))</f>
        <v/>
      </c>
      <c r="BB772" s="149" t="str">
        <f t="shared" si="93"/>
        <v/>
      </c>
      <c r="BD772" s="149" t="str">
        <f>IF('Cable Info'!T632="","",CONCATENATE('Cable Info'!T632," - ",'Cable Info'!U632))</f>
        <v/>
      </c>
      <c r="BG772" s="149" t="str">
        <f t="shared" si="94"/>
        <v/>
      </c>
      <c r="BI772" s="149" t="str">
        <f>IF('Cable Info'!V632="","",CONCATENATE('Cable Info'!V632," - ",'Cable Info'!W632))</f>
        <v/>
      </c>
      <c r="BL772" s="149" t="str">
        <f t="shared" si="95"/>
        <v/>
      </c>
    </row>
    <row r="773" spans="1:64" x14ac:dyDescent="0.2">
      <c r="A773" s="180"/>
      <c r="B773" s="180"/>
      <c r="C773" s="180"/>
      <c r="D773" s="180"/>
      <c r="E773" s="180"/>
      <c r="F773" s="187"/>
      <c r="G773" s="180"/>
      <c r="H773" s="180"/>
      <c r="I773" s="180"/>
      <c r="J773" s="187"/>
      <c r="K773" s="180"/>
      <c r="L773" s="180"/>
      <c r="M773" s="180"/>
      <c r="N773" s="180"/>
      <c r="O773" s="218"/>
      <c r="P773" s="180"/>
      <c r="Q773" s="188"/>
      <c r="R773" s="180"/>
      <c r="S773" s="180"/>
      <c r="T773" s="180"/>
      <c r="U773" s="180"/>
      <c r="V773" s="180"/>
      <c r="W773" s="180"/>
      <c r="X773" s="201"/>
      <c r="AJ773" s="149" t="str">
        <f>IF('Cable Info'!L633="","",CONCATENATE('Cable Info'!L633," - ",'Cable Info'!M633))</f>
        <v/>
      </c>
      <c r="AM773" s="149" t="str">
        <f t="shared" si="90"/>
        <v/>
      </c>
      <c r="AO773" s="149" t="str">
        <f>IF('Cable Info'!N633="","",CONCATENATE('Cable Info'!N633," - ",'Cable Info'!O633))</f>
        <v/>
      </c>
      <c r="AR773" s="149" t="str">
        <f t="shared" si="91"/>
        <v/>
      </c>
      <c r="AT773" s="149" t="str">
        <f>IF('Cable Info'!P633="","",CONCATENATE('Cable Info'!P633," - ",'Cable Info'!Q633))</f>
        <v/>
      </c>
      <c r="AW773" s="149" t="str">
        <f t="shared" si="92"/>
        <v/>
      </c>
      <c r="AY773" s="149" t="str">
        <f>IF('Cable Info'!R633="","",CONCATENATE('Cable Info'!R633," - ",'Cable Info'!S633))</f>
        <v/>
      </c>
      <c r="BB773" s="149" t="str">
        <f t="shared" si="93"/>
        <v/>
      </c>
      <c r="BD773" s="149" t="str">
        <f>IF('Cable Info'!T633="","",CONCATENATE('Cable Info'!T633," - ",'Cable Info'!U633))</f>
        <v/>
      </c>
      <c r="BG773" s="149" t="str">
        <f t="shared" si="94"/>
        <v/>
      </c>
      <c r="BI773" s="149" t="str">
        <f>IF('Cable Info'!V633="","",CONCATENATE('Cable Info'!V633," - ",'Cable Info'!W633))</f>
        <v/>
      </c>
      <c r="BL773" s="149" t="str">
        <f t="shared" si="95"/>
        <v/>
      </c>
    </row>
    <row r="774" spans="1:64" x14ac:dyDescent="0.2">
      <c r="A774" s="180"/>
      <c r="B774" s="180"/>
      <c r="C774" s="180"/>
      <c r="D774" s="180"/>
      <c r="E774" s="180"/>
      <c r="F774" s="187"/>
      <c r="G774" s="180"/>
      <c r="H774" s="180"/>
      <c r="I774" s="180"/>
      <c r="J774" s="187"/>
      <c r="K774" s="180"/>
      <c r="L774" s="180"/>
      <c r="M774" s="180"/>
      <c r="N774" s="180"/>
      <c r="O774" s="218"/>
      <c r="P774" s="180"/>
      <c r="Q774" s="188"/>
      <c r="R774" s="180"/>
      <c r="S774" s="180"/>
      <c r="T774" s="180"/>
      <c r="U774" s="180"/>
      <c r="V774" s="180"/>
      <c r="W774" s="180"/>
      <c r="X774" s="201"/>
      <c r="AJ774" s="149" t="str">
        <f>IF('Cable Info'!L634="","",CONCATENATE('Cable Info'!L634," - ",'Cable Info'!M634))</f>
        <v/>
      </c>
      <c r="AM774" s="149" t="str">
        <f t="shared" si="90"/>
        <v/>
      </c>
      <c r="AO774" s="149" t="str">
        <f>IF('Cable Info'!N634="","",CONCATENATE('Cable Info'!N634," - ",'Cable Info'!O634))</f>
        <v/>
      </c>
      <c r="AR774" s="149" t="str">
        <f t="shared" si="91"/>
        <v/>
      </c>
      <c r="AT774" s="149" t="str">
        <f>IF('Cable Info'!P634="","",CONCATENATE('Cable Info'!P634," - ",'Cable Info'!Q634))</f>
        <v/>
      </c>
      <c r="AW774" s="149" t="str">
        <f t="shared" si="92"/>
        <v/>
      </c>
      <c r="AY774" s="149" t="str">
        <f>IF('Cable Info'!R634="","",CONCATENATE('Cable Info'!R634," - ",'Cable Info'!S634))</f>
        <v/>
      </c>
      <c r="BB774" s="149" t="str">
        <f t="shared" si="93"/>
        <v/>
      </c>
      <c r="BD774" s="149" t="str">
        <f>IF('Cable Info'!T634="","",CONCATENATE('Cable Info'!T634," - ",'Cable Info'!U634))</f>
        <v/>
      </c>
      <c r="BG774" s="149" t="str">
        <f t="shared" si="94"/>
        <v/>
      </c>
      <c r="BI774" s="149" t="str">
        <f>IF('Cable Info'!V634="","",CONCATENATE('Cable Info'!V634," - ",'Cable Info'!W634))</f>
        <v/>
      </c>
      <c r="BL774" s="149" t="str">
        <f t="shared" si="95"/>
        <v/>
      </c>
    </row>
    <row r="775" spans="1:64" x14ac:dyDescent="0.2">
      <c r="A775" s="180"/>
      <c r="B775" s="180"/>
      <c r="C775" s="180"/>
      <c r="D775" s="180"/>
      <c r="E775" s="180"/>
      <c r="F775" s="187"/>
      <c r="G775" s="180"/>
      <c r="H775" s="180"/>
      <c r="I775" s="180"/>
      <c r="J775" s="187"/>
      <c r="K775" s="180"/>
      <c r="L775" s="180"/>
      <c r="M775" s="180"/>
      <c r="N775" s="180"/>
      <c r="O775" s="218"/>
      <c r="P775" s="180"/>
      <c r="Q775" s="188"/>
      <c r="R775" s="180"/>
      <c r="S775" s="180"/>
      <c r="T775" s="180"/>
      <c r="U775" s="180"/>
      <c r="V775" s="180"/>
      <c r="W775" s="180"/>
      <c r="X775" s="201"/>
      <c r="AJ775" s="149" t="str">
        <f>IF('Cable Info'!L635="","",CONCATENATE('Cable Info'!L635," - ",'Cable Info'!M635))</f>
        <v/>
      </c>
      <c r="AM775" s="149" t="str">
        <f t="shared" si="90"/>
        <v/>
      </c>
      <c r="AO775" s="149" t="str">
        <f>IF('Cable Info'!N635="","",CONCATENATE('Cable Info'!N635," - ",'Cable Info'!O635))</f>
        <v/>
      </c>
      <c r="AR775" s="149" t="str">
        <f t="shared" si="91"/>
        <v/>
      </c>
      <c r="AT775" s="149" t="str">
        <f>IF('Cable Info'!P635="","",CONCATENATE('Cable Info'!P635," - ",'Cable Info'!Q635))</f>
        <v/>
      </c>
      <c r="AW775" s="149" t="str">
        <f t="shared" si="92"/>
        <v/>
      </c>
      <c r="AY775" s="149" t="str">
        <f>IF('Cable Info'!R635="","",CONCATENATE('Cable Info'!R635," - ",'Cable Info'!S635))</f>
        <v/>
      </c>
      <c r="BB775" s="149" t="str">
        <f t="shared" si="93"/>
        <v/>
      </c>
      <c r="BD775" s="149" t="str">
        <f>IF('Cable Info'!T635="","",CONCATENATE('Cable Info'!T635," - ",'Cable Info'!U635))</f>
        <v/>
      </c>
      <c r="BG775" s="149" t="str">
        <f t="shared" si="94"/>
        <v/>
      </c>
      <c r="BI775" s="149" t="str">
        <f>IF('Cable Info'!V635="","",CONCATENATE('Cable Info'!V635," - ",'Cable Info'!W635))</f>
        <v/>
      </c>
      <c r="BL775" s="149" t="str">
        <f t="shared" si="95"/>
        <v/>
      </c>
    </row>
    <row r="776" spans="1:64" x14ac:dyDescent="0.2">
      <c r="A776" s="180"/>
      <c r="B776" s="180"/>
      <c r="C776" s="180"/>
      <c r="D776" s="180"/>
      <c r="E776" s="180"/>
      <c r="F776" s="187"/>
      <c r="G776" s="180"/>
      <c r="H776" s="180"/>
      <c r="I776" s="180"/>
      <c r="J776" s="187"/>
      <c r="K776" s="180"/>
      <c r="L776" s="180"/>
      <c r="M776" s="180"/>
      <c r="N776" s="180"/>
      <c r="O776" s="218"/>
      <c r="P776" s="180"/>
      <c r="Q776" s="188"/>
      <c r="R776" s="180"/>
      <c r="S776" s="180"/>
      <c r="T776" s="180"/>
      <c r="U776" s="180"/>
      <c r="V776" s="180"/>
      <c r="W776" s="180"/>
      <c r="X776" s="201"/>
      <c r="AJ776" s="149" t="str">
        <f>IF('Cable Info'!L636="","",CONCATENATE('Cable Info'!L636," - ",'Cable Info'!M636))</f>
        <v/>
      </c>
      <c r="AM776" s="149" t="str">
        <f t="shared" si="90"/>
        <v/>
      </c>
      <c r="AO776" s="149" t="str">
        <f>IF('Cable Info'!N636="","",CONCATENATE('Cable Info'!N636," - ",'Cable Info'!O636))</f>
        <v/>
      </c>
      <c r="AR776" s="149" t="str">
        <f t="shared" si="91"/>
        <v/>
      </c>
      <c r="AT776" s="149" t="str">
        <f>IF('Cable Info'!P636="","",CONCATENATE('Cable Info'!P636," - ",'Cable Info'!Q636))</f>
        <v/>
      </c>
      <c r="AW776" s="149" t="str">
        <f t="shared" si="92"/>
        <v/>
      </c>
      <c r="AY776" s="149" t="str">
        <f>IF('Cable Info'!R636="","",CONCATENATE('Cable Info'!R636," - ",'Cable Info'!S636))</f>
        <v/>
      </c>
      <c r="BB776" s="149" t="str">
        <f t="shared" si="93"/>
        <v/>
      </c>
      <c r="BD776" s="149" t="str">
        <f>IF('Cable Info'!T636="","",CONCATENATE('Cable Info'!T636," - ",'Cable Info'!U636))</f>
        <v/>
      </c>
      <c r="BG776" s="149" t="str">
        <f t="shared" si="94"/>
        <v/>
      </c>
      <c r="BI776" s="149" t="str">
        <f>IF('Cable Info'!V636="","",CONCATENATE('Cable Info'!V636," - ",'Cable Info'!W636))</f>
        <v/>
      </c>
      <c r="BL776" s="149" t="str">
        <f t="shared" si="95"/>
        <v/>
      </c>
    </row>
    <row r="777" spans="1:64" x14ac:dyDescent="0.2">
      <c r="A777" s="180"/>
      <c r="B777" s="180"/>
      <c r="C777" s="180"/>
      <c r="D777" s="180"/>
      <c r="E777" s="180"/>
      <c r="F777" s="187"/>
      <c r="G777" s="180"/>
      <c r="H777" s="180"/>
      <c r="I777" s="180"/>
      <c r="J777" s="187"/>
      <c r="K777" s="180"/>
      <c r="L777" s="180"/>
      <c r="M777" s="180"/>
      <c r="N777" s="180"/>
      <c r="O777" s="218"/>
      <c r="P777" s="180"/>
      <c r="Q777" s="188"/>
      <c r="R777" s="180"/>
      <c r="S777" s="180"/>
      <c r="T777" s="180"/>
      <c r="U777" s="180"/>
      <c r="V777" s="180"/>
      <c r="W777" s="180"/>
      <c r="X777" s="201"/>
      <c r="AJ777" s="149" t="str">
        <f>IF('Cable Info'!L637="","",CONCATENATE('Cable Info'!L637," - ",'Cable Info'!M637))</f>
        <v/>
      </c>
      <c r="AM777" s="149" t="str">
        <f t="shared" si="90"/>
        <v/>
      </c>
      <c r="AO777" s="149" t="str">
        <f>IF('Cable Info'!N637="","",CONCATENATE('Cable Info'!N637," - ",'Cable Info'!O637))</f>
        <v/>
      </c>
      <c r="AR777" s="149" t="str">
        <f t="shared" si="91"/>
        <v/>
      </c>
      <c r="AT777" s="149" t="str">
        <f>IF('Cable Info'!P637="","",CONCATENATE('Cable Info'!P637," - ",'Cable Info'!Q637))</f>
        <v/>
      </c>
      <c r="AW777" s="149" t="str">
        <f t="shared" si="92"/>
        <v/>
      </c>
      <c r="AY777" s="149" t="str">
        <f>IF('Cable Info'!R637="","",CONCATENATE('Cable Info'!R637," - ",'Cable Info'!S637))</f>
        <v/>
      </c>
      <c r="BB777" s="149" t="str">
        <f t="shared" si="93"/>
        <v/>
      </c>
      <c r="BD777" s="149" t="str">
        <f>IF('Cable Info'!T637="","",CONCATENATE('Cable Info'!T637," - ",'Cable Info'!U637))</f>
        <v/>
      </c>
      <c r="BG777" s="149" t="str">
        <f t="shared" si="94"/>
        <v/>
      </c>
      <c r="BI777" s="149" t="str">
        <f>IF('Cable Info'!V637="","",CONCATENATE('Cable Info'!V637," - ",'Cable Info'!W637))</f>
        <v/>
      </c>
      <c r="BL777" s="149" t="str">
        <f t="shared" si="95"/>
        <v/>
      </c>
    </row>
    <row r="778" spans="1:64" x14ac:dyDescent="0.2">
      <c r="A778" s="180"/>
      <c r="B778" s="180"/>
      <c r="C778" s="180"/>
      <c r="D778" s="180"/>
      <c r="E778" s="180"/>
      <c r="F778" s="187"/>
      <c r="G778" s="180"/>
      <c r="H778" s="180"/>
      <c r="I778" s="180"/>
      <c r="J778" s="187"/>
      <c r="K778" s="180"/>
      <c r="L778" s="180"/>
      <c r="M778" s="180"/>
      <c r="N778" s="180"/>
      <c r="O778" s="218"/>
      <c r="P778" s="180"/>
      <c r="Q778" s="188"/>
      <c r="R778" s="180"/>
      <c r="S778" s="180"/>
      <c r="T778" s="180"/>
      <c r="U778" s="180"/>
      <c r="V778" s="180"/>
      <c r="W778" s="180"/>
      <c r="X778" s="201"/>
      <c r="AJ778" s="149" t="str">
        <f>IF('Cable Info'!L638="","",CONCATENATE('Cable Info'!L638," - ",'Cable Info'!M638))</f>
        <v/>
      </c>
      <c r="AM778" s="149" t="str">
        <f t="shared" si="90"/>
        <v/>
      </c>
      <c r="AO778" s="149" t="str">
        <f>IF('Cable Info'!N638="","",CONCATENATE('Cable Info'!N638," - ",'Cable Info'!O638))</f>
        <v/>
      </c>
      <c r="AR778" s="149" t="str">
        <f t="shared" si="91"/>
        <v/>
      </c>
      <c r="AT778" s="149" t="str">
        <f>IF('Cable Info'!P638="","",CONCATENATE('Cable Info'!P638," - ",'Cable Info'!Q638))</f>
        <v/>
      </c>
      <c r="AW778" s="149" t="str">
        <f t="shared" si="92"/>
        <v/>
      </c>
      <c r="AY778" s="149" t="str">
        <f>IF('Cable Info'!R638="","",CONCATENATE('Cable Info'!R638," - ",'Cable Info'!S638))</f>
        <v/>
      </c>
      <c r="BB778" s="149" t="str">
        <f t="shared" si="93"/>
        <v/>
      </c>
      <c r="BD778" s="149" t="str">
        <f>IF('Cable Info'!T638="","",CONCATENATE('Cable Info'!T638," - ",'Cable Info'!U638))</f>
        <v/>
      </c>
      <c r="BG778" s="149" t="str">
        <f t="shared" si="94"/>
        <v/>
      </c>
      <c r="BI778" s="149" t="str">
        <f>IF('Cable Info'!V638="","",CONCATENATE('Cable Info'!V638," - ",'Cable Info'!W638))</f>
        <v/>
      </c>
      <c r="BL778" s="149" t="str">
        <f t="shared" si="95"/>
        <v/>
      </c>
    </row>
    <row r="779" spans="1:64" x14ac:dyDescent="0.2">
      <c r="A779" s="180"/>
      <c r="B779" s="180"/>
      <c r="C779" s="180"/>
      <c r="D779" s="180"/>
      <c r="E779" s="180"/>
      <c r="F779" s="187"/>
      <c r="G779" s="180"/>
      <c r="H779" s="180"/>
      <c r="I779" s="180"/>
      <c r="J779" s="187"/>
      <c r="K779" s="180"/>
      <c r="L779" s="180"/>
      <c r="M779" s="180"/>
      <c r="N779" s="180"/>
      <c r="O779" s="218"/>
      <c r="P779" s="180"/>
      <c r="Q779" s="188"/>
      <c r="R779" s="180"/>
      <c r="S779" s="180"/>
      <c r="T779" s="180"/>
      <c r="U779" s="180"/>
      <c r="V779" s="180"/>
      <c r="W779" s="180"/>
      <c r="X779" s="201"/>
      <c r="AJ779" s="149" t="str">
        <f>IF('Cable Info'!L639="","",CONCATENATE('Cable Info'!L639," - ",'Cable Info'!M639))</f>
        <v/>
      </c>
      <c r="AM779" s="149" t="str">
        <f t="shared" si="90"/>
        <v/>
      </c>
      <c r="AO779" s="149" t="str">
        <f>IF('Cable Info'!N639="","",CONCATENATE('Cable Info'!N639," - ",'Cable Info'!O639))</f>
        <v/>
      </c>
      <c r="AR779" s="149" t="str">
        <f t="shared" si="91"/>
        <v/>
      </c>
      <c r="AT779" s="149" t="str">
        <f>IF('Cable Info'!P639="","",CONCATENATE('Cable Info'!P639," - ",'Cable Info'!Q639))</f>
        <v/>
      </c>
      <c r="AW779" s="149" t="str">
        <f t="shared" si="92"/>
        <v/>
      </c>
      <c r="AY779" s="149" t="str">
        <f>IF('Cable Info'!R639="","",CONCATENATE('Cable Info'!R639," - ",'Cable Info'!S639))</f>
        <v/>
      </c>
      <c r="BB779" s="149" t="str">
        <f t="shared" si="93"/>
        <v/>
      </c>
      <c r="BD779" s="149" t="str">
        <f>IF('Cable Info'!T639="","",CONCATENATE('Cable Info'!T639," - ",'Cable Info'!U639))</f>
        <v/>
      </c>
      <c r="BG779" s="149" t="str">
        <f t="shared" si="94"/>
        <v/>
      </c>
      <c r="BI779" s="149" t="str">
        <f>IF('Cable Info'!V639="","",CONCATENATE('Cable Info'!V639," - ",'Cable Info'!W639))</f>
        <v/>
      </c>
      <c r="BL779" s="149" t="str">
        <f t="shared" si="95"/>
        <v/>
      </c>
    </row>
    <row r="780" spans="1:64" x14ac:dyDescent="0.2">
      <c r="A780" s="180"/>
      <c r="B780" s="180"/>
      <c r="C780" s="180"/>
      <c r="D780" s="180"/>
      <c r="E780" s="180"/>
      <c r="F780" s="187"/>
      <c r="G780" s="180"/>
      <c r="H780" s="180"/>
      <c r="I780" s="180"/>
      <c r="J780" s="187"/>
      <c r="K780" s="180"/>
      <c r="L780" s="180"/>
      <c r="M780" s="180"/>
      <c r="N780" s="180"/>
      <c r="O780" s="218"/>
      <c r="P780" s="180"/>
      <c r="Q780" s="188"/>
      <c r="R780" s="180"/>
      <c r="S780" s="180"/>
      <c r="T780" s="180"/>
      <c r="U780" s="180"/>
      <c r="V780" s="180"/>
      <c r="W780" s="180"/>
      <c r="X780" s="201"/>
      <c r="AJ780" s="149" t="str">
        <f>IF('Cable Info'!L640="","",CONCATENATE('Cable Info'!L640," - ",'Cable Info'!M640))</f>
        <v/>
      </c>
      <c r="AM780" s="149" t="str">
        <f t="shared" si="90"/>
        <v/>
      </c>
      <c r="AO780" s="149" t="str">
        <f>IF('Cable Info'!N640="","",CONCATENATE('Cable Info'!N640," - ",'Cable Info'!O640))</f>
        <v/>
      </c>
      <c r="AR780" s="149" t="str">
        <f t="shared" si="91"/>
        <v/>
      </c>
      <c r="AT780" s="149" t="str">
        <f>IF('Cable Info'!P640="","",CONCATENATE('Cable Info'!P640," - ",'Cable Info'!Q640))</f>
        <v/>
      </c>
      <c r="AW780" s="149" t="str">
        <f t="shared" si="92"/>
        <v/>
      </c>
      <c r="AY780" s="149" t="str">
        <f>IF('Cable Info'!R640="","",CONCATENATE('Cable Info'!R640," - ",'Cable Info'!S640))</f>
        <v/>
      </c>
      <c r="BB780" s="149" t="str">
        <f t="shared" si="93"/>
        <v/>
      </c>
      <c r="BD780" s="149" t="str">
        <f>IF('Cable Info'!T640="","",CONCATENATE('Cable Info'!T640," - ",'Cable Info'!U640))</f>
        <v/>
      </c>
      <c r="BG780" s="149" t="str">
        <f t="shared" si="94"/>
        <v/>
      </c>
      <c r="BI780" s="149" t="str">
        <f>IF('Cable Info'!V640="","",CONCATENATE('Cable Info'!V640," - ",'Cable Info'!W640))</f>
        <v/>
      </c>
      <c r="BL780" s="149" t="str">
        <f t="shared" si="95"/>
        <v/>
      </c>
    </row>
    <row r="781" spans="1:64" x14ac:dyDescent="0.2">
      <c r="A781" s="180"/>
      <c r="B781" s="180"/>
      <c r="C781" s="180"/>
      <c r="D781" s="180"/>
      <c r="E781" s="180"/>
      <c r="F781" s="187"/>
      <c r="G781" s="180"/>
      <c r="H781" s="180"/>
      <c r="I781" s="180"/>
      <c r="J781" s="187"/>
      <c r="K781" s="180"/>
      <c r="L781" s="180"/>
      <c r="M781" s="180"/>
      <c r="N781" s="180"/>
      <c r="O781" s="218"/>
      <c r="P781" s="180"/>
      <c r="Q781" s="188"/>
      <c r="R781" s="180"/>
      <c r="S781" s="180"/>
      <c r="T781" s="180"/>
      <c r="U781" s="180"/>
      <c r="V781" s="180"/>
      <c r="W781" s="180"/>
      <c r="X781" s="201"/>
      <c r="AJ781" s="149" t="str">
        <f>IF('Cable Info'!L641="","",CONCATENATE('Cable Info'!L641," - ",'Cable Info'!M641))</f>
        <v/>
      </c>
      <c r="AM781" s="149" t="str">
        <f t="shared" si="90"/>
        <v/>
      </c>
      <c r="AO781" s="149" t="str">
        <f>IF('Cable Info'!N641="","",CONCATENATE('Cable Info'!N641," - ",'Cable Info'!O641))</f>
        <v/>
      </c>
      <c r="AR781" s="149" t="str">
        <f t="shared" si="91"/>
        <v/>
      </c>
      <c r="AT781" s="149" t="str">
        <f>IF('Cable Info'!P641="","",CONCATENATE('Cable Info'!P641," - ",'Cable Info'!Q641))</f>
        <v/>
      </c>
      <c r="AW781" s="149" t="str">
        <f t="shared" si="92"/>
        <v/>
      </c>
      <c r="AY781" s="149" t="str">
        <f>IF('Cable Info'!R641="","",CONCATENATE('Cable Info'!R641," - ",'Cable Info'!S641))</f>
        <v/>
      </c>
      <c r="BB781" s="149" t="str">
        <f t="shared" si="93"/>
        <v/>
      </c>
      <c r="BD781" s="149" t="str">
        <f>IF('Cable Info'!T641="","",CONCATENATE('Cable Info'!T641," - ",'Cable Info'!U641))</f>
        <v/>
      </c>
      <c r="BG781" s="149" t="str">
        <f t="shared" si="94"/>
        <v/>
      </c>
      <c r="BI781" s="149" t="str">
        <f>IF('Cable Info'!V641="","",CONCATENATE('Cable Info'!V641," - ",'Cable Info'!W641))</f>
        <v/>
      </c>
      <c r="BL781" s="149" t="str">
        <f t="shared" si="95"/>
        <v/>
      </c>
    </row>
    <row r="782" spans="1:64" x14ac:dyDescent="0.2">
      <c r="A782" s="180"/>
      <c r="B782" s="180"/>
      <c r="C782" s="180"/>
      <c r="D782" s="180"/>
      <c r="E782" s="180"/>
      <c r="F782" s="187"/>
      <c r="G782" s="180"/>
      <c r="H782" s="180"/>
      <c r="I782" s="180"/>
      <c r="J782" s="187"/>
      <c r="K782" s="180"/>
      <c r="L782" s="180"/>
      <c r="M782" s="180"/>
      <c r="N782" s="180"/>
      <c r="O782" s="218"/>
      <c r="P782" s="180"/>
      <c r="Q782" s="188"/>
      <c r="R782" s="180"/>
      <c r="S782" s="180"/>
      <c r="T782" s="180"/>
      <c r="U782" s="180"/>
      <c r="V782" s="180"/>
      <c r="W782" s="180"/>
      <c r="X782" s="201"/>
      <c r="AJ782" s="149" t="str">
        <f>IF('Cable Info'!L642="","",CONCATENATE('Cable Info'!L642," - ",'Cable Info'!M642))</f>
        <v/>
      </c>
      <c r="AM782" s="149" t="str">
        <f t="shared" si="90"/>
        <v/>
      </c>
      <c r="AO782" s="149" t="str">
        <f>IF('Cable Info'!N642="","",CONCATENATE('Cable Info'!N642," - ",'Cable Info'!O642))</f>
        <v/>
      </c>
      <c r="AR782" s="149" t="str">
        <f t="shared" si="91"/>
        <v/>
      </c>
      <c r="AT782" s="149" t="str">
        <f>IF('Cable Info'!P642="","",CONCATENATE('Cable Info'!P642," - ",'Cable Info'!Q642))</f>
        <v/>
      </c>
      <c r="AW782" s="149" t="str">
        <f t="shared" si="92"/>
        <v/>
      </c>
      <c r="AY782" s="149" t="str">
        <f>IF('Cable Info'!R642="","",CONCATENATE('Cable Info'!R642," - ",'Cable Info'!S642))</f>
        <v/>
      </c>
      <c r="BB782" s="149" t="str">
        <f t="shared" si="93"/>
        <v/>
      </c>
      <c r="BD782" s="149" t="str">
        <f>IF('Cable Info'!T642="","",CONCATENATE('Cable Info'!T642," - ",'Cable Info'!U642))</f>
        <v/>
      </c>
      <c r="BG782" s="149" t="str">
        <f t="shared" si="94"/>
        <v/>
      </c>
      <c r="BI782" s="149" t="str">
        <f>IF('Cable Info'!V642="","",CONCATENATE('Cable Info'!V642," - ",'Cable Info'!W642))</f>
        <v/>
      </c>
      <c r="BL782" s="149" t="str">
        <f t="shared" si="95"/>
        <v/>
      </c>
    </row>
    <row r="783" spans="1:64" x14ac:dyDescent="0.2">
      <c r="A783" s="180"/>
      <c r="B783" s="180"/>
      <c r="C783" s="180"/>
      <c r="D783" s="180"/>
      <c r="E783" s="180"/>
      <c r="F783" s="187"/>
      <c r="G783" s="180"/>
      <c r="H783" s="180"/>
      <c r="I783" s="180"/>
      <c r="J783" s="187"/>
      <c r="K783" s="180"/>
      <c r="L783" s="180"/>
      <c r="M783" s="180"/>
      <c r="N783" s="180"/>
      <c r="O783" s="218"/>
      <c r="P783" s="180"/>
      <c r="Q783" s="188"/>
      <c r="R783" s="180"/>
      <c r="S783" s="180"/>
      <c r="T783" s="180"/>
      <c r="U783" s="180"/>
      <c r="V783" s="180"/>
      <c r="W783" s="180"/>
      <c r="X783" s="201"/>
      <c r="AJ783" s="149" t="str">
        <f>IF('Cable Info'!L643="","",CONCATENATE('Cable Info'!L643," - ",'Cable Info'!M643))</f>
        <v/>
      </c>
      <c r="AM783" s="149" t="str">
        <f t="shared" ref="AM783:AM846" si="96">IF(AK783="",AJ783,CONCATENATE(AJ783,"  &lt;=&gt; ",AK783," ",AL783))</f>
        <v/>
      </c>
      <c r="AO783" s="149" t="str">
        <f>IF('Cable Info'!N643="","",CONCATENATE('Cable Info'!N643," - ",'Cable Info'!O643))</f>
        <v/>
      </c>
      <c r="AR783" s="149" t="str">
        <f t="shared" ref="AR783:AR846" si="97">IF(AP783="",AO783,CONCATENATE(AO783,"  &lt;=&gt; ",AP783," ",AQ783))</f>
        <v/>
      </c>
      <c r="AT783" s="149" t="str">
        <f>IF('Cable Info'!P643="","",CONCATENATE('Cable Info'!P643," - ",'Cable Info'!Q643))</f>
        <v/>
      </c>
      <c r="AW783" s="149" t="str">
        <f t="shared" ref="AW783:AW846" si="98">IF(AU783="",AT783,CONCATENATE(AT783,"  &lt;=&gt; ",AU783," ",AV783))</f>
        <v/>
      </c>
      <c r="AY783" s="149" t="str">
        <f>IF('Cable Info'!R643="","",CONCATENATE('Cable Info'!R643," - ",'Cable Info'!S643))</f>
        <v/>
      </c>
      <c r="BB783" s="149" t="str">
        <f t="shared" ref="BB783:BB846" si="99">IF(AZ783="",AY783,CONCATENATE(AY783,"  &lt;=&gt; ",AZ783," ",BA783))</f>
        <v/>
      </c>
      <c r="BD783" s="149" t="str">
        <f>IF('Cable Info'!T643="","",CONCATENATE('Cable Info'!T643," - ",'Cable Info'!U643))</f>
        <v/>
      </c>
      <c r="BG783" s="149" t="str">
        <f t="shared" ref="BG783:BG846" si="100">IF(BE783="",BD783,CONCATENATE(BD783,"  &lt;=&gt; ",BE783," ",BF783))</f>
        <v/>
      </c>
      <c r="BI783" s="149" t="str">
        <f>IF('Cable Info'!V643="","",CONCATENATE('Cable Info'!V643," - ",'Cable Info'!W643))</f>
        <v/>
      </c>
      <c r="BL783" s="149" t="str">
        <f t="shared" ref="BL783:BL846" si="101">IF(BJ783="",BI783,CONCATENATE(BI783,"  &lt;=&gt; ",BJ783," ",BK783))</f>
        <v/>
      </c>
    </row>
    <row r="784" spans="1:64" x14ac:dyDescent="0.2">
      <c r="A784" s="180"/>
      <c r="B784" s="180"/>
      <c r="C784" s="180"/>
      <c r="D784" s="180"/>
      <c r="E784" s="180"/>
      <c r="F784" s="187"/>
      <c r="G784" s="180"/>
      <c r="H784" s="180"/>
      <c r="I784" s="180"/>
      <c r="J784" s="187"/>
      <c r="K784" s="180"/>
      <c r="L784" s="180"/>
      <c r="M784" s="180"/>
      <c r="N784" s="180"/>
      <c r="O784" s="218"/>
      <c r="P784" s="180"/>
      <c r="Q784" s="188"/>
      <c r="R784" s="180"/>
      <c r="S784" s="180"/>
      <c r="T784" s="180"/>
      <c r="U784" s="180"/>
      <c r="V784" s="180"/>
      <c r="W784" s="180"/>
      <c r="X784" s="201"/>
      <c r="AJ784" s="149" t="str">
        <f>IF('Cable Info'!L644="","",CONCATENATE('Cable Info'!L644," - ",'Cable Info'!M644))</f>
        <v/>
      </c>
      <c r="AM784" s="149" t="str">
        <f t="shared" si="96"/>
        <v/>
      </c>
      <c r="AO784" s="149" t="str">
        <f>IF('Cable Info'!N644="","",CONCATENATE('Cable Info'!N644," - ",'Cable Info'!O644))</f>
        <v/>
      </c>
      <c r="AR784" s="149" t="str">
        <f t="shared" si="97"/>
        <v/>
      </c>
      <c r="AT784" s="149" t="str">
        <f>IF('Cable Info'!P644="","",CONCATENATE('Cable Info'!P644," - ",'Cable Info'!Q644))</f>
        <v/>
      </c>
      <c r="AW784" s="149" t="str">
        <f t="shared" si="98"/>
        <v/>
      </c>
      <c r="AY784" s="149" t="str">
        <f>IF('Cable Info'!R644="","",CONCATENATE('Cable Info'!R644," - ",'Cable Info'!S644))</f>
        <v/>
      </c>
      <c r="BB784" s="149" t="str">
        <f t="shared" si="99"/>
        <v/>
      </c>
      <c r="BD784" s="149" t="str">
        <f>IF('Cable Info'!T644="","",CONCATENATE('Cable Info'!T644," - ",'Cable Info'!U644))</f>
        <v/>
      </c>
      <c r="BG784" s="149" t="str">
        <f t="shared" si="100"/>
        <v/>
      </c>
      <c r="BI784" s="149" t="str">
        <f>IF('Cable Info'!V644="","",CONCATENATE('Cable Info'!V644," - ",'Cable Info'!W644))</f>
        <v/>
      </c>
      <c r="BL784" s="149" t="str">
        <f t="shared" si="101"/>
        <v/>
      </c>
    </row>
    <row r="785" spans="1:64" x14ac:dyDescent="0.2">
      <c r="A785" s="180"/>
      <c r="B785" s="180"/>
      <c r="C785" s="180"/>
      <c r="D785" s="180"/>
      <c r="E785" s="180"/>
      <c r="F785" s="187"/>
      <c r="G785" s="180"/>
      <c r="H785" s="180"/>
      <c r="I785" s="180"/>
      <c r="J785" s="187"/>
      <c r="K785" s="180"/>
      <c r="L785" s="180"/>
      <c r="M785" s="180"/>
      <c r="N785" s="180"/>
      <c r="O785" s="218"/>
      <c r="P785" s="180"/>
      <c r="Q785" s="188"/>
      <c r="R785" s="180"/>
      <c r="S785" s="180"/>
      <c r="T785" s="180"/>
      <c r="U785" s="180"/>
      <c r="V785" s="180"/>
      <c r="W785" s="180"/>
      <c r="X785" s="201"/>
      <c r="AJ785" s="149" t="str">
        <f>IF('Cable Info'!L645="","",CONCATENATE('Cable Info'!L645," - ",'Cable Info'!M645))</f>
        <v/>
      </c>
      <c r="AM785" s="149" t="str">
        <f t="shared" si="96"/>
        <v/>
      </c>
      <c r="AO785" s="149" t="str">
        <f>IF('Cable Info'!N645="","",CONCATENATE('Cable Info'!N645," - ",'Cable Info'!O645))</f>
        <v/>
      </c>
      <c r="AR785" s="149" t="str">
        <f t="shared" si="97"/>
        <v/>
      </c>
      <c r="AT785" s="149" t="str">
        <f>IF('Cable Info'!P645="","",CONCATENATE('Cable Info'!P645," - ",'Cable Info'!Q645))</f>
        <v/>
      </c>
      <c r="AW785" s="149" t="str">
        <f t="shared" si="98"/>
        <v/>
      </c>
      <c r="AY785" s="149" t="str">
        <f>IF('Cable Info'!R645="","",CONCATENATE('Cable Info'!R645," - ",'Cable Info'!S645))</f>
        <v/>
      </c>
      <c r="BB785" s="149" t="str">
        <f t="shared" si="99"/>
        <v/>
      </c>
      <c r="BD785" s="149" t="str">
        <f>IF('Cable Info'!T645="","",CONCATENATE('Cable Info'!T645," - ",'Cable Info'!U645))</f>
        <v/>
      </c>
      <c r="BG785" s="149" t="str">
        <f t="shared" si="100"/>
        <v/>
      </c>
      <c r="BI785" s="149" t="str">
        <f>IF('Cable Info'!V645="","",CONCATENATE('Cable Info'!V645," - ",'Cable Info'!W645))</f>
        <v/>
      </c>
      <c r="BL785" s="149" t="str">
        <f t="shared" si="101"/>
        <v/>
      </c>
    </row>
    <row r="786" spans="1:64" x14ac:dyDescent="0.2">
      <c r="A786" s="180"/>
      <c r="B786" s="180"/>
      <c r="C786" s="180"/>
      <c r="D786" s="180"/>
      <c r="E786" s="180"/>
      <c r="F786" s="187"/>
      <c r="G786" s="180"/>
      <c r="H786" s="180"/>
      <c r="I786" s="180"/>
      <c r="J786" s="187"/>
      <c r="K786" s="180"/>
      <c r="L786" s="180"/>
      <c r="M786" s="180"/>
      <c r="N786" s="180"/>
      <c r="O786" s="218"/>
      <c r="P786" s="180"/>
      <c r="Q786" s="188"/>
      <c r="R786" s="180"/>
      <c r="S786" s="180"/>
      <c r="T786" s="180"/>
      <c r="U786" s="180"/>
      <c r="V786" s="180"/>
      <c r="W786" s="180"/>
      <c r="X786" s="201"/>
      <c r="AJ786" s="149" t="str">
        <f>IF('Cable Info'!L646="","",CONCATENATE('Cable Info'!L646," - ",'Cable Info'!M646))</f>
        <v/>
      </c>
      <c r="AM786" s="149" t="str">
        <f t="shared" si="96"/>
        <v/>
      </c>
      <c r="AO786" s="149" t="str">
        <f>IF('Cable Info'!N646="","",CONCATENATE('Cable Info'!N646," - ",'Cable Info'!O646))</f>
        <v/>
      </c>
      <c r="AR786" s="149" t="str">
        <f t="shared" si="97"/>
        <v/>
      </c>
      <c r="AT786" s="149" t="str">
        <f>IF('Cable Info'!P646="","",CONCATENATE('Cable Info'!P646," - ",'Cable Info'!Q646))</f>
        <v/>
      </c>
      <c r="AW786" s="149" t="str">
        <f t="shared" si="98"/>
        <v/>
      </c>
      <c r="AY786" s="149" t="str">
        <f>IF('Cable Info'!R646="","",CONCATENATE('Cable Info'!R646," - ",'Cable Info'!S646))</f>
        <v/>
      </c>
      <c r="BB786" s="149" t="str">
        <f t="shared" si="99"/>
        <v/>
      </c>
      <c r="BD786" s="149" t="str">
        <f>IF('Cable Info'!T646="","",CONCATENATE('Cable Info'!T646," - ",'Cable Info'!U646))</f>
        <v/>
      </c>
      <c r="BG786" s="149" t="str">
        <f t="shared" si="100"/>
        <v/>
      </c>
      <c r="BI786" s="149" t="str">
        <f>IF('Cable Info'!V646="","",CONCATENATE('Cable Info'!V646," - ",'Cable Info'!W646))</f>
        <v/>
      </c>
      <c r="BL786" s="149" t="str">
        <f t="shared" si="101"/>
        <v/>
      </c>
    </row>
    <row r="787" spans="1:64" x14ac:dyDescent="0.2">
      <c r="A787" s="180"/>
      <c r="B787" s="180"/>
      <c r="C787" s="180"/>
      <c r="D787" s="180"/>
      <c r="E787" s="180"/>
      <c r="F787" s="187"/>
      <c r="G787" s="180"/>
      <c r="H787" s="180"/>
      <c r="I787" s="180"/>
      <c r="J787" s="187"/>
      <c r="K787" s="180"/>
      <c r="L787" s="180"/>
      <c r="M787" s="180"/>
      <c r="N787" s="180"/>
      <c r="O787" s="218"/>
      <c r="P787" s="180"/>
      <c r="Q787" s="188"/>
      <c r="R787" s="180"/>
      <c r="S787" s="180"/>
      <c r="T787" s="180"/>
      <c r="U787" s="180"/>
      <c r="V787" s="180"/>
      <c r="W787" s="180"/>
      <c r="X787" s="201"/>
      <c r="AJ787" s="149" t="str">
        <f>IF('Cable Info'!L647="","",CONCATENATE('Cable Info'!L647," - ",'Cable Info'!M647))</f>
        <v/>
      </c>
      <c r="AM787" s="149" t="str">
        <f t="shared" si="96"/>
        <v/>
      </c>
      <c r="AO787" s="149" t="str">
        <f>IF('Cable Info'!N647="","",CONCATENATE('Cable Info'!N647," - ",'Cable Info'!O647))</f>
        <v/>
      </c>
      <c r="AR787" s="149" t="str">
        <f t="shared" si="97"/>
        <v/>
      </c>
      <c r="AT787" s="149" t="str">
        <f>IF('Cable Info'!P647="","",CONCATENATE('Cable Info'!P647," - ",'Cable Info'!Q647))</f>
        <v/>
      </c>
      <c r="AW787" s="149" t="str">
        <f t="shared" si="98"/>
        <v/>
      </c>
      <c r="AY787" s="149" t="str">
        <f>IF('Cable Info'!R647="","",CONCATENATE('Cable Info'!R647," - ",'Cable Info'!S647))</f>
        <v/>
      </c>
      <c r="BB787" s="149" t="str">
        <f t="shared" si="99"/>
        <v/>
      </c>
      <c r="BD787" s="149" t="str">
        <f>IF('Cable Info'!T647="","",CONCATENATE('Cable Info'!T647," - ",'Cable Info'!U647))</f>
        <v/>
      </c>
      <c r="BG787" s="149" t="str">
        <f t="shared" si="100"/>
        <v/>
      </c>
      <c r="BI787" s="149" t="str">
        <f>IF('Cable Info'!V647="","",CONCATENATE('Cable Info'!V647," - ",'Cable Info'!W647))</f>
        <v/>
      </c>
      <c r="BL787" s="149" t="str">
        <f t="shared" si="101"/>
        <v/>
      </c>
    </row>
    <row r="788" spans="1:64" x14ac:dyDescent="0.2">
      <c r="A788" s="180"/>
      <c r="B788" s="180"/>
      <c r="C788" s="180"/>
      <c r="D788" s="180"/>
      <c r="E788" s="180"/>
      <c r="F788" s="187"/>
      <c r="G788" s="180"/>
      <c r="H788" s="180"/>
      <c r="I788" s="180"/>
      <c r="J788" s="187"/>
      <c r="K788" s="180"/>
      <c r="L788" s="180"/>
      <c r="M788" s="180"/>
      <c r="N788" s="180"/>
      <c r="O788" s="218"/>
      <c r="P788" s="180"/>
      <c r="Q788" s="188"/>
      <c r="R788" s="180"/>
      <c r="S788" s="180"/>
      <c r="T788" s="180"/>
      <c r="U788" s="180"/>
      <c r="V788" s="180"/>
      <c r="W788" s="180"/>
      <c r="X788" s="201"/>
      <c r="AJ788" s="149" t="str">
        <f>IF('Cable Info'!L648="","",CONCATENATE('Cable Info'!L648," - ",'Cable Info'!M648))</f>
        <v/>
      </c>
      <c r="AM788" s="149" t="str">
        <f t="shared" si="96"/>
        <v/>
      </c>
      <c r="AO788" s="149" t="str">
        <f>IF('Cable Info'!N648="","",CONCATENATE('Cable Info'!N648," - ",'Cable Info'!O648))</f>
        <v/>
      </c>
      <c r="AR788" s="149" t="str">
        <f t="shared" si="97"/>
        <v/>
      </c>
      <c r="AT788" s="149" t="str">
        <f>IF('Cable Info'!P648="","",CONCATENATE('Cable Info'!P648," - ",'Cable Info'!Q648))</f>
        <v/>
      </c>
      <c r="AW788" s="149" t="str">
        <f t="shared" si="98"/>
        <v/>
      </c>
      <c r="AY788" s="149" t="str">
        <f>IF('Cable Info'!R648="","",CONCATENATE('Cable Info'!R648," - ",'Cable Info'!S648))</f>
        <v/>
      </c>
      <c r="BB788" s="149" t="str">
        <f t="shared" si="99"/>
        <v/>
      </c>
      <c r="BD788" s="149" t="str">
        <f>IF('Cable Info'!T648="","",CONCATENATE('Cable Info'!T648," - ",'Cable Info'!U648))</f>
        <v/>
      </c>
      <c r="BG788" s="149" t="str">
        <f t="shared" si="100"/>
        <v/>
      </c>
      <c r="BI788" s="149" t="str">
        <f>IF('Cable Info'!V648="","",CONCATENATE('Cable Info'!V648," - ",'Cable Info'!W648))</f>
        <v/>
      </c>
      <c r="BL788" s="149" t="str">
        <f t="shared" si="101"/>
        <v/>
      </c>
    </row>
    <row r="789" spans="1:64" x14ac:dyDescent="0.2">
      <c r="A789" s="180"/>
      <c r="B789" s="180"/>
      <c r="C789" s="180"/>
      <c r="D789" s="180"/>
      <c r="E789" s="180"/>
      <c r="F789" s="187"/>
      <c r="G789" s="180"/>
      <c r="H789" s="180"/>
      <c r="I789" s="180"/>
      <c r="J789" s="187"/>
      <c r="K789" s="180"/>
      <c r="L789" s="180"/>
      <c r="M789" s="180"/>
      <c r="N789" s="180"/>
      <c r="O789" s="218"/>
      <c r="P789" s="180"/>
      <c r="Q789" s="188"/>
      <c r="R789" s="180"/>
      <c r="S789" s="180"/>
      <c r="T789" s="180"/>
      <c r="U789" s="180"/>
      <c r="V789" s="180"/>
      <c r="W789" s="180"/>
      <c r="X789" s="201"/>
      <c r="AJ789" s="149" t="str">
        <f>IF('Cable Info'!L649="","",CONCATENATE('Cable Info'!L649," - ",'Cable Info'!M649))</f>
        <v/>
      </c>
      <c r="AM789" s="149" t="str">
        <f t="shared" si="96"/>
        <v/>
      </c>
      <c r="AO789" s="149" t="str">
        <f>IF('Cable Info'!N649="","",CONCATENATE('Cable Info'!N649," - ",'Cable Info'!O649))</f>
        <v/>
      </c>
      <c r="AR789" s="149" t="str">
        <f t="shared" si="97"/>
        <v/>
      </c>
      <c r="AT789" s="149" t="str">
        <f>IF('Cable Info'!P649="","",CONCATENATE('Cable Info'!P649," - ",'Cable Info'!Q649))</f>
        <v/>
      </c>
      <c r="AW789" s="149" t="str">
        <f t="shared" si="98"/>
        <v/>
      </c>
      <c r="AY789" s="149" t="str">
        <f>IF('Cable Info'!R649="","",CONCATENATE('Cable Info'!R649," - ",'Cable Info'!S649))</f>
        <v/>
      </c>
      <c r="BB789" s="149" t="str">
        <f t="shared" si="99"/>
        <v/>
      </c>
      <c r="BD789" s="149" t="str">
        <f>IF('Cable Info'!T649="","",CONCATENATE('Cable Info'!T649," - ",'Cable Info'!U649))</f>
        <v/>
      </c>
      <c r="BG789" s="149" t="str">
        <f t="shared" si="100"/>
        <v/>
      </c>
      <c r="BI789" s="149" t="str">
        <f>IF('Cable Info'!V649="","",CONCATENATE('Cable Info'!V649," - ",'Cable Info'!W649))</f>
        <v/>
      </c>
      <c r="BL789" s="149" t="str">
        <f t="shared" si="101"/>
        <v/>
      </c>
    </row>
    <row r="790" spans="1:64" x14ac:dyDescent="0.2">
      <c r="A790" s="180"/>
      <c r="B790" s="180"/>
      <c r="C790" s="180"/>
      <c r="D790" s="180"/>
      <c r="E790" s="180"/>
      <c r="F790" s="187"/>
      <c r="G790" s="180"/>
      <c r="H790" s="180"/>
      <c r="I790" s="180"/>
      <c r="J790" s="187"/>
      <c r="K790" s="180"/>
      <c r="L790" s="180"/>
      <c r="M790" s="180"/>
      <c r="N790" s="180"/>
      <c r="O790" s="218"/>
      <c r="P790" s="180"/>
      <c r="Q790" s="188"/>
      <c r="R790" s="180"/>
      <c r="S790" s="180"/>
      <c r="T790" s="180"/>
      <c r="U790" s="180"/>
      <c r="V790" s="180"/>
      <c r="W790" s="180"/>
      <c r="X790" s="201"/>
      <c r="AJ790" s="149" t="str">
        <f>IF('Cable Info'!L650="","",CONCATENATE('Cable Info'!L650," - ",'Cable Info'!M650))</f>
        <v/>
      </c>
      <c r="AM790" s="149" t="str">
        <f t="shared" si="96"/>
        <v/>
      </c>
      <c r="AO790" s="149" t="str">
        <f>IF('Cable Info'!N650="","",CONCATENATE('Cable Info'!N650," - ",'Cable Info'!O650))</f>
        <v/>
      </c>
      <c r="AR790" s="149" t="str">
        <f t="shared" si="97"/>
        <v/>
      </c>
      <c r="AT790" s="149" t="str">
        <f>IF('Cable Info'!P650="","",CONCATENATE('Cable Info'!P650," - ",'Cable Info'!Q650))</f>
        <v/>
      </c>
      <c r="AW790" s="149" t="str">
        <f t="shared" si="98"/>
        <v/>
      </c>
      <c r="AY790" s="149" t="str">
        <f>IF('Cable Info'!R650="","",CONCATENATE('Cable Info'!R650," - ",'Cable Info'!S650))</f>
        <v/>
      </c>
      <c r="BB790" s="149" t="str">
        <f t="shared" si="99"/>
        <v/>
      </c>
      <c r="BD790" s="149" t="str">
        <f>IF('Cable Info'!T650="","",CONCATENATE('Cable Info'!T650," - ",'Cable Info'!U650))</f>
        <v/>
      </c>
      <c r="BG790" s="149" t="str">
        <f t="shared" si="100"/>
        <v/>
      </c>
      <c r="BI790" s="149" t="str">
        <f>IF('Cable Info'!V650="","",CONCATENATE('Cable Info'!V650," - ",'Cable Info'!W650))</f>
        <v/>
      </c>
      <c r="BL790" s="149" t="str">
        <f t="shared" si="101"/>
        <v/>
      </c>
    </row>
    <row r="791" spans="1:64" x14ac:dyDescent="0.2">
      <c r="A791" s="180"/>
      <c r="B791" s="180"/>
      <c r="C791" s="180"/>
      <c r="D791" s="180"/>
      <c r="E791" s="180"/>
      <c r="F791" s="187"/>
      <c r="G791" s="180"/>
      <c r="H791" s="180"/>
      <c r="I791" s="180"/>
      <c r="J791" s="187"/>
      <c r="K791" s="180"/>
      <c r="L791" s="180"/>
      <c r="M791" s="180"/>
      <c r="N791" s="180"/>
      <c r="O791" s="218"/>
      <c r="P791" s="180"/>
      <c r="Q791" s="188"/>
      <c r="R791" s="180"/>
      <c r="S791" s="180"/>
      <c r="T791" s="180"/>
      <c r="U791" s="180"/>
      <c r="V791" s="180"/>
      <c r="W791" s="180"/>
      <c r="X791" s="201"/>
      <c r="AJ791" s="149" t="str">
        <f>IF('Cable Info'!L651="","",CONCATENATE('Cable Info'!L651," - ",'Cable Info'!M651))</f>
        <v/>
      </c>
      <c r="AM791" s="149" t="str">
        <f t="shared" si="96"/>
        <v/>
      </c>
      <c r="AO791" s="149" t="str">
        <f>IF('Cable Info'!N651="","",CONCATENATE('Cable Info'!N651," - ",'Cable Info'!O651))</f>
        <v/>
      </c>
      <c r="AR791" s="149" t="str">
        <f t="shared" si="97"/>
        <v/>
      </c>
      <c r="AT791" s="149" t="str">
        <f>IF('Cable Info'!P651="","",CONCATENATE('Cable Info'!P651," - ",'Cable Info'!Q651))</f>
        <v/>
      </c>
      <c r="AW791" s="149" t="str">
        <f t="shared" si="98"/>
        <v/>
      </c>
      <c r="AY791" s="149" t="str">
        <f>IF('Cable Info'!R651="","",CONCATENATE('Cable Info'!R651," - ",'Cable Info'!S651))</f>
        <v/>
      </c>
      <c r="BB791" s="149" t="str">
        <f t="shared" si="99"/>
        <v/>
      </c>
      <c r="BD791" s="149" t="str">
        <f>IF('Cable Info'!T651="","",CONCATENATE('Cable Info'!T651," - ",'Cable Info'!U651))</f>
        <v/>
      </c>
      <c r="BG791" s="149" t="str">
        <f t="shared" si="100"/>
        <v/>
      </c>
      <c r="BI791" s="149" t="str">
        <f>IF('Cable Info'!V651="","",CONCATENATE('Cable Info'!V651," - ",'Cable Info'!W651))</f>
        <v/>
      </c>
      <c r="BL791" s="149" t="str">
        <f t="shared" si="101"/>
        <v/>
      </c>
    </row>
    <row r="792" spans="1:64" x14ac:dyDescent="0.2">
      <c r="A792" s="180"/>
      <c r="B792" s="180"/>
      <c r="C792" s="180"/>
      <c r="D792" s="180"/>
      <c r="E792" s="180"/>
      <c r="F792" s="187"/>
      <c r="G792" s="180"/>
      <c r="H792" s="180"/>
      <c r="I792" s="180"/>
      <c r="J792" s="187"/>
      <c r="K792" s="180"/>
      <c r="L792" s="180"/>
      <c r="M792" s="180"/>
      <c r="N792" s="180"/>
      <c r="O792" s="218"/>
      <c r="P792" s="180"/>
      <c r="Q792" s="188"/>
      <c r="R792" s="180"/>
      <c r="S792" s="180"/>
      <c r="T792" s="180"/>
      <c r="U792" s="180"/>
      <c r="V792" s="180"/>
      <c r="W792" s="180"/>
      <c r="X792" s="201"/>
      <c r="AJ792" s="149" t="str">
        <f>IF('Cable Info'!L652="","",CONCATENATE('Cable Info'!L652," - ",'Cable Info'!M652))</f>
        <v/>
      </c>
      <c r="AM792" s="149" t="str">
        <f t="shared" si="96"/>
        <v/>
      </c>
      <c r="AO792" s="149" t="str">
        <f>IF('Cable Info'!N652="","",CONCATENATE('Cable Info'!N652," - ",'Cable Info'!O652))</f>
        <v/>
      </c>
      <c r="AR792" s="149" t="str">
        <f t="shared" si="97"/>
        <v/>
      </c>
      <c r="AT792" s="149" t="str">
        <f>IF('Cable Info'!P652="","",CONCATENATE('Cable Info'!P652," - ",'Cable Info'!Q652))</f>
        <v/>
      </c>
      <c r="AW792" s="149" t="str">
        <f t="shared" si="98"/>
        <v/>
      </c>
      <c r="AY792" s="149" t="str">
        <f>IF('Cable Info'!R652="","",CONCATENATE('Cable Info'!R652," - ",'Cable Info'!S652))</f>
        <v/>
      </c>
      <c r="BB792" s="149" t="str">
        <f t="shared" si="99"/>
        <v/>
      </c>
      <c r="BD792" s="149" t="str">
        <f>IF('Cable Info'!T652="","",CONCATENATE('Cable Info'!T652," - ",'Cable Info'!U652))</f>
        <v/>
      </c>
      <c r="BG792" s="149" t="str">
        <f t="shared" si="100"/>
        <v/>
      </c>
      <c r="BI792" s="149" t="str">
        <f>IF('Cable Info'!V652="","",CONCATENATE('Cable Info'!V652," - ",'Cable Info'!W652))</f>
        <v/>
      </c>
      <c r="BL792" s="149" t="str">
        <f t="shared" si="101"/>
        <v/>
      </c>
    </row>
    <row r="793" spans="1:64" x14ac:dyDescent="0.2">
      <c r="A793" s="180"/>
      <c r="B793" s="180"/>
      <c r="C793" s="180"/>
      <c r="D793" s="180"/>
      <c r="E793" s="180"/>
      <c r="F793" s="187"/>
      <c r="G793" s="180"/>
      <c r="H793" s="180"/>
      <c r="I793" s="180"/>
      <c r="J793" s="187"/>
      <c r="K793" s="180"/>
      <c r="L793" s="180"/>
      <c r="M793" s="180"/>
      <c r="N793" s="180"/>
      <c r="O793" s="218"/>
      <c r="P793" s="180"/>
      <c r="Q793" s="188"/>
      <c r="R793" s="180"/>
      <c r="S793" s="180"/>
      <c r="T793" s="180"/>
      <c r="U793" s="180"/>
      <c r="V793" s="180"/>
      <c r="W793" s="180"/>
      <c r="X793" s="201"/>
      <c r="AJ793" s="149" t="str">
        <f>IF('Cable Info'!L653="","",CONCATENATE('Cable Info'!L653," - ",'Cable Info'!M653))</f>
        <v/>
      </c>
      <c r="AM793" s="149" t="str">
        <f t="shared" si="96"/>
        <v/>
      </c>
      <c r="AO793" s="149" t="str">
        <f>IF('Cable Info'!N653="","",CONCATENATE('Cable Info'!N653," - ",'Cable Info'!O653))</f>
        <v/>
      </c>
      <c r="AR793" s="149" t="str">
        <f t="shared" si="97"/>
        <v/>
      </c>
      <c r="AT793" s="149" t="str">
        <f>IF('Cable Info'!P653="","",CONCATENATE('Cable Info'!P653," - ",'Cable Info'!Q653))</f>
        <v/>
      </c>
      <c r="AW793" s="149" t="str">
        <f t="shared" si="98"/>
        <v/>
      </c>
      <c r="AY793" s="149" t="str">
        <f>IF('Cable Info'!R653="","",CONCATENATE('Cable Info'!R653," - ",'Cable Info'!S653))</f>
        <v/>
      </c>
      <c r="BB793" s="149" t="str">
        <f t="shared" si="99"/>
        <v/>
      </c>
      <c r="BD793" s="149" t="str">
        <f>IF('Cable Info'!T653="","",CONCATENATE('Cable Info'!T653," - ",'Cable Info'!U653))</f>
        <v/>
      </c>
      <c r="BG793" s="149" t="str">
        <f t="shared" si="100"/>
        <v/>
      </c>
      <c r="BI793" s="149" t="str">
        <f>IF('Cable Info'!V653="","",CONCATENATE('Cable Info'!V653," - ",'Cable Info'!W653))</f>
        <v/>
      </c>
      <c r="BL793" s="149" t="str">
        <f t="shared" si="101"/>
        <v/>
      </c>
    </row>
    <row r="794" spans="1:64" x14ac:dyDescent="0.2">
      <c r="A794" s="180"/>
      <c r="B794" s="180"/>
      <c r="C794" s="180"/>
      <c r="D794" s="180"/>
      <c r="E794" s="180"/>
      <c r="F794" s="187"/>
      <c r="G794" s="180"/>
      <c r="H794" s="180"/>
      <c r="I794" s="180"/>
      <c r="J794" s="187"/>
      <c r="K794" s="180"/>
      <c r="L794" s="180"/>
      <c r="M794" s="180"/>
      <c r="N794" s="180"/>
      <c r="O794" s="218"/>
      <c r="P794" s="180"/>
      <c r="Q794" s="188"/>
      <c r="R794" s="180"/>
      <c r="S794" s="180"/>
      <c r="T794" s="180"/>
      <c r="U794" s="180"/>
      <c r="V794" s="180"/>
      <c r="W794" s="180"/>
      <c r="X794" s="201"/>
      <c r="AJ794" s="149" t="str">
        <f>IF('Cable Info'!L654="","",CONCATENATE('Cable Info'!L654," - ",'Cable Info'!M654))</f>
        <v/>
      </c>
      <c r="AM794" s="149" t="str">
        <f t="shared" si="96"/>
        <v/>
      </c>
      <c r="AO794" s="149" t="str">
        <f>IF('Cable Info'!N654="","",CONCATENATE('Cable Info'!N654," - ",'Cable Info'!O654))</f>
        <v/>
      </c>
      <c r="AR794" s="149" t="str">
        <f t="shared" si="97"/>
        <v/>
      </c>
      <c r="AT794" s="149" t="str">
        <f>IF('Cable Info'!P654="","",CONCATENATE('Cable Info'!P654," - ",'Cable Info'!Q654))</f>
        <v/>
      </c>
      <c r="AW794" s="149" t="str">
        <f t="shared" si="98"/>
        <v/>
      </c>
      <c r="AY794" s="149" t="str">
        <f>IF('Cable Info'!R654="","",CONCATENATE('Cable Info'!R654," - ",'Cable Info'!S654))</f>
        <v/>
      </c>
      <c r="BB794" s="149" t="str">
        <f t="shared" si="99"/>
        <v/>
      </c>
      <c r="BD794" s="149" t="str">
        <f>IF('Cable Info'!T654="","",CONCATENATE('Cable Info'!T654," - ",'Cable Info'!U654))</f>
        <v/>
      </c>
      <c r="BG794" s="149" t="str">
        <f t="shared" si="100"/>
        <v/>
      </c>
      <c r="BI794" s="149" t="str">
        <f>IF('Cable Info'!V654="","",CONCATENATE('Cable Info'!V654," - ",'Cable Info'!W654))</f>
        <v/>
      </c>
      <c r="BL794" s="149" t="str">
        <f t="shared" si="101"/>
        <v/>
      </c>
    </row>
    <row r="795" spans="1:64" x14ac:dyDescent="0.2">
      <c r="A795" s="180"/>
      <c r="B795" s="180"/>
      <c r="C795" s="180"/>
      <c r="D795" s="180"/>
      <c r="E795" s="180"/>
      <c r="F795" s="187"/>
      <c r="G795" s="180"/>
      <c r="H795" s="180"/>
      <c r="I795" s="180"/>
      <c r="J795" s="187"/>
      <c r="K795" s="180"/>
      <c r="L795" s="180"/>
      <c r="M795" s="180"/>
      <c r="N795" s="180"/>
      <c r="O795" s="218"/>
      <c r="P795" s="180"/>
      <c r="Q795" s="188"/>
      <c r="R795" s="180"/>
      <c r="S795" s="180"/>
      <c r="T795" s="180"/>
      <c r="U795" s="180"/>
      <c r="V795" s="180"/>
      <c r="W795" s="180"/>
      <c r="X795" s="201"/>
      <c r="AJ795" s="149" t="str">
        <f>IF('Cable Info'!L655="","",CONCATENATE('Cable Info'!L655," - ",'Cable Info'!M655))</f>
        <v/>
      </c>
      <c r="AM795" s="149" t="str">
        <f t="shared" si="96"/>
        <v/>
      </c>
      <c r="AO795" s="149" t="str">
        <f>IF('Cable Info'!N655="","",CONCATENATE('Cable Info'!N655," - ",'Cable Info'!O655))</f>
        <v/>
      </c>
      <c r="AR795" s="149" t="str">
        <f t="shared" si="97"/>
        <v/>
      </c>
      <c r="AT795" s="149" t="str">
        <f>IF('Cable Info'!P655="","",CONCATENATE('Cable Info'!P655," - ",'Cable Info'!Q655))</f>
        <v/>
      </c>
      <c r="AW795" s="149" t="str">
        <f t="shared" si="98"/>
        <v/>
      </c>
      <c r="AY795" s="149" t="str">
        <f>IF('Cable Info'!R655="","",CONCATENATE('Cable Info'!R655," - ",'Cable Info'!S655))</f>
        <v/>
      </c>
      <c r="BB795" s="149" t="str">
        <f t="shared" si="99"/>
        <v/>
      </c>
      <c r="BD795" s="149" t="str">
        <f>IF('Cable Info'!T655="","",CONCATENATE('Cable Info'!T655," - ",'Cable Info'!U655))</f>
        <v/>
      </c>
      <c r="BG795" s="149" t="str">
        <f t="shared" si="100"/>
        <v/>
      </c>
      <c r="BI795" s="149" t="str">
        <f>IF('Cable Info'!V655="","",CONCATENATE('Cable Info'!V655," - ",'Cable Info'!W655))</f>
        <v/>
      </c>
      <c r="BL795" s="149" t="str">
        <f t="shared" si="101"/>
        <v/>
      </c>
    </row>
    <row r="796" spans="1:64" x14ac:dyDescent="0.2">
      <c r="A796" s="180"/>
      <c r="B796" s="180"/>
      <c r="C796" s="180"/>
      <c r="D796" s="180"/>
      <c r="E796" s="180"/>
      <c r="F796" s="187"/>
      <c r="G796" s="180"/>
      <c r="H796" s="180"/>
      <c r="I796" s="180"/>
      <c r="J796" s="187"/>
      <c r="K796" s="180"/>
      <c r="L796" s="180"/>
      <c r="M796" s="180"/>
      <c r="N796" s="180"/>
      <c r="O796" s="218"/>
      <c r="P796" s="180"/>
      <c r="Q796" s="188"/>
      <c r="R796" s="180"/>
      <c r="S796" s="180"/>
      <c r="T796" s="180"/>
      <c r="U796" s="180"/>
      <c r="V796" s="180"/>
      <c r="W796" s="180"/>
      <c r="X796" s="201"/>
      <c r="AJ796" s="149" t="str">
        <f>IF('Cable Info'!L656="","",CONCATENATE('Cable Info'!L656," - ",'Cable Info'!M656))</f>
        <v/>
      </c>
      <c r="AM796" s="149" t="str">
        <f t="shared" si="96"/>
        <v/>
      </c>
      <c r="AO796" s="149" t="str">
        <f>IF('Cable Info'!N656="","",CONCATENATE('Cable Info'!N656," - ",'Cable Info'!O656))</f>
        <v/>
      </c>
      <c r="AR796" s="149" t="str">
        <f t="shared" si="97"/>
        <v/>
      </c>
      <c r="AT796" s="149" t="str">
        <f>IF('Cable Info'!P656="","",CONCATENATE('Cable Info'!P656," - ",'Cable Info'!Q656))</f>
        <v/>
      </c>
      <c r="AW796" s="149" t="str">
        <f t="shared" si="98"/>
        <v/>
      </c>
      <c r="AY796" s="149" t="str">
        <f>IF('Cable Info'!R656="","",CONCATENATE('Cable Info'!R656," - ",'Cable Info'!S656))</f>
        <v/>
      </c>
      <c r="BB796" s="149" t="str">
        <f t="shared" si="99"/>
        <v/>
      </c>
      <c r="BD796" s="149" t="str">
        <f>IF('Cable Info'!T656="","",CONCATENATE('Cable Info'!T656," - ",'Cable Info'!U656))</f>
        <v/>
      </c>
      <c r="BG796" s="149" t="str">
        <f t="shared" si="100"/>
        <v/>
      </c>
      <c r="BI796" s="149" t="str">
        <f>IF('Cable Info'!V656="","",CONCATENATE('Cable Info'!V656," - ",'Cable Info'!W656))</f>
        <v/>
      </c>
      <c r="BL796" s="149" t="str">
        <f t="shared" si="101"/>
        <v/>
      </c>
    </row>
    <row r="797" spans="1:64" x14ac:dyDescent="0.2">
      <c r="A797" s="180"/>
      <c r="B797" s="180"/>
      <c r="C797" s="180"/>
      <c r="D797" s="180"/>
      <c r="E797" s="180"/>
      <c r="F797" s="187"/>
      <c r="G797" s="180"/>
      <c r="H797" s="180"/>
      <c r="I797" s="180"/>
      <c r="J797" s="187"/>
      <c r="K797" s="180"/>
      <c r="L797" s="180"/>
      <c r="M797" s="180"/>
      <c r="N797" s="180"/>
      <c r="O797" s="218"/>
      <c r="P797" s="180"/>
      <c r="Q797" s="188"/>
      <c r="R797" s="180"/>
      <c r="S797" s="180"/>
      <c r="T797" s="180"/>
      <c r="U797" s="180"/>
      <c r="V797" s="180"/>
      <c r="W797" s="180"/>
      <c r="X797" s="201"/>
      <c r="AJ797" s="149" t="str">
        <f>IF('Cable Info'!L657="","",CONCATENATE('Cable Info'!L657," - ",'Cable Info'!M657))</f>
        <v/>
      </c>
      <c r="AM797" s="149" t="str">
        <f t="shared" si="96"/>
        <v/>
      </c>
      <c r="AO797" s="149" t="str">
        <f>IF('Cable Info'!N657="","",CONCATENATE('Cable Info'!N657," - ",'Cable Info'!O657))</f>
        <v/>
      </c>
      <c r="AR797" s="149" t="str">
        <f t="shared" si="97"/>
        <v/>
      </c>
      <c r="AT797" s="149" t="str">
        <f>IF('Cable Info'!P657="","",CONCATENATE('Cable Info'!P657," - ",'Cable Info'!Q657))</f>
        <v/>
      </c>
      <c r="AW797" s="149" t="str">
        <f t="shared" si="98"/>
        <v/>
      </c>
      <c r="AY797" s="149" t="str">
        <f>IF('Cable Info'!R657="","",CONCATENATE('Cable Info'!R657," - ",'Cable Info'!S657))</f>
        <v/>
      </c>
      <c r="BB797" s="149" t="str">
        <f t="shared" si="99"/>
        <v/>
      </c>
      <c r="BD797" s="149" t="str">
        <f>IF('Cable Info'!T657="","",CONCATENATE('Cable Info'!T657," - ",'Cable Info'!U657))</f>
        <v/>
      </c>
      <c r="BG797" s="149" t="str">
        <f t="shared" si="100"/>
        <v/>
      </c>
      <c r="BI797" s="149" t="str">
        <f>IF('Cable Info'!V657="","",CONCATENATE('Cable Info'!V657," - ",'Cable Info'!W657))</f>
        <v/>
      </c>
      <c r="BL797" s="149" t="str">
        <f t="shared" si="101"/>
        <v/>
      </c>
    </row>
    <row r="798" spans="1:64" x14ac:dyDescent="0.2">
      <c r="A798" s="180"/>
      <c r="B798" s="180"/>
      <c r="C798" s="180"/>
      <c r="D798" s="180"/>
      <c r="E798" s="180"/>
      <c r="F798" s="187"/>
      <c r="G798" s="180"/>
      <c r="H798" s="180"/>
      <c r="I798" s="180"/>
      <c r="J798" s="187"/>
      <c r="K798" s="180"/>
      <c r="L798" s="180"/>
      <c r="M798" s="180"/>
      <c r="N798" s="180"/>
      <c r="O798" s="218"/>
      <c r="P798" s="180"/>
      <c r="Q798" s="188"/>
      <c r="R798" s="180"/>
      <c r="S798" s="180"/>
      <c r="T798" s="180"/>
      <c r="U798" s="180"/>
      <c r="V798" s="180"/>
      <c r="W798" s="180"/>
      <c r="X798" s="201"/>
      <c r="AJ798" s="149" t="str">
        <f>IF('Cable Info'!L658="","",CONCATENATE('Cable Info'!L658," - ",'Cable Info'!M658))</f>
        <v/>
      </c>
      <c r="AM798" s="149" t="str">
        <f t="shared" si="96"/>
        <v/>
      </c>
      <c r="AO798" s="149" t="str">
        <f>IF('Cable Info'!N658="","",CONCATENATE('Cable Info'!N658," - ",'Cable Info'!O658))</f>
        <v/>
      </c>
      <c r="AR798" s="149" t="str">
        <f t="shared" si="97"/>
        <v/>
      </c>
      <c r="AT798" s="149" t="str">
        <f>IF('Cable Info'!P658="","",CONCATENATE('Cable Info'!P658," - ",'Cable Info'!Q658))</f>
        <v/>
      </c>
      <c r="AW798" s="149" t="str">
        <f t="shared" si="98"/>
        <v/>
      </c>
      <c r="AY798" s="149" t="str">
        <f>IF('Cable Info'!R658="","",CONCATENATE('Cable Info'!R658," - ",'Cable Info'!S658))</f>
        <v/>
      </c>
      <c r="BB798" s="149" t="str">
        <f t="shared" si="99"/>
        <v/>
      </c>
      <c r="BD798" s="149" t="str">
        <f>IF('Cable Info'!T658="","",CONCATENATE('Cable Info'!T658," - ",'Cable Info'!U658))</f>
        <v/>
      </c>
      <c r="BG798" s="149" t="str">
        <f t="shared" si="100"/>
        <v/>
      </c>
      <c r="BI798" s="149" t="str">
        <f>IF('Cable Info'!V658="","",CONCATENATE('Cable Info'!V658," - ",'Cable Info'!W658))</f>
        <v/>
      </c>
      <c r="BL798" s="149" t="str">
        <f t="shared" si="101"/>
        <v/>
      </c>
    </row>
    <row r="799" spans="1:64" x14ac:dyDescent="0.2">
      <c r="A799" s="180"/>
      <c r="B799" s="180"/>
      <c r="C799" s="180"/>
      <c r="D799" s="180"/>
      <c r="E799" s="180"/>
      <c r="F799" s="187"/>
      <c r="G799" s="180"/>
      <c r="H799" s="180"/>
      <c r="I799" s="180"/>
      <c r="J799" s="187"/>
      <c r="K799" s="180"/>
      <c r="L799" s="180"/>
      <c r="M799" s="180"/>
      <c r="N799" s="180"/>
      <c r="O799" s="218"/>
      <c r="P799" s="180"/>
      <c r="Q799" s="188"/>
      <c r="R799" s="180"/>
      <c r="S799" s="180"/>
      <c r="T799" s="180"/>
      <c r="U799" s="180"/>
      <c r="V799" s="180"/>
      <c r="W799" s="180"/>
      <c r="X799" s="201"/>
      <c r="AJ799" s="149" t="str">
        <f>IF('Cable Info'!L659="","",CONCATENATE('Cable Info'!L659," - ",'Cable Info'!M659))</f>
        <v/>
      </c>
      <c r="AM799" s="149" t="str">
        <f t="shared" si="96"/>
        <v/>
      </c>
      <c r="AO799" s="149" t="str">
        <f>IF('Cable Info'!N659="","",CONCATENATE('Cable Info'!N659," - ",'Cable Info'!O659))</f>
        <v/>
      </c>
      <c r="AR799" s="149" t="str">
        <f t="shared" si="97"/>
        <v/>
      </c>
      <c r="AT799" s="149" t="str">
        <f>IF('Cable Info'!P659="","",CONCATENATE('Cable Info'!P659," - ",'Cable Info'!Q659))</f>
        <v/>
      </c>
      <c r="AW799" s="149" t="str">
        <f t="shared" si="98"/>
        <v/>
      </c>
      <c r="AY799" s="149" t="str">
        <f>IF('Cable Info'!R659="","",CONCATENATE('Cable Info'!R659," - ",'Cable Info'!S659))</f>
        <v/>
      </c>
      <c r="BB799" s="149" t="str">
        <f t="shared" si="99"/>
        <v/>
      </c>
      <c r="BD799" s="149" t="str">
        <f>IF('Cable Info'!T659="","",CONCATENATE('Cable Info'!T659," - ",'Cable Info'!U659))</f>
        <v/>
      </c>
      <c r="BG799" s="149" t="str">
        <f t="shared" si="100"/>
        <v/>
      </c>
      <c r="BI799" s="149" t="str">
        <f>IF('Cable Info'!V659="","",CONCATENATE('Cable Info'!V659," - ",'Cable Info'!W659))</f>
        <v/>
      </c>
      <c r="BL799" s="149" t="str">
        <f t="shared" si="101"/>
        <v/>
      </c>
    </row>
    <row r="800" spans="1:64" x14ac:dyDescent="0.2">
      <c r="A800" s="180"/>
      <c r="B800" s="180"/>
      <c r="C800" s="180"/>
      <c r="D800" s="180"/>
      <c r="E800" s="180"/>
      <c r="F800" s="187"/>
      <c r="G800" s="180"/>
      <c r="H800" s="180"/>
      <c r="I800" s="180"/>
      <c r="J800" s="187"/>
      <c r="K800" s="180"/>
      <c r="L800" s="180"/>
      <c r="M800" s="180"/>
      <c r="N800" s="180"/>
      <c r="O800" s="218"/>
      <c r="P800" s="180"/>
      <c r="Q800" s="188"/>
      <c r="R800" s="180"/>
      <c r="S800" s="180"/>
      <c r="T800" s="180"/>
      <c r="U800" s="180"/>
      <c r="V800" s="180"/>
      <c r="W800" s="180"/>
      <c r="X800" s="201"/>
      <c r="AJ800" s="149" t="str">
        <f>IF('Cable Info'!L660="","",CONCATENATE('Cable Info'!L660," - ",'Cable Info'!M660))</f>
        <v/>
      </c>
      <c r="AM800" s="149" t="str">
        <f t="shared" si="96"/>
        <v/>
      </c>
      <c r="AO800" s="149" t="str">
        <f>IF('Cable Info'!N660="","",CONCATENATE('Cable Info'!N660," - ",'Cable Info'!O660))</f>
        <v/>
      </c>
      <c r="AR800" s="149" t="str">
        <f t="shared" si="97"/>
        <v/>
      </c>
      <c r="AT800" s="149" t="str">
        <f>IF('Cable Info'!P660="","",CONCATENATE('Cable Info'!P660," - ",'Cable Info'!Q660))</f>
        <v/>
      </c>
      <c r="AW800" s="149" t="str">
        <f t="shared" si="98"/>
        <v/>
      </c>
      <c r="AY800" s="149" t="str">
        <f>IF('Cable Info'!R660="","",CONCATENATE('Cable Info'!R660," - ",'Cable Info'!S660))</f>
        <v/>
      </c>
      <c r="BB800" s="149" t="str">
        <f t="shared" si="99"/>
        <v/>
      </c>
      <c r="BD800" s="149" t="str">
        <f>IF('Cable Info'!T660="","",CONCATENATE('Cable Info'!T660," - ",'Cable Info'!U660))</f>
        <v/>
      </c>
      <c r="BG800" s="149" t="str">
        <f t="shared" si="100"/>
        <v/>
      </c>
      <c r="BI800" s="149" t="str">
        <f>IF('Cable Info'!V660="","",CONCATENATE('Cable Info'!V660," - ",'Cable Info'!W660))</f>
        <v/>
      </c>
      <c r="BL800" s="149" t="str">
        <f t="shared" si="101"/>
        <v/>
      </c>
    </row>
    <row r="801" spans="1:64" x14ac:dyDescent="0.2">
      <c r="A801" s="180"/>
      <c r="B801" s="180"/>
      <c r="C801" s="180"/>
      <c r="D801" s="180"/>
      <c r="E801" s="180"/>
      <c r="F801" s="187"/>
      <c r="G801" s="180"/>
      <c r="H801" s="180"/>
      <c r="I801" s="180"/>
      <c r="J801" s="187"/>
      <c r="K801" s="180"/>
      <c r="L801" s="180"/>
      <c r="M801" s="180"/>
      <c r="N801" s="180"/>
      <c r="O801" s="218"/>
      <c r="P801" s="180"/>
      <c r="Q801" s="188"/>
      <c r="R801" s="180"/>
      <c r="S801" s="180"/>
      <c r="T801" s="180"/>
      <c r="U801" s="180"/>
      <c r="V801" s="180"/>
      <c r="W801" s="180"/>
      <c r="X801" s="201"/>
      <c r="AJ801" s="149" t="str">
        <f>IF('Cable Info'!L661="","",CONCATENATE('Cable Info'!L661," - ",'Cable Info'!M661))</f>
        <v/>
      </c>
      <c r="AM801" s="149" t="str">
        <f t="shared" si="96"/>
        <v/>
      </c>
      <c r="AO801" s="149" t="str">
        <f>IF('Cable Info'!N661="","",CONCATENATE('Cable Info'!N661," - ",'Cable Info'!O661))</f>
        <v/>
      </c>
      <c r="AR801" s="149" t="str">
        <f t="shared" si="97"/>
        <v/>
      </c>
      <c r="AT801" s="149" t="str">
        <f>IF('Cable Info'!P661="","",CONCATENATE('Cable Info'!P661," - ",'Cable Info'!Q661))</f>
        <v/>
      </c>
      <c r="AW801" s="149" t="str">
        <f t="shared" si="98"/>
        <v/>
      </c>
      <c r="AY801" s="149" t="str">
        <f>IF('Cable Info'!R661="","",CONCATENATE('Cable Info'!R661," - ",'Cable Info'!S661))</f>
        <v/>
      </c>
      <c r="BB801" s="149" t="str">
        <f t="shared" si="99"/>
        <v/>
      </c>
      <c r="BD801" s="149" t="str">
        <f>IF('Cable Info'!T661="","",CONCATENATE('Cable Info'!T661," - ",'Cable Info'!U661))</f>
        <v/>
      </c>
      <c r="BG801" s="149" t="str">
        <f t="shared" si="100"/>
        <v/>
      </c>
      <c r="BI801" s="149" t="str">
        <f>IF('Cable Info'!V661="","",CONCATENATE('Cable Info'!V661," - ",'Cable Info'!W661))</f>
        <v/>
      </c>
      <c r="BL801" s="149" t="str">
        <f t="shared" si="101"/>
        <v/>
      </c>
    </row>
    <row r="802" spans="1:64" x14ac:dyDescent="0.2">
      <c r="A802" s="180"/>
      <c r="B802" s="180"/>
      <c r="C802" s="180"/>
      <c r="D802" s="180"/>
      <c r="E802" s="180"/>
      <c r="F802" s="187"/>
      <c r="G802" s="180"/>
      <c r="H802" s="180"/>
      <c r="I802" s="180"/>
      <c r="J802" s="187"/>
      <c r="K802" s="180"/>
      <c r="L802" s="180"/>
      <c r="M802" s="180"/>
      <c r="N802" s="180"/>
      <c r="O802" s="218"/>
      <c r="P802" s="180"/>
      <c r="Q802" s="188"/>
      <c r="R802" s="180"/>
      <c r="S802" s="180"/>
      <c r="T802" s="180"/>
      <c r="U802" s="180"/>
      <c r="V802" s="180"/>
      <c r="W802" s="180"/>
      <c r="X802" s="201"/>
      <c r="AJ802" s="149" t="str">
        <f>IF('Cable Info'!L662="","",CONCATENATE('Cable Info'!L662," - ",'Cable Info'!M662))</f>
        <v/>
      </c>
      <c r="AM802" s="149" t="str">
        <f t="shared" si="96"/>
        <v/>
      </c>
      <c r="AO802" s="149" t="str">
        <f>IF('Cable Info'!N662="","",CONCATENATE('Cable Info'!N662," - ",'Cable Info'!O662))</f>
        <v/>
      </c>
      <c r="AR802" s="149" t="str">
        <f t="shared" si="97"/>
        <v/>
      </c>
      <c r="AT802" s="149" t="str">
        <f>IF('Cable Info'!P662="","",CONCATENATE('Cable Info'!P662," - ",'Cable Info'!Q662))</f>
        <v/>
      </c>
      <c r="AW802" s="149" t="str">
        <f t="shared" si="98"/>
        <v/>
      </c>
      <c r="AY802" s="149" t="str">
        <f>IF('Cable Info'!R662="","",CONCATENATE('Cable Info'!R662," - ",'Cable Info'!S662))</f>
        <v/>
      </c>
      <c r="BB802" s="149" t="str">
        <f t="shared" si="99"/>
        <v/>
      </c>
      <c r="BD802" s="149" t="str">
        <f>IF('Cable Info'!T662="","",CONCATENATE('Cable Info'!T662," - ",'Cable Info'!U662))</f>
        <v/>
      </c>
      <c r="BG802" s="149" t="str">
        <f t="shared" si="100"/>
        <v/>
      </c>
      <c r="BI802" s="149" t="str">
        <f>IF('Cable Info'!V662="","",CONCATENATE('Cable Info'!V662," - ",'Cable Info'!W662))</f>
        <v/>
      </c>
      <c r="BL802" s="149" t="str">
        <f t="shared" si="101"/>
        <v/>
      </c>
    </row>
    <row r="803" spans="1:64" x14ac:dyDescent="0.2">
      <c r="A803" s="180"/>
      <c r="B803" s="180"/>
      <c r="C803" s="180"/>
      <c r="D803" s="180"/>
      <c r="E803" s="180"/>
      <c r="F803" s="187"/>
      <c r="G803" s="180"/>
      <c r="H803" s="180"/>
      <c r="I803" s="180"/>
      <c r="J803" s="187"/>
      <c r="K803" s="180"/>
      <c r="L803" s="180"/>
      <c r="M803" s="180"/>
      <c r="N803" s="180"/>
      <c r="O803" s="218"/>
      <c r="P803" s="180"/>
      <c r="Q803" s="188"/>
      <c r="R803" s="180"/>
      <c r="S803" s="180"/>
      <c r="T803" s="180"/>
      <c r="U803" s="180"/>
      <c r="V803" s="180"/>
      <c r="W803" s="180"/>
      <c r="X803" s="201"/>
      <c r="AJ803" s="149" t="str">
        <f>IF('Cable Info'!L663="","",CONCATENATE('Cable Info'!L663," - ",'Cable Info'!M663))</f>
        <v/>
      </c>
      <c r="AM803" s="149" t="str">
        <f t="shared" si="96"/>
        <v/>
      </c>
      <c r="AO803" s="149" t="str">
        <f>IF('Cable Info'!N663="","",CONCATENATE('Cable Info'!N663," - ",'Cable Info'!O663))</f>
        <v/>
      </c>
      <c r="AR803" s="149" t="str">
        <f t="shared" si="97"/>
        <v/>
      </c>
      <c r="AT803" s="149" t="str">
        <f>IF('Cable Info'!P663="","",CONCATENATE('Cable Info'!P663," - ",'Cable Info'!Q663))</f>
        <v/>
      </c>
      <c r="AW803" s="149" t="str">
        <f t="shared" si="98"/>
        <v/>
      </c>
      <c r="AY803" s="149" t="str">
        <f>IF('Cable Info'!R663="","",CONCATENATE('Cable Info'!R663," - ",'Cable Info'!S663))</f>
        <v/>
      </c>
      <c r="BB803" s="149" t="str">
        <f t="shared" si="99"/>
        <v/>
      </c>
      <c r="BD803" s="149" t="str">
        <f>IF('Cable Info'!T663="","",CONCATENATE('Cable Info'!T663," - ",'Cable Info'!U663))</f>
        <v/>
      </c>
      <c r="BG803" s="149" t="str">
        <f t="shared" si="100"/>
        <v/>
      </c>
      <c r="BI803" s="149" t="str">
        <f>IF('Cable Info'!V663="","",CONCATENATE('Cable Info'!V663," - ",'Cable Info'!W663))</f>
        <v/>
      </c>
      <c r="BL803" s="149" t="str">
        <f t="shared" si="101"/>
        <v/>
      </c>
    </row>
    <row r="804" spans="1:64" x14ac:dyDescent="0.2">
      <c r="A804" s="180"/>
      <c r="B804" s="180"/>
      <c r="C804" s="180"/>
      <c r="D804" s="180"/>
      <c r="E804" s="180"/>
      <c r="F804" s="187"/>
      <c r="G804" s="180"/>
      <c r="H804" s="180"/>
      <c r="I804" s="180"/>
      <c r="J804" s="187"/>
      <c r="K804" s="180"/>
      <c r="L804" s="180"/>
      <c r="M804" s="180"/>
      <c r="N804" s="180"/>
      <c r="O804" s="218"/>
      <c r="P804" s="180"/>
      <c r="Q804" s="188"/>
      <c r="R804" s="180"/>
      <c r="S804" s="180"/>
      <c r="T804" s="180"/>
      <c r="U804" s="180"/>
      <c r="V804" s="180"/>
      <c r="W804" s="180"/>
      <c r="X804" s="201"/>
      <c r="AJ804" s="149" t="str">
        <f>IF('Cable Info'!L664="","",CONCATENATE('Cable Info'!L664," - ",'Cable Info'!M664))</f>
        <v/>
      </c>
      <c r="AM804" s="149" t="str">
        <f t="shared" si="96"/>
        <v/>
      </c>
      <c r="AO804" s="149" t="str">
        <f>IF('Cable Info'!N664="","",CONCATENATE('Cable Info'!N664," - ",'Cable Info'!O664))</f>
        <v/>
      </c>
      <c r="AR804" s="149" t="str">
        <f t="shared" si="97"/>
        <v/>
      </c>
      <c r="AT804" s="149" t="str">
        <f>IF('Cable Info'!P664="","",CONCATENATE('Cable Info'!P664," - ",'Cable Info'!Q664))</f>
        <v/>
      </c>
      <c r="AW804" s="149" t="str">
        <f t="shared" si="98"/>
        <v/>
      </c>
      <c r="AY804" s="149" t="str">
        <f>IF('Cable Info'!R664="","",CONCATENATE('Cable Info'!R664," - ",'Cable Info'!S664))</f>
        <v/>
      </c>
      <c r="BB804" s="149" t="str">
        <f t="shared" si="99"/>
        <v/>
      </c>
      <c r="BD804" s="149" t="str">
        <f>IF('Cable Info'!T664="","",CONCATENATE('Cable Info'!T664," - ",'Cable Info'!U664))</f>
        <v/>
      </c>
      <c r="BG804" s="149" t="str">
        <f t="shared" si="100"/>
        <v/>
      </c>
      <c r="BI804" s="149" t="str">
        <f>IF('Cable Info'!V664="","",CONCATENATE('Cable Info'!V664," - ",'Cable Info'!W664))</f>
        <v/>
      </c>
      <c r="BL804" s="149" t="str">
        <f t="shared" si="101"/>
        <v/>
      </c>
    </row>
    <row r="805" spans="1:64" x14ac:dyDescent="0.2">
      <c r="A805" s="180"/>
      <c r="B805" s="180"/>
      <c r="C805" s="180"/>
      <c r="D805" s="180"/>
      <c r="E805" s="180"/>
      <c r="F805" s="187"/>
      <c r="G805" s="180"/>
      <c r="H805" s="180"/>
      <c r="I805" s="180"/>
      <c r="J805" s="187"/>
      <c r="K805" s="180"/>
      <c r="L805" s="180"/>
      <c r="M805" s="180"/>
      <c r="N805" s="180"/>
      <c r="O805" s="218"/>
      <c r="P805" s="180"/>
      <c r="Q805" s="188"/>
      <c r="R805" s="180"/>
      <c r="S805" s="180"/>
      <c r="T805" s="180"/>
      <c r="U805" s="180"/>
      <c r="V805" s="180"/>
      <c r="W805" s="180"/>
      <c r="X805" s="201"/>
      <c r="AJ805" s="149" t="str">
        <f>IF('Cable Info'!L665="","",CONCATENATE('Cable Info'!L665," - ",'Cable Info'!M665))</f>
        <v/>
      </c>
      <c r="AM805" s="149" t="str">
        <f t="shared" si="96"/>
        <v/>
      </c>
      <c r="AO805" s="149" t="str">
        <f>IF('Cable Info'!N665="","",CONCATENATE('Cable Info'!N665," - ",'Cable Info'!O665))</f>
        <v/>
      </c>
      <c r="AR805" s="149" t="str">
        <f t="shared" si="97"/>
        <v/>
      </c>
      <c r="AT805" s="149" t="str">
        <f>IF('Cable Info'!P665="","",CONCATENATE('Cable Info'!P665," - ",'Cable Info'!Q665))</f>
        <v/>
      </c>
      <c r="AW805" s="149" t="str">
        <f t="shared" si="98"/>
        <v/>
      </c>
      <c r="AY805" s="149" t="str">
        <f>IF('Cable Info'!R665="","",CONCATENATE('Cable Info'!R665," - ",'Cable Info'!S665))</f>
        <v/>
      </c>
      <c r="BB805" s="149" t="str">
        <f t="shared" si="99"/>
        <v/>
      </c>
      <c r="BD805" s="149" t="str">
        <f>IF('Cable Info'!T665="","",CONCATENATE('Cable Info'!T665," - ",'Cable Info'!U665))</f>
        <v/>
      </c>
      <c r="BG805" s="149" t="str">
        <f t="shared" si="100"/>
        <v/>
      </c>
      <c r="BI805" s="149" t="str">
        <f>IF('Cable Info'!V665="","",CONCATENATE('Cable Info'!V665," - ",'Cable Info'!W665))</f>
        <v/>
      </c>
      <c r="BL805" s="149" t="str">
        <f t="shared" si="101"/>
        <v/>
      </c>
    </row>
    <row r="806" spans="1:64" x14ac:dyDescent="0.2">
      <c r="A806" s="180"/>
      <c r="B806" s="180"/>
      <c r="C806" s="180"/>
      <c r="D806" s="180"/>
      <c r="E806" s="180"/>
      <c r="F806" s="187"/>
      <c r="G806" s="180"/>
      <c r="H806" s="180"/>
      <c r="I806" s="180"/>
      <c r="J806" s="187"/>
      <c r="K806" s="180"/>
      <c r="L806" s="180"/>
      <c r="M806" s="180"/>
      <c r="N806" s="180"/>
      <c r="O806" s="218"/>
      <c r="P806" s="180"/>
      <c r="Q806" s="188"/>
      <c r="R806" s="180"/>
      <c r="S806" s="180"/>
      <c r="T806" s="180"/>
      <c r="U806" s="180"/>
      <c r="V806" s="180"/>
      <c r="W806" s="180"/>
      <c r="X806" s="201"/>
      <c r="AJ806" s="149" t="str">
        <f>IF('Cable Info'!L666="","",CONCATENATE('Cable Info'!L666," - ",'Cable Info'!M666))</f>
        <v/>
      </c>
      <c r="AM806" s="149" t="str">
        <f t="shared" si="96"/>
        <v/>
      </c>
      <c r="AO806" s="149" t="str">
        <f>IF('Cable Info'!N666="","",CONCATENATE('Cable Info'!N666," - ",'Cable Info'!O666))</f>
        <v/>
      </c>
      <c r="AR806" s="149" t="str">
        <f t="shared" si="97"/>
        <v/>
      </c>
      <c r="AT806" s="149" t="str">
        <f>IF('Cable Info'!P666="","",CONCATENATE('Cable Info'!P666," - ",'Cable Info'!Q666))</f>
        <v/>
      </c>
      <c r="AW806" s="149" t="str">
        <f t="shared" si="98"/>
        <v/>
      </c>
      <c r="AY806" s="149" t="str">
        <f>IF('Cable Info'!R666="","",CONCATENATE('Cable Info'!R666," - ",'Cable Info'!S666))</f>
        <v/>
      </c>
      <c r="BB806" s="149" t="str">
        <f t="shared" si="99"/>
        <v/>
      </c>
      <c r="BD806" s="149" t="str">
        <f>IF('Cable Info'!T666="","",CONCATENATE('Cable Info'!T666," - ",'Cable Info'!U666))</f>
        <v/>
      </c>
      <c r="BG806" s="149" t="str">
        <f t="shared" si="100"/>
        <v/>
      </c>
      <c r="BI806" s="149" t="str">
        <f>IF('Cable Info'!V666="","",CONCATENATE('Cable Info'!V666," - ",'Cable Info'!W666))</f>
        <v/>
      </c>
      <c r="BL806" s="149" t="str">
        <f t="shared" si="101"/>
        <v/>
      </c>
    </row>
    <row r="807" spans="1:64" x14ac:dyDescent="0.2">
      <c r="A807" s="180"/>
      <c r="B807" s="180"/>
      <c r="C807" s="180"/>
      <c r="D807" s="180"/>
      <c r="E807" s="180"/>
      <c r="F807" s="187"/>
      <c r="G807" s="180"/>
      <c r="H807" s="180"/>
      <c r="I807" s="180"/>
      <c r="J807" s="187"/>
      <c r="K807" s="180"/>
      <c r="L807" s="180"/>
      <c r="M807" s="180"/>
      <c r="N807" s="180"/>
      <c r="O807" s="218"/>
      <c r="P807" s="180"/>
      <c r="Q807" s="188"/>
      <c r="R807" s="180"/>
      <c r="S807" s="180"/>
      <c r="T807" s="180"/>
      <c r="U807" s="180"/>
      <c r="V807" s="180"/>
      <c r="W807" s="180"/>
      <c r="X807" s="201"/>
      <c r="AJ807" s="149" t="str">
        <f>IF('Cable Info'!L667="","",CONCATENATE('Cable Info'!L667," - ",'Cable Info'!M667))</f>
        <v/>
      </c>
      <c r="AM807" s="149" t="str">
        <f t="shared" si="96"/>
        <v/>
      </c>
      <c r="AO807" s="149" t="str">
        <f>IF('Cable Info'!N667="","",CONCATENATE('Cable Info'!N667," - ",'Cable Info'!O667))</f>
        <v/>
      </c>
      <c r="AR807" s="149" t="str">
        <f t="shared" si="97"/>
        <v/>
      </c>
      <c r="AT807" s="149" t="str">
        <f>IF('Cable Info'!P667="","",CONCATENATE('Cable Info'!P667," - ",'Cable Info'!Q667))</f>
        <v/>
      </c>
      <c r="AW807" s="149" t="str">
        <f t="shared" si="98"/>
        <v/>
      </c>
      <c r="AY807" s="149" t="str">
        <f>IF('Cable Info'!R667="","",CONCATENATE('Cable Info'!R667," - ",'Cable Info'!S667))</f>
        <v/>
      </c>
      <c r="BB807" s="149" t="str">
        <f t="shared" si="99"/>
        <v/>
      </c>
      <c r="BD807" s="149" t="str">
        <f>IF('Cable Info'!T667="","",CONCATENATE('Cable Info'!T667," - ",'Cable Info'!U667))</f>
        <v/>
      </c>
      <c r="BG807" s="149" t="str">
        <f t="shared" si="100"/>
        <v/>
      </c>
      <c r="BI807" s="149" t="str">
        <f>IF('Cable Info'!V667="","",CONCATENATE('Cable Info'!V667," - ",'Cable Info'!W667))</f>
        <v/>
      </c>
      <c r="BL807" s="149" t="str">
        <f t="shared" si="101"/>
        <v/>
      </c>
    </row>
    <row r="808" spans="1:64" x14ac:dyDescent="0.2">
      <c r="A808" s="180"/>
      <c r="B808" s="180"/>
      <c r="C808" s="180"/>
      <c r="D808" s="180"/>
      <c r="E808" s="180"/>
      <c r="F808" s="187"/>
      <c r="G808" s="180"/>
      <c r="H808" s="180"/>
      <c r="I808" s="180"/>
      <c r="J808" s="187"/>
      <c r="K808" s="180"/>
      <c r="L808" s="180"/>
      <c r="M808" s="180"/>
      <c r="N808" s="180"/>
      <c r="O808" s="218"/>
      <c r="P808" s="180"/>
      <c r="Q808" s="188"/>
      <c r="R808" s="180"/>
      <c r="S808" s="180"/>
      <c r="T808" s="180"/>
      <c r="U808" s="180"/>
      <c r="V808" s="180"/>
      <c r="W808" s="180"/>
      <c r="X808" s="201"/>
      <c r="AJ808" s="149" t="str">
        <f>IF('Cable Info'!L668="","",CONCATENATE('Cable Info'!L668," - ",'Cable Info'!M668))</f>
        <v/>
      </c>
      <c r="AM808" s="149" t="str">
        <f t="shared" si="96"/>
        <v/>
      </c>
      <c r="AO808" s="149" t="str">
        <f>IF('Cable Info'!N668="","",CONCATENATE('Cable Info'!N668," - ",'Cable Info'!O668))</f>
        <v/>
      </c>
      <c r="AR808" s="149" t="str">
        <f t="shared" si="97"/>
        <v/>
      </c>
      <c r="AT808" s="149" t="str">
        <f>IF('Cable Info'!P668="","",CONCATENATE('Cable Info'!P668," - ",'Cable Info'!Q668))</f>
        <v/>
      </c>
      <c r="AW808" s="149" t="str">
        <f t="shared" si="98"/>
        <v/>
      </c>
      <c r="AY808" s="149" t="str">
        <f>IF('Cable Info'!R668="","",CONCATENATE('Cable Info'!R668," - ",'Cable Info'!S668))</f>
        <v/>
      </c>
      <c r="BB808" s="149" t="str">
        <f t="shared" si="99"/>
        <v/>
      </c>
      <c r="BD808" s="149" t="str">
        <f>IF('Cable Info'!T668="","",CONCATENATE('Cable Info'!T668," - ",'Cable Info'!U668))</f>
        <v/>
      </c>
      <c r="BG808" s="149" t="str">
        <f t="shared" si="100"/>
        <v/>
      </c>
      <c r="BI808" s="149" t="str">
        <f>IF('Cable Info'!V668="","",CONCATENATE('Cable Info'!V668," - ",'Cable Info'!W668))</f>
        <v/>
      </c>
      <c r="BL808" s="149" t="str">
        <f t="shared" si="101"/>
        <v/>
      </c>
    </row>
    <row r="809" spans="1:64" x14ac:dyDescent="0.2">
      <c r="A809" s="180"/>
      <c r="B809" s="180"/>
      <c r="C809" s="180"/>
      <c r="D809" s="180"/>
      <c r="E809" s="180"/>
      <c r="F809" s="187"/>
      <c r="G809" s="180"/>
      <c r="H809" s="180"/>
      <c r="I809" s="180"/>
      <c r="J809" s="187"/>
      <c r="K809" s="180"/>
      <c r="L809" s="180"/>
      <c r="M809" s="180"/>
      <c r="N809" s="180"/>
      <c r="O809" s="218"/>
      <c r="P809" s="180"/>
      <c r="Q809" s="188"/>
      <c r="R809" s="180"/>
      <c r="S809" s="180"/>
      <c r="T809" s="180"/>
      <c r="U809" s="180"/>
      <c r="V809" s="180"/>
      <c r="W809" s="180"/>
      <c r="X809" s="201"/>
      <c r="AJ809" s="149" t="str">
        <f>IF('Cable Info'!L669="","",CONCATENATE('Cable Info'!L669," - ",'Cable Info'!M669))</f>
        <v/>
      </c>
      <c r="AM809" s="149" t="str">
        <f t="shared" si="96"/>
        <v/>
      </c>
      <c r="AO809" s="149" t="str">
        <f>IF('Cable Info'!N669="","",CONCATENATE('Cable Info'!N669," - ",'Cable Info'!O669))</f>
        <v/>
      </c>
      <c r="AR809" s="149" t="str">
        <f t="shared" si="97"/>
        <v/>
      </c>
      <c r="AT809" s="149" t="str">
        <f>IF('Cable Info'!P669="","",CONCATENATE('Cable Info'!P669," - ",'Cable Info'!Q669))</f>
        <v/>
      </c>
      <c r="AW809" s="149" t="str">
        <f t="shared" si="98"/>
        <v/>
      </c>
      <c r="AY809" s="149" t="str">
        <f>IF('Cable Info'!R669="","",CONCATENATE('Cable Info'!R669," - ",'Cable Info'!S669))</f>
        <v/>
      </c>
      <c r="BB809" s="149" t="str">
        <f t="shared" si="99"/>
        <v/>
      </c>
      <c r="BD809" s="149" t="str">
        <f>IF('Cable Info'!T669="","",CONCATENATE('Cable Info'!T669," - ",'Cable Info'!U669))</f>
        <v/>
      </c>
      <c r="BG809" s="149" t="str">
        <f t="shared" si="100"/>
        <v/>
      </c>
      <c r="BI809" s="149" t="str">
        <f>IF('Cable Info'!V669="","",CONCATENATE('Cable Info'!V669," - ",'Cable Info'!W669))</f>
        <v/>
      </c>
      <c r="BL809" s="149" t="str">
        <f t="shared" si="101"/>
        <v/>
      </c>
    </row>
    <row r="810" spans="1:64" x14ac:dyDescent="0.2">
      <c r="A810" s="180"/>
      <c r="B810" s="180"/>
      <c r="C810" s="180"/>
      <c r="D810" s="180"/>
      <c r="E810" s="180"/>
      <c r="F810" s="187"/>
      <c r="G810" s="180"/>
      <c r="H810" s="180"/>
      <c r="I810" s="180"/>
      <c r="J810" s="187"/>
      <c r="K810" s="180"/>
      <c r="L810" s="180"/>
      <c r="M810" s="180"/>
      <c r="N810" s="180"/>
      <c r="O810" s="218"/>
      <c r="P810" s="180"/>
      <c r="Q810" s="188"/>
      <c r="R810" s="180"/>
      <c r="S810" s="180"/>
      <c r="T810" s="180"/>
      <c r="U810" s="180"/>
      <c r="V810" s="180"/>
      <c r="W810" s="180"/>
      <c r="X810" s="201"/>
      <c r="AJ810" s="149" t="str">
        <f>IF('Cable Info'!L670="","",CONCATENATE('Cable Info'!L670," - ",'Cable Info'!M670))</f>
        <v/>
      </c>
      <c r="AM810" s="149" t="str">
        <f t="shared" si="96"/>
        <v/>
      </c>
      <c r="AO810" s="149" t="str">
        <f>IF('Cable Info'!N670="","",CONCATENATE('Cable Info'!N670," - ",'Cable Info'!O670))</f>
        <v/>
      </c>
      <c r="AR810" s="149" t="str">
        <f t="shared" si="97"/>
        <v/>
      </c>
      <c r="AT810" s="149" t="str">
        <f>IF('Cable Info'!P670="","",CONCATENATE('Cable Info'!P670," - ",'Cable Info'!Q670))</f>
        <v/>
      </c>
      <c r="AW810" s="149" t="str">
        <f t="shared" si="98"/>
        <v/>
      </c>
      <c r="AY810" s="149" t="str">
        <f>IF('Cable Info'!R670="","",CONCATENATE('Cable Info'!R670," - ",'Cable Info'!S670))</f>
        <v/>
      </c>
      <c r="BB810" s="149" t="str">
        <f t="shared" si="99"/>
        <v/>
      </c>
      <c r="BD810" s="149" t="str">
        <f>IF('Cable Info'!T670="","",CONCATENATE('Cable Info'!T670," - ",'Cable Info'!U670))</f>
        <v/>
      </c>
      <c r="BG810" s="149" t="str">
        <f t="shared" si="100"/>
        <v/>
      </c>
      <c r="BI810" s="149" t="str">
        <f>IF('Cable Info'!V670="","",CONCATENATE('Cable Info'!V670," - ",'Cable Info'!W670))</f>
        <v/>
      </c>
      <c r="BL810" s="149" t="str">
        <f t="shared" si="101"/>
        <v/>
      </c>
    </row>
    <row r="811" spans="1:64" x14ac:dyDescent="0.2">
      <c r="A811" s="180"/>
      <c r="B811" s="180"/>
      <c r="C811" s="180"/>
      <c r="D811" s="180"/>
      <c r="E811" s="180"/>
      <c r="F811" s="187"/>
      <c r="G811" s="180"/>
      <c r="H811" s="180"/>
      <c r="I811" s="180"/>
      <c r="J811" s="187"/>
      <c r="K811" s="180"/>
      <c r="L811" s="180"/>
      <c r="M811" s="180"/>
      <c r="N811" s="180"/>
      <c r="O811" s="218"/>
      <c r="P811" s="180"/>
      <c r="Q811" s="188"/>
      <c r="R811" s="180"/>
      <c r="S811" s="180"/>
      <c r="T811" s="180"/>
      <c r="U811" s="180"/>
      <c r="V811" s="180"/>
      <c r="W811" s="180"/>
      <c r="X811" s="201"/>
      <c r="AJ811" s="149" t="str">
        <f>IF('Cable Info'!L671="","",CONCATENATE('Cable Info'!L671," - ",'Cable Info'!M671))</f>
        <v/>
      </c>
      <c r="AM811" s="149" t="str">
        <f t="shared" si="96"/>
        <v/>
      </c>
      <c r="AO811" s="149" t="str">
        <f>IF('Cable Info'!N671="","",CONCATENATE('Cable Info'!N671," - ",'Cable Info'!O671))</f>
        <v/>
      </c>
      <c r="AR811" s="149" t="str">
        <f t="shared" si="97"/>
        <v/>
      </c>
      <c r="AT811" s="149" t="str">
        <f>IF('Cable Info'!P671="","",CONCATENATE('Cable Info'!P671," - ",'Cable Info'!Q671))</f>
        <v/>
      </c>
      <c r="AW811" s="149" t="str">
        <f t="shared" si="98"/>
        <v/>
      </c>
      <c r="AY811" s="149" t="str">
        <f>IF('Cable Info'!R671="","",CONCATENATE('Cable Info'!R671," - ",'Cable Info'!S671))</f>
        <v/>
      </c>
      <c r="BB811" s="149" t="str">
        <f t="shared" si="99"/>
        <v/>
      </c>
      <c r="BD811" s="149" t="str">
        <f>IF('Cable Info'!T671="","",CONCATENATE('Cable Info'!T671," - ",'Cable Info'!U671))</f>
        <v/>
      </c>
      <c r="BG811" s="149" t="str">
        <f t="shared" si="100"/>
        <v/>
      </c>
      <c r="BI811" s="149" t="str">
        <f>IF('Cable Info'!V671="","",CONCATENATE('Cable Info'!V671," - ",'Cable Info'!W671))</f>
        <v/>
      </c>
      <c r="BL811" s="149" t="str">
        <f t="shared" si="101"/>
        <v/>
      </c>
    </row>
    <row r="812" spans="1:64" x14ac:dyDescent="0.2">
      <c r="A812" s="180"/>
      <c r="B812" s="180"/>
      <c r="C812" s="180"/>
      <c r="D812" s="180"/>
      <c r="E812" s="180"/>
      <c r="F812" s="187"/>
      <c r="G812" s="180"/>
      <c r="H812" s="180"/>
      <c r="I812" s="180"/>
      <c r="J812" s="187"/>
      <c r="K812" s="180"/>
      <c r="L812" s="180"/>
      <c r="M812" s="180"/>
      <c r="N812" s="180"/>
      <c r="O812" s="218"/>
      <c r="P812" s="180"/>
      <c r="Q812" s="188"/>
      <c r="R812" s="180"/>
      <c r="S812" s="180"/>
      <c r="T812" s="180"/>
      <c r="U812" s="180"/>
      <c r="V812" s="180"/>
      <c r="W812" s="180"/>
      <c r="X812" s="201"/>
      <c r="AJ812" s="149" t="str">
        <f>IF('Cable Info'!L672="","",CONCATENATE('Cable Info'!L672," - ",'Cable Info'!M672))</f>
        <v/>
      </c>
      <c r="AM812" s="149" t="str">
        <f t="shared" si="96"/>
        <v/>
      </c>
      <c r="AO812" s="149" t="str">
        <f>IF('Cable Info'!N672="","",CONCATENATE('Cable Info'!N672," - ",'Cable Info'!O672))</f>
        <v/>
      </c>
      <c r="AR812" s="149" t="str">
        <f t="shared" si="97"/>
        <v/>
      </c>
      <c r="AT812" s="149" t="str">
        <f>IF('Cable Info'!P672="","",CONCATENATE('Cable Info'!P672," - ",'Cable Info'!Q672))</f>
        <v/>
      </c>
      <c r="AW812" s="149" t="str">
        <f t="shared" si="98"/>
        <v/>
      </c>
      <c r="AY812" s="149" t="str">
        <f>IF('Cable Info'!R672="","",CONCATENATE('Cable Info'!R672," - ",'Cable Info'!S672))</f>
        <v/>
      </c>
      <c r="BB812" s="149" t="str">
        <f t="shared" si="99"/>
        <v/>
      </c>
      <c r="BD812" s="149" t="str">
        <f>IF('Cable Info'!T672="","",CONCATENATE('Cable Info'!T672," - ",'Cable Info'!U672))</f>
        <v/>
      </c>
      <c r="BG812" s="149" t="str">
        <f t="shared" si="100"/>
        <v/>
      </c>
      <c r="BI812" s="149" t="str">
        <f>IF('Cable Info'!V672="","",CONCATENATE('Cable Info'!V672," - ",'Cable Info'!W672))</f>
        <v/>
      </c>
      <c r="BL812" s="149" t="str">
        <f t="shared" si="101"/>
        <v/>
      </c>
    </row>
    <row r="813" spans="1:64" x14ac:dyDescent="0.2">
      <c r="A813" s="180"/>
      <c r="B813" s="180"/>
      <c r="C813" s="180"/>
      <c r="D813" s="180"/>
      <c r="E813" s="180"/>
      <c r="F813" s="187"/>
      <c r="G813" s="180"/>
      <c r="H813" s="180"/>
      <c r="I813" s="180"/>
      <c r="J813" s="187"/>
      <c r="K813" s="180"/>
      <c r="L813" s="180"/>
      <c r="M813" s="180"/>
      <c r="N813" s="180"/>
      <c r="O813" s="218"/>
      <c r="P813" s="180"/>
      <c r="Q813" s="188"/>
      <c r="R813" s="180"/>
      <c r="S813" s="180"/>
      <c r="T813" s="180"/>
      <c r="U813" s="180"/>
      <c r="V813" s="180"/>
      <c r="W813" s="180"/>
      <c r="X813" s="201"/>
      <c r="AJ813" s="149" t="str">
        <f>IF('Cable Info'!L673="","",CONCATENATE('Cable Info'!L673," - ",'Cable Info'!M673))</f>
        <v/>
      </c>
      <c r="AM813" s="149" t="str">
        <f t="shared" si="96"/>
        <v/>
      </c>
      <c r="AO813" s="149" t="str">
        <f>IF('Cable Info'!N673="","",CONCATENATE('Cable Info'!N673," - ",'Cable Info'!O673))</f>
        <v/>
      </c>
      <c r="AR813" s="149" t="str">
        <f t="shared" si="97"/>
        <v/>
      </c>
      <c r="AT813" s="149" t="str">
        <f>IF('Cable Info'!P673="","",CONCATENATE('Cable Info'!P673," - ",'Cable Info'!Q673))</f>
        <v/>
      </c>
      <c r="AW813" s="149" t="str">
        <f t="shared" si="98"/>
        <v/>
      </c>
      <c r="AY813" s="149" t="str">
        <f>IF('Cable Info'!R673="","",CONCATENATE('Cable Info'!R673," - ",'Cable Info'!S673))</f>
        <v/>
      </c>
      <c r="BB813" s="149" t="str">
        <f t="shared" si="99"/>
        <v/>
      </c>
      <c r="BD813" s="149" t="str">
        <f>IF('Cable Info'!T673="","",CONCATENATE('Cable Info'!T673," - ",'Cable Info'!U673))</f>
        <v/>
      </c>
      <c r="BG813" s="149" t="str">
        <f t="shared" si="100"/>
        <v/>
      </c>
      <c r="BI813" s="149" t="str">
        <f>IF('Cable Info'!V673="","",CONCATENATE('Cable Info'!V673," - ",'Cable Info'!W673))</f>
        <v/>
      </c>
      <c r="BL813" s="149" t="str">
        <f t="shared" si="101"/>
        <v/>
      </c>
    </row>
    <row r="814" spans="1:64" x14ac:dyDescent="0.2">
      <c r="A814" s="180"/>
      <c r="B814" s="180"/>
      <c r="C814" s="180"/>
      <c r="D814" s="180"/>
      <c r="E814" s="180"/>
      <c r="F814" s="187"/>
      <c r="G814" s="180"/>
      <c r="H814" s="180"/>
      <c r="I814" s="180"/>
      <c r="J814" s="187"/>
      <c r="K814" s="180"/>
      <c r="L814" s="180"/>
      <c r="M814" s="180"/>
      <c r="N814" s="180"/>
      <c r="O814" s="218"/>
      <c r="P814" s="180"/>
      <c r="Q814" s="188"/>
      <c r="R814" s="180"/>
      <c r="S814" s="180"/>
      <c r="T814" s="180"/>
      <c r="U814" s="180"/>
      <c r="V814" s="180"/>
      <c r="W814" s="180"/>
      <c r="X814" s="201"/>
      <c r="AJ814" s="149" t="str">
        <f>IF('Cable Info'!L674="","",CONCATENATE('Cable Info'!L674," - ",'Cable Info'!M674))</f>
        <v/>
      </c>
      <c r="AM814" s="149" t="str">
        <f t="shared" si="96"/>
        <v/>
      </c>
      <c r="AO814" s="149" t="str">
        <f>IF('Cable Info'!N674="","",CONCATENATE('Cable Info'!N674," - ",'Cable Info'!O674))</f>
        <v/>
      </c>
      <c r="AR814" s="149" t="str">
        <f t="shared" si="97"/>
        <v/>
      </c>
      <c r="AT814" s="149" t="str">
        <f>IF('Cable Info'!P674="","",CONCATENATE('Cable Info'!P674," - ",'Cable Info'!Q674))</f>
        <v/>
      </c>
      <c r="AW814" s="149" t="str">
        <f t="shared" si="98"/>
        <v/>
      </c>
      <c r="AY814" s="149" t="str">
        <f>IF('Cable Info'!R674="","",CONCATENATE('Cable Info'!R674," - ",'Cable Info'!S674))</f>
        <v/>
      </c>
      <c r="BB814" s="149" t="str">
        <f t="shared" si="99"/>
        <v/>
      </c>
      <c r="BD814" s="149" t="str">
        <f>IF('Cable Info'!T674="","",CONCATENATE('Cable Info'!T674," - ",'Cable Info'!U674))</f>
        <v/>
      </c>
      <c r="BG814" s="149" t="str">
        <f t="shared" si="100"/>
        <v/>
      </c>
      <c r="BI814" s="149" t="str">
        <f>IF('Cable Info'!V674="","",CONCATENATE('Cable Info'!V674," - ",'Cable Info'!W674))</f>
        <v/>
      </c>
      <c r="BL814" s="149" t="str">
        <f t="shared" si="101"/>
        <v/>
      </c>
    </row>
    <row r="815" spans="1:64" x14ac:dyDescent="0.2">
      <c r="A815" s="180"/>
      <c r="B815" s="180"/>
      <c r="C815" s="180"/>
      <c r="D815" s="180"/>
      <c r="E815" s="180"/>
      <c r="F815" s="187"/>
      <c r="G815" s="180"/>
      <c r="H815" s="180"/>
      <c r="I815" s="180"/>
      <c r="J815" s="187"/>
      <c r="K815" s="180"/>
      <c r="L815" s="180"/>
      <c r="M815" s="180"/>
      <c r="N815" s="180"/>
      <c r="O815" s="218"/>
      <c r="P815" s="180"/>
      <c r="Q815" s="188"/>
      <c r="R815" s="180"/>
      <c r="S815" s="180"/>
      <c r="T815" s="180"/>
      <c r="U815" s="180"/>
      <c r="V815" s="180"/>
      <c r="W815" s="180"/>
      <c r="X815" s="201"/>
      <c r="AJ815" s="149" t="str">
        <f>IF('Cable Info'!L675="","",CONCATENATE('Cable Info'!L675," - ",'Cable Info'!M675))</f>
        <v/>
      </c>
      <c r="AM815" s="149" t="str">
        <f t="shared" si="96"/>
        <v/>
      </c>
      <c r="AO815" s="149" t="str">
        <f>IF('Cable Info'!N675="","",CONCATENATE('Cable Info'!N675," - ",'Cable Info'!O675))</f>
        <v/>
      </c>
      <c r="AR815" s="149" t="str">
        <f t="shared" si="97"/>
        <v/>
      </c>
      <c r="AT815" s="149" t="str">
        <f>IF('Cable Info'!P675="","",CONCATENATE('Cable Info'!P675," - ",'Cable Info'!Q675))</f>
        <v/>
      </c>
      <c r="AW815" s="149" t="str">
        <f t="shared" si="98"/>
        <v/>
      </c>
      <c r="AY815" s="149" t="str">
        <f>IF('Cable Info'!R675="","",CONCATENATE('Cable Info'!R675," - ",'Cable Info'!S675))</f>
        <v/>
      </c>
      <c r="BB815" s="149" t="str">
        <f t="shared" si="99"/>
        <v/>
      </c>
      <c r="BD815" s="149" t="str">
        <f>IF('Cable Info'!T675="","",CONCATENATE('Cable Info'!T675," - ",'Cable Info'!U675))</f>
        <v/>
      </c>
      <c r="BG815" s="149" t="str">
        <f t="shared" si="100"/>
        <v/>
      </c>
      <c r="BI815" s="149" t="str">
        <f>IF('Cable Info'!V675="","",CONCATENATE('Cable Info'!V675," - ",'Cable Info'!W675))</f>
        <v/>
      </c>
      <c r="BL815" s="149" t="str">
        <f t="shared" si="101"/>
        <v/>
      </c>
    </row>
    <row r="816" spans="1:64" x14ac:dyDescent="0.2">
      <c r="A816" s="180"/>
      <c r="B816" s="180"/>
      <c r="C816" s="180"/>
      <c r="D816" s="180"/>
      <c r="E816" s="180"/>
      <c r="F816" s="187"/>
      <c r="G816" s="180"/>
      <c r="H816" s="180"/>
      <c r="I816" s="180"/>
      <c r="J816" s="187"/>
      <c r="K816" s="180"/>
      <c r="L816" s="180"/>
      <c r="M816" s="180"/>
      <c r="N816" s="180"/>
      <c r="O816" s="218"/>
      <c r="P816" s="180"/>
      <c r="Q816" s="188"/>
      <c r="R816" s="180"/>
      <c r="S816" s="180"/>
      <c r="T816" s="180"/>
      <c r="U816" s="180"/>
      <c r="V816" s="180"/>
      <c r="W816" s="180"/>
      <c r="X816" s="201"/>
      <c r="AJ816" s="149" t="str">
        <f>IF('Cable Info'!L676="","",CONCATENATE('Cable Info'!L676," - ",'Cable Info'!M676))</f>
        <v/>
      </c>
      <c r="AM816" s="149" t="str">
        <f t="shared" si="96"/>
        <v/>
      </c>
      <c r="AO816" s="149" t="str">
        <f>IF('Cable Info'!N676="","",CONCATENATE('Cable Info'!N676," - ",'Cable Info'!O676))</f>
        <v/>
      </c>
      <c r="AR816" s="149" t="str">
        <f t="shared" si="97"/>
        <v/>
      </c>
      <c r="AT816" s="149" t="str">
        <f>IF('Cable Info'!P676="","",CONCATENATE('Cable Info'!P676," - ",'Cable Info'!Q676))</f>
        <v/>
      </c>
      <c r="AW816" s="149" t="str">
        <f t="shared" si="98"/>
        <v/>
      </c>
      <c r="AY816" s="149" t="str">
        <f>IF('Cable Info'!R676="","",CONCATENATE('Cable Info'!R676," - ",'Cable Info'!S676))</f>
        <v/>
      </c>
      <c r="BB816" s="149" t="str">
        <f t="shared" si="99"/>
        <v/>
      </c>
      <c r="BD816" s="149" t="str">
        <f>IF('Cable Info'!T676="","",CONCATENATE('Cable Info'!T676," - ",'Cable Info'!U676))</f>
        <v/>
      </c>
      <c r="BG816" s="149" t="str">
        <f t="shared" si="100"/>
        <v/>
      </c>
      <c r="BI816" s="149" t="str">
        <f>IF('Cable Info'!V676="","",CONCATENATE('Cable Info'!V676," - ",'Cable Info'!W676))</f>
        <v/>
      </c>
      <c r="BL816" s="149" t="str">
        <f t="shared" si="101"/>
        <v/>
      </c>
    </row>
    <row r="817" spans="1:64" x14ac:dyDescent="0.2">
      <c r="A817" s="180"/>
      <c r="B817" s="180"/>
      <c r="C817" s="180"/>
      <c r="D817" s="180"/>
      <c r="E817" s="180"/>
      <c r="F817" s="187"/>
      <c r="G817" s="180"/>
      <c r="H817" s="180"/>
      <c r="I817" s="180"/>
      <c r="J817" s="187"/>
      <c r="K817" s="180"/>
      <c r="L817" s="180"/>
      <c r="M817" s="180"/>
      <c r="N817" s="180"/>
      <c r="O817" s="218"/>
      <c r="P817" s="180"/>
      <c r="Q817" s="188"/>
      <c r="R817" s="180"/>
      <c r="S817" s="180"/>
      <c r="T817" s="180"/>
      <c r="U817" s="180"/>
      <c r="V817" s="180"/>
      <c r="W817" s="180"/>
      <c r="X817" s="201"/>
      <c r="AJ817" s="149" t="str">
        <f>IF('Cable Info'!L677="","",CONCATENATE('Cable Info'!L677," - ",'Cable Info'!M677))</f>
        <v/>
      </c>
      <c r="AM817" s="149" t="str">
        <f t="shared" si="96"/>
        <v/>
      </c>
      <c r="AO817" s="149" t="str">
        <f>IF('Cable Info'!N677="","",CONCATENATE('Cable Info'!N677," - ",'Cable Info'!O677))</f>
        <v/>
      </c>
      <c r="AR817" s="149" t="str">
        <f t="shared" si="97"/>
        <v/>
      </c>
      <c r="AT817" s="149" t="str">
        <f>IF('Cable Info'!P677="","",CONCATENATE('Cable Info'!P677," - ",'Cable Info'!Q677))</f>
        <v/>
      </c>
      <c r="AW817" s="149" t="str">
        <f t="shared" si="98"/>
        <v/>
      </c>
      <c r="AY817" s="149" t="str">
        <f>IF('Cable Info'!R677="","",CONCATENATE('Cable Info'!R677," - ",'Cable Info'!S677))</f>
        <v/>
      </c>
      <c r="BB817" s="149" t="str">
        <f t="shared" si="99"/>
        <v/>
      </c>
      <c r="BD817" s="149" t="str">
        <f>IF('Cable Info'!T677="","",CONCATENATE('Cable Info'!T677," - ",'Cable Info'!U677))</f>
        <v/>
      </c>
      <c r="BG817" s="149" t="str">
        <f t="shared" si="100"/>
        <v/>
      </c>
      <c r="BI817" s="149" t="str">
        <f>IF('Cable Info'!V677="","",CONCATENATE('Cable Info'!V677," - ",'Cable Info'!W677))</f>
        <v/>
      </c>
      <c r="BL817" s="149" t="str">
        <f t="shared" si="101"/>
        <v/>
      </c>
    </row>
    <row r="818" spans="1:64" x14ac:dyDescent="0.2">
      <c r="A818" s="180"/>
      <c r="B818" s="180"/>
      <c r="C818" s="180"/>
      <c r="D818" s="180"/>
      <c r="E818" s="180"/>
      <c r="F818" s="187"/>
      <c r="G818" s="180"/>
      <c r="H818" s="180"/>
      <c r="I818" s="180"/>
      <c r="J818" s="187"/>
      <c r="K818" s="180"/>
      <c r="L818" s="180"/>
      <c r="M818" s="180"/>
      <c r="N818" s="180"/>
      <c r="O818" s="218"/>
      <c r="P818" s="180"/>
      <c r="Q818" s="188"/>
      <c r="R818" s="180"/>
      <c r="S818" s="180"/>
      <c r="T818" s="180"/>
      <c r="U818" s="180"/>
      <c r="V818" s="180"/>
      <c r="W818" s="180"/>
      <c r="X818" s="201"/>
      <c r="AJ818" s="149" t="str">
        <f>IF('Cable Info'!L678="","",CONCATENATE('Cable Info'!L678," - ",'Cable Info'!M678))</f>
        <v/>
      </c>
      <c r="AM818" s="149" t="str">
        <f t="shared" si="96"/>
        <v/>
      </c>
      <c r="AO818" s="149" t="str">
        <f>IF('Cable Info'!N678="","",CONCATENATE('Cable Info'!N678," - ",'Cable Info'!O678))</f>
        <v/>
      </c>
      <c r="AR818" s="149" t="str">
        <f t="shared" si="97"/>
        <v/>
      </c>
      <c r="AT818" s="149" t="str">
        <f>IF('Cable Info'!P678="","",CONCATENATE('Cable Info'!P678," - ",'Cable Info'!Q678))</f>
        <v/>
      </c>
      <c r="AW818" s="149" t="str">
        <f t="shared" si="98"/>
        <v/>
      </c>
      <c r="AY818" s="149" t="str">
        <f>IF('Cable Info'!R678="","",CONCATENATE('Cable Info'!R678," - ",'Cable Info'!S678))</f>
        <v/>
      </c>
      <c r="BB818" s="149" t="str">
        <f t="shared" si="99"/>
        <v/>
      </c>
      <c r="BD818" s="149" t="str">
        <f>IF('Cable Info'!T678="","",CONCATENATE('Cable Info'!T678," - ",'Cable Info'!U678))</f>
        <v/>
      </c>
      <c r="BG818" s="149" t="str">
        <f t="shared" si="100"/>
        <v/>
      </c>
      <c r="BI818" s="149" t="str">
        <f>IF('Cable Info'!V678="","",CONCATENATE('Cable Info'!V678," - ",'Cable Info'!W678))</f>
        <v/>
      </c>
      <c r="BL818" s="149" t="str">
        <f t="shared" si="101"/>
        <v/>
      </c>
    </row>
    <row r="819" spans="1:64" x14ac:dyDescent="0.2">
      <c r="A819" s="180"/>
      <c r="B819" s="180"/>
      <c r="C819" s="180"/>
      <c r="D819" s="180"/>
      <c r="E819" s="180"/>
      <c r="F819" s="187"/>
      <c r="G819" s="180"/>
      <c r="H819" s="180"/>
      <c r="I819" s="180"/>
      <c r="J819" s="187"/>
      <c r="K819" s="180"/>
      <c r="L819" s="180"/>
      <c r="M819" s="180"/>
      <c r="N819" s="180"/>
      <c r="O819" s="218"/>
      <c r="P819" s="180"/>
      <c r="Q819" s="188"/>
      <c r="R819" s="180"/>
      <c r="S819" s="180"/>
      <c r="T819" s="180"/>
      <c r="U819" s="180"/>
      <c r="V819" s="180"/>
      <c r="W819" s="180"/>
      <c r="X819" s="201"/>
      <c r="AJ819" s="149" t="str">
        <f>IF('Cable Info'!L679="","",CONCATENATE('Cable Info'!L679," - ",'Cable Info'!M679))</f>
        <v/>
      </c>
      <c r="AM819" s="149" t="str">
        <f t="shared" si="96"/>
        <v/>
      </c>
      <c r="AO819" s="149" t="str">
        <f>IF('Cable Info'!N679="","",CONCATENATE('Cable Info'!N679," - ",'Cable Info'!O679))</f>
        <v/>
      </c>
      <c r="AR819" s="149" t="str">
        <f t="shared" si="97"/>
        <v/>
      </c>
      <c r="AT819" s="149" t="str">
        <f>IF('Cable Info'!P679="","",CONCATENATE('Cable Info'!P679," - ",'Cable Info'!Q679))</f>
        <v/>
      </c>
      <c r="AW819" s="149" t="str">
        <f t="shared" si="98"/>
        <v/>
      </c>
      <c r="AY819" s="149" t="str">
        <f>IF('Cable Info'!R679="","",CONCATENATE('Cable Info'!R679," - ",'Cable Info'!S679))</f>
        <v/>
      </c>
      <c r="BB819" s="149" t="str">
        <f t="shared" si="99"/>
        <v/>
      </c>
      <c r="BD819" s="149" t="str">
        <f>IF('Cable Info'!T679="","",CONCATENATE('Cable Info'!T679," - ",'Cable Info'!U679))</f>
        <v/>
      </c>
      <c r="BG819" s="149" t="str">
        <f t="shared" si="100"/>
        <v/>
      </c>
      <c r="BI819" s="149" t="str">
        <f>IF('Cable Info'!V679="","",CONCATENATE('Cable Info'!V679," - ",'Cable Info'!W679))</f>
        <v/>
      </c>
      <c r="BL819" s="149" t="str">
        <f t="shared" si="101"/>
        <v/>
      </c>
    </row>
    <row r="820" spans="1:64" x14ac:dyDescent="0.2">
      <c r="A820" s="180"/>
      <c r="B820" s="180"/>
      <c r="C820" s="180"/>
      <c r="D820" s="180"/>
      <c r="E820" s="180"/>
      <c r="F820" s="187"/>
      <c r="G820" s="180"/>
      <c r="H820" s="180"/>
      <c r="I820" s="180"/>
      <c r="J820" s="187"/>
      <c r="K820" s="180"/>
      <c r="L820" s="180"/>
      <c r="M820" s="180"/>
      <c r="N820" s="180"/>
      <c r="O820" s="218"/>
      <c r="P820" s="180"/>
      <c r="Q820" s="188"/>
      <c r="R820" s="180"/>
      <c r="S820" s="180"/>
      <c r="T820" s="180"/>
      <c r="U820" s="180"/>
      <c r="V820" s="180"/>
      <c r="W820" s="180"/>
      <c r="X820" s="201"/>
      <c r="AJ820" s="149" t="str">
        <f>IF('Cable Info'!L680="","",CONCATENATE('Cable Info'!L680," - ",'Cable Info'!M680))</f>
        <v/>
      </c>
      <c r="AM820" s="149" t="str">
        <f t="shared" si="96"/>
        <v/>
      </c>
      <c r="AO820" s="149" t="str">
        <f>IF('Cable Info'!N680="","",CONCATENATE('Cable Info'!N680," - ",'Cable Info'!O680))</f>
        <v/>
      </c>
      <c r="AR820" s="149" t="str">
        <f t="shared" si="97"/>
        <v/>
      </c>
      <c r="AT820" s="149" t="str">
        <f>IF('Cable Info'!P680="","",CONCATENATE('Cable Info'!P680," - ",'Cable Info'!Q680))</f>
        <v/>
      </c>
      <c r="AW820" s="149" t="str">
        <f t="shared" si="98"/>
        <v/>
      </c>
      <c r="AY820" s="149" t="str">
        <f>IF('Cable Info'!R680="","",CONCATENATE('Cable Info'!R680," - ",'Cable Info'!S680))</f>
        <v/>
      </c>
      <c r="BB820" s="149" t="str">
        <f t="shared" si="99"/>
        <v/>
      </c>
      <c r="BD820" s="149" t="str">
        <f>IF('Cable Info'!T680="","",CONCATENATE('Cable Info'!T680," - ",'Cable Info'!U680))</f>
        <v/>
      </c>
      <c r="BG820" s="149" t="str">
        <f t="shared" si="100"/>
        <v/>
      </c>
      <c r="BI820" s="149" t="str">
        <f>IF('Cable Info'!V680="","",CONCATENATE('Cable Info'!V680," - ",'Cable Info'!W680))</f>
        <v/>
      </c>
      <c r="BL820" s="149" t="str">
        <f t="shared" si="101"/>
        <v/>
      </c>
    </row>
    <row r="821" spans="1:64" x14ac:dyDescent="0.2">
      <c r="A821" s="180"/>
      <c r="B821" s="180"/>
      <c r="C821" s="180"/>
      <c r="D821" s="180"/>
      <c r="E821" s="180"/>
      <c r="F821" s="187"/>
      <c r="G821" s="180"/>
      <c r="H821" s="180"/>
      <c r="I821" s="180"/>
      <c r="J821" s="187"/>
      <c r="K821" s="180"/>
      <c r="L821" s="180"/>
      <c r="M821" s="180"/>
      <c r="N821" s="180"/>
      <c r="O821" s="218"/>
      <c r="P821" s="180"/>
      <c r="Q821" s="188"/>
      <c r="R821" s="180"/>
      <c r="S821" s="180"/>
      <c r="T821" s="180"/>
      <c r="U821" s="180"/>
      <c r="V821" s="180"/>
      <c r="W821" s="180"/>
      <c r="X821" s="201"/>
      <c r="AJ821" s="149" t="str">
        <f>IF('Cable Info'!L681="","",CONCATENATE('Cable Info'!L681," - ",'Cable Info'!M681))</f>
        <v/>
      </c>
      <c r="AM821" s="149" t="str">
        <f t="shared" si="96"/>
        <v/>
      </c>
      <c r="AO821" s="149" t="str">
        <f>IF('Cable Info'!N681="","",CONCATENATE('Cable Info'!N681," - ",'Cable Info'!O681))</f>
        <v/>
      </c>
      <c r="AR821" s="149" t="str">
        <f t="shared" si="97"/>
        <v/>
      </c>
      <c r="AT821" s="149" t="str">
        <f>IF('Cable Info'!P681="","",CONCATENATE('Cable Info'!P681," - ",'Cable Info'!Q681))</f>
        <v/>
      </c>
      <c r="AW821" s="149" t="str">
        <f t="shared" si="98"/>
        <v/>
      </c>
      <c r="AY821" s="149" t="str">
        <f>IF('Cable Info'!R681="","",CONCATENATE('Cable Info'!R681," - ",'Cable Info'!S681))</f>
        <v/>
      </c>
      <c r="BB821" s="149" t="str">
        <f t="shared" si="99"/>
        <v/>
      </c>
      <c r="BD821" s="149" t="str">
        <f>IF('Cable Info'!T681="","",CONCATENATE('Cable Info'!T681," - ",'Cable Info'!U681))</f>
        <v/>
      </c>
      <c r="BG821" s="149" t="str">
        <f t="shared" si="100"/>
        <v/>
      </c>
      <c r="BI821" s="149" t="str">
        <f>IF('Cable Info'!V681="","",CONCATENATE('Cable Info'!V681," - ",'Cable Info'!W681))</f>
        <v/>
      </c>
      <c r="BL821" s="149" t="str">
        <f t="shared" si="101"/>
        <v/>
      </c>
    </row>
    <row r="822" spans="1:64" x14ac:dyDescent="0.2">
      <c r="A822" s="180"/>
      <c r="B822" s="180"/>
      <c r="C822" s="180"/>
      <c r="D822" s="180"/>
      <c r="E822" s="180"/>
      <c r="F822" s="187"/>
      <c r="G822" s="180"/>
      <c r="H822" s="180"/>
      <c r="I822" s="180"/>
      <c r="J822" s="187"/>
      <c r="K822" s="180"/>
      <c r="L822" s="180"/>
      <c r="M822" s="180"/>
      <c r="N822" s="180"/>
      <c r="O822" s="218"/>
      <c r="P822" s="180"/>
      <c r="Q822" s="188"/>
      <c r="R822" s="180"/>
      <c r="S822" s="180"/>
      <c r="T822" s="180"/>
      <c r="U822" s="180"/>
      <c r="V822" s="180"/>
      <c r="W822" s="180"/>
      <c r="X822" s="201"/>
      <c r="AJ822" s="149" t="str">
        <f>IF('Cable Info'!L682="","",CONCATENATE('Cable Info'!L682," - ",'Cable Info'!M682))</f>
        <v/>
      </c>
      <c r="AM822" s="149" t="str">
        <f t="shared" si="96"/>
        <v/>
      </c>
      <c r="AO822" s="149" t="str">
        <f>IF('Cable Info'!N682="","",CONCATENATE('Cable Info'!N682," - ",'Cable Info'!O682))</f>
        <v/>
      </c>
      <c r="AR822" s="149" t="str">
        <f t="shared" si="97"/>
        <v/>
      </c>
      <c r="AT822" s="149" t="str">
        <f>IF('Cable Info'!P682="","",CONCATENATE('Cable Info'!P682," - ",'Cable Info'!Q682))</f>
        <v/>
      </c>
      <c r="AW822" s="149" t="str">
        <f t="shared" si="98"/>
        <v/>
      </c>
      <c r="AY822" s="149" t="str">
        <f>IF('Cable Info'!R682="","",CONCATENATE('Cable Info'!R682," - ",'Cable Info'!S682))</f>
        <v/>
      </c>
      <c r="BB822" s="149" t="str">
        <f t="shared" si="99"/>
        <v/>
      </c>
      <c r="BD822" s="149" t="str">
        <f>IF('Cable Info'!T682="","",CONCATENATE('Cable Info'!T682," - ",'Cable Info'!U682))</f>
        <v/>
      </c>
      <c r="BG822" s="149" t="str">
        <f t="shared" si="100"/>
        <v/>
      </c>
      <c r="BI822" s="149" t="str">
        <f>IF('Cable Info'!V682="","",CONCATENATE('Cable Info'!V682," - ",'Cable Info'!W682))</f>
        <v/>
      </c>
      <c r="BL822" s="149" t="str">
        <f t="shared" si="101"/>
        <v/>
      </c>
    </row>
    <row r="823" spans="1:64" x14ac:dyDescent="0.2">
      <c r="A823" s="180"/>
      <c r="B823" s="180"/>
      <c r="C823" s="180"/>
      <c r="D823" s="180"/>
      <c r="E823" s="180"/>
      <c r="F823" s="187"/>
      <c r="G823" s="180"/>
      <c r="H823" s="180"/>
      <c r="I823" s="180"/>
      <c r="J823" s="187"/>
      <c r="K823" s="180"/>
      <c r="L823" s="180"/>
      <c r="M823" s="180"/>
      <c r="N823" s="180"/>
      <c r="O823" s="218"/>
      <c r="P823" s="180"/>
      <c r="Q823" s="188"/>
      <c r="R823" s="180"/>
      <c r="S823" s="180"/>
      <c r="T823" s="180"/>
      <c r="U823" s="180"/>
      <c r="V823" s="180"/>
      <c r="W823" s="180"/>
      <c r="X823" s="201"/>
      <c r="AJ823" s="149" t="str">
        <f>IF('Cable Info'!L683="","",CONCATENATE('Cable Info'!L683," - ",'Cable Info'!M683))</f>
        <v/>
      </c>
      <c r="AM823" s="149" t="str">
        <f t="shared" si="96"/>
        <v/>
      </c>
      <c r="AO823" s="149" t="str">
        <f>IF('Cable Info'!N683="","",CONCATENATE('Cable Info'!N683," - ",'Cable Info'!O683))</f>
        <v/>
      </c>
      <c r="AR823" s="149" t="str">
        <f t="shared" si="97"/>
        <v/>
      </c>
      <c r="AT823" s="149" t="str">
        <f>IF('Cable Info'!P683="","",CONCATENATE('Cable Info'!P683," - ",'Cable Info'!Q683))</f>
        <v/>
      </c>
      <c r="AW823" s="149" t="str">
        <f t="shared" si="98"/>
        <v/>
      </c>
      <c r="AY823" s="149" t="str">
        <f>IF('Cable Info'!R683="","",CONCATENATE('Cable Info'!R683," - ",'Cable Info'!S683))</f>
        <v/>
      </c>
      <c r="BB823" s="149" t="str">
        <f t="shared" si="99"/>
        <v/>
      </c>
      <c r="BD823" s="149" t="str">
        <f>IF('Cable Info'!T683="","",CONCATENATE('Cable Info'!T683," - ",'Cable Info'!U683))</f>
        <v/>
      </c>
      <c r="BG823" s="149" t="str">
        <f t="shared" si="100"/>
        <v/>
      </c>
      <c r="BI823" s="149" t="str">
        <f>IF('Cable Info'!V683="","",CONCATENATE('Cable Info'!V683," - ",'Cable Info'!W683))</f>
        <v/>
      </c>
      <c r="BL823" s="149" t="str">
        <f t="shared" si="101"/>
        <v/>
      </c>
    </row>
    <row r="824" spans="1:64" x14ac:dyDescent="0.2">
      <c r="A824" s="180"/>
      <c r="B824" s="180"/>
      <c r="C824" s="180"/>
      <c r="D824" s="180"/>
      <c r="E824" s="180"/>
      <c r="F824" s="187"/>
      <c r="G824" s="180"/>
      <c r="H824" s="180"/>
      <c r="I824" s="180"/>
      <c r="J824" s="187"/>
      <c r="K824" s="180"/>
      <c r="L824" s="180"/>
      <c r="M824" s="180"/>
      <c r="N824" s="180"/>
      <c r="O824" s="218"/>
      <c r="P824" s="180"/>
      <c r="Q824" s="188"/>
      <c r="R824" s="180"/>
      <c r="S824" s="180"/>
      <c r="T824" s="180"/>
      <c r="U824" s="180"/>
      <c r="V824" s="180"/>
      <c r="W824" s="180"/>
      <c r="X824" s="201"/>
      <c r="AJ824" s="149" t="str">
        <f>IF('Cable Info'!L684="","",CONCATENATE('Cable Info'!L684," - ",'Cable Info'!M684))</f>
        <v/>
      </c>
      <c r="AM824" s="149" t="str">
        <f t="shared" si="96"/>
        <v/>
      </c>
      <c r="AO824" s="149" t="str">
        <f>IF('Cable Info'!N684="","",CONCATENATE('Cable Info'!N684," - ",'Cable Info'!O684))</f>
        <v/>
      </c>
      <c r="AR824" s="149" t="str">
        <f t="shared" si="97"/>
        <v/>
      </c>
      <c r="AT824" s="149" t="str">
        <f>IF('Cable Info'!P684="","",CONCATENATE('Cable Info'!P684," - ",'Cable Info'!Q684))</f>
        <v/>
      </c>
      <c r="AW824" s="149" t="str">
        <f t="shared" si="98"/>
        <v/>
      </c>
      <c r="AY824" s="149" t="str">
        <f>IF('Cable Info'!R684="","",CONCATENATE('Cable Info'!R684," - ",'Cable Info'!S684))</f>
        <v/>
      </c>
      <c r="BB824" s="149" t="str">
        <f t="shared" si="99"/>
        <v/>
      </c>
      <c r="BD824" s="149" t="str">
        <f>IF('Cable Info'!T684="","",CONCATENATE('Cable Info'!T684," - ",'Cable Info'!U684))</f>
        <v/>
      </c>
      <c r="BG824" s="149" t="str">
        <f t="shared" si="100"/>
        <v/>
      </c>
      <c r="BI824" s="149" t="str">
        <f>IF('Cable Info'!V684="","",CONCATENATE('Cable Info'!V684," - ",'Cable Info'!W684))</f>
        <v/>
      </c>
      <c r="BL824" s="149" t="str">
        <f t="shared" si="101"/>
        <v/>
      </c>
    </row>
    <row r="825" spans="1:64" x14ac:dyDescent="0.2">
      <c r="A825" s="180"/>
      <c r="B825" s="180"/>
      <c r="C825" s="180"/>
      <c r="D825" s="180"/>
      <c r="E825" s="180"/>
      <c r="F825" s="187"/>
      <c r="G825" s="180"/>
      <c r="H825" s="180"/>
      <c r="I825" s="180"/>
      <c r="J825" s="187"/>
      <c r="K825" s="180"/>
      <c r="L825" s="180"/>
      <c r="M825" s="180"/>
      <c r="N825" s="180"/>
      <c r="O825" s="218"/>
      <c r="P825" s="180"/>
      <c r="Q825" s="188"/>
      <c r="R825" s="180"/>
      <c r="S825" s="180"/>
      <c r="T825" s="180"/>
      <c r="U825" s="180"/>
      <c r="V825" s="180"/>
      <c r="W825" s="180"/>
      <c r="X825" s="201"/>
      <c r="AJ825" s="149" t="str">
        <f>IF('Cable Info'!L685="","",CONCATENATE('Cable Info'!L685," - ",'Cable Info'!M685))</f>
        <v/>
      </c>
      <c r="AM825" s="149" t="str">
        <f t="shared" si="96"/>
        <v/>
      </c>
      <c r="AO825" s="149" t="str">
        <f>IF('Cable Info'!N685="","",CONCATENATE('Cable Info'!N685," - ",'Cable Info'!O685))</f>
        <v/>
      </c>
      <c r="AR825" s="149" t="str">
        <f t="shared" si="97"/>
        <v/>
      </c>
      <c r="AT825" s="149" t="str">
        <f>IF('Cable Info'!P685="","",CONCATENATE('Cable Info'!P685," - ",'Cable Info'!Q685))</f>
        <v/>
      </c>
      <c r="AW825" s="149" t="str">
        <f t="shared" si="98"/>
        <v/>
      </c>
      <c r="AY825" s="149" t="str">
        <f>IF('Cable Info'!R685="","",CONCATENATE('Cable Info'!R685," - ",'Cable Info'!S685))</f>
        <v/>
      </c>
      <c r="BB825" s="149" t="str">
        <f t="shared" si="99"/>
        <v/>
      </c>
      <c r="BD825" s="149" t="str">
        <f>IF('Cable Info'!T685="","",CONCATENATE('Cable Info'!T685," - ",'Cable Info'!U685))</f>
        <v/>
      </c>
      <c r="BG825" s="149" t="str">
        <f t="shared" si="100"/>
        <v/>
      </c>
      <c r="BI825" s="149" t="str">
        <f>IF('Cable Info'!V685="","",CONCATENATE('Cable Info'!V685," - ",'Cable Info'!W685))</f>
        <v/>
      </c>
      <c r="BL825" s="149" t="str">
        <f t="shared" si="101"/>
        <v/>
      </c>
    </row>
    <row r="826" spans="1:64" x14ac:dyDescent="0.2">
      <c r="A826" s="180"/>
      <c r="B826" s="180"/>
      <c r="C826" s="180"/>
      <c r="D826" s="180"/>
      <c r="E826" s="180"/>
      <c r="F826" s="187"/>
      <c r="G826" s="180"/>
      <c r="H826" s="180"/>
      <c r="I826" s="180"/>
      <c r="J826" s="187"/>
      <c r="K826" s="180"/>
      <c r="L826" s="180"/>
      <c r="M826" s="180"/>
      <c r="N826" s="180"/>
      <c r="O826" s="218"/>
      <c r="P826" s="180"/>
      <c r="Q826" s="188"/>
      <c r="R826" s="180"/>
      <c r="S826" s="180"/>
      <c r="T826" s="180"/>
      <c r="U826" s="180"/>
      <c r="V826" s="180"/>
      <c r="W826" s="180"/>
      <c r="X826" s="201"/>
      <c r="AJ826" s="149" t="str">
        <f>IF('Cable Info'!L686="","",CONCATENATE('Cable Info'!L686," - ",'Cable Info'!M686))</f>
        <v/>
      </c>
      <c r="AM826" s="149" t="str">
        <f t="shared" si="96"/>
        <v/>
      </c>
      <c r="AO826" s="149" t="str">
        <f>IF('Cable Info'!N686="","",CONCATENATE('Cable Info'!N686," - ",'Cable Info'!O686))</f>
        <v/>
      </c>
      <c r="AR826" s="149" t="str">
        <f t="shared" si="97"/>
        <v/>
      </c>
      <c r="AT826" s="149" t="str">
        <f>IF('Cable Info'!P686="","",CONCATENATE('Cable Info'!P686," - ",'Cable Info'!Q686))</f>
        <v/>
      </c>
      <c r="AW826" s="149" t="str">
        <f t="shared" si="98"/>
        <v/>
      </c>
      <c r="AY826" s="149" t="str">
        <f>IF('Cable Info'!R686="","",CONCATENATE('Cable Info'!R686," - ",'Cable Info'!S686))</f>
        <v/>
      </c>
      <c r="BB826" s="149" t="str">
        <f t="shared" si="99"/>
        <v/>
      </c>
      <c r="BD826" s="149" t="str">
        <f>IF('Cable Info'!T686="","",CONCATENATE('Cable Info'!T686," - ",'Cable Info'!U686))</f>
        <v/>
      </c>
      <c r="BG826" s="149" t="str">
        <f t="shared" si="100"/>
        <v/>
      </c>
      <c r="BI826" s="149" t="str">
        <f>IF('Cable Info'!V686="","",CONCATENATE('Cable Info'!V686," - ",'Cable Info'!W686))</f>
        <v/>
      </c>
      <c r="BL826" s="149" t="str">
        <f t="shared" si="101"/>
        <v/>
      </c>
    </row>
    <row r="827" spans="1:64" x14ac:dyDescent="0.2">
      <c r="A827" s="180"/>
      <c r="B827" s="180"/>
      <c r="C827" s="180"/>
      <c r="D827" s="180"/>
      <c r="E827" s="180"/>
      <c r="F827" s="187"/>
      <c r="G827" s="180"/>
      <c r="H827" s="180"/>
      <c r="I827" s="180"/>
      <c r="J827" s="187"/>
      <c r="K827" s="180"/>
      <c r="L827" s="180"/>
      <c r="M827" s="180"/>
      <c r="N827" s="180"/>
      <c r="O827" s="218"/>
      <c r="P827" s="180"/>
      <c r="Q827" s="188"/>
      <c r="R827" s="180"/>
      <c r="S827" s="180"/>
      <c r="T827" s="180"/>
      <c r="U827" s="180"/>
      <c r="V827" s="180"/>
      <c r="W827" s="180"/>
      <c r="X827" s="201"/>
      <c r="AJ827" s="149" t="str">
        <f>IF('Cable Info'!L687="","",CONCATENATE('Cable Info'!L687," - ",'Cable Info'!M687))</f>
        <v/>
      </c>
      <c r="AM827" s="149" t="str">
        <f t="shared" si="96"/>
        <v/>
      </c>
      <c r="AO827" s="149" t="str">
        <f>IF('Cable Info'!N687="","",CONCATENATE('Cable Info'!N687," - ",'Cable Info'!O687))</f>
        <v/>
      </c>
      <c r="AR827" s="149" t="str">
        <f t="shared" si="97"/>
        <v/>
      </c>
      <c r="AT827" s="149" t="str">
        <f>IF('Cable Info'!P687="","",CONCATENATE('Cable Info'!P687," - ",'Cable Info'!Q687))</f>
        <v/>
      </c>
      <c r="AW827" s="149" t="str">
        <f t="shared" si="98"/>
        <v/>
      </c>
      <c r="AY827" s="149" t="str">
        <f>IF('Cable Info'!R687="","",CONCATENATE('Cable Info'!R687," - ",'Cable Info'!S687))</f>
        <v/>
      </c>
      <c r="BB827" s="149" t="str">
        <f t="shared" si="99"/>
        <v/>
      </c>
      <c r="BD827" s="149" t="str">
        <f>IF('Cable Info'!T687="","",CONCATENATE('Cable Info'!T687," - ",'Cable Info'!U687))</f>
        <v/>
      </c>
      <c r="BG827" s="149" t="str">
        <f t="shared" si="100"/>
        <v/>
      </c>
      <c r="BI827" s="149" t="str">
        <f>IF('Cable Info'!V687="","",CONCATENATE('Cable Info'!V687," - ",'Cable Info'!W687))</f>
        <v/>
      </c>
      <c r="BL827" s="149" t="str">
        <f t="shared" si="101"/>
        <v/>
      </c>
    </row>
    <row r="828" spans="1:64" x14ac:dyDescent="0.2">
      <c r="A828" s="180"/>
      <c r="B828" s="180"/>
      <c r="C828" s="180"/>
      <c r="D828" s="180"/>
      <c r="E828" s="180"/>
      <c r="F828" s="187"/>
      <c r="G828" s="180"/>
      <c r="H828" s="180"/>
      <c r="I828" s="180"/>
      <c r="J828" s="187"/>
      <c r="K828" s="180"/>
      <c r="L828" s="180"/>
      <c r="M828" s="180"/>
      <c r="N828" s="180"/>
      <c r="O828" s="218"/>
      <c r="P828" s="180"/>
      <c r="Q828" s="188"/>
      <c r="R828" s="180"/>
      <c r="S828" s="180"/>
      <c r="T828" s="180"/>
      <c r="U828" s="180"/>
      <c r="V828" s="180"/>
      <c r="W828" s="180"/>
      <c r="X828" s="201"/>
      <c r="AJ828" s="149" t="str">
        <f>IF('Cable Info'!L688="","",CONCATENATE('Cable Info'!L688," - ",'Cable Info'!M688))</f>
        <v/>
      </c>
      <c r="AM828" s="149" t="str">
        <f t="shared" si="96"/>
        <v/>
      </c>
      <c r="AO828" s="149" t="str">
        <f>IF('Cable Info'!N688="","",CONCATENATE('Cable Info'!N688," - ",'Cable Info'!O688))</f>
        <v/>
      </c>
      <c r="AR828" s="149" t="str">
        <f t="shared" si="97"/>
        <v/>
      </c>
      <c r="AT828" s="149" t="str">
        <f>IF('Cable Info'!P688="","",CONCATENATE('Cable Info'!P688," - ",'Cable Info'!Q688))</f>
        <v/>
      </c>
      <c r="AW828" s="149" t="str">
        <f t="shared" si="98"/>
        <v/>
      </c>
      <c r="AY828" s="149" t="str">
        <f>IF('Cable Info'!R688="","",CONCATENATE('Cable Info'!R688," - ",'Cable Info'!S688))</f>
        <v/>
      </c>
      <c r="BB828" s="149" t="str">
        <f t="shared" si="99"/>
        <v/>
      </c>
      <c r="BD828" s="149" t="str">
        <f>IF('Cable Info'!T688="","",CONCATENATE('Cable Info'!T688," - ",'Cable Info'!U688))</f>
        <v/>
      </c>
      <c r="BG828" s="149" t="str">
        <f t="shared" si="100"/>
        <v/>
      </c>
      <c r="BI828" s="149" t="str">
        <f>IF('Cable Info'!V688="","",CONCATENATE('Cable Info'!V688," - ",'Cable Info'!W688))</f>
        <v/>
      </c>
      <c r="BL828" s="149" t="str">
        <f t="shared" si="101"/>
        <v/>
      </c>
    </row>
    <row r="829" spans="1:64" x14ac:dyDescent="0.2">
      <c r="A829" s="180"/>
      <c r="B829" s="180"/>
      <c r="C829" s="180"/>
      <c r="D829" s="180"/>
      <c r="E829" s="180"/>
      <c r="F829" s="187"/>
      <c r="G829" s="180"/>
      <c r="H829" s="180"/>
      <c r="I829" s="180"/>
      <c r="J829" s="187"/>
      <c r="K829" s="180"/>
      <c r="L829" s="180"/>
      <c r="M829" s="180"/>
      <c r="N829" s="180"/>
      <c r="O829" s="218"/>
      <c r="P829" s="180"/>
      <c r="Q829" s="188"/>
      <c r="R829" s="180"/>
      <c r="S829" s="180"/>
      <c r="T829" s="180"/>
      <c r="U829" s="180"/>
      <c r="V829" s="180"/>
      <c r="W829" s="180"/>
      <c r="X829" s="201"/>
      <c r="AJ829" s="149" t="str">
        <f>IF('Cable Info'!L689="","",CONCATENATE('Cable Info'!L689," - ",'Cable Info'!M689))</f>
        <v/>
      </c>
      <c r="AM829" s="149" t="str">
        <f t="shared" si="96"/>
        <v/>
      </c>
      <c r="AO829" s="149" t="str">
        <f>IF('Cable Info'!N689="","",CONCATENATE('Cable Info'!N689," - ",'Cable Info'!O689))</f>
        <v/>
      </c>
      <c r="AR829" s="149" t="str">
        <f t="shared" si="97"/>
        <v/>
      </c>
      <c r="AT829" s="149" t="str">
        <f>IF('Cable Info'!P689="","",CONCATENATE('Cable Info'!P689," - ",'Cable Info'!Q689))</f>
        <v/>
      </c>
      <c r="AW829" s="149" t="str">
        <f t="shared" si="98"/>
        <v/>
      </c>
      <c r="AY829" s="149" t="str">
        <f>IF('Cable Info'!R689="","",CONCATENATE('Cable Info'!R689," - ",'Cable Info'!S689))</f>
        <v/>
      </c>
      <c r="BB829" s="149" t="str">
        <f t="shared" si="99"/>
        <v/>
      </c>
      <c r="BD829" s="149" t="str">
        <f>IF('Cable Info'!T689="","",CONCATENATE('Cable Info'!T689," - ",'Cable Info'!U689))</f>
        <v/>
      </c>
      <c r="BG829" s="149" t="str">
        <f t="shared" si="100"/>
        <v/>
      </c>
      <c r="BI829" s="149" t="str">
        <f>IF('Cable Info'!V689="","",CONCATENATE('Cable Info'!V689," - ",'Cable Info'!W689))</f>
        <v/>
      </c>
      <c r="BL829" s="149" t="str">
        <f t="shared" si="101"/>
        <v/>
      </c>
    </row>
    <row r="830" spans="1:64" x14ac:dyDescent="0.2">
      <c r="A830" s="180"/>
      <c r="B830" s="180"/>
      <c r="C830" s="180"/>
      <c r="D830" s="180"/>
      <c r="E830" s="180"/>
      <c r="F830" s="187"/>
      <c r="G830" s="180"/>
      <c r="H830" s="180"/>
      <c r="I830" s="180"/>
      <c r="J830" s="187"/>
      <c r="K830" s="180"/>
      <c r="L830" s="180"/>
      <c r="M830" s="180"/>
      <c r="N830" s="180"/>
      <c r="O830" s="218"/>
      <c r="P830" s="180"/>
      <c r="Q830" s="188"/>
      <c r="R830" s="180"/>
      <c r="S830" s="180"/>
      <c r="T830" s="180"/>
      <c r="U830" s="180"/>
      <c r="V830" s="180"/>
      <c r="W830" s="180"/>
      <c r="X830" s="201"/>
      <c r="AJ830" s="149" t="str">
        <f>IF('Cable Info'!L690="","",CONCATENATE('Cable Info'!L690," - ",'Cable Info'!M690))</f>
        <v/>
      </c>
      <c r="AM830" s="149" t="str">
        <f t="shared" si="96"/>
        <v/>
      </c>
      <c r="AO830" s="149" t="str">
        <f>IF('Cable Info'!N690="","",CONCATENATE('Cable Info'!N690," - ",'Cable Info'!O690))</f>
        <v/>
      </c>
      <c r="AR830" s="149" t="str">
        <f t="shared" si="97"/>
        <v/>
      </c>
      <c r="AT830" s="149" t="str">
        <f>IF('Cable Info'!P690="","",CONCATENATE('Cable Info'!P690," - ",'Cable Info'!Q690))</f>
        <v/>
      </c>
      <c r="AW830" s="149" t="str">
        <f t="shared" si="98"/>
        <v/>
      </c>
      <c r="AY830" s="149" t="str">
        <f>IF('Cable Info'!R690="","",CONCATENATE('Cable Info'!R690," - ",'Cable Info'!S690))</f>
        <v/>
      </c>
      <c r="BB830" s="149" t="str">
        <f t="shared" si="99"/>
        <v/>
      </c>
      <c r="BD830" s="149" t="str">
        <f>IF('Cable Info'!T690="","",CONCATENATE('Cable Info'!T690," - ",'Cable Info'!U690))</f>
        <v/>
      </c>
      <c r="BG830" s="149" t="str">
        <f t="shared" si="100"/>
        <v/>
      </c>
      <c r="BI830" s="149" t="str">
        <f>IF('Cable Info'!V690="","",CONCATENATE('Cable Info'!V690," - ",'Cable Info'!W690))</f>
        <v/>
      </c>
      <c r="BL830" s="149" t="str">
        <f t="shared" si="101"/>
        <v/>
      </c>
    </row>
    <row r="831" spans="1:64" x14ac:dyDescent="0.2">
      <c r="A831" s="180"/>
      <c r="B831" s="180"/>
      <c r="C831" s="180"/>
      <c r="D831" s="180"/>
      <c r="E831" s="180"/>
      <c r="F831" s="187"/>
      <c r="G831" s="180"/>
      <c r="H831" s="180"/>
      <c r="I831" s="180"/>
      <c r="J831" s="187"/>
      <c r="K831" s="180"/>
      <c r="L831" s="180"/>
      <c r="M831" s="180"/>
      <c r="N831" s="180"/>
      <c r="O831" s="218"/>
      <c r="P831" s="180"/>
      <c r="Q831" s="188"/>
      <c r="R831" s="180"/>
      <c r="S831" s="180"/>
      <c r="T831" s="180"/>
      <c r="U831" s="180"/>
      <c r="V831" s="180"/>
      <c r="W831" s="180"/>
      <c r="X831" s="201"/>
      <c r="AJ831" s="149" t="str">
        <f>IF('Cable Info'!L691="","",CONCATENATE('Cable Info'!L691," - ",'Cable Info'!M691))</f>
        <v/>
      </c>
      <c r="AM831" s="149" t="str">
        <f t="shared" si="96"/>
        <v/>
      </c>
      <c r="AO831" s="149" t="str">
        <f>IF('Cable Info'!N691="","",CONCATENATE('Cable Info'!N691," - ",'Cable Info'!O691))</f>
        <v/>
      </c>
      <c r="AR831" s="149" t="str">
        <f t="shared" si="97"/>
        <v/>
      </c>
      <c r="AT831" s="149" t="str">
        <f>IF('Cable Info'!P691="","",CONCATENATE('Cable Info'!P691," - ",'Cable Info'!Q691))</f>
        <v/>
      </c>
      <c r="AW831" s="149" t="str">
        <f t="shared" si="98"/>
        <v/>
      </c>
      <c r="AY831" s="149" t="str">
        <f>IF('Cable Info'!R691="","",CONCATENATE('Cable Info'!R691," - ",'Cable Info'!S691))</f>
        <v/>
      </c>
      <c r="BB831" s="149" t="str">
        <f t="shared" si="99"/>
        <v/>
      </c>
      <c r="BD831" s="149" t="str">
        <f>IF('Cable Info'!T691="","",CONCATENATE('Cable Info'!T691," - ",'Cable Info'!U691))</f>
        <v/>
      </c>
      <c r="BG831" s="149" t="str">
        <f t="shared" si="100"/>
        <v/>
      </c>
      <c r="BI831" s="149" t="str">
        <f>IF('Cable Info'!V691="","",CONCATENATE('Cable Info'!V691," - ",'Cable Info'!W691))</f>
        <v/>
      </c>
      <c r="BL831" s="149" t="str">
        <f t="shared" si="101"/>
        <v/>
      </c>
    </row>
    <row r="832" spans="1:64" x14ac:dyDescent="0.2">
      <c r="A832" s="180"/>
      <c r="B832" s="180"/>
      <c r="C832" s="180"/>
      <c r="D832" s="180"/>
      <c r="E832" s="180"/>
      <c r="F832" s="187"/>
      <c r="G832" s="180"/>
      <c r="H832" s="180"/>
      <c r="I832" s="180"/>
      <c r="J832" s="187"/>
      <c r="K832" s="180"/>
      <c r="L832" s="180"/>
      <c r="M832" s="180"/>
      <c r="N832" s="180"/>
      <c r="O832" s="218"/>
      <c r="P832" s="180"/>
      <c r="Q832" s="188"/>
      <c r="R832" s="180"/>
      <c r="S832" s="180"/>
      <c r="T832" s="180"/>
      <c r="U832" s="180"/>
      <c r="V832" s="180"/>
      <c r="W832" s="180"/>
      <c r="X832" s="201"/>
      <c r="AJ832" s="149" t="str">
        <f>IF('Cable Info'!L692="","",CONCATENATE('Cable Info'!L692," - ",'Cable Info'!M692))</f>
        <v/>
      </c>
      <c r="AM832" s="149" t="str">
        <f t="shared" si="96"/>
        <v/>
      </c>
      <c r="AO832" s="149" t="str">
        <f>IF('Cable Info'!N692="","",CONCATENATE('Cable Info'!N692," - ",'Cable Info'!O692))</f>
        <v/>
      </c>
      <c r="AR832" s="149" t="str">
        <f t="shared" si="97"/>
        <v/>
      </c>
      <c r="AT832" s="149" t="str">
        <f>IF('Cable Info'!P692="","",CONCATENATE('Cable Info'!P692," - ",'Cable Info'!Q692))</f>
        <v/>
      </c>
      <c r="AW832" s="149" t="str">
        <f t="shared" si="98"/>
        <v/>
      </c>
      <c r="AY832" s="149" t="str">
        <f>IF('Cable Info'!R692="","",CONCATENATE('Cable Info'!R692," - ",'Cable Info'!S692))</f>
        <v/>
      </c>
      <c r="BB832" s="149" t="str">
        <f t="shared" si="99"/>
        <v/>
      </c>
      <c r="BD832" s="149" t="str">
        <f>IF('Cable Info'!T692="","",CONCATENATE('Cable Info'!T692," - ",'Cable Info'!U692))</f>
        <v/>
      </c>
      <c r="BG832" s="149" t="str">
        <f t="shared" si="100"/>
        <v/>
      </c>
      <c r="BI832" s="149" t="str">
        <f>IF('Cable Info'!V692="","",CONCATENATE('Cable Info'!V692," - ",'Cable Info'!W692))</f>
        <v/>
      </c>
      <c r="BL832" s="149" t="str">
        <f t="shared" si="101"/>
        <v/>
      </c>
    </row>
    <row r="833" spans="1:64" x14ac:dyDescent="0.2">
      <c r="A833" s="180"/>
      <c r="B833" s="180"/>
      <c r="C833" s="180"/>
      <c r="D833" s="180"/>
      <c r="E833" s="180"/>
      <c r="F833" s="187"/>
      <c r="G833" s="180"/>
      <c r="H833" s="180"/>
      <c r="I833" s="180"/>
      <c r="J833" s="187"/>
      <c r="K833" s="180"/>
      <c r="L833" s="180"/>
      <c r="M833" s="180"/>
      <c r="N833" s="180"/>
      <c r="O833" s="218"/>
      <c r="P833" s="180"/>
      <c r="Q833" s="188"/>
      <c r="R833" s="180"/>
      <c r="S833" s="180"/>
      <c r="T833" s="180"/>
      <c r="U833" s="180"/>
      <c r="V833" s="180"/>
      <c r="W833" s="180"/>
      <c r="X833" s="201"/>
      <c r="AJ833" s="149" t="str">
        <f>IF('Cable Info'!L693="","",CONCATENATE('Cable Info'!L693," - ",'Cable Info'!M693))</f>
        <v/>
      </c>
      <c r="AM833" s="149" t="str">
        <f t="shared" si="96"/>
        <v/>
      </c>
      <c r="AO833" s="149" t="str">
        <f>IF('Cable Info'!N693="","",CONCATENATE('Cable Info'!N693," - ",'Cable Info'!O693))</f>
        <v/>
      </c>
      <c r="AR833" s="149" t="str">
        <f t="shared" si="97"/>
        <v/>
      </c>
      <c r="AT833" s="149" t="str">
        <f>IF('Cable Info'!P693="","",CONCATENATE('Cable Info'!P693," - ",'Cable Info'!Q693))</f>
        <v/>
      </c>
      <c r="AW833" s="149" t="str">
        <f t="shared" si="98"/>
        <v/>
      </c>
      <c r="AY833" s="149" t="str">
        <f>IF('Cable Info'!R693="","",CONCATENATE('Cable Info'!R693," - ",'Cable Info'!S693))</f>
        <v/>
      </c>
      <c r="BB833" s="149" t="str">
        <f t="shared" si="99"/>
        <v/>
      </c>
      <c r="BD833" s="149" t="str">
        <f>IF('Cable Info'!T693="","",CONCATENATE('Cable Info'!T693," - ",'Cable Info'!U693))</f>
        <v/>
      </c>
      <c r="BG833" s="149" t="str">
        <f t="shared" si="100"/>
        <v/>
      </c>
      <c r="BI833" s="149" t="str">
        <f>IF('Cable Info'!V693="","",CONCATENATE('Cable Info'!V693," - ",'Cable Info'!W693))</f>
        <v/>
      </c>
      <c r="BL833" s="149" t="str">
        <f t="shared" si="101"/>
        <v/>
      </c>
    </row>
    <row r="834" spans="1:64" x14ac:dyDescent="0.2">
      <c r="A834" s="180"/>
      <c r="B834" s="180"/>
      <c r="C834" s="180"/>
      <c r="D834" s="180"/>
      <c r="E834" s="180"/>
      <c r="F834" s="187"/>
      <c r="G834" s="180"/>
      <c r="H834" s="180"/>
      <c r="I834" s="180"/>
      <c r="J834" s="187"/>
      <c r="K834" s="180"/>
      <c r="L834" s="180"/>
      <c r="M834" s="180"/>
      <c r="N834" s="180"/>
      <c r="O834" s="218"/>
      <c r="P834" s="180"/>
      <c r="Q834" s="188"/>
      <c r="R834" s="180"/>
      <c r="S834" s="180"/>
      <c r="T834" s="180"/>
      <c r="U834" s="180"/>
      <c r="V834" s="180"/>
      <c r="W834" s="180"/>
      <c r="X834" s="201"/>
      <c r="AJ834" s="149" t="str">
        <f>IF('Cable Info'!L694="","",CONCATENATE('Cable Info'!L694," - ",'Cable Info'!M694))</f>
        <v/>
      </c>
      <c r="AM834" s="149" t="str">
        <f t="shared" si="96"/>
        <v/>
      </c>
      <c r="AO834" s="149" t="str">
        <f>IF('Cable Info'!N694="","",CONCATENATE('Cable Info'!N694," - ",'Cable Info'!O694))</f>
        <v/>
      </c>
      <c r="AR834" s="149" t="str">
        <f t="shared" si="97"/>
        <v/>
      </c>
      <c r="AT834" s="149" t="str">
        <f>IF('Cable Info'!P694="","",CONCATENATE('Cable Info'!P694," - ",'Cable Info'!Q694))</f>
        <v/>
      </c>
      <c r="AW834" s="149" t="str">
        <f t="shared" si="98"/>
        <v/>
      </c>
      <c r="AY834" s="149" t="str">
        <f>IF('Cable Info'!R694="","",CONCATENATE('Cable Info'!R694," - ",'Cable Info'!S694))</f>
        <v/>
      </c>
      <c r="BB834" s="149" t="str">
        <f t="shared" si="99"/>
        <v/>
      </c>
      <c r="BD834" s="149" t="str">
        <f>IF('Cable Info'!T694="","",CONCATENATE('Cable Info'!T694," - ",'Cable Info'!U694))</f>
        <v/>
      </c>
      <c r="BG834" s="149" t="str">
        <f t="shared" si="100"/>
        <v/>
      </c>
      <c r="BI834" s="149" t="str">
        <f>IF('Cable Info'!V694="","",CONCATENATE('Cable Info'!V694," - ",'Cable Info'!W694))</f>
        <v/>
      </c>
      <c r="BL834" s="149" t="str">
        <f t="shared" si="101"/>
        <v/>
      </c>
    </row>
    <row r="835" spans="1:64" x14ac:dyDescent="0.2">
      <c r="A835" s="180"/>
      <c r="B835" s="180"/>
      <c r="C835" s="180"/>
      <c r="D835" s="180"/>
      <c r="E835" s="180"/>
      <c r="F835" s="187"/>
      <c r="G835" s="180"/>
      <c r="H835" s="180"/>
      <c r="I835" s="180"/>
      <c r="J835" s="187"/>
      <c r="K835" s="180"/>
      <c r="L835" s="180"/>
      <c r="M835" s="180"/>
      <c r="N835" s="180"/>
      <c r="O835" s="218"/>
      <c r="P835" s="180"/>
      <c r="Q835" s="188"/>
      <c r="R835" s="180"/>
      <c r="S835" s="180"/>
      <c r="T835" s="180"/>
      <c r="U835" s="180"/>
      <c r="V835" s="180"/>
      <c r="W835" s="180"/>
      <c r="X835" s="201"/>
      <c r="AJ835" s="149" t="str">
        <f>IF('Cable Info'!L695="","",CONCATENATE('Cable Info'!L695," - ",'Cable Info'!M695))</f>
        <v/>
      </c>
      <c r="AM835" s="149" t="str">
        <f t="shared" si="96"/>
        <v/>
      </c>
      <c r="AO835" s="149" t="str">
        <f>IF('Cable Info'!N695="","",CONCATENATE('Cable Info'!N695," - ",'Cable Info'!O695))</f>
        <v/>
      </c>
      <c r="AR835" s="149" t="str">
        <f t="shared" si="97"/>
        <v/>
      </c>
      <c r="AT835" s="149" t="str">
        <f>IF('Cable Info'!P695="","",CONCATENATE('Cable Info'!P695," - ",'Cable Info'!Q695))</f>
        <v/>
      </c>
      <c r="AW835" s="149" t="str">
        <f t="shared" si="98"/>
        <v/>
      </c>
      <c r="AY835" s="149" t="str">
        <f>IF('Cable Info'!R695="","",CONCATENATE('Cable Info'!R695," - ",'Cable Info'!S695))</f>
        <v/>
      </c>
      <c r="BB835" s="149" t="str">
        <f t="shared" si="99"/>
        <v/>
      </c>
      <c r="BD835" s="149" t="str">
        <f>IF('Cable Info'!T695="","",CONCATENATE('Cable Info'!T695," - ",'Cable Info'!U695))</f>
        <v/>
      </c>
      <c r="BG835" s="149" t="str">
        <f t="shared" si="100"/>
        <v/>
      </c>
      <c r="BI835" s="149" t="str">
        <f>IF('Cable Info'!V695="","",CONCATENATE('Cable Info'!V695," - ",'Cable Info'!W695))</f>
        <v/>
      </c>
      <c r="BL835" s="149" t="str">
        <f t="shared" si="101"/>
        <v/>
      </c>
    </row>
    <row r="836" spans="1:64" x14ac:dyDescent="0.2">
      <c r="A836" s="180"/>
      <c r="B836" s="180"/>
      <c r="C836" s="180"/>
      <c r="D836" s="180"/>
      <c r="E836" s="180"/>
      <c r="F836" s="187"/>
      <c r="G836" s="180"/>
      <c r="H836" s="180"/>
      <c r="I836" s="180"/>
      <c r="J836" s="187"/>
      <c r="K836" s="180"/>
      <c r="L836" s="180"/>
      <c r="M836" s="180"/>
      <c r="N836" s="180"/>
      <c r="O836" s="218"/>
      <c r="P836" s="180"/>
      <c r="Q836" s="188"/>
      <c r="R836" s="180"/>
      <c r="S836" s="180"/>
      <c r="T836" s="180"/>
      <c r="U836" s="180"/>
      <c r="V836" s="180"/>
      <c r="W836" s="180"/>
      <c r="X836" s="201"/>
      <c r="AJ836" s="149" t="str">
        <f>IF('Cable Info'!L696="","",CONCATENATE('Cable Info'!L696," - ",'Cable Info'!M696))</f>
        <v/>
      </c>
      <c r="AM836" s="149" t="str">
        <f t="shared" si="96"/>
        <v/>
      </c>
      <c r="AO836" s="149" t="str">
        <f>IF('Cable Info'!N696="","",CONCATENATE('Cable Info'!N696," - ",'Cable Info'!O696))</f>
        <v/>
      </c>
      <c r="AR836" s="149" t="str">
        <f t="shared" si="97"/>
        <v/>
      </c>
      <c r="AT836" s="149" t="str">
        <f>IF('Cable Info'!P696="","",CONCATENATE('Cable Info'!P696," - ",'Cable Info'!Q696))</f>
        <v/>
      </c>
      <c r="AW836" s="149" t="str">
        <f t="shared" si="98"/>
        <v/>
      </c>
      <c r="AY836" s="149" t="str">
        <f>IF('Cable Info'!R696="","",CONCATENATE('Cable Info'!R696," - ",'Cable Info'!S696))</f>
        <v/>
      </c>
      <c r="BB836" s="149" t="str">
        <f t="shared" si="99"/>
        <v/>
      </c>
      <c r="BD836" s="149" t="str">
        <f>IF('Cable Info'!T696="","",CONCATENATE('Cable Info'!T696," - ",'Cable Info'!U696))</f>
        <v/>
      </c>
      <c r="BG836" s="149" t="str">
        <f t="shared" si="100"/>
        <v/>
      </c>
      <c r="BI836" s="149" t="str">
        <f>IF('Cable Info'!V696="","",CONCATENATE('Cable Info'!V696," - ",'Cable Info'!W696))</f>
        <v/>
      </c>
      <c r="BL836" s="149" t="str">
        <f t="shared" si="101"/>
        <v/>
      </c>
    </row>
    <row r="837" spans="1:64" x14ac:dyDescent="0.2">
      <c r="A837" s="180"/>
      <c r="B837" s="180"/>
      <c r="C837" s="180"/>
      <c r="D837" s="180"/>
      <c r="E837" s="180"/>
      <c r="F837" s="187"/>
      <c r="G837" s="180"/>
      <c r="H837" s="180"/>
      <c r="I837" s="180"/>
      <c r="J837" s="187"/>
      <c r="K837" s="180"/>
      <c r="L837" s="180"/>
      <c r="M837" s="180"/>
      <c r="N837" s="180"/>
      <c r="O837" s="218"/>
      <c r="P837" s="180"/>
      <c r="Q837" s="188"/>
      <c r="R837" s="180"/>
      <c r="S837" s="180"/>
      <c r="T837" s="180"/>
      <c r="U837" s="180"/>
      <c r="V837" s="180"/>
      <c r="W837" s="180"/>
      <c r="X837" s="201"/>
      <c r="AJ837" s="149" t="str">
        <f>IF('Cable Info'!L697="","",CONCATENATE('Cable Info'!L697," - ",'Cable Info'!M697))</f>
        <v/>
      </c>
      <c r="AM837" s="149" t="str">
        <f t="shared" si="96"/>
        <v/>
      </c>
      <c r="AO837" s="149" t="str">
        <f>IF('Cable Info'!N697="","",CONCATENATE('Cable Info'!N697," - ",'Cable Info'!O697))</f>
        <v/>
      </c>
      <c r="AR837" s="149" t="str">
        <f t="shared" si="97"/>
        <v/>
      </c>
      <c r="AT837" s="149" t="str">
        <f>IF('Cable Info'!P697="","",CONCATENATE('Cable Info'!P697," - ",'Cable Info'!Q697))</f>
        <v/>
      </c>
      <c r="AW837" s="149" t="str">
        <f t="shared" si="98"/>
        <v/>
      </c>
      <c r="AY837" s="149" t="str">
        <f>IF('Cable Info'!R697="","",CONCATENATE('Cable Info'!R697," - ",'Cable Info'!S697))</f>
        <v/>
      </c>
      <c r="BB837" s="149" t="str">
        <f t="shared" si="99"/>
        <v/>
      </c>
      <c r="BD837" s="149" t="str">
        <f>IF('Cable Info'!T697="","",CONCATENATE('Cable Info'!T697," - ",'Cable Info'!U697))</f>
        <v/>
      </c>
      <c r="BG837" s="149" t="str">
        <f t="shared" si="100"/>
        <v/>
      </c>
      <c r="BI837" s="149" t="str">
        <f>IF('Cable Info'!V697="","",CONCATENATE('Cable Info'!V697," - ",'Cable Info'!W697))</f>
        <v/>
      </c>
      <c r="BL837" s="149" t="str">
        <f t="shared" si="101"/>
        <v/>
      </c>
    </row>
    <row r="838" spans="1:64" x14ac:dyDescent="0.2">
      <c r="A838" s="180"/>
      <c r="B838" s="180"/>
      <c r="C838" s="180"/>
      <c r="D838" s="180"/>
      <c r="E838" s="180"/>
      <c r="F838" s="187"/>
      <c r="G838" s="180"/>
      <c r="H838" s="180"/>
      <c r="I838" s="180"/>
      <c r="J838" s="187"/>
      <c r="K838" s="180"/>
      <c r="L838" s="180"/>
      <c r="M838" s="180"/>
      <c r="N838" s="180"/>
      <c r="O838" s="218"/>
      <c r="P838" s="180"/>
      <c r="Q838" s="188"/>
      <c r="R838" s="180"/>
      <c r="S838" s="180"/>
      <c r="T838" s="180"/>
      <c r="U838" s="180"/>
      <c r="V838" s="180"/>
      <c r="W838" s="180"/>
      <c r="X838" s="201"/>
      <c r="AJ838" s="149" t="str">
        <f>IF('Cable Info'!L698="","",CONCATENATE('Cable Info'!L698," - ",'Cable Info'!M698))</f>
        <v/>
      </c>
      <c r="AM838" s="149" t="str">
        <f t="shared" si="96"/>
        <v/>
      </c>
      <c r="AO838" s="149" t="str">
        <f>IF('Cable Info'!N698="","",CONCATENATE('Cable Info'!N698," - ",'Cable Info'!O698))</f>
        <v/>
      </c>
      <c r="AR838" s="149" t="str">
        <f t="shared" si="97"/>
        <v/>
      </c>
      <c r="AT838" s="149" t="str">
        <f>IF('Cable Info'!P698="","",CONCATENATE('Cable Info'!P698," - ",'Cable Info'!Q698))</f>
        <v/>
      </c>
      <c r="AW838" s="149" t="str">
        <f t="shared" si="98"/>
        <v/>
      </c>
      <c r="AY838" s="149" t="str">
        <f>IF('Cable Info'!R698="","",CONCATENATE('Cable Info'!R698," - ",'Cable Info'!S698))</f>
        <v/>
      </c>
      <c r="BB838" s="149" t="str">
        <f t="shared" si="99"/>
        <v/>
      </c>
      <c r="BD838" s="149" t="str">
        <f>IF('Cable Info'!T698="","",CONCATENATE('Cable Info'!T698," - ",'Cable Info'!U698))</f>
        <v/>
      </c>
      <c r="BG838" s="149" t="str">
        <f t="shared" si="100"/>
        <v/>
      </c>
      <c r="BI838" s="149" t="str">
        <f>IF('Cable Info'!V698="","",CONCATENATE('Cable Info'!V698," - ",'Cable Info'!W698))</f>
        <v/>
      </c>
      <c r="BL838" s="149" t="str">
        <f t="shared" si="101"/>
        <v/>
      </c>
    </row>
    <row r="839" spans="1:64" x14ac:dyDescent="0.2">
      <c r="A839" s="180"/>
      <c r="B839" s="180"/>
      <c r="C839" s="180"/>
      <c r="D839" s="180"/>
      <c r="E839" s="180"/>
      <c r="F839" s="187"/>
      <c r="G839" s="180"/>
      <c r="H839" s="180"/>
      <c r="I839" s="180"/>
      <c r="J839" s="187"/>
      <c r="K839" s="180"/>
      <c r="L839" s="180"/>
      <c r="M839" s="180"/>
      <c r="N839" s="180"/>
      <c r="O839" s="218"/>
      <c r="P839" s="180"/>
      <c r="Q839" s="188"/>
      <c r="R839" s="180"/>
      <c r="S839" s="180"/>
      <c r="T839" s="180"/>
      <c r="U839" s="180"/>
      <c r="V839" s="180"/>
      <c r="W839" s="180"/>
      <c r="X839" s="201"/>
      <c r="AJ839" s="149" t="str">
        <f>IF('Cable Info'!L699="","",CONCATENATE('Cable Info'!L699," - ",'Cable Info'!M699))</f>
        <v/>
      </c>
      <c r="AM839" s="149" t="str">
        <f t="shared" si="96"/>
        <v/>
      </c>
      <c r="AO839" s="149" t="str">
        <f>IF('Cable Info'!N699="","",CONCATENATE('Cable Info'!N699," - ",'Cable Info'!O699))</f>
        <v/>
      </c>
      <c r="AR839" s="149" t="str">
        <f t="shared" si="97"/>
        <v/>
      </c>
      <c r="AT839" s="149" t="str">
        <f>IF('Cable Info'!P699="","",CONCATENATE('Cable Info'!P699," - ",'Cable Info'!Q699))</f>
        <v/>
      </c>
      <c r="AW839" s="149" t="str">
        <f t="shared" si="98"/>
        <v/>
      </c>
      <c r="AY839" s="149" t="str">
        <f>IF('Cable Info'!R699="","",CONCATENATE('Cable Info'!R699," - ",'Cable Info'!S699))</f>
        <v/>
      </c>
      <c r="BB839" s="149" t="str">
        <f t="shared" si="99"/>
        <v/>
      </c>
      <c r="BD839" s="149" t="str">
        <f>IF('Cable Info'!T699="","",CONCATENATE('Cable Info'!T699," - ",'Cable Info'!U699))</f>
        <v/>
      </c>
      <c r="BG839" s="149" t="str">
        <f t="shared" si="100"/>
        <v/>
      </c>
      <c r="BI839" s="149" t="str">
        <f>IF('Cable Info'!V699="","",CONCATENATE('Cable Info'!V699," - ",'Cable Info'!W699))</f>
        <v/>
      </c>
      <c r="BL839" s="149" t="str">
        <f t="shared" si="101"/>
        <v/>
      </c>
    </row>
    <row r="840" spans="1:64" x14ac:dyDescent="0.2">
      <c r="A840" s="180"/>
      <c r="B840" s="180"/>
      <c r="C840" s="180"/>
      <c r="D840" s="180"/>
      <c r="E840" s="180"/>
      <c r="F840" s="187"/>
      <c r="G840" s="180"/>
      <c r="H840" s="180"/>
      <c r="I840" s="180"/>
      <c r="J840" s="187"/>
      <c r="K840" s="180"/>
      <c r="L840" s="180"/>
      <c r="M840" s="180"/>
      <c r="N840" s="180"/>
      <c r="O840" s="218"/>
      <c r="P840" s="180"/>
      <c r="Q840" s="188"/>
      <c r="R840" s="180"/>
      <c r="S840" s="180"/>
      <c r="T840" s="180"/>
      <c r="U840" s="180"/>
      <c r="V840" s="180"/>
      <c r="W840" s="180"/>
      <c r="X840" s="201"/>
      <c r="AJ840" s="149" t="str">
        <f>IF('Cable Info'!L700="","",CONCATENATE('Cable Info'!L700," - ",'Cable Info'!M700))</f>
        <v/>
      </c>
      <c r="AM840" s="149" t="str">
        <f t="shared" si="96"/>
        <v/>
      </c>
      <c r="AO840" s="149" t="str">
        <f>IF('Cable Info'!N700="","",CONCATENATE('Cable Info'!N700," - ",'Cable Info'!O700))</f>
        <v/>
      </c>
      <c r="AR840" s="149" t="str">
        <f t="shared" si="97"/>
        <v/>
      </c>
      <c r="AT840" s="149" t="str">
        <f>IF('Cable Info'!P700="","",CONCATENATE('Cable Info'!P700," - ",'Cable Info'!Q700))</f>
        <v/>
      </c>
      <c r="AW840" s="149" t="str">
        <f t="shared" si="98"/>
        <v/>
      </c>
      <c r="AY840" s="149" t="str">
        <f>IF('Cable Info'!R700="","",CONCATENATE('Cable Info'!R700," - ",'Cable Info'!S700))</f>
        <v/>
      </c>
      <c r="BB840" s="149" t="str">
        <f t="shared" si="99"/>
        <v/>
      </c>
      <c r="BD840" s="149" t="str">
        <f>IF('Cable Info'!T700="","",CONCATENATE('Cable Info'!T700," - ",'Cable Info'!U700))</f>
        <v/>
      </c>
      <c r="BG840" s="149" t="str">
        <f t="shared" si="100"/>
        <v/>
      </c>
      <c r="BI840" s="149" t="str">
        <f>IF('Cable Info'!V700="","",CONCATENATE('Cable Info'!V700," - ",'Cable Info'!W700))</f>
        <v/>
      </c>
      <c r="BL840" s="149" t="str">
        <f t="shared" si="101"/>
        <v/>
      </c>
    </row>
    <row r="841" spans="1:64" x14ac:dyDescent="0.2">
      <c r="A841" s="180"/>
      <c r="B841" s="180"/>
      <c r="C841" s="180"/>
      <c r="D841" s="180"/>
      <c r="E841" s="180"/>
      <c r="F841" s="187"/>
      <c r="G841" s="180"/>
      <c r="H841" s="180"/>
      <c r="I841" s="180"/>
      <c r="J841" s="187"/>
      <c r="K841" s="180"/>
      <c r="L841" s="180"/>
      <c r="M841" s="180"/>
      <c r="N841" s="180"/>
      <c r="O841" s="218"/>
      <c r="P841" s="180"/>
      <c r="Q841" s="188"/>
      <c r="R841" s="180"/>
      <c r="S841" s="180"/>
      <c r="T841" s="180"/>
      <c r="U841" s="180"/>
      <c r="V841" s="180"/>
      <c r="W841" s="180"/>
      <c r="X841" s="201"/>
      <c r="AJ841" s="149" t="str">
        <f>IF('Cable Info'!L701="","",CONCATENATE('Cable Info'!L701," - ",'Cable Info'!M701))</f>
        <v/>
      </c>
      <c r="AM841" s="149" t="str">
        <f t="shared" si="96"/>
        <v/>
      </c>
      <c r="AO841" s="149" t="str">
        <f>IF('Cable Info'!N701="","",CONCATENATE('Cable Info'!N701," - ",'Cable Info'!O701))</f>
        <v/>
      </c>
      <c r="AR841" s="149" t="str">
        <f t="shared" si="97"/>
        <v/>
      </c>
      <c r="AT841" s="149" t="str">
        <f>IF('Cable Info'!P701="","",CONCATENATE('Cable Info'!P701," - ",'Cable Info'!Q701))</f>
        <v/>
      </c>
      <c r="AW841" s="149" t="str">
        <f t="shared" si="98"/>
        <v/>
      </c>
      <c r="AY841" s="149" t="str">
        <f>IF('Cable Info'!R701="","",CONCATENATE('Cable Info'!R701," - ",'Cable Info'!S701))</f>
        <v/>
      </c>
      <c r="BB841" s="149" t="str">
        <f t="shared" si="99"/>
        <v/>
      </c>
      <c r="BD841" s="149" t="str">
        <f>IF('Cable Info'!T701="","",CONCATENATE('Cable Info'!T701," - ",'Cable Info'!U701))</f>
        <v/>
      </c>
      <c r="BG841" s="149" t="str">
        <f t="shared" si="100"/>
        <v/>
      </c>
      <c r="BI841" s="149" t="str">
        <f>IF('Cable Info'!V701="","",CONCATENATE('Cable Info'!V701," - ",'Cable Info'!W701))</f>
        <v/>
      </c>
      <c r="BL841" s="149" t="str">
        <f t="shared" si="101"/>
        <v/>
      </c>
    </row>
    <row r="842" spans="1:64" x14ac:dyDescent="0.2">
      <c r="A842" s="180"/>
      <c r="B842" s="180"/>
      <c r="C842" s="180"/>
      <c r="D842" s="180"/>
      <c r="E842" s="180"/>
      <c r="F842" s="187"/>
      <c r="G842" s="180"/>
      <c r="H842" s="180"/>
      <c r="I842" s="180"/>
      <c r="J842" s="187"/>
      <c r="K842" s="180"/>
      <c r="L842" s="180"/>
      <c r="M842" s="180"/>
      <c r="N842" s="180"/>
      <c r="O842" s="218"/>
      <c r="P842" s="180"/>
      <c r="Q842" s="188"/>
      <c r="R842" s="180"/>
      <c r="S842" s="180"/>
      <c r="T842" s="180"/>
      <c r="U842" s="180"/>
      <c r="V842" s="180"/>
      <c r="W842" s="180"/>
      <c r="X842" s="201"/>
      <c r="AJ842" s="149" t="str">
        <f>IF('Cable Info'!L702="","",CONCATENATE('Cable Info'!L702," - ",'Cable Info'!M702))</f>
        <v/>
      </c>
      <c r="AM842" s="149" t="str">
        <f t="shared" si="96"/>
        <v/>
      </c>
      <c r="AO842" s="149" t="str">
        <f>IF('Cable Info'!N702="","",CONCATENATE('Cable Info'!N702," - ",'Cable Info'!O702))</f>
        <v/>
      </c>
      <c r="AR842" s="149" t="str">
        <f t="shared" si="97"/>
        <v/>
      </c>
      <c r="AT842" s="149" t="str">
        <f>IF('Cable Info'!P702="","",CONCATENATE('Cable Info'!P702," - ",'Cable Info'!Q702))</f>
        <v/>
      </c>
      <c r="AW842" s="149" t="str">
        <f t="shared" si="98"/>
        <v/>
      </c>
      <c r="AY842" s="149" t="str">
        <f>IF('Cable Info'!R702="","",CONCATENATE('Cable Info'!R702," - ",'Cable Info'!S702))</f>
        <v/>
      </c>
      <c r="BB842" s="149" t="str">
        <f t="shared" si="99"/>
        <v/>
      </c>
      <c r="BD842" s="149" t="str">
        <f>IF('Cable Info'!T702="","",CONCATENATE('Cable Info'!T702," - ",'Cable Info'!U702))</f>
        <v/>
      </c>
      <c r="BG842" s="149" t="str">
        <f t="shared" si="100"/>
        <v/>
      </c>
      <c r="BI842" s="149" t="str">
        <f>IF('Cable Info'!V702="","",CONCATENATE('Cable Info'!V702," - ",'Cable Info'!W702))</f>
        <v/>
      </c>
      <c r="BL842" s="149" t="str">
        <f t="shared" si="101"/>
        <v/>
      </c>
    </row>
    <row r="843" spans="1:64" x14ac:dyDescent="0.2">
      <c r="A843" s="180"/>
      <c r="B843" s="180"/>
      <c r="C843" s="180"/>
      <c r="D843" s="180"/>
      <c r="E843" s="180"/>
      <c r="F843" s="187"/>
      <c r="G843" s="180"/>
      <c r="H843" s="180"/>
      <c r="I843" s="180"/>
      <c r="J843" s="187"/>
      <c r="K843" s="180"/>
      <c r="L843" s="180"/>
      <c r="M843" s="180"/>
      <c r="N843" s="180"/>
      <c r="O843" s="218"/>
      <c r="P843" s="180"/>
      <c r="Q843" s="188"/>
      <c r="R843" s="180"/>
      <c r="S843" s="180"/>
      <c r="T843" s="180"/>
      <c r="U843" s="180"/>
      <c r="V843" s="180"/>
      <c r="W843" s="180"/>
      <c r="X843" s="201"/>
      <c r="AJ843" s="149" t="str">
        <f>IF('Cable Info'!L703="","",CONCATENATE('Cable Info'!L703," - ",'Cable Info'!M703))</f>
        <v/>
      </c>
      <c r="AM843" s="149" t="str">
        <f t="shared" si="96"/>
        <v/>
      </c>
      <c r="AO843" s="149" t="str">
        <f>IF('Cable Info'!N703="","",CONCATENATE('Cable Info'!N703," - ",'Cable Info'!O703))</f>
        <v/>
      </c>
      <c r="AR843" s="149" t="str">
        <f t="shared" si="97"/>
        <v/>
      </c>
      <c r="AT843" s="149" t="str">
        <f>IF('Cable Info'!P703="","",CONCATENATE('Cable Info'!P703," - ",'Cable Info'!Q703))</f>
        <v/>
      </c>
      <c r="AW843" s="149" t="str">
        <f t="shared" si="98"/>
        <v/>
      </c>
      <c r="AY843" s="149" t="str">
        <f>IF('Cable Info'!R703="","",CONCATENATE('Cable Info'!R703," - ",'Cable Info'!S703))</f>
        <v/>
      </c>
      <c r="BB843" s="149" t="str">
        <f t="shared" si="99"/>
        <v/>
      </c>
      <c r="BD843" s="149" t="str">
        <f>IF('Cable Info'!T703="","",CONCATENATE('Cable Info'!T703," - ",'Cable Info'!U703))</f>
        <v/>
      </c>
      <c r="BG843" s="149" t="str">
        <f t="shared" si="100"/>
        <v/>
      </c>
      <c r="BI843" s="149" t="str">
        <f>IF('Cable Info'!V703="","",CONCATENATE('Cable Info'!V703," - ",'Cable Info'!W703))</f>
        <v/>
      </c>
      <c r="BL843" s="149" t="str">
        <f t="shared" si="101"/>
        <v/>
      </c>
    </row>
    <row r="844" spans="1:64" x14ac:dyDescent="0.2">
      <c r="A844" s="180"/>
      <c r="B844" s="180"/>
      <c r="C844" s="180"/>
      <c r="D844" s="180"/>
      <c r="E844" s="180"/>
      <c r="F844" s="187"/>
      <c r="G844" s="180"/>
      <c r="H844" s="180"/>
      <c r="I844" s="180"/>
      <c r="J844" s="187"/>
      <c r="K844" s="180"/>
      <c r="L844" s="180"/>
      <c r="M844" s="180"/>
      <c r="N844" s="180"/>
      <c r="O844" s="218"/>
      <c r="P844" s="180"/>
      <c r="Q844" s="188"/>
      <c r="R844" s="180"/>
      <c r="S844" s="180"/>
      <c r="T844" s="180"/>
      <c r="U844" s="180"/>
      <c r="V844" s="180"/>
      <c r="W844" s="180"/>
      <c r="X844" s="201"/>
      <c r="AJ844" s="149" t="str">
        <f>IF('Cable Info'!L704="","",CONCATENATE('Cable Info'!L704," - ",'Cable Info'!M704))</f>
        <v/>
      </c>
      <c r="AM844" s="149" t="str">
        <f t="shared" si="96"/>
        <v/>
      </c>
      <c r="AO844" s="149" t="str">
        <f>IF('Cable Info'!N704="","",CONCATENATE('Cable Info'!N704," - ",'Cable Info'!O704))</f>
        <v/>
      </c>
      <c r="AR844" s="149" t="str">
        <f t="shared" si="97"/>
        <v/>
      </c>
      <c r="AT844" s="149" t="str">
        <f>IF('Cable Info'!P704="","",CONCATENATE('Cable Info'!P704," - ",'Cable Info'!Q704))</f>
        <v/>
      </c>
      <c r="AW844" s="149" t="str">
        <f t="shared" si="98"/>
        <v/>
      </c>
      <c r="AY844" s="149" t="str">
        <f>IF('Cable Info'!R704="","",CONCATENATE('Cable Info'!R704," - ",'Cable Info'!S704))</f>
        <v/>
      </c>
      <c r="BB844" s="149" t="str">
        <f t="shared" si="99"/>
        <v/>
      </c>
      <c r="BD844" s="149" t="str">
        <f>IF('Cable Info'!T704="","",CONCATENATE('Cable Info'!T704," - ",'Cable Info'!U704))</f>
        <v/>
      </c>
      <c r="BG844" s="149" t="str">
        <f t="shared" si="100"/>
        <v/>
      </c>
      <c r="BI844" s="149" t="str">
        <f>IF('Cable Info'!V704="","",CONCATENATE('Cable Info'!V704," - ",'Cable Info'!W704))</f>
        <v/>
      </c>
      <c r="BL844" s="149" t="str">
        <f t="shared" si="101"/>
        <v/>
      </c>
    </row>
    <row r="845" spans="1:64" x14ac:dyDescent="0.2">
      <c r="A845" s="180"/>
      <c r="B845" s="180"/>
      <c r="C845" s="180"/>
      <c r="D845" s="180"/>
      <c r="E845" s="180"/>
      <c r="F845" s="187"/>
      <c r="G845" s="180"/>
      <c r="H845" s="180"/>
      <c r="I845" s="180"/>
      <c r="J845" s="187"/>
      <c r="K845" s="180"/>
      <c r="L845" s="180"/>
      <c r="M845" s="180"/>
      <c r="N845" s="180"/>
      <c r="O845" s="218"/>
      <c r="P845" s="180"/>
      <c r="Q845" s="188"/>
      <c r="R845" s="180"/>
      <c r="S845" s="180"/>
      <c r="T845" s="180"/>
      <c r="U845" s="180"/>
      <c r="V845" s="180"/>
      <c r="W845" s="180"/>
      <c r="X845" s="201"/>
      <c r="AJ845" s="149" t="str">
        <f>IF('Cable Info'!L705="","",CONCATENATE('Cable Info'!L705," - ",'Cable Info'!M705))</f>
        <v/>
      </c>
      <c r="AM845" s="149" t="str">
        <f t="shared" si="96"/>
        <v/>
      </c>
      <c r="AO845" s="149" t="str">
        <f>IF('Cable Info'!N705="","",CONCATENATE('Cable Info'!N705," - ",'Cable Info'!O705))</f>
        <v/>
      </c>
      <c r="AR845" s="149" t="str">
        <f t="shared" si="97"/>
        <v/>
      </c>
      <c r="AT845" s="149" t="str">
        <f>IF('Cable Info'!P705="","",CONCATENATE('Cable Info'!P705," - ",'Cable Info'!Q705))</f>
        <v/>
      </c>
      <c r="AW845" s="149" t="str">
        <f t="shared" si="98"/>
        <v/>
      </c>
      <c r="AY845" s="149" t="str">
        <f>IF('Cable Info'!R705="","",CONCATENATE('Cable Info'!R705," - ",'Cable Info'!S705))</f>
        <v/>
      </c>
      <c r="BB845" s="149" t="str">
        <f t="shared" si="99"/>
        <v/>
      </c>
      <c r="BD845" s="149" t="str">
        <f>IF('Cable Info'!T705="","",CONCATENATE('Cable Info'!T705," - ",'Cable Info'!U705))</f>
        <v/>
      </c>
      <c r="BG845" s="149" t="str">
        <f t="shared" si="100"/>
        <v/>
      </c>
      <c r="BI845" s="149" t="str">
        <f>IF('Cable Info'!V705="","",CONCATENATE('Cable Info'!V705," - ",'Cable Info'!W705))</f>
        <v/>
      </c>
      <c r="BL845" s="149" t="str">
        <f t="shared" si="101"/>
        <v/>
      </c>
    </row>
    <row r="846" spans="1:64" x14ac:dyDescent="0.2">
      <c r="A846" s="180"/>
      <c r="B846" s="180"/>
      <c r="C846" s="180"/>
      <c r="D846" s="180"/>
      <c r="E846" s="180"/>
      <c r="F846" s="187"/>
      <c r="G846" s="180"/>
      <c r="H846" s="180"/>
      <c r="I846" s="180"/>
      <c r="J846" s="187"/>
      <c r="K846" s="180"/>
      <c r="L846" s="180"/>
      <c r="M846" s="180"/>
      <c r="N846" s="180"/>
      <c r="O846" s="218"/>
      <c r="P846" s="180"/>
      <c r="Q846" s="188"/>
      <c r="R846" s="180"/>
      <c r="S846" s="180"/>
      <c r="T846" s="180"/>
      <c r="U846" s="180"/>
      <c r="V846" s="180"/>
      <c r="W846" s="180"/>
      <c r="X846" s="201"/>
      <c r="AJ846" s="149" t="str">
        <f>IF('Cable Info'!L706="","",CONCATENATE('Cable Info'!L706," - ",'Cable Info'!M706))</f>
        <v/>
      </c>
      <c r="AM846" s="149" t="str">
        <f t="shared" si="96"/>
        <v/>
      </c>
      <c r="AO846" s="149" t="str">
        <f>IF('Cable Info'!N706="","",CONCATENATE('Cable Info'!N706," - ",'Cable Info'!O706))</f>
        <v/>
      </c>
      <c r="AR846" s="149" t="str">
        <f t="shared" si="97"/>
        <v/>
      </c>
      <c r="AT846" s="149" t="str">
        <f>IF('Cable Info'!P706="","",CONCATENATE('Cable Info'!P706," - ",'Cable Info'!Q706))</f>
        <v/>
      </c>
      <c r="AW846" s="149" t="str">
        <f t="shared" si="98"/>
        <v/>
      </c>
      <c r="AY846" s="149" t="str">
        <f>IF('Cable Info'!R706="","",CONCATENATE('Cable Info'!R706," - ",'Cable Info'!S706))</f>
        <v/>
      </c>
      <c r="BB846" s="149" t="str">
        <f t="shared" si="99"/>
        <v/>
      </c>
      <c r="BD846" s="149" t="str">
        <f>IF('Cable Info'!T706="","",CONCATENATE('Cable Info'!T706," - ",'Cable Info'!U706))</f>
        <v/>
      </c>
      <c r="BG846" s="149" t="str">
        <f t="shared" si="100"/>
        <v/>
      </c>
      <c r="BI846" s="149" t="str">
        <f>IF('Cable Info'!V706="","",CONCATENATE('Cable Info'!V706," - ",'Cable Info'!W706))</f>
        <v/>
      </c>
      <c r="BL846" s="149" t="str">
        <f t="shared" si="101"/>
        <v/>
      </c>
    </row>
    <row r="847" spans="1:64" x14ac:dyDescent="0.2">
      <c r="A847" s="180"/>
      <c r="B847" s="180"/>
      <c r="C847" s="180"/>
      <c r="D847" s="180"/>
      <c r="E847" s="180"/>
      <c r="F847" s="187"/>
      <c r="G847" s="180"/>
      <c r="H847" s="180"/>
      <c r="I847" s="180"/>
      <c r="J847" s="187"/>
      <c r="K847" s="180"/>
      <c r="L847" s="180"/>
      <c r="M847" s="180"/>
      <c r="N847" s="180"/>
      <c r="O847" s="218"/>
      <c r="P847" s="180"/>
      <c r="Q847" s="188"/>
      <c r="R847" s="180"/>
      <c r="S847" s="180"/>
      <c r="T847" s="180"/>
      <c r="U847" s="180"/>
      <c r="V847" s="180"/>
      <c r="W847" s="180"/>
      <c r="X847" s="201"/>
      <c r="AJ847" s="149" t="str">
        <f>IF('Cable Info'!L707="","",CONCATENATE('Cable Info'!L707," - ",'Cable Info'!M707))</f>
        <v/>
      </c>
      <c r="AM847" s="149" t="str">
        <f t="shared" ref="AM847:AM910" si="102">IF(AK847="",AJ847,CONCATENATE(AJ847,"  &lt;=&gt; ",AK847," ",AL847))</f>
        <v/>
      </c>
      <c r="AO847" s="149" t="str">
        <f>IF('Cable Info'!N707="","",CONCATENATE('Cable Info'!N707," - ",'Cable Info'!O707))</f>
        <v/>
      </c>
      <c r="AR847" s="149" t="str">
        <f t="shared" ref="AR847:AR910" si="103">IF(AP847="",AO847,CONCATENATE(AO847,"  &lt;=&gt; ",AP847," ",AQ847))</f>
        <v/>
      </c>
      <c r="AT847" s="149" t="str">
        <f>IF('Cable Info'!P707="","",CONCATENATE('Cable Info'!P707," - ",'Cable Info'!Q707))</f>
        <v/>
      </c>
      <c r="AW847" s="149" t="str">
        <f t="shared" ref="AW847:AW910" si="104">IF(AU847="",AT847,CONCATENATE(AT847,"  &lt;=&gt; ",AU847," ",AV847))</f>
        <v/>
      </c>
      <c r="AY847" s="149" t="str">
        <f>IF('Cable Info'!R707="","",CONCATENATE('Cable Info'!R707," - ",'Cable Info'!S707))</f>
        <v/>
      </c>
      <c r="BB847" s="149" t="str">
        <f t="shared" ref="BB847:BB910" si="105">IF(AZ847="",AY847,CONCATENATE(AY847,"  &lt;=&gt; ",AZ847," ",BA847))</f>
        <v/>
      </c>
      <c r="BD847" s="149" t="str">
        <f>IF('Cable Info'!T707="","",CONCATENATE('Cable Info'!T707," - ",'Cable Info'!U707))</f>
        <v/>
      </c>
      <c r="BG847" s="149" t="str">
        <f t="shared" ref="BG847:BG910" si="106">IF(BE847="",BD847,CONCATENATE(BD847,"  &lt;=&gt; ",BE847," ",BF847))</f>
        <v/>
      </c>
      <c r="BI847" s="149" t="str">
        <f>IF('Cable Info'!V707="","",CONCATENATE('Cable Info'!V707," - ",'Cable Info'!W707))</f>
        <v/>
      </c>
      <c r="BL847" s="149" t="str">
        <f t="shared" ref="BL847:BL910" si="107">IF(BJ847="",BI847,CONCATENATE(BI847,"  &lt;=&gt; ",BJ847," ",BK847))</f>
        <v/>
      </c>
    </row>
    <row r="848" spans="1:64" x14ac:dyDescent="0.2">
      <c r="A848" s="180"/>
      <c r="B848" s="180"/>
      <c r="C848" s="180"/>
      <c r="D848" s="180"/>
      <c r="E848" s="180"/>
      <c r="F848" s="187"/>
      <c r="G848" s="180"/>
      <c r="H848" s="180"/>
      <c r="I848" s="180"/>
      <c r="J848" s="187"/>
      <c r="K848" s="180"/>
      <c r="L848" s="180"/>
      <c r="M848" s="180"/>
      <c r="N848" s="180"/>
      <c r="O848" s="218"/>
      <c r="P848" s="180"/>
      <c r="Q848" s="188"/>
      <c r="R848" s="180"/>
      <c r="S848" s="180"/>
      <c r="T848" s="180"/>
      <c r="U848" s="180"/>
      <c r="V848" s="180"/>
      <c r="W848" s="180"/>
      <c r="X848" s="201"/>
      <c r="AJ848" s="149" t="str">
        <f>IF('Cable Info'!L708="","",CONCATENATE('Cable Info'!L708," - ",'Cable Info'!M708))</f>
        <v/>
      </c>
      <c r="AM848" s="149" t="str">
        <f t="shared" si="102"/>
        <v/>
      </c>
      <c r="AO848" s="149" t="str">
        <f>IF('Cable Info'!N708="","",CONCATENATE('Cable Info'!N708," - ",'Cable Info'!O708))</f>
        <v/>
      </c>
      <c r="AR848" s="149" t="str">
        <f t="shared" si="103"/>
        <v/>
      </c>
      <c r="AT848" s="149" t="str">
        <f>IF('Cable Info'!P708="","",CONCATENATE('Cable Info'!P708," - ",'Cable Info'!Q708))</f>
        <v/>
      </c>
      <c r="AW848" s="149" t="str">
        <f t="shared" si="104"/>
        <v/>
      </c>
      <c r="AY848" s="149" t="str">
        <f>IF('Cable Info'!R708="","",CONCATENATE('Cable Info'!R708," - ",'Cable Info'!S708))</f>
        <v/>
      </c>
      <c r="BB848" s="149" t="str">
        <f t="shared" si="105"/>
        <v/>
      </c>
      <c r="BD848" s="149" t="str">
        <f>IF('Cable Info'!T708="","",CONCATENATE('Cable Info'!T708," - ",'Cable Info'!U708))</f>
        <v/>
      </c>
      <c r="BG848" s="149" t="str">
        <f t="shared" si="106"/>
        <v/>
      </c>
      <c r="BI848" s="149" t="str">
        <f>IF('Cable Info'!V708="","",CONCATENATE('Cable Info'!V708," - ",'Cable Info'!W708))</f>
        <v/>
      </c>
      <c r="BL848" s="149" t="str">
        <f t="shared" si="107"/>
        <v/>
      </c>
    </row>
    <row r="849" spans="1:64" x14ac:dyDescent="0.2">
      <c r="A849" s="180"/>
      <c r="B849" s="180"/>
      <c r="C849" s="180"/>
      <c r="D849" s="180"/>
      <c r="E849" s="180"/>
      <c r="F849" s="187"/>
      <c r="G849" s="180"/>
      <c r="H849" s="180"/>
      <c r="I849" s="180"/>
      <c r="J849" s="187"/>
      <c r="K849" s="180"/>
      <c r="L849" s="180"/>
      <c r="M849" s="180"/>
      <c r="N849" s="180"/>
      <c r="O849" s="218"/>
      <c r="P849" s="180"/>
      <c r="Q849" s="188"/>
      <c r="R849" s="180"/>
      <c r="S849" s="180"/>
      <c r="T849" s="180"/>
      <c r="U849" s="180"/>
      <c r="V849" s="180"/>
      <c r="W849" s="180"/>
      <c r="X849" s="201"/>
      <c r="AJ849" s="149" t="str">
        <f>IF('Cable Info'!L709="","",CONCATENATE('Cable Info'!L709," - ",'Cable Info'!M709))</f>
        <v/>
      </c>
      <c r="AM849" s="149" t="str">
        <f t="shared" si="102"/>
        <v/>
      </c>
      <c r="AO849" s="149" t="str">
        <f>IF('Cable Info'!N709="","",CONCATENATE('Cable Info'!N709," - ",'Cable Info'!O709))</f>
        <v/>
      </c>
      <c r="AR849" s="149" t="str">
        <f t="shared" si="103"/>
        <v/>
      </c>
      <c r="AT849" s="149" t="str">
        <f>IF('Cable Info'!P709="","",CONCATENATE('Cable Info'!P709," - ",'Cable Info'!Q709))</f>
        <v/>
      </c>
      <c r="AW849" s="149" t="str">
        <f t="shared" si="104"/>
        <v/>
      </c>
      <c r="AY849" s="149" t="str">
        <f>IF('Cable Info'!R709="","",CONCATENATE('Cable Info'!R709," - ",'Cable Info'!S709))</f>
        <v/>
      </c>
      <c r="BB849" s="149" t="str">
        <f t="shared" si="105"/>
        <v/>
      </c>
      <c r="BD849" s="149" t="str">
        <f>IF('Cable Info'!T709="","",CONCATENATE('Cable Info'!T709," - ",'Cable Info'!U709))</f>
        <v/>
      </c>
      <c r="BG849" s="149" t="str">
        <f t="shared" si="106"/>
        <v/>
      </c>
      <c r="BI849" s="149" t="str">
        <f>IF('Cable Info'!V709="","",CONCATENATE('Cable Info'!V709," - ",'Cable Info'!W709))</f>
        <v/>
      </c>
      <c r="BL849" s="149" t="str">
        <f t="shared" si="107"/>
        <v/>
      </c>
    </row>
    <row r="850" spans="1:64" x14ac:dyDescent="0.2">
      <c r="A850" s="180"/>
      <c r="B850" s="180"/>
      <c r="C850" s="180"/>
      <c r="D850" s="180"/>
      <c r="E850" s="180"/>
      <c r="F850" s="187"/>
      <c r="G850" s="180"/>
      <c r="H850" s="180"/>
      <c r="I850" s="180"/>
      <c r="J850" s="187"/>
      <c r="K850" s="180"/>
      <c r="L850" s="180"/>
      <c r="M850" s="180"/>
      <c r="N850" s="180"/>
      <c r="O850" s="218"/>
      <c r="P850" s="180"/>
      <c r="Q850" s="188"/>
      <c r="R850" s="180"/>
      <c r="S850" s="180"/>
      <c r="T850" s="180"/>
      <c r="U850" s="180"/>
      <c r="V850" s="180"/>
      <c r="W850" s="180"/>
      <c r="X850" s="201"/>
      <c r="AJ850" s="149" t="str">
        <f>IF('Cable Info'!L710="","",CONCATENATE('Cable Info'!L710," - ",'Cable Info'!M710))</f>
        <v/>
      </c>
      <c r="AM850" s="149" t="str">
        <f t="shared" si="102"/>
        <v/>
      </c>
      <c r="AO850" s="149" t="str">
        <f>IF('Cable Info'!N710="","",CONCATENATE('Cable Info'!N710," - ",'Cable Info'!O710))</f>
        <v/>
      </c>
      <c r="AR850" s="149" t="str">
        <f t="shared" si="103"/>
        <v/>
      </c>
      <c r="AT850" s="149" t="str">
        <f>IF('Cable Info'!P710="","",CONCATENATE('Cable Info'!P710," - ",'Cable Info'!Q710))</f>
        <v/>
      </c>
      <c r="AW850" s="149" t="str">
        <f t="shared" si="104"/>
        <v/>
      </c>
      <c r="AY850" s="149" t="str">
        <f>IF('Cable Info'!R710="","",CONCATENATE('Cable Info'!R710," - ",'Cable Info'!S710))</f>
        <v/>
      </c>
      <c r="BB850" s="149" t="str">
        <f t="shared" si="105"/>
        <v/>
      </c>
      <c r="BD850" s="149" t="str">
        <f>IF('Cable Info'!T710="","",CONCATENATE('Cable Info'!T710," - ",'Cable Info'!U710))</f>
        <v/>
      </c>
      <c r="BG850" s="149" t="str">
        <f t="shared" si="106"/>
        <v/>
      </c>
      <c r="BI850" s="149" t="str">
        <f>IF('Cable Info'!V710="","",CONCATENATE('Cable Info'!V710," - ",'Cable Info'!W710))</f>
        <v/>
      </c>
      <c r="BL850" s="149" t="str">
        <f t="shared" si="107"/>
        <v/>
      </c>
    </row>
    <row r="851" spans="1:64" x14ac:dyDescent="0.2">
      <c r="A851" s="180"/>
      <c r="B851" s="180"/>
      <c r="C851" s="180"/>
      <c r="D851" s="180"/>
      <c r="E851" s="180"/>
      <c r="F851" s="187"/>
      <c r="G851" s="180"/>
      <c r="H851" s="180"/>
      <c r="I851" s="180"/>
      <c r="J851" s="187"/>
      <c r="K851" s="180"/>
      <c r="L851" s="180"/>
      <c r="M851" s="180"/>
      <c r="N851" s="180"/>
      <c r="O851" s="218"/>
      <c r="P851" s="180"/>
      <c r="Q851" s="188"/>
      <c r="R851" s="180"/>
      <c r="S851" s="180"/>
      <c r="T851" s="180"/>
      <c r="U851" s="180"/>
      <c r="V851" s="180"/>
      <c r="W851" s="180"/>
      <c r="X851" s="201"/>
      <c r="AJ851" s="149" t="str">
        <f>IF('Cable Info'!L711="","",CONCATENATE('Cable Info'!L711," - ",'Cable Info'!M711))</f>
        <v/>
      </c>
      <c r="AM851" s="149" t="str">
        <f t="shared" si="102"/>
        <v/>
      </c>
      <c r="AO851" s="149" t="str">
        <f>IF('Cable Info'!N711="","",CONCATENATE('Cable Info'!N711," - ",'Cable Info'!O711))</f>
        <v/>
      </c>
      <c r="AR851" s="149" t="str">
        <f t="shared" si="103"/>
        <v/>
      </c>
      <c r="AT851" s="149" t="str">
        <f>IF('Cable Info'!P711="","",CONCATENATE('Cable Info'!P711," - ",'Cable Info'!Q711))</f>
        <v/>
      </c>
      <c r="AW851" s="149" t="str">
        <f t="shared" si="104"/>
        <v/>
      </c>
      <c r="AY851" s="149" t="str">
        <f>IF('Cable Info'!R711="","",CONCATENATE('Cable Info'!R711," - ",'Cable Info'!S711))</f>
        <v/>
      </c>
      <c r="BB851" s="149" t="str">
        <f t="shared" si="105"/>
        <v/>
      </c>
      <c r="BD851" s="149" t="str">
        <f>IF('Cable Info'!T711="","",CONCATENATE('Cable Info'!T711," - ",'Cable Info'!U711))</f>
        <v/>
      </c>
      <c r="BG851" s="149" t="str">
        <f t="shared" si="106"/>
        <v/>
      </c>
      <c r="BI851" s="149" t="str">
        <f>IF('Cable Info'!V711="","",CONCATENATE('Cable Info'!V711," - ",'Cable Info'!W711))</f>
        <v/>
      </c>
      <c r="BL851" s="149" t="str">
        <f t="shared" si="107"/>
        <v/>
      </c>
    </row>
    <row r="852" spans="1:64" x14ac:dyDescent="0.2">
      <c r="A852" s="180"/>
      <c r="B852" s="180"/>
      <c r="C852" s="180"/>
      <c r="D852" s="180"/>
      <c r="E852" s="180"/>
      <c r="F852" s="187"/>
      <c r="G852" s="180"/>
      <c r="H852" s="180"/>
      <c r="I852" s="180"/>
      <c r="J852" s="187"/>
      <c r="K852" s="180"/>
      <c r="L852" s="180"/>
      <c r="M852" s="180"/>
      <c r="N852" s="180"/>
      <c r="O852" s="218"/>
      <c r="P852" s="180"/>
      <c r="Q852" s="188"/>
      <c r="R852" s="180"/>
      <c r="S852" s="180"/>
      <c r="T852" s="180"/>
      <c r="U852" s="180"/>
      <c r="V852" s="180"/>
      <c r="W852" s="180"/>
      <c r="X852" s="201"/>
      <c r="AJ852" s="149" t="str">
        <f>IF('Cable Info'!L712="","",CONCATENATE('Cable Info'!L712," - ",'Cable Info'!M712))</f>
        <v/>
      </c>
      <c r="AM852" s="149" t="str">
        <f t="shared" si="102"/>
        <v/>
      </c>
      <c r="AO852" s="149" t="str">
        <f>IF('Cable Info'!N712="","",CONCATENATE('Cable Info'!N712," - ",'Cable Info'!O712))</f>
        <v/>
      </c>
      <c r="AR852" s="149" t="str">
        <f t="shared" si="103"/>
        <v/>
      </c>
      <c r="AT852" s="149" t="str">
        <f>IF('Cable Info'!P712="","",CONCATENATE('Cable Info'!P712," - ",'Cable Info'!Q712))</f>
        <v/>
      </c>
      <c r="AW852" s="149" t="str">
        <f t="shared" si="104"/>
        <v/>
      </c>
      <c r="AY852" s="149" t="str">
        <f>IF('Cable Info'!R712="","",CONCATENATE('Cable Info'!R712," - ",'Cable Info'!S712))</f>
        <v/>
      </c>
      <c r="BB852" s="149" t="str">
        <f t="shared" si="105"/>
        <v/>
      </c>
      <c r="BD852" s="149" t="str">
        <f>IF('Cable Info'!T712="","",CONCATENATE('Cable Info'!T712," - ",'Cable Info'!U712))</f>
        <v/>
      </c>
      <c r="BG852" s="149" t="str">
        <f t="shared" si="106"/>
        <v/>
      </c>
      <c r="BI852" s="149" t="str">
        <f>IF('Cable Info'!V712="","",CONCATENATE('Cable Info'!V712," - ",'Cable Info'!W712))</f>
        <v/>
      </c>
      <c r="BL852" s="149" t="str">
        <f t="shared" si="107"/>
        <v/>
      </c>
    </row>
    <row r="853" spans="1:64" x14ac:dyDescent="0.2">
      <c r="A853" s="180"/>
      <c r="B853" s="180"/>
      <c r="C853" s="180"/>
      <c r="D853" s="180"/>
      <c r="E853" s="180"/>
      <c r="F853" s="187"/>
      <c r="G853" s="180"/>
      <c r="H853" s="180"/>
      <c r="I853" s="180"/>
      <c r="J853" s="187"/>
      <c r="K853" s="180"/>
      <c r="L853" s="180"/>
      <c r="M853" s="180"/>
      <c r="N853" s="180"/>
      <c r="O853" s="218"/>
      <c r="P853" s="180"/>
      <c r="Q853" s="188"/>
      <c r="R853" s="180"/>
      <c r="S853" s="180"/>
      <c r="T853" s="180"/>
      <c r="U853" s="180"/>
      <c r="V853" s="180"/>
      <c r="W853" s="180"/>
      <c r="X853" s="201"/>
      <c r="AJ853" s="149" t="str">
        <f>IF('Cable Info'!L713="","",CONCATENATE('Cable Info'!L713," - ",'Cable Info'!M713))</f>
        <v/>
      </c>
      <c r="AM853" s="149" t="str">
        <f t="shared" si="102"/>
        <v/>
      </c>
      <c r="AO853" s="149" t="str">
        <f>IF('Cable Info'!N713="","",CONCATENATE('Cable Info'!N713," - ",'Cable Info'!O713))</f>
        <v/>
      </c>
      <c r="AR853" s="149" t="str">
        <f t="shared" si="103"/>
        <v/>
      </c>
      <c r="AT853" s="149" t="str">
        <f>IF('Cable Info'!P713="","",CONCATENATE('Cable Info'!P713," - ",'Cable Info'!Q713))</f>
        <v/>
      </c>
      <c r="AW853" s="149" t="str">
        <f t="shared" si="104"/>
        <v/>
      </c>
      <c r="AY853" s="149" t="str">
        <f>IF('Cable Info'!R713="","",CONCATENATE('Cable Info'!R713," - ",'Cable Info'!S713))</f>
        <v/>
      </c>
      <c r="BB853" s="149" t="str">
        <f t="shared" si="105"/>
        <v/>
      </c>
      <c r="BD853" s="149" t="str">
        <f>IF('Cable Info'!T713="","",CONCATENATE('Cable Info'!T713," - ",'Cable Info'!U713))</f>
        <v/>
      </c>
      <c r="BG853" s="149" t="str">
        <f t="shared" si="106"/>
        <v/>
      </c>
      <c r="BI853" s="149" t="str">
        <f>IF('Cable Info'!V713="","",CONCATENATE('Cable Info'!V713," - ",'Cable Info'!W713))</f>
        <v/>
      </c>
      <c r="BL853" s="149" t="str">
        <f t="shared" si="107"/>
        <v/>
      </c>
    </row>
    <row r="854" spans="1:64" x14ac:dyDescent="0.2">
      <c r="A854" s="180"/>
      <c r="B854" s="180"/>
      <c r="C854" s="180"/>
      <c r="D854" s="180"/>
      <c r="E854" s="180"/>
      <c r="F854" s="187"/>
      <c r="G854" s="180"/>
      <c r="H854" s="180"/>
      <c r="I854" s="180"/>
      <c r="J854" s="187"/>
      <c r="K854" s="180"/>
      <c r="L854" s="180"/>
      <c r="M854" s="180"/>
      <c r="N854" s="180"/>
      <c r="O854" s="218"/>
      <c r="P854" s="180"/>
      <c r="Q854" s="188"/>
      <c r="R854" s="180"/>
      <c r="S854" s="180"/>
      <c r="T854" s="180"/>
      <c r="U854" s="180"/>
      <c r="V854" s="180"/>
      <c r="W854" s="180"/>
      <c r="X854" s="201"/>
      <c r="AJ854" s="149" t="str">
        <f>IF('Cable Info'!L714="","",CONCATENATE('Cable Info'!L714," - ",'Cable Info'!M714))</f>
        <v/>
      </c>
      <c r="AM854" s="149" t="str">
        <f t="shared" si="102"/>
        <v/>
      </c>
      <c r="AO854" s="149" t="str">
        <f>IF('Cable Info'!N714="","",CONCATENATE('Cable Info'!N714," - ",'Cable Info'!O714))</f>
        <v/>
      </c>
      <c r="AR854" s="149" t="str">
        <f t="shared" si="103"/>
        <v/>
      </c>
      <c r="AT854" s="149" t="str">
        <f>IF('Cable Info'!P714="","",CONCATENATE('Cable Info'!P714," - ",'Cable Info'!Q714))</f>
        <v/>
      </c>
      <c r="AW854" s="149" t="str">
        <f t="shared" si="104"/>
        <v/>
      </c>
      <c r="AY854" s="149" t="str">
        <f>IF('Cable Info'!R714="","",CONCATENATE('Cable Info'!R714," - ",'Cable Info'!S714))</f>
        <v/>
      </c>
      <c r="BB854" s="149" t="str">
        <f t="shared" si="105"/>
        <v/>
      </c>
      <c r="BD854" s="149" t="str">
        <f>IF('Cable Info'!T714="","",CONCATENATE('Cable Info'!T714," - ",'Cable Info'!U714))</f>
        <v/>
      </c>
      <c r="BG854" s="149" t="str">
        <f t="shared" si="106"/>
        <v/>
      </c>
      <c r="BI854" s="149" t="str">
        <f>IF('Cable Info'!V714="","",CONCATENATE('Cable Info'!V714," - ",'Cable Info'!W714))</f>
        <v/>
      </c>
      <c r="BL854" s="149" t="str">
        <f t="shared" si="107"/>
        <v/>
      </c>
    </row>
    <row r="855" spans="1:64" x14ac:dyDescent="0.2">
      <c r="A855" s="180"/>
      <c r="B855" s="180"/>
      <c r="C855" s="180"/>
      <c r="D855" s="180"/>
      <c r="E855" s="180"/>
      <c r="F855" s="187"/>
      <c r="G855" s="180"/>
      <c r="H855" s="180"/>
      <c r="I855" s="180"/>
      <c r="J855" s="187"/>
      <c r="K855" s="180"/>
      <c r="L855" s="180"/>
      <c r="M855" s="180"/>
      <c r="N855" s="180"/>
      <c r="O855" s="218"/>
      <c r="P855" s="180"/>
      <c r="Q855" s="188"/>
      <c r="R855" s="180"/>
      <c r="S855" s="180"/>
      <c r="T855" s="180"/>
      <c r="U855" s="180"/>
      <c r="V855" s="180"/>
      <c r="W855" s="180"/>
      <c r="X855" s="201"/>
      <c r="AJ855" s="149" t="str">
        <f>IF('Cable Info'!L715="","",CONCATENATE('Cable Info'!L715," - ",'Cable Info'!M715))</f>
        <v/>
      </c>
      <c r="AM855" s="149" t="str">
        <f t="shared" si="102"/>
        <v/>
      </c>
      <c r="AO855" s="149" t="str">
        <f>IF('Cable Info'!N715="","",CONCATENATE('Cable Info'!N715," - ",'Cable Info'!O715))</f>
        <v/>
      </c>
      <c r="AR855" s="149" t="str">
        <f t="shared" si="103"/>
        <v/>
      </c>
      <c r="AT855" s="149" t="str">
        <f>IF('Cable Info'!P715="","",CONCATENATE('Cable Info'!P715," - ",'Cable Info'!Q715))</f>
        <v/>
      </c>
      <c r="AW855" s="149" t="str">
        <f t="shared" si="104"/>
        <v/>
      </c>
      <c r="AY855" s="149" t="str">
        <f>IF('Cable Info'!R715="","",CONCATENATE('Cable Info'!R715," - ",'Cable Info'!S715))</f>
        <v/>
      </c>
      <c r="BB855" s="149" t="str">
        <f t="shared" si="105"/>
        <v/>
      </c>
      <c r="BD855" s="149" t="str">
        <f>IF('Cable Info'!T715="","",CONCATENATE('Cable Info'!T715," - ",'Cable Info'!U715))</f>
        <v/>
      </c>
      <c r="BG855" s="149" t="str">
        <f t="shared" si="106"/>
        <v/>
      </c>
      <c r="BI855" s="149" t="str">
        <f>IF('Cable Info'!V715="","",CONCATENATE('Cable Info'!V715," - ",'Cable Info'!W715))</f>
        <v/>
      </c>
      <c r="BL855" s="149" t="str">
        <f t="shared" si="107"/>
        <v/>
      </c>
    </row>
    <row r="856" spans="1:64" x14ac:dyDescent="0.2">
      <c r="A856" s="180"/>
      <c r="B856" s="180"/>
      <c r="C856" s="180"/>
      <c r="D856" s="180"/>
      <c r="E856" s="180"/>
      <c r="F856" s="187"/>
      <c r="G856" s="180"/>
      <c r="H856" s="180"/>
      <c r="I856" s="180"/>
      <c r="J856" s="187"/>
      <c r="K856" s="180"/>
      <c r="L856" s="180"/>
      <c r="M856" s="180"/>
      <c r="N856" s="180"/>
      <c r="O856" s="218"/>
      <c r="P856" s="180"/>
      <c r="Q856" s="188"/>
      <c r="R856" s="180"/>
      <c r="S856" s="180"/>
      <c r="T856" s="180"/>
      <c r="U856" s="180"/>
      <c r="V856" s="180"/>
      <c r="W856" s="180"/>
      <c r="X856" s="201"/>
      <c r="AJ856" s="149" t="str">
        <f>IF('Cable Info'!L716="","",CONCATENATE('Cable Info'!L716," - ",'Cable Info'!M716))</f>
        <v/>
      </c>
      <c r="AM856" s="149" t="str">
        <f t="shared" si="102"/>
        <v/>
      </c>
      <c r="AO856" s="149" t="str">
        <f>IF('Cable Info'!N716="","",CONCATENATE('Cable Info'!N716," - ",'Cable Info'!O716))</f>
        <v/>
      </c>
      <c r="AR856" s="149" t="str">
        <f t="shared" si="103"/>
        <v/>
      </c>
      <c r="AT856" s="149" t="str">
        <f>IF('Cable Info'!P716="","",CONCATENATE('Cable Info'!P716," - ",'Cable Info'!Q716))</f>
        <v/>
      </c>
      <c r="AW856" s="149" t="str">
        <f t="shared" si="104"/>
        <v/>
      </c>
      <c r="AY856" s="149" t="str">
        <f>IF('Cable Info'!R716="","",CONCATENATE('Cable Info'!R716," - ",'Cable Info'!S716))</f>
        <v/>
      </c>
      <c r="BB856" s="149" t="str">
        <f t="shared" si="105"/>
        <v/>
      </c>
      <c r="BD856" s="149" t="str">
        <f>IF('Cable Info'!T716="","",CONCATENATE('Cable Info'!T716," - ",'Cable Info'!U716))</f>
        <v/>
      </c>
      <c r="BG856" s="149" t="str">
        <f t="shared" si="106"/>
        <v/>
      </c>
      <c r="BI856" s="149" t="str">
        <f>IF('Cable Info'!V716="","",CONCATENATE('Cable Info'!V716," - ",'Cable Info'!W716))</f>
        <v/>
      </c>
      <c r="BL856" s="149" t="str">
        <f t="shared" si="107"/>
        <v/>
      </c>
    </row>
    <row r="857" spans="1:64" x14ac:dyDescent="0.2">
      <c r="A857" s="180"/>
      <c r="B857" s="180"/>
      <c r="C857" s="180"/>
      <c r="D857" s="180"/>
      <c r="E857" s="180"/>
      <c r="F857" s="187"/>
      <c r="G857" s="180"/>
      <c r="H857" s="180"/>
      <c r="I857" s="180"/>
      <c r="J857" s="187"/>
      <c r="K857" s="180"/>
      <c r="L857" s="180"/>
      <c r="M857" s="180"/>
      <c r="N857" s="180"/>
      <c r="O857" s="218"/>
      <c r="P857" s="180"/>
      <c r="Q857" s="188"/>
      <c r="R857" s="180"/>
      <c r="S857" s="180"/>
      <c r="T857" s="180"/>
      <c r="U857" s="180"/>
      <c r="V857" s="180"/>
      <c r="W857" s="180"/>
      <c r="X857" s="201"/>
      <c r="AJ857" s="149" t="str">
        <f>IF('Cable Info'!L717="","",CONCATENATE('Cable Info'!L717," - ",'Cable Info'!M717))</f>
        <v/>
      </c>
      <c r="AM857" s="149" t="str">
        <f t="shared" si="102"/>
        <v/>
      </c>
      <c r="AO857" s="149" t="str">
        <f>IF('Cable Info'!N717="","",CONCATENATE('Cable Info'!N717," - ",'Cable Info'!O717))</f>
        <v/>
      </c>
      <c r="AR857" s="149" t="str">
        <f t="shared" si="103"/>
        <v/>
      </c>
      <c r="AT857" s="149" t="str">
        <f>IF('Cable Info'!P717="","",CONCATENATE('Cable Info'!P717," - ",'Cable Info'!Q717))</f>
        <v/>
      </c>
      <c r="AW857" s="149" t="str">
        <f t="shared" si="104"/>
        <v/>
      </c>
      <c r="AY857" s="149" t="str">
        <f>IF('Cable Info'!R717="","",CONCATENATE('Cable Info'!R717," - ",'Cable Info'!S717))</f>
        <v/>
      </c>
      <c r="BB857" s="149" t="str">
        <f t="shared" si="105"/>
        <v/>
      </c>
      <c r="BD857" s="149" t="str">
        <f>IF('Cable Info'!T717="","",CONCATENATE('Cable Info'!T717," - ",'Cable Info'!U717))</f>
        <v/>
      </c>
      <c r="BG857" s="149" t="str">
        <f t="shared" si="106"/>
        <v/>
      </c>
      <c r="BI857" s="149" t="str">
        <f>IF('Cable Info'!V717="","",CONCATENATE('Cable Info'!V717," - ",'Cable Info'!W717))</f>
        <v/>
      </c>
      <c r="BL857" s="149" t="str">
        <f t="shared" si="107"/>
        <v/>
      </c>
    </row>
    <row r="858" spans="1:64" x14ac:dyDescent="0.2">
      <c r="A858" s="180"/>
      <c r="B858" s="180"/>
      <c r="C858" s="180"/>
      <c r="D858" s="180"/>
      <c r="E858" s="180"/>
      <c r="F858" s="187"/>
      <c r="G858" s="180"/>
      <c r="H858" s="180"/>
      <c r="I858" s="180"/>
      <c r="J858" s="187"/>
      <c r="K858" s="180"/>
      <c r="L858" s="180"/>
      <c r="M858" s="180"/>
      <c r="N858" s="180"/>
      <c r="O858" s="218"/>
      <c r="P858" s="180"/>
      <c r="Q858" s="188"/>
      <c r="R858" s="180"/>
      <c r="S858" s="180"/>
      <c r="T858" s="180"/>
      <c r="U858" s="180"/>
      <c r="V858" s="180"/>
      <c r="W858" s="180"/>
      <c r="X858" s="201"/>
      <c r="AJ858" s="149" t="str">
        <f>IF('Cable Info'!L718="","",CONCATENATE('Cable Info'!L718," - ",'Cable Info'!M718))</f>
        <v/>
      </c>
      <c r="AM858" s="149" t="str">
        <f t="shared" si="102"/>
        <v/>
      </c>
      <c r="AO858" s="149" t="str">
        <f>IF('Cable Info'!N718="","",CONCATENATE('Cable Info'!N718," - ",'Cable Info'!O718))</f>
        <v/>
      </c>
      <c r="AR858" s="149" t="str">
        <f t="shared" si="103"/>
        <v/>
      </c>
      <c r="AT858" s="149" t="str">
        <f>IF('Cable Info'!P718="","",CONCATENATE('Cable Info'!P718," - ",'Cable Info'!Q718))</f>
        <v/>
      </c>
      <c r="AW858" s="149" t="str">
        <f t="shared" si="104"/>
        <v/>
      </c>
      <c r="AY858" s="149" t="str">
        <f>IF('Cable Info'!R718="","",CONCATENATE('Cable Info'!R718," - ",'Cable Info'!S718))</f>
        <v/>
      </c>
      <c r="BB858" s="149" t="str">
        <f t="shared" si="105"/>
        <v/>
      </c>
      <c r="BD858" s="149" t="str">
        <f>IF('Cable Info'!T718="","",CONCATENATE('Cable Info'!T718," - ",'Cable Info'!U718))</f>
        <v/>
      </c>
      <c r="BG858" s="149" t="str">
        <f t="shared" si="106"/>
        <v/>
      </c>
      <c r="BI858" s="149" t="str">
        <f>IF('Cable Info'!V718="","",CONCATENATE('Cable Info'!V718," - ",'Cable Info'!W718))</f>
        <v/>
      </c>
      <c r="BL858" s="149" t="str">
        <f t="shared" si="107"/>
        <v/>
      </c>
    </row>
    <row r="859" spans="1:64" x14ac:dyDescent="0.2">
      <c r="A859" s="180"/>
      <c r="B859" s="180"/>
      <c r="C859" s="180"/>
      <c r="D859" s="180"/>
      <c r="E859" s="180"/>
      <c r="F859" s="187"/>
      <c r="G859" s="180"/>
      <c r="H859" s="180"/>
      <c r="I859" s="180"/>
      <c r="J859" s="187"/>
      <c r="K859" s="180"/>
      <c r="L859" s="180"/>
      <c r="M859" s="180"/>
      <c r="N859" s="180"/>
      <c r="O859" s="218"/>
      <c r="P859" s="180"/>
      <c r="Q859" s="188"/>
      <c r="R859" s="180"/>
      <c r="S859" s="180"/>
      <c r="T859" s="180"/>
      <c r="U859" s="180"/>
      <c r="V859" s="180"/>
      <c r="W859" s="180"/>
      <c r="X859" s="201"/>
      <c r="AJ859" s="149" t="str">
        <f>IF('Cable Info'!L719="","",CONCATENATE('Cable Info'!L719," - ",'Cable Info'!M719))</f>
        <v/>
      </c>
      <c r="AM859" s="149" t="str">
        <f t="shared" si="102"/>
        <v/>
      </c>
      <c r="AO859" s="149" t="str">
        <f>IF('Cable Info'!N719="","",CONCATENATE('Cable Info'!N719," - ",'Cable Info'!O719))</f>
        <v/>
      </c>
      <c r="AR859" s="149" t="str">
        <f t="shared" si="103"/>
        <v/>
      </c>
      <c r="AT859" s="149" t="str">
        <f>IF('Cable Info'!P719="","",CONCATENATE('Cable Info'!P719," - ",'Cable Info'!Q719))</f>
        <v/>
      </c>
      <c r="AW859" s="149" t="str">
        <f t="shared" si="104"/>
        <v/>
      </c>
      <c r="AY859" s="149" t="str">
        <f>IF('Cable Info'!R719="","",CONCATENATE('Cable Info'!R719," - ",'Cable Info'!S719))</f>
        <v/>
      </c>
      <c r="BB859" s="149" t="str">
        <f t="shared" si="105"/>
        <v/>
      </c>
      <c r="BD859" s="149" t="str">
        <f>IF('Cable Info'!T719="","",CONCATENATE('Cable Info'!T719," - ",'Cable Info'!U719))</f>
        <v/>
      </c>
      <c r="BG859" s="149" t="str">
        <f t="shared" si="106"/>
        <v/>
      </c>
      <c r="BI859" s="149" t="str">
        <f>IF('Cable Info'!V719="","",CONCATENATE('Cable Info'!V719," - ",'Cable Info'!W719))</f>
        <v/>
      </c>
      <c r="BL859" s="149" t="str">
        <f t="shared" si="107"/>
        <v/>
      </c>
    </row>
    <row r="860" spans="1:64" x14ac:dyDescent="0.2">
      <c r="A860" s="180"/>
      <c r="B860" s="180"/>
      <c r="C860" s="180"/>
      <c r="D860" s="180"/>
      <c r="E860" s="180"/>
      <c r="F860" s="187"/>
      <c r="G860" s="180"/>
      <c r="H860" s="180"/>
      <c r="I860" s="180"/>
      <c r="J860" s="187"/>
      <c r="K860" s="180"/>
      <c r="L860" s="180"/>
      <c r="M860" s="180"/>
      <c r="N860" s="180"/>
      <c r="O860" s="218"/>
      <c r="P860" s="180"/>
      <c r="Q860" s="188"/>
      <c r="R860" s="180"/>
      <c r="S860" s="180"/>
      <c r="T860" s="180"/>
      <c r="U860" s="180"/>
      <c r="V860" s="180"/>
      <c r="W860" s="180"/>
      <c r="X860" s="201"/>
      <c r="AJ860" s="149" t="str">
        <f>IF('Cable Info'!L720="","",CONCATENATE('Cable Info'!L720," - ",'Cable Info'!M720))</f>
        <v/>
      </c>
      <c r="AM860" s="149" t="str">
        <f t="shared" si="102"/>
        <v/>
      </c>
      <c r="AO860" s="149" t="str">
        <f>IF('Cable Info'!N720="","",CONCATENATE('Cable Info'!N720," - ",'Cable Info'!O720))</f>
        <v/>
      </c>
      <c r="AR860" s="149" t="str">
        <f t="shared" si="103"/>
        <v/>
      </c>
      <c r="AT860" s="149" t="str">
        <f>IF('Cable Info'!P720="","",CONCATENATE('Cable Info'!P720," - ",'Cable Info'!Q720))</f>
        <v/>
      </c>
      <c r="AW860" s="149" t="str">
        <f t="shared" si="104"/>
        <v/>
      </c>
      <c r="AY860" s="149" t="str">
        <f>IF('Cable Info'!R720="","",CONCATENATE('Cable Info'!R720," - ",'Cable Info'!S720))</f>
        <v/>
      </c>
      <c r="BB860" s="149" t="str">
        <f t="shared" si="105"/>
        <v/>
      </c>
      <c r="BD860" s="149" t="str">
        <f>IF('Cable Info'!T720="","",CONCATENATE('Cable Info'!T720," - ",'Cable Info'!U720))</f>
        <v/>
      </c>
      <c r="BG860" s="149" t="str">
        <f t="shared" si="106"/>
        <v/>
      </c>
      <c r="BI860" s="149" t="str">
        <f>IF('Cable Info'!V720="","",CONCATENATE('Cable Info'!V720," - ",'Cable Info'!W720))</f>
        <v/>
      </c>
      <c r="BL860" s="149" t="str">
        <f t="shared" si="107"/>
        <v/>
      </c>
    </row>
    <row r="861" spans="1:64" x14ac:dyDescent="0.2">
      <c r="A861" s="180"/>
      <c r="B861" s="180"/>
      <c r="C861" s="180"/>
      <c r="D861" s="180"/>
      <c r="E861" s="180"/>
      <c r="F861" s="187"/>
      <c r="G861" s="180"/>
      <c r="H861" s="180"/>
      <c r="I861" s="180"/>
      <c r="J861" s="187"/>
      <c r="K861" s="180"/>
      <c r="L861" s="180"/>
      <c r="M861" s="180"/>
      <c r="N861" s="180"/>
      <c r="O861" s="218"/>
      <c r="P861" s="180"/>
      <c r="Q861" s="188"/>
      <c r="R861" s="180"/>
      <c r="S861" s="180"/>
      <c r="T861" s="180"/>
      <c r="U861" s="180"/>
      <c r="V861" s="180"/>
      <c r="W861" s="180"/>
      <c r="X861" s="201"/>
      <c r="AJ861" s="149" t="str">
        <f>IF('Cable Info'!L721="","",CONCATENATE('Cable Info'!L721," - ",'Cable Info'!M721))</f>
        <v/>
      </c>
      <c r="AM861" s="149" t="str">
        <f t="shared" si="102"/>
        <v/>
      </c>
      <c r="AO861" s="149" t="str">
        <f>IF('Cable Info'!N721="","",CONCATENATE('Cable Info'!N721," - ",'Cable Info'!O721))</f>
        <v/>
      </c>
      <c r="AR861" s="149" t="str">
        <f t="shared" si="103"/>
        <v/>
      </c>
      <c r="AT861" s="149" t="str">
        <f>IF('Cable Info'!P721="","",CONCATENATE('Cable Info'!P721," - ",'Cable Info'!Q721))</f>
        <v/>
      </c>
      <c r="AW861" s="149" t="str">
        <f t="shared" si="104"/>
        <v/>
      </c>
      <c r="AY861" s="149" t="str">
        <f>IF('Cable Info'!R721="","",CONCATENATE('Cable Info'!R721," - ",'Cable Info'!S721))</f>
        <v/>
      </c>
      <c r="BB861" s="149" t="str">
        <f t="shared" si="105"/>
        <v/>
      </c>
      <c r="BD861" s="149" t="str">
        <f>IF('Cable Info'!T721="","",CONCATENATE('Cable Info'!T721," - ",'Cable Info'!U721))</f>
        <v/>
      </c>
      <c r="BG861" s="149" t="str">
        <f t="shared" si="106"/>
        <v/>
      </c>
      <c r="BI861" s="149" t="str">
        <f>IF('Cable Info'!V721="","",CONCATENATE('Cable Info'!V721," - ",'Cable Info'!W721))</f>
        <v/>
      </c>
      <c r="BL861" s="149" t="str">
        <f t="shared" si="107"/>
        <v/>
      </c>
    </row>
    <row r="862" spans="1:64" x14ac:dyDescent="0.2">
      <c r="A862" s="180"/>
      <c r="B862" s="180"/>
      <c r="C862" s="180"/>
      <c r="D862" s="180"/>
      <c r="E862" s="180"/>
      <c r="F862" s="187"/>
      <c r="G862" s="180"/>
      <c r="H862" s="180"/>
      <c r="I862" s="180"/>
      <c r="J862" s="187"/>
      <c r="K862" s="180"/>
      <c r="L862" s="180"/>
      <c r="M862" s="180"/>
      <c r="N862" s="180"/>
      <c r="O862" s="218"/>
      <c r="P862" s="180"/>
      <c r="Q862" s="188"/>
      <c r="R862" s="180"/>
      <c r="S862" s="180"/>
      <c r="T862" s="180"/>
      <c r="U862" s="180"/>
      <c r="V862" s="180"/>
      <c r="W862" s="180"/>
      <c r="X862" s="201"/>
      <c r="AJ862" s="149" t="str">
        <f>IF('Cable Info'!L722="","",CONCATENATE('Cable Info'!L722," - ",'Cable Info'!M722))</f>
        <v/>
      </c>
      <c r="AM862" s="149" t="str">
        <f t="shared" si="102"/>
        <v/>
      </c>
      <c r="AO862" s="149" t="str">
        <f>IF('Cable Info'!N722="","",CONCATENATE('Cable Info'!N722," - ",'Cable Info'!O722))</f>
        <v/>
      </c>
      <c r="AR862" s="149" t="str">
        <f t="shared" si="103"/>
        <v/>
      </c>
      <c r="AT862" s="149" t="str">
        <f>IF('Cable Info'!P722="","",CONCATENATE('Cable Info'!P722," - ",'Cable Info'!Q722))</f>
        <v/>
      </c>
      <c r="AW862" s="149" t="str">
        <f t="shared" si="104"/>
        <v/>
      </c>
      <c r="AY862" s="149" t="str">
        <f>IF('Cable Info'!R722="","",CONCATENATE('Cable Info'!R722," - ",'Cable Info'!S722))</f>
        <v/>
      </c>
      <c r="BB862" s="149" t="str">
        <f t="shared" si="105"/>
        <v/>
      </c>
      <c r="BD862" s="149" t="str">
        <f>IF('Cable Info'!T722="","",CONCATENATE('Cable Info'!T722," - ",'Cable Info'!U722))</f>
        <v/>
      </c>
      <c r="BG862" s="149" t="str">
        <f t="shared" si="106"/>
        <v/>
      </c>
      <c r="BI862" s="149" t="str">
        <f>IF('Cable Info'!V722="","",CONCATENATE('Cable Info'!V722," - ",'Cable Info'!W722))</f>
        <v/>
      </c>
      <c r="BL862" s="149" t="str">
        <f t="shared" si="107"/>
        <v/>
      </c>
    </row>
    <row r="863" spans="1:64" x14ac:dyDescent="0.2">
      <c r="A863" s="180"/>
      <c r="B863" s="180"/>
      <c r="C863" s="180"/>
      <c r="D863" s="180"/>
      <c r="E863" s="180"/>
      <c r="F863" s="187"/>
      <c r="G863" s="180"/>
      <c r="H863" s="180"/>
      <c r="I863" s="180"/>
      <c r="J863" s="187"/>
      <c r="K863" s="180"/>
      <c r="L863" s="180"/>
      <c r="M863" s="180"/>
      <c r="N863" s="180"/>
      <c r="O863" s="218"/>
      <c r="P863" s="180"/>
      <c r="Q863" s="188"/>
      <c r="R863" s="180"/>
      <c r="S863" s="180"/>
      <c r="T863" s="180"/>
      <c r="U863" s="180"/>
      <c r="V863" s="180"/>
      <c r="W863" s="180"/>
      <c r="X863" s="201"/>
      <c r="AJ863" s="149" t="str">
        <f>IF('Cable Info'!L723="","",CONCATENATE('Cable Info'!L723," - ",'Cable Info'!M723))</f>
        <v/>
      </c>
      <c r="AM863" s="149" t="str">
        <f t="shared" si="102"/>
        <v/>
      </c>
      <c r="AO863" s="149" t="str">
        <f>IF('Cable Info'!N723="","",CONCATENATE('Cable Info'!N723," - ",'Cable Info'!O723))</f>
        <v/>
      </c>
      <c r="AR863" s="149" t="str">
        <f t="shared" si="103"/>
        <v/>
      </c>
      <c r="AT863" s="149" t="str">
        <f>IF('Cable Info'!P723="","",CONCATENATE('Cable Info'!P723," - ",'Cable Info'!Q723))</f>
        <v/>
      </c>
      <c r="AW863" s="149" t="str">
        <f t="shared" si="104"/>
        <v/>
      </c>
      <c r="AY863" s="149" t="str">
        <f>IF('Cable Info'!R723="","",CONCATENATE('Cable Info'!R723," - ",'Cable Info'!S723))</f>
        <v/>
      </c>
      <c r="BB863" s="149" t="str">
        <f t="shared" si="105"/>
        <v/>
      </c>
      <c r="BD863" s="149" t="str">
        <f>IF('Cable Info'!T723="","",CONCATENATE('Cable Info'!T723," - ",'Cable Info'!U723))</f>
        <v/>
      </c>
      <c r="BG863" s="149" t="str">
        <f t="shared" si="106"/>
        <v/>
      </c>
      <c r="BI863" s="149" t="str">
        <f>IF('Cable Info'!V723="","",CONCATENATE('Cable Info'!V723," - ",'Cable Info'!W723))</f>
        <v/>
      </c>
      <c r="BL863" s="149" t="str">
        <f t="shared" si="107"/>
        <v/>
      </c>
    </row>
    <row r="864" spans="1:64" x14ac:dyDescent="0.2">
      <c r="A864" s="180"/>
      <c r="B864" s="180"/>
      <c r="C864" s="180"/>
      <c r="D864" s="180"/>
      <c r="E864" s="180"/>
      <c r="F864" s="187"/>
      <c r="G864" s="180"/>
      <c r="H864" s="180"/>
      <c r="I864" s="180"/>
      <c r="J864" s="187"/>
      <c r="K864" s="180"/>
      <c r="L864" s="180"/>
      <c r="M864" s="180"/>
      <c r="N864" s="180"/>
      <c r="O864" s="218"/>
      <c r="P864" s="180"/>
      <c r="Q864" s="188"/>
      <c r="R864" s="180"/>
      <c r="S864" s="180"/>
      <c r="T864" s="180"/>
      <c r="U864" s="180"/>
      <c r="V864" s="180"/>
      <c r="W864" s="180"/>
      <c r="X864" s="201"/>
      <c r="AJ864" s="149" t="str">
        <f>IF('Cable Info'!L724="","",CONCATENATE('Cable Info'!L724," - ",'Cable Info'!M724))</f>
        <v/>
      </c>
      <c r="AM864" s="149" t="str">
        <f t="shared" si="102"/>
        <v/>
      </c>
      <c r="AO864" s="149" t="str">
        <f>IF('Cable Info'!N724="","",CONCATENATE('Cable Info'!N724," - ",'Cable Info'!O724))</f>
        <v/>
      </c>
      <c r="AR864" s="149" t="str">
        <f t="shared" si="103"/>
        <v/>
      </c>
      <c r="AT864" s="149" t="str">
        <f>IF('Cable Info'!P724="","",CONCATENATE('Cable Info'!P724," - ",'Cable Info'!Q724))</f>
        <v/>
      </c>
      <c r="AW864" s="149" t="str">
        <f t="shared" si="104"/>
        <v/>
      </c>
      <c r="AY864" s="149" t="str">
        <f>IF('Cable Info'!R724="","",CONCATENATE('Cable Info'!R724," - ",'Cable Info'!S724))</f>
        <v/>
      </c>
      <c r="BB864" s="149" t="str">
        <f t="shared" si="105"/>
        <v/>
      </c>
      <c r="BD864" s="149" t="str">
        <f>IF('Cable Info'!T724="","",CONCATENATE('Cable Info'!T724," - ",'Cable Info'!U724))</f>
        <v/>
      </c>
      <c r="BG864" s="149" t="str">
        <f t="shared" si="106"/>
        <v/>
      </c>
      <c r="BI864" s="149" t="str">
        <f>IF('Cable Info'!V724="","",CONCATENATE('Cable Info'!V724," - ",'Cable Info'!W724))</f>
        <v/>
      </c>
      <c r="BL864" s="149" t="str">
        <f t="shared" si="107"/>
        <v/>
      </c>
    </row>
    <row r="865" spans="1:64" x14ac:dyDescent="0.2">
      <c r="A865" s="180"/>
      <c r="B865" s="180"/>
      <c r="C865" s="180"/>
      <c r="D865" s="180"/>
      <c r="E865" s="180"/>
      <c r="F865" s="187"/>
      <c r="G865" s="180"/>
      <c r="H865" s="180"/>
      <c r="I865" s="180"/>
      <c r="J865" s="187"/>
      <c r="K865" s="180"/>
      <c r="L865" s="180"/>
      <c r="M865" s="180"/>
      <c r="N865" s="180"/>
      <c r="O865" s="218"/>
      <c r="P865" s="180"/>
      <c r="Q865" s="188"/>
      <c r="R865" s="180"/>
      <c r="S865" s="180"/>
      <c r="T865" s="180"/>
      <c r="U865" s="180"/>
      <c r="V865" s="180"/>
      <c r="W865" s="180"/>
      <c r="X865" s="201"/>
      <c r="AJ865" s="149" t="str">
        <f>IF('Cable Info'!L725="","",CONCATENATE('Cable Info'!L725," - ",'Cable Info'!M725))</f>
        <v/>
      </c>
      <c r="AM865" s="149" t="str">
        <f t="shared" si="102"/>
        <v/>
      </c>
      <c r="AO865" s="149" t="str">
        <f>IF('Cable Info'!N725="","",CONCATENATE('Cable Info'!N725," - ",'Cable Info'!O725))</f>
        <v/>
      </c>
      <c r="AR865" s="149" t="str">
        <f t="shared" si="103"/>
        <v/>
      </c>
      <c r="AT865" s="149" t="str">
        <f>IF('Cable Info'!P725="","",CONCATENATE('Cable Info'!P725," - ",'Cable Info'!Q725))</f>
        <v/>
      </c>
      <c r="AW865" s="149" t="str">
        <f t="shared" si="104"/>
        <v/>
      </c>
      <c r="AY865" s="149" t="str">
        <f>IF('Cable Info'!R725="","",CONCATENATE('Cable Info'!R725," - ",'Cable Info'!S725))</f>
        <v/>
      </c>
      <c r="BB865" s="149" t="str">
        <f t="shared" si="105"/>
        <v/>
      </c>
      <c r="BD865" s="149" t="str">
        <f>IF('Cable Info'!T725="","",CONCATENATE('Cable Info'!T725," - ",'Cable Info'!U725))</f>
        <v/>
      </c>
      <c r="BG865" s="149" t="str">
        <f t="shared" si="106"/>
        <v/>
      </c>
      <c r="BI865" s="149" t="str">
        <f>IF('Cable Info'!V725="","",CONCATENATE('Cable Info'!V725," - ",'Cable Info'!W725))</f>
        <v/>
      </c>
      <c r="BL865" s="149" t="str">
        <f t="shared" si="107"/>
        <v/>
      </c>
    </row>
    <row r="866" spans="1:64" x14ac:dyDescent="0.2">
      <c r="A866" s="180"/>
      <c r="B866" s="180"/>
      <c r="C866" s="180"/>
      <c r="D866" s="180"/>
      <c r="E866" s="180"/>
      <c r="F866" s="187"/>
      <c r="G866" s="180"/>
      <c r="H866" s="180"/>
      <c r="I866" s="180"/>
      <c r="J866" s="187"/>
      <c r="K866" s="180"/>
      <c r="L866" s="180"/>
      <c r="M866" s="180"/>
      <c r="N866" s="180"/>
      <c r="O866" s="218"/>
      <c r="P866" s="180"/>
      <c r="Q866" s="188"/>
      <c r="R866" s="180"/>
      <c r="S866" s="180"/>
      <c r="T866" s="180"/>
      <c r="U866" s="180"/>
      <c r="V866" s="180"/>
      <c r="W866" s="180"/>
      <c r="X866" s="201"/>
      <c r="AJ866" s="149" t="str">
        <f>IF('Cable Info'!L726="","",CONCATENATE('Cable Info'!L726," - ",'Cable Info'!M726))</f>
        <v/>
      </c>
      <c r="AM866" s="149" t="str">
        <f t="shared" si="102"/>
        <v/>
      </c>
      <c r="AO866" s="149" t="str">
        <f>IF('Cable Info'!N726="","",CONCATENATE('Cable Info'!N726," - ",'Cable Info'!O726))</f>
        <v/>
      </c>
      <c r="AR866" s="149" t="str">
        <f t="shared" si="103"/>
        <v/>
      </c>
      <c r="AT866" s="149" t="str">
        <f>IF('Cable Info'!P726="","",CONCATENATE('Cable Info'!P726," - ",'Cable Info'!Q726))</f>
        <v/>
      </c>
      <c r="AW866" s="149" t="str">
        <f t="shared" si="104"/>
        <v/>
      </c>
      <c r="AY866" s="149" t="str">
        <f>IF('Cable Info'!R726="","",CONCATENATE('Cable Info'!R726," - ",'Cable Info'!S726))</f>
        <v/>
      </c>
      <c r="BB866" s="149" t="str">
        <f t="shared" si="105"/>
        <v/>
      </c>
      <c r="BD866" s="149" t="str">
        <f>IF('Cable Info'!T726="","",CONCATENATE('Cable Info'!T726," - ",'Cable Info'!U726))</f>
        <v/>
      </c>
      <c r="BG866" s="149" t="str">
        <f t="shared" si="106"/>
        <v/>
      </c>
      <c r="BI866" s="149" t="str">
        <f>IF('Cable Info'!V726="","",CONCATENATE('Cable Info'!V726," - ",'Cable Info'!W726))</f>
        <v/>
      </c>
      <c r="BL866" s="149" t="str">
        <f t="shared" si="107"/>
        <v/>
      </c>
    </row>
    <row r="867" spans="1:64" x14ac:dyDescent="0.2">
      <c r="A867" s="180"/>
      <c r="B867" s="180"/>
      <c r="C867" s="180"/>
      <c r="D867" s="180"/>
      <c r="E867" s="180"/>
      <c r="F867" s="187"/>
      <c r="G867" s="180"/>
      <c r="H867" s="180"/>
      <c r="I867" s="180"/>
      <c r="J867" s="187"/>
      <c r="K867" s="180"/>
      <c r="L867" s="180"/>
      <c r="M867" s="180"/>
      <c r="N867" s="180"/>
      <c r="O867" s="218"/>
      <c r="P867" s="180"/>
      <c r="Q867" s="188"/>
      <c r="R867" s="180"/>
      <c r="S867" s="180"/>
      <c r="T867" s="180"/>
      <c r="U867" s="180"/>
      <c r="V867" s="180"/>
      <c r="W867" s="180"/>
      <c r="X867" s="201"/>
      <c r="AJ867" s="149" t="str">
        <f>IF('Cable Info'!L727="","",CONCATENATE('Cable Info'!L727," - ",'Cable Info'!M727))</f>
        <v/>
      </c>
      <c r="AM867" s="149" t="str">
        <f t="shared" si="102"/>
        <v/>
      </c>
      <c r="AO867" s="149" t="str">
        <f>IF('Cable Info'!N727="","",CONCATENATE('Cable Info'!N727," - ",'Cable Info'!O727))</f>
        <v/>
      </c>
      <c r="AR867" s="149" t="str">
        <f t="shared" si="103"/>
        <v/>
      </c>
      <c r="AT867" s="149" t="str">
        <f>IF('Cable Info'!P727="","",CONCATENATE('Cable Info'!P727," - ",'Cable Info'!Q727))</f>
        <v/>
      </c>
      <c r="AW867" s="149" t="str">
        <f t="shared" si="104"/>
        <v/>
      </c>
      <c r="AY867" s="149" t="str">
        <f>IF('Cable Info'!R727="","",CONCATENATE('Cable Info'!R727," - ",'Cable Info'!S727))</f>
        <v/>
      </c>
      <c r="BB867" s="149" t="str">
        <f t="shared" si="105"/>
        <v/>
      </c>
      <c r="BD867" s="149" t="str">
        <f>IF('Cable Info'!T727="","",CONCATENATE('Cable Info'!T727," - ",'Cable Info'!U727))</f>
        <v/>
      </c>
      <c r="BG867" s="149" t="str">
        <f t="shared" si="106"/>
        <v/>
      </c>
      <c r="BI867" s="149" t="str">
        <f>IF('Cable Info'!V727="","",CONCATENATE('Cable Info'!V727," - ",'Cable Info'!W727))</f>
        <v/>
      </c>
      <c r="BL867" s="149" t="str">
        <f t="shared" si="107"/>
        <v/>
      </c>
    </row>
    <row r="868" spans="1:64" x14ac:dyDescent="0.2">
      <c r="A868" s="180"/>
      <c r="B868" s="180"/>
      <c r="C868" s="180"/>
      <c r="D868" s="180"/>
      <c r="E868" s="180"/>
      <c r="F868" s="187"/>
      <c r="G868" s="180"/>
      <c r="H868" s="180"/>
      <c r="I868" s="180"/>
      <c r="J868" s="187"/>
      <c r="K868" s="180"/>
      <c r="L868" s="180"/>
      <c r="M868" s="180"/>
      <c r="N868" s="180"/>
      <c r="O868" s="218"/>
      <c r="P868" s="180"/>
      <c r="Q868" s="188"/>
      <c r="R868" s="180"/>
      <c r="S868" s="180"/>
      <c r="T868" s="180"/>
      <c r="U868" s="180"/>
      <c r="V868" s="180"/>
      <c r="W868" s="180"/>
      <c r="X868" s="201"/>
      <c r="AJ868" s="149" t="str">
        <f>IF('Cable Info'!L728="","",CONCATENATE('Cable Info'!L728," - ",'Cable Info'!M728))</f>
        <v/>
      </c>
      <c r="AM868" s="149" t="str">
        <f t="shared" si="102"/>
        <v/>
      </c>
      <c r="AO868" s="149" t="str">
        <f>IF('Cable Info'!N728="","",CONCATENATE('Cable Info'!N728," - ",'Cable Info'!O728))</f>
        <v/>
      </c>
      <c r="AR868" s="149" t="str">
        <f t="shared" si="103"/>
        <v/>
      </c>
      <c r="AT868" s="149" t="str">
        <f>IF('Cable Info'!P728="","",CONCATENATE('Cable Info'!P728," - ",'Cable Info'!Q728))</f>
        <v/>
      </c>
      <c r="AW868" s="149" t="str">
        <f t="shared" si="104"/>
        <v/>
      </c>
      <c r="AY868" s="149" t="str">
        <f>IF('Cable Info'!R728="","",CONCATENATE('Cable Info'!R728," - ",'Cable Info'!S728))</f>
        <v/>
      </c>
      <c r="BB868" s="149" t="str">
        <f t="shared" si="105"/>
        <v/>
      </c>
      <c r="BD868" s="149" t="str">
        <f>IF('Cable Info'!T728="","",CONCATENATE('Cable Info'!T728," - ",'Cable Info'!U728))</f>
        <v/>
      </c>
      <c r="BG868" s="149" t="str">
        <f t="shared" si="106"/>
        <v/>
      </c>
      <c r="BI868" s="149" t="str">
        <f>IF('Cable Info'!V728="","",CONCATENATE('Cable Info'!V728," - ",'Cable Info'!W728))</f>
        <v/>
      </c>
      <c r="BL868" s="149" t="str">
        <f t="shared" si="107"/>
        <v/>
      </c>
    </row>
    <row r="869" spans="1:64" x14ac:dyDescent="0.2">
      <c r="A869" s="180"/>
      <c r="B869" s="180"/>
      <c r="C869" s="180"/>
      <c r="D869" s="180"/>
      <c r="E869" s="180"/>
      <c r="F869" s="187"/>
      <c r="G869" s="180"/>
      <c r="H869" s="180"/>
      <c r="I869" s="180"/>
      <c r="J869" s="187"/>
      <c r="K869" s="180"/>
      <c r="L869" s="180"/>
      <c r="M869" s="180"/>
      <c r="N869" s="180"/>
      <c r="O869" s="218"/>
      <c r="P869" s="180"/>
      <c r="Q869" s="188"/>
      <c r="R869" s="180"/>
      <c r="S869" s="180"/>
      <c r="T869" s="180"/>
      <c r="U869" s="180"/>
      <c r="V869" s="180"/>
      <c r="W869" s="180"/>
      <c r="X869" s="201"/>
      <c r="AJ869" s="149" t="str">
        <f>IF('Cable Info'!L729="","",CONCATENATE('Cable Info'!L729," - ",'Cable Info'!M729))</f>
        <v/>
      </c>
      <c r="AM869" s="149" t="str">
        <f t="shared" si="102"/>
        <v/>
      </c>
      <c r="AO869" s="149" t="str">
        <f>IF('Cable Info'!N729="","",CONCATENATE('Cable Info'!N729," - ",'Cable Info'!O729))</f>
        <v/>
      </c>
      <c r="AR869" s="149" t="str">
        <f t="shared" si="103"/>
        <v/>
      </c>
      <c r="AT869" s="149" t="str">
        <f>IF('Cable Info'!P729="","",CONCATENATE('Cable Info'!P729," - ",'Cable Info'!Q729))</f>
        <v/>
      </c>
      <c r="AW869" s="149" t="str">
        <f t="shared" si="104"/>
        <v/>
      </c>
      <c r="AY869" s="149" t="str">
        <f>IF('Cable Info'!R729="","",CONCATENATE('Cable Info'!R729," - ",'Cable Info'!S729))</f>
        <v/>
      </c>
      <c r="BB869" s="149" t="str">
        <f t="shared" si="105"/>
        <v/>
      </c>
      <c r="BD869" s="149" t="str">
        <f>IF('Cable Info'!T729="","",CONCATENATE('Cable Info'!T729," - ",'Cable Info'!U729))</f>
        <v/>
      </c>
      <c r="BG869" s="149" t="str">
        <f t="shared" si="106"/>
        <v/>
      </c>
      <c r="BI869" s="149" t="str">
        <f>IF('Cable Info'!V729="","",CONCATENATE('Cable Info'!V729," - ",'Cable Info'!W729))</f>
        <v/>
      </c>
      <c r="BL869" s="149" t="str">
        <f t="shared" si="107"/>
        <v/>
      </c>
    </row>
    <row r="870" spans="1:64" x14ac:dyDescent="0.2">
      <c r="A870" s="180"/>
      <c r="B870" s="180"/>
      <c r="C870" s="180"/>
      <c r="D870" s="180"/>
      <c r="E870" s="180"/>
      <c r="F870" s="187"/>
      <c r="G870" s="180"/>
      <c r="H870" s="180"/>
      <c r="I870" s="180"/>
      <c r="J870" s="187"/>
      <c r="K870" s="180"/>
      <c r="L870" s="180"/>
      <c r="M870" s="180"/>
      <c r="N870" s="180"/>
      <c r="O870" s="218"/>
      <c r="P870" s="180"/>
      <c r="Q870" s="188"/>
      <c r="R870" s="180"/>
      <c r="S870" s="180"/>
      <c r="T870" s="180"/>
      <c r="U870" s="180"/>
      <c r="V870" s="180"/>
      <c r="W870" s="180"/>
      <c r="X870" s="201"/>
      <c r="AJ870" s="149" t="str">
        <f>IF('Cable Info'!L730="","",CONCATENATE('Cable Info'!L730," - ",'Cable Info'!M730))</f>
        <v/>
      </c>
      <c r="AM870" s="149" t="str">
        <f t="shared" si="102"/>
        <v/>
      </c>
      <c r="AO870" s="149" t="str">
        <f>IF('Cable Info'!N730="","",CONCATENATE('Cable Info'!N730," - ",'Cable Info'!O730))</f>
        <v/>
      </c>
      <c r="AR870" s="149" t="str">
        <f t="shared" si="103"/>
        <v/>
      </c>
      <c r="AT870" s="149" t="str">
        <f>IF('Cable Info'!P730="","",CONCATENATE('Cable Info'!P730," - ",'Cable Info'!Q730))</f>
        <v/>
      </c>
      <c r="AW870" s="149" t="str">
        <f t="shared" si="104"/>
        <v/>
      </c>
      <c r="AY870" s="149" t="str">
        <f>IF('Cable Info'!R730="","",CONCATENATE('Cable Info'!R730," - ",'Cable Info'!S730))</f>
        <v/>
      </c>
      <c r="BB870" s="149" t="str">
        <f t="shared" si="105"/>
        <v/>
      </c>
      <c r="BD870" s="149" t="str">
        <f>IF('Cable Info'!T730="","",CONCATENATE('Cable Info'!T730," - ",'Cable Info'!U730))</f>
        <v/>
      </c>
      <c r="BG870" s="149" t="str">
        <f t="shared" si="106"/>
        <v/>
      </c>
      <c r="BI870" s="149" t="str">
        <f>IF('Cable Info'!V730="","",CONCATENATE('Cable Info'!V730," - ",'Cable Info'!W730))</f>
        <v/>
      </c>
      <c r="BL870" s="149" t="str">
        <f t="shared" si="107"/>
        <v/>
      </c>
    </row>
    <row r="871" spans="1:64" x14ac:dyDescent="0.2">
      <c r="A871" s="180"/>
      <c r="B871" s="180"/>
      <c r="C871" s="180"/>
      <c r="D871" s="180"/>
      <c r="E871" s="180"/>
      <c r="F871" s="187"/>
      <c r="G871" s="180"/>
      <c r="H871" s="180"/>
      <c r="I871" s="180"/>
      <c r="J871" s="187"/>
      <c r="K871" s="180"/>
      <c r="L871" s="180"/>
      <c r="M871" s="180"/>
      <c r="N871" s="180"/>
      <c r="O871" s="218"/>
      <c r="P871" s="180"/>
      <c r="Q871" s="188"/>
      <c r="R871" s="180"/>
      <c r="S871" s="180"/>
      <c r="T871" s="180"/>
      <c r="U871" s="180"/>
      <c r="V871" s="180"/>
      <c r="W871" s="180"/>
      <c r="X871" s="201"/>
      <c r="AJ871" s="149" t="str">
        <f>IF('Cable Info'!L731="","",CONCATENATE('Cable Info'!L731," - ",'Cable Info'!M731))</f>
        <v/>
      </c>
      <c r="AM871" s="149" t="str">
        <f t="shared" si="102"/>
        <v/>
      </c>
      <c r="AO871" s="149" t="str">
        <f>IF('Cable Info'!N731="","",CONCATENATE('Cable Info'!N731," - ",'Cable Info'!O731))</f>
        <v/>
      </c>
      <c r="AR871" s="149" t="str">
        <f t="shared" si="103"/>
        <v/>
      </c>
      <c r="AT871" s="149" t="str">
        <f>IF('Cable Info'!P731="","",CONCATENATE('Cable Info'!P731," - ",'Cable Info'!Q731))</f>
        <v/>
      </c>
      <c r="AW871" s="149" t="str">
        <f t="shared" si="104"/>
        <v/>
      </c>
      <c r="AY871" s="149" t="str">
        <f>IF('Cable Info'!R731="","",CONCATENATE('Cable Info'!R731," - ",'Cable Info'!S731))</f>
        <v/>
      </c>
      <c r="BB871" s="149" t="str">
        <f t="shared" si="105"/>
        <v/>
      </c>
      <c r="BD871" s="149" t="str">
        <f>IF('Cable Info'!T731="","",CONCATENATE('Cable Info'!T731," - ",'Cable Info'!U731))</f>
        <v/>
      </c>
      <c r="BG871" s="149" t="str">
        <f t="shared" si="106"/>
        <v/>
      </c>
      <c r="BI871" s="149" t="str">
        <f>IF('Cable Info'!V731="","",CONCATENATE('Cable Info'!V731," - ",'Cable Info'!W731))</f>
        <v/>
      </c>
      <c r="BL871" s="149" t="str">
        <f t="shared" si="107"/>
        <v/>
      </c>
    </row>
    <row r="872" spans="1:64" x14ac:dyDescent="0.2">
      <c r="A872" s="180"/>
      <c r="B872" s="180"/>
      <c r="C872" s="180"/>
      <c r="D872" s="180"/>
      <c r="E872" s="180"/>
      <c r="F872" s="187"/>
      <c r="G872" s="180"/>
      <c r="H872" s="180"/>
      <c r="I872" s="180"/>
      <c r="J872" s="187"/>
      <c r="K872" s="180"/>
      <c r="L872" s="180"/>
      <c r="M872" s="180"/>
      <c r="N872" s="180"/>
      <c r="O872" s="218"/>
      <c r="P872" s="180"/>
      <c r="Q872" s="188"/>
      <c r="R872" s="180"/>
      <c r="S872" s="180"/>
      <c r="T872" s="180"/>
      <c r="U872" s="180"/>
      <c r="V872" s="180"/>
      <c r="W872" s="180"/>
      <c r="X872" s="201"/>
      <c r="AJ872" s="149" t="str">
        <f>IF('Cable Info'!L732="","",CONCATENATE('Cable Info'!L732," - ",'Cable Info'!M732))</f>
        <v/>
      </c>
      <c r="AM872" s="149" t="str">
        <f t="shared" si="102"/>
        <v/>
      </c>
      <c r="AO872" s="149" t="str">
        <f>IF('Cable Info'!N732="","",CONCATENATE('Cable Info'!N732," - ",'Cable Info'!O732))</f>
        <v/>
      </c>
      <c r="AR872" s="149" t="str">
        <f t="shared" si="103"/>
        <v/>
      </c>
      <c r="AT872" s="149" t="str">
        <f>IF('Cable Info'!P732="","",CONCATENATE('Cable Info'!P732," - ",'Cable Info'!Q732))</f>
        <v/>
      </c>
      <c r="AW872" s="149" t="str">
        <f t="shared" si="104"/>
        <v/>
      </c>
      <c r="AY872" s="149" t="str">
        <f>IF('Cable Info'!R732="","",CONCATENATE('Cable Info'!R732," - ",'Cable Info'!S732))</f>
        <v/>
      </c>
      <c r="BB872" s="149" t="str">
        <f t="shared" si="105"/>
        <v/>
      </c>
      <c r="BD872" s="149" t="str">
        <f>IF('Cable Info'!T732="","",CONCATENATE('Cable Info'!T732," - ",'Cable Info'!U732))</f>
        <v/>
      </c>
      <c r="BG872" s="149" t="str">
        <f t="shared" si="106"/>
        <v/>
      </c>
      <c r="BI872" s="149" t="str">
        <f>IF('Cable Info'!V732="","",CONCATENATE('Cable Info'!V732," - ",'Cable Info'!W732))</f>
        <v/>
      </c>
      <c r="BL872" s="149" t="str">
        <f t="shared" si="107"/>
        <v/>
      </c>
    </row>
    <row r="873" spans="1:64" x14ac:dyDescent="0.2">
      <c r="A873" s="180"/>
      <c r="B873" s="180"/>
      <c r="C873" s="180"/>
      <c r="D873" s="180"/>
      <c r="E873" s="180"/>
      <c r="F873" s="187"/>
      <c r="G873" s="180"/>
      <c r="H873" s="180"/>
      <c r="I873" s="180"/>
      <c r="J873" s="187"/>
      <c r="K873" s="180"/>
      <c r="L873" s="180"/>
      <c r="M873" s="180"/>
      <c r="N873" s="180"/>
      <c r="O873" s="218"/>
      <c r="P873" s="180"/>
      <c r="Q873" s="188"/>
      <c r="R873" s="180"/>
      <c r="S873" s="180"/>
      <c r="T873" s="180"/>
      <c r="U873" s="180"/>
      <c r="V873" s="180"/>
      <c r="W873" s="180"/>
      <c r="X873" s="201"/>
      <c r="AJ873" s="149" t="str">
        <f>IF('Cable Info'!L733="","",CONCATENATE('Cable Info'!L733," - ",'Cable Info'!M733))</f>
        <v/>
      </c>
      <c r="AM873" s="149" t="str">
        <f t="shared" si="102"/>
        <v/>
      </c>
      <c r="AO873" s="149" t="str">
        <f>IF('Cable Info'!N733="","",CONCATENATE('Cable Info'!N733," - ",'Cable Info'!O733))</f>
        <v/>
      </c>
      <c r="AR873" s="149" t="str">
        <f t="shared" si="103"/>
        <v/>
      </c>
      <c r="AT873" s="149" t="str">
        <f>IF('Cable Info'!P733="","",CONCATENATE('Cable Info'!P733," - ",'Cable Info'!Q733))</f>
        <v/>
      </c>
      <c r="AW873" s="149" t="str">
        <f t="shared" si="104"/>
        <v/>
      </c>
      <c r="AY873" s="149" t="str">
        <f>IF('Cable Info'!R733="","",CONCATENATE('Cable Info'!R733," - ",'Cable Info'!S733))</f>
        <v/>
      </c>
      <c r="BB873" s="149" t="str">
        <f t="shared" si="105"/>
        <v/>
      </c>
      <c r="BD873" s="149" t="str">
        <f>IF('Cable Info'!T733="","",CONCATENATE('Cable Info'!T733," - ",'Cable Info'!U733))</f>
        <v/>
      </c>
      <c r="BG873" s="149" t="str">
        <f t="shared" si="106"/>
        <v/>
      </c>
      <c r="BI873" s="149" t="str">
        <f>IF('Cable Info'!V733="","",CONCATENATE('Cable Info'!V733," - ",'Cable Info'!W733))</f>
        <v/>
      </c>
      <c r="BL873" s="149" t="str">
        <f t="shared" si="107"/>
        <v/>
      </c>
    </row>
    <row r="874" spans="1:64" x14ac:dyDescent="0.2">
      <c r="A874" s="180"/>
      <c r="B874" s="180"/>
      <c r="C874" s="180"/>
      <c r="D874" s="180"/>
      <c r="E874" s="180"/>
      <c r="F874" s="187"/>
      <c r="G874" s="180"/>
      <c r="H874" s="180"/>
      <c r="I874" s="180"/>
      <c r="J874" s="187"/>
      <c r="K874" s="180"/>
      <c r="L874" s="180"/>
      <c r="M874" s="180"/>
      <c r="N874" s="180"/>
      <c r="O874" s="218"/>
      <c r="P874" s="180"/>
      <c r="Q874" s="188"/>
      <c r="R874" s="180"/>
      <c r="S874" s="180"/>
      <c r="T874" s="180"/>
      <c r="U874" s="180"/>
      <c r="V874" s="180"/>
      <c r="W874" s="180"/>
      <c r="X874" s="201"/>
      <c r="AJ874" s="149" t="str">
        <f>IF('Cable Info'!L734="","",CONCATENATE('Cable Info'!L734," - ",'Cable Info'!M734))</f>
        <v/>
      </c>
      <c r="AM874" s="149" t="str">
        <f t="shared" si="102"/>
        <v/>
      </c>
      <c r="AO874" s="149" t="str">
        <f>IF('Cable Info'!N734="","",CONCATENATE('Cable Info'!N734," - ",'Cable Info'!O734))</f>
        <v/>
      </c>
      <c r="AR874" s="149" t="str">
        <f t="shared" si="103"/>
        <v/>
      </c>
      <c r="AT874" s="149" t="str">
        <f>IF('Cable Info'!P734="","",CONCATENATE('Cable Info'!P734," - ",'Cable Info'!Q734))</f>
        <v/>
      </c>
      <c r="AW874" s="149" t="str">
        <f t="shared" si="104"/>
        <v/>
      </c>
      <c r="AY874" s="149" t="str">
        <f>IF('Cable Info'!R734="","",CONCATENATE('Cable Info'!R734," - ",'Cable Info'!S734))</f>
        <v/>
      </c>
      <c r="BB874" s="149" t="str">
        <f t="shared" si="105"/>
        <v/>
      </c>
      <c r="BD874" s="149" t="str">
        <f>IF('Cable Info'!T734="","",CONCATENATE('Cable Info'!T734," - ",'Cable Info'!U734))</f>
        <v/>
      </c>
      <c r="BG874" s="149" t="str">
        <f t="shared" si="106"/>
        <v/>
      </c>
      <c r="BI874" s="149" t="str">
        <f>IF('Cable Info'!V734="","",CONCATENATE('Cable Info'!V734," - ",'Cable Info'!W734))</f>
        <v/>
      </c>
      <c r="BL874" s="149" t="str">
        <f t="shared" si="107"/>
        <v/>
      </c>
    </row>
    <row r="875" spans="1:64" x14ac:dyDescent="0.2">
      <c r="A875" s="180"/>
      <c r="B875" s="180"/>
      <c r="C875" s="180"/>
      <c r="D875" s="180"/>
      <c r="E875" s="180"/>
      <c r="F875" s="187"/>
      <c r="G875" s="180"/>
      <c r="H875" s="180"/>
      <c r="I875" s="180"/>
      <c r="J875" s="187"/>
      <c r="K875" s="180"/>
      <c r="L875" s="180"/>
      <c r="M875" s="180"/>
      <c r="N875" s="180"/>
      <c r="O875" s="218"/>
      <c r="P875" s="180"/>
      <c r="Q875" s="188"/>
      <c r="R875" s="180"/>
      <c r="S875" s="180"/>
      <c r="T875" s="180"/>
      <c r="U875" s="180"/>
      <c r="V875" s="180"/>
      <c r="W875" s="180"/>
      <c r="X875" s="201"/>
      <c r="AJ875" s="149" t="str">
        <f>IF('Cable Info'!L735="","",CONCATENATE('Cable Info'!L735," - ",'Cable Info'!M735))</f>
        <v/>
      </c>
      <c r="AM875" s="149" t="str">
        <f t="shared" si="102"/>
        <v/>
      </c>
      <c r="AO875" s="149" t="str">
        <f>IF('Cable Info'!N735="","",CONCATENATE('Cable Info'!N735," - ",'Cable Info'!O735))</f>
        <v/>
      </c>
      <c r="AR875" s="149" t="str">
        <f t="shared" si="103"/>
        <v/>
      </c>
      <c r="AT875" s="149" t="str">
        <f>IF('Cable Info'!P735="","",CONCATENATE('Cable Info'!P735," - ",'Cable Info'!Q735))</f>
        <v/>
      </c>
      <c r="AW875" s="149" t="str">
        <f t="shared" si="104"/>
        <v/>
      </c>
      <c r="AY875" s="149" t="str">
        <f>IF('Cable Info'!R735="","",CONCATENATE('Cable Info'!R735," - ",'Cable Info'!S735))</f>
        <v/>
      </c>
      <c r="BB875" s="149" t="str">
        <f t="shared" si="105"/>
        <v/>
      </c>
      <c r="BD875" s="149" t="str">
        <f>IF('Cable Info'!T735="","",CONCATENATE('Cable Info'!T735," - ",'Cable Info'!U735))</f>
        <v/>
      </c>
      <c r="BG875" s="149" t="str">
        <f t="shared" si="106"/>
        <v/>
      </c>
      <c r="BI875" s="149" t="str">
        <f>IF('Cable Info'!V735="","",CONCATENATE('Cable Info'!V735," - ",'Cable Info'!W735))</f>
        <v/>
      </c>
      <c r="BL875" s="149" t="str">
        <f t="shared" si="107"/>
        <v/>
      </c>
    </row>
    <row r="876" spans="1:64" x14ac:dyDescent="0.2">
      <c r="A876" s="180"/>
      <c r="B876" s="180"/>
      <c r="C876" s="180"/>
      <c r="D876" s="180"/>
      <c r="E876" s="180"/>
      <c r="F876" s="187"/>
      <c r="G876" s="180"/>
      <c r="H876" s="180"/>
      <c r="I876" s="180"/>
      <c r="J876" s="187"/>
      <c r="K876" s="180"/>
      <c r="L876" s="180"/>
      <c r="M876" s="180"/>
      <c r="N876" s="180"/>
      <c r="O876" s="218"/>
      <c r="P876" s="180"/>
      <c r="Q876" s="188"/>
      <c r="R876" s="180"/>
      <c r="S876" s="180"/>
      <c r="T876" s="180"/>
      <c r="U876" s="180"/>
      <c r="V876" s="180"/>
      <c r="W876" s="180"/>
      <c r="X876" s="201"/>
      <c r="AJ876" s="149" t="str">
        <f>IF('Cable Info'!L736="","",CONCATENATE('Cable Info'!L736," - ",'Cable Info'!M736))</f>
        <v/>
      </c>
      <c r="AM876" s="149" t="str">
        <f t="shared" si="102"/>
        <v/>
      </c>
      <c r="AO876" s="149" t="str">
        <f>IF('Cable Info'!N736="","",CONCATENATE('Cable Info'!N736," - ",'Cable Info'!O736))</f>
        <v/>
      </c>
      <c r="AR876" s="149" t="str">
        <f t="shared" si="103"/>
        <v/>
      </c>
      <c r="AT876" s="149" t="str">
        <f>IF('Cable Info'!P736="","",CONCATENATE('Cable Info'!P736," - ",'Cable Info'!Q736))</f>
        <v/>
      </c>
      <c r="AW876" s="149" t="str">
        <f t="shared" si="104"/>
        <v/>
      </c>
      <c r="AY876" s="149" t="str">
        <f>IF('Cable Info'!R736="","",CONCATENATE('Cable Info'!R736," - ",'Cable Info'!S736))</f>
        <v/>
      </c>
      <c r="BB876" s="149" t="str">
        <f t="shared" si="105"/>
        <v/>
      </c>
      <c r="BD876" s="149" t="str">
        <f>IF('Cable Info'!T736="","",CONCATENATE('Cable Info'!T736," - ",'Cable Info'!U736))</f>
        <v/>
      </c>
      <c r="BG876" s="149" t="str">
        <f t="shared" si="106"/>
        <v/>
      </c>
      <c r="BI876" s="149" t="str">
        <f>IF('Cable Info'!V736="","",CONCATENATE('Cable Info'!V736," - ",'Cable Info'!W736))</f>
        <v/>
      </c>
      <c r="BL876" s="149" t="str">
        <f t="shared" si="107"/>
        <v/>
      </c>
    </row>
    <row r="877" spans="1:64" x14ac:dyDescent="0.2">
      <c r="A877" s="180"/>
      <c r="B877" s="180"/>
      <c r="C877" s="180"/>
      <c r="D877" s="180"/>
      <c r="E877" s="180"/>
      <c r="F877" s="187"/>
      <c r="G877" s="180"/>
      <c r="H877" s="180"/>
      <c r="I877" s="180"/>
      <c r="J877" s="187"/>
      <c r="K877" s="180"/>
      <c r="L877" s="180"/>
      <c r="M877" s="180"/>
      <c r="N877" s="180"/>
      <c r="O877" s="218"/>
      <c r="P877" s="180"/>
      <c r="Q877" s="188"/>
      <c r="R877" s="180"/>
      <c r="S877" s="180"/>
      <c r="T877" s="180"/>
      <c r="U877" s="180"/>
      <c r="V877" s="180"/>
      <c r="W877" s="180"/>
      <c r="X877" s="201"/>
      <c r="AJ877" s="149" t="str">
        <f>IF('Cable Info'!L737="","",CONCATENATE('Cable Info'!L737," - ",'Cable Info'!M737))</f>
        <v/>
      </c>
      <c r="AM877" s="149" t="str">
        <f t="shared" si="102"/>
        <v/>
      </c>
      <c r="AO877" s="149" t="str">
        <f>IF('Cable Info'!N737="","",CONCATENATE('Cable Info'!N737," - ",'Cable Info'!O737))</f>
        <v/>
      </c>
      <c r="AR877" s="149" t="str">
        <f t="shared" si="103"/>
        <v/>
      </c>
      <c r="AT877" s="149" t="str">
        <f>IF('Cable Info'!P737="","",CONCATENATE('Cable Info'!P737," - ",'Cable Info'!Q737))</f>
        <v/>
      </c>
      <c r="AW877" s="149" t="str">
        <f t="shared" si="104"/>
        <v/>
      </c>
      <c r="AY877" s="149" t="str">
        <f>IF('Cable Info'!R737="","",CONCATENATE('Cable Info'!R737," - ",'Cable Info'!S737))</f>
        <v/>
      </c>
      <c r="BB877" s="149" t="str">
        <f t="shared" si="105"/>
        <v/>
      </c>
      <c r="BD877" s="149" t="str">
        <f>IF('Cable Info'!T737="","",CONCATENATE('Cable Info'!T737," - ",'Cable Info'!U737))</f>
        <v/>
      </c>
      <c r="BG877" s="149" t="str">
        <f t="shared" si="106"/>
        <v/>
      </c>
      <c r="BI877" s="149" t="str">
        <f>IF('Cable Info'!V737="","",CONCATENATE('Cable Info'!V737," - ",'Cable Info'!W737))</f>
        <v/>
      </c>
      <c r="BL877" s="149" t="str">
        <f t="shared" si="107"/>
        <v/>
      </c>
    </row>
    <row r="878" spans="1:64" x14ac:dyDescent="0.2">
      <c r="A878" s="180"/>
      <c r="B878" s="180"/>
      <c r="C878" s="180"/>
      <c r="D878" s="180"/>
      <c r="E878" s="180"/>
      <c r="F878" s="187"/>
      <c r="G878" s="180"/>
      <c r="H878" s="180"/>
      <c r="I878" s="180"/>
      <c r="J878" s="187"/>
      <c r="K878" s="180"/>
      <c r="L878" s="180"/>
      <c r="M878" s="180"/>
      <c r="N878" s="180"/>
      <c r="O878" s="218"/>
      <c r="P878" s="180"/>
      <c r="Q878" s="188"/>
      <c r="R878" s="180"/>
      <c r="S878" s="180"/>
      <c r="T878" s="180"/>
      <c r="U878" s="180"/>
      <c r="V878" s="180"/>
      <c r="W878" s="180"/>
      <c r="X878" s="201"/>
      <c r="AJ878" s="149" t="str">
        <f>IF('Cable Info'!L738="","",CONCATENATE('Cable Info'!L738," - ",'Cable Info'!M738))</f>
        <v/>
      </c>
      <c r="AM878" s="149" t="str">
        <f t="shared" si="102"/>
        <v/>
      </c>
      <c r="AO878" s="149" t="str">
        <f>IF('Cable Info'!N738="","",CONCATENATE('Cable Info'!N738," - ",'Cable Info'!O738))</f>
        <v/>
      </c>
      <c r="AR878" s="149" t="str">
        <f t="shared" si="103"/>
        <v/>
      </c>
      <c r="AT878" s="149" t="str">
        <f>IF('Cable Info'!P738="","",CONCATENATE('Cable Info'!P738," - ",'Cable Info'!Q738))</f>
        <v/>
      </c>
      <c r="AW878" s="149" t="str">
        <f t="shared" si="104"/>
        <v/>
      </c>
      <c r="AY878" s="149" t="str">
        <f>IF('Cable Info'!R738="","",CONCATENATE('Cable Info'!R738," - ",'Cable Info'!S738))</f>
        <v/>
      </c>
      <c r="BB878" s="149" t="str">
        <f t="shared" si="105"/>
        <v/>
      </c>
      <c r="BD878" s="149" t="str">
        <f>IF('Cable Info'!T738="","",CONCATENATE('Cable Info'!T738," - ",'Cable Info'!U738))</f>
        <v/>
      </c>
      <c r="BG878" s="149" t="str">
        <f t="shared" si="106"/>
        <v/>
      </c>
      <c r="BI878" s="149" t="str">
        <f>IF('Cable Info'!V738="","",CONCATENATE('Cable Info'!V738," - ",'Cable Info'!W738))</f>
        <v/>
      </c>
      <c r="BL878" s="149" t="str">
        <f t="shared" si="107"/>
        <v/>
      </c>
    </row>
    <row r="879" spans="1:64" x14ac:dyDescent="0.2">
      <c r="A879" s="180"/>
      <c r="B879" s="180"/>
      <c r="C879" s="180"/>
      <c r="D879" s="180"/>
      <c r="E879" s="180"/>
      <c r="F879" s="187"/>
      <c r="G879" s="180"/>
      <c r="H879" s="180"/>
      <c r="I879" s="180"/>
      <c r="J879" s="187"/>
      <c r="K879" s="180"/>
      <c r="L879" s="180"/>
      <c r="M879" s="180"/>
      <c r="N879" s="180"/>
      <c r="O879" s="218"/>
      <c r="P879" s="180"/>
      <c r="Q879" s="188"/>
      <c r="R879" s="180"/>
      <c r="S879" s="180"/>
      <c r="T879" s="180"/>
      <c r="U879" s="180"/>
      <c r="V879" s="180"/>
      <c r="W879" s="180"/>
      <c r="X879" s="201"/>
      <c r="AJ879" s="149" t="str">
        <f>IF('Cable Info'!L739="","",CONCATENATE('Cable Info'!L739," - ",'Cable Info'!M739))</f>
        <v/>
      </c>
      <c r="AM879" s="149" t="str">
        <f t="shared" si="102"/>
        <v/>
      </c>
      <c r="AO879" s="149" t="str">
        <f>IF('Cable Info'!N739="","",CONCATENATE('Cable Info'!N739," - ",'Cable Info'!O739))</f>
        <v/>
      </c>
      <c r="AR879" s="149" t="str">
        <f t="shared" si="103"/>
        <v/>
      </c>
      <c r="AT879" s="149" t="str">
        <f>IF('Cable Info'!P739="","",CONCATENATE('Cable Info'!P739," - ",'Cable Info'!Q739))</f>
        <v/>
      </c>
      <c r="AW879" s="149" t="str">
        <f t="shared" si="104"/>
        <v/>
      </c>
      <c r="AY879" s="149" t="str">
        <f>IF('Cable Info'!R739="","",CONCATENATE('Cable Info'!R739," - ",'Cable Info'!S739))</f>
        <v/>
      </c>
      <c r="BB879" s="149" t="str">
        <f t="shared" si="105"/>
        <v/>
      </c>
      <c r="BD879" s="149" t="str">
        <f>IF('Cable Info'!T739="","",CONCATENATE('Cable Info'!T739," - ",'Cable Info'!U739))</f>
        <v/>
      </c>
      <c r="BG879" s="149" t="str">
        <f t="shared" si="106"/>
        <v/>
      </c>
      <c r="BI879" s="149" t="str">
        <f>IF('Cable Info'!V739="","",CONCATENATE('Cable Info'!V739," - ",'Cable Info'!W739))</f>
        <v/>
      </c>
      <c r="BL879" s="149" t="str">
        <f t="shared" si="107"/>
        <v/>
      </c>
    </row>
    <row r="880" spans="1:64" x14ac:dyDescent="0.2">
      <c r="A880" s="180"/>
      <c r="B880" s="180"/>
      <c r="C880" s="180"/>
      <c r="D880" s="180"/>
      <c r="E880" s="180"/>
      <c r="F880" s="187"/>
      <c r="G880" s="180"/>
      <c r="H880" s="180"/>
      <c r="I880" s="180"/>
      <c r="J880" s="187"/>
      <c r="K880" s="180"/>
      <c r="L880" s="180"/>
      <c r="M880" s="180"/>
      <c r="N880" s="180"/>
      <c r="O880" s="218"/>
      <c r="P880" s="180"/>
      <c r="Q880" s="188"/>
      <c r="R880" s="180"/>
      <c r="S880" s="180"/>
      <c r="T880" s="180"/>
      <c r="U880" s="180"/>
      <c r="V880" s="180"/>
      <c r="W880" s="180"/>
      <c r="X880" s="201"/>
      <c r="AJ880" s="149" t="str">
        <f>IF('Cable Info'!L740="","",CONCATENATE('Cable Info'!L740," - ",'Cable Info'!M740))</f>
        <v/>
      </c>
      <c r="AM880" s="149" t="str">
        <f t="shared" si="102"/>
        <v/>
      </c>
      <c r="AO880" s="149" t="str">
        <f>IF('Cable Info'!N740="","",CONCATENATE('Cable Info'!N740," - ",'Cable Info'!O740))</f>
        <v/>
      </c>
      <c r="AR880" s="149" t="str">
        <f t="shared" si="103"/>
        <v/>
      </c>
      <c r="AT880" s="149" t="str">
        <f>IF('Cable Info'!P740="","",CONCATENATE('Cable Info'!P740," - ",'Cable Info'!Q740))</f>
        <v/>
      </c>
      <c r="AW880" s="149" t="str">
        <f t="shared" si="104"/>
        <v/>
      </c>
      <c r="AY880" s="149" t="str">
        <f>IF('Cable Info'!R740="","",CONCATENATE('Cable Info'!R740," - ",'Cable Info'!S740))</f>
        <v/>
      </c>
      <c r="BB880" s="149" t="str">
        <f t="shared" si="105"/>
        <v/>
      </c>
      <c r="BD880" s="149" t="str">
        <f>IF('Cable Info'!T740="","",CONCATENATE('Cable Info'!T740," - ",'Cable Info'!U740))</f>
        <v/>
      </c>
      <c r="BG880" s="149" t="str">
        <f t="shared" si="106"/>
        <v/>
      </c>
      <c r="BI880" s="149" t="str">
        <f>IF('Cable Info'!V740="","",CONCATENATE('Cable Info'!V740," - ",'Cable Info'!W740))</f>
        <v/>
      </c>
      <c r="BL880" s="149" t="str">
        <f t="shared" si="107"/>
        <v/>
      </c>
    </row>
    <row r="881" spans="1:64" x14ac:dyDescent="0.2">
      <c r="A881" s="180"/>
      <c r="B881" s="180"/>
      <c r="C881" s="180"/>
      <c r="D881" s="180"/>
      <c r="E881" s="180"/>
      <c r="F881" s="187"/>
      <c r="G881" s="180"/>
      <c r="H881" s="180"/>
      <c r="I881" s="180"/>
      <c r="J881" s="187"/>
      <c r="K881" s="180"/>
      <c r="L881" s="180"/>
      <c r="M881" s="180"/>
      <c r="N881" s="180"/>
      <c r="O881" s="218"/>
      <c r="P881" s="180"/>
      <c r="Q881" s="188"/>
      <c r="R881" s="180"/>
      <c r="S881" s="180"/>
      <c r="T881" s="180"/>
      <c r="U881" s="180"/>
      <c r="V881" s="180"/>
      <c r="W881" s="180"/>
      <c r="X881" s="201"/>
      <c r="AJ881" s="149" t="str">
        <f>IF('Cable Info'!L741="","",CONCATENATE('Cable Info'!L741," - ",'Cable Info'!M741))</f>
        <v/>
      </c>
      <c r="AM881" s="149" t="str">
        <f t="shared" si="102"/>
        <v/>
      </c>
      <c r="AO881" s="149" t="str">
        <f>IF('Cable Info'!N741="","",CONCATENATE('Cable Info'!N741," - ",'Cable Info'!O741))</f>
        <v/>
      </c>
      <c r="AR881" s="149" t="str">
        <f t="shared" si="103"/>
        <v/>
      </c>
      <c r="AT881" s="149" t="str">
        <f>IF('Cable Info'!P741="","",CONCATENATE('Cable Info'!P741," - ",'Cable Info'!Q741))</f>
        <v/>
      </c>
      <c r="AW881" s="149" t="str">
        <f t="shared" si="104"/>
        <v/>
      </c>
      <c r="AY881" s="149" t="str">
        <f>IF('Cable Info'!R741="","",CONCATENATE('Cable Info'!R741," - ",'Cable Info'!S741))</f>
        <v/>
      </c>
      <c r="BB881" s="149" t="str">
        <f t="shared" si="105"/>
        <v/>
      </c>
      <c r="BD881" s="149" t="str">
        <f>IF('Cable Info'!T741="","",CONCATENATE('Cable Info'!T741," - ",'Cable Info'!U741))</f>
        <v/>
      </c>
      <c r="BG881" s="149" t="str">
        <f t="shared" si="106"/>
        <v/>
      </c>
      <c r="BI881" s="149" t="str">
        <f>IF('Cable Info'!V741="","",CONCATENATE('Cable Info'!V741," - ",'Cable Info'!W741))</f>
        <v/>
      </c>
      <c r="BL881" s="149" t="str">
        <f t="shared" si="107"/>
        <v/>
      </c>
    </row>
    <row r="882" spans="1:64" x14ac:dyDescent="0.2">
      <c r="A882" s="180"/>
      <c r="B882" s="180"/>
      <c r="C882" s="180"/>
      <c r="D882" s="180"/>
      <c r="E882" s="180"/>
      <c r="F882" s="187"/>
      <c r="G882" s="180"/>
      <c r="H882" s="180"/>
      <c r="I882" s="180"/>
      <c r="J882" s="187"/>
      <c r="K882" s="180"/>
      <c r="L882" s="180"/>
      <c r="M882" s="180"/>
      <c r="N882" s="180"/>
      <c r="O882" s="218"/>
      <c r="P882" s="180"/>
      <c r="Q882" s="188"/>
      <c r="R882" s="180"/>
      <c r="S882" s="180"/>
      <c r="T882" s="180"/>
      <c r="U882" s="180"/>
      <c r="V882" s="180"/>
      <c r="W882" s="180"/>
      <c r="X882" s="201"/>
      <c r="AJ882" s="149" t="str">
        <f>IF('Cable Info'!L742="","",CONCATENATE('Cable Info'!L742," - ",'Cable Info'!M742))</f>
        <v/>
      </c>
      <c r="AM882" s="149" t="str">
        <f t="shared" si="102"/>
        <v/>
      </c>
      <c r="AO882" s="149" t="str">
        <f>IF('Cable Info'!N742="","",CONCATENATE('Cable Info'!N742," - ",'Cable Info'!O742))</f>
        <v/>
      </c>
      <c r="AR882" s="149" t="str">
        <f t="shared" si="103"/>
        <v/>
      </c>
      <c r="AT882" s="149" t="str">
        <f>IF('Cable Info'!P742="","",CONCATENATE('Cable Info'!P742," - ",'Cable Info'!Q742))</f>
        <v/>
      </c>
      <c r="AW882" s="149" t="str">
        <f t="shared" si="104"/>
        <v/>
      </c>
      <c r="AY882" s="149" t="str">
        <f>IF('Cable Info'!R742="","",CONCATENATE('Cable Info'!R742," - ",'Cable Info'!S742))</f>
        <v/>
      </c>
      <c r="BB882" s="149" t="str">
        <f t="shared" si="105"/>
        <v/>
      </c>
      <c r="BD882" s="149" t="str">
        <f>IF('Cable Info'!T742="","",CONCATENATE('Cable Info'!T742," - ",'Cable Info'!U742))</f>
        <v/>
      </c>
      <c r="BG882" s="149" t="str">
        <f t="shared" si="106"/>
        <v/>
      </c>
      <c r="BI882" s="149" t="str">
        <f>IF('Cable Info'!V742="","",CONCATENATE('Cable Info'!V742," - ",'Cable Info'!W742))</f>
        <v/>
      </c>
      <c r="BL882" s="149" t="str">
        <f t="shared" si="107"/>
        <v/>
      </c>
    </row>
    <row r="883" spans="1:64" x14ac:dyDescent="0.2">
      <c r="A883" s="180"/>
      <c r="B883" s="180"/>
      <c r="C883" s="180"/>
      <c r="D883" s="180"/>
      <c r="E883" s="180"/>
      <c r="F883" s="187"/>
      <c r="G883" s="180"/>
      <c r="H883" s="180"/>
      <c r="I883" s="180"/>
      <c r="J883" s="187"/>
      <c r="K883" s="180"/>
      <c r="L883" s="180"/>
      <c r="M883" s="180"/>
      <c r="N883" s="180"/>
      <c r="O883" s="218"/>
      <c r="P883" s="180"/>
      <c r="Q883" s="188"/>
      <c r="R883" s="180"/>
      <c r="S883" s="180"/>
      <c r="T883" s="180"/>
      <c r="U883" s="180"/>
      <c r="V883" s="180"/>
      <c r="W883" s="180"/>
      <c r="X883" s="201"/>
      <c r="AJ883" s="149" t="str">
        <f>IF('Cable Info'!L743="","",CONCATENATE('Cable Info'!L743," - ",'Cable Info'!M743))</f>
        <v/>
      </c>
      <c r="AM883" s="149" t="str">
        <f t="shared" si="102"/>
        <v/>
      </c>
      <c r="AO883" s="149" t="str">
        <f>IF('Cable Info'!N743="","",CONCATENATE('Cable Info'!N743," - ",'Cable Info'!O743))</f>
        <v/>
      </c>
      <c r="AR883" s="149" t="str">
        <f t="shared" si="103"/>
        <v/>
      </c>
      <c r="AT883" s="149" t="str">
        <f>IF('Cable Info'!P743="","",CONCATENATE('Cable Info'!P743," - ",'Cable Info'!Q743))</f>
        <v/>
      </c>
      <c r="AW883" s="149" t="str">
        <f t="shared" si="104"/>
        <v/>
      </c>
      <c r="AY883" s="149" t="str">
        <f>IF('Cable Info'!R743="","",CONCATENATE('Cable Info'!R743," - ",'Cable Info'!S743))</f>
        <v/>
      </c>
      <c r="BB883" s="149" t="str">
        <f t="shared" si="105"/>
        <v/>
      </c>
      <c r="BD883" s="149" t="str">
        <f>IF('Cable Info'!T743="","",CONCATENATE('Cable Info'!T743," - ",'Cable Info'!U743))</f>
        <v/>
      </c>
      <c r="BG883" s="149" t="str">
        <f t="shared" si="106"/>
        <v/>
      </c>
      <c r="BI883" s="149" t="str">
        <f>IF('Cable Info'!V743="","",CONCATENATE('Cable Info'!V743," - ",'Cable Info'!W743))</f>
        <v/>
      </c>
      <c r="BL883" s="149" t="str">
        <f t="shared" si="107"/>
        <v/>
      </c>
    </row>
    <row r="884" spans="1:64" x14ac:dyDescent="0.2">
      <c r="A884" s="180"/>
      <c r="B884" s="180"/>
      <c r="C884" s="180"/>
      <c r="D884" s="180"/>
      <c r="E884" s="180"/>
      <c r="F884" s="187"/>
      <c r="G884" s="180"/>
      <c r="H884" s="180"/>
      <c r="I884" s="180"/>
      <c r="J884" s="187"/>
      <c r="K884" s="180"/>
      <c r="L884" s="180"/>
      <c r="M884" s="180"/>
      <c r="N884" s="180"/>
      <c r="O884" s="218"/>
      <c r="P884" s="180"/>
      <c r="Q884" s="188"/>
      <c r="R884" s="180"/>
      <c r="S884" s="180"/>
      <c r="T884" s="180"/>
      <c r="U884" s="180"/>
      <c r="V884" s="180"/>
      <c r="W884" s="180"/>
      <c r="X884" s="201"/>
      <c r="AJ884" s="149" t="str">
        <f>IF('Cable Info'!L744="","",CONCATENATE('Cable Info'!L744," - ",'Cable Info'!M744))</f>
        <v/>
      </c>
      <c r="AM884" s="149" t="str">
        <f t="shared" si="102"/>
        <v/>
      </c>
      <c r="AO884" s="149" t="str">
        <f>IF('Cable Info'!N744="","",CONCATENATE('Cable Info'!N744," - ",'Cable Info'!O744))</f>
        <v/>
      </c>
      <c r="AR884" s="149" t="str">
        <f t="shared" si="103"/>
        <v/>
      </c>
      <c r="AT884" s="149" t="str">
        <f>IF('Cable Info'!P744="","",CONCATENATE('Cable Info'!P744," - ",'Cable Info'!Q744))</f>
        <v/>
      </c>
      <c r="AW884" s="149" t="str">
        <f t="shared" si="104"/>
        <v/>
      </c>
      <c r="AY884" s="149" t="str">
        <f>IF('Cable Info'!R744="","",CONCATENATE('Cable Info'!R744," - ",'Cable Info'!S744))</f>
        <v/>
      </c>
      <c r="BB884" s="149" t="str">
        <f t="shared" si="105"/>
        <v/>
      </c>
      <c r="BD884" s="149" t="str">
        <f>IF('Cable Info'!T744="","",CONCATENATE('Cable Info'!T744," - ",'Cable Info'!U744))</f>
        <v/>
      </c>
      <c r="BG884" s="149" t="str">
        <f t="shared" si="106"/>
        <v/>
      </c>
      <c r="BI884" s="149" t="str">
        <f>IF('Cable Info'!V744="","",CONCATENATE('Cable Info'!V744," - ",'Cable Info'!W744))</f>
        <v/>
      </c>
      <c r="BL884" s="149" t="str">
        <f t="shared" si="107"/>
        <v/>
      </c>
    </row>
    <row r="885" spans="1:64" x14ac:dyDescent="0.2">
      <c r="A885" s="180"/>
      <c r="B885" s="180"/>
      <c r="C885" s="180"/>
      <c r="D885" s="180"/>
      <c r="E885" s="180"/>
      <c r="F885" s="187"/>
      <c r="G885" s="180"/>
      <c r="H885" s="180"/>
      <c r="I885" s="180"/>
      <c r="J885" s="187"/>
      <c r="K885" s="180"/>
      <c r="L885" s="180"/>
      <c r="M885" s="180"/>
      <c r="N885" s="180"/>
      <c r="O885" s="218"/>
      <c r="P885" s="180"/>
      <c r="Q885" s="188"/>
      <c r="R885" s="180"/>
      <c r="S885" s="180"/>
      <c r="T885" s="180"/>
      <c r="U885" s="180"/>
      <c r="V885" s="180"/>
      <c r="W885" s="180"/>
      <c r="X885" s="201"/>
      <c r="AJ885" s="149" t="str">
        <f>IF('Cable Info'!L745="","",CONCATENATE('Cable Info'!L745," - ",'Cable Info'!M745))</f>
        <v/>
      </c>
      <c r="AM885" s="149" t="str">
        <f t="shared" si="102"/>
        <v/>
      </c>
      <c r="AO885" s="149" t="str">
        <f>IF('Cable Info'!N745="","",CONCATENATE('Cable Info'!N745," - ",'Cable Info'!O745))</f>
        <v/>
      </c>
      <c r="AR885" s="149" t="str">
        <f t="shared" si="103"/>
        <v/>
      </c>
      <c r="AT885" s="149" t="str">
        <f>IF('Cable Info'!P745="","",CONCATENATE('Cable Info'!P745," - ",'Cable Info'!Q745))</f>
        <v/>
      </c>
      <c r="AW885" s="149" t="str">
        <f t="shared" si="104"/>
        <v/>
      </c>
      <c r="AY885" s="149" t="str">
        <f>IF('Cable Info'!R745="","",CONCATENATE('Cable Info'!R745," - ",'Cable Info'!S745))</f>
        <v/>
      </c>
      <c r="BB885" s="149" t="str">
        <f t="shared" si="105"/>
        <v/>
      </c>
      <c r="BD885" s="149" t="str">
        <f>IF('Cable Info'!T745="","",CONCATENATE('Cable Info'!T745," - ",'Cable Info'!U745))</f>
        <v/>
      </c>
      <c r="BG885" s="149" t="str">
        <f t="shared" si="106"/>
        <v/>
      </c>
      <c r="BI885" s="149" t="str">
        <f>IF('Cable Info'!V745="","",CONCATENATE('Cable Info'!V745," - ",'Cable Info'!W745))</f>
        <v/>
      </c>
      <c r="BL885" s="149" t="str">
        <f t="shared" si="107"/>
        <v/>
      </c>
    </row>
    <row r="886" spans="1:64" x14ac:dyDescent="0.2">
      <c r="A886" s="180"/>
      <c r="B886" s="180"/>
      <c r="C886" s="180"/>
      <c r="D886" s="180"/>
      <c r="E886" s="180"/>
      <c r="F886" s="187"/>
      <c r="G886" s="180"/>
      <c r="H886" s="180"/>
      <c r="I886" s="180"/>
      <c r="J886" s="187"/>
      <c r="K886" s="180"/>
      <c r="L886" s="180"/>
      <c r="M886" s="180"/>
      <c r="N886" s="180"/>
      <c r="O886" s="218"/>
      <c r="P886" s="180"/>
      <c r="Q886" s="188"/>
      <c r="R886" s="180"/>
      <c r="S886" s="180"/>
      <c r="T886" s="180"/>
      <c r="U886" s="180"/>
      <c r="V886" s="180"/>
      <c r="W886" s="180"/>
      <c r="X886" s="201"/>
      <c r="AJ886" s="149" t="str">
        <f>IF('Cable Info'!L746="","",CONCATENATE('Cable Info'!L746," - ",'Cable Info'!M746))</f>
        <v/>
      </c>
      <c r="AM886" s="149" t="str">
        <f t="shared" si="102"/>
        <v/>
      </c>
      <c r="AO886" s="149" t="str">
        <f>IF('Cable Info'!N746="","",CONCATENATE('Cable Info'!N746," - ",'Cable Info'!O746))</f>
        <v/>
      </c>
      <c r="AR886" s="149" t="str">
        <f t="shared" si="103"/>
        <v/>
      </c>
      <c r="AT886" s="149" t="str">
        <f>IF('Cable Info'!P746="","",CONCATENATE('Cable Info'!P746," - ",'Cable Info'!Q746))</f>
        <v/>
      </c>
      <c r="AW886" s="149" t="str">
        <f t="shared" si="104"/>
        <v/>
      </c>
      <c r="AY886" s="149" t="str">
        <f>IF('Cable Info'!R746="","",CONCATENATE('Cable Info'!R746," - ",'Cable Info'!S746))</f>
        <v/>
      </c>
      <c r="BB886" s="149" t="str">
        <f t="shared" si="105"/>
        <v/>
      </c>
      <c r="BD886" s="149" t="str">
        <f>IF('Cable Info'!T746="","",CONCATENATE('Cable Info'!T746," - ",'Cable Info'!U746))</f>
        <v/>
      </c>
      <c r="BG886" s="149" t="str">
        <f t="shared" si="106"/>
        <v/>
      </c>
      <c r="BI886" s="149" t="str">
        <f>IF('Cable Info'!V746="","",CONCATENATE('Cable Info'!V746," - ",'Cable Info'!W746))</f>
        <v/>
      </c>
      <c r="BL886" s="149" t="str">
        <f t="shared" si="107"/>
        <v/>
      </c>
    </row>
    <row r="887" spans="1:64" x14ac:dyDescent="0.2">
      <c r="A887" s="180"/>
      <c r="B887" s="180"/>
      <c r="C887" s="180"/>
      <c r="D887" s="180"/>
      <c r="E887" s="180"/>
      <c r="F887" s="187"/>
      <c r="G887" s="180"/>
      <c r="H887" s="180"/>
      <c r="I887" s="180"/>
      <c r="J887" s="187"/>
      <c r="K887" s="180"/>
      <c r="L887" s="180"/>
      <c r="M887" s="180"/>
      <c r="N887" s="180"/>
      <c r="O887" s="218"/>
      <c r="P887" s="180"/>
      <c r="Q887" s="188"/>
      <c r="R887" s="180"/>
      <c r="S887" s="180"/>
      <c r="T887" s="180"/>
      <c r="U887" s="180"/>
      <c r="V887" s="180"/>
      <c r="W887" s="180"/>
      <c r="X887" s="201"/>
      <c r="AJ887" s="149" t="str">
        <f>IF('Cable Info'!L747="","",CONCATENATE('Cable Info'!L747," - ",'Cable Info'!M747))</f>
        <v/>
      </c>
      <c r="AM887" s="149" t="str">
        <f t="shared" si="102"/>
        <v/>
      </c>
      <c r="AO887" s="149" t="str">
        <f>IF('Cable Info'!N747="","",CONCATENATE('Cable Info'!N747," - ",'Cable Info'!O747))</f>
        <v/>
      </c>
      <c r="AR887" s="149" t="str">
        <f t="shared" si="103"/>
        <v/>
      </c>
      <c r="AT887" s="149" t="str">
        <f>IF('Cable Info'!P747="","",CONCATENATE('Cable Info'!P747," - ",'Cable Info'!Q747))</f>
        <v/>
      </c>
      <c r="AW887" s="149" t="str">
        <f t="shared" si="104"/>
        <v/>
      </c>
      <c r="AY887" s="149" t="str">
        <f>IF('Cable Info'!R747="","",CONCATENATE('Cable Info'!R747," - ",'Cable Info'!S747))</f>
        <v/>
      </c>
      <c r="BB887" s="149" t="str">
        <f t="shared" si="105"/>
        <v/>
      </c>
      <c r="BD887" s="149" t="str">
        <f>IF('Cable Info'!T747="","",CONCATENATE('Cable Info'!T747," - ",'Cable Info'!U747))</f>
        <v/>
      </c>
      <c r="BG887" s="149" t="str">
        <f t="shared" si="106"/>
        <v/>
      </c>
      <c r="BI887" s="149" t="str">
        <f>IF('Cable Info'!V747="","",CONCATENATE('Cable Info'!V747," - ",'Cable Info'!W747))</f>
        <v/>
      </c>
      <c r="BL887" s="149" t="str">
        <f t="shared" si="107"/>
        <v/>
      </c>
    </row>
    <row r="888" spans="1:64" x14ac:dyDescent="0.2">
      <c r="A888" s="180"/>
      <c r="B888" s="180"/>
      <c r="C888" s="180"/>
      <c r="D888" s="180"/>
      <c r="E888" s="180"/>
      <c r="F888" s="187"/>
      <c r="G888" s="180"/>
      <c r="H888" s="180"/>
      <c r="I888" s="180"/>
      <c r="J888" s="187"/>
      <c r="K888" s="180"/>
      <c r="L888" s="180"/>
      <c r="M888" s="180"/>
      <c r="N888" s="180"/>
      <c r="O888" s="218"/>
      <c r="P888" s="180"/>
      <c r="Q888" s="188"/>
      <c r="R888" s="180"/>
      <c r="S888" s="180"/>
      <c r="T888" s="180"/>
      <c r="U888" s="180"/>
      <c r="V888" s="180"/>
      <c r="W888" s="180"/>
      <c r="X888" s="201"/>
      <c r="AJ888" s="149" t="str">
        <f>IF('Cable Info'!L748="","",CONCATENATE('Cable Info'!L748," - ",'Cable Info'!M748))</f>
        <v/>
      </c>
      <c r="AM888" s="149" t="str">
        <f t="shared" si="102"/>
        <v/>
      </c>
      <c r="AO888" s="149" t="str">
        <f>IF('Cable Info'!N748="","",CONCATENATE('Cable Info'!N748," - ",'Cable Info'!O748))</f>
        <v/>
      </c>
      <c r="AR888" s="149" t="str">
        <f t="shared" si="103"/>
        <v/>
      </c>
      <c r="AT888" s="149" t="str">
        <f>IF('Cable Info'!P748="","",CONCATENATE('Cable Info'!P748," - ",'Cable Info'!Q748))</f>
        <v/>
      </c>
      <c r="AW888" s="149" t="str">
        <f t="shared" si="104"/>
        <v/>
      </c>
      <c r="AY888" s="149" t="str">
        <f>IF('Cable Info'!R748="","",CONCATENATE('Cable Info'!R748," - ",'Cable Info'!S748))</f>
        <v/>
      </c>
      <c r="BB888" s="149" t="str">
        <f t="shared" si="105"/>
        <v/>
      </c>
      <c r="BD888" s="149" t="str">
        <f>IF('Cable Info'!T748="","",CONCATENATE('Cable Info'!T748," - ",'Cable Info'!U748))</f>
        <v/>
      </c>
      <c r="BG888" s="149" t="str">
        <f t="shared" si="106"/>
        <v/>
      </c>
      <c r="BI888" s="149" t="str">
        <f>IF('Cable Info'!V748="","",CONCATENATE('Cable Info'!V748," - ",'Cable Info'!W748))</f>
        <v/>
      </c>
      <c r="BL888" s="149" t="str">
        <f t="shared" si="107"/>
        <v/>
      </c>
    </row>
    <row r="889" spans="1:64" x14ac:dyDescent="0.2">
      <c r="A889" s="180"/>
      <c r="B889" s="180"/>
      <c r="C889" s="180"/>
      <c r="D889" s="180"/>
      <c r="E889" s="180"/>
      <c r="F889" s="187"/>
      <c r="G889" s="180"/>
      <c r="H889" s="180"/>
      <c r="I889" s="180"/>
      <c r="J889" s="187"/>
      <c r="K889" s="180"/>
      <c r="L889" s="180"/>
      <c r="M889" s="180"/>
      <c r="N889" s="180"/>
      <c r="O889" s="218"/>
      <c r="P889" s="180"/>
      <c r="Q889" s="188"/>
      <c r="R889" s="180"/>
      <c r="S889" s="180"/>
      <c r="T889" s="180"/>
      <c r="U889" s="180"/>
      <c r="V889" s="180"/>
      <c r="W889" s="180"/>
      <c r="X889" s="201"/>
      <c r="AJ889" s="149" t="str">
        <f>IF('Cable Info'!L749="","",CONCATENATE('Cable Info'!L749," - ",'Cable Info'!M749))</f>
        <v/>
      </c>
      <c r="AM889" s="149" t="str">
        <f t="shared" si="102"/>
        <v/>
      </c>
      <c r="AO889" s="149" t="str">
        <f>IF('Cable Info'!N749="","",CONCATENATE('Cable Info'!N749," - ",'Cable Info'!O749))</f>
        <v/>
      </c>
      <c r="AR889" s="149" t="str">
        <f t="shared" si="103"/>
        <v/>
      </c>
      <c r="AT889" s="149" t="str">
        <f>IF('Cable Info'!P749="","",CONCATENATE('Cable Info'!P749," - ",'Cable Info'!Q749))</f>
        <v/>
      </c>
      <c r="AW889" s="149" t="str">
        <f t="shared" si="104"/>
        <v/>
      </c>
      <c r="AY889" s="149" t="str">
        <f>IF('Cable Info'!R749="","",CONCATENATE('Cable Info'!R749," - ",'Cable Info'!S749))</f>
        <v/>
      </c>
      <c r="BB889" s="149" t="str">
        <f t="shared" si="105"/>
        <v/>
      </c>
      <c r="BD889" s="149" t="str">
        <f>IF('Cable Info'!T749="","",CONCATENATE('Cable Info'!T749," - ",'Cable Info'!U749))</f>
        <v/>
      </c>
      <c r="BG889" s="149" t="str">
        <f t="shared" si="106"/>
        <v/>
      </c>
      <c r="BI889" s="149" t="str">
        <f>IF('Cable Info'!V749="","",CONCATENATE('Cable Info'!V749," - ",'Cable Info'!W749))</f>
        <v/>
      </c>
      <c r="BL889" s="149" t="str">
        <f t="shared" si="107"/>
        <v/>
      </c>
    </row>
    <row r="890" spans="1:64" x14ac:dyDescent="0.2">
      <c r="A890" s="180"/>
      <c r="B890" s="180"/>
      <c r="C890" s="180"/>
      <c r="D890" s="180"/>
      <c r="E890" s="180"/>
      <c r="F890" s="187"/>
      <c r="G890" s="180"/>
      <c r="H890" s="180"/>
      <c r="I890" s="180"/>
      <c r="J890" s="187"/>
      <c r="K890" s="180"/>
      <c r="L890" s="180"/>
      <c r="M890" s="180"/>
      <c r="N890" s="180"/>
      <c r="O890" s="218"/>
      <c r="P890" s="180"/>
      <c r="Q890" s="188"/>
      <c r="R890" s="180"/>
      <c r="S890" s="180"/>
      <c r="T890" s="180"/>
      <c r="U890" s="180"/>
      <c r="V890" s="180"/>
      <c r="W890" s="180"/>
      <c r="X890" s="201"/>
      <c r="AJ890" s="149" t="str">
        <f>IF('Cable Info'!L750="","",CONCATENATE('Cable Info'!L750," - ",'Cable Info'!M750))</f>
        <v/>
      </c>
      <c r="AM890" s="149" t="str">
        <f t="shared" si="102"/>
        <v/>
      </c>
      <c r="AO890" s="149" t="str">
        <f>IF('Cable Info'!N750="","",CONCATENATE('Cable Info'!N750," - ",'Cable Info'!O750))</f>
        <v/>
      </c>
      <c r="AR890" s="149" t="str">
        <f t="shared" si="103"/>
        <v/>
      </c>
      <c r="AT890" s="149" t="str">
        <f>IF('Cable Info'!P750="","",CONCATENATE('Cable Info'!P750," - ",'Cable Info'!Q750))</f>
        <v/>
      </c>
      <c r="AW890" s="149" t="str">
        <f t="shared" si="104"/>
        <v/>
      </c>
      <c r="AY890" s="149" t="str">
        <f>IF('Cable Info'!R750="","",CONCATENATE('Cable Info'!R750," - ",'Cable Info'!S750))</f>
        <v/>
      </c>
      <c r="BB890" s="149" t="str">
        <f t="shared" si="105"/>
        <v/>
      </c>
      <c r="BD890" s="149" t="str">
        <f>IF('Cable Info'!T750="","",CONCATENATE('Cable Info'!T750," - ",'Cable Info'!U750))</f>
        <v/>
      </c>
      <c r="BG890" s="149" t="str">
        <f t="shared" si="106"/>
        <v/>
      </c>
      <c r="BI890" s="149" t="str">
        <f>IF('Cable Info'!V750="","",CONCATENATE('Cable Info'!V750," - ",'Cable Info'!W750))</f>
        <v/>
      </c>
      <c r="BL890" s="149" t="str">
        <f t="shared" si="107"/>
        <v/>
      </c>
    </row>
    <row r="891" spans="1:64" x14ac:dyDescent="0.2">
      <c r="A891" s="180"/>
      <c r="B891" s="180"/>
      <c r="C891" s="180"/>
      <c r="D891" s="180"/>
      <c r="E891" s="180"/>
      <c r="F891" s="187"/>
      <c r="G891" s="180"/>
      <c r="H891" s="180"/>
      <c r="I891" s="180"/>
      <c r="J891" s="187"/>
      <c r="K891" s="180"/>
      <c r="L891" s="180"/>
      <c r="M891" s="180"/>
      <c r="N891" s="180"/>
      <c r="O891" s="218"/>
      <c r="P891" s="180"/>
      <c r="Q891" s="188"/>
      <c r="R891" s="180"/>
      <c r="S891" s="180"/>
      <c r="T891" s="180"/>
      <c r="U891" s="180"/>
      <c r="V891" s="180"/>
      <c r="W891" s="180"/>
      <c r="X891" s="201"/>
      <c r="AJ891" s="149" t="str">
        <f>IF('Cable Info'!L751="","",CONCATENATE('Cable Info'!L751," - ",'Cable Info'!M751))</f>
        <v/>
      </c>
      <c r="AM891" s="149" t="str">
        <f t="shared" si="102"/>
        <v/>
      </c>
      <c r="AO891" s="149" t="str">
        <f>IF('Cable Info'!N751="","",CONCATENATE('Cable Info'!N751," - ",'Cable Info'!O751))</f>
        <v/>
      </c>
      <c r="AR891" s="149" t="str">
        <f t="shared" si="103"/>
        <v/>
      </c>
      <c r="AT891" s="149" t="str">
        <f>IF('Cable Info'!P751="","",CONCATENATE('Cable Info'!P751," - ",'Cable Info'!Q751))</f>
        <v/>
      </c>
      <c r="AW891" s="149" t="str">
        <f t="shared" si="104"/>
        <v/>
      </c>
      <c r="AY891" s="149" t="str">
        <f>IF('Cable Info'!R751="","",CONCATENATE('Cable Info'!R751," - ",'Cable Info'!S751))</f>
        <v/>
      </c>
      <c r="BB891" s="149" t="str">
        <f t="shared" si="105"/>
        <v/>
      </c>
      <c r="BD891" s="149" t="str">
        <f>IF('Cable Info'!T751="","",CONCATENATE('Cable Info'!T751," - ",'Cable Info'!U751))</f>
        <v/>
      </c>
      <c r="BG891" s="149" t="str">
        <f t="shared" si="106"/>
        <v/>
      </c>
      <c r="BI891" s="149" t="str">
        <f>IF('Cable Info'!V751="","",CONCATENATE('Cable Info'!V751," - ",'Cable Info'!W751))</f>
        <v/>
      </c>
      <c r="BL891" s="149" t="str">
        <f t="shared" si="107"/>
        <v/>
      </c>
    </row>
    <row r="892" spans="1:64" x14ac:dyDescent="0.2">
      <c r="A892" s="180"/>
      <c r="B892" s="180"/>
      <c r="C892" s="180"/>
      <c r="D892" s="180"/>
      <c r="E892" s="180"/>
      <c r="F892" s="187"/>
      <c r="G892" s="180"/>
      <c r="H892" s="180"/>
      <c r="I892" s="180"/>
      <c r="J892" s="187"/>
      <c r="K892" s="180"/>
      <c r="L892" s="180"/>
      <c r="M892" s="180"/>
      <c r="N892" s="180"/>
      <c r="O892" s="218"/>
      <c r="P892" s="180"/>
      <c r="Q892" s="188"/>
      <c r="R892" s="180"/>
      <c r="S892" s="180"/>
      <c r="T892" s="180"/>
      <c r="U892" s="180"/>
      <c r="V892" s="180"/>
      <c r="W892" s="180"/>
      <c r="X892" s="201"/>
      <c r="AJ892" s="149" t="str">
        <f>IF('Cable Info'!L752="","",CONCATENATE('Cable Info'!L752," - ",'Cable Info'!M752))</f>
        <v/>
      </c>
      <c r="AM892" s="149" t="str">
        <f t="shared" si="102"/>
        <v/>
      </c>
      <c r="AO892" s="149" t="str">
        <f>IF('Cable Info'!N752="","",CONCATENATE('Cable Info'!N752," - ",'Cable Info'!O752))</f>
        <v/>
      </c>
      <c r="AR892" s="149" t="str">
        <f t="shared" si="103"/>
        <v/>
      </c>
      <c r="AT892" s="149" t="str">
        <f>IF('Cable Info'!P752="","",CONCATENATE('Cable Info'!P752," - ",'Cable Info'!Q752))</f>
        <v/>
      </c>
      <c r="AW892" s="149" t="str">
        <f t="shared" si="104"/>
        <v/>
      </c>
      <c r="AY892" s="149" t="str">
        <f>IF('Cable Info'!R752="","",CONCATENATE('Cable Info'!R752," - ",'Cable Info'!S752))</f>
        <v/>
      </c>
      <c r="BB892" s="149" t="str">
        <f t="shared" si="105"/>
        <v/>
      </c>
      <c r="BD892" s="149" t="str">
        <f>IF('Cable Info'!T752="","",CONCATENATE('Cable Info'!T752," - ",'Cable Info'!U752))</f>
        <v/>
      </c>
      <c r="BG892" s="149" t="str">
        <f t="shared" si="106"/>
        <v/>
      </c>
      <c r="BI892" s="149" t="str">
        <f>IF('Cable Info'!V752="","",CONCATENATE('Cable Info'!V752," - ",'Cable Info'!W752))</f>
        <v/>
      </c>
      <c r="BL892" s="149" t="str">
        <f t="shared" si="107"/>
        <v/>
      </c>
    </row>
    <row r="893" spans="1:64" x14ac:dyDescent="0.2">
      <c r="A893" s="180"/>
      <c r="B893" s="180"/>
      <c r="C893" s="180"/>
      <c r="D893" s="180"/>
      <c r="E893" s="180"/>
      <c r="F893" s="187"/>
      <c r="G893" s="180"/>
      <c r="H893" s="180"/>
      <c r="I893" s="180"/>
      <c r="J893" s="187"/>
      <c r="K893" s="180"/>
      <c r="L893" s="180"/>
      <c r="M893" s="180"/>
      <c r="N893" s="180"/>
      <c r="O893" s="218"/>
      <c r="P893" s="180"/>
      <c r="Q893" s="188"/>
      <c r="R893" s="180"/>
      <c r="S893" s="180"/>
      <c r="T893" s="180"/>
      <c r="U893" s="180"/>
      <c r="V893" s="180"/>
      <c r="W893" s="180"/>
      <c r="X893" s="201"/>
      <c r="AJ893" s="149" t="str">
        <f>IF('Cable Info'!L753="","",CONCATENATE('Cable Info'!L753," - ",'Cable Info'!M753))</f>
        <v/>
      </c>
      <c r="AM893" s="149" t="str">
        <f t="shared" si="102"/>
        <v/>
      </c>
      <c r="AO893" s="149" t="str">
        <f>IF('Cable Info'!N753="","",CONCATENATE('Cable Info'!N753," - ",'Cable Info'!O753))</f>
        <v/>
      </c>
      <c r="AR893" s="149" t="str">
        <f t="shared" si="103"/>
        <v/>
      </c>
      <c r="AT893" s="149" t="str">
        <f>IF('Cable Info'!P753="","",CONCATENATE('Cable Info'!P753," - ",'Cable Info'!Q753))</f>
        <v/>
      </c>
      <c r="AW893" s="149" t="str">
        <f t="shared" si="104"/>
        <v/>
      </c>
      <c r="AY893" s="149" t="str">
        <f>IF('Cable Info'!R753="","",CONCATENATE('Cable Info'!R753," - ",'Cable Info'!S753))</f>
        <v/>
      </c>
      <c r="BB893" s="149" t="str">
        <f t="shared" si="105"/>
        <v/>
      </c>
      <c r="BD893" s="149" t="str">
        <f>IF('Cable Info'!T753="","",CONCATENATE('Cable Info'!T753," - ",'Cable Info'!U753))</f>
        <v/>
      </c>
      <c r="BG893" s="149" t="str">
        <f t="shared" si="106"/>
        <v/>
      </c>
      <c r="BI893" s="149" t="str">
        <f>IF('Cable Info'!V753="","",CONCATENATE('Cable Info'!V753," - ",'Cable Info'!W753))</f>
        <v/>
      </c>
      <c r="BL893" s="149" t="str">
        <f t="shared" si="107"/>
        <v/>
      </c>
    </row>
    <row r="894" spans="1:64" x14ac:dyDescent="0.2">
      <c r="A894" s="180"/>
      <c r="B894" s="180"/>
      <c r="C894" s="180"/>
      <c r="D894" s="180"/>
      <c r="E894" s="180"/>
      <c r="F894" s="187"/>
      <c r="G894" s="180"/>
      <c r="H894" s="180"/>
      <c r="I894" s="180"/>
      <c r="J894" s="187"/>
      <c r="K894" s="180"/>
      <c r="L894" s="180"/>
      <c r="M894" s="180"/>
      <c r="N894" s="180"/>
      <c r="O894" s="218"/>
      <c r="P894" s="180"/>
      <c r="Q894" s="188"/>
      <c r="R894" s="180"/>
      <c r="S894" s="180"/>
      <c r="T894" s="180"/>
      <c r="U894" s="180"/>
      <c r="V894" s="180"/>
      <c r="W894" s="180"/>
      <c r="X894" s="201"/>
      <c r="AJ894" s="149" t="str">
        <f>IF('Cable Info'!L754="","",CONCATENATE('Cable Info'!L754," - ",'Cable Info'!M754))</f>
        <v/>
      </c>
      <c r="AM894" s="149" t="str">
        <f t="shared" si="102"/>
        <v/>
      </c>
      <c r="AO894" s="149" t="str">
        <f>IF('Cable Info'!N754="","",CONCATENATE('Cable Info'!N754," - ",'Cable Info'!O754))</f>
        <v/>
      </c>
      <c r="AR894" s="149" t="str">
        <f t="shared" si="103"/>
        <v/>
      </c>
      <c r="AT894" s="149" t="str">
        <f>IF('Cable Info'!P754="","",CONCATENATE('Cable Info'!P754," - ",'Cable Info'!Q754))</f>
        <v/>
      </c>
      <c r="AW894" s="149" t="str">
        <f t="shared" si="104"/>
        <v/>
      </c>
      <c r="AY894" s="149" t="str">
        <f>IF('Cable Info'!R754="","",CONCATENATE('Cable Info'!R754," - ",'Cable Info'!S754))</f>
        <v/>
      </c>
      <c r="BB894" s="149" t="str">
        <f t="shared" si="105"/>
        <v/>
      </c>
      <c r="BD894" s="149" t="str">
        <f>IF('Cable Info'!T754="","",CONCATENATE('Cable Info'!T754," - ",'Cable Info'!U754))</f>
        <v/>
      </c>
      <c r="BG894" s="149" t="str">
        <f t="shared" si="106"/>
        <v/>
      </c>
      <c r="BI894" s="149" t="str">
        <f>IF('Cable Info'!V754="","",CONCATENATE('Cable Info'!V754," - ",'Cable Info'!W754))</f>
        <v/>
      </c>
      <c r="BL894" s="149" t="str">
        <f t="shared" si="107"/>
        <v/>
      </c>
    </row>
    <row r="895" spans="1:64" x14ac:dyDescent="0.2">
      <c r="A895" s="180"/>
      <c r="B895" s="180"/>
      <c r="C895" s="180"/>
      <c r="D895" s="180"/>
      <c r="E895" s="180"/>
      <c r="F895" s="187"/>
      <c r="G895" s="180"/>
      <c r="H895" s="180"/>
      <c r="I895" s="180"/>
      <c r="J895" s="187"/>
      <c r="K895" s="180"/>
      <c r="L895" s="180"/>
      <c r="M895" s="180"/>
      <c r="N895" s="180"/>
      <c r="O895" s="218"/>
      <c r="P895" s="180"/>
      <c r="Q895" s="188"/>
      <c r="R895" s="180"/>
      <c r="S895" s="180"/>
      <c r="T895" s="180"/>
      <c r="U895" s="180"/>
      <c r="V895" s="180"/>
      <c r="W895" s="180"/>
      <c r="X895" s="201"/>
      <c r="AJ895" s="149" t="str">
        <f>IF('Cable Info'!L755="","",CONCATENATE('Cable Info'!L755," - ",'Cable Info'!M755))</f>
        <v/>
      </c>
      <c r="AM895" s="149" t="str">
        <f t="shared" si="102"/>
        <v/>
      </c>
      <c r="AO895" s="149" t="str">
        <f>IF('Cable Info'!N755="","",CONCATENATE('Cable Info'!N755," - ",'Cable Info'!O755))</f>
        <v/>
      </c>
      <c r="AR895" s="149" t="str">
        <f t="shared" si="103"/>
        <v/>
      </c>
      <c r="AT895" s="149" t="str">
        <f>IF('Cable Info'!P755="","",CONCATENATE('Cable Info'!P755," - ",'Cable Info'!Q755))</f>
        <v/>
      </c>
      <c r="AW895" s="149" t="str">
        <f t="shared" si="104"/>
        <v/>
      </c>
      <c r="AY895" s="149" t="str">
        <f>IF('Cable Info'!R755="","",CONCATENATE('Cable Info'!R755," - ",'Cable Info'!S755))</f>
        <v/>
      </c>
      <c r="BB895" s="149" t="str">
        <f t="shared" si="105"/>
        <v/>
      </c>
      <c r="BD895" s="149" t="str">
        <f>IF('Cable Info'!T755="","",CONCATENATE('Cable Info'!T755," - ",'Cable Info'!U755))</f>
        <v/>
      </c>
      <c r="BG895" s="149" t="str">
        <f t="shared" si="106"/>
        <v/>
      </c>
      <c r="BI895" s="149" t="str">
        <f>IF('Cable Info'!V755="","",CONCATENATE('Cable Info'!V755," - ",'Cable Info'!W755))</f>
        <v/>
      </c>
      <c r="BL895" s="149" t="str">
        <f t="shared" si="107"/>
        <v/>
      </c>
    </row>
    <row r="896" spans="1:64" x14ac:dyDescent="0.2">
      <c r="A896" s="180"/>
      <c r="B896" s="180"/>
      <c r="C896" s="180"/>
      <c r="D896" s="180"/>
      <c r="E896" s="180"/>
      <c r="F896" s="187"/>
      <c r="G896" s="180"/>
      <c r="H896" s="180"/>
      <c r="I896" s="180"/>
      <c r="J896" s="187"/>
      <c r="K896" s="180"/>
      <c r="L896" s="180"/>
      <c r="M896" s="180"/>
      <c r="N896" s="180"/>
      <c r="O896" s="218"/>
      <c r="P896" s="180"/>
      <c r="Q896" s="188"/>
      <c r="R896" s="180"/>
      <c r="S896" s="180"/>
      <c r="T896" s="180"/>
      <c r="U896" s="180"/>
      <c r="V896" s="180"/>
      <c r="W896" s="180"/>
      <c r="X896" s="201"/>
      <c r="AJ896" s="149" t="str">
        <f>IF('Cable Info'!L756="","",CONCATENATE('Cable Info'!L756," - ",'Cable Info'!M756))</f>
        <v/>
      </c>
      <c r="AM896" s="149" t="str">
        <f t="shared" si="102"/>
        <v/>
      </c>
      <c r="AO896" s="149" t="str">
        <f>IF('Cable Info'!N756="","",CONCATENATE('Cable Info'!N756," - ",'Cable Info'!O756))</f>
        <v/>
      </c>
      <c r="AR896" s="149" t="str">
        <f t="shared" si="103"/>
        <v/>
      </c>
      <c r="AT896" s="149" t="str">
        <f>IF('Cable Info'!P756="","",CONCATENATE('Cable Info'!P756," - ",'Cable Info'!Q756))</f>
        <v/>
      </c>
      <c r="AW896" s="149" t="str">
        <f t="shared" si="104"/>
        <v/>
      </c>
      <c r="AY896" s="149" t="str">
        <f>IF('Cable Info'!R756="","",CONCATENATE('Cable Info'!R756," - ",'Cable Info'!S756))</f>
        <v/>
      </c>
      <c r="BB896" s="149" t="str">
        <f t="shared" si="105"/>
        <v/>
      </c>
      <c r="BD896" s="149" t="str">
        <f>IF('Cable Info'!T756="","",CONCATENATE('Cable Info'!T756," - ",'Cable Info'!U756))</f>
        <v/>
      </c>
      <c r="BG896" s="149" t="str">
        <f t="shared" si="106"/>
        <v/>
      </c>
      <c r="BI896" s="149" t="str">
        <f>IF('Cable Info'!V756="","",CONCATENATE('Cable Info'!V756," - ",'Cable Info'!W756))</f>
        <v/>
      </c>
      <c r="BL896" s="149" t="str">
        <f t="shared" si="107"/>
        <v/>
      </c>
    </row>
    <row r="897" spans="1:64" x14ac:dyDescent="0.2">
      <c r="A897" s="180"/>
      <c r="B897" s="180"/>
      <c r="C897" s="180"/>
      <c r="D897" s="180"/>
      <c r="E897" s="180"/>
      <c r="F897" s="187"/>
      <c r="G897" s="180"/>
      <c r="H897" s="180"/>
      <c r="I897" s="180"/>
      <c r="J897" s="187"/>
      <c r="K897" s="180"/>
      <c r="L897" s="180"/>
      <c r="M897" s="180"/>
      <c r="N897" s="180"/>
      <c r="O897" s="218"/>
      <c r="P897" s="180"/>
      <c r="Q897" s="188"/>
      <c r="R897" s="180"/>
      <c r="S897" s="180"/>
      <c r="T897" s="180"/>
      <c r="U897" s="180"/>
      <c r="V897" s="180"/>
      <c r="W897" s="180"/>
      <c r="X897" s="201"/>
      <c r="AJ897" s="149" t="str">
        <f>IF('Cable Info'!L757="","",CONCATENATE('Cable Info'!L757," - ",'Cable Info'!M757))</f>
        <v/>
      </c>
      <c r="AM897" s="149" t="str">
        <f t="shared" si="102"/>
        <v/>
      </c>
      <c r="AO897" s="149" t="str">
        <f>IF('Cable Info'!N757="","",CONCATENATE('Cable Info'!N757," - ",'Cable Info'!O757))</f>
        <v/>
      </c>
      <c r="AR897" s="149" t="str">
        <f t="shared" si="103"/>
        <v/>
      </c>
      <c r="AT897" s="149" t="str">
        <f>IF('Cable Info'!P757="","",CONCATENATE('Cable Info'!P757," - ",'Cable Info'!Q757))</f>
        <v/>
      </c>
      <c r="AW897" s="149" t="str">
        <f t="shared" si="104"/>
        <v/>
      </c>
      <c r="AY897" s="149" t="str">
        <f>IF('Cable Info'!R757="","",CONCATENATE('Cable Info'!R757," - ",'Cable Info'!S757))</f>
        <v/>
      </c>
      <c r="BB897" s="149" t="str">
        <f t="shared" si="105"/>
        <v/>
      </c>
      <c r="BD897" s="149" t="str">
        <f>IF('Cable Info'!T757="","",CONCATENATE('Cable Info'!T757," - ",'Cable Info'!U757))</f>
        <v/>
      </c>
      <c r="BG897" s="149" t="str">
        <f t="shared" si="106"/>
        <v/>
      </c>
      <c r="BI897" s="149" t="str">
        <f>IF('Cable Info'!V757="","",CONCATENATE('Cable Info'!V757," - ",'Cable Info'!W757))</f>
        <v/>
      </c>
      <c r="BL897" s="149" t="str">
        <f t="shared" si="107"/>
        <v/>
      </c>
    </row>
    <row r="898" spans="1:64" x14ac:dyDescent="0.2">
      <c r="A898" s="180"/>
      <c r="B898" s="180"/>
      <c r="C898" s="180"/>
      <c r="D898" s="180"/>
      <c r="E898" s="180"/>
      <c r="F898" s="187"/>
      <c r="G898" s="180"/>
      <c r="H898" s="180"/>
      <c r="I898" s="180"/>
      <c r="J898" s="187"/>
      <c r="K898" s="180"/>
      <c r="L898" s="180"/>
      <c r="M898" s="180"/>
      <c r="N898" s="180"/>
      <c r="O898" s="218"/>
      <c r="P898" s="180"/>
      <c r="Q898" s="188"/>
      <c r="R898" s="180"/>
      <c r="S898" s="180"/>
      <c r="T898" s="180"/>
      <c r="U898" s="180"/>
      <c r="V898" s="180"/>
      <c r="W898" s="180"/>
      <c r="X898" s="201"/>
      <c r="AJ898" s="149" t="str">
        <f>IF('Cable Info'!L758="","",CONCATENATE('Cable Info'!L758," - ",'Cable Info'!M758))</f>
        <v/>
      </c>
      <c r="AM898" s="149" t="str">
        <f t="shared" si="102"/>
        <v/>
      </c>
      <c r="AO898" s="149" t="str">
        <f>IF('Cable Info'!N758="","",CONCATENATE('Cable Info'!N758," - ",'Cable Info'!O758))</f>
        <v/>
      </c>
      <c r="AR898" s="149" t="str">
        <f t="shared" si="103"/>
        <v/>
      </c>
      <c r="AT898" s="149" t="str">
        <f>IF('Cable Info'!P758="","",CONCATENATE('Cable Info'!P758," - ",'Cable Info'!Q758))</f>
        <v/>
      </c>
      <c r="AW898" s="149" t="str">
        <f t="shared" si="104"/>
        <v/>
      </c>
      <c r="AY898" s="149" t="str">
        <f>IF('Cable Info'!R758="","",CONCATENATE('Cable Info'!R758," - ",'Cable Info'!S758))</f>
        <v/>
      </c>
      <c r="BB898" s="149" t="str">
        <f t="shared" si="105"/>
        <v/>
      </c>
      <c r="BD898" s="149" t="str">
        <f>IF('Cable Info'!T758="","",CONCATENATE('Cable Info'!T758," - ",'Cable Info'!U758))</f>
        <v/>
      </c>
      <c r="BG898" s="149" t="str">
        <f t="shared" si="106"/>
        <v/>
      </c>
      <c r="BI898" s="149" t="str">
        <f>IF('Cable Info'!V758="","",CONCATENATE('Cable Info'!V758," - ",'Cable Info'!W758))</f>
        <v/>
      </c>
      <c r="BL898" s="149" t="str">
        <f t="shared" si="107"/>
        <v/>
      </c>
    </row>
    <row r="899" spans="1:64" x14ac:dyDescent="0.2">
      <c r="A899" s="180"/>
      <c r="B899" s="180"/>
      <c r="C899" s="180"/>
      <c r="D899" s="180"/>
      <c r="E899" s="180"/>
      <c r="F899" s="187"/>
      <c r="G899" s="180"/>
      <c r="H899" s="180"/>
      <c r="I899" s="180"/>
      <c r="J899" s="187"/>
      <c r="K899" s="180"/>
      <c r="L899" s="180"/>
      <c r="M899" s="180"/>
      <c r="N899" s="180"/>
      <c r="O899" s="218"/>
      <c r="P899" s="180"/>
      <c r="Q899" s="188"/>
      <c r="R899" s="180"/>
      <c r="S899" s="180"/>
      <c r="T899" s="180"/>
      <c r="U899" s="180"/>
      <c r="V899" s="180"/>
      <c r="W899" s="180"/>
      <c r="X899" s="201"/>
      <c r="AJ899" s="149" t="str">
        <f>IF('Cable Info'!L759="","",CONCATENATE('Cable Info'!L759," - ",'Cable Info'!M759))</f>
        <v/>
      </c>
      <c r="AM899" s="149" t="str">
        <f t="shared" si="102"/>
        <v/>
      </c>
      <c r="AO899" s="149" t="str">
        <f>IF('Cable Info'!N759="","",CONCATENATE('Cable Info'!N759," - ",'Cable Info'!O759))</f>
        <v/>
      </c>
      <c r="AR899" s="149" t="str">
        <f t="shared" si="103"/>
        <v/>
      </c>
      <c r="AT899" s="149" t="str">
        <f>IF('Cable Info'!P759="","",CONCATENATE('Cable Info'!P759," - ",'Cable Info'!Q759))</f>
        <v/>
      </c>
      <c r="AW899" s="149" t="str">
        <f t="shared" si="104"/>
        <v/>
      </c>
      <c r="AY899" s="149" t="str">
        <f>IF('Cable Info'!R759="","",CONCATENATE('Cable Info'!R759," - ",'Cable Info'!S759))</f>
        <v/>
      </c>
      <c r="BB899" s="149" t="str">
        <f t="shared" si="105"/>
        <v/>
      </c>
      <c r="BD899" s="149" t="str">
        <f>IF('Cable Info'!T759="","",CONCATENATE('Cable Info'!T759," - ",'Cable Info'!U759))</f>
        <v/>
      </c>
      <c r="BG899" s="149" t="str">
        <f t="shared" si="106"/>
        <v/>
      </c>
      <c r="BI899" s="149" t="str">
        <f>IF('Cable Info'!V759="","",CONCATENATE('Cable Info'!V759," - ",'Cable Info'!W759))</f>
        <v/>
      </c>
      <c r="BL899" s="149" t="str">
        <f t="shared" si="107"/>
        <v/>
      </c>
    </row>
    <row r="900" spans="1:64" x14ac:dyDescent="0.2">
      <c r="A900" s="180"/>
      <c r="B900" s="180"/>
      <c r="C900" s="180"/>
      <c r="D900" s="180"/>
      <c r="E900" s="180"/>
      <c r="F900" s="187"/>
      <c r="G900" s="180"/>
      <c r="H900" s="180"/>
      <c r="I900" s="180"/>
      <c r="J900" s="187"/>
      <c r="K900" s="180"/>
      <c r="L900" s="180"/>
      <c r="M900" s="180"/>
      <c r="N900" s="180"/>
      <c r="O900" s="218"/>
      <c r="P900" s="180"/>
      <c r="Q900" s="188"/>
      <c r="R900" s="180"/>
      <c r="S900" s="180"/>
      <c r="T900" s="180"/>
      <c r="U900" s="180"/>
      <c r="V900" s="180"/>
      <c r="W900" s="180"/>
      <c r="X900" s="201"/>
      <c r="AJ900" s="149" t="str">
        <f>IF('Cable Info'!L760="","",CONCATENATE('Cable Info'!L760," - ",'Cable Info'!M760))</f>
        <v/>
      </c>
      <c r="AM900" s="149" t="str">
        <f t="shared" si="102"/>
        <v/>
      </c>
      <c r="AO900" s="149" t="str">
        <f>IF('Cable Info'!N760="","",CONCATENATE('Cable Info'!N760," - ",'Cable Info'!O760))</f>
        <v/>
      </c>
      <c r="AR900" s="149" t="str">
        <f t="shared" si="103"/>
        <v/>
      </c>
      <c r="AT900" s="149" t="str">
        <f>IF('Cable Info'!P760="","",CONCATENATE('Cable Info'!P760," - ",'Cable Info'!Q760))</f>
        <v/>
      </c>
      <c r="AW900" s="149" t="str">
        <f t="shared" si="104"/>
        <v/>
      </c>
      <c r="AY900" s="149" t="str">
        <f>IF('Cable Info'!R760="","",CONCATENATE('Cable Info'!R760," - ",'Cable Info'!S760))</f>
        <v/>
      </c>
      <c r="BB900" s="149" t="str">
        <f t="shared" si="105"/>
        <v/>
      </c>
      <c r="BD900" s="149" t="str">
        <f>IF('Cable Info'!T760="","",CONCATENATE('Cable Info'!T760," - ",'Cable Info'!U760))</f>
        <v/>
      </c>
      <c r="BG900" s="149" t="str">
        <f t="shared" si="106"/>
        <v/>
      </c>
      <c r="BI900" s="149" t="str">
        <f>IF('Cable Info'!V760="","",CONCATENATE('Cable Info'!V760," - ",'Cable Info'!W760))</f>
        <v/>
      </c>
      <c r="BL900" s="149" t="str">
        <f t="shared" si="107"/>
        <v/>
      </c>
    </row>
    <row r="901" spans="1:64" x14ac:dyDescent="0.2">
      <c r="A901" s="180"/>
      <c r="B901" s="180"/>
      <c r="C901" s="180"/>
      <c r="D901" s="180"/>
      <c r="E901" s="180"/>
      <c r="F901" s="187"/>
      <c r="G901" s="180"/>
      <c r="H901" s="180"/>
      <c r="I901" s="180"/>
      <c r="J901" s="187"/>
      <c r="K901" s="180"/>
      <c r="L901" s="180"/>
      <c r="M901" s="180"/>
      <c r="N901" s="180"/>
      <c r="O901" s="218"/>
      <c r="P901" s="180"/>
      <c r="Q901" s="188"/>
      <c r="R901" s="180"/>
      <c r="S901" s="180"/>
      <c r="T901" s="180"/>
      <c r="U901" s="180"/>
      <c r="V901" s="180"/>
      <c r="W901" s="180"/>
      <c r="X901" s="201"/>
      <c r="AJ901" s="149" t="str">
        <f>IF('Cable Info'!L761="","",CONCATENATE('Cable Info'!L761," - ",'Cable Info'!M761))</f>
        <v/>
      </c>
      <c r="AM901" s="149" t="str">
        <f t="shared" si="102"/>
        <v/>
      </c>
      <c r="AO901" s="149" t="str">
        <f>IF('Cable Info'!N761="","",CONCATENATE('Cable Info'!N761," - ",'Cable Info'!O761))</f>
        <v/>
      </c>
      <c r="AR901" s="149" t="str">
        <f t="shared" si="103"/>
        <v/>
      </c>
      <c r="AT901" s="149" t="str">
        <f>IF('Cable Info'!P761="","",CONCATENATE('Cable Info'!P761," - ",'Cable Info'!Q761))</f>
        <v/>
      </c>
      <c r="AW901" s="149" t="str">
        <f t="shared" si="104"/>
        <v/>
      </c>
      <c r="AY901" s="149" t="str">
        <f>IF('Cable Info'!R761="","",CONCATENATE('Cable Info'!R761," - ",'Cable Info'!S761))</f>
        <v/>
      </c>
      <c r="BB901" s="149" t="str">
        <f t="shared" si="105"/>
        <v/>
      </c>
      <c r="BD901" s="149" t="str">
        <f>IF('Cable Info'!T761="","",CONCATENATE('Cable Info'!T761," - ",'Cable Info'!U761))</f>
        <v/>
      </c>
      <c r="BG901" s="149" t="str">
        <f t="shared" si="106"/>
        <v/>
      </c>
      <c r="BI901" s="149" t="str">
        <f>IF('Cable Info'!V761="","",CONCATENATE('Cable Info'!V761," - ",'Cable Info'!W761))</f>
        <v/>
      </c>
      <c r="BL901" s="149" t="str">
        <f t="shared" si="107"/>
        <v/>
      </c>
    </row>
    <row r="902" spans="1:64" x14ac:dyDescent="0.2">
      <c r="A902" s="180"/>
      <c r="B902" s="180"/>
      <c r="C902" s="180"/>
      <c r="D902" s="180"/>
      <c r="E902" s="180"/>
      <c r="F902" s="187"/>
      <c r="G902" s="180"/>
      <c r="H902" s="180"/>
      <c r="I902" s="180"/>
      <c r="J902" s="187"/>
      <c r="K902" s="180"/>
      <c r="L902" s="180"/>
      <c r="M902" s="180"/>
      <c r="N902" s="180"/>
      <c r="O902" s="218"/>
      <c r="P902" s="180"/>
      <c r="Q902" s="188"/>
      <c r="R902" s="180"/>
      <c r="S902" s="180"/>
      <c r="T902" s="180"/>
      <c r="U902" s="180"/>
      <c r="V902" s="180"/>
      <c r="W902" s="180"/>
      <c r="X902" s="201"/>
      <c r="AJ902" s="149" t="str">
        <f>IF('Cable Info'!L762="","",CONCATENATE('Cable Info'!L762," - ",'Cable Info'!M762))</f>
        <v/>
      </c>
      <c r="AM902" s="149" t="str">
        <f t="shared" si="102"/>
        <v/>
      </c>
      <c r="AO902" s="149" t="str">
        <f>IF('Cable Info'!N762="","",CONCATENATE('Cable Info'!N762," - ",'Cable Info'!O762))</f>
        <v/>
      </c>
      <c r="AR902" s="149" t="str">
        <f t="shared" si="103"/>
        <v/>
      </c>
      <c r="AT902" s="149" t="str">
        <f>IF('Cable Info'!P762="","",CONCATENATE('Cable Info'!P762," - ",'Cable Info'!Q762))</f>
        <v/>
      </c>
      <c r="AW902" s="149" t="str">
        <f t="shared" si="104"/>
        <v/>
      </c>
      <c r="AY902" s="149" t="str">
        <f>IF('Cable Info'!R762="","",CONCATENATE('Cable Info'!R762," - ",'Cable Info'!S762))</f>
        <v/>
      </c>
      <c r="BB902" s="149" t="str">
        <f t="shared" si="105"/>
        <v/>
      </c>
      <c r="BD902" s="149" t="str">
        <f>IF('Cable Info'!T762="","",CONCATENATE('Cable Info'!T762," - ",'Cable Info'!U762))</f>
        <v/>
      </c>
      <c r="BG902" s="149" t="str">
        <f t="shared" si="106"/>
        <v/>
      </c>
      <c r="BI902" s="149" t="str">
        <f>IF('Cable Info'!V762="","",CONCATENATE('Cable Info'!V762," - ",'Cable Info'!W762))</f>
        <v/>
      </c>
      <c r="BL902" s="149" t="str">
        <f t="shared" si="107"/>
        <v/>
      </c>
    </row>
    <row r="903" spans="1:64" x14ac:dyDescent="0.2">
      <c r="A903" s="180"/>
      <c r="B903" s="180"/>
      <c r="C903" s="180"/>
      <c r="D903" s="180"/>
      <c r="E903" s="180"/>
      <c r="F903" s="187"/>
      <c r="G903" s="180"/>
      <c r="H903" s="180"/>
      <c r="I903" s="180"/>
      <c r="J903" s="187"/>
      <c r="K903" s="180"/>
      <c r="L903" s="180"/>
      <c r="M903" s="180"/>
      <c r="N903" s="180"/>
      <c r="O903" s="218"/>
      <c r="P903" s="180"/>
      <c r="Q903" s="188"/>
      <c r="R903" s="180"/>
      <c r="S903" s="180"/>
      <c r="T903" s="180"/>
      <c r="U903" s="180"/>
      <c r="V903" s="180"/>
      <c r="W903" s="180"/>
      <c r="X903" s="201"/>
      <c r="AJ903" s="149" t="str">
        <f>IF('Cable Info'!L763="","",CONCATENATE('Cable Info'!L763," - ",'Cable Info'!M763))</f>
        <v/>
      </c>
      <c r="AM903" s="149" t="str">
        <f t="shared" si="102"/>
        <v/>
      </c>
      <c r="AO903" s="149" t="str">
        <f>IF('Cable Info'!N763="","",CONCATENATE('Cable Info'!N763," - ",'Cable Info'!O763))</f>
        <v/>
      </c>
      <c r="AR903" s="149" t="str">
        <f t="shared" si="103"/>
        <v/>
      </c>
      <c r="AT903" s="149" t="str">
        <f>IF('Cable Info'!P763="","",CONCATENATE('Cable Info'!P763," - ",'Cable Info'!Q763))</f>
        <v/>
      </c>
      <c r="AW903" s="149" t="str">
        <f t="shared" si="104"/>
        <v/>
      </c>
      <c r="AY903" s="149" t="str">
        <f>IF('Cable Info'!R763="","",CONCATENATE('Cable Info'!R763," - ",'Cable Info'!S763))</f>
        <v/>
      </c>
      <c r="BB903" s="149" t="str">
        <f t="shared" si="105"/>
        <v/>
      </c>
      <c r="BD903" s="149" t="str">
        <f>IF('Cable Info'!T763="","",CONCATENATE('Cable Info'!T763," - ",'Cable Info'!U763))</f>
        <v/>
      </c>
      <c r="BG903" s="149" t="str">
        <f t="shared" si="106"/>
        <v/>
      </c>
      <c r="BI903" s="149" t="str">
        <f>IF('Cable Info'!V763="","",CONCATENATE('Cable Info'!V763," - ",'Cable Info'!W763))</f>
        <v/>
      </c>
      <c r="BL903" s="149" t="str">
        <f t="shared" si="107"/>
        <v/>
      </c>
    </row>
    <row r="904" spans="1:64" x14ac:dyDescent="0.2">
      <c r="A904" s="180"/>
      <c r="B904" s="180"/>
      <c r="C904" s="180"/>
      <c r="D904" s="180"/>
      <c r="E904" s="180"/>
      <c r="F904" s="187"/>
      <c r="G904" s="180"/>
      <c r="H904" s="180"/>
      <c r="I904" s="180"/>
      <c r="J904" s="187"/>
      <c r="K904" s="180"/>
      <c r="L904" s="180"/>
      <c r="M904" s="180"/>
      <c r="N904" s="180"/>
      <c r="O904" s="218"/>
      <c r="P904" s="180"/>
      <c r="Q904" s="188"/>
      <c r="R904" s="180"/>
      <c r="S904" s="180"/>
      <c r="T904" s="180"/>
      <c r="U904" s="180"/>
      <c r="V904" s="180"/>
      <c r="W904" s="180"/>
      <c r="X904" s="201"/>
      <c r="AJ904" s="149" t="str">
        <f>IF('Cable Info'!L764="","",CONCATENATE('Cable Info'!L764," - ",'Cable Info'!M764))</f>
        <v/>
      </c>
      <c r="AM904" s="149" t="str">
        <f t="shared" si="102"/>
        <v/>
      </c>
      <c r="AO904" s="149" t="str">
        <f>IF('Cable Info'!N764="","",CONCATENATE('Cable Info'!N764," - ",'Cable Info'!O764))</f>
        <v/>
      </c>
      <c r="AR904" s="149" t="str">
        <f t="shared" si="103"/>
        <v/>
      </c>
      <c r="AT904" s="149" t="str">
        <f>IF('Cable Info'!P764="","",CONCATENATE('Cable Info'!P764," - ",'Cable Info'!Q764))</f>
        <v/>
      </c>
      <c r="AW904" s="149" t="str">
        <f t="shared" si="104"/>
        <v/>
      </c>
      <c r="AY904" s="149" t="str">
        <f>IF('Cable Info'!R764="","",CONCATENATE('Cable Info'!R764," - ",'Cable Info'!S764))</f>
        <v/>
      </c>
      <c r="BB904" s="149" t="str">
        <f t="shared" si="105"/>
        <v/>
      </c>
      <c r="BD904" s="149" t="str">
        <f>IF('Cable Info'!T764="","",CONCATENATE('Cable Info'!T764," - ",'Cable Info'!U764))</f>
        <v/>
      </c>
      <c r="BG904" s="149" t="str">
        <f t="shared" si="106"/>
        <v/>
      </c>
      <c r="BI904" s="149" t="str">
        <f>IF('Cable Info'!V764="","",CONCATENATE('Cable Info'!V764," - ",'Cable Info'!W764))</f>
        <v/>
      </c>
      <c r="BL904" s="149" t="str">
        <f t="shared" si="107"/>
        <v/>
      </c>
    </row>
    <row r="905" spans="1:64" x14ac:dyDescent="0.2">
      <c r="A905" s="180"/>
      <c r="B905" s="180"/>
      <c r="C905" s="180"/>
      <c r="D905" s="180"/>
      <c r="E905" s="180"/>
      <c r="F905" s="187"/>
      <c r="G905" s="180"/>
      <c r="H905" s="180"/>
      <c r="I905" s="180"/>
      <c r="J905" s="187"/>
      <c r="K905" s="180"/>
      <c r="L905" s="180"/>
      <c r="M905" s="180"/>
      <c r="N905" s="180"/>
      <c r="O905" s="218"/>
      <c r="P905" s="180"/>
      <c r="Q905" s="188"/>
      <c r="R905" s="180"/>
      <c r="S905" s="180"/>
      <c r="T905" s="180"/>
      <c r="U905" s="180"/>
      <c r="V905" s="180"/>
      <c r="W905" s="180"/>
      <c r="X905" s="201"/>
      <c r="AJ905" s="149" t="str">
        <f>IF('Cable Info'!L765="","",CONCATENATE('Cable Info'!L765," - ",'Cable Info'!M765))</f>
        <v/>
      </c>
      <c r="AM905" s="149" t="str">
        <f t="shared" si="102"/>
        <v/>
      </c>
      <c r="AO905" s="149" t="str">
        <f>IF('Cable Info'!N765="","",CONCATENATE('Cable Info'!N765," - ",'Cable Info'!O765))</f>
        <v/>
      </c>
      <c r="AR905" s="149" t="str">
        <f t="shared" si="103"/>
        <v/>
      </c>
      <c r="AT905" s="149" t="str">
        <f>IF('Cable Info'!P765="","",CONCATENATE('Cable Info'!P765," - ",'Cable Info'!Q765))</f>
        <v/>
      </c>
      <c r="AW905" s="149" t="str">
        <f t="shared" si="104"/>
        <v/>
      </c>
      <c r="AY905" s="149" t="str">
        <f>IF('Cable Info'!R765="","",CONCATENATE('Cable Info'!R765," - ",'Cable Info'!S765))</f>
        <v/>
      </c>
      <c r="BB905" s="149" t="str">
        <f t="shared" si="105"/>
        <v/>
      </c>
      <c r="BD905" s="149" t="str">
        <f>IF('Cable Info'!T765="","",CONCATENATE('Cable Info'!T765," - ",'Cable Info'!U765))</f>
        <v/>
      </c>
      <c r="BG905" s="149" t="str">
        <f t="shared" si="106"/>
        <v/>
      </c>
      <c r="BI905" s="149" t="str">
        <f>IF('Cable Info'!V765="","",CONCATENATE('Cable Info'!V765," - ",'Cable Info'!W765))</f>
        <v/>
      </c>
      <c r="BL905" s="149" t="str">
        <f t="shared" si="107"/>
        <v/>
      </c>
    </row>
    <row r="906" spans="1:64" x14ac:dyDescent="0.2">
      <c r="A906" s="180"/>
      <c r="B906" s="180"/>
      <c r="C906" s="180"/>
      <c r="D906" s="180"/>
      <c r="E906" s="180"/>
      <c r="F906" s="187"/>
      <c r="G906" s="180"/>
      <c r="H906" s="180"/>
      <c r="I906" s="180"/>
      <c r="J906" s="187"/>
      <c r="K906" s="180"/>
      <c r="L906" s="180"/>
      <c r="M906" s="180"/>
      <c r="N906" s="180"/>
      <c r="O906" s="218"/>
      <c r="P906" s="180"/>
      <c r="Q906" s="188"/>
      <c r="R906" s="180"/>
      <c r="S906" s="180"/>
      <c r="T906" s="180"/>
      <c r="U906" s="180"/>
      <c r="V906" s="180"/>
      <c r="W906" s="180"/>
      <c r="X906" s="201"/>
      <c r="AJ906" s="149" t="str">
        <f>IF('Cable Info'!L766="","",CONCATENATE('Cable Info'!L766," - ",'Cable Info'!M766))</f>
        <v/>
      </c>
      <c r="AM906" s="149" t="str">
        <f t="shared" si="102"/>
        <v/>
      </c>
      <c r="AO906" s="149" t="str">
        <f>IF('Cable Info'!N766="","",CONCATENATE('Cable Info'!N766," - ",'Cable Info'!O766))</f>
        <v/>
      </c>
      <c r="AR906" s="149" t="str">
        <f t="shared" si="103"/>
        <v/>
      </c>
      <c r="AT906" s="149" t="str">
        <f>IF('Cable Info'!P766="","",CONCATENATE('Cable Info'!P766," - ",'Cable Info'!Q766))</f>
        <v/>
      </c>
      <c r="AW906" s="149" t="str">
        <f t="shared" si="104"/>
        <v/>
      </c>
      <c r="AY906" s="149" t="str">
        <f>IF('Cable Info'!R766="","",CONCATENATE('Cable Info'!R766," - ",'Cable Info'!S766))</f>
        <v/>
      </c>
      <c r="BB906" s="149" t="str">
        <f t="shared" si="105"/>
        <v/>
      </c>
      <c r="BD906" s="149" t="str">
        <f>IF('Cable Info'!T766="","",CONCATENATE('Cable Info'!T766," - ",'Cable Info'!U766))</f>
        <v/>
      </c>
      <c r="BG906" s="149" t="str">
        <f t="shared" si="106"/>
        <v/>
      </c>
      <c r="BI906" s="149" t="str">
        <f>IF('Cable Info'!V766="","",CONCATENATE('Cable Info'!V766," - ",'Cable Info'!W766))</f>
        <v/>
      </c>
      <c r="BL906" s="149" t="str">
        <f t="shared" si="107"/>
        <v/>
      </c>
    </row>
    <row r="907" spans="1:64" x14ac:dyDescent="0.2">
      <c r="A907" s="180"/>
      <c r="B907" s="180"/>
      <c r="C907" s="180"/>
      <c r="D907" s="180"/>
      <c r="E907" s="180"/>
      <c r="F907" s="187"/>
      <c r="G907" s="180"/>
      <c r="H907" s="180"/>
      <c r="I907" s="180"/>
      <c r="J907" s="187"/>
      <c r="K907" s="180"/>
      <c r="L907" s="180"/>
      <c r="M907" s="180"/>
      <c r="N907" s="180"/>
      <c r="O907" s="218"/>
      <c r="P907" s="180"/>
      <c r="Q907" s="188"/>
      <c r="R907" s="180"/>
      <c r="S907" s="180"/>
      <c r="T907" s="180"/>
      <c r="U907" s="180"/>
      <c r="V907" s="180"/>
      <c r="W907" s="180"/>
      <c r="X907" s="201"/>
      <c r="AJ907" s="149" t="str">
        <f>IF('Cable Info'!L767="","",CONCATENATE('Cable Info'!L767," - ",'Cable Info'!M767))</f>
        <v/>
      </c>
      <c r="AM907" s="149" t="str">
        <f t="shared" si="102"/>
        <v/>
      </c>
      <c r="AO907" s="149" t="str">
        <f>IF('Cable Info'!N767="","",CONCATENATE('Cable Info'!N767," - ",'Cable Info'!O767))</f>
        <v/>
      </c>
      <c r="AR907" s="149" t="str">
        <f t="shared" si="103"/>
        <v/>
      </c>
      <c r="AT907" s="149" t="str">
        <f>IF('Cable Info'!P767="","",CONCATENATE('Cable Info'!P767," - ",'Cable Info'!Q767))</f>
        <v/>
      </c>
      <c r="AW907" s="149" t="str">
        <f t="shared" si="104"/>
        <v/>
      </c>
      <c r="AY907" s="149" t="str">
        <f>IF('Cable Info'!R767="","",CONCATENATE('Cable Info'!R767," - ",'Cable Info'!S767))</f>
        <v/>
      </c>
      <c r="BB907" s="149" t="str">
        <f t="shared" si="105"/>
        <v/>
      </c>
      <c r="BD907" s="149" t="str">
        <f>IF('Cable Info'!T767="","",CONCATENATE('Cable Info'!T767," - ",'Cable Info'!U767))</f>
        <v/>
      </c>
      <c r="BG907" s="149" t="str">
        <f t="shared" si="106"/>
        <v/>
      </c>
      <c r="BI907" s="149" t="str">
        <f>IF('Cable Info'!V767="","",CONCATENATE('Cable Info'!V767," - ",'Cable Info'!W767))</f>
        <v/>
      </c>
      <c r="BL907" s="149" t="str">
        <f t="shared" si="107"/>
        <v/>
      </c>
    </row>
    <row r="908" spans="1:64" x14ac:dyDescent="0.2">
      <c r="A908" s="180"/>
      <c r="B908" s="180"/>
      <c r="C908" s="180"/>
      <c r="D908" s="180"/>
      <c r="E908" s="180"/>
      <c r="F908" s="187"/>
      <c r="G908" s="180"/>
      <c r="H908" s="180"/>
      <c r="I908" s="180"/>
      <c r="J908" s="187"/>
      <c r="K908" s="180"/>
      <c r="L908" s="180"/>
      <c r="M908" s="180"/>
      <c r="N908" s="180"/>
      <c r="O908" s="218"/>
      <c r="P908" s="180"/>
      <c r="Q908" s="188"/>
      <c r="R908" s="180"/>
      <c r="S908" s="180"/>
      <c r="T908" s="180"/>
      <c r="U908" s="180"/>
      <c r="V908" s="180"/>
      <c r="W908" s="180"/>
      <c r="X908" s="201"/>
      <c r="AJ908" s="149" t="str">
        <f>IF('Cable Info'!L768="","",CONCATENATE('Cable Info'!L768," - ",'Cable Info'!M768))</f>
        <v/>
      </c>
      <c r="AM908" s="149" t="str">
        <f t="shared" si="102"/>
        <v/>
      </c>
      <c r="AO908" s="149" t="str">
        <f>IF('Cable Info'!N768="","",CONCATENATE('Cable Info'!N768," - ",'Cable Info'!O768))</f>
        <v/>
      </c>
      <c r="AR908" s="149" t="str">
        <f t="shared" si="103"/>
        <v/>
      </c>
      <c r="AT908" s="149" t="str">
        <f>IF('Cable Info'!P768="","",CONCATENATE('Cable Info'!P768," - ",'Cable Info'!Q768))</f>
        <v/>
      </c>
      <c r="AW908" s="149" t="str">
        <f t="shared" si="104"/>
        <v/>
      </c>
      <c r="AY908" s="149" t="str">
        <f>IF('Cable Info'!R768="","",CONCATENATE('Cable Info'!R768," - ",'Cable Info'!S768))</f>
        <v/>
      </c>
      <c r="BB908" s="149" t="str">
        <f t="shared" si="105"/>
        <v/>
      </c>
      <c r="BD908" s="149" t="str">
        <f>IF('Cable Info'!T768="","",CONCATENATE('Cable Info'!T768," - ",'Cable Info'!U768))</f>
        <v/>
      </c>
      <c r="BG908" s="149" t="str">
        <f t="shared" si="106"/>
        <v/>
      </c>
      <c r="BI908" s="149" t="str">
        <f>IF('Cable Info'!V768="","",CONCATENATE('Cable Info'!V768," - ",'Cable Info'!W768))</f>
        <v/>
      </c>
      <c r="BL908" s="149" t="str">
        <f t="shared" si="107"/>
        <v/>
      </c>
    </row>
    <row r="909" spans="1:64" x14ac:dyDescent="0.2">
      <c r="A909" s="180"/>
      <c r="B909" s="180"/>
      <c r="C909" s="180"/>
      <c r="D909" s="180"/>
      <c r="E909" s="180"/>
      <c r="F909" s="187"/>
      <c r="G909" s="180"/>
      <c r="H909" s="180"/>
      <c r="I909" s="180"/>
      <c r="J909" s="187"/>
      <c r="K909" s="180"/>
      <c r="L909" s="180"/>
      <c r="M909" s="180"/>
      <c r="N909" s="180"/>
      <c r="O909" s="218"/>
      <c r="P909" s="180"/>
      <c r="Q909" s="188"/>
      <c r="R909" s="180"/>
      <c r="S909" s="180"/>
      <c r="T909" s="180"/>
      <c r="U909" s="180"/>
      <c r="V909" s="180"/>
      <c r="W909" s="180"/>
      <c r="X909" s="201"/>
      <c r="AJ909" s="149" t="str">
        <f>IF('Cable Info'!L769="","",CONCATENATE('Cable Info'!L769," - ",'Cable Info'!M769))</f>
        <v/>
      </c>
      <c r="AM909" s="149" t="str">
        <f t="shared" si="102"/>
        <v/>
      </c>
      <c r="AO909" s="149" t="str">
        <f>IF('Cable Info'!N769="","",CONCATENATE('Cable Info'!N769," - ",'Cable Info'!O769))</f>
        <v/>
      </c>
      <c r="AR909" s="149" t="str">
        <f t="shared" si="103"/>
        <v/>
      </c>
      <c r="AT909" s="149" t="str">
        <f>IF('Cable Info'!P769="","",CONCATENATE('Cable Info'!P769," - ",'Cable Info'!Q769))</f>
        <v/>
      </c>
      <c r="AW909" s="149" t="str">
        <f t="shared" si="104"/>
        <v/>
      </c>
      <c r="AY909" s="149" t="str">
        <f>IF('Cable Info'!R769="","",CONCATENATE('Cable Info'!R769," - ",'Cable Info'!S769))</f>
        <v/>
      </c>
      <c r="BB909" s="149" t="str">
        <f t="shared" si="105"/>
        <v/>
      </c>
      <c r="BD909" s="149" t="str">
        <f>IF('Cable Info'!T769="","",CONCATENATE('Cable Info'!T769," - ",'Cable Info'!U769))</f>
        <v/>
      </c>
      <c r="BG909" s="149" t="str">
        <f t="shared" si="106"/>
        <v/>
      </c>
      <c r="BI909" s="149" t="str">
        <f>IF('Cable Info'!V769="","",CONCATENATE('Cable Info'!V769," - ",'Cable Info'!W769))</f>
        <v/>
      </c>
      <c r="BL909" s="149" t="str">
        <f t="shared" si="107"/>
        <v/>
      </c>
    </row>
    <row r="910" spans="1:64" x14ac:dyDescent="0.2">
      <c r="A910" s="180"/>
      <c r="B910" s="180"/>
      <c r="C910" s="180"/>
      <c r="D910" s="180"/>
      <c r="E910" s="180"/>
      <c r="F910" s="187"/>
      <c r="G910" s="180"/>
      <c r="H910" s="180"/>
      <c r="I910" s="180"/>
      <c r="J910" s="187"/>
      <c r="K910" s="180"/>
      <c r="L910" s="180"/>
      <c r="M910" s="180"/>
      <c r="N910" s="180"/>
      <c r="O910" s="218"/>
      <c r="P910" s="180"/>
      <c r="Q910" s="188"/>
      <c r="R910" s="180"/>
      <c r="S910" s="180"/>
      <c r="T910" s="180"/>
      <c r="U910" s="180"/>
      <c r="V910" s="180"/>
      <c r="W910" s="180"/>
      <c r="X910" s="201"/>
      <c r="AJ910" s="149" t="str">
        <f>IF('Cable Info'!L770="","",CONCATENATE('Cable Info'!L770," - ",'Cable Info'!M770))</f>
        <v/>
      </c>
      <c r="AM910" s="149" t="str">
        <f t="shared" si="102"/>
        <v/>
      </c>
      <c r="AO910" s="149" t="str">
        <f>IF('Cable Info'!N770="","",CONCATENATE('Cable Info'!N770," - ",'Cable Info'!O770))</f>
        <v/>
      </c>
      <c r="AR910" s="149" t="str">
        <f t="shared" si="103"/>
        <v/>
      </c>
      <c r="AT910" s="149" t="str">
        <f>IF('Cable Info'!P770="","",CONCATENATE('Cable Info'!P770," - ",'Cable Info'!Q770))</f>
        <v/>
      </c>
      <c r="AW910" s="149" t="str">
        <f t="shared" si="104"/>
        <v/>
      </c>
      <c r="AY910" s="149" t="str">
        <f>IF('Cable Info'!R770="","",CONCATENATE('Cable Info'!R770," - ",'Cable Info'!S770))</f>
        <v/>
      </c>
      <c r="BB910" s="149" t="str">
        <f t="shared" si="105"/>
        <v/>
      </c>
      <c r="BD910" s="149" t="str">
        <f>IF('Cable Info'!T770="","",CONCATENATE('Cable Info'!T770," - ",'Cable Info'!U770))</f>
        <v/>
      </c>
      <c r="BG910" s="149" t="str">
        <f t="shared" si="106"/>
        <v/>
      </c>
      <c r="BI910" s="149" t="str">
        <f>IF('Cable Info'!V770="","",CONCATENATE('Cable Info'!V770," - ",'Cable Info'!W770))</f>
        <v/>
      </c>
      <c r="BL910" s="149" t="str">
        <f t="shared" si="107"/>
        <v/>
      </c>
    </row>
    <row r="911" spans="1:64" x14ac:dyDescent="0.2">
      <c r="A911" s="180"/>
      <c r="B911" s="180"/>
      <c r="C911" s="180"/>
      <c r="D911" s="180"/>
      <c r="E911" s="180"/>
      <c r="F911" s="187"/>
      <c r="G911" s="180"/>
      <c r="H911" s="180"/>
      <c r="I911" s="180"/>
      <c r="J911" s="187"/>
      <c r="K911" s="180"/>
      <c r="L911" s="180"/>
      <c r="M911" s="180"/>
      <c r="N911" s="180"/>
      <c r="O911" s="218"/>
      <c r="P911" s="180"/>
      <c r="Q911" s="188"/>
      <c r="R911" s="180"/>
      <c r="S911" s="180"/>
      <c r="T911" s="180"/>
      <c r="U911" s="180"/>
      <c r="V911" s="180"/>
      <c r="W911" s="180"/>
      <c r="X911" s="201"/>
      <c r="AJ911" s="149" t="str">
        <f>IF('Cable Info'!L771="","",CONCATENATE('Cable Info'!L771," - ",'Cable Info'!M771))</f>
        <v/>
      </c>
      <c r="AM911" s="149" t="str">
        <f t="shared" ref="AM911:AM974" si="108">IF(AK911="",AJ911,CONCATENATE(AJ911,"  &lt;=&gt; ",AK911," ",AL911))</f>
        <v/>
      </c>
      <c r="AO911" s="149" t="str">
        <f>IF('Cable Info'!N771="","",CONCATENATE('Cable Info'!N771," - ",'Cable Info'!O771))</f>
        <v/>
      </c>
      <c r="AR911" s="149" t="str">
        <f t="shared" ref="AR911:AR974" si="109">IF(AP911="",AO911,CONCATENATE(AO911,"  &lt;=&gt; ",AP911," ",AQ911))</f>
        <v/>
      </c>
      <c r="AT911" s="149" t="str">
        <f>IF('Cable Info'!P771="","",CONCATENATE('Cable Info'!P771," - ",'Cable Info'!Q771))</f>
        <v/>
      </c>
      <c r="AW911" s="149" t="str">
        <f t="shared" ref="AW911:AW974" si="110">IF(AU911="",AT911,CONCATENATE(AT911,"  &lt;=&gt; ",AU911," ",AV911))</f>
        <v/>
      </c>
      <c r="AY911" s="149" t="str">
        <f>IF('Cable Info'!R771="","",CONCATENATE('Cable Info'!R771," - ",'Cable Info'!S771))</f>
        <v/>
      </c>
      <c r="BB911" s="149" t="str">
        <f t="shared" ref="BB911:BB974" si="111">IF(AZ911="",AY911,CONCATENATE(AY911,"  &lt;=&gt; ",AZ911," ",BA911))</f>
        <v/>
      </c>
      <c r="BD911" s="149" t="str">
        <f>IF('Cable Info'!T771="","",CONCATENATE('Cable Info'!T771," - ",'Cable Info'!U771))</f>
        <v/>
      </c>
      <c r="BG911" s="149" t="str">
        <f t="shared" ref="BG911:BG974" si="112">IF(BE911="",BD911,CONCATENATE(BD911,"  &lt;=&gt; ",BE911," ",BF911))</f>
        <v/>
      </c>
      <c r="BI911" s="149" t="str">
        <f>IF('Cable Info'!V771="","",CONCATENATE('Cable Info'!V771," - ",'Cable Info'!W771))</f>
        <v/>
      </c>
      <c r="BL911" s="149" t="str">
        <f t="shared" ref="BL911:BL974" si="113">IF(BJ911="",BI911,CONCATENATE(BI911,"  &lt;=&gt; ",BJ911," ",BK911))</f>
        <v/>
      </c>
    </row>
    <row r="912" spans="1:64" x14ac:dyDescent="0.2">
      <c r="A912" s="180"/>
      <c r="B912" s="180"/>
      <c r="C912" s="180"/>
      <c r="D912" s="180"/>
      <c r="E912" s="180"/>
      <c r="F912" s="187"/>
      <c r="G912" s="180"/>
      <c r="H912" s="180"/>
      <c r="I912" s="180"/>
      <c r="J912" s="187"/>
      <c r="K912" s="180"/>
      <c r="L912" s="180"/>
      <c r="M912" s="180"/>
      <c r="N912" s="180"/>
      <c r="O912" s="218"/>
      <c r="P912" s="180"/>
      <c r="Q912" s="188"/>
      <c r="R912" s="180"/>
      <c r="S912" s="180"/>
      <c r="T912" s="180"/>
      <c r="U912" s="180"/>
      <c r="V912" s="180"/>
      <c r="W912" s="180"/>
      <c r="X912" s="201"/>
      <c r="AJ912" s="149" t="str">
        <f>IF('Cable Info'!L772="","",CONCATENATE('Cable Info'!L772," - ",'Cable Info'!M772))</f>
        <v/>
      </c>
      <c r="AM912" s="149" t="str">
        <f t="shared" si="108"/>
        <v/>
      </c>
      <c r="AO912" s="149" t="str">
        <f>IF('Cable Info'!N772="","",CONCATENATE('Cable Info'!N772," - ",'Cable Info'!O772))</f>
        <v/>
      </c>
      <c r="AR912" s="149" t="str">
        <f t="shared" si="109"/>
        <v/>
      </c>
      <c r="AT912" s="149" t="str">
        <f>IF('Cable Info'!P772="","",CONCATENATE('Cable Info'!P772," - ",'Cable Info'!Q772))</f>
        <v/>
      </c>
      <c r="AW912" s="149" t="str">
        <f t="shared" si="110"/>
        <v/>
      </c>
      <c r="AY912" s="149" t="str">
        <f>IF('Cable Info'!R772="","",CONCATENATE('Cable Info'!R772," - ",'Cable Info'!S772))</f>
        <v/>
      </c>
      <c r="BB912" s="149" t="str">
        <f t="shared" si="111"/>
        <v/>
      </c>
      <c r="BD912" s="149" t="str">
        <f>IF('Cable Info'!T772="","",CONCATENATE('Cable Info'!T772," - ",'Cable Info'!U772))</f>
        <v/>
      </c>
      <c r="BG912" s="149" t="str">
        <f t="shared" si="112"/>
        <v/>
      </c>
      <c r="BI912" s="149" t="str">
        <f>IF('Cable Info'!V772="","",CONCATENATE('Cable Info'!V772," - ",'Cable Info'!W772))</f>
        <v/>
      </c>
      <c r="BL912" s="149" t="str">
        <f t="shared" si="113"/>
        <v/>
      </c>
    </row>
    <row r="913" spans="1:64" x14ac:dyDescent="0.2">
      <c r="A913" s="180"/>
      <c r="B913" s="180"/>
      <c r="C913" s="180"/>
      <c r="D913" s="180"/>
      <c r="E913" s="180"/>
      <c r="F913" s="187"/>
      <c r="G913" s="180"/>
      <c r="H913" s="180"/>
      <c r="I913" s="180"/>
      <c r="J913" s="187"/>
      <c r="K913" s="180"/>
      <c r="L913" s="180"/>
      <c r="M913" s="180"/>
      <c r="N913" s="180"/>
      <c r="O913" s="218"/>
      <c r="P913" s="180"/>
      <c r="Q913" s="188"/>
      <c r="R913" s="180"/>
      <c r="S913" s="180"/>
      <c r="T913" s="180"/>
      <c r="U913" s="180"/>
      <c r="V913" s="180"/>
      <c r="W913" s="180"/>
      <c r="X913" s="201"/>
      <c r="AJ913" s="149" t="str">
        <f>IF('Cable Info'!L773="","",CONCATENATE('Cable Info'!L773," - ",'Cable Info'!M773))</f>
        <v/>
      </c>
      <c r="AM913" s="149" t="str">
        <f t="shared" si="108"/>
        <v/>
      </c>
      <c r="AO913" s="149" t="str">
        <f>IF('Cable Info'!N773="","",CONCATENATE('Cable Info'!N773," - ",'Cable Info'!O773))</f>
        <v/>
      </c>
      <c r="AR913" s="149" t="str">
        <f t="shared" si="109"/>
        <v/>
      </c>
      <c r="AT913" s="149" t="str">
        <f>IF('Cable Info'!P773="","",CONCATENATE('Cable Info'!P773," - ",'Cable Info'!Q773))</f>
        <v/>
      </c>
      <c r="AW913" s="149" t="str">
        <f t="shared" si="110"/>
        <v/>
      </c>
      <c r="AY913" s="149" t="str">
        <f>IF('Cable Info'!R773="","",CONCATENATE('Cable Info'!R773," - ",'Cable Info'!S773))</f>
        <v/>
      </c>
      <c r="BB913" s="149" t="str">
        <f t="shared" si="111"/>
        <v/>
      </c>
      <c r="BD913" s="149" t="str">
        <f>IF('Cable Info'!T773="","",CONCATENATE('Cable Info'!T773," - ",'Cable Info'!U773))</f>
        <v/>
      </c>
      <c r="BG913" s="149" t="str">
        <f t="shared" si="112"/>
        <v/>
      </c>
      <c r="BI913" s="149" t="str">
        <f>IF('Cable Info'!V773="","",CONCATENATE('Cable Info'!V773," - ",'Cable Info'!W773))</f>
        <v/>
      </c>
      <c r="BL913" s="149" t="str">
        <f t="shared" si="113"/>
        <v/>
      </c>
    </row>
    <row r="914" spans="1:64" x14ac:dyDescent="0.2">
      <c r="A914" s="180"/>
      <c r="B914" s="180"/>
      <c r="C914" s="180"/>
      <c r="D914" s="180"/>
      <c r="E914" s="180"/>
      <c r="F914" s="187"/>
      <c r="G914" s="180"/>
      <c r="H914" s="180"/>
      <c r="I914" s="180"/>
      <c r="J914" s="187"/>
      <c r="K914" s="180"/>
      <c r="L914" s="180"/>
      <c r="M914" s="180"/>
      <c r="N914" s="180"/>
      <c r="O914" s="218"/>
      <c r="P914" s="180"/>
      <c r="Q914" s="188"/>
      <c r="R914" s="180"/>
      <c r="S914" s="180"/>
      <c r="T914" s="180"/>
      <c r="U914" s="180"/>
      <c r="V914" s="180"/>
      <c r="W914" s="180"/>
      <c r="X914" s="201"/>
      <c r="AJ914" s="149" t="str">
        <f>IF('Cable Info'!L774="","",CONCATENATE('Cable Info'!L774," - ",'Cable Info'!M774))</f>
        <v/>
      </c>
      <c r="AM914" s="149" t="str">
        <f t="shared" si="108"/>
        <v/>
      </c>
      <c r="AO914" s="149" t="str">
        <f>IF('Cable Info'!N774="","",CONCATENATE('Cable Info'!N774," - ",'Cable Info'!O774))</f>
        <v/>
      </c>
      <c r="AR914" s="149" t="str">
        <f t="shared" si="109"/>
        <v/>
      </c>
      <c r="AT914" s="149" t="str">
        <f>IF('Cable Info'!P774="","",CONCATENATE('Cable Info'!P774," - ",'Cable Info'!Q774))</f>
        <v/>
      </c>
      <c r="AW914" s="149" t="str">
        <f t="shared" si="110"/>
        <v/>
      </c>
      <c r="AY914" s="149" t="str">
        <f>IF('Cable Info'!R774="","",CONCATENATE('Cable Info'!R774," - ",'Cable Info'!S774))</f>
        <v/>
      </c>
      <c r="BB914" s="149" t="str">
        <f t="shared" si="111"/>
        <v/>
      </c>
      <c r="BD914" s="149" t="str">
        <f>IF('Cable Info'!T774="","",CONCATENATE('Cable Info'!T774," - ",'Cable Info'!U774))</f>
        <v/>
      </c>
      <c r="BG914" s="149" t="str">
        <f t="shared" si="112"/>
        <v/>
      </c>
      <c r="BI914" s="149" t="str">
        <f>IF('Cable Info'!V774="","",CONCATENATE('Cable Info'!V774," - ",'Cable Info'!W774))</f>
        <v/>
      </c>
      <c r="BL914" s="149" t="str">
        <f t="shared" si="113"/>
        <v/>
      </c>
    </row>
    <row r="915" spans="1:64" x14ac:dyDescent="0.2">
      <c r="A915" s="180"/>
      <c r="B915" s="180"/>
      <c r="C915" s="180"/>
      <c r="D915" s="180"/>
      <c r="E915" s="180"/>
      <c r="F915" s="187"/>
      <c r="G915" s="180"/>
      <c r="H915" s="180"/>
      <c r="I915" s="180"/>
      <c r="J915" s="187"/>
      <c r="K915" s="180"/>
      <c r="L915" s="180"/>
      <c r="M915" s="180"/>
      <c r="N915" s="180"/>
      <c r="O915" s="218"/>
      <c r="P915" s="180"/>
      <c r="Q915" s="188"/>
      <c r="R915" s="180"/>
      <c r="S915" s="180"/>
      <c r="T915" s="180"/>
      <c r="U915" s="180"/>
      <c r="V915" s="180"/>
      <c r="W915" s="180"/>
      <c r="X915" s="201"/>
      <c r="AJ915" s="149" t="str">
        <f>IF('Cable Info'!L775="","",CONCATENATE('Cable Info'!L775," - ",'Cable Info'!M775))</f>
        <v/>
      </c>
      <c r="AM915" s="149" t="str">
        <f t="shared" si="108"/>
        <v/>
      </c>
      <c r="AO915" s="149" t="str">
        <f>IF('Cable Info'!N775="","",CONCATENATE('Cable Info'!N775," - ",'Cable Info'!O775))</f>
        <v/>
      </c>
      <c r="AR915" s="149" t="str">
        <f t="shared" si="109"/>
        <v/>
      </c>
      <c r="AT915" s="149" t="str">
        <f>IF('Cable Info'!P775="","",CONCATENATE('Cable Info'!P775," - ",'Cable Info'!Q775))</f>
        <v/>
      </c>
      <c r="AW915" s="149" t="str">
        <f t="shared" si="110"/>
        <v/>
      </c>
      <c r="AY915" s="149" t="str">
        <f>IF('Cable Info'!R775="","",CONCATENATE('Cable Info'!R775," - ",'Cable Info'!S775))</f>
        <v/>
      </c>
      <c r="BB915" s="149" t="str">
        <f t="shared" si="111"/>
        <v/>
      </c>
      <c r="BD915" s="149" t="str">
        <f>IF('Cable Info'!T775="","",CONCATENATE('Cable Info'!T775," - ",'Cable Info'!U775))</f>
        <v/>
      </c>
      <c r="BG915" s="149" t="str">
        <f t="shared" si="112"/>
        <v/>
      </c>
      <c r="BI915" s="149" t="str">
        <f>IF('Cable Info'!V775="","",CONCATENATE('Cable Info'!V775," - ",'Cable Info'!W775))</f>
        <v/>
      </c>
      <c r="BL915" s="149" t="str">
        <f t="shared" si="113"/>
        <v/>
      </c>
    </row>
    <row r="916" spans="1:64" x14ac:dyDescent="0.2">
      <c r="A916" s="180"/>
      <c r="B916" s="180"/>
      <c r="C916" s="180"/>
      <c r="D916" s="180"/>
      <c r="E916" s="180"/>
      <c r="F916" s="187"/>
      <c r="G916" s="180"/>
      <c r="H916" s="180"/>
      <c r="I916" s="180"/>
      <c r="J916" s="187"/>
      <c r="K916" s="180"/>
      <c r="L916" s="180"/>
      <c r="M916" s="180"/>
      <c r="N916" s="180"/>
      <c r="O916" s="218"/>
      <c r="P916" s="180"/>
      <c r="Q916" s="188"/>
      <c r="R916" s="180"/>
      <c r="S916" s="180"/>
      <c r="T916" s="180"/>
      <c r="U916" s="180"/>
      <c r="V916" s="180"/>
      <c r="W916" s="180"/>
      <c r="X916" s="201"/>
      <c r="AJ916" s="149" t="str">
        <f>IF('Cable Info'!L776="","",CONCATENATE('Cable Info'!L776," - ",'Cable Info'!M776))</f>
        <v/>
      </c>
      <c r="AM916" s="149" t="str">
        <f t="shared" si="108"/>
        <v/>
      </c>
      <c r="AO916" s="149" t="str">
        <f>IF('Cable Info'!N776="","",CONCATENATE('Cable Info'!N776," - ",'Cable Info'!O776))</f>
        <v/>
      </c>
      <c r="AR916" s="149" t="str">
        <f t="shared" si="109"/>
        <v/>
      </c>
      <c r="AT916" s="149" t="str">
        <f>IF('Cable Info'!P776="","",CONCATENATE('Cable Info'!P776," - ",'Cable Info'!Q776))</f>
        <v/>
      </c>
      <c r="AW916" s="149" t="str">
        <f t="shared" si="110"/>
        <v/>
      </c>
      <c r="AY916" s="149" t="str">
        <f>IF('Cable Info'!R776="","",CONCATENATE('Cable Info'!R776," - ",'Cable Info'!S776))</f>
        <v/>
      </c>
      <c r="BB916" s="149" t="str">
        <f t="shared" si="111"/>
        <v/>
      </c>
      <c r="BD916" s="149" t="str">
        <f>IF('Cable Info'!T776="","",CONCATENATE('Cable Info'!T776," - ",'Cable Info'!U776))</f>
        <v/>
      </c>
      <c r="BG916" s="149" t="str">
        <f t="shared" si="112"/>
        <v/>
      </c>
      <c r="BI916" s="149" t="str">
        <f>IF('Cable Info'!V776="","",CONCATENATE('Cable Info'!V776," - ",'Cable Info'!W776))</f>
        <v/>
      </c>
      <c r="BL916" s="149" t="str">
        <f t="shared" si="113"/>
        <v/>
      </c>
    </row>
    <row r="917" spans="1:64" x14ac:dyDescent="0.2">
      <c r="A917" s="180"/>
      <c r="B917" s="180"/>
      <c r="C917" s="180"/>
      <c r="D917" s="180"/>
      <c r="E917" s="180"/>
      <c r="F917" s="187"/>
      <c r="G917" s="180"/>
      <c r="H917" s="180"/>
      <c r="I917" s="180"/>
      <c r="J917" s="187"/>
      <c r="K917" s="180"/>
      <c r="L917" s="180"/>
      <c r="M917" s="180"/>
      <c r="N917" s="180"/>
      <c r="O917" s="218"/>
      <c r="P917" s="180"/>
      <c r="Q917" s="188"/>
      <c r="R917" s="180"/>
      <c r="S917" s="180"/>
      <c r="T917" s="180"/>
      <c r="U917" s="180"/>
      <c r="V917" s="180"/>
      <c r="W917" s="180"/>
      <c r="X917" s="201"/>
      <c r="AJ917" s="149" t="str">
        <f>IF('Cable Info'!L777="","",CONCATENATE('Cable Info'!L777," - ",'Cable Info'!M777))</f>
        <v/>
      </c>
      <c r="AM917" s="149" t="str">
        <f t="shared" si="108"/>
        <v/>
      </c>
      <c r="AO917" s="149" t="str">
        <f>IF('Cable Info'!N777="","",CONCATENATE('Cable Info'!N777," - ",'Cable Info'!O777))</f>
        <v/>
      </c>
      <c r="AR917" s="149" t="str">
        <f t="shared" si="109"/>
        <v/>
      </c>
      <c r="AT917" s="149" t="str">
        <f>IF('Cable Info'!P777="","",CONCATENATE('Cable Info'!P777," - ",'Cable Info'!Q777))</f>
        <v/>
      </c>
      <c r="AW917" s="149" t="str">
        <f t="shared" si="110"/>
        <v/>
      </c>
      <c r="AY917" s="149" t="str">
        <f>IF('Cable Info'!R777="","",CONCATENATE('Cable Info'!R777," - ",'Cable Info'!S777))</f>
        <v/>
      </c>
      <c r="BB917" s="149" t="str">
        <f t="shared" si="111"/>
        <v/>
      </c>
      <c r="BD917" s="149" t="str">
        <f>IF('Cable Info'!T777="","",CONCATENATE('Cable Info'!T777," - ",'Cable Info'!U777))</f>
        <v/>
      </c>
      <c r="BG917" s="149" t="str">
        <f t="shared" si="112"/>
        <v/>
      </c>
      <c r="BI917" s="149" t="str">
        <f>IF('Cable Info'!V777="","",CONCATENATE('Cable Info'!V777," - ",'Cable Info'!W777))</f>
        <v/>
      </c>
      <c r="BL917" s="149" t="str">
        <f t="shared" si="113"/>
        <v/>
      </c>
    </row>
    <row r="918" spans="1:64" x14ac:dyDescent="0.2">
      <c r="A918" s="180"/>
      <c r="B918" s="180"/>
      <c r="C918" s="180"/>
      <c r="D918" s="180"/>
      <c r="E918" s="180"/>
      <c r="F918" s="187"/>
      <c r="G918" s="180"/>
      <c r="H918" s="180"/>
      <c r="I918" s="180"/>
      <c r="J918" s="187"/>
      <c r="K918" s="180"/>
      <c r="L918" s="180"/>
      <c r="M918" s="180"/>
      <c r="N918" s="180"/>
      <c r="O918" s="218"/>
      <c r="P918" s="180"/>
      <c r="Q918" s="188"/>
      <c r="R918" s="180"/>
      <c r="S918" s="180"/>
      <c r="T918" s="180"/>
      <c r="U918" s="180"/>
      <c r="V918" s="180"/>
      <c r="W918" s="180"/>
      <c r="X918" s="201"/>
      <c r="AJ918" s="149" t="str">
        <f>IF('Cable Info'!L778="","",CONCATENATE('Cable Info'!L778," - ",'Cable Info'!M778))</f>
        <v/>
      </c>
      <c r="AM918" s="149" t="str">
        <f t="shared" si="108"/>
        <v/>
      </c>
      <c r="AO918" s="149" t="str">
        <f>IF('Cable Info'!N778="","",CONCATENATE('Cable Info'!N778," - ",'Cable Info'!O778))</f>
        <v/>
      </c>
      <c r="AR918" s="149" t="str">
        <f t="shared" si="109"/>
        <v/>
      </c>
      <c r="AT918" s="149" t="str">
        <f>IF('Cable Info'!P778="","",CONCATENATE('Cable Info'!P778," - ",'Cable Info'!Q778))</f>
        <v/>
      </c>
      <c r="AW918" s="149" t="str">
        <f t="shared" si="110"/>
        <v/>
      </c>
      <c r="AY918" s="149" t="str">
        <f>IF('Cable Info'!R778="","",CONCATENATE('Cable Info'!R778," - ",'Cable Info'!S778))</f>
        <v/>
      </c>
      <c r="BB918" s="149" t="str">
        <f t="shared" si="111"/>
        <v/>
      </c>
      <c r="BD918" s="149" t="str">
        <f>IF('Cable Info'!T778="","",CONCATENATE('Cable Info'!T778," - ",'Cable Info'!U778))</f>
        <v/>
      </c>
      <c r="BG918" s="149" t="str">
        <f t="shared" si="112"/>
        <v/>
      </c>
      <c r="BI918" s="149" t="str">
        <f>IF('Cable Info'!V778="","",CONCATENATE('Cable Info'!V778," - ",'Cable Info'!W778))</f>
        <v/>
      </c>
      <c r="BL918" s="149" t="str">
        <f t="shared" si="113"/>
        <v/>
      </c>
    </row>
    <row r="919" spans="1:64" x14ac:dyDescent="0.2">
      <c r="A919" s="180"/>
      <c r="B919" s="180"/>
      <c r="C919" s="180"/>
      <c r="D919" s="180"/>
      <c r="E919" s="180"/>
      <c r="F919" s="187"/>
      <c r="G919" s="180"/>
      <c r="H919" s="180"/>
      <c r="I919" s="180"/>
      <c r="J919" s="187"/>
      <c r="K919" s="180"/>
      <c r="L919" s="180"/>
      <c r="M919" s="180"/>
      <c r="N919" s="180"/>
      <c r="O919" s="218"/>
      <c r="P919" s="180"/>
      <c r="Q919" s="188"/>
      <c r="R919" s="180"/>
      <c r="S919" s="180"/>
      <c r="T919" s="180"/>
      <c r="U919" s="180"/>
      <c r="V919" s="180"/>
      <c r="W919" s="180"/>
      <c r="X919" s="201"/>
      <c r="AJ919" s="149" t="str">
        <f>IF('Cable Info'!L779="","",CONCATENATE('Cable Info'!L779," - ",'Cable Info'!M779))</f>
        <v/>
      </c>
      <c r="AM919" s="149" t="str">
        <f t="shared" si="108"/>
        <v/>
      </c>
      <c r="AO919" s="149" t="str">
        <f>IF('Cable Info'!N779="","",CONCATENATE('Cable Info'!N779," - ",'Cable Info'!O779))</f>
        <v/>
      </c>
      <c r="AR919" s="149" t="str">
        <f t="shared" si="109"/>
        <v/>
      </c>
      <c r="AT919" s="149" t="str">
        <f>IF('Cable Info'!P779="","",CONCATENATE('Cable Info'!P779," - ",'Cable Info'!Q779))</f>
        <v/>
      </c>
      <c r="AW919" s="149" t="str">
        <f t="shared" si="110"/>
        <v/>
      </c>
      <c r="AY919" s="149" t="str">
        <f>IF('Cable Info'!R779="","",CONCATENATE('Cable Info'!R779," - ",'Cable Info'!S779))</f>
        <v/>
      </c>
      <c r="BB919" s="149" t="str">
        <f t="shared" si="111"/>
        <v/>
      </c>
      <c r="BD919" s="149" t="str">
        <f>IF('Cable Info'!T779="","",CONCATENATE('Cable Info'!T779," - ",'Cable Info'!U779))</f>
        <v/>
      </c>
      <c r="BG919" s="149" t="str">
        <f t="shared" si="112"/>
        <v/>
      </c>
      <c r="BI919" s="149" t="str">
        <f>IF('Cable Info'!V779="","",CONCATENATE('Cable Info'!V779," - ",'Cable Info'!W779))</f>
        <v/>
      </c>
      <c r="BL919" s="149" t="str">
        <f t="shared" si="113"/>
        <v/>
      </c>
    </row>
    <row r="920" spans="1:64" x14ac:dyDescent="0.2">
      <c r="A920" s="180"/>
      <c r="B920" s="180"/>
      <c r="C920" s="180"/>
      <c r="D920" s="180"/>
      <c r="E920" s="180"/>
      <c r="F920" s="187"/>
      <c r="G920" s="180"/>
      <c r="H920" s="180"/>
      <c r="I920" s="180"/>
      <c r="J920" s="187"/>
      <c r="K920" s="180"/>
      <c r="L920" s="180"/>
      <c r="M920" s="180"/>
      <c r="N920" s="180"/>
      <c r="O920" s="218"/>
      <c r="P920" s="180"/>
      <c r="Q920" s="188"/>
      <c r="R920" s="180"/>
      <c r="S920" s="180"/>
      <c r="T920" s="180"/>
      <c r="U920" s="180"/>
      <c r="V920" s="180"/>
      <c r="W920" s="180"/>
      <c r="X920" s="201"/>
      <c r="AJ920" s="149" t="str">
        <f>IF('Cable Info'!L780="","",CONCATENATE('Cable Info'!L780," - ",'Cable Info'!M780))</f>
        <v/>
      </c>
      <c r="AM920" s="149" t="str">
        <f t="shared" si="108"/>
        <v/>
      </c>
      <c r="AO920" s="149" t="str">
        <f>IF('Cable Info'!N780="","",CONCATENATE('Cable Info'!N780," - ",'Cable Info'!O780))</f>
        <v/>
      </c>
      <c r="AR920" s="149" t="str">
        <f t="shared" si="109"/>
        <v/>
      </c>
      <c r="AT920" s="149" t="str">
        <f>IF('Cable Info'!P780="","",CONCATENATE('Cable Info'!P780," - ",'Cable Info'!Q780))</f>
        <v/>
      </c>
      <c r="AW920" s="149" t="str">
        <f t="shared" si="110"/>
        <v/>
      </c>
      <c r="AY920" s="149" t="str">
        <f>IF('Cable Info'!R780="","",CONCATENATE('Cable Info'!R780," - ",'Cable Info'!S780))</f>
        <v/>
      </c>
      <c r="BB920" s="149" t="str">
        <f t="shared" si="111"/>
        <v/>
      </c>
      <c r="BD920" s="149" t="str">
        <f>IF('Cable Info'!T780="","",CONCATENATE('Cable Info'!T780," - ",'Cable Info'!U780))</f>
        <v/>
      </c>
      <c r="BG920" s="149" t="str">
        <f t="shared" si="112"/>
        <v/>
      </c>
      <c r="BI920" s="149" t="str">
        <f>IF('Cable Info'!V780="","",CONCATENATE('Cable Info'!V780," - ",'Cable Info'!W780))</f>
        <v/>
      </c>
      <c r="BL920" s="149" t="str">
        <f t="shared" si="113"/>
        <v/>
      </c>
    </row>
    <row r="921" spans="1:64" x14ac:dyDescent="0.2">
      <c r="A921" s="180"/>
      <c r="B921" s="180"/>
      <c r="C921" s="180"/>
      <c r="D921" s="180"/>
      <c r="E921" s="180"/>
      <c r="F921" s="187"/>
      <c r="G921" s="180"/>
      <c r="H921" s="180"/>
      <c r="I921" s="180"/>
      <c r="J921" s="187"/>
      <c r="K921" s="180"/>
      <c r="L921" s="180"/>
      <c r="M921" s="180"/>
      <c r="N921" s="180"/>
      <c r="O921" s="218"/>
      <c r="P921" s="180"/>
      <c r="Q921" s="188"/>
      <c r="R921" s="180"/>
      <c r="S921" s="180"/>
      <c r="T921" s="180"/>
      <c r="U921" s="180"/>
      <c r="V921" s="180"/>
      <c r="W921" s="180"/>
      <c r="X921" s="201"/>
      <c r="AJ921" s="149" t="str">
        <f>IF('Cable Info'!L781="","",CONCATENATE('Cable Info'!L781," - ",'Cable Info'!M781))</f>
        <v/>
      </c>
      <c r="AM921" s="149" t="str">
        <f t="shared" si="108"/>
        <v/>
      </c>
      <c r="AO921" s="149" t="str">
        <f>IF('Cable Info'!N781="","",CONCATENATE('Cable Info'!N781," - ",'Cable Info'!O781))</f>
        <v/>
      </c>
      <c r="AR921" s="149" t="str">
        <f t="shared" si="109"/>
        <v/>
      </c>
      <c r="AT921" s="149" t="str">
        <f>IF('Cable Info'!P781="","",CONCATENATE('Cable Info'!P781," - ",'Cable Info'!Q781))</f>
        <v/>
      </c>
      <c r="AW921" s="149" t="str">
        <f t="shared" si="110"/>
        <v/>
      </c>
      <c r="AY921" s="149" t="str">
        <f>IF('Cable Info'!R781="","",CONCATENATE('Cable Info'!R781," - ",'Cable Info'!S781))</f>
        <v/>
      </c>
      <c r="BB921" s="149" t="str">
        <f t="shared" si="111"/>
        <v/>
      </c>
      <c r="BD921" s="149" t="str">
        <f>IF('Cable Info'!T781="","",CONCATENATE('Cable Info'!T781," - ",'Cable Info'!U781))</f>
        <v/>
      </c>
      <c r="BG921" s="149" t="str">
        <f t="shared" si="112"/>
        <v/>
      </c>
      <c r="BI921" s="149" t="str">
        <f>IF('Cable Info'!V781="","",CONCATENATE('Cable Info'!V781," - ",'Cable Info'!W781))</f>
        <v/>
      </c>
      <c r="BL921" s="149" t="str">
        <f t="shared" si="113"/>
        <v/>
      </c>
    </row>
    <row r="922" spans="1:64" x14ac:dyDescent="0.2">
      <c r="A922" s="180"/>
      <c r="B922" s="180"/>
      <c r="C922" s="180"/>
      <c r="D922" s="180"/>
      <c r="E922" s="180"/>
      <c r="F922" s="187"/>
      <c r="G922" s="180"/>
      <c r="H922" s="180"/>
      <c r="I922" s="180"/>
      <c r="J922" s="187"/>
      <c r="K922" s="180"/>
      <c r="L922" s="180"/>
      <c r="M922" s="180"/>
      <c r="N922" s="180"/>
      <c r="O922" s="218"/>
      <c r="P922" s="180"/>
      <c r="Q922" s="188"/>
      <c r="R922" s="180"/>
      <c r="S922" s="180"/>
      <c r="T922" s="180"/>
      <c r="U922" s="180"/>
      <c r="V922" s="180"/>
      <c r="W922" s="180"/>
      <c r="X922" s="201"/>
      <c r="AJ922" s="149" t="str">
        <f>IF('Cable Info'!L782="","",CONCATENATE('Cable Info'!L782," - ",'Cable Info'!M782))</f>
        <v/>
      </c>
      <c r="AM922" s="149" t="str">
        <f t="shared" si="108"/>
        <v/>
      </c>
      <c r="AO922" s="149" t="str">
        <f>IF('Cable Info'!N782="","",CONCATENATE('Cable Info'!N782," - ",'Cable Info'!O782))</f>
        <v/>
      </c>
      <c r="AR922" s="149" t="str">
        <f t="shared" si="109"/>
        <v/>
      </c>
      <c r="AT922" s="149" t="str">
        <f>IF('Cable Info'!P782="","",CONCATENATE('Cable Info'!P782," - ",'Cable Info'!Q782))</f>
        <v/>
      </c>
      <c r="AW922" s="149" t="str">
        <f t="shared" si="110"/>
        <v/>
      </c>
      <c r="AY922" s="149" t="str">
        <f>IF('Cable Info'!R782="","",CONCATENATE('Cable Info'!R782," - ",'Cable Info'!S782))</f>
        <v/>
      </c>
      <c r="BB922" s="149" t="str">
        <f t="shared" si="111"/>
        <v/>
      </c>
      <c r="BD922" s="149" t="str">
        <f>IF('Cable Info'!T782="","",CONCATENATE('Cable Info'!T782," - ",'Cable Info'!U782))</f>
        <v/>
      </c>
      <c r="BG922" s="149" t="str">
        <f t="shared" si="112"/>
        <v/>
      </c>
      <c r="BI922" s="149" t="str">
        <f>IF('Cable Info'!V782="","",CONCATENATE('Cable Info'!V782," - ",'Cable Info'!W782))</f>
        <v/>
      </c>
      <c r="BL922" s="149" t="str">
        <f t="shared" si="113"/>
        <v/>
      </c>
    </row>
    <row r="923" spans="1:64" x14ac:dyDescent="0.2">
      <c r="A923" s="180"/>
      <c r="B923" s="180"/>
      <c r="C923" s="180"/>
      <c r="D923" s="180"/>
      <c r="E923" s="180"/>
      <c r="F923" s="187"/>
      <c r="G923" s="180"/>
      <c r="H923" s="180"/>
      <c r="I923" s="180"/>
      <c r="J923" s="187"/>
      <c r="K923" s="180"/>
      <c r="L923" s="180"/>
      <c r="M923" s="180"/>
      <c r="N923" s="180"/>
      <c r="O923" s="218"/>
      <c r="P923" s="180"/>
      <c r="Q923" s="188"/>
      <c r="R923" s="180"/>
      <c r="S923" s="180"/>
      <c r="T923" s="180"/>
      <c r="U923" s="180"/>
      <c r="V923" s="180"/>
      <c r="W923" s="180"/>
      <c r="X923" s="201"/>
      <c r="AJ923" s="149" t="str">
        <f>IF('Cable Info'!L783="","",CONCATENATE('Cable Info'!L783," - ",'Cable Info'!M783))</f>
        <v/>
      </c>
      <c r="AM923" s="149" t="str">
        <f t="shared" si="108"/>
        <v/>
      </c>
      <c r="AO923" s="149" t="str">
        <f>IF('Cable Info'!N783="","",CONCATENATE('Cable Info'!N783," - ",'Cable Info'!O783))</f>
        <v/>
      </c>
      <c r="AR923" s="149" t="str">
        <f t="shared" si="109"/>
        <v/>
      </c>
      <c r="AT923" s="149" t="str">
        <f>IF('Cable Info'!P783="","",CONCATENATE('Cable Info'!P783," - ",'Cable Info'!Q783))</f>
        <v/>
      </c>
      <c r="AW923" s="149" t="str">
        <f t="shared" si="110"/>
        <v/>
      </c>
      <c r="AY923" s="149" t="str">
        <f>IF('Cable Info'!R783="","",CONCATENATE('Cable Info'!R783," - ",'Cable Info'!S783))</f>
        <v/>
      </c>
      <c r="BB923" s="149" t="str">
        <f t="shared" si="111"/>
        <v/>
      </c>
      <c r="BD923" s="149" t="str">
        <f>IF('Cable Info'!T783="","",CONCATENATE('Cable Info'!T783," - ",'Cable Info'!U783))</f>
        <v/>
      </c>
      <c r="BG923" s="149" t="str">
        <f t="shared" si="112"/>
        <v/>
      </c>
      <c r="BI923" s="149" t="str">
        <f>IF('Cable Info'!V783="","",CONCATENATE('Cable Info'!V783," - ",'Cable Info'!W783))</f>
        <v/>
      </c>
      <c r="BL923" s="149" t="str">
        <f t="shared" si="113"/>
        <v/>
      </c>
    </row>
    <row r="924" spans="1:64" x14ac:dyDescent="0.2">
      <c r="A924" s="180"/>
      <c r="B924" s="180"/>
      <c r="C924" s="180"/>
      <c r="D924" s="180"/>
      <c r="E924" s="180"/>
      <c r="F924" s="187"/>
      <c r="G924" s="180"/>
      <c r="H924" s="180"/>
      <c r="I924" s="180"/>
      <c r="J924" s="187"/>
      <c r="K924" s="180"/>
      <c r="L924" s="180"/>
      <c r="M924" s="180"/>
      <c r="N924" s="180"/>
      <c r="O924" s="218"/>
      <c r="P924" s="180"/>
      <c r="Q924" s="188"/>
      <c r="R924" s="180"/>
      <c r="S924" s="180"/>
      <c r="T924" s="180"/>
      <c r="U924" s="180"/>
      <c r="V924" s="180"/>
      <c r="W924" s="180"/>
      <c r="X924" s="201"/>
      <c r="AJ924" s="149" t="str">
        <f>IF('Cable Info'!L784="","",CONCATENATE('Cable Info'!L784," - ",'Cable Info'!M784))</f>
        <v/>
      </c>
      <c r="AM924" s="149" t="str">
        <f t="shared" si="108"/>
        <v/>
      </c>
      <c r="AO924" s="149" t="str">
        <f>IF('Cable Info'!N784="","",CONCATENATE('Cable Info'!N784," - ",'Cable Info'!O784))</f>
        <v/>
      </c>
      <c r="AR924" s="149" t="str">
        <f t="shared" si="109"/>
        <v/>
      </c>
      <c r="AT924" s="149" t="str">
        <f>IF('Cable Info'!P784="","",CONCATENATE('Cable Info'!P784," - ",'Cable Info'!Q784))</f>
        <v/>
      </c>
      <c r="AW924" s="149" t="str">
        <f t="shared" si="110"/>
        <v/>
      </c>
      <c r="AY924" s="149" t="str">
        <f>IF('Cable Info'!R784="","",CONCATENATE('Cable Info'!R784," - ",'Cable Info'!S784))</f>
        <v/>
      </c>
      <c r="BB924" s="149" t="str">
        <f t="shared" si="111"/>
        <v/>
      </c>
      <c r="BD924" s="149" t="str">
        <f>IF('Cable Info'!T784="","",CONCATENATE('Cable Info'!T784," - ",'Cable Info'!U784))</f>
        <v/>
      </c>
      <c r="BG924" s="149" t="str">
        <f t="shared" si="112"/>
        <v/>
      </c>
      <c r="BI924" s="149" t="str">
        <f>IF('Cable Info'!V784="","",CONCATENATE('Cable Info'!V784," - ",'Cable Info'!W784))</f>
        <v/>
      </c>
      <c r="BL924" s="149" t="str">
        <f t="shared" si="113"/>
        <v/>
      </c>
    </row>
    <row r="925" spans="1:64" x14ac:dyDescent="0.2">
      <c r="A925" s="180"/>
      <c r="B925" s="180"/>
      <c r="C925" s="180"/>
      <c r="D925" s="180"/>
      <c r="E925" s="180"/>
      <c r="F925" s="187"/>
      <c r="G925" s="180"/>
      <c r="H925" s="180"/>
      <c r="I925" s="180"/>
      <c r="J925" s="187"/>
      <c r="K925" s="180"/>
      <c r="L925" s="180"/>
      <c r="M925" s="180"/>
      <c r="N925" s="180"/>
      <c r="O925" s="218"/>
      <c r="P925" s="180"/>
      <c r="Q925" s="188"/>
      <c r="R925" s="180"/>
      <c r="S925" s="180"/>
      <c r="T925" s="180"/>
      <c r="U925" s="180"/>
      <c r="V925" s="180"/>
      <c r="W925" s="180"/>
      <c r="X925" s="201"/>
      <c r="AJ925" s="149" t="str">
        <f>IF('Cable Info'!L785="","",CONCATENATE('Cable Info'!L785," - ",'Cable Info'!M785))</f>
        <v/>
      </c>
      <c r="AM925" s="149" t="str">
        <f t="shared" si="108"/>
        <v/>
      </c>
      <c r="AO925" s="149" t="str">
        <f>IF('Cable Info'!N785="","",CONCATENATE('Cable Info'!N785," - ",'Cable Info'!O785))</f>
        <v/>
      </c>
      <c r="AR925" s="149" t="str">
        <f t="shared" si="109"/>
        <v/>
      </c>
      <c r="AT925" s="149" t="str">
        <f>IF('Cable Info'!P785="","",CONCATENATE('Cable Info'!P785," - ",'Cable Info'!Q785))</f>
        <v/>
      </c>
      <c r="AW925" s="149" t="str">
        <f t="shared" si="110"/>
        <v/>
      </c>
      <c r="AY925" s="149" t="str">
        <f>IF('Cable Info'!R785="","",CONCATENATE('Cable Info'!R785," - ",'Cable Info'!S785))</f>
        <v/>
      </c>
      <c r="BB925" s="149" t="str">
        <f t="shared" si="111"/>
        <v/>
      </c>
      <c r="BD925" s="149" t="str">
        <f>IF('Cable Info'!T785="","",CONCATENATE('Cable Info'!T785," - ",'Cable Info'!U785))</f>
        <v/>
      </c>
      <c r="BG925" s="149" t="str">
        <f t="shared" si="112"/>
        <v/>
      </c>
      <c r="BI925" s="149" t="str">
        <f>IF('Cable Info'!V785="","",CONCATENATE('Cable Info'!V785," - ",'Cable Info'!W785))</f>
        <v/>
      </c>
      <c r="BL925" s="149" t="str">
        <f t="shared" si="113"/>
        <v/>
      </c>
    </row>
    <row r="926" spans="1:64" x14ac:dyDescent="0.2">
      <c r="A926" s="180"/>
      <c r="B926" s="180"/>
      <c r="C926" s="180"/>
      <c r="D926" s="180"/>
      <c r="E926" s="180"/>
      <c r="F926" s="187"/>
      <c r="G926" s="180"/>
      <c r="H926" s="180"/>
      <c r="I926" s="180"/>
      <c r="J926" s="187"/>
      <c r="K926" s="180"/>
      <c r="L926" s="180"/>
      <c r="M926" s="180"/>
      <c r="N926" s="180"/>
      <c r="O926" s="218"/>
      <c r="P926" s="180"/>
      <c r="Q926" s="188"/>
      <c r="R926" s="180"/>
      <c r="S926" s="180"/>
      <c r="T926" s="180"/>
      <c r="U926" s="180"/>
      <c r="V926" s="180"/>
      <c r="W926" s="180"/>
      <c r="X926" s="201"/>
      <c r="AJ926" s="149" t="str">
        <f>IF('Cable Info'!L786="","",CONCATENATE('Cable Info'!L786," - ",'Cable Info'!M786))</f>
        <v/>
      </c>
      <c r="AM926" s="149" t="str">
        <f t="shared" si="108"/>
        <v/>
      </c>
      <c r="AO926" s="149" t="str">
        <f>IF('Cable Info'!N786="","",CONCATENATE('Cable Info'!N786," - ",'Cable Info'!O786))</f>
        <v/>
      </c>
      <c r="AR926" s="149" t="str">
        <f t="shared" si="109"/>
        <v/>
      </c>
      <c r="AT926" s="149" t="str">
        <f>IF('Cable Info'!P786="","",CONCATENATE('Cable Info'!P786," - ",'Cable Info'!Q786))</f>
        <v/>
      </c>
      <c r="AW926" s="149" t="str">
        <f t="shared" si="110"/>
        <v/>
      </c>
      <c r="AY926" s="149" t="str">
        <f>IF('Cable Info'!R786="","",CONCATENATE('Cable Info'!R786," - ",'Cable Info'!S786))</f>
        <v/>
      </c>
      <c r="BB926" s="149" t="str">
        <f t="shared" si="111"/>
        <v/>
      </c>
      <c r="BD926" s="149" t="str">
        <f>IF('Cable Info'!T786="","",CONCATENATE('Cable Info'!T786," - ",'Cable Info'!U786))</f>
        <v/>
      </c>
      <c r="BG926" s="149" t="str">
        <f t="shared" si="112"/>
        <v/>
      </c>
      <c r="BI926" s="149" t="str">
        <f>IF('Cable Info'!V786="","",CONCATENATE('Cable Info'!V786," - ",'Cable Info'!W786))</f>
        <v/>
      </c>
      <c r="BL926" s="149" t="str">
        <f t="shared" si="113"/>
        <v/>
      </c>
    </row>
    <row r="927" spans="1:64" x14ac:dyDescent="0.2">
      <c r="A927" s="180"/>
      <c r="B927" s="180"/>
      <c r="C927" s="180"/>
      <c r="D927" s="180"/>
      <c r="E927" s="180"/>
      <c r="F927" s="187"/>
      <c r="G927" s="180"/>
      <c r="H927" s="180"/>
      <c r="I927" s="180"/>
      <c r="J927" s="187"/>
      <c r="K927" s="180"/>
      <c r="L927" s="180"/>
      <c r="M927" s="180"/>
      <c r="N927" s="180"/>
      <c r="O927" s="218"/>
      <c r="P927" s="180"/>
      <c r="Q927" s="188"/>
      <c r="R927" s="180"/>
      <c r="S927" s="180"/>
      <c r="T927" s="180"/>
      <c r="U927" s="180"/>
      <c r="V927" s="180"/>
      <c r="W927" s="180"/>
      <c r="X927" s="201"/>
      <c r="AJ927" s="149" t="str">
        <f>IF('Cable Info'!L787="","",CONCATENATE('Cable Info'!L787," - ",'Cable Info'!M787))</f>
        <v/>
      </c>
      <c r="AM927" s="149" t="str">
        <f t="shared" si="108"/>
        <v/>
      </c>
      <c r="AO927" s="149" t="str">
        <f>IF('Cable Info'!N787="","",CONCATENATE('Cable Info'!N787," - ",'Cable Info'!O787))</f>
        <v/>
      </c>
      <c r="AR927" s="149" t="str">
        <f t="shared" si="109"/>
        <v/>
      </c>
      <c r="AT927" s="149" t="str">
        <f>IF('Cable Info'!P787="","",CONCATENATE('Cable Info'!P787," - ",'Cable Info'!Q787))</f>
        <v/>
      </c>
      <c r="AW927" s="149" t="str">
        <f t="shared" si="110"/>
        <v/>
      </c>
      <c r="AY927" s="149" t="str">
        <f>IF('Cable Info'!R787="","",CONCATENATE('Cable Info'!R787," - ",'Cable Info'!S787))</f>
        <v/>
      </c>
      <c r="BB927" s="149" t="str">
        <f t="shared" si="111"/>
        <v/>
      </c>
      <c r="BD927" s="149" t="str">
        <f>IF('Cable Info'!T787="","",CONCATENATE('Cable Info'!T787," - ",'Cable Info'!U787))</f>
        <v/>
      </c>
      <c r="BG927" s="149" t="str">
        <f t="shared" si="112"/>
        <v/>
      </c>
      <c r="BI927" s="149" t="str">
        <f>IF('Cable Info'!V787="","",CONCATENATE('Cable Info'!V787," - ",'Cable Info'!W787))</f>
        <v/>
      </c>
      <c r="BL927" s="149" t="str">
        <f t="shared" si="113"/>
        <v/>
      </c>
    </row>
    <row r="928" spans="1:64" x14ac:dyDescent="0.2">
      <c r="A928" s="180"/>
      <c r="B928" s="180"/>
      <c r="C928" s="180"/>
      <c r="D928" s="180"/>
      <c r="E928" s="180"/>
      <c r="F928" s="187"/>
      <c r="G928" s="180"/>
      <c r="H928" s="180"/>
      <c r="I928" s="180"/>
      <c r="J928" s="187"/>
      <c r="K928" s="180"/>
      <c r="L928" s="180"/>
      <c r="M928" s="180"/>
      <c r="N928" s="180"/>
      <c r="O928" s="218"/>
      <c r="P928" s="180"/>
      <c r="Q928" s="188"/>
      <c r="R928" s="180"/>
      <c r="S928" s="180"/>
      <c r="T928" s="180"/>
      <c r="U928" s="180"/>
      <c r="V928" s="180"/>
      <c r="W928" s="180"/>
      <c r="X928" s="201"/>
      <c r="AJ928" s="149" t="str">
        <f>IF('Cable Info'!L788="","",CONCATENATE('Cable Info'!L788," - ",'Cable Info'!M788))</f>
        <v/>
      </c>
      <c r="AM928" s="149" t="str">
        <f t="shared" si="108"/>
        <v/>
      </c>
      <c r="AO928" s="149" t="str">
        <f>IF('Cable Info'!N788="","",CONCATENATE('Cable Info'!N788," - ",'Cable Info'!O788))</f>
        <v/>
      </c>
      <c r="AR928" s="149" t="str">
        <f t="shared" si="109"/>
        <v/>
      </c>
      <c r="AT928" s="149" t="str">
        <f>IF('Cable Info'!P788="","",CONCATENATE('Cable Info'!P788," - ",'Cable Info'!Q788))</f>
        <v/>
      </c>
      <c r="AW928" s="149" t="str">
        <f t="shared" si="110"/>
        <v/>
      </c>
      <c r="AY928" s="149" t="str">
        <f>IF('Cable Info'!R788="","",CONCATENATE('Cable Info'!R788," - ",'Cable Info'!S788))</f>
        <v/>
      </c>
      <c r="BB928" s="149" t="str">
        <f t="shared" si="111"/>
        <v/>
      </c>
      <c r="BD928" s="149" t="str">
        <f>IF('Cable Info'!T788="","",CONCATENATE('Cable Info'!T788," - ",'Cable Info'!U788))</f>
        <v/>
      </c>
      <c r="BG928" s="149" t="str">
        <f t="shared" si="112"/>
        <v/>
      </c>
      <c r="BI928" s="149" t="str">
        <f>IF('Cable Info'!V788="","",CONCATENATE('Cable Info'!V788," - ",'Cable Info'!W788))</f>
        <v/>
      </c>
      <c r="BL928" s="149" t="str">
        <f t="shared" si="113"/>
        <v/>
      </c>
    </row>
    <row r="929" spans="1:64" x14ac:dyDescent="0.2">
      <c r="A929" s="180"/>
      <c r="B929" s="180"/>
      <c r="C929" s="180"/>
      <c r="D929" s="180"/>
      <c r="E929" s="180"/>
      <c r="F929" s="187"/>
      <c r="G929" s="180"/>
      <c r="H929" s="180"/>
      <c r="I929" s="180"/>
      <c r="J929" s="187"/>
      <c r="K929" s="180"/>
      <c r="L929" s="180"/>
      <c r="M929" s="180"/>
      <c r="N929" s="180"/>
      <c r="O929" s="218"/>
      <c r="P929" s="180"/>
      <c r="Q929" s="188"/>
      <c r="R929" s="180"/>
      <c r="S929" s="180"/>
      <c r="T929" s="180"/>
      <c r="U929" s="180"/>
      <c r="V929" s="180"/>
      <c r="W929" s="180"/>
      <c r="X929" s="201"/>
      <c r="AJ929" s="149" t="str">
        <f>IF('Cable Info'!L789="","",CONCATENATE('Cable Info'!L789," - ",'Cable Info'!M789))</f>
        <v/>
      </c>
      <c r="AM929" s="149" t="str">
        <f t="shared" si="108"/>
        <v/>
      </c>
      <c r="AO929" s="149" t="str">
        <f>IF('Cable Info'!N789="","",CONCATENATE('Cable Info'!N789," - ",'Cable Info'!O789))</f>
        <v/>
      </c>
      <c r="AR929" s="149" t="str">
        <f t="shared" si="109"/>
        <v/>
      </c>
      <c r="AT929" s="149" t="str">
        <f>IF('Cable Info'!P789="","",CONCATENATE('Cable Info'!P789," - ",'Cable Info'!Q789))</f>
        <v/>
      </c>
      <c r="AW929" s="149" t="str">
        <f t="shared" si="110"/>
        <v/>
      </c>
      <c r="AY929" s="149" t="str">
        <f>IF('Cable Info'!R789="","",CONCATENATE('Cable Info'!R789," - ",'Cable Info'!S789))</f>
        <v/>
      </c>
      <c r="BB929" s="149" t="str">
        <f t="shared" si="111"/>
        <v/>
      </c>
      <c r="BD929" s="149" t="str">
        <f>IF('Cable Info'!T789="","",CONCATENATE('Cable Info'!T789," - ",'Cable Info'!U789))</f>
        <v/>
      </c>
      <c r="BG929" s="149" t="str">
        <f t="shared" si="112"/>
        <v/>
      </c>
      <c r="BI929" s="149" t="str">
        <f>IF('Cable Info'!V789="","",CONCATENATE('Cable Info'!V789," - ",'Cable Info'!W789))</f>
        <v/>
      </c>
      <c r="BL929" s="149" t="str">
        <f t="shared" si="113"/>
        <v/>
      </c>
    </row>
    <row r="930" spans="1:64" x14ac:dyDescent="0.2">
      <c r="A930" s="180"/>
      <c r="B930" s="180"/>
      <c r="C930" s="180"/>
      <c r="D930" s="180"/>
      <c r="E930" s="180"/>
      <c r="F930" s="187"/>
      <c r="G930" s="180"/>
      <c r="H930" s="180"/>
      <c r="I930" s="180"/>
      <c r="J930" s="187"/>
      <c r="K930" s="180"/>
      <c r="L930" s="180"/>
      <c r="M930" s="180"/>
      <c r="N930" s="180"/>
      <c r="O930" s="218"/>
      <c r="P930" s="180"/>
      <c r="Q930" s="188"/>
      <c r="R930" s="180"/>
      <c r="S930" s="180"/>
      <c r="T930" s="180"/>
      <c r="U930" s="180"/>
      <c r="V930" s="180"/>
      <c r="W930" s="180"/>
      <c r="X930" s="201"/>
      <c r="AJ930" s="149" t="str">
        <f>IF('Cable Info'!L790="","",CONCATENATE('Cable Info'!L790," - ",'Cable Info'!M790))</f>
        <v/>
      </c>
      <c r="AM930" s="149" t="str">
        <f t="shared" si="108"/>
        <v/>
      </c>
      <c r="AO930" s="149" t="str">
        <f>IF('Cable Info'!N790="","",CONCATENATE('Cable Info'!N790," - ",'Cable Info'!O790))</f>
        <v/>
      </c>
      <c r="AR930" s="149" t="str">
        <f t="shared" si="109"/>
        <v/>
      </c>
      <c r="AT930" s="149" t="str">
        <f>IF('Cable Info'!P790="","",CONCATENATE('Cable Info'!P790," - ",'Cable Info'!Q790))</f>
        <v/>
      </c>
      <c r="AW930" s="149" t="str">
        <f t="shared" si="110"/>
        <v/>
      </c>
      <c r="AY930" s="149" t="str">
        <f>IF('Cable Info'!R790="","",CONCATENATE('Cable Info'!R790," - ",'Cable Info'!S790))</f>
        <v/>
      </c>
      <c r="BB930" s="149" t="str">
        <f t="shared" si="111"/>
        <v/>
      </c>
      <c r="BD930" s="149" t="str">
        <f>IF('Cable Info'!T790="","",CONCATENATE('Cable Info'!T790," - ",'Cable Info'!U790))</f>
        <v/>
      </c>
      <c r="BG930" s="149" t="str">
        <f t="shared" si="112"/>
        <v/>
      </c>
      <c r="BI930" s="149" t="str">
        <f>IF('Cable Info'!V790="","",CONCATENATE('Cable Info'!V790," - ",'Cable Info'!W790))</f>
        <v/>
      </c>
      <c r="BL930" s="149" t="str">
        <f t="shared" si="113"/>
        <v/>
      </c>
    </row>
    <row r="931" spans="1:64" x14ac:dyDescent="0.2">
      <c r="A931" s="180"/>
      <c r="B931" s="180"/>
      <c r="C931" s="180"/>
      <c r="D931" s="180"/>
      <c r="E931" s="180"/>
      <c r="F931" s="187"/>
      <c r="G931" s="180"/>
      <c r="H931" s="180"/>
      <c r="I931" s="180"/>
      <c r="J931" s="187"/>
      <c r="K931" s="180"/>
      <c r="L931" s="180"/>
      <c r="M931" s="180"/>
      <c r="N931" s="180"/>
      <c r="O931" s="218"/>
      <c r="P931" s="180"/>
      <c r="Q931" s="188"/>
      <c r="R931" s="180"/>
      <c r="S931" s="180"/>
      <c r="T931" s="180"/>
      <c r="U931" s="180"/>
      <c r="V931" s="180"/>
      <c r="W931" s="180"/>
      <c r="X931" s="201"/>
      <c r="AJ931" s="149" t="str">
        <f>IF('Cable Info'!L791="","",CONCATENATE('Cable Info'!L791," - ",'Cable Info'!M791))</f>
        <v/>
      </c>
      <c r="AM931" s="149" t="str">
        <f t="shared" si="108"/>
        <v/>
      </c>
      <c r="AO931" s="149" t="str">
        <f>IF('Cable Info'!N791="","",CONCATENATE('Cable Info'!N791," - ",'Cable Info'!O791))</f>
        <v/>
      </c>
      <c r="AR931" s="149" t="str">
        <f t="shared" si="109"/>
        <v/>
      </c>
      <c r="AT931" s="149" t="str">
        <f>IF('Cable Info'!P791="","",CONCATENATE('Cable Info'!P791," - ",'Cable Info'!Q791))</f>
        <v/>
      </c>
      <c r="AW931" s="149" t="str">
        <f t="shared" si="110"/>
        <v/>
      </c>
      <c r="AY931" s="149" t="str">
        <f>IF('Cable Info'!R791="","",CONCATENATE('Cable Info'!R791," - ",'Cable Info'!S791))</f>
        <v/>
      </c>
      <c r="BB931" s="149" t="str">
        <f t="shared" si="111"/>
        <v/>
      </c>
      <c r="BD931" s="149" t="str">
        <f>IF('Cable Info'!T791="","",CONCATENATE('Cable Info'!T791," - ",'Cable Info'!U791))</f>
        <v/>
      </c>
      <c r="BG931" s="149" t="str">
        <f t="shared" si="112"/>
        <v/>
      </c>
      <c r="BI931" s="149" t="str">
        <f>IF('Cable Info'!V791="","",CONCATENATE('Cable Info'!V791," - ",'Cable Info'!W791))</f>
        <v/>
      </c>
      <c r="BL931" s="149" t="str">
        <f t="shared" si="113"/>
        <v/>
      </c>
    </row>
    <row r="932" spans="1:64" x14ac:dyDescent="0.2">
      <c r="A932" s="180"/>
      <c r="B932" s="180"/>
      <c r="C932" s="180"/>
      <c r="D932" s="180"/>
      <c r="E932" s="180"/>
      <c r="F932" s="187"/>
      <c r="G932" s="180"/>
      <c r="H932" s="180"/>
      <c r="I932" s="180"/>
      <c r="J932" s="187"/>
      <c r="K932" s="180"/>
      <c r="L932" s="180"/>
      <c r="M932" s="180"/>
      <c r="N932" s="180"/>
      <c r="O932" s="218"/>
      <c r="P932" s="180"/>
      <c r="Q932" s="188"/>
      <c r="R932" s="180"/>
      <c r="S932" s="180"/>
      <c r="T932" s="180"/>
      <c r="U932" s="180"/>
      <c r="V932" s="180"/>
      <c r="W932" s="180"/>
      <c r="X932" s="201"/>
      <c r="AJ932" s="149" t="str">
        <f>IF('Cable Info'!L792="","",CONCATENATE('Cable Info'!L792," - ",'Cable Info'!M792))</f>
        <v/>
      </c>
      <c r="AM932" s="149" t="str">
        <f t="shared" si="108"/>
        <v/>
      </c>
      <c r="AO932" s="149" t="str">
        <f>IF('Cable Info'!N792="","",CONCATENATE('Cable Info'!N792," - ",'Cable Info'!O792))</f>
        <v/>
      </c>
      <c r="AR932" s="149" t="str">
        <f t="shared" si="109"/>
        <v/>
      </c>
      <c r="AT932" s="149" t="str">
        <f>IF('Cable Info'!P792="","",CONCATENATE('Cable Info'!P792," - ",'Cable Info'!Q792))</f>
        <v/>
      </c>
      <c r="AW932" s="149" t="str">
        <f t="shared" si="110"/>
        <v/>
      </c>
      <c r="AY932" s="149" t="str">
        <f>IF('Cable Info'!R792="","",CONCATENATE('Cable Info'!R792," - ",'Cable Info'!S792))</f>
        <v/>
      </c>
      <c r="BB932" s="149" t="str">
        <f t="shared" si="111"/>
        <v/>
      </c>
      <c r="BD932" s="149" t="str">
        <f>IF('Cable Info'!T792="","",CONCATENATE('Cable Info'!T792," - ",'Cable Info'!U792))</f>
        <v/>
      </c>
      <c r="BG932" s="149" t="str">
        <f t="shared" si="112"/>
        <v/>
      </c>
      <c r="BI932" s="149" t="str">
        <f>IF('Cable Info'!V792="","",CONCATENATE('Cable Info'!V792," - ",'Cable Info'!W792))</f>
        <v/>
      </c>
      <c r="BL932" s="149" t="str">
        <f t="shared" si="113"/>
        <v/>
      </c>
    </row>
    <row r="933" spans="1:64" x14ac:dyDescent="0.2">
      <c r="A933" s="180"/>
      <c r="B933" s="180"/>
      <c r="C933" s="180"/>
      <c r="D933" s="180"/>
      <c r="E933" s="180"/>
      <c r="F933" s="187"/>
      <c r="G933" s="180"/>
      <c r="H933" s="180"/>
      <c r="I933" s="180"/>
      <c r="J933" s="187"/>
      <c r="K933" s="180"/>
      <c r="L933" s="180"/>
      <c r="M933" s="180"/>
      <c r="N933" s="180"/>
      <c r="O933" s="218"/>
      <c r="P933" s="180"/>
      <c r="Q933" s="188"/>
      <c r="R933" s="180"/>
      <c r="S933" s="180"/>
      <c r="T933" s="180"/>
      <c r="U933" s="180"/>
      <c r="V933" s="180"/>
      <c r="W933" s="180"/>
      <c r="X933" s="201"/>
      <c r="AJ933" s="149" t="str">
        <f>IF('Cable Info'!L793="","",CONCATENATE('Cable Info'!L793," - ",'Cable Info'!M793))</f>
        <v/>
      </c>
      <c r="AM933" s="149" t="str">
        <f t="shared" si="108"/>
        <v/>
      </c>
      <c r="AO933" s="149" t="str">
        <f>IF('Cable Info'!N793="","",CONCATENATE('Cable Info'!N793," - ",'Cable Info'!O793))</f>
        <v/>
      </c>
      <c r="AR933" s="149" t="str">
        <f t="shared" si="109"/>
        <v/>
      </c>
      <c r="AT933" s="149" t="str">
        <f>IF('Cable Info'!P793="","",CONCATENATE('Cable Info'!P793," - ",'Cable Info'!Q793))</f>
        <v/>
      </c>
      <c r="AW933" s="149" t="str">
        <f t="shared" si="110"/>
        <v/>
      </c>
      <c r="AY933" s="149" t="str">
        <f>IF('Cable Info'!R793="","",CONCATENATE('Cable Info'!R793," - ",'Cable Info'!S793))</f>
        <v/>
      </c>
      <c r="BB933" s="149" t="str">
        <f t="shared" si="111"/>
        <v/>
      </c>
      <c r="BD933" s="149" t="str">
        <f>IF('Cable Info'!T793="","",CONCATENATE('Cable Info'!T793," - ",'Cable Info'!U793))</f>
        <v/>
      </c>
      <c r="BG933" s="149" t="str">
        <f t="shared" si="112"/>
        <v/>
      </c>
      <c r="BI933" s="149" t="str">
        <f>IF('Cable Info'!V793="","",CONCATENATE('Cable Info'!V793," - ",'Cable Info'!W793))</f>
        <v/>
      </c>
      <c r="BL933" s="149" t="str">
        <f t="shared" si="113"/>
        <v/>
      </c>
    </row>
    <row r="934" spans="1:64" x14ac:dyDescent="0.2">
      <c r="A934" s="180"/>
      <c r="B934" s="180"/>
      <c r="C934" s="180"/>
      <c r="D934" s="180"/>
      <c r="E934" s="180"/>
      <c r="F934" s="187"/>
      <c r="G934" s="180"/>
      <c r="H934" s="180"/>
      <c r="I934" s="180"/>
      <c r="J934" s="187"/>
      <c r="K934" s="180"/>
      <c r="L934" s="180"/>
      <c r="M934" s="180"/>
      <c r="N934" s="180"/>
      <c r="O934" s="218"/>
      <c r="P934" s="180"/>
      <c r="Q934" s="188"/>
      <c r="R934" s="180"/>
      <c r="S934" s="180"/>
      <c r="T934" s="180"/>
      <c r="U934" s="180"/>
      <c r="V934" s="180"/>
      <c r="W934" s="180"/>
      <c r="X934" s="201"/>
      <c r="AJ934" s="149" t="str">
        <f>IF('Cable Info'!L794="","",CONCATENATE('Cable Info'!L794," - ",'Cable Info'!M794))</f>
        <v/>
      </c>
      <c r="AM934" s="149" t="str">
        <f t="shared" si="108"/>
        <v/>
      </c>
      <c r="AO934" s="149" t="str">
        <f>IF('Cable Info'!N794="","",CONCATENATE('Cable Info'!N794," - ",'Cable Info'!O794))</f>
        <v/>
      </c>
      <c r="AR934" s="149" t="str">
        <f t="shared" si="109"/>
        <v/>
      </c>
      <c r="AT934" s="149" t="str">
        <f>IF('Cable Info'!P794="","",CONCATENATE('Cable Info'!P794," - ",'Cable Info'!Q794))</f>
        <v/>
      </c>
      <c r="AW934" s="149" t="str">
        <f t="shared" si="110"/>
        <v/>
      </c>
      <c r="AY934" s="149" t="str">
        <f>IF('Cable Info'!R794="","",CONCATENATE('Cable Info'!R794," - ",'Cable Info'!S794))</f>
        <v/>
      </c>
      <c r="BB934" s="149" t="str">
        <f t="shared" si="111"/>
        <v/>
      </c>
      <c r="BD934" s="149" t="str">
        <f>IF('Cable Info'!T794="","",CONCATENATE('Cable Info'!T794," - ",'Cable Info'!U794))</f>
        <v/>
      </c>
      <c r="BG934" s="149" t="str">
        <f t="shared" si="112"/>
        <v/>
      </c>
      <c r="BI934" s="149" t="str">
        <f>IF('Cable Info'!V794="","",CONCATENATE('Cable Info'!V794," - ",'Cable Info'!W794))</f>
        <v/>
      </c>
      <c r="BL934" s="149" t="str">
        <f t="shared" si="113"/>
        <v/>
      </c>
    </row>
    <row r="935" spans="1:64" x14ac:dyDescent="0.2">
      <c r="A935" s="180"/>
      <c r="B935" s="180"/>
      <c r="C935" s="180"/>
      <c r="D935" s="180"/>
      <c r="E935" s="180"/>
      <c r="F935" s="187"/>
      <c r="G935" s="180"/>
      <c r="H935" s="180"/>
      <c r="I935" s="180"/>
      <c r="J935" s="187"/>
      <c r="K935" s="180"/>
      <c r="L935" s="180"/>
      <c r="M935" s="180"/>
      <c r="N935" s="180"/>
      <c r="O935" s="218"/>
      <c r="P935" s="180"/>
      <c r="Q935" s="188"/>
      <c r="R935" s="180"/>
      <c r="S935" s="180"/>
      <c r="T935" s="180"/>
      <c r="U935" s="180"/>
      <c r="V935" s="180"/>
      <c r="W935" s="180"/>
      <c r="X935" s="201"/>
      <c r="AJ935" s="149" t="str">
        <f>IF('Cable Info'!L795="","",CONCATENATE('Cable Info'!L795," - ",'Cable Info'!M795))</f>
        <v/>
      </c>
      <c r="AM935" s="149" t="str">
        <f t="shared" si="108"/>
        <v/>
      </c>
      <c r="AO935" s="149" t="str">
        <f>IF('Cable Info'!N795="","",CONCATENATE('Cable Info'!N795," - ",'Cable Info'!O795))</f>
        <v/>
      </c>
      <c r="AR935" s="149" t="str">
        <f t="shared" si="109"/>
        <v/>
      </c>
      <c r="AT935" s="149" t="str">
        <f>IF('Cable Info'!P795="","",CONCATENATE('Cable Info'!P795," - ",'Cable Info'!Q795))</f>
        <v/>
      </c>
      <c r="AW935" s="149" t="str">
        <f t="shared" si="110"/>
        <v/>
      </c>
      <c r="AY935" s="149" t="str">
        <f>IF('Cable Info'!R795="","",CONCATENATE('Cable Info'!R795," - ",'Cable Info'!S795))</f>
        <v/>
      </c>
      <c r="BB935" s="149" t="str">
        <f t="shared" si="111"/>
        <v/>
      </c>
      <c r="BD935" s="149" t="str">
        <f>IF('Cable Info'!T795="","",CONCATENATE('Cable Info'!T795," - ",'Cable Info'!U795))</f>
        <v/>
      </c>
      <c r="BG935" s="149" t="str">
        <f t="shared" si="112"/>
        <v/>
      </c>
      <c r="BI935" s="149" t="str">
        <f>IF('Cable Info'!V795="","",CONCATENATE('Cable Info'!V795," - ",'Cable Info'!W795))</f>
        <v/>
      </c>
      <c r="BL935" s="149" t="str">
        <f t="shared" si="113"/>
        <v/>
      </c>
    </row>
    <row r="936" spans="1:64" x14ac:dyDescent="0.2">
      <c r="A936" s="180"/>
      <c r="B936" s="180"/>
      <c r="C936" s="180"/>
      <c r="D936" s="180"/>
      <c r="E936" s="180"/>
      <c r="F936" s="187"/>
      <c r="G936" s="180"/>
      <c r="H936" s="180"/>
      <c r="I936" s="180"/>
      <c r="J936" s="187"/>
      <c r="K936" s="180"/>
      <c r="L936" s="180"/>
      <c r="M936" s="180"/>
      <c r="N936" s="180"/>
      <c r="O936" s="218"/>
      <c r="P936" s="180"/>
      <c r="Q936" s="188"/>
      <c r="R936" s="180"/>
      <c r="S936" s="180"/>
      <c r="T936" s="180"/>
      <c r="U936" s="180"/>
      <c r="V936" s="180"/>
      <c r="W936" s="180"/>
      <c r="X936" s="201"/>
      <c r="AJ936" s="149" t="str">
        <f>IF('Cable Info'!L796="","",CONCATENATE('Cable Info'!L796," - ",'Cable Info'!M796))</f>
        <v/>
      </c>
      <c r="AM936" s="149" t="str">
        <f t="shared" si="108"/>
        <v/>
      </c>
      <c r="AO936" s="149" t="str">
        <f>IF('Cable Info'!N796="","",CONCATENATE('Cable Info'!N796," - ",'Cable Info'!O796))</f>
        <v/>
      </c>
      <c r="AR936" s="149" t="str">
        <f t="shared" si="109"/>
        <v/>
      </c>
      <c r="AT936" s="149" t="str">
        <f>IF('Cable Info'!P796="","",CONCATENATE('Cable Info'!P796," - ",'Cable Info'!Q796))</f>
        <v/>
      </c>
      <c r="AW936" s="149" t="str">
        <f t="shared" si="110"/>
        <v/>
      </c>
      <c r="AY936" s="149" t="str">
        <f>IF('Cable Info'!R796="","",CONCATENATE('Cable Info'!R796," - ",'Cable Info'!S796))</f>
        <v/>
      </c>
      <c r="BB936" s="149" t="str">
        <f t="shared" si="111"/>
        <v/>
      </c>
      <c r="BD936" s="149" t="str">
        <f>IF('Cable Info'!T796="","",CONCATENATE('Cable Info'!T796," - ",'Cable Info'!U796))</f>
        <v/>
      </c>
      <c r="BG936" s="149" t="str">
        <f t="shared" si="112"/>
        <v/>
      </c>
      <c r="BI936" s="149" t="str">
        <f>IF('Cable Info'!V796="","",CONCATENATE('Cable Info'!V796," - ",'Cable Info'!W796))</f>
        <v/>
      </c>
      <c r="BL936" s="149" t="str">
        <f t="shared" si="113"/>
        <v/>
      </c>
    </row>
    <row r="937" spans="1:64" x14ac:dyDescent="0.2">
      <c r="A937" s="180"/>
      <c r="B937" s="180"/>
      <c r="C937" s="180"/>
      <c r="D937" s="180"/>
      <c r="E937" s="180"/>
      <c r="F937" s="187"/>
      <c r="G937" s="180"/>
      <c r="H937" s="180"/>
      <c r="I937" s="180"/>
      <c r="J937" s="187"/>
      <c r="K937" s="180"/>
      <c r="L937" s="180"/>
      <c r="M937" s="180"/>
      <c r="N937" s="180"/>
      <c r="O937" s="218"/>
      <c r="P937" s="180"/>
      <c r="Q937" s="188"/>
      <c r="R937" s="180"/>
      <c r="S937" s="180"/>
      <c r="T937" s="180"/>
      <c r="U937" s="180"/>
      <c r="V937" s="180"/>
      <c r="W937" s="180"/>
      <c r="X937" s="201"/>
      <c r="AJ937" s="149" t="str">
        <f>IF('Cable Info'!L797="","",CONCATENATE('Cable Info'!L797," - ",'Cable Info'!M797))</f>
        <v/>
      </c>
      <c r="AM937" s="149" t="str">
        <f t="shared" si="108"/>
        <v/>
      </c>
      <c r="AO937" s="149" t="str">
        <f>IF('Cable Info'!N797="","",CONCATENATE('Cable Info'!N797," - ",'Cable Info'!O797))</f>
        <v/>
      </c>
      <c r="AR937" s="149" t="str">
        <f t="shared" si="109"/>
        <v/>
      </c>
      <c r="AT937" s="149" t="str">
        <f>IF('Cable Info'!P797="","",CONCATENATE('Cable Info'!P797," - ",'Cable Info'!Q797))</f>
        <v/>
      </c>
      <c r="AW937" s="149" t="str">
        <f t="shared" si="110"/>
        <v/>
      </c>
      <c r="AY937" s="149" t="str">
        <f>IF('Cable Info'!R797="","",CONCATENATE('Cable Info'!R797," - ",'Cable Info'!S797))</f>
        <v/>
      </c>
      <c r="BB937" s="149" t="str">
        <f t="shared" si="111"/>
        <v/>
      </c>
      <c r="BD937" s="149" t="str">
        <f>IF('Cable Info'!T797="","",CONCATENATE('Cable Info'!T797," - ",'Cable Info'!U797))</f>
        <v/>
      </c>
      <c r="BG937" s="149" t="str">
        <f t="shared" si="112"/>
        <v/>
      </c>
      <c r="BI937" s="149" t="str">
        <f>IF('Cable Info'!V797="","",CONCATENATE('Cable Info'!V797," - ",'Cable Info'!W797))</f>
        <v/>
      </c>
      <c r="BL937" s="149" t="str">
        <f t="shared" si="113"/>
        <v/>
      </c>
    </row>
    <row r="938" spans="1:64" x14ac:dyDescent="0.2">
      <c r="A938" s="180"/>
      <c r="B938" s="180"/>
      <c r="C938" s="180"/>
      <c r="D938" s="180"/>
      <c r="E938" s="180"/>
      <c r="F938" s="187"/>
      <c r="G938" s="180"/>
      <c r="H938" s="180"/>
      <c r="I938" s="180"/>
      <c r="J938" s="187"/>
      <c r="K938" s="180"/>
      <c r="L938" s="180"/>
      <c r="M938" s="180"/>
      <c r="N938" s="180"/>
      <c r="O938" s="218"/>
      <c r="P938" s="180"/>
      <c r="Q938" s="188"/>
      <c r="R938" s="180"/>
      <c r="S938" s="180"/>
      <c r="T938" s="180"/>
      <c r="U938" s="180"/>
      <c r="V938" s="180"/>
      <c r="W938" s="180"/>
      <c r="X938" s="201"/>
      <c r="AJ938" s="149" t="str">
        <f>IF('Cable Info'!L798="","",CONCATENATE('Cable Info'!L798," - ",'Cable Info'!M798))</f>
        <v/>
      </c>
      <c r="AM938" s="149" t="str">
        <f t="shared" si="108"/>
        <v/>
      </c>
      <c r="AO938" s="149" t="str">
        <f>IF('Cable Info'!N798="","",CONCATENATE('Cable Info'!N798," - ",'Cable Info'!O798))</f>
        <v/>
      </c>
      <c r="AR938" s="149" t="str">
        <f t="shared" si="109"/>
        <v/>
      </c>
      <c r="AT938" s="149" t="str">
        <f>IF('Cable Info'!P798="","",CONCATENATE('Cable Info'!P798," - ",'Cable Info'!Q798))</f>
        <v/>
      </c>
      <c r="AW938" s="149" t="str">
        <f t="shared" si="110"/>
        <v/>
      </c>
      <c r="AY938" s="149" t="str">
        <f>IF('Cable Info'!R798="","",CONCATENATE('Cable Info'!R798," - ",'Cable Info'!S798))</f>
        <v/>
      </c>
      <c r="BB938" s="149" t="str">
        <f t="shared" si="111"/>
        <v/>
      </c>
      <c r="BD938" s="149" t="str">
        <f>IF('Cable Info'!T798="","",CONCATENATE('Cable Info'!T798," - ",'Cable Info'!U798))</f>
        <v/>
      </c>
      <c r="BG938" s="149" t="str">
        <f t="shared" si="112"/>
        <v/>
      </c>
      <c r="BI938" s="149" t="str">
        <f>IF('Cable Info'!V798="","",CONCATENATE('Cable Info'!V798," - ",'Cable Info'!W798))</f>
        <v/>
      </c>
      <c r="BL938" s="149" t="str">
        <f t="shared" si="113"/>
        <v/>
      </c>
    </row>
    <row r="939" spans="1:64" x14ac:dyDescent="0.2">
      <c r="A939" s="180"/>
      <c r="B939" s="180"/>
      <c r="C939" s="180"/>
      <c r="D939" s="180"/>
      <c r="E939" s="180"/>
      <c r="F939" s="187"/>
      <c r="G939" s="180"/>
      <c r="H939" s="180"/>
      <c r="I939" s="180"/>
      <c r="J939" s="187"/>
      <c r="K939" s="180"/>
      <c r="L939" s="180"/>
      <c r="M939" s="180"/>
      <c r="N939" s="180"/>
      <c r="O939" s="218"/>
      <c r="P939" s="180"/>
      <c r="Q939" s="188"/>
      <c r="R939" s="180"/>
      <c r="S939" s="180"/>
      <c r="T939" s="180"/>
      <c r="U939" s="180"/>
      <c r="V939" s="180"/>
      <c r="W939" s="180"/>
      <c r="X939" s="201"/>
      <c r="AJ939" s="149" t="str">
        <f>IF('Cable Info'!L799="","",CONCATENATE('Cable Info'!L799," - ",'Cable Info'!M799))</f>
        <v/>
      </c>
      <c r="AM939" s="149" t="str">
        <f t="shared" si="108"/>
        <v/>
      </c>
      <c r="AO939" s="149" t="str">
        <f>IF('Cable Info'!N799="","",CONCATENATE('Cable Info'!N799," - ",'Cable Info'!O799))</f>
        <v/>
      </c>
      <c r="AR939" s="149" t="str">
        <f t="shared" si="109"/>
        <v/>
      </c>
      <c r="AT939" s="149" t="str">
        <f>IF('Cable Info'!P799="","",CONCATENATE('Cable Info'!P799," - ",'Cable Info'!Q799))</f>
        <v/>
      </c>
      <c r="AW939" s="149" t="str">
        <f t="shared" si="110"/>
        <v/>
      </c>
      <c r="AY939" s="149" t="str">
        <f>IF('Cable Info'!R799="","",CONCATENATE('Cable Info'!R799," - ",'Cable Info'!S799))</f>
        <v/>
      </c>
      <c r="BB939" s="149" t="str">
        <f t="shared" si="111"/>
        <v/>
      </c>
      <c r="BD939" s="149" t="str">
        <f>IF('Cable Info'!T799="","",CONCATENATE('Cable Info'!T799," - ",'Cable Info'!U799))</f>
        <v/>
      </c>
      <c r="BG939" s="149" t="str">
        <f t="shared" si="112"/>
        <v/>
      </c>
      <c r="BI939" s="149" t="str">
        <f>IF('Cable Info'!V799="","",CONCATENATE('Cable Info'!V799," - ",'Cable Info'!W799))</f>
        <v/>
      </c>
      <c r="BL939" s="149" t="str">
        <f t="shared" si="113"/>
        <v/>
      </c>
    </row>
    <row r="940" spans="1:64" x14ac:dyDescent="0.2">
      <c r="A940" s="180"/>
      <c r="B940" s="180"/>
      <c r="C940" s="180"/>
      <c r="D940" s="180"/>
      <c r="E940" s="180"/>
      <c r="F940" s="187"/>
      <c r="G940" s="180"/>
      <c r="H940" s="180"/>
      <c r="I940" s="180"/>
      <c r="J940" s="187"/>
      <c r="K940" s="180"/>
      <c r="L940" s="180"/>
      <c r="M940" s="180"/>
      <c r="N940" s="180"/>
      <c r="O940" s="218"/>
      <c r="P940" s="180"/>
      <c r="Q940" s="188"/>
      <c r="R940" s="180"/>
      <c r="S940" s="180"/>
      <c r="T940" s="180"/>
      <c r="U940" s="180"/>
      <c r="V940" s="180"/>
      <c r="W940" s="180"/>
      <c r="X940" s="201"/>
      <c r="AJ940" s="149" t="str">
        <f>IF('Cable Info'!L800="","",CONCATENATE('Cable Info'!L800," - ",'Cable Info'!M800))</f>
        <v/>
      </c>
      <c r="AM940" s="149" t="str">
        <f t="shared" si="108"/>
        <v/>
      </c>
      <c r="AO940" s="149" t="str">
        <f>IF('Cable Info'!N800="","",CONCATENATE('Cable Info'!N800," - ",'Cable Info'!O800))</f>
        <v/>
      </c>
      <c r="AR940" s="149" t="str">
        <f t="shared" si="109"/>
        <v/>
      </c>
      <c r="AT940" s="149" t="str">
        <f>IF('Cable Info'!P800="","",CONCATENATE('Cable Info'!P800," - ",'Cable Info'!Q800))</f>
        <v/>
      </c>
      <c r="AW940" s="149" t="str">
        <f t="shared" si="110"/>
        <v/>
      </c>
      <c r="AY940" s="149" t="str">
        <f>IF('Cable Info'!R800="","",CONCATENATE('Cable Info'!R800," - ",'Cable Info'!S800))</f>
        <v/>
      </c>
      <c r="BB940" s="149" t="str">
        <f t="shared" si="111"/>
        <v/>
      </c>
      <c r="BD940" s="149" t="str">
        <f>IF('Cable Info'!T800="","",CONCATENATE('Cable Info'!T800," - ",'Cable Info'!U800))</f>
        <v/>
      </c>
      <c r="BG940" s="149" t="str">
        <f t="shared" si="112"/>
        <v/>
      </c>
      <c r="BI940" s="149" t="str">
        <f>IF('Cable Info'!V800="","",CONCATENATE('Cable Info'!V800," - ",'Cable Info'!W800))</f>
        <v/>
      </c>
      <c r="BL940" s="149" t="str">
        <f t="shared" si="113"/>
        <v/>
      </c>
    </row>
    <row r="941" spans="1:64" x14ac:dyDescent="0.2">
      <c r="A941" s="180"/>
      <c r="B941" s="180"/>
      <c r="C941" s="180"/>
      <c r="D941" s="180"/>
      <c r="E941" s="180"/>
      <c r="F941" s="187"/>
      <c r="G941" s="180"/>
      <c r="H941" s="180"/>
      <c r="I941" s="180"/>
      <c r="J941" s="187"/>
      <c r="K941" s="180"/>
      <c r="L941" s="180"/>
      <c r="M941" s="180"/>
      <c r="N941" s="180"/>
      <c r="O941" s="218"/>
      <c r="P941" s="180"/>
      <c r="Q941" s="188"/>
      <c r="R941" s="180"/>
      <c r="S941" s="180"/>
      <c r="T941" s="180"/>
      <c r="U941" s="180"/>
      <c r="V941" s="180"/>
      <c r="W941" s="180"/>
      <c r="X941" s="201"/>
      <c r="AJ941" s="149" t="str">
        <f>IF('Cable Info'!L801="","",CONCATENATE('Cable Info'!L801," - ",'Cable Info'!M801))</f>
        <v/>
      </c>
      <c r="AM941" s="149" t="str">
        <f t="shared" si="108"/>
        <v/>
      </c>
      <c r="AO941" s="149" t="str">
        <f>IF('Cable Info'!N801="","",CONCATENATE('Cable Info'!N801," - ",'Cable Info'!O801))</f>
        <v/>
      </c>
      <c r="AR941" s="149" t="str">
        <f t="shared" si="109"/>
        <v/>
      </c>
      <c r="AT941" s="149" t="str">
        <f>IF('Cable Info'!P801="","",CONCATENATE('Cable Info'!P801," - ",'Cable Info'!Q801))</f>
        <v/>
      </c>
      <c r="AW941" s="149" t="str">
        <f t="shared" si="110"/>
        <v/>
      </c>
      <c r="AY941" s="149" t="str">
        <f>IF('Cable Info'!R801="","",CONCATENATE('Cable Info'!R801," - ",'Cable Info'!S801))</f>
        <v/>
      </c>
      <c r="BB941" s="149" t="str">
        <f t="shared" si="111"/>
        <v/>
      </c>
      <c r="BD941" s="149" t="str">
        <f>IF('Cable Info'!T801="","",CONCATENATE('Cable Info'!T801," - ",'Cable Info'!U801))</f>
        <v/>
      </c>
      <c r="BG941" s="149" t="str">
        <f t="shared" si="112"/>
        <v/>
      </c>
      <c r="BI941" s="149" t="str">
        <f>IF('Cable Info'!V801="","",CONCATENATE('Cable Info'!V801," - ",'Cable Info'!W801))</f>
        <v/>
      </c>
      <c r="BL941" s="149" t="str">
        <f t="shared" si="113"/>
        <v/>
      </c>
    </row>
    <row r="942" spans="1:64" x14ac:dyDescent="0.2">
      <c r="A942" s="180"/>
      <c r="B942" s="180"/>
      <c r="C942" s="180"/>
      <c r="D942" s="180"/>
      <c r="E942" s="180"/>
      <c r="F942" s="187"/>
      <c r="G942" s="180"/>
      <c r="H942" s="180"/>
      <c r="I942" s="180"/>
      <c r="J942" s="187"/>
      <c r="K942" s="180"/>
      <c r="L942" s="180"/>
      <c r="M942" s="180"/>
      <c r="N942" s="180"/>
      <c r="O942" s="218"/>
      <c r="P942" s="180"/>
      <c r="Q942" s="188"/>
      <c r="R942" s="180"/>
      <c r="S942" s="180"/>
      <c r="T942" s="180"/>
      <c r="U942" s="180"/>
      <c r="V942" s="180"/>
      <c r="W942" s="180"/>
      <c r="X942" s="201"/>
      <c r="AJ942" s="149" t="str">
        <f>IF('Cable Info'!L802="","",CONCATENATE('Cable Info'!L802," - ",'Cable Info'!M802))</f>
        <v/>
      </c>
      <c r="AM942" s="149" t="str">
        <f t="shared" si="108"/>
        <v/>
      </c>
      <c r="AO942" s="149" t="str">
        <f>IF('Cable Info'!N802="","",CONCATENATE('Cable Info'!N802," - ",'Cable Info'!O802))</f>
        <v/>
      </c>
      <c r="AR942" s="149" t="str">
        <f t="shared" si="109"/>
        <v/>
      </c>
      <c r="AT942" s="149" t="str">
        <f>IF('Cable Info'!P802="","",CONCATENATE('Cable Info'!P802," - ",'Cable Info'!Q802))</f>
        <v/>
      </c>
      <c r="AW942" s="149" t="str">
        <f t="shared" si="110"/>
        <v/>
      </c>
      <c r="AY942" s="149" t="str">
        <f>IF('Cable Info'!R802="","",CONCATENATE('Cable Info'!R802," - ",'Cable Info'!S802))</f>
        <v/>
      </c>
      <c r="BB942" s="149" t="str">
        <f t="shared" si="111"/>
        <v/>
      </c>
      <c r="BD942" s="149" t="str">
        <f>IF('Cable Info'!T802="","",CONCATENATE('Cable Info'!T802," - ",'Cable Info'!U802))</f>
        <v/>
      </c>
      <c r="BG942" s="149" t="str">
        <f t="shared" si="112"/>
        <v/>
      </c>
      <c r="BI942" s="149" t="str">
        <f>IF('Cable Info'!V802="","",CONCATENATE('Cable Info'!V802," - ",'Cable Info'!W802))</f>
        <v/>
      </c>
      <c r="BL942" s="149" t="str">
        <f t="shared" si="113"/>
        <v/>
      </c>
    </row>
    <row r="943" spans="1:64" x14ac:dyDescent="0.2">
      <c r="A943" s="180"/>
      <c r="B943" s="180"/>
      <c r="C943" s="180"/>
      <c r="D943" s="180"/>
      <c r="E943" s="180"/>
      <c r="F943" s="187"/>
      <c r="G943" s="180"/>
      <c r="H943" s="180"/>
      <c r="I943" s="180"/>
      <c r="J943" s="187"/>
      <c r="K943" s="180"/>
      <c r="L943" s="180"/>
      <c r="M943" s="180"/>
      <c r="N943" s="180"/>
      <c r="O943" s="218"/>
      <c r="P943" s="180"/>
      <c r="Q943" s="188"/>
      <c r="R943" s="180"/>
      <c r="S943" s="180"/>
      <c r="T943" s="180"/>
      <c r="U943" s="180"/>
      <c r="V943" s="180"/>
      <c r="W943" s="180"/>
      <c r="X943" s="201"/>
      <c r="AJ943" s="149" t="str">
        <f>IF('Cable Info'!L803="","",CONCATENATE('Cable Info'!L803," - ",'Cable Info'!M803))</f>
        <v/>
      </c>
      <c r="AM943" s="149" t="str">
        <f t="shared" si="108"/>
        <v/>
      </c>
      <c r="AO943" s="149" t="str">
        <f>IF('Cable Info'!N803="","",CONCATENATE('Cable Info'!N803," - ",'Cable Info'!O803))</f>
        <v/>
      </c>
      <c r="AR943" s="149" t="str">
        <f t="shared" si="109"/>
        <v/>
      </c>
      <c r="AT943" s="149" t="str">
        <f>IF('Cable Info'!P803="","",CONCATENATE('Cable Info'!P803," - ",'Cable Info'!Q803))</f>
        <v/>
      </c>
      <c r="AW943" s="149" t="str">
        <f t="shared" si="110"/>
        <v/>
      </c>
      <c r="AY943" s="149" t="str">
        <f>IF('Cable Info'!R803="","",CONCATENATE('Cable Info'!R803," - ",'Cable Info'!S803))</f>
        <v/>
      </c>
      <c r="BB943" s="149" t="str">
        <f t="shared" si="111"/>
        <v/>
      </c>
      <c r="BD943" s="149" t="str">
        <f>IF('Cable Info'!T803="","",CONCATENATE('Cable Info'!T803," - ",'Cable Info'!U803))</f>
        <v/>
      </c>
      <c r="BG943" s="149" t="str">
        <f t="shared" si="112"/>
        <v/>
      </c>
      <c r="BI943" s="149" t="str">
        <f>IF('Cable Info'!V803="","",CONCATENATE('Cable Info'!V803," - ",'Cable Info'!W803))</f>
        <v/>
      </c>
      <c r="BL943" s="149" t="str">
        <f t="shared" si="113"/>
        <v/>
      </c>
    </row>
    <row r="944" spans="1:64" x14ac:dyDescent="0.2">
      <c r="A944" s="180"/>
      <c r="B944" s="180"/>
      <c r="C944" s="180"/>
      <c r="D944" s="180"/>
      <c r="E944" s="180"/>
      <c r="F944" s="187"/>
      <c r="G944" s="180"/>
      <c r="H944" s="180"/>
      <c r="I944" s="180"/>
      <c r="J944" s="187"/>
      <c r="K944" s="180"/>
      <c r="L944" s="180"/>
      <c r="M944" s="180"/>
      <c r="N944" s="180"/>
      <c r="O944" s="218"/>
      <c r="P944" s="180"/>
      <c r="Q944" s="188"/>
      <c r="R944" s="180"/>
      <c r="S944" s="180"/>
      <c r="T944" s="180"/>
      <c r="U944" s="180"/>
      <c r="V944" s="180"/>
      <c r="W944" s="180"/>
      <c r="X944" s="201"/>
      <c r="AJ944" s="149" t="str">
        <f>IF('Cable Info'!L804="","",CONCATENATE('Cable Info'!L804," - ",'Cable Info'!M804))</f>
        <v/>
      </c>
      <c r="AM944" s="149" t="str">
        <f t="shared" si="108"/>
        <v/>
      </c>
      <c r="AO944" s="149" t="str">
        <f>IF('Cable Info'!N804="","",CONCATENATE('Cable Info'!N804," - ",'Cable Info'!O804))</f>
        <v/>
      </c>
      <c r="AR944" s="149" t="str">
        <f t="shared" si="109"/>
        <v/>
      </c>
      <c r="AT944" s="149" t="str">
        <f>IF('Cable Info'!P804="","",CONCATENATE('Cable Info'!P804," - ",'Cable Info'!Q804))</f>
        <v/>
      </c>
      <c r="AW944" s="149" t="str">
        <f t="shared" si="110"/>
        <v/>
      </c>
      <c r="AY944" s="149" t="str">
        <f>IF('Cable Info'!R804="","",CONCATENATE('Cable Info'!R804," - ",'Cable Info'!S804))</f>
        <v/>
      </c>
      <c r="BB944" s="149" t="str">
        <f t="shared" si="111"/>
        <v/>
      </c>
      <c r="BD944" s="149" t="str">
        <f>IF('Cable Info'!T804="","",CONCATENATE('Cable Info'!T804," - ",'Cable Info'!U804))</f>
        <v/>
      </c>
      <c r="BG944" s="149" t="str">
        <f t="shared" si="112"/>
        <v/>
      </c>
      <c r="BI944" s="149" t="str">
        <f>IF('Cable Info'!V804="","",CONCATENATE('Cable Info'!V804," - ",'Cable Info'!W804))</f>
        <v/>
      </c>
      <c r="BL944" s="149" t="str">
        <f t="shared" si="113"/>
        <v/>
      </c>
    </row>
    <row r="945" spans="1:64" x14ac:dyDescent="0.2">
      <c r="A945" s="180"/>
      <c r="B945" s="180"/>
      <c r="C945" s="180"/>
      <c r="D945" s="180"/>
      <c r="E945" s="180"/>
      <c r="F945" s="187"/>
      <c r="G945" s="180"/>
      <c r="H945" s="180"/>
      <c r="I945" s="180"/>
      <c r="J945" s="187"/>
      <c r="K945" s="180"/>
      <c r="L945" s="180"/>
      <c r="M945" s="180"/>
      <c r="N945" s="180"/>
      <c r="O945" s="218"/>
      <c r="P945" s="180"/>
      <c r="Q945" s="188"/>
      <c r="R945" s="180"/>
      <c r="S945" s="180"/>
      <c r="T945" s="180"/>
      <c r="U945" s="180"/>
      <c r="V945" s="180"/>
      <c r="W945" s="180"/>
      <c r="X945" s="201"/>
      <c r="AJ945" s="149" t="str">
        <f>IF('Cable Info'!L805="","",CONCATENATE('Cable Info'!L805," - ",'Cable Info'!M805))</f>
        <v/>
      </c>
      <c r="AM945" s="149" t="str">
        <f t="shared" si="108"/>
        <v/>
      </c>
      <c r="AO945" s="149" t="str">
        <f>IF('Cable Info'!N805="","",CONCATENATE('Cable Info'!N805," - ",'Cable Info'!O805))</f>
        <v/>
      </c>
      <c r="AR945" s="149" t="str">
        <f t="shared" si="109"/>
        <v/>
      </c>
      <c r="AT945" s="149" t="str">
        <f>IF('Cable Info'!P805="","",CONCATENATE('Cable Info'!P805," - ",'Cable Info'!Q805))</f>
        <v/>
      </c>
      <c r="AW945" s="149" t="str">
        <f t="shared" si="110"/>
        <v/>
      </c>
      <c r="AY945" s="149" t="str">
        <f>IF('Cable Info'!R805="","",CONCATENATE('Cable Info'!R805," - ",'Cable Info'!S805))</f>
        <v/>
      </c>
      <c r="BB945" s="149" t="str">
        <f t="shared" si="111"/>
        <v/>
      </c>
      <c r="BD945" s="149" t="str">
        <f>IF('Cable Info'!T805="","",CONCATENATE('Cable Info'!T805," - ",'Cable Info'!U805))</f>
        <v/>
      </c>
      <c r="BG945" s="149" t="str">
        <f t="shared" si="112"/>
        <v/>
      </c>
      <c r="BI945" s="149" t="str">
        <f>IF('Cable Info'!V805="","",CONCATENATE('Cable Info'!V805," - ",'Cable Info'!W805))</f>
        <v/>
      </c>
      <c r="BL945" s="149" t="str">
        <f t="shared" si="113"/>
        <v/>
      </c>
    </row>
    <row r="946" spans="1:64" x14ac:dyDescent="0.2">
      <c r="A946" s="180"/>
      <c r="B946" s="180"/>
      <c r="C946" s="180"/>
      <c r="D946" s="180"/>
      <c r="E946" s="180"/>
      <c r="F946" s="187"/>
      <c r="G946" s="180"/>
      <c r="H946" s="180"/>
      <c r="I946" s="180"/>
      <c r="J946" s="187"/>
      <c r="K946" s="180"/>
      <c r="L946" s="180"/>
      <c r="M946" s="180"/>
      <c r="N946" s="180"/>
      <c r="O946" s="218"/>
      <c r="P946" s="180"/>
      <c r="Q946" s="188"/>
      <c r="R946" s="180"/>
      <c r="S946" s="180"/>
      <c r="T946" s="180"/>
      <c r="U946" s="180"/>
      <c r="V946" s="180"/>
      <c r="W946" s="180"/>
      <c r="X946" s="201"/>
      <c r="AJ946" s="149" t="str">
        <f>IF('Cable Info'!L806="","",CONCATENATE('Cable Info'!L806," - ",'Cable Info'!M806))</f>
        <v/>
      </c>
      <c r="AM946" s="149" t="str">
        <f t="shared" si="108"/>
        <v/>
      </c>
      <c r="AO946" s="149" t="str">
        <f>IF('Cable Info'!N806="","",CONCATENATE('Cable Info'!N806," - ",'Cable Info'!O806))</f>
        <v/>
      </c>
      <c r="AR946" s="149" t="str">
        <f t="shared" si="109"/>
        <v/>
      </c>
      <c r="AT946" s="149" t="str">
        <f>IF('Cable Info'!P806="","",CONCATENATE('Cable Info'!P806," - ",'Cable Info'!Q806))</f>
        <v/>
      </c>
      <c r="AW946" s="149" t="str">
        <f t="shared" si="110"/>
        <v/>
      </c>
      <c r="AY946" s="149" t="str">
        <f>IF('Cable Info'!R806="","",CONCATENATE('Cable Info'!R806," - ",'Cable Info'!S806))</f>
        <v/>
      </c>
      <c r="BB946" s="149" t="str">
        <f t="shared" si="111"/>
        <v/>
      </c>
      <c r="BD946" s="149" t="str">
        <f>IF('Cable Info'!T806="","",CONCATENATE('Cable Info'!T806," - ",'Cable Info'!U806))</f>
        <v/>
      </c>
      <c r="BG946" s="149" t="str">
        <f t="shared" si="112"/>
        <v/>
      </c>
      <c r="BI946" s="149" t="str">
        <f>IF('Cable Info'!V806="","",CONCATENATE('Cable Info'!V806," - ",'Cable Info'!W806))</f>
        <v/>
      </c>
      <c r="BL946" s="149" t="str">
        <f t="shared" si="113"/>
        <v/>
      </c>
    </row>
    <row r="947" spans="1:64" x14ac:dyDescent="0.2">
      <c r="A947" s="180"/>
      <c r="B947" s="180"/>
      <c r="C947" s="180"/>
      <c r="D947" s="180"/>
      <c r="E947" s="180"/>
      <c r="F947" s="187"/>
      <c r="G947" s="180"/>
      <c r="H947" s="180"/>
      <c r="I947" s="180"/>
      <c r="J947" s="187"/>
      <c r="K947" s="180"/>
      <c r="L947" s="180"/>
      <c r="M947" s="180"/>
      <c r="N947" s="180"/>
      <c r="O947" s="218"/>
      <c r="P947" s="180"/>
      <c r="Q947" s="188"/>
      <c r="R947" s="180"/>
      <c r="S947" s="180"/>
      <c r="T947" s="180"/>
      <c r="U947" s="180"/>
      <c r="V947" s="180"/>
      <c r="W947" s="180"/>
      <c r="X947" s="201"/>
      <c r="AJ947" s="149" t="str">
        <f>IF('Cable Info'!L807="","",CONCATENATE('Cable Info'!L807," - ",'Cable Info'!M807))</f>
        <v/>
      </c>
      <c r="AM947" s="149" t="str">
        <f t="shared" si="108"/>
        <v/>
      </c>
      <c r="AO947" s="149" t="str">
        <f>IF('Cable Info'!N807="","",CONCATENATE('Cable Info'!N807," - ",'Cable Info'!O807))</f>
        <v/>
      </c>
      <c r="AR947" s="149" t="str">
        <f t="shared" si="109"/>
        <v/>
      </c>
      <c r="AT947" s="149" t="str">
        <f>IF('Cable Info'!P807="","",CONCATENATE('Cable Info'!P807," - ",'Cable Info'!Q807))</f>
        <v/>
      </c>
      <c r="AW947" s="149" t="str">
        <f t="shared" si="110"/>
        <v/>
      </c>
      <c r="AY947" s="149" t="str">
        <f>IF('Cable Info'!R807="","",CONCATENATE('Cable Info'!R807," - ",'Cable Info'!S807))</f>
        <v/>
      </c>
      <c r="BB947" s="149" t="str">
        <f t="shared" si="111"/>
        <v/>
      </c>
      <c r="BD947" s="149" t="str">
        <f>IF('Cable Info'!T807="","",CONCATENATE('Cable Info'!T807," - ",'Cable Info'!U807))</f>
        <v/>
      </c>
      <c r="BG947" s="149" t="str">
        <f t="shared" si="112"/>
        <v/>
      </c>
      <c r="BI947" s="149" t="str">
        <f>IF('Cable Info'!V807="","",CONCATENATE('Cable Info'!V807," - ",'Cable Info'!W807))</f>
        <v/>
      </c>
      <c r="BL947" s="149" t="str">
        <f t="shared" si="113"/>
        <v/>
      </c>
    </row>
    <row r="948" spans="1:64" x14ac:dyDescent="0.2">
      <c r="A948" s="180"/>
      <c r="B948" s="180"/>
      <c r="C948" s="180"/>
      <c r="D948" s="180"/>
      <c r="E948" s="180"/>
      <c r="F948" s="187"/>
      <c r="G948" s="180"/>
      <c r="H948" s="180"/>
      <c r="I948" s="180"/>
      <c r="J948" s="187"/>
      <c r="K948" s="180"/>
      <c r="L948" s="180"/>
      <c r="M948" s="180"/>
      <c r="N948" s="180"/>
      <c r="O948" s="218"/>
      <c r="P948" s="180"/>
      <c r="Q948" s="188"/>
      <c r="R948" s="180"/>
      <c r="S948" s="180"/>
      <c r="T948" s="180"/>
      <c r="U948" s="180"/>
      <c r="V948" s="180"/>
      <c r="W948" s="180"/>
      <c r="X948" s="201"/>
      <c r="AJ948" s="149" t="str">
        <f>IF('Cable Info'!L808="","",CONCATENATE('Cable Info'!L808," - ",'Cable Info'!M808))</f>
        <v/>
      </c>
      <c r="AM948" s="149" t="str">
        <f t="shared" si="108"/>
        <v/>
      </c>
      <c r="AO948" s="149" t="str">
        <f>IF('Cable Info'!N808="","",CONCATENATE('Cable Info'!N808," - ",'Cable Info'!O808))</f>
        <v/>
      </c>
      <c r="AR948" s="149" t="str">
        <f t="shared" si="109"/>
        <v/>
      </c>
      <c r="AT948" s="149" t="str">
        <f>IF('Cable Info'!P808="","",CONCATENATE('Cable Info'!P808," - ",'Cable Info'!Q808))</f>
        <v/>
      </c>
      <c r="AW948" s="149" t="str">
        <f t="shared" si="110"/>
        <v/>
      </c>
      <c r="AY948" s="149" t="str">
        <f>IF('Cable Info'!R808="","",CONCATENATE('Cable Info'!R808," - ",'Cable Info'!S808))</f>
        <v/>
      </c>
      <c r="BB948" s="149" t="str">
        <f t="shared" si="111"/>
        <v/>
      </c>
      <c r="BD948" s="149" t="str">
        <f>IF('Cable Info'!T808="","",CONCATENATE('Cable Info'!T808," - ",'Cable Info'!U808))</f>
        <v/>
      </c>
      <c r="BG948" s="149" t="str">
        <f t="shared" si="112"/>
        <v/>
      </c>
      <c r="BI948" s="149" t="str">
        <f>IF('Cable Info'!V808="","",CONCATENATE('Cable Info'!V808," - ",'Cable Info'!W808))</f>
        <v/>
      </c>
      <c r="BL948" s="149" t="str">
        <f t="shared" si="113"/>
        <v/>
      </c>
    </row>
    <row r="949" spans="1:64" x14ac:dyDescent="0.2">
      <c r="A949" s="180"/>
      <c r="B949" s="180"/>
      <c r="C949" s="180"/>
      <c r="D949" s="180"/>
      <c r="E949" s="180"/>
      <c r="F949" s="187"/>
      <c r="G949" s="180"/>
      <c r="H949" s="180"/>
      <c r="I949" s="180"/>
      <c r="J949" s="187"/>
      <c r="K949" s="180"/>
      <c r="L949" s="180"/>
      <c r="M949" s="180"/>
      <c r="N949" s="180"/>
      <c r="O949" s="218"/>
      <c r="P949" s="180"/>
      <c r="Q949" s="188"/>
      <c r="R949" s="180"/>
      <c r="S949" s="180"/>
      <c r="T949" s="180"/>
      <c r="U949" s="180"/>
      <c r="V949" s="180"/>
      <c r="W949" s="180"/>
      <c r="X949" s="201"/>
      <c r="AJ949" s="149" t="str">
        <f>IF('Cable Info'!L809="","",CONCATENATE('Cable Info'!L809," - ",'Cable Info'!M809))</f>
        <v/>
      </c>
      <c r="AM949" s="149" t="str">
        <f t="shared" si="108"/>
        <v/>
      </c>
      <c r="AO949" s="149" t="str">
        <f>IF('Cable Info'!N809="","",CONCATENATE('Cable Info'!N809," - ",'Cable Info'!O809))</f>
        <v/>
      </c>
      <c r="AR949" s="149" t="str">
        <f t="shared" si="109"/>
        <v/>
      </c>
      <c r="AT949" s="149" t="str">
        <f>IF('Cable Info'!P809="","",CONCATENATE('Cable Info'!P809," - ",'Cable Info'!Q809))</f>
        <v/>
      </c>
      <c r="AW949" s="149" t="str">
        <f t="shared" si="110"/>
        <v/>
      </c>
      <c r="AY949" s="149" t="str">
        <f>IF('Cable Info'!R809="","",CONCATENATE('Cable Info'!R809," - ",'Cable Info'!S809))</f>
        <v/>
      </c>
      <c r="BB949" s="149" t="str">
        <f t="shared" si="111"/>
        <v/>
      </c>
      <c r="BD949" s="149" t="str">
        <f>IF('Cable Info'!T809="","",CONCATENATE('Cable Info'!T809," - ",'Cable Info'!U809))</f>
        <v/>
      </c>
      <c r="BG949" s="149" t="str">
        <f t="shared" si="112"/>
        <v/>
      </c>
      <c r="BI949" s="149" t="str">
        <f>IF('Cable Info'!V809="","",CONCATENATE('Cable Info'!V809," - ",'Cable Info'!W809))</f>
        <v/>
      </c>
      <c r="BL949" s="149" t="str">
        <f t="shared" si="113"/>
        <v/>
      </c>
    </row>
    <row r="950" spans="1:64" x14ac:dyDescent="0.2">
      <c r="A950" s="180"/>
      <c r="B950" s="180"/>
      <c r="C950" s="180"/>
      <c r="D950" s="180"/>
      <c r="E950" s="180"/>
      <c r="F950" s="187"/>
      <c r="G950" s="180"/>
      <c r="H950" s="180"/>
      <c r="I950" s="180"/>
      <c r="J950" s="187"/>
      <c r="K950" s="180"/>
      <c r="L950" s="180"/>
      <c r="M950" s="180"/>
      <c r="N950" s="180"/>
      <c r="O950" s="218"/>
      <c r="P950" s="180"/>
      <c r="Q950" s="188"/>
      <c r="R950" s="180"/>
      <c r="S950" s="180"/>
      <c r="T950" s="180"/>
      <c r="U950" s="180"/>
      <c r="V950" s="180"/>
      <c r="W950" s="180"/>
      <c r="X950" s="201"/>
      <c r="AJ950" s="149" t="str">
        <f>IF('Cable Info'!L810="","",CONCATENATE('Cable Info'!L810," - ",'Cable Info'!M810))</f>
        <v/>
      </c>
      <c r="AM950" s="149" t="str">
        <f t="shared" si="108"/>
        <v/>
      </c>
      <c r="AO950" s="149" t="str">
        <f>IF('Cable Info'!N810="","",CONCATENATE('Cable Info'!N810," - ",'Cable Info'!O810))</f>
        <v/>
      </c>
      <c r="AR950" s="149" t="str">
        <f t="shared" si="109"/>
        <v/>
      </c>
      <c r="AT950" s="149" t="str">
        <f>IF('Cable Info'!P810="","",CONCATENATE('Cable Info'!P810," - ",'Cable Info'!Q810))</f>
        <v/>
      </c>
      <c r="AW950" s="149" t="str">
        <f t="shared" si="110"/>
        <v/>
      </c>
      <c r="AY950" s="149" t="str">
        <f>IF('Cable Info'!R810="","",CONCATENATE('Cable Info'!R810," - ",'Cable Info'!S810))</f>
        <v/>
      </c>
      <c r="BB950" s="149" t="str">
        <f t="shared" si="111"/>
        <v/>
      </c>
      <c r="BD950" s="149" t="str">
        <f>IF('Cable Info'!T810="","",CONCATENATE('Cable Info'!T810," - ",'Cable Info'!U810))</f>
        <v/>
      </c>
      <c r="BG950" s="149" t="str">
        <f t="shared" si="112"/>
        <v/>
      </c>
      <c r="BI950" s="149" t="str">
        <f>IF('Cable Info'!V810="","",CONCATENATE('Cable Info'!V810," - ",'Cable Info'!W810))</f>
        <v/>
      </c>
      <c r="BL950" s="149" t="str">
        <f t="shared" si="113"/>
        <v/>
      </c>
    </row>
    <row r="951" spans="1:64" x14ac:dyDescent="0.2">
      <c r="A951" s="180"/>
      <c r="B951" s="180"/>
      <c r="C951" s="180"/>
      <c r="D951" s="180"/>
      <c r="E951" s="180"/>
      <c r="F951" s="187"/>
      <c r="G951" s="180"/>
      <c r="H951" s="180"/>
      <c r="I951" s="180"/>
      <c r="J951" s="187"/>
      <c r="K951" s="180"/>
      <c r="L951" s="180"/>
      <c r="M951" s="180"/>
      <c r="N951" s="180"/>
      <c r="O951" s="218"/>
      <c r="P951" s="180"/>
      <c r="Q951" s="188"/>
      <c r="R951" s="180"/>
      <c r="S951" s="180"/>
      <c r="T951" s="180"/>
      <c r="U951" s="180"/>
      <c r="V951" s="180"/>
      <c r="W951" s="180"/>
      <c r="X951" s="201"/>
      <c r="AJ951" s="149" t="str">
        <f>IF('Cable Info'!L811="","",CONCATENATE('Cable Info'!L811," - ",'Cable Info'!M811))</f>
        <v/>
      </c>
      <c r="AM951" s="149" t="str">
        <f t="shared" si="108"/>
        <v/>
      </c>
      <c r="AO951" s="149" t="str">
        <f>IF('Cable Info'!N811="","",CONCATENATE('Cable Info'!N811," - ",'Cable Info'!O811))</f>
        <v/>
      </c>
      <c r="AR951" s="149" t="str">
        <f t="shared" si="109"/>
        <v/>
      </c>
      <c r="AT951" s="149" t="str">
        <f>IF('Cable Info'!P811="","",CONCATENATE('Cable Info'!P811," - ",'Cable Info'!Q811))</f>
        <v/>
      </c>
      <c r="AW951" s="149" t="str">
        <f t="shared" si="110"/>
        <v/>
      </c>
      <c r="AY951" s="149" t="str">
        <f>IF('Cable Info'!R811="","",CONCATENATE('Cable Info'!R811," - ",'Cable Info'!S811))</f>
        <v/>
      </c>
      <c r="BB951" s="149" t="str">
        <f t="shared" si="111"/>
        <v/>
      </c>
      <c r="BD951" s="149" t="str">
        <f>IF('Cable Info'!T811="","",CONCATENATE('Cable Info'!T811," - ",'Cable Info'!U811))</f>
        <v/>
      </c>
      <c r="BG951" s="149" t="str">
        <f t="shared" si="112"/>
        <v/>
      </c>
      <c r="BI951" s="149" t="str">
        <f>IF('Cable Info'!V811="","",CONCATENATE('Cable Info'!V811," - ",'Cable Info'!W811))</f>
        <v/>
      </c>
      <c r="BL951" s="149" t="str">
        <f t="shared" si="113"/>
        <v/>
      </c>
    </row>
    <row r="952" spans="1:64" x14ac:dyDescent="0.2">
      <c r="A952" s="180"/>
      <c r="B952" s="180"/>
      <c r="C952" s="180"/>
      <c r="D952" s="180"/>
      <c r="E952" s="180"/>
      <c r="F952" s="187"/>
      <c r="G952" s="180"/>
      <c r="H952" s="180"/>
      <c r="I952" s="180"/>
      <c r="J952" s="187"/>
      <c r="K952" s="180"/>
      <c r="L952" s="180"/>
      <c r="M952" s="180"/>
      <c r="N952" s="180"/>
      <c r="O952" s="218"/>
      <c r="P952" s="180"/>
      <c r="Q952" s="188"/>
      <c r="R952" s="180"/>
      <c r="S952" s="180"/>
      <c r="T952" s="180"/>
      <c r="U952" s="180"/>
      <c r="V952" s="180"/>
      <c r="W952" s="180"/>
      <c r="X952" s="201"/>
      <c r="AJ952" s="149" t="str">
        <f>IF('Cable Info'!L812="","",CONCATENATE('Cable Info'!L812," - ",'Cable Info'!M812))</f>
        <v/>
      </c>
      <c r="AM952" s="149" t="str">
        <f t="shared" si="108"/>
        <v/>
      </c>
      <c r="AO952" s="149" t="str">
        <f>IF('Cable Info'!N812="","",CONCATENATE('Cable Info'!N812," - ",'Cable Info'!O812))</f>
        <v/>
      </c>
      <c r="AR952" s="149" t="str">
        <f t="shared" si="109"/>
        <v/>
      </c>
      <c r="AT952" s="149" t="str">
        <f>IF('Cable Info'!P812="","",CONCATENATE('Cable Info'!P812," - ",'Cable Info'!Q812))</f>
        <v/>
      </c>
      <c r="AW952" s="149" t="str">
        <f t="shared" si="110"/>
        <v/>
      </c>
      <c r="AY952" s="149" t="str">
        <f>IF('Cable Info'!R812="","",CONCATENATE('Cable Info'!R812," - ",'Cable Info'!S812))</f>
        <v/>
      </c>
      <c r="BB952" s="149" t="str">
        <f t="shared" si="111"/>
        <v/>
      </c>
      <c r="BD952" s="149" t="str">
        <f>IF('Cable Info'!T812="","",CONCATENATE('Cable Info'!T812," - ",'Cable Info'!U812))</f>
        <v/>
      </c>
      <c r="BG952" s="149" t="str">
        <f t="shared" si="112"/>
        <v/>
      </c>
      <c r="BI952" s="149" t="str">
        <f>IF('Cable Info'!V812="","",CONCATENATE('Cable Info'!V812," - ",'Cable Info'!W812))</f>
        <v/>
      </c>
      <c r="BL952" s="149" t="str">
        <f t="shared" si="113"/>
        <v/>
      </c>
    </row>
    <row r="953" spans="1:64" x14ac:dyDescent="0.2">
      <c r="A953" s="180"/>
      <c r="B953" s="180"/>
      <c r="C953" s="180"/>
      <c r="D953" s="180"/>
      <c r="E953" s="180"/>
      <c r="F953" s="187"/>
      <c r="G953" s="180"/>
      <c r="H953" s="180"/>
      <c r="I953" s="180"/>
      <c r="J953" s="187"/>
      <c r="K953" s="180"/>
      <c r="L953" s="180"/>
      <c r="M953" s="180"/>
      <c r="N953" s="180"/>
      <c r="O953" s="218"/>
      <c r="P953" s="180"/>
      <c r="Q953" s="188"/>
      <c r="R953" s="180"/>
      <c r="S953" s="180"/>
      <c r="T953" s="180"/>
      <c r="U953" s="180"/>
      <c r="V953" s="180"/>
      <c r="W953" s="180"/>
      <c r="X953" s="201"/>
      <c r="AJ953" s="149" t="str">
        <f>IF('Cable Info'!L813="","",CONCATENATE('Cable Info'!L813," - ",'Cable Info'!M813))</f>
        <v/>
      </c>
      <c r="AM953" s="149" t="str">
        <f t="shared" si="108"/>
        <v/>
      </c>
      <c r="AO953" s="149" t="str">
        <f>IF('Cable Info'!N813="","",CONCATENATE('Cable Info'!N813," - ",'Cable Info'!O813))</f>
        <v/>
      </c>
      <c r="AR953" s="149" t="str">
        <f t="shared" si="109"/>
        <v/>
      </c>
      <c r="AT953" s="149" t="str">
        <f>IF('Cable Info'!P813="","",CONCATENATE('Cable Info'!P813," - ",'Cable Info'!Q813))</f>
        <v/>
      </c>
      <c r="AW953" s="149" t="str">
        <f t="shared" si="110"/>
        <v/>
      </c>
      <c r="AY953" s="149" t="str">
        <f>IF('Cable Info'!R813="","",CONCATENATE('Cable Info'!R813," - ",'Cable Info'!S813))</f>
        <v/>
      </c>
      <c r="BB953" s="149" t="str">
        <f t="shared" si="111"/>
        <v/>
      </c>
      <c r="BD953" s="149" t="str">
        <f>IF('Cable Info'!T813="","",CONCATENATE('Cable Info'!T813," - ",'Cable Info'!U813))</f>
        <v/>
      </c>
      <c r="BG953" s="149" t="str">
        <f t="shared" si="112"/>
        <v/>
      </c>
      <c r="BI953" s="149" t="str">
        <f>IF('Cable Info'!V813="","",CONCATENATE('Cable Info'!V813," - ",'Cable Info'!W813))</f>
        <v/>
      </c>
      <c r="BL953" s="149" t="str">
        <f t="shared" si="113"/>
        <v/>
      </c>
    </row>
    <row r="954" spans="1:64" x14ac:dyDescent="0.2">
      <c r="A954" s="180"/>
      <c r="B954" s="180"/>
      <c r="C954" s="180"/>
      <c r="D954" s="180"/>
      <c r="E954" s="180"/>
      <c r="F954" s="187"/>
      <c r="G954" s="180"/>
      <c r="H954" s="180"/>
      <c r="I954" s="180"/>
      <c r="J954" s="187"/>
      <c r="K954" s="180"/>
      <c r="L954" s="180"/>
      <c r="M954" s="180"/>
      <c r="N954" s="180"/>
      <c r="O954" s="218"/>
      <c r="P954" s="180"/>
      <c r="Q954" s="188"/>
      <c r="R954" s="180"/>
      <c r="S954" s="180"/>
      <c r="T954" s="180"/>
      <c r="U954" s="180"/>
      <c r="V954" s="180"/>
      <c r="W954" s="180"/>
      <c r="X954" s="201"/>
      <c r="AJ954" s="149" t="str">
        <f>IF('Cable Info'!L814="","",CONCATENATE('Cable Info'!L814," - ",'Cable Info'!M814))</f>
        <v/>
      </c>
      <c r="AM954" s="149" t="str">
        <f t="shared" si="108"/>
        <v/>
      </c>
      <c r="AO954" s="149" t="str">
        <f>IF('Cable Info'!N814="","",CONCATENATE('Cable Info'!N814," - ",'Cable Info'!O814))</f>
        <v/>
      </c>
      <c r="AR954" s="149" t="str">
        <f t="shared" si="109"/>
        <v/>
      </c>
      <c r="AT954" s="149" t="str">
        <f>IF('Cable Info'!P814="","",CONCATENATE('Cable Info'!P814," - ",'Cable Info'!Q814))</f>
        <v/>
      </c>
      <c r="AW954" s="149" t="str">
        <f t="shared" si="110"/>
        <v/>
      </c>
      <c r="AY954" s="149" t="str">
        <f>IF('Cable Info'!R814="","",CONCATENATE('Cable Info'!R814," - ",'Cable Info'!S814))</f>
        <v/>
      </c>
      <c r="BB954" s="149" t="str">
        <f t="shared" si="111"/>
        <v/>
      </c>
      <c r="BD954" s="149" t="str">
        <f>IF('Cable Info'!T814="","",CONCATENATE('Cable Info'!T814," - ",'Cable Info'!U814))</f>
        <v/>
      </c>
      <c r="BG954" s="149" t="str">
        <f t="shared" si="112"/>
        <v/>
      </c>
      <c r="BI954" s="149" t="str">
        <f>IF('Cable Info'!V814="","",CONCATENATE('Cable Info'!V814," - ",'Cable Info'!W814))</f>
        <v/>
      </c>
      <c r="BL954" s="149" t="str">
        <f t="shared" si="113"/>
        <v/>
      </c>
    </row>
    <row r="955" spans="1:64" x14ac:dyDescent="0.2">
      <c r="A955" s="180"/>
      <c r="B955" s="180"/>
      <c r="C955" s="180"/>
      <c r="D955" s="180"/>
      <c r="E955" s="180"/>
      <c r="F955" s="187"/>
      <c r="G955" s="180"/>
      <c r="H955" s="180"/>
      <c r="I955" s="180"/>
      <c r="J955" s="187"/>
      <c r="K955" s="180"/>
      <c r="L955" s="180"/>
      <c r="M955" s="180"/>
      <c r="N955" s="180"/>
      <c r="O955" s="218"/>
      <c r="P955" s="180"/>
      <c r="Q955" s="188"/>
      <c r="R955" s="180"/>
      <c r="S955" s="180"/>
      <c r="T955" s="180"/>
      <c r="U955" s="180"/>
      <c r="V955" s="180"/>
      <c r="W955" s="180"/>
      <c r="X955" s="201"/>
      <c r="AJ955" s="149" t="str">
        <f>IF('Cable Info'!L815="","",CONCATENATE('Cable Info'!L815," - ",'Cable Info'!M815))</f>
        <v/>
      </c>
      <c r="AM955" s="149" t="str">
        <f t="shared" si="108"/>
        <v/>
      </c>
      <c r="AO955" s="149" t="str">
        <f>IF('Cable Info'!N815="","",CONCATENATE('Cable Info'!N815," - ",'Cable Info'!O815))</f>
        <v/>
      </c>
      <c r="AR955" s="149" t="str">
        <f t="shared" si="109"/>
        <v/>
      </c>
      <c r="AT955" s="149" t="str">
        <f>IF('Cable Info'!P815="","",CONCATENATE('Cable Info'!P815," - ",'Cable Info'!Q815))</f>
        <v/>
      </c>
      <c r="AW955" s="149" t="str">
        <f t="shared" si="110"/>
        <v/>
      </c>
      <c r="AY955" s="149" t="str">
        <f>IF('Cable Info'!R815="","",CONCATENATE('Cable Info'!R815," - ",'Cable Info'!S815))</f>
        <v/>
      </c>
      <c r="BB955" s="149" t="str">
        <f t="shared" si="111"/>
        <v/>
      </c>
      <c r="BD955" s="149" t="str">
        <f>IF('Cable Info'!T815="","",CONCATENATE('Cable Info'!T815," - ",'Cable Info'!U815))</f>
        <v/>
      </c>
      <c r="BG955" s="149" t="str">
        <f t="shared" si="112"/>
        <v/>
      </c>
      <c r="BI955" s="149" t="str">
        <f>IF('Cable Info'!V815="","",CONCATENATE('Cable Info'!V815," - ",'Cable Info'!W815))</f>
        <v/>
      </c>
      <c r="BL955" s="149" t="str">
        <f t="shared" si="113"/>
        <v/>
      </c>
    </row>
    <row r="956" spans="1:64" x14ac:dyDescent="0.2">
      <c r="A956" s="180"/>
      <c r="B956" s="180"/>
      <c r="C956" s="180"/>
      <c r="D956" s="180"/>
      <c r="E956" s="180"/>
      <c r="F956" s="187"/>
      <c r="G956" s="180"/>
      <c r="H956" s="180"/>
      <c r="I956" s="180"/>
      <c r="J956" s="187"/>
      <c r="K956" s="180"/>
      <c r="L956" s="180"/>
      <c r="M956" s="180"/>
      <c r="N956" s="180"/>
      <c r="O956" s="218"/>
      <c r="P956" s="180"/>
      <c r="Q956" s="188"/>
      <c r="R956" s="180"/>
      <c r="S956" s="180"/>
      <c r="T956" s="180"/>
      <c r="U956" s="180"/>
      <c r="V956" s="180"/>
      <c r="W956" s="180"/>
      <c r="X956" s="201"/>
      <c r="AJ956" s="149" t="str">
        <f>IF('Cable Info'!L816="","",CONCATENATE('Cable Info'!L816," - ",'Cable Info'!M816))</f>
        <v/>
      </c>
      <c r="AM956" s="149" t="str">
        <f t="shared" si="108"/>
        <v/>
      </c>
      <c r="AO956" s="149" t="str">
        <f>IF('Cable Info'!N816="","",CONCATENATE('Cable Info'!N816," - ",'Cable Info'!O816))</f>
        <v/>
      </c>
      <c r="AR956" s="149" t="str">
        <f t="shared" si="109"/>
        <v/>
      </c>
      <c r="AT956" s="149" t="str">
        <f>IF('Cable Info'!P816="","",CONCATENATE('Cable Info'!P816," - ",'Cable Info'!Q816))</f>
        <v/>
      </c>
      <c r="AW956" s="149" t="str">
        <f t="shared" si="110"/>
        <v/>
      </c>
      <c r="AY956" s="149" t="str">
        <f>IF('Cable Info'!R816="","",CONCATENATE('Cable Info'!R816," - ",'Cable Info'!S816))</f>
        <v/>
      </c>
      <c r="BB956" s="149" t="str">
        <f t="shared" si="111"/>
        <v/>
      </c>
      <c r="BD956" s="149" t="str">
        <f>IF('Cable Info'!T816="","",CONCATENATE('Cable Info'!T816," - ",'Cable Info'!U816))</f>
        <v/>
      </c>
      <c r="BG956" s="149" t="str">
        <f t="shared" si="112"/>
        <v/>
      </c>
      <c r="BI956" s="149" t="str">
        <f>IF('Cable Info'!V816="","",CONCATENATE('Cable Info'!V816," - ",'Cable Info'!W816))</f>
        <v/>
      </c>
      <c r="BL956" s="149" t="str">
        <f t="shared" si="113"/>
        <v/>
      </c>
    </row>
    <row r="957" spans="1:64" x14ac:dyDescent="0.2">
      <c r="A957" s="180"/>
      <c r="B957" s="180"/>
      <c r="C957" s="180"/>
      <c r="D957" s="180"/>
      <c r="E957" s="180"/>
      <c r="F957" s="187"/>
      <c r="G957" s="180"/>
      <c r="H957" s="180"/>
      <c r="I957" s="180"/>
      <c r="J957" s="187"/>
      <c r="K957" s="180"/>
      <c r="L957" s="180"/>
      <c r="M957" s="180"/>
      <c r="N957" s="180"/>
      <c r="O957" s="218"/>
      <c r="P957" s="180"/>
      <c r="Q957" s="188"/>
      <c r="R957" s="180"/>
      <c r="S957" s="180"/>
      <c r="T957" s="180"/>
      <c r="U957" s="180"/>
      <c r="V957" s="180"/>
      <c r="W957" s="180"/>
      <c r="X957" s="201"/>
      <c r="AJ957" s="149" t="str">
        <f>IF('Cable Info'!L817="","",CONCATENATE('Cable Info'!L817," - ",'Cable Info'!M817))</f>
        <v/>
      </c>
      <c r="AM957" s="149" t="str">
        <f t="shared" si="108"/>
        <v/>
      </c>
      <c r="AO957" s="149" t="str">
        <f>IF('Cable Info'!N817="","",CONCATENATE('Cable Info'!N817," - ",'Cable Info'!O817))</f>
        <v/>
      </c>
      <c r="AR957" s="149" t="str">
        <f t="shared" si="109"/>
        <v/>
      </c>
      <c r="AT957" s="149" t="str">
        <f>IF('Cable Info'!P817="","",CONCATENATE('Cable Info'!P817," - ",'Cable Info'!Q817))</f>
        <v/>
      </c>
      <c r="AW957" s="149" t="str">
        <f t="shared" si="110"/>
        <v/>
      </c>
      <c r="AY957" s="149" t="str">
        <f>IF('Cable Info'!R817="","",CONCATENATE('Cable Info'!R817," - ",'Cable Info'!S817))</f>
        <v/>
      </c>
      <c r="BB957" s="149" t="str">
        <f t="shared" si="111"/>
        <v/>
      </c>
      <c r="BD957" s="149" t="str">
        <f>IF('Cable Info'!T817="","",CONCATENATE('Cable Info'!T817," - ",'Cable Info'!U817))</f>
        <v/>
      </c>
      <c r="BG957" s="149" t="str">
        <f t="shared" si="112"/>
        <v/>
      </c>
      <c r="BI957" s="149" t="str">
        <f>IF('Cable Info'!V817="","",CONCATENATE('Cable Info'!V817," - ",'Cable Info'!W817))</f>
        <v/>
      </c>
      <c r="BL957" s="149" t="str">
        <f t="shared" si="113"/>
        <v/>
      </c>
    </row>
    <row r="958" spans="1:64" x14ac:dyDescent="0.2">
      <c r="A958" s="180"/>
      <c r="B958" s="180"/>
      <c r="C958" s="180"/>
      <c r="D958" s="180"/>
      <c r="E958" s="180"/>
      <c r="F958" s="187"/>
      <c r="G958" s="180"/>
      <c r="H958" s="180"/>
      <c r="I958" s="180"/>
      <c r="J958" s="187"/>
      <c r="K958" s="180"/>
      <c r="L958" s="180"/>
      <c r="M958" s="180"/>
      <c r="N958" s="180"/>
      <c r="O958" s="218"/>
      <c r="P958" s="180"/>
      <c r="Q958" s="188"/>
      <c r="R958" s="180"/>
      <c r="S958" s="180"/>
      <c r="T958" s="180"/>
      <c r="U958" s="180"/>
      <c r="V958" s="180"/>
      <c r="W958" s="180"/>
      <c r="X958" s="201"/>
      <c r="AJ958" s="149" t="str">
        <f>IF('Cable Info'!L818="","",CONCATENATE('Cable Info'!L818," - ",'Cable Info'!M818))</f>
        <v/>
      </c>
      <c r="AM958" s="149" t="str">
        <f t="shared" si="108"/>
        <v/>
      </c>
      <c r="AO958" s="149" t="str">
        <f>IF('Cable Info'!N818="","",CONCATENATE('Cable Info'!N818," - ",'Cable Info'!O818))</f>
        <v/>
      </c>
      <c r="AR958" s="149" t="str">
        <f t="shared" si="109"/>
        <v/>
      </c>
      <c r="AT958" s="149" t="str">
        <f>IF('Cable Info'!P818="","",CONCATENATE('Cable Info'!P818," - ",'Cable Info'!Q818))</f>
        <v/>
      </c>
      <c r="AW958" s="149" t="str">
        <f t="shared" si="110"/>
        <v/>
      </c>
      <c r="AY958" s="149" t="str">
        <f>IF('Cable Info'!R818="","",CONCATENATE('Cable Info'!R818," - ",'Cable Info'!S818))</f>
        <v/>
      </c>
      <c r="BB958" s="149" t="str">
        <f t="shared" si="111"/>
        <v/>
      </c>
      <c r="BD958" s="149" t="str">
        <f>IF('Cable Info'!T818="","",CONCATENATE('Cable Info'!T818," - ",'Cable Info'!U818))</f>
        <v/>
      </c>
      <c r="BG958" s="149" t="str">
        <f t="shared" si="112"/>
        <v/>
      </c>
      <c r="BI958" s="149" t="str">
        <f>IF('Cable Info'!V818="","",CONCATENATE('Cable Info'!V818," - ",'Cable Info'!W818))</f>
        <v/>
      </c>
      <c r="BL958" s="149" t="str">
        <f t="shared" si="113"/>
        <v/>
      </c>
    </row>
    <row r="959" spans="1:64" x14ac:dyDescent="0.2">
      <c r="A959" s="180"/>
      <c r="B959" s="180"/>
      <c r="C959" s="180"/>
      <c r="D959" s="180"/>
      <c r="E959" s="180"/>
      <c r="F959" s="187"/>
      <c r="G959" s="180"/>
      <c r="H959" s="180"/>
      <c r="I959" s="180"/>
      <c r="J959" s="187"/>
      <c r="K959" s="180"/>
      <c r="L959" s="180"/>
      <c r="M959" s="180"/>
      <c r="N959" s="180"/>
      <c r="O959" s="218"/>
      <c r="P959" s="180"/>
      <c r="Q959" s="188"/>
      <c r="R959" s="180"/>
      <c r="S959" s="180"/>
      <c r="T959" s="180"/>
      <c r="U959" s="180"/>
      <c r="V959" s="180"/>
      <c r="W959" s="180"/>
      <c r="X959" s="201"/>
      <c r="AJ959" s="149" t="str">
        <f>IF('Cable Info'!L819="","",CONCATENATE('Cable Info'!L819," - ",'Cable Info'!M819))</f>
        <v/>
      </c>
      <c r="AM959" s="149" t="str">
        <f t="shared" si="108"/>
        <v/>
      </c>
      <c r="AO959" s="149" t="str">
        <f>IF('Cable Info'!N819="","",CONCATENATE('Cable Info'!N819," - ",'Cable Info'!O819))</f>
        <v/>
      </c>
      <c r="AR959" s="149" t="str">
        <f t="shared" si="109"/>
        <v/>
      </c>
      <c r="AT959" s="149" t="str">
        <f>IF('Cable Info'!P819="","",CONCATENATE('Cable Info'!P819," - ",'Cable Info'!Q819))</f>
        <v/>
      </c>
      <c r="AW959" s="149" t="str">
        <f t="shared" si="110"/>
        <v/>
      </c>
      <c r="AY959" s="149" t="str">
        <f>IF('Cable Info'!R819="","",CONCATENATE('Cable Info'!R819," - ",'Cable Info'!S819))</f>
        <v/>
      </c>
      <c r="BB959" s="149" t="str">
        <f t="shared" si="111"/>
        <v/>
      </c>
      <c r="BD959" s="149" t="str">
        <f>IF('Cable Info'!T819="","",CONCATENATE('Cable Info'!T819," - ",'Cable Info'!U819))</f>
        <v/>
      </c>
      <c r="BG959" s="149" t="str">
        <f t="shared" si="112"/>
        <v/>
      </c>
      <c r="BI959" s="149" t="str">
        <f>IF('Cable Info'!V819="","",CONCATENATE('Cable Info'!V819," - ",'Cable Info'!W819))</f>
        <v/>
      </c>
      <c r="BL959" s="149" t="str">
        <f t="shared" si="113"/>
        <v/>
      </c>
    </row>
    <row r="960" spans="1:64" x14ac:dyDescent="0.2">
      <c r="A960" s="180"/>
      <c r="B960" s="180"/>
      <c r="C960" s="180"/>
      <c r="D960" s="180"/>
      <c r="E960" s="180"/>
      <c r="F960" s="187"/>
      <c r="G960" s="180"/>
      <c r="H960" s="180"/>
      <c r="I960" s="180"/>
      <c r="J960" s="187"/>
      <c r="K960" s="180"/>
      <c r="L960" s="180"/>
      <c r="M960" s="180"/>
      <c r="N960" s="180"/>
      <c r="O960" s="218"/>
      <c r="P960" s="180"/>
      <c r="Q960" s="188"/>
      <c r="R960" s="180"/>
      <c r="S960" s="180"/>
      <c r="T960" s="180"/>
      <c r="U960" s="180"/>
      <c r="V960" s="180"/>
      <c r="W960" s="180"/>
      <c r="X960" s="201"/>
      <c r="AJ960" s="149" t="str">
        <f>IF('Cable Info'!L820="","",CONCATENATE('Cable Info'!L820," - ",'Cable Info'!M820))</f>
        <v/>
      </c>
      <c r="AM960" s="149" t="str">
        <f t="shared" si="108"/>
        <v/>
      </c>
      <c r="AO960" s="149" t="str">
        <f>IF('Cable Info'!N820="","",CONCATENATE('Cable Info'!N820," - ",'Cable Info'!O820))</f>
        <v/>
      </c>
      <c r="AR960" s="149" t="str">
        <f t="shared" si="109"/>
        <v/>
      </c>
      <c r="AT960" s="149" t="str">
        <f>IF('Cable Info'!P820="","",CONCATENATE('Cable Info'!P820," - ",'Cable Info'!Q820))</f>
        <v/>
      </c>
      <c r="AW960" s="149" t="str">
        <f t="shared" si="110"/>
        <v/>
      </c>
      <c r="AY960" s="149" t="str">
        <f>IF('Cable Info'!R820="","",CONCATENATE('Cable Info'!R820," - ",'Cable Info'!S820))</f>
        <v/>
      </c>
      <c r="BB960" s="149" t="str">
        <f t="shared" si="111"/>
        <v/>
      </c>
      <c r="BD960" s="149" t="str">
        <f>IF('Cable Info'!T820="","",CONCATENATE('Cable Info'!T820," - ",'Cable Info'!U820))</f>
        <v/>
      </c>
      <c r="BG960" s="149" t="str">
        <f t="shared" si="112"/>
        <v/>
      </c>
      <c r="BI960" s="149" t="str">
        <f>IF('Cable Info'!V820="","",CONCATENATE('Cable Info'!V820," - ",'Cable Info'!W820))</f>
        <v/>
      </c>
      <c r="BL960" s="149" t="str">
        <f t="shared" si="113"/>
        <v/>
      </c>
    </row>
    <row r="961" spans="1:64" x14ac:dyDescent="0.2">
      <c r="A961" s="180"/>
      <c r="B961" s="180"/>
      <c r="C961" s="180"/>
      <c r="D961" s="180"/>
      <c r="E961" s="180"/>
      <c r="F961" s="187"/>
      <c r="G961" s="180"/>
      <c r="H961" s="180"/>
      <c r="I961" s="180"/>
      <c r="J961" s="187"/>
      <c r="K961" s="180"/>
      <c r="L961" s="180"/>
      <c r="M961" s="180"/>
      <c r="N961" s="180"/>
      <c r="O961" s="218"/>
      <c r="P961" s="180"/>
      <c r="Q961" s="188"/>
      <c r="R961" s="180"/>
      <c r="S961" s="180"/>
      <c r="T961" s="180"/>
      <c r="U961" s="180"/>
      <c r="V961" s="180"/>
      <c r="W961" s="180"/>
      <c r="X961" s="201"/>
      <c r="AJ961" s="149" t="str">
        <f>IF('Cable Info'!L821="","",CONCATENATE('Cable Info'!L821," - ",'Cable Info'!M821))</f>
        <v/>
      </c>
      <c r="AM961" s="149" t="str">
        <f t="shared" si="108"/>
        <v/>
      </c>
      <c r="AO961" s="149" t="str">
        <f>IF('Cable Info'!N821="","",CONCATENATE('Cable Info'!N821," - ",'Cable Info'!O821))</f>
        <v/>
      </c>
      <c r="AR961" s="149" t="str">
        <f t="shared" si="109"/>
        <v/>
      </c>
      <c r="AT961" s="149" t="str">
        <f>IF('Cable Info'!P821="","",CONCATENATE('Cable Info'!P821," - ",'Cable Info'!Q821))</f>
        <v/>
      </c>
      <c r="AW961" s="149" t="str">
        <f t="shared" si="110"/>
        <v/>
      </c>
      <c r="AY961" s="149" t="str">
        <f>IF('Cable Info'!R821="","",CONCATENATE('Cable Info'!R821," - ",'Cable Info'!S821))</f>
        <v/>
      </c>
      <c r="BB961" s="149" t="str">
        <f t="shared" si="111"/>
        <v/>
      </c>
      <c r="BD961" s="149" t="str">
        <f>IF('Cable Info'!T821="","",CONCATENATE('Cable Info'!T821," - ",'Cable Info'!U821))</f>
        <v/>
      </c>
      <c r="BG961" s="149" t="str">
        <f t="shared" si="112"/>
        <v/>
      </c>
      <c r="BI961" s="149" t="str">
        <f>IF('Cable Info'!V821="","",CONCATENATE('Cable Info'!V821," - ",'Cable Info'!W821))</f>
        <v/>
      </c>
      <c r="BL961" s="149" t="str">
        <f t="shared" si="113"/>
        <v/>
      </c>
    </row>
    <row r="962" spans="1:64" x14ac:dyDescent="0.2">
      <c r="A962" s="180"/>
      <c r="B962" s="180"/>
      <c r="C962" s="180"/>
      <c r="D962" s="180"/>
      <c r="E962" s="180"/>
      <c r="F962" s="187"/>
      <c r="G962" s="180"/>
      <c r="H962" s="180"/>
      <c r="I962" s="180"/>
      <c r="J962" s="187"/>
      <c r="K962" s="180"/>
      <c r="L962" s="180"/>
      <c r="M962" s="180"/>
      <c r="N962" s="180"/>
      <c r="O962" s="218"/>
      <c r="P962" s="180"/>
      <c r="Q962" s="188"/>
      <c r="R962" s="180"/>
      <c r="S962" s="180"/>
      <c r="T962" s="180"/>
      <c r="U962" s="180"/>
      <c r="V962" s="180"/>
      <c r="W962" s="180"/>
      <c r="X962" s="201"/>
      <c r="AJ962" s="149" t="str">
        <f>IF('Cable Info'!L822="","",CONCATENATE('Cable Info'!L822," - ",'Cable Info'!M822))</f>
        <v/>
      </c>
      <c r="AM962" s="149" t="str">
        <f t="shared" si="108"/>
        <v/>
      </c>
      <c r="AO962" s="149" t="str">
        <f>IF('Cable Info'!N822="","",CONCATENATE('Cable Info'!N822," - ",'Cable Info'!O822))</f>
        <v/>
      </c>
      <c r="AR962" s="149" t="str">
        <f t="shared" si="109"/>
        <v/>
      </c>
      <c r="AT962" s="149" t="str">
        <f>IF('Cable Info'!P822="","",CONCATENATE('Cable Info'!P822," - ",'Cable Info'!Q822))</f>
        <v/>
      </c>
      <c r="AW962" s="149" t="str">
        <f t="shared" si="110"/>
        <v/>
      </c>
      <c r="AY962" s="149" t="str">
        <f>IF('Cable Info'!R822="","",CONCATENATE('Cable Info'!R822," - ",'Cable Info'!S822))</f>
        <v/>
      </c>
      <c r="BB962" s="149" t="str">
        <f t="shared" si="111"/>
        <v/>
      </c>
      <c r="BD962" s="149" t="str">
        <f>IF('Cable Info'!T822="","",CONCATENATE('Cable Info'!T822," - ",'Cable Info'!U822))</f>
        <v/>
      </c>
      <c r="BG962" s="149" t="str">
        <f t="shared" si="112"/>
        <v/>
      </c>
      <c r="BI962" s="149" t="str">
        <f>IF('Cable Info'!V822="","",CONCATENATE('Cable Info'!V822," - ",'Cable Info'!W822))</f>
        <v/>
      </c>
      <c r="BL962" s="149" t="str">
        <f t="shared" si="113"/>
        <v/>
      </c>
    </row>
    <row r="963" spans="1:64" x14ac:dyDescent="0.2">
      <c r="A963" s="180"/>
      <c r="B963" s="180"/>
      <c r="C963" s="180"/>
      <c r="D963" s="180"/>
      <c r="E963" s="180"/>
      <c r="F963" s="187"/>
      <c r="G963" s="180"/>
      <c r="H963" s="180"/>
      <c r="I963" s="180"/>
      <c r="J963" s="187"/>
      <c r="K963" s="180"/>
      <c r="L963" s="180"/>
      <c r="M963" s="180"/>
      <c r="N963" s="180"/>
      <c r="O963" s="218"/>
      <c r="P963" s="180"/>
      <c r="Q963" s="188"/>
      <c r="R963" s="180"/>
      <c r="S963" s="180"/>
      <c r="T963" s="180"/>
      <c r="U963" s="180"/>
      <c r="V963" s="180"/>
      <c r="W963" s="180"/>
      <c r="X963" s="201"/>
      <c r="AJ963" s="149" t="str">
        <f>IF('Cable Info'!L823="","",CONCATENATE('Cable Info'!L823," - ",'Cable Info'!M823))</f>
        <v/>
      </c>
      <c r="AM963" s="149" t="str">
        <f t="shared" si="108"/>
        <v/>
      </c>
      <c r="AO963" s="149" t="str">
        <f>IF('Cable Info'!N823="","",CONCATENATE('Cable Info'!N823," - ",'Cable Info'!O823))</f>
        <v/>
      </c>
      <c r="AR963" s="149" t="str">
        <f t="shared" si="109"/>
        <v/>
      </c>
      <c r="AT963" s="149" t="str">
        <f>IF('Cable Info'!P823="","",CONCATENATE('Cable Info'!P823," - ",'Cable Info'!Q823))</f>
        <v/>
      </c>
      <c r="AW963" s="149" t="str">
        <f t="shared" si="110"/>
        <v/>
      </c>
      <c r="AY963" s="149" t="str">
        <f>IF('Cable Info'!R823="","",CONCATENATE('Cable Info'!R823," - ",'Cable Info'!S823))</f>
        <v/>
      </c>
      <c r="BB963" s="149" t="str">
        <f t="shared" si="111"/>
        <v/>
      </c>
      <c r="BD963" s="149" t="str">
        <f>IF('Cable Info'!T823="","",CONCATENATE('Cable Info'!T823," - ",'Cable Info'!U823))</f>
        <v/>
      </c>
      <c r="BG963" s="149" t="str">
        <f t="shared" si="112"/>
        <v/>
      </c>
      <c r="BI963" s="149" t="str">
        <f>IF('Cable Info'!V823="","",CONCATENATE('Cable Info'!V823," - ",'Cable Info'!W823))</f>
        <v/>
      </c>
      <c r="BL963" s="149" t="str">
        <f t="shared" si="113"/>
        <v/>
      </c>
    </row>
    <row r="964" spans="1:64" x14ac:dyDescent="0.2">
      <c r="A964" s="180"/>
      <c r="B964" s="180"/>
      <c r="C964" s="180"/>
      <c r="D964" s="180"/>
      <c r="E964" s="180"/>
      <c r="F964" s="187"/>
      <c r="G964" s="180"/>
      <c r="H964" s="180"/>
      <c r="I964" s="180"/>
      <c r="J964" s="187"/>
      <c r="K964" s="180"/>
      <c r="L964" s="180"/>
      <c r="M964" s="180"/>
      <c r="N964" s="180"/>
      <c r="O964" s="218"/>
      <c r="P964" s="180"/>
      <c r="Q964" s="188"/>
      <c r="R964" s="180"/>
      <c r="S964" s="180"/>
      <c r="T964" s="180"/>
      <c r="U964" s="180"/>
      <c r="V964" s="180"/>
      <c r="W964" s="180"/>
      <c r="X964" s="201"/>
      <c r="AJ964" s="149" t="str">
        <f>IF('Cable Info'!L824="","",CONCATENATE('Cable Info'!L824," - ",'Cable Info'!M824))</f>
        <v/>
      </c>
      <c r="AM964" s="149" t="str">
        <f t="shared" si="108"/>
        <v/>
      </c>
      <c r="AO964" s="149" t="str">
        <f>IF('Cable Info'!N824="","",CONCATENATE('Cable Info'!N824," - ",'Cable Info'!O824))</f>
        <v/>
      </c>
      <c r="AR964" s="149" t="str">
        <f t="shared" si="109"/>
        <v/>
      </c>
      <c r="AT964" s="149" t="str">
        <f>IF('Cable Info'!P824="","",CONCATENATE('Cable Info'!P824," - ",'Cable Info'!Q824))</f>
        <v/>
      </c>
      <c r="AW964" s="149" t="str">
        <f t="shared" si="110"/>
        <v/>
      </c>
      <c r="AY964" s="149" t="str">
        <f>IF('Cable Info'!R824="","",CONCATENATE('Cable Info'!R824," - ",'Cable Info'!S824))</f>
        <v/>
      </c>
      <c r="BB964" s="149" t="str">
        <f t="shared" si="111"/>
        <v/>
      </c>
      <c r="BD964" s="149" t="str">
        <f>IF('Cable Info'!T824="","",CONCATENATE('Cable Info'!T824," - ",'Cable Info'!U824))</f>
        <v/>
      </c>
      <c r="BG964" s="149" t="str">
        <f t="shared" si="112"/>
        <v/>
      </c>
      <c r="BI964" s="149" t="str">
        <f>IF('Cable Info'!V824="","",CONCATENATE('Cable Info'!V824," - ",'Cable Info'!W824))</f>
        <v/>
      </c>
      <c r="BL964" s="149" t="str">
        <f t="shared" si="113"/>
        <v/>
      </c>
    </row>
    <row r="965" spans="1:64" x14ac:dyDescent="0.2">
      <c r="A965" s="180"/>
      <c r="B965" s="180"/>
      <c r="C965" s="180"/>
      <c r="D965" s="180"/>
      <c r="E965" s="180"/>
      <c r="F965" s="187"/>
      <c r="G965" s="180"/>
      <c r="H965" s="180"/>
      <c r="I965" s="180"/>
      <c r="J965" s="187"/>
      <c r="K965" s="180"/>
      <c r="L965" s="180"/>
      <c r="M965" s="180"/>
      <c r="N965" s="180"/>
      <c r="O965" s="218"/>
      <c r="P965" s="180"/>
      <c r="Q965" s="188"/>
      <c r="R965" s="180"/>
      <c r="S965" s="180"/>
      <c r="T965" s="180"/>
      <c r="U965" s="180"/>
      <c r="V965" s="180"/>
      <c r="W965" s="180"/>
      <c r="X965" s="201"/>
      <c r="AJ965" s="149" t="str">
        <f>IF('Cable Info'!L825="","",CONCATENATE('Cable Info'!L825," - ",'Cable Info'!M825))</f>
        <v/>
      </c>
      <c r="AM965" s="149" t="str">
        <f t="shared" si="108"/>
        <v/>
      </c>
      <c r="AO965" s="149" t="str">
        <f>IF('Cable Info'!N825="","",CONCATENATE('Cable Info'!N825," - ",'Cable Info'!O825))</f>
        <v/>
      </c>
      <c r="AR965" s="149" t="str">
        <f t="shared" si="109"/>
        <v/>
      </c>
      <c r="AT965" s="149" t="str">
        <f>IF('Cable Info'!P825="","",CONCATENATE('Cable Info'!P825," - ",'Cable Info'!Q825))</f>
        <v/>
      </c>
      <c r="AW965" s="149" t="str">
        <f t="shared" si="110"/>
        <v/>
      </c>
      <c r="AY965" s="149" t="str">
        <f>IF('Cable Info'!R825="","",CONCATENATE('Cable Info'!R825," - ",'Cable Info'!S825))</f>
        <v/>
      </c>
      <c r="BB965" s="149" t="str">
        <f t="shared" si="111"/>
        <v/>
      </c>
      <c r="BD965" s="149" t="str">
        <f>IF('Cable Info'!T825="","",CONCATENATE('Cable Info'!T825," - ",'Cable Info'!U825))</f>
        <v/>
      </c>
      <c r="BG965" s="149" t="str">
        <f t="shared" si="112"/>
        <v/>
      </c>
      <c r="BI965" s="149" t="str">
        <f>IF('Cable Info'!V825="","",CONCATENATE('Cable Info'!V825," - ",'Cable Info'!W825))</f>
        <v/>
      </c>
      <c r="BL965" s="149" t="str">
        <f t="shared" si="113"/>
        <v/>
      </c>
    </row>
    <row r="966" spans="1:64" x14ac:dyDescent="0.2">
      <c r="A966" s="180"/>
      <c r="B966" s="180"/>
      <c r="C966" s="180"/>
      <c r="D966" s="180"/>
      <c r="E966" s="180"/>
      <c r="F966" s="187"/>
      <c r="G966" s="180"/>
      <c r="H966" s="180"/>
      <c r="I966" s="180"/>
      <c r="J966" s="187"/>
      <c r="K966" s="180"/>
      <c r="L966" s="180"/>
      <c r="M966" s="180"/>
      <c r="N966" s="180"/>
      <c r="O966" s="218"/>
      <c r="P966" s="180"/>
      <c r="Q966" s="188"/>
      <c r="R966" s="180"/>
      <c r="S966" s="180"/>
      <c r="T966" s="180"/>
      <c r="U966" s="180"/>
      <c r="V966" s="180"/>
      <c r="W966" s="180"/>
      <c r="X966" s="201"/>
      <c r="AJ966" s="149" t="str">
        <f>IF('Cable Info'!L826="","",CONCATENATE('Cable Info'!L826," - ",'Cable Info'!M826))</f>
        <v/>
      </c>
      <c r="AM966" s="149" t="str">
        <f t="shared" si="108"/>
        <v/>
      </c>
      <c r="AO966" s="149" t="str">
        <f>IF('Cable Info'!N826="","",CONCATENATE('Cable Info'!N826," - ",'Cable Info'!O826))</f>
        <v/>
      </c>
      <c r="AR966" s="149" t="str">
        <f t="shared" si="109"/>
        <v/>
      </c>
      <c r="AT966" s="149" t="str">
        <f>IF('Cable Info'!P826="","",CONCATENATE('Cable Info'!P826," - ",'Cable Info'!Q826))</f>
        <v/>
      </c>
      <c r="AW966" s="149" t="str">
        <f t="shared" si="110"/>
        <v/>
      </c>
      <c r="AY966" s="149" t="str">
        <f>IF('Cable Info'!R826="","",CONCATENATE('Cable Info'!R826," - ",'Cable Info'!S826))</f>
        <v/>
      </c>
      <c r="BB966" s="149" t="str">
        <f t="shared" si="111"/>
        <v/>
      </c>
      <c r="BD966" s="149" t="str">
        <f>IF('Cable Info'!T826="","",CONCATENATE('Cable Info'!T826," - ",'Cable Info'!U826))</f>
        <v/>
      </c>
      <c r="BG966" s="149" t="str">
        <f t="shared" si="112"/>
        <v/>
      </c>
      <c r="BI966" s="149" t="str">
        <f>IF('Cable Info'!V826="","",CONCATENATE('Cable Info'!V826," - ",'Cable Info'!W826))</f>
        <v/>
      </c>
      <c r="BL966" s="149" t="str">
        <f t="shared" si="113"/>
        <v/>
      </c>
    </row>
    <row r="967" spans="1:64" x14ac:dyDescent="0.2">
      <c r="A967" s="180"/>
      <c r="B967" s="180"/>
      <c r="C967" s="180"/>
      <c r="D967" s="180"/>
      <c r="E967" s="180"/>
      <c r="F967" s="187"/>
      <c r="G967" s="180"/>
      <c r="H967" s="180"/>
      <c r="I967" s="180"/>
      <c r="J967" s="187"/>
      <c r="K967" s="180"/>
      <c r="L967" s="180"/>
      <c r="M967" s="180"/>
      <c r="N967" s="180"/>
      <c r="O967" s="218"/>
      <c r="P967" s="180"/>
      <c r="Q967" s="188"/>
      <c r="R967" s="180"/>
      <c r="S967" s="180"/>
      <c r="T967" s="180"/>
      <c r="U967" s="180"/>
      <c r="V967" s="180"/>
      <c r="W967" s="180"/>
      <c r="X967" s="201"/>
      <c r="AJ967" s="149" t="str">
        <f>IF('Cable Info'!L827="","",CONCATENATE('Cable Info'!L827," - ",'Cable Info'!M827))</f>
        <v/>
      </c>
      <c r="AM967" s="149" t="str">
        <f t="shared" si="108"/>
        <v/>
      </c>
      <c r="AO967" s="149" t="str">
        <f>IF('Cable Info'!N827="","",CONCATENATE('Cable Info'!N827," - ",'Cable Info'!O827))</f>
        <v/>
      </c>
      <c r="AR967" s="149" t="str">
        <f t="shared" si="109"/>
        <v/>
      </c>
      <c r="AT967" s="149" t="str">
        <f>IF('Cable Info'!P827="","",CONCATENATE('Cable Info'!P827," - ",'Cable Info'!Q827))</f>
        <v/>
      </c>
      <c r="AW967" s="149" t="str">
        <f t="shared" si="110"/>
        <v/>
      </c>
      <c r="AY967" s="149" t="str">
        <f>IF('Cable Info'!R827="","",CONCATENATE('Cable Info'!R827," - ",'Cable Info'!S827))</f>
        <v/>
      </c>
      <c r="BB967" s="149" t="str">
        <f t="shared" si="111"/>
        <v/>
      </c>
      <c r="BD967" s="149" t="str">
        <f>IF('Cable Info'!T827="","",CONCATENATE('Cable Info'!T827," - ",'Cable Info'!U827))</f>
        <v/>
      </c>
      <c r="BG967" s="149" t="str">
        <f t="shared" si="112"/>
        <v/>
      </c>
      <c r="BI967" s="149" t="str">
        <f>IF('Cable Info'!V827="","",CONCATENATE('Cable Info'!V827," - ",'Cable Info'!W827))</f>
        <v/>
      </c>
      <c r="BL967" s="149" t="str">
        <f t="shared" si="113"/>
        <v/>
      </c>
    </row>
    <row r="968" spans="1:64" x14ac:dyDescent="0.2">
      <c r="A968" s="180"/>
      <c r="B968" s="180"/>
      <c r="C968" s="180"/>
      <c r="D968" s="180"/>
      <c r="E968" s="180"/>
      <c r="F968" s="187"/>
      <c r="G968" s="180"/>
      <c r="H968" s="180"/>
      <c r="I968" s="180"/>
      <c r="J968" s="187"/>
      <c r="K968" s="180"/>
      <c r="L968" s="180"/>
      <c r="M968" s="180"/>
      <c r="N968" s="180"/>
      <c r="O968" s="218"/>
      <c r="P968" s="180"/>
      <c r="Q968" s="188"/>
      <c r="R968" s="180"/>
      <c r="S968" s="180"/>
      <c r="T968" s="180"/>
      <c r="U968" s="180"/>
      <c r="V968" s="180"/>
      <c r="W968" s="180"/>
      <c r="X968" s="201"/>
      <c r="AJ968" s="149" t="str">
        <f>IF('Cable Info'!L828="","",CONCATENATE('Cable Info'!L828," - ",'Cable Info'!M828))</f>
        <v/>
      </c>
      <c r="AM968" s="149" t="str">
        <f t="shared" si="108"/>
        <v/>
      </c>
      <c r="AO968" s="149" t="str">
        <f>IF('Cable Info'!N828="","",CONCATENATE('Cable Info'!N828," - ",'Cable Info'!O828))</f>
        <v/>
      </c>
      <c r="AR968" s="149" t="str">
        <f t="shared" si="109"/>
        <v/>
      </c>
      <c r="AT968" s="149" t="str">
        <f>IF('Cable Info'!P828="","",CONCATENATE('Cable Info'!P828," - ",'Cable Info'!Q828))</f>
        <v/>
      </c>
      <c r="AW968" s="149" t="str">
        <f t="shared" si="110"/>
        <v/>
      </c>
      <c r="AY968" s="149" t="str">
        <f>IF('Cable Info'!R828="","",CONCATENATE('Cable Info'!R828," - ",'Cable Info'!S828))</f>
        <v/>
      </c>
      <c r="BB968" s="149" t="str">
        <f t="shared" si="111"/>
        <v/>
      </c>
      <c r="BD968" s="149" t="str">
        <f>IF('Cable Info'!T828="","",CONCATENATE('Cable Info'!T828," - ",'Cable Info'!U828))</f>
        <v/>
      </c>
      <c r="BG968" s="149" t="str">
        <f t="shared" si="112"/>
        <v/>
      </c>
      <c r="BI968" s="149" t="str">
        <f>IF('Cable Info'!V828="","",CONCATENATE('Cable Info'!V828," - ",'Cable Info'!W828))</f>
        <v/>
      </c>
      <c r="BL968" s="149" t="str">
        <f t="shared" si="113"/>
        <v/>
      </c>
    </row>
    <row r="969" spans="1:64" x14ac:dyDescent="0.2">
      <c r="A969" s="180"/>
      <c r="B969" s="180"/>
      <c r="C969" s="180"/>
      <c r="D969" s="180"/>
      <c r="E969" s="180"/>
      <c r="F969" s="187"/>
      <c r="G969" s="180"/>
      <c r="H969" s="180"/>
      <c r="I969" s="180"/>
      <c r="J969" s="187"/>
      <c r="K969" s="180"/>
      <c r="L969" s="180"/>
      <c r="M969" s="180"/>
      <c r="N969" s="180"/>
      <c r="O969" s="218"/>
      <c r="P969" s="180"/>
      <c r="Q969" s="188"/>
      <c r="R969" s="180"/>
      <c r="S969" s="180"/>
      <c r="T969" s="180"/>
      <c r="U969" s="180"/>
      <c r="V969" s="180"/>
      <c r="W969" s="180"/>
      <c r="X969" s="201"/>
      <c r="AJ969" s="149" t="str">
        <f>IF('Cable Info'!L829="","",CONCATENATE('Cable Info'!L829," - ",'Cable Info'!M829))</f>
        <v/>
      </c>
      <c r="AM969" s="149" t="str">
        <f t="shared" si="108"/>
        <v/>
      </c>
      <c r="AO969" s="149" t="str">
        <f>IF('Cable Info'!N829="","",CONCATENATE('Cable Info'!N829," - ",'Cable Info'!O829))</f>
        <v/>
      </c>
      <c r="AR969" s="149" t="str">
        <f t="shared" si="109"/>
        <v/>
      </c>
      <c r="AT969" s="149" t="str">
        <f>IF('Cable Info'!P829="","",CONCATENATE('Cable Info'!P829," - ",'Cable Info'!Q829))</f>
        <v/>
      </c>
      <c r="AW969" s="149" t="str">
        <f t="shared" si="110"/>
        <v/>
      </c>
      <c r="AY969" s="149" t="str">
        <f>IF('Cable Info'!R829="","",CONCATENATE('Cable Info'!R829," - ",'Cable Info'!S829))</f>
        <v/>
      </c>
      <c r="BB969" s="149" t="str">
        <f t="shared" si="111"/>
        <v/>
      </c>
      <c r="BD969" s="149" t="str">
        <f>IF('Cable Info'!T829="","",CONCATENATE('Cable Info'!T829," - ",'Cable Info'!U829))</f>
        <v/>
      </c>
      <c r="BG969" s="149" t="str">
        <f t="shared" si="112"/>
        <v/>
      </c>
      <c r="BI969" s="149" t="str">
        <f>IF('Cable Info'!V829="","",CONCATENATE('Cable Info'!V829," - ",'Cable Info'!W829))</f>
        <v/>
      </c>
      <c r="BL969" s="149" t="str">
        <f t="shared" si="113"/>
        <v/>
      </c>
    </row>
    <row r="970" spans="1:64" x14ac:dyDescent="0.2">
      <c r="A970" s="180"/>
      <c r="B970" s="180"/>
      <c r="C970" s="180"/>
      <c r="D970" s="180"/>
      <c r="E970" s="180"/>
      <c r="F970" s="187"/>
      <c r="G970" s="180"/>
      <c r="H970" s="180"/>
      <c r="I970" s="180"/>
      <c r="J970" s="187"/>
      <c r="K970" s="180"/>
      <c r="L970" s="180"/>
      <c r="M970" s="180"/>
      <c r="N970" s="180"/>
      <c r="O970" s="218"/>
      <c r="P970" s="180"/>
      <c r="Q970" s="188"/>
      <c r="R970" s="180"/>
      <c r="S970" s="180"/>
      <c r="T970" s="180"/>
      <c r="U970" s="180"/>
      <c r="V970" s="180"/>
      <c r="W970" s="180"/>
      <c r="X970" s="201"/>
      <c r="AJ970" s="149" t="str">
        <f>IF('Cable Info'!L830="","",CONCATENATE('Cable Info'!L830," - ",'Cable Info'!M830))</f>
        <v/>
      </c>
      <c r="AM970" s="149" t="str">
        <f t="shared" si="108"/>
        <v/>
      </c>
      <c r="AO970" s="149" t="str">
        <f>IF('Cable Info'!N830="","",CONCATENATE('Cable Info'!N830," - ",'Cable Info'!O830))</f>
        <v/>
      </c>
      <c r="AR970" s="149" t="str">
        <f t="shared" si="109"/>
        <v/>
      </c>
      <c r="AT970" s="149" t="str">
        <f>IF('Cable Info'!P830="","",CONCATENATE('Cable Info'!P830," - ",'Cable Info'!Q830))</f>
        <v/>
      </c>
      <c r="AW970" s="149" t="str">
        <f t="shared" si="110"/>
        <v/>
      </c>
      <c r="AY970" s="149" t="str">
        <f>IF('Cable Info'!R830="","",CONCATENATE('Cable Info'!R830," - ",'Cable Info'!S830))</f>
        <v/>
      </c>
      <c r="BB970" s="149" t="str">
        <f t="shared" si="111"/>
        <v/>
      </c>
      <c r="BD970" s="149" t="str">
        <f>IF('Cable Info'!T830="","",CONCATENATE('Cable Info'!T830," - ",'Cable Info'!U830))</f>
        <v/>
      </c>
      <c r="BG970" s="149" t="str">
        <f t="shared" si="112"/>
        <v/>
      </c>
      <c r="BI970" s="149" t="str">
        <f>IF('Cable Info'!V830="","",CONCATENATE('Cable Info'!V830," - ",'Cable Info'!W830))</f>
        <v/>
      </c>
      <c r="BL970" s="149" t="str">
        <f t="shared" si="113"/>
        <v/>
      </c>
    </row>
    <row r="971" spans="1:64" x14ac:dyDescent="0.2">
      <c r="A971" s="180"/>
      <c r="B971" s="180"/>
      <c r="C971" s="180"/>
      <c r="D971" s="180"/>
      <c r="E971" s="180"/>
      <c r="F971" s="187"/>
      <c r="G971" s="180"/>
      <c r="H971" s="180"/>
      <c r="I971" s="180"/>
      <c r="J971" s="187"/>
      <c r="K971" s="180"/>
      <c r="L971" s="180"/>
      <c r="M971" s="180"/>
      <c r="N971" s="180"/>
      <c r="O971" s="218"/>
      <c r="P971" s="180"/>
      <c r="Q971" s="188"/>
      <c r="R971" s="180"/>
      <c r="S971" s="180"/>
      <c r="T971" s="180"/>
      <c r="U971" s="180"/>
      <c r="V971" s="180"/>
      <c r="W971" s="180"/>
      <c r="X971" s="201"/>
      <c r="AJ971" s="149" t="str">
        <f>IF('Cable Info'!L831="","",CONCATENATE('Cable Info'!L831," - ",'Cable Info'!M831))</f>
        <v/>
      </c>
      <c r="AM971" s="149" t="str">
        <f t="shared" si="108"/>
        <v/>
      </c>
      <c r="AO971" s="149" t="str">
        <f>IF('Cable Info'!N831="","",CONCATENATE('Cable Info'!N831," - ",'Cable Info'!O831))</f>
        <v/>
      </c>
      <c r="AR971" s="149" t="str">
        <f t="shared" si="109"/>
        <v/>
      </c>
      <c r="AT971" s="149" t="str">
        <f>IF('Cable Info'!P831="","",CONCATENATE('Cable Info'!P831," - ",'Cable Info'!Q831))</f>
        <v/>
      </c>
      <c r="AW971" s="149" t="str">
        <f t="shared" si="110"/>
        <v/>
      </c>
      <c r="AY971" s="149" t="str">
        <f>IF('Cable Info'!R831="","",CONCATENATE('Cable Info'!R831," - ",'Cable Info'!S831))</f>
        <v/>
      </c>
      <c r="BB971" s="149" t="str">
        <f t="shared" si="111"/>
        <v/>
      </c>
      <c r="BD971" s="149" t="str">
        <f>IF('Cable Info'!T831="","",CONCATENATE('Cable Info'!T831," - ",'Cable Info'!U831))</f>
        <v/>
      </c>
      <c r="BG971" s="149" t="str">
        <f t="shared" si="112"/>
        <v/>
      </c>
      <c r="BI971" s="149" t="str">
        <f>IF('Cable Info'!V831="","",CONCATENATE('Cable Info'!V831," - ",'Cable Info'!W831))</f>
        <v/>
      </c>
      <c r="BL971" s="149" t="str">
        <f t="shared" si="113"/>
        <v/>
      </c>
    </row>
    <row r="972" spans="1:64" x14ac:dyDescent="0.2">
      <c r="A972" s="180"/>
      <c r="B972" s="180"/>
      <c r="C972" s="180"/>
      <c r="D972" s="180"/>
      <c r="E972" s="180"/>
      <c r="F972" s="187"/>
      <c r="G972" s="180"/>
      <c r="H972" s="180"/>
      <c r="I972" s="180"/>
      <c r="J972" s="187"/>
      <c r="K972" s="180"/>
      <c r="L972" s="180"/>
      <c r="M972" s="180"/>
      <c r="N972" s="180"/>
      <c r="O972" s="218"/>
      <c r="P972" s="180"/>
      <c r="Q972" s="188"/>
      <c r="R972" s="180"/>
      <c r="S972" s="180"/>
      <c r="T972" s="180"/>
      <c r="U972" s="180"/>
      <c r="V972" s="180"/>
      <c r="W972" s="180"/>
      <c r="X972" s="201"/>
      <c r="AJ972" s="149" t="str">
        <f>IF('Cable Info'!L832="","",CONCATENATE('Cable Info'!L832," - ",'Cable Info'!M832))</f>
        <v/>
      </c>
      <c r="AM972" s="149" t="str">
        <f t="shared" si="108"/>
        <v/>
      </c>
      <c r="AO972" s="149" t="str">
        <f>IF('Cable Info'!N832="","",CONCATENATE('Cable Info'!N832," - ",'Cable Info'!O832))</f>
        <v/>
      </c>
      <c r="AR972" s="149" t="str">
        <f t="shared" si="109"/>
        <v/>
      </c>
      <c r="AT972" s="149" t="str">
        <f>IF('Cable Info'!P832="","",CONCATENATE('Cable Info'!P832," - ",'Cable Info'!Q832))</f>
        <v/>
      </c>
      <c r="AW972" s="149" t="str">
        <f t="shared" si="110"/>
        <v/>
      </c>
      <c r="AY972" s="149" t="str">
        <f>IF('Cable Info'!R832="","",CONCATENATE('Cable Info'!R832," - ",'Cable Info'!S832))</f>
        <v/>
      </c>
      <c r="BB972" s="149" t="str">
        <f t="shared" si="111"/>
        <v/>
      </c>
      <c r="BD972" s="149" t="str">
        <f>IF('Cable Info'!T832="","",CONCATENATE('Cable Info'!T832," - ",'Cable Info'!U832))</f>
        <v/>
      </c>
      <c r="BG972" s="149" t="str">
        <f t="shared" si="112"/>
        <v/>
      </c>
      <c r="BI972" s="149" t="str">
        <f>IF('Cable Info'!V832="","",CONCATENATE('Cable Info'!V832," - ",'Cable Info'!W832))</f>
        <v/>
      </c>
      <c r="BL972" s="149" t="str">
        <f t="shared" si="113"/>
        <v/>
      </c>
    </row>
    <row r="973" spans="1:64" x14ac:dyDescent="0.2">
      <c r="A973" s="180"/>
      <c r="B973" s="180"/>
      <c r="C973" s="180"/>
      <c r="D973" s="180"/>
      <c r="E973" s="180"/>
      <c r="F973" s="187"/>
      <c r="G973" s="180"/>
      <c r="H973" s="180"/>
      <c r="I973" s="180"/>
      <c r="J973" s="187"/>
      <c r="K973" s="180"/>
      <c r="L973" s="180"/>
      <c r="M973" s="180"/>
      <c r="N973" s="180"/>
      <c r="O973" s="218"/>
      <c r="P973" s="180"/>
      <c r="Q973" s="188"/>
      <c r="R973" s="180"/>
      <c r="S973" s="180"/>
      <c r="T973" s="180"/>
      <c r="U973" s="180"/>
      <c r="V973" s="180"/>
      <c r="W973" s="180"/>
      <c r="X973" s="201"/>
      <c r="AJ973" s="149" t="str">
        <f>IF('Cable Info'!L833="","",CONCATENATE('Cable Info'!L833," - ",'Cable Info'!M833))</f>
        <v/>
      </c>
      <c r="AM973" s="149" t="str">
        <f t="shared" si="108"/>
        <v/>
      </c>
      <c r="AO973" s="149" t="str">
        <f>IF('Cable Info'!N833="","",CONCATENATE('Cable Info'!N833," - ",'Cable Info'!O833))</f>
        <v/>
      </c>
      <c r="AR973" s="149" t="str">
        <f t="shared" si="109"/>
        <v/>
      </c>
      <c r="AT973" s="149" t="str">
        <f>IF('Cable Info'!P833="","",CONCATENATE('Cable Info'!P833," - ",'Cable Info'!Q833))</f>
        <v/>
      </c>
      <c r="AW973" s="149" t="str">
        <f t="shared" si="110"/>
        <v/>
      </c>
      <c r="AY973" s="149" t="str">
        <f>IF('Cable Info'!R833="","",CONCATENATE('Cable Info'!R833," - ",'Cable Info'!S833))</f>
        <v/>
      </c>
      <c r="BB973" s="149" t="str">
        <f t="shared" si="111"/>
        <v/>
      </c>
      <c r="BD973" s="149" t="str">
        <f>IF('Cable Info'!T833="","",CONCATENATE('Cable Info'!T833," - ",'Cable Info'!U833))</f>
        <v/>
      </c>
      <c r="BG973" s="149" t="str">
        <f t="shared" si="112"/>
        <v/>
      </c>
      <c r="BI973" s="149" t="str">
        <f>IF('Cable Info'!V833="","",CONCATENATE('Cable Info'!V833," - ",'Cable Info'!W833))</f>
        <v/>
      </c>
      <c r="BL973" s="149" t="str">
        <f t="shared" si="113"/>
        <v/>
      </c>
    </row>
    <row r="974" spans="1:64" x14ac:dyDescent="0.2">
      <c r="A974" s="180"/>
      <c r="B974" s="180"/>
      <c r="C974" s="180"/>
      <c r="D974" s="180"/>
      <c r="E974" s="180"/>
      <c r="F974" s="187"/>
      <c r="G974" s="180"/>
      <c r="H974" s="180"/>
      <c r="I974" s="180"/>
      <c r="J974" s="187"/>
      <c r="K974" s="180"/>
      <c r="L974" s="180"/>
      <c r="M974" s="180"/>
      <c r="N974" s="180"/>
      <c r="O974" s="218"/>
      <c r="P974" s="180"/>
      <c r="Q974" s="188"/>
      <c r="R974" s="180"/>
      <c r="S974" s="180"/>
      <c r="T974" s="180"/>
      <c r="U974" s="180"/>
      <c r="V974" s="180"/>
      <c r="W974" s="180"/>
      <c r="X974" s="201"/>
      <c r="AJ974" s="149" t="str">
        <f>IF('Cable Info'!L834="","",CONCATENATE('Cable Info'!L834," - ",'Cable Info'!M834))</f>
        <v/>
      </c>
      <c r="AM974" s="149" t="str">
        <f t="shared" si="108"/>
        <v/>
      </c>
      <c r="AO974" s="149" t="str">
        <f>IF('Cable Info'!N834="","",CONCATENATE('Cable Info'!N834," - ",'Cable Info'!O834))</f>
        <v/>
      </c>
      <c r="AR974" s="149" t="str">
        <f t="shared" si="109"/>
        <v/>
      </c>
      <c r="AT974" s="149" t="str">
        <f>IF('Cable Info'!P834="","",CONCATENATE('Cable Info'!P834," - ",'Cable Info'!Q834))</f>
        <v/>
      </c>
      <c r="AW974" s="149" t="str">
        <f t="shared" si="110"/>
        <v/>
      </c>
      <c r="AY974" s="149" t="str">
        <f>IF('Cable Info'!R834="","",CONCATENATE('Cable Info'!R834," - ",'Cable Info'!S834))</f>
        <v/>
      </c>
      <c r="BB974" s="149" t="str">
        <f t="shared" si="111"/>
        <v/>
      </c>
      <c r="BD974" s="149" t="str">
        <f>IF('Cable Info'!T834="","",CONCATENATE('Cable Info'!T834," - ",'Cable Info'!U834))</f>
        <v/>
      </c>
      <c r="BG974" s="149" t="str">
        <f t="shared" si="112"/>
        <v/>
      </c>
      <c r="BI974" s="149" t="str">
        <f>IF('Cable Info'!V834="","",CONCATENATE('Cable Info'!V834," - ",'Cable Info'!W834))</f>
        <v/>
      </c>
      <c r="BL974" s="149" t="str">
        <f t="shared" si="113"/>
        <v/>
      </c>
    </row>
    <row r="975" spans="1:64" x14ac:dyDescent="0.2">
      <c r="A975" s="180"/>
      <c r="B975" s="180"/>
      <c r="C975" s="180"/>
      <c r="D975" s="180"/>
      <c r="E975" s="180"/>
      <c r="F975" s="187"/>
      <c r="G975" s="180"/>
      <c r="H975" s="180"/>
      <c r="I975" s="180"/>
      <c r="J975" s="187"/>
      <c r="K975" s="180"/>
      <c r="L975" s="180"/>
      <c r="M975" s="180"/>
      <c r="N975" s="180"/>
      <c r="O975" s="218"/>
      <c r="P975" s="180"/>
      <c r="Q975" s="188"/>
      <c r="R975" s="180"/>
      <c r="S975" s="180"/>
      <c r="T975" s="180"/>
      <c r="U975" s="180"/>
      <c r="V975" s="180"/>
      <c r="W975" s="180"/>
      <c r="X975" s="201"/>
      <c r="AJ975" s="149" t="str">
        <f>IF('Cable Info'!L835="","",CONCATENATE('Cable Info'!L835," - ",'Cable Info'!M835))</f>
        <v/>
      </c>
      <c r="AM975" s="149" t="str">
        <f t="shared" ref="AM975:AM1005" si="114">IF(AK975="",AJ975,CONCATENATE(AJ975,"  &lt;=&gt; ",AK975," ",AL975))</f>
        <v/>
      </c>
      <c r="AO975" s="149" t="str">
        <f>IF('Cable Info'!N835="","",CONCATENATE('Cable Info'!N835," - ",'Cable Info'!O835))</f>
        <v/>
      </c>
      <c r="AR975" s="149" t="str">
        <f t="shared" ref="AR975:AR1005" si="115">IF(AP975="",AO975,CONCATENATE(AO975,"  &lt;=&gt; ",AP975," ",AQ975))</f>
        <v/>
      </c>
      <c r="AT975" s="149" t="str">
        <f>IF('Cable Info'!P835="","",CONCATENATE('Cable Info'!P835," - ",'Cable Info'!Q835))</f>
        <v/>
      </c>
      <c r="AW975" s="149" t="str">
        <f t="shared" ref="AW975:AW1005" si="116">IF(AU975="",AT975,CONCATENATE(AT975,"  &lt;=&gt; ",AU975," ",AV975))</f>
        <v/>
      </c>
      <c r="AY975" s="149" t="str">
        <f>IF('Cable Info'!R835="","",CONCATENATE('Cable Info'!R835," - ",'Cable Info'!S835))</f>
        <v/>
      </c>
      <c r="BB975" s="149" t="str">
        <f t="shared" ref="BB975:BB1005" si="117">IF(AZ975="",AY975,CONCATENATE(AY975,"  &lt;=&gt; ",AZ975," ",BA975))</f>
        <v/>
      </c>
      <c r="BD975" s="149" t="str">
        <f>IF('Cable Info'!T835="","",CONCATENATE('Cable Info'!T835," - ",'Cable Info'!U835))</f>
        <v/>
      </c>
      <c r="BG975" s="149" t="str">
        <f t="shared" ref="BG975:BG1005" si="118">IF(BE975="",BD975,CONCATENATE(BD975,"  &lt;=&gt; ",BE975," ",BF975))</f>
        <v/>
      </c>
      <c r="BI975" s="149" t="str">
        <f>IF('Cable Info'!V835="","",CONCATENATE('Cable Info'!V835," - ",'Cable Info'!W835))</f>
        <v/>
      </c>
      <c r="BL975" s="149" t="str">
        <f t="shared" ref="BL975:BL1005" si="119">IF(BJ975="",BI975,CONCATENATE(BI975,"  &lt;=&gt; ",BJ975," ",BK975))</f>
        <v/>
      </c>
    </row>
    <row r="976" spans="1:64" x14ac:dyDescent="0.2">
      <c r="A976" s="180"/>
      <c r="B976" s="180"/>
      <c r="C976" s="180"/>
      <c r="D976" s="180"/>
      <c r="E976" s="180"/>
      <c r="F976" s="187"/>
      <c r="G976" s="180"/>
      <c r="H976" s="180"/>
      <c r="I976" s="180"/>
      <c r="J976" s="187"/>
      <c r="K976" s="180"/>
      <c r="L976" s="180"/>
      <c r="M976" s="180"/>
      <c r="N976" s="180"/>
      <c r="O976" s="218"/>
      <c r="P976" s="180"/>
      <c r="Q976" s="188"/>
      <c r="R976" s="180"/>
      <c r="S976" s="180"/>
      <c r="T976" s="180"/>
      <c r="U976" s="180"/>
      <c r="V976" s="180"/>
      <c r="W976" s="180"/>
      <c r="X976" s="201"/>
      <c r="AJ976" s="149" t="str">
        <f>IF('Cable Info'!L836="","",CONCATENATE('Cable Info'!L836," - ",'Cable Info'!M836))</f>
        <v/>
      </c>
      <c r="AM976" s="149" t="str">
        <f t="shared" si="114"/>
        <v/>
      </c>
      <c r="AO976" s="149" t="str">
        <f>IF('Cable Info'!N836="","",CONCATENATE('Cable Info'!N836," - ",'Cable Info'!O836))</f>
        <v/>
      </c>
      <c r="AR976" s="149" t="str">
        <f t="shared" si="115"/>
        <v/>
      </c>
      <c r="AT976" s="149" t="str">
        <f>IF('Cable Info'!P836="","",CONCATENATE('Cable Info'!P836," - ",'Cable Info'!Q836))</f>
        <v/>
      </c>
      <c r="AW976" s="149" t="str">
        <f t="shared" si="116"/>
        <v/>
      </c>
      <c r="AY976" s="149" t="str">
        <f>IF('Cable Info'!R836="","",CONCATENATE('Cable Info'!R836," - ",'Cable Info'!S836))</f>
        <v/>
      </c>
      <c r="BB976" s="149" t="str">
        <f t="shared" si="117"/>
        <v/>
      </c>
      <c r="BD976" s="149" t="str">
        <f>IF('Cable Info'!T836="","",CONCATENATE('Cable Info'!T836," - ",'Cable Info'!U836))</f>
        <v/>
      </c>
      <c r="BG976" s="149" t="str">
        <f t="shared" si="118"/>
        <v/>
      </c>
      <c r="BI976" s="149" t="str">
        <f>IF('Cable Info'!V836="","",CONCATENATE('Cable Info'!V836," - ",'Cable Info'!W836))</f>
        <v/>
      </c>
      <c r="BL976" s="149" t="str">
        <f t="shared" si="119"/>
        <v/>
      </c>
    </row>
    <row r="977" spans="1:64" x14ac:dyDescent="0.2">
      <c r="A977" s="180"/>
      <c r="B977" s="180"/>
      <c r="C977" s="180"/>
      <c r="D977" s="180"/>
      <c r="E977" s="180"/>
      <c r="F977" s="187"/>
      <c r="G977" s="180"/>
      <c r="H977" s="180"/>
      <c r="I977" s="180"/>
      <c r="J977" s="187"/>
      <c r="K977" s="180"/>
      <c r="L977" s="180"/>
      <c r="M977" s="180"/>
      <c r="N977" s="180"/>
      <c r="O977" s="218"/>
      <c r="P977" s="180"/>
      <c r="Q977" s="188"/>
      <c r="R977" s="180"/>
      <c r="S977" s="180"/>
      <c r="T977" s="180"/>
      <c r="U977" s="180"/>
      <c r="V977" s="180"/>
      <c r="W977" s="180"/>
      <c r="X977" s="201"/>
      <c r="AJ977" s="149" t="str">
        <f>IF('Cable Info'!L837="","",CONCATENATE('Cable Info'!L837," - ",'Cable Info'!M837))</f>
        <v/>
      </c>
      <c r="AM977" s="149" t="str">
        <f t="shared" si="114"/>
        <v/>
      </c>
      <c r="AO977" s="149" t="str">
        <f>IF('Cable Info'!N837="","",CONCATENATE('Cable Info'!N837," - ",'Cable Info'!O837))</f>
        <v/>
      </c>
      <c r="AR977" s="149" t="str">
        <f t="shared" si="115"/>
        <v/>
      </c>
      <c r="AT977" s="149" t="str">
        <f>IF('Cable Info'!P837="","",CONCATENATE('Cable Info'!P837," - ",'Cable Info'!Q837))</f>
        <v/>
      </c>
      <c r="AW977" s="149" t="str">
        <f t="shared" si="116"/>
        <v/>
      </c>
      <c r="AY977" s="149" t="str">
        <f>IF('Cable Info'!R837="","",CONCATENATE('Cable Info'!R837," - ",'Cable Info'!S837))</f>
        <v/>
      </c>
      <c r="BB977" s="149" t="str">
        <f t="shared" si="117"/>
        <v/>
      </c>
      <c r="BD977" s="149" t="str">
        <f>IF('Cable Info'!T837="","",CONCATENATE('Cable Info'!T837," - ",'Cable Info'!U837))</f>
        <v/>
      </c>
      <c r="BG977" s="149" t="str">
        <f t="shared" si="118"/>
        <v/>
      </c>
      <c r="BI977" s="149" t="str">
        <f>IF('Cable Info'!V837="","",CONCATENATE('Cable Info'!V837," - ",'Cable Info'!W837))</f>
        <v/>
      </c>
      <c r="BL977" s="149" t="str">
        <f t="shared" si="119"/>
        <v/>
      </c>
    </row>
    <row r="978" spans="1:64" x14ac:dyDescent="0.2">
      <c r="A978" s="180"/>
      <c r="B978" s="180"/>
      <c r="C978" s="180"/>
      <c r="D978" s="180"/>
      <c r="E978" s="180"/>
      <c r="F978" s="187"/>
      <c r="G978" s="180"/>
      <c r="H978" s="180"/>
      <c r="I978" s="180"/>
      <c r="J978" s="187"/>
      <c r="K978" s="180"/>
      <c r="L978" s="180"/>
      <c r="M978" s="180"/>
      <c r="N978" s="180"/>
      <c r="O978" s="218"/>
      <c r="P978" s="180"/>
      <c r="Q978" s="188"/>
      <c r="R978" s="180"/>
      <c r="S978" s="180"/>
      <c r="T978" s="180"/>
      <c r="U978" s="180"/>
      <c r="V978" s="180"/>
      <c r="W978" s="180"/>
      <c r="X978" s="201"/>
      <c r="AJ978" s="149" t="str">
        <f>IF('Cable Info'!L838="","",CONCATENATE('Cable Info'!L838," - ",'Cable Info'!M838))</f>
        <v/>
      </c>
      <c r="AM978" s="149" t="str">
        <f t="shared" si="114"/>
        <v/>
      </c>
      <c r="AO978" s="149" t="str">
        <f>IF('Cable Info'!N838="","",CONCATENATE('Cable Info'!N838," - ",'Cable Info'!O838))</f>
        <v/>
      </c>
      <c r="AR978" s="149" t="str">
        <f t="shared" si="115"/>
        <v/>
      </c>
      <c r="AT978" s="149" t="str">
        <f>IF('Cable Info'!P838="","",CONCATENATE('Cable Info'!P838," - ",'Cable Info'!Q838))</f>
        <v/>
      </c>
      <c r="AW978" s="149" t="str">
        <f t="shared" si="116"/>
        <v/>
      </c>
      <c r="AY978" s="149" t="str">
        <f>IF('Cable Info'!R838="","",CONCATENATE('Cable Info'!R838," - ",'Cable Info'!S838))</f>
        <v/>
      </c>
      <c r="BB978" s="149" t="str">
        <f t="shared" si="117"/>
        <v/>
      </c>
      <c r="BD978" s="149" t="str">
        <f>IF('Cable Info'!T838="","",CONCATENATE('Cable Info'!T838," - ",'Cable Info'!U838))</f>
        <v/>
      </c>
      <c r="BG978" s="149" t="str">
        <f t="shared" si="118"/>
        <v/>
      </c>
      <c r="BI978" s="149" t="str">
        <f>IF('Cable Info'!V838="","",CONCATENATE('Cable Info'!V838," - ",'Cable Info'!W838))</f>
        <v/>
      </c>
      <c r="BL978" s="149" t="str">
        <f t="shared" si="119"/>
        <v/>
      </c>
    </row>
    <row r="979" spans="1:64" x14ac:dyDescent="0.2">
      <c r="A979" s="180"/>
      <c r="B979" s="180"/>
      <c r="C979" s="180"/>
      <c r="D979" s="180"/>
      <c r="E979" s="180"/>
      <c r="F979" s="187"/>
      <c r="G979" s="180"/>
      <c r="H979" s="180"/>
      <c r="I979" s="180"/>
      <c r="J979" s="187"/>
      <c r="K979" s="180"/>
      <c r="L979" s="180"/>
      <c r="M979" s="180"/>
      <c r="N979" s="180"/>
      <c r="O979" s="218"/>
      <c r="P979" s="180"/>
      <c r="Q979" s="188"/>
      <c r="R979" s="180"/>
      <c r="S979" s="180"/>
      <c r="T979" s="180"/>
      <c r="U979" s="180"/>
      <c r="V979" s="180"/>
      <c r="W979" s="180"/>
      <c r="X979" s="201"/>
      <c r="AJ979" s="149" t="str">
        <f>IF('Cable Info'!L839="","",CONCATENATE('Cable Info'!L839," - ",'Cable Info'!M839))</f>
        <v/>
      </c>
      <c r="AM979" s="149" t="str">
        <f t="shared" si="114"/>
        <v/>
      </c>
      <c r="AO979" s="149" t="str">
        <f>IF('Cable Info'!N839="","",CONCATENATE('Cable Info'!N839," - ",'Cable Info'!O839))</f>
        <v/>
      </c>
      <c r="AR979" s="149" t="str">
        <f t="shared" si="115"/>
        <v/>
      </c>
      <c r="AT979" s="149" t="str">
        <f>IF('Cable Info'!P839="","",CONCATENATE('Cable Info'!P839," - ",'Cable Info'!Q839))</f>
        <v/>
      </c>
      <c r="AW979" s="149" t="str">
        <f t="shared" si="116"/>
        <v/>
      </c>
      <c r="AY979" s="149" t="str">
        <f>IF('Cable Info'!R839="","",CONCATENATE('Cable Info'!R839," - ",'Cable Info'!S839))</f>
        <v/>
      </c>
      <c r="BB979" s="149" t="str">
        <f t="shared" si="117"/>
        <v/>
      </c>
      <c r="BD979" s="149" t="str">
        <f>IF('Cable Info'!T839="","",CONCATENATE('Cable Info'!T839," - ",'Cable Info'!U839))</f>
        <v/>
      </c>
      <c r="BG979" s="149" t="str">
        <f t="shared" si="118"/>
        <v/>
      </c>
      <c r="BI979" s="149" t="str">
        <f>IF('Cable Info'!V839="","",CONCATENATE('Cable Info'!V839," - ",'Cable Info'!W839))</f>
        <v/>
      </c>
      <c r="BL979" s="149" t="str">
        <f t="shared" si="119"/>
        <v/>
      </c>
    </row>
    <row r="980" spans="1:64" x14ac:dyDescent="0.2">
      <c r="A980" s="180"/>
      <c r="B980" s="180"/>
      <c r="C980" s="180"/>
      <c r="D980" s="180"/>
      <c r="E980" s="180"/>
      <c r="F980" s="187"/>
      <c r="G980" s="180"/>
      <c r="H980" s="180"/>
      <c r="I980" s="180"/>
      <c r="J980" s="187"/>
      <c r="K980" s="180"/>
      <c r="L980" s="180"/>
      <c r="M980" s="180"/>
      <c r="N980" s="180"/>
      <c r="O980" s="218"/>
      <c r="P980" s="180"/>
      <c r="Q980" s="188"/>
      <c r="R980" s="180"/>
      <c r="S980" s="180"/>
      <c r="T980" s="180"/>
      <c r="U980" s="180"/>
      <c r="V980" s="180"/>
      <c r="W980" s="180"/>
      <c r="X980" s="201"/>
      <c r="AJ980" s="149" t="str">
        <f>IF('Cable Info'!L840="","",CONCATENATE('Cable Info'!L840," - ",'Cable Info'!M840))</f>
        <v/>
      </c>
      <c r="AM980" s="149" t="str">
        <f t="shared" si="114"/>
        <v/>
      </c>
      <c r="AO980" s="149" t="str">
        <f>IF('Cable Info'!N840="","",CONCATENATE('Cable Info'!N840," - ",'Cable Info'!O840))</f>
        <v/>
      </c>
      <c r="AR980" s="149" t="str">
        <f t="shared" si="115"/>
        <v/>
      </c>
      <c r="AT980" s="149" t="str">
        <f>IF('Cable Info'!P840="","",CONCATENATE('Cable Info'!P840," - ",'Cable Info'!Q840))</f>
        <v/>
      </c>
      <c r="AW980" s="149" t="str">
        <f t="shared" si="116"/>
        <v/>
      </c>
      <c r="AY980" s="149" t="str">
        <f>IF('Cable Info'!R840="","",CONCATENATE('Cable Info'!R840," - ",'Cable Info'!S840))</f>
        <v/>
      </c>
      <c r="BB980" s="149" t="str">
        <f t="shared" si="117"/>
        <v/>
      </c>
      <c r="BD980" s="149" t="str">
        <f>IF('Cable Info'!T840="","",CONCATENATE('Cable Info'!T840," - ",'Cable Info'!U840))</f>
        <v/>
      </c>
      <c r="BG980" s="149" t="str">
        <f t="shared" si="118"/>
        <v/>
      </c>
      <c r="BI980" s="149" t="str">
        <f>IF('Cable Info'!V840="","",CONCATENATE('Cable Info'!V840," - ",'Cable Info'!W840))</f>
        <v/>
      </c>
      <c r="BL980" s="149" t="str">
        <f t="shared" si="119"/>
        <v/>
      </c>
    </row>
    <row r="981" spans="1:64" x14ac:dyDescent="0.2">
      <c r="A981" s="180"/>
      <c r="B981" s="180"/>
      <c r="C981" s="180"/>
      <c r="D981" s="180"/>
      <c r="E981" s="180"/>
      <c r="F981" s="187"/>
      <c r="G981" s="180"/>
      <c r="H981" s="180"/>
      <c r="I981" s="180"/>
      <c r="J981" s="187"/>
      <c r="K981" s="180"/>
      <c r="L981" s="180"/>
      <c r="M981" s="180"/>
      <c r="N981" s="180"/>
      <c r="O981" s="218"/>
      <c r="P981" s="180"/>
      <c r="Q981" s="188"/>
      <c r="R981" s="180"/>
      <c r="S981" s="180"/>
      <c r="T981" s="180"/>
      <c r="U981" s="180"/>
      <c r="V981" s="180"/>
      <c r="W981" s="180"/>
      <c r="X981" s="201"/>
      <c r="AJ981" s="149" t="str">
        <f>IF('Cable Info'!L841="","",CONCATENATE('Cable Info'!L841," - ",'Cable Info'!M841))</f>
        <v/>
      </c>
      <c r="AM981" s="149" t="str">
        <f t="shared" si="114"/>
        <v/>
      </c>
      <c r="AO981" s="149" t="str">
        <f>IF('Cable Info'!N841="","",CONCATENATE('Cable Info'!N841," - ",'Cable Info'!O841))</f>
        <v/>
      </c>
      <c r="AR981" s="149" t="str">
        <f t="shared" si="115"/>
        <v/>
      </c>
      <c r="AT981" s="149" t="str">
        <f>IF('Cable Info'!P841="","",CONCATENATE('Cable Info'!P841," - ",'Cable Info'!Q841))</f>
        <v/>
      </c>
      <c r="AW981" s="149" t="str">
        <f t="shared" si="116"/>
        <v/>
      </c>
      <c r="AY981" s="149" t="str">
        <f>IF('Cable Info'!R841="","",CONCATENATE('Cable Info'!R841," - ",'Cable Info'!S841))</f>
        <v/>
      </c>
      <c r="BB981" s="149" t="str">
        <f t="shared" si="117"/>
        <v/>
      </c>
      <c r="BD981" s="149" t="str">
        <f>IF('Cable Info'!T841="","",CONCATENATE('Cable Info'!T841," - ",'Cable Info'!U841))</f>
        <v/>
      </c>
      <c r="BG981" s="149" t="str">
        <f t="shared" si="118"/>
        <v/>
      </c>
      <c r="BI981" s="149" t="str">
        <f>IF('Cable Info'!V841="","",CONCATENATE('Cable Info'!V841," - ",'Cable Info'!W841))</f>
        <v/>
      </c>
      <c r="BL981" s="149" t="str">
        <f t="shared" si="119"/>
        <v/>
      </c>
    </row>
    <row r="982" spans="1:64" x14ac:dyDescent="0.2">
      <c r="A982" s="180"/>
      <c r="B982" s="180"/>
      <c r="C982" s="180"/>
      <c r="D982" s="180"/>
      <c r="E982" s="180"/>
      <c r="F982" s="187"/>
      <c r="G982" s="180"/>
      <c r="H982" s="180"/>
      <c r="I982" s="180"/>
      <c r="J982" s="187"/>
      <c r="K982" s="180"/>
      <c r="L982" s="180"/>
      <c r="M982" s="180"/>
      <c r="N982" s="180"/>
      <c r="O982" s="218"/>
      <c r="P982" s="180"/>
      <c r="Q982" s="188"/>
      <c r="R982" s="180"/>
      <c r="S982" s="180"/>
      <c r="T982" s="180"/>
      <c r="U982" s="180"/>
      <c r="V982" s="180"/>
      <c r="W982" s="180"/>
      <c r="X982" s="201"/>
      <c r="AJ982" s="149" t="str">
        <f>IF('Cable Info'!L842="","",CONCATENATE('Cable Info'!L842," - ",'Cable Info'!M842))</f>
        <v/>
      </c>
      <c r="AM982" s="149" t="str">
        <f t="shared" si="114"/>
        <v/>
      </c>
      <c r="AO982" s="149" t="str">
        <f>IF('Cable Info'!N842="","",CONCATENATE('Cable Info'!N842," - ",'Cable Info'!O842))</f>
        <v/>
      </c>
      <c r="AR982" s="149" t="str">
        <f t="shared" si="115"/>
        <v/>
      </c>
      <c r="AT982" s="149" t="str">
        <f>IF('Cable Info'!P842="","",CONCATENATE('Cable Info'!P842," - ",'Cable Info'!Q842))</f>
        <v/>
      </c>
      <c r="AW982" s="149" t="str">
        <f t="shared" si="116"/>
        <v/>
      </c>
      <c r="AY982" s="149" t="str">
        <f>IF('Cable Info'!R842="","",CONCATENATE('Cable Info'!R842," - ",'Cable Info'!S842))</f>
        <v/>
      </c>
      <c r="BB982" s="149" t="str">
        <f t="shared" si="117"/>
        <v/>
      </c>
      <c r="BD982" s="149" t="str">
        <f>IF('Cable Info'!T842="","",CONCATENATE('Cable Info'!T842," - ",'Cable Info'!U842))</f>
        <v/>
      </c>
      <c r="BG982" s="149" t="str">
        <f t="shared" si="118"/>
        <v/>
      </c>
      <c r="BI982" s="149" t="str">
        <f>IF('Cable Info'!V842="","",CONCATENATE('Cable Info'!V842," - ",'Cable Info'!W842))</f>
        <v/>
      </c>
      <c r="BL982" s="149" t="str">
        <f t="shared" si="119"/>
        <v/>
      </c>
    </row>
    <row r="983" spans="1:64" x14ac:dyDescent="0.2">
      <c r="A983" s="180"/>
      <c r="B983" s="180"/>
      <c r="C983" s="180"/>
      <c r="D983" s="180"/>
      <c r="E983" s="180"/>
      <c r="F983" s="187"/>
      <c r="G983" s="180"/>
      <c r="H983" s="180"/>
      <c r="I983" s="180"/>
      <c r="J983" s="187"/>
      <c r="K983" s="180"/>
      <c r="L983" s="180"/>
      <c r="M983" s="180"/>
      <c r="N983" s="180"/>
      <c r="O983" s="218"/>
      <c r="P983" s="180"/>
      <c r="Q983" s="188"/>
      <c r="R983" s="180"/>
      <c r="S983" s="180"/>
      <c r="T983" s="180"/>
      <c r="U983" s="180"/>
      <c r="V983" s="180"/>
      <c r="W983" s="180"/>
      <c r="X983" s="201"/>
      <c r="AJ983" s="149" t="str">
        <f>IF('Cable Info'!L843="","",CONCATENATE('Cable Info'!L843," - ",'Cable Info'!M843))</f>
        <v/>
      </c>
      <c r="AM983" s="149" t="str">
        <f t="shared" si="114"/>
        <v/>
      </c>
      <c r="AO983" s="149" t="str">
        <f>IF('Cable Info'!N843="","",CONCATENATE('Cable Info'!N843," - ",'Cable Info'!O843))</f>
        <v/>
      </c>
      <c r="AR983" s="149" t="str">
        <f t="shared" si="115"/>
        <v/>
      </c>
      <c r="AT983" s="149" t="str">
        <f>IF('Cable Info'!P843="","",CONCATENATE('Cable Info'!P843," - ",'Cable Info'!Q843))</f>
        <v/>
      </c>
      <c r="AW983" s="149" t="str">
        <f t="shared" si="116"/>
        <v/>
      </c>
      <c r="AY983" s="149" t="str">
        <f>IF('Cable Info'!R843="","",CONCATENATE('Cable Info'!R843," - ",'Cable Info'!S843))</f>
        <v/>
      </c>
      <c r="BB983" s="149" t="str">
        <f t="shared" si="117"/>
        <v/>
      </c>
      <c r="BD983" s="149" t="str">
        <f>IF('Cable Info'!T843="","",CONCATENATE('Cable Info'!T843," - ",'Cable Info'!U843))</f>
        <v/>
      </c>
      <c r="BG983" s="149" t="str">
        <f t="shared" si="118"/>
        <v/>
      </c>
      <c r="BI983" s="149" t="str">
        <f>IF('Cable Info'!V843="","",CONCATENATE('Cable Info'!V843," - ",'Cable Info'!W843))</f>
        <v/>
      </c>
      <c r="BL983" s="149" t="str">
        <f t="shared" si="119"/>
        <v/>
      </c>
    </row>
    <row r="984" spans="1:64" x14ac:dyDescent="0.2">
      <c r="A984" s="180"/>
      <c r="B984" s="180"/>
      <c r="C984" s="180"/>
      <c r="D984" s="180"/>
      <c r="E984" s="180"/>
      <c r="F984" s="187"/>
      <c r="G984" s="180"/>
      <c r="H984" s="180"/>
      <c r="I984" s="180"/>
      <c r="J984" s="187"/>
      <c r="K984" s="180"/>
      <c r="L984" s="180"/>
      <c r="M984" s="180"/>
      <c r="N984" s="180"/>
      <c r="O984" s="218"/>
      <c r="P984" s="180"/>
      <c r="Q984" s="188"/>
      <c r="R984" s="180"/>
      <c r="S984" s="180"/>
      <c r="T984" s="180"/>
      <c r="U984" s="180"/>
      <c r="V984" s="180"/>
      <c r="W984" s="180"/>
      <c r="X984" s="201"/>
      <c r="AJ984" s="149" t="str">
        <f>IF('Cable Info'!L844="","",CONCATENATE('Cable Info'!L844," - ",'Cable Info'!M844))</f>
        <v/>
      </c>
      <c r="AM984" s="149" t="str">
        <f t="shared" si="114"/>
        <v/>
      </c>
      <c r="AO984" s="149" t="str">
        <f>IF('Cable Info'!N844="","",CONCATENATE('Cable Info'!N844," - ",'Cable Info'!O844))</f>
        <v/>
      </c>
      <c r="AR984" s="149" t="str">
        <f t="shared" si="115"/>
        <v/>
      </c>
      <c r="AT984" s="149" t="str">
        <f>IF('Cable Info'!P844="","",CONCATENATE('Cable Info'!P844," - ",'Cable Info'!Q844))</f>
        <v/>
      </c>
      <c r="AW984" s="149" t="str">
        <f t="shared" si="116"/>
        <v/>
      </c>
      <c r="AY984" s="149" t="str">
        <f>IF('Cable Info'!R844="","",CONCATENATE('Cable Info'!R844," - ",'Cable Info'!S844))</f>
        <v/>
      </c>
      <c r="BB984" s="149" t="str">
        <f t="shared" si="117"/>
        <v/>
      </c>
      <c r="BD984" s="149" t="str">
        <f>IF('Cable Info'!T844="","",CONCATENATE('Cable Info'!T844," - ",'Cable Info'!U844))</f>
        <v/>
      </c>
      <c r="BG984" s="149" t="str">
        <f t="shared" si="118"/>
        <v/>
      </c>
      <c r="BI984" s="149" t="str">
        <f>IF('Cable Info'!V844="","",CONCATENATE('Cable Info'!V844," - ",'Cable Info'!W844))</f>
        <v/>
      </c>
      <c r="BL984" s="149" t="str">
        <f t="shared" si="119"/>
        <v/>
      </c>
    </row>
    <row r="985" spans="1:64" x14ac:dyDescent="0.2">
      <c r="A985" s="180"/>
      <c r="B985" s="180"/>
      <c r="C985" s="180"/>
      <c r="D985" s="180"/>
      <c r="E985" s="180"/>
      <c r="F985" s="187"/>
      <c r="G985" s="180"/>
      <c r="H985" s="180"/>
      <c r="I985" s="180"/>
      <c r="J985" s="187"/>
      <c r="K985" s="180"/>
      <c r="L985" s="180"/>
      <c r="M985" s="180"/>
      <c r="N985" s="180"/>
      <c r="O985" s="218"/>
      <c r="P985" s="180"/>
      <c r="Q985" s="188"/>
      <c r="R985" s="180"/>
      <c r="S985" s="180"/>
      <c r="T985" s="180"/>
      <c r="U985" s="180"/>
      <c r="V985" s="180"/>
      <c r="W985" s="180"/>
      <c r="X985" s="201"/>
      <c r="AJ985" s="149" t="str">
        <f>IF('Cable Info'!L845="","",CONCATENATE('Cable Info'!L845," - ",'Cable Info'!M845))</f>
        <v/>
      </c>
      <c r="AM985" s="149" t="str">
        <f t="shared" si="114"/>
        <v/>
      </c>
      <c r="AO985" s="149" t="str">
        <f>IF('Cable Info'!N845="","",CONCATENATE('Cable Info'!N845," - ",'Cable Info'!O845))</f>
        <v/>
      </c>
      <c r="AR985" s="149" t="str">
        <f t="shared" si="115"/>
        <v/>
      </c>
      <c r="AT985" s="149" t="str">
        <f>IF('Cable Info'!P845="","",CONCATENATE('Cable Info'!P845," - ",'Cable Info'!Q845))</f>
        <v/>
      </c>
      <c r="AW985" s="149" t="str">
        <f t="shared" si="116"/>
        <v/>
      </c>
      <c r="AY985" s="149" t="str">
        <f>IF('Cable Info'!R845="","",CONCATENATE('Cable Info'!R845," - ",'Cable Info'!S845))</f>
        <v/>
      </c>
      <c r="BB985" s="149" t="str">
        <f t="shared" si="117"/>
        <v/>
      </c>
      <c r="BD985" s="149" t="str">
        <f>IF('Cable Info'!T845="","",CONCATENATE('Cable Info'!T845," - ",'Cable Info'!U845))</f>
        <v/>
      </c>
      <c r="BG985" s="149" t="str">
        <f t="shared" si="118"/>
        <v/>
      </c>
      <c r="BI985" s="149" t="str">
        <f>IF('Cable Info'!V845="","",CONCATENATE('Cable Info'!V845," - ",'Cable Info'!W845))</f>
        <v/>
      </c>
      <c r="BL985" s="149" t="str">
        <f t="shared" si="119"/>
        <v/>
      </c>
    </row>
    <row r="986" spans="1:64" x14ac:dyDescent="0.2">
      <c r="A986" s="180"/>
      <c r="B986" s="180"/>
      <c r="C986" s="180"/>
      <c r="D986" s="180"/>
      <c r="E986" s="180"/>
      <c r="F986" s="187"/>
      <c r="G986" s="180"/>
      <c r="H986" s="180"/>
      <c r="I986" s="180"/>
      <c r="J986" s="187"/>
      <c r="K986" s="180"/>
      <c r="L986" s="180"/>
      <c r="M986" s="180"/>
      <c r="N986" s="180"/>
      <c r="O986" s="218"/>
      <c r="P986" s="180"/>
      <c r="Q986" s="188"/>
      <c r="R986" s="180"/>
      <c r="S986" s="180"/>
      <c r="T986" s="180"/>
      <c r="U986" s="180"/>
      <c r="V986" s="180"/>
      <c r="W986" s="180"/>
      <c r="X986" s="201"/>
      <c r="AJ986" s="149" t="str">
        <f>IF('Cable Info'!L846="","",CONCATENATE('Cable Info'!L846," - ",'Cable Info'!M846))</f>
        <v/>
      </c>
      <c r="AM986" s="149" t="str">
        <f t="shared" si="114"/>
        <v/>
      </c>
      <c r="AO986" s="149" t="str">
        <f>IF('Cable Info'!N846="","",CONCATENATE('Cable Info'!N846," - ",'Cable Info'!O846))</f>
        <v/>
      </c>
      <c r="AR986" s="149" t="str">
        <f t="shared" si="115"/>
        <v/>
      </c>
      <c r="AT986" s="149" t="str">
        <f>IF('Cable Info'!P846="","",CONCATENATE('Cable Info'!P846," - ",'Cable Info'!Q846))</f>
        <v/>
      </c>
      <c r="AW986" s="149" t="str">
        <f t="shared" si="116"/>
        <v/>
      </c>
      <c r="AY986" s="149" t="str">
        <f>IF('Cable Info'!R846="","",CONCATENATE('Cable Info'!R846," - ",'Cable Info'!S846))</f>
        <v/>
      </c>
      <c r="BB986" s="149" t="str">
        <f t="shared" si="117"/>
        <v/>
      </c>
      <c r="BD986" s="149" t="str">
        <f>IF('Cable Info'!T846="","",CONCATENATE('Cable Info'!T846," - ",'Cable Info'!U846))</f>
        <v/>
      </c>
      <c r="BG986" s="149" t="str">
        <f t="shared" si="118"/>
        <v/>
      </c>
      <c r="BI986" s="149" t="str">
        <f>IF('Cable Info'!V846="","",CONCATENATE('Cable Info'!V846," - ",'Cable Info'!W846))</f>
        <v/>
      </c>
      <c r="BL986" s="149" t="str">
        <f t="shared" si="119"/>
        <v/>
      </c>
    </row>
    <row r="987" spans="1:64" x14ac:dyDescent="0.2">
      <c r="A987" s="180"/>
      <c r="B987" s="180"/>
      <c r="C987" s="180"/>
      <c r="D987" s="180"/>
      <c r="E987" s="180"/>
      <c r="F987" s="187"/>
      <c r="G987" s="180"/>
      <c r="H987" s="180"/>
      <c r="I987" s="180"/>
      <c r="J987" s="187"/>
      <c r="K987" s="180"/>
      <c r="L987" s="180"/>
      <c r="M987" s="180"/>
      <c r="N987" s="180"/>
      <c r="O987" s="218"/>
      <c r="P987" s="180"/>
      <c r="Q987" s="188"/>
      <c r="R987" s="180"/>
      <c r="S987" s="180"/>
      <c r="T987" s="180"/>
      <c r="U987" s="180"/>
      <c r="V987" s="180"/>
      <c r="W987" s="180"/>
      <c r="X987" s="201"/>
      <c r="AJ987" s="149" t="str">
        <f>IF('Cable Info'!L847="","",CONCATENATE('Cable Info'!L847," - ",'Cable Info'!M847))</f>
        <v/>
      </c>
      <c r="AM987" s="149" t="str">
        <f t="shared" si="114"/>
        <v/>
      </c>
      <c r="AO987" s="149" t="str">
        <f>IF('Cable Info'!N847="","",CONCATENATE('Cable Info'!N847," - ",'Cable Info'!O847))</f>
        <v/>
      </c>
      <c r="AR987" s="149" t="str">
        <f t="shared" si="115"/>
        <v/>
      </c>
      <c r="AT987" s="149" t="str">
        <f>IF('Cable Info'!P847="","",CONCATENATE('Cable Info'!P847," - ",'Cable Info'!Q847))</f>
        <v/>
      </c>
      <c r="AW987" s="149" t="str">
        <f t="shared" si="116"/>
        <v/>
      </c>
      <c r="AY987" s="149" t="str">
        <f>IF('Cable Info'!R847="","",CONCATENATE('Cable Info'!R847," - ",'Cable Info'!S847))</f>
        <v/>
      </c>
      <c r="BB987" s="149" t="str">
        <f t="shared" si="117"/>
        <v/>
      </c>
      <c r="BD987" s="149" t="str">
        <f>IF('Cable Info'!T847="","",CONCATENATE('Cable Info'!T847," - ",'Cable Info'!U847))</f>
        <v/>
      </c>
      <c r="BG987" s="149" t="str">
        <f t="shared" si="118"/>
        <v/>
      </c>
      <c r="BI987" s="149" t="str">
        <f>IF('Cable Info'!V847="","",CONCATENATE('Cable Info'!V847," - ",'Cable Info'!W847))</f>
        <v/>
      </c>
      <c r="BL987" s="149" t="str">
        <f t="shared" si="119"/>
        <v/>
      </c>
    </row>
    <row r="988" spans="1:64" x14ac:dyDescent="0.2">
      <c r="A988" s="180"/>
      <c r="B988" s="180"/>
      <c r="C988" s="180"/>
      <c r="D988" s="180"/>
      <c r="E988" s="180"/>
      <c r="F988" s="187"/>
      <c r="G988" s="180"/>
      <c r="H988" s="180"/>
      <c r="I988" s="180"/>
      <c r="J988" s="187"/>
      <c r="K988" s="180"/>
      <c r="L988" s="180"/>
      <c r="M988" s="180"/>
      <c r="N988" s="180"/>
      <c r="O988" s="218"/>
      <c r="P988" s="180"/>
      <c r="Q988" s="188"/>
      <c r="R988" s="180"/>
      <c r="S988" s="180"/>
      <c r="T988" s="180"/>
      <c r="U988" s="180"/>
      <c r="V988" s="180"/>
      <c r="W988" s="180"/>
      <c r="X988" s="201"/>
      <c r="AJ988" s="149" t="str">
        <f>IF('Cable Info'!L848="","",CONCATENATE('Cable Info'!L848," - ",'Cable Info'!M848))</f>
        <v/>
      </c>
      <c r="AM988" s="149" t="str">
        <f t="shared" si="114"/>
        <v/>
      </c>
      <c r="AO988" s="149" t="str">
        <f>IF('Cable Info'!N848="","",CONCATENATE('Cable Info'!N848," - ",'Cable Info'!O848))</f>
        <v/>
      </c>
      <c r="AR988" s="149" t="str">
        <f t="shared" si="115"/>
        <v/>
      </c>
      <c r="AT988" s="149" t="str">
        <f>IF('Cable Info'!P848="","",CONCATENATE('Cable Info'!P848," - ",'Cable Info'!Q848))</f>
        <v/>
      </c>
      <c r="AW988" s="149" t="str">
        <f t="shared" si="116"/>
        <v/>
      </c>
      <c r="AY988" s="149" t="str">
        <f>IF('Cable Info'!R848="","",CONCATENATE('Cable Info'!R848," - ",'Cable Info'!S848))</f>
        <v/>
      </c>
      <c r="BB988" s="149" t="str">
        <f t="shared" si="117"/>
        <v/>
      </c>
      <c r="BD988" s="149" t="str">
        <f>IF('Cable Info'!T848="","",CONCATENATE('Cable Info'!T848," - ",'Cable Info'!U848))</f>
        <v/>
      </c>
      <c r="BG988" s="149" t="str">
        <f t="shared" si="118"/>
        <v/>
      </c>
      <c r="BI988" s="149" t="str">
        <f>IF('Cable Info'!V848="","",CONCATENATE('Cable Info'!V848," - ",'Cable Info'!W848))</f>
        <v/>
      </c>
      <c r="BL988" s="149" t="str">
        <f t="shared" si="119"/>
        <v/>
      </c>
    </row>
    <row r="989" spans="1:64" x14ac:dyDescent="0.2">
      <c r="A989" s="180"/>
      <c r="B989" s="180"/>
      <c r="C989" s="180"/>
      <c r="D989" s="180"/>
      <c r="E989" s="180"/>
      <c r="F989" s="187"/>
      <c r="G989" s="180"/>
      <c r="H989" s="180"/>
      <c r="I989" s="180"/>
      <c r="J989" s="187"/>
      <c r="K989" s="180"/>
      <c r="L989" s="180"/>
      <c r="M989" s="180"/>
      <c r="N989" s="180"/>
      <c r="O989" s="218"/>
      <c r="P989" s="180"/>
      <c r="Q989" s="188"/>
      <c r="R989" s="180"/>
      <c r="S989" s="180"/>
      <c r="T989" s="180"/>
      <c r="U989" s="180"/>
      <c r="V989" s="180"/>
      <c r="W989" s="180"/>
      <c r="X989" s="201"/>
      <c r="AJ989" s="149" t="str">
        <f>IF('Cable Info'!L849="","",CONCATENATE('Cable Info'!L849," - ",'Cable Info'!M849))</f>
        <v/>
      </c>
      <c r="AM989" s="149" t="str">
        <f t="shared" si="114"/>
        <v/>
      </c>
      <c r="AO989" s="149" t="str">
        <f>IF('Cable Info'!N849="","",CONCATENATE('Cable Info'!N849," - ",'Cable Info'!O849))</f>
        <v/>
      </c>
      <c r="AR989" s="149" t="str">
        <f t="shared" si="115"/>
        <v/>
      </c>
      <c r="AT989" s="149" t="str">
        <f>IF('Cable Info'!P849="","",CONCATENATE('Cable Info'!P849," - ",'Cable Info'!Q849))</f>
        <v/>
      </c>
      <c r="AW989" s="149" t="str">
        <f t="shared" si="116"/>
        <v/>
      </c>
      <c r="AY989" s="149" t="str">
        <f>IF('Cable Info'!R849="","",CONCATENATE('Cable Info'!R849," - ",'Cable Info'!S849))</f>
        <v/>
      </c>
      <c r="BB989" s="149" t="str">
        <f t="shared" si="117"/>
        <v/>
      </c>
      <c r="BD989" s="149" t="str">
        <f>IF('Cable Info'!T849="","",CONCATENATE('Cable Info'!T849," - ",'Cable Info'!U849))</f>
        <v/>
      </c>
      <c r="BG989" s="149" t="str">
        <f t="shared" si="118"/>
        <v/>
      </c>
      <c r="BI989" s="149" t="str">
        <f>IF('Cable Info'!V849="","",CONCATENATE('Cable Info'!V849," - ",'Cable Info'!W849))</f>
        <v/>
      </c>
      <c r="BL989" s="149" t="str">
        <f t="shared" si="119"/>
        <v/>
      </c>
    </row>
    <row r="990" spans="1:64" x14ac:dyDescent="0.2">
      <c r="A990" s="180"/>
      <c r="B990" s="180"/>
      <c r="C990" s="180"/>
      <c r="D990" s="180"/>
      <c r="E990" s="180"/>
      <c r="F990" s="187"/>
      <c r="G990" s="180"/>
      <c r="H990" s="180"/>
      <c r="I990" s="180"/>
      <c r="J990" s="187"/>
      <c r="K990" s="180"/>
      <c r="L990" s="180"/>
      <c r="M990" s="180"/>
      <c r="N990" s="180"/>
      <c r="O990" s="218"/>
      <c r="P990" s="180"/>
      <c r="Q990" s="188"/>
      <c r="R990" s="180"/>
      <c r="S990" s="180"/>
      <c r="T990" s="180"/>
      <c r="U990" s="180"/>
      <c r="V990" s="180"/>
      <c r="W990" s="180"/>
      <c r="X990" s="201"/>
      <c r="AJ990" s="149" t="str">
        <f>IF('Cable Info'!L850="","",CONCATENATE('Cable Info'!L850," - ",'Cable Info'!M850))</f>
        <v/>
      </c>
      <c r="AM990" s="149" t="str">
        <f t="shared" si="114"/>
        <v/>
      </c>
      <c r="AO990" s="149" t="str">
        <f>IF('Cable Info'!N850="","",CONCATENATE('Cable Info'!N850," - ",'Cable Info'!O850))</f>
        <v/>
      </c>
      <c r="AR990" s="149" t="str">
        <f t="shared" si="115"/>
        <v/>
      </c>
      <c r="AT990" s="149" t="str">
        <f>IF('Cable Info'!P850="","",CONCATENATE('Cable Info'!P850," - ",'Cable Info'!Q850))</f>
        <v/>
      </c>
      <c r="AW990" s="149" t="str">
        <f t="shared" si="116"/>
        <v/>
      </c>
      <c r="AY990" s="149" t="str">
        <f>IF('Cable Info'!R850="","",CONCATENATE('Cable Info'!R850," - ",'Cable Info'!S850))</f>
        <v/>
      </c>
      <c r="BB990" s="149" t="str">
        <f t="shared" si="117"/>
        <v/>
      </c>
      <c r="BD990" s="149" t="str">
        <f>IF('Cable Info'!T850="","",CONCATENATE('Cable Info'!T850," - ",'Cable Info'!U850))</f>
        <v/>
      </c>
      <c r="BG990" s="149" t="str">
        <f t="shared" si="118"/>
        <v/>
      </c>
      <c r="BI990" s="149" t="str">
        <f>IF('Cable Info'!V850="","",CONCATENATE('Cable Info'!V850," - ",'Cable Info'!W850))</f>
        <v/>
      </c>
      <c r="BL990" s="149" t="str">
        <f t="shared" si="119"/>
        <v/>
      </c>
    </row>
    <row r="991" spans="1:64" x14ac:dyDescent="0.2">
      <c r="A991" s="180"/>
      <c r="B991" s="180"/>
      <c r="C991" s="180"/>
      <c r="D991" s="180"/>
      <c r="E991" s="180"/>
      <c r="F991" s="187"/>
      <c r="G991" s="180"/>
      <c r="H991" s="180"/>
      <c r="I991" s="180"/>
      <c r="J991" s="187"/>
      <c r="K991" s="180"/>
      <c r="L991" s="180"/>
      <c r="M991" s="180"/>
      <c r="N991" s="180"/>
      <c r="O991" s="218"/>
      <c r="P991" s="180"/>
      <c r="Q991" s="188"/>
      <c r="R991" s="180"/>
      <c r="S991" s="180"/>
      <c r="T991" s="180"/>
      <c r="U991" s="180"/>
      <c r="V991" s="180"/>
      <c r="W991" s="180"/>
      <c r="X991" s="201"/>
      <c r="AJ991" s="149" t="str">
        <f>IF('Cable Info'!L851="","",CONCATENATE('Cable Info'!L851," - ",'Cable Info'!M851))</f>
        <v/>
      </c>
      <c r="AM991" s="149" t="str">
        <f t="shared" si="114"/>
        <v/>
      </c>
      <c r="AO991" s="149" t="str">
        <f>IF('Cable Info'!N851="","",CONCATENATE('Cable Info'!N851," - ",'Cable Info'!O851))</f>
        <v/>
      </c>
      <c r="AR991" s="149" t="str">
        <f t="shared" si="115"/>
        <v/>
      </c>
      <c r="AT991" s="149" t="str">
        <f>IF('Cable Info'!P851="","",CONCATENATE('Cable Info'!P851," - ",'Cable Info'!Q851))</f>
        <v/>
      </c>
      <c r="AW991" s="149" t="str">
        <f t="shared" si="116"/>
        <v/>
      </c>
      <c r="AY991" s="149" t="str">
        <f>IF('Cable Info'!R851="","",CONCATENATE('Cable Info'!R851," - ",'Cable Info'!S851))</f>
        <v/>
      </c>
      <c r="BB991" s="149" t="str">
        <f t="shared" si="117"/>
        <v/>
      </c>
      <c r="BD991" s="149" t="str">
        <f>IF('Cable Info'!T851="","",CONCATENATE('Cable Info'!T851," - ",'Cable Info'!U851))</f>
        <v/>
      </c>
      <c r="BG991" s="149" t="str">
        <f t="shared" si="118"/>
        <v/>
      </c>
      <c r="BI991" s="149" t="str">
        <f>IF('Cable Info'!V851="","",CONCATENATE('Cable Info'!V851," - ",'Cable Info'!W851))</f>
        <v/>
      </c>
      <c r="BL991" s="149" t="str">
        <f t="shared" si="119"/>
        <v/>
      </c>
    </row>
    <row r="992" spans="1:64" x14ac:dyDescent="0.2">
      <c r="A992" s="180"/>
      <c r="B992" s="180"/>
      <c r="C992" s="180"/>
      <c r="D992" s="180"/>
      <c r="E992" s="180"/>
      <c r="F992" s="187"/>
      <c r="G992" s="180"/>
      <c r="H992" s="180"/>
      <c r="I992" s="180"/>
      <c r="J992" s="187"/>
      <c r="K992" s="180"/>
      <c r="L992" s="180"/>
      <c r="M992" s="180"/>
      <c r="N992" s="180"/>
      <c r="O992" s="218"/>
      <c r="P992" s="180"/>
      <c r="Q992" s="188"/>
      <c r="R992" s="180"/>
      <c r="S992" s="180"/>
      <c r="T992" s="180"/>
      <c r="U992" s="180"/>
      <c r="V992" s="180"/>
      <c r="W992" s="180"/>
      <c r="X992" s="201"/>
      <c r="AJ992" s="149" t="str">
        <f>IF('Cable Info'!L852="","",CONCATENATE('Cable Info'!L852," - ",'Cable Info'!M852))</f>
        <v/>
      </c>
      <c r="AM992" s="149" t="str">
        <f t="shared" si="114"/>
        <v/>
      </c>
      <c r="AO992" s="149" t="str">
        <f>IF('Cable Info'!N852="","",CONCATENATE('Cable Info'!N852," - ",'Cable Info'!O852))</f>
        <v/>
      </c>
      <c r="AR992" s="149" t="str">
        <f t="shared" si="115"/>
        <v/>
      </c>
      <c r="AT992" s="149" t="str">
        <f>IF('Cable Info'!P852="","",CONCATENATE('Cable Info'!P852," - ",'Cable Info'!Q852))</f>
        <v/>
      </c>
      <c r="AW992" s="149" t="str">
        <f t="shared" si="116"/>
        <v/>
      </c>
      <c r="AY992" s="149" t="str">
        <f>IF('Cable Info'!R852="","",CONCATENATE('Cable Info'!R852," - ",'Cable Info'!S852))</f>
        <v/>
      </c>
      <c r="BB992" s="149" t="str">
        <f t="shared" si="117"/>
        <v/>
      </c>
      <c r="BD992" s="149" t="str">
        <f>IF('Cable Info'!T852="","",CONCATENATE('Cable Info'!T852," - ",'Cable Info'!U852))</f>
        <v/>
      </c>
      <c r="BG992" s="149" t="str">
        <f t="shared" si="118"/>
        <v/>
      </c>
      <c r="BI992" s="149" t="str">
        <f>IF('Cable Info'!V852="","",CONCATENATE('Cable Info'!V852," - ",'Cable Info'!W852))</f>
        <v/>
      </c>
      <c r="BL992" s="149" t="str">
        <f t="shared" si="119"/>
        <v/>
      </c>
    </row>
    <row r="993" spans="1:64" x14ac:dyDescent="0.2">
      <c r="A993" s="180"/>
      <c r="B993" s="180"/>
      <c r="C993" s="180"/>
      <c r="D993" s="180"/>
      <c r="E993" s="180"/>
      <c r="F993" s="187"/>
      <c r="G993" s="180"/>
      <c r="H993" s="180"/>
      <c r="I993" s="180"/>
      <c r="J993" s="187"/>
      <c r="K993" s="180"/>
      <c r="L993" s="180"/>
      <c r="M993" s="180"/>
      <c r="N993" s="180"/>
      <c r="O993" s="218"/>
      <c r="P993" s="180"/>
      <c r="Q993" s="188"/>
      <c r="R993" s="180"/>
      <c r="S993" s="180"/>
      <c r="T993" s="180"/>
      <c r="U993" s="180"/>
      <c r="V993" s="180"/>
      <c r="W993" s="180"/>
      <c r="X993" s="201"/>
      <c r="AJ993" s="149" t="str">
        <f>IF('Cable Info'!L853="","",CONCATENATE('Cable Info'!L853," - ",'Cable Info'!M853))</f>
        <v/>
      </c>
      <c r="AM993" s="149" t="str">
        <f t="shared" si="114"/>
        <v/>
      </c>
      <c r="AO993" s="149" t="str">
        <f>IF('Cable Info'!N853="","",CONCATENATE('Cable Info'!N853," - ",'Cable Info'!O853))</f>
        <v/>
      </c>
      <c r="AR993" s="149" t="str">
        <f t="shared" si="115"/>
        <v/>
      </c>
      <c r="AT993" s="149" t="str">
        <f>IF('Cable Info'!P853="","",CONCATENATE('Cable Info'!P853," - ",'Cable Info'!Q853))</f>
        <v/>
      </c>
      <c r="AW993" s="149" t="str">
        <f t="shared" si="116"/>
        <v/>
      </c>
      <c r="AY993" s="149" t="str">
        <f>IF('Cable Info'!R853="","",CONCATENATE('Cable Info'!R853," - ",'Cable Info'!S853))</f>
        <v/>
      </c>
      <c r="BB993" s="149" t="str">
        <f t="shared" si="117"/>
        <v/>
      </c>
      <c r="BD993" s="149" t="str">
        <f>IF('Cable Info'!T853="","",CONCATENATE('Cable Info'!T853," - ",'Cable Info'!U853))</f>
        <v/>
      </c>
      <c r="BG993" s="149" t="str">
        <f t="shared" si="118"/>
        <v/>
      </c>
      <c r="BI993" s="149" t="str">
        <f>IF('Cable Info'!V853="","",CONCATENATE('Cable Info'!V853," - ",'Cable Info'!W853))</f>
        <v/>
      </c>
      <c r="BL993" s="149" t="str">
        <f t="shared" si="119"/>
        <v/>
      </c>
    </row>
    <row r="994" spans="1:64" x14ac:dyDescent="0.2">
      <c r="A994" s="180"/>
      <c r="B994" s="180"/>
      <c r="C994" s="180"/>
      <c r="D994" s="180"/>
      <c r="E994" s="180"/>
      <c r="F994" s="187"/>
      <c r="G994" s="180"/>
      <c r="H994" s="180"/>
      <c r="I994" s="180"/>
      <c r="J994" s="187"/>
      <c r="K994" s="180"/>
      <c r="L994" s="180"/>
      <c r="M994" s="180"/>
      <c r="N994" s="180"/>
      <c r="O994" s="218"/>
      <c r="P994" s="180"/>
      <c r="Q994" s="188"/>
      <c r="R994" s="180"/>
      <c r="S994" s="180"/>
      <c r="T994" s="180"/>
      <c r="U994" s="180"/>
      <c r="V994" s="180"/>
      <c r="W994" s="180"/>
      <c r="X994" s="201"/>
      <c r="AJ994" s="149" t="str">
        <f>IF('Cable Info'!L854="","",CONCATENATE('Cable Info'!L854," - ",'Cable Info'!M854))</f>
        <v/>
      </c>
      <c r="AM994" s="149" t="str">
        <f t="shared" si="114"/>
        <v/>
      </c>
      <c r="AO994" s="149" t="str">
        <f>IF('Cable Info'!N854="","",CONCATENATE('Cable Info'!N854," - ",'Cable Info'!O854))</f>
        <v/>
      </c>
      <c r="AR994" s="149" t="str">
        <f t="shared" si="115"/>
        <v/>
      </c>
      <c r="AT994" s="149" t="str">
        <f>IF('Cable Info'!P854="","",CONCATENATE('Cable Info'!P854," - ",'Cable Info'!Q854))</f>
        <v/>
      </c>
      <c r="AW994" s="149" t="str">
        <f t="shared" si="116"/>
        <v/>
      </c>
      <c r="AY994" s="149" t="str">
        <f>IF('Cable Info'!R854="","",CONCATENATE('Cable Info'!R854," - ",'Cable Info'!S854))</f>
        <v/>
      </c>
      <c r="BB994" s="149" t="str">
        <f t="shared" si="117"/>
        <v/>
      </c>
      <c r="BD994" s="149" t="str">
        <f>IF('Cable Info'!T854="","",CONCATENATE('Cable Info'!T854," - ",'Cable Info'!U854))</f>
        <v/>
      </c>
      <c r="BG994" s="149" t="str">
        <f t="shared" si="118"/>
        <v/>
      </c>
      <c r="BI994" s="149" t="str">
        <f>IF('Cable Info'!V854="","",CONCATENATE('Cable Info'!V854," - ",'Cable Info'!W854))</f>
        <v/>
      </c>
      <c r="BL994" s="149" t="str">
        <f t="shared" si="119"/>
        <v/>
      </c>
    </row>
    <row r="995" spans="1:64" x14ac:dyDescent="0.2">
      <c r="A995" s="180"/>
      <c r="B995" s="180"/>
      <c r="C995" s="180"/>
      <c r="D995" s="180"/>
      <c r="E995" s="180"/>
      <c r="F995" s="187"/>
      <c r="G995" s="180"/>
      <c r="H995" s="180"/>
      <c r="I995" s="180"/>
      <c r="J995" s="187"/>
      <c r="K995" s="180"/>
      <c r="L995" s="180"/>
      <c r="M995" s="180"/>
      <c r="N995" s="180"/>
      <c r="O995" s="218"/>
      <c r="P995" s="180"/>
      <c r="Q995" s="188"/>
      <c r="R995" s="180"/>
      <c r="S995" s="180"/>
      <c r="T995" s="180"/>
      <c r="U995" s="180"/>
      <c r="V995" s="180"/>
      <c r="W995" s="180"/>
      <c r="X995" s="201"/>
      <c r="AJ995" s="149" t="str">
        <f>IF('Cable Info'!L855="","",CONCATENATE('Cable Info'!L855," - ",'Cable Info'!M855))</f>
        <v/>
      </c>
      <c r="AM995" s="149" t="str">
        <f t="shared" si="114"/>
        <v/>
      </c>
      <c r="AO995" s="149" t="str">
        <f>IF('Cable Info'!N855="","",CONCATENATE('Cable Info'!N855," - ",'Cable Info'!O855))</f>
        <v/>
      </c>
      <c r="AR995" s="149" t="str">
        <f t="shared" si="115"/>
        <v/>
      </c>
      <c r="AT995" s="149" t="str">
        <f>IF('Cable Info'!P855="","",CONCATENATE('Cable Info'!P855," - ",'Cable Info'!Q855))</f>
        <v/>
      </c>
      <c r="AW995" s="149" t="str">
        <f t="shared" si="116"/>
        <v/>
      </c>
      <c r="AY995" s="149" t="str">
        <f>IF('Cable Info'!R855="","",CONCATENATE('Cable Info'!R855," - ",'Cable Info'!S855))</f>
        <v/>
      </c>
      <c r="BB995" s="149" t="str">
        <f t="shared" si="117"/>
        <v/>
      </c>
      <c r="BD995" s="149" t="str">
        <f>IF('Cable Info'!T855="","",CONCATENATE('Cable Info'!T855," - ",'Cable Info'!U855))</f>
        <v/>
      </c>
      <c r="BG995" s="149" t="str">
        <f t="shared" si="118"/>
        <v/>
      </c>
      <c r="BI995" s="149" t="str">
        <f>IF('Cable Info'!V855="","",CONCATENATE('Cable Info'!V855," - ",'Cable Info'!W855))</f>
        <v/>
      </c>
      <c r="BL995" s="149" t="str">
        <f t="shared" si="119"/>
        <v/>
      </c>
    </row>
    <row r="996" spans="1:64" x14ac:dyDescent="0.2">
      <c r="A996" s="180"/>
      <c r="B996" s="180"/>
      <c r="C996" s="180"/>
      <c r="D996" s="180"/>
      <c r="E996" s="180"/>
      <c r="F996" s="187"/>
      <c r="G996" s="180"/>
      <c r="H996" s="180"/>
      <c r="I996" s="180"/>
      <c r="J996" s="187"/>
      <c r="K996" s="180"/>
      <c r="L996" s="180"/>
      <c r="M996" s="180"/>
      <c r="N996" s="180"/>
      <c r="O996" s="218"/>
      <c r="P996" s="180"/>
      <c r="Q996" s="188"/>
      <c r="R996" s="180"/>
      <c r="S996" s="180"/>
      <c r="T996" s="180"/>
      <c r="U996" s="180"/>
      <c r="V996" s="180"/>
      <c r="W996" s="180"/>
      <c r="X996" s="201"/>
      <c r="AJ996" s="149" t="str">
        <f>IF('Cable Info'!L856="","",CONCATENATE('Cable Info'!L856," - ",'Cable Info'!M856))</f>
        <v/>
      </c>
      <c r="AM996" s="149" t="str">
        <f t="shared" si="114"/>
        <v/>
      </c>
      <c r="AO996" s="149" t="str">
        <f>IF('Cable Info'!N856="","",CONCATENATE('Cable Info'!N856," - ",'Cable Info'!O856))</f>
        <v/>
      </c>
      <c r="AR996" s="149" t="str">
        <f t="shared" si="115"/>
        <v/>
      </c>
      <c r="AT996" s="149" t="str">
        <f>IF('Cable Info'!P856="","",CONCATENATE('Cable Info'!P856," - ",'Cable Info'!Q856))</f>
        <v/>
      </c>
      <c r="AW996" s="149" t="str">
        <f t="shared" si="116"/>
        <v/>
      </c>
      <c r="AY996" s="149" t="str">
        <f>IF('Cable Info'!R856="","",CONCATENATE('Cable Info'!R856," - ",'Cable Info'!S856))</f>
        <v/>
      </c>
      <c r="BB996" s="149" t="str">
        <f t="shared" si="117"/>
        <v/>
      </c>
      <c r="BD996" s="149" t="str">
        <f>IF('Cable Info'!T856="","",CONCATENATE('Cable Info'!T856," - ",'Cable Info'!U856))</f>
        <v/>
      </c>
      <c r="BG996" s="149" t="str">
        <f t="shared" si="118"/>
        <v/>
      </c>
      <c r="BI996" s="149" t="str">
        <f>IF('Cable Info'!V856="","",CONCATENATE('Cable Info'!V856," - ",'Cable Info'!W856))</f>
        <v/>
      </c>
      <c r="BL996" s="149" t="str">
        <f t="shared" si="119"/>
        <v/>
      </c>
    </row>
    <row r="997" spans="1:64" x14ac:dyDescent="0.2">
      <c r="A997" s="180"/>
      <c r="B997" s="180"/>
      <c r="C997" s="180"/>
      <c r="D997" s="180"/>
      <c r="E997" s="180"/>
      <c r="F997" s="187"/>
      <c r="G997" s="180"/>
      <c r="H997" s="180"/>
      <c r="I997" s="180"/>
      <c r="J997" s="187"/>
      <c r="K997" s="180"/>
      <c r="L997" s="180"/>
      <c r="M997" s="180"/>
      <c r="N997" s="180"/>
      <c r="O997" s="218"/>
      <c r="P997" s="180"/>
      <c r="Q997" s="188"/>
      <c r="R997" s="180"/>
      <c r="S997" s="180"/>
      <c r="T997" s="180"/>
      <c r="U997" s="180"/>
      <c r="V997" s="180"/>
      <c r="W997" s="180"/>
      <c r="X997" s="201"/>
      <c r="AJ997" s="149" t="str">
        <f>IF('Cable Info'!L857="","",CONCATENATE('Cable Info'!L857," - ",'Cable Info'!M857))</f>
        <v/>
      </c>
      <c r="AM997" s="149" t="str">
        <f t="shared" si="114"/>
        <v/>
      </c>
      <c r="AO997" s="149" t="str">
        <f>IF('Cable Info'!N857="","",CONCATENATE('Cable Info'!N857," - ",'Cable Info'!O857))</f>
        <v/>
      </c>
      <c r="AR997" s="149" t="str">
        <f t="shared" si="115"/>
        <v/>
      </c>
      <c r="AT997" s="149" t="str">
        <f>IF('Cable Info'!P857="","",CONCATENATE('Cable Info'!P857," - ",'Cable Info'!Q857))</f>
        <v/>
      </c>
      <c r="AW997" s="149" t="str">
        <f t="shared" si="116"/>
        <v/>
      </c>
      <c r="AY997" s="149" t="str">
        <f>IF('Cable Info'!R857="","",CONCATENATE('Cable Info'!R857," - ",'Cable Info'!S857))</f>
        <v/>
      </c>
      <c r="BB997" s="149" t="str">
        <f t="shared" si="117"/>
        <v/>
      </c>
      <c r="BD997" s="149" t="str">
        <f>IF('Cable Info'!T857="","",CONCATENATE('Cable Info'!T857," - ",'Cable Info'!U857))</f>
        <v/>
      </c>
      <c r="BG997" s="149" t="str">
        <f t="shared" si="118"/>
        <v/>
      </c>
      <c r="BI997" s="149" t="str">
        <f>IF('Cable Info'!V857="","",CONCATENATE('Cable Info'!V857," - ",'Cable Info'!W857))</f>
        <v/>
      </c>
      <c r="BL997" s="149" t="str">
        <f t="shared" si="119"/>
        <v/>
      </c>
    </row>
    <row r="998" spans="1:64" x14ac:dyDescent="0.2">
      <c r="A998" s="180"/>
      <c r="B998" s="180"/>
      <c r="C998" s="180"/>
      <c r="D998" s="180"/>
      <c r="E998" s="180"/>
      <c r="F998" s="187"/>
      <c r="G998" s="180"/>
      <c r="H998" s="180"/>
      <c r="I998" s="180"/>
      <c r="J998" s="187"/>
      <c r="K998" s="180"/>
      <c r="L998" s="180"/>
      <c r="M998" s="180"/>
      <c r="N998" s="180"/>
      <c r="O998" s="218"/>
      <c r="P998" s="180"/>
      <c r="Q998" s="188"/>
      <c r="R998" s="180"/>
      <c r="S998" s="180"/>
      <c r="T998" s="180"/>
      <c r="U998" s="180"/>
      <c r="V998" s="180"/>
      <c r="W998" s="180"/>
      <c r="X998" s="201"/>
      <c r="AJ998" s="149" t="str">
        <f>IF('Cable Info'!L858="","",CONCATENATE('Cable Info'!L858," - ",'Cable Info'!M858))</f>
        <v/>
      </c>
      <c r="AM998" s="149" t="str">
        <f t="shared" si="114"/>
        <v/>
      </c>
      <c r="AO998" s="149" t="str">
        <f>IF('Cable Info'!N858="","",CONCATENATE('Cable Info'!N858," - ",'Cable Info'!O858))</f>
        <v/>
      </c>
      <c r="AR998" s="149" t="str">
        <f t="shared" si="115"/>
        <v/>
      </c>
      <c r="AT998" s="149" t="str">
        <f>IF('Cable Info'!P858="","",CONCATENATE('Cable Info'!P858," - ",'Cable Info'!Q858))</f>
        <v/>
      </c>
      <c r="AW998" s="149" t="str">
        <f t="shared" si="116"/>
        <v/>
      </c>
      <c r="AY998" s="149" t="str">
        <f>IF('Cable Info'!R858="","",CONCATENATE('Cable Info'!R858," - ",'Cable Info'!S858))</f>
        <v/>
      </c>
      <c r="BB998" s="149" t="str">
        <f t="shared" si="117"/>
        <v/>
      </c>
      <c r="BD998" s="149" t="str">
        <f>IF('Cable Info'!T858="","",CONCATENATE('Cable Info'!T858," - ",'Cable Info'!U858))</f>
        <v/>
      </c>
      <c r="BG998" s="149" t="str">
        <f t="shared" si="118"/>
        <v/>
      </c>
      <c r="BI998" s="149" t="str">
        <f>IF('Cable Info'!V858="","",CONCATENATE('Cable Info'!V858," - ",'Cable Info'!W858))</f>
        <v/>
      </c>
      <c r="BL998" s="149" t="str">
        <f t="shared" si="119"/>
        <v/>
      </c>
    </row>
    <row r="999" spans="1:64" x14ac:dyDescent="0.2">
      <c r="A999" s="180"/>
      <c r="B999" s="180"/>
      <c r="C999" s="180"/>
      <c r="D999" s="180"/>
      <c r="E999" s="180"/>
      <c r="F999" s="187"/>
      <c r="G999" s="180"/>
      <c r="H999" s="180"/>
      <c r="I999" s="180"/>
      <c r="J999" s="187"/>
      <c r="K999" s="180"/>
      <c r="L999" s="180"/>
      <c r="M999" s="180"/>
      <c r="N999" s="180"/>
      <c r="O999" s="218"/>
      <c r="P999" s="180"/>
      <c r="Q999" s="188"/>
      <c r="R999" s="180"/>
      <c r="S999" s="180"/>
      <c r="T999" s="180"/>
      <c r="U999" s="180"/>
      <c r="V999" s="180"/>
      <c r="W999" s="180"/>
      <c r="X999" s="201"/>
      <c r="AJ999" s="149" t="str">
        <f>IF('Cable Info'!L859="","",CONCATENATE('Cable Info'!L859," - ",'Cable Info'!M859))</f>
        <v/>
      </c>
      <c r="AM999" s="149" t="str">
        <f t="shared" si="114"/>
        <v/>
      </c>
      <c r="AO999" s="149" t="str">
        <f>IF('Cable Info'!N859="","",CONCATENATE('Cable Info'!N859," - ",'Cable Info'!O859))</f>
        <v/>
      </c>
      <c r="AR999" s="149" t="str">
        <f t="shared" si="115"/>
        <v/>
      </c>
      <c r="AT999" s="149" t="str">
        <f>IF('Cable Info'!P859="","",CONCATENATE('Cable Info'!P859," - ",'Cable Info'!Q859))</f>
        <v/>
      </c>
      <c r="AW999" s="149" t="str">
        <f t="shared" si="116"/>
        <v/>
      </c>
      <c r="AY999" s="149" t="str">
        <f>IF('Cable Info'!R859="","",CONCATENATE('Cable Info'!R859," - ",'Cable Info'!S859))</f>
        <v/>
      </c>
      <c r="BB999" s="149" t="str">
        <f t="shared" si="117"/>
        <v/>
      </c>
      <c r="BD999" s="149" t="str">
        <f>IF('Cable Info'!T859="","",CONCATENATE('Cable Info'!T859," - ",'Cable Info'!U859))</f>
        <v/>
      </c>
      <c r="BG999" s="149" t="str">
        <f t="shared" si="118"/>
        <v/>
      </c>
      <c r="BI999" s="149" t="str">
        <f>IF('Cable Info'!V859="","",CONCATENATE('Cable Info'!V859," - ",'Cable Info'!W859))</f>
        <v/>
      </c>
      <c r="BL999" s="149" t="str">
        <f t="shared" si="119"/>
        <v/>
      </c>
    </row>
    <row r="1000" spans="1:64" x14ac:dyDescent="0.2">
      <c r="A1000" s="180"/>
      <c r="B1000" s="180"/>
      <c r="C1000" s="180"/>
      <c r="D1000" s="180"/>
      <c r="E1000" s="180"/>
      <c r="F1000" s="187"/>
      <c r="G1000" s="180"/>
      <c r="H1000" s="180"/>
      <c r="I1000" s="180"/>
      <c r="J1000" s="187"/>
      <c r="K1000" s="180"/>
      <c r="L1000" s="180"/>
      <c r="M1000" s="180"/>
      <c r="N1000" s="180"/>
      <c r="O1000" s="218"/>
      <c r="P1000" s="180"/>
      <c r="Q1000" s="188"/>
      <c r="R1000" s="180"/>
      <c r="S1000" s="180"/>
      <c r="T1000" s="180"/>
      <c r="U1000" s="180"/>
      <c r="V1000" s="180"/>
      <c r="W1000" s="180"/>
      <c r="X1000" s="201"/>
      <c r="AJ1000" s="149" t="str">
        <f>IF('Cable Info'!L860="","",CONCATENATE('Cable Info'!L860," - ",'Cable Info'!M860))</f>
        <v/>
      </c>
      <c r="AM1000" s="149" t="str">
        <f t="shared" si="114"/>
        <v/>
      </c>
      <c r="AO1000" s="149" t="str">
        <f>IF('Cable Info'!N860="","",CONCATENATE('Cable Info'!N860," - ",'Cable Info'!O860))</f>
        <v/>
      </c>
      <c r="AR1000" s="149" t="str">
        <f t="shared" si="115"/>
        <v/>
      </c>
      <c r="AT1000" s="149" t="str">
        <f>IF('Cable Info'!P860="","",CONCATENATE('Cable Info'!P860," - ",'Cable Info'!Q860))</f>
        <v/>
      </c>
      <c r="AW1000" s="149" t="str">
        <f t="shared" si="116"/>
        <v/>
      </c>
      <c r="AY1000" s="149" t="str">
        <f>IF('Cable Info'!R860="","",CONCATENATE('Cable Info'!R860," - ",'Cable Info'!S860))</f>
        <v/>
      </c>
      <c r="BB1000" s="149" t="str">
        <f t="shared" si="117"/>
        <v/>
      </c>
      <c r="BD1000" s="149" t="str">
        <f>IF('Cable Info'!T860="","",CONCATENATE('Cable Info'!T860," - ",'Cable Info'!U860))</f>
        <v/>
      </c>
      <c r="BG1000" s="149" t="str">
        <f t="shared" si="118"/>
        <v/>
      </c>
      <c r="BI1000" s="149" t="str">
        <f>IF('Cable Info'!V860="","",CONCATENATE('Cable Info'!V860," - ",'Cable Info'!W860))</f>
        <v/>
      </c>
      <c r="BL1000" s="149" t="str">
        <f t="shared" si="119"/>
        <v/>
      </c>
    </row>
    <row r="1001" spans="1:64" x14ac:dyDescent="0.2">
      <c r="A1001" s="180"/>
      <c r="B1001" s="180"/>
      <c r="C1001" s="180"/>
      <c r="D1001" s="180"/>
      <c r="E1001" s="180"/>
      <c r="F1001" s="187"/>
      <c r="G1001" s="180"/>
      <c r="H1001" s="180"/>
      <c r="I1001" s="180"/>
      <c r="J1001" s="187"/>
      <c r="K1001" s="180"/>
      <c r="L1001" s="180"/>
      <c r="M1001" s="180"/>
      <c r="N1001" s="180"/>
      <c r="O1001" s="218"/>
      <c r="P1001" s="180"/>
      <c r="Q1001" s="188"/>
      <c r="R1001" s="180"/>
      <c r="S1001" s="180"/>
      <c r="T1001" s="180"/>
      <c r="U1001" s="180"/>
      <c r="V1001" s="180"/>
      <c r="W1001" s="180"/>
      <c r="X1001" s="201"/>
      <c r="AJ1001" s="149" t="str">
        <f>IF('Cable Info'!L861="","",CONCATENATE('Cable Info'!L861," - ",'Cable Info'!M861))</f>
        <v/>
      </c>
      <c r="AM1001" s="149" t="str">
        <f t="shared" si="114"/>
        <v/>
      </c>
      <c r="AO1001" s="149" t="str">
        <f>IF('Cable Info'!N861="","",CONCATENATE('Cable Info'!N861," - ",'Cable Info'!O861))</f>
        <v/>
      </c>
      <c r="AR1001" s="149" t="str">
        <f t="shared" si="115"/>
        <v/>
      </c>
      <c r="AT1001" s="149" t="str">
        <f>IF('Cable Info'!P861="","",CONCATENATE('Cable Info'!P861," - ",'Cable Info'!Q861))</f>
        <v/>
      </c>
      <c r="AW1001" s="149" t="str">
        <f t="shared" si="116"/>
        <v/>
      </c>
      <c r="AY1001" s="149" t="str">
        <f>IF('Cable Info'!R861="","",CONCATENATE('Cable Info'!R861," - ",'Cable Info'!S861))</f>
        <v/>
      </c>
      <c r="BB1001" s="149" t="str">
        <f t="shared" si="117"/>
        <v/>
      </c>
      <c r="BD1001" s="149" t="str">
        <f>IF('Cable Info'!T861="","",CONCATENATE('Cable Info'!T861," - ",'Cable Info'!U861))</f>
        <v/>
      </c>
      <c r="BG1001" s="149" t="str">
        <f t="shared" si="118"/>
        <v/>
      </c>
      <c r="BI1001" s="149" t="str">
        <f>IF('Cable Info'!V861="","",CONCATENATE('Cable Info'!V861," - ",'Cable Info'!W861))</f>
        <v/>
      </c>
      <c r="BL1001" s="149" t="str">
        <f t="shared" si="119"/>
        <v/>
      </c>
    </row>
    <row r="1002" spans="1:64" x14ac:dyDescent="0.2">
      <c r="A1002" s="180"/>
      <c r="B1002" s="180"/>
      <c r="C1002" s="180"/>
      <c r="D1002" s="180"/>
      <c r="E1002" s="180"/>
      <c r="F1002" s="187"/>
      <c r="G1002" s="180"/>
      <c r="H1002" s="180"/>
      <c r="I1002" s="180"/>
      <c r="J1002" s="187"/>
      <c r="K1002" s="180"/>
      <c r="L1002" s="180"/>
      <c r="M1002" s="180"/>
      <c r="N1002" s="180"/>
      <c r="O1002" s="218"/>
      <c r="P1002" s="180"/>
      <c r="Q1002" s="188"/>
      <c r="R1002" s="180"/>
      <c r="S1002" s="180"/>
      <c r="T1002" s="180"/>
      <c r="U1002" s="180"/>
      <c r="V1002" s="180"/>
      <c r="W1002" s="180"/>
      <c r="X1002" s="201"/>
      <c r="AJ1002" s="149" t="str">
        <f>IF('Cable Info'!L862="","",CONCATENATE('Cable Info'!L862," - ",'Cable Info'!M862))</f>
        <v/>
      </c>
      <c r="AM1002" s="149" t="str">
        <f t="shared" si="114"/>
        <v/>
      </c>
      <c r="AO1002" s="149" t="str">
        <f>IF('Cable Info'!N862="","",CONCATENATE('Cable Info'!N862," - ",'Cable Info'!O862))</f>
        <v/>
      </c>
      <c r="AR1002" s="149" t="str">
        <f t="shared" si="115"/>
        <v/>
      </c>
      <c r="AT1002" s="149" t="str">
        <f>IF('Cable Info'!P862="","",CONCATENATE('Cable Info'!P862," - ",'Cable Info'!Q862))</f>
        <v/>
      </c>
      <c r="AW1002" s="149" t="str">
        <f t="shared" si="116"/>
        <v/>
      </c>
      <c r="AY1002" s="149" t="str">
        <f>IF('Cable Info'!R862="","",CONCATENATE('Cable Info'!R862," - ",'Cable Info'!S862))</f>
        <v/>
      </c>
      <c r="BB1002" s="149" t="str">
        <f t="shared" si="117"/>
        <v/>
      </c>
      <c r="BD1002" s="149" t="str">
        <f>IF('Cable Info'!T862="","",CONCATENATE('Cable Info'!T862," - ",'Cable Info'!U862))</f>
        <v/>
      </c>
      <c r="BG1002" s="149" t="str">
        <f t="shared" si="118"/>
        <v/>
      </c>
      <c r="BI1002" s="149" t="str">
        <f>IF('Cable Info'!V862="","",CONCATENATE('Cable Info'!V862," - ",'Cable Info'!W862))</f>
        <v/>
      </c>
      <c r="BL1002" s="149" t="str">
        <f t="shared" si="119"/>
        <v/>
      </c>
    </row>
    <row r="1003" spans="1:64" x14ac:dyDescent="0.2">
      <c r="A1003" s="180"/>
      <c r="B1003" s="180"/>
      <c r="C1003" s="180"/>
      <c r="D1003" s="180"/>
      <c r="E1003" s="180"/>
      <c r="F1003" s="187"/>
      <c r="G1003" s="180"/>
      <c r="H1003" s="180"/>
      <c r="I1003" s="180"/>
      <c r="J1003" s="187"/>
      <c r="K1003" s="180"/>
      <c r="L1003" s="180"/>
      <c r="M1003" s="180"/>
      <c r="N1003" s="180"/>
      <c r="O1003" s="218"/>
      <c r="P1003" s="180"/>
      <c r="Q1003" s="188"/>
      <c r="R1003" s="180"/>
      <c r="S1003" s="180"/>
      <c r="T1003" s="180"/>
      <c r="U1003" s="180"/>
      <c r="V1003" s="180"/>
      <c r="W1003" s="180"/>
      <c r="X1003" s="201"/>
      <c r="AJ1003" s="149" t="str">
        <f>IF('Cable Info'!L863="","",CONCATENATE('Cable Info'!L863," - ",'Cable Info'!M863))</f>
        <v/>
      </c>
      <c r="AM1003" s="149" t="str">
        <f t="shared" si="114"/>
        <v/>
      </c>
      <c r="AO1003" s="149" t="str">
        <f>IF('Cable Info'!N863="","",CONCATENATE('Cable Info'!N863," - ",'Cable Info'!O863))</f>
        <v/>
      </c>
      <c r="AR1003" s="149" t="str">
        <f t="shared" si="115"/>
        <v/>
      </c>
      <c r="AT1003" s="149" t="str">
        <f>IF('Cable Info'!P863="","",CONCATENATE('Cable Info'!P863," - ",'Cable Info'!Q863))</f>
        <v/>
      </c>
      <c r="AW1003" s="149" t="str">
        <f t="shared" si="116"/>
        <v/>
      </c>
      <c r="AY1003" s="149" t="str">
        <f>IF('Cable Info'!R863="","",CONCATENATE('Cable Info'!R863," - ",'Cable Info'!S863))</f>
        <v/>
      </c>
      <c r="BB1003" s="149" t="str">
        <f t="shared" si="117"/>
        <v/>
      </c>
      <c r="BD1003" s="149" t="str">
        <f>IF('Cable Info'!T863="","",CONCATENATE('Cable Info'!T863," - ",'Cable Info'!U863))</f>
        <v/>
      </c>
      <c r="BG1003" s="149" t="str">
        <f t="shared" si="118"/>
        <v/>
      </c>
      <c r="BI1003" s="149" t="str">
        <f>IF('Cable Info'!V863="","",CONCATENATE('Cable Info'!V863," - ",'Cable Info'!W863))</f>
        <v/>
      </c>
      <c r="BL1003" s="149" t="str">
        <f t="shared" si="119"/>
        <v/>
      </c>
    </row>
    <row r="1004" spans="1:64" x14ac:dyDescent="0.2">
      <c r="A1004" s="180"/>
      <c r="B1004" s="180"/>
      <c r="C1004" s="180"/>
      <c r="D1004" s="180"/>
      <c r="E1004" s="180"/>
      <c r="F1004" s="187"/>
      <c r="G1004" s="180"/>
      <c r="H1004" s="180"/>
      <c r="I1004" s="180"/>
      <c r="J1004" s="187"/>
      <c r="K1004" s="180"/>
      <c r="L1004" s="180"/>
      <c r="M1004" s="180"/>
      <c r="N1004" s="180"/>
      <c r="O1004" s="218"/>
      <c r="P1004" s="180"/>
      <c r="Q1004" s="188"/>
      <c r="R1004" s="180"/>
      <c r="S1004" s="180"/>
      <c r="T1004" s="180"/>
      <c r="U1004" s="180"/>
      <c r="V1004" s="180"/>
      <c r="W1004" s="180"/>
      <c r="X1004" s="201"/>
      <c r="AJ1004" s="149" t="str">
        <f>IF('Cable Info'!L864="","",CONCATENATE('Cable Info'!L864," - ",'Cable Info'!M864))</f>
        <v/>
      </c>
      <c r="AM1004" s="149" t="str">
        <f t="shared" si="114"/>
        <v/>
      </c>
      <c r="AO1004" s="149" t="str">
        <f>IF('Cable Info'!N864="","",CONCATENATE('Cable Info'!N864," - ",'Cable Info'!O864))</f>
        <v/>
      </c>
      <c r="AR1004" s="149" t="str">
        <f t="shared" si="115"/>
        <v/>
      </c>
      <c r="AT1004" s="149" t="str">
        <f>IF('Cable Info'!P864="","",CONCATENATE('Cable Info'!P864," - ",'Cable Info'!Q864))</f>
        <v/>
      </c>
      <c r="AW1004" s="149" t="str">
        <f t="shared" si="116"/>
        <v/>
      </c>
      <c r="AY1004" s="149" t="str">
        <f>IF('Cable Info'!R864="","",CONCATENATE('Cable Info'!R864," - ",'Cable Info'!S864))</f>
        <v/>
      </c>
      <c r="BB1004" s="149" t="str">
        <f t="shared" si="117"/>
        <v/>
      </c>
      <c r="BD1004" s="149" t="str">
        <f>IF('Cable Info'!T864="","",CONCATENATE('Cable Info'!T864," - ",'Cable Info'!U864))</f>
        <v/>
      </c>
      <c r="BG1004" s="149" t="str">
        <f t="shared" si="118"/>
        <v/>
      </c>
      <c r="BI1004" s="149" t="str">
        <f>IF('Cable Info'!V864="","",CONCATENATE('Cable Info'!V864," - ",'Cable Info'!W864))</f>
        <v/>
      </c>
      <c r="BL1004" s="149" t="str">
        <f t="shared" si="119"/>
        <v/>
      </c>
    </row>
    <row r="1005" spans="1:64" x14ac:dyDescent="0.2">
      <c r="AF1005" s="173"/>
      <c r="AJ1005" s="149" t="str">
        <f>IF('Cable Info'!L865="","",CONCATENATE('Cable Info'!L865," - ",'Cable Info'!M865))</f>
        <v/>
      </c>
      <c r="AM1005" s="149" t="str">
        <f t="shared" si="114"/>
        <v/>
      </c>
      <c r="AO1005" s="149" t="str">
        <f>IF('Cable Info'!N865="","",CONCATENATE('Cable Info'!N865," - ",'Cable Info'!O865))</f>
        <v/>
      </c>
      <c r="AR1005" s="149" t="str">
        <f t="shared" si="115"/>
        <v/>
      </c>
      <c r="AT1005" s="149" t="str">
        <f>IF('Cable Info'!P865="","",CONCATENATE('Cable Info'!P865," - ",'Cable Info'!Q865))</f>
        <v/>
      </c>
      <c r="AW1005" s="149" t="str">
        <f t="shared" si="116"/>
        <v/>
      </c>
      <c r="AY1005" s="149" t="str">
        <f>IF('Cable Info'!R865="","",CONCATENATE('Cable Info'!R865," - ",'Cable Info'!S865))</f>
        <v/>
      </c>
      <c r="BB1005" s="149" t="str">
        <f t="shared" si="117"/>
        <v/>
      </c>
      <c r="BD1005" s="149" t="str">
        <f>IF('Cable Info'!T865="","",CONCATENATE('Cable Info'!T865," - ",'Cable Info'!U865))</f>
        <v/>
      </c>
      <c r="BG1005" s="149" t="str">
        <f t="shared" si="118"/>
        <v/>
      </c>
      <c r="BI1005" s="149" t="str">
        <f>IF('Cable Info'!V865="","",CONCATENATE('Cable Info'!V865," - ",'Cable Info'!W865))</f>
        <v/>
      </c>
      <c r="BL1005" s="149" t="str">
        <f t="shared" si="119"/>
        <v/>
      </c>
    </row>
  </sheetData>
  <sheetProtection algorithmName="SHA-512" hashValue="FGODgA4q/mTpyDxFMydXr8PnrjcVuiO0nR7NGAYb0oGshNewLPupAQ6K3ywYmLJYk9/tyYCsRZm1bU4uGvfrRQ==" saltValue="lSwOuKgqqOEXEX/pL6N8dg==" spinCount="100000" sheet="1" objects="1" scenarios="1" selectLockedCells="1" sort="0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E10:G13 E154:G224">
    <cfRule type="expression" dxfId="37" priority="27">
      <formula>$Y10=1</formula>
    </cfRule>
  </conditionalFormatting>
  <conditionalFormatting sqref="I10:K13 I154:K224">
    <cfRule type="expression" dxfId="36" priority="26">
      <formula>$Z10=1</formula>
    </cfRule>
  </conditionalFormatting>
  <conditionalFormatting sqref="E10:K13 E154:K224">
    <cfRule type="expression" dxfId="35" priority="25">
      <formula>$AB10=1</formula>
    </cfRule>
  </conditionalFormatting>
  <conditionalFormatting sqref="R10:W13 B10:P13 B154:P224 R154:W224">
    <cfRule type="expression" dxfId="34" priority="24">
      <formula>$X10=12</formula>
    </cfRule>
  </conditionalFormatting>
  <conditionalFormatting sqref="R10:W13 B10:P13 B154:P224 R154:W224">
    <cfRule type="expression" dxfId="33" priority="21">
      <formula>$X10=1</formula>
    </cfRule>
    <cfRule type="expression" dxfId="32" priority="22">
      <formula>$X10=2</formula>
    </cfRule>
    <cfRule type="expression" dxfId="31" priority="23">
      <formula>$X10=11</formula>
    </cfRule>
  </conditionalFormatting>
  <conditionalFormatting sqref="R10:X13 B10:P13 B154:P224 R154:X224">
    <cfRule type="expression" dxfId="30" priority="20">
      <formula>$X10=9</formula>
    </cfRule>
  </conditionalFormatting>
  <conditionalFormatting sqref="E84:G153">
    <cfRule type="expression" dxfId="29" priority="16">
      <formula>$Y84=1</formula>
    </cfRule>
  </conditionalFormatting>
  <conditionalFormatting sqref="I84:K153">
    <cfRule type="expression" dxfId="28" priority="15">
      <formula>$Z84=1</formula>
    </cfRule>
  </conditionalFormatting>
  <conditionalFormatting sqref="E84:K153">
    <cfRule type="expression" dxfId="27" priority="14">
      <formula>$AB84=1</formula>
    </cfRule>
  </conditionalFormatting>
  <conditionalFormatting sqref="B84:P153 R84:W153">
    <cfRule type="expression" dxfId="26" priority="13">
      <formula>$X84=12</formula>
    </cfRule>
  </conditionalFormatting>
  <conditionalFormatting sqref="B84:P153 R84:W153">
    <cfRule type="expression" dxfId="25" priority="10">
      <formula>$X84=1</formula>
    </cfRule>
    <cfRule type="expression" dxfId="24" priority="11">
      <formula>$X84=2</formula>
    </cfRule>
    <cfRule type="expression" dxfId="23" priority="12">
      <formula>$X84=11</formula>
    </cfRule>
  </conditionalFormatting>
  <conditionalFormatting sqref="B84:P153 R84:X153">
    <cfRule type="expression" dxfId="22" priority="9">
      <formula>$X84=9</formula>
    </cfRule>
  </conditionalFormatting>
  <conditionalFormatting sqref="E14:G83">
    <cfRule type="expression" dxfId="21" priority="8">
      <formula>$Y14=1</formula>
    </cfRule>
  </conditionalFormatting>
  <conditionalFormatting sqref="I14:K83">
    <cfRule type="expression" dxfId="20" priority="7">
      <formula>$Z14=1</formula>
    </cfRule>
  </conditionalFormatting>
  <conditionalFormatting sqref="E14:K83">
    <cfRule type="expression" dxfId="19" priority="6">
      <formula>$AB14=1</formula>
    </cfRule>
  </conditionalFormatting>
  <conditionalFormatting sqref="B14:P83 R14:W83">
    <cfRule type="expression" dxfId="18" priority="5">
      <formula>$X14=12</formula>
    </cfRule>
  </conditionalFormatting>
  <conditionalFormatting sqref="B14:P83 R14:W83">
    <cfRule type="expression" dxfId="17" priority="2">
      <formula>$X14=1</formula>
    </cfRule>
    <cfRule type="expression" dxfId="16" priority="3">
      <formula>$X14=2</formula>
    </cfRule>
    <cfRule type="expression" dxfId="15" priority="4">
      <formula>$X14=11</formula>
    </cfRule>
  </conditionalFormatting>
  <conditionalFormatting sqref="B14:P83 R14:X83">
    <cfRule type="expression" dxfId="14" priority="1">
      <formula>$X14=9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224">
      <formula1>T10</formula1>
    </dataValidation>
    <dataValidation type="list" allowBlank="1" showInputMessage="1" showErrorMessage="1" sqref="R10:R224">
      <formula1>$Y$1:$Y$2</formula1>
    </dataValidation>
    <dataValidation type="list" allowBlank="1" showInputMessage="1" showErrorMessage="1" sqref="S10:S224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1268" r:id="rId4" name="CommandButton3">
          <controlPr defaultSize="0" autoLine="0" r:id="rId5">
            <anchor moveWithCells="1">
              <from>
                <xdr:col>13</xdr:col>
                <xdr:colOff>161925</xdr:colOff>
                <xdr:row>4</xdr:row>
                <xdr:rowOff>190500</xdr:rowOff>
              </from>
              <to>
                <xdr:col>14</xdr:col>
                <xdr:colOff>485775</xdr:colOff>
                <xdr:row>5</xdr:row>
                <xdr:rowOff>266700</xdr:rowOff>
              </to>
            </anchor>
          </controlPr>
        </control>
      </mc:Choice>
      <mc:Fallback>
        <control shapeId="11268" r:id="rId4" name="CommandButton3"/>
      </mc:Fallback>
    </mc:AlternateContent>
    <mc:AlternateContent xmlns:mc="http://schemas.openxmlformats.org/markup-compatibility/2006">
      <mc:Choice Requires="x14">
        <control shapeId="11267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11267" r:id="rId6" name="CommandButton2"/>
      </mc:Fallback>
    </mc:AlternateContent>
    <mc:AlternateContent xmlns:mc="http://schemas.openxmlformats.org/markup-compatibility/2006">
      <mc:Choice Requires="x14">
        <control shapeId="11266" r:id="rId8" name="CommandButton1">
          <controlPr defaultSize="0" autoLine="0" r:id="rId9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11266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-0.249977111117893"/>
    <pageSetUpPr fitToPage="1"/>
  </sheetPr>
  <dimension ref="A1:DT904"/>
  <sheetViews>
    <sheetView showGridLines="0" zoomScaleNormal="100" workbookViewId="0">
      <selection activeCell="I27" sqref="I27"/>
    </sheetView>
  </sheetViews>
  <sheetFormatPr defaultRowHeight="12.75" x14ac:dyDescent="0.2"/>
  <cols>
    <col min="1" max="1" width="1.7109375" style="458" customWidth="1"/>
    <col min="2" max="2" width="5.28515625" style="458" customWidth="1"/>
    <col min="3" max="3" width="32.5703125" style="458" customWidth="1"/>
    <col min="4" max="4" width="10.28515625" style="458" customWidth="1"/>
    <col min="5" max="5" width="6.5703125" style="458" customWidth="1"/>
    <col min="6" max="6" width="1.85546875" style="456" customWidth="1"/>
    <col min="7" max="7" width="6.5703125" style="458" customWidth="1"/>
    <col min="8" max="8" width="10.42578125" style="458" bestFit="1" customWidth="1"/>
    <col min="9" max="9" width="47.85546875" style="471" customWidth="1"/>
    <col min="10" max="10" width="29" style="458" customWidth="1"/>
    <col min="11" max="11" width="14" style="459" customWidth="1"/>
    <col min="12" max="12" width="2.140625" style="460" customWidth="1"/>
    <col min="13" max="13" width="11.85546875" style="458" customWidth="1"/>
    <col min="14" max="14" width="24.5703125" style="458" customWidth="1"/>
    <col min="15" max="15" width="1.85546875" style="461" customWidth="1"/>
    <col min="16" max="16" width="7.85546875" style="456" hidden="1" customWidth="1"/>
    <col min="17" max="17" width="9.140625" style="457" hidden="1" customWidth="1"/>
    <col min="18" max="18" width="1.42578125" style="369" customWidth="1"/>
    <col min="19" max="19" width="99" style="369" customWidth="1"/>
    <col min="20" max="124" width="9.140625" style="369"/>
    <col min="125" max="16384" width="9.140625" style="458"/>
  </cols>
  <sheetData>
    <row r="1" spans="1:19" ht="13.5" thickBot="1" x14ac:dyDescent="0.25">
      <c r="A1" s="361"/>
      <c r="B1" s="362"/>
      <c r="C1" s="362"/>
      <c r="D1" s="362"/>
      <c r="E1" s="362"/>
      <c r="F1" s="363"/>
      <c r="G1" s="362"/>
      <c r="H1" s="362"/>
      <c r="I1" s="462"/>
      <c r="J1" s="362"/>
      <c r="K1" s="364"/>
      <c r="L1" s="365"/>
      <c r="M1" s="362"/>
      <c r="N1" s="362"/>
      <c r="O1" s="366"/>
      <c r="P1" s="367" t="s">
        <v>77</v>
      </c>
      <c r="Q1" s="368" t="s">
        <v>79</v>
      </c>
    </row>
    <row r="2" spans="1:19" ht="13.5" thickBot="1" x14ac:dyDescent="0.25">
      <c r="A2" s="370"/>
      <c r="B2" s="601" t="s">
        <v>8</v>
      </c>
      <c r="C2" s="602"/>
      <c r="D2" s="371"/>
      <c r="E2" s="372"/>
      <c r="F2" s="373"/>
      <c r="G2" s="372"/>
      <c r="H2" s="372"/>
      <c r="I2" s="463"/>
      <c r="J2" s="372"/>
      <c r="K2" s="374"/>
      <c r="L2" s="375"/>
      <c r="M2" s="372"/>
      <c r="N2" s="376" t="s">
        <v>9</v>
      </c>
      <c r="O2" s="377"/>
      <c r="P2" s="367" t="s">
        <v>78</v>
      </c>
      <c r="Q2" s="368" t="s">
        <v>71</v>
      </c>
    </row>
    <row r="3" spans="1:19" ht="12.75" customHeight="1" x14ac:dyDescent="0.2">
      <c r="A3" s="370"/>
      <c r="B3" s="603" t="str">
        <f>'Cover - Location Info'!J8</f>
        <v>101536</v>
      </c>
      <c r="C3" s="604"/>
      <c r="D3" s="372"/>
      <c r="E3" s="372"/>
      <c r="F3" s="373"/>
      <c r="G3" s="372"/>
      <c r="H3" s="372"/>
      <c r="I3" s="463"/>
      <c r="J3" s="372"/>
      <c r="K3" s="374"/>
      <c r="L3" s="375"/>
      <c r="M3" s="372"/>
      <c r="N3" s="607" t="str">
        <f>'Cover - Location Info'!J10</f>
        <v>1.0</v>
      </c>
      <c r="O3" s="377"/>
      <c r="P3" s="367"/>
      <c r="Q3" s="368"/>
    </row>
    <row r="4" spans="1:19" ht="12.75" customHeight="1" thickBot="1" x14ac:dyDescent="0.25">
      <c r="A4" s="370"/>
      <c r="B4" s="605"/>
      <c r="C4" s="606"/>
      <c r="D4" s="372"/>
      <c r="E4" s="372"/>
      <c r="F4" s="373"/>
      <c r="G4" s="372"/>
      <c r="H4" s="372"/>
      <c r="I4" s="463"/>
      <c r="J4" s="372"/>
      <c r="K4" s="374"/>
      <c r="L4" s="375"/>
      <c r="M4" s="372"/>
      <c r="N4" s="608"/>
      <c r="O4" s="377"/>
      <c r="P4" s="367"/>
      <c r="Q4" s="368"/>
    </row>
    <row r="5" spans="1:19" ht="18" customHeight="1" x14ac:dyDescent="0.25">
      <c r="A5" s="370"/>
      <c r="B5" s="378"/>
      <c r="C5" s="378"/>
      <c r="D5" s="378"/>
      <c r="E5" s="378"/>
      <c r="F5" s="379"/>
      <c r="G5" s="609"/>
      <c r="H5" s="609"/>
      <c r="I5" s="609"/>
      <c r="J5" s="378"/>
      <c r="K5" s="380"/>
      <c r="L5" s="381"/>
      <c r="M5" s="378"/>
      <c r="N5" s="378"/>
      <c r="O5" s="377"/>
      <c r="P5" s="373"/>
      <c r="Q5" s="457" t="s">
        <v>12</v>
      </c>
    </row>
    <row r="6" spans="1:19" ht="29.25" customHeight="1" thickBot="1" x14ac:dyDescent="0.35">
      <c r="A6" s="370"/>
      <c r="B6" s="378"/>
      <c r="C6" s="382"/>
      <c r="D6" s="610" t="str">
        <f>IF(P9&gt;0,"FIBERS OUT OF SEQ.","")</f>
        <v/>
      </c>
      <c r="E6" s="610"/>
      <c r="F6" s="610"/>
      <c r="G6" s="610"/>
      <c r="H6" s="383"/>
      <c r="I6" s="464"/>
      <c r="J6" s="384"/>
      <c r="K6" s="385"/>
      <c r="L6" s="386"/>
      <c r="M6" s="384"/>
      <c r="N6" s="378"/>
      <c r="O6" s="377"/>
      <c r="P6" s="373"/>
    </row>
    <row r="7" spans="1:19" ht="24.75" customHeight="1" thickBot="1" x14ac:dyDescent="0.25">
      <c r="A7" s="387"/>
      <c r="B7" s="597" t="s">
        <v>149</v>
      </c>
      <c r="C7" s="598"/>
      <c r="D7" s="598"/>
      <c r="E7" s="599"/>
      <c r="F7" s="599"/>
      <c r="G7" s="599"/>
      <c r="H7" s="598"/>
      <c r="I7" s="598"/>
      <c r="J7" s="598"/>
      <c r="K7" s="598"/>
      <c r="L7" s="388"/>
      <c r="M7" s="597" t="s">
        <v>39</v>
      </c>
      <c r="N7" s="600"/>
      <c r="O7" s="585"/>
      <c r="P7" s="373"/>
    </row>
    <row r="8" spans="1:19" ht="13.5" customHeight="1" thickBot="1" x14ac:dyDescent="0.25">
      <c r="A8" s="389"/>
      <c r="B8" s="390"/>
      <c r="C8" s="391" t="s">
        <v>85</v>
      </c>
      <c r="D8" s="392" t="s">
        <v>37</v>
      </c>
      <c r="E8" s="393" t="s">
        <v>74</v>
      </c>
      <c r="F8" s="394"/>
      <c r="G8" s="395" t="s">
        <v>75</v>
      </c>
      <c r="H8" s="396" t="s">
        <v>76</v>
      </c>
      <c r="I8" s="586" t="s">
        <v>144</v>
      </c>
      <c r="J8" s="397"/>
      <c r="K8" s="398"/>
      <c r="L8" s="388"/>
      <c r="M8" s="588" t="s">
        <v>147</v>
      </c>
      <c r="N8" s="399"/>
      <c r="O8" s="585"/>
      <c r="P8" s="373"/>
      <c r="S8" s="590" t="s">
        <v>145</v>
      </c>
    </row>
    <row r="9" spans="1:19" ht="13.5" thickBot="1" x14ac:dyDescent="0.25">
      <c r="A9" s="389"/>
      <c r="B9" s="400" t="s">
        <v>35</v>
      </c>
      <c r="C9" s="401" t="s">
        <v>38</v>
      </c>
      <c r="D9" s="400" t="s">
        <v>3</v>
      </c>
      <c r="E9" s="587" t="s">
        <v>73</v>
      </c>
      <c r="F9" s="592"/>
      <c r="G9" s="593"/>
      <c r="H9" s="402" t="s">
        <v>81</v>
      </c>
      <c r="I9" s="587"/>
      <c r="J9" s="403" t="s">
        <v>88</v>
      </c>
      <c r="K9" s="404" t="s">
        <v>87</v>
      </c>
      <c r="L9" s="405"/>
      <c r="M9" s="589"/>
      <c r="N9" s="400" t="s">
        <v>146</v>
      </c>
      <c r="O9" s="585"/>
      <c r="P9" s="457">
        <f>SUM(P10:P124)</f>
        <v>0</v>
      </c>
      <c r="S9" s="591"/>
    </row>
    <row r="10" spans="1:19" ht="13.5" thickTop="1" x14ac:dyDescent="0.2">
      <c r="A10" s="387"/>
      <c r="B10" s="406"/>
      <c r="C10" s="407" t="str">
        <f>IFERROR(IF(B10="","",IF((COUNTIF('[1]Cable Info'!$B$11:$C$50,B10)=0),VLOOKUP(B10,'[1]Cable Info (2)'!$B$11:$C$50,2,FALSE),(VLOOKUP(B10,'[1]Cable Info'!$B$11:$C$50,2,FALSE)))),"NO SUCH EXIT")</f>
        <v/>
      </c>
      <c r="D10" s="408"/>
      <c r="E10" s="409"/>
      <c r="F10" s="410" t="s">
        <v>59</v>
      </c>
      <c r="G10" s="411"/>
      <c r="H10" s="412" t="str">
        <f>IF(G10="","",((E10-G10)-1)*(-1))</f>
        <v/>
      </c>
      <c r="I10" s="465"/>
      <c r="J10" s="413"/>
      <c r="K10" s="414"/>
      <c r="L10" s="594"/>
      <c r="M10" s="415"/>
      <c r="N10" s="416"/>
      <c r="O10" s="585"/>
      <c r="P10" s="373" t="str">
        <f t="shared" ref="P10:P113" si="0">IF(E10="","",IF(G10="","",IF(E10&gt;G10,1,"")))</f>
        <v/>
      </c>
      <c r="S10" s="417"/>
    </row>
    <row r="11" spans="1:19" x14ac:dyDescent="0.2">
      <c r="A11" s="387"/>
      <c r="B11" s="406"/>
      <c r="C11" s="412" t="str">
        <f>IFERROR(IF(B11="","",IF((COUNTIF('[1]Cable Info'!$B$11:$C$50,B11)=0),VLOOKUP(B11,'[1]Cable Info (2)'!$B$11:$C$50,2,FALSE),(VLOOKUP(B11,'[1]Cable Info'!$B$11:$C$50,2,FALSE)))),"NO SUCH EXIT")</f>
        <v/>
      </c>
      <c r="D11" s="418"/>
      <c r="E11" s="419"/>
      <c r="F11" s="420" t="s">
        <v>59</v>
      </c>
      <c r="G11" s="421"/>
      <c r="H11" s="412" t="str">
        <f>IF(G11="","",((E11-G11)-1)*(-1))</f>
        <v/>
      </c>
      <c r="I11" s="465"/>
      <c r="J11" s="422"/>
      <c r="K11" s="423"/>
      <c r="L11" s="595"/>
      <c r="M11" s="415"/>
      <c r="N11" s="416"/>
      <c r="O11" s="585"/>
      <c r="P11" s="373" t="str">
        <f t="shared" si="0"/>
        <v/>
      </c>
      <c r="S11" s="424"/>
    </row>
    <row r="12" spans="1:19" x14ac:dyDescent="0.2">
      <c r="A12" s="387"/>
      <c r="B12" s="406"/>
      <c r="C12" s="412" t="str">
        <f>IFERROR(IF(B12="","",IF((COUNTIF('[1]Cable Info'!$B$11:$C$50,B12)=0),VLOOKUP(B12,'[1]Cable Info (2)'!$B$11:$C$50,2,FALSE),(VLOOKUP(B12,'[1]Cable Info'!$B$11:$C$50,2,FALSE)))),"NO SUCH EXIT")</f>
        <v/>
      </c>
      <c r="D12" s="418"/>
      <c r="E12" s="409"/>
      <c r="F12" s="420" t="s">
        <v>59</v>
      </c>
      <c r="G12" s="411"/>
      <c r="H12" s="412" t="str">
        <f>IF(G12="","",((E12-G12)-1)*(-1))</f>
        <v/>
      </c>
      <c r="I12" s="466"/>
      <c r="J12" s="422"/>
      <c r="K12" s="423"/>
      <c r="L12" s="595"/>
      <c r="M12" s="415"/>
      <c r="N12" s="425"/>
      <c r="O12" s="585"/>
      <c r="P12" s="373" t="str">
        <f t="shared" si="0"/>
        <v/>
      </c>
      <c r="S12" s="424"/>
    </row>
    <row r="13" spans="1:19" x14ac:dyDescent="0.2">
      <c r="A13" s="387"/>
      <c r="B13" s="406"/>
      <c r="C13" s="412" t="str">
        <f>IFERROR(IF(B13="","",IF((COUNTIF('[1]Cable Info'!$B$11:$C$50,B13)=0),VLOOKUP(B13,'[1]Cable Info (2)'!$B$11:$C$50,2,FALSE),(VLOOKUP(B13,'[1]Cable Info'!$B$11:$C$50,2,FALSE)))),"NO SUCH EXIT")</f>
        <v/>
      </c>
      <c r="D13" s="418"/>
      <c r="E13" s="419"/>
      <c r="F13" s="420" t="s">
        <v>59</v>
      </c>
      <c r="G13" s="421"/>
      <c r="H13" s="412" t="str">
        <f t="shared" ref="H13:H116" si="1">IF(G13="","",((E13-G13)-1)*(-1))</f>
        <v/>
      </c>
      <c r="I13" s="465"/>
      <c r="J13" s="422"/>
      <c r="K13" s="423"/>
      <c r="L13" s="595"/>
      <c r="M13" s="415"/>
      <c r="N13" s="425"/>
      <c r="O13" s="585"/>
      <c r="P13" s="373" t="str">
        <f t="shared" si="0"/>
        <v/>
      </c>
      <c r="S13" s="424"/>
    </row>
    <row r="14" spans="1:19" x14ac:dyDescent="0.2">
      <c r="A14" s="387"/>
      <c r="B14" s="426"/>
      <c r="C14" s="412" t="str">
        <f>IFERROR(IF(B14="","",IF((COUNTIF('[1]Cable Info'!$B$11:$C$50,B14)=0),VLOOKUP(B14,'[1]Cable Info (2)'!$B$11:$C$50,2,FALSE),(VLOOKUP(B14,'[1]Cable Info'!$B$11:$C$50,2,FALSE)))),"NO SUCH EXIT")</f>
        <v/>
      </c>
      <c r="D14" s="418"/>
      <c r="E14" s="409"/>
      <c r="F14" s="420" t="s">
        <v>59</v>
      </c>
      <c r="G14" s="411"/>
      <c r="H14" s="412" t="str">
        <f t="shared" si="1"/>
        <v/>
      </c>
      <c r="I14" s="466"/>
      <c r="J14" s="422"/>
      <c r="K14" s="423"/>
      <c r="L14" s="595"/>
      <c r="M14" s="415"/>
      <c r="N14" s="425"/>
      <c r="O14" s="585"/>
      <c r="P14" s="373" t="str">
        <f t="shared" si="0"/>
        <v/>
      </c>
      <c r="S14" s="424"/>
    </row>
    <row r="15" spans="1:19" x14ac:dyDescent="0.2">
      <c r="A15" s="387"/>
      <c r="B15" s="426"/>
      <c r="C15" s="412" t="str">
        <f>IFERROR(IF(B15="","",IF((COUNTIF('[1]Cable Info'!$B$11:$C$50,B15)=0),VLOOKUP(B15,'[1]Cable Info (2)'!$B$11:$C$50,2,FALSE),(VLOOKUP(B15,'[1]Cable Info'!$B$11:$C$50,2,FALSE)))),"NO SUCH EXIT")</f>
        <v/>
      </c>
      <c r="D15" s="418"/>
      <c r="E15" s="419"/>
      <c r="F15" s="420" t="s">
        <v>59</v>
      </c>
      <c r="G15" s="421"/>
      <c r="H15" s="412" t="str">
        <f t="shared" si="1"/>
        <v/>
      </c>
      <c r="I15" s="465"/>
      <c r="J15" s="422"/>
      <c r="K15" s="423"/>
      <c r="L15" s="595"/>
      <c r="M15" s="415"/>
      <c r="N15" s="425"/>
      <c r="O15" s="585"/>
      <c r="P15" s="373" t="str">
        <f t="shared" si="0"/>
        <v/>
      </c>
      <c r="S15" s="424"/>
    </row>
    <row r="16" spans="1:19" x14ac:dyDescent="0.2">
      <c r="A16" s="387"/>
      <c r="B16" s="426"/>
      <c r="C16" s="412" t="str">
        <f>IFERROR(IF(B16="","",IF((COUNTIF('[1]Cable Info'!$B$11:$C$50,B16)=0),VLOOKUP(B16,'[1]Cable Info (2)'!$B$11:$C$50,2,FALSE),(VLOOKUP(B16,'[1]Cable Info'!$B$11:$C$50,2,FALSE)))),"NO SUCH EXIT")</f>
        <v/>
      </c>
      <c r="D16" s="418"/>
      <c r="E16" s="409"/>
      <c r="F16" s="420" t="s">
        <v>59</v>
      </c>
      <c r="G16" s="411"/>
      <c r="H16" s="412" t="str">
        <f t="shared" si="1"/>
        <v/>
      </c>
      <c r="I16" s="466"/>
      <c r="J16" s="422"/>
      <c r="K16" s="423"/>
      <c r="L16" s="595"/>
      <c r="M16" s="415"/>
      <c r="N16" s="425"/>
      <c r="O16" s="585"/>
      <c r="P16" s="373" t="str">
        <f t="shared" si="0"/>
        <v/>
      </c>
      <c r="S16" s="424"/>
    </row>
    <row r="17" spans="1:19" x14ac:dyDescent="0.2">
      <c r="A17" s="387"/>
      <c r="B17" s="426"/>
      <c r="C17" s="412" t="str">
        <f>IFERROR(IF(B17="","",IF((COUNTIF('[1]Cable Info'!$B$11:$C$50,B17)=0),VLOOKUP(B17,'[1]Cable Info (2)'!$B$11:$C$50,2,FALSE),(VLOOKUP(B17,'[1]Cable Info'!$B$11:$C$50,2,FALSE)))),"NO SUCH EXIT")</f>
        <v/>
      </c>
      <c r="D17" s="418"/>
      <c r="E17" s="419"/>
      <c r="F17" s="420" t="s">
        <v>59</v>
      </c>
      <c r="G17" s="421"/>
      <c r="H17" s="412" t="str">
        <f t="shared" si="1"/>
        <v/>
      </c>
      <c r="I17" s="465"/>
      <c r="J17" s="422"/>
      <c r="K17" s="423"/>
      <c r="L17" s="595"/>
      <c r="M17" s="415"/>
      <c r="N17" s="425"/>
      <c r="O17" s="585"/>
      <c r="P17" s="373" t="str">
        <f t="shared" si="0"/>
        <v/>
      </c>
      <c r="S17" s="424"/>
    </row>
    <row r="18" spans="1:19" x14ac:dyDescent="0.2">
      <c r="A18" s="387"/>
      <c r="B18" s="426"/>
      <c r="C18" s="412" t="str">
        <f>IFERROR(IF(B18="","",IF((COUNTIF('[1]Cable Info'!$B$11:$C$50,B18)=0),VLOOKUP(B18,'[1]Cable Info (2)'!$B$11:$C$50,2,FALSE),(VLOOKUP(B18,'[1]Cable Info'!$B$11:$C$50,2,FALSE)))),"NO SUCH EXIT")</f>
        <v/>
      </c>
      <c r="D18" s="418"/>
      <c r="E18" s="409"/>
      <c r="F18" s="420" t="s">
        <v>59</v>
      </c>
      <c r="G18" s="411"/>
      <c r="H18" s="412" t="str">
        <f t="shared" si="1"/>
        <v/>
      </c>
      <c r="I18" s="466"/>
      <c r="J18" s="422"/>
      <c r="K18" s="423"/>
      <c r="L18" s="595"/>
      <c r="M18" s="415"/>
      <c r="N18" s="425"/>
      <c r="O18" s="585"/>
      <c r="P18" s="373" t="str">
        <f t="shared" si="0"/>
        <v/>
      </c>
      <c r="S18" s="424"/>
    </row>
    <row r="19" spans="1:19" x14ac:dyDescent="0.2">
      <c r="A19" s="387"/>
      <c r="B19" s="426"/>
      <c r="C19" s="412" t="str">
        <f>IFERROR(IF(B19="","",IF((COUNTIF('[1]Cable Info'!$B$11:$C$50,B19)=0),VLOOKUP(B19,'[1]Cable Info (2)'!$B$11:$C$50,2,FALSE),(VLOOKUP(B19,'[1]Cable Info'!$B$11:$C$50,2,FALSE)))),"NO SUCH EXIT")</f>
        <v/>
      </c>
      <c r="D19" s="418"/>
      <c r="E19" s="419"/>
      <c r="F19" s="420" t="s">
        <v>59</v>
      </c>
      <c r="G19" s="421"/>
      <c r="H19" s="412" t="str">
        <f>IF(G19="","",((E19-G19)-1)*(-1))</f>
        <v/>
      </c>
      <c r="I19" s="465"/>
      <c r="J19" s="422"/>
      <c r="K19" s="423"/>
      <c r="L19" s="595"/>
      <c r="M19" s="415"/>
      <c r="N19" s="425"/>
      <c r="O19" s="585"/>
      <c r="P19" s="373" t="str">
        <f t="shared" si="0"/>
        <v/>
      </c>
      <c r="S19" s="424"/>
    </row>
    <row r="20" spans="1:19" x14ac:dyDescent="0.2">
      <c r="A20" s="387"/>
      <c r="B20" s="426"/>
      <c r="C20" s="412" t="str">
        <f>IFERROR(IF(B20="","",IF((COUNTIF('[1]Cable Info'!$B$11:$C$50,B20)=0),VLOOKUP(B20,'[1]Cable Info (2)'!$B$11:$C$50,2,FALSE),(VLOOKUP(B20,'[1]Cable Info'!$B$11:$C$50,2,FALSE)))),"NO SUCH EXIT")</f>
        <v/>
      </c>
      <c r="D20" s="418"/>
      <c r="E20" s="409"/>
      <c r="F20" s="420" t="s">
        <v>59</v>
      </c>
      <c r="G20" s="411"/>
      <c r="H20" s="412" t="str">
        <f t="shared" si="1"/>
        <v/>
      </c>
      <c r="I20" s="466"/>
      <c r="J20" s="422"/>
      <c r="K20" s="423"/>
      <c r="L20" s="595"/>
      <c r="M20" s="415"/>
      <c r="N20" s="425"/>
      <c r="O20" s="585"/>
      <c r="P20" s="373" t="str">
        <f t="shared" si="0"/>
        <v/>
      </c>
      <c r="S20" s="424"/>
    </row>
    <row r="21" spans="1:19" x14ac:dyDescent="0.2">
      <c r="A21" s="387"/>
      <c r="B21" s="426"/>
      <c r="C21" s="412" t="str">
        <f>IFERROR(IF(B21="","",IF((COUNTIF('[1]Cable Info'!$B$11:$C$50,B21)=0),VLOOKUP(B21,'[1]Cable Info (2)'!$B$11:$C$50,2,FALSE),(VLOOKUP(B21,'[1]Cable Info'!$B$11:$C$50,2,FALSE)))),"NO SUCH EXIT")</f>
        <v/>
      </c>
      <c r="D21" s="418"/>
      <c r="E21" s="419"/>
      <c r="F21" s="420" t="s">
        <v>59</v>
      </c>
      <c r="G21" s="421"/>
      <c r="H21" s="412" t="str">
        <f t="shared" si="1"/>
        <v/>
      </c>
      <c r="I21" s="465"/>
      <c r="J21" s="422"/>
      <c r="K21" s="423"/>
      <c r="L21" s="595"/>
      <c r="M21" s="415"/>
      <c r="N21" s="425"/>
      <c r="O21" s="585"/>
      <c r="P21" s="373" t="str">
        <f t="shared" si="0"/>
        <v/>
      </c>
      <c r="S21" s="424"/>
    </row>
    <row r="22" spans="1:19" x14ac:dyDescent="0.2">
      <c r="A22" s="387"/>
      <c r="B22" s="426"/>
      <c r="C22" s="412" t="str">
        <f>IFERROR(IF(B22="","",IF((COUNTIF('[1]Cable Info'!$B$11:$C$50,B22)=0),VLOOKUP(B22,'[1]Cable Info (2)'!$B$11:$C$50,2,FALSE),(VLOOKUP(B22,'[1]Cable Info'!$B$11:$C$50,2,FALSE)))),"NO SUCH EXIT")</f>
        <v/>
      </c>
      <c r="D22" s="418"/>
      <c r="E22" s="419"/>
      <c r="F22" s="420" t="s">
        <v>59</v>
      </c>
      <c r="G22" s="421"/>
      <c r="H22" s="412" t="str">
        <f t="shared" si="1"/>
        <v/>
      </c>
      <c r="I22" s="465"/>
      <c r="J22" s="422"/>
      <c r="K22" s="423"/>
      <c r="L22" s="595"/>
      <c r="M22" s="415"/>
      <c r="N22" s="425"/>
      <c r="O22" s="585"/>
      <c r="P22" s="373" t="str">
        <f t="shared" si="0"/>
        <v/>
      </c>
      <c r="S22" s="424"/>
    </row>
    <row r="23" spans="1:19" x14ac:dyDescent="0.2">
      <c r="A23" s="387"/>
      <c r="B23" s="426"/>
      <c r="C23" s="412" t="str">
        <f>IFERROR(IF(B23="","",IF((COUNTIF('[1]Cable Info'!$B$11:$C$50,B23)=0),VLOOKUP(B23,'[1]Cable Info (2)'!$B$11:$C$50,2,FALSE),(VLOOKUP(B23,'[1]Cable Info'!$B$11:$C$50,2,FALSE)))),"NO SUCH EXIT")</f>
        <v/>
      </c>
      <c r="D23" s="418"/>
      <c r="E23" s="419"/>
      <c r="F23" s="420" t="s">
        <v>59</v>
      </c>
      <c r="G23" s="421"/>
      <c r="H23" s="412" t="str">
        <f t="shared" si="1"/>
        <v/>
      </c>
      <c r="I23" s="465"/>
      <c r="J23" s="422"/>
      <c r="K23" s="423"/>
      <c r="L23" s="595"/>
      <c r="M23" s="415"/>
      <c r="N23" s="425"/>
      <c r="O23" s="585"/>
      <c r="P23" s="373" t="str">
        <f t="shared" si="0"/>
        <v/>
      </c>
      <c r="S23" s="424"/>
    </row>
    <row r="24" spans="1:19" x14ac:dyDescent="0.2">
      <c r="A24" s="387"/>
      <c r="B24" s="426"/>
      <c r="C24" s="412" t="str">
        <f>IFERROR(IF(B24="","",IF((COUNTIF('[1]Cable Info'!$B$11:$C$50,B24)=0),VLOOKUP(B24,'[1]Cable Info (2)'!$B$11:$C$50,2,FALSE),(VLOOKUP(B24,'[1]Cable Info'!$B$11:$C$50,2,FALSE)))),"NO SUCH EXIT")</f>
        <v/>
      </c>
      <c r="D24" s="418"/>
      <c r="E24" s="419"/>
      <c r="F24" s="420" t="s">
        <v>59</v>
      </c>
      <c r="G24" s="421"/>
      <c r="H24" s="412" t="str">
        <f t="shared" si="1"/>
        <v/>
      </c>
      <c r="I24" s="465"/>
      <c r="J24" s="422"/>
      <c r="K24" s="423"/>
      <c r="L24" s="595"/>
      <c r="M24" s="415"/>
      <c r="N24" s="425"/>
      <c r="O24" s="585"/>
      <c r="P24" s="373" t="str">
        <f t="shared" si="0"/>
        <v/>
      </c>
      <c r="S24" s="424"/>
    </row>
    <row r="25" spans="1:19" x14ac:dyDescent="0.2">
      <c r="A25" s="387"/>
      <c r="B25" s="426"/>
      <c r="C25" s="412" t="str">
        <f>IFERROR(IF(B25="","",IF((COUNTIF('[1]Cable Info'!$B$11:$C$50,B25)=0),VLOOKUP(B25,'[1]Cable Info (2)'!$B$11:$C$50,2,FALSE),(VLOOKUP(B25,'[1]Cable Info'!$B$11:$C$50,2,FALSE)))),"NO SUCH EXIT")</f>
        <v/>
      </c>
      <c r="D25" s="418"/>
      <c r="E25" s="419"/>
      <c r="F25" s="420" t="s">
        <v>59</v>
      </c>
      <c r="G25" s="421"/>
      <c r="H25" s="412" t="str">
        <f t="shared" si="1"/>
        <v/>
      </c>
      <c r="I25" s="465"/>
      <c r="J25" s="422"/>
      <c r="K25" s="423"/>
      <c r="L25" s="595"/>
      <c r="M25" s="415"/>
      <c r="N25" s="425"/>
      <c r="O25" s="585"/>
      <c r="P25" s="373" t="str">
        <f t="shared" si="0"/>
        <v/>
      </c>
      <c r="S25" s="424"/>
    </row>
    <row r="26" spans="1:19" x14ac:dyDescent="0.2">
      <c r="A26" s="387"/>
      <c r="B26" s="426"/>
      <c r="C26" s="412" t="str">
        <f>IFERROR(IF(B26="","",IF((COUNTIF('[1]Cable Info'!$B$11:$C$50,B26)=0),VLOOKUP(B26,'[1]Cable Info (2)'!$B$11:$C$50,2,FALSE),(VLOOKUP(B26,'[1]Cable Info'!$B$11:$C$50,2,FALSE)))),"NO SUCH EXIT")</f>
        <v/>
      </c>
      <c r="D26" s="418"/>
      <c r="E26" s="419"/>
      <c r="F26" s="420" t="s">
        <v>59</v>
      </c>
      <c r="G26" s="421"/>
      <c r="H26" s="412" t="str">
        <f t="shared" si="1"/>
        <v/>
      </c>
      <c r="I26" s="465"/>
      <c r="J26" s="422"/>
      <c r="K26" s="423"/>
      <c r="L26" s="595"/>
      <c r="M26" s="415"/>
      <c r="N26" s="425"/>
      <c r="O26" s="585"/>
      <c r="P26" s="373" t="str">
        <f t="shared" si="0"/>
        <v/>
      </c>
      <c r="S26" s="424"/>
    </row>
    <row r="27" spans="1:19" x14ac:dyDescent="0.2">
      <c r="A27" s="387"/>
      <c r="B27" s="426"/>
      <c r="C27" s="412" t="str">
        <f>IFERROR(IF(B27="","",IF((COUNTIF('[1]Cable Info'!$B$11:$C$50,B27)=0),VLOOKUP(B27,'[1]Cable Info (2)'!$B$11:$C$50,2,FALSE),(VLOOKUP(B27,'[1]Cable Info'!$B$11:$C$50,2,FALSE)))),"NO SUCH EXIT")</f>
        <v/>
      </c>
      <c r="D27" s="418"/>
      <c r="E27" s="419"/>
      <c r="F27" s="420" t="s">
        <v>59</v>
      </c>
      <c r="G27" s="421"/>
      <c r="H27" s="412" t="str">
        <f t="shared" si="1"/>
        <v/>
      </c>
      <c r="I27" s="465"/>
      <c r="J27" s="422"/>
      <c r="K27" s="423"/>
      <c r="L27" s="595"/>
      <c r="M27" s="415"/>
      <c r="N27" s="425"/>
      <c r="O27" s="585"/>
      <c r="P27" s="373" t="str">
        <f t="shared" si="0"/>
        <v/>
      </c>
      <c r="S27" s="424"/>
    </row>
    <row r="28" spans="1:19" x14ac:dyDescent="0.2">
      <c r="A28" s="387"/>
      <c r="B28" s="426"/>
      <c r="C28" s="412" t="str">
        <f>IFERROR(IF(B28="","",IF((COUNTIF('[1]Cable Info'!$B$11:$C$50,B28)=0),VLOOKUP(B28,'[1]Cable Info (2)'!$B$11:$C$50,2,FALSE),(VLOOKUP(B28,'[1]Cable Info'!$B$11:$C$50,2,FALSE)))),"NO SUCH EXIT")</f>
        <v/>
      </c>
      <c r="D28" s="418"/>
      <c r="E28" s="419"/>
      <c r="F28" s="420" t="s">
        <v>59</v>
      </c>
      <c r="G28" s="421"/>
      <c r="H28" s="412" t="str">
        <f t="shared" si="1"/>
        <v/>
      </c>
      <c r="I28" s="465"/>
      <c r="J28" s="422"/>
      <c r="K28" s="423"/>
      <c r="L28" s="595"/>
      <c r="M28" s="415"/>
      <c r="N28" s="425"/>
      <c r="O28" s="585"/>
      <c r="P28" s="373" t="str">
        <f t="shared" si="0"/>
        <v/>
      </c>
      <c r="S28" s="424"/>
    </row>
    <row r="29" spans="1:19" x14ac:dyDescent="0.2">
      <c r="A29" s="387"/>
      <c r="B29" s="426"/>
      <c r="C29" s="412" t="str">
        <f>IFERROR(IF(B29="","",IF((COUNTIF('[1]Cable Info'!$B$11:$C$50,B29)=0),VLOOKUP(B29,'[1]Cable Info (2)'!$B$11:$C$50,2,FALSE),(VLOOKUP(B29,'[1]Cable Info'!$B$11:$C$50,2,FALSE)))),"NO SUCH EXIT")</f>
        <v/>
      </c>
      <c r="D29" s="418"/>
      <c r="E29" s="419"/>
      <c r="F29" s="420" t="s">
        <v>59</v>
      </c>
      <c r="G29" s="421"/>
      <c r="H29" s="412" t="str">
        <f t="shared" si="1"/>
        <v/>
      </c>
      <c r="I29" s="465"/>
      <c r="J29" s="422"/>
      <c r="K29" s="423"/>
      <c r="L29" s="595"/>
      <c r="M29" s="415"/>
      <c r="N29" s="425"/>
      <c r="O29" s="585"/>
      <c r="P29" s="373" t="str">
        <f t="shared" si="0"/>
        <v/>
      </c>
      <c r="S29" s="424"/>
    </row>
    <row r="30" spans="1:19" x14ac:dyDescent="0.2">
      <c r="A30" s="387"/>
      <c r="B30" s="426"/>
      <c r="C30" s="412" t="str">
        <f>IFERROR(IF(B30="","",IF((COUNTIF('[1]Cable Info'!$B$11:$C$50,B30)=0),VLOOKUP(B30,'[1]Cable Info (2)'!$B$11:$C$50,2,FALSE),(VLOOKUP(B30,'[1]Cable Info'!$B$11:$C$50,2,FALSE)))),"NO SUCH EXIT")</f>
        <v/>
      </c>
      <c r="D30" s="418"/>
      <c r="E30" s="419"/>
      <c r="F30" s="420" t="s">
        <v>59</v>
      </c>
      <c r="G30" s="421"/>
      <c r="H30" s="412" t="str">
        <f t="shared" si="1"/>
        <v/>
      </c>
      <c r="I30" s="465"/>
      <c r="J30" s="422"/>
      <c r="K30" s="423"/>
      <c r="L30" s="595"/>
      <c r="M30" s="415"/>
      <c r="N30" s="425"/>
      <c r="O30" s="585"/>
      <c r="P30" s="373" t="str">
        <f t="shared" si="0"/>
        <v/>
      </c>
      <c r="S30" s="424"/>
    </row>
    <row r="31" spans="1:19" x14ac:dyDescent="0.2">
      <c r="A31" s="387"/>
      <c r="B31" s="426"/>
      <c r="C31" s="412" t="str">
        <f>IFERROR(IF(B31="","",IF((COUNTIF('[1]Cable Info'!$B$11:$C$50,B31)=0),VLOOKUP(B31,'[1]Cable Info (2)'!$B$11:$C$50,2,FALSE),(VLOOKUP(B31,'[1]Cable Info'!$B$11:$C$50,2,FALSE)))),"NO SUCH EXIT")</f>
        <v/>
      </c>
      <c r="D31" s="418"/>
      <c r="E31" s="419"/>
      <c r="F31" s="420" t="s">
        <v>59</v>
      </c>
      <c r="G31" s="421"/>
      <c r="H31" s="412" t="str">
        <f t="shared" si="1"/>
        <v/>
      </c>
      <c r="I31" s="465"/>
      <c r="J31" s="422"/>
      <c r="K31" s="423"/>
      <c r="L31" s="595"/>
      <c r="M31" s="415"/>
      <c r="N31" s="425"/>
      <c r="O31" s="585"/>
      <c r="P31" s="373" t="str">
        <f t="shared" si="0"/>
        <v/>
      </c>
      <c r="S31" s="424"/>
    </row>
    <row r="32" spans="1:19" x14ac:dyDescent="0.2">
      <c r="A32" s="387"/>
      <c r="B32" s="426"/>
      <c r="C32" s="412" t="str">
        <f>IFERROR(IF(B32="","",IF((COUNTIF('[1]Cable Info'!$B$11:$C$50,B32)=0),VLOOKUP(B32,'[1]Cable Info (2)'!$B$11:$C$50,2,FALSE),(VLOOKUP(B32,'[1]Cable Info'!$B$11:$C$50,2,FALSE)))),"NO SUCH EXIT")</f>
        <v/>
      </c>
      <c r="D32" s="418"/>
      <c r="E32" s="419"/>
      <c r="F32" s="420" t="s">
        <v>59</v>
      </c>
      <c r="G32" s="421"/>
      <c r="H32" s="412" t="str">
        <f t="shared" si="1"/>
        <v/>
      </c>
      <c r="I32" s="465"/>
      <c r="J32" s="422"/>
      <c r="K32" s="423"/>
      <c r="L32" s="595"/>
      <c r="M32" s="415"/>
      <c r="N32" s="425"/>
      <c r="O32" s="585"/>
      <c r="P32" s="373" t="str">
        <f t="shared" si="0"/>
        <v/>
      </c>
      <c r="S32" s="424"/>
    </row>
    <row r="33" spans="1:19" x14ac:dyDescent="0.2">
      <c r="A33" s="387"/>
      <c r="B33" s="426"/>
      <c r="C33" s="412" t="str">
        <f>IFERROR(IF(B33="","",IF((COUNTIF('[1]Cable Info'!$B$11:$C$50,B33)=0),VLOOKUP(B33,'[1]Cable Info (2)'!$B$11:$C$50,2,FALSE),(VLOOKUP(B33,'[1]Cable Info'!$B$11:$C$50,2,FALSE)))),"NO SUCH EXIT")</f>
        <v/>
      </c>
      <c r="D33" s="418"/>
      <c r="E33" s="419"/>
      <c r="F33" s="420" t="s">
        <v>59</v>
      </c>
      <c r="G33" s="421"/>
      <c r="H33" s="412" t="str">
        <f t="shared" si="1"/>
        <v/>
      </c>
      <c r="I33" s="465"/>
      <c r="J33" s="422"/>
      <c r="K33" s="423"/>
      <c r="L33" s="595"/>
      <c r="M33" s="415"/>
      <c r="N33" s="425"/>
      <c r="O33" s="585"/>
      <c r="P33" s="373" t="str">
        <f t="shared" si="0"/>
        <v/>
      </c>
      <c r="S33" s="424"/>
    </row>
    <row r="34" spans="1:19" x14ac:dyDescent="0.2">
      <c r="A34" s="387"/>
      <c r="B34" s="426"/>
      <c r="C34" s="412" t="str">
        <f>IFERROR(IF(B34="","",IF((COUNTIF('[1]Cable Info'!$B$11:$C$50,B34)=0),VLOOKUP(B34,'[1]Cable Info (2)'!$B$11:$C$50,2,FALSE),(VLOOKUP(B34,'[1]Cable Info'!$B$11:$C$50,2,FALSE)))),"NO SUCH EXIT")</f>
        <v/>
      </c>
      <c r="D34" s="418"/>
      <c r="E34" s="419"/>
      <c r="F34" s="420" t="s">
        <v>59</v>
      </c>
      <c r="G34" s="421"/>
      <c r="H34" s="412" t="str">
        <f t="shared" si="1"/>
        <v/>
      </c>
      <c r="I34" s="465"/>
      <c r="J34" s="422"/>
      <c r="K34" s="423"/>
      <c r="L34" s="595"/>
      <c r="M34" s="415"/>
      <c r="N34" s="425"/>
      <c r="O34" s="585"/>
      <c r="P34" s="373" t="str">
        <f t="shared" si="0"/>
        <v/>
      </c>
      <c r="S34" s="424"/>
    </row>
    <row r="35" spans="1:19" x14ac:dyDescent="0.2">
      <c r="A35" s="387"/>
      <c r="B35" s="426"/>
      <c r="C35" s="412" t="str">
        <f>IFERROR(IF(B35="","",IF((COUNTIF('[1]Cable Info'!$B$11:$C$50,B35)=0),VLOOKUP(B35,'[1]Cable Info (2)'!$B$11:$C$50,2,FALSE),(VLOOKUP(B35,'[1]Cable Info'!$B$11:$C$50,2,FALSE)))),"NO SUCH EXIT")</f>
        <v/>
      </c>
      <c r="D35" s="418"/>
      <c r="E35" s="419"/>
      <c r="F35" s="420" t="s">
        <v>59</v>
      </c>
      <c r="G35" s="421"/>
      <c r="H35" s="412" t="str">
        <f t="shared" si="1"/>
        <v/>
      </c>
      <c r="I35" s="465"/>
      <c r="J35" s="422"/>
      <c r="K35" s="423"/>
      <c r="L35" s="595"/>
      <c r="M35" s="415"/>
      <c r="N35" s="425"/>
      <c r="O35" s="585"/>
      <c r="P35" s="373" t="str">
        <f t="shared" si="0"/>
        <v/>
      </c>
      <c r="S35" s="424"/>
    </row>
    <row r="36" spans="1:19" x14ac:dyDescent="0.2">
      <c r="A36" s="387"/>
      <c r="B36" s="426"/>
      <c r="C36" s="412" t="str">
        <f>IFERROR(IF(B36="","",IF((COUNTIF('[1]Cable Info'!$B$11:$C$50,B36)=0),VLOOKUP(B36,'[1]Cable Info (2)'!$B$11:$C$50,2,FALSE),(VLOOKUP(B36,'[1]Cable Info'!$B$11:$C$50,2,FALSE)))),"NO SUCH EXIT")</f>
        <v/>
      </c>
      <c r="D36" s="418"/>
      <c r="E36" s="419"/>
      <c r="F36" s="420" t="s">
        <v>59</v>
      </c>
      <c r="G36" s="421"/>
      <c r="H36" s="412" t="str">
        <f t="shared" si="1"/>
        <v/>
      </c>
      <c r="I36" s="465"/>
      <c r="J36" s="422"/>
      <c r="K36" s="423"/>
      <c r="L36" s="595"/>
      <c r="M36" s="415"/>
      <c r="N36" s="425"/>
      <c r="O36" s="585"/>
      <c r="P36" s="367" t="str">
        <f t="shared" si="0"/>
        <v/>
      </c>
      <c r="Q36" s="368"/>
      <c r="S36" s="424"/>
    </row>
    <row r="37" spans="1:19" x14ac:dyDescent="0.2">
      <c r="A37" s="387"/>
      <c r="B37" s="426"/>
      <c r="C37" s="412" t="str">
        <f>IFERROR(IF(B37="","",IF((COUNTIF('[1]Cable Info'!$B$11:$C$50,B37)=0),VLOOKUP(B37,'[1]Cable Info (2)'!$B$11:$C$50,2,FALSE),(VLOOKUP(B37,'[1]Cable Info'!$B$11:$C$50,2,FALSE)))),"NO SUCH EXIT")</f>
        <v/>
      </c>
      <c r="D37" s="418"/>
      <c r="E37" s="419"/>
      <c r="F37" s="420" t="s">
        <v>59</v>
      </c>
      <c r="G37" s="421"/>
      <c r="H37" s="412" t="str">
        <f t="shared" si="1"/>
        <v/>
      </c>
      <c r="I37" s="465"/>
      <c r="J37" s="422"/>
      <c r="K37" s="423"/>
      <c r="L37" s="595"/>
      <c r="M37" s="415"/>
      <c r="N37" s="425"/>
      <c r="O37" s="585"/>
      <c r="P37" s="367" t="str">
        <f t="shared" si="0"/>
        <v/>
      </c>
      <c r="Q37" s="368"/>
      <c r="S37" s="424"/>
    </row>
    <row r="38" spans="1:19" x14ac:dyDescent="0.2">
      <c r="A38" s="387"/>
      <c r="B38" s="426"/>
      <c r="C38" s="412" t="str">
        <f>IFERROR(IF(B38="","",IF((COUNTIF('[1]Cable Info'!$B$11:$C$50,B38)=0),VLOOKUP(B38,'[1]Cable Info (2)'!$B$11:$C$50,2,FALSE),(VLOOKUP(B38,'[1]Cable Info'!$B$11:$C$50,2,FALSE)))),"NO SUCH EXIT")</f>
        <v/>
      </c>
      <c r="D38" s="418"/>
      <c r="E38" s="419"/>
      <c r="F38" s="420" t="s">
        <v>59</v>
      </c>
      <c r="G38" s="421"/>
      <c r="H38" s="412" t="str">
        <f t="shared" si="1"/>
        <v/>
      </c>
      <c r="I38" s="465"/>
      <c r="J38" s="422"/>
      <c r="K38" s="423"/>
      <c r="L38" s="595"/>
      <c r="M38" s="415"/>
      <c r="N38" s="425"/>
      <c r="O38" s="585"/>
      <c r="P38" s="367" t="str">
        <f t="shared" si="0"/>
        <v/>
      </c>
      <c r="Q38" s="368"/>
      <c r="S38" s="424"/>
    </row>
    <row r="39" spans="1:19" x14ac:dyDescent="0.2">
      <c r="A39" s="387"/>
      <c r="B39" s="426"/>
      <c r="C39" s="412" t="str">
        <f>IFERROR(IF(B39="","",IF((COUNTIF('[1]Cable Info'!$B$11:$C$50,B39)=0),VLOOKUP(B39,'[1]Cable Info (2)'!$B$11:$C$50,2,FALSE),(VLOOKUP(B39,'[1]Cable Info'!$B$11:$C$50,2,FALSE)))),"NO SUCH EXIT")</f>
        <v/>
      </c>
      <c r="D39" s="418"/>
      <c r="E39" s="419"/>
      <c r="F39" s="420" t="s">
        <v>59</v>
      </c>
      <c r="G39" s="421"/>
      <c r="H39" s="412" t="str">
        <f t="shared" si="1"/>
        <v/>
      </c>
      <c r="I39" s="465"/>
      <c r="J39" s="422"/>
      <c r="K39" s="423"/>
      <c r="L39" s="595"/>
      <c r="M39" s="415"/>
      <c r="N39" s="425"/>
      <c r="O39" s="585"/>
      <c r="P39" s="367" t="str">
        <f t="shared" si="0"/>
        <v/>
      </c>
      <c r="Q39" s="368"/>
      <c r="S39" s="424"/>
    </row>
    <row r="40" spans="1:19" x14ac:dyDescent="0.2">
      <c r="A40" s="387"/>
      <c r="B40" s="426"/>
      <c r="C40" s="412" t="str">
        <f>IFERROR(IF(B40="","",IF((COUNTIF('[1]Cable Info'!$B$11:$C$50,B40)=0),VLOOKUP(B40,'[1]Cable Info (2)'!$B$11:$C$50,2,FALSE),(VLOOKUP(B40,'[1]Cable Info'!$B$11:$C$50,2,FALSE)))),"NO SUCH EXIT")</f>
        <v/>
      </c>
      <c r="D40" s="418"/>
      <c r="E40" s="419"/>
      <c r="F40" s="420" t="s">
        <v>59</v>
      </c>
      <c r="G40" s="421"/>
      <c r="H40" s="412" t="str">
        <f t="shared" si="1"/>
        <v/>
      </c>
      <c r="I40" s="465"/>
      <c r="J40" s="422"/>
      <c r="K40" s="423"/>
      <c r="L40" s="595"/>
      <c r="M40" s="415"/>
      <c r="N40" s="425"/>
      <c r="O40" s="585"/>
      <c r="P40" s="367" t="str">
        <f t="shared" si="0"/>
        <v/>
      </c>
      <c r="Q40" s="368"/>
      <c r="S40" s="424"/>
    </row>
    <row r="41" spans="1:19" x14ac:dyDescent="0.2">
      <c r="A41" s="387"/>
      <c r="B41" s="426"/>
      <c r="C41" s="412" t="str">
        <f>IFERROR(IF(B41="","",IF((COUNTIF('[1]Cable Info'!$B$11:$C$50,B41)=0),VLOOKUP(B41,'[1]Cable Info (2)'!$B$11:$C$50,2,FALSE),(VLOOKUP(B41,'[1]Cable Info'!$B$11:$C$50,2,FALSE)))),"NO SUCH EXIT")</f>
        <v/>
      </c>
      <c r="D41" s="418"/>
      <c r="E41" s="419"/>
      <c r="F41" s="420" t="s">
        <v>59</v>
      </c>
      <c r="G41" s="421"/>
      <c r="H41" s="412" t="str">
        <f t="shared" si="1"/>
        <v/>
      </c>
      <c r="I41" s="465"/>
      <c r="J41" s="422"/>
      <c r="K41" s="423"/>
      <c r="L41" s="595"/>
      <c r="M41" s="415"/>
      <c r="N41" s="425"/>
      <c r="O41" s="585"/>
      <c r="P41" s="367" t="str">
        <f t="shared" si="0"/>
        <v/>
      </c>
      <c r="Q41" s="368"/>
      <c r="S41" s="424"/>
    </row>
    <row r="42" spans="1:19" x14ac:dyDescent="0.2">
      <c r="A42" s="387"/>
      <c r="B42" s="426"/>
      <c r="C42" s="412" t="str">
        <f>IFERROR(IF(B42="","",IF((COUNTIF('[1]Cable Info'!$B$11:$C$50,B42)=0),VLOOKUP(B42,'[1]Cable Info (2)'!$B$11:$C$50,2,FALSE),(VLOOKUP(B42,'[1]Cable Info'!$B$11:$C$50,2,FALSE)))),"NO SUCH EXIT")</f>
        <v/>
      </c>
      <c r="D42" s="418"/>
      <c r="E42" s="419"/>
      <c r="F42" s="420" t="s">
        <v>59</v>
      </c>
      <c r="G42" s="421"/>
      <c r="H42" s="412" t="str">
        <f t="shared" si="1"/>
        <v/>
      </c>
      <c r="I42" s="465"/>
      <c r="J42" s="422"/>
      <c r="K42" s="423"/>
      <c r="L42" s="595"/>
      <c r="M42" s="415"/>
      <c r="N42" s="425"/>
      <c r="O42" s="585"/>
      <c r="P42" s="367" t="str">
        <f t="shared" si="0"/>
        <v/>
      </c>
      <c r="Q42" s="368"/>
      <c r="S42" s="424"/>
    </row>
    <row r="43" spans="1:19" x14ac:dyDescent="0.2">
      <c r="A43" s="387"/>
      <c r="B43" s="426"/>
      <c r="C43" s="412" t="str">
        <f>IFERROR(IF(B43="","",IF((COUNTIF('[1]Cable Info'!$B$11:$C$50,B43)=0),VLOOKUP(B43,'[1]Cable Info (2)'!$B$11:$C$50,2,FALSE),(VLOOKUP(B43,'[1]Cable Info'!$B$11:$C$50,2,FALSE)))),"NO SUCH EXIT")</f>
        <v/>
      </c>
      <c r="D43" s="418"/>
      <c r="E43" s="419"/>
      <c r="F43" s="420" t="s">
        <v>59</v>
      </c>
      <c r="G43" s="421"/>
      <c r="H43" s="412" t="str">
        <f t="shared" si="1"/>
        <v/>
      </c>
      <c r="I43" s="465"/>
      <c r="J43" s="422"/>
      <c r="K43" s="423"/>
      <c r="L43" s="595"/>
      <c r="M43" s="415"/>
      <c r="N43" s="425"/>
      <c r="O43" s="585"/>
      <c r="P43" s="367" t="str">
        <f t="shared" si="0"/>
        <v/>
      </c>
      <c r="Q43" s="368"/>
      <c r="S43" s="424"/>
    </row>
    <row r="44" spans="1:19" x14ac:dyDescent="0.2">
      <c r="A44" s="387"/>
      <c r="B44" s="426"/>
      <c r="C44" s="412" t="str">
        <f>IFERROR(IF(B44="","",IF((COUNTIF('[1]Cable Info'!$B$11:$C$50,B44)=0),VLOOKUP(B44,'[1]Cable Info (2)'!$B$11:$C$50,2,FALSE),(VLOOKUP(B44,'[1]Cable Info'!$B$11:$C$50,2,FALSE)))),"NO SUCH EXIT")</f>
        <v/>
      </c>
      <c r="D44" s="418"/>
      <c r="E44" s="419"/>
      <c r="F44" s="420" t="s">
        <v>59</v>
      </c>
      <c r="G44" s="421"/>
      <c r="H44" s="412" t="str">
        <f t="shared" si="1"/>
        <v/>
      </c>
      <c r="I44" s="465"/>
      <c r="J44" s="422"/>
      <c r="K44" s="423"/>
      <c r="L44" s="595"/>
      <c r="M44" s="415"/>
      <c r="N44" s="425"/>
      <c r="O44" s="585"/>
      <c r="P44" s="367" t="str">
        <f t="shared" si="0"/>
        <v/>
      </c>
      <c r="Q44" s="368"/>
      <c r="S44" s="424"/>
    </row>
    <row r="45" spans="1:19" x14ac:dyDescent="0.2">
      <c r="A45" s="387"/>
      <c r="B45" s="426"/>
      <c r="C45" s="412" t="str">
        <f>IFERROR(IF(B45="","",IF((COUNTIF('[1]Cable Info'!$B$11:$C$50,B45)=0),VLOOKUP(B45,'[1]Cable Info (2)'!$B$11:$C$50,2,FALSE),(VLOOKUP(B45,'[1]Cable Info'!$B$11:$C$50,2,FALSE)))),"NO SUCH EXIT")</f>
        <v/>
      </c>
      <c r="D45" s="418"/>
      <c r="E45" s="419"/>
      <c r="F45" s="420" t="s">
        <v>59</v>
      </c>
      <c r="G45" s="421"/>
      <c r="H45" s="412" t="str">
        <f t="shared" si="1"/>
        <v/>
      </c>
      <c r="I45" s="465"/>
      <c r="J45" s="422"/>
      <c r="K45" s="423"/>
      <c r="L45" s="595"/>
      <c r="M45" s="415"/>
      <c r="N45" s="425"/>
      <c r="O45" s="585"/>
      <c r="P45" s="367" t="str">
        <f t="shared" si="0"/>
        <v/>
      </c>
      <c r="Q45" s="368"/>
      <c r="S45" s="424"/>
    </row>
    <row r="46" spans="1:19" x14ac:dyDescent="0.2">
      <c r="A46" s="387"/>
      <c r="B46" s="426"/>
      <c r="C46" s="412" t="str">
        <f>IFERROR(IF(B46="","",IF((COUNTIF('[1]Cable Info'!$B$11:$C$50,B46)=0),VLOOKUP(B46,'[1]Cable Info (2)'!$B$11:$C$50,2,FALSE),(VLOOKUP(B46,'[1]Cable Info'!$B$11:$C$50,2,FALSE)))),"NO SUCH EXIT")</f>
        <v/>
      </c>
      <c r="D46" s="418"/>
      <c r="E46" s="419"/>
      <c r="F46" s="420" t="s">
        <v>59</v>
      </c>
      <c r="G46" s="421"/>
      <c r="H46" s="412" t="str">
        <f t="shared" si="1"/>
        <v/>
      </c>
      <c r="I46" s="465"/>
      <c r="J46" s="422"/>
      <c r="K46" s="423"/>
      <c r="L46" s="595"/>
      <c r="M46" s="415"/>
      <c r="N46" s="425"/>
      <c r="O46" s="585"/>
      <c r="P46" s="367" t="str">
        <f t="shared" si="0"/>
        <v/>
      </c>
      <c r="Q46" s="368"/>
      <c r="S46" s="424"/>
    </row>
    <row r="47" spans="1:19" x14ac:dyDescent="0.2">
      <c r="A47" s="387"/>
      <c r="B47" s="406"/>
      <c r="C47" s="412" t="str">
        <f>IFERROR(IF(B47="","",IF((COUNTIF('[1]Cable Info'!$B$11:$C$50,B47)=0),VLOOKUP(B47,'[1]Cable Info (2)'!$B$11:$C$50,2,FALSE),(VLOOKUP(B47,'[1]Cable Info'!$B$11:$C$50,2,FALSE)))),"NO SUCH EXIT")</f>
        <v/>
      </c>
      <c r="D47" s="418"/>
      <c r="E47" s="419"/>
      <c r="F47" s="420" t="s">
        <v>59</v>
      </c>
      <c r="G47" s="421"/>
      <c r="H47" s="412" t="str">
        <f t="shared" si="1"/>
        <v/>
      </c>
      <c r="I47" s="465"/>
      <c r="J47" s="422"/>
      <c r="K47" s="423"/>
      <c r="L47" s="595"/>
      <c r="M47" s="415"/>
      <c r="N47" s="427"/>
      <c r="O47" s="585"/>
      <c r="P47" s="367" t="str">
        <f t="shared" si="0"/>
        <v/>
      </c>
      <c r="Q47" s="368"/>
      <c r="S47" s="424"/>
    </row>
    <row r="48" spans="1:19" x14ac:dyDescent="0.2">
      <c r="A48" s="387"/>
      <c r="B48" s="426"/>
      <c r="C48" s="412" t="str">
        <f>IFERROR(IF(B48="","",IF((COUNTIF('[1]Cable Info'!$B$11:$C$50,B48)=0),VLOOKUP(B48,'[1]Cable Info (2)'!$B$11:$C$50,2,FALSE),(VLOOKUP(B48,'[1]Cable Info'!$B$11:$C$50,2,FALSE)))),"NO SUCH EXIT")</f>
        <v/>
      </c>
      <c r="D48" s="408"/>
      <c r="E48" s="419"/>
      <c r="F48" s="420" t="s">
        <v>59</v>
      </c>
      <c r="G48" s="421"/>
      <c r="H48" s="412" t="str">
        <f t="shared" si="1"/>
        <v/>
      </c>
      <c r="I48" s="465"/>
      <c r="J48" s="422"/>
      <c r="K48" s="423"/>
      <c r="L48" s="595"/>
      <c r="M48" s="415"/>
      <c r="N48" s="427"/>
      <c r="O48" s="585"/>
      <c r="P48" s="367" t="str">
        <f t="shared" si="0"/>
        <v/>
      </c>
      <c r="Q48" s="368"/>
      <c r="S48" s="424"/>
    </row>
    <row r="49" spans="1:19" x14ac:dyDescent="0.2">
      <c r="A49" s="387"/>
      <c r="B49" s="406"/>
      <c r="C49" s="412" t="str">
        <f>IFERROR(IF(B49="","",IF((COUNTIF('[1]Cable Info'!$B$11:$C$50,B49)=0),VLOOKUP(B49,'[1]Cable Info (2)'!$B$11:$C$50,2,FALSE),(VLOOKUP(B49,'[1]Cable Info'!$B$11:$C$50,2,FALSE)))),"NO SUCH EXIT")</f>
        <v/>
      </c>
      <c r="D49" s="418"/>
      <c r="E49" s="419"/>
      <c r="F49" s="420" t="s">
        <v>59</v>
      </c>
      <c r="G49" s="421"/>
      <c r="H49" s="412" t="str">
        <f t="shared" si="1"/>
        <v/>
      </c>
      <c r="I49" s="465"/>
      <c r="J49" s="422"/>
      <c r="K49" s="423"/>
      <c r="L49" s="595"/>
      <c r="M49" s="415"/>
      <c r="N49" s="427"/>
      <c r="O49" s="585"/>
      <c r="P49" s="367" t="str">
        <f t="shared" si="0"/>
        <v/>
      </c>
      <c r="Q49" s="368"/>
      <c r="S49" s="424"/>
    </row>
    <row r="50" spans="1:19" x14ac:dyDescent="0.2">
      <c r="A50" s="387"/>
      <c r="B50" s="426"/>
      <c r="C50" s="412" t="str">
        <f>IFERROR(IF(B50="","",IF((COUNTIF('[1]Cable Info'!$B$11:$C$50,B50)=0),VLOOKUP(B50,'[1]Cable Info (2)'!$B$11:$C$50,2,FALSE),(VLOOKUP(B50,'[1]Cable Info'!$B$11:$C$50,2,FALSE)))),"NO SUCH EXIT")</f>
        <v/>
      </c>
      <c r="D50" s="418"/>
      <c r="E50" s="419"/>
      <c r="F50" s="420" t="s">
        <v>59</v>
      </c>
      <c r="G50" s="421"/>
      <c r="H50" s="412" t="str">
        <f t="shared" si="1"/>
        <v/>
      </c>
      <c r="I50" s="465"/>
      <c r="J50" s="422"/>
      <c r="K50" s="423"/>
      <c r="L50" s="595"/>
      <c r="M50" s="415"/>
      <c r="N50" s="427"/>
      <c r="O50" s="585"/>
      <c r="P50" s="367" t="str">
        <f t="shared" si="0"/>
        <v/>
      </c>
      <c r="Q50" s="368"/>
      <c r="S50" s="424"/>
    </row>
    <row r="51" spans="1:19" x14ac:dyDescent="0.2">
      <c r="A51" s="387"/>
      <c r="B51" s="406"/>
      <c r="C51" s="412" t="str">
        <f>IFERROR(IF(B51="","",IF((COUNTIF('[1]Cable Info'!$B$11:$C$50,B51)=0),VLOOKUP(B51,'[1]Cable Info (2)'!$B$11:$C$50,2,FALSE),(VLOOKUP(B51,'[1]Cable Info'!$B$11:$C$50,2,FALSE)))),"NO SUCH EXIT")</f>
        <v/>
      </c>
      <c r="D51" s="418"/>
      <c r="E51" s="419"/>
      <c r="F51" s="420" t="s">
        <v>59</v>
      </c>
      <c r="G51" s="421"/>
      <c r="H51" s="412" t="str">
        <f t="shared" si="1"/>
        <v/>
      </c>
      <c r="I51" s="465"/>
      <c r="J51" s="422"/>
      <c r="K51" s="423"/>
      <c r="L51" s="595"/>
      <c r="M51" s="415"/>
      <c r="N51" s="427"/>
      <c r="O51" s="585"/>
      <c r="P51" s="367" t="str">
        <f t="shared" si="0"/>
        <v/>
      </c>
      <c r="Q51" s="368"/>
      <c r="S51" s="424"/>
    </row>
    <row r="52" spans="1:19" x14ac:dyDescent="0.2">
      <c r="A52" s="387"/>
      <c r="B52" s="426"/>
      <c r="C52" s="412" t="str">
        <f>IFERROR(IF(B52="","",IF((COUNTIF('[1]Cable Info'!$B$11:$C$50,B52)=0),VLOOKUP(B52,'[1]Cable Info (2)'!$B$11:$C$50,2,FALSE),(VLOOKUP(B52,'[1]Cable Info'!$B$11:$C$50,2,FALSE)))),"NO SUCH EXIT")</f>
        <v/>
      </c>
      <c r="D52" s="418"/>
      <c r="E52" s="419"/>
      <c r="F52" s="420" t="s">
        <v>59</v>
      </c>
      <c r="G52" s="421"/>
      <c r="H52" s="412" t="str">
        <f t="shared" si="1"/>
        <v/>
      </c>
      <c r="I52" s="465"/>
      <c r="J52" s="422"/>
      <c r="K52" s="423"/>
      <c r="L52" s="595"/>
      <c r="M52" s="415"/>
      <c r="N52" s="427"/>
      <c r="O52" s="585"/>
      <c r="P52" s="367" t="str">
        <f t="shared" si="0"/>
        <v/>
      </c>
      <c r="Q52" s="368"/>
      <c r="S52" s="424"/>
    </row>
    <row r="53" spans="1:19" x14ac:dyDescent="0.2">
      <c r="A53" s="387"/>
      <c r="B53" s="406"/>
      <c r="C53" s="412" t="str">
        <f>IFERROR(IF(B53="","",IF((COUNTIF('[1]Cable Info'!$B$11:$C$50,B53)=0),VLOOKUP(B53,'[1]Cable Info (2)'!$B$11:$C$50,2,FALSE),(VLOOKUP(B53,'[1]Cable Info'!$B$11:$C$50,2,FALSE)))),"NO SUCH EXIT")</f>
        <v/>
      </c>
      <c r="D53" s="418"/>
      <c r="E53" s="419"/>
      <c r="F53" s="420" t="s">
        <v>59</v>
      </c>
      <c r="G53" s="421"/>
      <c r="H53" s="412" t="str">
        <f t="shared" si="1"/>
        <v/>
      </c>
      <c r="I53" s="465"/>
      <c r="J53" s="422"/>
      <c r="K53" s="423"/>
      <c r="L53" s="595"/>
      <c r="M53" s="415"/>
      <c r="N53" s="427"/>
      <c r="O53" s="585"/>
      <c r="P53" s="367" t="str">
        <f t="shared" si="0"/>
        <v/>
      </c>
      <c r="Q53" s="368"/>
      <c r="S53" s="424"/>
    </row>
    <row r="54" spans="1:19" x14ac:dyDescent="0.2">
      <c r="A54" s="387"/>
      <c r="B54" s="426"/>
      <c r="C54" s="412" t="str">
        <f>IFERROR(IF(B54="","",IF((COUNTIF('[1]Cable Info'!$B$11:$C$50,B54)=0),VLOOKUP(B54,'[1]Cable Info (2)'!$B$11:$C$50,2,FALSE),(VLOOKUP(B54,'[1]Cable Info'!$B$11:$C$50,2,FALSE)))),"NO SUCH EXIT")</f>
        <v/>
      </c>
      <c r="D54" s="418"/>
      <c r="E54" s="419"/>
      <c r="F54" s="420" t="s">
        <v>59</v>
      </c>
      <c r="G54" s="421"/>
      <c r="H54" s="412" t="str">
        <f t="shared" si="1"/>
        <v/>
      </c>
      <c r="I54" s="465"/>
      <c r="J54" s="422"/>
      <c r="K54" s="423"/>
      <c r="L54" s="595"/>
      <c r="M54" s="415"/>
      <c r="N54" s="427"/>
      <c r="O54" s="585"/>
      <c r="P54" s="367" t="str">
        <f t="shared" si="0"/>
        <v/>
      </c>
      <c r="Q54" s="368"/>
      <c r="S54" s="424"/>
    </row>
    <row r="55" spans="1:19" x14ac:dyDescent="0.2">
      <c r="A55" s="387"/>
      <c r="B55" s="406"/>
      <c r="C55" s="412" t="str">
        <f>IFERROR(IF(B55="","",IF((COUNTIF('[1]Cable Info'!$B$11:$C$50,B55)=0),VLOOKUP(B55,'[1]Cable Info (2)'!$B$11:$C$50,2,FALSE),(VLOOKUP(B55,'[1]Cable Info'!$B$11:$C$50,2,FALSE)))),"NO SUCH EXIT")</f>
        <v/>
      </c>
      <c r="D55" s="418"/>
      <c r="E55" s="419"/>
      <c r="F55" s="420" t="s">
        <v>59</v>
      </c>
      <c r="G55" s="421"/>
      <c r="H55" s="412" t="str">
        <f t="shared" si="1"/>
        <v/>
      </c>
      <c r="I55" s="465"/>
      <c r="J55" s="422"/>
      <c r="K55" s="423"/>
      <c r="L55" s="595"/>
      <c r="M55" s="415"/>
      <c r="N55" s="427"/>
      <c r="O55" s="585"/>
      <c r="P55" s="367" t="str">
        <f t="shared" si="0"/>
        <v/>
      </c>
      <c r="Q55" s="368"/>
      <c r="S55" s="424"/>
    </row>
    <row r="56" spans="1:19" x14ac:dyDescent="0.2">
      <c r="A56" s="387"/>
      <c r="B56" s="426"/>
      <c r="C56" s="412" t="str">
        <f>IFERROR(IF(B56="","",IF((COUNTIF('[1]Cable Info'!$B$11:$C$50,B56)=0),VLOOKUP(B56,'[1]Cable Info (2)'!$B$11:$C$50,2,FALSE),(VLOOKUP(B56,'[1]Cable Info'!$B$11:$C$50,2,FALSE)))),"NO SUCH EXIT")</f>
        <v/>
      </c>
      <c r="D56" s="418"/>
      <c r="E56" s="419"/>
      <c r="F56" s="420" t="s">
        <v>59</v>
      </c>
      <c r="G56" s="421"/>
      <c r="H56" s="412" t="str">
        <f t="shared" si="1"/>
        <v/>
      </c>
      <c r="I56" s="465"/>
      <c r="J56" s="422"/>
      <c r="K56" s="423"/>
      <c r="L56" s="595"/>
      <c r="M56" s="415"/>
      <c r="N56" s="427"/>
      <c r="O56" s="585"/>
      <c r="P56" s="367" t="str">
        <f t="shared" si="0"/>
        <v/>
      </c>
      <c r="Q56" s="368"/>
      <c r="S56" s="424"/>
    </row>
    <row r="57" spans="1:19" x14ac:dyDescent="0.2">
      <c r="A57" s="387"/>
      <c r="B57" s="406"/>
      <c r="C57" s="412" t="str">
        <f>IFERROR(IF(B57="","",IF((COUNTIF('[1]Cable Info'!$B$11:$C$50,B57)=0),VLOOKUP(B57,'[1]Cable Info (2)'!$B$11:$C$50,2,FALSE),(VLOOKUP(B57,'[1]Cable Info'!$B$11:$C$50,2,FALSE)))),"NO SUCH EXIT")</f>
        <v/>
      </c>
      <c r="D57" s="418"/>
      <c r="E57" s="419"/>
      <c r="F57" s="420" t="s">
        <v>59</v>
      </c>
      <c r="G57" s="421"/>
      <c r="H57" s="412" t="str">
        <f t="shared" si="1"/>
        <v/>
      </c>
      <c r="I57" s="465"/>
      <c r="J57" s="422"/>
      <c r="K57" s="423"/>
      <c r="L57" s="595"/>
      <c r="M57" s="415"/>
      <c r="N57" s="427"/>
      <c r="O57" s="585"/>
      <c r="P57" s="367" t="str">
        <f t="shared" si="0"/>
        <v/>
      </c>
      <c r="Q57" s="368"/>
      <c r="S57" s="424"/>
    </row>
    <row r="58" spans="1:19" x14ac:dyDescent="0.2">
      <c r="A58" s="387"/>
      <c r="B58" s="426"/>
      <c r="C58" s="412" t="str">
        <f>IFERROR(IF(B58="","",IF((COUNTIF('[1]Cable Info'!$B$11:$C$50,B58)=0),VLOOKUP(B58,'[1]Cable Info (2)'!$B$11:$C$50,2,FALSE),(VLOOKUP(B58,'[1]Cable Info'!$B$11:$C$50,2,FALSE)))),"NO SUCH EXIT")</f>
        <v/>
      </c>
      <c r="D58" s="418"/>
      <c r="E58" s="419"/>
      <c r="F58" s="420" t="s">
        <v>59</v>
      </c>
      <c r="G58" s="421"/>
      <c r="H58" s="412" t="str">
        <f t="shared" si="1"/>
        <v/>
      </c>
      <c r="I58" s="465"/>
      <c r="J58" s="422"/>
      <c r="K58" s="423"/>
      <c r="L58" s="595"/>
      <c r="M58" s="415"/>
      <c r="N58" s="427"/>
      <c r="O58" s="585"/>
      <c r="P58" s="367" t="str">
        <f t="shared" si="0"/>
        <v/>
      </c>
      <c r="Q58" s="368"/>
      <c r="S58" s="424"/>
    </row>
    <row r="59" spans="1:19" x14ac:dyDescent="0.2">
      <c r="A59" s="387"/>
      <c r="B59" s="406"/>
      <c r="C59" s="412" t="str">
        <f>IFERROR(IF(B59="","",IF((COUNTIF('[1]Cable Info'!$B$11:$C$50,B59)=0),VLOOKUP(B59,'[1]Cable Info (2)'!$B$11:$C$50,2,FALSE),(VLOOKUP(B59,'[1]Cable Info'!$B$11:$C$50,2,FALSE)))),"NO SUCH EXIT")</f>
        <v/>
      </c>
      <c r="D59" s="418"/>
      <c r="E59" s="419"/>
      <c r="F59" s="420" t="s">
        <v>59</v>
      </c>
      <c r="G59" s="421"/>
      <c r="H59" s="412" t="str">
        <f t="shared" si="1"/>
        <v/>
      </c>
      <c r="I59" s="465"/>
      <c r="J59" s="422"/>
      <c r="K59" s="423"/>
      <c r="L59" s="595"/>
      <c r="M59" s="415"/>
      <c r="N59" s="427"/>
      <c r="O59" s="585"/>
      <c r="P59" s="367" t="str">
        <f t="shared" si="0"/>
        <v/>
      </c>
      <c r="Q59" s="368"/>
      <c r="S59" s="424"/>
    </row>
    <row r="60" spans="1:19" x14ac:dyDescent="0.2">
      <c r="A60" s="387"/>
      <c r="B60" s="426"/>
      <c r="C60" s="412" t="str">
        <f>IFERROR(IF(B60="","",IF((COUNTIF('[1]Cable Info'!$B$11:$C$50,B60)=0),VLOOKUP(B60,'[1]Cable Info (2)'!$B$11:$C$50,2,FALSE),(VLOOKUP(B60,'[1]Cable Info'!$B$11:$C$50,2,FALSE)))),"NO SUCH EXIT")</f>
        <v/>
      </c>
      <c r="D60" s="418"/>
      <c r="E60" s="419"/>
      <c r="F60" s="420" t="s">
        <v>59</v>
      </c>
      <c r="G60" s="421"/>
      <c r="H60" s="412" t="str">
        <f t="shared" si="1"/>
        <v/>
      </c>
      <c r="I60" s="465"/>
      <c r="J60" s="422"/>
      <c r="K60" s="423"/>
      <c r="L60" s="595"/>
      <c r="M60" s="415"/>
      <c r="N60" s="427"/>
      <c r="O60" s="585"/>
      <c r="P60" s="367" t="str">
        <f t="shared" si="0"/>
        <v/>
      </c>
      <c r="Q60" s="368"/>
      <c r="S60" s="424"/>
    </row>
    <row r="61" spans="1:19" x14ac:dyDescent="0.2">
      <c r="A61" s="387"/>
      <c r="B61" s="406"/>
      <c r="C61" s="412" t="str">
        <f>IFERROR(IF(B61="","",IF((COUNTIF('[1]Cable Info'!$B$11:$C$50,B61)=0),VLOOKUP(B61,'[1]Cable Info (2)'!$B$11:$C$50,2,FALSE),(VLOOKUP(B61,'[1]Cable Info'!$B$11:$C$50,2,FALSE)))),"NO SUCH EXIT")</f>
        <v/>
      </c>
      <c r="D61" s="418"/>
      <c r="E61" s="419"/>
      <c r="F61" s="420" t="s">
        <v>59</v>
      </c>
      <c r="G61" s="421"/>
      <c r="H61" s="412" t="str">
        <f t="shared" si="1"/>
        <v/>
      </c>
      <c r="I61" s="465"/>
      <c r="J61" s="422"/>
      <c r="K61" s="423"/>
      <c r="L61" s="595"/>
      <c r="M61" s="415"/>
      <c r="N61" s="427"/>
      <c r="O61" s="585"/>
      <c r="P61" s="367" t="str">
        <f t="shared" si="0"/>
        <v/>
      </c>
      <c r="Q61" s="368"/>
      <c r="S61" s="424"/>
    </row>
    <row r="62" spans="1:19" x14ac:dyDescent="0.2">
      <c r="A62" s="387"/>
      <c r="B62" s="426"/>
      <c r="C62" s="412" t="str">
        <f>IFERROR(IF(B62="","",IF((COUNTIF('[1]Cable Info'!$B$11:$C$50,B62)=0),VLOOKUP(B62,'[1]Cable Info (2)'!$B$11:$C$50,2,FALSE),(VLOOKUP(B62,'[1]Cable Info'!$B$11:$C$50,2,FALSE)))),"NO SUCH EXIT")</f>
        <v/>
      </c>
      <c r="D62" s="418"/>
      <c r="E62" s="419"/>
      <c r="F62" s="420" t="s">
        <v>59</v>
      </c>
      <c r="G62" s="421"/>
      <c r="H62" s="412" t="str">
        <f t="shared" si="1"/>
        <v/>
      </c>
      <c r="I62" s="465"/>
      <c r="J62" s="422"/>
      <c r="K62" s="423"/>
      <c r="L62" s="595"/>
      <c r="M62" s="415"/>
      <c r="N62" s="427"/>
      <c r="O62" s="585"/>
      <c r="P62" s="367" t="str">
        <f t="shared" si="0"/>
        <v/>
      </c>
      <c r="Q62" s="368"/>
      <c r="S62" s="424"/>
    </row>
    <row r="63" spans="1:19" x14ac:dyDescent="0.2">
      <c r="A63" s="387"/>
      <c r="B63" s="406"/>
      <c r="C63" s="412" t="str">
        <f>IFERROR(IF(B63="","",IF((COUNTIF('[1]Cable Info'!$B$11:$C$50,B63)=0),VLOOKUP(B63,'[1]Cable Info (2)'!$B$11:$C$50,2,FALSE),(VLOOKUP(B63,'[1]Cable Info'!$B$11:$C$50,2,FALSE)))),"NO SUCH EXIT")</f>
        <v/>
      </c>
      <c r="D63" s="418"/>
      <c r="E63" s="419"/>
      <c r="F63" s="420" t="s">
        <v>59</v>
      </c>
      <c r="G63" s="421"/>
      <c r="H63" s="412" t="str">
        <f t="shared" si="1"/>
        <v/>
      </c>
      <c r="I63" s="465"/>
      <c r="J63" s="422"/>
      <c r="K63" s="423"/>
      <c r="L63" s="595"/>
      <c r="M63" s="415"/>
      <c r="N63" s="427"/>
      <c r="O63" s="585"/>
      <c r="P63" s="367" t="str">
        <f t="shared" si="0"/>
        <v/>
      </c>
      <c r="Q63" s="368"/>
      <c r="S63" s="424"/>
    </row>
    <row r="64" spans="1:19" x14ac:dyDescent="0.2">
      <c r="A64" s="387"/>
      <c r="B64" s="406"/>
      <c r="C64" s="412"/>
      <c r="D64" s="418"/>
      <c r="E64" s="419"/>
      <c r="F64" s="420" t="s">
        <v>59</v>
      </c>
      <c r="G64" s="421"/>
      <c r="H64" s="412"/>
      <c r="I64" s="465"/>
      <c r="J64" s="422"/>
      <c r="K64" s="423"/>
      <c r="L64" s="595"/>
      <c r="M64" s="415"/>
      <c r="N64" s="427"/>
      <c r="O64" s="585"/>
      <c r="P64" s="367"/>
      <c r="Q64" s="368"/>
      <c r="S64" s="424"/>
    </row>
    <row r="65" spans="1:19" x14ac:dyDescent="0.2">
      <c r="A65" s="387"/>
      <c r="B65" s="406"/>
      <c r="C65" s="412"/>
      <c r="D65" s="418"/>
      <c r="E65" s="419"/>
      <c r="F65" s="420" t="s">
        <v>59</v>
      </c>
      <c r="G65" s="421"/>
      <c r="H65" s="412"/>
      <c r="I65" s="465"/>
      <c r="J65" s="422"/>
      <c r="K65" s="423"/>
      <c r="L65" s="595"/>
      <c r="M65" s="415"/>
      <c r="N65" s="427"/>
      <c r="O65" s="585"/>
      <c r="P65" s="367"/>
      <c r="Q65" s="368"/>
      <c r="S65" s="424"/>
    </row>
    <row r="66" spans="1:19" x14ac:dyDescent="0.2">
      <c r="A66" s="387"/>
      <c r="B66" s="406"/>
      <c r="C66" s="412"/>
      <c r="D66" s="418"/>
      <c r="E66" s="419"/>
      <c r="F66" s="420" t="s">
        <v>59</v>
      </c>
      <c r="G66" s="421"/>
      <c r="H66" s="412"/>
      <c r="I66" s="465"/>
      <c r="J66" s="422"/>
      <c r="K66" s="423"/>
      <c r="L66" s="595"/>
      <c r="M66" s="415"/>
      <c r="N66" s="427"/>
      <c r="O66" s="585"/>
      <c r="P66" s="367"/>
      <c r="Q66" s="368"/>
      <c r="S66" s="424"/>
    </row>
    <row r="67" spans="1:19" x14ac:dyDescent="0.2">
      <c r="A67" s="387"/>
      <c r="B67" s="406"/>
      <c r="C67" s="412"/>
      <c r="D67" s="418"/>
      <c r="E67" s="419"/>
      <c r="F67" s="420" t="s">
        <v>59</v>
      </c>
      <c r="G67" s="421"/>
      <c r="H67" s="412"/>
      <c r="I67" s="465"/>
      <c r="J67" s="422"/>
      <c r="K67" s="423"/>
      <c r="L67" s="595"/>
      <c r="M67" s="415"/>
      <c r="N67" s="427"/>
      <c r="O67" s="585"/>
      <c r="P67" s="367"/>
      <c r="Q67" s="368"/>
      <c r="S67" s="424"/>
    </row>
    <row r="68" spans="1:19" x14ac:dyDescent="0.2">
      <c r="A68" s="387"/>
      <c r="B68" s="406"/>
      <c r="C68" s="412"/>
      <c r="D68" s="418"/>
      <c r="E68" s="419"/>
      <c r="F68" s="420" t="s">
        <v>59</v>
      </c>
      <c r="G68" s="421"/>
      <c r="H68" s="412"/>
      <c r="I68" s="465"/>
      <c r="J68" s="422"/>
      <c r="K68" s="423"/>
      <c r="L68" s="595"/>
      <c r="M68" s="415"/>
      <c r="N68" s="427"/>
      <c r="O68" s="585"/>
      <c r="P68" s="367"/>
      <c r="Q68" s="368"/>
      <c r="S68" s="424"/>
    </row>
    <row r="69" spans="1:19" x14ac:dyDescent="0.2">
      <c r="A69" s="387"/>
      <c r="B69" s="406"/>
      <c r="C69" s="412"/>
      <c r="D69" s="418"/>
      <c r="E69" s="419"/>
      <c r="F69" s="420" t="s">
        <v>59</v>
      </c>
      <c r="G69" s="421"/>
      <c r="H69" s="412"/>
      <c r="I69" s="465"/>
      <c r="J69" s="422"/>
      <c r="K69" s="423"/>
      <c r="L69" s="595"/>
      <c r="M69" s="415"/>
      <c r="N69" s="427"/>
      <c r="O69" s="585"/>
      <c r="P69" s="367"/>
      <c r="Q69" s="368"/>
      <c r="S69" s="424"/>
    </row>
    <row r="70" spans="1:19" x14ac:dyDescent="0.2">
      <c r="A70" s="387"/>
      <c r="B70" s="406"/>
      <c r="C70" s="412"/>
      <c r="D70" s="418"/>
      <c r="E70" s="419"/>
      <c r="F70" s="420" t="s">
        <v>59</v>
      </c>
      <c r="G70" s="421"/>
      <c r="H70" s="412"/>
      <c r="I70" s="465"/>
      <c r="J70" s="422"/>
      <c r="K70" s="423"/>
      <c r="L70" s="595"/>
      <c r="M70" s="415"/>
      <c r="N70" s="427"/>
      <c r="O70" s="585"/>
      <c r="P70" s="367"/>
      <c r="Q70" s="368"/>
      <c r="S70" s="424"/>
    </row>
    <row r="71" spans="1:19" x14ac:dyDescent="0.2">
      <c r="A71" s="387"/>
      <c r="B71" s="406"/>
      <c r="C71" s="412"/>
      <c r="D71" s="418"/>
      <c r="E71" s="419"/>
      <c r="F71" s="420" t="s">
        <v>59</v>
      </c>
      <c r="G71" s="421"/>
      <c r="H71" s="412"/>
      <c r="I71" s="465"/>
      <c r="J71" s="422"/>
      <c r="K71" s="423"/>
      <c r="L71" s="595"/>
      <c r="M71" s="415"/>
      <c r="N71" s="427"/>
      <c r="O71" s="585"/>
      <c r="P71" s="367"/>
      <c r="Q71" s="368"/>
      <c r="S71" s="424"/>
    </row>
    <row r="72" spans="1:19" x14ac:dyDescent="0.2">
      <c r="A72" s="387"/>
      <c r="B72" s="406"/>
      <c r="C72" s="412"/>
      <c r="D72" s="418"/>
      <c r="E72" s="419"/>
      <c r="F72" s="420" t="s">
        <v>59</v>
      </c>
      <c r="G72" s="421"/>
      <c r="H72" s="412"/>
      <c r="I72" s="465"/>
      <c r="J72" s="422"/>
      <c r="K72" s="423"/>
      <c r="L72" s="595"/>
      <c r="M72" s="415"/>
      <c r="N72" s="427"/>
      <c r="O72" s="585"/>
      <c r="P72" s="367"/>
      <c r="Q72" s="368"/>
      <c r="S72" s="424"/>
    </row>
    <row r="73" spans="1:19" x14ac:dyDescent="0.2">
      <c r="A73" s="387"/>
      <c r="B73" s="406"/>
      <c r="C73" s="412"/>
      <c r="D73" s="418"/>
      <c r="E73" s="419"/>
      <c r="F73" s="420" t="s">
        <v>59</v>
      </c>
      <c r="G73" s="421"/>
      <c r="H73" s="412"/>
      <c r="I73" s="465"/>
      <c r="J73" s="422"/>
      <c r="K73" s="423"/>
      <c r="L73" s="595"/>
      <c r="M73" s="415"/>
      <c r="N73" s="427"/>
      <c r="O73" s="585"/>
      <c r="P73" s="367"/>
      <c r="Q73" s="368"/>
      <c r="S73" s="424"/>
    </row>
    <row r="74" spans="1:19" x14ac:dyDescent="0.2">
      <c r="A74" s="387"/>
      <c r="B74" s="406"/>
      <c r="C74" s="412"/>
      <c r="D74" s="418"/>
      <c r="E74" s="419"/>
      <c r="F74" s="420" t="s">
        <v>59</v>
      </c>
      <c r="G74" s="421"/>
      <c r="H74" s="412"/>
      <c r="I74" s="465"/>
      <c r="J74" s="422"/>
      <c r="K74" s="423"/>
      <c r="L74" s="595"/>
      <c r="M74" s="415"/>
      <c r="N74" s="427"/>
      <c r="O74" s="585"/>
      <c r="P74" s="367"/>
      <c r="Q74" s="368"/>
      <c r="S74" s="424"/>
    </row>
    <row r="75" spans="1:19" x14ac:dyDescent="0.2">
      <c r="A75" s="387"/>
      <c r="B75" s="406"/>
      <c r="C75" s="412"/>
      <c r="D75" s="418"/>
      <c r="E75" s="419"/>
      <c r="F75" s="420" t="s">
        <v>59</v>
      </c>
      <c r="G75" s="421"/>
      <c r="H75" s="412"/>
      <c r="I75" s="465"/>
      <c r="J75" s="422"/>
      <c r="K75" s="423"/>
      <c r="L75" s="595"/>
      <c r="M75" s="415"/>
      <c r="N75" s="427"/>
      <c r="O75" s="585"/>
      <c r="P75" s="367"/>
      <c r="Q75" s="368"/>
      <c r="S75" s="424"/>
    </row>
    <row r="76" spans="1:19" x14ac:dyDescent="0.2">
      <c r="A76" s="387"/>
      <c r="B76" s="406"/>
      <c r="C76" s="412"/>
      <c r="D76" s="418"/>
      <c r="E76" s="419"/>
      <c r="F76" s="420" t="s">
        <v>59</v>
      </c>
      <c r="G76" s="421"/>
      <c r="H76" s="412"/>
      <c r="I76" s="465"/>
      <c r="J76" s="422"/>
      <c r="K76" s="423"/>
      <c r="L76" s="595"/>
      <c r="M76" s="415"/>
      <c r="N76" s="427"/>
      <c r="O76" s="585"/>
      <c r="P76" s="367"/>
      <c r="Q76" s="368"/>
      <c r="S76" s="424"/>
    </row>
    <row r="77" spans="1:19" x14ac:dyDescent="0.2">
      <c r="A77" s="387"/>
      <c r="B77" s="406"/>
      <c r="C77" s="412"/>
      <c r="D77" s="418"/>
      <c r="E77" s="419"/>
      <c r="F77" s="420" t="s">
        <v>59</v>
      </c>
      <c r="G77" s="421"/>
      <c r="H77" s="412"/>
      <c r="I77" s="465"/>
      <c r="J77" s="422"/>
      <c r="K77" s="423"/>
      <c r="L77" s="595"/>
      <c r="M77" s="415"/>
      <c r="N77" s="427"/>
      <c r="O77" s="585"/>
      <c r="P77" s="367"/>
      <c r="Q77" s="368"/>
      <c r="S77" s="424"/>
    </row>
    <row r="78" spans="1:19" x14ac:dyDescent="0.2">
      <c r="A78" s="387"/>
      <c r="B78" s="406"/>
      <c r="C78" s="412"/>
      <c r="D78" s="418"/>
      <c r="E78" s="419"/>
      <c r="F78" s="420" t="s">
        <v>59</v>
      </c>
      <c r="G78" s="421"/>
      <c r="H78" s="412"/>
      <c r="I78" s="465"/>
      <c r="J78" s="422"/>
      <c r="K78" s="423"/>
      <c r="L78" s="595"/>
      <c r="M78" s="415"/>
      <c r="N78" s="427"/>
      <c r="O78" s="585"/>
      <c r="P78" s="367"/>
      <c r="Q78" s="368"/>
      <c r="S78" s="424"/>
    </row>
    <row r="79" spans="1:19" x14ac:dyDescent="0.2">
      <c r="A79" s="387"/>
      <c r="B79" s="406"/>
      <c r="C79" s="412"/>
      <c r="D79" s="418"/>
      <c r="E79" s="419"/>
      <c r="F79" s="420" t="s">
        <v>59</v>
      </c>
      <c r="G79" s="421"/>
      <c r="H79" s="412"/>
      <c r="I79" s="465"/>
      <c r="J79" s="422"/>
      <c r="K79" s="423"/>
      <c r="L79" s="595"/>
      <c r="M79" s="415"/>
      <c r="N79" s="427"/>
      <c r="O79" s="585"/>
      <c r="P79" s="367"/>
      <c r="Q79" s="368"/>
      <c r="S79" s="424"/>
    </row>
    <row r="80" spans="1:19" x14ac:dyDescent="0.2">
      <c r="A80" s="387"/>
      <c r="B80" s="406"/>
      <c r="C80" s="412"/>
      <c r="D80" s="418"/>
      <c r="E80" s="419"/>
      <c r="F80" s="420" t="s">
        <v>59</v>
      </c>
      <c r="G80" s="421"/>
      <c r="H80" s="412"/>
      <c r="I80" s="465"/>
      <c r="J80" s="422"/>
      <c r="K80" s="423"/>
      <c r="L80" s="595"/>
      <c r="M80" s="415"/>
      <c r="N80" s="427"/>
      <c r="O80" s="585"/>
      <c r="P80" s="367"/>
      <c r="Q80" s="368"/>
      <c r="S80" s="424"/>
    </row>
    <row r="81" spans="1:19" x14ac:dyDescent="0.2">
      <c r="A81" s="387"/>
      <c r="B81" s="406"/>
      <c r="C81" s="412"/>
      <c r="D81" s="418"/>
      <c r="E81" s="419"/>
      <c r="F81" s="420" t="s">
        <v>59</v>
      </c>
      <c r="G81" s="421"/>
      <c r="H81" s="412"/>
      <c r="I81" s="465"/>
      <c r="J81" s="422"/>
      <c r="K81" s="423"/>
      <c r="L81" s="595"/>
      <c r="M81" s="415"/>
      <c r="N81" s="427"/>
      <c r="O81" s="585"/>
      <c r="P81" s="367"/>
      <c r="Q81" s="368"/>
      <c r="S81" s="424"/>
    </row>
    <row r="82" spans="1:19" x14ac:dyDescent="0.2">
      <c r="A82" s="387"/>
      <c r="B82" s="406"/>
      <c r="C82" s="412"/>
      <c r="D82" s="418"/>
      <c r="E82" s="419"/>
      <c r="F82" s="420" t="s">
        <v>59</v>
      </c>
      <c r="G82" s="421"/>
      <c r="H82" s="412"/>
      <c r="I82" s="465"/>
      <c r="J82" s="422"/>
      <c r="K82" s="423"/>
      <c r="L82" s="595"/>
      <c r="M82" s="415"/>
      <c r="N82" s="427"/>
      <c r="O82" s="585"/>
      <c r="P82" s="367"/>
      <c r="Q82" s="368"/>
      <c r="S82" s="424"/>
    </row>
    <row r="83" spans="1:19" x14ac:dyDescent="0.2">
      <c r="A83" s="387"/>
      <c r="B83" s="406"/>
      <c r="C83" s="412"/>
      <c r="D83" s="418"/>
      <c r="E83" s="419"/>
      <c r="F83" s="420" t="s">
        <v>59</v>
      </c>
      <c r="G83" s="421"/>
      <c r="H83" s="412"/>
      <c r="I83" s="465"/>
      <c r="J83" s="422"/>
      <c r="K83" s="423"/>
      <c r="L83" s="595"/>
      <c r="M83" s="415"/>
      <c r="N83" s="427"/>
      <c r="O83" s="585"/>
      <c r="P83" s="367"/>
      <c r="Q83" s="368"/>
      <c r="S83" s="424"/>
    </row>
    <row r="84" spans="1:19" x14ac:dyDescent="0.2">
      <c r="A84" s="387"/>
      <c r="B84" s="406"/>
      <c r="C84" s="412"/>
      <c r="D84" s="418"/>
      <c r="E84" s="419"/>
      <c r="F84" s="420" t="s">
        <v>59</v>
      </c>
      <c r="G84" s="421"/>
      <c r="H84" s="412"/>
      <c r="I84" s="465"/>
      <c r="J84" s="422"/>
      <c r="K84" s="423"/>
      <c r="L84" s="595"/>
      <c r="M84" s="415"/>
      <c r="N84" s="427"/>
      <c r="O84" s="585"/>
      <c r="P84" s="367"/>
      <c r="Q84" s="368"/>
      <c r="S84" s="424"/>
    </row>
    <row r="85" spans="1:19" x14ac:dyDescent="0.2">
      <c r="A85" s="387"/>
      <c r="B85" s="406"/>
      <c r="C85" s="412"/>
      <c r="D85" s="418"/>
      <c r="E85" s="419"/>
      <c r="F85" s="420" t="s">
        <v>59</v>
      </c>
      <c r="G85" s="421"/>
      <c r="H85" s="412"/>
      <c r="I85" s="465"/>
      <c r="J85" s="422"/>
      <c r="K85" s="423"/>
      <c r="L85" s="595"/>
      <c r="M85" s="415"/>
      <c r="N85" s="427"/>
      <c r="O85" s="585"/>
      <c r="P85" s="367"/>
      <c r="Q85" s="368"/>
      <c r="S85" s="424"/>
    </row>
    <row r="86" spans="1:19" x14ac:dyDescent="0.2">
      <c r="A86" s="387"/>
      <c r="B86" s="406"/>
      <c r="C86" s="412"/>
      <c r="D86" s="418"/>
      <c r="E86" s="419"/>
      <c r="F86" s="420" t="s">
        <v>59</v>
      </c>
      <c r="G86" s="421"/>
      <c r="H86" s="412"/>
      <c r="I86" s="465"/>
      <c r="J86" s="422"/>
      <c r="K86" s="423"/>
      <c r="L86" s="595"/>
      <c r="M86" s="415"/>
      <c r="N86" s="427"/>
      <c r="O86" s="585"/>
      <c r="P86" s="367"/>
      <c r="Q86" s="368"/>
      <c r="S86" s="424"/>
    </row>
    <row r="87" spans="1:19" x14ac:dyDescent="0.2">
      <c r="A87" s="387"/>
      <c r="B87" s="406"/>
      <c r="C87" s="412"/>
      <c r="D87" s="418"/>
      <c r="E87" s="419"/>
      <c r="F87" s="420" t="s">
        <v>59</v>
      </c>
      <c r="G87" s="421"/>
      <c r="H87" s="412"/>
      <c r="I87" s="465"/>
      <c r="J87" s="422"/>
      <c r="K87" s="423"/>
      <c r="L87" s="595"/>
      <c r="M87" s="415"/>
      <c r="N87" s="427"/>
      <c r="O87" s="585"/>
      <c r="P87" s="367"/>
      <c r="Q87" s="368"/>
      <c r="S87" s="424"/>
    </row>
    <row r="88" spans="1:19" x14ac:dyDescent="0.2">
      <c r="A88" s="387"/>
      <c r="B88" s="406"/>
      <c r="C88" s="412"/>
      <c r="D88" s="418"/>
      <c r="E88" s="419"/>
      <c r="F88" s="420" t="s">
        <v>59</v>
      </c>
      <c r="G88" s="421"/>
      <c r="H88" s="412"/>
      <c r="I88" s="465"/>
      <c r="J88" s="422"/>
      <c r="K88" s="423"/>
      <c r="L88" s="595"/>
      <c r="M88" s="415"/>
      <c r="N88" s="427"/>
      <c r="O88" s="585"/>
      <c r="P88" s="367"/>
      <c r="Q88" s="368"/>
      <c r="S88" s="424"/>
    </row>
    <row r="89" spans="1:19" x14ac:dyDescent="0.2">
      <c r="A89" s="387"/>
      <c r="B89" s="406"/>
      <c r="C89" s="412"/>
      <c r="D89" s="418"/>
      <c r="E89" s="419"/>
      <c r="F89" s="420" t="s">
        <v>59</v>
      </c>
      <c r="G89" s="421"/>
      <c r="H89" s="412"/>
      <c r="I89" s="465"/>
      <c r="J89" s="422"/>
      <c r="K89" s="423"/>
      <c r="L89" s="595"/>
      <c r="M89" s="415"/>
      <c r="N89" s="427"/>
      <c r="O89" s="585"/>
      <c r="P89" s="367"/>
      <c r="Q89" s="368"/>
      <c r="S89" s="424"/>
    </row>
    <row r="90" spans="1:19" x14ac:dyDescent="0.2">
      <c r="A90" s="387"/>
      <c r="B90" s="406"/>
      <c r="C90" s="412"/>
      <c r="D90" s="418"/>
      <c r="E90" s="419"/>
      <c r="F90" s="420" t="s">
        <v>59</v>
      </c>
      <c r="G90" s="421"/>
      <c r="H90" s="412"/>
      <c r="I90" s="465"/>
      <c r="J90" s="422"/>
      <c r="K90" s="423"/>
      <c r="L90" s="595"/>
      <c r="M90" s="415"/>
      <c r="N90" s="427"/>
      <c r="O90" s="585"/>
      <c r="P90" s="367"/>
      <c r="Q90" s="368"/>
      <c r="S90" s="424"/>
    </row>
    <row r="91" spans="1:19" x14ac:dyDescent="0.2">
      <c r="A91" s="387"/>
      <c r="B91" s="406"/>
      <c r="C91" s="412"/>
      <c r="D91" s="418"/>
      <c r="E91" s="419"/>
      <c r="F91" s="420" t="s">
        <v>59</v>
      </c>
      <c r="G91" s="421"/>
      <c r="H91" s="412"/>
      <c r="I91" s="465"/>
      <c r="J91" s="422"/>
      <c r="K91" s="423"/>
      <c r="L91" s="595"/>
      <c r="M91" s="415"/>
      <c r="N91" s="427"/>
      <c r="O91" s="585"/>
      <c r="P91" s="367"/>
      <c r="Q91" s="368"/>
      <c r="S91" s="424"/>
    </row>
    <row r="92" spans="1:19" x14ac:dyDescent="0.2">
      <c r="A92" s="387"/>
      <c r="B92" s="406"/>
      <c r="C92" s="412"/>
      <c r="D92" s="418"/>
      <c r="E92" s="419"/>
      <c r="F92" s="420" t="s">
        <v>59</v>
      </c>
      <c r="G92" s="421"/>
      <c r="H92" s="412"/>
      <c r="I92" s="465"/>
      <c r="J92" s="422"/>
      <c r="K92" s="423"/>
      <c r="L92" s="595"/>
      <c r="M92" s="415"/>
      <c r="N92" s="427"/>
      <c r="O92" s="585"/>
      <c r="P92" s="367"/>
      <c r="Q92" s="368"/>
      <c r="S92" s="424"/>
    </row>
    <row r="93" spans="1:19" x14ac:dyDescent="0.2">
      <c r="A93" s="387"/>
      <c r="B93" s="406"/>
      <c r="C93" s="412"/>
      <c r="D93" s="418"/>
      <c r="E93" s="419"/>
      <c r="F93" s="420" t="s">
        <v>59</v>
      </c>
      <c r="G93" s="421"/>
      <c r="H93" s="412"/>
      <c r="I93" s="465"/>
      <c r="J93" s="422"/>
      <c r="K93" s="423"/>
      <c r="L93" s="595"/>
      <c r="M93" s="415"/>
      <c r="N93" s="427"/>
      <c r="O93" s="585"/>
      <c r="P93" s="367"/>
      <c r="Q93" s="368"/>
      <c r="S93" s="424"/>
    </row>
    <row r="94" spans="1:19" x14ac:dyDescent="0.2">
      <c r="A94" s="387"/>
      <c r="B94" s="406"/>
      <c r="C94" s="412"/>
      <c r="D94" s="418"/>
      <c r="E94" s="419"/>
      <c r="F94" s="420" t="s">
        <v>59</v>
      </c>
      <c r="G94" s="421"/>
      <c r="H94" s="412"/>
      <c r="I94" s="465"/>
      <c r="J94" s="422"/>
      <c r="K94" s="423"/>
      <c r="L94" s="595"/>
      <c r="M94" s="415"/>
      <c r="N94" s="427"/>
      <c r="O94" s="585"/>
      <c r="P94" s="367"/>
      <c r="Q94" s="368"/>
      <c r="S94" s="424"/>
    </row>
    <row r="95" spans="1:19" x14ac:dyDescent="0.2">
      <c r="A95" s="387"/>
      <c r="B95" s="406"/>
      <c r="C95" s="412"/>
      <c r="D95" s="418"/>
      <c r="E95" s="419"/>
      <c r="F95" s="420" t="s">
        <v>59</v>
      </c>
      <c r="G95" s="421"/>
      <c r="H95" s="412"/>
      <c r="I95" s="465"/>
      <c r="J95" s="422"/>
      <c r="K95" s="423"/>
      <c r="L95" s="595"/>
      <c r="M95" s="415"/>
      <c r="N95" s="427"/>
      <c r="O95" s="585"/>
      <c r="P95" s="367"/>
      <c r="Q95" s="368"/>
      <c r="S95" s="424"/>
    </row>
    <row r="96" spans="1:19" x14ac:dyDescent="0.2">
      <c r="A96" s="387"/>
      <c r="B96" s="406"/>
      <c r="C96" s="412"/>
      <c r="D96" s="418"/>
      <c r="E96" s="419"/>
      <c r="F96" s="420" t="s">
        <v>59</v>
      </c>
      <c r="G96" s="421"/>
      <c r="H96" s="412"/>
      <c r="I96" s="465"/>
      <c r="J96" s="422"/>
      <c r="K96" s="423"/>
      <c r="L96" s="595"/>
      <c r="M96" s="415"/>
      <c r="N96" s="427"/>
      <c r="O96" s="585"/>
      <c r="P96" s="367"/>
      <c r="Q96" s="368"/>
      <c r="S96" s="424"/>
    </row>
    <row r="97" spans="1:19" x14ac:dyDescent="0.2">
      <c r="A97" s="387"/>
      <c r="B97" s="406"/>
      <c r="C97" s="412"/>
      <c r="D97" s="418"/>
      <c r="E97" s="419"/>
      <c r="F97" s="420" t="s">
        <v>59</v>
      </c>
      <c r="G97" s="421"/>
      <c r="H97" s="412"/>
      <c r="I97" s="465"/>
      <c r="J97" s="422"/>
      <c r="K97" s="423"/>
      <c r="L97" s="595"/>
      <c r="M97" s="415"/>
      <c r="N97" s="427"/>
      <c r="O97" s="585"/>
      <c r="P97" s="367"/>
      <c r="Q97" s="368"/>
      <c r="S97" s="424"/>
    </row>
    <row r="98" spans="1:19" x14ac:dyDescent="0.2">
      <c r="A98" s="387"/>
      <c r="B98" s="406"/>
      <c r="C98" s="412"/>
      <c r="D98" s="418"/>
      <c r="E98" s="419"/>
      <c r="F98" s="420" t="s">
        <v>59</v>
      </c>
      <c r="G98" s="421"/>
      <c r="H98" s="412"/>
      <c r="I98" s="465"/>
      <c r="J98" s="422"/>
      <c r="K98" s="423"/>
      <c r="L98" s="595"/>
      <c r="M98" s="415"/>
      <c r="N98" s="427"/>
      <c r="O98" s="585"/>
      <c r="P98" s="367"/>
      <c r="Q98" s="368"/>
      <c r="S98" s="424"/>
    </row>
    <row r="99" spans="1:19" x14ac:dyDescent="0.2">
      <c r="A99" s="387"/>
      <c r="B99" s="406"/>
      <c r="C99" s="412"/>
      <c r="D99" s="418"/>
      <c r="E99" s="419"/>
      <c r="F99" s="420" t="s">
        <v>59</v>
      </c>
      <c r="G99" s="421"/>
      <c r="H99" s="412"/>
      <c r="I99" s="465"/>
      <c r="J99" s="422"/>
      <c r="K99" s="423"/>
      <c r="L99" s="595"/>
      <c r="M99" s="415"/>
      <c r="N99" s="427"/>
      <c r="O99" s="585"/>
      <c r="P99" s="367"/>
      <c r="Q99" s="368"/>
      <c r="S99" s="424"/>
    </row>
    <row r="100" spans="1:19" x14ac:dyDescent="0.2">
      <c r="A100" s="387"/>
      <c r="B100" s="406"/>
      <c r="C100" s="412"/>
      <c r="D100" s="418"/>
      <c r="E100" s="419"/>
      <c r="F100" s="420" t="s">
        <v>59</v>
      </c>
      <c r="G100" s="421"/>
      <c r="H100" s="412"/>
      <c r="I100" s="465"/>
      <c r="J100" s="422"/>
      <c r="K100" s="423"/>
      <c r="L100" s="595"/>
      <c r="M100" s="415"/>
      <c r="N100" s="427"/>
      <c r="O100" s="585"/>
      <c r="P100" s="367"/>
      <c r="Q100" s="368"/>
      <c r="S100" s="424"/>
    </row>
    <row r="101" spans="1:19" x14ac:dyDescent="0.2">
      <c r="A101" s="387"/>
      <c r="B101" s="406"/>
      <c r="C101" s="412"/>
      <c r="D101" s="418"/>
      <c r="E101" s="419"/>
      <c r="F101" s="420" t="s">
        <v>59</v>
      </c>
      <c r="G101" s="421"/>
      <c r="H101" s="412"/>
      <c r="I101" s="465"/>
      <c r="J101" s="422"/>
      <c r="K101" s="423"/>
      <c r="L101" s="595"/>
      <c r="M101" s="415"/>
      <c r="N101" s="427"/>
      <c r="O101" s="585"/>
      <c r="P101" s="367"/>
      <c r="Q101" s="368"/>
      <c r="S101" s="424"/>
    </row>
    <row r="102" spans="1:19" x14ac:dyDescent="0.2">
      <c r="A102" s="387"/>
      <c r="B102" s="406"/>
      <c r="C102" s="412"/>
      <c r="D102" s="418"/>
      <c r="E102" s="419"/>
      <c r="F102" s="420" t="s">
        <v>59</v>
      </c>
      <c r="G102" s="421"/>
      <c r="H102" s="412"/>
      <c r="I102" s="465"/>
      <c r="J102" s="422"/>
      <c r="K102" s="423"/>
      <c r="L102" s="595"/>
      <c r="M102" s="415"/>
      <c r="N102" s="427"/>
      <c r="O102" s="585"/>
      <c r="P102" s="367"/>
      <c r="Q102" s="368"/>
      <c r="S102" s="424"/>
    </row>
    <row r="103" spans="1:19" x14ac:dyDescent="0.2">
      <c r="A103" s="387"/>
      <c r="B103" s="406"/>
      <c r="C103" s="412"/>
      <c r="D103" s="418"/>
      <c r="E103" s="419"/>
      <c r="F103" s="420" t="s">
        <v>59</v>
      </c>
      <c r="G103" s="421"/>
      <c r="H103" s="412"/>
      <c r="I103" s="465"/>
      <c r="J103" s="422"/>
      <c r="K103" s="423"/>
      <c r="L103" s="595"/>
      <c r="M103" s="415"/>
      <c r="N103" s="427"/>
      <c r="O103" s="585"/>
      <c r="P103" s="367"/>
      <c r="Q103" s="368"/>
      <c r="S103" s="424"/>
    </row>
    <row r="104" spans="1:19" x14ac:dyDescent="0.2">
      <c r="A104" s="387"/>
      <c r="B104" s="426"/>
      <c r="C104" s="412" t="str">
        <f>IFERROR(IF(B104="","",IF((COUNTIF('[1]Cable Info'!$B$11:$C$50,B104)=0),VLOOKUP(B104,'[1]Cable Info (2)'!$B$11:$C$50,2,FALSE),(VLOOKUP(B104,'[1]Cable Info'!$B$11:$C$50,2,FALSE)))),"NO SUCH EXIT")</f>
        <v/>
      </c>
      <c r="D104" s="418"/>
      <c r="E104" s="419"/>
      <c r="F104" s="420" t="s">
        <v>59</v>
      </c>
      <c r="G104" s="421"/>
      <c r="H104" s="412" t="str">
        <f t="shared" si="1"/>
        <v/>
      </c>
      <c r="I104" s="465"/>
      <c r="J104" s="422"/>
      <c r="K104" s="423"/>
      <c r="L104" s="595"/>
      <c r="M104" s="415"/>
      <c r="N104" s="427"/>
      <c r="O104" s="585"/>
      <c r="P104" s="367" t="str">
        <f t="shared" si="0"/>
        <v/>
      </c>
      <c r="Q104" s="368"/>
      <c r="S104" s="424"/>
    </row>
    <row r="105" spans="1:19" x14ac:dyDescent="0.2">
      <c r="A105" s="387"/>
      <c r="B105" s="428"/>
      <c r="C105" s="412" t="str">
        <f>IFERROR(IF(B105="","",IF((COUNTIF('[1]Cable Info'!$B$11:$C$50,B105)=0),VLOOKUP(B105,'[1]Cable Info (2)'!$B$11:$C$50,2,FALSE),(VLOOKUP(B105,'[1]Cable Info'!$B$11:$C$50,2,FALSE)))),"NO SUCH EXIT")</f>
        <v/>
      </c>
      <c r="D105" s="429"/>
      <c r="E105" s="419"/>
      <c r="F105" s="420" t="s">
        <v>59</v>
      </c>
      <c r="G105" s="421"/>
      <c r="H105" s="412" t="str">
        <f t="shared" si="1"/>
        <v/>
      </c>
      <c r="I105" s="465"/>
      <c r="J105" s="430"/>
      <c r="K105" s="431"/>
      <c r="L105" s="595"/>
      <c r="M105" s="415"/>
      <c r="N105" s="427"/>
      <c r="O105" s="585"/>
      <c r="P105" s="367" t="str">
        <f t="shared" si="0"/>
        <v/>
      </c>
      <c r="Q105" s="368"/>
      <c r="S105" s="424"/>
    </row>
    <row r="106" spans="1:19" x14ac:dyDescent="0.2">
      <c r="A106" s="387"/>
      <c r="B106" s="428"/>
      <c r="C106" s="412" t="str">
        <f>IFERROR(IF(B106="","",IF((COUNTIF('[1]Cable Info'!$B$11:$C$50,B106)=0),VLOOKUP(B106,'[1]Cable Info (2)'!$B$11:$C$50,2,FALSE),(VLOOKUP(B106,'[1]Cable Info'!$B$11:$C$50,2,FALSE)))),"NO SUCH EXIT")</f>
        <v/>
      </c>
      <c r="D106" s="429"/>
      <c r="E106" s="419"/>
      <c r="F106" s="420" t="s">
        <v>59</v>
      </c>
      <c r="G106" s="421"/>
      <c r="H106" s="412" t="str">
        <f t="shared" si="1"/>
        <v/>
      </c>
      <c r="I106" s="465"/>
      <c r="J106" s="430"/>
      <c r="K106" s="431"/>
      <c r="L106" s="595"/>
      <c r="M106" s="415"/>
      <c r="N106" s="427"/>
      <c r="O106" s="585"/>
      <c r="P106" s="367" t="str">
        <f t="shared" si="0"/>
        <v/>
      </c>
      <c r="Q106" s="368"/>
      <c r="S106" s="424"/>
    </row>
    <row r="107" spans="1:19" x14ac:dyDescent="0.2">
      <c r="A107" s="387"/>
      <c r="B107" s="428"/>
      <c r="C107" s="412" t="str">
        <f>IFERROR(IF(B107="","",IF((COUNTIF('[1]Cable Info'!$B$11:$C$50,B107)=0),VLOOKUP(B107,'[1]Cable Info (2)'!$B$11:$C$50,2,FALSE),(VLOOKUP(B107,'[1]Cable Info'!$B$11:$C$50,2,FALSE)))),"NO SUCH EXIT")</f>
        <v/>
      </c>
      <c r="D107" s="429"/>
      <c r="E107" s="419"/>
      <c r="F107" s="420" t="s">
        <v>59</v>
      </c>
      <c r="G107" s="421"/>
      <c r="H107" s="412" t="str">
        <f t="shared" si="1"/>
        <v/>
      </c>
      <c r="I107" s="465"/>
      <c r="J107" s="430"/>
      <c r="K107" s="431"/>
      <c r="L107" s="595"/>
      <c r="M107" s="415"/>
      <c r="N107" s="427"/>
      <c r="O107" s="585"/>
      <c r="P107" s="367" t="str">
        <f t="shared" si="0"/>
        <v/>
      </c>
      <c r="Q107" s="368"/>
      <c r="S107" s="424"/>
    </row>
    <row r="108" spans="1:19" x14ac:dyDescent="0.2">
      <c r="A108" s="387"/>
      <c r="B108" s="428"/>
      <c r="C108" s="412" t="str">
        <f>IFERROR(IF(B108="","",IF((COUNTIF('[1]Cable Info'!$B$11:$C$50,B108)=0),VLOOKUP(B108,'[1]Cable Info (2)'!$B$11:$C$50,2,FALSE),(VLOOKUP(B108,'[1]Cable Info'!$B$11:$C$50,2,FALSE)))),"NO SUCH EXIT")</f>
        <v/>
      </c>
      <c r="D108" s="429"/>
      <c r="E108" s="419"/>
      <c r="F108" s="420" t="s">
        <v>59</v>
      </c>
      <c r="G108" s="421"/>
      <c r="H108" s="412" t="str">
        <f t="shared" si="1"/>
        <v/>
      </c>
      <c r="I108" s="465"/>
      <c r="J108" s="430"/>
      <c r="K108" s="431"/>
      <c r="L108" s="595"/>
      <c r="M108" s="415"/>
      <c r="N108" s="427"/>
      <c r="O108" s="585"/>
      <c r="P108" s="367" t="str">
        <f t="shared" si="0"/>
        <v/>
      </c>
      <c r="Q108" s="368"/>
      <c r="S108" s="424"/>
    </row>
    <row r="109" spans="1:19" x14ac:dyDescent="0.2">
      <c r="A109" s="387"/>
      <c r="B109" s="428"/>
      <c r="C109" s="412" t="str">
        <f>IFERROR(IF(B109="","",IF((COUNTIF('[1]Cable Info'!$B$11:$C$50,B109)=0),VLOOKUP(B109,'[1]Cable Info (2)'!$B$11:$C$50,2,FALSE),(VLOOKUP(B109,'[1]Cable Info'!$B$11:$C$50,2,FALSE)))),"NO SUCH EXIT")</f>
        <v/>
      </c>
      <c r="D109" s="429"/>
      <c r="E109" s="419"/>
      <c r="F109" s="420" t="s">
        <v>59</v>
      </c>
      <c r="G109" s="421"/>
      <c r="H109" s="412" t="str">
        <f t="shared" si="1"/>
        <v/>
      </c>
      <c r="I109" s="465"/>
      <c r="J109" s="430"/>
      <c r="K109" s="431"/>
      <c r="L109" s="595"/>
      <c r="M109" s="415"/>
      <c r="N109" s="427"/>
      <c r="O109" s="585"/>
      <c r="P109" s="367" t="str">
        <f t="shared" si="0"/>
        <v/>
      </c>
      <c r="Q109" s="368"/>
      <c r="S109" s="424"/>
    </row>
    <row r="110" spans="1:19" x14ac:dyDescent="0.2">
      <c r="A110" s="387"/>
      <c r="B110" s="428"/>
      <c r="C110" s="412" t="str">
        <f>IFERROR(IF(B110="","",IF((COUNTIF('[1]Cable Info'!$B$11:$C$50,B110)=0),VLOOKUP(B110,'[1]Cable Info (2)'!$B$11:$C$50,2,FALSE),(VLOOKUP(B110,'[1]Cable Info'!$B$11:$C$50,2,FALSE)))),"NO SUCH EXIT")</f>
        <v/>
      </c>
      <c r="D110" s="429"/>
      <c r="E110" s="419"/>
      <c r="F110" s="420" t="s">
        <v>59</v>
      </c>
      <c r="G110" s="421"/>
      <c r="H110" s="412" t="str">
        <f t="shared" si="1"/>
        <v/>
      </c>
      <c r="I110" s="465"/>
      <c r="J110" s="430"/>
      <c r="K110" s="431"/>
      <c r="L110" s="595"/>
      <c r="M110" s="415"/>
      <c r="N110" s="427"/>
      <c r="O110" s="585"/>
      <c r="P110" s="367" t="str">
        <f t="shared" si="0"/>
        <v/>
      </c>
      <c r="Q110" s="368"/>
      <c r="S110" s="424"/>
    </row>
    <row r="111" spans="1:19" x14ac:dyDescent="0.2">
      <c r="A111" s="387"/>
      <c r="B111" s="428"/>
      <c r="C111" s="412" t="str">
        <f>IFERROR(IF(B111="","",IF((COUNTIF('[1]Cable Info'!$B$11:$C$50,B111)=0),VLOOKUP(B111,'[1]Cable Info (2)'!$B$11:$C$50,2,FALSE),(VLOOKUP(B111,'[1]Cable Info'!$B$11:$C$50,2,FALSE)))),"NO SUCH EXIT")</f>
        <v/>
      </c>
      <c r="D111" s="429"/>
      <c r="E111" s="419"/>
      <c r="F111" s="420" t="s">
        <v>59</v>
      </c>
      <c r="G111" s="421"/>
      <c r="H111" s="412" t="str">
        <f t="shared" si="1"/>
        <v/>
      </c>
      <c r="I111" s="465"/>
      <c r="J111" s="430"/>
      <c r="K111" s="431"/>
      <c r="L111" s="595"/>
      <c r="M111" s="415"/>
      <c r="N111" s="427"/>
      <c r="O111" s="585"/>
      <c r="P111" s="367" t="str">
        <f t="shared" si="0"/>
        <v/>
      </c>
      <c r="Q111" s="368"/>
      <c r="S111" s="424"/>
    </row>
    <row r="112" spans="1:19" x14ac:dyDescent="0.2">
      <c r="A112" s="387"/>
      <c r="B112" s="428"/>
      <c r="C112" s="412" t="str">
        <f>IFERROR(IF(B112="","",IF((COUNTIF('[1]Cable Info'!$B$11:$C$50,B112)=0),VLOOKUP(B112,'[1]Cable Info (2)'!$B$11:$C$50,2,FALSE),(VLOOKUP(B112,'[1]Cable Info'!$B$11:$C$50,2,FALSE)))),"NO SUCH EXIT")</f>
        <v/>
      </c>
      <c r="D112" s="429"/>
      <c r="E112" s="419"/>
      <c r="F112" s="420" t="s">
        <v>59</v>
      </c>
      <c r="G112" s="421"/>
      <c r="H112" s="412" t="str">
        <f t="shared" si="1"/>
        <v/>
      </c>
      <c r="I112" s="465"/>
      <c r="J112" s="430"/>
      <c r="K112" s="431"/>
      <c r="L112" s="595"/>
      <c r="M112" s="415"/>
      <c r="N112" s="427"/>
      <c r="O112" s="585"/>
      <c r="P112" s="367" t="str">
        <f t="shared" si="0"/>
        <v/>
      </c>
      <c r="Q112" s="368"/>
      <c r="S112" s="424"/>
    </row>
    <row r="113" spans="1:19" x14ac:dyDescent="0.2">
      <c r="A113" s="387"/>
      <c r="B113" s="428"/>
      <c r="C113" s="412" t="str">
        <f>IFERROR(IF(B113="","",IF((COUNTIF('[1]Cable Info'!$B$11:$C$50,B113)=0),VLOOKUP(B113,'[1]Cable Info (2)'!$B$11:$C$50,2,FALSE),(VLOOKUP(B113,'[1]Cable Info'!$B$11:$C$50,2,FALSE)))),"NO SUCH EXIT")</f>
        <v/>
      </c>
      <c r="D113" s="429"/>
      <c r="E113" s="419"/>
      <c r="F113" s="420" t="s">
        <v>59</v>
      </c>
      <c r="G113" s="421"/>
      <c r="H113" s="412" t="str">
        <f t="shared" si="1"/>
        <v/>
      </c>
      <c r="I113" s="465"/>
      <c r="J113" s="430"/>
      <c r="K113" s="431"/>
      <c r="L113" s="595"/>
      <c r="M113" s="415"/>
      <c r="N113" s="427"/>
      <c r="O113" s="585"/>
      <c r="P113" s="367" t="str">
        <f t="shared" si="0"/>
        <v/>
      </c>
      <c r="Q113" s="368"/>
      <c r="S113" s="424"/>
    </row>
    <row r="114" spans="1:19" x14ac:dyDescent="0.2">
      <c r="A114" s="387"/>
      <c r="B114" s="428"/>
      <c r="C114" s="412" t="str">
        <f>IFERROR(IF(B114="","",IF((COUNTIF('[1]Cable Info'!$B$11:$C$50,B114)=0),VLOOKUP(B114,'[1]Cable Info (2)'!$B$11:$C$50,2,FALSE),(VLOOKUP(B114,'[1]Cable Info'!$B$11:$C$50,2,FALSE)))),"NO SUCH EXIT")</f>
        <v/>
      </c>
      <c r="D114" s="429"/>
      <c r="E114" s="419"/>
      <c r="F114" s="420" t="s">
        <v>59</v>
      </c>
      <c r="G114" s="421"/>
      <c r="H114" s="412" t="str">
        <f t="shared" si="1"/>
        <v/>
      </c>
      <c r="I114" s="465"/>
      <c r="J114" s="430"/>
      <c r="K114" s="431"/>
      <c r="L114" s="595"/>
      <c r="M114" s="415"/>
      <c r="N114" s="427"/>
      <c r="O114" s="585"/>
      <c r="P114" s="367" t="str">
        <f t="shared" ref="P114:P124" si="2">IF(E114="","",IF(G114="","",IF(E114&gt;G114,1,"")))</f>
        <v/>
      </c>
      <c r="Q114" s="368"/>
      <c r="S114" s="424"/>
    </row>
    <row r="115" spans="1:19" x14ac:dyDescent="0.2">
      <c r="A115" s="387"/>
      <c r="B115" s="428"/>
      <c r="C115" s="412" t="str">
        <f>IFERROR(IF(B115="","",IF((COUNTIF('[1]Cable Info'!$B$11:$C$50,B115)=0),VLOOKUP(B115,'[1]Cable Info (2)'!$B$11:$C$50,2,FALSE),(VLOOKUP(B115,'[1]Cable Info'!$B$11:$C$50,2,FALSE)))),"NO SUCH EXIT")</f>
        <v/>
      </c>
      <c r="D115" s="429"/>
      <c r="E115" s="419"/>
      <c r="F115" s="420" t="s">
        <v>59</v>
      </c>
      <c r="G115" s="421"/>
      <c r="H115" s="412" t="str">
        <f t="shared" si="1"/>
        <v/>
      </c>
      <c r="I115" s="465"/>
      <c r="J115" s="430"/>
      <c r="K115" s="431"/>
      <c r="L115" s="595"/>
      <c r="M115" s="415"/>
      <c r="N115" s="427"/>
      <c r="O115" s="585"/>
      <c r="P115" s="367" t="str">
        <f t="shared" si="2"/>
        <v/>
      </c>
      <c r="Q115" s="368"/>
      <c r="S115" s="424"/>
    </row>
    <row r="116" spans="1:19" x14ac:dyDescent="0.2">
      <c r="A116" s="387"/>
      <c r="B116" s="428"/>
      <c r="C116" s="412" t="str">
        <f>IFERROR(IF(B116="","",IF((COUNTIF('[1]Cable Info'!$B$11:$C$50,B116)=0),VLOOKUP(B116,'[1]Cable Info (2)'!$B$11:$C$50,2,FALSE),(VLOOKUP(B116,'[1]Cable Info'!$B$11:$C$50,2,FALSE)))),"NO SUCH EXIT")</f>
        <v/>
      </c>
      <c r="D116" s="429"/>
      <c r="E116" s="419"/>
      <c r="F116" s="420" t="s">
        <v>59</v>
      </c>
      <c r="G116" s="421"/>
      <c r="H116" s="412" t="str">
        <f t="shared" si="1"/>
        <v/>
      </c>
      <c r="I116" s="465"/>
      <c r="J116" s="430"/>
      <c r="K116" s="431"/>
      <c r="L116" s="595"/>
      <c r="M116" s="415"/>
      <c r="N116" s="427"/>
      <c r="O116" s="585"/>
      <c r="P116" s="367" t="str">
        <f t="shared" si="2"/>
        <v/>
      </c>
      <c r="Q116" s="368"/>
      <c r="S116" s="424"/>
    </row>
    <row r="117" spans="1:19" x14ac:dyDescent="0.2">
      <c r="A117" s="387"/>
      <c r="B117" s="428"/>
      <c r="C117" s="412" t="str">
        <f>IFERROR(IF(B117="","",IF((COUNTIF('[1]Cable Info'!$B$11:$C$50,B117)=0),VLOOKUP(B117,'[1]Cable Info (2)'!$B$11:$C$50,2,FALSE),(VLOOKUP(B117,'[1]Cable Info'!$B$11:$C$50,2,FALSE)))),"NO SUCH EXIT")</f>
        <v/>
      </c>
      <c r="D117" s="429"/>
      <c r="E117" s="419"/>
      <c r="F117" s="420" t="s">
        <v>59</v>
      </c>
      <c r="G117" s="421"/>
      <c r="H117" s="412" t="str">
        <f t="shared" ref="H117:H124" si="3">IF(G117="","",((E117-G117)-1)*(-1))</f>
        <v/>
      </c>
      <c r="I117" s="465"/>
      <c r="J117" s="430"/>
      <c r="K117" s="431"/>
      <c r="L117" s="595"/>
      <c r="M117" s="415"/>
      <c r="N117" s="427"/>
      <c r="O117" s="585"/>
      <c r="P117" s="367" t="str">
        <f t="shared" si="2"/>
        <v/>
      </c>
      <c r="Q117" s="368"/>
      <c r="S117" s="424"/>
    </row>
    <row r="118" spans="1:19" x14ac:dyDescent="0.2">
      <c r="A118" s="387"/>
      <c r="B118" s="428"/>
      <c r="C118" s="412" t="str">
        <f>IFERROR(IF(B118="","",IF((COUNTIF('[1]Cable Info'!$B$11:$C$50,B118)=0),VLOOKUP(B118,'[1]Cable Info (2)'!$B$11:$C$50,2,FALSE),(VLOOKUP(B118,'[1]Cable Info'!$B$11:$C$50,2,FALSE)))),"NO SUCH EXIT")</f>
        <v/>
      </c>
      <c r="D118" s="429"/>
      <c r="E118" s="419"/>
      <c r="F118" s="420" t="s">
        <v>59</v>
      </c>
      <c r="G118" s="421"/>
      <c r="H118" s="412" t="str">
        <f t="shared" si="3"/>
        <v/>
      </c>
      <c r="I118" s="465"/>
      <c r="J118" s="430"/>
      <c r="K118" s="431"/>
      <c r="L118" s="595"/>
      <c r="M118" s="415"/>
      <c r="N118" s="427"/>
      <c r="O118" s="585"/>
      <c r="P118" s="367" t="str">
        <f t="shared" si="2"/>
        <v/>
      </c>
      <c r="Q118" s="368"/>
      <c r="S118" s="424"/>
    </row>
    <row r="119" spans="1:19" x14ac:dyDescent="0.2">
      <c r="A119" s="387"/>
      <c r="B119" s="428"/>
      <c r="C119" s="412" t="str">
        <f>IFERROR(IF(B119="","",IF((COUNTIF('[1]Cable Info'!$B$11:$C$50,B119)=0),VLOOKUP(B119,'[1]Cable Info (2)'!$B$11:$C$50,2,FALSE),(VLOOKUP(B119,'[1]Cable Info'!$B$11:$C$50,2,FALSE)))),"NO SUCH EXIT")</f>
        <v/>
      </c>
      <c r="D119" s="429"/>
      <c r="E119" s="419"/>
      <c r="F119" s="420" t="s">
        <v>59</v>
      </c>
      <c r="G119" s="421"/>
      <c r="H119" s="412" t="str">
        <f t="shared" si="3"/>
        <v/>
      </c>
      <c r="I119" s="465"/>
      <c r="J119" s="430"/>
      <c r="K119" s="431"/>
      <c r="L119" s="595"/>
      <c r="M119" s="415"/>
      <c r="N119" s="427"/>
      <c r="O119" s="585"/>
      <c r="P119" s="367" t="str">
        <f t="shared" si="2"/>
        <v/>
      </c>
      <c r="Q119" s="368"/>
      <c r="S119" s="424"/>
    </row>
    <row r="120" spans="1:19" x14ac:dyDescent="0.2">
      <c r="A120" s="387"/>
      <c r="B120" s="428"/>
      <c r="C120" s="412" t="str">
        <f>IFERROR(IF(B120="","",IF((COUNTIF('[1]Cable Info'!$B$11:$C$50,B120)=0),VLOOKUP(B120,'[1]Cable Info (2)'!$B$11:$C$50,2,FALSE),(VLOOKUP(B120,'[1]Cable Info'!$B$11:$C$50,2,FALSE)))),"NO SUCH EXIT")</f>
        <v/>
      </c>
      <c r="D120" s="429"/>
      <c r="E120" s="419"/>
      <c r="F120" s="420" t="s">
        <v>59</v>
      </c>
      <c r="G120" s="421"/>
      <c r="H120" s="412" t="str">
        <f t="shared" si="3"/>
        <v/>
      </c>
      <c r="I120" s="465"/>
      <c r="J120" s="430"/>
      <c r="K120" s="431"/>
      <c r="L120" s="595"/>
      <c r="M120" s="415"/>
      <c r="N120" s="427"/>
      <c r="O120" s="585"/>
      <c r="P120" s="367" t="str">
        <f t="shared" si="2"/>
        <v/>
      </c>
      <c r="Q120" s="368"/>
      <c r="S120" s="424"/>
    </row>
    <row r="121" spans="1:19" x14ac:dyDescent="0.2">
      <c r="A121" s="387"/>
      <c r="B121" s="428"/>
      <c r="C121" s="412" t="str">
        <f>IFERROR(IF(B121="","",IF((COUNTIF('[1]Cable Info'!$B$11:$C$50,B121)=0),VLOOKUP(B121,'[1]Cable Info (2)'!$B$11:$C$50,2,FALSE),(VLOOKUP(B121,'[1]Cable Info'!$B$11:$C$50,2,FALSE)))),"NO SUCH EXIT")</f>
        <v/>
      </c>
      <c r="D121" s="429"/>
      <c r="E121" s="419"/>
      <c r="F121" s="420" t="s">
        <v>59</v>
      </c>
      <c r="G121" s="421"/>
      <c r="H121" s="412" t="str">
        <f t="shared" si="3"/>
        <v/>
      </c>
      <c r="I121" s="465"/>
      <c r="J121" s="430"/>
      <c r="K121" s="431"/>
      <c r="L121" s="595"/>
      <c r="M121" s="415"/>
      <c r="N121" s="427"/>
      <c r="O121" s="585"/>
      <c r="P121" s="367" t="str">
        <f t="shared" si="2"/>
        <v/>
      </c>
      <c r="Q121" s="368"/>
      <c r="S121" s="424"/>
    </row>
    <row r="122" spans="1:19" x14ac:dyDescent="0.2">
      <c r="A122" s="387"/>
      <c r="B122" s="428"/>
      <c r="C122" s="412" t="str">
        <f>IFERROR(IF(B122="","",IF((COUNTIF('[1]Cable Info'!$B$11:$C$50,B122)=0),VLOOKUP(B122,'[1]Cable Info (2)'!$B$11:$C$50,2,FALSE),(VLOOKUP(B122,'[1]Cable Info'!$B$11:$C$50,2,FALSE)))),"NO SUCH EXIT")</f>
        <v/>
      </c>
      <c r="D122" s="429"/>
      <c r="E122" s="419"/>
      <c r="F122" s="420" t="s">
        <v>59</v>
      </c>
      <c r="G122" s="421"/>
      <c r="H122" s="412" t="str">
        <f t="shared" si="3"/>
        <v/>
      </c>
      <c r="I122" s="465"/>
      <c r="J122" s="430"/>
      <c r="K122" s="431"/>
      <c r="L122" s="595"/>
      <c r="M122" s="415"/>
      <c r="N122" s="427"/>
      <c r="O122" s="585"/>
      <c r="P122" s="367" t="str">
        <f t="shared" si="2"/>
        <v/>
      </c>
      <c r="Q122" s="368"/>
      <c r="S122" s="424"/>
    </row>
    <row r="123" spans="1:19" x14ac:dyDescent="0.2">
      <c r="A123" s="387"/>
      <c r="B123" s="428"/>
      <c r="C123" s="412" t="str">
        <f>IFERROR(IF(B123="","",IF((COUNTIF('[1]Cable Info'!$B$11:$C$50,B123)=0),VLOOKUP(B123,'[1]Cable Info (2)'!$B$11:$C$50,2,FALSE),(VLOOKUP(B123,'[1]Cable Info'!$B$11:$C$50,2,FALSE)))),"NO SUCH EXIT")</f>
        <v/>
      </c>
      <c r="D123" s="429"/>
      <c r="E123" s="419"/>
      <c r="F123" s="420" t="s">
        <v>59</v>
      </c>
      <c r="G123" s="421"/>
      <c r="H123" s="412" t="str">
        <f t="shared" si="3"/>
        <v/>
      </c>
      <c r="I123" s="465"/>
      <c r="J123" s="430"/>
      <c r="K123" s="431"/>
      <c r="L123" s="595"/>
      <c r="M123" s="415"/>
      <c r="N123" s="427"/>
      <c r="O123" s="585"/>
      <c r="P123" s="367" t="str">
        <f t="shared" si="2"/>
        <v/>
      </c>
      <c r="Q123" s="368"/>
      <c r="S123" s="424"/>
    </row>
    <row r="124" spans="1:19" ht="13.5" thickBot="1" x14ac:dyDescent="0.25">
      <c r="A124" s="387"/>
      <c r="B124" s="432"/>
      <c r="C124" s="433" t="str">
        <f>IFERROR(IF(B124="","",IF((COUNTIF('[1]Cable Info'!$B$11:$C$50,B124)=0),VLOOKUP(B124,'[1]Cable Info (2)'!$B$11:$C$50,2,FALSE),(VLOOKUP(B124,'[1]Cable Info'!$B$11:$C$50,2,FALSE)))),"NO SUCH EXIT")</f>
        <v/>
      </c>
      <c r="D124" s="434"/>
      <c r="E124" s="435"/>
      <c r="F124" s="436" t="s">
        <v>59</v>
      </c>
      <c r="G124" s="437"/>
      <c r="H124" s="433" t="str">
        <f t="shared" si="3"/>
        <v/>
      </c>
      <c r="I124" s="467"/>
      <c r="J124" s="438"/>
      <c r="K124" s="439"/>
      <c r="L124" s="596"/>
      <c r="M124" s="415"/>
      <c r="N124" s="440"/>
      <c r="O124" s="585"/>
      <c r="P124" s="367" t="str">
        <f t="shared" si="2"/>
        <v/>
      </c>
      <c r="Q124" s="368"/>
      <c r="S124" s="424"/>
    </row>
    <row r="125" spans="1:19" ht="13.5" thickBot="1" x14ac:dyDescent="0.25">
      <c r="A125" s="370"/>
      <c r="B125" s="372"/>
      <c r="C125" s="372"/>
      <c r="D125" s="372"/>
      <c r="E125" s="372"/>
      <c r="F125" s="373"/>
      <c r="G125" s="372"/>
      <c r="H125" s="372"/>
      <c r="I125" s="463"/>
      <c r="J125" s="372"/>
      <c r="K125" s="441"/>
      <c r="L125" s="375"/>
      <c r="M125" s="372"/>
      <c r="N125" s="372"/>
      <c r="O125" s="377"/>
      <c r="P125" s="367"/>
      <c r="Q125" s="368"/>
      <c r="R125" s="442"/>
    </row>
    <row r="126" spans="1:19" s="369" customFormat="1" x14ac:dyDescent="0.2">
      <c r="A126" s="443"/>
      <c r="B126" s="443"/>
      <c r="C126" s="443"/>
      <c r="D126" s="443"/>
      <c r="E126" s="443"/>
      <c r="F126" s="444"/>
      <c r="G126" s="443"/>
      <c r="H126" s="443"/>
      <c r="I126" s="468"/>
      <c r="J126" s="443"/>
      <c r="K126" s="445"/>
      <c r="L126" s="446"/>
      <c r="M126" s="443"/>
      <c r="N126" s="443"/>
      <c r="O126" s="447"/>
      <c r="P126" s="444"/>
      <c r="Q126" s="444"/>
      <c r="R126" s="442"/>
    </row>
    <row r="127" spans="1:19" s="369" customFormat="1" x14ac:dyDescent="0.2">
      <c r="A127" s="442"/>
      <c r="B127" s="442"/>
      <c r="C127" s="442"/>
      <c r="D127" s="442"/>
      <c r="E127" s="442"/>
      <c r="F127" s="448"/>
      <c r="G127" s="442"/>
      <c r="H127" s="442"/>
      <c r="I127" s="469"/>
      <c r="J127" s="442"/>
      <c r="K127" s="449"/>
      <c r="L127" s="450"/>
      <c r="M127" s="442"/>
      <c r="N127" s="442"/>
      <c r="O127" s="451"/>
      <c r="P127" s="448"/>
      <c r="Q127" s="448"/>
      <c r="R127" s="442"/>
    </row>
    <row r="128" spans="1:19" x14ac:dyDescent="0.2">
      <c r="A128" s="369"/>
      <c r="B128" s="369"/>
      <c r="C128" s="369"/>
      <c r="D128" s="369"/>
      <c r="E128" s="369"/>
      <c r="F128" s="452"/>
      <c r="G128" s="369"/>
      <c r="H128" s="369"/>
      <c r="I128" s="470"/>
      <c r="J128" s="369"/>
      <c r="K128" s="453"/>
      <c r="L128" s="454"/>
      <c r="M128" s="369"/>
      <c r="N128" s="369"/>
      <c r="O128" s="455"/>
    </row>
    <row r="129" spans="1:15" x14ac:dyDescent="0.2">
      <c r="A129" s="369"/>
      <c r="B129" s="369"/>
      <c r="C129" s="369"/>
      <c r="D129" s="369"/>
      <c r="E129" s="369"/>
      <c r="F129" s="452"/>
      <c r="G129" s="369"/>
      <c r="H129" s="369"/>
      <c r="I129" s="470"/>
      <c r="J129" s="369"/>
      <c r="K129" s="453"/>
      <c r="L129" s="454"/>
      <c r="M129" s="369"/>
      <c r="N129" s="369"/>
      <c r="O129" s="455"/>
    </row>
    <row r="130" spans="1:15" x14ac:dyDescent="0.2">
      <c r="A130" s="369"/>
      <c r="B130" s="369"/>
      <c r="C130" s="369"/>
      <c r="D130" s="369"/>
      <c r="E130" s="369"/>
      <c r="F130" s="452"/>
      <c r="G130" s="369"/>
      <c r="H130" s="369"/>
      <c r="I130" s="470"/>
      <c r="J130" s="369"/>
      <c r="K130" s="453"/>
      <c r="L130" s="454"/>
      <c r="M130" s="369"/>
      <c r="N130" s="369"/>
      <c r="O130" s="455"/>
    </row>
    <row r="131" spans="1:15" x14ac:dyDescent="0.2">
      <c r="A131" s="369"/>
      <c r="B131" s="369"/>
      <c r="C131" s="369"/>
      <c r="D131" s="369"/>
      <c r="E131" s="369"/>
      <c r="F131" s="452"/>
      <c r="G131" s="369"/>
      <c r="H131" s="369"/>
      <c r="I131" s="470"/>
      <c r="J131" s="369"/>
      <c r="K131" s="453"/>
      <c r="L131" s="454"/>
      <c r="M131" s="369"/>
      <c r="N131" s="369"/>
      <c r="O131" s="455"/>
    </row>
    <row r="132" spans="1:15" x14ac:dyDescent="0.2">
      <c r="A132" s="369"/>
      <c r="B132" s="369"/>
      <c r="C132" s="369"/>
      <c r="D132" s="369"/>
      <c r="E132" s="369"/>
      <c r="F132" s="452"/>
      <c r="G132" s="369"/>
      <c r="H132" s="369"/>
      <c r="I132" s="470"/>
      <c r="J132" s="369"/>
      <c r="K132" s="453"/>
      <c r="L132" s="454"/>
      <c r="M132" s="369"/>
      <c r="N132" s="369"/>
      <c r="O132" s="455"/>
    </row>
    <row r="133" spans="1:15" x14ac:dyDescent="0.2">
      <c r="A133" s="369"/>
      <c r="B133" s="369"/>
      <c r="C133" s="369"/>
      <c r="D133" s="369"/>
      <c r="E133" s="369"/>
      <c r="F133" s="452"/>
      <c r="G133" s="369"/>
      <c r="H133" s="369"/>
      <c r="I133" s="470"/>
      <c r="J133" s="369"/>
      <c r="K133" s="453"/>
      <c r="L133" s="454"/>
      <c r="M133" s="369"/>
      <c r="N133" s="369"/>
      <c r="O133" s="455"/>
    </row>
    <row r="134" spans="1:15" x14ac:dyDescent="0.2">
      <c r="A134" s="369"/>
      <c r="B134" s="369"/>
      <c r="C134" s="369"/>
      <c r="D134" s="369"/>
      <c r="E134" s="369"/>
      <c r="F134" s="452"/>
      <c r="G134" s="369"/>
      <c r="H134" s="369"/>
      <c r="I134" s="470"/>
      <c r="J134" s="369"/>
      <c r="K134" s="453"/>
      <c r="L134" s="454"/>
      <c r="M134" s="369"/>
      <c r="N134" s="369"/>
      <c r="O134" s="455"/>
    </row>
    <row r="135" spans="1:15" x14ac:dyDescent="0.2">
      <c r="A135" s="369"/>
      <c r="B135" s="369"/>
      <c r="C135" s="369"/>
      <c r="D135" s="369"/>
      <c r="E135" s="369"/>
      <c r="F135" s="452"/>
      <c r="G135" s="369"/>
      <c r="H135" s="369"/>
      <c r="I135" s="470"/>
      <c r="J135" s="369"/>
      <c r="K135" s="453"/>
      <c r="L135" s="454"/>
      <c r="M135" s="369"/>
      <c r="N135" s="369"/>
      <c r="O135" s="455"/>
    </row>
    <row r="136" spans="1:15" x14ac:dyDescent="0.2">
      <c r="A136" s="369"/>
      <c r="B136" s="369"/>
      <c r="C136" s="369"/>
      <c r="D136" s="369"/>
      <c r="E136" s="369"/>
      <c r="F136" s="452"/>
      <c r="G136" s="369"/>
      <c r="H136" s="369"/>
      <c r="I136" s="470"/>
      <c r="J136" s="369"/>
      <c r="K136" s="453"/>
      <c r="L136" s="454"/>
      <c r="M136" s="369"/>
      <c r="N136" s="369"/>
      <c r="O136" s="455"/>
    </row>
    <row r="137" spans="1:15" x14ac:dyDescent="0.2">
      <c r="A137" s="369"/>
      <c r="B137" s="369"/>
      <c r="C137" s="369"/>
      <c r="D137" s="369"/>
      <c r="E137" s="369"/>
      <c r="F137" s="452"/>
      <c r="G137" s="369"/>
      <c r="H137" s="369"/>
      <c r="I137" s="470"/>
      <c r="J137" s="369"/>
      <c r="K137" s="453"/>
      <c r="L137" s="454"/>
      <c r="M137" s="369"/>
      <c r="N137" s="369"/>
      <c r="O137" s="455"/>
    </row>
    <row r="138" spans="1:15" x14ac:dyDescent="0.2">
      <c r="A138" s="369"/>
      <c r="B138" s="369"/>
      <c r="C138" s="369"/>
      <c r="D138" s="369"/>
      <c r="E138" s="369"/>
      <c r="F138" s="452"/>
      <c r="G138" s="369"/>
      <c r="H138" s="369"/>
      <c r="I138" s="470"/>
      <c r="J138" s="369"/>
      <c r="K138" s="453"/>
      <c r="L138" s="454"/>
      <c r="M138" s="369"/>
      <c r="N138" s="369"/>
      <c r="O138" s="455"/>
    </row>
    <row r="139" spans="1:15" x14ac:dyDescent="0.2">
      <c r="A139" s="369"/>
      <c r="B139" s="369"/>
      <c r="C139" s="369"/>
      <c r="D139" s="369"/>
      <c r="E139" s="369"/>
      <c r="F139" s="452"/>
      <c r="G139" s="369"/>
      <c r="H139" s="369"/>
      <c r="I139" s="470"/>
      <c r="J139" s="369"/>
      <c r="K139" s="453"/>
      <c r="L139" s="454"/>
      <c r="M139" s="369"/>
      <c r="N139" s="369"/>
      <c r="O139" s="455"/>
    </row>
    <row r="140" spans="1:15" x14ac:dyDescent="0.2">
      <c r="A140" s="369"/>
      <c r="B140" s="369"/>
      <c r="C140" s="369"/>
      <c r="D140" s="369"/>
      <c r="E140" s="369"/>
      <c r="F140" s="452"/>
      <c r="G140" s="369"/>
      <c r="H140" s="369"/>
      <c r="I140" s="470"/>
      <c r="J140" s="369"/>
      <c r="K140" s="453"/>
      <c r="L140" s="454"/>
      <c r="M140" s="369"/>
      <c r="N140" s="369"/>
      <c r="O140" s="455"/>
    </row>
    <row r="141" spans="1:15" x14ac:dyDescent="0.2">
      <c r="A141" s="369"/>
      <c r="B141" s="369"/>
      <c r="C141" s="369"/>
      <c r="D141" s="369"/>
      <c r="E141" s="369"/>
      <c r="F141" s="452"/>
      <c r="G141" s="369"/>
      <c r="H141" s="369"/>
      <c r="I141" s="470"/>
      <c r="J141" s="369"/>
      <c r="K141" s="453"/>
      <c r="L141" s="454"/>
      <c r="M141" s="369"/>
      <c r="N141" s="369"/>
      <c r="O141" s="455"/>
    </row>
    <row r="142" spans="1:15" x14ac:dyDescent="0.2">
      <c r="A142" s="369"/>
      <c r="B142" s="369"/>
      <c r="C142" s="369"/>
      <c r="D142" s="369"/>
      <c r="E142" s="369"/>
      <c r="F142" s="452"/>
      <c r="G142" s="369"/>
      <c r="H142" s="369"/>
      <c r="I142" s="470"/>
      <c r="J142" s="369"/>
      <c r="K142" s="453"/>
      <c r="L142" s="454"/>
      <c r="M142" s="369"/>
      <c r="N142" s="369"/>
      <c r="O142" s="455"/>
    </row>
    <row r="143" spans="1:15" x14ac:dyDescent="0.2">
      <c r="A143" s="369"/>
      <c r="B143" s="369"/>
      <c r="C143" s="369"/>
      <c r="D143" s="369"/>
      <c r="E143" s="369"/>
      <c r="F143" s="452"/>
      <c r="G143" s="369"/>
      <c r="H143" s="369"/>
      <c r="I143" s="470"/>
      <c r="J143" s="369"/>
      <c r="K143" s="453"/>
      <c r="L143" s="454"/>
      <c r="M143" s="369"/>
      <c r="N143" s="369"/>
      <c r="O143" s="455"/>
    </row>
    <row r="144" spans="1:15" x14ac:dyDescent="0.2">
      <c r="A144" s="369"/>
      <c r="B144" s="369"/>
      <c r="C144" s="369"/>
      <c r="D144" s="369"/>
      <c r="E144" s="369"/>
      <c r="F144" s="452"/>
      <c r="G144" s="369"/>
      <c r="H144" s="369"/>
      <c r="I144" s="470"/>
      <c r="J144" s="369"/>
      <c r="K144" s="453"/>
      <c r="L144" s="454"/>
      <c r="M144" s="369"/>
      <c r="N144" s="369"/>
      <c r="O144" s="455"/>
    </row>
    <row r="145" spans="1:15" x14ac:dyDescent="0.2">
      <c r="A145" s="369"/>
      <c r="B145" s="369"/>
      <c r="C145" s="369"/>
      <c r="D145" s="369"/>
      <c r="E145" s="369"/>
      <c r="F145" s="452"/>
      <c r="G145" s="369"/>
      <c r="H145" s="369"/>
      <c r="I145" s="470"/>
      <c r="J145" s="369"/>
      <c r="K145" s="453"/>
      <c r="L145" s="454"/>
      <c r="M145" s="369"/>
      <c r="N145" s="369"/>
      <c r="O145" s="455"/>
    </row>
    <row r="146" spans="1:15" x14ac:dyDescent="0.2">
      <c r="A146" s="369"/>
      <c r="B146" s="369"/>
      <c r="C146" s="369"/>
      <c r="D146" s="369"/>
      <c r="E146" s="369"/>
      <c r="F146" s="452"/>
      <c r="G146" s="369"/>
      <c r="H146" s="369"/>
      <c r="I146" s="470"/>
      <c r="J146" s="369"/>
      <c r="K146" s="453"/>
      <c r="L146" s="454"/>
      <c r="M146" s="369"/>
      <c r="N146" s="369"/>
      <c r="O146" s="455"/>
    </row>
    <row r="147" spans="1:15" x14ac:dyDescent="0.2">
      <c r="A147" s="369"/>
      <c r="B147" s="369"/>
      <c r="C147" s="369"/>
      <c r="D147" s="369"/>
      <c r="E147" s="369"/>
      <c r="F147" s="452"/>
      <c r="G147" s="369"/>
      <c r="H147" s="369"/>
      <c r="I147" s="470"/>
      <c r="J147" s="369"/>
      <c r="K147" s="453"/>
      <c r="L147" s="454"/>
      <c r="M147" s="369"/>
      <c r="N147" s="369"/>
      <c r="O147" s="455"/>
    </row>
    <row r="148" spans="1:15" x14ac:dyDescent="0.2">
      <c r="A148" s="369"/>
      <c r="B148" s="369"/>
      <c r="C148" s="369"/>
      <c r="D148" s="369"/>
      <c r="E148" s="369"/>
      <c r="F148" s="452"/>
      <c r="G148" s="369"/>
      <c r="H148" s="369"/>
      <c r="I148" s="470"/>
      <c r="J148" s="369"/>
      <c r="K148" s="453"/>
      <c r="L148" s="454"/>
      <c r="M148" s="369"/>
      <c r="N148" s="369"/>
      <c r="O148" s="455"/>
    </row>
    <row r="149" spans="1:15" x14ac:dyDescent="0.2">
      <c r="A149" s="369"/>
      <c r="B149" s="369"/>
      <c r="C149" s="369"/>
      <c r="D149" s="369"/>
      <c r="E149" s="369"/>
      <c r="F149" s="452"/>
      <c r="G149" s="369"/>
      <c r="H149" s="369"/>
      <c r="I149" s="470"/>
      <c r="J149" s="369"/>
      <c r="K149" s="453"/>
      <c r="L149" s="454"/>
      <c r="M149" s="369"/>
      <c r="N149" s="369"/>
      <c r="O149" s="455"/>
    </row>
    <row r="150" spans="1:15" x14ac:dyDescent="0.2">
      <c r="A150" s="369"/>
      <c r="B150" s="369"/>
      <c r="C150" s="369"/>
      <c r="D150" s="369"/>
      <c r="E150" s="369"/>
      <c r="F150" s="452"/>
      <c r="G150" s="369"/>
      <c r="H150" s="369"/>
      <c r="I150" s="470"/>
      <c r="J150" s="369"/>
      <c r="K150" s="453"/>
      <c r="L150" s="454"/>
      <c r="M150" s="369"/>
      <c r="N150" s="369"/>
      <c r="O150" s="455"/>
    </row>
    <row r="151" spans="1:15" x14ac:dyDescent="0.2">
      <c r="A151" s="369"/>
      <c r="B151" s="369"/>
      <c r="C151" s="369"/>
      <c r="D151" s="369"/>
      <c r="E151" s="369"/>
      <c r="F151" s="452"/>
      <c r="G151" s="369"/>
      <c r="H151" s="369"/>
      <c r="I151" s="470"/>
      <c r="J151" s="369"/>
      <c r="K151" s="453"/>
      <c r="L151" s="454"/>
      <c r="M151" s="369"/>
      <c r="N151" s="369"/>
      <c r="O151" s="455"/>
    </row>
    <row r="152" spans="1:15" x14ac:dyDescent="0.2">
      <c r="A152" s="369"/>
      <c r="B152" s="369"/>
      <c r="C152" s="369"/>
      <c r="D152" s="369"/>
      <c r="E152" s="369"/>
      <c r="F152" s="452"/>
      <c r="G152" s="369"/>
      <c r="H152" s="369"/>
      <c r="I152" s="470"/>
      <c r="J152" s="369"/>
      <c r="K152" s="453"/>
      <c r="L152" s="454"/>
      <c r="M152" s="369"/>
      <c r="N152" s="369"/>
      <c r="O152" s="455"/>
    </row>
    <row r="153" spans="1:15" x14ac:dyDescent="0.2">
      <c r="A153" s="369"/>
      <c r="B153" s="369"/>
      <c r="C153" s="369"/>
      <c r="D153" s="369"/>
      <c r="E153" s="369"/>
      <c r="F153" s="452"/>
      <c r="G153" s="369"/>
      <c r="H153" s="369"/>
      <c r="I153" s="470"/>
      <c r="J153" s="369"/>
      <c r="K153" s="453"/>
      <c r="L153" s="454"/>
      <c r="M153" s="369"/>
      <c r="N153" s="369"/>
      <c r="O153" s="455"/>
    </row>
    <row r="154" spans="1:15" x14ac:dyDescent="0.2">
      <c r="A154" s="369"/>
      <c r="B154" s="369"/>
      <c r="C154" s="369"/>
      <c r="D154" s="369"/>
      <c r="E154" s="369"/>
      <c r="F154" s="452"/>
      <c r="G154" s="369"/>
      <c r="H154" s="369"/>
      <c r="I154" s="470"/>
      <c r="J154" s="369"/>
      <c r="K154" s="453"/>
      <c r="L154" s="454"/>
      <c r="M154" s="369"/>
      <c r="N154" s="369"/>
      <c r="O154" s="455"/>
    </row>
    <row r="155" spans="1:15" x14ac:dyDescent="0.2">
      <c r="A155" s="369"/>
      <c r="B155" s="369"/>
      <c r="C155" s="369"/>
      <c r="D155" s="369"/>
      <c r="E155" s="369"/>
      <c r="F155" s="452"/>
      <c r="G155" s="369"/>
      <c r="H155" s="369"/>
      <c r="I155" s="470"/>
      <c r="J155" s="369"/>
      <c r="K155" s="453"/>
      <c r="L155" s="454"/>
      <c r="M155" s="369"/>
      <c r="N155" s="369"/>
      <c r="O155" s="455"/>
    </row>
    <row r="156" spans="1:15" x14ac:dyDescent="0.2">
      <c r="A156" s="369"/>
      <c r="B156" s="369"/>
      <c r="C156" s="369"/>
      <c r="D156" s="369"/>
      <c r="E156" s="369"/>
      <c r="F156" s="452"/>
      <c r="G156" s="369"/>
      <c r="H156" s="369"/>
      <c r="I156" s="470"/>
      <c r="J156" s="369"/>
      <c r="K156" s="453"/>
      <c r="L156" s="454"/>
      <c r="M156" s="369"/>
      <c r="N156" s="369"/>
      <c r="O156" s="455"/>
    </row>
    <row r="157" spans="1:15" x14ac:dyDescent="0.2">
      <c r="A157" s="369"/>
      <c r="B157" s="369"/>
      <c r="C157" s="369"/>
      <c r="D157" s="369"/>
      <c r="E157" s="369"/>
      <c r="F157" s="452"/>
      <c r="G157" s="369"/>
      <c r="H157" s="369"/>
      <c r="I157" s="470"/>
      <c r="J157" s="369"/>
      <c r="K157" s="453"/>
      <c r="L157" s="454"/>
      <c r="M157" s="369"/>
      <c r="N157" s="369"/>
      <c r="O157" s="455"/>
    </row>
    <row r="158" spans="1:15" x14ac:dyDescent="0.2">
      <c r="A158" s="369"/>
      <c r="B158" s="369"/>
      <c r="C158" s="369"/>
      <c r="D158" s="369"/>
      <c r="E158" s="369"/>
      <c r="F158" s="452"/>
      <c r="G158" s="369"/>
      <c r="H158" s="369"/>
      <c r="I158" s="470"/>
      <c r="J158" s="369"/>
      <c r="K158" s="453"/>
      <c r="L158" s="454"/>
      <c r="M158" s="369"/>
      <c r="N158" s="369"/>
      <c r="O158" s="455"/>
    </row>
    <row r="159" spans="1:15" x14ac:dyDescent="0.2">
      <c r="A159" s="369"/>
      <c r="B159" s="369"/>
      <c r="C159" s="369"/>
      <c r="D159" s="369"/>
      <c r="E159" s="369"/>
      <c r="F159" s="452"/>
      <c r="G159" s="369"/>
      <c r="H159" s="369"/>
      <c r="I159" s="470"/>
      <c r="J159" s="369"/>
      <c r="K159" s="453"/>
      <c r="L159" s="454"/>
      <c r="M159" s="369"/>
      <c r="N159" s="369"/>
      <c r="O159" s="455"/>
    </row>
    <row r="160" spans="1:15" x14ac:dyDescent="0.2">
      <c r="A160" s="369"/>
      <c r="B160" s="369"/>
      <c r="C160" s="369"/>
      <c r="D160" s="369"/>
      <c r="E160" s="369"/>
      <c r="F160" s="452"/>
      <c r="G160" s="369"/>
      <c r="H160" s="369"/>
      <c r="I160" s="470"/>
      <c r="J160" s="369"/>
      <c r="K160" s="453"/>
      <c r="L160" s="454"/>
      <c r="M160" s="369"/>
      <c r="N160" s="369"/>
      <c r="O160" s="455"/>
    </row>
    <row r="161" spans="1:15" x14ac:dyDescent="0.2">
      <c r="A161" s="369"/>
      <c r="B161" s="369"/>
      <c r="C161" s="369"/>
      <c r="D161" s="369"/>
      <c r="E161" s="369"/>
      <c r="F161" s="452"/>
      <c r="G161" s="369"/>
      <c r="H161" s="369"/>
      <c r="I161" s="470"/>
      <c r="J161" s="369"/>
      <c r="K161" s="453"/>
      <c r="L161" s="454"/>
      <c r="M161" s="369"/>
      <c r="N161" s="369"/>
      <c r="O161" s="455"/>
    </row>
    <row r="162" spans="1:15" x14ac:dyDescent="0.2">
      <c r="A162" s="369"/>
      <c r="B162" s="369"/>
      <c r="C162" s="369"/>
      <c r="D162" s="369"/>
      <c r="E162" s="369"/>
      <c r="F162" s="452"/>
      <c r="G162" s="369"/>
      <c r="H162" s="369"/>
      <c r="I162" s="470"/>
      <c r="J162" s="369"/>
      <c r="K162" s="453"/>
      <c r="L162" s="454"/>
      <c r="M162" s="369"/>
      <c r="N162" s="369"/>
      <c r="O162" s="455"/>
    </row>
    <row r="163" spans="1:15" x14ac:dyDescent="0.2">
      <c r="A163" s="369"/>
      <c r="B163" s="369"/>
      <c r="C163" s="369"/>
      <c r="D163" s="369"/>
      <c r="E163" s="369"/>
      <c r="F163" s="452"/>
      <c r="G163" s="369"/>
      <c r="H163" s="369"/>
      <c r="I163" s="470"/>
      <c r="J163" s="369"/>
      <c r="K163" s="453"/>
      <c r="L163" s="454"/>
      <c r="M163" s="369"/>
      <c r="N163" s="369"/>
      <c r="O163" s="455"/>
    </row>
    <row r="164" spans="1:15" x14ac:dyDescent="0.2">
      <c r="A164" s="369"/>
      <c r="B164" s="369"/>
      <c r="C164" s="369"/>
      <c r="D164" s="369"/>
      <c r="E164" s="369"/>
      <c r="F164" s="452"/>
      <c r="G164" s="369"/>
      <c r="H164" s="369"/>
      <c r="I164" s="470"/>
      <c r="J164" s="369"/>
      <c r="K164" s="453"/>
      <c r="L164" s="454"/>
      <c r="M164" s="369"/>
      <c r="N164" s="369"/>
      <c r="O164" s="455"/>
    </row>
    <row r="165" spans="1:15" x14ac:dyDescent="0.2">
      <c r="A165" s="369"/>
      <c r="B165" s="369"/>
      <c r="C165" s="369"/>
      <c r="D165" s="369"/>
      <c r="E165" s="369"/>
      <c r="F165" s="452"/>
      <c r="G165" s="369"/>
      <c r="H165" s="369"/>
      <c r="I165" s="470"/>
      <c r="J165" s="369"/>
      <c r="K165" s="453"/>
      <c r="L165" s="454"/>
      <c r="M165" s="369"/>
      <c r="N165" s="369"/>
      <c r="O165" s="455"/>
    </row>
    <row r="166" spans="1:15" x14ac:dyDescent="0.2">
      <c r="A166" s="369"/>
      <c r="B166" s="369"/>
      <c r="C166" s="369"/>
      <c r="D166" s="369"/>
      <c r="E166" s="369"/>
      <c r="F166" s="452"/>
      <c r="G166" s="369"/>
      <c r="H166" s="369"/>
      <c r="I166" s="470"/>
      <c r="J166" s="369"/>
      <c r="K166" s="453"/>
      <c r="L166" s="454"/>
      <c r="M166" s="369"/>
      <c r="N166" s="369"/>
      <c r="O166" s="455"/>
    </row>
    <row r="167" spans="1:15" x14ac:dyDescent="0.2">
      <c r="A167" s="369"/>
      <c r="B167" s="369"/>
      <c r="C167" s="369"/>
      <c r="D167" s="369"/>
      <c r="E167" s="369"/>
      <c r="F167" s="452"/>
      <c r="G167" s="369"/>
      <c r="H167" s="369"/>
      <c r="I167" s="470"/>
      <c r="J167" s="369"/>
      <c r="K167" s="453"/>
      <c r="L167" s="454"/>
      <c r="M167" s="369"/>
      <c r="N167" s="369"/>
      <c r="O167" s="455"/>
    </row>
    <row r="168" spans="1:15" x14ac:dyDescent="0.2">
      <c r="A168" s="369"/>
      <c r="B168" s="369"/>
      <c r="C168" s="369"/>
      <c r="D168" s="369"/>
      <c r="E168" s="369"/>
      <c r="F168" s="452"/>
      <c r="G168" s="369"/>
      <c r="H168" s="369"/>
      <c r="I168" s="470"/>
      <c r="J168" s="369"/>
      <c r="K168" s="453"/>
      <c r="L168" s="454"/>
      <c r="M168" s="369"/>
      <c r="N168" s="369"/>
      <c r="O168" s="455"/>
    </row>
    <row r="169" spans="1:15" x14ac:dyDescent="0.2">
      <c r="A169" s="369"/>
      <c r="B169" s="369"/>
      <c r="C169" s="369"/>
      <c r="D169" s="369"/>
      <c r="E169" s="369"/>
      <c r="F169" s="452"/>
      <c r="G169" s="369"/>
      <c r="H169" s="369"/>
      <c r="I169" s="470"/>
      <c r="J169" s="369"/>
      <c r="K169" s="453"/>
      <c r="L169" s="454"/>
      <c r="M169" s="369"/>
      <c r="N169" s="369"/>
      <c r="O169" s="455"/>
    </row>
    <row r="170" spans="1:15" x14ac:dyDescent="0.2">
      <c r="A170" s="369"/>
      <c r="B170" s="369"/>
      <c r="C170" s="369"/>
      <c r="D170" s="369"/>
      <c r="E170" s="369"/>
      <c r="F170" s="452"/>
      <c r="G170" s="369"/>
      <c r="H170" s="369"/>
      <c r="I170" s="470"/>
      <c r="J170" s="369"/>
      <c r="K170" s="453"/>
      <c r="L170" s="454"/>
      <c r="M170" s="369"/>
      <c r="N170" s="369"/>
      <c r="O170" s="455"/>
    </row>
    <row r="171" spans="1:15" x14ac:dyDescent="0.2">
      <c r="A171" s="369"/>
      <c r="B171" s="369"/>
      <c r="C171" s="369"/>
      <c r="D171" s="369"/>
      <c r="E171" s="369"/>
      <c r="F171" s="452"/>
      <c r="G171" s="369"/>
      <c r="H171" s="369"/>
      <c r="I171" s="470"/>
      <c r="J171" s="369"/>
      <c r="K171" s="453"/>
      <c r="L171" s="454"/>
      <c r="M171" s="369"/>
      <c r="N171" s="369"/>
      <c r="O171" s="455"/>
    </row>
    <row r="172" spans="1:15" x14ac:dyDescent="0.2">
      <c r="A172" s="369"/>
      <c r="B172" s="369"/>
      <c r="C172" s="369"/>
      <c r="D172" s="369"/>
      <c r="E172" s="369"/>
      <c r="F172" s="452"/>
      <c r="G172" s="369"/>
      <c r="H172" s="369"/>
      <c r="I172" s="470"/>
      <c r="J172" s="369"/>
      <c r="K172" s="453"/>
      <c r="L172" s="454"/>
      <c r="M172" s="369"/>
      <c r="N172" s="369"/>
      <c r="O172" s="455"/>
    </row>
    <row r="173" spans="1:15" x14ac:dyDescent="0.2">
      <c r="A173" s="369"/>
      <c r="B173" s="369"/>
      <c r="C173" s="369"/>
      <c r="D173" s="369"/>
      <c r="E173" s="369"/>
      <c r="F173" s="452"/>
      <c r="G173" s="369"/>
      <c r="H173" s="369"/>
      <c r="I173" s="470"/>
      <c r="J173" s="369"/>
      <c r="K173" s="453"/>
      <c r="L173" s="454"/>
      <c r="M173" s="369"/>
      <c r="N173" s="369"/>
      <c r="O173" s="455"/>
    </row>
    <row r="174" spans="1:15" x14ac:dyDescent="0.2">
      <c r="A174" s="369"/>
      <c r="B174" s="369"/>
      <c r="C174" s="369"/>
      <c r="D174" s="369"/>
      <c r="E174" s="369"/>
      <c r="F174" s="452"/>
      <c r="G174" s="369"/>
      <c r="H174" s="369"/>
      <c r="I174" s="470"/>
      <c r="J174" s="369"/>
      <c r="K174" s="453"/>
      <c r="L174" s="454"/>
      <c r="M174" s="369"/>
      <c r="N174" s="369"/>
      <c r="O174" s="455"/>
    </row>
    <row r="175" spans="1:15" x14ac:dyDescent="0.2">
      <c r="A175" s="369"/>
      <c r="B175" s="369"/>
      <c r="C175" s="369"/>
      <c r="D175" s="369"/>
      <c r="E175" s="369"/>
      <c r="F175" s="452"/>
      <c r="G175" s="369"/>
      <c r="H175" s="369"/>
      <c r="I175" s="470"/>
      <c r="J175" s="369"/>
      <c r="K175" s="453"/>
      <c r="L175" s="454"/>
      <c r="M175" s="369"/>
      <c r="N175" s="369"/>
      <c r="O175" s="455"/>
    </row>
    <row r="176" spans="1:15" x14ac:dyDescent="0.2">
      <c r="A176" s="369"/>
      <c r="B176" s="369"/>
      <c r="C176" s="369"/>
      <c r="D176" s="369"/>
      <c r="E176" s="369"/>
      <c r="F176" s="452"/>
      <c r="G176" s="369"/>
      <c r="H176" s="369"/>
      <c r="I176" s="470"/>
      <c r="J176" s="369"/>
      <c r="K176" s="453"/>
      <c r="L176" s="454"/>
      <c r="M176" s="369"/>
      <c r="N176" s="369"/>
      <c r="O176" s="455"/>
    </row>
    <row r="177" spans="1:15" x14ac:dyDescent="0.2">
      <c r="A177" s="369"/>
      <c r="B177" s="369"/>
      <c r="C177" s="369"/>
      <c r="D177" s="369"/>
      <c r="E177" s="369"/>
      <c r="F177" s="452"/>
      <c r="G177" s="369"/>
      <c r="H177" s="369"/>
      <c r="I177" s="470"/>
      <c r="J177" s="369"/>
      <c r="K177" s="453"/>
      <c r="L177" s="454"/>
      <c r="M177" s="369"/>
      <c r="N177" s="369"/>
      <c r="O177" s="455"/>
    </row>
    <row r="178" spans="1:15" x14ac:dyDescent="0.2">
      <c r="A178" s="369"/>
      <c r="B178" s="369"/>
      <c r="C178" s="369"/>
      <c r="D178" s="369"/>
      <c r="E178" s="369"/>
      <c r="F178" s="452"/>
      <c r="G178" s="369"/>
      <c r="H178" s="369"/>
      <c r="I178" s="470"/>
      <c r="J178" s="369"/>
      <c r="K178" s="453"/>
      <c r="L178" s="454"/>
      <c r="M178" s="369"/>
      <c r="N178" s="369"/>
      <c r="O178" s="455"/>
    </row>
    <row r="179" spans="1:15" x14ac:dyDescent="0.2">
      <c r="A179" s="369"/>
      <c r="B179" s="369"/>
      <c r="C179" s="369"/>
      <c r="D179" s="369"/>
      <c r="E179" s="369"/>
      <c r="F179" s="452"/>
      <c r="G179" s="369"/>
      <c r="H179" s="369"/>
      <c r="I179" s="470"/>
      <c r="J179" s="369"/>
      <c r="K179" s="453"/>
      <c r="L179" s="454"/>
      <c r="M179" s="369"/>
      <c r="N179" s="369"/>
      <c r="O179" s="455"/>
    </row>
    <row r="180" spans="1:15" x14ac:dyDescent="0.2">
      <c r="A180" s="369"/>
      <c r="B180" s="369"/>
      <c r="C180" s="369"/>
      <c r="D180" s="369"/>
      <c r="E180" s="369"/>
      <c r="F180" s="452"/>
      <c r="G180" s="369"/>
      <c r="H180" s="369"/>
      <c r="I180" s="470"/>
      <c r="J180" s="369"/>
      <c r="K180" s="453"/>
      <c r="L180" s="454"/>
      <c r="M180" s="369"/>
      <c r="N180" s="369"/>
      <c r="O180" s="455"/>
    </row>
    <row r="181" spans="1:15" x14ac:dyDescent="0.2">
      <c r="A181" s="369"/>
      <c r="B181" s="369"/>
      <c r="C181" s="369"/>
      <c r="D181" s="369"/>
      <c r="E181" s="369"/>
      <c r="F181" s="452"/>
      <c r="G181" s="369"/>
      <c r="H181" s="369"/>
      <c r="I181" s="470"/>
      <c r="J181" s="369"/>
      <c r="K181" s="453"/>
      <c r="L181" s="454"/>
      <c r="M181" s="369"/>
      <c r="N181" s="369"/>
      <c r="O181" s="455"/>
    </row>
    <row r="182" spans="1:15" x14ac:dyDescent="0.2">
      <c r="A182" s="369"/>
      <c r="B182" s="369"/>
      <c r="C182" s="369"/>
      <c r="D182" s="369"/>
      <c r="E182" s="369"/>
      <c r="F182" s="452"/>
      <c r="G182" s="369"/>
      <c r="H182" s="369"/>
      <c r="I182" s="470"/>
      <c r="J182" s="369"/>
      <c r="K182" s="453"/>
      <c r="L182" s="454"/>
      <c r="M182" s="369"/>
      <c r="N182" s="369"/>
      <c r="O182" s="455"/>
    </row>
    <row r="183" spans="1:15" x14ac:dyDescent="0.2">
      <c r="A183" s="369"/>
      <c r="B183" s="369"/>
      <c r="C183" s="369"/>
      <c r="D183" s="369"/>
      <c r="E183" s="369"/>
      <c r="F183" s="452"/>
      <c r="G183" s="369"/>
      <c r="H183" s="369"/>
      <c r="I183" s="470"/>
      <c r="J183" s="369"/>
      <c r="K183" s="453"/>
      <c r="L183" s="454"/>
      <c r="M183" s="369"/>
      <c r="N183" s="369"/>
      <c r="O183" s="455"/>
    </row>
    <row r="184" spans="1:15" x14ac:dyDescent="0.2">
      <c r="A184" s="369"/>
      <c r="B184" s="369"/>
      <c r="C184" s="369"/>
      <c r="D184" s="369"/>
      <c r="E184" s="369"/>
      <c r="F184" s="452"/>
      <c r="G184" s="369"/>
      <c r="H184" s="369"/>
      <c r="I184" s="470"/>
      <c r="J184" s="369"/>
      <c r="K184" s="453"/>
      <c r="L184" s="454"/>
      <c r="M184" s="369"/>
      <c r="N184" s="369"/>
      <c r="O184" s="455"/>
    </row>
    <row r="185" spans="1:15" x14ac:dyDescent="0.2">
      <c r="A185" s="369"/>
      <c r="B185" s="369"/>
      <c r="C185" s="369"/>
      <c r="D185" s="369"/>
      <c r="E185" s="369"/>
      <c r="F185" s="452"/>
      <c r="G185" s="369"/>
      <c r="H185" s="369"/>
      <c r="I185" s="470"/>
      <c r="J185" s="369"/>
      <c r="K185" s="453"/>
      <c r="L185" s="454"/>
      <c r="M185" s="369"/>
      <c r="N185" s="369"/>
      <c r="O185" s="455"/>
    </row>
    <row r="186" spans="1:15" x14ac:dyDescent="0.2">
      <c r="A186" s="369"/>
      <c r="B186" s="369"/>
      <c r="C186" s="369"/>
      <c r="D186" s="369"/>
      <c r="E186" s="369"/>
      <c r="F186" s="452"/>
      <c r="G186" s="369"/>
      <c r="H186" s="369"/>
      <c r="I186" s="470"/>
      <c r="J186" s="369"/>
      <c r="K186" s="453"/>
      <c r="L186" s="454"/>
      <c r="M186" s="369"/>
      <c r="N186" s="369"/>
      <c r="O186" s="455"/>
    </row>
    <row r="187" spans="1:15" x14ac:dyDescent="0.2">
      <c r="A187" s="369"/>
      <c r="B187" s="369"/>
      <c r="C187" s="369"/>
      <c r="D187" s="369"/>
      <c r="E187" s="369"/>
      <c r="F187" s="452"/>
      <c r="G187" s="369"/>
      <c r="H187" s="369"/>
      <c r="I187" s="470"/>
      <c r="J187" s="369"/>
      <c r="K187" s="453"/>
      <c r="L187" s="454"/>
      <c r="M187" s="369"/>
      <c r="N187" s="369"/>
      <c r="O187" s="455"/>
    </row>
    <row r="188" spans="1:15" x14ac:dyDescent="0.2">
      <c r="A188" s="369"/>
      <c r="B188" s="369"/>
      <c r="C188" s="369"/>
      <c r="D188" s="369"/>
      <c r="E188" s="369"/>
      <c r="F188" s="452"/>
      <c r="G188" s="369"/>
      <c r="H188" s="369"/>
      <c r="I188" s="470"/>
      <c r="J188" s="369"/>
      <c r="K188" s="453"/>
      <c r="L188" s="454"/>
      <c r="M188" s="369"/>
      <c r="N188" s="369"/>
      <c r="O188" s="455"/>
    </row>
    <row r="189" spans="1:15" x14ac:dyDescent="0.2">
      <c r="A189" s="369"/>
      <c r="B189" s="369"/>
      <c r="C189" s="369"/>
      <c r="D189" s="369"/>
      <c r="E189" s="369"/>
      <c r="F189" s="452"/>
      <c r="G189" s="369"/>
      <c r="H189" s="369"/>
      <c r="I189" s="470"/>
      <c r="J189" s="369"/>
      <c r="K189" s="453"/>
      <c r="L189" s="454"/>
      <c r="M189" s="369"/>
      <c r="N189" s="369"/>
      <c r="O189" s="455"/>
    </row>
    <row r="190" spans="1:15" x14ac:dyDescent="0.2">
      <c r="A190" s="369"/>
      <c r="B190" s="369"/>
      <c r="C190" s="369"/>
      <c r="D190" s="369"/>
      <c r="E190" s="369"/>
      <c r="F190" s="452"/>
      <c r="G190" s="369"/>
      <c r="H190" s="369"/>
      <c r="I190" s="470"/>
      <c r="J190" s="369"/>
      <c r="K190" s="453"/>
      <c r="L190" s="454"/>
      <c r="M190" s="369"/>
      <c r="N190" s="369"/>
      <c r="O190" s="455"/>
    </row>
    <row r="191" spans="1:15" x14ac:dyDescent="0.2">
      <c r="A191" s="369"/>
      <c r="B191" s="369"/>
      <c r="C191" s="369"/>
      <c r="D191" s="369"/>
      <c r="E191" s="369"/>
      <c r="F191" s="452"/>
      <c r="G191" s="369"/>
      <c r="H191" s="369"/>
      <c r="I191" s="470"/>
      <c r="J191" s="369"/>
      <c r="K191" s="453"/>
      <c r="L191" s="454"/>
      <c r="M191" s="369"/>
      <c r="N191" s="369"/>
      <c r="O191" s="455"/>
    </row>
    <row r="192" spans="1:15" x14ac:dyDescent="0.2">
      <c r="A192" s="369"/>
      <c r="B192" s="369"/>
      <c r="C192" s="369"/>
      <c r="D192" s="369"/>
      <c r="E192" s="369"/>
      <c r="F192" s="452"/>
      <c r="G192" s="369"/>
      <c r="H192" s="369"/>
      <c r="I192" s="470"/>
      <c r="J192" s="369"/>
      <c r="K192" s="453"/>
      <c r="L192" s="454"/>
      <c r="M192" s="369"/>
      <c r="N192" s="369"/>
      <c r="O192" s="455"/>
    </row>
    <row r="193" spans="1:15" x14ac:dyDescent="0.2">
      <c r="A193" s="369"/>
      <c r="B193" s="369"/>
      <c r="C193" s="369"/>
      <c r="D193" s="369"/>
      <c r="E193" s="369"/>
      <c r="F193" s="452"/>
      <c r="G193" s="369"/>
      <c r="H193" s="369"/>
      <c r="I193" s="470"/>
      <c r="J193" s="369"/>
      <c r="K193" s="453"/>
      <c r="L193" s="454"/>
      <c r="M193" s="369"/>
      <c r="N193" s="369"/>
      <c r="O193" s="455"/>
    </row>
    <row r="194" spans="1:15" x14ac:dyDescent="0.2">
      <c r="A194" s="369"/>
      <c r="B194" s="369"/>
      <c r="C194" s="369"/>
      <c r="D194" s="369"/>
      <c r="E194" s="369"/>
      <c r="F194" s="452"/>
      <c r="G194" s="369"/>
      <c r="H194" s="369"/>
      <c r="I194" s="470"/>
      <c r="J194" s="369"/>
      <c r="K194" s="453"/>
      <c r="L194" s="454"/>
      <c r="M194" s="369"/>
      <c r="N194" s="369"/>
      <c r="O194" s="455"/>
    </row>
    <row r="195" spans="1:15" x14ac:dyDescent="0.2">
      <c r="A195" s="369"/>
      <c r="B195" s="369"/>
      <c r="C195" s="369"/>
      <c r="D195" s="369"/>
      <c r="E195" s="369"/>
      <c r="F195" s="452"/>
      <c r="G195" s="369"/>
      <c r="H195" s="369"/>
      <c r="I195" s="470"/>
      <c r="J195" s="369"/>
      <c r="K195" s="453"/>
      <c r="L195" s="454"/>
      <c r="M195" s="369"/>
      <c r="N195" s="369"/>
      <c r="O195" s="455"/>
    </row>
    <row r="196" spans="1:15" x14ac:dyDescent="0.2">
      <c r="A196" s="369"/>
      <c r="B196" s="369"/>
      <c r="C196" s="369"/>
      <c r="D196" s="369"/>
      <c r="E196" s="369"/>
      <c r="F196" s="452"/>
      <c r="G196" s="369"/>
      <c r="H196" s="369"/>
      <c r="I196" s="470"/>
      <c r="J196" s="369"/>
      <c r="K196" s="453"/>
      <c r="L196" s="454"/>
      <c r="M196" s="369"/>
      <c r="N196" s="369"/>
      <c r="O196" s="455"/>
    </row>
    <row r="197" spans="1:15" x14ac:dyDescent="0.2">
      <c r="A197" s="369"/>
      <c r="B197" s="369"/>
      <c r="C197" s="369"/>
      <c r="D197" s="369"/>
      <c r="E197" s="369"/>
      <c r="F197" s="452"/>
      <c r="G197" s="369"/>
      <c r="H197" s="369"/>
      <c r="I197" s="470"/>
      <c r="J197" s="369"/>
      <c r="K197" s="453"/>
      <c r="L197" s="454"/>
      <c r="M197" s="369"/>
      <c r="N197" s="369"/>
      <c r="O197" s="455"/>
    </row>
    <row r="198" spans="1:15" x14ac:dyDescent="0.2">
      <c r="A198" s="369"/>
      <c r="B198" s="369"/>
      <c r="C198" s="369"/>
      <c r="D198" s="369"/>
      <c r="E198" s="369"/>
      <c r="F198" s="452"/>
      <c r="G198" s="369"/>
      <c r="H198" s="369"/>
      <c r="I198" s="470"/>
      <c r="J198" s="369"/>
      <c r="K198" s="453"/>
      <c r="L198" s="454"/>
      <c r="M198" s="369"/>
      <c r="N198" s="369"/>
      <c r="O198" s="455"/>
    </row>
    <row r="199" spans="1:15" x14ac:dyDescent="0.2">
      <c r="A199" s="369"/>
      <c r="B199" s="369"/>
      <c r="C199" s="369"/>
      <c r="D199" s="369"/>
      <c r="E199" s="369"/>
      <c r="F199" s="452"/>
      <c r="G199" s="369"/>
      <c r="H199" s="369"/>
      <c r="I199" s="470"/>
      <c r="J199" s="369"/>
      <c r="K199" s="453"/>
      <c r="L199" s="454"/>
      <c r="M199" s="369"/>
      <c r="N199" s="369"/>
      <c r="O199" s="455"/>
    </row>
    <row r="200" spans="1:15" x14ac:dyDescent="0.2">
      <c r="A200" s="369"/>
      <c r="B200" s="369"/>
      <c r="C200" s="369"/>
      <c r="D200" s="369"/>
      <c r="E200" s="369"/>
      <c r="F200" s="452"/>
      <c r="G200" s="369"/>
      <c r="H200" s="369"/>
      <c r="I200" s="470"/>
      <c r="J200" s="369"/>
      <c r="K200" s="453"/>
      <c r="L200" s="454"/>
      <c r="M200" s="369"/>
      <c r="N200" s="369"/>
      <c r="O200" s="455"/>
    </row>
    <row r="201" spans="1:15" x14ac:dyDescent="0.2">
      <c r="A201" s="369"/>
      <c r="B201" s="369"/>
      <c r="C201" s="369"/>
      <c r="D201" s="369"/>
      <c r="E201" s="369"/>
      <c r="F201" s="452"/>
      <c r="G201" s="369"/>
      <c r="H201" s="369"/>
      <c r="I201" s="470"/>
      <c r="J201" s="369"/>
      <c r="K201" s="453"/>
      <c r="L201" s="454"/>
      <c r="M201" s="369"/>
      <c r="N201" s="369"/>
      <c r="O201" s="455"/>
    </row>
    <row r="202" spans="1:15" x14ac:dyDescent="0.2">
      <c r="A202" s="369"/>
      <c r="B202" s="369"/>
      <c r="C202" s="369"/>
      <c r="D202" s="369"/>
      <c r="E202" s="369"/>
      <c r="F202" s="452"/>
      <c r="G202" s="369"/>
      <c r="H202" s="369"/>
      <c r="I202" s="470"/>
      <c r="J202" s="369"/>
      <c r="K202" s="453"/>
      <c r="L202" s="454"/>
      <c r="M202" s="369"/>
      <c r="N202" s="369"/>
      <c r="O202" s="455"/>
    </row>
    <row r="203" spans="1:15" x14ac:dyDescent="0.2">
      <c r="A203" s="369"/>
      <c r="B203" s="369"/>
      <c r="C203" s="369"/>
      <c r="D203" s="369"/>
      <c r="E203" s="369"/>
      <c r="F203" s="452"/>
      <c r="G203" s="369"/>
      <c r="H203" s="369"/>
      <c r="I203" s="470"/>
      <c r="J203" s="369"/>
      <c r="K203" s="453"/>
      <c r="L203" s="454"/>
      <c r="M203" s="369"/>
      <c r="N203" s="369"/>
      <c r="O203" s="455"/>
    </row>
    <row r="204" spans="1:15" x14ac:dyDescent="0.2">
      <c r="A204" s="369"/>
      <c r="B204" s="369"/>
      <c r="C204" s="369"/>
      <c r="D204" s="369"/>
      <c r="E204" s="369"/>
      <c r="F204" s="452"/>
      <c r="G204" s="369"/>
      <c r="H204" s="369"/>
      <c r="I204" s="470"/>
      <c r="J204" s="369"/>
      <c r="K204" s="453"/>
      <c r="L204" s="454"/>
      <c r="M204" s="369"/>
      <c r="N204" s="369"/>
      <c r="O204" s="455"/>
    </row>
    <row r="205" spans="1:15" x14ac:dyDescent="0.2">
      <c r="A205" s="369"/>
      <c r="B205" s="369"/>
      <c r="C205" s="369"/>
      <c r="D205" s="369"/>
      <c r="E205" s="369"/>
      <c r="F205" s="452"/>
      <c r="G205" s="369"/>
      <c r="H205" s="369"/>
      <c r="I205" s="470"/>
      <c r="J205" s="369"/>
      <c r="K205" s="453"/>
      <c r="L205" s="454"/>
      <c r="M205" s="369"/>
      <c r="N205" s="369"/>
      <c r="O205" s="455"/>
    </row>
    <row r="206" spans="1:15" x14ac:dyDescent="0.2">
      <c r="A206" s="369"/>
      <c r="B206" s="369"/>
      <c r="C206" s="369"/>
      <c r="D206" s="369"/>
      <c r="E206" s="369"/>
      <c r="F206" s="452"/>
      <c r="G206" s="369"/>
      <c r="H206" s="369"/>
      <c r="I206" s="470"/>
      <c r="J206" s="369"/>
      <c r="K206" s="453"/>
      <c r="L206" s="454"/>
      <c r="M206" s="369"/>
      <c r="N206" s="369"/>
      <c r="O206" s="455"/>
    </row>
    <row r="207" spans="1:15" x14ac:dyDescent="0.2">
      <c r="A207" s="369"/>
      <c r="B207" s="369"/>
      <c r="C207" s="369"/>
      <c r="D207" s="369"/>
      <c r="E207" s="369"/>
      <c r="F207" s="452"/>
      <c r="G207" s="369"/>
      <c r="H207" s="369"/>
      <c r="I207" s="470"/>
      <c r="J207" s="369"/>
      <c r="K207" s="453"/>
      <c r="L207" s="454"/>
      <c r="M207" s="369"/>
      <c r="N207" s="369"/>
      <c r="O207" s="455"/>
    </row>
    <row r="208" spans="1:15" x14ac:dyDescent="0.2">
      <c r="A208" s="369"/>
      <c r="B208" s="369"/>
      <c r="C208" s="369"/>
      <c r="D208" s="369"/>
      <c r="E208" s="369"/>
      <c r="F208" s="452"/>
      <c r="G208" s="369"/>
      <c r="H208" s="369"/>
      <c r="I208" s="470"/>
      <c r="J208" s="369"/>
      <c r="K208" s="453"/>
      <c r="L208" s="454"/>
      <c r="M208" s="369"/>
      <c r="N208" s="369"/>
      <c r="O208" s="455"/>
    </row>
    <row r="209" spans="1:15" x14ac:dyDescent="0.2">
      <c r="A209" s="369"/>
      <c r="B209" s="369"/>
      <c r="C209" s="369"/>
      <c r="D209" s="369"/>
      <c r="E209" s="369"/>
      <c r="F209" s="452"/>
      <c r="G209" s="369"/>
      <c r="H209" s="369"/>
      <c r="I209" s="470"/>
      <c r="J209" s="369"/>
      <c r="K209" s="453"/>
      <c r="L209" s="454"/>
      <c r="M209" s="369"/>
      <c r="N209" s="369"/>
      <c r="O209" s="455"/>
    </row>
    <row r="210" spans="1:15" x14ac:dyDescent="0.2">
      <c r="A210" s="369"/>
      <c r="B210" s="369"/>
      <c r="C210" s="369"/>
      <c r="D210" s="369"/>
      <c r="E210" s="369"/>
      <c r="F210" s="452"/>
      <c r="G210" s="369"/>
      <c r="H210" s="369"/>
      <c r="I210" s="470"/>
      <c r="J210" s="369"/>
      <c r="K210" s="453"/>
      <c r="L210" s="454"/>
      <c r="M210" s="369"/>
      <c r="N210" s="369"/>
      <c r="O210" s="455"/>
    </row>
    <row r="211" spans="1:15" x14ac:dyDescent="0.2">
      <c r="A211" s="369"/>
      <c r="B211" s="369"/>
      <c r="C211" s="369"/>
      <c r="D211" s="369"/>
      <c r="E211" s="369"/>
      <c r="F211" s="452"/>
      <c r="G211" s="369"/>
      <c r="H211" s="369"/>
      <c r="I211" s="470"/>
      <c r="J211" s="369"/>
      <c r="K211" s="453"/>
      <c r="L211" s="454"/>
      <c r="M211" s="369"/>
      <c r="N211" s="369"/>
      <c r="O211" s="455"/>
    </row>
    <row r="212" spans="1:15" x14ac:dyDescent="0.2">
      <c r="A212" s="369"/>
      <c r="B212" s="369"/>
      <c r="C212" s="369"/>
      <c r="D212" s="369"/>
      <c r="E212" s="369"/>
      <c r="F212" s="452"/>
      <c r="G212" s="369"/>
      <c r="H212" s="369"/>
      <c r="I212" s="470"/>
      <c r="J212" s="369"/>
      <c r="K212" s="453"/>
      <c r="L212" s="454"/>
      <c r="M212" s="369"/>
      <c r="N212" s="369"/>
      <c r="O212" s="455"/>
    </row>
    <row r="213" spans="1:15" x14ac:dyDescent="0.2">
      <c r="A213" s="369"/>
      <c r="B213" s="369"/>
      <c r="C213" s="369"/>
      <c r="D213" s="369"/>
      <c r="E213" s="369"/>
      <c r="F213" s="452"/>
      <c r="G213" s="369"/>
      <c r="H213" s="369"/>
      <c r="I213" s="470"/>
      <c r="J213" s="369"/>
      <c r="K213" s="453"/>
      <c r="L213" s="454"/>
      <c r="M213" s="369"/>
      <c r="N213" s="369"/>
      <c r="O213" s="455"/>
    </row>
    <row r="214" spans="1:15" x14ac:dyDescent="0.2">
      <c r="A214" s="369"/>
      <c r="B214" s="369"/>
      <c r="C214" s="369"/>
      <c r="D214" s="369"/>
      <c r="E214" s="369"/>
      <c r="F214" s="452"/>
      <c r="G214" s="369"/>
      <c r="H214" s="369"/>
      <c r="I214" s="470"/>
      <c r="J214" s="369"/>
      <c r="K214" s="453"/>
      <c r="L214" s="454"/>
      <c r="M214" s="369"/>
      <c r="N214" s="369"/>
      <c r="O214" s="455"/>
    </row>
    <row r="215" spans="1:15" x14ac:dyDescent="0.2">
      <c r="A215" s="369"/>
      <c r="B215" s="369"/>
      <c r="C215" s="369"/>
      <c r="D215" s="369"/>
      <c r="E215" s="369"/>
      <c r="F215" s="452"/>
      <c r="G215" s="369"/>
      <c r="H215" s="369"/>
      <c r="I215" s="470"/>
      <c r="J215" s="369"/>
      <c r="K215" s="453"/>
      <c r="L215" s="454"/>
      <c r="M215" s="369"/>
      <c r="N215" s="369"/>
      <c r="O215" s="455"/>
    </row>
    <row r="216" spans="1:15" x14ac:dyDescent="0.2">
      <c r="A216" s="369"/>
      <c r="B216" s="369"/>
      <c r="C216" s="369"/>
      <c r="D216" s="369"/>
      <c r="E216" s="369"/>
      <c r="F216" s="452"/>
      <c r="G216" s="369"/>
      <c r="H216" s="369"/>
      <c r="I216" s="470"/>
      <c r="J216" s="369"/>
      <c r="K216" s="453"/>
      <c r="L216" s="454"/>
      <c r="M216" s="369"/>
      <c r="N216" s="369"/>
      <c r="O216" s="455"/>
    </row>
    <row r="217" spans="1:15" x14ac:dyDescent="0.2">
      <c r="A217" s="369"/>
      <c r="B217" s="369"/>
      <c r="C217" s="369"/>
      <c r="D217" s="369"/>
      <c r="E217" s="369"/>
      <c r="F217" s="452"/>
      <c r="G217" s="369"/>
      <c r="H217" s="369"/>
      <c r="I217" s="470"/>
      <c r="J217" s="369"/>
      <c r="K217" s="453"/>
      <c r="L217" s="454"/>
      <c r="M217" s="369"/>
      <c r="N217" s="369"/>
      <c r="O217" s="455"/>
    </row>
    <row r="218" spans="1:15" x14ac:dyDescent="0.2">
      <c r="A218" s="369"/>
      <c r="B218" s="369"/>
      <c r="C218" s="369"/>
      <c r="D218" s="369"/>
      <c r="E218" s="369"/>
      <c r="F218" s="452"/>
      <c r="G218" s="369"/>
      <c r="H218" s="369"/>
      <c r="I218" s="470"/>
      <c r="J218" s="369"/>
      <c r="K218" s="453"/>
      <c r="L218" s="454"/>
      <c r="M218" s="369"/>
      <c r="N218" s="369"/>
      <c r="O218" s="455"/>
    </row>
    <row r="219" spans="1:15" x14ac:dyDescent="0.2">
      <c r="A219" s="369"/>
      <c r="B219" s="369"/>
      <c r="C219" s="369"/>
      <c r="D219" s="369"/>
      <c r="E219" s="369"/>
      <c r="F219" s="452"/>
      <c r="G219" s="369"/>
      <c r="H219" s="369"/>
      <c r="I219" s="470"/>
      <c r="J219" s="369"/>
      <c r="K219" s="453"/>
      <c r="L219" s="454"/>
      <c r="M219" s="369"/>
      <c r="N219" s="369"/>
      <c r="O219" s="455"/>
    </row>
    <row r="220" spans="1:15" x14ac:dyDescent="0.2">
      <c r="A220" s="369"/>
      <c r="B220" s="369"/>
      <c r="C220" s="369"/>
      <c r="D220" s="369"/>
      <c r="E220" s="369"/>
      <c r="F220" s="452"/>
      <c r="G220" s="369"/>
      <c r="H220" s="369"/>
      <c r="I220" s="470"/>
      <c r="J220" s="369"/>
      <c r="K220" s="453"/>
      <c r="L220" s="454"/>
      <c r="M220" s="369"/>
      <c r="N220" s="369"/>
      <c r="O220" s="455"/>
    </row>
    <row r="221" spans="1:15" x14ac:dyDescent="0.2">
      <c r="A221" s="369"/>
      <c r="B221" s="369"/>
      <c r="C221" s="369"/>
      <c r="D221" s="369"/>
      <c r="E221" s="369"/>
      <c r="F221" s="452"/>
      <c r="G221" s="369"/>
      <c r="H221" s="369"/>
      <c r="I221" s="470"/>
      <c r="J221" s="369"/>
      <c r="K221" s="453"/>
      <c r="L221" s="454"/>
      <c r="M221" s="369"/>
      <c r="N221" s="369"/>
      <c r="O221" s="455"/>
    </row>
    <row r="222" spans="1:15" x14ac:dyDescent="0.2">
      <c r="A222" s="369"/>
      <c r="B222" s="369"/>
      <c r="C222" s="369"/>
      <c r="D222" s="369"/>
      <c r="E222" s="369"/>
      <c r="F222" s="452"/>
      <c r="G222" s="369"/>
      <c r="H222" s="369"/>
      <c r="I222" s="470"/>
      <c r="J222" s="369"/>
      <c r="K222" s="453"/>
      <c r="L222" s="454"/>
      <c r="M222" s="369"/>
      <c r="N222" s="369"/>
      <c r="O222" s="455"/>
    </row>
    <row r="223" spans="1:15" x14ac:dyDescent="0.2">
      <c r="A223" s="369"/>
      <c r="B223" s="369"/>
      <c r="C223" s="369"/>
      <c r="D223" s="369"/>
      <c r="E223" s="369"/>
      <c r="F223" s="452"/>
      <c r="G223" s="369"/>
      <c r="H223" s="369"/>
      <c r="I223" s="470"/>
      <c r="J223" s="369"/>
      <c r="K223" s="453"/>
      <c r="L223" s="454"/>
      <c r="M223" s="369"/>
      <c r="N223" s="369"/>
      <c r="O223" s="455"/>
    </row>
    <row r="224" spans="1:15" x14ac:dyDescent="0.2">
      <c r="A224" s="369"/>
      <c r="B224" s="369"/>
      <c r="C224" s="369"/>
      <c r="D224" s="369"/>
      <c r="E224" s="369"/>
      <c r="F224" s="452"/>
      <c r="G224" s="369"/>
      <c r="H224" s="369"/>
      <c r="I224" s="470"/>
      <c r="J224" s="369"/>
      <c r="K224" s="453"/>
      <c r="L224" s="454"/>
      <c r="M224" s="369"/>
      <c r="N224" s="369"/>
      <c r="O224" s="455"/>
    </row>
    <row r="225" spans="1:15" x14ac:dyDescent="0.2">
      <c r="A225" s="369"/>
      <c r="B225" s="369"/>
      <c r="C225" s="369"/>
      <c r="D225" s="369"/>
      <c r="E225" s="369"/>
      <c r="F225" s="452"/>
      <c r="G225" s="369"/>
      <c r="H225" s="369"/>
      <c r="I225" s="470"/>
      <c r="J225" s="369"/>
      <c r="K225" s="453"/>
      <c r="L225" s="454"/>
      <c r="M225" s="369"/>
      <c r="N225" s="369"/>
      <c r="O225" s="455"/>
    </row>
    <row r="226" spans="1:15" x14ac:dyDescent="0.2">
      <c r="A226" s="369"/>
      <c r="B226" s="369"/>
      <c r="C226" s="369"/>
      <c r="D226" s="369"/>
      <c r="E226" s="369"/>
      <c r="F226" s="452"/>
      <c r="G226" s="369"/>
      <c r="H226" s="369"/>
      <c r="I226" s="470"/>
      <c r="J226" s="369"/>
      <c r="K226" s="453"/>
      <c r="L226" s="454"/>
      <c r="M226" s="369"/>
      <c r="N226" s="369"/>
      <c r="O226" s="455"/>
    </row>
    <row r="227" spans="1:15" x14ac:dyDescent="0.2">
      <c r="A227" s="369"/>
      <c r="B227" s="369"/>
      <c r="C227" s="369"/>
      <c r="D227" s="369"/>
      <c r="E227" s="369"/>
      <c r="F227" s="452"/>
      <c r="G227" s="369"/>
      <c r="H227" s="369"/>
      <c r="I227" s="470"/>
      <c r="J227" s="369"/>
      <c r="K227" s="453"/>
      <c r="L227" s="454"/>
      <c r="M227" s="369"/>
      <c r="N227" s="369"/>
      <c r="O227" s="455"/>
    </row>
    <row r="228" spans="1:15" x14ac:dyDescent="0.2">
      <c r="A228" s="369"/>
      <c r="B228" s="369"/>
      <c r="C228" s="369"/>
      <c r="D228" s="369"/>
      <c r="E228" s="369"/>
      <c r="F228" s="452"/>
      <c r="G228" s="369"/>
      <c r="H228" s="369"/>
      <c r="I228" s="470"/>
      <c r="J228" s="369"/>
      <c r="K228" s="453"/>
      <c r="L228" s="454"/>
      <c r="M228" s="369"/>
      <c r="N228" s="369"/>
      <c r="O228" s="455"/>
    </row>
    <row r="229" spans="1:15" x14ac:dyDescent="0.2">
      <c r="A229" s="369"/>
      <c r="B229" s="369"/>
      <c r="C229" s="369"/>
      <c r="D229" s="369"/>
      <c r="E229" s="369"/>
      <c r="F229" s="452"/>
      <c r="G229" s="369"/>
      <c r="H229" s="369"/>
      <c r="I229" s="470"/>
      <c r="J229" s="369"/>
      <c r="K229" s="453"/>
      <c r="L229" s="454"/>
      <c r="M229" s="369"/>
      <c r="N229" s="369"/>
      <c r="O229" s="455"/>
    </row>
    <row r="230" spans="1:15" x14ac:dyDescent="0.2">
      <c r="A230" s="369"/>
      <c r="B230" s="369"/>
      <c r="C230" s="369"/>
      <c r="D230" s="369"/>
      <c r="E230" s="369"/>
      <c r="F230" s="452"/>
      <c r="G230" s="369"/>
      <c r="H230" s="369"/>
      <c r="I230" s="470"/>
      <c r="J230" s="369"/>
      <c r="K230" s="453"/>
      <c r="L230" s="454"/>
      <c r="M230" s="369"/>
      <c r="N230" s="369"/>
      <c r="O230" s="455"/>
    </row>
    <row r="231" spans="1:15" x14ac:dyDescent="0.2">
      <c r="A231" s="369"/>
      <c r="B231" s="369"/>
      <c r="C231" s="369"/>
      <c r="D231" s="369"/>
      <c r="E231" s="369"/>
      <c r="F231" s="452"/>
      <c r="G231" s="369"/>
      <c r="H231" s="369"/>
      <c r="I231" s="470"/>
      <c r="J231" s="369"/>
      <c r="K231" s="453"/>
      <c r="L231" s="454"/>
      <c r="M231" s="369"/>
      <c r="N231" s="369"/>
      <c r="O231" s="455"/>
    </row>
    <row r="232" spans="1:15" x14ac:dyDescent="0.2">
      <c r="A232" s="369"/>
      <c r="B232" s="369"/>
      <c r="C232" s="369"/>
      <c r="D232" s="369"/>
      <c r="E232" s="369"/>
      <c r="F232" s="452"/>
      <c r="G232" s="369"/>
      <c r="H232" s="369"/>
      <c r="I232" s="470"/>
      <c r="J232" s="369"/>
      <c r="K232" s="453"/>
      <c r="L232" s="454"/>
      <c r="M232" s="369"/>
      <c r="N232" s="369"/>
      <c r="O232" s="455"/>
    </row>
    <row r="233" spans="1:15" x14ac:dyDescent="0.2">
      <c r="A233" s="369"/>
      <c r="B233" s="369"/>
      <c r="C233" s="369"/>
      <c r="D233" s="369"/>
      <c r="E233" s="369"/>
      <c r="F233" s="452"/>
      <c r="G233" s="369"/>
      <c r="H233" s="369"/>
      <c r="I233" s="470"/>
      <c r="J233" s="369"/>
      <c r="K233" s="453"/>
      <c r="L233" s="454"/>
      <c r="M233" s="369"/>
      <c r="N233" s="369"/>
      <c r="O233" s="455"/>
    </row>
    <row r="234" spans="1:15" x14ac:dyDescent="0.2">
      <c r="A234" s="369"/>
      <c r="B234" s="369"/>
      <c r="C234" s="369"/>
      <c r="D234" s="369"/>
      <c r="E234" s="369"/>
      <c r="F234" s="452"/>
      <c r="G234" s="369"/>
      <c r="H234" s="369"/>
      <c r="I234" s="470"/>
      <c r="J234" s="369"/>
      <c r="K234" s="453"/>
      <c r="L234" s="454"/>
      <c r="M234" s="369"/>
      <c r="N234" s="369"/>
      <c r="O234" s="455"/>
    </row>
    <row r="235" spans="1:15" x14ac:dyDescent="0.2">
      <c r="A235" s="369"/>
      <c r="B235" s="369"/>
      <c r="C235" s="369"/>
      <c r="D235" s="369"/>
      <c r="E235" s="369"/>
      <c r="F235" s="452"/>
      <c r="G235" s="369"/>
      <c r="H235" s="369"/>
      <c r="I235" s="470"/>
      <c r="J235" s="369"/>
      <c r="K235" s="453"/>
      <c r="L235" s="454"/>
      <c r="M235" s="369"/>
      <c r="N235" s="369"/>
      <c r="O235" s="455"/>
    </row>
    <row r="236" spans="1:15" x14ac:dyDescent="0.2">
      <c r="A236" s="369"/>
      <c r="B236" s="369"/>
      <c r="C236" s="369"/>
      <c r="D236" s="369"/>
      <c r="E236" s="369"/>
      <c r="F236" s="452"/>
      <c r="G236" s="369"/>
      <c r="H236" s="369"/>
      <c r="I236" s="470"/>
      <c r="J236" s="369"/>
      <c r="K236" s="453"/>
      <c r="L236" s="454"/>
      <c r="M236" s="369"/>
      <c r="N236" s="369"/>
      <c r="O236" s="455"/>
    </row>
    <row r="237" spans="1:15" x14ac:dyDescent="0.2">
      <c r="A237" s="369"/>
      <c r="B237" s="369"/>
      <c r="C237" s="369"/>
      <c r="D237" s="369"/>
      <c r="E237" s="369"/>
      <c r="F237" s="452"/>
      <c r="G237" s="369"/>
      <c r="H237" s="369"/>
      <c r="I237" s="470"/>
      <c r="J237" s="369"/>
      <c r="K237" s="453"/>
      <c r="L237" s="454"/>
      <c r="M237" s="369"/>
      <c r="N237" s="369"/>
      <c r="O237" s="455"/>
    </row>
    <row r="238" spans="1:15" x14ac:dyDescent="0.2">
      <c r="A238" s="369"/>
      <c r="B238" s="369"/>
      <c r="C238" s="369"/>
      <c r="D238" s="369"/>
      <c r="E238" s="369"/>
      <c r="F238" s="452"/>
      <c r="G238" s="369"/>
      <c r="H238" s="369"/>
      <c r="I238" s="470"/>
      <c r="J238" s="369"/>
      <c r="K238" s="453"/>
      <c r="L238" s="454"/>
      <c r="M238" s="369"/>
      <c r="N238" s="369"/>
      <c r="O238" s="455"/>
    </row>
    <row r="239" spans="1:15" x14ac:dyDescent="0.2">
      <c r="A239" s="369"/>
      <c r="B239" s="369"/>
      <c r="C239" s="369"/>
      <c r="D239" s="369"/>
      <c r="E239" s="369"/>
      <c r="F239" s="452"/>
      <c r="G239" s="369"/>
      <c r="H239" s="369"/>
      <c r="I239" s="470"/>
      <c r="J239" s="369"/>
      <c r="K239" s="453"/>
      <c r="L239" s="454"/>
      <c r="M239" s="369"/>
      <c r="N239" s="369"/>
      <c r="O239" s="455"/>
    </row>
    <row r="240" spans="1:15" x14ac:dyDescent="0.2">
      <c r="A240" s="369"/>
      <c r="B240" s="369"/>
      <c r="C240" s="369"/>
      <c r="D240" s="369"/>
      <c r="E240" s="369"/>
      <c r="F240" s="452"/>
      <c r="G240" s="369"/>
      <c r="H240" s="369"/>
      <c r="I240" s="470"/>
      <c r="J240" s="369"/>
      <c r="K240" s="453"/>
      <c r="L240" s="454"/>
      <c r="M240" s="369"/>
      <c r="N240" s="369"/>
      <c r="O240" s="455"/>
    </row>
    <row r="241" spans="1:15" x14ac:dyDescent="0.2">
      <c r="A241" s="369"/>
      <c r="B241" s="369"/>
      <c r="C241" s="369"/>
      <c r="D241" s="369"/>
      <c r="E241" s="369"/>
      <c r="F241" s="452"/>
      <c r="G241" s="369"/>
      <c r="H241" s="369"/>
      <c r="I241" s="470"/>
      <c r="J241" s="369"/>
      <c r="K241" s="453"/>
      <c r="L241" s="454"/>
      <c r="M241" s="369"/>
      <c r="N241" s="369"/>
      <c r="O241" s="455"/>
    </row>
    <row r="242" spans="1:15" x14ac:dyDescent="0.2">
      <c r="A242" s="369"/>
      <c r="B242" s="369"/>
      <c r="C242" s="369"/>
      <c r="D242" s="369"/>
      <c r="E242" s="369"/>
      <c r="F242" s="452"/>
      <c r="G242" s="369"/>
      <c r="H242" s="369"/>
      <c r="I242" s="470"/>
      <c r="J242" s="369"/>
      <c r="K242" s="453"/>
      <c r="L242" s="454"/>
      <c r="M242" s="369"/>
      <c r="N242" s="369"/>
      <c r="O242" s="455"/>
    </row>
    <row r="243" spans="1:15" x14ac:dyDescent="0.2">
      <c r="A243" s="369"/>
      <c r="B243" s="369"/>
      <c r="C243" s="369"/>
      <c r="D243" s="369"/>
      <c r="E243" s="369"/>
      <c r="F243" s="452"/>
      <c r="G243" s="369"/>
      <c r="H243" s="369"/>
      <c r="I243" s="470"/>
      <c r="J243" s="369"/>
      <c r="K243" s="453"/>
      <c r="L243" s="454"/>
      <c r="M243" s="369"/>
      <c r="N243" s="369"/>
      <c r="O243" s="455"/>
    </row>
    <row r="244" spans="1:15" x14ac:dyDescent="0.2">
      <c r="A244" s="369"/>
      <c r="B244" s="369"/>
      <c r="C244" s="369"/>
      <c r="D244" s="369"/>
      <c r="E244" s="369"/>
      <c r="F244" s="452"/>
      <c r="G244" s="369"/>
      <c r="H244" s="369"/>
      <c r="I244" s="470"/>
      <c r="J244" s="369"/>
      <c r="K244" s="453"/>
      <c r="L244" s="454"/>
      <c r="M244" s="369"/>
      <c r="N244" s="369"/>
      <c r="O244" s="455"/>
    </row>
    <row r="245" spans="1:15" x14ac:dyDescent="0.2">
      <c r="A245" s="369"/>
      <c r="B245" s="369"/>
      <c r="C245" s="369"/>
      <c r="D245" s="369"/>
      <c r="E245" s="369"/>
      <c r="F245" s="452"/>
      <c r="G245" s="369"/>
      <c r="H245" s="369"/>
      <c r="I245" s="470"/>
      <c r="J245" s="369"/>
      <c r="K245" s="453"/>
      <c r="L245" s="454"/>
      <c r="M245" s="369"/>
      <c r="N245" s="369"/>
      <c r="O245" s="455"/>
    </row>
    <row r="246" spans="1:15" x14ac:dyDescent="0.2">
      <c r="A246" s="369"/>
      <c r="B246" s="369"/>
      <c r="C246" s="369"/>
      <c r="D246" s="369"/>
      <c r="E246" s="369"/>
      <c r="F246" s="452"/>
      <c r="G246" s="369"/>
      <c r="H246" s="369"/>
      <c r="I246" s="470"/>
      <c r="J246" s="369"/>
      <c r="K246" s="453"/>
      <c r="L246" s="454"/>
      <c r="M246" s="369"/>
      <c r="N246" s="369"/>
      <c r="O246" s="455"/>
    </row>
    <row r="247" spans="1:15" x14ac:dyDescent="0.2">
      <c r="A247" s="369"/>
      <c r="B247" s="369"/>
      <c r="C247" s="369"/>
      <c r="D247" s="369"/>
      <c r="E247" s="369"/>
      <c r="F247" s="452"/>
      <c r="G247" s="369"/>
      <c r="H247" s="369"/>
      <c r="I247" s="470"/>
      <c r="J247" s="369"/>
      <c r="K247" s="453"/>
      <c r="L247" s="454"/>
      <c r="M247" s="369"/>
      <c r="N247" s="369"/>
      <c r="O247" s="455"/>
    </row>
    <row r="248" spans="1:15" x14ac:dyDescent="0.2">
      <c r="A248" s="369"/>
      <c r="B248" s="369"/>
      <c r="C248" s="369"/>
      <c r="D248" s="369"/>
      <c r="E248" s="369"/>
      <c r="F248" s="452"/>
      <c r="G248" s="369"/>
      <c r="H248" s="369"/>
      <c r="I248" s="470"/>
      <c r="J248" s="369"/>
      <c r="K248" s="453"/>
      <c r="L248" s="454"/>
      <c r="M248" s="369"/>
      <c r="N248" s="369"/>
      <c r="O248" s="455"/>
    </row>
    <row r="249" spans="1:15" x14ac:dyDescent="0.2">
      <c r="A249" s="369"/>
      <c r="B249" s="369"/>
      <c r="C249" s="369"/>
      <c r="D249" s="369"/>
      <c r="E249" s="369"/>
      <c r="F249" s="452"/>
      <c r="G249" s="369"/>
      <c r="H249" s="369"/>
      <c r="I249" s="470"/>
      <c r="J249" s="369"/>
      <c r="K249" s="453"/>
      <c r="L249" s="454"/>
      <c r="M249" s="369"/>
      <c r="N249" s="369"/>
      <c r="O249" s="455"/>
    </row>
    <row r="250" spans="1:15" x14ac:dyDescent="0.2">
      <c r="A250" s="369"/>
      <c r="B250" s="369"/>
      <c r="C250" s="369"/>
      <c r="D250" s="369"/>
      <c r="E250" s="369"/>
      <c r="F250" s="452"/>
      <c r="G250" s="369"/>
      <c r="H250" s="369"/>
      <c r="I250" s="470"/>
      <c r="J250" s="369"/>
      <c r="K250" s="453"/>
      <c r="L250" s="454"/>
      <c r="M250" s="369"/>
      <c r="N250" s="369"/>
      <c r="O250" s="455"/>
    </row>
    <row r="251" spans="1:15" x14ac:dyDescent="0.2">
      <c r="A251" s="369"/>
      <c r="B251" s="369"/>
      <c r="C251" s="369"/>
      <c r="D251" s="369"/>
      <c r="E251" s="369"/>
      <c r="F251" s="452"/>
      <c r="G251" s="369"/>
      <c r="H251" s="369"/>
      <c r="I251" s="470"/>
      <c r="J251" s="369"/>
      <c r="K251" s="453"/>
      <c r="L251" s="454"/>
      <c r="M251" s="369"/>
      <c r="N251" s="369"/>
      <c r="O251" s="455"/>
    </row>
    <row r="252" spans="1:15" x14ac:dyDescent="0.2">
      <c r="A252" s="369"/>
      <c r="B252" s="369"/>
      <c r="C252" s="369"/>
      <c r="D252" s="369"/>
      <c r="E252" s="369"/>
      <c r="F252" s="452"/>
      <c r="G252" s="369"/>
      <c r="H252" s="369"/>
      <c r="I252" s="470"/>
      <c r="J252" s="369"/>
      <c r="K252" s="453"/>
      <c r="L252" s="454"/>
      <c r="M252" s="369"/>
      <c r="N252" s="369"/>
      <c r="O252" s="455"/>
    </row>
    <row r="253" spans="1:15" x14ac:dyDescent="0.2">
      <c r="A253" s="369"/>
      <c r="B253" s="369"/>
      <c r="C253" s="369"/>
      <c r="D253" s="369"/>
      <c r="E253" s="369"/>
      <c r="F253" s="452"/>
      <c r="G253" s="369"/>
      <c r="H253" s="369"/>
      <c r="I253" s="470"/>
      <c r="J253" s="369"/>
      <c r="K253" s="453"/>
      <c r="L253" s="454"/>
      <c r="M253" s="369"/>
      <c r="N253" s="369"/>
      <c r="O253" s="455"/>
    </row>
    <row r="254" spans="1:15" x14ac:dyDescent="0.2">
      <c r="A254" s="369"/>
      <c r="B254" s="369"/>
      <c r="C254" s="369"/>
      <c r="D254" s="369"/>
      <c r="E254" s="369"/>
      <c r="F254" s="452"/>
      <c r="G254" s="369"/>
      <c r="H254" s="369"/>
      <c r="I254" s="470"/>
      <c r="J254" s="369"/>
      <c r="K254" s="453"/>
      <c r="L254" s="454"/>
      <c r="M254" s="369"/>
      <c r="N254" s="369"/>
      <c r="O254" s="455"/>
    </row>
    <row r="255" spans="1:15" x14ac:dyDescent="0.2">
      <c r="A255" s="369"/>
      <c r="B255" s="369"/>
      <c r="C255" s="369"/>
      <c r="D255" s="369"/>
      <c r="E255" s="369"/>
      <c r="F255" s="452"/>
      <c r="G255" s="369"/>
      <c r="H255" s="369"/>
      <c r="I255" s="470"/>
      <c r="J255" s="369"/>
      <c r="K255" s="453"/>
      <c r="L255" s="454"/>
      <c r="M255" s="369"/>
      <c r="N255" s="369"/>
      <c r="O255" s="455"/>
    </row>
    <row r="256" spans="1:15" x14ac:dyDescent="0.2">
      <c r="A256" s="369"/>
      <c r="B256" s="369"/>
      <c r="C256" s="369"/>
      <c r="D256" s="369"/>
      <c r="E256" s="369"/>
      <c r="F256" s="452"/>
      <c r="G256" s="369"/>
      <c r="H256" s="369"/>
      <c r="I256" s="470"/>
      <c r="J256" s="369"/>
      <c r="K256" s="453"/>
      <c r="L256" s="454"/>
      <c r="M256" s="369"/>
      <c r="N256" s="369"/>
      <c r="O256" s="455"/>
    </row>
    <row r="257" spans="1:15" x14ac:dyDescent="0.2">
      <c r="A257" s="369"/>
      <c r="B257" s="369"/>
      <c r="C257" s="369"/>
      <c r="D257" s="369"/>
      <c r="E257" s="369"/>
      <c r="F257" s="452"/>
      <c r="G257" s="369"/>
      <c r="H257" s="369"/>
      <c r="I257" s="470"/>
      <c r="J257" s="369"/>
      <c r="K257" s="453"/>
      <c r="L257" s="454"/>
      <c r="M257" s="369"/>
      <c r="N257" s="369"/>
      <c r="O257" s="455"/>
    </row>
    <row r="258" spans="1:15" x14ac:dyDescent="0.2">
      <c r="A258" s="369"/>
      <c r="B258" s="369"/>
      <c r="C258" s="369"/>
      <c r="D258" s="369"/>
      <c r="E258" s="369"/>
      <c r="F258" s="452"/>
      <c r="G258" s="369"/>
      <c r="H258" s="369"/>
      <c r="I258" s="470"/>
      <c r="J258" s="369"/>
      <c r="K258" s="453"/>
      <c r="L258" s="454"/>
      <c r="M258" s="369"/>
      <c r="N258" s="369"/>
      <c r="O258" s="455"/>
    </row>
    <row r="259" spans="1:15" x14ac:dyDescent="0.2">
      <c r="A259" s="369"/>
      <c r="B259" s="369"/>
      <c r="C259" s="369"/>
      <c r="D259" s="369"/>
      <c r="E259" s="369"/>
      <c r="F259" s="452"/>
      <c r="G259" s="369"/>
      <c r="H259" s="369"/>
      <c r="I259" s="470"/>
      <c r="J259" s="369"/>
      <c r="K259" s="453"/>
      <c r="L259" s="454"/>
      <c r="M259" s="369"/>
      <c r="N259" s="369"/>
      <c r="O259" s="455"/>
    </row>
    <row r="260" spans="1:15" x14ac:dyDescent="0.2">
      <c r="A260" s="369"/>
      <c r="B260" s="369"/>
      <c r="C260" s="369"/>
      <c r="D260" s="369"/>
      <c r="E260" s="369"/>
      <c r="F260" s="452"/>
      <c r="G260" s="369"/>
      <c r="H260" s="369"/>
      <c r="I260" s="470"/>
      <c r="J260" s="369"/>
      <c r="K260" s="453"/>
      <c r="L260" s="454"/>
      <c r="M260" s="369"/>
      <c r="N260" s="369"/>
      <c r="O260" s="455"/>
    </row>
    <row r="261" spans="1:15" x14ac:dyDescent="0.2">
      <c r="A261" s="369"/>
      <c r="B261" s="369"/>
      <c r="C261" s="369"/>
      <c r="D261" s="369"/>
      <c r="E261" s="369"/>
      <c r="F261" s="452"/>
      <c r="G261" s="369"/>
      <c r="H261" s="369"/>
      <c r="I261" s="470"/>
      <c r="J261" s="369"/>
      <c r="K261" s="453"/>
      <c r="L261" s="454"/>
      <c r="M261" s="369"/>
      <c r="N261" s="369"/>
      <c r="O261" s="455"/>
    </row>
    <row r="262" spans="1:15" x14ac:dyDescent="0.2">
      <c r="A262" s="369"/>
      <c r="B262" s="369"/>
      <c r="C262" s="369"/>
      <c r="D262" s="369"/>
      <c r="E262" s="369"/>
      <c r="F262" s="452"/>
      <c r="G262" s="369"/>
      <c r="H262" s="369"/>
      <c r="I262" s="470"/>
      <c r="J262" s="369"/>
      <c r="K262" s="453"/>
      <c r="L262" s="454"/>
      <c r="M262" s="369"/>
      <c r="N262" s="369"/>
      <c r="O262" s="455"/>
    </row>
    <row r="263" spans="1:15" x14ac:dyDescent="0.2">
      <c r="A263" s="369"/>
      <c r="B263" s="369"/>
      <c r="C263" s="369"/>
      <c r="D263" s="369"/>
      <c r="E263" s="369"/>
      <c r="F263" s="452"/>
      <c r="G263" s="369"/>
      <c r="H263" s="369"/>
      <c r="I263" s="470"/>
      <c r="J263" s="369"/>
      <c r="K263" s="453"/>
      <c r="L263" s="454"/>
      <c r="M263" s="369"/>
      <c r="N263" s="369"/>
      <c r="O263" s="455"/>
    </row>
    <row r="264" spans="1:15" x14ac:dyDescent="0.2">
      <c r="A264" s="369"/>
      <c r="B264" s="369"/>
      <c r="C264" s="369"/>
      <c r="D264" s="369"/>
      <c r="E264" s="369"/>
      <c r="F264" s="452"/>
      <c r="G264" s="369"/>
      <c r="H264" s="369"/>
      <c r="I264" s="470"/>
      <c r="J264" s="369"/>
      <c r="K264" s="453"/>
      <c r="L264" s="454"/>
      <c r="M264" s="369"/>
      <c r="N264" s="369"/>
      <c r="O264" s="455"/>
    </row>
    <row r="265" spans="1:15" x14ac:dyDescent="0.2">
      <c r="A265" s="369"/>
      <c r="B265" s="369"/>
      <c r="C265" s="369"/>
      <c r="D265" s="369"/>
      <c r="E265" s="369"/>
      <c r="F265" s="452"/>
      <c r="G265" s="369"/>
      <c r="H265" s="369"/>
      <c r="I265" s="470"/>
      <c r="J265" s="369"/>
      <c r="K265" s="453"/>
      <c r="L265" s="454"/>
      <c r="M265" s="369"/>
      <c r="N265" s="369"/>
      <c r="O265" s="455"/>
    </row>
    <row r="266" spans="1:15" x14ac:dyDescent="0.2">
      <c r="A266" s="369"/>
      <c r="B266" s="369"/>
      <c r="C266" s="369"/>
      <c r="D266" s="369"/>
      <c r="E266" s="369"/>
      <c r="F266" s="452"/>
      <c r="G266" s="369"/>
      <c r="H266" s="369"/>
      <c r="I266" s="470"/>
      <c r="J266" s="369"/>
      <c r="K266" s="453"/>
      <c r="L266" s="454"/>
      <c r="M266" s="369"/>
      <c r="N266" s="369"/>
      <c r="O266" s="455"/>
    </row>
    <row r="267" spans="1:15" x14ac:dyDescent="0.2">
      <c r="A267" s="369"/>
      <c r="B267" s="369"/>
      <c r="C267" s="369"/>
      <c r="D267" s="369"/>
      <c r="E267" s="369"/>
      <c r="F267" s="452"/>
      <c r="G267" s="369"/>
      <c r="H267" s="369"/>
      <c r="I267" s="470"/>
      <c r="J267" s="369"/>
      <c r="K267" s="453"/>
      <c r="L267" s="454"/>
      <c r="M267" s="369"/>
      <c r="N267" s="369"/>
      <c r="O267" s="455"/>
    </row>
    <row r="268" spans="1:15" x14ac:dyDescent="0.2">
      <c r="A268" s="369"/>
      <c r="B268" s="369"/>
      <c r="C268" s="369"/>
      <c r="D268" s="369"/>
      <c r="E268" s="369"/>
      <c r="F268" s="452"/>
      <c r="G268" s="369"/>
      <c r="H268" s="369"/>
      <c r="I268" s="470"/>
      <c r="J268" s="369"/>
      <c r="K268" s="453"/>
      <c r="L268" s="454"/>
      <c r="M268" s="369"/>
      <c r="N268" s="369"/>
      <c r="O268" s="455"/>
    </row>
    <row r="269" spans="1:15" x14ac:dyDescent="0.2">
      <c r="A269" s="369"/>
      <c r="B269" s="369"/>
      <c r="C269" s="369"/>
      <c r="D269" s="369"/>
      <c r="E269" s="369"/>
      <c r="F269" s="452"/>
      <c r="G269" s="369"/>
      <c r="H269" s="369"/>
      <c r="I269" s="470"/>
      <c r="J269" s="369"/>
      <c r="K269" s="453"/>
      <c r="L269" s="454"/>
      <c r="M269" s="369"/>
      <c r="N269" s="369"/>
      <c r="O269" s="455"/>
    </row>
    <row r="270" spans="1:15" x14ac:dyDescent="0.2">
      <c r="A270" s="369"/>
      <c r="B270" s="369"/>
      <c r="C270" s="369"/>
      <c r="D270" s="369"/>
      <c r="E270" s="369"/>
      <c r="F270" s="452"/>
      <c r="G270" s="369"/>
      <c r="H270" s="369"/>
      <c r="I270" s="470"/>
      <c r="J270" s="369"/>
      <c r="K270" s="453"/>
      <c r="L270" s="454"/>
      <c r="M270" s="369"/>
      <c r="N270" s="369"/>
      <c r="O270" s="455"/>
    </row>
    <row r="271" spans="1:15" x14ac:dyDescent="0.2">
      <c r="A271" s="369"/>
      <c r="B271" s="369"/>
      <c r="C271" s="369"/>
      <c r="D271" s="369"/>
      <c r="E271" s="369"/>
      <c r="F271" s="452"/>
      <c r="G271" s="369"/>
      <c r="H271" s="369"/>
      <c r="I271" s="470"/>
      <c r="J271" s="369"/>
      <c r="K271" s="453"/>
      <c r="L271" s="454"/>
      <c r="M271" s="369"/>
      <c r="N271" s="369"/>
      <c r="O271" s="455"/>
    </row>
    <row r="272" spans="1:15" x14ac:dyDescent="0.2">
      <c r="A272" s="369"/>
      <c r="B272" s="369"/>
      <c r="C272" s="369"/>
      <c r="D272" s="369"/>
      <c r="E272" s="369"/>
      <c r="F272" s="452"/>
      <c r="G272" s="369"/>
      <c r="H272" s="369"/>
      <c r="I272" s="470"/>
      <c r="J272" s="369"/>
      <c r="K272" s="453"/>
      <c r="L272" s="454"/>
      <c r="M272" s="369"/>
      <c r="N272" s="369"/>
      <c r="O272" s="455"/>
    </row>
    <row r="273" spans="1:15" x14ac:dyDescent="0.2">
      <c r="A273" s="369"/>
      <c r="B273" s="369"/>
      <c r="C273" s="369"/>
      <c r="D273" s="369"/>
      <c r="E273" s="369"/>
      <c r="F273" s="452"/>
      <c r="G273" s="369"/>
      <c r="H273" s="369"/>
      <c r="I273" s="470"/>
      <c r="J273" s="369"/>
      <c r="K273" s="453"/>
      <c r="L273" s="454"/>
      <c r="M273" s="369"/>
      <c r="N273" s="369"/>
      <c r="O273" s="455"/>
    </row>
    <row r="274" spans="1:15" x14ac:dyDescent="0.2">
      <c r="A274" s="369"/>
      <c r="B274" s="369"/>
      <c r="C274" s="369"/>
      <c r="D274" s="369"/>
      <c r="E274" s="369"/>
      <c r="F274" s="452"/>
      <c r="G274" s="369"/>
      <c r="H274" s="369"/>
      <c r="I274" s="470"/>
      <c r="J274" s="369"/>
      <c r="K274" s="453"/>
      <c r="L274" s="454"/>
      <c r="M274" s="369"/>
      <c r="N274" s="369"/>
      <c r="O274" s="455"/>
    </row>
    <row r="275" spans="1:15" x14ac:dyDescent="0.2">
      <c r="A275" s="369"/>
      <c r="B275" s="369"/>
      <c r="C275" s="369"/>
      <c r="D275" s="369"/>
      <c r="E275" s="369"/>
      <c r="F275" s="452"/>
      <c r="G275" s="369"/>
      <c r="H275" s="369"/>
      <c r="I275" s="470"/>
      <c r="J275" s="369"/>
      <c r="K275" s="453"/>
      <c r="L275" s="454"/>
      <c r="M275" s="369"/>
      <c r="N275" s="369"/>
      <c r="O275" s="455"/>
    </row>
    <row r="276" spans="1:15" x14ac:dyDescent="0.2">
      <c r="A276" s="369"/>
      <c r="B276" s="369"/>
      <c r="C276" s="369"/>
      <c r="D276" s="369"/>
      <c r="E276" s="369"/>
      <c r="F276" s="452"/>
      <c r="G276" s="369"/>
      <c r="H276" s="369"/>
      <c r="I276" s="470"/>
      <c r="J276" s="369"/>
      <c r="K276" s="453"/>
      <c r="L276" s="454"/>
      <c r="M276" s="369"/>
      <c r="N276" s="369"/>
      <c r="O276" s="455"/>
    </row>
    <row r="277" spans="1:15" x14ac:dyDescent="0.2">
      <c r="A277" s="369"/>
      <c r="B277" s="369"/>
      <c r="C277" s="369"/>
      <c r="D277" s="369"/>
      <c r="E277" s="369"/>
      <c r="F277" s="452"/>
      <c r="G277" s="369"/>
      <c r="H277" s="369"/>
      <c r="I277" s="470"/>
      <c r="J277" s="369"/>
      <c r="K277" s="453"/>
      <c r="L277" s="454"/>
      <c r="M277" s="369"/>
      <c r="N277" s="369"/>
      <c r="O277" s="455"/>
    </row>
    <row r="278" spans="1:15" x14ac:dyDescent="0.2">
      <c r="A278" s="369"/>
      <c r="B278" s="369"/>
      <c r="C278" s="369"/>
      <c r="D278" s="369"/>
      <c r="E278" s="369"/>
      <c r="F278" s="452"/>
      <c r="G278" s="369"/>
      <c r="H278" s="369"/>
      <c r="I278" s="470"/>
      <c r="J278" s="369"/>
      <c r="K278" s="453"/>
      <c r="L278" s="454"/>
      <c r="M278" s="369"/>
      <c r="N278" s="369"/>
      <c r="O278" s="455"/>
    </row>
    <row r="279" spans="1:15" x14ac:dyDescent="0.2">
      <c r="A279" s="369"/>
      <c r="B279" s="369"/>
      <c r="C279" s="369"/>
      <c r="D279" s="369"/>
      <c r="E279" s="369"/>
      <c r="F279" s="452"/>
      <c r="G279" s="369"/>
      <c r="H279" s="369"/>
      <c r="I279" s="470"/>
      <c r="J279" s="369"/>
      <c r="K279" s="453"/>
      <c r="L279" s="454"/>
      <c r="M279" s="369"/>
      <c r="N279" s="369"/>
      <c r="O279" s="455"/>
    </row>
    <row r="280" spans="1:15" x14ac:dyDescent="0.2">
      <c r="A280" s="369"/>
      <c r="B280" s="369"/>
      <c r="C280" s="369"/>
      <c r="D280" s="369"/>
      <c r="E280" s="369"/>
      <c r="F280" s="452"/>
      <c r="G280" s="369"/>
      <c r="H280" s="369"/>
      <c r="I280" s="470"/>
      <c r="J280" s="369"/>
      <c r="K280" s="453"/>
      <c r="L280" s="454"/>
      <c r="M280" s="369"/>
      <c r="N280" s="369"/>
      <c r="O280" s="455"/>
    </row>
    <row r="281" spans="1:15" x14ac:dyDescent="0.2">
      <c r="A281" s="369"/>
      <c r="B281" s="369"/>
      <c r="C281" s="369"/>
      <c r="D281" s="369"/>
      <c r="E281" s="369"/>
      <c r="F281" s="452"/>
      <c r="G281" s="369"/>
      <c r="H281" s="369"/>
      <c r="I281" s="470"/>
      <c r="J281" s="369"/>
      <c r="K281" s="453"/>
      <c r="L281" s="454"/>
      <c r="M281" s="369"/>
      <c r="N281" s="369"/>
      <c r="O281" s="455"/>
    </row>
    <row r="282" spans="1:15" x14ac:dyDescent="0.2">
      <c r="A282" s="369"/>
      <c r="B282" s="369"/>
      <c r="C282" s="369"/>
      <c r="D282" s="369"/>
      <c r="E282" s="369"/>
      <c r="F282" s="452"/>
      <c r="G282" s="369"/>
      <c r="H282" s="369"/>
      <c r="I282" s="470"/>
      <c r="J282" s="369"/>
      <c r="K282" s="453"/>
      <c r="L282" s="454"/>
      <c r="M282" s="369"/>
      <c r="N282" s="369"/>
      <c r="O282" s="455"/>
    </row>
    <row r="283" spans="1:15" x14ac:dyDescent="0.2">
      <c r="A283" s="369"/>
      <c r="B283" s="369"/>
      <c r="C283" s="369"/>
      <c r="D283" s="369"/>
      <c r="E283" s="369"/>
      <c r="F283" s="452"/>
      <c r="G283" s="369"/>
      <c r="H283" s="369"/>
      <c r="I283" s="470"/>
      <c r="J283" s="369"/>
      <c r="K283" s="453"/>
      <c r="L283" s="454"/>
      <c r="M283" s="369"/>
      <c r="N283" s="369"/>
      <c r="O283" s="455"/>
    </row>
    <row r="284" spans="1:15" x14ac:dyDescent="0.2">
      <c r="A284" s="369"/>
      <c r="B284" s="369"/>
      <c r="C284" s="369"/>
      <c r="D284" s="369"/>
      <c r="E284" s="369"/>
      <c r="F284" s="452"/>
      <c r="G284" s="369"/>
      <c r="H284" s="369"/>
      <c r="I284" s="470"/>
      <c r="J284" s="369"/>
      <c r="K284" s="453"/>
      <c r="L284" s="454"/>
      <c r="M284" s="369"/>
      <c r="N284" s="369"/>
      <c r="O284" s="455"/>
    </row>
    <row r="285" spans="1:15" x14ac:dyDescent="0.2">
      <c r="A285" s="369"/>
      <c r="B285" s="369"/>
      <c r="C285" s="369"/>
      <c r="D285" s="369"/>
      <c r="E285" s="369"/>
      <c r="F285" s="452"/>
      <c r="G285" s="369"/>
      <c r="H285" s="369"/>
      <c r="I285" s="470"/>
      <c r="J285" s="369"/>
      <c r="K285" s="453"/>
      <c r="L285" s="454"/>
      <c r="M285" s="369"/>
      <c r="N285" s="369"/>
      <c r="O285" s="455"/>
    </row>
    <row r="286" spans="1:15" x14ac:dyDescent="0.2">
      <c r="A286" s="369"/>
      <c r="B286" s="369"/>
      <c r="C286" s="369"/>
      <c r="D286" s="369"/>
      <c r="E286" s="369"/>
      <c r="F286" s="452"/>
      <c r="G286" s="369"/>
      <c r="H286" s="369"/>
      <c r="I286" s="470"/>
      <c r="J286" s="369"/>
      <c r="K286" s="453"/>
      <c r="L286" s="454"/>
      <c r="M286" s="369"/>
      <c r="N286" s="369"/>
      <c r="O286" s="455"/>
    </row>
    <row r="287" spans="1:15" x14ac:dyDescent="0.2">
      <c r="A287" s="369"/>
      <c r="B287" s="369"/>
      <c r="C287" s="369"/>
      <c r="D287" s="369"/>
      <c r="E287" s="369"/>
      <c r="F287" s="452"/>
      <c r="G287" s="369"/>
      <c r="H287" s="369"/>
      <c r="I287" s="470"/>
      <c r="J287" s="369"/>
      <c r="K287" s="453"/>
      <c r="L287" s="454"/>
      <c r="M287" s="369"/>
      <c r="N287" s="369"/>
      <c r="O287" s="455"/>
    </row>
    <row r="288" spans="1:15" x14ac:dyDescent="0.2">
      <c r="A288" s="369"/>
      <c r="B288" s="369"/>
      <c r="C288" s="369"/>
      <c r="D288" s="369"/>
      <c r="E288" s="369"/>
      <c r="F288" s="452"/>
      <c r="G288" s="369"/>
      <c r="H288" s="369"/>
      <c r="I288" s="470"/>
      <c r="J288" s="369"/>
      <c r="K288" s="453"/>
      <c r="L288" s="454"/>
      <c r="M288" s="369"/>
      <c r="N288" s="369"/>
      <c r="O288" s="455"/>
    </row>
    <row r="289" spans="1:15" x14ac:dyDescent="0.2">
      <c r="A289" s="369"/>
      <c r="B289" s="369"/>
      <c r="C289" s="369"/>
      <c r="D289" s="369"/>
      <c r="E289" s="369"/>
      <c r="F289" s="452"/>
      <c r="G289" s="369"/>
      <c r="H289" s="369"/>
      <c r="I289" s="470"/>
      <c r="J289" s="369"/>
      <c r="K289" s="453"/>
      <c r="L289" s="454"/>
      <c r="M289" s="369"/>
      <c r="N289" s="369"/>
      <c r="O289" s="455"/>
    </row>
    <row r="290" spans="1:15" x14ac:dyDescent="0.2">
      <c r="A290" s="369"/>
      <c r="B290" s="369"/>
      <c r="C290" s="369"/>
      <c r="D290" s="369"/>
      <c r="E290" s="369"/>
      <c r="F290" s="452"/>
      <c r="G290" s="369"/>
      <c r="H290" s="369"/>
      <c r="I290" s="470"/>
      <c r="J290" s="369"/>
      <c r="K290" s="453"/>
      <c r="L290" s="454"/>
      <c r="M290" s="369"/>
      <c r="N290" s="369"/>
      <c r="O290" s="455"/>
    </row>
    <row r="291" spans="1:15" x14ac:dyDescent="0.2">
      <c r="A291" s="369"/>
      <c r="B291" s="369"/>
      <c r="C291" s="369"/>
      <c r="D291" s="369"/>
      <c r="E291" s="369"/>
      <c r="F291" s="452"/>
      <c r="G291" s="369"/>
      <c r="H291" s="369"/>
      <c r="I291" s="470"/>
      <c r="J291" s="369"/>
      <c r="K291" s="453"/>
      <c r="L291" s="454"/>
      <c r="M291" s="369"/>
      <c r="N291" s="369"/>
      <c r="O291" s="455"/>
    </row>
    <row r="292" spans="1:15" x14ac:dyDescent="0.2">
      <c r="A292" s="369"/>
      <c r="B292" s="369"/>
      <c r="C292" s="369"/>
      <c r="D292" s="369"/>
      <c r="E292" s="369"/>
      <c r="F292" s="452"/>
      <c r="G292" s="369"/>
      <c r="H292" s="369"/>
      <c r="I292" s="470"/>
      <c r="J292" s="369"/>
      <c r="K292" s="453"/>
      <c r="L292" s="454"/>
      <c r="M292" s="369"/>
      <c r="N292" s="369"/>
      <c r="O292" s="455"/>
    </row>
    <row r="293" spans="1:15" x14ac:dyDescent="0.2">
      <c r="A293" s="369"/>
      <c r="B293" s="369"/>
      <c r="C293" s="369"/>
      <c r="D293" s="369"/>
      <c r="E293" s="369"/>
      <c r="F293" s="452"/>
      <c r="G293" s="369"/>
      <c r="H293" s="369"/>
      <c r="I293" s="470"/>
      <c r="J293" s="369"/>
      <c r="K293" s="453"/>
      <c r="L293" s="454"/>
      <c r="M293" s="369"/>
      <c r="N293" s="369"/>
      <c r="O293" s="455"/>
    </row>
    <row r="294" spans="1:15" x14ac:dyDescent="0.2">
      <c r="A294" s="369"/>
      <c r="B294" s="369"/>
      <c r="C294" s="369"/>
      <c r="D294" s="369"/>
      <c r="E294" s="369"/>
      <c r="F294" s="452"/>
      <c r="G294" s="369"/>
      <c r="H294" s="369"/>
      <c r="I294" s="470"/>
      <c r="J294" s="369"/>
      <c r="K294" s="453"/>
      <c r="L294" s="454"/>
      <c r="M294" s="369"/>
      <c r="N294" s="369"/>
      <c r="O294" s="455"/>
    </row>
    <row r="295" spans="1:15" x14ac:dyDescent="0.2">
      <c r="A295" s="369"/>
      <c r="B295" s="369"/>
      <c r="C295" s="369"/>
      <c r="D295" s="369"/>
      <c r="E295" s="369"/>
      <c r="F295" s="452"/>
      <c r="G295" s="369"/>
      <c r="H295" s="369"/>
      <c r="I295" s="470"/>
      <c r="J295" s="369"/>
      <c r="K295" s="453"/>
      <c r="L295" s="454"/>
      <c r="M295" s="369"/>
      <c r="N295" s="369"/>
      <c r="O295" s="455"/>
    </row>
    <row r="296" spans="1:15" x14ac:dyDescent="0.2">
      <c r="A296" s="369"/>
      <c r="B296" s="369"/>
      <c r="C296" s="369"/>
      <c r="D296" s="369"/>
      <c r="E296" s="369"/>
      <c r="F296" s="452"/>
      <c r="G296" s="369"/>
      <c r="H296" s="369"/>
      <c r="I296" s="470"/>
      <c r="J296" s="369"/>
      <c r="K296" s="453"/>
      <c r="L296" s="454"/>
      <c r="M296" s="369"/>
      <c r="N296" s="369"/>
      <c r="O296" s="455"/>
    </row>
    <row r="297" spans="1:15" x14ac:dyDescent="0.2">
      <c r="A297" s="369"/>
      <c r="B297" s="369"/>
      <c r="C297" s="369"/>
      <c r="D297" s="369"/>
      <c r="E297" s="369"/>
      <c r="F297" s="452"/>
      <c r="G297" s="369"/>
      <c r="H297" s="369"/>
      <c r="I297" s="470"/>
      <c r="J297" s="369"/>
      <c r="K297" s="453"/>
      <c r="L297" s="454"/>
      <c r="M297" s="369"/>
      <c r="N297" s="369"/>
      <c r="O297" s="455"/>
    </row>
    <row r="298" spans="1:15" x14ac:dyDescent="0.2">
      <c r="A298" s="369"/>
      <c r="B298" s="369"/>
      <c r="C298" s="369"/>
      <c r="D298" s="369"/>
      <c r="E298" s="369"/>
      <c r="F298" s="452"/>
      <c r="G298" s="369"/>
      <c r="H298" s="369"/>
      <c r="I298" s="470"/>
      <c r="J298" s="369"/>
      <c r="K298" s="453"/>
      <c r="L298" s="454"/>
      <c r="M298" s="369"/>
      <c r="N298" s="369"/>
      <c r="O298" s="455"/>
    </row>
    <row r="299" spans="1:15" x14ac:dyDescent="0.2">
      <c r="A299" s="369"/>
      <c r="B299" s="369"/>
      <c r="C299" s="369"/>
      <c r="D299" s="369"/>
      <c r="E299" s="369"/>
      <c r="F299" s="452"/>
      <c r="G299" s="369"/>
      <c r="H299" s="369"/>
      <c r="I299" s="470"/>
      <c r="J299" s="369"/>
      <c r="K299" s="453"/>
      <c r="L299" s="454"/>
      <c r="M299" s="369"/>
      <c r="N299" s="369"/>
      <c r="O299" s="455"/>
    </row>
    <row r="300" spans="1:15" x14ac:dyDescent="0.2">
      <c r="A300" s="369"/>
      <c r="B300" s="369"/>
      <c r="C300" s="369"/>
      <c r="D300" s="369"/>
      <c r="E300" s="369"/>
      <c r="F300" s="452"/>
      <c r="G300" s="369"/>
      <c r="H300" s="369"/>
      <c r="I300" s="470"/>
      <c r="J300" s="369"/>
      <c r="K300" s="453"/>
      <c r="L300" s="454"/>
      <c r="M300" s="369"/>
      <c r="N300" s="369"/>
      <c r="O300" s="455"/>
    </row>
    <row r="301" spans="1:15" x14ac:dyDescent="0.2">
      <c r="A301" s="369"/>
      <c r="B301" s="369"/>
      <c r="C301" s="369"/>
      <c r="D301" s="369"/>
      <c r="E301" s="369"/>
      <c r="F301" s="452"/>
      <c r="G301" s="369"/>
      <c r="H301" s="369"/>
      <c r="I301" s="470"/>
      <c r="J301" s="369"/>
      <c r="K301" s="453"/>
      <c r="L301" s="454"/>
      <c r="M301" s="369"/>
      <c r="N301" s="369"/>
      <c r="O301" s="455"/>
    </row>
    <row r="302" spans="1:15" x14ac:dyDescent="0.2">
      <c r="A302" s="369"/>
      <c r="B302" s="369"/>
      <c r="C302" s="369"/>
      <c r="D302" s="369"/>
      <c r="E302" s="369"/>
      <c r="F302" s="452"/>
      <c r="G302" s="369"/>
      <c r="H302" s="369"/>
      <c r="I302" s="470"/>
      <c r="J302" s="369"/>
      <c r="K302" s="453"/>
      <c r="L302" s="454"/>
      <c r="M302" s="369"/>
      <c r="N302" s="369"/>
      <c r="O302" s="455"/>
    </row>
    <row r="303" spans="1:15" x14ac:dyDescent="0.2">
      <c r="A303" s="369"/>
      <c r="B303" s="369"/>
      <c r="C303" s="369"/>
      <c r="D303" s="369"/>
      <c r="E303" s="369"/>
      <c r="F303" s="452"/>
      <c r="G303" s="369"/>
      <c r="H303" s="369"/>
      <c r="I303" s="470"/>
      <c r="J303" s="369"/>
      <c r="K303" s="453"/>
      <c r="L303" s="454"/>
      <c r="M303" s="369"/>
      <c r="N303" s="369"/>
      <c r="O303" s="455"/>
    </row>
    <row r="304" spans="1:15" x14ac:dyDescent="0.2">
      <c r="A304" s="369"/>
      <c r="B304" s="369"/>
      <c r="C304" s="369"/>
      <c r="D304" s="369"/>
      <c r="E304" s="369"/>
      <c r="F304" s="452"/>
      <c r="G304" s="369"/>
      <c r="H304" s="369"/>
      <c r="I304" s="470"/>
      <c r="J304" s="369"/>
      <c r="K304" s="453"/>
      <c r="L304" s="454"/>
      <c r="M304" s="369"/>
      <c r="N304" s="369"/>
      <c r="O304" s="455"/>
    </row>
    <row r="305" spans="1:15" x14ac:dyDescent="0.2">
      <c r="A305" s="369"/>
      <c r="B305" s="369"/>
      <c r="C305" s="369"/>
      <c r="D305" s="369"/>
      <c r="E305" s="369"/>
      <c r="F305" s="452"/>
      <c r="G305" s="369"/>
      <c r="H305" s="369"/>
      <c r="I305" s="470"/>
      <c r="J305" s="369"/>
      <c r="K305" s="453"/>
      <c r="L305" s="454"/>
      <c r="M305" s="369"/>
      <c r="N305" s="369"/>
      <c r="O305" s="455"/>
    </row>
    <row r="306" spans="1:15" x14ac:dyDescent="0.2">
      <c r="A306" s="369"/>
      <c r="B306" s="369"/>
      <c r="C306" s="369"/>
      <c r="D306" s="369"/>
      <c r="E306" s="369"/>
      <c r="F306" s="452"/>
      <c r="G306" s="369"/>
      <c r="H306" s="369"/>
      <c r="I306" s="470"/>
      <c r="J306" s="369"/>
      <c r="K306" s="453"/>
      <c r="L306" s="454"/>
      <c r="M306" s="369"/>
      <c r="N306" s="369"/>
      <c r="O306" s="455"/>
    </row>
    <row r="307" spans="1:15" x14ac:dyDescent="0.2">
      <c r="A307" s="369"/>
      <c r="B307" s="369"/>
      <c r="C307" s="369"/>
      <c r="D307" s="369"/>
      <c r="E307" s="369"/>
      <c r="F307" s="452"/>
      <c r="G307" s="369"/>
      <c r="H307" s="369"/>
      <c r="I307" s="470"/>
      <c r="J307" s="369"/>
      <c r="K307" s="453"/>
      <c r="L307" s="454"/>
      <c r="M307" s="369"/>
      <c r="N307" s="369"/>
      <c r="O307" s="455"/>
    </row>
    <row r="308" spans="1:15" x14ac:dyDescent="0.2">
      <c r="A308" s="369"/>
      <c r="B308" s="369"/>
      <c r="C308" s="369"/>
      <c r="D308" s="369"/>
      <c r="E308" s="369"/>
      <c r="F308" s="452"/>
      <c r="G308" s="369"/>
      <c r="H308" s="369"/>
      <c r="I308" s="470"/>
      <c r="J308" s="369"/>
      <c r="K308" s="453"/>
      <c r="L308" s="454"/>
      <c r="M308" s="369"/>
      <c r="N308" s="369"/>
      <c r="O308" s="455"/>
    </row>
    <row r="309" spans="1:15" x14ac:dyDescent="0.2">
      <c r="A309" s="369"/>
      <c r="B309" s="369"/>
      <c r="C309" s="369"/>
      <c r="D309" s="369"/>
      <c r="E309" s="369"/>
      <c r="F309" s="452"/>
      <c r="G309" s="369"/>
      <c r="H309" s="369"/>
      <c r="I309" s="470"/>
      <c r="J309" s="369"/>
      <c r="K309" s="453"/>
      <c r="L309" s="454"/>
      <c r="M309" s="369"/>
      <c r="N309" s="369"/>
      <c r="O309" s="455"/>
    </row>
    <row r="310" spans="1:15" x14ac:dyDescent="0.2">
      <c r="A310" s="369"/>
      <c r="B310" s="369"/>
      <c r="C310" s="369"/>
      <c r="D310" s="369"/>
      <c r="E310" s="369"/>
      <c r="F310" s="452"/>
      <c r="G310" s="369"/>
      <c r="H310" s="369"/>
      <c r="I310" s="470"/>
      <c r="J310" s="369"/>
      <c r="K310" s="453"/>
      <c r="L310" s="454"/>
      <c r="M310" s="369"/>
      <c r="N310" s="369"/>
      <c r="O310" s="455"/>
    </row>
    <row r="311" spans="1:15" x14ac:dyDescent="0.2">
      <c r="A311" s="369"/>
      <c r="B311" s="369"/>
      <c r="C311" s="369"/>
      <c r="D311" s="369"/>
      <c r="E311" s="369"/>
      <c r="F311" s="452"/>
      <c r="G311" s="369"/>
      <c r="H311" s="369"/>
      <c r="I311" s="470"/>
      <c r="J311" s="369"/>
      <c r="K311" s="453"/>
      <c r="L311" s="454"/>
      <c r="M311" s="369"/>
      <c r="N311" s="369"/>
      <c r="O311" s="455"/>
    </row>
    <row r="312" spans="1:15" x14ac:dyDescent="0.2">
      <c r="A312" s="369"/>
      <c r="B312" s="369"/>
      <c r="C312" s="369"/>
      <c r="D312" s="369"/>
      <c r="E312" s="369"/>
      <c r="F312" s="452"/>
      <c r="G312" s="369"/>
      <c r="H312" s="369"/>
      <c r="I312" s="470"/>
      <c r="J312" s="369"/>
      <c r="K312" s="453"/>
      <c r="L312" s="454"/>
      <c r="M312" s="369"/>
      <c r="N312" s="369"/>
      <c r="O312" s="455"/>
    </row>
    <row r="313" spans="1:15" x14ac:dyDescent="0.2">
      <c r="A313" s="369"/>
      <c r="B313" s="369"/>
      <c r="C313" s="369"/>
      <c r="D313" s="369"/>
      <c r="E313" s="369"/>
      <c r="F313" s="452"/>
      <c r="G313" s="369"/>
      <c r="H313" s="369"/>
      <c r="I313" s="470"/>
      <c r="J313" s="369"/>
      <c r="K313" s="453"/>
      <c r="L313" s="454"/>
      <c r="M313" s="369"/>
      <c r="N313" s="369"/>
      <c r="O313" s="455"/>
    </row>
    <row r="314" spans="1:15" x14ac:dyDescent="0.2">
      <c r="A314" s="369"/>
      <c r="B314" s="369"/>
      <c r="C314" s="369"/>
      <c r="D314" s="369"/>
      <c r="E314" s="369"/>
      <c r="F314" s="452"/>
      <c r="G314" s="369"/>
      <c r="H314" s="369"/>
      <c r="I314" s="470"/>
      <c r="J314" s="369"/>
      <c r="K314" s="453"/>
      <c r="L314" s="454"/>
      <c r="M314" s="369"/>
      <c r="N314" s="369"/>
      <c r="O314" s="455"/>
    </row>
    <row r="315" spans="1:15" x14ac:dyDescent="0.2">
      <c r="A315" s="369"/>
      <c r="B315" s="369"/>
      <c r="C315" s="369"/>
      <c r="D315" s="369"/>
      <c r="E315" s="369"/>
      <c r="F315" s="452"/>
      <c r="G315" s="369"/>
      <c r="H315" s="369"/>
      <c r="I315" s="470"/>
      <c r="J315" s="369"/>
      <c r="K315" s="453"/>
      <c r="L315" s="454"/>
      <c r="M315" s="369"/>
      <c r="N315" s="369"/>
      <c r="O315" s="455"/>
    </row>
    <row r="316" spans="1:15" x14ac:dyDescent="0.2">
      <c r="A316" s="369"/>
      <c r="B316" s="369"/>
      <c r="C316" s="369"/>
      <c r="D316" s="369"/>
      <c r="E316" s="369"/>
      <c r="F316" s="452"/>
      <c r="G316" s="369"/>
      <c r="H316" s="369"/>
      <c r="I316" s="470"/>
      <c r="J316" s="369"/>
      <c r="K316" s="453"/>
      <c r="L316" s="454"/>
      <c r="M316" s="369"/>
      <c r="N316" s="369"/>
      <c r="O316" s="455"/>
    </row>
    <row r="317" spans="1:15" x14ac:dyDescent="0.2">
      <c r="A317" s="369"/>
      <c r="B317" s="369"/>
      <c r="C317" s="369"/>
      <c r="D317" s="369"/>
      <c r="E317" s="369"/>
      <c r="F317" s="452"/>
      <c r="G317" s="369"/>
      <c r="H317" s="369"/>
      <c r="I317" s="470"/>
      <c r="J317" s="369"/>
      <c r="K317" s="453"/>
      <c r="L317" s="454"/>
      <c r="M317" s="369"/>
      <c r="N317" s="369"/>
      <c r="O317" s="455"/>
    </row>
    <row r="318" spans="1:15" x14ac:dyDescent="0.2">
      <c r="A318" s="369"/>
      <c r="B318" s="369"/>
      <c r="C318" s="369"/>
      <c r="D318" s="369"/>
      <c r="E318" s="369"/>
      <c r="F318" s="452"/>
      <c r="G318" s="369"/>
      <c r="H318" s="369"/>
      <c r="I318" s="470"/>
      <c r="J318" s="369"/>
      <c r="K318" s="453"/>
      <c r="L318" s="454"/>
      <c r="M318" s="369"/>
      <c r="N318" s="369"/>
      <c r="O318" s="455"/>
    </row>
    <row r="319" spans="1:15" x14ac:dyDescent="0.2">
      <c r="A319" s="369"/>
      <c r="B319" s="369"/>
      <c r="C319" s="369"/>
      <c r="D319" s="369"/>
      <c r="E319" s="369"/>
      <c r="F319" s="452"/>
      <c r="G319" s="369"/>
      <c r="H319" s="369"/>
      <c r="I319" s="470"/>
      <c r="J319" s="369"/>
      <c r="K319" s="453"/>
      <c r="L319" s="454"/>
      <c r="M319" s="369"/>
      <c r="N319" s="369"/>
      <c r="O319" s="455"/>
    </row>
    <row r="320" spans="1:15" x14ac:dyDescent="0.2">
      <c r="A320" s="369"/>
      <c r="B320" s="369"/>
      <c r="C320" s="369"/>
      <c r="D320" s="369"/>
      <c r="E320" s="369"/>
      <c r="F320" s="452"/>
      <c r="G320" s="369"/>
      <c r="H320" s="369"/>
      <c r="I320" s="470"/>
      <c r="J320" s="369"/>
      <c r="K320" s="453"/>
      <c r="L320" s="454"/>
      <c r="M320" s="369"/>
      <c r="N320" s="369"/>
      <c r="O320" s="455"/>
    </row>
    <row r="321" spans="1:15" x14ac:dyDescent="0.2">
      <c r="A321" s="369"/>
      <c r="B321" s="369"/>
      <c r="C321" s="369"/>
      <c r="D321" s="369"/>
      <c r="E321" s="369"/>
      <c r="F321" s="452"/>
      <c r="G321" s="369"/>
      <c r="H321" s="369"/>
      <c r="I321" s="470"/>
      <c r="J321" s="369"/>
      <c r="K321" s="453"/>
      <c r="L321" s="454"/>
      <c r="M321" s="369"/>
      <c r="N321" s="369"/>
      <c r="O321" s="455"/>
    </row>
    <row r="322" spans="1:15" x14ac:dyDescent="0.2">
      <c r="A322" s="369"/>
      <c r="B322" s="369"/>
      <c r="C322" s="369"/>
      <c r="D322" s="369"/>
      <c r="E322" s="369"/>
      <c r="F322" s="452"/>
      <c r="G322" s="369"/>
      <c r="H322" s="369"/>
      <c r="I322" s="470"/>
      <c r="J322" s="369"/>
      <c r="K322" s="453"/>
      <c r="L322" s="454"/>
      <c r="M322" s="369"/>
      <c r="N322" s="369"/>
      <c r="O322" s="455"/>
    </row>
    <row r="323" spans="1:15" x14ac:dyDescent="0.2">
      <c r="A323" s="369"/>
      <c r="B323" s="369"/>
      <c r="C323" s="369"/>
      <c r="D323" s="369"/>
      <c r="E323" s="369"/>
      <c r="F323" s="452"/>
      <c r="G323" s="369"/>
      <c r="H323" s="369"/>
      <c r="I323" s="470"/>
      <c r="J323" s="369"/>
      <c r="K323" s="453"/>
      <c r="L323" s="454"/>
      <c r="M323" s="369"/>
      <c r="N323" s="369"/>
      <c r="O323" s="455"/>
    </row>
    <row r="324" spans="1:15" x14ac:dyDescent="0.2">
      <c r="A324" s="369"/>
      <c r="B324" s="369"/>
      <c r="C324" s="369"/>
      <c r="D324" s="369"/>
      <c r="E324" s="369"/>
      <c r="F324" s="452"/>
      <c r="G324" s="369"/>
      <c r="H324" s="369"/>
      <c r="I324" s="470"/>
      <c r="J324" s="369"/>
      <c r="K324" s="453"/>
      <c r="L324" s="454"/>
      <c r="M324" s="369"/>
      <c r="N324" s="369"/>
      <c r="O324" s="455"/>
    </row>
    <row r="325" spans="1:15" x14ac:dyDescent="0.2">
      <c r="A325" s="369"/>
      <c r="B325" s="369"/>
      <c r="C325" s="369"/>
      <c r="D325" s="369"/>
      <c r="E325" s="369"/>
      <c r="F325" s="452"/>
      <c r="G325" s="369"/>
      <c r="H325" s="369"/>
      <c r="I325" s="470"/>
      <c r="J325" s="369"/>
      <c r="K325" s="453"/>
      <c r="L325" s="454"/>
      <c r="M325" s="369"/>
      <c r="N325" s="369"/>
      <c r="O325" s="455"/>
    </row>
    <row r="326" spans="1:15" x14ac:dyDescent="0.2">
      <c r="A326" s="369"/>
      <c r="B326" s="369"/>
      <c r="C326" s="369"/>
      <c r="D326" s="369"/>
      <c r="E326" s="369"/>
      <c r="F326" s="452"/>
      <c r="G326" s="369"/>
      <c r="H326" s="369"/>
      <c r="I326" s="470"/>
      <c r="J326" s="369"/>
      <c r="K326" s="453"/>
      <c r="L326" s="454"/>
      <c r="M326" s="369"/>
      <c r="N326" s="369"/>
      <c r="O326" s="455"/>
    </row>
    <row r="327" spans="1:15" x14ac:dyDescent="0.2">
      <c r="A327" s="369"/>
      <c r="B327" s="369"/>
      <c r="C327" s="369"/>
      <c r="D327" s="369"/>
      <c r="E327" s="369"/>
      <c r="F327" s="452"/>
      <c r="G327" s="369"/>
      <c r="H327" s="369"/>
      <c r="I327" s="470"/>
      <c r="J327" s="369"/>
      <c r="K327" s="453"/>
      <c r="L327" s="454"/>
      <c r="M327" s="369"/>
      <c r="N327" s="369"/>
      <c r="O327" s="455"/>
    </row>
    <row r="328" spans="1:15" x14ac:dyDescent="0.2">
      <c r="A328" s="369"/>
      <c r="B328" s="369"/>
      <c r="C328" s="369"/>
      <c r="D328" s="369"/>
      <c r="E328" s="369"/>
      <c r="F328" s="452"/>
      <c r="G328" s="369"/>
      <c r="H328" s="369"/>
      <c r="I328" s="470"/>
      <c r="J328" s="369"/>
      <c r="K328" s="453"/>
      <c r="L328" s="454"/>
      <c r="M328" s="369"/>
      <c r="N328" s="369"/>
      <c r="O328" s="455"/>
    </row>
    <row r="329" spans="1:15" x14ac:dyDescent="0.2">
      <c r="A329" s="369"/>
      <c r="B329" s="369"/>
      <c r="C329" s="369"/>
      <c r="D329" s="369"/>
      <c r="E329" s="369"/>
      <c r="F329" s="452"/>
      <c r="G329" s="369"/>
      <c r="H329" s="369"/>
      <c r="I329" s="470"/>
      <c r="J329" s="369"/>
      <c r="K329" s="453"/>
      <c r="L329" s="454"/>
      <c r="M329" s="369"/>
      <c r="N329" s="369"/>
      <c r="O329" s="455"/>
    </row>
    <row r="330" spans="1:15" x14ac:dyDescent="0.2">
      <c r="A330" s="369"/>
      <c r="B330" s="369"/>
      <c r="C330" s="369"/>
      <c r="D330" s="369"/>
      <c r="E330" s="369"/>
      <c r="F330" s="452"/>
      <c r="G330" s="369"/>
      <c r="H330" s="369"/>
      <c r="I330" s="470"/>
      <c r="J330" s="369"/>
      <c r="K330" s="453"/>
      <c r="L330" s="454"/>
      <c r="M330" s="369"/>
      <c r="N330" s="369"/>
      <c r="O330" s="455"/>
    </row>
    <row r="331" spans="1:15" x14ac:dyDescent="0.2">
      <c r="A331" s="369"/>
      <c r="B331" s="369"/>
      <c r="C331" s="369"/>
      <c r="D331" s="369"/>
      <c r="E331" s="369"/>
      <c r="F331" s="452"/>
      <c r="G331" s="369"/>
      <c r="H331" s="369"/>
      <c r="I331" s="470"/>
      <c r="J331" s="369"/>
      <c r="K331" s="453"/>
      <c r="L331" s="454"/>
      <c r="M331" s="369"/>
      <c r="N331" s="369"/>
      <c r="O331" s="455"/>
    </row>
    <row r="332" spans="1:15" x14ac:dyDescent="0.2">
      <c r="A332" s="369"/>
      <c r="B332" s="369"/>
      <c r="C332" s="369"/>
      <c r="D332" s="369"/>
      <c r="E332" s="369"/>
      <c r="F332" s="452"/>
      <c r="G332" s="369"/>
      <c r="H332" s="369"/>
      <c r="I332" s="470"/>
      <c r="J332" s="369"/>
      <c r="K332" s="453"/>
      <c r="L332" s="454"/>
      <c r="M332" s="369"/>
      <c r="N332" s="369"/>
      <c r="O332" s="455"/>
    </row>
    <row r="333" spans="1:15" x14ac:dyDescent="0.2">
      <c r="A333" s="369"/>
      <c r="B333" s="369"/>
      <c r="C333" s="369"/>
      <c r="D333" s="369"/>
      <c r="E333" s="369"/>
      <c r="F333" s="452"/>
      <c r="G333" s="369"/>
      <c r="H333" s="369"/>
      <c r="I333" s="470"/>
      <c r="J333" s="369"/>
      <c r="K333" s="453"/>
      <c r="L333" s="454"/>
      <c r="M333" s="369"/>
      <c r="N333" s="369"/>
      <c r="O333" s="455"/>
    </row>
    <row r="334" spans="1:15" x14ac:dyDescent="0.2">
      <c r="A334" s="369"/>
      <c r="B334" s="369"/>
      <c r="C334" s="369"/>
      <c r="D334" s="369"/>
      <c r="E334" s="369"/>
      <c r="F334" s="452"/>
      <c r="G334" s="369"/>
      <c r="H334" s="369"/>
      <c r="I334" s="470"/>
      <c r="J334" s="369"/>
      <c r="K334" s="453"/>
      <c r="L334" s="454"/>
      <c r="M334" s="369"/>
      <c r="N334" s="369"/>
      <c r="O334" s="455"/>
    </row>
    <row r="335" spans="1:15" x14ac:dyDescent="0.2">
      <c r="A335" s="369"/>
      <c r="B335" s="369"/>
      <c r="C335" s="369"/>
      <c r="D335" s="369"/>
      <c r="E335" s="369"/>
      <c r="F335" s="452"/>
      <c r="G335" s="369"/>
      <c r="H335" s="369"/>
      <c r="I335" s="470"/>
      <c r="J335" s="369"/>
      <c r="K335" s="453"/>
      <c r="L335" s="454"/>
      <c r="M335" s="369"/>
      <c r="N335" s="369"/>
      <c r="O335" s="455"/>
    </row>
    <row r="336" spans="1:15" x14ac:dyDescent="0.2">
      <c r="A336" s="369"/>
      <c r="B336" s="369"/>
      <c r="C336" s="369"/>
      <c r="D336" s="369"/>
      <c r="E336" s="369"/>
      <c r="F336" s="452"/>
      <c r="G336" s="369"/>
      <c r="H336" s="369"/>
      <c r="I336" s="470"/>
      <c r="J336" s="369"/>
      <c r="K336" s="453"/>
      <c r="L336" s="454"/>
      <c r="M336" s="369"/>
      <c r="N336" s="369"/>
      <c r="O336" s="455"/>
    </row>
    <row r="337" spans="1:15" x14ac:dyDescent="0.2">
      <c r="A337" s="369"/>
      <c r="B337" s="369"/>
      <c r="C337" s="369"/>
      <c r="D337" s="369"/>
      <c r="E337" s="369"/>
      <c r="F337" s="452"/>
      <c r="G337" s="369"/>
      <c r="H337" s="369"/>
      <c r="I337" s="470"/>
      <c r="J337" s="369"/>
      <c r="K337" s="453"/>
      <c r="L337" s="454"/>
      <c r="M337" s="369"/>
      <c r="N337" s="369"/>
      <c r="O337" s="455"/>
    </row>
    <row r="338" spans="1:15" x14ac:dyDescent="0.2">
      <c r="A338" s="369"/>
      <c r="B338" s="369"/>
      <c r="C338" s="369"/>
      <c r="D338" s="369"/>
      <c r="E338" s="369"/>
      <c r="F338" s="452"/>
      <c r="G338" s="369"/>
      <c r="H338" s="369"/>
      <c r="I338" s="470"/>
      <c r="J338" s="369"/>
      <c r="K338" s="453"/>
      <c r="L338" s="454"/>
      <c r="M338" s="369"/>
      <c r="N338" s="369"/>
      <c r="O338" s="455"/>
    </row>
    <row r="339" spans="1:15" x14ac:dyDescent="0.2">
      <c r="A339" s="369"/>
      <c r="B339" s="369"/>
      <c r="C339" s="369"/>
      <c r="D339" s="369"/>
      <c r="E339" s="369"/>
      <c r="F339" s="452"/>
      <c r="G339" s="369"/>
      <c r="H339" s="369"/>
      <c r="I339" s="470"/>
      <c r="J339" s="369"/>
      <c r="K339" s="453"/>
      <c r="L339" s="454"/>
      <c r="M339" s="369"/>
      <c r="N339" s="369"/>
      <c r="O339" s="455"/>
    </row>
    <row r="340" spans="1:15" x14ac:dyDescent="0.2">
      <c r="A340" s="369"/>
      <c r="B340" s="369"/>
      <c r="C340" s="369"/>
      <c r="D340" s="369"/>
      <c r="E340" s="369"/>
      <c r="F340" s="452"/>
      <c r="G340" s="369"/>
      <c r="H340" s="369"/>
      <c r="I340" s="470"/>
      <c r="J340" s="369"/>
      <c r="K340" s="453"/>
      <c r="L340" s="454"/>
      <c r="M340" s="369"/>
      <c r="N340" s="369"/>
      <c r="O340" s="455"/>
    </row>
    <row r="341" spans="1:15" x14ac:dyDescent="0.2">
      <c r="A341" s="369"/>
      <c r="B341" s="369"/>
      <c r="C341" s="369"/>
      <c r="D341" s="369"/>
      <c r="E341" s="369"/>
      <c r="F341" s="452"/>
      <c r="G341" s="369"/>
      <c r="H341" s="369"/>
      <c r="I341" s="470"/>
      <c r="J341" s="369"/>
      <c r="K341" s="453"/>
      <c r="L341" s="454"/>
      <c r="M341" s="369"/>
      <c r="N341" s="369"/>
      <c r="O341" s="455"/>
    </row>
    <row r="342" spans="1:15" x14ac:dyDescent="0.2">
      <c r="A342" s="369"/>
      <c r="B342" s="369"/>
      <c r="C342" s="369"/>
      <c r="D342" s="369"/>
      <c r="E342" s="369"/>
      <c r="F342" s="452"/>
      <c r="G342" s="369"/>
      <c r="H342" s="369"/>
      <c r="I342" s="470"/>
      <c r="J342" s="369"/>
      <c r="K342" s="453"/>
      <c r="L342" s="454"/>
      <c r="M342" s="369"/>
      <c r="N342" s="369"/>
      <c r="O342" s="455"/>
    </row>
    <row r="343" spans="1:15" x14ac:dyDescent="0.2">
      <c r="A343" s="369"/>
      <c r="B343" s="369"/>
      <c r="C343" s="369"/>
      <c r="D343" s="369"/>
      <c r="E343" s="369"/>
      <c r="F343" s="452"/>
      <c r="G343" s="369"/>
      <c r="H343" s="369"/>
      <c r="I343" s="470"/>
      <c r="J343" s="369"/>
      <c r="K343" s="453"/>
      <c r="L343" s="454"/>
      <c r="M343" s="369"/>
      <c r="N343" s="369"/>
      <c r="O343" s="455"/>
    </row>
    <row r="344" spans="1:15" x14ac:dyDescent="0.2">
      <c r="A344" s="369"/>
      <c r="B344" s="369"/>
      <c r="C344" s="369"/>
      <c r="D344" s="369"/>
      <c r="E344" s="369"/>
      <c r="F344" s="452"/>
      <c r="G344" s="369"/>
      <c r="H344" s="369"/>
      <c r="I344" s="470"/>
      <c r="J344" s="369"/>
      <c r="K344" s="453"/>
      <c r="L344" s="454"/>
      <c r="M344" s="369"/>
      <c r="N344" s="369"/>
      <c r="O344" s="455"/>
    </row>
    <row r="345" spans="1:15" x14ac:dyDescent="0.2">
      <c r="A345" s="369"/>
      <c r="B345" s="369"/>
      <c r="C345" s="369"/>
      <c r="D345" s="369"/>
      <c r="E345" s="369"/>
      <c r="F345" s="452"/>
      <c r="G345" s="369"/>
      <c r="H345" s="369"/>
      <c r="I345" s="470"/>
      <c r="J345" s="369"/>
      <c r="K345" s="453"/>
      <c r="L345" s="454"/>
      <c r="M345" s="369"/>
      <c r="N345" s="369"/>
      <c r="O345" s="455"/>
    </row>
    <row r="346" spans="1:15" x14ac:dyDescent="0.2">
      <c r="A346" s="369"/>
      <c r="B346" s="369"/>
      <c r="C346" s="369"/>
      <c r="D346" s="369"/>
      <c r="E346" s="369"/>
      <c r="F346" s="452"/>
      <c r="G346" s="369"/>
      <c r="H346" s="369"/>
      <c r="I346" s="470"/>
      <c r="J346" s="369"/>
      <c r="K346" s="453"/>
      <c r="L346" s="454"/>
      <c r="M346" s="369"/>
      <c r="N346" s="369"/>
      <c r="O346" s="455"/>
    </row>
    <row r="347" spans="1:15" x14ac:dyDescent="0.2">
      <c r="A347" s="369"/>
      <c r="B347" s="369"/>
      <c r="C347" s="369"/>
      <c r="D347" s="369"/>
      <c r="E347" s="369"/>
      <c r="F347" s="452"/>
      <c r="G347" s="369"/>
      <c r="H347" s="369"/>
      <c r="I347" s="470"/>
      <c r="J347" s="369"/>
      <c r="K347" s="453"/>
      <c r="L347" s="454"/>
      <c r="M347" s="369"/>
      <c r="N347" s="369"/>
      <c r="O347" s="455"/>
    </row>
    <row r="348" spans="1:15" x14ac:dyDescent="0.2">
      <c r="A348" s="369"/>
      <c r="B348" s="369"/>
      <c r="C348" s="369"/>
      <c r="D348" s="369"/>
      <c r="E348" s="369"/>
      <c r="F348" s="452"/>
      <c r="G348" s="369"/>
      <c r="H348" s="369"/>
      <c r="I348" s="470"/>
      <c r="J348" s="369"/>
      <c r="K348" s="453"/>
      <c r="L348" s="454"/>
      <c r="M348" s="369"/>
      <c r="N348" s="369"/>
      <c r="O348" s="455"/>
    </row>
    <row r="349" spans="1:15" x14ac:dyDescent="0.2">
      <c r="A349" s="369"/>
      <c r="B349" s="369"/>
      <c r="C349" s="369"/>
      <c r="D349" s="369"/>
      <c r="E349" s="369"/>
      <c r="F349" s="452"/>
      <c r="G349" s="369"/>
      <c r="H349" s="369"/>
      <c r="I349" s="470"/>
      <c r="J349" s="369"/>
      <c r="K349" s="453"/>
      <c r="L349" s="454"/>
      <c r="M349" s="369"/>
      <c r="N349" s="369"/>
      <c r="O349" s="455"/>
    </row>
    <row r="350" spans="1:15" x14ac:dyDescent="0.2">
      <c r="A350" s="369"/>
      <c r="B350" s="369"/>
      <c r="C350" s="369"/>
      <c r="D350" s="369"/>
      <c r="E350" s="369"/>
      <c r="F350" s="452"/>
      <c r="G350" s="369"/>
      <c r="H350" s="369"/>
      <c r="I350" s="470"/>
      <c r="J350" s="369"/>
      <c r="K350" s="453"/>
      <c r="L350" s="454"/>
      <c r="M350" s="369"/>
      <c r="N350" s="369"/>
      <c r="O350" s="455"/>
    </row>
    <row r="351" spans="1:15" x14ac:dyDescent="0.2">
      <c r="A351" s="369"/>
      <c r="B351" s="369"/>
      <c r="C351" s="369"/>
      <c r="D351" s="369"/>
      <c r="E351" s="369"/>
      <c r="F351" s="452"/>
      <c r="G351" s="369"/>
      <c r="H351" s="369"/>
      <c r="I351" s="470"/>
      <c r="J351" s="369"/>
      <c r="K351" s="453"/>
      <c r="L351" s="454"/>
      <c r="M351" s="369"/>
      <c r="N351" s="369"/>
      <c r="O351" s="455"/>
    </row>
    <row r="352" spans="1:15" x14ac:dyDescent="0.2">
      <c r="A352" s="369"/>
      <c r="B352" s="369"/>
      <c r="C352" s="369"/>
      <c r="D352" s="369"/>
      <c r="E352" s="369"/>
      <c r="F352" s="452"/>
      <c r="G352" s="369"/>
      <c r="H352" s="369"/>
      <c r="I352" s="470"/>
      <c r="J352" s="369"/>
      <c r="K352" s="453"/>
      <c r="L352" s="454"/>
      <c r="M352" s="369"/>
      <c r="N352" s="369"/>
      <c r="O352" s="455"/>
    </row>
    <row r="353" spans="1:15" x14ac:dyDescent="0.2">
      <c r="A353" s="369"/>
      <c r="B353" s="369"/>
      <c r="C353" s="369"/>
      <c r="D353" s="369"/>
      <c r="E353" s="369"/>
      <c r="F353" s="452"/>
      <c r="G353" s="369"/>
      <c r="H353" s="369"/>
      <c r="I353" s="470"/>
      <c r="J353" s="369"/>
      <c r="K353" s="453"/>
      <c r="L353" s="454"/>
      <c r="M353" s="369"/>
      <c r="N353" s="369"/>
      <c r="O353" s="455"/>
    </row>
    <row r="354" spans="1:15" x14ac:dyDescent="0.2">
      <c r="A354" s="369"/>
      <c r="B354" s="369"/>
      <c r="C354" s="369"/>
      <c r="D354" s="369"/>
      <c r="E354" s="369"/>
      <c r="F354" s="452"/>
      <c r="G354" s="369"/>
      <c r="H354" s="369"/>
      <c r="I354" s="470"/>
      <c r="J354" s="369"/>
      <c r="K354" s="453"/>
      <c r="L354" s="454"/>
      <c r="M354" s="369"/>
      <c r="N354" s="369"/>
      <c r="O354" s="455"/>
    </row>
    <row r="355" spans="1:15" x14ac:dyDescent="0.2">
      <c r="A355" s="369"/>
      <c r="B355" s="369"/>
      <c r="C355" s="369"/>
      <c r="D355" s="369"/>
      <c r="E355" s="369"/>
      <c r="F355" s="452"/>
      <c r="G355" s="369"/>
      <c r="H355" s="369"/>
      <c r="I355" s="470"/>
      <c r="J355" s="369"/>
      <c r="K355" s="453"/>
      <c r="L355" s="454"/>
      <c r="M355" s="369"/>
      <c r="N355" s="369"/>
      <c r="O355" s="455"/>
    </row>
    <row r="356" spans="1:15" x14ac:dyDescent="0.2">
      <c r="A356" s="369"/>
      <c r="B356" s="369"/>
      <c r="C356" s="369"/>
      <c r="D356" s="369"/>
      <c r="E356" s="369"/>
      <c r="F356" s="452"/>
      <c r="G356" s="369"/>
      <c r="H356" s="369"/>
      <c r="I356" s="470"/>
      <c r="J356" s="369"/>
      <c r="K356" s="453"/>
      <c r="L356" s="454"/>
      <c r="M356" s="369"/>
      <c r="N356" s="369"/>
      <c r="O356" s="455"/>
    </row>
    <row r="357" spans="1:15" x14ac:dyDescent="0.2">
      <c r="A357" s="369"/>
      <c r="B357" s="369"/>
      <c r="C357" s="369"/>
      <c r="D357" s="369"/>
      <c r="E357" s="369"/>
      <c r="F357" s="452"/>
      <c r="G357" s="369"/>
      <c r="H357" s="369"/>
      <c r="I357" s="470"/>
      <c r="J357" s="369"/>
      <c r="K357" s="453"/>
      <c r="L357" s="454"/>
      <c r="M357" s="369"/>
      <c r="N357" s="369"/>
      <c r="O357" s="455"/>
    </row>
    <row r="358" spans="1:15" x14ac:dyDescent="0.2">
      <c r="A358" s="369"/>
      <c r="B358" s="369"/>
      <c r="C358" s="369"/>
      <c r="D358" s="369"/>
      <c r="E358" s="369"/>
      <c r="F358" s="452"/>
      <c r="G358" s="369"/>
      <c r="H358" s="369"/>
      <c r="I358" s="470"/>
      <c r="J358" s="369"/>
      <c r="K358" s="453"/>
      <c r="L358" s="454"/>
      <c r="M358" s="369"/>
      <c r="N358" s="369"/>
      <c r="O358" s="455"/>
    </row>
    <row r="359" spans="1:15" x14ac:dyDescent="0.2">
      <c r="A359" s="369"/>
      <c r="B359" s="369"/>
      <c r="C359" s="369"/>
      <c r="D359" s="369"/>
      <c r="E359" s="369"/>
      <c r="F359" s="452"/>
      <c r="G359" s="369"/>
      <c r="H359" s="369"/>
      <c r="I359" s="470"/>
      <c r="J359" s="369"/>
      <c r="K359" s="453"/>
      <c r="L359" s="454"/>
      <c r="M359" s="369"/>
      <c r="N359" s="369"/>
      <c r="O359" s="455"/>
    </row>
    <row r="360" spans="1:15" x14ac:dyDescent="0.2">
      <c r="A360" s="369"/>
      <c r="B360" s="369"/>
      <c r="C360" s="369"/>
      <c r="D360" s="369"/>
      <c r="E360" s="369"/>
      <c r="F360" s="452"/>
      <c r="G360" s="369"/>
      <c r="H360" s="369"/>
      <c r="I360" s="470"/>
      <c r="J360" s="369"/>
      <c r="K360" s="453"/>
      <c r="L360" s="454"/>
      <c r="M360" s="369"/>
      <c r="N360" s="369"/>
      <c r="O360" s="455"/>
    </row>
    <row r="361" spans="1:15" x14ac:dyDescent="0.2">
      <c r="A361" s="369"/>
      <c r="B361" s="369"/>
      <c r="C361" s="369"/>
      <c r="D361" s="369"/>
      <c r="E361" s="369"/>
      <c r="F361" s="452"/>
      <c r="G361" s="369"/>
      <c r="H361" s="369"/>
      <c r="I361" s="470"/>
      <c r="J361" s="369"/>
      <c r="K361" s="453"/>
      <c r="L361" s="454"/>
      <c r="M361" s="369"/>
      <c r="N361" s="369"/>
      <c r="O361" s="455"/>
    </row>
    <row r="362" spans="1:15" x14ac:dyDescent="0.2">
      <c r="A362" s="369"/>
      <c r="B362" s="369"/>
      <c r="C362" s="369"/>
      <c r="D362" s="369"/>
      <c r="E362" s="369"/>
      <c r="F362" s="452"/>
      <c r="G362" s="369"/>
      <c r="H362" s="369"/>
      <c r="I362" s="470"/>
      <c r="J362" s="369"/>
      <c r="K362" s="453"/>
      <c r="L362" s="454"/>
      <c r="M362" s="369"/>
      <c r="N362" s="369"/>
      <c r="O362" s="455"/>
    </row>
    <row r="363" spans="1:15" x14ac:dyDescent="0.2">
      <c r="A363" s="369"/>
      <c r="B363" s="369"/>
      <c r="C363" s="369"/>
      <c r="D363" s="369"/>
      <c r="E363" s="369"/>
      <c r="F363" s="452"/>
      <c r="G363" s="369"/>
      <c r="H363" s="369"/>
      <c r="I363" s="470"/>
      <c r="J363" s="369"/>
      <c r="K363" s="453"/>
      <c r="L363" s="454"/>
      <c r="M363" s="369"/>
      <c r="N363" s="369"/>
      <c r="O363" s="455"/>
    </row>
    <row r="364" spans="1:15" x14ac:dyDescent="0.2">
      <c r="A364" s="369"/>
      <c r="B364" s="369"/>
      <c r="C364" s="369"/>
      <c r="D364" s="369"/>
      <c r="E364" s="369"/>
      <c r="F364" s="452"/>
      <c r="G364" s="369"/>
      <c r="H364" s="369"/>
      <c r="I364" s="470"/>
      <c r="J364" s="369"/>
      <c r="K364" s="453"/>
      <c r="L364" s="454"/>
      <c r="M364" s="369"/>
      <c r="N364" s="369"/>
      <c r="O364" s="455"/>
    </row>
    <row r="365" spans="1:15" x14ac:dyDescent="0.2">
      <c r="A365" s="369"/>
      <c r="B365" s="369"/>
      <c r="C365" s="369"/>
      <c r="D365" s="369"/>
      <c r="E365" s="369"/>
      <c r="F365" s="452"/>
      <c r="G365" s="369"/>
      <c r="H365" s="369"/>
      <c r="I365" s="470"/>
      <c r="J365" s="369"/>
      <c r="K365" s="453"/>
      <c r="L365" s="454"/>
      <c r="M365" s="369"/>
      <c r="N365" s="369"/>
      <c r="O365" s="455"/>
    </row>
    <row r="366" spans="1:15" x14ac:dyDescent="0.2">
      <c r="A366" s="369"/>
      <c r="B366" s="369"/>
      <c r="C366" s="369"/>
      <c r="D366" s="369"/>
      <c r="E366" s="369"/>
      <c r="F366" s="452"/>
      <c r="G366" s="369"/>
      <c r="H366" s="369"/>
      <c r="I366" s="470"/>
      <c r="J366" s="369"/>
      <c r="K366" s="453"/>
      <c r="L366" s="454"/>
      <c r="M366" s="369"/>
      <c r="N366" s="369"/>
      <c r="O366" s="455"/>
    </row>
    <row r="367" spans="1:15" x14ac:dyDescent="0.2">
      <c r="A367" s="369"/>
      <c r="B367" s="369"/>
      <c r="C367" s="369"/>
      <c r="D367" s="369"/>
      <c r="E367" s="369"/>
      <c r="F367" s="452"/>
      <c r="G367" s="369"/>
      <c r="H367" s="369"/>
      <c r="I367" s="470"/>
      <c r="J367" s="369"/>
      <c r="K367" s="453"/>
      <c r="L367" s="454"/>
      <c r="M367" s="369"/>
      <c r="N367" s="369"/>
      <c r="O367" s="455"/>
    </row>
    <row r="368" spans="1:15" x14ac:dyDescent="0.2">
      <c r="A368" s="369"/>
      <c r="B368" s="369"/>
      <c r="C368" s="369"/>
      <c r="D368" s="369"/>
      <c r="E368" s="369"/>
      <c r="F368" s="452"/>
      <c r="G368" s="369"/>
      <c r="H368" s="369"/>
      <c r="I368" s="470"/>
      <c r="J368" s="369"/>
      <c r="K368" s="453"/>
      <c r="L368" s="454"/>
      <c r="M368" s="369"/>
      <c r="N368" s="369"/>
      <c r="O368" s="455"/>
    </row>
    <row r="369" spans="1:15" x14ac:dyDescent="0.2">
      <c r="A369" s="369"/>
      <c r="B369" s="369"/>
      <c r="C369" s="369"/>
      <c r="D369" s="369"/>
      <c r="E369" s="369"/>
      <c r="F369" s="452"/>
      <c r="G369" s="369"/>
      <c r="H369" s="369"/>
      <c r="I369" s="470"/>
      <c r="J369" s="369"/>
      <c r="K369" s="453"/>
      <c r="L369" s="454"/>
      <c r="M369" s="369"/>
      <c r="N369" s="369"/>
      <c r="O369" s="455"/>
    </row>
    <row r="370" spans="1:15" x14ac:dyDescent="0.2">
      <c r="A370" s="369"/>
      <c r="B370" s="369"/>
      <c r="C370" s="369"/>
      <c r="D370" s="369"/>
      <c r="E370" s="369"/>
      <c r="F370" s="452"/>
      <c r="G370" s="369"/>
      <c r="H370" s="369"/>
      <c r="I370" s="470"/>
      <c r="J370" s="369"/>
      <c r="K370" s="453"/>
      <c r="L370" s="454"/>
      <c r="M370" s="369"/>
      <c r="N370" s="369"/>
      <c r="O370" s="455"/>
    </row>
    <row r="371" spans="1:15" x14ac:dyDescent="0.2">
      <c r="A371" s="369"/>
      <c r="B371" s="369"/>
      <c r="C371" s="369"/>
      <c r="D371" s="369"/>
      <c r="E371" s="369"/>
      <c r="F371" s="452"/>
      <c r="G371" s="369"/>
      <c r="H371" s="369"/>
      <c r="I371" s="470"/>
      <c r="J371" s="369"/>
      <c r="K371" s="453"/>
      <c r="L371" s="454"/>
      <c r="M371" s="369"/>
      <c r="N371" s="369"/>
      <c r="O371" s="455"/>
    </row>
    <row r="372" spans="1:15" x14ac:dyDescent="0.2">
      <c r="A372" s="369"/>
      <c r="B372" s="369"/>
      <c r="C372" s="369"/>
      <c r="D372" s="369"/>
      <c r="E372" s="369"/>
      <c r="F372" s="452"/>
      <c r="G372" s="369"/>
      <c r="H372" s="369"/>
      <c r="I372" s="470"/>
      <c r="J372" s="369"/>
      <c r="K372" s="453"/>
      <c r="L372" s="454"/>
      <c r="M372" s="369"/>
      <c r="N372" s="369"/>
      <c r="O372" s="455"/>
    </row>
    <row r="373" spans="1:15" x14ac:dyDescent="0.2">
      <c r="A373" s="369"/>
      <c r="B373" s="369"/>
      <c r="C373" s="369"/>
      <c r="D373" s="369"/>
      <c r="E373" s="369"/>
      <c r="F373" s="452"/>
      <c r="G373" s="369"/>
      <c r="H373" s="369"/>
      <c r="I373" s="470"/>
      <c r="J373" s="369"/>
      <c r="K373" s="453"/>
      <c r="L373" s="454"/>
      <c r="M373" s="369"/>
      <c r="N373" s="369"/>
      <c r="O373" s="455"/>
    </row>
    <row r="374" spans="1:15" x14ac:dyDescent="0.2">
      <c r="A374" s="369"/>
      <c r="B374" s="369"/>
      <c r="C374" s="369"/>
      <c r="D374" s="369"/>
      <c r="E374" s="369"/>
      <c r="F374" s="452"/>
      <c r="G374" s="369"/>
      <c r="H374" s="369"/>
      <c r="I374" s="470"/>
      <c r="J374" s="369"/>
      <c r="K374" s="453"/>
      <c r="L374" s="454"/>
      <c r="M374" s="369"/>
      <c r="N374" s="369"/>
      <c r="O374" s="455"/>
    </row>
    <row r="375" spans="1:15" x14ac:dyDescent="0.2">
      <c r="A375" s="369"/>
      <c r="B375" s="369"/>
      <c r="C375" s="369"/>
      <c r="D375" s="369"/>
      <c r="E375" s="369"/>
      <c r="F375" s="452"/>
      <c r="G375" s="369"/>
      <c r="H375" s="369"/>
      <c r="I375" s="470"/>
      <c r="J375" s="369"/>
      <c r="K375" s="453"/>
      <c r="L375" s="454"/>
      <c r="M375" s="369"/>
      <c r="N375" s="369"/>
      <c r="O375" s="455"/>
    </row>
    <row r="376" spans="1:15" x14ac:dyDescent="0.2">
      <c r="A376" s="369"/>
      <c r="B376" s="369"/>
      <c r="C376" s="369"/>
      <c r="D376" s="369"/>
      <c r="E376" s="369"/>
      <c r="F376" s="452"/>
      <c r="G376" s="369"/>
      <c r="H376" s="369"/>
      <c r="I376" s="470"/>
      <c r="J376" s="369"/>
      <c r="K376" s="453"/>
      <c r="L376" s="454"/>
      <c r="M376" s="369"/>
      <c r="N376" s="369"/>
      <c r="O376" s="455"/>
    </row>
    <row r="377" spans="1:15" x14ac:dyDescent="0.2">
      <c r="A377" s="369"/>
      <c r="B377" s="369"/>
      <c r="C377" s="369"/>
      <c r="D377" s="369"/>
      <c r="E377" s="369"/>
      <c r="F377" s="452"/>
      <c r="G377" s="369"/>
      <c r="H377" s="369"/>
      <c r="I377" s="470"/>
      <c r="J377" s="369"/>
      <c r="K377" s="453"/>
      <c r="L377" s="454"/>
      <c r="M377" s="369"/>
      <c r="N377" s="369"/>
      <c r="O377" s="455"/>
    </row>
    <row r="378" spans="1:15" x14ac:dyDescent="0.2">
      <c r="A378" s="369"/>
      <c r="B378" s="369"/>
      <c r="C378" s="369"/>
      <c r="D378" s="369"/>
      <c r="E378" s="369"/>
      <c r="F378" s="452"/>
      <c r="G378" s="369"/>
      <c r="H378" s="369"/>
      <c r="I378" s="470"/>
      <c r="J378" s="369"/>
      <c r="K378" s="453"/>
      <c r="L378" s="454"/>
      <c r="M378" s="369"/>
      <c r="N378" s="369"/>
      <c r="O378" s="455"/>
    </row>
    <row r="379" spans="1:15" x14ac:dyDescent="0.2">
      <c r="A379" s="369"/>
      <c r="B379" s="369"/>
      <c r="C379" s="369"/>
      <c r="D379" s="369"/>
      <c r="E379" s="369"/>
      <c r="F379" s="452"/>
      <c r="G379" s="369"/>
      <c r="H379" s="369"/>
      <c r="I379" s="470"/>
      <c r="J379" s="369"/>
      <c r="K379" s="453"/>
      <c r="L379" s="454"/>
      <c r="M379" s="369"/>
      <c r="N379" s="369"/>
      <c r="O379" s="455"/>
    </row>
    <row r="380" spans="1:15" x14ac:dyDescent="0.2">
      <c r="A380" s="369"/>
      <c r="B380" s="369"/>
      <c r="C380" s="369"/>
      <c r="D380" s="369"/>
      <c r="E380" s="369"/>
      <c r="F380" s="452"/>
      <c r="G380" s="369"/>
      <c r="H380" s="369"/>
      <c r="I380" s="470"/>
      <c r="J380" s="369"/>
      <c r="K380" s="453"/>
      <c r="L380" s="454"/>
      <c r="M380" s="369"/>
      <c r="N380" s="369"/>
      <c r="O380" s="455"/>
    </row>
    <row r="381" spans="1:15" x14ac:dyDescent="0.2">
      <c r="A381" s="369"/>
      <c r="B381" s="369"/>
      <c r="C381" s="369"/>
      <c r="D381" s="369"/>
      <c r="E381" s="369"/>
      <c r="F381" s="452"/>
      <c r="G381" s="369"/>
      <c r="H381" s="369"/>
      <c r="I381" s="470"/>
      <c r="J381" s="369"/>
      <c r="K381" s="453"/>
      <c r="L381" s="454"/>
      <c r="M381" s="369"/>
      <c r="N381" s="369"/>
      <c r="O381" s="455"/>
    </row>
    <row r="382" spans="1:15" x14ac:dyDescent="0.2">
      <c r="A382" s="369"/>
      <c r="B382" s="369"/>
      <c r="C382" s="369"/>
      <c r="D382" s="369"/>
      <c r="E382" s="369"/>
      <c r="F382" s="452"/>
      <c r="G382" s="369"/>
      <c r="H382" s="369"/>
      <c r="I382" s="470"/>
      <c r="J382" s="369"/>
      <c r="K382" s="453"/>
      <c r="L382" s="454"/>
      <c r="M382" s="369"/>
      <c r="N382" s="369"/>
      <c r="O382" s="455"/>
    </row>
    <row r="383" spans="1:15" x14ac:dyDescent="0.2">
      <c r="A383" s="369"/>
      <c r="B383" s="369"/>
      <c r="C383" s="369"/>
      <c r="D383" s="369"/>
      <c r="E383" s="369"/>
      <c r="F383" s="452"/>
      <c r="G383" s="369"/>
      <c r="H383" s="369"/>
      <c r="I383" s="470"/>
      <c r="J383" s="369"/>
      <c r="K383" s="453"/>
      <c r="L383" s="454"/>
      <c r="M383" s="369"/>
      <c r="N383" s="369"/>
      <c r="O383" s="455"/>
    </row>
    <row r="384" spans="1:15" x14ac:dyDescent="0.2">
      <c r="A384" s="369"/>
      <c r="B384" s="369"/>
      <c r="C384" s="369"/>
      <c r="D384" s="369"/>
      <c r="E384" s="369"/>
      <c r="F384" s="452"/>
      <c r="G384" s="369"/>
      <c r="H384" s="369"/>
      <c r="I384" s="470"/>
      <c r="J384" s="369"/>
      <c r="K384" s="453"/>
      <c r="L384" s="454"/>
      <c r="M384" s="369"/>
      <c r="N384" s="369"/>
      <c r="O384" s="455"/>
    </row>
    <row r="385" spans="1:15" x14ac:dyDescent="0.2">
      <c r="A385" s="369"/>
      <c r="B385" s="369"/>
      <c r="C385" s="369"/>
      <c r="D385" s="369"/>
      <c r="E385" s="369"/>
      <c r="F385" s="452"/>
      <c r="G385" s="369"/>
      <c r="H385" s="369"/>
      <c r="I385" s="470"/>
      <c r="J385" s="369"/>
      <c r="K385" s="453"/>
      <c r="L385" s="454"/>
      <c r="M385" s="369"/>
      <c r="N385" s="369"/>
      <c r="O385" s="455"/>
    </row>
    <row r="386" spans="1:15" x14ac:dyDescent="0.2">
      <c r="A386" s="369"/>
      <c r="B386" s="369"/>
      <c r="C386" s="369"/>
      <c r="D386" s="369"/>
      <c r="E386" s="369"/>
      <c r="F386" s="452"/>
      <c r="G386" s="369"/>
      <c r="H386" s="369"/>
      <c r="I386" s="470"/>
      <c r="J386" s="369"/>
      <c r="K386" s="453"/>
      <c r="L386" s="454"/>
      <c r="M386" s="369"/>
      <c r="N386" s="369"/>
      <c r="O386" s="455"/>
    </row>
    <row r="387" spans="1:15" x14ac:dyDescent="0.2">
      <c r="A387" s="369"/>
      <c r="B387" s="369"/>
      <c r="C387" s="369"/>
      <c r="D387" s="369"/>
      <c r="E387" s="369"/>
      <c r="F387" s="452"/>
      <c r="G387" s="369"/>
      <c r="H387" s="369"/>
      <c r="I387" s="470"/>
      <c r="J387" s="369"/>
      <c r="K387" s="453"/>
      <c r="L387" s="454"/>
      <c r="M387" s="369"/>
      <c r="N387" s="369"/>
      <c r="O387" s="455"/>
    </row>
    <row r="388" spans="1:15" x14ac:dyDescent="0.2">
      <c r="A388" s="369"/>
      <c r="B388" s="369"/>
      <c r="C388" s="369"/>
      <c r="D388" s="369"/>
      <c r="E388" s="369"/>
      <c r="F388" s="452"/>
      <c r="G388" s="369"/>
      <c r="H388" s="369"/>
      <c r="I388" s="470"/>
      <c r="J388" s="369"/>
      <c r="K388" s="453"/>
      <c r="L388" s="454"/>
      <c r="M388" s="369"/>
      <c r="N388" s="369"/>
      <c r="O388" s="455"/>
    </row>
    <row r="389" spans="1:15" x14ac:dyDescent="0.2">
      <c r="A389" s="369"/>
      <c r="B389" s="369"/>
      <c r="C389" s="369"/>
      <c r="D389" s="369"/>
      <c r="E389" s="369"/>
      <c r="F389" s="452"/>
      <c r="G389" s="369"/>
      <c r="H389" s="369"/>
      <c r="I389" s="470"/>
      <c r="J389" s="369"/>
      <c r="K389" s="453"/>
      <c r="L389" s="454"/>
      <c r="M389" s="369"/>
      <c r="N389" s="369"/>
      <c r="O389" s="455"/>
    </row>
    <row r="390" spans="1:15" x14ac:dyDescent="0.2">
      <c r="A390" s="369"/>
      <c r="B390" s="369"/>
      <c r="C390" s="369"/>
      <c r="D390" s="369"/>
      <c r="E390" s="369"/>
      <c r="F390" s="452"/>
      <c r="G390" s="369"/>
      <c r="H390" s="369"/>
      <c r="I390" s="470"/>
      <c r="J390" s="369"/>
      <c r="K390" s="453"/>
      <c r="L390" s="454"/>
      <c r="M390" s="369"/>
      <c r="N390" s="369"/>
      <c r="O390" s="455"/>
    </row>
    <row r="391" spans="1:15" x14ac:dyDescent="0.2">
      <c r="A391" s="369"/>
      <c r="B391" s="369"/>
      <c r="C391" s="369"/>
      <c r="D391" s="369"/>
      <c r="E391" s="369"/>
      <c r="F391" s="452"/>
      <c r="G391" s="369"/>
      <c r="H391" s="369"/>
      <c r="I391" s="470"/>
      <c r="J391" s="369"/>
      <c r="K391" s="453"/>
      <c r="L391" s="454"/>
      <c r="M391" s="369"/>
      <c r="N391" s="369"/>
      <c r="O391" s="455"/>
    </row>
    <row r="392" spans="1:15" x14ac:dyDescent="0.2">
      <c r="A392" s="369"/>
      <c r="B392" s="369"/>
      <c r="C392" s="369"/>
      <c r="D392" s="369"/>
      <c r="E392" s="369"/>
      <c r="F392" s="452"/>
      <c r="G392" s="369"/>
      <c r="H392" s="369"/>
      <c r="I392" s="470"/>
      <c r="J392" s="369"/>
      <c r="K392" s="453"/>
      <c r="L392" s="454"/>
      <c r="M392" s="369"/>
      <c r="N392" s="369"/>
      <c r="O392" s="455"/>
    </row>
    <row r="393" spans="1:15" x14ac:dyDescent="0.2">
      <c r="A393" s="369"/>
      <c r="B393" s="369"/>
      <c r="C393" s="369"/>
      <c r="D393" s="369"/>
      <c r="E393" s="369"/>
      <c r="F393" s="452"/>
      <c r="G393" s="369"/>
      <c r="H393" s="369"/>
      <c r="I393" s="470"/>
      <c r="J393" s="369"/>
      <c r="K393" s="453"/>
      <c r="L393" s="454"/>
      <c r="M393" s="369"/>
      <c r="N393" s="369"/>
      <c r="O393" s="455"/>
    </row>
    <row r="394" spans="1:15" x14ac:dyDescent="0.2">
      <c r="A394" s="369"/>
      <c r="B394" s="369"/>
      <c r="C394" s="369"/>
      <c r="D394" s="369"/>
      <c r="E394" s="369"/>
      <c r="F394" s="452"/>
      <c r="G394" s="369"/>
      <c r="H394" s="369"/>
      <c r="I394" s="470"/>
      <c r="J394" s="369"/>
      <c r="K394" s="453"/>
      <c r="L394" s="454"/>
      <c r="M394" s="369"/>
      <c r="N394" s="369"/>
      <c r="O394" s="455"/>
    </row>
    <row r="395" spans="1:15" x14ac:dyDescent="0.2">
      <c r="A395" s="369"/>
      <c r="B395" s="369"/>
      <c r="C395" s="369"/>
      <c r="D395" s="369"/>
      <c r="E395" s="369"/>
      <c r="F395" s="452"/>
      <c r="G395" s="369"/>
      <c r="H395" s="369"/>
      <c r="I395" s="470"/>
      <c r="J395" s="369"/>
      <c r="K395" s="453"/>
      <c r="L395" s="454"/>
      <c r="M395" s="369"/>
      <c r="N395" s="369"/>
      <c r="O395" s="455"/>
    </row>
    <row r="396" spans="1:15" x14ac:dyDescent="0.2">
      <c r="A396" s="369"/>
      <c r="B396" s="369"/>
      <c r="C396" s="369"/>
      <c r="D396" s="369"/>
      <c r="E396" s="369"/>
      <c r="F396" s="452"/>
      <c r="G396" s="369"/>
      <c r="H396" s="369"/>
      <c r="I396" s="470"/>
      <c r="J396" s="369"/>
      <c r="K396" s="453"/>
      <c r="L396" s="454"/>
      <c r="M396" s="369"/>
      <c r="N396" s="369"/>
      <c r="O396" s="455"/>
    </row>
    <row r="397" spans="1:15" x14ac:dyDescent="0.2">
      <c r="A397" s="369"/>
      <c r="B397" s="369"/>
      <c r="C397" s="369"/>
      <c r="D397" s="369"/>
      <c r="E397" s="369"/>
      <c r="F397" s="452"/>
      <c r="G397" s="369"/>
      <c r="H397" s="369"/>
      <c r="I397" s="470"/>
      <c r="J397" s="369"/>
      <c r="K397" s="453"/>
      <c r="L397" s="454"/>
      <c r="M397" s="369"/>
      <c r="N397" s="369"/>
      <c r="O397" s="455"/>
    </row>
    <row r="398" spans="1:15" x14ac:dyDescent="0.2">
      <c r="A398" s="369"/>
      <c r="B398" s="369"/>
      <c r="C398" s="369"/>
      <c r="D398" s="369"/>
      <c r="E398" s="369"/>
      <c r="F398" s="452"/>
      <c r="G398" s="369"/>
      <c r="H398" s="369"/>
      <c r="I398" s="470"/>
      <c r="J398" s="369"/>
      <c r="K398" s="453"/>
      <c r="L398" s="454"/>
      <c r="M398" s="369"/>
      <c r="N398" s="369"/>
      <c r="O398" s="455"/>
    </row>
    <row r="399" spans="1:15" x14ac:dyDescent="0.2">
      <c r="A399" s="369"/>
      <c r="B399" s="369"/>
      <c r="C399" s="369"/>
      <c r="D399" s="369"/>
      <c r="E399" s="369"/>
      <c r="F399" s="452"/>
      <c r="G399" s="369"/>
      <c r="H399" s="369"/>
      <c r="I399" s="470"/>
      <c r="J399" s="369"/>
      <c r="K399" s="453"/>
      <c r="L399" s="454"/>
      <c r="M399" s="369"/>
      <c r="N399" s="369"/>
      <c r="O399" s="455"/>
    </row>
    <row r="400" spans="1:15" x14ac:dyDescent="0.2">
      <c r="A400" s="369"/>
      <c r="B400" s="369"/>
      <c r="C400" s="369"/>
      <c r="D400" s="369"/>
      <c r="E400" s="369"/>
      <c r="F400" s="452"/>
      <c r="G400" s="369"/>
      <c r="H400" s="369"/>
      <c r="I400" s="470"/>
      <c r="J400" s="369"/>
      <c r="K400" s="453"/>
      <c r="L400" s="454"/>
      <c r="M400" s="369"/>
      <c r="N400" s="369"/>
      <c r="O400" s="455"/>
    </row>
    <row r="401" spans="1:15" x14ac:dyDescent="0.2">
      <c r="A401" s="369"/>
      <c r="B401" s="369"/>
      <c r="C401" s="369"/>
      <c r="D401" s="369"/>
      <c r="E401" s="369"/>
      <c r="F401" s="452"/>
      <c r="G401" s="369"/>
      <c r="H401" s="369"/>
      <c r="I401" s="470"/>
      <c r="J401" s="369"/>
      <c r="K401" s="453"/>
      <c r="L401" s="454"/>
      <c r="M401" s="369"/>
      <c r="N401" s="369"/>
      <c r="O401" s="455"/>
    </row>
    <row r="402" spans="1:15" x14ac:dyDescent="0.2">
      <c r="A402" s="369"/>
      <c r="B402" s="369"/>
      <c r="C402" s="369"/>
      <c r="D402" s="369"/>
      <c r="E402" s="369"/>
      <c r="F402" s="452"/>
      <c r="G402" s="369"/>
      <c r="H402" s="369"/>
      <c r="I402" s="470"/>
      <c r="J402" s="369"/>
      <c r="K402" s="453"/>
      <c r="L402" s="454"/>
      <c r="M402" s="369"/>
      <c r="N402" s="369"/>
      <c r="O402" s="455"/>
    </row>
    <row r="403" spans="1:15" x14ac:dyDescent="0.2">
      <c r="A403" s="369"/>
      <c r="B403" s="369"/>
      <c r="C403" s="369"/>
      <c r="D403" s="369"/>
      <c r="E403" s="369"/>
      <c r="F403" s="452"/>
      <c r="G403" s="369"/>
      <c r="H403" s="369"/>
      <c r="I403" s="470"/>
      <c r="J403" s="369"/>
      <c r="K403" s="453"/>
      <c r="L403" s="454"/>
      <c r="M403" s="369"/>
      <c r="N403" s="369"/>
      <c r="O403" s="455"/>
    </row>
    <row r="404" spans="1:15" x14ac:dyDescent="0.2">
      <c r="A404" s="369"/>
      <c r="B404" s="369"/>
      <c r="C404" s="369"/>
      <c r="D404" s="369"/>
      <c r="E404" s="369"/>
      <c r="F404" s="452"/>
      <c r="G404" s="369"/>
      <c r="H404" s="369"/>
      <c r="I404" s="470"/>
      <c r="J404" s="369"/>
      <c r="K404" s="453"/>
      <c r="L404" s="454"/>
      <c r="M404" s="369"/>
      <c r="N404" s="369"/>
      <c r="O404" s="455"/>
    </row>
    <row r="405" spans="1:15" x14ac:dyDescent="0.2">
      <c r="A405" s="369"/>
      <c r="B405" s="369"/>
      <c r="C405" s="369"/>
      <c r="D405" s="369"/>
      <c r="E405" s="369"/>
      <c r="F405" s="452"/>
      <c r="G405" s="369"/>
      <c r="H405" s="369"/>
      <c r="I405" s="470"/>
      <c r="J405" s="369"/>
      <c r="K405" s="453"/>
      <c r="L405" s="454"/>
      <c r="M405" s="369"/>
      <c r="N405" s="369"/>
      <c r="O405" s="455"/>
    </row>
    <row r="406" spans="1:15" x14ac:dyDescent="0.2">
      <c r="A406" s="369"/>
      <c r="B406" s="369"/>
      <c r="C406" s="369"/>
      <c r="D406" s="369"/>
      <c r="E406" s="369"/>
      <c r="F406" s="452"/>
      <c r="G406" s="369"/>
      <c r="H406" s="369"/>
      <c r="I406" s="470"/>
      <c r="J406" s="369"/>
      <c r="K406" s="453"/>
      <c r="L406" s="454"/>
      <c r="M406" s="369"/>
      <c r="N406" s="369"/>
      <c r="O406" s="455"/>
    </row>
    <row r="407" spans="1:15" x14ac:dyDescent="0.2">
      <c r="A407" s="369"/>
      <c r="B407" s="369"/>
      <c r="C407" s="369"/>
      <c r="D407" s="369"/>
      <c r="E407" s="369"/>
      <c r="F407" s="452"/>
      <c r="G407" s="369"/>
      <c r="H407" s="369"/>
      <c r="I407" s="470"/>
      <c r="J407" s="369"/>
      <c r="K407" s="453"/>
      <c r="L407" s="454"/>
      <c r="M407" s="369"/>
      <c r="N407" s="369"/>
      <c r="O407" s="455"/>
    </row>
    <row r="408" spans="1:15" x14ac:dyDescent="0.2">
      <c r="A408" s="369"/>
      <c r="B408" s="369"/>
      <c r="C408" s="369"/>
      <c r="D408" s="369"/>
      <c r="E408" s="369"/>
      <c r="F408" s="452"/>
      <c r="G408" s="369"/>
      <c r="H408" s="369"/>
      <c r="I408" s="470"/>
      <c r="J408" s="369"/>
      <c r="K408" s="453"/>
      <c r="L408" s="454"/>
      <c r="M408" s="369"/>
      <c r="N408" s="369"/>
      <c r="O408" s="455"/>
    </row>
    <row r="409" spans="1:15" x14ac:dyDescent="0.2">
      <c r="A409" s="369"/>
      <c r="B409" s="369"/>
      <c r="C409" s="369"/>
      <c r="D409" s="369"/>
      <c r="E409" s="369"/>
      <c r="F409" s="452"/>
      <c r="G409" s="369"/>
      <c r="H409" s="369"/>
      <c r="I409" s="470"/>
      <c r="J409" s="369"/>
      <c r="K409" s="453"/>
      <c r="L409" s="454"/>
      <c r="M409" s="369"/>
      <c r="N409" s="369"/>
      <c r="O409" s="455"/>
    </row>
    <row r="410" spans="1:15" x14ac:dyDescent="0.2">
      <c r="A410" s="369"/>
      <c r="B410" s="369"/>
      <c r="C410" s="369"/>
      <c r="D410" s="369"/>
      <c r="E410" s="369"/>
      <c r="F410" s="452"/>
      <c r="G410" s="369"/>
      <c r="H410" s="369"/>
      <c r="I410" s="470"/>
      <c r="J410" s="369"/>
      <c r="K410" s="453"/>
      <c r="L410" s="454"/>
      <c r="M410" s="369"/>
      <c r="N410" s="369"/>
      <c r="O410" s="455"/>
    </row>
    <row r="411" spans="1:15" x14ac:dyDescent="0.2">
      <c r="A411" s="369"/>
      <c r="B411" s="369"/>
      <c r="C411" s="369"/>
      <c r="D411" s="369"/>
      <c r="E411" s="369"/>
      <c r="F411" s="452"/>
      <c r="G411" s="369"/>
      <c r="H411" s="369"/>
      <c r="I411" s="470"/>
      <c r="J411" s="369"/>
      <c r="K411" s="453"/>
      <c r="L411" s="454"/>
      <c r="M411" s="369"/>
      <c r="N411" s="369"/>
      <c r="O411" s="455"/>
    </row>
    <row r="412" spans="1:15" x14ac:dyDescent="0.2">
      <c r="A412" s="369"/>
      <c r="B412" s="369"/>
      <c r="C412" s="369"/>
      <c r="D412" s="369"/>
      <c r="E412" s="369"/>
      <c r="F412" s="452"/>
      <c r="G412" s="369"/>
      <c r="H412" s="369"/>
      <c r="I412" s="470"/>
      <c r="J412" s="369"/>
      <c r="K412" s="453"/>
      <c r="L412" s="454"/>
      <c r="M412" s="369"/>
      <c r="N412" s="369"/>
      <c r="O412" s="455"/>
    </row>
    <row r="413" spans="1:15" x14ac:dyDescent="0.2">
      <c r="A413" s="369"/>
      <c r="B413" s="369"/>
      <c r="C413" s="369"/>
      <c r="D413" s="369"/>
      <c r="E413" s="369"/>
      <c r="F413" s="452"/>
      <c r="G413" s="369"/>
      <c r="H413" s="369"/>
      <c r="I413" s="470"/>
      <c r="J413" s="369"/>
      <c r="K413" s="453"/>
      <c r="L413" s="454"/>
      <c r="M413" s="369"/>
      <c r="N413" s="369"/>
      <c r="O413" s="455"/>
    </row>
    <row r="414" spans="1:15" x14ac:dyDescent="0.2">
      <c r="A414" s="369"/>
      <c r="B414" s="369"/>
      <c r="C414" s="369"/>
      <c r="D414" s="369"/>
      <c r="E414" s="369"/>
      <c r="F414" s="452"/>
      <c r="G414" s="369"/>
      <c r="H414" s="369"/>
      <c r="I414" s="470"/>
      <c r="J414" s="369"/>
      <c r="K414" s="453"/>
      <c r="L414" s="454"/>
      <c r="M414" s="369"/>
      <c r="N414" s="369"/>
      <c r="O414" s="455"/>
    </row>
    <row r="415" spans="1:15" x14ac:dyDescent="0.2">
      <c r="A415" s="369"/>
      <c r="B415" s="369"/>
      <c r="C415" s="369"/>
      <c r="D415" s="369"/>
      <c r="E415" s="369"/>
      <c r="F415" s="452"/>
      <c r="G415" s="369"/>
      <c r="H415" s="369"/>
      <c r="I415" s="470"/>
      <c r="J415" s="369"/>
      <c r="K415" s="453"/>
      <c r="L415" s="454"/>
      <c r="M415" s="369"/>
      <c r="N415" s="369"/>
      <c r="O415" s="455"/>
    </row>
    <row r="416" spans="1:15" x14ac:dyDescent="0.2">
      <c r="A416" s="369"/>
      <c r="B416" s="369"/>
      <c r="C416" s="369"/>
      <c r="D416" s="369"/>
      <c r="E416" s="369"/>
      <c r="F416" s="452"/>
      <c r="G416" s="369"/>
      <c r="H416" s="369"/>
      <c r="I416" s="470"/>
      <c r="J416" s="369"/>
      <c r="K416" s="453"/>
      <c r="L416" s="454"/>
      <c r="M416" s="369"/>
      <c r="N416" s="369"/>
      <c r="O416" s="455"/>
    </row>
    <row r="417" spans="1:15" x14ac:dyDescent="0.2">
      <c r="A417" s="369"/>
      <c r="B417" s="369"/>
      <c r="C417" s="369"/>
      <c r="D417" s="369"/>
      <c r="E417" s="369"/>
      <c r="F417" s="452"/>
      <c r="G417" s="369"/>
      <c r="H417" s="369"/>
      <c r="I417" s="470"/>
      <c r="J417" s="369"/>
      <c r="K417" s="453"/>
      <c r="L417" s="454"/>
      <c r="M417" s="369"/>
      <c r="N417" s="369"/>
      <c r="O417" s="455"/>
    </row>
    <row r="418" spans="1:15" x14ac:dyDescent="0.2">
      <c r="A418" s="369"/>
      <c r="B418" s="369"/>
      <c r="C418" s="369"/>
      <c r="D418" s="369"/>
      <c r="E418" s="369"/>
      <c r="F418" s="452"/>
      <c r="G418" s="369"/>
      <c r="H418" s="369"/>
      <c r="I418" s="470"/>
      <c r="J418" s="369"/>
      <c r="K418" s="453"/>
      <c r="L418" s="454"/>
      <c r="M418" s="369"/>
      <c r="N418" s="369"/>
      <c r="O418" s="455"/>
    </row>
    <row r="419" spans="1:15" x14ac:dyDescent="0.2">
      <c r="A419" s="369"/>
      <c r="B419" s="369"/>
      <c r="C419" s="369"/>
      <c r="D419" s="369"/>
      <c r="E419" s="369"/>
      <c r="F419" s="452"/>
      <c r="G419" s="369"/>
      <c r="H419" s="369"/>
      <c r="I419" s="470"/>
      <c r="J419" s="369"/>
      <c r="K419" s="453"/>
      <c r="L419" s="454"/>
      <c r="M419" s="369"/>
      <c r="N419" s="369"/>
      <c r="O419" s="455"/>
    </row>
    <row r="420" spans="1:15" x14ac:dyDescent="0.2">
      <c r="A420" s="369"/>
      <c r="B420" s="369"/>
      <c r="C420" s="369"/>
      <c r="D420" s="369"/>
      <c r="E420" s="369"/>
      <c r="F420" s="452"/>
      <c r="G420" s="369"/>
      <c r="H420" s="369"/>
      <c r="I420" s="470"/>
      <c r="J420" s="369"/>
      <c r="K420" s="453"/>
      <c r="L420" s="454"/>
      <c r="M420" s="369"/>
      <c r="N420" s="369"/>
      <c r="O420" s="455"/>
    </row>
    <row r="421" spans="1:15" x14ac:dyDescent="0.2">
      <c r="A421" s="369"/>
      <c r="B421" s="369"/>
      <c r="C421" s="369"/>
      <c r="D421" s="369"/>
      <c r="E421" s="369"/>
      <c r="F421" s="452"/>
      <c r="G421" s="369"/>
      <c r="H421" s="369"/>
      <c r="I421" s="470"/>
      <c r="J421" s="369"/>
      <c r="K421" s="453"/>
      <c r="L421" s="454"/>
      <c r="M421" s="369"/>
      <c r="N421" s="369"/>
      <c r="O421" s="455"/>
    </row>
    <row r="422" spans="1:15" x14ac:dyDescent="0.2">
      <c r="A422" s="369"/>
      <c r="B422" s="369"/>
      <c r="C422" s="369"/>
      <c r="D422" s="369"/>
      <c r="E422" s="369"/>
      <c r="F422" s="452"/>
      <c r="G422" s="369"/>
      <c r="H422" s="369"/>
      <c r="I422" s="470"/>
      <c r="J422" s="369"/>
      <c r="K422" s="453"/>
      <c r="L422" s="454"/>
      <c r="M422" s="369"/>
      <c r="N422" s="369"/>
      <c r="O422" s="455"/>
    </row>
    <row r="423" spans="1:15" x14ac:dyDescent="0.2">
      <c r="A423" s="369"/>
      <c r="B423" s="369"/>
      <c r="C423" s="369"/>
      <c r="D423" s="369"/>
      <c r="E423" s="369"/>
      <c r="F423" s="452"/>
      <c r="G423" s="369"/>
      <c r="H423" s="369"/>
      <c r="I423" s="470"/>
      <c r="J423" s="369"/>
      <c r="K423" s="453"/>
      <c r="L423" s="454"/>
      <c r="M423" s="369"/>
      <c r="N423" s="369"/>
      <c r="O423" s="455"/>
    </row>
    <row r="424" spans="1:15" x14ac:dyDescent="0.2">
      <c r="A424" s="369"/>
      <c r="B424" s="369"/>
      <c r="C424" s="369"/>
      <c r="D424" s="369"/>
      <c r="E424" s="369"/>
      <c r="F424" s="452"/>
      <c r="G424" s="369"/>
      <c r="H424" s="369"/>
      <c r="I424" s="470"/>
      <c r="J424" s="369"/>
      <c r="K424" s="453"/>
      <c r="L424" s="454"/>
      <c r="M424" s="369"/>
      <c r="N424" s="369"/>
      <c r="O424" s="455"/>
    </row>
    <row r="425" spans="1:15" x14ac:dyDescent="0.2">
      <c r="A425" s="369"/>
      <c r="B425" s="369"/>
      <c r="C425" s="369"/>
      <c r="D425" s="369"/>
      <c r="E425" s="369"/>
      <c r="F425" s="452"/>
      <c r="G425" s="369"/>
      <c r="H425" s="369"/>
      <c r="I425" s="470"/>
      <c r="J425" s="369"/>
      <c r="K425" s="453"/>
      <c r="L425" s="454"/>
      <c r="M425" s="369"/>
      <c r="N425" s="369"/>
      <c r="O425" s="455"/>
    </row>
    <row r="426" spans="1:15" x14ac:dyDescent="0.2">
      <c r="A426" s="369"/>
      <c r="B426" s="369"/>
      <c r="C426" s="369"/>
      <c r="D426" s="369"/>
      <c r="E426" s="369"/>
      <c r="F426" s="452"/>
      <c r="G426" s="369"/>
      <c r="H426" s="369"/>
      <c r="I426" s="470"/>
      <c r="J426" s="369"/>
      <c r="K426" s="453"/>
      <c r="L426" s="454"/>
      <c r="M426" s="369"/>
      <c r="N426" s="369"/>
      <c r="O426" s="455"/>
    </row>
    <row r="427" spans="1:15" x14ac:dyDescent="0.2">
      <c r="A427" s="369"/>
      <c r="B427" s="369"/>
      <c r="C427" s="369"/>
      <c r="D427" s="369"/>
      <c r="E427" s="369"/>
      <c r="F427" s="452"/>
      <c r="G427" s="369"/>
      <c r="H427" s="369"/>
      <c r="I427" s="470"/>
      <c r="J427" s="369"/>
      <c r="K427" s="453"/>
      <c r="L427" s="454"/>
      <c r="M427" s="369"/>
      <c r="N427" s="369"/>
      <c r="O427" s="455"/>
    </row>
    <row r="428" spans="1:15" x14ac:dyDescent="0.2">
      <c r="A428" s="369"/>
      <c r="B428" s="369"/>
      <c r="C428" s="369"/>
      <c r="D428" s="369"/>
      <c r="E428" s="369"/>
      <c r="F428" s="452"/>
      <c r="G428" s="369"/>
      <c r="H428" s="369"/>
      <c r="I428" s="470"/>
      <c r="J428" s="369"/>
      <c r="K428" s="453"/>
      <c r="L428" s="454"/>
      <c r="M428" s="369"/>
      <c r="N428" s="369"/>
      <c r="O428" s="455"/>
    </row>
    <row r="429" spans="1:15" x14ac:dyDescent="0.2">
      <c r="A429" s="369"/>
      <c r="B429" s="369"/>
      <c r="C429" s="369"/>
      <c r="D429" s="369"/>
      <c r="E429" s="369"/>
      <c r="F429" s="452"/>
      <c r="G429" s="369"/>
      <c r="H429" s="369"/>
      <c r="I429" s="470"/>
      <c r="J429" s="369"/>
      <c r="K429" s="453"/>
      <c r="L429" s="454"/>
      <c r="M429" s="369"/>
      <c r="N429" s="369"/>
      <c r="O429" s="455"/>
    </row>
    <row r="430" spans="1:15" x14ac:dyDescent="0.2">
      <c r="A430" s="369"/>
      <c r="B430" s="369"/>
      <c r="C430" s="369"/>
      <c r="D430" s="369"/>
      <c r="E430" s="369"/>
      <c r="F430" s="452"/>
      <c r="G430" s="369"/>
      <c r="H430" s="369"/>
      <c r="I430" s="470"/>
      <c r="J430" s="369"/>
      <c r="K430" s="453"/>
      <c r="L430" s="454"/>
      <c r="M430" s="369"/>
      <c r="N430" s="369"/>
      <c r="O430" s="455"/>
    </row>
    <row r="431" spans="1:15" x14ac:dyDescent="0.2">
      <c r="A431" s="369"/>
      <c r="B431" s="369"/>
      <c r="C431" s="369"/>
      <c r="D431" s="369"/>
      <c r="E431" s="369"/>
      <c r="F431" s="452"/>
      <c r="G431" s="369"/>
      <c r="H431" s="369"/>
      <c r="I431" s="470"/>
      <c r="J431" s="369"/>
      <c r="K431" s="453"/>
      <c r="L431" s="454"/>
      <c r="M431" s="369"/>
      <c r="N431" s="369"/>
      <c r="O431" s="455"/>
    </row>
    <row r="432" spans="1:15" x14ac:dyDescent="0.2">
      <c r="A432" s="369"/>
      <c r="B432" s="369"/>
      <c r="C432" s="369"/>
      <c r="D432" s="369"/>
      <c r="E432" s="369"/>
      <c r="F432" s="452"/>
      <c r="G432" s="369"/>
      <c r="H432" s="369"/>
      <c r="I432" s="470"/>
      <c r="J432" s="369"/>
      <c r="K432" s="453"/>
      <c r="L432" s="454"/>
      <c r="M432" s="369"/>
      <c r="N432" s="369"/>
      <c r="O432" s="455"/>
    </row>
    <row r="433" spans="1:15" x14ac:dyDescent="0.2">
      <c r="A433" s="369"/>
      <c r="B433" s="369"/>
      <c r="C433" s="369"/>
      <c r="D433" s="369"/>
      <c r="E433" s="369"/>
      <c r="F433" s="452"/>
      <c r="G433" s="369"/>
      <c r="H433" s="369"/>
      <c r="I433" s="470"/>
      <c r="J433" s="369"/>
      <c r="K433" s="453"/>
      <c r="L433" s="454"/>
      <c r="M433" s="369"/>
      <c r="N433" s="369"/>
      <c r="O433" s="455"/>
    </row>
    <row r="434" spans="1:15" x14ac:dyDescent="0.2">
      <c r="A434" s="369"/>
      <c r="B434" s="369"/>
      <c r="C434" s="369"/>
      <c r="D434" s="369"/>
      <c r="E434" s="369"/>
      <c r="F434" s="452"/>
      <c r="G434" s="369"/>
      <c r="H434" s="369"/>
      <c r="I434" s="470"/>
      <c r="J434" s="369"/>
      <c r="K434" s="453"/>
      <c r="L434" s="454"/>
      <c r="M434" s="369"/>
      <c r="N434" s="369"/>
      <c r="O434" s="455"/>
    </row>
    <row r="435" spans="1:15" x14ac:dyDescent="0.2">
      <c r="A435" s="369"/>
      <c r="B435" s="369"/>
      <c r="C435" s="369"/>
      <c r="D435" s="369"/>
      <c r="E435" s="369"/>
      <c r="F435" s="452"/>
      <c r="G435" s="369"/>
      <c r="H435" s="369"/>
      <c r="I435" s="470"/>
      <c r="J435" s="369"/>
      <c r="K435" s="453"/>
      <c r="L435" s="454"/>
      <c r="M435" s="369"/>
      <c r="N435" s="369"/>
      <c r="O435" s="455"/>
    </row>
    <row r="436" spans="1:15" x14ac:dyDescent="0.2">
      <c r="A436" s="369"/>
      <c r="B436" s="369"/>
      <c r="C436" s="369"/>
      <c r="D436" s="369"/>
      <c r="E436" s="369"/>
      <c r="F436" s="452"/>
      <c r="G436" s="369"/>
      <c r="H436" s="369"/>
      <c r="I436" s="470"/>
      <c r="J436" s="369"/>
      <c r="K436" s="453"/>
      <c r="L436" s="454"/>
      <c r="M436" s="369"/>
      <c r="N436" s="369"/>
      <c r="O436" s="455"/>
    </row>
    <row r="437" spans="1:15" x14ac:dyDescent="0.2">
      <c r="A437" s="369"/>
      <c r="B437" s="369"/>
      <c r="C437" s="369"/>
      <c r="D437" s="369"/>
      <c r="E437" s="369"/>
      <c r="F437" s="452"/>
      <c r="G437" s="369"/>
      <c r="H437" s="369"/>
      <c r="I437" s="470"/>
      <c r="J437" s="369"/>
      <c r="K437" s="453"/>
      <c r="L437" s="454"/>
      <c r="M437" s="369"/>
      <c r="N437" s="369"/>
      <c r="O437" s="455"/>
    </row>
    <row r="438" spans="1:15" x14ac:dyDescent="0.2">
      <c r="A438" s="369"/>
      <c r="B438" s="369"/>
      <c r="C438" s="369"/>
      <c r="D438" s="369"/>
      <c r="E438" s="369"/>
      <c r="F438" s="452"/>
      <c r="G438" s="369"/>
      <c r="H438" s="369"/>
      <c r="I438" s="470"/>
      <c r="J438" s="369"/>
      <c r="K438" s="453"/>
      <c r="L438" s="454"/>
      <c r="M438" s="369"/>
      <c r="N438" s="369"/>
      <c r="O438" s="455"/>
    </row>
    <row r="439" spans="1:15" x14ac:dyDescent="0.2">
      <c r="A439" s="369"/>
      <c r="B439" s="369"/>
      <c r="C439" s="369"/>
      <c r="D439" s="369"/>
      <c r="E439" s="369"/>
      <c r="F439" s="452"/>
      <c r="G439" s="369"/>
      <c r="H439" s="369"/>
      <c r="I439" s="470"/>
      <c r="J439" s="369"/>
      <c r="K439" s="453"/>
      <c r="L439" s="454"/>
      <c r="M439" s="369"/>
      <c r="N439" s="369"/>
      <c r="O439" s="455"/>
    </row>
    <row r="440" spans="1:15" x14ac:dyDescent="0.2">
      <c r="A440" s="369"/>
      <c r="B440" s="369"/>
      <c r="C440" s="369"/>
      <c r="D440" s="369"/>
      <c r="E440" s="369"/>
      <c r="F440" s="452"/>
      <c r="G440" s="369"/>
      <c r="H440" s="369"/>
      <c r="I440" s="470"/>
      <c r="J440" s="369"/>
      <c r="K440" s="453"/>
      <c r="L440" s="454"/>
      <c r="M440" s="369"/>
      <c r="N440" s="369"/>
      <c r="O440" s="455"/>
    </row>
    <row r="441" spans="1:15" x14ac:dyDescent="0.2">
      <c r="A441" s="369"/>
      <c r="B441" s="369"/>
      <c r="C441" s="369"/>
      <c r="D441" s="369"/>
      <c r="E441" s="369"/>
      <c r="F441" s="452"/>
      <c r="G441" s="369"/>
      <c r="H441" s="369"/>
      <c r="I441" s="470"/>
      <c r="J441" s="369"/>
      <c r="K441" s="453"/>
      <c r="L441" s="454"/>
      <c r="M441" s="369"/>
      <c r="N441" s="369"/>
      <c r="O441" s="455"/>
    </row>
    <row r="442" spans="1:15" x14ac:dyDescent="0.2">
      <c r="A442" s="369"/>
      <c r="B442" s="369"/>
      <c r="C442" s="369"/>
      <c r="D442" s="369"/>
      <c r="E442" s="369"/>
      <c r="F442" s="452"/>
      <c r="G442" s="369"/>
      <c r="H442" s="369"/>
      <c r="I442" s="470"/>
      <c r="J442" s="369"/>
      <c r="K442" s="453"/>
      <c r="L442" s="454"/>
      <c r="M442" s="369"/>
      <c r="N442" s="369"/>
      <c r="O442" s="455"/>
    </row>
    <row r="443" spans="1:15" x14ac:dyDescent="0.2">
      <c r="A443" s="369"/>
      <c r="B443" s="369"/>
      <c r="C443" s="369"/>
      <c r="D443" s="369"/>
      <c r="E443" s="369"/>
      <c r="F443" s="452"/>
      <c r="G443" s="369"/>
      <c r="H443" s="369"/>
      <c r="I443" s="470"/>
      <c r="J443" s="369"/>
      <c r="K443" s="453"/>
      <c r="L443" s="454"/>
      <c r="M443" s="369"/>
      <c r="N443" s="369"/>
      <c r="O443" s="455"/>
    </row>
    <row r="444" spans="1:15" x14ac:dyDescent="0.2">
      <c r="A444" s="369"/>
      <c r="B444" s="369"/>
      <c r="C444" s="369"/>
      <c r="D444" s="369"/>
      <c r="E444" s="369"/>
      <c r="F444" s="452"/>
      <c r="G444" s="369"/>
      <c r="H444" s="369"/>
      <c r="I444" s="470"/>
      <c r="J444" s="369"/>
      <c r="K444" s="453"/>
      <c r="L444" s="454"/>
      <c r="M444" s="369"/>
      <c r="N444" s="369"/>
      <c r="O444" s="455"/>
    </row>
    <row r="445" spans="1:15" x14ac:dyDescent="0.2">
      <c r="A445" s="369"/>
      <c r="B445" s="369"/>
      <c r="C445" s="369"/>
      <c r="D445" s="369"/>
      <c r="E445" s="369"/>
      <c r="F445" s="452"/>
      <c r="G445" s="369"/>
      <c r="H445" s="369"/>
      <c r="I445" s="470"/>
      <c r="J445" s="369"/>
      <c r="K445" s="453"/>
      <c r="L445" s="454"/>
      <c r="M445" s="369"/>
      <c r="N445" s="369"/>
      <c r="O445" s="455"/>
    </row>
    <row r="446" spans="1:15" x14ac:dyDescent="0.2">
      <c r="A446" s="369"/>
      <c r="B446" s="369"/>
      <c r="C446" s="369"/>
      <c r="D446" s="369"/>
      <c r="E446" s="369"/>
      <c r="F446" s="452"/>
      <c r="G446" s="369"/>
      <c r="H446" s="369"/>
      <c r="I446" s="470"/>
      <c r="J446" s="369"/>
      <c r="K446" s="453"/>
      <c r="L446" s="454"/>
      <c r="M446" s="369"/>
      <c r="N446" s="369"/>
      <c r="O446" s="455"/>
    </row>
    <row r="447" spans="1:15" x14ac:dyDescent="0.2">
      <c r="A447" s="369"/>
      <c r="B447" s="369"/>
      <c r="C447" s="369"/>
      <c r="D447" s="369"/>
      <c r="E447" s="369"/>
      <c r="F447" s="452"/>
      <c r="G447" s="369"/>
      <c r="H447" s="369"/>
      <c r="I447" s="470"/>
      <c r="J447" s="369"/>
      <c r="K447" s="453"/>
      <c r="L447" s="454"/>
      <c r="M447" s="369"/>
      <c r="N447" s="369"/>
      <c r="O447" s="455"/>
    </row>
    <row r="448" spans="1:15" x14ac:dyDescent="0.2">
      <c r="A448" s="369"/>
      <c r="B448" s="369"/>
      <c r="C448" s="369"/>
      <c r="D448" s="369"/>
      <c r="E448" s="369"/>
      <c r="F448" s="452"/>
      <c r="G448" s="369"/>
      <c r="H448" s="369"/>
      <c r="I448" s="470"/>
      <c r="J448" s="369"/>
      <c r="K448" s="453"/>
      <c r="L448" s="454"/>
      <c r="M448" s="369"/>
      <c r="N448" s="369"/>
      <c r="O448" s="455"/>
    </row>
    <row r="449" spans="1:15" x14ac:dyDescent="0.2">
      <c r="A449" s="369"/>
      <c r="B449" s="369"/>
      <c r="C449" s="369"/>
      <c r="D449" s="369"/>
      <c r="E449" s="369"/>
      <c r="F449" s="452"/>
      <c r="G449" s="369"/>
      <c r="H449" s="369"/>
      <c r="I449" s="470"/>
      <c r="J449" s="369"/>
      <c r="K449" s="453"/>
      <c r="L449" s="454"/>
      <c r="M449" s="369"/>
      <c r="N449" s="369"/>
      <c r="O449" s="455"/>
    </row>
    <row r="450" spans="1:15" x14ac:dyDescent="0.2">
      <c r="A450" s="369"/>
      <c r="B450" s="369"/>
      <c r="C450" s="369"/>
      <c r="D450" s="369"/>
      <c r="E450" s="369"/>
      <c r="F450" s="452"/>
      <c r="G450" s="369"/>
      <c r="H450" s="369"/>
      <c r="I450" s="470"/>
      <c r="J450" s="369"/>
      <c r="K450" s="453"/>
      <c r="L450" s="454"/>
      <c r="M450" s="369"/>
      <c r="N450" s="369"/>
      <c r="O450" s="455"/>
    </row>
    <row r="451" spans="1:15" x14ac:dyDescent="0.2">
      <c r="A451" s="369"/>
      <c r="B451" s="369"/>
      <c r="C451" s="369"/>
      <c r="D451" s="369"/>
      <c r="E451" s="369"/>
      <c r="F451" s="452"/>
      <c r="G451" s="369"/>
      <c r="H451" s="369"/>
      <c r="I451" s="470"/>
      <c r="J451" s="369"/>
      <c r="K451" s="453"/>
      <c r="L451" s="454"/>
      <c r="M451" s="369"/>
      <c r="N451" s="369"/>
      <c r="O451" s="455"/>
    </row>
    <row r="452" spans="1:15" x14ac:dyDescent="0.2">
      <c r="A452" s="369"/>
      <c r="B452" s="369"/>
      <c r="C452" s="369"/>
      <c r="D452" s="369"/>
      <c r="E452" s="369"/>
      <c r="F452" s="452"/>
      <c r="G452" s="369"/>
      <c r="H452" s="369"/>
      <c r="I452" s="470"/>
      <c r="J452" s="369"/>
      <c r="K452" s="453"/>
      <c r="L452" s="454"/>
      <c r="M452" s="369"/>
      <c r="N452" s="369"/>
      <c r="O452" s="455"/>
    </row>
    <row r="453" spans="1:15" x14ac:dyDescent="0.2">
      <c r="A453" s="369"/>
      <c r="B453" s="369"/>
      <c r="C453" s="369"/>
      <c r="D453" s="369"/>
      <c r="E453" s="369"/>
      <c r="F453" s="452"/>
      <c r="G453" s="369"/>
      <c r="H453" s="369"/>
      <c r="I453" s="470"/>
      <c r="J453" s="369"/>
      <c r="K453" s="453"/>
      <c r="L453" s="454"/>
      <c r="M453" s="369"/>
      <c r="N453" s="369"/>
      <c r="O453" s="455"/>
    </row>
    <row r="454" spans="1:15" x14ac:dyDescent="0.2">
      <c r="A454" s="369"/>
      <c r="B454" s="369"/>
      <c r="C454" s="369"/>
      <c r="D454" s="369"/>
      <c r="E454" s="369"/>
      <c r="F454" s="452"/>
      <c r="G454" s="369"/>
      <c r="H454" s="369"/>
      <c r="I454" s="470"/>
      <c r="J454" s="369"/>
      <c r="K454" s="453"/>
      <c r="L454" s="454"/>
      <c r="M454" s="369"/>
      <c r="N454" s="369"/>
      <c r="O454" s="455"/>
    </row>
    <row r="455" spans="1:15" x14ac:dyDescent="0.2">
      <c r="A455" s="369"/>
      <c r="B455" s="369"/>
      <c r="C455" s="369"/>
      <c r="D455" s="369"/>
      <c r="E455" s="369"/>
      <c r="F455" s="452"/>
      <c r="G455" s="369"/>
      <c r="H455" s="369"/>
      <c r="I455" s="470"/>
      <c r="J455" s="369"/>
      <c r="K455" s="453"/>
      <c r="L455" s="454"/>
      <c r="M455" s="369"/>
      <c r="N455" s="369"/>
      <c r="O455" s="455"/>
    </row>
    <row r="456" spans="1:15" x14ac:dyDescent="0.2">
      <c r="A456" s="369"/>
      <c r="B456" s="369"/>
      <c r="C456" s="369"/>
      <c r="D456" s="369"/>
      <c r="E456" s="369"/>
      <c r="F456" s="452"/>
      <c r="G456" s="369"/>
      <c r="H456" s="369"/>
      <c r="I456" s="470"/>
      <c r="J456" s="369"/>
      <c r="K456" s="453"/>
      <c r="L456" s="454"/>
      <c r="M456" s="369"/>
      <c r="N456" s="369"/>
      <c r="O456" s="455"/>
    </row>
    <row r="457" spans="1:15" x14ac:dyDescent="0.2">
      <c r="A457" s="369"/>
      <c r="B457" s="369"/>
      <c r="C457" s="369"/>
      <c r="D457" s="369"/>
      <c r="E457" s="369"/>
      <c r="F457" s="452"/>
      <c r="G457" s="369"/>
      <c r="H457" s="369"/>
      <c r="I457" s="470"/>
      <c r="J457" s="369"/>
      <c r="K457" s="453"/>
      <c r="L457" s="454"/>
      <c r="M457" s="369"/>
      <c r="N457" s="369"/>
      <c r="O457" s="455"/>
    </row>
    <row r="458" spans="1:15" x14ac:dyDescent="0.2">
      <c r="A458" s="369"/>
      <c r="B458" s="369"/>
      <c r="C458" s="369"/>
      <c r="D458" s="369"/>
      <c r="E458" s="369"/>
      <c r="F458" s="452"/>
      <c r="G458" s="369"/>
      <c r="H458" s="369"/>
      <c r="I458" s="470"/>
      <c r="J458" s="369"/>
      <c r="K458" s="453"/>
      <c r="L458" s="454"/>
      <c r="M458" s="369"/>
      <c r="N458" s="369"/>
      <c r="O458" s="455"/>
    </row>
    <row r="459" spans="1:15" x14ac:dyDescent="0.2">
      <c r="A459" s="369"/>
      <c r="B459" s="369"/>
      <c r="C459" s="369"/>
      <c r="D459" s="369"/>
      <c r="E459" s="369"/>
      <c r="F459" s="452"/>
      <c r="G459" s="369"/>
      <c r="H459" s="369"/>
      <c r="I459" s="470"/>
      <c r="J459" s="369"/>
      <c r="K459" s="453"/>
      <c r="L459" s="454"/>
      <c r="M459" s="369"/>
      <c r="N459" s="369"/>
      <c r="O459" s="455"/>
    </row>
    <row r="460" spans="1:15" x14ac:dyDescent="0.2">
      <c r="A460" s="369"/>
      <c r="B460" s="369"/>
      <c r="C460" s="369"/>
      <c r="D460" s="369"/>
      <c r="E460" s="369"/>
      <c r="F460" s="452"/>
      <c r="G460" s="369"/>
      <c r="H460" s="369"/>
      <c r="I460" s="470"/>
      <c r="J460" s="369"/>
      <c r="K460" s="453"/>
      <c r="L460" s="454"/>
      <c r="M460" s="369"/>
      <c r="N460" s="369"/>
      <c r="O460" s="455"/>
    </row>
    <row r="461" spans="1:15" x14ac:dyDescent="0.2">
      <c r="A461" s="369"/>
      <c r="B461" s="369"/>
      <c r="C461" s="369"/>
      <c r="D461" s="369"/>
      <c r="E461" s="369"/>
      <c r="F461" s="452"/>
      <c r="G461" s="369"/>
      <c r="H461" s="369"/>
      <c r="I461" s="470"/>
      <c r="J461" s="369"/>
      <c r="K461" s="453"/>
      <c r="L461" s="454"/>
      <c r="M461" s="369"/>
      <c r="N461" s="369"/>
      <c r="O461" s="455"/>
    </row>
    <row r="462" spans="1:15" x14ac:dyDescent="0.2">
      <c r="A462" s="369"/>
      <c r="B462" s="369"/>
      <c r="C462" s="369"/>
      <c r="D462" s="369"/>
      <c r="E462" s="369"/>
      <c r="F462" s="452"/>
      <c r="G462" s="369"/>
      <c r="H462" s="369"/>
      <c r="I462" s="470"/>
      <c r="J462" s="369"/>
      <c r="K462" s="453"/>
      <c r="L462" s="454"/>
      <c r="M462" s="369"/>
      <c r="N462" s="369"/>
      <c r="O462" s="455"/>
    </row>
    <row r="463" spans="1:15" x14ac:dyDescent="0.2">
      <c r="A463" s="369"/>
      <c r="B463" s="369"/>
      <c r="C463" s="369"/>
      <c r="D463" s="369"/>
      <c r="E463" s="369"/>
      <c r="F463" s="452"/>
      <c r="G463" s="369"/>
      <c r="H463" s="369"/>
      <c r="I463" s="470"/>
      <c r="J463" s="369"/>
      <c r="K463" s="453"/>
      <c r="L463" s="454"/>
      <c r="M463" s="369"/>
      <c r="N463" s="369"/>
      <c r="O463" s="455"/>
    </row>
    <row r="464" spans="1:15" x14ac:dyDescent="0.2">
      <c r="A464" s="369"/>
      <c r="B464" s="369"/>
      <c r="C464" s="369"/>
      <c r="D464" s="369"/>
      <c r="E464" s="369"/>
      <c r="F464" s="452"/>
      <c r="G464" s="369"/>
      <c r="H464" s="369"/>
      <c r="I464" s="470"/>
      <c r="J464" s="369"/>
      <c r="K464" s="453"/>
      <c r="L464" s="454"/>
      <c r="M464" s="369"/>
      <c r="N464" s="369"/>
      <c r="O464" s="455"/>
    </row>
    <row r="465" spans="1:15" x14ac:dyDescent="0.2">
      <c r="A465" s="369"/>
      <c r="B465" s="369"/>
      <c r="C465" s="369"/>
      <c r="D465" s="369"/>
      <c r="E465" s="369"/>
      <c r="F465" s="452"/>
      <c r="G465" s="369"/>
      <c r="H465" s="369"/>
      <c r="I465" s="470"/>
      <c r="J465" s="369"/>
      <c r="K465" s="453"/>
      <c r="L465" s="454"/>
      <c r="M465" s="369"/>
      <c r="N465" s="369"/>
      <c r="O465" s="455"/>
    </row>
    <row r="466" spans="1:15" x14ac:dyDescent="0.2">
      <c r="A466" s="369"/>
      <c r="B466" s="369"/>
      <c r="C466" s="369"/>
      <c r="D466" s="369"/>
      <c r="E466" s="369"/>
      <c r="F466" s="452"/>
      <c r="G466" s="369"/>
      <c r="H466" s="369"/>
      <c r="I466" s="470"/>
      <c r="J466" s="369"/>
      <c r="K466" s="453"/>
      <c r="L466" s="454"/>
      <c r="M466" s="369"/>
      <c r="N466" s="369"/>
      <c r="O466" s="455"/>
    </row>
    <row r="467" spans="1:15" x14ac:dyDescent="0.2">
      <c r="A467" s="369"/>
      <c r="B467" s="369"/>
      <c r="C467" s="369"/>
      <c r="D467" s="369"/>
      <c r="E467" s="369"/>
      <c r="F467" s="452"/>
      <c r="G467" s="369"/>
      <c r="H467" s="369"/>
      <c r="I467" s="470"/>
      <c r="J467" s="369"/>
      <c r="K467" s="453"/>
      <c r="L467" s="454"/>
      <c r="M467" s="369"/>
      <c r="N467" s="369"/>
      <c r="O467" s="455"/>
    </row>
    <row r="468" spans="1:15" x14ac:dyDescent="0.2">
      <c r="A468" s="369"/>
      <c r="B468" s="369"/>
      <c r="C468" s="369"/>
      <c r="D468" s="369"/>
      <c r="E468" s="369"/>
      <c r="F468" s="452"/>
      <c r="G468" s="369"/>
      <c r="H468" s="369"/>
      <c r="I468" s="470"/>
      <c r="J468" s="369"/>
      <c r="K468" s="453"/>
      <c r="L468" s="454"/>
      <c r="M468" s="369"/>
      <c r="N468" s="369"/>
      <c r="O468" s="455"/>
    </row>
    <row r="469" spans="1:15" x14ac:dyDescent="0.2">
      <c r="A469" s="369"/>
      <c r="B469" s="369"/>
      <c r="C469" s="369"/>
      <c r="D469" s="369"/>
      <c r="E469" s="369"/>
      <c r="F469" s="452"/>
      <c r="G469" s="369"/>
      <c r="H469" s="369"/>
      <c r="I469" s="470"/>
      <c r="J469" s="369"/>
      <c r="K469" s="453"/>
      <c r="L469" s="454"/>
      <c r="M469" s="369"/>
      <c r="N469" s="369"/>
      <c r="O469" s="455"/>
    </row>
    <row r="470" spans="1:15" x14ac:dyDescent="0.2">
      <c r="A470" s="369"/>
      <c r="B470" s="369"/>
      <c r="C470" s="369"/>
      <c r="D470" s="369"/>
      <c r="E470" s="369"/>
      <c r="F470" s="452"/>
      <c r="G470" s="369"/>
      <c r="H470" s="369"/>
      <c r="I470" s="470"/>
      <c r="J470" s="369"/>
      <c r="K470" s="453"/>
      <c r="L470" s="454"/>
      <c r="M470" s="369"/>
      <c r="N470" s="369"/>
      <c r="O470" s="455"/>
    </row>
    <row r="471" spans="1:15" x14ac:dyDescent="0.2">
      <c r="A471" s="369"/>
      <c r="B471" s="369"/>
      <c r="C471" s="369"/>
      <c r="D471" s="369"/>
      <c r="E471" s="369"/>
      <c r="F471" s="452"/>
      <c r="G471" s="369"/>
      <c r="H471" s="369"/>
      <c r="I471" s="470"/>
      <c r="J471" s="369"/>
      <c r="K471" s="453"/>
      <c r="L471" s="454"/>
      <c r="M471" s="369"/>
      <c r="N471" s="369"/>
      <c r="O471" s="455"/>
    </row>
    <row r="472" spans="1:15" x14ac:dyDescent="0.2">
      <c r="A472" s="369"/>
      <c r="B472" s="369"/>
      <c r="C472" s="369"/>
      <c r="D472" s="369"/>
      <c r="E472" s="369"/>
      <c r="F472" s="452"/>
      <c r="G472" s="369"/>
      <c r="H472" s="369"/>
      <c r="I472" s="470"/>
      <c r="J472" s="369"/>
      <c r="K472" s="453"/>
      <c r="L472" s="454"/>
      <c r="M472" s="369"/>
      <c r="N472" s="369"/>
      <c r="O472" s="455"/>
    </row>
    <row r="473" spans="1:15" x14ac:dyDescent="0.2">
      <c r="A473" s="369"/>
      <c r="B473" s="369"/>
      <c r="C473" s="369"/>
      <c r="D473" s="369"/>
      <c r="E473" s="369"/>
      <c r="F473" s="452"/>
      <c r="G473" s="369"/>
      <c r="H473" s="369"/>
      <c r="I473" s="470"/>
      <c r="J473" s="369"/>
      <c r="K473" s="453"/>
      <c r="L473" s="454"/>
      <c r="M473" s="369"/>
      <c r="N473" s="369"/>
      <c r="O473" s="455"/>
    </row>
    <row r="474" spans="1:15" x14ac:dyDescent="0.2">
      <c r="A474" s="369"/>
      <c r="B474" s="369"/>
      <c r="C474" s="369"/>
      <c r="D474" s="369"/>
      <c r="E474" s="369"/>
      <c r="F474" s="452"/>
      <c r="G474" s="369"/>
      <c r="H474" s="369"/>
      <c r="I474" s="470"/>
      <c r="J474" s="369"/>
      <c r="K474" s="453"/>
      <c r="L474" s="454"/>
      <c r="M474" s="369"/>
      <c r="N474" s="369"/>
      <c r="O474" s="455"/>
    </row>
    <row r="475" spans="1:15" x14ac:dyDescent="0.2">
      <c r="A475" s="369"/>
      <c r="B475" s="369"/>
      <c r="C475" s="369"/>
      <c r="D475" s="369"/>
      <c r="E475" s="369"/>
      <c r="F475" s="452"/>
      <c r="G475" s="369"/>
      <c r="H475" s="369"/>
      <c r="I475" s="470"/>
      <c r="J475" s="369"/>
      <c r="K475" s="453"/>
      <c r="L475" s="454"/>
      <c r="M475" s="369"/>
      <c r="N475" s="369"/>
      <c r="O475" s="455"/>
    </row>
    <row r="476" spans="1:15" x14ac:dyDescent="0.2">
      <c r="A476" s="369"/>
      <c r="B476" s="369"/>
      <c r="C476" s="369"/>
      <c r="D476" s="369"/>
      <c r="E476" s="369"/>
      <c r="F476" s="452"/>
      <c r="G476" s="369"/>
      <c r="H476" s="369"/>
      <c r="I476" s="470"/>
      <c r="J476" s="369"/>
      <c r="K476" s="453"/>
      <c r="L476" s="454"/>
      <c r="M476" s="369"/>
      <c r="N476" s="369"/>
      <c r="O476" s="455"/>
    </row>
    <row r="477" spans="1:15" x14ac:dyDescent="0.2">
      <c r="A477" s="369"/>
      <c r="B477" s="369"/>
      <c r="C477" s="369"/>
      <c r="D477" s="369"/>
      <c r="E477" s="369"/>
      <c r="F477" s="452"/>
      <c r="G477" s="369"/>
      <c r="H477" s="369"/>
      <c r="I477" s="470"/>
      <c r="J477" s="369"/>
      <c r="K477" s="453"/>
      <c r="L477" s="454"/>
      <c r="M477" s="369"/>
      <c r="N477" s="369"/>
      <c r="O477" s="455"/>
    </row>
    <row r="478" spans="1:15" x14ac:dyDescent="0.2">
      <c r="A478" s="369"/>
      <c r="B478" s="369"/>
      <c r="C478" s="369"/>
      <c r="D478" s="369"/>
      <c r="E478" s="369"/>
      <c r="F478" s="452"/>
      <c r="G478" s="369"/>
      <c r="H478" s="369"/>
      <c r="I478" s="470"/>
      <c r="J478" s="369"/>
      <c r="K478" s="453"/>
      <c r="L478" s="454"/>
      <c r="M478" s="369"/>
      <c r="N478" s="369"/>
      <c r="O478" s="455"/>
    </row>
    <row r="479" spans="1:15" x14ac:dyDescent="0.2">
      <c r="A479" s="369"/>
      <c r="B479" s="369"/>
      <c r="C479" s="369"/>
      <c r="D479" s="369"/>
      <c r="E479" s="369"/>
      <c r="F479" s="452"/>
      <c r="G479" s="369"/>
      <c r="H479" s="369"/>
      <c r="I479" s="470"/>
      <c r="J479" s="369"/>
      <c r="K479" s="453"/>
      <c r="L479" s="454"/>
      <c r="M479" s="369"/>
      <c r="N479" s="369"/>
      <c r="O479" s="455"/>
    </row>
    <row r="480" spans="1:15" x14ac:dyDescent="0.2">
      <c r="A480" s="369"/>
      <c r="B480" s="369"/>
      <c r="C480" s="369"/>
      <c r="D480" s="369"/>
      <c r="E480" s="369"/>
      <c r="F480" s="452"/>
      <c r="G480" s="369"/>
      <c r="H480" s="369"/>
      <c r="I480" s="470"/>
      <c r="J480" s="369"/>
      <c r="K480" s="453"/>
      <c r="L480" s="454"/>
      <c r="M480" s="369"/>
      <c r="N480" s="369"/>
      <c r="O480" s="455"/>
    </row>
    <row r="481" spans="1:15" x14ac:dyDescent="0.2">
      <c r="A481" s="369"/>
      <c r="B481" s="369"/>
      <c r="C481" s="369"/>
      <c r="D481" s="369"/>
      <c r="E481" s="369"/>
      <c r="F481" s="452"/>
      <c r="G481" s="369"/>
      <c r="H481" s="369"/>
      <c r="I481" s="470"/>
      <c r="J481" s="369"/>
      <c r="K481" s="453"/>
      <c r="L481" s="454"/>
      <c r="M481" s="369"/>
      <c r="N481" s="369"/>
      <c r="O481" s="455"/>
    </row>
    <row r="482" spans="1:15" x14ac:dyDescent="0.2">
      <c r="A482" s="369"/>
      <c r="B482" s="369"/>
      <c r="C482" s="369"/>
      <c r="D482" s="369"/>
      <c r="E482" s="369"/>
      <c r="F482" s="452"/>
      <c r="G482" s="369"/>
      <c r="H482" s="369"/>
      <c r="I482" s="470"/>
      <c r="J482" s="369"/>
      <c r="K482" s="453"/>
      <c r="L482" s="454"/>
      <c r="M482" s="369"/>
      <c r="N482" s="369"/>
      <c r="O482" s="455"/>
    </row>
    <row r="483" spans="1:15" x14ac:dyDescent="0.2">
      <c r="A483" s="369"/>
      <c r="B483" s="369"/>
      <c r="C483" s="369"/>
      <c r="D483" s="369"/>
      <c r="E483" s="369"/>
      <c r="F483" s="452"/>
      <c r="G483" s="369"/>
      <c r="H483" s="369"/>
      <c r="I483" s="470"/>
      <c r="J483" s="369"/>
      <c r="K483" s="453"/>
      <c r="L483" s="454"/>
      <c r="M483" s="369"/>
      <c r="N483" s="369"/>
      <c r="O483" s="455"/>
    </row>
    <row r="484" spans="1:15" x14ac:dyDescent="0.2">
      <c r="A484" s="369"/>
      <c r="B484" s="369"/>
      <c r="C484" s="369"/>
      <c r="D484" s="369"/>
      <c r="E484" s="369"/>
      <c r="F484" s="452"/>
      <c r="G484" s="369"/>
      <c r="H484" s="369"/>
      <c r="I484" s="470"/>
      <c r="J484" s="369"/>
      <c r="K484" s="453"/>
      <c r="L484" s="454"/>
      <c r="M484" s="369"/>
      <c r="N484" s="369"/>
      <c r="O484" s="455"/>
    </row>
    <row r="485" spans="1:15" x14ac:dyDescent="0.2">
      <c r="A485" s="369"/>
      <c r="B485" s="369"/>
      <c r="C485" s="369"/>
      <c r="D485" s="369"/>
      <c r="E485" s="369"/>
      <c r="F485" s="452"/>
      <c r="G485" s="369"/>
      <c r="H485" s="369"/>
      <c r="I485" s="470"/>
      <c r="J485" s="369"/>
      <c r="K485" s="453"/>
      <c r="L485" s="454"/>
      <c r="M485" s="369"/>
      <c r="N485" s="369"/>
      <c r="O485" s="455"/>
    </row>
    <row r="486" spans="1:15" x14ac:dyDescent="0.2">
      <c r="A486" s="369"/>
      <c r="B486" s="369"/>
      <c r="C486" s="369"/>
      <c r="D486" s="369"/>
      <c r="E486" s="369"/>
      <c r="F486" s="452"/>
      <c r="G486" s="369"/>
      <c r="H486" s="369"/>
      <c r="I486" s="470"/>
      <c r="J486" s="369"/>
      <c r="K486" s="453"/>
      <c r="L486" s="454"/>
      <c r="M486" s="369"/>
      <c r="N486" s="369"/>
      <c r="O486" s="455"/>
    </row>
    <row r="487" spans="1:15" x14ac:dyDescent="0.2">
      <c r="A487" s="369"/>
      <c r="B487" s="369"/>
      <c r="C487" s="369"/>
      <c r="D487" s="369"/>
      <c r="E487" s="369"/>
      <c r="F487" s="452"/>
      <c r="G487" s="369"/>
      <c r="H487" s="369"/>
      <c r="I487" s="470"/>
      <c r="J487" s="369"/>
      <c r="K487" s="453"/>
      <c r="L487" s="454"/>
      <c r="M487" s="369"/>
      <c r="N487" s="369"/>
      <c r="O487" s="455"/>
    </row>
    <row r="488" spans="1:15" x14ac:dyDescent="0.2">
      <c r="A488" s="369"/>
      <c r="B488" s="369"/>
      <c r="C488" s="369"/>
      <c r="D488" s="369"/>
      <c r="E488" s="369"/>
      <c r="F488" s="452"/>
      <c r="G488" s="369"/>
      <c r="H488" s="369"/>
      <c r="I488" s="470"/>
      <c r="J488" s="369"/>
      <c r="K488" s="453"/>
      <c r="L488" s="454"/>
      <c r="M488" s="369"/>
      <c r="N488" s="369"/>
      <c r="O488" s="455"/>
    </row>
    <row r="489" spans="1:15" x14ac:dyDescent="0.2">
      <c r="A489" s="369"/>
      <c r="B489" s="369"/>
      <c r="C489" s="369"/>
      <c r="D489" s="369"/>
      <c r="E489" s="369"/>
      <c r="F489" s="452"/>
      <c r="G489" s="369"/>
      <c r="H489" s="369"/>
      <c r="I489" s="470"/>
      <c r="J489" s="369"/>
      <c r="K489" s="453"/>
      <c r="L489" s="454"/>
      <c r="M489" s="369"/>
      <c r="N489" s="369"/>
      <c r="O489" s="455"/>
    </row>
    <row r="490" spans="1:15" x14ac:dyDescent="0.2">
      <c r="A490" s="369"/>
      <c r="B490" s="369"/>
      <c r="C490" s="369"/>
      <c r="D490" s="369"/>
      <c r="E490" s="369"/>
      <c r="F490" s="452"/>
      <c r="G490" s="369"/>
      <c r="H490" s="369"/>
      <c r="I490" s="470"/>
      <c r="J490" s="369"/>
      <c r="K490" s="453"/>
      <c r="L490" s="454"/>
      <c r="M490" s="369"/>
      <c r="N490" s="369"/>
      <c r="O490" s="455"/>
    </row>
    <row r="491" spans="1:15" x14ac:dyDescent="0.2">
      <c r="A491" s="369"/>
      <c r="B491" s="369"/>
      <c r="C491" s="369"/>
      <c r="D491" s="369"/>
      <c r="E491" s="369"/>
      <c r="F491" s="452"/>
      <c r="G491" s="369"/>
      <c r="H491" s="369"/>
      <c r="I491" s="470"/>
      <c r="J491" s="369"/>
      <c r="K491" s="453"/>
      <c r="L491" s="454"/>
      <c r="M491" s="369"/>
      <c r="N491" s="369"/>
      <c r="O491" s="455"/>
    </row>
    <row r="492" spans="1:15" x14ac:dyDescent="0.2">
      <c r="A492" s="369"/>
      <c r="B492" s="369"/>
      <c r="C492" s="369"/>
      <c r="D492" s="369"/>
      <c r="E492" s="369"/>
      <c r="F492" s="452"/>
      <c r="G492" s="369"/>
      <c r="H492" s="369"/>
      <c r="I492" s="470"/>
      <c r="J492" s="369"/>
      <c r="K492" s="453"/>
      <c r="L492" s="454"/>
      <c r="M492" s="369"/>
      <c r="N492" s="369"/>
      <c r="O492" s="455"/>
    </row>
    <row r="493" spans="1:15" x14ac:dyDescent="0.2">
      <c r="A493" s="369"/>
      <c r="B493" s="369"/>
      <c r="C493" s="369"/>
      <c r="D493" s="369"/>
      <c r="E493" s="369"/>
      <c r="F493" s="452"/>
      <c r="G493" s="369"/>
      <c r="H493" s="369"/>
      <c r="I493" s="470"/>
      <c r="J493" s="369"/>
      <c r="K493" s="453"/>
      <c r="L493" s="454"/>
      <c r="M493" s="369"/>
      <c r="N493" s="369"/>
      <c r="O493" s="455"/>
    </row>
    <row r="494" spans="1:15" x14ac:dyDescent="0.2">
      <c r="A494" s="369"/>
      <c r="B494" s="369"/>
      <c r="C494" s="369"/>
      <c r="D494" s="369"/>
      <c r="E494" s="369"/>
      <c r="F494" s="452"/>
      <c r="G494" s="369"/>
      <c r="H494" s="369"/>
      <c r="I494" s="470"/>
      <c r="J494" s="369"/>
      <c r="K494" s="453"/>
      <c r="L494" s="454"/>
      <c r="M494" s="369"/>
      <c r="N494" s="369"/>
      <c r="O494" s="455"/>
    </row>
    <row r="495" spans="1:15" x14ac:dyDescent="0.2">
      <c r="A495" s="369"/>
      <c r="B495" s="369"/>
      <c r="C495" s="369"/>
      <c r="D495" s="369"/>
      <c r="E495" s="369"/>
      <c r="F495" s="452"/>
      <c r="G495" s="369"/>
      <c r="H495" s="369"/>
      <c r="I495" s="470"/>
      <c r="J495" s="369"/>
      <c r="K495" s="453"/>
      <c r="L495" s="454"/>
      <c r="M495" s="369"/>
      <c r="N495" s="369"/>
      <c r="O495" s="455"/>
    </row>
    <row r="496" spans="1:15" x14ac:dyDescent="0.2">
      <c r="A496" s="369"/>
      <c r="B496" s="369"/>
      <c r="C496" s="369"/>
      <c r="D496" s="369"/>
      <c r="E496" s="369"/>
      <c r="F496" s="452"/>
      <c r="G496" s="369"/>
      <c r="H496" s="369"/>
      <c r="I496" s="470"/>
      <c r="J496" s="369"/>
      <c r="K496" s="453"/>
      <c r="L496" s="454"/>
      <c r="M496" s="369"/>
      <c r="N496" s="369"/>
      <c r="O496" s="455"/>
    </row>
    <row r="497" spans="1:15" x14ac:dyDescent="0.2">
      <c r="A497" s="369"/>
      <c r="B497" s="369"/>
      <c r="C497" s="369"/>
      <c r="D497" s="369"/>
      <c r="E497" s="369"/>
      <c r="F497" s="452"/>
      <c r="G497" s="369"/>
      <c r="H497" s="369"/>
      <c r="I497" s="470"/>
      <c r="J497" s="369"/>
      <c r="K497" s="453"/>
      <c r="L497" s="454"/>
      <c r="M497" s="369"/>
      <c r="N497" s="369"/>
      <c r="O497" s="455"/>
    </row>
    <row r="498" spans="1:15" x14ac:dyDescent="0.2">
      <c r="A498" s="369"/>
      <c r="B498" s="369"/>
      <c r="C498" s="369"/>
      <c r="D498" s="369"/>
      <c r="E498" s="369"/>
      <c r="F498" s="452"/>
      <c r="G498" s="369"/>
      <c r="H498" s="369"/>
      <c r="I498" s="470"/>
      <c r="J498" s="369"/>
      <c r="K498" s="453"/>
      <c r="L498" s="454"/>
      <c r="M498" s="369"/>
      <c r="N498" s="369"/>
      <c r="O498" s="455"/>
    </row>
    <row r="499" spans="1:15" x14ac:dyDescent="0.2">
      <c r="A499" s="369"/>
      <c r="B499" s="369"/>
      <c r="C499" s="369"/>
      <c r="D499" s="369"/>
      <c r="E499" s="369"/>
      <c r="F499" s="452"/>
      <c r="G499" s="369"/>
      <c r="H499" s="369"/>
      <c r="I499" s="470"/>
      <c r="J499" s="369"/>
      <c r="K499" s="453"/>
      <c r="L499" s="454"/>
      <c r="M499" s="369"/>
      <c r="N499" s="369"/>
      <c r="O499" s="455"/>
    </row>
    <row r="500" spans="1:15" x14ac:dyDescent="0.2">
      <c r="A500" s="369"/>
      <c r="B500" s="369"/>
      <c r="C500" s="369"/>
      <c r="D500" s="369"/>
      <c r="E500" s="369"/>
      <c r="F500" s="452"/>
      <c r="G500" s="369"/>
      <c r="H500" s="369"/>
      <c r="I500" s="470"/>
      <c r="J500" s="369"/>
      <c r="K500" s="453"/>
      <c r="L500" s="454"/>
      <c r="M500" s="369"/>
      <c r="N500" s="369"/>
      <c r="O500" s="455"/>
    </row>
    <row r="501" spans="1:15" x14ac:dyDescent="0.2">
      <c r="A501" s="369"/>
      <c r="B501" s="369"/>
      <c r="C501" s="369"/>
      <c r="D501" s="369"/>
      <c r="E501" s="369"/>
      <c r="F501" s="452"/>
      <c r="G501" s="369"/>
      <c r="H501" s="369"/>
      <c r="I501" s="470"/>
      <c r="J501" s="369"/>
      <c r="K501" s="453"/>
      <c r="L501" s="454"/>
      <c r="M501" s="369"/>
      <c r="N501" s="369"/>
      <c r="O501" s="455"/>
    </row>
    <row r="502" spans="1:15" x14ac:dyDescent="0.2">
      <c r="A502" s="369"/>
      <c r="B502" s="369"/>
      <c r="C502" s="369"/>
      <c r="D502" s="369"/>
      <c r="E502" s="369"/>
      <c r="F502" s="452"/>
      <c r="G502" s="369"/>
      <c r="H502" s="369"/>
      <c r="I502" s="470"/>
      <c r="J502" s="369"/>
      <c r="K502" s="453"/>
      <c r="L502" s="454"/>
      <c r="M502" s="369"/>
      <c r="N502" s="369"/>
      <c r="O502" s="455"/>
    </row>
    <row r="503" spans="1:15" x14ac:dyDescent="0.2">
      <c r="A503" s="369"/>
      <c r="B503" s="369"/>
      <c r="C503" s="369"/>
      <c r="D503" s="369"/>
      <c r="E503" s="369"/>
      <c r="F503" s="452"/>
      <c r="G503" s="369"/>
      <c r="H503" s="369"/>
      <c r="I503" s="470"/>
      <c r="J503" s="369"/>
      <c r="K503" s="453"/>
      <c r="L503" s="454"/>
      <c r="M503" s="369"/>
      <c r="N503" s="369"/>
      <c r="O503" s="455"/>
    </row>
    <row r="504" spans="1:15" x14ac:dyDescent="0.2">
      <c r="A504" s="369"/>
      <c r="B504" s="369"/>
      <c r="C504" s="369"/>
      <c r="D504" s="369"/>
      <c r="E504" s="369"/>
      <c r="F504" s="452"/>
      <c r="G504" s="369"/>
      <c r="H504" s="369"/>
      <c r="I504" s="470"/>
      <c r="J504" s="369"/>
      <c r="K504" s="453"/>
      <c r="L504" s="454"/>
      <c r="M504" s="369"/>
      <c r="N504" s="369"/>
      <c r="O504" s="455"/>
    </row>
    <row r="505" spans="1:15" x14ac:dyDescent="0.2">
      <c r="A505" s="369"/>
      <c r="B505" s="369"/>
      <c r="C505" s="369"/>
      <c r="D505" s="369"/>
      <c r="E505" s="369"/>
      <c r="F505" s="452"/>
      <c r="G505" s="369"/>
      <c r="H505" s="369"/>
      <c r="I505" s="470"/>
      <c r="J505" s="369"/>
      <c r="K505" s="453"/>
      <c r="L505" s="454"/>
      <c r="M505" s="369"/>
      <c r="N505" s="369"/>
      <c r="O505" s="455"/>
    </row>
    <row r="506" spans="1:15" x14ac:dyDescent="0.2">
      <c r="A506" s="369"/>
      <c r="B506" s="369"/>
      <c r="C506" s="369"/>
      <c r="D506" s="369"/>
      <c r="E506" s="369"/>
      <c r="F506" s="452"/>
      <c r="G506" s="369"/>
      <c r="H506" s="369"/>
      <c r="I506" s="470"/>
      <c r="J506" s="369"/>
      <c r="K506" s="453"/>
      <c r="L506" s="454"/>
      <c r="M506" s="369"/>
      <c r="N506" s="369"/>
      <c r="O506" s="455"/>
    </row>
    <row r="507" spans="1:15" x14ac:dyDescent="0.2">
      <c r="A507" s="369"/>
      <c r="B507" s="369"/>
      <c r="C507" s="369"/>
      <c r="D507" s="369"/>
      <c r="E507" s="369"/>
      <c r="F507" s="452"/>
      <c r="G507" s="369"/>
      <c r="H507" s="369"/>
      <c r="I507" s="470"/>
      <c r="J507" s="369"/>
      <c r="K507" s="453"/>
      <c r="L507" s="454"/>
      <c r="M507" s="369"/>
      <c r="N507" s="369"/>
      <c r="O507" s="455"/>
    </row>
    <row r="508" spans="1:15" x14ac:dyDescent="0.2">
      <c r="A508" s="369"/>
      <c r="B508" s="369"/>
      <c r="C508" s="369"/>
      <c r="D508" s="369"/>
      <c r="E508" s="369"/>
      <c r="F508" s="452"/>
      <c r="G508" s="369"/>
      <c r="H508" s="369"/>
      <c r="I508" s="470"/>
      <c r="J508" s="369"/>
      <c r="K508" s="453"/>
      <c r="L508" s="454"/>
      <c r="M508" s="369"/>
      <c r="N508" s="369"/>
      <c r="O508" s="455"/>
    </row>
    <row r="509" spans="1:15" x14ac:dyDescent="0.2">
      <c r="A509" s="369"/>
      <c r="B509" s="369"/>
      <c r="C509" s="369"/>
      <c r="D509" s="369"/>
      <c r="E509" s="369"/>
      <c r="F509" s="452"/>
      <c r="G509" s="369"/>
      <c r="H509" s="369"/>
      <c r="I509" s="470"/>
      <c r="J509" s="369"/>
      <c r="K509" s="453"/>
      <c r="L509" s="454"/>
      <c r="M509" s="369"/>
      <c r="N509" s="369"/>
      <c r="O509" s="455"/>
    </row>
    <row r="510" spans="1:15" x14ac:dyDescent="0.2">
      <c r="A510" s="369"/>
      <c r="B510" s="369"/>
      <c r="C510" s="369"/>
      <c r="D510" s="369"/>
      <c r="E510" s="369"/>
      <c r="F510" s="452"/>
      <c r="G510" s="369"/>
      <c r="H510" s="369"/>
      <c r="I510" s="470"/>
      <c r="J510" s="369"/>
      <c r="K510" s="453"/>
      <c r="L510" s="454"/>
      <c r="M510" s="369"/>
      <c r="N510" s="369"/>
      <c r="O510" s="455"/>
    </row>
    <row r="511" spans="1:15" x14ac:dyDescent="0.2">
      <c r="A511" s="369"/>
      <c r="B511" s="369"/>
      <c r="C511" s="369"/>
      <c r="D511" s="369"/>
      <c r="E511" s="369"/>
      <c r="F511" s="452"/>
      <c r="G511" s="369"/>
      <c r="H511" s="369"/>
      <c r="I511" s="470"/>
      <c r="J511" s="369"/>
      <c r="K511" s="453"/>
      <c r="L511" s="454"/>
      <c r="M511" s="369"/>
      <c r="N511" s="369"/>
      <c r="O511" s="455"/>
    </row>
    <row r="512" spans="1:15" x14ac:dyDescent="0.2">
      <c r="A512" s="369"/>
      <c r="B512" s="369"/>
      <c r="C512" s="369"/>
      <c r="D512" s="369"/>
      <c r="E512" s="369"/>
      <c r="F512" s="452"/>
      <c r="G512" s="369"/>
      <c r="H512" s="369"/>
      <c r="I512" s="470"/>
      <c r="J512" s="369"/>
      <c r="K512" s="453"/>
      <c r="L512" s="454"/>
      <c r="M512" s="369"/>
      <c r="N512" s="369"/>
      <c r="O512" s="455"/>
    </row>
    <row r="513" spans="1:15" x14ac:dyDescent="0.2">
      <c r="A513" s="369"/>
      <c r="B513" s="369"/>
      <c r="C513" s="369"/>
      <c r="D513" s="369"/>
      <c r="E513" s="369"/>
      <c r="F513" s="452"/>
      <c r="G513" s="369"/>
      <c r="H513" s="369"/>
      <c r="I513" s="470"/>
      <c r="J513" s="369"/>
      <c r="K513" s="453"/>
      <c r="L513" s="454"/>
      <c r="M513" s="369"/>
      <c r="N513" s="369"/>
      <c r="O513" s="455"/>
    </row>
    <row r="514" spans="1:15" x14ac:dyDescent="0.2">
      <c r="A514" s="369"/>
      <c r="B514" s="369"/>
      <c r="C514" s="369"/>
      <c r="D514" s="369"/>
      <c r="E514" s="369"/>
      <c r="F514" s="452"/>
      <c r="G514" s="369"/>
      <c r="H514" s="369"/>
      <c r="I514" s="470"/>
      <c r="J514" s="369"/>
      <c r="K514" s="453"/>
      <c r="L514" s="454"/>
      <c r="M514" s="369"/>
      <c r="N514" s="369"/>
      <c r="O514" s="455"/>
    </row>
    <row r="515" spans="1:15" x14ac:dyDescent="0.2">
      <c r="A515" s="369"/>
      <c r="B515" s="369"/>
      <c r="C515" s="369"/>
      <c r="D515" s="369"/>
      <c r="E515" s="369"/>
      <c r="F515" s="452"/>
      <c r="G515" s="369"/>
      <c r="H515" s="369"/>
      <c r="I515" s="470"/>
      <c r="J515" s="369"/>
      <c r="K515" s="453"/>
      <c r="L515" s="454"/>
      <c r="M515" s="369"/>
      <c r="N515" s="369"/>
      <c r="O515" s="455"/>
    </row>
    <row r="516" spans="1:15" x14ac:dyDescent="0.2">
      <c r="A516" s="369"/>
      <c r="B516" s="369"/>
      <c r="C516" s="369"/>
      <c r="D516" s="369"/>
      <c r="E516" s="369"/>
      <c r="F516" s="452"/>
      <c r="G516" s="369"/>
      <c r="H516" s="369"/>
      <c r="I516" s="470"/>
      <c r="J516" s="369"/>
      <c r="K516" s="453"/>
      <c r="L516" s="454"/>
      <c r="M516" s="369"/>
      <c r="N516" s="369"/>
      <c r="O516" s="455"/>
    </row>
    <row r="517" spans="1:15" x14ac:dyDescent="0.2">
      <c r="A517" s="369"/>
      <c r="B517" s="369"/>
      <c r="C517" s="369"/>
      <c r="D517" s="369"/>
      <c r="E517" s="369"/>
      <c r="F517" s="452"/>
      <c r="G517" s="369"/>
      <c r="H517" s="369"/>
      <c r="I517" s="470"/>
      <c r="J517" s="369"/>
      <c r="K517" s="453"/>
      <c r="L517" s="454"/>
      <c r="M517" s="369"/>
      <c r="N517" s="369"/>
      <c r="O517" s="455"/>
    </row>
    <row r="518" spans="1:15" x14ac:dyDescent="0.2">
      <c r="A518" s="369"/>
      <c r="B518" s="369"/>
      <c r="C518" s="369"/>
      <c r="D518" s="369"/>
      <c r="E518" s="369"/>
      <c r="F518" s="452"/>
      <c r="G518" s="369"/>
      <c r="H518" s="369"/>
      <c r="I518" s="470"/>
      <c r="J518" s="369"/>
      <c r="K518" s="453"/>
      <c r="L518" s="454"/>
      <c r="M518" s="369"/>
      <c r="N518" s="369"/>
      <c r="O518" s="455"/>
    </row>
    <row r="519" spans="1:15" x14ac:dyDescent="0.2">
      <c r="A519" s="369"/>
      <c r="B519" s="369"/>
      <c r="C519" s="369"/>
      <c r="D519" s="369"/>
      <c r="E519" s="369"/>
      <c r="F519" s="452"/>
      <c r="G519" s="369"/>
      <c r="H519" s="369"/>
      <c r="I519" s="470"/>
      <c r="J519" s="369"/>
      <c r="K519" s="453"/>
      <c r="L519" s="454"/>
      <c r="M519" s="369"/>
      <c r="N519" s="369"/>
      <c r="O519" s="455"/>
    </row>
    <row r="520" spans="1:15" x14ac:dyDescent="0.2">
      <c r="A520" s="369"/>
      <c r="B520" s="369"/>
      <c r="C520" s="369"/>
      <c r="D520" s="369"/>
      <c r="E520" s="369"/>
      <c r="F520" s="452"/>
      <c r="G520" s="369"/>
      <c r="H520" s="369"/>
      <c r="I520" s="470"/>
      <c r="J520" s="369"/>
      <c r="K520" s="453"/>
      <c r="L520" s="454"/>
      <c r="M520" s="369"/>
      <c r="N520" s="369"/>
      <c r="O520" s="455"/>
    </row>
    <row r="521" spans="1:15" x14ac:dyDescent="0.2">
      <c r="A521" s="369"/>
      <c r="B521" s="369"/>
      <c r="C521" s="369"/>
      <c r="D521" s="369"/>
      <c r="E521" s="369"/>
      <c r="F521" s="452"/>
      <c r="G521" s="369"/>
      <c r="H521" s="369"/>
      <c r="I521" s="470"/>
      <c r="J521" s="369"/>
      <c r="K521" s="453"/>
      <c r="L521" s="454"/>
      <c r="M521" s="369"/>
      <c r="N521" s="369"/>
      <c r="O521" s="455"/>
    </row>
    <row r="522" spans="1:15" x14ac:dyDescent="0.2">
      <c r="A522" s="369"/>
      <c r="B522" s="369"/>
      <c r="C522" s="369"/>
      <c r="D522" s="369"/>
      <c r="E522" s="369"/>
      <c r="F522" s="452"/>
      <c r="G522" s="369"/>
      <c r="H522" s="369"/>
      <c r="I522" s="470"/>
      <c r="J522" s="369"/>
      <c r="K522" s="453"/>
      <c r="L522" s="454"/>
      <c r="M522" s="369"/>
      <c r="N522" s="369"/>
      <c r="O522" s="455"/>
    </row>
    <row r="523" spans="1:15" x14ac:dyDescent="0.2">
      <c r="A523" s="369"/>
      <c r="B523" s="369"/>
      <c r="C523" s="369"/>
      <c r="D523" s="369"/>
      <c r="E523" s="369"/>
      <c r="F523" s="452"/>
      <c r="G523" s="369"/>
      <c r="H523" s="369"/>
      <c r="I523" s="470"/>
      <c r="J523" s="369"/>
      <c r="K523" s="453"/>
      <c r="L523" s="454"/>
      <c r="M523" s="369"/>
      <c r="N523" s="369"/>
      <c r="O523" s="455"/>
    </row>
    <row r="524" spans="1:15" x14ac:dyDescent="0.2">
      <c r="A524" s="369"/>
      <c r="B524" s="369"/>
      <c r="C524" s="369"/>
      <c r="D524" s="369"/>
      <c r="E524" s="369"/>
      <c r="F524" s="452"/>
      <c r="G524" s="369"/>
      <c r="H524" s="369"/>
      <c r="I524" s="470"/>
      <c r="J524" s="369"/>
      <c r="K524" s="453"/>
      <c r="L524" s="454"/>
      <c r="M524" s="369"/>
      <c r="N524" s="369"/>
      <c r="O524" s="455"/>
    </row>
    <row r="525" spans="1:15" x14ac:dyDescent="0.2">
      <c r="A525" s="369"/>
      <c r="B525" s="369"/>
      <c r="C525" s="369"/>
      <c r="D525" s="369"/>
      <c r="E525" s="369"/>
      <c r="F525" s="452"/>
      <c r="G525" s="369"/>
      <c r="H525" s="369"/>
      <c r="I525" s="470"/>
      <c r="J525" s="369"/>
      <c r="K525" s="453"/>
      <c r="L525" s="454"/>
      <c r="M525" s="369"/>
      <c r="N525" s="369"/>
      <c r="O525" s="455"/>
    </row>
    <row r="526" spans="1:15" x14ac:dyDescent="0.2">
      <c r="A526" s="369"/>
      <c r="B526" s="369"/>
      <c r="C526" s="369"/>
      <c r="D526" s="369"/>
      <c r="E526" s="369"/>
      <c r="F526" s="452"/>
      <c r="G526" s="369"/>
      <c r="H526" s="369"/>
      <c r="I526" s="470"/>
      <c r="J526" s="369"/>
      <c r="K526" s="453"/>
      <c r="L526" s="454"/>
      <c r="M526" s="369"/>
      <c r="N526" s="369"/>
      <c r="O526" s="455"/>
    </row>
    <row r="527" spans="1:15" x14ac:dyDescent="0.2">
      <c r="A527" s="369"/>
      <c r="B527" s="369"/>
      <c r="C527" s="369"/>
      <c r="D527" s="369"/>
      <c r="E527" s="369"/>
      <c r="F527" s="452"/>
      <c r="G527" s="369"/>
      <c r="H527" s="369"/>
      <c r="I527" s="470"/>
      <c r="J527" s="369"/>
      <c r="K527" s="453"/>
      <c r="L527" s="454"/>
      <c r="M527" s="369"/>
      <c r="N527" s="369"/>
      <c r="O527" s="455"/>
    </row>
    <row r="528" spans="1:15" x14ac:dyDescent="0.2">
      <c r="A528" s="369"/>
      <c r="B528" s="369"/>
      <c r="C528" s="369"/>
      <c r="D528" s="369"/>
      <c r="E528" s="369"/>
      <c r="F528" s="452"/>
      <c r="G528" s="369"/>
      <c r="H528" s="369"/>
      <c r="I528" s="470"/>
      <c r="J528" s="369"/>
      <c r="K528" s="453"/>
      <c r="L528" s="454"/>
      <c r="M528" s="369"/>
      <c r="N528" s="369"/>
      <c r="O528" s="455"/>
    </row>
    <row r="529" spans="1:15" x14ac:dyDescent="0.2">
      <c r="A529" s="369"/>
      <c r="B529" s="369"/>
      <c r="C529" s="369"/>
      <c r="D529" s="369"/>
      <c r="E529" s="369"/>
      <c r="F529" s="452"/>
      <c r="G529" s="369"/>
      <c r="H529" s="369"/>
      <c r="I529" s="470"/>
      <c r="J529" s="369"/>
      <c r="K529" s="453"/>
      <c r="L529" s="454"/>
      <c r="M529" s="369"/>
      <c r="N529" s="369"/>
      <c r="O529" s="455"/>
    </row>
    <row r="530" spans="1:15" x14ac:dyDescent="0.2">
      <c r="A530" s="369"/>
      <c r="B530" s="369"/>
      <c r="C530" s="369"/>
      <c r="D530" s="369"/>
      <c r="E530" s="369"/>
      <c r="F530" s="452"/>
      <c r="G530" s="369"/>
      <c r="H530" s="369"/>
      <c r="I530" s="470"/>
      <c r="J530" s="369"/>
      <c r="K530" s="453"/>
      <c r="L530" s="454"/>
      <c r="M530" s="369"/>
      <c r="N530" s="369"/>
      <c r="O530" s="455"/>
    </row>
    <row r="531" spans="1:15" x14ac:dyDescent="0.2">
      <c r="A531" s="369"/>
      <c r="B531" s="369"/>
      <c r="C531" s="369"/>
      <c r="D531" s="369"/>
      <c r="E531" s="369"/>
      <c r="F531" s="452"/>
      <c r="G531" s="369"/>
      <c r="H531" s="369"/>
      <c r="I531" s="470"/>
      <c r="J531" s="369"/>
      <c r="K531" s="453"/>
      <c r="L531" s="454"/>
      <c r="M531" s="369"/>
      <c r="N531" s="369"/>
      <c r="O531" s="455"/>
    </row>
    <row r="532" spans="1:15" x14ac:dyDescent="0.2">
      <c r="A532" s="369"/>
      <c r="B532" s="369"/>
      <c r="C532" s="369"/>
      <c r="D532" s="369"/>
      <c r="E532" s="369"/>
      <c r="F532" s="452"/>
      <c r="G532" s="369"/>
      <c r="H532" s="369"/>
      <c r="I532" s="470"/>
      <c r="J532" s="369"/>
      <c r="K532" s="453"/>
      <c r="L532" s="454"/>
      <c r="M532" s="369"/>
      <c r="N532" s="369"/>
      <c r="O532" s="455"/>
    </row>
    <row r="533" spans="1:15" x14ac:dyDescent="0.2">
      <c r="A533" s="369"/>
      <c r="B533" s="369"/>
      <c r="C533" s="369"/>
      <c r="D533" s="369"/>
      <c r="E533" s="369"/>
      <c r="F533" s="452"/>
      <c r="G533" s="369"/>
      <c r="H533" s="369"/>
      <c r="I533" s="470"/>
      <c r="J533" s="369"/>
      <c r="K533" s="453"/>
      <c r="L533" s="454"/>
      <c r="M533" s="369"/>
      <c r="N533" s="369"/>
      <c r="O533" s="455"/>
    </row>
    <row r="534" spans="1:15" x14ac:dyDescent="0.2">
      <c r="A534" s="369"/>
      <c r="B534" s="369"/>
      <c r="C534" s="369"/>
      <c r="D534" s="369"/>
      <c r="E534" s="369"/>
      <c r="F534" s="452"/>
      <c r="G534" s="369"/>
      <c r="H534" s="369"/>
      <c r="I534" s="470"/>
      <c r="J534" s="369"/>
      <c r="K534" s="453"/>
      <c r="L534" s="454"/>
      <c r="M534" s="369"/>
      <c r="N534" s="369"/>
      <c r="O534" s="455"/>
    </row>
    <row r="535" spans="1:15" x14ac:dyDescent="0.2">
      <c r="A535" s="369"/>
      <c r="B535" s="369"/>
      <c r="C535" s="369"/>
      <c r="D535" s="369"/>
      <c r="E535" s="369"/>
      <c r="F535" s="452"/>
      <c r="G535" s="369"/>
      <c r="H535" s="369"/>
      <c r="I535" s="470"/>
      <c r="J535" s="369"/>
      <c r="K535" s="453"/>
      <c r="L535" s="454"/>
      <c r="M535" s="369"/>
      <c r="N535" s="369"/>
      <c r="O535" s="455"/>
    </row>
    <row r="536" spans="1:15" x14ac:dyDescent="0.2">
      <c r="A536" s="369"/>
      <c r="B536" s="369"/>
      <c r="C536" s="369"/>
      <c r="D536" s="369"/>
      <c r="E536" s="369"/>
      <c r="F536" s="452"/>
      <c r="G536" s="369"/>
      <c r="H536" s="369"/>
      <c r="I536" s="470"/>
      <c r="J536" s="369"/>
      <c r="K536" s="453"/>
      <c r="L536" s="454"/>
      <c r="M536" s="369"/>
      <c r="N536" s="369"/>
      <c r="O536" s="455"/>
    </row>
    <row r="537" spans="1:15" x14ac:dyDescent="0.2">
      <c r="A537" s="369"/>
      <c r="B537" s="369"/>
      <c r="C537" s="369"/>
      <c r="D537" s="369"/>
      <c r="E537" s="369"/>
      <c r="F537" s="452"/>
      <c r="G537" s="369"/>
      <c r="H537" s="369"/>
      <c r="I537" s="470"/>
      <c r="J537" s="369"/>
      <c r="K537" s="453"/>
      <c r="L537" s="454"/>
      <c r="M537" s="369"/>
      <c r="N537" s="369"/>
      <c r="O537" s="455"/>
    </row>
    <row r="538" spans="1:15" x14ac:dyDescent="0.2">
      <c r="A538" s="369"/>
      <c r="B538" s="369"/>
      <c r="C538" s="369"/>
      <c r="D538" s="369"/>
      <c r="E538" s="369"/>
      <c r="F538" s="452"/>
      <c r="G538" s="369"/>
      <c r="H538" s="369"/>
      <c r="I538" s="470"/>
      <c r="J538" s="369"/>
      <c r="K538" s="453"/>
      <c r="L538" s="454"/>
      <c r="M538" s="369"/>
      <c r="N538" s="369"/>
      <c r="O538" s="455"/>
    </row>
    <row r="539" spans="1:15" x14ac:dyDescent="0.2">
      <c r="A539" s="369"/>
      <c r="B539" s="369"/>
      <c r="C539" s="369"/>
      <c r="D539" s="369"/>
      <c r="E539" s="369"/>
      <c r="F539" s="452"/>
      <c r="G539" s="369"/>
      <c r="H539" s="369"/>
      <c r="I539" s="470"/>
      <c r="J539" s="369"/>
      <c r="K539" s="453"/>
      <c r="L539" s="454"/>
      <c r="M539" s="369"/>
      <c r="N539" s="369"/>
      <c r="O539" s="455"/>
    </row>
    <row r="540" spans="1:15" x14ac:dyDescent="0.2">
      <c r="A540" s="369"/>
      <c r="B540" s="369"/>
      <c r="C540" s="369"/>
      <c r="D540" s="369"/>
      <c r="E540" s="369"/>
      <c r="F540" s="452"/>
      <c r="G540" s="369"/>
      <c r="H540" s="369"/>
      <c r="I540" s="470"/>
      <c r="J540" s="369"/>
      <c r="K540" s="453"/>
      <c r="L540" s="454"/>
      <c r="M540" s="369"/>
      <c r="N540" s="369"/>
      <c r="O540" s="455"/>
    </row>
    <row r="541" spans="1:15" x14ac:dyDescent="0.2">
      <c r="A541" s="369"/>
      <c r="B541" s="369"/>
      <c r="C541" s="369"/>
      <c r="D541" s="369"/>
      <c r="E541" s="369"/>
      <c r="F541" s="452"/>
      <c r="G541" s="369"/>
      <c r="H541" s="369"/>
      <c r="I541" s="470"/>
      <c r="J541" s="369"/>
      <c r="K541" s="453"/>
      <c r="L541" s="454"/>
      <c r="M541" s="369"/>
      <c r="N541" s="369"/>
      <c r="O541" s="455"/>
    </row>
    <row r="542" spans="1:15" x14ac:dyDescent="0.2">
      <c r="A542" s="369"/>
      <c r="B542" s="369"/>
      <c r="C542" s="369"/>
      <c r="D542" s="369"/>
      <c r="E542" s="369"/>
      <c r="F542" s="452"/>
      <c r="G542" s="369"/>
      <c r="H542" s="369"/>
      <c r="I542" s="470"/>
      <c r="J542" s="369"/>
      <c r="K542" s="453"/>
      <c r="L542" s="454"/>
      <c r="M542" s="369"/>
      <c r="N542" s="369"/>
      <c r="O542" s="455"/>
    </row>
    <row r="543" spans="1:15" x14ac:dyDescent="0.2">
      <c r="A543" s="369"/>
      <c r="B543" s="369"/>
      <c r="C543" s="369"/>
      <c r="D543" s="369"/>
      <c r="E543" s="369"/>
      <c r="F543" s="452"/>
      <c r="G543" s="369"/>
      <c r="H543" s="369"/>
      <c r="I543" s="470"/>
      <c r="J543" s="369"/>
      <c r="K543" s="453"/>
      <c r="L543" s="454"/>
      <c r="M543" s="369"/>
      <c r="N543" s="369"/>
      <c r="O543" s="455"/>
    </row>
    <row r="544" spans="1:15" x14ac:dyDescent="0.2">
      <c r="A544" s="369"/>
      <c r="B544" s="369"/>
      <c r="C544" s="369"/>
      <c r="D544" s="369"/>
      <c r="E544" s="369"/>
      <c r="F544" s="452"/>
      <c r="G544" s="369"/>
      <c r="H544" s="369"/>
      <c r="I544" s="470"/>
      <c r="J544" s="369"/>
      <c r="K544" s="453"/>
      <c r="L544" s="454"/>
      <c r="M544" s="369"/>
      <c r="N544" s="369"/>
      <c r="O544" s="455"/>
    </row>
    <row r="545" spans="1:15" x14ac:dyDescent="0.2">
      <c r="A545" s="369"/>
      <c r="B545" s="369"/>
      <c r="C545" s="369"/>
      <c r="D545" s="369"/>
      <c r="E545" s="369"/>
      <c r="F545" s="452"/>
      <c r="G545" s="369"/>
      <c r="H545" s="369"/>
      <c r="I545" s="470"/>
      <c r="J545" s="369"/>
      <c r="K545" s="453"/>
      <c r="L545" s="454"/>
      <c r="M545" s="369"/>
      <c r="N545" s="369"/>
      <c r="O545" s="455"/>
    </row>
    <row r="546" spans="1:15" x14ac:dyDescent="0.2">
      <c r="A546" s="369"/>
      <c r="B546" s="369"/>
      <c r="C546" s="369"/>
      <c r="D546" s="369"/>
      <c r="E546" s="369"/>
      <c r="F546" s="452"/>
      <c r="G546" s="369"/>
      <c r="H546" s="369"/>
      <c r="I546" s="470"/>
      <c r="J546" s="369"/>
      <c r="K546" s="453"/>
      <c r="L546" s="454"/>
      <c r="M546" s="369"/>
      <c r="N546" s="369"/>
      <c r="O546" s="455"/>
    </row>
    <row r="547" spans="1:15" x14ac:dyDescent="0.2">
      <c r="A547" s="369"/>
      <c r="B547" s="369"/>
      <c r="C547" s="369"/>
      <c r="D547" s="369"/>
      <c r="E547" s="369"/>
      <c r="F547" s="452"/>
      <c r="G547" s="369"/>
      <c r="H547" s="369"/>
      <c r="I547" s="470"/>
      <c r="J547" s="369"/>
      <c r="K547" s="453"/>
      <c r="L547" s="454"/>
      <c r="M547" s="369"/>
      <c r="N547" s="369"/>
      <c r="O547" s="455"/>
    </row>
    <row r="548" spans="1:15" x14ac:dyDescent="0.2">
      <c r="A548" s="369"/>
      <c r="B548" s="369"/>
      <c r="C548" s="369"/>
      <c r="D548" s="369"/>
      <c r="E548" s="369"/>
      <c r="F548" s="452"/>
      <c r="G548" s="369"/>
      <c r="H548" s="369"/>
      <c r="I548" s="470"/>
      <c r="J548" s="369"/>
      <c r="K548" s="453"/>
      <c r="L548" s="454"/>
      <c r="M548" s="369"/>
      <c r="N548" s="369"/>
      <c r="O548" s="455"/>
    </row>
    <row r="549" spans="1:15" x14ac:dyDescent="0.2">
      <c r="A549" s="369"/>
      <c r="B549" s="369"/>
      <c r="C549" s="369"/>
      <c r="D549" s="369"/>
      <c r="E549" s="369"/>
      <c r="F549" s="452"/>
      <c r="G549" s="369"/>
      <c r="H549" s="369"/>
      <c r="I549" s="470"/>
      <c r="J549" s="369"/>
      <c r="K549" s="453"/>
      <c r="L549" s="454"/>
      <c r="M549" s="369"/>
      <c r="N549" s="369"/>
      <c r="O549" s="455"/>
    </row>
    <row r="550" spans="1:15" x14ac:dyDescent="0.2">
      <c r="A550" s="369"/>
      <c r="B550" s="369"/>
      <c r="C550" s="369"/>
      <c r="D550" s="369"/>
      <c r="E550" s="369"/>
      <c r="F550" s="452"/>
      <c r="G550" s="369"/>
      <c r="H550" s="369"/>
      <c r="I550" s="470"/>
      <c r="J550" s="369"/>
      <c r="K550" s="453"/>
      <c r="L550" s="454"/>
      <c r="M550" s="369"/>
      <c r="N550" s="369"/>
      <c r="O550" s="455"/>
    </row>
    <row r="551" spans="1:15" x14ac:dyDescent="0.2">
      <c r="A551" s="369"/>
      <c r="B551" s="369"/>
      <c r="C551" s="369"/>
      <c r="D551" s="369"/>
      <c r="E551" s="369"/>
      <c r="F551" s="452"/>
      <c r="G551" s="369"/>
      <c r="H551" s="369"/>
      <c r="I551" s="470"/>
      <c r="J551" s="369"/>
      <c r="K551" s="453"/>
      <c r="L551" s="454"/>
      <c r="M551" s="369"/>
      <c r="N551" s="369"/>
      <c r="O551" s="455"/>
    </row>
    <row r="552" spans="1:15" x14ac:dyDescent="0.2">
      <c r="A552" s="369"/>
      <c r="B552" s="369"/>
      <c r="C552" s="369"/>
      <c r="D552" s="369"/>
      <c r="E552" s="369"/>
      <c r="F552" s="452"/>
      <c r="G552" s="369"/>
      <c r="H552" s="369"/>
      <c r="I552" s="470"/>
      <c r="J552" s="369"/>
      <c r="K552" s="453"/>
      <c r="L552" s="454"/>
      <c r="M552" s="369"/>
      <c r="N552" s="369"/>
      <c r="O552" s="455"/>
    </row>
    <row r="553" spans="1:15" x14ac:dyDescent="0.2">
      <c r="A553" s="369"/>
      <c r="B553" s="369"/>
      <c r="C553" s="369"/>
      <c r="D553" s="369"/>
      <c r="E553" s="369"/>
      <c r="F553" s="452"/>
      <c r="G553" s="369"/>
      <c r="H553" s="369"/>
      <c r="I553" s="470"/>
      <c r="J553" s="369"/>
      <c r="K553" s="453"/>
      <c r="L553" s="454"/>
      <c r="M553" s="369"/>
      <c r="N553" s="369"/>
      <c r="O553" s="455"/>
    </row>
    <row r="554" spans="1:15" x14ac:dyDescent="0.2">
      <c r="A554" s="369"/>
      <c r="B554" s="369"/>
      <c r="C554" s="369"/>
      <c r="D554" s="369"/>
      <c r="E554" s="369"/>
      <c r="F554" s="452"/>
      <c r="G554" s="369"/>
      <c r="H554" s="369"/>
      <c r="I554" s="470"/>
      <c r="J554" s="369"/>
      <c r="K554" s="453"/>
      <c r="L554" s="454"/>
      <c r="M554" s="369"/>
      <c r="N554" s="369"/>
      <c r="O554" s="455"/>
    </row>
    <row r="555" spans="1:15" x14ac:dyDescent="0.2">
      <c r="A555" s="369"/>
      <c r="B555" s="369"/>
      <c r="C555" s="369"/>
      <c r="D555" s="369"/>
      <c r="E555" s="369"/>
      <c r="F555" s="452"/>
      <c r="G555" s="369"/>
      <c r="H555" s="369"/>
      <c r="I555" s="470"/>
      <c r="J555" s="369"/>
      <c r="K555" s="453"/>
      <c r="L555" s="454"/>
      <c r="M555" s="369"/>
      <c r="N555" s="369"/>
      <c r="O555" s="455"/>
    </row>
    <row r="556" spans="1:15" x14ac:dyDescent="0.2">
      <c r="A556" s="369"/>
      <c r="B556" s="369"/>
      <c r="C556" s="369"/>
      <c r="D556" s="369"/>
      <c r="E556" s="369"/>
      <c r="F556" s="452"/>
      <c r="G556" s="369"/>
      <c r="H556" s="369"/>
      <c r="I556" s="470"/>
      <c r="J556" s="369"/>
      <c r="K556" s="453"/>
      <c r="L556" s="454"/>
      <c r="M556" s="369"/>
      <c r="N556" s="369"/>
      <c r="O556" s="455"/>
    </row>
    <row r="557" spans="1:15" x14ac:dyDescent="0.2">
      <c r="A557" s="369"/>
      <c r="B557" s="369"/>
      <c r="C557" s="369"/>
      <c r="D557" s="369"/>
      <c r="E557" s="369"/>
      <c r="F557" s="452"/>
      <c r="G557" s="369"/>
      <c r="H557" s="369"/>
      <c r="I557" s="470"/>
      <c r="J557" s="369"/>
      <c r="K557" s="453"/>
      <c r="L557" s="454"/>
      <c r="M557" s="369"/>
      <c r="N557" s="369"/>
      <c r="O557" s="455"/>
    </row>
    <row r="558" spans="1:15" x14ac:dyDescent="0.2">
      <c r="A558" s="369"/>
      <c r="B558" s="369"/>
      <c r="C558" s="369"/>
      <c r="D558" s="369"/>
      <c r="E558" s="369"/>
      <c r="F558" s="452"/>
      <c r="G558" s="369"/>
      <c r="H558" s="369"/>
      <c r="I558" s="470"/>
      <c r="J558" s="369"/>
      <c r="K558" s="453"/>
      <c r="L558" s="454"/>
      <c r="M558" s="369"/>
      <c r="N558" s="369"/>
      <c r="O558" s="455"/>
    </row>
    <row r="559" spans="1:15" x14ac:dyDescent="0.2">
      <c r="A559" s="369"/>
      <c r="B559" s="369"/>
      <c r="C559" s="369"/>
      <c r="D559" s="369"/>
      <c r="E559" s="369"/>
      <c r="F559" s="452"/>
      <c r="G559" s="369"/>
      <c r="H559" s="369"/>
      <c r="I559" s="470"/>
      <c r="J559" s="369"/>
      <c r="K559" s="453"/>
      <c r="L559" s="454"/>
      <c r="M559" s="369"/>
      <c r="N559" s="369"/>
      <c r="O559" s="455"/>
    </row>
    <row r="560" spans="1:15" x14ac:dyDescent="0.2">
      <c r="A560" s="369"/>
      <c r="B560" s="369"/>
      <c r="C560" s="369"/>
      <c r="D560" s="369"/>
      <c r="E560" s="369"/>
      <c r="F560" s="452"/>
      <c r="G560" s="369"/>
      <c r="H560" s="369"/>
      <c r="I560" s="470"/>
      <c r="J560" s="369"/>
      <c r="K560" s="453"/>
      <c r="L560" s="454"/>
      <c r="M560" s="369"/>
      <c r="N560" s="369"/>
      <c r="O560" s="455"/>
    </row>
    <row r="561" spans="1:15" x14ac:dyDescent="0.2">
      <c r="A561" s="369"/>
      <c r="B561" s="369"/>
      <c r="C561" s="369"/>
      <c r="D561" s="369"/>
      <c r="E561" s="369"/>
      <c r="F561" s="452"/>
      <c r="G561" s="369"/>
      <c r="H561" s="369"/>
      <c r="I561" s="470"/>
      <c r="J561" s="369"/>
      <c r="K561" s="453"/>
      <c r="L561" s="454"/>
      <c r="M561" s="369"/>
      <c r="N561" s="369"/>
      <c r="O561" s="455"/>
    </row>
    <row r="562" spans="1:15" x14ac:dyDescent="0.2">
      <c r="A562" s="369"/>
      <c r="B562" s="369"/>
      <c r="C562" s="369"/>
      <c r="D562" s="369"/>
      <c r="E562" s="369"/>
      <c r="F562" s="452"/>
      <c r="G562" s="369"/>
      <c r="H562" s="369"/>
      <c r="I562" s="470"/>
      <c r="J562" s="369"/>
      <c r="K562" s="453"/>
      <c r="L562" s="454"/>
      <c r="M562" s="369"/>
      <c r="N562" s="369"/>
      <c r="O562" s="455"/>
    </row>
    <row r="563" spans="1:15" x14ac:dyDescent="0.2">
      <c r="A563" s="369"/>
      <c r="B563" s="369"/>
      <c r="C563" s="369"/>
      <c r="D563" s="369"/>
      <c r="E563" s="369"/>
      <c r="F563" s="452"/>
      <c r="G563" s="369"/>
      <c r="H563" s="369"/>
      <c r="I563" s="470"/>
      <c r="J563" s="369"/>
      <c r="K563" s="453"/>
      <c r="L563" s="454"/>
      <c r="M563" s="369"/>
      <c r="N563" s="369"/>
      <c r="O563" s="455"/>
    </row>
    <row r="564" spans="1:15" x14ac:dyDescent="0.2">
      <c r="A564" s="369"/>
      <c r="B564" s="369"/>
      <c r="C564" s="369"/>
      <c r="D564" s="369"/>
      <c r="E564" s="369"/>
      <c r="F564" s="452"/>
      <c r="G564" s="369"/>
      <c r="H564" s="369"/>
      <c r="I564" s="470"/>
      <c r="J564" s="369"/>
      <c r="K564" s="453"/>
      <c r="L564" s="454"/>
      <c r="M564" s="369"/>
      <c r="N564" s="369"/>
      <c r="O564" s="455"/>
    </row>
    <row r="565" spans="1:15" x14ac:dyDescent="0.2">
      <c r="A565" s="369"/>
      <c r="B565" s="369"/>
      <c r="C565" s="369"/>
      <c r="D565" s="369"/>
      <c r="E565" s="369"/>
      <c r="F565" s="452"/>
      <c r="G565" s="369"/>
      <c r="H565" s="369"/>
      <c r="I565" s="470"/>
      <c r="J565" s="369"/>
      <c r="K565" s="453"/>
      <c r="L565" s="454"/>
      <c r="M565" s="369"/>
      <c r="N565" s="369"/>
      <c r="O565" s="455"/>
    </row>
    <row r="566" spans="1:15" x14ac:dyDescent="0.2">
      <c r="A566" s="369"/>
      <c r="B566" s="369"/>
      <c r="C566" s="369"/>
      <c r="D566" s="369"/>
      <c r="E566" s="369"/>
      <c r="F566" s="452"/>
      <c r="G566" s="369"/>
      <c r="H566" s="369"/>
      <c r="I566" s="470"/>
      <c r="J566" s="369"/>
      <c r="K566" s="453"/>
      <c r="L566" s="454"/>
      <c r="M566" s="369"/>
      <c r="N566" s="369"/>
      <c r="O566" s="455"/>
    </row>
    <row r="567" spans="1:15" x14ac:dyDescent="0.2">
      <c r="A567" s="369"/>
      <c r="B567" s="369"/>
      <c r="C567" s="369"/>
      <c r="D567" s="369"/>
      <c r="E567" s="369"/>
      <c r="F567" s="452"/>
      <c r="G567" s="369"/>
      <c r="H567" s="369"/>
      <c r="I567" s="470"/>
      <c r="J567" s="369"/>
      <c r="K567" s="453"/>
      <c r="L567" s="454"/>
      <c r="M567" s="369"/>
      <c r="N567" s="369"/>
      <c r="O567" s="455"/>
    </row>
    <row r="568" spans="1:15" x14ac:dyDescent="0.2">
      <c r="A568" s="369"/>
      <c r="B568" s="369"/>
      <c r="C568" s="369"/>
      <c r="D568" s="369"/>
      <c r="E568" s="369"/>
      <c r="F568" s="452"/>
      <c r="G568" s="369"/>
      <c r="H568" s="369"/>
      <c r="I568" s="470"/>
      <c r="J568" s="369"/>
      <c r="K568" s="453"/>
      <c r="L568" s="454"/>
      <c r="M568" s="369"/>
      <c r="N568" s="369"/>
      <c r="O568" s="455"/>
    </row>
    <row r="569" spans="1:15" x14ac:dyDescent="0.2">
      <c r="A569" s="369"/>
      <c r="B569" s="369"/>
      <c r="C569" s="369"/>
      <c r="D569" s="369"/>
      <c r="E569" s="369"/>
      <c r="F569" s="452"/>
      <c r="G569" s="369"/>
      <c r="H569" s="369"/>
      <c r="I569" s="470"/>
      <c r="J569" s="369"/>
      <c r="K569" s="453"/>
      <c r="L569" s="454"/>
      <c r="M569" s="369"/>
      <c r="N569" s="369"/>
      <c r="O569" s="455"/>
    </row>
    <row r="570" spans="1:15" x14ac:dyDescent="0.2">
      <c r="A570" s="369"/>
      <c r="B570" s="369"/>
      <c r="C570" s="369"/>
      <c r="D570" s="369"/>
      <c r="E570" s="369"/>
      <c r="F570" s="452"/>
      <c r="G570" s="369"/>
      <c r="H570" s="369"/>
      <c r="I570" s="470"/>
      <c r="J570" s="369"/>
      <c r="K570" s="453"/>
      <c r="L570" s="454"/>
      <c r="M570" s="369"/>
      <c r="N570" s="369"/>
      <c r="O570" s="455"/>
    </row>
    <row r="571" spans="1:15" x14ac:dyDescent="0.2">
      <c r="A571" s="369"/>
      <c r="B571" s="369"/>
      <c r="C571" s="369"/>
      <c r="D571" s="369"/>
      <c r="E571" s="369"/>
      <c r="F571" s="452"/>
      <c r="G571" s="369"/>
      <c r="H571" s="369"/>
      <c r="I571" s="470"/>
      <c r="J571" s="369"/>
      <c r="K571" s="453"/>
      <c r="L571" s="454"/>
      <c r="M571" s="369"/>
      <c r="N571" s="369"/>
      <c r="O571" s="455"/>
    </row>
    <row r="572" spans="1:15" x14ac:dyDescent="0.2">
      <c r="A572" s="369"/>
      <c r="B572" s="369"/>
      <c r="C572" s="369"/>
      <c r="D572" s="369"/>
      <c r="E572" s="369"/>
      <c r="F572" s="452"/>
      <c r="G572" s="369"/>
      <c r="H572" s="369"/>
      <c r="I572" s="470"/>
      <c r="J572" s="369"/>
      <c r="K572" s="453"/>
      <c r="L572" s="454"/>
      <c r="M572" s="369"/>
      <c r="N572" s="369"/>
      <c r="O572" s="455"/>
    </row>
    <row r="573" spans="1:15" x14ac:dyDescent="0.2">
      <c r="A573" s="369"/>
      <c r="B573" s="369"/>
      <c r="C573" s="369"/>
      <c r="D573" s="369"/>
      <c r="E573" s="369"/>
      <c r="F573" s="452"/>
      <c r="G573" s="369"/>
      <c r="H573" s="369"/>
      <c r="I573" s="470"/>
      <c r="J573" s="369"/>
      <c r="K573" s="453"/>
      <c r="L573" s="454"/>
      <c r="M573" s="369"/>
      <c r="N573" s="369"/>
      <c r="O573" s="455"/>
    </row>
    <row r="574" spans="1:15" x14ac:dyDescent="0.2">
      <c r="A574" s="369"/>
      <c r="B574" s="369"/>
      <c r="C574" s="369"/>
      <c r="D574" s="369"/>
      <c r="E574" s="369"/>
      <c r="F574" s="452"/>
      <c r="G574" s="369"/>
      <c r="H574" s="369"/>
      <c r="I574" s="470"/>
      <c r="J574" s="369"/>
      <c r="K574" s="453"/>
      <c r="L574" s="454"/>
      <c r="M574" s="369"/>
      <c r="N574" s="369"/>
      <c r="O574" s="455"/>
    </row>
    <row r="575" spans="1:15" x14ac:dyDescent="0.2">
      <c r="A575" s="369"/>
      <c r="B575" s="369"/>
      <c r="C575" s="369"/>
      <c r="D575" s="369"/>
      <c r="E575" s="369"/>
      <c r="F575" s="452"/>
      <c r="G575" s="369"/>
      <c r="H575" s="369"/>
      <c r="I575" s="470"/>
      <c r="J575" s="369"/>
      <c r="K575" s="453"/>
      <c r="L575" s="454"/>
      <c r="M575" s="369"/>
      <c r="N575" s="369"/>
      <c r="O575" s="455"/>
    </row>
    <row r="576" spans="1:15" x14ac:dyDescent="0.2">
      <c r="A576" s="369"/>
      <c r="B576" s="369"/>
      <c r="C576" s="369"/>
      <c r="D576" s="369"/>
      <c r="E576" s="369"/>
      <c r="F576" s="452"/>
      <c r="G576" s="369"/>
      <c r="H576" s="369"/>
      <c r="I576" s="470"/>
      <c r="J576" s="369"/>
      <c r="K576" s="453"/>
      <c r="L576" s="454"/>
      <c r="M576" s="369"/>
      <c r="N576" s="369"/>
      <c r="O576" s="455"/>
    </row>
    <row r="577" spans="1:15" x14ac:dyDescent="0.2">
      <c r="A577" s="369"/>
      <c r="B577" s="369"/>
      <c r="C577" s="369"/>
      <c r="D577" s="369"/>
      <c r="E577" s="369"/>
      <c r="F577" s="452"/>
      <c r="G577" s="369"/>
      <c r="H577" s="369"/>
      <c r="I577" s="470"/>
      <c r="J577" s="369"/>
      <c r="K577" s="453"/>
      <c r="L577" s="454"/>
      <c r="M577" s="369"/>
      <c r="N577" s="369"/>
      <c r="O577" s="455"/>
    </row>
    <row r="578" spans="1:15" x14ac:dyDescent="0.2">
      <c r="A578" s="369"/>
      <c r="B578" s="369"/>
      <c r="C578" s="369"/>
      <c r="D578" s="369"/>
      <c r="E578" s="369"/>
      <c r="F578" s="452"/>
      <c r="G578" s="369"/>
      <c r="H578" s="369"/>
      <c r="I578" s="470"/>
      <c r="J578" s="369"/>
      <c r="K578" s="453"/>
      <c r="L578" s="454"/>
      <c r="M578" s="369"/>
      <c r="N578" s="369"/>
      <c r="O578" s="455"/>
    </row>
    <row r="579" spans="1:15" x14ac:dyDescent="0.2">
      <c r="A579" s="369"/>
      <c r="B579" s="369"/>
      <c r="C579" s="369"/>
      <c r="D579" s="369"/>
      <c r="E579" s="369"/>
      <c r="F579" s="452"/>
      <c r="G579" s="369"/>
      <c r="H579" s="369"/>
      <c r="I579" s="470"/>
      <c r="J579" s="369"/>
      <c r="K579" s="453"/>
      <c r="L579" s="454"/>
      <c r="M579" s="369"/>
      <c r="N579" s="369"/>
      <c r="O579" s="455"/>
    </row>
    <row r="580" spans="1:15" x14ac:dyDescent="0.2">
      <c r="A580" s="369"/>
      <c r="B580" s="369"/>
      <c r="C580" s="369"/>
      <c r="D580" s="369"/>
      <c r="E580" s="369"/>
      <c r="F580" s="452"/>
      <c r="G580" s="369"/>
      <c r="H580" s="369"/>
      <c r="I580" s="470"/>
      <c r="J580" s="369"/>
      <c r="K580" s="453"/>
      <c r="L580" s="454"/>
      <c r="M580" s="369"/>
      <c r="N580" s="369"/>
      <c r="O580" s="455"/>
    </row>
    <row r="581" spans="1:15" x14ac:dyDescent="0.2">
      <c r="A581" s="369"/>
      <c r="B581" s="369"/>
      <c r="C581" s="369"/>
      <c r="D581" s="369"/>
      <c r="E581" s="369"/>
      <c r="F581" s="452"/>
      <c r="G581" s="369"/>
      <c r="H581" s="369"/>
      <c r="I581" s="470"/>
      <c r="J581" s="369"/>
      <c r="K581" s="453"/>
      <c r="L581" s="454"/>
      <c r="M581" s="369"/>
      <c r="N581" s="369"/>
      <c r="O581" s="455"/>
    </row>
    <row r="582" spans="1:15" x14ac:dyDescent="0.2">
      <c r="A582" s="369"/>
      <c r="B582" s="369"/>
      <c r="C582" s="369"/>
      <c r="D582" s="369"/>
      <c r="E582" s="369"/>
      <c r="F582" s="452"/>
      <c r="G582" s="369"/>
      <c r="H582" s="369"/>
      <c r="I582" s="470"/>
      <c r="J582" s="369"/>
      <c r="K582" s="453"/>
      <c r="L582" s="454"/>
      <c r="M582" s="369"/>
      <c r="N582" s="369"/>
      <c r="O582" s="455"/>
    </row>
    <row r="583" spans="1:15" x14ac:dyDescent="0.2">
      <c r="A583" s="369"/>
      <c r="B583" s="369"/>
      <c r="C583" s="369"/>
      <c r="D583" s="369"/>
      <c r="E583" s="369"/>
      <c r="F583" s="452"/>
      <c r="G583" s="369"/>
      <c r="H583" s="369"/>
      <c r="I583" s="470"/>
      <c r="J583" s="369"/>
      <c r="K583" s="453"/>
      <c r="L583" s="454"/>
      <c r="M583" s="369"/>
      <c r="N583" s="369"/>
      <c r="O583" s="455"/>
    </row>
    <row r="584" spans="1:15" x14ac:dyDescent="0.2">
      <c r="A584" s="369"/>
      <c r="B584" s="369"/>
      <c r="C584" s="369"/>
      <c r="D584" s="369"/>
      <c r="E584" s="369"/>
      <c r="F584" s="452"/>
      <c r="G584" s="369"/>
      <c r="H584" s="369"/>
      <c r="I584" s="470"/>
      <c r="J584" s="369"/>
      <c r="K584" s="453"/>
      <c r="L584" s="454"/>
      <c r="M584" s="369"/>
      <c r="N584" s="369"/>
      <c r="O584" s="455"/>
    </row>
    <row r="585" spans="1:15" x14ac:dyDescent="0.2">
      <c r="A585" s="369"/>
      <c r="B585" s="369"/>
      <c r="C585" s="369"/>
      <c r="D585" s="369"/>
      <c r="E585" s="369"/>
      <c r="F585" s="452"/>
      <c r="G585" s="369"/>
      <c r="H585" s="369"/>
      <c r="I585" s="470"/>
      <c r="J585" s="369"/>
      <c r="K585" s="453"/>
      <c r="L585" s="454"/>
      <c r="M585" s="369"/>
      <c r="N585" s="369"/>
      <c r="O585" s="455"/>
    </row>
    <row r="586" spans="1:15" x14ac:dyDescent="0.2">
      <c r="A586" s="369"/>
      <c r="B586" s="369"/>
      <c r="C586" s="369"/>
      <c r="D586" s="369"/>
      <c r="E586" s="369"/>
      <c r="F586" s="452"/>
      <c r="G586" s="369"/>
      <c r="H586" s="369"/>
      <c r="I586" s="470"/>
      <c r="J586" s="369"/>
      <c r="K586" s="453"/>
      <c r="L586" s="454"/>
      <c r="M586" s="369"/>
      <c r="N586" s="369"/>
      <c r="O586" s="455"/>
    </row>
    <row r="587" spans="1:15" x14ac:dyDescent="0.2">
      <c r="A587" s="369"/>
      <c r="B587" s="369"/>
      <c r="C587" s="369"/>
      <c r="D587" s="369"/>
      <c r="E587" s="369"/>
      <c r="F587" s="452"/>
      <c r="G587" s="369"/>
      <c r="H587" s="369"/>
      <c r="I587" s="470"/>
      <c r="J587" s="369"/>
      <c r="K587" s="453"/>
      <c r="L587" s="454"/>
      <c r="M587" s="369"/>
      <c r="N587" s="369"/>
      <c r="O587" s="455"/>
    </row>
    <row r="588" spans="1:15" x14ac:dyDescent="0.2">
      <c r="A588" s="369"/>
      <c r="B588" s="369"/>
      <c r="C588" s="369"/>
      <c r="D588" s="369"/>
      <c r="E588" s="369"/>
      <c r="F588" s="452"/>
      <c r="G588" s="369"/>
      <c r="H588" s="369"/>
      <c r="I588" s="470"/>
      <c r="J588" s="369"/>
      <c r="K588" s="453"/>
      <c r="L588" s="454"/>
      <c r="M588" s="369"/>
      <c r="N588" s="369"/>
      <c r="O588" s="455"/>
    </row>
    <row r="589" spans="1:15" x14ac:dyDescent="0.2">
      <c r="A589" s="369"/>
      <c r="B589" s="369"/>
      <c r="C589" s="369"/>
      <c r="D589" s="369"/>
      <c r="E589" s="369"/>
      <c r="F589" s="452"/>
      <c r="G589" s="369"/>
      <c r="H589" s="369"/>
      <c r="I589" s="470"/>
      <c r="J589" s="369"/>
      <c r="K589" s="453"/>
      <c r="L589" s="454"/>
      <c r="M589" s="369"/>
      <c r="N589" s="369"/>
      <c r="O589" s="455"/>
    </row>
    <row r="590" spans="1:15" x14ac:dyDescent="0.2">
      <c r="A590" s="369"/>
      <c r="B590" s="369"/>
      <c r="C590" s="369"/>
      <c r="D590" s="369"/>
      <c r="E590" s="369"/>
      <c r="F590" s="452"/>
      <c r="G590" s="369"/>
      <c r="H590" s="369"/>
      <c r="I590" s="470"/>
      <c r="J590" s="369"/>
      <c r="K590" s="453"/>
      <c r="L590" s="454"/>
      <c r="M590" s="369"/>
      <c r="N590" s="369"/>
      <c r="O590" s="455"/>
    </row>
    <row r="591" spans="1:15" x14ac:dyDescent="0.2">
      <c r="A591" s="369"/>
      <c r="B591" s="369"/>
      <c r="C591" s="369"/>
      <c r="D591" s="369"/>
      <c r="E591" s="369"/>
      <c r="F591" s="452"/>
      <c r="G591" s="369"/>
      <c r="H591" s="369"/>
      <c r="I591" s="470"/>
      <c r="J591" s="369"/>
      <c r="K591" s="453"/>
      <c r="L591" s="454"/>
      <c r="M591" s="369"/>
      <c r="N591" s="369"/>
      <c r="O591" s="455"/>
    </row>
    <row r="592" spans="1:15" x14ac:dyDescent="0.2">
      <c r="A592" s="369"/>
      <c r="B592" s="369"/>
      <c r="C592" s="369"/>
      <c r="D592" s="369"/>
      <c r="E592" s="369"/>
      <c r="F592" s="452"/>
      <c r="G592" s="369"/>
      <c r="H592" s="369"/>
      <c r="I592" s="470"/>
      <c r="J592" s="369"/>
      <c r="K592" s="453"/>
      <c r="L592" s="454"/>
      <c r="M592" s="369"/>
      <c r="N592" s="369"/>
      <c r="O592" s="455"/>
    </row>
    <row r="593" spans="1:15" x14ac:dyDescent="0.2">
      <c r="A593" s="369"/>
      <c r="B593" s="369"/>
      <c r="C593" s="369"/>
      <c r="D593" s="369"/>
      <c r="E593" s="369"/>
      <c r="F593" s="452"/>
      <c r="G593" s="369"/>
      <c r="H593" s="369"/>
      <c r="I593" s="470"/>
      <c r="J593" s="369"/>
      <c r="K593" s="453"/>
      <c r="L593" s="454"/>
      <c r="M593" s="369"/>
      <c r="N593" s="369"/>
      <c r="O593" s="455"/>
    </row>
    <row r="594" spans="1:15" x14ac:dyDescent="0.2">
      <c r="A594" s="369"/>
      <c r="B594" s="369"/>
      <c r="C594" s="369"/>
      <c r="D594" s="369"/>
      <c r="E594" s="369"/>
      <c r="F594" s="452"/>
      <c r="G594" s="369"/>
      <c r="H594" s="369"/>
      <c r="I594" s="470"/>
      <c r="J594" s="369"/>
      <c r="K594" s="453"/>
      <c r="L594" s="454"/>
      <c r="M594" s="369"/>
      <c r="N594" s="369"/>
      <c r="O594" s="455"/>
    </row>
    <row r="595" spans="1:15" x14ac:dyDescent="0.2">
      <c r="A595" s="369"/>
      <c r="B595" s="369"/>
      <c r="C595" s="369"/>
      <c r="D595" s="369"/>
      <c r="E595" s="369"/>
      <c r="F595" s="452"/>
      <c r="G595" s="369"/>
      <c r="H595" s="369"/>
      <c r="I595" s="470"/>
      <c r="J595" s="369"/>
      <c r="K595" s="453"/>
      <c r="L595" s="454"/>
      <c r="M595" s="369"/>
      <c r="N595" s="369"/>
      <c r="O595" s="455"/>
    </row>
    <row r="596" spans="1:15" x14ac:dyDescent="0.2">
      <c r="A596" s="369"/>
      <c r="B596" s="369"/>
      <c r="C596" s="369"/>
      <c r="D596" s="369"/>
      <c r="E596" s="369"/>
      <c r="F596" s="452"/>
      <c r="G596" s="369"/>
      <c r="H596" s="369"/>
      <c r="I596" s="470"/>
      <c r="J596" s="369"/>
      <c r="K596" s="453"/>
      <c r="L596" s="454"/>
      <c r="M596" s="369"/>
      <c r="N596" s="369"/>
      <c r="O596" s="455"/>
    </row>
    <row r="597" spans="1:15" x14ac:dyDescent="0.2">
      <c r="A597" s="369"/>
      <c r="B597" s="369"/>
      <c r="C597" s="369"/>
      <c r="D597" s="369"/>
      <c r="E597" s="369"/>
      <c r="F597" s="452"/>
      <c r="G597" s="369"/>
      <c r="H597" s="369"/>
      <c r="I597" s="470"/>
      <c r="J597" s="369"/>
      <c r="K597" s="453"/>
      <c r="L597" s="454"/>
      <c r="M597" s="369"/>
      <c r="N597" s="369"/>
      <c r="O597" s="455"/>
    </row>
    <row r="598" spans="1:15" x14ac:dyDescent="0.2">
      <c r="A598" s="369"/>
      <c r="B598" s="369"/>
      <c r="C598" s="369"/>
      <c r="D598" s="369"/>
      <c r="E598" s="369"/>
      <c r="F598" s="452"/>
      <c r="G598" s="369"/>
      <c r="H598" s="369"/>
      <c r="I598" s="470"/>
      <c r="J598" s="369"/>
      <c r="K598" s="453"/>
      <c r="L598" s="454"/>
      <c r="M598" s="369"/>
      <c r="N598" s="369"/>
      <c r="O598" s="455"/>
    </row>
    <row r="599" spans="1:15" x14ac:dyDescent="0.2">
      <c r="A599" s="369"/>
      <c r="B599" s="369"/>
      <c r="C599" s="369"/>
      <c r="D599" s="369"/>
      <c r="E599" s="369"/>
      <c r="F599" s="452"/>
      <c r="G599" s="369"/>
      <c r="H599" s="369"/>
      <c r="I599" s="470"/>
      <c r="J599" s="369"/>
      <c r="K599" s="453"/>
      <c r="L599" s="454"/>
      <c r="M599" s="369"/>
      <c r="N599" s="369"/>
      <c r="O599" s="455"/>
    </row>
    <row r="600" spans="1:15" x14ac:dyDescent="0.2">
      <c r="A600" s="369"/>
      <c r="B600" s="369"/>
      <c r="C600" s="369"/>
      <c r="D600" s="369"/>
      <c r="E600" s="369"/>
      <c r="F600" s="452"/>
      <c r="G600" s="369"/>
      <c r="H600" s="369"/>
      <c r="I600" s="470"/>
      <c r="J600" s="369"/>
      <c r="K600" s="453"/>
      <c r="L600" s="454"/>
      <c r="M600" s="369"/>
      <c r="N600" s="369"/>
      <c r="O600" s="455"/>
    </row>
    <row r="601" spans="1:15" x14ac:dyDescent="0.2">
      <c r="A601" s="369"/>
      <c r="B601" s="369"/>
      <c r="C601" s="369"/>
      <c r="D601" s="369"/>
      <c r="E601" s="369"/>
      <c r="F601" s="452"/>
      <c r="G601" s="369"/>
      <c r="H601" s="369"/>
      <c r="I601" s="470"/>
      <c r="J601" s="369"/>
      <c r="K601" s="453"/>
      <c r="L601" s="454"/>
      <c r="M601" s="369"/>
      <c r="N601" s="369"/>
      <c r="O601" s="455"/>
    </row>
    <row r="602" spans="1:15" x14ac:dyDescent="0.2">
      <c r="A602" s="369"/>
      <c r="B602" s="369"/>
      <c r="C602" s="369"/>
      <c r="D602" s="369"/>
      <c r="E602" s="369"/>
      <c r="F602" s="452"/>
      <c r="G602" s="369"/>
      <c r="H602" s="369"/>
      <c r="I602" s="470"/>
      <c r="J602" s="369"/>
      <c r="K602" s="453"/>
      <c r="L602" s="454"/>
      <c r="M602" s="369"/>
      <c r="N602" s="369"/>
      <c r="O602" s="455"/>
    </row>
    <row r="603" spans="1:15" x14ac:dyDescent="0.2">
      <c r="A603" s="369"/>
      <c r="B603" s="369"/>
      <c r="C603" s="369"/>
      <c r="D603" s="369"/>
      <c r="E603" s="369"/>
      <c r="F603" s="452"/>
      <c r="G603" s="369"/>
      <c r="H603" s="369"/>
      <c r="I603" s="470"/>
      <c r="J603" s="369"/>
      <c r="K603" s="453"/>
      <c r="L603" s="454"/>
      <c r="M603" s="369"/>
      <c r="N603" s="369"/>
      <c r="O603" s="455"/>
    </row>
    <row r="604" spans="1:15" x14ac:dyDescent="0.2">
      <c r="A604" s="369"/>
      <c r="B604" s="369"/>
      <c r="C604" s="369"/>
      <c r="D604" s="369"/>
      <c r="E604" s="369"/>
      <c r="F604" s="452"/>
      <c r="G604" s="369"/>
      <c r="H604" s="369"/>
      <c r="I604" s="470"/>
      <c r="J604" s="369"/>
      <c r="K604" s="453"/>
      <c r="L604" s="454"/>
      <c r="M604" s="369"/>
      <c r="N604" s="369"/>
      <c r="O604" s="455"/>
    </row>
    <row r="605" spans="1:15" x14ac:dyDescent="0.2">
      <c r="A605" s="369"/>
      <c r="B605" s="369"/>
      <c r="C605" s="369"/>
      <c r="D605" s="369"/>
      <c r="E605" s="369"/>
      <c r="F605" s="452"/>
      <c r="G605" s="369"/>
      <c r="H605" s="369"/>
      <c r="I605" s="470"/>
      <c r="J605" s="369"/>
      <c r="K605" s="453"/>
      <c r="L605" s="454"/>
      <c r="M605" s="369"/>
      <c r="N605" s="369"/>
      <c r="O605" s="455"/>
    </row>
    <row r="606" spans="1:15" x14ac:dyDescent="0.2">
      <c r="A606" s="369"/>
      <c r="B606" s="369"/>
      <c r="C606" s="369"/>
      <c r="D606" s="369"/>
      <c r="E606" s="369"/>
      <c r="F606" s="452"/>
      <c r="G606" s="369"/>
      <c r="H606" s="369"/>
      <c r="I606" s="470"/>
      <c r="J606" s="369"/>
      <c r="K606" s="453"/>
      <c r="L606" s="454"/>
      <c r="M606" s="369"/>
      <c r="N606" s="369"/>
      <c r="O606" s="455"/>
    </row>
    <row r="607" spans="1:15" x14ac:dyDescent="0.2">
      <c r="A607" s="369"/>
      <c r="B607" s="369"/>
      <c r="C607" s="369"/>
      <c r="D607" s="369"/>
      <c r="E607" s="369"/>
      <c r="F607" s="452"/>
      <c r="G607" s="369"/>
      <c r="H607" s="369"/>
      <c r="I607" s="470"/>
      <c r="J607" s="369"/>
      <c r="K607" s="453"/>
      <c r="L607" s="454"/>
      <c r="M607" s="369"/>
      <c r="N607" s="369"/>
      <c r="O607" s="455"/>
    </row>
    <row r="608" spans="1:15" x14ac:dyDescent="0.2">
      <c r="A608" s="369"/>
      <c r="B608" s="369"/>
      <c r="C608" s="369"/>
      <c r="D608" s="369"/>
      <c r="E608" s="369"/>
      <c r="F608" s="452"/>
      <c r="G608" s="369"/>
      <c r="H608" s="369"/>
      <c r="I608" s="470"/>
      <c r="J608" s="369"/>
      <c r="K608" s="453"/>
      <c r="L608" s="454"/>
      <c r="M608" s="369"/>
      <c r="N608" s="369"/>
      <c r="O608" s="455"/>
    </row>
    <row r="609" spans="1:15" x14ac:dyDescent="0.2">
      <c r="A609" s="369"/>
      <c r="B609" s="369"/>
      <c r="C609" s="369"/>
      <c r="D609" s="369"/>
      <c r="E609" s="369"/>
      <c r="F609" s="452"/>
      <c r="G609" s="369"/>
      <c r="H609" s="369"/>
      <c r="I609" s="470"/>
      <c r="J609" s="369"/>
      <c r="K609" s="453"/>
      <c r="L609" s="454"/>
      <c r="M609" s="369"/>
      <c r="N609" s="369"/>
      <c r="O609" s="455"/>
    </row>
    <row r="610" spans="1:15" x14ac:dyDescent="0.2">
      <c r="A610" s="369"/>
      <c r="B610" s="369"/>
      <c r="C610" s="369"/>
      <c r="D610" s="369"/>
      <c r="E610" s="369"/>
      <c r="F610" s="452"/>
      <c r="G610" s="369"/>
      <c r="H610" s="369"/>
      <c r="I610" s="470"/>
      <c r="J610" s="369"/>
      <c r="K610" s="453"/>
      <c r="L610" s="454"/>
      <c r="M610" s="369"/>
      <c r="N610" s="369"/>
      <c r="O610" s="455"/>
    </row>
    <row r="611" spans="1:15" x14ac:dyDescent="0.2">
      <c r="A611" s="369"/>
      <c r="B611" s="369"/>
      <c r="C611" s="369"/>
      <c r="D611" s="369"/>
      <c r="E611" s="369"/>
      <c r="F611" s="452"/>
      <c r="G611" s="369"/>
      <c r="H611" s="369"/>
      <c r="I611" s="470"/>
      <c r="J611" s="369"/>
      <c r="K611" s="453"/>
      <c r="L611" s="454"/>
      <c r="M611" s="369"/>
      <c r="N611" s="369"/>
      <c r="O611" s="455"/>
    </row>
    <row r="612" spans="1:15" x14ac:dyDescent="0.2">
      <c r="A612" s="369"/>
      <c r="B612" s="369"/>
      <c r="C612" s="369"/>
      <c r="D612" s="369"/>
      <c r="E612" s="369"/>
      <c r="F612" s="452"/>
      <c r="G612" s="369"/>
      <c r="H612" s="369"/>
      <c r="I612" s="470"/>
      <c r="J612" s="369"/>
      <c r="K612" s="453"/>
      <c r="L612" s="454"/>
      <c r="M612" s="369"/>
      <c r="N612" s="369"/>
      <c r="O612" s="455"/>
    </row>
    <row r="613" spans="1:15" x14ac:dyDescent="0.2">
      <c r="A613" s="369"/>
      <c r="B613" s="369"/>
      <c r="C613" s="369"/>
      <c r="D613" s="369"/>
      <c r="E613" s="369"/>
      <c r="F613" s="452"/>
      <c r="G613" s="369"/>
      <c r="H613" s="369"/>
      <c r="I613" s="470"/>
      <c r="J613" s="369"/>
      <c r="K613" s="453"/>
      <c r="L613" s="454"/>
      <c r="M613" s="369"/>
      <c r="N613" s="369"/>
      <c r="O613" s="455"/>
    </row>
    <row r="614" spans="1:15" x14ac:dyDescent="0.2">
      <c r="A614" s="369"/>
      <c r="B614" s="369"/>
      <c r="C614" s="369"/>
      <c r="D614" s="369"/>
      <c r="E614" s="369"/>
      <c r="F614" s="452"/>
      <c r="G614" s="369"/>
      <c r="H614" s="369"/>
      <c r="I614" s="470"/>
      <c r="J614" s="369"/>
      <c r="K614" s="453"/>
      <c r="L614" s="454"/>
      <c r="M614" s="369"/>
      <c r="N614" s="369"/>
      <c r="O614" s="455"/>
    </row>
    <row r="615" spans="1:15" x14ac:dyDescent="0.2">
      <c r="A615" s="369"/>
      <c r="B615" s="369"/>
      <c r="C615" s="369"/>
      <c r="D615" s="369"/>
      <c r="E615" s="369"/>
      <c r="F615" s="452"/>
      <c r="G615" s="369"/>
      <c r="H615" s="369"/>
      <c r="I615" s="470"/>
      <c r="J615" s="369"/>
      <c r="K615" s="453"/>
      <c r="L615" s="454"/>
      <c r="M615" s="369"/>
      <c r="N615" s="369"/>
      <c r="O615" s="455"/>
    </row>
    <row r="616" spans="1:15" x14ac:dyDescent="0.2">
      <c r="A616" s="369"/>
      <c r="B616" s="369"/>
      <c r="C616" s="369"/>
      <c r="D616" s="369"/>
      <c r="E616" s="369"/>
      <c r="F616" s="452"/>
      <c r="G616" s="369"/>
      <c r="H616" s="369"/>
      <c r="I616" s="470"/>
      <c r="J616" s="369"/>
      <c r="K616" s="453"/>
      <c r="L616" s="454"/>
      <c r="M616" s="369"/>
      <c r="N616" s="369"/>
      <c r="O616" s="455"/>
    </row>
    <row r="617" spans="1:15" x14ac:dyDescent="0.2">
      <c r="A617" s="369"/>
      <c r="B617" s="369"/>
      <c r="C617" s="369"/>
      <c r="D617" s="369"/>
      <c r="E617" s="369"/>
      <c r="F617" s="452"/>
      <c r="G617" s="369"/>
      <c r="H617" s="369"/>
      <c r="I617" s="470"/>
      <c r="J617" s="369"/>
      <c r="K617" s="453"/>
      <c r="L617" s="454"/>
      <c r="M617" s="369"/>
      <c r="N617" s="369"/>
      <c r="O617" s="455"/>
    </row>
    <row r="618" spans="1:15" x14ac:dyDescent="0.2">
      <c r="A618" s="369"/>
      <c r="B618" s="369"/>
      <c r="C618" s="369"/>
      <c r="D618" s="369"/>
      <c r="E618" s="369"/>
      <c r="F618" s="452"/>
      <c r="G618" s="369"/>
      <c r="H618" s="369"/>
      <c r="I618" s="470"/>
      <c r="J618" s="369"/>
      <c r="K618" s="453"/>
      <c r="L618" s="454"/>
      <c r="M618" s="369"/>
      <c r="N618" s="369"/>
      <c r="O618" s="455"/>
    </row>
    <row r="619" spans="1:15" x14ac:dyDescent="0.2">
      <c r="A619" s="369"/>
      <c r="B619" s="369"/>
      <c r="C619" s="369"/>
      <c r="D619" s="369"/>
      <c r="E619" s="369"/>
      <c r="F619" s="452"/>
      <c r="G619" s="369"/>
      <c r="H619" s="369"/>
      <c r="I619" s="470"/>
      <c r="J619" s="369"/>
      <c r="K619" s="453"/>
      <c r="L619" s="454"/>
      <c r="M619" s="369"/>
      <c r="N619" s="369"/>
      <c r="O619" s="455"/>
    </row>
    <row r="620" spans="1:15" x14ac:dyDescent="0.2">
      <c r="A620" s="369"/>
      <c r="B620" s="369"/>
      <c r="C620" s="369"/>
      <c r="D620" s="369"/>
      <c r="E620" s="369"/>
      <c r="F620" s="452"/>
      <c r="G620" s="369"/>
      <c r="H620" s="369"/>
      <c r="I620" s="470"/>
      <c r="J620" s="369"/>
      <c r="K620" s="453"/>
      <c r="L620" s="454"/>
      <c r="M620" s="369"/>
      <c r="N620" s="369"/>
      <c r="O620" s="455"/>
    </row>
    <row r="621" spans="1:15" x14ac:dyDescent="0.2">
      <c r="A621" s="369"/>
      <c r="B621" s="369"/>
      <c r="C621" s="369"/>
      <c r="D621" s="369"/>
      <c r="E621" s="369"/>
      <c r="F621" s="452"/>
      <c r="G621" s="369"/>
      <c r="H621" s="369"/>
      <c r="I621" s="470"/>
      <c r="J621" s="369"/>
      <c r="K621" s="453"/>
      <c r="L621" s="454"/>
      <c r="M621" s="369"/>
      <c r="N621" s="369"/>
      <c r="O621" s="455"/>
    </row>
    <row r="622" spans="1:15" x14ac:dyDescent="0.2">
      <c r="A622" s="369"/>
      <c r="B622" s="369"/>
      <c r="C622" s="369"/>
      <c r="D622" s="369"/>
      <c r="E622" s="369"/>
      <c r="F622" s="452"/>
      <c r="G622" s="369"/>
      <c r="H622" s="369"/>
      <c r="I622" s="470"/>
      <c r="J622" s="369"/>
      <c r="K622" s="453"/>
      <c r="L622" s="454"/>
      <c r="M622" s="369"/>
      <c r="N622" s="369"/>
      <c r="O622" s="455"/>
    </row>
    <row r="623" spans="1:15" x14ac:dyDescent="0.2">
      <c r="A623" s="369"/>
      <c r="B623" s="369"/>
      <c r="C623" s="369"/>
      <c r="D623" s="369"/>
      <c r="E623" s="369"/>
      <c r="F623" s="452"/>
      <c r="G623" s="369"/>
      <c r="H623" s="369"/>
      <c r="I623" s="470"/>
      <c r="J623" s="369"/>
      <c r="K623" s="453"/>
      <c r="L623" s="454"/>
      <c r="M623" s="369"/>
      <c r="N623" s="369"/>
      <c r="O623" s="455"/>
    </row>
    <row r="624" spans="1:15" x14ac:dyDescent="0.2">
      <c r="A624" s="369"/>
      <c r="B624" s="369"/>
      <c r="C624" s="369"/>
      <c r="D624" s="369"/>
      <c r="E624" s="369"/>
      <c r="F624" s="452"/>
      <c r="G624" s="369"/>
      <c r="H624" s="369"/>
      <c r="I624" s="470"/>
      <c r="J624" s="369"/>
      <c r="K624" s="453"/>
      <c r="L624" s="454"/>
      <c r="M624" s="369"/>
      <c r="N624" s="369"/>
      <c r="O624" s="455"/>
    </row>
    <row r="625" spans="1:15" x14ac:dyDescent="0.2">
      <c r="A625" s="369"/>
      <c r="B625" s="369"/>
      <c r="C625" s="369"/>
      <c r="D625" s="369"/>
      <c r="E625" s="369"/>
      <c r="F625" s="452"/>
      <c r="G625" s="369"/>
      <c r="H625" s="369"/>
      <c r="I625" s="470"/>
      <c r="J625" s="369"/>
      <c r="K625" s="453"/>
      <c r="L625" s="454"/>
      <c r="M625" s="369"/>
      <c r="N625" s="369"/>
      <c r="O625" s="455"/>
    </row>
    <row r="626" spans="1:15" x14ac:dyDescent="0.2">
      <c r="A626" s="369"/>
      <c r="B626" s="369"/>
      <c r="C626" s="369"/>
      <c r="D626" s="369"/>
      <c r="E626" s="369"/>
      <c r="F626" s="452"/>
      <c r="G626" s="369"/>
      <c r="H626" s="369"/>
      <c r="I626" s="470"/>
      <c r="J626" s="369"/>
      <c r="K626" s="453"/>
      <c r="L626" s="454"/>
      <c r="M626" s="369"/>
      <c r="N626" s="369"/>
      <c r="O626" s="455"/>
    </row>
    <row r="627" spans="1:15" x14ac:dyDescent="0.2">
      <c r="A627" s="369"/>
      <c r="B627" s="369"/>
      <c r="C627" s="369"/>
      <c r="D627" s="369"/>
      <c r="E627" s="369"/>
      <c r="F627" s="452"/>
      <c r="G627" s="369"/>
      <c r="H627" s="369"/>
      <c r="I627" s="470"/>
      <c r="J627" s="369"/>
      <c r="K627" s="453"/>
      <c r="L627" s="454"/>
      <c r="M627" s="369"/>
      <c r="N627" s="369"/>
      <c r="O627" s="455"/>
    </row>
    <row r="628" spans="1:15" x14ac:dyDescent="0.2">
      <c r="A628" s="369"/>
      <c r="B628" s="369"/>
      <c r="C628" s="369"/>
      <c r="D628" s="369"/>
      <c r="E628" s="369"/>
      <c r="F628" s="452"/>
      <c r="G628" s="369"/>
      <c r="H628" s="369"/>
      <c r="I628" s="470"/>
      <c r="J628" s="369"/>
      <c r="K628" s="453"/>
      <c r="L628" s="454"/>
      <c r="M628" s="369"/>
      <c r="N628" s="369"/>
      <c r="O628" s="455"/>
    </row>
    <row r="629" spans="1:15" x14ac:dyDescent="0.2">
      <c r="A629" s="369"/>
      <c r="B629" s="369"/>
      <c r="C629" s="369"/>
      <c r="D629" s="369"/>
      <c r="E629" s="369"/>
      <c r="F629" s="452"/>
      <c r="G629" s="369"/>
      <c r="H629" s="369"/>
      <c r="I629" s="470"/>
      <c r="J629" s="369"/>
      <c r="K629" s="453"/>
      <c r="L629" s="454"/>
      <c r="M629" s="369"/>
      <c r="N629" s="369"/>
      <c r="O629" s="455"/>
    </row>
    <row r="630" spans="1:15" x14ac:dyDescent="0.2">
      <c r="A630" s="369"/>
      <c r="B630" s="369"/>
      <c r="C630" s="369"/>
      <c r="D630" s="369"/>
      <c r="E630" s="369"/>
      <c r="F630" s="452"/>
      <c r="G630" s="369"/>
      <c r="H630" s="369"/>
      <c r="I630" s="470"/>
      <c r="J630" s="369"/>
      <c r="K630" s="453"/>
      <c r="L630" s="454"/>
      <c r="M630" s="369"/>
      <c r="N630" s="369"/>
      <c r="O630" s="455"/>
    </row>
    <row r="631" spans="1:15" x14ac:dyDescent="0.2">
      <c r="A631" s="369"/>
      <c r="B631" s="369"/>
      <c r="C631" s="369"/>
      <c r="D631" s="369"/>
      <c r="E631" s="369"/>
      <c r="F631" s="452"/>
      <c r="G631" s="369"/>
      <c r="H631" s="369"/>
      <c r="I631" s="470"/>
      <c r="J631" s="369"/>
      <c r="K631" s="453"/>
      <c r="L631" s="454"/>
      <c r="M631" s="369"/>
      <c r="N631" s="369"/>
      <c r="O631" s="455"/>
    </row>
    <row r="632" spans="1:15" x14ac:dyDescent="0.2">
      <c r="A632" s="369"/>
      <c r="B632" s="369"/>
      <c r="C632" s="369"/>
      <c r="D632" s="369"/>
      <c r="E632" s="369"/>
      <c r="F632" s="452"/>
      <c r="G632" s="369"/>
      <c r="H632" s="369"/>
      <c r="I632" s="470"/>
      <c r="J632" s="369"/>
      <c r="K632" s="453"/>
      <c r="L632" s="454"/>
      <c r="M632" s="369"/>
      <c r="N632" s="369"/>
      <c r="O632" s="455"/>
    </row>
    <row r="633" spans="1:15" x14ac:dyDescent="0.2">
      <c r="A633" s="369"/>
      <c r="B633" s="369"/>
      <c r="C633" s="369"/>
      <c r="D633" s="369"/>
      <c r="E633" s="369"/>
      <c r="F633" s="452"/>
      <c r="G633" s="369"/>
      <c r="H633" s="369"/>
      <c r="I633" s="470"/>
      <c r="J633" s="369"/>
      <c r="K633" s="453"/>
      <c r="L633" s="454"/>
      <c r="M633" s="369"/>
      <c r="N633" s="369"/>
      <c r="O633" s="455"/>
    </row>
    <row r="634" spans="1:15" x14ac:dyDescent="0.2">
      <c r="A634" s="369"/>
      <c r="B634" s="369"/>
      <c r="C634" s="369"/>
      <c r="D634" s="369"/>
      <c r="E634" s="369"/>
      <c r="F634" s="452"/>
      <c r="G634" s="369"/>
      <c r="H634" s="369"/>
      <c r="I634" s="470"/>
      <c r="J634" s="369"/>
      <c r="K634" s="453"/>
      <c r="L634" s="454"/>
      <c r="M634" s="369"/>
      <c r="N634" s="369"/>
      <c r="O634" s="455"/>
    </row>
    <row r="635" spans="1:15" x14ac:dyDescent="0.2">
      <c r="A635" s="369"/>
      <c r="B635" s="369"/>
      <c r="C635" s="369"/>
      <c r="D635" s="369"/>
      <c r="E635" s="369"/>
      <c r="F635" s="452"/>
      <c r="G635" s="369"/>
      <c r="H635" s="369"/>
      <c r="I635" s="470"/>
      <c r="J635" s="369"/>
      <c r="K635" s="453"/>
      <c r="L635" s="454"/>
      <c r="M635" s="369"/>
      <c r="N635" s="369"/>
      <c r="O635" s="455"/>
    </row>
    <row r="636" spans="1:15" x14ac:dyDescent="0.2">
      <c r="A636" s="369"/>
      <c r="B636" s="369"/>
      <c r="C636" s="369"/>
      <c r="D636" s="369"/>
      <c r="E636" s="369"/>
      <c r="F636" s="452"/>
      <c r="G636" s="369"/>
      <c r="H636" s="369"/>
      <c r="I636" s="470"/>
      <c r="J636" s="369"/>
      <c r="K636" s="453"/>
      <c r="L636" s="454"/>
      <c r="M636" s="369"/>
      <c r="N636" s="369"/>
      <c r="O636" s="455"/>
    </row>
    <row r="637" spans="1:15" x14ac:dyDescent="0.2">
      <c r="A637" s="369"/>
      <c r="B637" s="369"/>
      <c r="C637" s="369"/>
      <c r="D637" s="369"/>
      <c r="E637" s="369"/>
      <c r="F637" s="452"/>
      <c r="G637" s="369"/>
      <c r="H637" s="369"/>
      <c r="I637" s="470"/>
      <c r="J637" s="369"/>
      <c r="K637" s="453"/>
      <c r="L637" s="454"/>
      <c r="M637" s="369"/>
      <c r="N637" s="369"/>
      <c r="O637" s="455"/>
    </row>
    <row r="638" spans="1:15" x14ac:dyDescent="0.2">
      <c r="A638" s="369"/>
      <c r="B638" s="369"/>
      <c r="C638" s="369"/>
      <c r="D638" s="369"/>
      <c r="E638" s="369"/>
      <c r="F638" s="452"/>
      <c r="G638" s="369"/>
      <c r="H638" s="369"/>
      <c r="I638" s="470"/>
      <c r="J638" s="369"/>
      <c r="K638" s="453"/>
      <c r="L638" s="454"/>
      <c r="M638" s="369"/>
      <c r="N638" s="369"/>
      <c r="O638" s="455"/>
    </row>
    <row r="639" spans="1:15" x14ac:dyDescent="0.2">
      <c r="A639" s="369"/>
      <c r="B639" s="369"/>
      <c r="C639" s="369"/>
      <c r="D639" s="369"/>
      <c r="E639" s="369"/>
      <c r="F639" s="452"/>
      <c r="G639" s="369"/>
      <c r="H639" s="369"/>
      <c r="I639" s="470"/>
      <c r="J639" s="369"/>
      <c r="K639" s="453"/>
      <c r="L639" s="454"/>
      <c r="M639" s="369"/>
      <c r="N639" s="369"/>
      <c r="O639" s="455"/>
    </row>
    <row r="640" spans="1:15" x14ac:dyDescent="0.2">
      <c r="A640" s="369"/>
      <c r="B640" s="369"/>
      <c r="C640" s="369"/>
      <c r="D640" s="369"/>
      <c r="E640" s="369"/>
      <c r="F640" s="452"/>
      <c r="G640" s="369"/>
      <c r="H640" s="369"/>
      <c r="I640" s="470"/>
      <c r="J640" s="369"/>
      <c r="K640" s="453"/>
      <c r="L640" s="454"/>
      <c r="M640" s="369"/>
      <c r="N640" s="369"/>
      <c r="O640" s="455"/>
    </row>
    <row r="641" spans="1:15" x14ac:dyDescent="0.2">
      <c r="A641" s="369"/>
      <c r="B641" s="369"/>
      <c r="C641" s="369"/>
      <c r="D641" s="369"/>
      <c r="E641" s="369"/>
      <c r="F641" s="452"/>
      <c r="G641" s="369"/>
      <c r="H641" s="369"/>
      <c r="I641" s="470"/>
      <c r="J641" s="369"/>
      <c r="K641" s="453"/>
      <c r="L641" s="454"/>
      <c r="M641" s="369"/>
      <c r="N641" s="369"/>
      <c r="O641" s="455"/>
    </row>
    <row r="642" spans="1:15" x14ac:dyDescent="0.2">
      <c r="A642" s="369"/>
      <c r="B642" s="369"/>
      <c r="C642" s="369"/>
      <c r="D642" s="369"/>
      <c r="E642" s="369"/>
      <c r="F642" s="452"/>
      <c r="G642" s="369"/>
      <c r="H642" s="369"/>
      <c r="I642" s="470"/>
      <c r="J642" s="369"/>
      <c r="K642" s="453"/>
      <c r="L642" s="454"/>
      <c r="M642" s="369"/>
      <c r="N642" s="369"/>
      <c r="O642" s="455"/>
    </row>
    <row r="643" spans="1:15" x14ac:dyDescent="0.2">
      <c r="A643" s="369"/>
      <c r="B643" s="369"/>
      <c r="C643" s="369"/>
      <c r="D643" s="369"/>
      <c r="E643" s="369"/>
      <c r="F643" s="452"/>
      <c r="G643" s="369"/>
      <c r="H643" s="369"/>
      <c r="I643" s="470"/>
      <c r="J643" s="369"/>
      <c r="K643" s="453"/>
      <c r="L643" s="454"/>
      <c r="M643" s="369"/>
      <c r="N643" s="369"/>
      <c r="O643" s="455"/>
    </row>
    <row r="644" spans="1:15" x14ac:dyDescent="0.2">
      <c r="A644" s="369"/>
      <c r="B644" s="369"/>
      <c r="C644" s="369"/>
      <c r="D644" s="369"/>
      <c r="E644" s="369"/>
      <c r="F644" s="452"/>
      <c r="G644" s="369"/>
      <c r="H644" s="369"/>
      <c r="I644" s="470"/>
      <c r="J644" s="369"/>
      <c r="K644" s="453"/>
      <c r="L644" s="454"/>
      <c r="M644" s="369"/>
      <c r="N644" s="369"/>
      <c r="O644" s="455"/>
    </row>
    <row r="645" spans="1:15" x14ac:dyDescent="0.2">
      <c r="A645" s="369"/>
      <c r="B645" s="369"/>
      <c r="C645" s="369"/>
      <c r="D645" s="369"/>
      <c r="E645" s="369"/>
      <c r="F645" s="452"/>
      <c r="G645" s="369"/>
      <c r="H645" s="369"/>
      <c r="I645" s="470"/>
      <c r="J645" s="369"/>
      <c r="K645" s="453"/>
      <c r="L645" s="454"/>
      <c r="M645" s="369"/>
      <c r="N645" s="369"/>
      <c r="O645" s="455"/>
    </row>
    <row r="646" spans="1:15" x14ac:dyDescent="0.2">
      <c r="A646" s="369"/>
      <c r="B646" s="369"/>
      <c r="C646" s="369"/>
      <c r="D646" s="369"/>
      <c r="E646" s="369"/>
      <c r="F646" s="452"/>
      <c r="G646" s="369"/>
      <c r="H646" s="369"/>
      <c r="I646" s="470"/>
      <c r="J646" s="369"/>
      <c r="K646" s="453"/>
      <c r="L646" s="454"/>
      <c r="M646" s="369"/>
      <c r="N646" s="369"/>
      <c r="O646" s="455"/>
    </row>
    <row r="647" spans="1:15" x14ac:dyDescent="0.2">
      <c r="A647" s="369"/>
      <c r="B647" s="369"/>
      <c r="C647" s="369"/>
      <c r="D647" s="369"/>
      <c r="E647" s="369"/>
      <c r="F647" s="452"/>
      <c r="G647" s="369"/>
      <c r="H647" s="369"/>
      <c r="I647" s="470"/>
      <c r="J647" s="369"/>
      <c r="K647" s="453"/>
      <c r="L647" s="454"/>
      <c r="M647" s="369"/>
      <c r="N647" s="369"/>
      <c r="O647" s="455"/>
    </row>
    <row r="648" spans="1:15" x14ac:dyDescent="0.2">
      <c r="A648" s="369"/>
      <c r="B648" s="369"/>
      <c r="C648" s="369"/>
      <c r="D648" s="369"/>
      <c r="E648" s="369"/>
      <c r="F648" s="452"/>
      <c r="G648" s="369"/>
      <c r="H648" s="369"/>
      <c r="I648" s="470"/>
      <c r="J648" s="369"/>
      <c r="K648" s="453"/>
      <c r="L648" s="454"/>
      <c r="M648" s="369"/>
      <c r="N648" s="369"/>
      <c r="O648" s="455"/>
    </row>
    <row r="649" spans="1:15" x14ac:dyDescent="0.2">
      <c r="A649" s="369"/>
      <c r="B649" s="369"/>
      <c r="C649" s="369"/>
      <c r="D649" s="369"/>
      <c r="E649" s="369"/>
      <c r="F649" s="452"/>
      <c r="G649" s="369"/>
      <c r="H649" s="369"/>
      <c r="I649" s="470"/>
      <c r="J649" s="369"/>
      <c r="K649" s="453"/>
      <c r="L649" s="454"/>
      <c r="M649" s="369"/>
      <c r="N649" s="369"/>
      <c r="O649" s="455"/>
    </row>
    <row r="650" spans="1:15" x14ac:dyDescent="0.2">
      <c r="A650" s="369"/>
      <c r="B650" s="369"/>
      <c r="C650" s="369"/>
      <c r="D650" s="369"/>
      <c r="E650" s="369"/>
      <c r="F650" s="452"/>
      <c r="G650" s="369"/>
      <c r="H650" s="369"/>
      <c r="I650" s="470"/>
      <c r="J650" s="369"/>
      <c r="K650" s="453"/>
      <c r="L650" s="454"/>
      <c r="M650" s="369"/>
      <c r="N650" s="369"/>
      <c r="O650" s="455"/>
    </row>
    <row r="651" spans="1:15" x14ac:dyDescent="0.2">
      <c r="A651" s="369"/>
      <c r="B651" s="369"/>
      <c r="C651" s="369"/>
      <c r="D651" s="369"/>
      <c r="E651" s="369"/>
      <c r="F651" s="452"/>
      <c r="G651" s="369"/>
      <c r="H651" s="369"/>
      <c r="I651" s="470"/>
      <c r="J651" s="369"/>
      <c r="K651" s="453"/>
      <c r="L651" s="454"/>
      <c r="M651" s="369"/>
      <c r="N651" s="369"/>
      <c r="O651" s="455"/>
    </row>
    <row r="652" spans="1:15" x14ac:dyDescent="0.2">
      <c r="A652" s="369"/>
      <c r="B652" s="369"/>
      <c r="C652" s="369"/>
      <c r="D652" s="369"/>
      <c r="E652" s="369"/>
      <c r="F652" s="452"/>
      <c r="G652" s="369"/>
      <c r="H652" s="369"/>
      <c r="I652" s="470"/>
      <c r="J652" s="369"/>
      <c r="K652" s="453"/>
      <c r="L652" s="454"/>
      <c r="M652" s="369"/>
      <c r="N652" s="369"/>
      <c r="O652" s="455"/>
    </row>
    <row r="653" spans="1:15" x14ac:dyDescent="0.2">
      <c r="A653" s="369"/>
      <c r="B653" s="369"/>
      <c r="C653" s="369"/>
      <c r="D653" s="369"/>
      <c r="E653" s="369"/>
      <c r="F653" s="452"/>
      <c r="G653" s="369"/>
      <c r="H653" s="369"/>
      <c r="I653" s="470"/>
      <c r="J653" s="369"/>
      <c r="K653" s="453"/>
      <c r="L653" s="454"/>
      <c r="M653" s="369"/>
      <c r="N653" s="369"/>
      <c r="O653" s="455"/>
    </row>
    <row r="654" spans="1:15" x14ac:dyDescent="0.2">
      <c r="A654" s="369"/>
      <c r="B654" s="369"/>
      <c r="C654" s="369"/>
      <c r="D654" s="369"/>
      <c r="E654" s="369"/>
      <c r="F654" s="452"/>
      <c r="G654" s="369"/>
      <c r="H654" s="369"/>
      <c r="I654" s="470"/>
      <c r="J654" s="369"/>
      <c r="K654" s="453"/>
      <c r="L654" s="454"/>
      <c r="M654" s="369"/>
      <c r="N654" s="369"/>
      <c r="O654" s="455"/>
    </row>
    <row r="655" spans="1:15" x14ac:dyDescent="0.2">
      <c r="A655" s="369"/>
      <c r="B655" s="369"/>
      <c r="C655" s="369"/>
      <c r="D655" s="369"/>
      <c r="E655" s="369"/>
      <c r="F655" s="452"/>
      <c r="G655" s="369"/>
      <c r="H655" s="369"/>
      <c r="I655" s="470"/>
      <c r="J655" s="369"/>
      <c r="K655" s="453"/>
      <c r="L655" s="454"/>
      <c r="M655" s="369"/>
      <c r="N655" s="369"/>
      <c r="O655" s="455"/>
    </row>
    <row r="656" spans="1:15" x14ac:dyDescent="0.2">
      <c r="A656" s="369"/>
      <c r="B656" s="369"/>
      <c r="C656" s="369"/>
      <c r="D656" s="369"/>
      <c r="E656" s="369"/>
      <c r="F656" s="452"/>
      <c r="G656" s="369"/>
      <c r="H656" s="369"/>
      <c r="I656" s="470"/>
      <c r="J656" s="369"/>
      <c r="K656" s="453"/>
      <c r="L656" s="454"/>
      <c r="M656" s="369"/>
      <c r="N656" s="369"/>
      <c r="O656" s="455"/>
    </row>
    <row r="657" spans="1:15" x14ac:dyDescent="0.2">
      <c r="A657" s="369"/>
      <c r="B657" s="369"/>
      <c r="C657" s="369"/>
      <c r="D657" s="369"/>
      <c r="E657" s="369"/>
      <c r="F657" s="452"/>
      <c r="G657" s="369"/>
      <c r="H657" s="369"/>
      <c r="I657" s="470"/>
      <c r="J657" s="369"/>
      <c r="K657" s="453"/>
      <c r="L657" s="454"/>
      <c r="M657" s="369"/>
      <c r="N657" s="369"/>
      <c r="O657" s="455"/>
    </row>
    <row r="658" spans="1:15" x14ac:dyDescent="0.2">
      <c r="A658" s="369"/>
      <c r="B658" s="369"/>
      <c r="C658" s="369"/>
      <c r="D658" s="369"/>
      <c r="E658" s="369"/>
      <c r="F658" s="452"/>
      <c r="G658" s="369"/>
      <c r="H658" s="369"/>
      <c r="I658" s="470"/>
      <c r="J658" s="369"/>
      <c r="K658" s="453"/>
      <c r="L658" s="454"/>
      <c r="M658" s="369"/>
      <c r="N658" s="369"/>
      <c r="O658" s="455"/>
    </row>
    <row r="659" spans="1:15" x14ac:dyDescent="0.2">
      <c r="A659" s="369"/>
      <c r="B659" s="369"/>
      <c r="C659" s="369"/>
      <c r="D659" s="369"/>
      <c r="E659" s="369"/>
      <c r="F659" s="452"/>
      <c r="G659" s="369"/>
      <c r="H659" s="369"/>
      <c r="I659" s="470"/>
      <c r="J659" s="369"/>
      <c r="K659" s="453"/>
      <c r="L659" s="454"/>
      <c r="M659" s="369"/>
      <c r="N659" s="369"/>
      <c r="O659" s="455"/>
    </row>
    <row r="660" spans="1:15" x14ac:dyDescent="0.2">
      <c r="A660" s="369"/>
      <c r="B660" s="369"/>
      <c r="C660" s="369"/>
      <c r="D660" s="369"/>
      <c r="E660" s="369"/>
      <c r="F660" s="452"/>
      <c r="G660" s="369"/>
      <c r="H660" s="369"/>
      <c r="I660" s="470"/>
      <c r="J660" s="369"/>
      <c r="K660" s="453"/>
      <c r="L660" s="454"/>
      <c r="M660" s="369"/>
      <c r="N660" s="369"/>
      <c r="O660" s="455"/>
    </row>
    <row r="661" spans="1:15" x14ac:dyDescent="0.2">
      <c r="A661" s="369"/>
      <c r="B661" s="369"/>
      <c r="C661" s="369"/>
      <c r="D661" s="369"/>
      <c r="E661" s="369"/>
      <c r="F661" s="452"/>
      <c r="G661" s="369"/>
      <c r="H661" s="369"/>
      <c r="I661" s="470"/>
      <c r="J661" s="369"/>
      <c r="K661" s="453"/>
      <c r="L661" s="454"/>
      <c r="M661" s="369"/>
      <c r="N661" s="369"/>
      <c r="O661" s="455"/>
    </row>
    <row r="662" spans="1:15" x14ac:dyDescent="0.2">
      <c r="A662" s="369"/>
      <c r="B662" s="369"/>
      <c r="C662" s="369"/>
      <c r="D662" s="369"/>
      <c r="E662" s="369"/>
      <c r="F662" s="452"/>
      <c r="G662" s="369"/>
      <c r="H662" s="369"/>
      <c r="I662" s="470"/>
      <c r="J662" s="369"/>
      <c r="K662" s="453"/>
      <c r="L662" s="454"/>
      <c r="M662" s="369"/>
      <c r="N662" s="369"/>
      <c r="O662" s="455"/>
    </row>
    <row r="663" spans="1:15" x14ac:dyDescent="0.2">
      <c r="A663" s="369"/>
      <c r="B663" s="369"/>
      <c r="C663" s="369"/>
      <c r="D663" s="369"/>
      <c r="E663" s="369"/>
      <c r="F663" s="452"/>
      <c r="G663" s="369"/>
      <c r="H663" s="369"/>
      <c r="I663" s="470"/>
      <c r="J663" s="369"/>
      <c r="K663" s="453"/>
      <c r="L663" s="454"/>
      <c r="M663" s="369"/>
      <c r="N663" s="369"/>
      <c r="O663" s="455"/>
    </row>
    <row r="664" spans="1:15" x14ac:dyDescent="0.2">
      <c r="A664" s="369"/>
      <c r="B664" s="369"/>
      <c r="C664" s="369"/>
      <c r="D664" s="369"/>
      <c r="E664" s="369"/>
      <c r="F664" s="452"/>
      <c r="G664" s="369"/>
      <c r="H664" s="369"/>
      <c r="I664" s="470"/>
      <c r="J664" s="369"/>
      <c r="K664" s="453"/>
      <c r="L664" s="454"/>
      <c r="M664" s="369"/>
      <c r="N664" s="369"/>
      <c r="O664" s="455"/>
    </row>
    <row r="665" spans="1:15" x14ac:dyDescent="0.2">
      <c r="A665" s="369"/>
      <c r="B665" s="369"/>
      <c r="C665" s="369"/>
      <c r="D665" s="369"/>
      <c r="E665" s="369"/>
      <c r="F665" s="452"/>
      <c r="G665" s="369"/>
      <c r="H665" s="369"/>
      <c r="I665" s="470"/>
      <c r="J665" s="369"/>
      <c r="K665" s="453"/>
      <c r="L665" s="454"/>
      <c r="M665" s="369"/>
      <c r="N665" s="369"/>
      <c r="O665" s="455"/>
    </row>
    <row r="666" spans="1:15" x14ac:dyDescent="0.2">
      <c r="A666" s="369"/>
      <c r="B666" s="369"/>
      <c r="C666" s="369"/>
      <c r="D666" s="369"/>
      <c r="E666" s="369"/>
      <c r="F666" s="452"/>
      <c r="G666" s="369"/>
      <c r="H666" s="369"/>
      <c r="I666" s="470"/>
      <c r="J666" s="369"/>
      <c r="K666" s="453"/>
      <c r="L666" s="454"/>
      <c r="M666" s="369"/>
      <c r="N666" s="369"/>
      <c r="O666" s="455"/>
    </row>
    <row r="667" spans="1:15" x14ac:dyDescent="0.2">
      <c r="A667" s="369"/>
      <c r="B667" s="369"/>
      <c r="C667" s="369"/>
      <c r="D667" s="369"/>
      <c r="E667" s="369"/>
      <c r="F667" s="452"/>
      <c r="G667" s="369"/>
      <c r="H667" s="369"/>
      <c r="I667" s="470"/>
      <c r="J667" s="369"/>
      <c r="K667" s="453"/>
      <c r="L667" s="454"/>
      <c r="M667" s="369"/>
      <c r="N667" s="369"/>
      <c r="O667" s="455"/>
    </row>
    <row r="668" spans="1:15" x14ac:dyDescent="0.2">
      <c r="A668" s="369"/>
      <c r="B668" s="369"/>
      <c r="C668" s="369"/>
      <c r="D668" s="369"/>
      <c r="E668" s="369"/>
      <c r="F668" s="452"/>
      <c r="G668" s="369"/>
      <c r="H668" s="369"/>
      <c r="I668" s="470"/>
      <c r="J668" s="369"/>
      <c r="K668" s="453"/>
      <c r="L668" s="454"/>
      <c r="M668" s="369"/>
      <c r="N668" s="369"/>
      <c r="O668" s="455"/>
    </row>
    <row r="669" spans="1:15" x14ac:dyDescent="0.2">
      <c r="A669" s="369"/>
      <c r="B669" s="369"/>
      <c r="C669" s="369"/>
      <c r="D669" s="369"/>
      <c r="E669" s="369"/>
      <c r="F669" s="452"/>
      <c r="G669" s="369"/>
      <c r="H669" s="369"/>
      <c r="I669" s="470"/>
      <c r="J669" s="369"/>
      <c r="K669" s="453"/>
      <c r="L669" s="454"/>
      <c r="M669" s="369"/>
      <c r="N669" s="369"/>
      <c r="O669" s="455"/>
    </row>
    <row r="670" spans="1:15" x14ac:dyDescent="0.2">
      <c r="A670" s="369"/>
      <c r="B670" s="369"/>
      <c r="C670" s="369"/>
      <c r="D670" s="369"/>
      <c r="E670" s="369"/>
      <c r="F670" s="452"/>
      <c r="G670" s="369"/>
      <c r="H670" s="369"/>
      <c r="I670" s="470"/>
      <c r="J670" s="369"/>
      <c r="K670" s="453"/>
      <c r="L670" s="454"/>
      <c r="M670" s="369"/>
      <c r="N670" s="369"/>
      <c r="O670" s="455"/>
    </row>
    <row r="671" spans="1:15" x14ac:dyDescent="0.2">
      <c r="A671" s="369"/>
      <c r="B671" s="369"/>
      <c r="C671" s="369"/>
      <c r="D671" s="369"/>
      <c r="E671" s="369"/>
      <c r="F671" s="452"/>
      <c r="G671" s="369"/>
      <c r="H671" s="369"/>
      <c r="I671" s="470"/>
      <c r="J671" s="369"/>
      <c r="K671" s="453"/>
      <c r="L671" s="454"/>
      <c r="M671" s="369"/>
      <c r="N671" s="369"/>
      <c r="O671" s="455"/>
    </row>
    <row r="672" spans="1:15" x14ac:dyDescent="0.2">
      <c r="A672" s="369"/>
      <c r="B672" s="369"/>
      <c r="C672" s="369"/>
      <c r="D672" s="369"/>
      <c r="E672" s="369"/>
      <c r="F672" s="452"/>
      <c r="G672" s="369"/>
      <c r="H672" s="369"/>
      <c r="I672" s="470"/>
      <c r="J672" s="369"/>
      <c r="K672" s="453"/>
      <c r="L672" s="454"/>
      <c r="M672" s="369"/>
      <c r="N672" s="369"/>
      <c r="O672" s="455"/>
    </row>
    <row r="673" spans="1:15" x14ac:dyDescent="0.2">
      <c r="A673" s="369"/>
      <c r="B673" s="369"/>
      <c r="C673" s="369"/>
      <c r="D673" s="369"/>
      <c r="E673" s="369"/>
      <c r="F673" s="452"/>
      <c r="G673" s="369"/>
      <c r="H673" s="369"/>
      <c r="I673" s="470"/>
      <c r="J673" s="369"/>
      <c r="K673" s="453"/>
      <c r="L673" s="454"/>
      <c r="M673" s="369"/>
      <c r="N673" s="369"/>
      <c r="O673" s="455"/>
    </row>
    <row r="674" spans="1:15" x14ac:dyDescent="0.2">
      <c r="A674" s="369"/>
      <c r="B674" s="369"/>
      <c r="C674" s="369"/>
      <c r="D674" s="369"/>
      <c r="E674" s="369"/>
      <c r="F674" s="452"/>
      <c r="G674" s="369"/>
      <c r="H674" s="369"/>
      <c r="I674" s="470"/>
      <c r="J674" s="369"/>
      <c r="K674" s="453"/>
      <c r="L674" s="454"/>
      <c r="M674" s="369"/>
      <c r="N674" s="369"/>
      <c r="O674" s="455"/>
    </row>
    <row r="675" spans="1:15" x14ac:dyDescent="0.2">
      <c r="A675" s="369"/>
      <c r="B675" s="369"/>
      <c r="C675" s="369"/>
      <c r="D675" s="369"/>
      <c r="E675" s="369"/>
      <c r="F675" s="452"/>
      <c r="G675" s="369"/>
      <c r="H675" s="369"/>
      <c r="I675" s="470"/>
      <c r="J675" s="369"/>
      <c r="K675" s="453"/>
      <c r="L675" s="454"/>
      <c r="M675" s="369"/>
      <c r="N675" s="369"/>
      <c r="O675" s="455"/>
    </row>
    <row r="676" spans="1:15" x14ac:dyDescent="0.2">
      <c r="A676" s="369"/>
      <c r="B676" s="369"/>
      <c r="C676" s="369"/>
      <c r="D676" s="369"/>
      <c r="E676" s="369"/>
      <c r="F676" s="452"/>
      <c r="G676" s="369"/>
      <c r="H676" s="369"/>
      <c r="I676" s="470"/>
      <c r="J676" s="369"/>
      <c r="K676" s="453"/>
      <c r="L676" s="454"/>
      <c r="M676" s="369"/>
      <c r="N676" s="369"/>
      <c r="O676" s="455"/>
    </row>
    <row r="677" spans="1:15" x14ac:dyDescent="0.2">
      <c r="A677" s="369"/>
      <c r="B677" s="369"/>
      <c r="C677" s="369"/>
      <c r="D677" s="369"/>
      <c r="E677" s="369"/>
      <c r="F677" s="452"/>
      <c r="G677" s="369"/>
      <c r="H677" s="369"/>
      <c r="I677" s="470"/>
      <c r="J677" s="369"/>
      <c r="K677" s="453"/>
      <c r="L677" s="454"/>
      <c r="M677" s="369"/>
      <c r="N677" s="369"/>
      <c r="O677" s="455"/>
    </row>
    <row r="678" spans="1:15" x14ac:dyDescent="0.2">
      <c r="A678" s="369"/>
      <c r="B678" s="369"/>
      <c r="C678" s="369"/>
      <c r="D678" s="369"/>
      <c r="E678" s="369"/>
      <c r="F678" s="452"/>
      <c r="G678" s="369"/>
      <c r="H678" s="369"/>
      <c r="I678" s="470"/>
      <c r="J678" s="369"/>
      <c r="K678" s="453"/>
      <c r="L678" s="454"/>
      <c r="M678" s="369"/>
      <c r="N678" s="369"/>
      <c r="O678" s="455"/>
    </row>
    <row r="679" spans="1:15" x14ac:dyDescent="0.2">
      <c r="A679" s="369"/>
      <c r="B679" s="369"/>
      <c r="C679" s="369"/>
      <c r="D679" s="369"/>
      <c r="E679" s="369"/>
      <c r="F679" s="452"/>
      <c r="G679" s="369"/>
      <c r="H679" s="369"/>
      <c r="I679" s="470"/>
      <c r="J679" s="369"/>
      <c r="K679" s="453"/>
      <c r="L679" s="454"/>
      <c r="M679" s="369"/>
      <c r="N679" s="369"/>
      <c r="O679" s="455"/>
    </row>
    <row r="680" spans="1:15" x14ac:dyDescent="0.2">
      <c r="A680" s="369"/>
      <c r="B680" s="369"/>
      <c r="C680" s="369"/>
      <c r="D680" s="369"/>
      <c r="E680" s="369"/>
      <c r="F680" s="452"/>
      <c r="G680" s="369"/>
      <c r="H680" s="369"/>
      <c r="I680" s="470"/>
      <c r="J680" s="369"/>
      <c r="K680" s="453"/>
      <c r="L680" s="454"/>
      <c r="M680" s="369"/>
      <c r="N680" s="369"/>
      <c r="O680" s="455"/>
    </row>
    <row r="681" spans="1:15" x14ac:dyDescent="0.2">
      <c r="A681" s="369"/>
      <c r="B681" s="369"/>
      <c r="C681" s="369"/>
      <c r="D681" s="369"/>
      <c r="E681" s="369"/>
      <c r="F681" s="452"/>
      <c r="G681" s="369"/>
      <c r="H681" s="369"/>
      <c r="I681" s="470"/>
      <c r="J681" s="369"/>
      <c r="K681" s="453"/>
      <c r="L681" s="454"/>
      <c r="M681" s="369"/>
      <c r="N681" s="369"/>
      <c r="O681" s="455"/>
    </row>
    <row r="682" spans="1:15" x14ac:dyDescent="0.2">
      <c r="A682" s="369"/>
      <c r="B682" s="369"/>
      <c r="C682" s="369"/>
      <c r="D682" s="369"/>
      <c r="E682" s="369"/>
      <c r="F682" s="452"/>
      <c r="G682" s="369"/>
      <c r="H682" s="369"/>
      <c r="I682" s="470"/>
      <c r="J682" s="369"/>
      <c r="K682" s="453"/>
      <c r="L682" s="454"/>
      <c r="M682" s="369"/>
      <c r="N682" s="369"/>
      <c r="O682" s="455"/>
    </row>
    <row r="683" spans="1:15" x14ac:dyDescent="0.2">
      <c r="A683" s="369"/>
      <c r="B683" s="369"/>
      <c r="C683" s="369"/>
      <c r="D683" s="369"/>
      <c r="E683" s="369"/>
      <c r="F683" s="452"/>
      <c r="G683" s="369"/>
      <c r="H683" s="369"/>
      <c r="I683" s="470"/>
      <c r="J683" s="369"/>
      <c r="K683" s="453"/>
      <c r="L683" s="454"/>
      <c r="M683" s="369"/>
      <c r="N683" s="369"/>
      <c r="O683" s="455"/>
    </row>
    <row r="684" spans="1:15" x14ac:dyDescent="0.2">
      <c r="A684" s="369"/>
      <c r="B684" s="369"/>
      <c r="C684" s="369"/>
      <c r="D684" s="369"/>
      <c r="E684" s="369"/>
      <c r="F684" s="452"/>
      <c r="G684" s="369"/>
      <c r="H684" s="369"/>
      <c r="I684" s="470"/>
      <c r="J684" s="369"/>
      <c r="K684" s="453"/>
      <c r="L684" s="454"/>
      <c r="M684" s="369"/>
      <c r="N684" s="369"/>
      <c r="O684" s="455"/>
    </row>
    <row r="685" spans="1:15" x14ac:dyDescent="0.2">
      <c r="A685" s="369"/>
      <c r="B685" s="369"/>
      <c r="C685" s="369"/>
      <c r="D685" s="369"/>
      <c r="E685" s="369"/>
      <c r="F685" s="452"/>
      <c r="G685" s="369"/>
      <c r="H685" s="369"/>
      <c r="I685" s="470"/>
      <c r="J685" s="369"/>
      <c r="K685" s="453"/>
      <c r="L685" s="454"/>
      <c r="M685" s="369"/>
      <c r="N685" s="369"/>
      <c r="O685" s="455"/>
    </row>
    <row r="686" spans="1:15" x14ac:dyDescent="0.2">
      <c r="A686" s="369"/>
      <c r="B686" s="369"/>
      <c r="C686" s="369"/>
      <c r="D686" s="369"/>
      <c r="E686" s="369"/>
      <c r="F686" s="452"/>
      <c r="G686" s="369"/>
      <c r="H686" s="369"/>
      <c r="I686" s="470"/>
      <c r="J686" s="369"/>
      <c r="K686" s="453"/>
      <c r="L686" s="454"/>
      <c r="M686" s="369"/>
      <c r="N686" s="369"/>
      <c r="O686" s="455"/>
    </row>
    <row r="687" spans="1:15" x14ac:dyDescent="0.2">
      <c r="A687" s="369"/>
      <c r="B687" s="369"/>
      <c r="C687" s="369"/>
      <c r="D687" s="369"/>
      <c r="E687" s="369"/>
      <c r="F687" s="452"/>
      <c r="G687" s="369"/>
      <c r="H687" s="369"/>
      <c r="I687" s="470"/>
      <c r="J687" s="369"/>
      <c r="K687" s="453"/>
      <c r="L687" s="454"/>
      <c r="M687" s="369"/>
      <c r="N687" s="369"/>
      <c r="O687" s="455"/>
    </row>
    <row r="688" spans="1:15" x14ac:dyDescent="0.2">
      <c r="A688" s="369"/>
      <c r="B688" s="369"/>
      <c r="C688" s="369"/>
      <c r="D688" s="369"/>
      <c r="E688" s="369"/>
      <c r="F688" s="452"/>
      <c r="G688" s="369"/>
      <c r="H688" s="369"/>
      <c r="I688" s="470"/>
      <c r="J688" s="369"/>
      <c r="K688" s="453"/>
      <c r="L688" s="454"/>
      <c r="M688" s="369"/>
      <c r="N688" s="369"/>
      <c r="O688" s="455"/>
    </row>
    <row r="689" spans="1:15" x14ac:dyDescent="0.2">
      <c r="A689" s="369"/>
      <c r="B689" s="369"/>
      <c r="C689" s="369"/>
      <c r="D689" s="369"/>
      <c r="E689" s="369"/>
      <c r="F689" s="452"/>
      <c r="G689" s="369"/>
      <c r="H689" s="369"/>
      <c r="I689" s="470"/>
      <c r="J689" s="369"/>
      <c r="K689" s="453"/>
      <c r="L689" s="454"/>
      <c r="M689" s="369"/>
      <c r="N689" s="369"/>
      <c r="O689" s="455"/>
    </row>
    <row r="690" spans="1:15" x14ac:dyDescent="0.2">
      <c r="A690" s="369"/>
      <c r="B690" s="369"/>
      <c r="C690" s="369"/>
      <c r="D690" s="369"/>
      <c r="E690" s="369"/>
      <c r="F690" s="452"/>
      <c r="G690" s="369"/>
      <c r="H690" s="369"/>
      <c r="I690" s="470"/>
      <c r="J690" s="369"/>
      <c r="K690" s="453"/>
      <c r="L690" s="454"/>
      <c r="M690" s="369"/>
      <c r="N690" s="369"/>
      <c r="O690" s="455"/>
    </row>
    <row r="691" spans="1:15" x14ac:dyDescent="0.2">
      <c r="A691" s="369"/>
      <c r="B691" s="369"/>
      <c r="C691" s="369"/>
      <c r="D691" s="369"/>
      <c r="E691" s="369"/>
      <c r="F691" s="452"/>
      <c r="G691" s="369"/>
      <c r="H691" s="369"/>
      <c r="I691" s="470"/>
      <c r="J691" s="369"/>
      <c r="K691" s="453"/>
      <c r="L691" s="454"/>
      <c r="M691" s="369"/>
      <c r="N691" s="369"/>
      <c r="O691" s="455"/>
    </row>
    <row r="692" spans="1:15" x14ac:dyDescent="0.2">
      <c r="A692" s="369"/>
      <c r="B692" s="369"/>
      <c r="C692" s="369"/>
      <c r="D692" s="369"/>
      <c r="E692" s="369"/>
      <c r="F692" s="452"/>
      <c r="G692" s="369"/>
      <c r="H692" s="369"/>
      <c r="I692" s="470"/>
      <c r="J692" s="369"/>
      <c r="K692" s="453"/>
      <c r="L692" s="454"/>
      <c r="M692" s="369"/>
      <c r="N692" s="369"/>
      <c r="O692" s="455"/>
    </row>
    <row r="693" spans="1:15" x14ac:dyDescent="0.2">
      <c r="A693" s="369"/>
      <c r="B693" s="369"/>
      <c r="C693" s="369"/>
      <c r="D693" s="369"/>
      <c r="E693" s="369"/>
      <c r="F693" s="452"/>
      <c r="G693" s="369"/>
      <c r="H693" s="369"/>
      <c r="I693" s="470"/>
      <c r="J693" s="369"/>
      <c r="K693" s="453"/>
      <c r="L693" s="454"/>
      <c r="M693" s="369"/>
      <c r="N693" s="369"/>
      <c r="O693" s="455"/>
    </row>
    <row r="694" spans="1:15" x14ac:dyDescent="0.2">
      <c r="A694" s="369"/>
      <c r="B694" s="369"/>
      <c r="C694" s="369"/>
      <c r="D694" s="369"/>
      <c r="E694" s="369"/>
      <c r="F694" s="452"/>
      <c r="G694" s="369"/>
      <c r="H694" s="369"/>
      <c r="I694" s="470"/>
      <c r="J694" s="369"/>
      <c r="K694" s="453"/>
      <c r="L694" s="454"/>
      <c r="M694" s="369"/>
      <c r="N694" s="369"/>
      <c r="O694" s="455"/>
    </row>
    <row r="695" spans="1:15" x14ac:dyDescent="0.2">
      <c r="A695" s="369"/>
      <c r="B695" s="369"/>
      <c r="C695" s="369"/>
      <c r="D695" s="369"/>
      <c r="E695" s="369"/>
      <c r="F695" s="452"/>
      <c r="G695" s="369"/>
      <c r="H695" s="369"/>
      <c r="I695" s="470"/>
      <c r="J695" s="369"/>
      <c r="K695" s="453"/>
      <c r="L695" s="454"/>
      <c r="M695" s="369"/>
      <c r="N695" s="369"/>
      <c r="O695" s="455"/>
    </row>
    <row r="696" spans="1:15" x14ac:dyDescent="0.2">
      <c r="A696" s="369"/>
      <c r="B696" s="369"/>
      <c r="C696" s="369"/>
      <c r="D696" s="369"/>
      <c r="E696" s="369"/>
      <c r="F696" s="452"/>
      <c r="G696" s="369"/>
      <c r="H696" s="369"/>
      <c r="I696" s="470"/>
      <c r="J696" s="369"/>
      <c r="K696" s="453"/>
      <c r="L696" s="454"/>
      <c r="M696" s="369"/>
      <c r="N696" s="369"/>
      <c r="O696" s="455"/>
    </row>
    <row r="697" spans="1:15" x14ac:dyDescent="0.2">
      <c r="A697" s="369"/>
      <c r="B697" s="369"/>
      <c r="C697" s="369"/>
      <c r="D697" s="369"/>
      <c r="E697" s="369"/>
      <c r="F697" s="452"/>
      <c r="G697" s="369"/>
      <c r="H697" s="369"/>
      <c r="I697" s="470"/>
      <c r="J697" s="369"/>
      <c r="K697" s="453"/>
      <c r="L697" s="454"/>
      <c r="M697" s="369"/>
      <c r="N697" s="369"/>
      <c r="O697" s="455"/>
    </row>
    <row r="698" spans="1:15" x14ac:dyDescent="0.2">
      <c r="A698" s="369"/>
      <c r="B698" s="369"/>
      <c r="C698" s="369"/>
      <c r="D698" s="369"/>
      <c r="E698" s="369"/>
      <c r="F698" s="452"/>
      <c r="G698" s="369"/>
      <c r="H698" s="369"/>
      <c r="I698" s="470"/>
      <c r="J698" s="369"/>
      <c r="K698" s="453"/>
      <c r="L698" s="454"/>
      <c r="M698" s="369"/>
      <c r="N698" s="369"/>
      <c r="O698" s="455"/>
    </row>
    <row r="699" spans="1:15" x14ac:dyDescent="0.2">
      <c r="A699" s="369"/>
      <c r="B699" s="369"/>
      <c r="C699" s="369"/>
      <c r="D699" s="369"/>
      <c r="E699" s="369"/>
      <c r="F699" s="452"/>
      <c r="G699" s="369"/>
      <c r="H699" s="369"/>
      <c r="I699" s="470"/>
      <c r="J699" s="369"/>
      <c r="K699" s="453"/>
      <c r="L699" s="454"/>
      <c r="M699" s="369"/>
      <c r="N699" s="369"/>
      <c r="O699" s="455"/>
    </row>
    <row r="700" spans="1:15" x14ac:dyDescent="0.2">
      <c r="A700" s="369"/>
      <c r="B700" s="369"/>
      <c r="C700" s="369"/>
      <c r="D700" s="369"/>
      <c r="E700" s="369"/>
      <c r="F700" s="452"/>
      <c r="G700" s="369"/>
      <c r="H700" s="369"/>
      <c r="I700" s="470"/>
      <c r="J700" s="369"/>
      <c r="K700" s="453"/>
      <c r="L700" s="454"/>
      <c r="M700" s="369"/>
      <c r="N700" s="369"/>
      <c r="O700" s="455"/>
    </row>
    <row r="701" spans="1:15" x14ac:dyDescent="0.2">
      <c r="A701" s="369"/>
      <c r="B701" s="369"/>
      <c r="C701" s="369"/>
      <c r="D701" s="369"/>
      <c r="E701" s="369"/>
      <c r="F701" s="452"/>
      <c r="G701" s="369"/>
      <c r="H701" s="369"/>
      <c r="I701" s="470"/>
      <c r="J701" s="369"/>
      <c r="K701" s="453"/>
      <c r="L701" s="454"/>
      <c r="M701" s="369"/>
      <c r="N701" s="369"/>
      <c r="O701" s="455"/>
    </row>
    <row r="702" spans="1:15" x14ac:dyDescent="0.2">
      <c r="A702" s="369"/>
      <c r="B702" s="369"/>
      <c r="C702" s="369"/>
      <c r="D702" s="369"/>
      <c r="E702" s="369"/>
      <c r="F702" s="452"/>
      <c r="G702" s="369"/>
      <c r="H702" s="369"/>
      <c r="I702" s="470"/>
      <c r="J702" s="369"/>
      <c r="K702" s="453"/>
      <c r="L702" s="454"/>
      <c r="M702" s="369"/>
      <c r="N702" s="369"/>
      <c r="O702" s="455"/>
    </row>
    <row r="703" spans="1:15" x14ac:dyDescent="0.2">
      <c r="A703" s="369"/>
      <c r="B703" s="369"/>
      <c r="C703" s="369"/>
      <c r="D703" s="369"/>
      <c r="E703" s="369"/>
      <c r="F703" s="452"/>
      <c r="G703" s="369"/>
      <c r="H703" s="369"/>
      <c r="I703" s="470"/>
      <c r="J703" s="369"/>
      <c r="K703" s="453"/>
      <c r="L703" s="454"/>
      <c r="M703" s="369"/>
      <c r="N703" s="369"/>
      <c r="O703" s="455"/>
    </row>
    <row r="704" spans="1:15" x14ac:dyDescent="0.2">
      <c r="A704" s="369"/>
      <c r="B704" s="369"/>
      <c r="C704" s="369"/>
      <c r="D704" s="369"/>
      <c r="E704" s="369"/>
      <c r="F704" s="452"/>
      <c r="G704" s="369"/>
      <c r="H704" s="369"/>
      <c r="I704" s="470"/>
      <c r="J704" s="369"/>
      <c r="K704" s="453"/>
      <c r="L704" s="454"/>
      <c r="M704" s="369"/>
      <c r="N704" s="369"/>
      <c r="O704" s="455"/>
    </row>
    <row r="705" spans="1:15" x14ac:dyDescent="0.2">
      <c r="A705" s="369"/>
      <c r="B705" s="369"/>
      <c r="C705" s="369"/>
      <c r="D705" s="369"/>
      <c r="E705" s="369"/>
      <c r="F705" s="452"/>
      <c r="G705" s="369"/>
      <c r="H705" s="369"/>
      <c r="I705" s="470"/>
      <c r="J705" s="369"/>
      <c r="K705" s="453"/>
      <c r="L705" s="454"/>
      <c r="M705" s="369"/>
      <c r="N705" s="369"/>
      <c r="O705" s="455"/>
    </row>
    <row r="706" spans="1:15" x14ac:dyDescent="0.2">
      <c r="A706" s="369"/>
      <c r="B706" s="369"/>
      <c r="C706" s="369"/>
      <c r="D706" s="369"/>
      <c r="E706" s="369"/>
      <c r="F706" s="452"/>
      <c r="G706" s="369"/>
      <c r="H706" s="369"/>
      <c r="I706" s="470"/>
      <c r="J706" s="369"/>
      <c r="K706" s="453"/>
      <c r="L706" s="454"/>
      <c r="M706" s="369"/>
      <c r="N706" s="369"/>
      <c r="O706" s="455"/>
    </row>
    <row r="707" spans="1:15" x14ac:dyDescent="0.2">
      <c r="A707" s="369"/>
      <c r="B707" s="369"/>
      <c r="C707" s="369"/>
      <c r="D707" s="369"/>
      <c r="E707" s="369"/>
      <c r="F707" s="452"/>
      <c r="G707" s="369"/>
      <c r="H707" s="369"/>
      <c r="I707" s="470"/>
      <c r="J707" s="369"/>
      <c r="K707" s="453"/>
      <c r="L707" s="454"/>
      <c r="M707" s="369"/>
      <c r="N707" s="369"/>
      <c r="O707" s="455"/>
    </row>
    <row r="708" spans="1:15" x14ac:dyDescent="0.2">
      <c r="A708" s="369"/>
      <c r="B708" s="369"/>
      <c r="C708" s="369"/>
      <c r="D708" s="369"/>
      <c r="E708" s="369"/>
      <c r="F708" s="452"/>
      <c r="G708" s="369"/>
      <c r="H708" s="369"/>
      <c r="I708" s="470"/>
      <c r="J708" s="369"/>
      <c r="K708" s="453"/>
      <c r="L708" s="454"/>
      <c r="M708" s="369"/>
      <c r="N708" s="369"/>
      <c r="O708" s="455"/>
    </row>
    <row r="709" spans="1:15" x14ac:dyDescent="0.2">
      <c r="A709" s="369"/>
      <c r="B709" s="369"/>
      <c r="C709" s="369"/>
      <c r="D709" s="369"/>
      <c r="E709" s="369"/>
      <c r="F709" s="452"/>
      <c r="G709" s="369"/>
      <c r="H709" s="369"/>
      <c r="I709" s="470"/>
      <c r="J709" s="369"/>
      <c r="K709" s="453"/>
      <c r="L709" s="454"/>
      <c r="M709" s="369"/>
      <c r="N709" s="369"/>
      <c r="O709" s="455"/>
    </row>
    <row r="710" spans="1:15" x14ac:dyDescent="0.2">
      <c r="A710" s="369"/>
      <c r="B710" s="369"/>
      <c r="C710" s="369"/>
      <c r="D710" s="369"/>
      <c r="E710" s="369"/>
      <c r="F710" s="452"/>
      <c r="G710" s="369"/>
      <c r="H710" s="369"/>
      <c r="I710" s="470"/>
      <c r="J710" s="369"/>
      <c r="K710" s="453"/>
      <c r="L710" s="454"/>
      <c r="M710" s="369"/>
      <c r="N710" s="369"/>
      <c r="O710" s="455"/>
    </row>
    <row r="711" spans="1:15" x14ac:dyDescent="0.2">
      <c r="A711" s="369"/>
      <c r="B711" s="369"/>
      <c r="C711" s="369"/>
      <c r="D711" s="369"/>
      <c r="E711" s="369"/>
      <c r="F711" s="452"/>
      <c r="G711" s="369"/>
      <c r="H711" s="369"/>
      <c r="I711" s="470"/>
      <c r="J711" s="369"/>
      <c r="K711" s="453"/>
      <c r="L711" s="454"/>
      <c r="M711" s="369"/>
      <c r="N711" s="369"/>
      <c r="O711" s="455"/>
    </row>
    <row r="712" spans="1:15" x14ac:dyDescent="0.2">
      <c r="A712" s="369"/>
      <c r="B712" s="369"/>
      <c r="C712" s="369"/>
      <c r="D712" s="369"/>
      <c r="E712" s="369"/>
      <c r="F712" s="452"/>
      <c r="G712" s="369"/>
      <c r="H712" s="369"/>
      <c r="I712" s="470"/>
      <c r="J712" s="369"/>
      <c r="K712" s="453"/>
      <c r="L712" s="454"/>
      <c r="M712" s="369"/>
      <c r="N712" s="369"/>
      <c r="O712" s="455"/>
    </row>
    <row r="713" spans="1:15" x14ac:dyDescent="0.2">
      <c r="A713" s="369"/>
      <c r="B713" s="369"/>
      <c r="C713" s="369"/>
      <c r="D713" s="369"/>
      <c r="E713" s="369"/>
      <c r="F713" s="452"/>
      <c r="G713" s="369"/>
      <c r="H713" s="369"/>
      <c r="I713" s="470"/>
      <c r="J713" s="369"/>
      <c r="K713" s="453"/>
      <c r="L713" s="454"/>
      <c r="M713" s="369"/>
      <c r="N713" s="369"/>
      <c r="O713" s="455"/>
    </row>
    <row r="714" spans="1:15" x14ac:dyDescent="0.2">
      <c r="A714" s="369"/>
      <c r="B714" s="369"/>
      <c r="C714" s="369"/>
      <c r="D714" s="369"/>
      <c r="E714" s="369"/>
      <c r="F714" s="452"/>
      <c r="G714" s="369"/>
      <c r="H714" s="369"/>
      <c r="I714" s="470"/>
      <c r="J714" s="369"/>
      <c r="K714" s="453"/>
      <c r="L714" s="454"/>
      <c r="M714" s="369"/>
      <c r="N714" s="369"/>
      <c r="O714" s="455"/>
    </row>
    <row r="715" spans="1:15" x14ac:dyDescent="0.2">
      <c r="A715" s="369"/>
      <c r="B715" s="369"/>
      <c r="C715" s="369"/>
      <c r="D715" s="369"/>
      <c r="E715" s="369"/>
      <c r="F715" s="452"/>
      <c r="G715" s="369"/>
      <c r="H715" s="369"/>
      <c r="I715" s="470"/>
      <c r="J715" s="369"/>
      <c r="K715" s="453"/>
      <c r="L715" s="454"/>
      <c r="M715" s="369"/>
      <c r="N715" s="369"/>
      <c r="O715" s="455"/>
    </row>
    <row r="716" spans="1:15" x14ac:dyDescent="0.2">
      <c r="A716" s="369"/>
      <c r="B716" s="369"/>
      <c r="C716" s="369"/>
      <c r="D716" s="369"/>
      <c r="E716" s="369"/>
      <c r="F716" s="452"/>
      <c r="G716" s="369"/>
      <c r="H716" s="369"/>
      <c r="I716" s="470"/>
      <c r="J716" s="369"/>
      <c r="K716" s="453"/>
      <c r="L716" s="454"/>
      <c r="M716" s="369"/>
      <c r="N716" s="369"/>
      <c r="O716" s="455"/>
    </row>
    <row r="717" spans="1:15" x14ac:dyDescent="0.2">
      <c r="A717" s="369"/>
      <c r="B717" s="369"/>
      <c r="C717" s="369"/>
      <c r="D717" s="369"/>
      <c r="E717" s="369"/>
      <c r="F717" s="452"/>
      <c r="G717" s="369"/>
      <c r="H717" s="369"/>
      <c r="I717" s="470"/>
      <c r="J717" s="369"/>
      <c r="K717" s="453"/>
      <c r="L717" s="454"/>
      <c r="M717" s="369"/>
      <c r="N717" s="369"/>
      <c r="O717" s="455"/>
    </row>
    <row r="718" spans="1:15" x14ac:dyDescent="0.2">
      <c r="A718" s="369"/>
      <c r="B718" s="369"/>
      <c r="C718" s="369"/>
      <c r="D718" s="369"/>
      <c r="E718" s="369"/>
      <c r="F718" s="452"/>
      <c r="G718" s="369"/>
      <c r="H718" s="369"/>
      <c r="I718" s="470"/>
      <c r="J718" s="369"/>
      <c r="K718" s="453"/>
      <c r="L718" s="454"/>
      <c r="M718" s="369"/>
      <c r="N718" s="369"/>
      <c r="O718" s="455"/>
    </row>
    <row r="719" spans="1:15" x14ac:dyDescent="0.2">
      <c r="A719" s="369"/>
      <c r="B719" s="369"/>
      <c r="C719" s="369"/>
      <c r="D719" s="369"/>
      <c r="E719" s="369"/>
      <c r="F719" s="452"/>
      <c r="G719" s="369"/>
      <c r="H719" s="369"/>
      <c r="I719" s="470"/>
      <c r="J719" s="369"/>
      <c r="K719" s="453"/>
      <c r="L719" s="454"/>
      <c r="M719" s="369"/>
      <c r="N719" s="369"/>
      <c r="O719" s="455"/>
    </row>
    <row r="720" spans="1:15" x14ac:dyDescent="0.2">
      <c r="A720" s="369"/>
      <c r="B720" s="369"/>
      <c r="C720" s="369"/>
      <c r="D720" s="369"/>
      <c r="E720" s="369"/>
      <c r="F720" s="452"/>
      <c r="G720" s="369"/>
      <c r="H720" s="369"/>
      <c r="I720" s="470"/>
      <c r="J720" s="369"/>
      <c r="K720" s="453"/>
      <c r="L720" s="454"/>
      <c r="M720" s="369"/>
      <c r="N720" s="369"/>
      <c r="O720" s="455"/>
    </row>
    <row r="721" spans="1:15" x14ac:dyDescent="0.2">
      <c r="A721" s="369"/>
      <c r="B721" s="369"/>
      <c r="C721" s="369"/>
      <c r="D721" s="369"/>
      <c r="E721" s="369"/>
      <c r="F721" s="452"/>
      <c r="G721" s="369"/>
      <c r="H721" s="369"/>
      <c r="I721" s="470"/>
      <c r="J721" s="369"/>
      <c r="K721" s="453"/>
      <c r="L721" s="454"/>
      <c r="M721" s="369"/>
      <c r="N721" s="369"/>
      <c r="O721" s="455"/>
    </row>
    <row r="722" spans="1:15" x14ac:dyDescent="0.2">
      <c r="A722" s="369"/>
      <c r="B722" s="369"/>
      <c r="C722" s="369"/>
      <c r="D722" s="369"/>
      <c r="E722" s="369"/>
      <c r="F722" s="452"/>
      <c r="G722" s="369"/>
      <c r="H722" s="369"/>
      <c r="I722" s="470"/>
      <c r="J722" s="369"/>
      <c r="K722" s="453"/>
      <c r="L722" s="454"/>
      <c r="M722" s="369"/>
      <c r="N722" s="369"/>
      <c r="O722" s="455"/>
    </row>
    <row r="723" spans="1:15" x14ac:dyDescent="0.2">
      <c r="A723" s="369"/>
      <c r="B723" s="369"/>
      <c r="C723" s="369"/>
      <c r="D723" s="369"/>
      <c r="E723" s="369"/>
      <c r="F723" s="452"/>
      <c r="G723" s="369"/>
      <c r="H723" s="369"/>
      <c r="I723" s="470"/>
      <c r="J723" s="369"/>
      <c r="K723" s="453"/>
      <c r="L723" s="454"/>
      <c r="M723" s="369"/>
      <c r="N723" s="369"/>
      <c r="O723" s="455"/>
    </row>
    <row r="724" spans="1:15" x14ac:dyDescent="0.2">
      <c r="A724" s="369"/>
      <c r="B724" s="369"/>
      <c r="C724" s="369"/>
      <c r="D724" s="369"/>
      <c r="E724" s="369"/>
      <c r="F724" s="452"/>
      <c r="G724" s="369"/>
      <c r="H724" s="369"/>
      <c r="I724" s="470"/>
      <c r="J724" s="369"/>
      <c r="K724" s="453"/>
      <c r="L724" s="454"/>
      <c r="M724" s="369"/>
      <c r="N724" s="369"/>
      <c r="O724" s="455"/>
    </row>
    <row r="725" spans="1:15" x14ac:dyDescent="0.2">
      <c r="A725" s="369"/>
      <c r="B725" s="369"/>
      <c r="C725" s="369"/>
      <c r="D725" s="369"/>
      <c r="E725" s="369"/>
      <c r="F725" s="452"/>
      <c r="G725" s="369"/>
      <c r="H725" s="369"/>
      <c r="I725" s="470"/>
      <c r="J725" s="369"/>
      <c r="K725" s="453"/>
      <c r="L725" s="454"/>
      <c r="M725" s="369"/>
      <c r="N725" s="369"/>
      <c r="O725" s="455"/>
    </row>
    <row r="726" spans="1:15" x14ac:dyDescent="0.2">
      <c r="A726" s="369"/>
      <c r="B726" s="369"/>
      <c r="C726" s="369"/>
      <c r="D726" s="369"/>
      <c r="E726" s="369"/>
      <c r="F726" s="452"/>
      <c r="G726" s="369"/>
      <c r="H726" s="369"/>
      <c r="I726" s="470"/>
      <c r="J726" s="369"/>
      <c r="K726" s="453"/>
      <c r="L726" s="454"/>
      <c r="M726" s="369"/>
      <c r="N726" s="369"/>
      <c r="O726" s="455"/>
    </row>
    <row r="727" spans="1:15" x14ac:dyDescent="0.2">
      <c r="A727" s="369"/>
      <c r="B727" s="369"/>
      <c r="C727" s="369"/>
      <c r="D727" s="369"/>
      <c r="E727" s="369"/>
      <c r="F727" s="452"/>
      <c r="G727" s="369"/>
      <c r="H727" s="369"/>
      <c r="I727" s="470"/>
      <c r="J727" s="369"/>
      <c r="K727" s="453"/>
      <c r="L727" s="454"/>
      <c r="M727" s="369"/>
      <c r="N727" s="369"/>
      <c r="O727" s="455"/>
    </row>
    <row r="728" spans="1:15" x14ac:dyDescent="0.2">
      <c r="A728" s="369"/>
      <c r="B728" s="369"/>
      <c r="C728" s="369"/>
      <c r="D728" s="369"/>
      <c r="E728" s="369"/>
      <c r="F728" s="452"/>
      <c r="G728" s="369"/>
      <c r="H728" s="369"/>
      <c r="I728" s="470"/>
      <c r="J728" s="369"/>
      <c r="K728" s="453"/>
      <c r="L728" s="454"/>
      <c r="M728" s="369"/>
      <c r="N728" s="369"/>
      <c r="O728" s="455"/>
    </row>
    <row r="729" spans="1:15" x14ac:dyDescent="0.2">
      <c r="A729" s="369"/>
      <c r="B729" s="369"/>
      <c r="C729" s="369"/>
      <c r="D729" s="369"/>
      <c r="E729" s="369"/>
      <c r="F729" s="452"/>
      <c r="G729" s="369"/>
      <c r="H729" s="369"/>
      <c r="I729" s="470"/>
      <c r="J729" s="369"/>
      <c r="K729" s="453"/>
      <c r="L729" s="454"/>
      <c r="M729" s="369"/>
      <c r="N729" s="369"/>
      <c r="O729" s="455"/>
    </row>
    <row r="730" spans="1:15" x14ac:dyDescent="0.2">
      <c r="A730" s="369"/>
      <c r="B730" s="369"/>
      <c r="C730" s="369"/>
      <c r="D730" s="369"/>
      <c r="E730" s="369"/>
      <c r="F730" s="452"/>
      <c r="G730" s="369"/>
      <c r="H730" s="369"/>
      <c r="I730" s="470"/>
      <c r="J730" s="369"/>
      <c r="K730" s="453"/>
      <c r="L730" s="454"/>
      <c r="M730" s="369"/>
      <c r="N730" s="369"/>
      <c r="O730" s="455"/>
    </row>
    <row r="731" spans="1:15" x14ac:dyDescent="0.2">
      <c r="A731" s="369"/>
      <c r="B731" s="369"/>
      <c r="C731" s="369"/>
      <c r="D731" s="369"/>
      <c r="E731" s="369"/>
      <c r="F731" s="452"/>
      <c r="G731" s="369"/>
      <c r="H731" s="369"/>
      <c r="I731" s="470"/>
      <c r="J731" s="369"/>
      <c r="K731" s="453"/>
      <c r="L731" s="454"/>
      <c r="M731" s="369"/>
      <c r="N731" s="369"/>
      <c r="O731" s="455"/>
    </row>
    <row r="732" spans="1:15" x14ac:dyDescent="0.2">
      <c r="A732" s="369"/>
      <c r="B732" s="369"/>
      <c r="C732" s="369"/>
      <c r="D732" s="369"/>
      <c r="E732" s="369"/>
      <c r="F732" s="452"/>
      <c r="G732" s="369"/>
      <c r="H732" s="369"/>
      <c r="I732" s="470"/>
      <c r="J732" s="369"/>
      <c r="K732" s="453"/>
      <c r="L732" s="454"/>
      <c r="M732" s="369"/>
      <c r="N732" s="369"/>
      <c r="O732" s="455"/>
    </row>
    <row r="733" spans="1:15" x14ac:dyDescent="0.2">
      <c r="A733" s="369"/>
      <c r="B733" s="369"/>
      <c r="C733" s="369"/>
      <c r="D733" s="369"/>
      <c r="E733" s="369"/>
      <c r="F733" s="452"/>
      <c r="G733" s="369"/>
      <c r="H733" s="369"/>
      <c r="I733" s="470"/>
      <c r="J733" s="369"/>
      <c r="K733" s="453"/>
      <c r="L733" s="454"/>
      <c r="M733" s="369"/>
      <c r="N733" s="369"/>
      <c r="O733" s="455"/>
    </row>
    <row r="734" spans="1:15" x14ac:dyDescent="0.2">
      <c r="A734" s="369"/>
      <c r="B734" s="369"/>
      <c r="C734" s="369"/>
      <c r="D734" s="369"/>
      <c r="E734" s="369"/>
      <c r="F734" s="452"/>
      <c r="G734" s="369"/>
      <c r="H734" s="369"/>
      <c r="I734" s="470"/>
      <c r="J734" s="369"/>
      <c r="K734" s="453"/>
      <c r="L734" s="454"/>
      <c r="M734" s="369"/>
      <c r="N734" s="369"/>
      <c r="O734" s="455"/>
    </row>
    <row r="735" spans="1:15" x14ac:dyDescent="0.2">
      <c r="A735" s="369"/>
      <c r="B735" s="369"/>
      <c r="C735" s="369"/>
      <c r="D735" s="369"/>
      <c r="E735" s="369"/>
      <c r="F735" s="452"/>
      <c r="G735" s="369"/>
      <c r="H735" s="369"/>
      <c r="I735" s="470"/>
      <c r="J735" s="369"/>
      <c r="K735" s="453"/>
      <c r="L735" s="454"/>
      <c r="M735" s="369"/>
      <c r="N735" s="369"/>
      <c r="O735" s="455"/>
    </row>
    <row r="736" spans="1:15" x14ac:dyDescent="0.2">
      <c r="A736" s="369"/>
      <c r="B736" s="369"/>
      <c r="C736" s="369"/>
      <c r="D736" s="369"/>
      <c r="E736" s="369"/>
      <c r="F736" s="452"/>
      <c r="G736" s="369"/>
      <c r="H736" s="369"/>
      <c r="I736" s="470"/>
      <c r="J736" s="369"/>
      <c r="K736" s="453"/>
      <c r="L736" s="454"/>
      <c r="M736" s="369"/>
      <c r="N736" s="369"/>
      <c r="O736" s="455"/>
    </row>
    <row r="737" spans="1:15" x14ac:dyDescent="0.2">
      <c r="A737" s="369"/>
      <c r="B737" s="369"/>
      <c r="C737" s="369"/>
      <c r="D737" s="369"/>
      <c r="E737" s="369"/>
      <c r="F737" s="452"/>
      <c r="G737" s="369"/>
      <c r="H737" s="369"/>
      <c r="I737" s="470"/>
      <c r="J737" s="369"/>
      <c r="K737" s="453"/>
      <c r="L737" s="454"/>
      <c r="M737" s="369"/>
      <c r="N737" s="369"/>
      <c r="O737" s="455"/>
    </row>
    <row r="738" spans="1:15" x14ac:dyDescent="0.2">
      <c r="A738" s="369"/>
      <c r="B738" s="369"/>
      <c r="C738" s="369"/>
      <c r="D738" s="369"/>
      <c r="E738" s="369"/>
      <c r="F738" s="452"/>
      <c r="G738" s="369"/>
      <c r="H738" s="369"/>
      <c r="I738" s="470"/>
      <c r="J738" s="369"/>
      <c r="K738" s="453"/>
      <c r="L738" s="454"/>
      <c r="M738" s="369"/>
      <c r="N738" s="369"/>
      <c r="O738" s="455"/>
    </row>
    <row r="739" spans="1:15" x14ac:dyDescent="0.2">
      <c r="A739" s="369"/>
      <c r="B739" s="369"/>
      <c r="C739" s="369"/>
      <c r="D739" s="369"/>
      <c r="E739" s="369"/>
      <c r="F739" s="452"/>
      <c r="G739" s="369"/>
      <c r="H739" s="369"/>
      <c r="I739" s="470"/>
      <c r="J739" s="369"/>
      <c r="K739" s="453"/>
      <c r="L739" s="454"/>
      <c r="M739" s="369"/>
      <c r="N739" s="369"/>
      <c r="O739" s="455"/>
    </row>
    <row r="740" spans="1:15" x14ac:dyDescent="0.2">
      <c r="A740" s="369"/>
      <c r="B740" s="369"/>
      <c r="C740" s="369"/>
      <c r="D740" s="369"/>
      <c r="E740" s="369"/>
      <c r="F740" s="452"/>
      <c r="G740" s="369"/>
      <c r="H740" s="369"/>
      <c r="I740" s="470"/>
      <c r="J740" s="369"/>
      <c r="K740" s="453"/>
      <c r="L740" s="454"/>
      <c r="M740" s="369"/>
      <c r="N740" s="369"/>
      <c r="O740" s="455"/>
    </row>
    <row r="741" spans="1:15" x14ac:dyDescent="0.2">
      <c r="A741" s="369"/>
      <c r="B741" s="369"/>
      <c r="C741" s="369"/>
      <c r="D741" s="369"/>
      <c r="E741" s="369"/>
      <c r="F741" s="452"/>
      <c r="G741" s="369"/>
      <c r="H741" s="369"/>
      <c r="I741" s="470"/>
      <c r="J741" s="369"/>
      <c r="K741" s="453"/>
      <c r="L741" s="454"/>
      <c r="M741" s="369"/>
      <c r="N741" s="369"/>
      <c r="O741" s="455"/>
    </row>
    <row r="742" spans="1:15" x14ac:dyDescent="0.2">
      <c r="A742" s="369"/>
      <c r="B742" s="369"/>
      <c r="C742" s="369"/>
      <c r="D742" s="369"/>
      <c r="E742" s="369"/>
      <c r="F742" s="452"/>
      <c r="G742" s="369"/>
      <c r="H742" s="369"/>
      <c r="I742" s="470"/>
      <c r="J742" s="369"/>
      <c r="K742" s="453"/>
      <c r="L742" s="454"/>
      <c r="M742" s="369"/>
      <c r="N742" s="369"/>
      <c r="O742" s="455"/>
    </row>
    <row r="743" spans="1:15" x14ac:dyDescent="0.2">
      <c r="A743" s="369"/>
      <c r="B743" s="369"/>
      <c r="C743" s="369"/>
      <c r="D743" s="369"/>
      <c r="E743" s="369"/>
      <c r="F743" s="452"/>
      <c r="G743" s="369"/>
      <c r="H743" s="369"/>
      <c r="I743" s="470"/>
      <c r="J743" s="369"/>
      <c r="K743" s="453"/>
      <c r="L743" s="454"/>
      <c r="M743" s="369"/>
      <c r="N743" s="369"/>
      <c r="O743" s="455"/>
    </row>
    <row r="744" spans="1:15" x14ac:dyDescent="0.2">
      <c r="A744" s="369"/>
      <c r="B744" s="369"/>
      <c r="C744" s="369"/>
      <c r="D744" s="369"/>
      <c r="E744" s="369"/>
      <c r="F744" s="452"/>
      <c r="G744" s="369"/>
      <c r="H744" s="369"/>
      <c r="I744" s="470"/>
      <c r="J744" s="369"/>
      <c r="K744" s="453"/>
      <c r="L744" s="454"/>
      <c r="M744" s="369"/>
      <c r="N744" s="369"/>
      <c r="O744" s="455"/>
    </row>
    <row r="745" spans="1:15" x14ac:dyDescent="0.2">
      <c r="A745" s="369"/>
      <c r="B745" s="369"/>
      <c r="C745" s="369"/>
      <c r="D745" s="369"/>
      <c r="E745" s="369"/>
      <c r="F745" s="452"/>
      <c r="G745" s="369"/>
      <c r="H745" s="369"/>
      <c r="I745" s="470"/>
      <c r="J745" s="369"/>
      <c r="K745" s="453"/>
      <c r="L745" s="454"/>
      <c r="M745" s="369"/>
      <c r="N745" s="369"/>
      <c r="O745" s="455"/>
    </row>
    <row r="746" spans="1:15" x14ac:dyDescent="0.2">
      <c r="A746" s="369"/>
      <c r="B746" s="369"/>
      <c r="C746" s="369"/>
      <c r="D746" s="369"/>
      <c r="E746" s="369"/>
      <c r="F746" s="452"/>
      <c r="G746" s="369"/>
      <c r="H746" s="369"/>
      <c r="I746" s="470"/>
      <c r="J746" s="369"/>
      <c r="K746" s="453"/>
      <c r="L746" s="454"/>
      <c r="M746" s="369"/>
      <c r="N746" s="369"/>
      <c r="O746" s="455"/>
    </row>
    <row r="747" spans="1:15" x14ac:dyDescent="0.2">
      <c r="A747" s="369"/>
      <c r="B747" s="369"/>
      <c r="C747" s="369"/>
      <c r="D747" s="369"/>
      <c r="E747" s="369"/>
      <c r="F747" s="452"/>
      <c r="G747" s="369"/>
      <c r="H747" s="369"/>
      <c r="I747" s="470"/>
      <c r="J747" s="369"/>
      <c r="K747" s="453"/>
      <c r="L747" s="454"/>
      <c r="M747" s="369"/>
      <c r="N747" s="369"/>
      <c r="O747" s="455"/>
    </row>
    <row r="748" spans="1:15" x14ac:dyDescent="0.2">
      <c r="A748" s="369"/>
      <c r="B748" s="369"/>
      <c r="C748" s="369"/>
      <c r="D748" s="369"/>
      <c r="E748" s="369"/>
      <c r="F748" s="452"/>
      <c r="G748" s="369"/>
      <c r="H748" s="369"/>
      <c r="I748" s="470"/>
      <c r="J748" s="369"/>
      <c r="K748" s="453"/>
      <c r="L748" s="454"/>
      <c r="M748" s="369"/>
      <c r="N748" s="369"/>
      <c r="O748" s="455"/>
    </row>
    <row r="749" spans="1:15" x14ac:dyDescent="0.2">
      <c r="A749" s="369"/>
      <c r="B749" s="369"/>
      <c r="C749" s="369"/>
      <c r="D749" s="369"/>
      <c r="E749" s="369"/>
      <c r="F749" s="452"/>
      <c r="G749" s="369"/>
      <c r="H749" s="369"/>
      <c r="I749" s="470"/>
      <c r="J749" s="369"/>
      <c r="K749" s="453"/>
      <c r="L749" s="454"/>
      <c r="M749" s="369"/>
      <c r="N749" s="369"/>
      <c r="O749" s="455"/>
    </row>
    <row r="750" spans="1:15" x14ac:dyDescent="0.2">
      <c r="A750" s="369"/>
      <c r="B750" s="369"/>
      <c r="C750" s="369"/>
      <c r="D750" s="369"/>
      <c r="E750" s="369"/>
      <c r="F750" s="452"/>
      <c r="G750" s="369"/>
      <c r="H750" s="369"/>
      <c r="I750" s="470"/>
      <c r="J750" s="369"/>
      <c r="K750" s="453"/>
      <c r="L750" s="454"/>
      <c r="M750" s="369"/>
      <c r="N750" s="369"/>
      <c r="O750" s="455"/>
    </row>
    <row r="751" spans="1:15" x14ac:dyDescent="0.2">
      <c r="A751" s="369"/>
      <c r="B751" s="369"/>
      <c r="C751" s="369"/>
      <c r="D751" s="369"/>
      <c r="E751" s="369"/>
      <c r="F751" s="452"/>
      <c r="G751" s="369"/>
      <c r="H751" s="369"/>
      <c r="I751" s="470"/>
      <c r="J751" s="369"/>
      <c r="K751" s="453"/>
      <c r="L751" s="454"/>
      <c r="M751" s="369"/>
      <c r="N751" s="369"/>
      <c r="O751" s="455"/>
    </row>
    <row r="752" spans="1:15" x14ac:dyDescent="0.2">
      <c r="A752" s="369"/>
      <c r="B752" s="369"/>
      <c r="C752" s="369"/>
      <c r="D752" s="369"/>
      <c r="E752" s="369"/>
      <c r="F752" s="452"/>
      <c r="G752" s="369"/>
      <c r="H752" s="369"/>
      <c r="I752" s="470"/>
      <c r="J752" s="369"/>
      <c r="K752" s="453"/>
      <c r="L752" s="454"/>
      <c r="M752" s="369"/>
      <c r="N752" s="369"/>
      <c r="O752" s="455"/>
    </row>
    <row r="753" spans="1:15" x14ac:dyDescent="0.2">
      <c r="A753" s="369"/>
      <c r="B753" s="369"/>
      <c r="C753" s="369"/>
      <c r="D753" s="369"/>
      <c r="E753" s="369"/>
      <c r="F753" s="452"/>
      <c r="G753" s="369"/>
      <c r="H753" s="369"/>
      <c r="I753" s="470"/>
      <c r="J753" s="369"/>
      <c r="K753" s="453"/>
      <c r="L753" s="454"/>
      <c r="M753" s="369"/>
      <c r="N753" s="369"/>
      <c r="O753" s="455"/>
    </row>
    <row r="754" spans="1:15" x14ac:dyDescent="0.2">
      <c r="A754" s="369"/>
      <c r="B754" s="369"/>
      <c r="C754" s="369"/>
      <c r="D754" s="369"/>
      <c r="E754" s="369"/>
      <c r="F754" s="452"/>
      <c r="G754" s="369"/>
      <c r="H754" s="369"/>
      <c r="I754" s="470"/>
      <c r="J754" s="369"/>
      <c r="K754" s="453"/>
      <c r="L754" s="454"/>
      <c r="M754" s="369"/>
      <c r="N754" s="369"/>
      <c r="O754" s="455"/>
    </row>
    <row r="755" spans="1:15" x14ac:dyDescent="0.2">
      <c r="A755" s="369"/>
      <c r="B755" s="369"/>
      <c r="C755" s="369"/>
      <c r="D755" s="369"/>
      <c r="E755" s="369"/>
      <c r="F755" s="452"/>
      <c r="G755" s="369"/>
      <c r="H755" s="369"/>
      <c r="I755" s="470"/>
      <c r="J755" s="369"/>
      <c r="K755" s="453"/>
      <c r="L755" s="454"/>
      <c r="M755" s="369"/>
      <c r="N755" s="369"/>
      <c r="O755" s="455"/>
    </row>
    <row r="756" spans="1:15" x14ac:dyDescent="0.2">
      <c r="A756" s="369"/>
      <c r="B756" s="369"/>
      <c r="C756" s="369"/>
      <c r="D756" s="369"/>
      <c r="E756" s="369"/>
      <c r="F756" s="452"/>
      <c r="G756" s="369"/>
      <c r="H756" s="369"/>
      <c r="I756" s="470"/>
      <c r="J756" s="369"/>
      <c r="K756" s="453"/>
      <c r="L756" s="454"/>
      <c r="M756" s="369"/>
      <c r="N756" s="369"/>
      <c r="O756" s="455"/>
    </row>
    <row r="757" spans="1:15" x14ac:dyDescent="0.2">
      <c r="A757" s="369"/>
      <c r="B757" s="369"/>
      <c r="C757" s="369"/>
      <c r="D757" s="369"/>
      <c r="E757" s="369"/>
      <c r="F757" s="452"/>
      <c r="G757" s="369"/>
      <c r="H757" s="369"/>
      <c r="I757" s="470"/>
      <c r="J757" s="369"/>
      <c r="K757" s="453"/>
      <c r="L757" s="454"/>
      <c r="M757" s="369"/>
      <c r="N757" s="369"/>
      <c r="O757" s="455"/>
    </row>
    <row r="758" spans="1:15" x14ac:dyDescent="0.2">
      <c r="A758" s="369"/>
      <c r="B758" s="369"/>
      <c r="C758" s="369"/>
      <c r="D758" s="369"/>
      <c r="E758" s="369"/>
      <c r="F758" s="452"/>
      <c r="G758" s="369"/>
      <c r="H758" s="369"/>
      <c r="I758" s="470"/>
      <c r="J758" s="369"/>
      <c r="K758" s="453"/>
      <c r="L758" s="454"/>
      <c r="M758" s="369"/>
      <c r="N758" s="369"/>
      <c r="O758" s="455"/>
    </row>
    <row r="759" spans="1:15" x14ac:dyDescent="0.2">
      <c r="A759" s="369"/>
      <c r="B759" s="369"/>
      <c r="C759" s="369"/>
      <c r="D759" s="369"/>
      <c r="E759" s="369"/>
      <c r="F759" s="452"/>
      <c r="G759" s="369"/>
      <c r="H759" s="369"/>
      <c r="I759" s="470"/>
      <c r="J759" s="369"/>
      <c r="K759" s="453"/>
      <c r="L759" s="454"/>
      <c r="M759" s="369"/>
      <c r="N759" s="369"/>
      <c r="O759" s="455"/>
    </row>
    <row r="760" spans="1:15" x14ac:dyDescent="0.2">
      <c r="A760" s="369"/>
      <c r="B760" s="369"/>
      <c r="C760" s="369"/>
      <c r="D760" s="369"/>
      <c r="E760" s="369"/>
      <c r="F760" s="452"/>
      <c r="G760" s="369"/>
      <c r="H760" s="369"/>
      <c r="I760" s="470"/>
      <c r="J760" s="369"/>
      <c r="K760" s="453"/>
      <c r="L760" s="454"/>
      <c r="M760" s="369"/>
      <c r="N760" s="369"/>
      <c r="O760" s="455"/>
    </row>
    <row r="761" spans="1:15" x14ac:dyDescent="0.2">
      <c r="A761" s="369"/>
      <c r="B761" s="369"/>
      <c r="C761" s="369"/>
      <c r="D761" s="369"/>
      <c r="E761" s="369"/>
      <c r="F761" s="452"/>
      <c r="G761" s="369"/>
      <c r="H761" s="369"/>
      <c r="I761" s="470"/>
      <c r="J761" s="369"/>
      <c r="K761" s="453"/>
      <c r="L761" s="454"/>
      <c r="M761" s="369"/>
      <c r="N761" s="369"/>
      <c r="O761" s="455"/>
    </row>
    <row r="762" spans="1:15" x14ac:dyDescent="0.2">
      <c r="A762" s="369"/>
      <c r="B762" s="369"/>
      <c r="C762" s="369"/>
      <c r="D762" s="369"/>
      <c r="E762" s="369"/>
      <c r="F762" s="452"/>
      <c r="G762" s="369"/>
      <c r="H762" s="369"/>
      <c r="I762" s="470"/>
      <c r="J762" s="369"/>
      <c r="K762" s="453"/>
      <c r="L762" s="454"/>
      <c r="M762" s="369"/>
      <c r="N762" s="369"/>
      <c r="O762" s="455"/>
    </row>
    <row r="763" spans="1:15" x14ac:dyDescent="0.2">
      <c r="A763" s="369"/>
      <c r="B763" s="369"/>
      <c r="C763" s="369"/>
      <c r="D763" s="369"/>
      <c r="E763" s="369"/>
      <c r="F763" s="452"/>
      <c r="G763" s="369"/>
      <c r="H763" s="369"/>
      <c r="I763" s="470"/>
      <c r="J763" s="369"/>
      <c r="K763" s="453"/>
      <c r="L763" s="454"/>
      <c r="M763" s="369"/>
      <c r="N763" s="369"/>
      <c r="O763" s="455"/>
    </row>
    <row r="764" spans="1:15" x14ac:dyDescent="0.2">
      <c r="A764" s="369"/>
      <c r="B764" s="369"/>
      <c r="C764" s="369"/>
      <c r="D764" s="369"/>
      <c r="E764" s="369"/>
      <c r="F764" s="452"/>
      <c r="G764" s="369"/>
      <c r="H764" s="369"/>
      <c r="I764" s="470"/>
      <c r="J764" s="369"/>
      <c r="K764" s="453"/>
      <c r="L764" s="454"/>
      <c r="M764" s="369"/>
      <c r="N764" s="369"/>
      <c r="O764" s="455"/>
    </row>
    <row r="765" spans="1:15" x14ac:dyDescent="0.2">
      <c r="A765" s="369"/>
      <c r="B765" s="369"/>
      <c r="C765" s="369"/>
      <c r="D765" s="369"/>
      <c r="E765" s="369"/>
      <c r="F765" s="452"/>
      <c r="G765" s="369"/>
      <c r="H765" s="369"/>
      <c r="I765" s="470"/>
      <c r="J765" s="369"/>
      <c r="K765" s="453"/>
      <c r="L765" s="454"/>
      <c r="M765" s="369"/>
      <c r="N765" s="369"/>
      <c r="O765" s="455"/>
    </row>
    <row r="766" spans="1:15" x14ac:dyDescent="0.2">
      <c r="A766" s="369"/>
      <c r="B766" s="369"/>
      <c r="C766" s="369"/>
      <c r="D766" s="369"/>
      <c r="E766" s="369"/>
      <c r="F766" s="452"/>
      <c r="G766" s="369"/>
      <c r="H766" s="369"/>
      <c r="I766" s="470"/>
      <c r="J766" s="369"/>
      <c r="K766" s="453"/>
      <c r="L766" s="454"/>
      <c r="M766" s="369"/>
      <c r="N766" s="369"/>
      <c r="O766" s="455"/>
    </row>
    <row r="767" spans="1:15" x14ac:dyDescent="0.2">
      <c r="A767" s="369"/>
      <c r="B767" s="369"/>
      <c r="C767" s="369"/>
      <c r="D767" s="369"/>
      <c r="E767" s="369"/>
      <c r="F767" s="452"/>
      <c r="G767" s="369"/>
      <c r="H767" s="369"/>
      <c r="I767" s="470"/>
      <c r="J767" s="369"/>
      <c r="K767" s="453"/>
      <c r="L767" s="454"/>
      <c r="M767" s="369"/>
      <c r="N767" s="369"/>
      <c r="O767" s="455"/>
    </row>
    <row r="768" spans="1:15" x14ac:dyDescent="0.2">
      <c r="A768" s="369"/>
      <c r="B768" s="369"/>
      <c r="C768" s="369"/>
      <c r="D768" s="369"/>
      <c r="E768" s="369"/>
      <c r="F768" s="452"/>
      <c r="G768" s="369"/>
      <c r="H768" s="369"/>
      <c r="I768" s="470"/>
      <c r="J768" s="369"/>
      <c r="K768" s="453"/>
      <c r="L768" s="454"/>
      <c r="M768" s="369"/>
      <c r="N768" s="369"/>
      <c r="O768" s="455"/>
    </row>
    <row r="769" spans="1:15" x14ac:dyDescent="0.2">
      <c r="A769" s="369"/>
      <c r="B769" s="369"/>
      <c r="C769" s="369"/>
      <c r="D769" s="369"/>
      <c r="E769" s="369"/>
      <c r="F769" s="452"/>
      <c r="G769" s="369"/>
      <c r="H769" s="369"/>
      <c r="I769" s="470"/>
      <c r="J769" s="369"/>
      <c r="K769" s="453"/>
      <c r="L769" s="454"/>
      <c r="M769" s="369"/>
      <c r="N769" s="369"/>
      <c r="O769" s="455"/>
    </row>
    <row r="770" spans="1:15" x14ac:dyDescent="0.2">
      <c r="A770" s="369"/>
      <c r="B770" s="369"/>
      <c r="C770" s="369"/>
      <c r="D770" s="369"/>
      <c r="E770" s="369"/>
      <c r="F770" s="452"/>
      <c r="G770" s="369"/>
      <c r="H770" s="369"/>
      <c r="I770" s="470"/>
      <c r="J770" s="369"/>
      <c r="K770" s="453"/>
      <c r="L770" s="454"/>
      <c r="M770" s="369"/>
      <c r="N770" s="369"/>
      <c r="O770" s="455"/>
    </row>
    <row r="771" spans="1:15" x14ac:dyDescent="0.2">
      <c r="A771" s="369"/>
      <c r="B771" s="369"/>
      <c r="C771" s="369"/>
      <c r="D771" s="369"/>
      <c r="E771" s="369"/>
      <c r="F771" s="452"/>
      <c r="G771" s="369"/>
      <c r="H771" s="369"/>
      <c r="I771" s="470"/>
      <c r="J771" s="369"/>
      <c r="K771" s="453"/>
      <c r="L771" s="454"/>
      <c r="M771" s="369"/>
      <c r="N771" s="369"/>
      <c r="O771" s="455"/>
    </row>
    <row r="772" spans="1:15" x14ac:dyDescent="0.2">
      <c r="A772" s="369"/>
      <c r="B772" s="369"/>
      <c r="C772" s="369"/>
      <c r="D772" s="369"/>
      <c r="E772" s="369"/>
      <c r="F772" s="452"/>
      <c r="G772" s="369"/>
      <c r="H772" s="369"/>
      <c r="I772" s="470"/>
      <c r="J772" s="369"/>
      <c r="K772" s="453"/>
      <c r="L772" s="454"/>
      <c r="M772" s="369"/>
      <c r="N772" s="369"/>
      <c r="O772" s="455"/>
    </row>
    <row r="773" spans="1:15" x14ac:dyDescent="0.2">
      <c r="A773" s="369"/>
      <c r="B773" s="369"/>
      <c r="C773" s="369"/>
      <c r="D773" s="369"/>
      <c r="E773" s="369"/>
      <c r="F773" s="452"/>
      <c r="G773" s="369"/>
      <c r="H773" s="369"/>
      <c r="I773" s="470"/>
      <c r="J773" s="369"/>
      <c r="K773" s="453"/>
      <c r="L773" s="454"/>
      <c r="M773" s="369"/>
      <c r="N773" s="369"/>
      <c r="O773" s="455"/>
    </row>
    <row r="774" spans="1:15" x14ac:dyDescent="0.2">
      <c r="A774" s="369"/>
      <c r="B774" s="369"/>
      <c r="C774" s="369"/>
      <c r="D774" s="369"/>
      <c r="E774" s="369"/>
      <c r="F774" s="452"/>
      <c r="G774" s="369"/>
      <c r="H774" s="369"/>
      <c r="I774" s="470"/>
      <c r="J774" s="369"/>
      <c r="K774" s="453"/>
      <c r="L774" s="454"/>
      <c r="M774" s="369"/>
      <c r="N774" s="369"/>
      <c r="O774" s="455"/>
    </row>
    <row r="775" spans="1:15" x14ac:dyDescent="0.2">
      <c r="A775" s="369"/>
      <c r="B775" s="369"/>
      <c r="C775" s="369"/>
      <c r="D775" s="369"/>
      <c r="E775" s="369"/>
      <c r="F775" s="452"/>
      <c r="G775" s="369"/>
      <c r="H775" s="369"/>
      <c r="I775" s="470"/>
      <c r="J775" s="369"/>
      <c r="K775" s="453"/>
      <c r="L775" s="454"/>
      <c r="M775" s="369"/>
      <c r="N775" s="369"/>
      <c r="O775" s="455"/>
    </row>
    <row r="776" spans="1:15" x14ac:dyDescent="0.2">
      <c r="A776" s="369"/>
      <c r="B776" s="369"/>
      <c r="C776" s="369"/>
      <c r="D776" s="369"/>
      <c r="E776" s="369"/>
      <c r="F776" s="452"/>
      <c r="G776" s="369"/>
      <c r="H776" s="369"/>
      <c r="I776" s="470"/>
      <c r="J776" s="369"/>
      <c r="K776" s="453"/>
      <c r="L776" s="454"/>
      <c r="M776" s="369"/>
      <c r="N776" s="369"/>
      <c r="O776" s="455"/>
    </row>
    <row r="777" spans="1:15" x14ac:dyDescent="0.2">
      <c r="A777" s="369"/>
      <c r="B777" s="369"/>
      <c r="C777" s="369"/>
      <c r="D777" s="369"/>
      <c r="E777" s="369"/>
      <c r="F777" s="452"/>
      <c r="G777" s="369"/>
      <c r="H777" s="369"/>
      <c r="I777" s="470"/>
      <c r="J777" s="369"/>
      <c r="K777" s="453"/>
      <c r="L777" s="454"/>
      <c r="M777" s="369"/>
      <c r="N777" s="369"/>
      <c r="O777" s="455"/>
    </row>
    <row r="778" spans="1:15" x14ac:dyDescent="0.2">
      <c r="A778" s="369"/>
      <c r="B778" s="369"/>
      <c r="C778" s="369"/>
      <c r="D778" s="369"/>
      <c r="E778" s="369"/>
      <c r="F778" s="452"/>
      <c r="G778" s="369"/>
      <c r="H778" s="369"/>
      <c r="I778" s="470"/>
      <c r="J778" s="369"/>
      <c r="K778" s="453"/>
      <c r="L778" s="454"/>
      <c r="M778" s="369"/>
      <c r="N778" s="369"/>
      <c r="O778" s="455"/>
    </row>
    <row r="779" spans="1:15" x14ac:dyDescent="0.2">
      <c r="A779" s="369"/>
      <c r="B779" s="369"/>
      <c r="C779" s="369"/>
      <c r="D779" s="369"/>
      <c r="E779" s="369"/>
      <c r="F779" s="452"/>
      <c r="G779" s="369"/>
      <c r="H779" s="369"/>
      <c r="I779" s="470"/>
      <c r="J779" s="369"/>
      <c r="K779" s="453"/>
      <c r="L779" s="454"/>
      <c r="M779" s="369"/>
      <c r="N779" s="369"/>
      <c r="O779" s="455"/>
    </row>
    <row r="780" spans="1:15" x14ac:dyDescent="0.2">
      <c r="A780" s="369"/>
      <c r="B780" s="369"/>
      <c r="C780" s="369"/>
      <c r="D780" s="369"/>
      <c r="E780" s="369"/>
      <c r="F780" s="452"/>
      <c r="G780" s="369"/>
      <c r="H780" s="369"/>
      <c r="I780" s="470"/>
      <c r="J780" s="369"/>
      <c r="K780" s="453"/>
      <c r="L780" s="454"/>
      <c r="M780" s="369"/>
      <c r="N780" s="369"/>
      <c r="O780" s="455"/>
    </row>
    <row r="781" spans="1:15" x14ac:dyDescent="0.2">
      <c r="A781" s="369"/>
      <c r="B781" s="369"/>
      <c r="C781" s="369"/>
      <c r="D781" s="369"/>
      <c r="E781" s="369"/>
      <c r="F781" s="452"/>
      <c r="G781" s="369"/>
      <c r="H781" s="369"/>
      <c r="I781" s="470"/>
      <c r="J781" s="369"/>
      <c r="K781" s="453"/>
      <c r="L781" s="454"/>
      <c r="M781" s="369"/>
      <c r="N781" s="369"/>
      <c r="O781" s="455"/>
    </row>
    <row r="782" spans="1:15" x14ac:dyDescent="0.2">
      <c r="A782" s="369"/>
      <c r="B782" s="369"/>
      <c r="C782" s="369"/>
      <c r="D782" s="369"/>
      <c r="E782" s="369"/>
      <c r="F782" s="452"/>
      <c r="G782" s="369"/>
      <c r="H782" s="369"/>
      <c r="I782" s="470"/>
      <c r="J782" s="369"/>
      <c r="K782" s="453"/>
      <c r="L782" s="454"/>
      <c r="M782" s="369"/>
      <c r="N782" s="369"/>
      <c r="O782" s="455"/>
    </row>
    <row r="783" spans="1:15" x14ac:dyDescent="0.2">
      <c r="A783" s="369"/>
      <c r="B783" s="369"/>
      <c r="C783" s="369"/>
      <c r="D783" s="369"/>
      <c r="E783" s="369"/>
      <c r="F783" s="452"/>
      <c r="G783" s="369"/>
      <c r="H783" s="369"/>
      <c r="I783" s="470"/>
      <c r="J783" s="369"/>
      <c r="K783" s="453"/>
      <c r="L783" s="454"/>
      <c r="M783" s="369"/>
      <c r="N783" s="369"/>
      <c r="O783" s="455"/>
    </row>
    <row r="784" spans="1:15" x14ac:dyDescent="0.2">
      <c r="A784" s="369"/>
      <c r="B784" s="369"/>
      <c r="C784" s="369"/>
      <c r="D784" s="369"/>
      <c r="E784" s="369"/>
      <c r="F784" s="452"/>
      <c r="G784" s="369"/>
      <c r="H784" s="369"/>
      <c r="I784" s="470"/>
      <c r="J784" s="369"/>
      <c r="K784" s="453"/>
      <c r="L784" s="454"/>
      <c r="M784" s="369"/>
      <c r="N784" s="369"/>
      <c r="O784" s="455"/>
    </row>
    <row r="785" spans="1:15" x14ac:dyDescent="0.2">
      <c r="A785" s="369"/>
      <c r="B785" s="369"/>
      <c r="C785" s="369"/>
      <c r="D785" s="369"/>
      <c r="E785" s="369"/>
      <c r="F785" s="452"/>
      <c r="G785" s="369"/>
      <c r="H785" s="369"/>
      <c r="I785" s="470"/>
      <c r="J785" s="369"/>
      <c r="K785" s="453"/>
      <c r="L785" s="454"/>
      <c r="M785" s="369"/>
      <c r="N785" s="369"/>
      <c r="O785" s="455"/>
    </row>
    <row r="786" spans="1:15" x14ac:dyDescent="0.2">
      <c r="A786" s="369"/>
      <c r="B786" s="369"/>
      <c r="C786" s="369"/>
      <c r="D786" s="369"/>
      <c r="E786" s="369"/>
      <c r="F786" s="452"/>
      <c r="G786" s="369"/>
      <c r="H786" s="369"/>
      <c r="I786" s="470"/>
      <c r="J786" s="369"/>
      <c r="K786" s="453"/>
      <c r="L786" s="454"/>
      <c r="M786" s="369"/>
      <c r="N786" s="369"/>
      <c r="O786" s="455"/>
    </row>
    <row r="787" spans="1:15" x14ac:dyDescent="0.2">
      <c r="A787" s="369"/>
      <c r="B787" s="369"/>
      <c r="C787" s="369"/>
      <c r="D787" s="369"/>
      <c r="E787" s="369"/>
      <c r="F787" s="452"/>
      <c r="G787" s="369"/>
      <c r="H787" s="369"/>
      <c r="I787" s="470"/>
      <c r="J787" s="369"/>
      <c r="K787" s="453"/>
      <c r="L787" s="454"/>
      <c r="M787" s="369"/>
      <c r="N787" s="369"/>
      <c r="O787" s="455"/>
    </row>
    <row r="788" spans="1:15" x14ac:dyDescent="0.2">
      <c r="A788" s="369"/>
      <c r="B788" s="369"/>
      <c r="C788" s="369"/>
      <c r="D788" s="369"/>
      <c r="E788" s="369"/>
      <c r="F788" s="452"/>
      <c r="G788" s="369"/>
      <c r="H788" s="369"/>
      <c r="I788" s="470"/>
      <c r="J788" s="369"/>
      <c r="K788" s="453"/>
      <c r="L788" s="454"/>
      <c r="M788" s="369"/>
      <c r="N788" s="369"/>
      <c r="O788" s="455"/>
    </row>
    <row r="789" spans="1:15" x14ac:dyDescent="0.2">
      <c r="A789" s="369"/>
      <c r="B789" s="369"/>
      <c r="C789" s="369"/>
      <c r="D789" s="369"/>
      <c r="E789" s="369"/>
      <c r="F789" s="452"/>
      <c r="G789" s="369"/>
      <c r="H789" s="369"/>
      <c r="I789" s="470"/>
      <c r="J789" s="369"/>
      <c r="K789" s="453"/>
      <c r="L789" s="454"/>
      <c r="M789" s="369"/>
      <c r="N789" s="369"/>
      <c r="O789" s="455"/>
    </row>
    <row r="790" spans="1:15" x14ac:dyDescent="0.2">
      <c r="A790" s="369"/>
      <c r="B790" s="369"/>
      <c r="C790" s="369"/>
      <c r="D790" s="369"/>
      <c r="E790" s="369"/>
      <c r="F790" s="452"/>
      <c r="G790" s="369"/>
      <c r="H790" s="369"/>
      <c r="I790" s="470"/>
      <c r="J790" s="369"/>
      <c r="K790" s="453"/>
      <c r="L790" s="454"/>
      <c r="M790" s="369"/>
      <c r="N790" s="369"/>
      <c r="O790" s="455"/>
    </row>
    <row r="791" spans="1:15" x14ac:dyDescent="0.2">
      <c r="A791" s="369"/>
      <c r="B791" s="369"/>
      <c r="C791" s="369"/>
      <c r="D791" s="369"/>
      <c r="E791" s="369"/>
      <c r="F791" s="452"/>
      <c r="G791" s="369"/>
      <c r="H791" s="369"/>
      <c r="I791" s="470"/>
      <c r="J791" s="369"/>
      <c r="K791" s="453"/>
      <c r="L791" s="454"/>
      <c r="M791" s="369"/>
      <c r="N791" s="369"/>
      <c r="O791" s="455"/>
    </row>
    <row r="792" spans="1:15" x14ac:dyDescent="0.2">
      <c r="A792" s="369"/>
      <c r="B792" s="369"/>
      <c r="C792" s="369"/>
      <c r="D792" s="369"/>
      <c r="E792" s="369"/>
      <c r="F792" s="452"/>
      <c r="G792" s="369"/>
      <c r="H792" s="369"/>
      <c r="I792" s="470"/>
      <c r="J792" s="369"/>
      <c r="K792" s="453"/>
      <c r="L792" s="454"/>
      <c r="M792" s="369"/>
      <c r="N792" s="369"/>
      <c r="O792" s="455"/>
    </row>
    <row r="793" spans="1:15" x14ac:dyDescent="0.2">
      <c r="A793" s="369"/>
      <c r="B793" s="369"/>
      <c r="C793" s="369"/>
      <c r="D793" s="369"/>
      <c r="E793" s="369"/>
      <c r="F793" s="452"/>
      <c r="G793" s="369"/>
      <c r="H793" s="369"/>
      <c r="I793" s="470"/>
      <c r="J793" s="369"/>
      <c r="K793" s="453"/>
      <c r="L793" s="454"/>
      <c r="M793" s="369"/>
      <c r="N793" s="369"/>
      <c r="O793" s="455"/>
    </row>
    <row r="794" spans="1:15" x14ac:dyDescent="0.2">
      <c r="A794" s="369"/>
      <c r="B794" s="369"/>
      <c r="C794" s="369"/>
      <c r="D794" s="369"/>
      <c r="E794" s="369"/>
      <c r="F794" s="452"/>
      <c r="G794" s="369"/>
      <c r="H794" s="369"/>
      <c r="I794" s="470"/>
      <c r="J794" s="369"/>
      <c r="K794" s="453"/>
      <c r="L794" s="454"/>
      <c r="M794" s="369"/>
      <c r="N794" s="369"/>
      <c r="O794" s="455"/>
    </row>
    <row r="795" spans="1:15" x14ac:dyDescent="0.2">
      <c r="A795" s="369"/>
      <c r="B795" s="369"/>
      <c r="C795" s="369"/>
      <c r="D795" s="369"/>
      <c r="E795" s="369"/>
      <c r="F795" s="452"/>
      <c r="G795" s="369"/>
      <c r="H795" s="369"/>
      <c r="I795" s="470"/>
      <c r="J795" s="369"/>
      <c r="K795" s="453"/>
      <c r="L795" s="454"/>
      <c r="M795" s="369"/>
      <c r="N795" s="369"/>
      <c r="O795" s="455"/>
    </row>
    <row r="796" spans="1:15" x14ac:dyDescent="0.2">
      <c r="A796" s="369"/>
      <c r="B796" s="369"/>
      <c r="C796" s="369"/>
      <c r="D796" s="369"/>
      <c r="E796" s="369"/>
      <c r="F796" s="452"/>
      <c r="G796" s="369"/>
      <c r="H796" s="369"/>
      <c r="I796" s="470"/>
      <c r="J796" s="369"/>
      <c r="K796" s="453"/>
      <c r="L796" s="454"/>
      <c r="M796" s="369"/>
      <c r="N796" s="369"/>
      <c r="O796" s="455"/>
    </row>
    <row r="797" spans="1:15" x14ac:dyDescent="0.2">
      <c r="A797" s="369"/>
      <c r="B797" s="369"/>
      <c r="C797" s="369"/>
      <c r="D797" s="369"/>
      <c r="E797" s="369"/>
      <c r="F797" s="452"/>
      <c r="G797" s="369"/>
      <c r="H797" s="369"/>
      <c r="I797" s="470"/>
      <c r="J797" s="369"/>
      <c r="K797" s="453"/>
      <c r="L797" s="454"/>
      <c r="M797" s="369"/>
      <c r="N797" s="369"/>
      <c r="O797" s="455"/>
    </row>
    <row r="798" spans="1:15" x14ac:dyDescent="0.2">
      <c r="A798" s="369"/>
      <c r="B798" s="369"/>
      <c r="C798" s="369"/>
      <c r="D798" s="369"/>
      <c r="E798" s="369"/>
      <c r="F798" s="452"/>
      <c r="G798" s="369"/>
      <c r="H798" s="369"/>
      <c r="I798" s="470"/>
      <c r="J798" s="369"/>
      <c r="K798" s="453"/>
      <c r="L798" s="454"/>
      <c r="M798" s="369"/>
      <c r="N798" s="369"/>
      <c r="O798" s="455"/>
    </row>
    <row r="799" spans="1:15" x14ac:dyDescent="0.2">
      <c r="A799" s="369"/>
      <c r="B799" s="369"/>
      <c r="C799" s="369"/>
      <c r="D799" s="369"/>
      <c r="E799" s="369"/>
      <c r="F799" s="452"/>
      <c r="G799" s="369"/>
      <c r="H799" s="369"/>
      <c r="I799" s="470"/>
      <c r="J799" s="369"/>
      <c r="K799" s="453"/>
      <c r="L799" s="454"/>
      <c r="M799" s="369"/>
      <c r="N799" s="369"/>
      <c r="O799" s="455"/>
    </row>
    <row r="800" spans="1:15" x14ac:dyDescent="0.2">
      <c r="A800" s="369"/>
      <c r="B800" s="369"/>
      <c r="C800" s="369"/>
      <c r="D800" s="369"/>
      <c r="E800" s="369"/>
      <c r="F800" s="452"/>
      <c r="G800" s="369"/>
      <c r="H800" s="369"/>
      <c r="I800" s="470"/>
      <c r="J800" s="369"/>
      <c r="K800" s="453"/>
      <c r="L800" s="454"/>
      <c r="M800" s="369"/>
      <c r="N800" s="369"/>
      <c r="O800" s="455"/>
    </row>
    <row r="801" spans="1:15" x14ac:dyDescent="0.2">
      <c r="A801" s="369"/>
      <c r="B801" s="369"/>
      <c r="C801" s="369"/>
      <c r="D801" s="369"/>
      <c r="E801" s="369"/>
      <c r="F801" s="452"/>
      <c r="G801" s="369"/>
      <c r="H801" s="369"/>
      <c r="I801" s="470"/>
      <c r="J801" s="369"/>
      <c r="K801" s="453"/>
      <c r="L801" s="454"/>
      <c r="M801" s="369"/>
      <c r="N801" s="369"/>
      <c r="O801" s="455"/>
    </row>
    <row r="802" spans="1:15" x14ac:dyDescent="0.2">
      <c r="A802" s="369"/>
      <c r="B802" s="369"/>
      <c r="C802" s="369"/>
      <c r="D802" s="369"/>
      <c r="E802" s="369"/>
      <c r="F802" s="452"/>
      <c r="G802" s="369"/>
      <c r="H802" s="369"/>
      <c r="I802" s="470"/>
      <c r="J802" s="369"/>
      <c r="K802" s="453"/>
      <c r="L802" s="454"/>
      <c r="M802" s="369"/>
      <c r="N802" s="369"/>
      <c r="O802" s="455"/>
    </row>
    <row r="803" spans="1:15" x14ac:dyDescent="0.2">
      <c r="A803" s="369"/>
      <c r="B803" s="369"/>
      <c r="C803" s="369"/>
      <c r="D803" s="369"/>
      <c r="E803" s="369"/>
      <c r="F803" s="452"/>
      <c r="G803" s="369"/>
      <c r="H803" s="369"/>
      <c r="I803" s="470"/>
      <c r="J803" s="369"/>
      <c r="K803" s="453"/>
      <c r="L803" s="454"/>
      <c r="M803" s="369"/>
      <c r="N803" s="369"/>
      <c r="O803" s="455"/>
    </row>
    <row r="804" spans="1:15" x14ac:dyDescent="0.2">
      <c r="A804" s="369"/>
      <c r="B804" s="369"/>
      <c r="C804" s="369"/>
      <c r="D804" s="369"/>
      <c r="E804" s="369"/>
      <c r="F804" s="452"/>
      <c r="G804" s="369"/>
      <c r="H804" s="369"/>
      <c r="I804" s="470"/>
      <c r="J804" s="369"/>
      <c r="K804" s="453"/>
      <c r="L804" s="454"/>
      <c r="M804" s="369"/>
      <c r="N804" s="369"/>
      <c r="O804" s="455"/>
    </row>
    <row r="805" spans="1:15" x14ac:dyDescent="0.2">
      <c r="A805" s="369"/>
      <c r="B805" s="369"/>
      <c r="C805" s="369"/>
      <c r="D805" s="369"/>
      <c r="E805" s="369"/>
      <c r="F805" s="452"/>
      <c r="G805" s="369"/>
      <c r="H805" s="369"/>
      <c r="I805" s="470"/>
      <c r="J805" s="369"/>
      <c r="K805" s="453"/>
      <c r="L805" s="454"/>
      <c r="M805" s="369"/>
      <c r="N805" s="369"/>
      <c r="O805" s="455"/>
    </row>
    <row r="806" spans="1:15" x14ac:dyDescent="0.2">
      <c r="A806" s="369"/>
      <c r="B806" s="369"/>
      <c r="C806" s="369"/>
      <c r="D806" s="369"/>
      <c r="E806" s="369"/>
      <c r="F806" s="452"/>
      <c r="G806" s="369"/>
      <c r="H806" s="369"/>
      <c r="I806" s="470"/>
      <c r="J806" s="369"/>
      <c r="K806" s="453"/>
      <c r="L806" s="454"/>
      <c r="M806" s="369"/>
      <c r="N806" s="369"/>
      <c r="O806" s="455"/>
    </row>
    <row r="807" spans="1:15" x14ac:dyDescent="0.2">
      <c r="A807" s="369"/>
      <c r="B807" s="369"/>
      <c r="C807" s="369"/>
      <c r="D807" s="369"/>
      <c r="E807" s="369"/>
      <c r="F807" s="452"/>
      <c r="G807" s="369"/>
      <c r="H807" s="369"/>
      <c r="I807" s="470"/>
      <c r="J807" s="369"/>
      <c r="K807" s="453"/>
      <c r="L807" s="454"/>
      <c r="M807" s="369"/>
      <c r="N807" s="369"/>
      <c r="O807" s="455"/>
    </row>
    <row r="808" spans="1:15" x14ac:dyDescent="0.2">
      <c r="A808" s="369"/>
      <c r="B808" s="369"/>
      <c r="C808" s="369"/>
      <c r="D808" s="369"/>
      <c r="E808" s="369"/>
      <c r="F808" s="452"/>
      <c r="G808" s="369"/>
      <c r="H808" s="369"/>
      <c r="I808" s="470"/>
      <c r="J808" s="369"/>
      <c r="K808" s="453"/>
      <c r="L808" s="454"/>
      <c r="M808" s="369"/>
      <c r="N808" s="369"/>
      <c r="O808" s="455"/>
    </row>
    <row r="809" spans="1:15" x14ac:dyDescent="0.2">
      <c r="A809" s="369"/>
      <c r="B809" s="369"/>
      <c r="C809" s="369"/>
      <c r="D809" s="369"/>
      <c r="E809" s="369"/>
      <c r="F809" s="452"/>
      <c r="G809" s="369"/>
      <c r="H809" s="369"/>
      <c r="I809" s="470"/>
      <c r="J809" s="369"/>
      <c r="K809" s="453"/>
      <c r="L809" s="454"/>
      <c r="M809" s="369"/>
      <c r="N809" s="369"/>
      <c r="O809" s="455"/>
    </row>
    <row r="810" spans="1:15" x14ac:dyDescent="0.2">
      <c r="A810" s="369"/>
      <c r="B810" s="369"/>
      <c r="C810" s="369"/>
      <c r="D810" s="369"/>
      <c r="E810" s="369"/>
      <c r="F810" s="452"/>
      <c r="G810" s="369"/>
      <c r="H810" s="369"/>
      <c r="I810" s="470"/>
      <c r="J810" s="369"/>
      <c r="K810" s="453"/>
      <c r="L810" s="454"/>
      <c r="M810" s="369"/>
      <c r="N810" s="369"/>
      <c r="O810" s="455"/>
    </row>
    <row r="811" spans="1:15" x14ac:dyDescent="0.2">
      <c r="A811" s="369"/>
      <c r="B811" s="369"/>
      <c r="C811" s="369"/>
      <c r="D811" s="369"/>
      <c r="E811" s="369"/>
      <c r="F811" s="452"/>
      <c r="G811" s="369"/>
      <c r="H811" s="369"/>
      <c r="I811" s="470"/>
      <c r="J811" s="369"/>
      <c r="K811" s="453"/>
      <c r="L811" s="454"/>
      <c r="M811" s="369"/>
      <c r="N811" s="369"/>
      <c r="O811" s="455"/>
    </row>
    <row r="812" spans="1:15" x14ac:dyDescent="0.2">
      <c r="A812" s="369"/>
      <c r="B812" s="369"/>
      <c r="C812" s="369"/>
      <c r="D812" s="369"/>
      <c r="E812" s="369"/>
      <c r="F812" s="452"/>
      <c r="G812" s="369"/>
      <c r="H812" s="369"/>
      <c r="I812" s="470"/>
      <c r="J812" s="369"/>
      <c r="K812" s="453"/>
      <c r="L812" s="454"/>
      <c r="M812" s="369"/>
      <c r="N812" s="369"/>
      <c r="O812" s="455"/>
    </row>
    <row r="813" spans="1:15" x14ac:dyDescent="0.2">
      <c r="A813" s="369"/>
      <c r="B813" s="369"/>
      <c r="C813" s="369"/>
      <c r="D813" s="369"/>
      <c r="E813" s="369"/>
      <c r="F813" s="452"/>
      <c r="G813" s="369"/>
      <c r="H813" s="369"/>
      <c r="I813" s="470"/>
      <c r="J813" s="369"/>
      <c r="K813" s="453"/>
      <c r="L813" s="454"/>
      <c r="M813" s="369"/>
      <c r="N813" s="369"/>
      <c r="O813" s="455"/>
    </row>
    <row r="814" spans="1:15" x14ac:dyDescent="0.2">
      <c r="A814" s="369"/>
      <c r="B814" s="369"/>
      <c r="C814" s="369"/>
      <c r="D814" s="369"/>
      <c r="E814" s="369"/>
      <c r="F814" s="452"/>
      <c r="G814" s="369"/>
      <c r="H814" s="369"/>
      <c r="I814" s="470"/>
      <c r="J814" s="369"/>
      <c r="K814" s="453"/>
      <c r="L814" s="454"/>
      <c r="M814" s="369"/>
      <c r="N814" s="369"/>
      <c r="O814" s="455"/>
    </row>
    <row r="815" spans="1:15" x14ac:dyDescent="0.2">
      <c r="A815" s="369"/>
      <c r="B815" s="369"/>
      <c r="C815" s="369"/>
      <c r="D815" s="369"/>
      <c r="E815" s="369"/>
      <c r="F815" s="452"/>
      <c r="G815" s="369"/>
      <c r="H815" s="369"/>
      <c r="I815" s="470"/>
      <c r="J815" s="369"/>
      <c r="K815" s="453"/>
      <c r="L815" s="454"/>
      <c r="M815" s="369"/>
      <c r="N815" s="369"/>
      <c r="O815" s="455"/>
    </row>
    <row r="816" spans="1:15" x14ac:dyDescent="0.2">
      <c r="A816" s="369"/>
      <c r="B816" s="369"/>
      <c r="C816" s="369"/>
      <c r="D816" s="369"/>
      <c r="E816" s="369"/>
      <c r="F816" s="452"/>
      <c r="G816" s="369"/>
      <c r="H816" s="369"/>
      <c r="I816" s="470"/>
      <c r="J816" s="369"/>
      <c r="K816" s="453"/>
      <c r="L816" s="454"/>
      <c r="M816" s="369"/>
      <c r="N816" s="369"/>
      <c r="O816" s="455"/>
    </row>
    <row r="817" spans="1:15" x14ac:dyDescent="0.2">
      <c r="A817" s="369"/>
      <c r="B817" s="369"/>
      <c r="C817" s="369"/>
      <c r="D817" s="369"/>
      <c r="E817" s="369"/>
      <c r="F817" s="452"/>
      <c r="G817" s="369"/>
      <c r="H817" s="369"/>
      <c r="I817" s="470"/>
      <c r="J817" s="369"/>
      <c r="K817" s="453"/>
      <c r="L817" s="454"/>
      <c r="M817" s="369"/>
      <c r="N817" s="369"/>
      <c r="O817" s="455"/>
    </row>
    <row r="818" spans="1:15" x14ac:dyDescent="0.2">
      <c r="A818" s="369"/>
      <c r="B818" s="369"/>
      <c r="C818" s="369"/>
      <c r="D818" s="369"/>
      <c r="E818" s="369"/>
      <c r="F818" s="452"/>
      <c r="G818" s="369"/>
      <c r="H818" s="369"/>
      <c r="I818" s="470"/>
      <c r="J818" s="369"/>
      <c r="K818" s="453"/>
      <c r="L818" s="454"/>
      <c r="M818" s="369"/>
      <c r="N818" s="369"/>
      <c r="O818" s="455"/>
    </row>
    <row r="819" spans="1:15" x14ac:dyDescent="0.2">
      <c r="A819" s="369"/>
      <c r="B819" s="369"/>
      <c r="C819" s="369"/>
      <c r="D819" s="369"/>
      <c r="E819" s="369"/>
      <c r="F819" s="452"/>
      <c r="G819" s="369"/>
      <c r="H819" s="369"/>
      <c r="I819" s="470"/>
      <c r="J819" s="369"/>
      <c r="K819" s="453"/>
      <c r="L819" s="454"/>
      <c r="M819" s="369"/>
      <c r="N819" s="369"/>
      <c r="O819" s="455"/>
    </row>
    <row r="820" spans="1:15" x14ac:dyDescent="0.2">
      <c r="A820" s="369"/>
      <c r="B820" s="369"/>
      <c r="C820" s="369"/>
      <c r="D820" s="369"/>
      <c r="E820" s="369"/>
      <c r="F820" s="452"/>
      <c r="G820" s="369"/>
      <c r="H820" s="369"/>
      <c r="I820" s="470"/>
      <c r="J820" s="369"/>
      <c r="K820" s="453"/>
      <c r="L820" s="454"/>
      <c r="M820" s="369"/>
      <c r="N820" s="369"/>
      <c r="O820" s="455"/>
    </row>
    <row r="821" spans="1:15" x14ac:dyDescent="0.2">
      <c r="A821" s="369"/>
      <c r="B821" s="369"/>
      <c r="C821" s="369"/>
      <c r="D821" s="369"/>
      <c r="E821" s="369"/>
      <c r="F821" s="452"/>
      <c r="G821" s="369"/>
      <c r="H821" s="369"/>
      <c r="I821" s="470"/>
      <c r="J821" s="369"/>
      <c r="K821" s="453"/>
      <c r="L821" s="454"/>
      <c r="M821" s="369"/>
      <c r="N821" s="369"/>
      <c r="O821" s="455"/>
    </row>
    <row r="822" spans="1:15" x14ac:dyDescent="0.2">
      <c r="A822" s="369"/>
      <c r="B822" s="369"/>
      <c r="C822" s="369"/>
      <c r="D822" s="369"/>
      <c r="E822" s="369"/>
      <c r="F822" s="452"/>
      <c r="G822" s="369"/>
      <c r="H822" s="369"/>
      <c r="I822" s="470"/>
      <c r="J822" s="369"/>
      <c r="K822" s="453"/>
      <c r="L822" s="454"/>
      <c r="M822" s="369"/>
      <c r="N822" s="369"/>
      <c r="O822" s="455"/>
    </row>
    <row r="823" spans="1:15" x14ac:dyDescent="0.2">
      <c r="A823" s="369"/>
      <c r="B823" s="369"/>
      <c r="C823" s="369"/>
      <c r="D823" s="369"/>
      <c r="E823" s="369"/>
      <c r="F823" s="452"/>
      <c r="G823" s="369"/>
      <c r="H823" s="369"/>
      <c r="I823" s="470"/>
      <c r="J823" s="369"/>
      <c r="K823" s="453"/>
      <c r="L823" s="454"/>
      <c r="M823" s="369"/>
      <c r="N823" s="369"/>
      <c r="O823" s="455"/>
    </row>
    <row r="824" spans="1:15" x14ac:dyDescent="0.2">
      <c r="A824" s="369"/>
      <c r="B824" s="369"/>
      <c r="C824" s="369"/>
      <c r="D824" s="369"/>
      <c r="E824" s="369"/>
      <c r="F824" s="452"/>
      <c r="G824" s="369"/>
      <c r="H824" s="369"/>
      <c r="I824" s="470"/>
      <c r="J824" s="369"/>
      <c r="K824" s="453"/>
      <c r="L824" s="454"/>
      <c r="M824" s="369"/>
      <c r="N824" s="369"/>
      <c r="O824" s="455"/>
    </row>
    <row r="825" spans="1:15" x14ac:dyDescent="0.2">
      <c r="A825" s="369"/>
      <c r="B825" s="369"/>
      <c r="C825" s="369"/>
      <c r="D825" s="369"/>
      <c r="E825" s="369"/>
      <c r="F825" s="452"/>
      <c r="G825" s="369"/>
      <c r="H825" s="369"/>
      <c r="I825" s="470"/>
      <c r="J825" s="369"/>
      <c r="K825" s="453"/>
      <c r="L825" s="454"/>
      <c r="M825" s="369"/>
      <c r="N825" s="369"/>
      <c r="O825" s="455"/>
    </row>
    <row r="826" spans="1:15" x14ac:dyDescent="0.2">
      <c r="A826" s="369"/>
      <c r="B826" s="369"/>
      <c r="C826" s="369"/>
      <c r="D826" s="369"/>
      <c r="E826" s="369"/>
      <c r="F826" s="452"/>
      <c r="G826" s="369"/>
      <c r="H826" s="369"/>
      <c r="I826" s="470"/>
      <c r="J826" s="369"/>
      <c r="K826" s="453"/>
      <c r="L826" s="454"/>
      <c r="M826" s="369"/>
      <c r="N826" s="369"/>
      <c r="O826" s="455"/>
    </row>
    <row r="827" spans="1:15" x14ac:dyDescent="0.2">
      <c r="A827" s="369"/>
      <c r="B827" s="369"/>
      <c r="C827" s="369"/>
      <c r="D827" s="369"/>
      <c r="E827" s="369"/>
      <c r="F827" s="452"/>
      <c r="G827" s="369"/>
      <c r="H827" s="369"/>
      <c r="I827" s="470"/>
      <c r="J827" s="369"/>
      <c r="K827" s="453"/>
      <c r="L827" s="454"/>
      <c r="M827" s="369"/>
      <c r="N827" s="369"/>
      <c r="O827" s="455"/>
    </row>
    <row r="828" spans="1:15" x14ac:dyDescent="0.2">
      <c r="A828" s="369"/>
      <c r="B828" s="369"/>
      <c r="C828" s="369"/>
      <c r="D828" s="369"/>
      <c r="E828" s="369"/>
      <c r="F828" s="452"/>
      <c r="G828" s="369"/>
      <c r="H828" s="369"/>
      <c r="I828" s="470"/>
      <c r="J828" s="369"/>
      <c r="K828" s="453"/>
      <c r="L828" s="454"/>
      <c r="M828" s="369"/>
      <c r="N828" s="369"/>
      <c r="O828" s="455"/>
    </row>
    <row r="829" spans="1:15" x14ac:dyDescent="0.2">
      <c r="A829" s="369"/>
      <c r="B829" s="369"/>
      <c r="C829" s="369"/>
      <c r="D829" s="369"/>
      <c r="E829" s="369"/>
      <c r="F829" s="452"/>
      <c r="G829" s="369"/>
      <c r="H829" s="369"/>
      <c r="I829" s="470"/>
      <c r="J829" s="369"/>
      <c r="K829" s="453"/>
      <c r="L829" s="454"/>
      <c r="M829" s="369"/>
      <c r="N829" s="369"/>
      <c r="O829" s="455"/>
    </row>
    <row r="830" spans="1:15" x14ac:dyDescent="0.2">
      <c r="A830" s="369"/>
      <c r="B830" s="369"/>
      <c r="C830" s="369"/>
      <c r="D830" s="369"/>
      <c r="E830" s="369"/>
      <c r="F830" s="452"/>
      <c r="G830" s="369"/>
      <c r="H830" s="369"/>
      <c r="I830" s="470"/>
      <c r="J830" s="369"/>
      <c r="K830" s="453"/>
      <c r="L830" s="454"/>
      <c r="M830" s="369"/>
      <c r="N830" s="369"/>
      <c r="O830" s="455"/>
    </row>
    <row r="831" spans="1:15" x14ac:dyDescent="0.2">
      <c r="A831" s="369"/>
      <c r="B831" s="369"/>
      <c r="C831" s="369"/>
      <c r="D831" s="369"/>
      <c r="E831" s="369"/>
      <c r="F831" s="452"/>
      <c r="G831" s="369"/>
      <c r="H831" s="369"/>
      <c r="I831" s="470"/>
      <c r="J831" s="369"/>
      <c r="K831" s="453"/>
      <c r="L831" s="454"/>
      <c r="M831" s="369"/>
      <c r="N831" s="369"/>
      <c r="O831" s="455"/>
    </row>
    <row r="832" spans="1:15" x14ac:dyDescent="0.2">
      <c r="A832" s="369"/>
      <c r="B832" s="369"/>
      <c r="C832" s="369"/>
      <c r="D832" s="369"/>
      <c r="E832" s="369"/>
      <c r="F832" s="452"/>
      <c r="G832" s="369"/>
      <c r="H832" s="369"/>
      <c r="I832" s="470"/>
      <c r="J832" s="369"/>
      <c r="K832" s="453"/>
      <c r="L832" s="454"/>
      <c r="M832" s="369"/>
      <c r="N832" s="369"/>
      <c r="O832" s="455"/>
    </row>
    <row r="833" spans="1:15" x14ac:dyDescent="0.2">
      <c r="A833" s="369"/>
      <c r="B833" s="369"/>
      <c r="C833" s="369"/>
      <c r="D833" s="369"/>
      <c r="E833" s="369"/>
      <c r="F833" s="452"/>
      <c r="G833" s="369"/>
      <c r="H833" s="369"/>
      <c r="I833" s="470"/>
      <c r="J833" s="369"/>
      <c r="K833" s="453"/>
      <c r="L833" s="454"/>
      <c r="M833" s="369"/>
      <c r="N833" s="369"/>
      <c r="O833" s="455"/>
    </row>
    <row r="834" spans="1:15" x14ac:dyDescent="0.2">
      <c r="A834" s="369"/>
      <c r="B834" s="369"/>
      <c r="C834" s="369"/>
      <c r="D834" s="369"/>
      <c r="E834" s="369"/>
      <c r="F834" s="452"/>
      <c r="G834" s="369"/>
      <c r="H834" s="369"/>
      <c r="I834" s="470"/>
      <c r="J834" s="369"/>
      <c r="K834" s="453"/>
      <c r="L834" s="454"/>
      <c r="M834" s="369"/>
      <c r="N834" s="369"/>
      <c r="O834" s="455"/>
    </row>
    <row r="835" spans="1:15" x14ac:dyDescent="0.2">
      <c r="A835" s="369"/>
      <c r="B835" s="369"/>
      <c r="C835" s="369"/>
      <c r="D835" s="369"/>
      <c r="E835" s="369"/>
      <c r="F835" s="452"/>
      <c r="G835" s="369"/>
      <c r="H835" s="369"/>
      <c r="I835" s="470"/>
      <c r="J835" s="369"/>
      <c r="K835" s="453"/>
      <c r="L835" s="454"/>
      <c r="M835" s="369"/>
      <c r="N835" s="369"/>
      <c r="O835" s="455"/>
    </row>
    <row r="836" spans="1:15" x14ac:dyDescent="0.2">
      <c r="A836" s="369"/>
      <c r="B836" s="369"/>
      <c r="C836" s="369"/>
      <c r="D836" s="369"/>
      <c r="E836" s="369"/>
      <c r="F836" s="452"/>
      <c r="G836" s="369"/>
      <c r="H836" s="369"/>
      <c r="I836" s="470"/>
      <c r="J836" s="369"/>
      <c r="K836" s="453"/>
      <c r="L836" s="454"/>
      <c r="M836" s="369"/>
      <c r="N836" s="369"/>
      <c r="O836" s="455"/>
    </row>
    <row r="837" spans="1:15" x14ac:dyDescent="0.2">
      <c r="A837" s="369"/>
      <c r="B837" s="369"/>
      <c r="C837" s="369"/>
      <c r="D837" s="369"/>
      <c r="E837" s="369"/>
      <c r="F837" s="452"/>
      <c r="G837" s="369"/>
      <c r="H837" s="369"/>
      <c r="I837" s="470"/>
      <c r="J837" s="369"/>
      <c r="K837" s="453"/>
      <c r="L837" s="454"/>
      <c r="M837" s="369"/>
      <c r="N837" s="369"/>
      <c r="O837" s="455"/>
    </row>
    <row r="838" spans="1:15" x14ac:dyDescent="0.2">
      <c r="A838" s="369"/>
      <c r="B838" s="369"/>
      <c r="C838" s="369"/>
      <c r="D838" s="369"/>
      <c r="E838" s="369"/>
      <c r="F838" s="452"/>
      <c r="G838" s="369"/>
      <c r="H838" s="369"/>
      <c r="I838" s="470"/>
      <c r="J838" s="369"/>
      <c r="K838" s="453"/>
      <c r="L838" s="454"/>
      <c r="M838" s="369"/>
      <c r="N838" s="369"/>
      <c r="O838" s="455"/>
    </row>
    <row r="839" spans="1:15" x14ac:dyDescent="0.2">
      <c r="A839" s="369"/>
      <c r="B839" s="369"/>
      <c r="C839" s="369"/>
      <c r="D839" s="369"/>
      <c r="E839" s="369"/>
      <c r="F839" s="452"/>
      <c r="G839" s="369"/>
      <c r="H839" s="369"/>
      <c r="I839" s="470"/>
      <c r="J839" s="369"/>
      <c r="K839" s="453"/>
      <c r="L839" s="454"/>
      <c r="M839" s="369"/>
      <c r="N839" s="369"/>
      <c r="O839" s="455"/>
    </row>
    <row r="840" spans="1:15" x14ac:dyDescent="0.2">
      <c r="A840" s="369"/>
      <c r="B840" s="369"/>
      <c r="C840" s="369"/>
      <c r="D840" s="369"/>
      <c r="E840" s="369"/>
      <c r="F840" s="452"/>
      <c r="G840" s="369"/>
      <c r="H840" s="369"/>
      <c r="I840" s="470"/>
      <c r="J840" s="369"/>
      <c r="K840" s="453"/>
      <c r="L840" s="454"/>
      <c r="M840" s="369"/>
      <c r="N840" s="369"/>
      <c r="O840" s="455"/>
    </row>
    <row r="841" spans="1:15" x14ac:dyDescent="0.2">
      <c r="A841" s="369"/>
      <c r="B841" s="369"/>
      <c r="C841" s="369"/>
      <c r="D841" s="369"/>
      <c r="E841" s="369"/>
      <c r="F841" s="452"/>
      <c r="G841" s="369"/>
      <c r="H841" s="369"/>
      <c r="I841" s="470"/>
      <c r="J841" s="369"/>
      <c r="K841" s="453"/>
      <c r="L841" s="454"/>
      <c r="M841" s="369"/>
      <c r="N841" s="369"/>
      <c r="O841" s="455"/>
    </row>
    <row r="842" spans="1:15" x14ac:dyDescent="0.2">
      <c r="A842" s="369"/>
      <c r="B842" s="369"/>
      <c r="C842" s="369"/>
      <c r="D842" s="369"/>
      <c r="E842" s="369"/>
      <c r="F842" s="452"/>
      <c r="G842" s="369"/>
      <c r="H842" s="369"/>
      <c r="I842" s="470"/>
      <c r="J842" s="369"/>
      <c r="K842" s="453"/>
      <c r="L842" s="454"/>
      <c r="M842" s="369"/>
      <c r="N842" s="369"/>
      <c r="O842" s="455"/>
    </row>
    <row r="843" spans="1:15" x14ac:dyDescent="0.2">
      <c r="A843" s="369"/>
      <c r="B843" s="369"/>
      <c r="C843" s="369"/>
      <c r="D843" s="369"/>
      <c r="E843" s="369"/>
      <c r="F843" s="452"/>
      <c r="G843" s="369"/>
      <c r="H843" s="369"/>
      <c r="I843" s="470"/>
      <c r="J843" s="369"/>
      <c r="K843" s="453"/>
      <c r="L843" s="454"/>
      <c r="M843" s="369"/>
      <c r="N843" s="369"/>
      <c r="O843" s="455"/>
    </row>
    <row r="844" spans="1:15" x14ac:dyDescent="0.2">
      <c r="A844" s="369"/>
      <c r="B844" s="369"/>
      <c r="C844" s="369"/>
      <c r="D844" s="369"/>
      <c r="E844" s="369"/>
      <c r="F844" s="452"/>
      <c r="G844" s="369"/>
      <c r="H844" s="369"/>
      <c r="I844" s="470"/>
      <c r="J844" s="369"/>
      <c r="K844" s="453"/>
      <c r="L844" s="454"/>
      <c r="M844" s="369"/>
      <c r="N844" s="369"/>
      <c r="O844" s="455"/>
    </row>
    <row r="845" spans="1:15" x14ac:dyDescent="0.2">
      <c r="A845" s="369"/>
      <c r="B845" s="369"/>
      <c r="C845" s="369"/>
      <c r="D845" s="369"/>
      <c r="E845" s="369"/>
      <c r="F845" s="452"/>
      <c r="G845" s="369"/>
      <c r="H845" s="369"/>
      <c r="I845" s="470"/>
      <c r="J845" s="369"/>
      <c r="K845" s="453"/>
      <c r="L845" s="454"/>
      <c r="M845" s="369"/>
      <c r="N845" s="369"/>
      <c r="O845" s="455"/>
    </row>
    <row r="846" spans="1:15" x14ac:dyDescent="0.2">
      <c r="A846" s="369"/>
      <c r="B846" s="369"/>
      <c r="C846" s="369"/>
      <c r="D846" s="369"/>
      <c r="E846" s="369"/>
      <c r="F846" s="452"/>
      <c r="G846" s="369"/>
      <c r="H846" s="369"/>
      <c r="I846" s="470"/>
      <c r="J846" s="369"/>
      <c r="K846" s="453"/>
      <c r="L846" s="454"/>
      <c r="M846" s="369"/>
      <c r="N846" s="369"/>
      <c r="O846" s="455"/>
    </row>
    <row r="847" spans="1:15" x14ac:dyDescent="0.2">
      <c r="A847" s="369"/>
      <c r="B847" s="369"/>
      <c r="C847" s="369"/>
      <c r="D847" s="369"/>
      <c r="E847" s="369"/>
      <c r="F847" s="452"/>
      <c r="G847" s="369"/>
      <c r="H847" s="369"/>
      <c r="I847" s="470"/>
      <c r="J847" s="369"/>
      <c r="K847" s="453"/>
      <c r="L847" s="454"/>
      <c r="M847" s="369"/>
      <c r="N847" s="369"/>
      <c r="O847" s="455"/>
    </row>
    <row r="848" spans="1:15" x14ac:dyDescent="0.2">
      <c r="A848" s="369"/>
      <c r="B848" s="369"/>
      <c r="C848" s="369"/>
      <c r="D848" s="369"/>
      <c r="E848" s="369"/>
      <c r="F848" s="452"/>
      <c r="G848" s="369"/>
      <c r="H848" s="369"/>
      <c r="I848" s="470"/>
      <c r="J848" s="369"/>
      <c r="K848" s="453"/>
      <c r="L848" s="454"/>
      <c r="M848" s="369"/>
      <c r="N848" s="369"/>
      <c r="O848" s="455"/>
    </row>
    <row r="849" spans="1:15" x14ac:dyDescent="0.2">
      <c r="A849" s="369"/>
      <c r="B849" s="369"/>
      <c r="C849" s="369"/>
      <c r="D849" s="369"/>
      <c r="E849" s="369"/>
      <c r="F849" s="452"/>
      <c r="G849" s="369"/>
      <c r="H849" s="369"/>
      <c r="I849" s="470"/>
      <c r="J849" s="369"/>
      <c r="K849" s="453"/>
      <c r="L849" s="454"/>
      <c r="M849" s="369"/>
      <c r="N849" s="369"/>
      <c r="O849" s="455"/>
    </row>
    <row r="850" spans="1:15" x14ac:dyDescent="0.2">
      <c r="A850" s="369"/>
      <c r="B850" s="369"/>
      <c r="C850" s="369"/>
      <c r="D850" s="369"/>
      <c r="E850" s="369"/>
      <c r="F850" s="452"/>
      <c r="G850" s="369"/>
      <c r="H850" s="369"/>
      <c r="I850" s="470"/>
      <c r="J850" s="369"/>
      <c r="K850" s="453"/>
      <c r="L850" s="454"/>
      <c r="M850" s="369"/>
      <c r="N850" s="369"/>
      <c r="O850" s="455"/>
    </row>
    <row r="851" spans="1:15" x14ac:dyDescent="0.2">
      <c r="A851" s="369"/>
      <c r="B851" s="369"/>
      <c r="C851" s="369"/>
      <c r="D851" s="369"/>
      <c r="E851" s="369"/>
      <c r="F851" s="452"/>
      <c r="G851" s="369"/>
      <c r="H851" s="369"/>
      <c r="I851" s="470"/>
      <c r="J851" s="369"/>
      <c r="K851" s="453"/>
      <c r="L851" s="454"/>
      <c r="M851" s="369"/>
      <c r="N851" s="369"/>
      <c r="O851" s="455"/>
    </row>
    <row r="852" spans="1:15" x14ac:dyDescent="0.2">
      <c r="A852" s="369"/>
      <c r="B852" s="369"/>
      <c r="C852" s="369"/>
      <c r="D852" s="369"/>
      <c r="E852" s="369"/>
      <c r="F852" s="452"/>
      <c r="G852" s="369"/>
      <c r="H852" s="369"/>
      <c r="I852" s="470"/>
      <c r="J852" s="369"/>
      <c r="K852" s="453"/>
      <c r="L852" s="454"/>
      <c r="M852" s="369"/>
      <c r="N852" s="369"/>
      <c r="O852" s="455"/>
    </row>
    <row r="853" spans="1:15" x14ac:dyDescent="0.2">
      <c r="A853" s="369"/>
      <c r="B853" s="369"/>
      <c r="C853" s="369"/>
      <c r="D853" s="369"/>
      <c r="E853" s="369"/>
      <c r="F853" s="452"/>
      <c r="G853" s="369"/>
      <c r="H853" s="369"/>
      <c r="I853" s="470"/>
      <c r="J853" s="369"/>
      <c r="K853" s="453"/>
      <c r="L853" s="454"/>
      <c r="M853" s="369"/>
      <c r="N853" s="369"/>
      <c r="O853" s="455"/>
    </row>
    <row r="854" spans="1:15" x14ac:dyDescent="0.2">
      <c r="A854" s="369"/>
      <c r="B854" s="369"/>
      <c r="C854" s="369"/>
      <c r="D854" s="369"/>
      <c r="E854" s="369"/>
      <c r="F854" s="452"/>
      <c r="G854" s="369"/>
      <c r="H854" s="369"/>
      <c r="I854" s="470"/>
      <c r="J854" s="369"/>
      <c r="K854" s="453"/>
      <c r="L854" s="454"/>
      <c r="M854" s="369"/>
      <c r="N854" s="369"/>
      <c r="O854" s="455"/>
    </row>
    <row r="855" spans="1:15" x14ac:dyDescent="0.2">
      <c r="A855" s="369"/>
      <c r="B855" s="369"/>
      <c r="C855" s="369"/>
      <c r="D855" s="369"/>
      <c r="E855" s="369"/>
      <c r="F855" s="452"/>
      <c r="G855" s="369"/>
      <c r="H855" s="369"/>
      <c r="I855" s="470"/>
      <c r="J855" s="369"/>
      <c r="K855" s="453"/>
      <c r="L855" s="454"/>
      <c r="M855" s="369"/>
      <c r="N855" s="369"/>
      <c r="O855" s="455"/>
    </row>
    <row r="856" spans="1:15" x14ac:dyDescent="0.2">
      <c r="A856" s="369"/>
      <c r="B856" s="369"/>
      <c r="C856" s="369"/>
      <c r="D856" s="369"/>
      <c r="E856" s="369"/>
      <c r="F856" s="452"/>
      <c r="G856" s="369"/>
      <c r="H856" s="369"/>
      <c r="I856" s="470"/>
      <c r="J856" s="369"/>
      <c r="K856" s="453"/>
      <c r="L856" s="454"/>
      <c r="M856" s="369"/>
      <c r="N856" s="369"/>
      <c r="O856" s="455"/>
    </row>
    <row r="857" spans="1:15" x14ac:dyDescent="0.2">
      <c r="A857" s="369"/>
      <c r="B857" s="369"/>
      <c r="C857" s="369"/>
      <c r="D857" s="369"/>
      <c r="E857" s="369"/>
      <c r="F857" s="452"/>
      <c r="G857" s="369"/>
      <c r="H857" s="369"/>
      <c r="I857" s="470"/>
      <c r="J857" s="369"/>
      <c r="K857" s="453"/>
      <c r="L857" s="454"/>
      <c r="M857" s="369"/>
      <c r="N857" s="369"/>
      <c r="O857" s="455"/>
    </row>
    <row r="858" spans="1:15" x14ac:dyDescent="0.2">
      <c r="A858" s="369"/>
      <c r="B858" s="369"/>
      <c r="C858" s="369"/>
      <c r="D858" s="369"/>
      <c r="E858" s="369"/>
      <c r="F858" s="452"/>
      <c r="G858" s="369"/>
      <c r="H858" s="369"/>
      <c r="I858" s="470"/>
      <c r="J858" s="369"/>
      <c r="K858" s="453"/>
      <c r="L858" s="454"/>
      <c r="M858" s="369"/>
      <c r="N858" s="369"/>
      <c r="O858" s="455"/>
    </row>
    <row r="859" spans="1:15" x14ac:dyDescent="0.2">
      <c r="A859" s="369"/>
      <c r="B859" s="369"/>
      <c r="C859" s="369"/>
      <c r="D859" s="369"/>
      <c r="E859" s="369"/>
      <c r="F859" s="452"/>
      <c r="G859" s="369"/>
      <c r="H859" s="369"/>
      <c r="I859" s="470"/>
      <c r="J859" s="369"/>
      <c r="K859" s="453"/>
      <c r="L859" s="454"/>
      <c r="M859" s="369"/>
      <c r="N859" s="369"/>
      <c r="O859" s="455"/>
    </row>
    <row r="860" spans="1:15" x14ac:dyDescent="0.2">
      <c r="A860" s="369"/>
      <c r="B860" s="369"/>
      <c r="C860" s="369"/>
      <c r="D860" s="369"/>
      <c r="E860" s="369"/>
      <c r="F860" s="452"/>
      <c r="G860" s="369"/>
      <c r="H860" s="369"/>
      <c r="I860" s="470"/>
      <c r="J860" s="369"/>
      <c r="K860" s="453"/>
      <c r="L860" s="454"/>
      <c r="M860" s="369"/>
      <c r="N860" s="369"/>
      <c r="O860" s="455"/>
    </row>
    <row r="861" spans="1:15" x14ac:dyDescent="0.2">
      <c r="A861" s="369"/>
      <c r="B861" s="369"/>
      <c r="C861" s="369"/>
      <c r="D861" s="369"/>
      <c r="E861" s="369"/>
      <c r="F861" s="452"/>
      <c r="G861" s="369"/>
      <c r="H861" s="369"/>
      <c r="I861" s="470"/>
      <c r="J861" s="369"/>
      <c r="K861" s="453"/>
      <c r="L861" s="454"/>
      <c r="M861" s="369"/>
      <c r="N861" s="369"/>
      <c r="O861" s="455"/>
    </row>
    <row r="862" spans="1:15" x14ac:dyDescent="0.2">
      <c r="A862" s="369"/>
      <c r="B862" s="369"/>
      <c r="C862" s="369"/>
      <c r="D862" s="369"/>
      <c r="E862" s="369"/>
      <c r="F862" s="452"/>
      <c r="G862" s="369"/>
      <c r="H862" s="369"/>
      <c r="I862" s="470"/>
      <c r="J862" s="369"/>
      <c r="K862" s="453"/>
      <c r="L862" s="454"/>
      <c r="M862" s="369"/>
      <c r="N862" s="369"/>
      <c r="O862" s="455"/>
    </row>
    <row r="863" spans="1:15" x14ac:dyDescent="0.2">
      <c r="A863" s="369"/>
      <c r="B863" s="369"/>
      <c r="C863" s="369"/>
      <c r="D863" s="369"/>
      <c r="E863" s="369"/>
      <c r="F863" s="452"/>
      <c r="G863" s="369"/>
      <c r="H863" s="369"/>
      <c r="I863" s="470"/>
      <c r="J863" s="369"/>
      <c r="K863" s="453"/>
      <c r="L863" s="454"/>
      <c r="M863" s="369"/>
      <c r="N863" s="369"/>
      <c r="O863" s="455"/>
    </row>
    <row r="864" spans="1:15" x14ac:dyDescent="0.2">
      <c r="A864" s="369"/>
      <c r="B864" s="369"/>
      <c r="C864" s="369"/>
      <c r="D864" s="369"/>
      <c r="E864" s="369"/>
      <c r="F864" s="452"/>
      <c r="G864" s="369"/>
      <c r="H864" s="369"/>
      <c r="I864" s="470"/>
      <c r="J864" s="369"/>
      <c r="K864" s="453"/>
      <c r="L864" s="454"/>
      <c r="M864" s="369"/>
      <c r="N864" s="369"/>
      <c r="O864" s="455"/>
    </row>
    <row r="865" spans="1:15" x14ac:dyDescent="0.2">
      <c r="A865" s="369"/>
      <c r="B865" s="369"/>
      <c r="C865" s="369"/>
      <c r="D865" s="369"/>
      <c r="E865" s="369"/>
      <c r="F865" s="452"/>
      <c r="G865" s="369"/>
      <c r="H865" s="369"/>
      <c r="I865" s="470"/>
      <c r="J865" s="369"/>
      <c r="K865" s="453"/>
      <c r="L865" s="454"/>
      <c r="M865" s="369"/>
      <c r="N865" s="369"/>
      <c r="O865" s="455"/>
    </row>
    <row r="866" spans="1:15" x14ac:dyDescent="0.2">
      <c r="A866" s="369"/>
      <c r="B866" s="369"/>
      <c r="C866" s="369"/>
      <c r="D866" s="369"/>
      <c r="E866" s="369"/>
      <c r="F866" s="452"/>
      <c r="G866" s="369"/>
      <c r="H866" s="369"/>
      <c r="I866" s="470"/>
      <c r="J866" s="369"/>
      <c r="K866" s="453"/>
      <c r="L866" s="454"/>
      <c r="M866" s="369"/>
      <c r="N866" s="369"/>
      <c r="O866" s="455"/>
    </row>
    <row r="867" spans="1:15" x14ac:dyDescent="0.2">
      <c r="A867" s="369"/>
      <c r="B867" s="369"/>
      <c r="C867" s="369"/>
      <c r="D867" s="369"/>
      <c r="E867" s="369"/>
      <c r="F867" s="452"/>
      <c r="G867" s="369"/>
      <c r="H867" s="369"/>
      <c r="I867" s="470"/>
      <c r="J867" s="369"/>
      <c r="K867" s="453"/>
      <c r="L867" s="454"/>
      <c r="M867" s="369"/>
      <c r="N867" s="369"/>
      <c r="O867" s="455"/>
    </row>
    <row r="868" spans="1:15" x14ac:dyDescent="0.2">
      <c r="A868" s="369"/>
      <c r="B868" s="369"/>
      <c r="C868" s="369"/>
      <c r="D868" s="369"/>
      <c r="E868" s="369"/>
      <c r="F868" s="452"/>
      <c r="G868" s="369"/>
      <c r="H868" s="369"/>
      <c r="I868" s="470"/>
      <c r="J868" s="369"/>
      <c r="K868" s="453"/>
      <c r="L868" s="454"/>
      <c r="M868" s="369"/>
      <c r="N868" s="369"/>
      <c r="O868" s="455"/>
    </row>
    <row r="869" spans="1:15" x14ac:dyDescent="0.2">
      <c r="A869" s="369"/>
      <c r="B869" s="369"/>
      <c r="C869" s="369"/>
      <c r="D869" s="369"/>
      <c r="E869" s="369"/>
      <c r="F869" s="452"/>
      <c r="G869" s="369"/>
      <c r="H869" s="369"/>
      <c r="I869" s="470"/>
      <c r="J869" s="369"/>
      <c r="K869" s="453"/>
      <c r="L869" s="454"/>
      <c r="M869" s="369"/>
      <c r="N869" s="369"/>
      <c r="O869" s="455"/>
    </row>
    <row r="870" spans="1:15" x14ac:dyDescent="0.2">
      <c r="A870" s="369"/>
      <c r="B870" s="369"/>
      <c r="C870" s="369"/>
      <c r="D870" s="369"/>
      <c r="E870" s="369"/>
      <c r="F870" s="452"/>
      <c r="G870" s="369"/>
      <c r="H870" s="369"/>
      <c r="I870" s="470"/>
      <c r="J870" s="369"/>
      <c r="K870" s="453"/>
      <c r="L870" s="454"/>
      <c r="M870" s="369"/>
      <c r="N870" s="369"/>
      <c r="O870" s="455"/>
    </row>
    <row r="871" spans="1:15" x14ac:dyDescent="0.2">
      <c r="A871" s="369"/>
      <c r="B871" s="369"/>
      <c r="C871" s="369"/>
      <c r="D871" s="369"/>
      <c r="E871" s="369"/>
      <c r="F871" s="452"/>
      <c r="G871" s="369"/>
      <c r="H871" s="369"/>
      <c r="I871" s="470"/>
      <c r="J871" s="369"/>
      <c r="K871" s="453"/>
      <c r="L871" s="454"/>
      <c r="M871" s="369"/>
      <c r="N871" s="369"/>
      <c r="O871" s="455"/>
    </row>
    <row r="872" spans="1:15" x14ac:dyDescent="0.2">
      <c r="A872" s="369"/>
      <c r="B872" s="369"/>
      <c r="C872" s="369"/>
      <c r="D872" s="369"/>
      <c r="E872" s="369"/>
      <c r="F872" s="452"/>
      <c r="G872" s="369"/>
      <c r="H872" s="369"/>
      <c r="I872" s="470"/>
      <c r="J872" s="369"/>
      <c r="K872" s="453"/>
      <c r="L872" s="454"/>
      <c r="M872" s="369"/>
      <c r="N872" s="369"/>
      <c r="O872" s="455"/>
    </row>
    <row r="873" spans="1:15" x14ac:dyDescent="0.2">
      <c r="A873" s="369"/>
      <c r="B873" s="369"/>
      <c r="C873" s="369"/>
      <c r="D873" s="369"/>
      <c r="E873" s="369"/>
      <c r="F873" s="452"/>
      <c r="G873" s="369"/>
      <c r="H873" s="369"/>
      <c r="I873" s="470"/>
      <c r="J873" s="369"/>
      <c r="K873" s="453"/>
      <c r="L873" s="454"/>
      <c r="M873" s="369"/>
      <c r="N873" s="369"/>
      <c r="O873" s="455"/>
    </row>
    <row r="874" spans="1:15" x14ac:dyDescent="0.2">
      <c r="A874" s="369"/>
      <c r="B874" s="369"/>
      <c r="C874" s="369"/>
      <c r="D874" s="369"/>
      <c r="E874" s="369"/>
      <c r="F874" s="452"/>
      <c r="G874" s="369"/>
      <c r="H874" s="369"/>
      <c r="I874" s="470"/>
      <c r="J874" s="369"/>
      <c r="K874" s="453"/>
      <c r="L874" s="454"/>
      <c r="M874" s="369"/>
      <c r="N874" s="369"/>
      <c r="O874" s="455"/>
    </row>
    <row r="875" spans="1:15" x14ac:dyDescent="0.2">
      <c r="A875" s="369"/>
      <c r="B875" s="369"/>
      <c r="C875" s="369"/>
      <c r="D875" s="369"/>
      <c r="E875" s="369"/>
      <c r="F875" s="452"/>
      <c r="G875" s="369"/>
      <c r="H875" s="369"/>
      <c r="I875" s="470"/>
      <c r="J875" s="369"/>
      <c r="K875" s="453"/>
      <c r="L875" s="454"/>
      <c r="M875" s="369"/>
      <c r="N875" s="369"/>
      <c r="O875" s="455"/>
    </row>
    <row r="876" spans="1:15" x14ac:dyDescent="0.2">
      <c r="A876" s="369"/>
      <c r="B876" s="369"/>
      <c r="C876" s="369"/>
      <c r="D876" s="369"/>
      <c r="E876" s="369"/>
      <c r="F876" s="452"/>
      <c r="G876" s="369"/>
      <c r="H876" s="369"/>
      <c r="I876" s="470"/>
      <c r="J876" s="369"/>
      <c r="K876" s="453"/>
      <c r="L876" s="454"/>
      <c r="M876" s="369"/>
      <c r="N876" s="369"/>
      <c r="O876" s="455"/>
    </row>
    <row r="877" spans="1:15" x14ac:dyDescent="0.2">
      <c r="A877" s="369"/>
      <c r="B877" s="369"/>
      <c r="C877" s="369"/>
      <c r="D877" s="369"/>
      <c r="E877" s="369"/>
      <c r="F877" s="452"/>
      <c r="G877" s="369"/>
      <c r="H877" s="369"/>
      <c r="I877" s="470"/>
      <c r="J877" s="369"/>
      <c r="K877" s="453"/>
      <c r="L877" s="454"/>
      <c r="M877" s="369"/>
      <c r="N877" s="369"/>
      <c r="O877" s="455"/>
    </row>
    <row r="878" spans="1:15" x14ac:dyDescent="0.2">
      <c r="A878" s="369"/>
      <c r="B878" s="369"/>
      <c r="C878" s="369"/>
      <c r="D878" s="369"/>
      <c r="E878" s="369"/>
      <c r="F878" s="452"/>
      <c r="G878" s="369"/>
      <c r="H878" s="369"/>
      <c r="I878" s="470"/>
      <c r="J878" s="369"/>
      <c r="K878" s="453"/>
      <c r="L878" s="454"/>
      <c r="M878" s="369"/>
      <c r="N878" s="369"/>
      <c r="O878" s="455"/>
    </row>
    <row r="879" spans="1:15" x14ac:dyDescent="0.2">
      <c r="A879" s="369"/>
      <c r="B879" s="369"/>
      <c r="C879" s="369"/>
      <c r="D879" s="369"/>
      <c r="E879" s="369"/>
      <c r="F879" s="452"/>
      <c r="G879" s="369"/>
      <c r="H879" s="369"/>
      <c r="I879" s="470"/>
      <c r="J879" s="369"/>
      <c r="K879" s="453"/>
      <c r="L879" s="454"/>
      <c r="M879" s="369"/>
      <c r="N879" s="369"/>
      <c r="O879" s="455"/>
    </row>
    <row r="880" spans="1:15" x14ac:dyDescent="0.2">
      <c r="A880" s="369"/>
      <c r="B880" s="369"/>
      <c r="C880" s="369"/>
      <c r="D880" s="369"/>
      <c r="E880" s="369"/>
      <c r="F880" s="452"/>
      <c r="G880" s="369"/>
      <c r="H880" s="369"/>
      <c r="I880" s="470"/>
      <c r="J880" s="369"/>
      <c r="K880" s="453"/>
      <c r="L880" s="454"/>
      <c r="M880" s="369"/>
      <c r="N880" s="369"/>
      <c r="O880" s="455"/>
    </row>
    <row r="881" spans="1:15" x14ac:dyDescent="0.2">
      <c r="A881" s="369"/>
      <c r="B881" s="369"/>
      <c r="C881" s="369"/>
      <c r="D881" s="369"/>
      <c r="E881" s="369"/>
      <c r="F881" s="452"/>
      <c r="G881" s="369"/>
      <c r="H881" s="369"/>
      <c r="I881" s="470"/>
      <c r="J881" s="369"/>
      <c r="K881" s="453"/>
      <c r="L881" s="454"/>
      <c r="M881" s="369"/>
      <c r="N881" s="369"/>
      <c r="O881" s="455"/>
    </row>
    <row r="882" spans="1:15" x14ac:dyDescent="0.2">
      <c r="A882" s="369"/>
      <c r="B882" s="369"/>
      <c r="C882" s="369"/>
      <c r="D882" s="369"/>
      <c r="E882" s="369"/>
      <c r="F882" s="452"/>
      <c r="G882" s="369"/>
      <c r="H882" s="369"/>
      <c r="I882" s="470"/>
      <c r="J882" s="369"/>
      <c r="K882" s="453"/>
      <c r="L882" s="454"/>
      <c r="M882" s="369"/>
      <c r="N882" s="369"/>
      <c r="O882" s="455"/>
    </row>
    <row r="883" spans="1:15" x14ac:dyDescent="0.2">
      <c r="A883" s="369"/>
      <c r="B883" s="369"/>
      <c r="C883" s="369"/>
      <c r="D883" s="369"/>
      <c r="E883" s="369"/>
      <c r="F883" s="452"/>
      <c r="G883" s="369"/>
      <c r="H883" s="369"/>
      <c r="I883" s="470"/>
      <c r="J883" s="369"/>
      <c r="K883" s="453"/>
      <c r="L883" s="454"/>
      <c r="M883" s="369"/>
      <c r="N883" s="369"/>
      <c r="O883" s="455"/>
    </row>
    <row r="884" spans="1:15" x14ac:dyDescent="0.2">
      <c r="A884" s="369"/>
      <c r="B884" s="369"/>
      <c r="C884" s="369"/>
      <c r="D884" s="369"/>
      <c r="E884" s="369"/>
      <c r="F884" s="452"/>
      <c r="G884" s="369"/>
      <c r="H884" s="369"/>
      <c r="I884" s="470"/>
      <c r="J884" s="369"/>
      <c r="K884" s="453"/>
      <c r="L884" s="454"/>
      <c r="M884" s="369"/>
      <c r="N884" s="369"/>
      <c r="O884" s="455"/>
    </row>
    <row r="885" spans="1:15" x14ac:dyDescent="0.2">
      <c r="A885" s="369"/>
      <c r="B885" s="369"/>
      <c r="C885" s="369"/>
      <c r="D885" s="369"/>
      <c r="E885" s="369"/>
      <c r="F885" s="452"/>
      <c r="G885" s="369"/>
      <c r="H885" s="369"/>
      <c r="I885" s="470"/>
      <c r="J885" s="369"/>
      <c r="K885" s="453"/>
      <c r="L885" s="454"/>
      <c r="M885" s="369"/>
      <c r="N885" s="369"/>
      <c r="O885" s="455"/>
    </row>
    <row r="886" spans="1:15" x14ac:dyDescent="0.2">
      <c r="A886" s="369"/>
      <c r="B886" s="369"/>
      <c r="C886" s="369"/>
      <c r="D886" s="369"/>
      <c r="E886" s="369"/>
      <c r="F886" s="452"/>
      <c r="G886" s="369"/>
      <c r="H886" s="369"/>
      <c r="I886" s="470"/>
      <c r="J886" s="369"/>
      <c r="K886" s="453"/>
      <c r="L886" s="454"/>
      <c r="M886" s="369"/>
      <c r="N886" s="369"/>
      <c r="O886" s="455"/>
    </row>
    <row r="887" spans="1:15" x14ac:dyDescent="0.2">
      <c r="A887" s="369"/>
      <c r="B887" s="369"/>
      <c r="C887" s="369"/>
      <c r="D887" s="369"/>
      <c r="E887" s="369"/>
      <c r="F887" s="452"/>
      <c r="G887" s="369"/>
      <c r="H887" s="369"/>
      <c r="I887" s="470"/>
      <c r="J887" s="369"/>
      <c r="K887" s="453"/>
      <c r="L887" s="454"/>
      <c r="M887" s="369"/>
      <c r="N887" s="369"/>
      <c r="O887" s="455"/>
    </row>
    <row r="888" spans="1:15" x14ac:dyDescent="0.2">
      <c r="A888" s="369"/>
      <c r="B888" s="369"/>
      <c r="C888" s="369"/>
      <c r="D888" s="369"/>
      <c r="E888" s="369"/>
      <c r="F888" s="452"/>
      <c r="G888" s="369"/>
      <c r="H888" s="369"/>
      <c r="I888" s="470"/>
      <c r="J888" s="369"/>
      <c r="K888" s="453"/>
      <c r="L888" s="454"/>
      <c r="M888" s="369"/>
      <c r="N888" s="369"/>
      <c r="O888" s="455"/>
    </row>
    <row r="889" spans="1:15" x14ac:dyDescent="0.2">
      <c r="A889" s="369"/>
      <c r="B889" s="369"/>
      <c r="C889" s="369"/>
      <c r="D889" s="369"/>
      <c r="E889" s="369"/>
      <c r="F889" s="452"/>
      <c r="G889" s="369"/>
      <c r="H889" s="369"/>
      <c r="I889" s="470"/>
      <c r="J889" s="369"/>
      <c r="K889" s="453"/>
      <c r="L889" s="454"/>
      <c r="M889" s="369"/>
      <c r="N889" s="369"/>
      <c r="O889" s="455"/>
    </row>
    <row r="890" spans="1:15" x14ac:dyDescent="0.2">
      <c r="A890" s="369"/>
      <c r="B890" s="369"/>
      <c r="C890" s="369"/>
      <c r="D890" s="369"/>
      <c r="E890" s="369"/>
      <c r="F890" s="452"/>
      <c r="G890" s="369"/>
      <c r="H890" s="369"/>
      <c r="I890" s="470"/>
      <c r="J890" s="369"/>
      <c r="K890" s="453"/>
      <c r="L890" s="454"/>
      <c r="M890" s="369"/>
      <c r="N890" s="369"/>
      <c r="O890" s="455"/>
    </row>
    <row r="891" spans="1:15" x14ac:dyDescent="0.2">
      <c r="A891" s="369"/>
      <c r="B891" s="369"/>
      <c r="C891" s="369"/>
      <c r="D891" s="369"/>
      <c r="E891" s="369"/>
      <c r="F891" s="452"/>
      <c r="G891" s="369"/>
      <c r="H891" s="369"/>
      <c r="I891" s="470"/>
      <c r="J891" s="369"/>
      <c r="K891" s="453"/>
      <c r="L891" s="454"/>
      <c r="M891" s="369"/>
      <c r="N891" s="369"/>
      <c r="O891" s="455"/>
    </row>
    <row r="892" spans="1:15" x14ac:dyDescent="0.2">
      <c r="A892" s="369"/>
      <c r="B892" s="369"/>
      <c r="C892" s="369"/>
      <c r="D892" s="369"/>
      <c r="E892" s="369"/>
      <c r="F892" s="452"/>
      <c r="G892" s="369"/>
      <c r="H892" s="369"/>
      <c r="I892" s="470"/>
      <c r="J892" s="369"/>
      <c r="K892" s="453"/>
      <c r="L892" s="454"/>
      <c r="M892" s="369"/>
      <c r="N892" s="369"/>
      <c r="O892" s="455"/>
    </row>
    <row r="893" spans="1:15" x14ac:dyDescent="0.2">
      <c r="A893" s="369"/>
      <c r="B893" s="369"/>
      <c r="C893" s="369"/>
      <c r="D893" s="369"/>
      <c r="E893" s="369"/>
      <c r="F893" s="452"/>
      <c r="G893" s="369"/>
      <c r="H893" s="369"/>
      <c r="I893" s="470"/>
      <c r="J893" s="369"/>
      <c r="K893" s="453"/>
      <c r="L893" s="454"/>
      <c r="M893" s="369"/>
      <c r="N893" s="369"/>
      <c r="O893" s="455"/>
    </row>
    <row r="894" spans="1:15" x14ac:dyDescent="0.2">
      <c r="A894" s="369"/>
      <c r="B894" s="369"/>
      <c r="C894" s="369"/>
      <c r="D894" s="369"/>
      <c r="E894" s="369"/>
      <c r="F894" s="452"/>
      <c r="G894" s="369"/>
      <c r="H894" s="369"/>
      <c r="I894" s="470"/>
      <c r="J894" s="369"/>
      <c r="K894" s="453"/>
      <c r="L894" s="454"/>
      <c r="M894" s="369"/>
      <c r="N894" s="369"/>
      <c r="O894" s="455"/>
    </row>
    <row r="895" spans="1:15" x14ac:dyDescent="0.2">
      <c r="A895" s="369"/>
      <c r="B895" s="369"/>
      <c r="C895" s="369"/>
      <c r="D895" s="369"/>
      <c r="E895" s="369"/>
      <c r="F895" s="452"/>
      <c r="G895" s="369"/>
      <c r="H895" s="369"/>
      <c r="I895" s="470"/>
      <c r="J895" s="369"/>
      <c r="K895" s="453"/>
      <c r="L895" s="454"/>
      <c r="M895" s="369"/>
      <c r="N895" s="369"/>
      <c r="O895" s="455"/>
    </row>
    <row r="896" spans="1:15" x14ac:dyDescent="0.2">
      <c r="A896" s="369"/>
      <c r="B896" s="369"/>
      <c r="C896" s="369"/>
      <c r="D896" s="369"/>
      <c r="E896" s="369"/>
      <c r="F896" s="452"/>
      <c r="G896" s="369"/>
      <c r="H896" s="369"/>
      <c r="I896" s="470"/>
      <c r="J896" s="369"/>
      <c r="K896" s="453"/>
      <c r="L896" s="454"/>
      <c r="M896" s="369"/>
      <c r="N896" s="369"/>
      <c r="O896" s="455"/>
    </row>
    <row r="897" spans="1:15" x14ac:dyDescent="0.2">
      <c r="A897" s="369"/>
      <c r="B897" s="369"/>
      <c r="C897" s="369"/>
      <c r="D897" s="369"/>
      <c r="E897" s="369"/>
      <c r="F897" s="452"/>
      <c r="G897" s="369"/>
      <c r="H897" s="369"/>
      <c r="I897" s="470"/>
      <c r="J897" s="369"/>
      <c r="K897" s="453"/>
      <c r="L897" s="454"/>
      <c r="M897" s="369"/>
      <c r="N897" s="369"/>
      <c r="O897" s="455"/>
    </row>
    <row r="898" spans="1:15" x14ac:dyDescent="0.2">
      <c r="A898" s="369"/>
      <c r="B898" s="369"/>
      <c r="C898" s="369"/>
      <c r="D898" s="369"/>
      <c r="E898" s="369"/>
      <c r="F898" s="452"/>
      <c r="G898" s="369"/>
      <c r="H898" s="369"/>
      <c r="I898" s="470"/>
      <c r="J898" s="369"/>
      <c r="K898" s="453"/>
      <c r="L898" s="454"/>
      <c r="M898" s="369"/>
      <c r="N898" s="369"/>
      <c r="O898" s="455"/>
    </row>
    <row r="899" spans="1:15" x14ac:dyDescent="0.2">
      <c r="A899" s="369"/>
      <c r="B899" s="369"/>
      <c r="C899" s="369"/>
      <c r="D899" s="369"/>
      <c r="E899" s="369"/>
      <c r="F899" s="452"/>
      <c r="G899" s="369"/>
      <c r="H899" s="369"/>
      <c r="I899" s="470"/>
      <c r="J899" s="369"/>
      <c r="K899" s="453"/>
      <c r="L899" s="454"/>
      <c r="M899" s="369"/>
      <c r="N899" s="369"/>
      <c r="O899" s="455"/>
    </row>
    <row r="900" spans="1:15" x14ac:dyDescent="0.2">
      <c r="A900" s="369"/>
      <c r="B900" s="369"/>
      <c r="C900" s="369"/>
      <c r="D900" s="369"/>
      <c r="E900" s="369"/>
      <c r="F900" s="452"/>
      <c r="G900" s="369"/>
      <c r="H900" s="369"/>
      <c r="I900" s="470"/>
      <c r="J900" s="369"/>
      <c r="K900" s="453"/>
      <c r="L900" s="454"/>
      <c r="M900" s="369"/>
      <c r="N900" s="369"/>
      <c r="O900" s="455"/>
    </row>
    <row r="901" spans="1:15" x14ac:dyDescent="0.2">
      <c r="A901" s="369"/>
      <c r="B901" s="369"/>
      <c r="C901" s="369"/>
      <c r="D901" s="369"/>
      <c r="E901" s="369"/>
      <c r="F901" s="452"/>
      <c r="G901" s="369"/>
      <c r="H901" s="369"/>
      <c r="I901" s="470"/>
      <c r="J901" s="369"/>
      <c r="K901" s="453"/>
      <c r="L901" s="454"/>
      <c r="M901" s="369"/>
      <c r="N901" s="369"/>
      <c r="O901" s="455"/>
    </row>
    <row r="902" spans="1:15" x14ac:dyDescent="0.2">
      <c r="A902" s="369"/>
      <c r="B902" s="369"/>
      <c r="C902" s="369"/>
      <c r="D902" s="369"/>
      <c r="E902" s="369"/>
      <c r="F902" s="452"/>
      <c r="G902" s="369"/>
      <c r="H902" s="369"/>
      <c r="I902" s="470"/>
      <c r="J902" s="369"/>
      <c r="K902" s="453"/>
      <c r="L902" s="454"/>
      <c r="M902" s="369"/>
      <c r="N902" s="369"/>
      <c r="O902" s="455"/>
    </row>
    <row r="903" spans="1:15" x14ac:dyDescent="0.2">
      <c r="A903" s="369"/>
      <c r="B903" s="369"/>
      <c r="C903" s="369"/>
      <c r="D903" s="369"/>
      <c r="E903" s="369"/>
      <c r="F903" s="452"/>
      <c r="G903" s="369"/>
      <c r="H903" s="369"/>
      <c r="I903" s="470"/>
      <c r="J903" s="369"/>
      <c r="K903" s="453"/>
      <c r="L903" s="454"/>
      <c r="M903" s="369"/>
      <c r="N903" s="369"/>
      <c r="O903" s="455"/>
    </row>
    <row r="904" spans="1:15" x14ac:dyDescent="0.2">
      <c r="A904" s="369"/>
      <c r="B904" s="369"/>
      <c r="C904" s="369"/>
      <c r="D904" s="369"/>
      <c r="E904" s="369"/>
      <c r="F904" s="452"/>
      <c r="G904" s="369"/>
      <c r="H904" s="369"/>
      <c r="I904" s="470"/>
      <c r="J904" s="369"/>
      <c r="K904" s="453"/>
      <c r="L904" s="454"/>
      <c r="M904" s="369"/>
      <c r="N904" s="369"/>
      <c r="O904" s="455"/>
    </row>
  </sheetData>
  <sheetProtection algorithmName="SHA-512" hashValue="4OLkwV3WFR4DbhYYgFLvnh78DxUcMxUcucFPW/rUd4Z1uAXyYPJetohvwmZA1s9SMLc8yr7orN/xZXYNTwq8lA==" saltValue="y5nCXYBp8a3mEvnA/MeodA==" spinCount="100000" sheet="1" objects="1" scenarios="1" selectLockedCells="1" sort="0" autoFilter="0"/>
  <mergeCells count="13">
    <mergeCell ref="B2:C2"/>
    <mergeCell ref="B3:C4"/>
    <mergeCell ref="N3:N4"/>
    <mergeCell ref="G5:I5"/>
    <mergeCell ref="D6:G6"/>
    <mergeCell ref="O7:O124"/>
    <mergeCell ref="I8:I9"/>
    <mergeCell ref="M8:M9"/>
    <mergeCell ref="S8:S9"/>
    <mergeCell ref="E9:G9"/>
    <mergeCell ref="L10:L124"/>
    <mergeCell ref="B7:K7"/>
    <mergeCell ref="M7:N7"/>
  </mergeCells>
  <conditionalFormatting sqref="E10:G124">
    <cfRule type="expression" dxfId="13" priority="11">
      <formula>$P10=1</formula>
    </cfRule>
  </conditionalFormatting>
  <conditionalFormatting sqref="N10:N124 B10:K124">
    <cfRule type="expression" dxfId="12" priority="10">
      <formula>$O10=12</formula>
    </cfRule>
  </conditionalFormatting>
  <conditionalFormatting sqref="N10:N124 B10:K124">
    <cfRule type="expression" dxfId="11" priority="9">
      <formula>$O10=9</formula>
    </cfRule>
  </conditionalFormatting>
  <conditionalFormatting sqref="I10:I124">
    <cfRule type="expression" dxfId="10" priority="13">
      <formula>$Q10=1</formula>
    </cfRule>
  </conditionalFormatting>
  <conditionalFormatting sqref="I6">
    <cfRule type="containsText" dxfId="9" priority="6" operator="containsText" text="Mismatched">
      <formula>NOT(ISERROR(SEARCH("Mismatched",I6)))</formula>
    </cfRule>
  </conditionalFormatting>
  <conditionalFormatting sqref="N10:N124 B10:K124">
    <cfRule type="expression" dxfId="8" priority="15">
      <formula>$O10=1</formula>
    </cfRule>
    <cfRule type="expression" dxfId="7" priority="16">
      <formula>$O10=2</formula>
    </cfRule>
    <cfRule type="expression" dxfId="6" priority="17">
      <formula>$M10="PENDING"</formula>
    </cfRule>
  </conditionalFormatting>
  <conditionalFormatting sqref="M10:M124">
    <cfRule type="expression" dxfId="5" priority="2">
      <formula>$O10=12</formula>
    </cfRule>
  </conditionalFormatting>
  <conditionalFormatting sqref="M10:M124">
    <cfRule type="expression" dxfId="4" priority="1">
      <formula>$O10=9</formula>
    </cfRule>
  </conditionalFormatting>
  <conditionalFormatting sqref="M10:M124">
    <cfRule type="expression" dxfId="3" priority="3">
      <formula>$O10=1</formula>
    </cfRule>
    <cfRule type="expression" dxfId="2" priority="4">
      <formula>$O10=2</formula>
    </cfRule>
    <cfRule type="expression" dxfId="1" priority="5">
      <formula>$M10="PENDING"</formula>
    </cfRule>
  </conditionalFormatting>
  <conditionalFormatting sqref="E10:I124">
    <cfRule type="expression" dxfId="0" priority="34">
      <formula>#REF!=1</formula>
    </cfRule>
  </conditionalFormatting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4</xdr:col>
                <xdr:colOff>409575</xdr:colOff>
                <xdr:row>2</xdr:row>
                <xdr:rowOff>123825</xdr:rowOff>
              </to>
            </anchor>
          </controlPr>
        </control>
      </mc:Choice>
      <mc:Fallback>
        <control shapeId="19457" r:id="rId4" name="CommandButton1"/>
      </mc:Fallback>
    </mc:AlternateContent>
    <mc:AlternateContent xmlns:mc="http://schemas.openxmlformats.org/markup-compatibility/2006">
      <mc:Choice Requires="x14">
        <control shapeId="19458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4</xdr:col>
                <xdr:colOff>409575</xdr:colOff>
                <xdr:row>4</xdr:row>
                <xdr:rowOff>133350</xdr:rowOff>
              </to>
            </anchor>
          </controlPr>
        </control>
      </mc:Choice>
      <mc:Fallback>
        <control shapeId="19458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 tint="-0.34998626667073579"/>
  </sheetPr>
  <dimension ref="A1:BN541"/>
  <sheetViews>
    <sheetView workbookViewId="0">
      <selection activeCell="C10" sqref="C10:D10"/>
    </sheetView>
  </sheetViews>
  <sheetFormatPr defaultRowHeight="15" x14ac:dyDescent="0.25"/>
  <cols>
    <col min="1" max="1" width="1.7109375" style="324" customWidth="1"/>
    <col min="2" max="2" width="28.85546875" style="323" customWidth="1"/>
    <col min="3" max="3" width="29.28515625" style="323" customWidth="1"/>
    <col min="4" max="4" width="28.85546875" style="323" customWidth="1"/>
    <col min="5" max="5" width="1.7109375" style="324" customWidth="1"/>
    <col min="6" max="6" width="4" style="324" customWidth="1"/>
    <col min="7" max="7" width="9.140625" style="334"/>
    <col min="8" max="8" width="22.5703125" style="334" bestFit="1" customWidth="1"/>
    <col min="9" max="66" width="9.140625" style="333"/>
    <col min="67" max="16384" width="9.140625" style="323"/>
  </cols>
  <sheetData>
    <row r="1" spans="1:66" s="324" customFormat="1" ht="19.5" customHeight="1" thickBot="1" x14ac:dyDescent="0.3">
      <c r="A1" s="325"/>
      <c r="B1" s="326"/>
      <c r="C1" s="326"/>
      <c r="D1" s="326"/>
      <c r="E1" s="327"/>
      <c r="F1" s="344"/>
      <c r="G1" s="334"/>
      <c r="H1" s="334"/>
      <c r="I1" s="333"/>
      <c r="J1" s="333"/>
      <c r="K1" s="333"/>
      <c r="L1" s="333"/>
      <c r="M1" s="333"/>
      <c r="N1" s="333"/>
      <c r="O1" s="333"/>
      <c r="P1" s="333"/>
      <c r="Q1" s="333"/>
      <c r="R1" s="333"/>
      <c r="S1" s="333"/>
      <c r="T1" s="333"/>
      <c r="U1" s="333"/>
      <c r="V1" s="333"/>
      <c r="W1" s="333"/>
      <c r="X1" s="333"/>
      <c r="Y1" s="333"/>
      <c r="Z1" s="333"/>
      <c r="AA1" s="333"/>
      <c r="AB1" s="333"/>
      <c r="AC1" s="333"/>
      <c r="AD1" s="333"/>
      <c r="AE1" s="333"/>
      <c r="AF1" s="333"/>
      <c r="AG1" s="333"/>
      <c r="AH1" s="333"/>
      <c r="AI1" s="333"/>
      <c r="AJ1" s="333"/>
      <c r="AK1" s="333"/>
      <c r="AL1" s="333"/>
      <c r="AM1" s="333"/>
      <c r="AN1" s="333"/>
      <c r="AO1" s="333"/>
      <c r="AP1" s="333"/>
      <c r="AQ1" s="333"/>
      <c r="AR1" s="333"/>
      <c r="AS1" s="333"/>
      <c r="AT1" s="333"/>
      <c r="AU1" s="333"/>
      <c r="AV1" s="333"/>
      <c r="AW1" s="333"/>
      <c r="AX1" s="333"/>
      <c r="AY1" s="333"/>
      <c r="AZ1" s="333"/>
      <c r="BA1" s="333"/>
      <c r="BB1" s="333"/>
      <c r="BC1" s="333"/>
      <c r="BD1" s="333"/>
      <c r="BE1" s="333"/>
      <c r="BF1" s="333"/>
      <c r="BG1" s="333"/>
      <c r="BH1" s="333"/>
      <c r="BI1" s="333"/>
      <c r="BJ1" s="333"/>
      <c r="BK1" s="333"/>
      <c r="BL1" s="333"/>
      <c r="BM1" s="333"/>
      <c r="BN1" s="333"/>
    </row>
    <row r="2" spans="1:66" s="324" customFormat="1" ht="15.75" customHeight="1" x14ac:dyDescent="0.25">
      <c r="A2" s="328"/>
      <c r="B2" s="338" t="s">
        <v>122</v>
      </c>
      <c r="C2" s="329"/>
      <c r="D2" s="338" t="s">
        <v>123</v>
      </c>
      <c r="E2" s="330"/>
      <c r="F2" s="344"/>
      <c r="G2" s="334"/>
      <c r="H2" s="334"/>
      <c r="I2" s="333"/>
      <c r="J2" s="333"/>
      <c r="K2" s="333"/>
      <c r="L2" s="333"/>
      <c r="M2" s="333"/>
      <c r="N2" s="333"/>
      <c r="O2" s="333"/>
      <c r="P2" s="333"/>
      <c r="Q2" s="333"/>
      <c r="R2" s="333"/>
      <c r="S2" s="333"/>
      <c r="T2" s="333"/>
      <c r="U2" s="333"/>
      <c r="V2" s="333"/>
      <c r="W2" s="333"/>
      <c r="X2" s="333"/>
      <c r="Y2" s="333"/>
      <c r="Z2" s="333"/>
      <c r="AA2" s="333"/>
      <c r="AB2" s="333"/>
      <c r="AC2" s="333"/>
      <c r="AD2" s="333"/>
      <c r="AE2" s="333"/>
      <c r="AF2" s="333"/>
      <c r="AG2" s="333"/>
      <c r="AH2" s="333"/>
      <c r="AI2" s="333"/>
      <c r="AJ2" s="333"/>
      <c r="AK2" s="333"/>
      <c r="AL2" s="333"/>
      <c r="AM2" s="333"/>
      <c r="AN2" s="333"/>
      <c r="AO2" s="333"/>
      <c r="AP2" s="333"/>
      <c r="AQ2" s="333"/>
      <c r="AR2" s="333"/>
      <c r="AS2" s="333"/>
      <c r="AT2" s="333"/>
      <c r="AU2" s="333"/>
      <c r="AV2" s="333"/>
      <c r="AW2" s="333"/>
      <c r="AX2" s="333"/>
      <c r="AY2" s="333"/>
      <c r="AZ2" s="333"/>
      <c r="BA2" s="333"/>
      <c r="BB2" s="333"/>
      <c r="BC2" s="333"/>
      <c r="BD2" s="333"/>
      <c r="BE2" s="333"/>
      <c r="BF2" s="333"/>
      <c r="BG2" s="333"/>
      <c r="BH2" s="333"/>
      <c r="BI2" s="333"/>
      <c r="BJ2" s="333"/>
      <c r="BK2" s="333"/>
      <c r="BL2" s="333"/>
      <c r="BM2" s="333"/>
      <c r="BN2" s="333"/>
    </row>
    <row r="3" spans="1:66" s="324" customFormat="1" ht="36" customHeight="1" thickBot="1" x14ac:dyDescent="0.3">
      <c r="A3" s="328"/>
      <c r="B3" s="337" t="str">
        <f>'Cover - Location Info'!$J$8</f>
        <v>101536</v>
      </c>
      <c r="C3" s="329"/>
      <c r="D3" s="336" t="str">
        <f>'Cover - Location Info'!$J$10</f>
        <v>1.0</v>
      </c>
      <c r="E3" s="330"/>
      <c r="F3" s="344"/>
      <c r="G3" s="611" t="s">
        <v>107</v>
      </c>
      <c r="H3" s="611"/>
      <c r="I3" s="334" t="s">
        <v>141</v>
      </c>
      <c r="J3" s="333"/>
      <c r="K3" s="333"/>
      <c r="L3" s="333"/>
      <c r="M3" s="333"/>
      <c r="N3" s="333"/>
      <c r="O3" s="333"/>
      <c r="P3" s="333"/>
      <c r="Q3" s="333"/>
      <c r="R3" s="333"/>
      <c r="S3" s="333"/>
      <c r="T3" s="333"/>
      <c r="U3" s="333"/>
      <c r="V3" s="333"/>
      <c r="W3" s="333"/>
      <c r="X3" s="333"/>
      <c r="Y3" s="333"/>
      <c r="Z3" s="333"/>
      <c r="AA3" s="333"/>
      <c r="AB3" s="333"/>
      <c r="AC3" s="333"/>
      <c r="AD3" s="333"/>
      <c r="AE3" s="333"/>
      <c r="AF3" s="333"/>
      <c r="AG3" s="333"/>
      <c r="AH3" s="333"/>
      <c r="AI3" s="333"/>
      <c r="AJ3" s="333"/>
      <c r="AK3" s="333"/>
      <c r="AL3" s="333"/>
      <c r="AM3" s="333"/>
      <c r="AN3" s="333"/>
      <c r="AO3" s="333"/>
      <c r="AP3" s="333"/>
      <c r="AQ3" s="333"/>
      <c r="AR3" s="333"/>
      <c r="AS3" s="333"/>
      <c r="AT3" s="333"/>
      <c r="AU3" s="333"/>
      <c r="AV3" s="333"/>
      <c r="AW3" s="333"/>
      <c r="AX3" s="333"/>
      <c r="AY3" s="333"/>
      <c r="AZ3" s="333"/>
      <c r="BA3" s="333"/>
      <c r="BB3" s="333"/>
      <c r="BC3" s="333"/>
      <c r="BD3" s="333"/>
      <c r="BE3" s="333"/>
      <c r="BF3" s="333"/>
      <c r="BG3" s="333"/>
      <c r="BH3" s="333"/>
      <c r="BI3" s="333"/>
      <c r="BJ3" s="333"/>
      <c r="BK3" s="333"/>
      <c r="BL3" s="333"/>
      <c r="BM3" s="333"/>
      <c r="BN3" s="333"/>
    </row>
    <row r="4" spans="1:66" s="324" customFormat="1" ht="62.25" customHeight="1" thickBot="1" x14ac:dyDescent="0.3">
      <c r="A4" s="328"/>
      <c r="B4" s="329"/>
      <c r="C4" s="339" t="s">
        <v>124</v>
      </c>
      <c r="D4" s="329"/>
      <c r="E4" s="330"/>
      <c r="F4" s="344"/>
      <c r="G4" s="335" t="s">
        <v>108</v>
      </c>
      <c r="H4" s="335" t="s">
        <v>109</v>
      </c>
      <c r="I4" s="334" t="s">
        <v>142</v>
      </c>
      <c r="J4" s="333"/>
      <c r="K4" s="333"/>
      <c r="L4" s="333"/>
      <c r="M4" s="333"/>
      <c r="N4" s="333"/>
      <c r="O4" s="333"/>
      <c r="P4" s="333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  <c r="AD4" s="333"/>
      <c r="AE4" s="333"/>
      <c r="AF4" s="333"/>
      <c r="AG4" s="333"/>
      <c r="AH4" s="333"/>
      <c r="AI4" s="333"/>
      <c r="AJ4" s="333"/>
      <c r="AK4" s="333"/>
      <c r="AL4" s="333"/>
      <c r="AM4" s="333"/>
      <c r="AN4" s="333"/>
      <c r="AO4" s="333"/>
      <c r="AP4" s="333"/>
      <c r="AQ4" s="333"/>
      <c r="AR4" s="333"/>
      <c r="AS4" s="333"/>
      <c r="AT4" s="333"/>
      <c r="AU4" s="333"/>
      <c r="AV4" s="333"/>
      <c r="AW4" s="333"/>
      <c r="AX4" s="333"/>
      <c r="AY4" s="333"/>
      <c r="AZ4" s="333"/>
      <c r="BA4" s="333"/>
      <c r="BB4" s="333"/>
      <c r="BC4" s="333"/>
      <c r="BD4" s="333"/>
      <c r="BE4" s="333"/>
      <c r="BF4" s="333"/>
      <c r="BG4" s="333"/>
      <c r="BH4" s="333"/>
      <c r="BI4" s="333"/>
      <c r="BJ4" s="333"/>
      <c r="BK4" s="333"/>
      <c r="BL4" s="333"/>
      <c r="BM4" s="333"/>
      <c r="BN4" s="333"/>
    </row>
    <row r="5" spans="1:66" ht="21" customHeight="1" x14ac:dyDescent="0.25">
      <c r="A5" s="328"/>
      <c r="B5" s="629" t="s">
        <v>118</v>
      </c>
      <c r="C5" s="630"/>
      <c r="D5" s="631"/>
      <c r="E5" s="330"/>
      <c r="F5" s="344"/>
      <c r="G5" s="334" t="s">
        <v>110</v>
      </c>
      <c r="H5" s="334" t="s">
        <v>111</v>
      </c>
    </row>
    <row r="6" spans="1:66" x14ac:dyDescent="0.25">
      <c r="A6" s="328"/>
      <c r="B6" s="349" t="s">
        <v>132</v>
      </c>
      <c r="C6" s="350" t="s">
        <v>133</v>
      </c>
      <c r="D6" s="351" t="s">
        <v>125</v>
      </c>
      <c r="E6" s="330"/>
      <c r="F6" s="344"/>
      <c r="G6" s="334" t="s">
        <v>112</v>
      </c>
      <c r="H6" s="334" t="s">
        <v>139</v>
      </c>
    </row>
    <row r="7" spans="1:66" ht="30.75" customHeight="1" thickBot="1" x14ac:dyDescent="0.3">
      <c r="A7" s="328"/>
      <c r="B7" s="352">
        <f>IF('Cover - Location Info'!D41="","",'Cover - Location Info'!D41)</f>
        <v>1</v>
      </c>
      <c r="C7" s="353" t="str">
        <f>IF('Cover - Location Info'!E41="","",'Cover - Location Info'!E41)</f>
        <v/>
      </c>
      <c r="D7" s="354"/>
      <c r="E7" s="330"/>
      <c r="F7" s="344"/>
      <c r="H7" s="334" t="s">
        <v>113</v>
      </c>
    </row>
    <row r="8" spans="1:66" s="324" customFormat="1" ht="15.75" thickBot="1" x14ac:dyDescent="0.3">
      <c r="A8" s="328"/>
      <c r="B8" s="329"/>
      <c r="C8" s="329"/>
      <c r="D8" s="329"/>
      <c r="E8" s="330"/>
      <c r="F8" s="344"/>
      <c r="G8" s="334"/>
      <c r="H8" s="334" t="s">
        <v>114</v>
      </c>
      <c r="I8" s="333"/>
      <c r="J8" s="333"/>
      <c r="K8" s="333"/>
      <c r="L8" s="333"/>
      <c r="M8" s="333"/>
      <c r="N8" s="333"/>
      <c r="O8" s="333"/>
      <c r="P8" s="333"/>
      <c r="Q8" s="333"/>
      <c r="R8" s="333"/>
      <c r="S8" s="333"/>
      <c r="T8" s="333"/>
      <c r="U8" s="333"/>
      <c r="V8" s="333"/>
      <c r="W8" s="333"/>
      <c r="X8" s="333"/>
      <c r="Y8" s="333"/>
      <c r="Z8" s="333"/>
      <c r="AA8" s="333"/>
      <c r="AB8" s="333"/>
      <c r="AC8" s="333"/>
      <c r="AD8" s="333"/>
      <c r="AE8" s="333"/>
      <c r="AF8" s="333"/>
      <c r="AG8" s="333"/>
      <c r="AH8" s="333"/>
      <c r="AI8" s="333"/>
      <c r="AJ8" s="333"/>
      <c r="AK8" s="333"/>
      <c r="AL8" s="333"/>
      <c r="AM8" s="333"/>
      <c r="AN8" s="333"/>
      <c r="AO8" s="333"/>
      <c r="AP8" s="333"/>
      <c r="AQ8" s="333"/>
      <c r="AR8" s="333"/>
      <c r="AS8" s="333"/>
      <c r="AT8" s="333"/>
      <c r="AU8" s="333"/>
      <c r="AV8" s="333"/>
      <c r="AW8" s="333"/>
      <c r="AX8" s="333"/>
      <c r="AY8" s="333"/>
      <c r="AZ8" s="333"/>
      <c r="BA8" s="333"/>
      <c r="BB8" s="333"/>
      <c r="BC8" s="333"/>
      <c r="BD8" s="333"/>
      <c r="BE8" s="333"/>
      <c r="BF8" s="333"/>
      <c r="BG8" s="333"/>
      <c r="BH8" s="333"/>
      <c r="BI8" s="333"/>
      <c r="BJ8" s="333"/>
      <c r="BK8" s="333"/>
      <c r="BL8" s="333"/>
      <c r="BM8" s="333"/>
      <c r="BN8" s="333"/>
    </row>
    <row r="9" spans="1:66" ht="21" customHeight="1" x14ac:dyDescent="0.25">
      <c r="A9" s="328"/>
      <c r="B9" s="632" t="s">
        <v>119</v>
      </c>
      <c r="C9" s="633"/>
      <c r="D9" s="634"/>
      <c r="E9" s="330"/>
      <c r="F9" s="344"/>
      <c r="H9" s="334" t="s">
        <v>115</v>
      </c>
    </row>
    <row r="10" spans="1:66" ht="17.25" customHeight="1" x14ac:dyDescent="0.3">
      <c r="A10" s="328"/>
      <c r="B10" s="348" t="s">
        <v>140</v>
      </c>
      <c r="C10" s="627"/>
      <c r="D10" s="628"/>
      <c r="E10" s="330"/>
      <c r="F10" s="344"/>
      <c r="H10" s="334" t="s">
        <v>116</v>
      </c>
    </row>
    <row r="11" spans="1:66" ht="17.25" customHeight="1" x14ac:dyDescent="0.3">
      <c r="A11" s="328"/>
      <c r="B11" s="348" t="s">
        <v>126</v>
      </c>
      <c r="C11" s="627"/>
      <c r="D11" s="628"/>
      <c r="E11" s="330"/>
      <c r="F11" s="344"/>
      <c r="H11" s="334" t="s">
        <v>117</v>
      </c>
    </row>
    <row r="12" spans="1:66" s="324" customFormat="1" ht="17.25" customHeight="1" thickBot="1" x14ac:dyDescent="0.35">
      <c r="A12" s="328"/>
      <c r="B12" s="356" t="s">
        <v>121</v>
      </c>
      <c r="C12" s="635"/>
      <c r="D12" s="636"/>
      <c r="E12" s="330"/>
      <c r="F12" s="344"/>
      <c r="G12" s="334"/>
      <c r="H12" s="334"/>
      <c r="I12" s="333"/>
      <c r="J12" s="333"/>
      <c r="K12" s="333"/>
      <c r="L12" s="333"/>
      <c r="M12" s="333"/>
      <c r="N12" s="333"/>
      <c r="O12" s="333"/>
      <c r="P12" s="333"/>
      <c r="Q12" s="333"/>
      <c r="R12" s="333"/>
      <c r="S12" s="333"/>
      <c r="T12" s="333"/>
      <c r="U12" s="333"/>
      <c r="V12" s="333"/>
      <c r="W12" s="333"/>
      <c r="X12" s="333"/>
      <c r="Y12" s="333"/>
      <c r="Z12" s="333"/>
      <c r="AA12" s="333"/>
      <c r="AB12" s="333"/>
      <c r="AC12" s="333"/>
      <c r="AD12" s="333"/>
      <c r="AE12" s="333"/>
      <c r="AF12" s="333"/>
      <c r="AG12" s="333"/>
      <c r="AH12" s="333"/>
      <c r="AI12" s="333"/>
      <c r="AJ12" s="333"/>
      <c r="AK12" s="333"/>
      <c r="AL12" s="333"/>
      <c r="AM12" s="333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33"/>
      <c r="BB12" s="333"/>
      <c r="BC12" s="333"/>
      <c r="BD12" s="333"/>
      <c r="BE12" s="333"/>
      <c r="BF12" s="333"/>
      <c r="BG12" s="333"/>
      <c r="BH12" s="333"/>
      <c r="BI12" s="333"/>
      <c r="BJ12" s="333"/>
      <c r="BK12" s="333"/>
      <c r="BL12" s="333"/>
      <c r="BM12" s="333"/>
      <c r="BN12" s="333"/>
    </row>
    <row r="13" spans="1:66" ht="21" customHeight="1" thickBot="1" x14ac:dyDescent="0.3">
      <c r="A13" s="328"/>
      <c r="B13" s="329"/>
      <c r="C13" s="329"/>
      <c r="D13" s="329"/>
      <c r="E13" s="330"/>
      <c r="F13" s="344"/>
    </row>
    <row r="14" spans="1:66" ht="22.5" customHeight="1" x14ac:dyDescent="0.25">
      <c r="A14" s="328"/>
      <c r="B14" s="632" t="s">
        <v>120</v>
      </c>
      <c r="C14" s="633"/>
      <c r="D14" s="634"/>
      <c r="E14" s="330"/>
      <c r="F14" s="344"/>
    </row>
    <row r="15" spans="1:66" ht="17.25" customHeight="1" x14ac:dyDescent="0.25">
      <c r="A15" s="328"/>
      <c r="B15" s="355" t="s">
        <v>127</v>
      </c>
      <c r="C15" s="612"/>
      <c r="D15" s="613"/>
      <c r="E15" s="330"/>
      <c r="F15" s="344"/>
    </row>
    <row r="16" spans="1:66" ht="17.25" customHeight="1" x14ac:dyDescent="0.25">
      <c r="A16" s="328"/>
      <c r="B16" s="355" t="s">
        <v>128</v>
      </c>
      <c r="C16" s="612"/>
      <c r="D16" s="613"/>
      <c r="E16" s="330"/>
      <c r="F16" s="344"/>
    </row>
    <row r="17" spans="1:66" ht="17.25" customHeight="1" x14ac:dyDescent="0.25">
      <c r="A17" s="328"/>
      <c r="B17" s="355" t="s">
        <v>129</v>
      </c>
      <c r="C17" s="614"/>
      <c r="D17" s="615"/>
      <c r="E17" s="330"/>
      <c r="F17" s="344"/>
    </row>
    <row r="18" spans="1:66" ht="17.25" customHeight="1" x14ac:dyDescent="0.25">
      <c r="A18" s="328"/>
      <c r="B18" s="355" t="s">
        <v>130</v>
      </c>
      <c r="C18" s="614"/>
      <c r="D18" s="615"/>
      <c r="E18" s="330"/>
      <c r="F18" s="344"/>
    </row>
    <row r="19" spans="1:66" s="324" customFormat="1" ht="17.25" customHeight="1" thickBot="1" x14ac:dyDescent="0.3">
      <c r="A19" s="341"/>
      <c r="B19" s="357" t="s">
        <v>131</v>
      </c>
      <c r="C19" s="625"/>
      <c r="D19" s="626"/>
      <c r="E19" s="341"/>
      <c r="F19" s="344"/>
      <c r="G19" s="334"/>
      <c r="H19" s="334"/>
      <c r="I19" s="333"/>
      <c r="J19" s="333"/>
      <c r="K19" s="333"/>
      <c r="L19" s="333"/>
      <c r="M19" s="333"/>
      <c r="N19" s="333"/>
      <c r="O19" s="333"/>
      <c r="P19" s="333"/>
      <c r="Q19" s="333"/>
      <c r="R19" s="333"/>
      <c r="S19" s="333"/>
      <c r="T19" s="333"/>
      <c r="U19" s="333"/>
      <c r="V19" s="333"/>
      <c r="W19" s="333"/>
      <c r="X19" s="333"/>
      <c r="Y19" s="333"/>
      <c r="Z19" s="333"/>
      <c r="AA19" s="333"/>
      <c r="AB19" s="333"/>
      <c r="AC19" s="333"/>
      <c r="AD19" s="333"/>
      <c r="AE19" s="333"/>
      <c r="AF19" s="333"/>
      <c r="AG19" s="333"/>
      <c r="AH19" s="333"/>
      <c r="AI19" s="333"/>
      <c r="AJ19" s="333"/>
      <c r="AK19" s="333"/>
      <c r="AL19" s="333"/>
      <c r="AM19" s="333"/>
      <c r="AN19" s="333"/>
      <c r="AO19" s="333"/>
      <c r="AP19" s="333"/>
      <c r="AQ19" s="333"/>
      <c r="AR19" s="333"/>
      <c r="AS19" s="333"/>
      <c r="AT19" s="333"/>
      <c r="AU19" s="333"/>
      <c r="AV19" s="333"/>
      <c r="AW19" s="333"/>
      <c r="AX19" s="333"/>
      <c r="AY19" s="333"/>
      <c r="AZ19" s="333"/>
      <c r="BA19" s="333"/>
      <c r="BB19" s="333"/>
      <c r="BC19" s="333"/>
      <c r="BD19" s="333"/>
      <c r="BE19" s="333"/>
      <c r="BF19" s="333"/>
      <c r="BG19" s="333"/>
      <c r="BH19" s="333"/>
      <c r="BI19" s="333"/>
      <c r="BJ19" s="333"/>
      <c r="BK19" s="333"/>
      <c r="BL19" s="333"/>
      <c r="BM19" s="333"/>
      <c r="BN19" s="333"/>
    </row>
    <row r="20" spans="1:66" s="333" customFormat="1" ht="25.5" customHeight="1" x14ac:dyDescent="0.3">
      <c r="A20" s="328"/>
      <c r="B20" s="343" t="s">
        <v>86</v>
      </c>
      <c r="C20" s="326"/>
      <c r="D20" s="326"/>
      <c r="E20" s="330"/>
      <c r="F20" s="345"/>
      <c r="G20" s="334"/>
      <c r="H20" s="334"/>
    </row>
    <row r="21" spans="1:66" s="333" customFormat="1" ht="16.5" customHeight="1" x14ac:dyDescent="0.25">
      <c r="A21" s="328"/>
      <c r="B21" s="616"/>
      <c r="C21" s="617"/>
      <c r="D21" s="618"/>
      <c r="E21" s="330"/>
      <c r="F21" s="345"/>
      <c r="G21" s="334"/>
      <c r="H21" s="334"/>
    </row>
    <row r="22" spans="1:66" s="333" customFormat="1" ht="16.5" customHeight="1" x14ac:dyDescent="0.25">
      <c r="A22" s="328"/>
      <c r="B22" s="619"/>
      <c r="C22" s="620"/>
      <c r="D22" s="621"/>
      <c r="E22" s="330"/>
      <c r="F22" s="345"/>
      <c r="G22" s="334"/>
      <c r="H22" s="334"/>
    </row>
    <row r="23" spans="1:66" s="333" customFormat="1" ht="16.5" customHeight="1" x14ac:dyDescent="0.25">
      <c r="A23" s="328"/>
      <c r="B23" s="619"/>
      <c r="C23" s="620"/>
      <c r="D23" s="621"/>
      <c r="E23" s="330"/>
      <c r="F23" s="345"/>
      <c r="G23" s="334"/>
      <c r="H23" s="334"/>
    </row>
    <row r="24" spans="1:66" s="333" customFormat="1" ht="16.5" customHeight="1" x14ac:dyDescent="0.25">
      <c r="A24" s="328"/>
      <c r="B24" s="619"/>
      <c r="C24" s="620"/>
      <c r="D24" s="621"/>
      <c r="E24" s="330"/>
      <c r="F24" s="345"/>
      <c r="G24" s="334"/>
      <c r="H24" s="334"/>
    </row>
    <row r="25" spans="1:66" s="333" customFormat="1" ht="16.5" customHeight="1" x14ac:dyDescent="0.25">
      <c r="A25" s="328"/>
      <c r="B25" s="619"/>
      <c r="C25" s="620"/>
      <c r="D25" s="621"/>
      <c r="E25" s="330"/>
      <c r="F25" s="345"/>
      <c r="G25" s="334"/>
      <c r="H25" s="334"/>
    </row>
    <row r="26" spans="1:66" s="333" customFormat="1" ht="16.5" customHeight="1" x14ac:dyDescent="0.25">
      <c r="A26" s="328"/>
      <c r="B26" s="619"/>
      <c r="C26" s="620"/>
      <c r="D26" s="621"/>
      <c r="E26" s="330"/>
      <c r="F26" s="345"/>
      <c r="G26" s="334"/>
      <c r="H26" s="334"/>
    </row>
    <row r="27" spans="1:66" s="333" customFormat="1" ht="16.5" customHeight="1" x14ac:dyDescent="0.25">
      <c r="A27" s="328"/>
      <c r="B27" s="619"/>
      <c r="C27" s="620"/>
      <c r="D27" s="621"/>
      <c r="E27" s="330"/>
      <c r="F27" s="345"/>
      <c r="G27" s="334"/>
      <c r="H27" s="334"/>
    </row>
    <row r="28" spans="1:66" s="333" customFormat="1" ht="16.5" customHeight="1" x14ac:dyDescent="0.25">
      <c r="A28" s="328"/>
      <c r="B28" s="619"/>
      <c r="C28" s="620"/>
      <c r="D28" s="621"/>
      <c r="E28" s="330"/>
      <c r="F28" s="345"/>
      <c r="G28" s="334"/>
      <c r="H28" s="334"/>
    </row>
    <row r="29" spans="1:66" s="333" customFormat="1" ht="16.5" customHeight="1" x14ac:dyDescent="0.25">
      <c r="A29" s="328"/>
      <c r="B29" s="622"/>
      <c r="C29" s="623"/>
      <c r="D29" s="624"/>
      <c r="E29" s="330"/>
      <c r="F29" s="345"/>
      <c r="G29" s="334"/>
      <c r="H29" s="334"/>
    </row>
    <row r="30" spans="1:66" s="333" customFormat="1" ht="15.75" thickBot="1" x14ac:dyDescent="0.3">
      <c r="A30" s="331"/>
      <c r="B30" s="342"/>
      <c r="C30" s="342"/>
      <c r="D30" s="342"/>
      <c r="E30" s="332"/>
      <c r="F30" s="345"/>
      <c r="G30" s="334"/>
      <c r="H30" s="334"/>
    </row>
    <row r="31" spans="1:66" s="333" customFormat="1" x14ac:dyDescent="0.25">
      <c r="A31" s="346"/>
      <c r="B31" s="346"/>
      <c r="C31" s="346"/>
      <c r="D31" s="346"/>
      <c r="E31" s="346"/>
      <c r="F31" s="347"/>
      <c r="G31" s="334"/>
      <c r="H31" s="334"/>
    </row>
    <row r="32" spans="1:66" s="333" customFormat="1" x14ac:dyDescent="0.25">
      <c r="G32" s="334"/>
      <c r="H32" s="334"/>
    </row>
    <row r="33" spans="7:8" s="333" customFormat="1" x14ac:dyDescent="0.25">
      <c r="G33" s="334"/>
      <c r="H33" s="334"/>
    </row>
    <row r="34" spans="7:8" s="333" customFormat="1" x14ac:dyDescent="0.25">
      <c r="G34" s="334"/>
      <c r="H34" s="334"/>
    </row>
    <row r="35" spans="7:8" s="333" customFormat="1" x14ac:dyDescent="0.25">
      <c r="G35" s="334"/>
      <c r="H35" s="334"/>
    </row>
    <row r="36" spans="7:8" s="333" customFormat="1" x14ac:dyDescent="0.25">
      <c r="G36" s="334"/>
      <c r="H36" s="334"/>
    </row>
    <row r="37" spans="7:8" s="333" customFormat="1" x14ac:dyDescent="0.25">
      <c r="G37" s="334"/>
      <c r="H37" s="334"/>
    </row>
    <row r="38" spans="7:8" s="333" customFormat="1" x14ac:dyDescent="0.25">
      <c r="G38" s="334"/>
      <c r="H38" s="334"/>
    </row>
    <row r="39" spans="7:8" s="333" customFormat="1" x14ac:dyDescent="0.25">
      <c r="G39" s="334"/>
      <c r="H39" s="334"/>
    </row>
    <row r="40" spans="7:8" s="333" customFormat="1" x14ac:dyDescent="0.25">
      <c r="G40" s="334"/>
      <c r="H40" s="334"/>
    </row>
    <row r="41" spans="7:8" s="333" customFormat="1" x14ac:dyDescent="0.25">
      <c r="G41" s="334"/>
      <c r="H41" s="334"/>
    </row>
    <row r="42" spans="7:8" s="333" customFormat="1" x14ac:dyDescent="0.25">
      <c r="G42" s="334"/>
      <c r="H42" s="334"/>
    </row>
    <row r="43" spans="7:8" s="333" customFormat="1" x14ac:dyDescent="0.25">
      <c r="G43" s="334"/>
      <c r="H43" s="334"/>
    </row>
    <row r="44" spans="7:8" s="333" customFormat="1" x14ac:dyDescent="0.25">
      <c r="G44" s="334"/>
      <c r="H44" s="334"/>
    </row>
    <row r="45" spans="7:8" s="333" customFormat="1" x14ac:dyDescent="0.25">
      <c r="G45" s="334"/>
      <c r="H45" s="334"/>
    </row>
    <row r="46" spans="7:8" s="333" customFormat="1" x14ac:dyDescent="0.25">
      <c r="G46" s="334"/>
      <c r="H46" s="334"/>
    </row>
    <row r="47" spans="7:8" s="333" customFormat="1" x14ac:dyDescent="0.25">
      <c r="G47" s="334"/>
      <c r="H47" s="334"/>
    </row>
    <row r="48" spans="7:8" s="333" customFormat="1" x14ac:dyDescent="0.25">
      <c r="G48" s="334"/>
      <c r="H48" s="334"/>
    </row>
    <row r="49" spans="7:8" s="333" customFormat="1" x14ac:dyDescent="0.25">
      <c r="G49" s="334"/>
      <c r="H49" s="334"/>
    </row>
    <row r="50" spans="7:8" s="333" customFormat="1" x14ac:dyDescent="0.25">
      <c r="G50" s="334"/>
      <c r="H50" s="334"/>
    </row>
    <row r="51" spans="7:8" s="333" customFormat="1" x14ac:dyDescent="0.25">
      <c r="G51" s="334"/>
      <c r="H51" s="334"/>
    </row>
    <row r="52" spans="7:8" s="333" customFormat="1" x14ac:dyDescent="0.25">
      <c r="G52" s="334"/>
      <c r="H52" s="334"/>
    </row>
    <row r="53" spans="7:8" s="333" customFormat="1" x14ac:dyDescent="0.25">
      <c r="G53" s="334"/>
      <c r="H53" s="334"/>
    </row>
    <row r="54" spans="7:8" s="333" customFormat="1" x14ac:dyDescent="0.25">
      <c r="G54" s="334"/>
      <c r="H54" s="334"/>
    </row>
    <row r="55" spans="7:8" s="333" customFormat="1" x14ac:dyDescent="0.25">
      <c r="G55" s="334"/>
      <c r="H55" s="334"/>
    </row>
    <row r="56" spans="7:8" s="333" customFormat="1" x14ac:dyDescent="0.25">
      <c r="G56" s="334"/>
      <c r="H56" s="334"/>
    </row>
    <row r="57" spans="7:8" s="333" customFormat="1" x14ac:dyDescent="0.25">
      <c r="G57" s="334"/>
      <c r="H57" s="334"/>
    </row>
    <row r="58" spans="7:8" s="333" customFormat="1" x14ac:dyDescent="0.25">
      <c r="G58" s="334"/>
      <c r="H58" s="334"/>
    </row>
    <row r="59" spans="7:8" s="333" customFormat="1" x14ac:dyDescent="0.25">
      <c r="G59" s="334"/>
      <c r="H59" s="334"/>
    </row>
    <row r="60" spans="7:8" s="333" customFormat="1" x14ac:dyDescent="0.25">
      <c r="G60" s="334"/>
      <c r="H60" s="334"/>
    </row>
    <row r="61" spans="7:8" s="333" customFormat="1" x14ac:dyDescent="0.25">
      <c r="G61" s="334"/>
      <c r="H61" s="334"/>
    </row>
    <row r="62" spans="7:8" s="333" customFormat="1" x14ac:dyDescent="0.25">
      <c r="G62" s="334"/>
      <c r="H62" s="334"/>
    </row>
    <row r="63" spans="7:8" s="333" customFormat="1" x14ac:dyDescent="0.25">
      <c r="G63" s="334"/>
      <c r="H63" s="334"/>
    </row>
    <row r="64" spans="7:8" s="333" customFormat="1" x14ac:dyDescent="0.25">
      <c r="G64" s="334"/>
      <c r="H64" s="334"/>
    </row>
    <row r="65" spans="7:8" s="333" customFormat="1" x14ac:dyDescent="0.25">
      <c r="G65" s="334"/>
      <c r="H65" s="334"/>
    </row>
    <row r="66" spans="7:8" s="333" customFormat="1" x14ac:dyDescent="0.25">
      <c r="G66" s="334"/>
      <c r="H66" s="334"/>
    </row>
    <row r="67" spans="7:8" s="333" customFormat="1" x14ac:dyDescent="0.25">
      <c r="G67" s="334"/>
      <c r="H67" s="334"/>
    </row>
    <row r="68" spans="7:8" s="333" customFormat="1" x14ac:dyDescent="0.25">
      <c r="G68" s="334"/>
      <c r="H68" s="334"/>
    </row>
    <row r="69" spans="7:8" s="333" customFormat="1" x14ac:dyDescent="0.25">
      <c r="G69" s="334"/>
      <c r="H69" s="334"/>
    </row>
    <row r="70" spans="7:8" s="333" customFormat="1" x14ac:dyDescent="0.25">
      <c r="G70" s="334"/>
      <c r="H70" s="334"/>
    </row>
    <row r="71" spans="7:8" s="333" customFormat="1" x14ac:dyDescent="0.25">
      <c r="G71" s="334"/>
      <c r="H71" s="334"/>
    </row>
    <row r="72" spans="7:8" s="333" customFormat="1" x14ac:dyDescent="0.25">
      <c r="G72" s="334"/>
      <c r="H72" s="334"/>
    </row>
    <row r="73" spans="7:8" s="333" customFormat="1" x14ac:dyDescent="0.25">
      <c r="G73" s="334"/>
      <c r="H73" s="334"/>
    </row>
    <row r="74" spans="7:8" s="333" customFormat="1" x14ac:dyDescent="0.25">
      <c r="G74" s="334"/>
      <c r="H74" s="334"/>
    </row>
    <row r="75" spans="7:8" s="333" customFormat="1" x14ac:dyDescent="0.25">
      <c r="G75" s="334"/>
      <c r="H75" s="334"/>
    </row>
    <row r="76" spans="7:8" s="333" customFormat="1" x14ac:dyDescent="0.25">
      <c r="G76" s="334"/>
      <c r="H76" s="334"/>
    </row>
    <row r="77" spans="7:8" s="333" customFormat="1" x14ac:dyDescent="0.25">
      <c r="G77" s="334"/>
      <c r="H77" s="334"/>
    </row>
    <row r="78" spans="7:8" s="333" customFormat="1" x14ac:dyDescent="0.25">
      <c r="G78" s="334"/>
      <c r="H78" s="334"/>
    </row>
    <row r="79" spans="7:8" s="333" customFormat="1" x14ac:dyDescent="0.25">
      <c r="G79" s="334"/>
      <c r="H79" s="334"/>
    </row>
    <row r="80" spans="7:8" s="333" customFormat="1" x14ac:dyDescent="0.25">
      <c r="G80" s="334"/>
      <c r="H80" s="334"/>
    </row>
    <row r="81" spans="7:8" s="333" customFormat="1" x14ac:dyDescent="0.25">
      <c r="G81" s="334"/>
      <c r="H81" s="334"/>
    </row>
    <row r="82" spans="7:8" s="333" customFormat="1" x14ac:dyDescent="0.25">
      <c r="G82" s="334"/>
      <c r="H82" s="334"/>
    </row>
    <row r="83" spans="7:8" s="333" customFormat="1" x14ac:dyDescent="0.25">
      <c r="G83" s="334"/>
      <c r="H83" s="334"/>
    </row>
    <row r="84" spans="7:8" s="333" customFormat="1" x14ac:dyDescent="0.25">
      <c r="G84" s="334"/>
      <c r="H84" s="334"/>
    </row>
    <row r="85" spans="7:8" s="333" customFormat="1" x14ac:dyDescent="0.25">
      <c r="G85" s="334"/>
      <c r="H85" s="334"/>
    </row>
    <row r="86" spans="7:8" s="333" customFormat="1" x14ac:dyDescent="0.25">
      <c r="G86" s="334"/>
      <c r="H86" s="334"/>
    </row>
    <row r="87" spans="7:8" s="333" customFormat="1" x14ac:dyDescent="0.25">
      <c r="G87" s="334"/>
      <c r="H87" s="334"/>
    </row>
    <row r="88" spans="7:8" s="333" customFormat="1" x14ac:dyDescent="0.25">
      <c r="G88" s="334"/>
      <c r="H88" s="334"/>
    </row>
    <row r="89" spans="7:8" s="333" customFormat="1" x14ac:dyDescent="0.25">
      <c r="G89" s="334"/>
      <c r="H89" s="334"/>
    </row>
    <row r="90" spans="7:8" s="333" customFormat="1" x14ac:dyDescent="0.25">
      <c r="G90" s="334"/>
      <c r="H90" s="334"/>
    </row>
    <row r="91" spans="7:8" s="333" customFormat="1" x14ac:dyDescent="0.25">
      <c r="G91" s="334"/>
      <c r="H91" s="334"/>
    </row>
    <row r="92" spans="7:8" s="333" customFormat="1" x14ac:dyDescent="0.25">
      <c r="G92" s="334"/>
      <c r="H92" s="334"/>
    </row>
    <row r="93" spans="7:8" s="333" customFormat="1" x14ac:dyDescent="0.25">
      <c r="G93" s="334"/>
      <c r="H93" s="334"/>
    </row>
    <row r="94" spans="7:8" s="333" customFormat="1" x14ac:dyDescent="0.25">
      <c r="G94" s="334"/>
      <c r="H94" s="334"/>
    </row>
    <row r="95" spans="7:8" s="333" customFormat="1" x14ac:dyDescent="0.25">
      <c r="G95" s="334"/>
      <c r="H95" s="334"/>
    </row>
    <row r="96" spans="7:8" s="333" customFormat="1" x14ac:dyDescent="0.25">
      <c r="G96" s="334"/>
      <c r="H96" s="334"/>
    </row>
    <row r="97" spans="7:8" s="333" customFormat="1" x14ac:dyDescent="0.25">
      <c r="G97" s="334"/>
      <c r="H97" s="334"/>
    </row>
    <row r="98" spans="7:8" s="333" customFormat="1" x14ac:dyDescent="0.25">
      <c r="G98" s="334"/>
      <c r="H98" s="334"/>
    </row>
    <row r="99" spans="7:8" s="333" customFormat="1" x14ac:dyDescent="0.25">
      <c r="G99" s="334"/>
      <c r="H99" s="334"/>
    </row>
    <row r="100" spans="7:8" s="333" customFormat="1" x14ac:dyDescent="0.25">
      <c r="G100" s="334"/>
      <c r="H100" s="334"/>
    </row>
    <row r="101" spans="7:8" s="333" customFormat="1" x14ac:dyDescent="0.25">
      <c r="G101" s="334"/>
      <c r="H101" s="334"/>
    </row>
    <row r="102" spans="7:8" s="333" customFormat="1" x14ac:dyDescent="0.25">
      <c r="G102" s="334"/>
      <c r="H102" s="334"/>
    </row>
    <row r="103" spans="7:8" s="333" customFormat="1" x14ac:dyDescent="0.25">
      <c r="G103" s="334"/>
      <c r="H103" s="334"/>
    </row>
    <row r="104" spans="7:8" s="333" customFormat="1" x14ac:dyDescent="0.25">
      <c r="G104" s="334"/>
      <c r="H104" s="334"/>
    </row>
    <row r="105" spans="7:8" s="333" customFormat="1" x14ac:dyDescent="0.25">
      <c r="G105" s="334"/>
      <c r="H105" s="334"/>
    </row>
    <row r="106" spans="7:8" s="333" customFormat="1" x14ac:dyDescent="0.25">
      <c r="G106" s="334"/>
      <c r="H106" s="334"/>
    </row>
    <row r="107" spans="7:8" s="333" customFormat="1" x14ac:dyDescent="0.25">
      <c r="G107" s="334"/>
      <c r="H107" s="334"/>
    </row>
    <row r="108" spans="7:8" s="333" customFormat="1" x14ac:dyDescent="0.25">
      <c r="G108" s="334"/>
      <c r="H108" s="334"/>
    </row>
    <row r="109" spans="7:8" s="333" customFormat="1" x14ac:dyDescent="0.25">
      <c r="G109" s="334"/>
      <c r="H109" s="334"/>
    </row>
    <row r="110" spans="7:8" s="333" customFormat="1" x14ac:dyDescent="0.25">
      <c r="G110" s="334"/>
      <c r="H110" s="334"/>
    </row>
    <row r="111" spans="7:8" s="333" customFormat="1" x14ac:dyDescent="0.25">
      <c r="G111" s="334"/>
      <c r="H111" s="334"/>
    </row>
    <row r="112" spans="7:8" s="333" customFormat="1" x14ac:dyDescent="0.25">
      <c r="G112" s="334"/>
      <c r="H112" s="334"/>
    </row>
    <row r="113" spans="7:8" s="333" customFormat="1" x14ac:dyDescent="0.25">
      <c r="G113" s="334"/>
      <c r="H113" s="334"/>
    </row>
    <row r="114" spans="7:8" s="333" customFormat="1" x14ac:dyDescent="0.25">
      <c r="G114" s="334"/>
      <c r="H114" s="334"/>
    </row>
    <row r="115" spans="7:8" s="333" customFormat="1" x14ac:dyDescent="0.25">
      <c r="G115" s="334"/>
      <c r="H115" s="334"/>
    </row>
    <row r="116" spans="7:8" s="333" customFormat="1" x14ac:dyDescent="0.25">
      <c r="G116" s="334"/>
      <c r="H116" s="334"/>
    </row>
    <row r="117" spans="7:8" s="333" customFormat="1" x14ac:dyDescent="0.25">
      <c r="G117" s="334"/>
      <c r="H117" s="334"/>
    </row>
    <row r="118" spans="7:8" s="333" customFormat="1" x14ac:dyDescent="0.25">
      <c r="G118" s="334"/>
      <c r="H118" s="334"/>
    </row>
    <row r="119" spans="7:8" s="333" customFormat="1" x14ac:dyDescent="0.25">
      <c r="G119" s="334"/>
      <c r="H119" s="334"/>
    </row>
    <row r="120" spans="7:8" s="333" customFormat="1" x14ac:dyDescent="0.25">
      <c r="G120" s="334"/>
      <c r="H120" s="334"/>
    </row>
    <row r="121" spans="7:8" s="333" customFormat="1" x14ac:dyDescent="0.25">
      <c r="G121" s="334"/>
      <c r="H121" s="334"/>
    </row>
    <row r="122" spans="7:8" s="333" customFormat="1" x14ac:dyDescent="0.25">
      <c r="G122" s="334"/>
      <c r="H122" s="334"/>
    </row>
    <row r="123" spans="7:8" s="333" customFormat="1" x14ac:dyDescent="0.25">
      <c r="G123" s="334"/>
      <c r="H123" s="334"/>
    </row>
    <row r="124" spans="7:8" s="333" customFormat="1" x14ac:dyDescent="0.25">
      <c r="G124" s="334"/>
      <c r="H124" s="334"/>
    </row>
    <row r="125" spans="7:8" s="333" customFormat="1" x14ac:dyDescent="0.25">
      <c r="G125" s="334"/>
      <c r="H125" s="334"/>
    </row>
    <row r="126" spans="7:8" s="333" customFormat="1" x14ac:dyDescent="0.25">
      <c r="G126" s="334"/>
      <c r="H126" s="334"/>
    </row>
    <row r="127" spans="7:8" s="333" customFormat="1" x14ac:dyDescent="0.25">
      <c r="G127" s="334"/>
      <c r="H127" s="334"/>
    </row>
    <row r="128" spans="7:8" s="333" customFormat="1" x14ac:dyDescent="0.25">
      <c r="G128" s="334"/>
      <c r="H128" s="334"/>
    </row>
    <row r="129" spans="7:8" s="333" customFormat="1" x14ac:dyDescent="0.25">
      <c r="G129" s="334"/>
      <c r="H129" s="334"/>
    </row>
    <row r="130" spans="7:8" s="333" customFormat="1" x14ac:dyDescent="0.25">
      <c r="G130" s="334"/>
      <c r="H130" s="334"/>
    </row>
    <row r="131" spans="7:8" s="333" customFormat="1" x14ac:dyDescent="0.25">
      <c r="G131" s="334"/>
      <c r="H131" s="334"/>
    </row>
    <row r="132" spans="7:8" s="333" customFormat="1" x14ac:dyDescent="0.25">
      <c r="G132" s="334"/>
      <c r="H132" s="334"/>
    </row>
    <row r="133" spans="7:8" s="333" customFormat="1" x14ac:dyDescent="0.25">
      <c r="G133" s="334"/>
      <c r="H133" s="334"/>
    </row>
    <row r="134" spans="7:8" s="333" customFormat="1" x14ac:dyDescent="0.25">
      <c r="G134" s="334"/>
      <c r="H134" s="334"/>
    </row>
    <row r="135" spans="7:8" s="333" customFormat="1" x14ac:dyDescent="0.25">
      <c r="G135" s="334"/>
      <c r="H135" s="334"/>
    </row>
    <row r="136" spans="7:8" s="333" customFormat="1" x14ac:dyDescent="0.25">
      <c r="G136" s="334"/>
      <c r="H136" s="334"/>
    </row>
    <row r="137" spans="7:8" s="333" customFormat="1" x14ac:dyDescent="0.25">
      <c r="G137" s="334"/>
      <c r="H137" s="334"/>
    </row>
    <row r="138" spans="7:8" s="333" customFormat="1" x14ac:dyDescent="0.25">
      <c r="G138" s="334"/>
      <c r="H138" s="334"/>
    </row>
    <row r="139" spans="7:8" s="333" customFormat="1" x14ac:dyDescent="0.25">
      <c r="G139" s="334"/>
      <c r="H139" s="334"/>
    </row>
    <row r="140" spans="7:8" s="333" customFormat="1" x14ac:dyDescent="0.25">
      <c r="G140" s="334"/>
      <c r="H140" s="334"/>
    </row>
    <row r="141" spans="7:8" s="333" customFormat="1" x14ac:dyDescent="0.25">
      <c r="G141" s="334"/>
      <c r="H141" s="334"/>
    </row>
    <row r="142" spans="7:8" s="333" customFormat="1" x14ac:dyDescent="0.25">
      <c r="G142" s="334"/>
      <c r="H142" s="334"/>
    </row>
    <row r="143" spans="7:8" s="333" customFormat="1" x14ac:dyDescent="0.25">
      <c r="G143" s="334"/>
      <c r="H143" s="334"/>
    </row>
    <row r="144" spans="7:8" s="333" customFormat="1" x14ac:dyDescent="0.25">
      <c r="G144" s="334"/>
      <c r="H144" s="334"/>
    </row>
    <row r="145" spans="7:8" s="333" customFormat="1" x14ac:dyDescent="0.25">
      <c r="G145" s="334"/>
      <c r="H145" s="334"/>
    </row>
    <row r="146" spans="7:8" s="333" customFormat="1" x14ac:dyDescent="0.25">
      <c r="G146" s="334"/>
      <c r="H146" s="334"/>
    </row>
    <row r="147" spans="7:8" s="333" customFormat="1" x14ac:dyDescent="0.25">
      <c r="G147" s="334"/>
      <c r="H147" s="334"/>
    </row>
    <row r="148" spans="7:8" s="333" customFormat="1" x14ac:dyDescent="0.25">
      <c r="G148" s="334"/>
      <c r="H148" s="334"/>
    </row>
    <row r="149" spans="7:8" s="333" customFormat="1" x14ac:dyDescent="0.25">
      <c r="G149" s="334"/>
      <c r="H149" s="334"/>
    </row>
    <row r="150" spans="7:8" s="333" customFormat="1" x14ac:dyDescent="0.25">
      <c r="G150" s="334"/>
      <c r="H150" s="334"/>
    </row>
    <row r="151" spans="7:8" s="333" customFormat="1" x14ac:dyDescent="0.25">
      <c r="G151" s="334"/>
      <c r="H151" s="334"/>
    </row>
    <row r="152" spans="7:8" s="333" customFormat="1" x14ac:dyDescent="0.25">
      <c r="G152" s="334"/>
      <c r="H152" s="334"/>
    </row>
    <row r="153" spans="7:8" s="333" customFormat="1" x14ac:dyDescent="0.25">
      <c r="G153" s="334"/>
      <c r="H153" s="334"/>
    </row>
    <row r="154" spans="7:8" s="333" customFormat="1" x14ac:dyDescent="0.25">
      <c r="G154" s="334"/>
      <c r="H154" s="334"/>
    </row>
    <row r="155" spans="7:8" s="333" customFormat="1" x14ac:dyDescent="0.25">
      <c r="G155" s="334"/>
      <c r="H155" s="334"/>
    </row>
    <row r="156" spans="7:8" s="333" customFormat="1" x14ac:dyDescent="0.25">
      <c r="G156" s="334"/>
      <c r="H156" s="334"/>
    </row>
    <row r="157" spans="7:8" s="333" customFormat="1" x14ac:dyDescent="0.25">
      <c r="G157" s="334"/>
      <c r="H157" s="334"/>
    </row>
    <row r="158" spans="7:8" s="333" customFormat="1" x14ac:dyDescent="0.25">
      <c r="G158" s="334"/>
      <c r="H158" s="334"/>
    </row>
    <row r="159" spans="7:8" s="333" customFormat="1" x14ac:dyDescent="0.25">
      <c r="G159" s="334"/>
      <c r="H159" s="334"/>
    </row>
    <row r="160" spans="7:8" s="333" customFormat="1" x14ac:dyDescent="0.25">
      <c r="G160" s="334"/>
      <c r="H160" s="334"/>
    </row>
    <row r="161" spans="7:8" s="333" customFormat="1" x14ac:dyDescent="0.25">
      <c r="G161" s="334"/>
      <c r="H161" s="334"/>
    </row>
    <row r="162" spans="7:8" s="333" customFormat="1" x14ac:dyDescent="0.25">
      <c r="G162" s="334"/>
      <c r="H162" s="334"/>
    </row>
    <row r="163" spans="7:8" s="333" customFormat="1" x14ac:dyDescent="0.25">
      <c r="G163" s="334"/>
      <c r="H163" s="334"/>
    </row>
    <row r="164" spans="7:8" s="333" customFormat="1" x14ac:dyDescent="0.25">
      <c r="G164" s="334"/>
      <c r="H164" s="334"/>
    </row>
    <row r="165" spans="7:8" s="333" customFormat="1" x14ac:dyDescent="0.25">
      <c r="G165" s="334"/>
      <c r="H165" s="334"/>
    </row>
    <row r="166" spans="7:8" s="333" customFormat="1" x14ac:dyDescent="0.25">
      <c r="G166" s="334"/>
      <c r="H166" s="334"/>
    </row>
    <row r="167" spans="7:8" s="333" customFormat="1" x14ac:dyDescent="0.25">
      <c r="G167" s="334"/>
      <c r="H167" s="334"/>
    </row>
    <row r="168" spans="7:8" s="333" customFormat="1" x14ac:dyDescent="0.25">
      <c r="G168" s="334"/>
      <c r="H168" s="334"/>
    </row>
    <row r="169" spans="7:8" s="333" customFormat="1" x14ac:dyDescent="0.25">
      <c r="G169" s="334"/>
      <c r="H169" s="334"/>
    </row>
    <row r="170" spans="7:8" s="333" customFormat="1" x14ac:dyDescent="0.25">
      <c r="G170" s="334"/>
      <c r="H170" s="334"/>
    </row>
    <row r="171" spans="7:8" s="333" customFormat="1" x14ac:dyDescent="0.25">
      <c r="G171" s="334"/>
      <c r="H171" s="334"/>
    </row>
    <row r="172" spans="7:8" s="333" customFormat="1" x14ac:dyDescent="0.25">
      <c r="G172" s="334"/>
      <c r="H172" s="334"/>
    </row>
    <row r="173" spans="7:8" s="333" customFormat="1" x14ac:dyDescent="0.25">
      <c r="G173" s="334"/>
      <c r="H173" s="334"/>
    </row>
    <row r="174" spans="7:8" s="333" customFormat="1" x14ac:dyDescent="0.25">
      <c r="G174" s="334"/>
      <c r="H174" s="334"/>
    </row>
    <row r="175" spans="7:8" s="333" customFormat="1" x14ac:dyDescent="0.25">
      <c r="G175" s="334"/>
      <c r="H175" s="334"/>
    </row>
    <row r="176" spans="7:8" s="333" customFormat="1" x14ac:dyDescent="0.25">
      <c r="G176" s="334"/>
      <c r="H176" s="334"/>
    </row>
    <row r="177" spans="7:8" s="333" customFormat="1" x14ac:dyDescent="0.25">
      <c r="G177" s="334"/>
      <c r="H177" s="334"/>
    </row>
    <row r="178" spans="7:8" s="333" customFormat="1" x14ac:dyDescent="0.25">
      <c r="G178" s="334"/>
      <c r="H178" s="334"/>
    </row>
    <row r="179" spans="7:8" s="333" customFormat="1" x14ac:dyDescent="0.25">
      <c r="G179" s="334"/>
      <c r="H179" s="334"/>
    </row>
    <row r="180" spans="7:8" s="333" customFormat="1" x14ac:dyDescent="0.25">
      <c r="G180" s="334"/>
      <c r="H180" s="334"/>
    </row>
    <row r="181" spans="7:8" s="333" customFormat="1" x14ac:dyDescent="0.25">
      <c r="G181" s="334"/>
      <c r="H181" s="334"/>
    </row>
    <row r="182" spans="7:8" s="333" customFormat="1" x14ac:dyDescent="0.25">
      <c r="G182" s="334"/>
      <c r="H182" s="334"/>
    </row>
    <row r="183" spans="7:8" s="333" customFormat="1" x14ac:dyDescent="0.25">
      <c r="G183" s="334"/>
      <c r="H183" s="334"/>
    </row>
    <row r="184" spans="7:8" s="333" customFormat="1" x14ac:dyDescent="0.25">
      <c r="G184" s="334"/>
      <c r="H184" s="334"/>
    </row>
    <row r="185" spans="7:8" s="333" customFormat="1" x14ac:dyDescent="0.25">
      <c r="G185" s="334"/>
      <c r="H185" s="334"/>
    </row>
    <row r="186" spans="7:8" s="333" customFormat="1" x14ac:dyDescent="0.25">
      <c r="G186" s="334"/>
      <c r="H186" s="334"/>
    </row>
    <row r="187" spans="7:8" s="333" customFormat="1" x14ac:dyDescent="0.25">
      <c r="G187" s="334"/>
      <c r="H187" s="334"/>
    </row>
    <row r="188" spans="7:8" s="333" customFormat="1" x14ac:dyDescent="0.25">
      <c r="G188" s="334"/>
      <c r="H188" s="334"/>
    </row>
    <row r="189" spans="7:8" s="333" customFormat="1" x14ac:dyDescent="0.25">
      <c r="G189" s="334"/>
      <c r="H189" s="334"/>
    </row>
    <row r="190" spans="7:8" s="333" customFormat="1" x14ac:dyDescent="0.25">
      <c r="G190" s="334"/>
      <c r="H190" s="334"/>
    </row>
    <row r="191" spans="7:8" s="333" customFormat="1" x14ac:dyDescent="0.25">
      <c r="G191" s="334"/>
      <c r="H191" s="334"/>
    </row>
    <row r="192" spans="7:8" s="333" customFormat="1" x14ac:dyDescent="0.25">
      <c r="G192" s="334"/>
      <c r="H192" s="334"/>
    </row>
    <row r="193" spans="7:8" s="333" customFormat="1" x14ac:dyDescent="0.25">
      <c r="G193" s="334"/>
      <c r="H193" s="334"/>
    </row>
    <row r="194" spans="7:8" s="333" customFormat="1" x14ac:dyDescent="0.25">
      <c r="G194" s="334"/>
      <c r="H194" s="334"/>
    </row>
    <row r="195" spans="7:8" s="333" customFormat="1" x14ac:dyDescent="0.25">
      <c r="G195" s="334"/>
      <c r="H195" s="334"/>
    </row>
    <row r="196" spans="7:8" s="333" customFormat="1" x14ac:dyDescent="0.25">
      <c r="G196" s="334"/>
      <c r="H196" s="334"/>
    </row>
    <row r="197" spans="7:8" s="333" customFormat="1" x14ac:dyDescent="0.25">
      <c r="G197" s="334"/>
      <c r="H197" s="334"/>
    </row>
    <row r="198" spans="7:8" s="333" customFormat="1" x14ac:dyDescent="0.25">
      <c r="G198" s="334"/>
      <c r="H198" s="334"/>
    </row>
    <row r="199" spans="7:8" s="333" customFormat="1" x14ac:dyDescent="0.25">
      <c r="G199" s="334"/>
      <c r="H199" s="334"/>
    </row>
    <row r="200" spans="7:8" s="333" customFormat="1" x14ac:dyDescent="0.25">
      <c r="G200" s="334"/>
      <c r="H200" s="334"/>
    </row>
    <row r="201" spans="7:8" s="333" customFormat="1" x14ac:dyDescent="0.25">
      <c r="G201" s="334"/>
      <c r="H201" s="334"/>
    </row>
    <row r="202" spans="7:8" s="333" customFormat="1" x14ac:dyDescent="0.25">
      <c r="G202" s="334"/>
      <c r="H202" s="334"/>
    </row>
    <row r="203" spans="7:8" s="333" customFormat="1" x14ac:dyDescent="0.25">
      <c r="G203" s="334"/>
      <c r="H203" s="334"/>
    </row>
    <row r="204" spans="7:8" s="333" customFormat="1" x14ac:dyDescent="0.25">
      <c r="G204" s="334"/>
      <c r="H204" s="334"/>
    </row>
    <row r="205" spans="7:8" s="333" customFormat="1" x14ac:dyDescent="0.25">
      <c r="G205" s="334"/>
      <c r="H205" s="334"/>
    </row>
    <row r="206" spans="7:8" s="333" customFormat="1" x14ac:dyDescent="0.25">
      <c r="G206" s="334"/>
      <c r="H206" s="334"/>
    </row>
    <row r="207" spans="7:8" s="333" customFormat="1" x14ac:dyDescent="0.25">
      <c r="G207" s="334"/>
      <c r="H207" s="334"/>
    </row>
    <row r="208" spans="7:8" s="333" customFormat="1" x14ac:dyDescent="0.25">
      <c r="G208" s="334"/>
      <c r="H208" s="334"/>
    </row>
    <row r="209" spans="7:8" s="333" customFormat="1" x14ac:dyDescent="0.25">
      <c r="G209" s="334"/>
      <c r="H209" s="334"/>
    </row>
    <row r="210" spans="7:8" s="333" customFormat="1" x14ac:dyDescent="0.25">
      <c r="G210" s="334"/>
      <c r="H210" s="334"/>
    </row>
    <row r="211" spans="7:8" s="333" customFormat="1" x14ac:dyDescent="0.25">
      <c r="G211" s="334"/>
      <c r="H211" s="334"/>
    </row>
    <row r="212" spans="7:8" s="333" customFormat="1" x14ac:dyDescent="0.25">
      <c r="G212" s="334"/>
      <c r="H212" s="334"/>
    </row>
    <row r="213" spans="7:8" s="333" customFormat="1" x14ac:dyDescent="0.25">
      <c r="G213" s="334"/>
      <c r="H213" s="334"/>
    </row>
    <row r="214" spans="7:8" s="333" customFormat="1" x14ac:dyDescent="0.25">
      <c r="G214" s="334"/>
      <c r="H214" s="334"/>
    </row>
    <row r="215" spans="7:8" s="333" customFormat="1" x14ac:dyDescent="0.25">
      <c r="G215" s="334"/>
      <c r="H215" s="334"/>
    </row>
    <row r="216" spans="7:8" s="333" customFormat="1" x14ac:dyDescent="0.25">
      <c r="G216" s="334"/>
      <c r="H216" s="334"/>
    </row>
    <row r="217" spans="7:8" s="333" customFormat="1" x14ac:dyDescent="0.25">
      <c r="G217" s="334"/>
      <c r="H217" s="334"/>
    </row>
    <row r="218" spans="7:8" s="333" customFormat="1" x14ac:dyDescent="0.25">
      <c r="G218" s="334"/>
      <c r="H218" s="334"/>
    </row>
    <row r="219" spans="7:8" s="333" customFormat="1" x14ac:dyDescent="0.25">
      <c r="G219" s="334"/>
      <c r="H219" s="334"/>
    </row>
    <row r="220" spans="7:8" s="333" customFormat="1" x14ac:dyDescent="0.25">
      <c r="G220" s="334"/>
      <c r="H220" s="334"/>
    </row>
    <row r="221" spans="7:8" s="333" customFormat="1" x14ac:dyDescent="0.25">
      <c r="G221" s="334"/>
      <c r="H221" s="334"/>
    </row>
    <row r="222" spans="7:8" s="333" customFormat="1" x14ac:dyDescent="0.25">
      <c r="G222" s="334"/>
      <c r="H222" s="334"/>
    </row>
    <row r="223" spans="7:8" s="333" customFormat="1" x14ac:dyDescent="0.25">
      <c r="G223" s="334"/>
      <c r="H223" s="334"/>
    </row>
    <row r="224" spans="7:8" s="333" customFormat="1" x14ac:dyDescent="0.25">
      <c r="G224" s="334"/>
      <c r="H224" s="334"/>
    </row>
    <row r="225" spans="7:8" s="333" customFormat="1" x14ac:dyDescent="0.25">
      <c r="G225" s="334"/>
      <c r="H225" s="334"/>
    </row>
    <row r="226" spans="7:8" s="333" customFormat="1" x14ac:dyDescent="0.25">
      <c r="G226" s="334"/>
      <c r="H226" s="334"/>
    </row>
    <row r="227" spans="7:8" s="333" customFormat="1" x14ac:dyDescent="0.25">
      <c r="G227" s="334"/>
      <c r="H227" s="334"/>
    </row>
    <row r="228" spans="7:8" s="333" customFormat="1" x14ac:dyDescent="0.25">
      <c r="G228" s="334"/>
      <c r="H228" s="334"/>
    </row>
    <row r="229" spans="7:8" s="333" customFormat="1" x14ac:dyDescent="0.25">
      <c r="G229" s="334"/>
      <c r="H229" s="334"/>
    </row>
    <row r="230" spans="7:8" s="333" customFormat="1" x14ac:dyDescent="0.25">
      <c r="G230" s="334"/>
      <c r="H230" s="334"/>
    </row>
    <row r="231" spans="7:8" s="333" customFormat="1" x14ac:dyDescent="0.25">
      <c r="G231" s="334"/>
      <c r="H231" s="334"/>
    </row>
    <row r="232" spans="7:8" s="333" customFormat="1" x14ac:dyDescent="0.25">
      <c r="G232" s="334"/>
      <c r="H232" s="334"/>
    </row>
    <row r="233" spans="7:8" s="333" customFormat="1" x14ac:dyDescent="0.25">
      <c r="G233" s="334"/>
      <c r="H233" s="334"/>
    </row>
    <row r="234" spans="7:8" s="333" customFormat="1" x14ac:dyDescent="0.25">
      <c r="G234" s="334"/>
      <c r="H234" s="334"/>
    </row>
    <row r="235" spans="7:8" s="333" customFormat="1" x14ac:dyDescent="0.25">
      <c r="G235" s="334"/>
      <c r="H235" s="334"/>
    </row>
    <row r="236" spans="7:8" s="333" customFormat="1" x14ac:dyDescent="0.25">
      <c r="G236" s="334"/>
      <c r="H236" s="334"/>
    </row>
    <row r="237" spans="7:8" s="333" customFormat="1" x14ac:dyDescent="0.25">
      <c r="G237" s="334"/>
      <c r="H237" s="334"/>
    </row>
    <row r="238" spans="7:8" s="333" customFormat="1" x14ac:dyDescent="0.25">
      <c r="G238" s="334"/>
      <c r="H238" s="334"/>
    </row>
    <row r="239" spans="7:8" s="333" customFormat="1" x14ac:dyDescent="0.25">
      <c r="G239" s="334"/>
      <c r="H239" s="334"/>
    </row>
    <row r="240" spans="7:8" s="333" customFormat="1" x14ac:dyDescent="0.25">
      <c r="G240" s="334"/>
      <c r="H240" s="334"/>
    </row>
    <row r="241" spans="7:8" s="333" customFormat="1" x14ac:dyDescent="0.25">
      <c r="G241" s="334"/>
      <c r="H241" s="334"/>
    </row>
    <row r="242" spans="7:8" s="333" customFormat="1" x14ac:dyDescent="0.25">
      <c r="G242" s="334"/>
      <c r="H242" s="334"/>
    </row>
    <row r="243" spans="7:8" s="333" customFormat="1" x14ac:dyDescent="0.25">
      <c r="G243" s="334"/>
      <c r="H243" s="334"/>
    </row>
    <row r="244" spans="7:8" s="333" customFormat="1" x14ac:dyDescent="0.25">
      <c r="G244" s="334"/>
      <c r="H244" s="334"/>
    </row>
    <row r="245" spans="7:8" s="333" customFormat="1" x14ac:dyDescent="0.25">
      <c r="G245" s="334"/>
      <c r="H245" s="334"/>
    </row>
    <row r="246" spans="7:8" s="333" customFormat="1" x14ac:dyDescent="0.25">
      <c r="G246" s="334"/>
      <c r="H246" s="334"/>
    </row>
    <row r="247" spans="7:8" s="333" customFormat="1" x14ac:dyDescent="0.25">
      <c r="G247" s="334"/>
      <c r="H247" s="334"/>
    </row>
    <row r="248" spans="7:8" s="333" customFormat="1" x14ac:dyDescent="0.25">
      <c r="G248" s="334"/>
      <c r="H248" s="334"/>
    </row>
    <row r="249" spans="7:8" s="333" customFormat="1" x14ac:dyDescent="0.25">
      <c r="G249" s="334"/>
      <c r="H249" s="334"/>
    </row>
    <row r="250" spans="7:8" s="333" customFormat="1" x14ac:dyDescent="0.25">
      <c r="G250" s="334"/>
      <c r="H250" s="334"/>
    </row>
    <row r="251" spans="7:8" s="333" customFormat="1" x14ac:dyDescent="0.25">
      <c r="G251" s="334"/>
      <c r="H251" s="334"/>
    </row>
    <row r="252" spans="7:8" s="333" customFormat="1" x14ac:dyDescent="0.25">
      <c r="G252" s="334"/>
      <c r="H252" s="334"/>
    </row>
    <row r="253" spans="7:8" s="333" customFormat="1" x14ac:dyDescent="0.25">
      <c r="G253" s="334"/>
      <c r="H253" s="334"/>
    </row>
    <row r="254" spans="7:8" s="333" customFormat="1" x14ac:dyDescent="0.25">
      <c r="G254" s="334"/>
      <c r="H254" s="334"/>
    </row>
    <row r="255" spans="7:8" s="333" customFormat="1" x14ac:dyDescent="0.25">
      <c r="G255" s="334"/>
      <c r="H255" s="334"/>
    </row>
    <row r="256" spans="7:8" s="333" customFormat="1" x14ac:dyDescent="0.25">
      <c r="G256" s="334"/>
      <c r="H256" s="334"/>
    </row>
    <row r="257" spans="7:8" s="333" customFormat="1" x14ac:dyDescent="0.25">
      <c r="G257" s="334"/>
      <c r="H257" s="334"/>
    </row>
    <row r="258" spans="7:8" s="333" customFormat="1" x14ac:dyDescent="0.25">
      <c r="G258" s="334"/>
      <c r="H258" s="334"/>
    </row>
    <row r="259" spans="7:8" s="333" customFormat="1" x14ac:dyDescent="0.25">
      <c r="G259" s="334"/>
      <c r="H259" s="334"/>
    </row>
    <row r="260" spans="7:8" s="333" customFormat="1" x14ac:dyDescent="0.25">
      <c r="G260" s="334"/>
      <c r="H260" s="334"/>
    </row>
    <row r="261" spans="7:8" s="333" customFormat="1" x14ac:dyDescent="0.25">
      <c r="G261" s="334"/>
      <c r="H261" s="334"/>
    </row>
    <row r="262" spans="7:8" s="333" customFormat="1" x14ac:dyDescent="0.25">
      <c r="G262" s="334"/>
      <c r="H262" s="334"/>
    </row>
    <row r="263" spans="7:8" s="333" customFormat="1" x14ac:dyDescent="0.25">
      <c r="G263" s="334"/>
      <c r="H263" s="334"/>
    </row>
    <row r="264" spans="7:8" s="333" customFormat="1" x14ac:dyDescent="0.25">
      <c r="G264" s="334"/>
      <c r="H264" s="334"/>
    </row>
    <row r="265" spans="7:8" s="333" customFormat="1" x14ac:dyDescent="0.25">
      <c r="G265" s="334"/>
      <c r="H265" s="334"/>
    </row>
    <row r="266" spans="7:8" s="333" customFormat="1" x14ac:dyDescent="0.25">
      <c r="G266" s="334"/>
      <c r="H266" s="334"/>
    </row>
    <row r="267" spans="7:8" s="333" customFormat="1" x14ac:dyDescent="0.25">
      <c r="G267" s="334"/>
      <c r="H267" s="334"/>
    </row>
    <row r="268" spans="7:8" s="333" customFormat="1" x14ac:dyDescent="0.25">
      <c r="G268" s="334"/>
      <c r="H268" s="334"/>
    </row>
    <row r="269" spans="7:8" s="333" customFormat="1" x14ac:dyDescent="0.25">
      <c r="G269" s="334"/>
      <c r="H269" s="334"/>
    </row>
    <row r="270" spans="7:8" s="333" customFormat="1" x14ac:dyDescent="0.25">
      <c r="G270" s="334"/>
      <c r="H270" s="334"/>
    </row>
    <row r="271" spans="7:8" s="333" customFormat="1" x14ac:dyDescent="0.25">
      <c r="G271" s="334"/>
      <c r="H271" s="334"/>
    </row>
    <row r="272" spans="7:8" s="333" customFormat="1" x14ac:dyDescent="0.25">
      <c r="G272" s="334"/>
      <c r="H272" s="334"/>
    </row>
    <row r="273" spans="7:8" s="333" customFormat="1" x14ac:dyDescent="0.25">
      <c r="G273" s="334"/>
      <c r="H273" s="334"/>
    </row>
    <row r="274" spans="7:8" s="333" customFormat="1" x14ac:dyDescent="0.25">
      <c r="G274" s="334"/>
      <c r="H274" s="334"/>
    </row>
    <row r="275" spans="7:8" s="333" customFormat="1" x14ac:dyDescent="0.25">
      <c r="G275" s="334"/>
      <c r="H275" s="334"/>
    </row>
    <row r="276" spans="7:8" s="333" customFormat="1" x14ac:dyDescent="0.25">
      <c r="G276" s="334"/>
      <c r="H276" s="334"/>
    </row>
    <row r="277" spans="7:8" s="333" customFormat="1" x14ac:dyDescent="0.25">
      <c r="G277" s="334"/>
      <c r="H277" s="334"/>
    </row>
    <row r="278" spans="7:8" s="333" customFormat="1" x14ac:dyDescent="0.25">
      <c r="G278" s="334"/>
      <c r="H278" s="334"/>
    </row>
    <row r="279" spans="7:8" s="333" customFormat="1" x14ac:dyDescent="0.25">
      <c r="G279" s="334"/>
      <c r="H279" s="334"/>
    </row>
    <row r="280" spans="7:8" s="333" customFormat="1" x14ac:dyDescent="0.25">
      <c r="G280" s="334"/>
      <c r="H280" s="334"/>
    </row>
    <row r="281" spans="7:8" s="333" customFormat="1" x14ac:dyDescent="0.25">
      <c r="G281" s="334"/>
      <c r="H281" s="334"/>
    </row>
    <row r="282" spans="7:8" s="333" customFormat="1" x14ac:dyDescent="0.25">
      <c r="G282" s="334"/>
      <c r="H282" s="334"/>
    </row>
    <row r="283" spans="7:8" s="333" customFormat="1" x14ac:dyDescent="0.25">
      <c r="G283" s="334"/>
      <c r="H283" s="334"/>
    </row>
    <row r="284" spans="7:8" s="333" customFormat="1" x14ac:dyDescent="0.25">
      <c r="G284" s="334"/>
      <c r="H284" s="334"/>
    </row>
    <row r="285" spans="7:8" s="333" customFormat="1" x14ac:dyDescent="0.25">
      <c r="G285" s="334"/>
      <c r="H285" s="334"/>
    </row>
    <row r="286" spans="7:8" s="333" customFormat="1" x14ac:dyDescent="0.25">
      <c r="G286" s="334"/>
      <c r="H286" s="334"/>
    </row>
    <row r="287" spans="7:8" s="333" customFormat="1" x14ac:dyDescent="0.25">
      <c r="G287" s="334"/>
      <c r="H287" s="334"/>
    </row>
    <row r="288" spans="7:8" s="333" customFormat="1" x14ac:dyDescent="0.25">
      <c r="G288" s="334"/>
      <c r="H288" s="334"/>
    </row>
    <row r="289" spans="7:8" s="333" customFormat="1" x14ac:dyDescent="0.25">
      <c r="G289" s="334"/>
      <c r="H289" s="334"/>
    </row>
    <row r="290" spans="7:8" s="333" customFormat="1" x14ac:dyDescent="0.25">
      <c r="G290" s="334"/>
      <c r="H290" s="334"/>
    </row>
    <row r="291" spans="7:8" s="333" customFormat="1" x14ac:dyDescent="0.25">
      <c r="G291" s="334"/>
      <c r="H291" s="334"/>
    </row>
    <row r="292" spans="7:8" s="333" customFormat="1" x14ac:dyDescent="0.25">
      <c r="G292" s="334"/>
      <c r="H292" s="334"/>
    </row>
    <row r="293" spans="7:8" s="333" customFormat="1" x14ac:dyDescent="0.25">
      <c r="G293" s="334"/>
      <c r="H293" s="334"/>
    </row>
    <row r="294" spans="7:8" s="333" customFormat="1" x14ac:dyDescent="0.25">
      <c r="G294" s="334"/>
      <c r="H294" s="334"/>
    </row>
    <row r="295" spans="7:8" s="333" customFormat="1" x14ac:dyDescent="0.25">
      <c r="G295" s="334"/>
      <c r="H295" s="334"/>
    </row>
    <row r="296" spans="7:8" s="333" customFormat="1" x14ac:dyDescent="0.25">
      <c r="G296" s="334"/>
      <c r="H296" s="334"/>
    </row>
    <row r="297" spans="7:8" s="333" customFormat="1" x14ac:dyDescent="0.25">
      <c r="G297" s="334"/>
      <c r="H297" s="334"/>
    </row>
    <row r="298" spans="7:8" s="333" customFormat="1" x14ac:dyDescent="0.25">
      <c r="G298" s="334"/>
      <c r="H298" s="334"/>
    </row>
    <row r="299" spans="7:8" s="333" customFormat="1" x14ac:dyDescent="0.25">
      <c r="G299" s="334"/>
      <c r="H299" s="334"/>
    </row>
    <row r="300" spans="7:8" s="333" customFormat="1" x14ac:dyDescent="0.25">
      <c r="G300" s="334"/>
      <c r="H300" s="334"/>
    </row>
    <row r="301" spans="7:8" s="333" customFormat="1" x14ac:dyDescent="0.25">
      <c r="G301" s="334"/>
      <c r="H301" s="334"/>
    </row>
    <row r="302" spans="7:8" s="333" customFormat="1" x14ac:dyDescent="0.25">
      <c r="G302" s="334"/>
      <c r="H302" s="334"/>
    </row>
    <row r="303" spans="7:8" s="333" customFormat="1" x14ac:dyDescent="0.25">
      <c r="G303" s="334"/>
      <c r="H303" s="334"/>
    </row>
    <row r="304" spans="7:8" s="333" customFormat="1" x14ac:dyDescent="0.25">
      <c r="G304" s="334"/>
      <c r="H304" s="334"/>
    </row>
    <row r="305" spans="7:8" s="333" customFormat="1" x14ac:dyDescent="0.25">
      <c r="G305" s="334"/>
      <c r="H305" s="334"/>
    </row>
    <row r="306" spans="7:8" s="333" customFormat="1" x14ac:dyDescent="0.25">
      <c r="G306" s="334"/>
      <c r="H306" s="334"/>
    </row>
    <row r="307" spans="7:8" s="333" customFormat="1" x14ac:dyDescent="0.25">
      <c r="G307" s="334"/>
      <c r="H307" s="334"/>
    </row>
    <row r="308" spans="7:8" s="333" customFormat="1" x14ac:dyDescent="0.25">
      <c r="G308" s="334"/>
      <c r="H308" s="334"/>
    </row>
    <row r="309" spans="7:8" s="333" customFormat="1" x14ac:dyDescent="0.25">
      <c r="G309" s="334"/>
      <c r="H309" s="334"/>
    </row>
    <row r="310" spans="7:8" s="333" customFormat="1" x14ac:dyDescent="0.25">
      <c r="G310" s="334"/>
      <c r="H310" s="334"/>
    </row>
    <row r="311" spans="7:8" s="333" customFormat="1" x14ac:dyDescent="0.25">
      <c r="G311" s="334"/>
      <c r="H311" s="334"/>
    </row>
    <row r="312" spans="7:8" s="333" customFormat="1" x14ac:dyDescent="0.25">
      <c r="G312" s="334"/>
      <c r="H312" s="334"/>
    </row>
    <row r="313" spans="7:8" s="333" customFormat="1" x14ac:dyDescent="0.25">
      <c r="G313" s="334"/>
      <c r="H313" s="334"/>
    </row>
    <row r="314" spans="7:8" s="333" customFormat="1" x14ac:dyDescent="0.25">
      <c r="G314" s="334"/>
      <c r="H314" s="334"/>
    </row>
    <row r="315" spans="7:8" s="333" customFormat="1" x14ac:dyDescent="0.25">
      <c r="G315" s="334"/>
      <c r="H315" s="334"/>
    </row>
    <row r="316" spans="7:8" s="333" customFormat="1" x14ac:dyDescent="0.25">
      <c r="G316" s="334"/>
      <c r="H316" s="334"/>
    </row>
    <row r="317" spans="7:8" s="333" customFormat="1" x14ac:dyDescent="0.25">
      <c r="G317" s="334"/>
      <c r="H317" s="334"/>
    </row>
    <row r="318" spans="7:8" s="333" customFormat="1" x14ac:dyDescent="0.25">
      <c r="G318" s="334"/>
      <c r="H318" s="334"/>
    </row>
    <row r="319" spans="7:8" s="333" customFormat="1" x14ac:dyDescent="0.25">
      <c r="G319" s="334"/>
      <c r="H319" s="334"/>
    </row>
    <row r="320" spans="7:8" s="333" customFormat="1" x14ac:dyDescent="0.25">
      <c r="G320" s="334"/>
      <c r="H320" s="334"/>
    </row>
    <row r="321" spans="7:8" s="333" customFormat="1" x14ac:dyDescent="0.25">
      <c r="G321" s="334"/>
      <c r="H321" s="334"/>
    </row>
    <row r="322" spans="7:8" s="333" customFormat="1" x14ac:dyDescent="0.25">
      <c r="G322" s="334"/>
      <c r="H322" s="334"/>
    </row>
    <row r="323" spans="7:8" s="333" customFormat="1" x14ac:dyDescent="0.25">
      <c r="G323" s="334"/>
      <c r="H323" s="334"/>
    </row>
    <row r="324" spans="7:8" s="333" customFormat="1" x14ac:dyDescent="0.25">
      <c r="G324" s="334"/>
      <c r="H324" s="334"/>
    </row>
    <row r="325" spans="7:8" s="333" customFormat="1" x14ac:dyDescent="0.25">
      <c r="G325" s="334"/>
      <c r="H325" s="334"/>
    </row>
    <row r="326" spans="7:8" s="333" customFormat="1" x14ac:dyDescent="0.25">
      <c r="G326" s="334"/>
      <c r="H326" s="334"/>
    </row>
    <row r="327" spans="7:8" s="333" customFormat="1" x14ac:dyDescent="0.25">
      <c r="G327" s="334"/>
      <c r="H327" s="334"/>
    </row>
    <row r="328" spans="7:8" s="333" customFormat="1" x14ac:dyDescent="0.25">
      <c r="G328" s="334"/>
      <c r="H328" s="334"/>
    </row>
    <row r="329" spans="7:8" s="333" customFormat="1" x14ac:dyDescent="0.25">
      <c r="G329" s="334"/>
      <c r="H329" s="334"/>
    </row>
    <row r="330" spans="7:8" s="333" customFormat="1" x14ac:dyDescent="0.25">
      <c r="G330" s="334"/>
      <c r="H330" s="334"/>
    </row>
    <row r="331" spans="7:8" s="333" customFormat="1" x14ac:dyDescent="0.25">
      <c r="G331" s="334"/>
      <c r="H331" s="334"/>
    </row>
    <row r="332" spans="7:8" s="333" customFormat="1" x14ac:dyDescent="0.25">
      <c r="G332" s="334"/>
      <c r="H332" s="334"/>
    </row>
    <row r="333" spans="7:8" s="333" customFormat="1" x14ac:dyDescent="0.25">
      <c r="G333" s="334"/>
      <c r="H333" s="334"/>
    </row>
    <row r="334" spans="7:8" s="333" customFormat="1" x14ac:dyDescent="0.25">
      <c r="G334" s="334"/>
      <c r="H334" s="334"/>
    </row>
    <row r="335" spans="7:8" s="333" customFormat="1" x14ac:dyDescent="0.25">
      <c r="G335" s="334"/>
      <c r="H335" s="334"/>
    </row>
    <row r="336" spans="7:8" s="333" customFormat="1" x14ac:dyDescent="0.25">
      <c r="G336" s="334"/>
      <c r="H336" s="334"/>
    </row>
    <row r="337" spans="7:8" s="333" customFormat="1" x14ac:dyDescent="0.25">
      <c r="G337" s="334"/>
      <c r="H337" s="334"/>
    </row>
    <row r="338" spans="7:8" s="333" customFormat="1" x14ac:dyDescent="0.25">
      <c r="G338" s="334"/>
      <c r="H338" s="334"/>
    </row>
    <row r="339" spans="7:8" s="333" customFormat="1" x14ac:dyDescent="0.25">
      <c r="G339" s="334"/>
      <c r="H339" s="334"/>
    </row>
    <row r="340" spans="7:8" s="333" customFormat="1" x14ac:dyDescent="0.25">
      <c r="G340" s="334"/>
      <c r="H340" s="334"/>
    </row>
    <row r="341" spans="7:8" s="333" customFormat="1" x14ac:dyDescent="0.25">
      <c r="G341" s="334"/>
      <c r="H341" s="334"/>
    </row>
    <row r="342" spans="7:8" s="333" customFormat="1" x14ac:dyDescent="0.25">
      <c r="G342" s="334"/>
      <c r="H342" s="334"/>
    </row>
    <row r="343" spans="7:8" s="333" customFormat="1" x14ac:dyDescent="0.25">
      <c r="G343" s="334"/>
      <c r="H343" s="334"/>
    </row>
    <row r="344" spans="7:8" s="333" customFormat="1" x14ac:dyDescent="0.25">
      <c r="G344" s="334"/>
      <c r="H344" s="334"/>
    </row>
    <row r="345" spans="7:8" s="333" customFormat="1" x14ac:dyDescent="0.25">
      <c r="G345" s="334"/>
      <c r="H345" s="334"/>
    </row>
    <row r="346" spans="7:8" s="333" customFormat="1" x14ac:dyDescent="0.25">
      <c r="G346" s="334"/>
      <c r="H346" s="334"/>
    </row>
    <row r="347" spans="7:8" s="333" customFormat="1" x14ac:dyDescent="0.25">
      <c r="G347" s="334"/>
      <c r="H347" s="334"/>
    </row>
    <row r="348" spans="7:8" s="333" customFormat="1" x14ac:dyDescent="0.25">
      <c r="G348" s="334"/>
      <c r="H348" s="334"/>
    </row>
    <row r="349" spans="7:8" s="333" customFormat="1" x14ac:dyDescent="0.25">
      <c r="G349" s="334"/>
      <c r="H349" s="334"/>
    </row>
    <row r="350" spans="7:8" s="333" customFormat="1" x14ac:dyDescent="0.25">
      <c r="G350" s="334"/>
      <c r="H350" s="334"/>
    </row>
    <row r="351" spans="7:8" s="333" customFormat="1" x14ac:dyDescent="0.25">
      <c r="G351" s="334"/>
      <c r="H351" s="334"/>
    </row>
    <row r="352" spans="7:8" s="333" customFormat="1" x14ac:dyDescent="0.25">
      <c r="G352" s="334"/>
      <c r="H352" s="334"/>
    </row>
    <row r="353" spans="7:8" s="333" customFormat="1" x14ac:dyDescent="0.25">
      <c r="G353" s="334"/>
      <c r="H353" s="334"/>
    </row>
    <row r="354" spans="7:8" s="333" customFormat="1" x14ac:dyDescent="0.25">
      <c r="G354" s="334"/>
      <c r="H354" s="334"/>
    </row>
    <row r="355" spans="7:8" s="333" customFormat="1" x14ac:dyDescent="0.25">
      <c r="G355" s="334"/>
      <c r="H355" s="334"/>
    </row>
    <row r="356" spans="7:8" s="333" customFormat="1" x14ac:dyDescent="0.25">
      <c r="G356" s="334"/>
      <c r="H356" s="334"/>
    </row>
    <row r="357" spans="7:8" s="333" customFormat="1" x14ac:dyDescent="0.25">
      <c r="G357" s="334"/>
      <c r="H357" s="334"/>
    </row>
    <row r="358" spans="7:8" s="333" customFormat="1" x14ac:dyDescent="0.25">
      <c r="G358" s="334"/>
      <c r="H358" s="334"/>
    </row>
    <row r="359" spans="7:8" s="333" customFormat="1" x14ac:dyDescent="0.25">
      <c r="G359" s="334"/>
      <c r="H359" s="334"/>
    </row>
    <row r="360" spans="7:8" s="333" customFormat="1" x14ac:dyDescent="0.25">
      <c r="G360" s="334"/>
      <c r="H360" s="334"/>
    </row>
    <row r="361" spans="7:8" s="333" customFormat="1" x14ac:dyDescent="0.25">
      <c r="G361" s="334"/>
      <c r="H361" s="334"/>
    </row>
    <row r="362" spans="7:8" s="333" customFormat="1" x14ac:dyDescent="0.25">
      <c r="G362" s="334"/>
      <c r="H362" s="334"/>
    </row>
    <row r="363" spans="7:8" s="333" customFormat="1" x14ac:dyDescent="0.25">
      <c r="G363" s="334"/>
      <c r="H363" s="334"/>
    </row>
    <row r="364" spans="7:8" s="333" customFormat="1" x14ac:dyDescent="0.25">
      <c r="G364" s="334"/>
      <c r="H364" s="334"/>
    </row>
    <row r="365" spans="7:8" s="333" customFormat="1" x14ac:dyDescent="0.25">
      <c r="G365" s="334"/>
      <c r="H365" s="334"/>
    </row>
    <row r="366" spans="7:8" s="333" customFormat="1" x14ac:dyDescent="0.25">
      <c r="G366" s="334"/>
      <c r="H366" s="334"/>
    </row>
    <row r="367" spans="7:8" s="333" customFormat="1" x14ac:dyDescent="0.25">
      <c r="G367" s="334"/>
      <c r="H367" s="334"/>
    </row>
    <row r="368" spans="7:8" s="333" customFormat="1" x14ac:dyDescent="0.25">
      <c r="G368" s="334"/>
      <c r="H368" s="334"/>
    </row>
    <row r="369" spans="7:8" s="333" customFormat="1" x14ac:dyDescent="0.25">
      <c r="G369" s="334"/>
      <c r="H369" s="334"/>
    </row>
    <row r="370" spans="7:8" s="333" customFormat="1" x14ac:dyDescent="0.25">
      <c r="G370" s="334"/>
      <c r="H370" s="334"/>
    </row>
    <row r="371" spans="7:8" s="333" customFormat="1" x14ac:dyDescent="0.25">
      <c r="G371" s="334"/>
      <c r="H371" s="334"/>
    </row>
    <row r="372" spans="7:8" s="333" customFormat="1" x14ac:dyDescent="0.25">
      <c r="G372" s="334"/>
      <c r="H372" s="334"/>
    </row>
    <row r="373" spans="7:8" s="333" customFormat="1" x14ac:dyDescent="0.25">
      <c r="G373" s="334"/>
      <c r="H373" s="334"/>
    </row>
    <row r="374" spans="7:8" s="333" customFormat="1" x14ac:dyDescent="0.25">
      <c r="G374" s="334"/>
      <c r="H374" s="334"/>
    </row>
    <row r="375" spans="7:8" s="333" customFormat="1" x14ac:dyDescent="0.25">
      <c r="G375" s="334"/>
      <c r="H375" s="334"/>
    </row>
    <row r="376" spans="7:8" s="333" customFormat="1" x14ac:dyDescent="0.25">
      <c r="G376" s="334"/>
      <c r="H376" s="334"/>
    </row>
    <row r="377" spans="7:8" s="333" customFormat="1" x14ac:dyDescent="0.25">
      <c r="G377" s="334"/>
      <c r="H377" s="334"/>
    </row>
    <row r="378" spans="7:8" s="333" customFormat="1" x14ac:dyDescent="0.25">
      <c r="G378" s="334"/>
      <c r="H378" s="334"/>
    </row>
    <row r="379" spans="7:8" s="333" customFormat="1" x14ac:dyDescent="0.25">
      <c r="G379" s="334"/>
      <c r="H379" s="334"/>
    </row>
    <row r="380" spans="7:8" s="333" customFormat="1" x14ac:dyDescent="0.25">
      <c r="G380" s="334"/>
      <c r="H380" s="334"/>
    </row>
    <row r="381" spans="7:8" s="333" customFormat="1" x14ac:dyDescent="0.25">
      <c r="G381" s="334"/>
      <c r="H381" s="334"/>
    </row>
    <row r="382" spans="7:8" s="333" customFormat="1" x14ac:dyDescent="0.25">
      <c r="G382" s="334"/>
      <c r="H382" s="334"/>
    </row>
    <row r="383" spans="7:8" s="333" customFormat="1" x14ac:dyDescent="0.25">
      <c r="G383" s="334"/>
      <c r="H383" s="334"/>
    </row>
    <row r="384" spans="7:8" s="333" customFormat="1" x14ac:dyDescent="0.25">
      <c r="G384" s="334"/>
      <c r="H384" s="334"/>
    </row>
    <row r="385" spans="7:8" s="333" customFormat="1" x14ac:dyDescent="0.25">
      <c r="G385" s="334"/>
      <c r="H385" s="334"/>
    </row>
    <row r="386" spans="7:8" s="333" customFormat="1" x14ac:dyDescent="0.25">
      <c r="G386" s="334"/>
      <c r="H386" s="334"/>
    </row>
    <row r="387" spans="7:8" s="333" customFormat="1" x14ac:dyDescent="0.25">
      <c r="G387" s="334"/>
      <c r="H387" s="334"/>
    </row>
    <row r="388" spans="7:8" s="333" customFormat="1" x14ac:dyDescent="0.25">
      <c r="G388" s="334"/>
      <c r="H388" s="334"/>
    </row>
    <row r="389" spans="7:8" s="333" customFormat="1" x14ac:dyDescent="0.25">
      <c r="G389" s="334"/>
      <c r="H389" s="334"/>
    </row>
    <row r="390" spans="7:8" s="333" customFormat="1" x14ac:dyDescent="0.25">
      <c r="G390" s="334"/>
      <c r="H390" s="334"/>
    </row>
    <row r="391" spans="7:8" s="333" customFormat="1" x14ac:dyDescent="0.25">
      <c r="G391" s="334"/>
      <c r="H391" s="334"/>
    </row>
    <row r="392" spans="7:8" s="333" customFormat="1" x14ac:dyDescent="0.25">
      <c r="G392" s="334"/>
      <c r="H392" s="334"/>
    </row>
    <row r="393" spans="7:8" s="333" customFormat="1" x14ac:dyDescent="0.25">
      <c r="G393" s="334"/>
      <c r="H393" s="334"/>
    </row>
    <row r="394" spans="7:8" s="333" customFormat="1" x14ac:dyDescent="0.25">
      <c r="G394" s="334"/>
      <c r="H394" s="334"/>
    </row>
    <row r="395" spans="7:8" s="333" customFormat="1" x14ac:dyDescent="0.25">
      <c r="G395" s="334"/>
      <c r="H395" s="334"/>
    </row>
    <row r="396" spans="7:8" s="333" customFormat="1" x14ac:dyDescent="0.25">
      <c r="G396" s="334"/>
      <c r="H396" s="334"/>
    </row>
    <row r="397" spans="7:8" s="333" customFormat="1" x14ac:dyDescent="0.25">
      <c r="G397" s="334"/>
      <c r="H397" s="334"/>
    </row>
    <row r="398" spans="7:8" s="333" customFormat="1" x14ac:dyDescent="0.25">
      <c r="G398" s="334"/>
      <c r="H398" s="334"/>
    </row>
    <row r="399" spans="7:8" s="333" customFormat="1" x14ac:dyDescent="0.25">
      <c r="G399" s="334"/>
      <c r="H399" s="334"/>
    </row>
    <row r="400" spans="7:8" s="333" customFormat="1" x14ac:dyDescent="0.25">
      <c r="G400" s="334"/>
      <c r="H400" s="334"/>
    </row>
    <row r="401" spans="7:8" s="333" customFormat="1" x14ac:dyDescent="0.25">
      <c r="G401" s="334"/>
      <c r="H401" s="334"/>
    </row>
    <row r="402" spans="7:8" s="333" customFormat="1" x14ac:dyDescent="0.25">
      <c r="G402" s="334"/>
      <c r="H402" s="334"/>
    </row>
    <row r="403" spans="7:8" s="333" customFormat="1" x14ac:dyDescent="0.25">
      <c r="G403" s="334"/>
      <c r="H403" s="334"/>
    </row>
    <row r="404" spans="7:8" s="333" customFormat="1" x14ac:dyDescent="0.25">
      <c r="G404" s="334"/>
      <c r="H404" s="334"/>
    </row>
    <row r="405" spans="7:8" s="333" customFormat="1" x14ac:dyDescent="0.25">
      <c r="G405" s="334"/>
      <c r="H405" s="334"/>
    </row>
    <row r="406" spans="7:8" s="333" customFormat="1" x14ac:dyDescent="0.25">
      <c r="G406" s="334"/>
      <c r="H406" s="334"/>
    </row>
    <row r="407" spans="7:8" s="333" customFormat="1" x14ac:dyDescent="0.25">
      <c r="G407" s="334"/>
      <c r="H407" s="334"/>
    </row>
    <row r="408" spans="7:8" s="333" customFormat="1" x14ac:dyDescent="0.25">
      <c r="G408" s="334"/>
      <c r="H408" s="334"/>
    </row>
    <row r="409" spans="7:8" s="333" customFormat="1" x14ac:dyDescent="0.25">
      <c r="G409" s="334"/>
      <c r="H409" s="334"/>
    </row>
    <row r="410" spans="7:8" s="333" customFormat="1" x14ac:dyDescent="0.25">
      <c r="G410" s="334"/>
      <c r="H410" s="334"/>
    </row>
    <row r="411" spans="7:8" s="333" customFormat="1" x14ac:dyDescent="0.25">
      <c r="G411" s="334"/>
      <c r="H411" s="334"/>
    </row>
    <row r="412" spans="7:8" s="333" customFormat="1" x14ac:dyDescent="0.25">
      <c r="G412" s="334"/>
      <c r="H412" s="334"/>
    </row>
    <row r="413" spans="7:8" s="333" customFormat="1" x14ac:dyDescent="0.25">
      <c r="G413" s="334"/>
      <c r="H413" s="334"/>
    </row>
    <row r="414" spans="7:8" s="333" customFormat="1" x14ac:dyDescent="0.25">
      <c r="G414" s="334"/>
      <c r="H414" s="334"/>
    </row>
    <row r="415" spans="7:8" s="333" customFormat="1" x14ac:dyDescent="0.25">
      <c r="G415" s="334"/>
      <c r="H415" s="334"/>
    </row>
    <row r="416" spans="7:8" s="333" customFormat="1" x14ac:dyDescent="0.25">
      <c r="G416" s="334"/>
      <c r="H416" s="334"/>
    </row>
    <row r="417" spans="7:8" s="333" customFormat="1" x14ac:dyDescent="0.25">
      <c r="G417" s="334"/>
      <c r="H417" s="334"/>
    </row>
    <row r="418" spans="7:8" s="333" customFormat="1" x14ac:dyDescent="0.25">
      <c r="G418" s="334"/>
      <c r="H418" s="334"/>
    </row>
    <row r="419" spans="7:8" s="333" customFormat="1" x14ac:dyDescent="0.25">
      <c r="G419" s="334"/>
      <c r="H419" s="334"/>
    </row>
    <row r="420" spans="7:8" s="333" customFormat="1" x14ac:dyDescent="0.25">
      <c r="G420" s="334"/>
      <c r="H420" s="334"/>
    </row>
    <row r="421" spans="7:8" s="333" customFormat="1" x14ac:dyDescent="0.25">
      <c r="G421" s="334"/>
      <c r="H421" s="334"/>
    </row>
    <row r="422" spans="7:8" s="333" customFormat="1" x14ac:dyDescent="0.25">
      <c r="G422" s="334"/>
      <c r="H422" s="334"/>
    </row>
    <row r="423" spans="7:8" s="333" customFormat="1" x14ac:dyDescent="0.25">
      <c r="G423" s="334"/>
      <c r="H423" s="334"/>
    </row>
    <row r="424" spans="7:8" s="333" customFormat="1" x14ac:dyDescent="0.25">
      <c r="G424" s="334"/>
      <c r="H424" s="334"/>
    </row>
    <row r="425" spans="7:8" s="333" customFormat="1" x14ac:dyDescent="0.25">
      <c r="G425" s="334"/>
      <c r="H425" s="334"/>
    </row>
    <row r="426" spans="7:8" s="333" customFormat="1" x14ac:dyDescent="0.25">
      <c r="G426" s="334"/>
      <c r="H426" s="334"/>
    </row>
    <row r="427" spans="7:8" s="333" customFormat="1" x14ac:dyDescent="0.25">
      <c r="G427" s="334"/>
      <c r="H427" s="334"/>
    </row>
    <row r="428" spans="7:8" s="333" customFormat="1" x14ac:dyDescent="0.25">
      <c r="G428" s="334"/>
      <c r="H428" s="334"/>
    </row>
    <row r="429" spans="7:8" s="333" customFormat="1" x14ac:dyDescent="0.25">
      <c r="G429" s="334"/>
      <c r="H429" s="334"/>
    </row>
    <row r="430" spans="7:8" s="333" customFormat="1" x14ac:dyDescent="0.25">
      <c r="G430" s="334"/>
      <c r="H430" s="334"/>
    </row>
    <row r="431" spans="7:8" s="333" customFormat="1" x14ac:dyDescent="0.25">
      <c r="G431" s="334"/>
      <c r="H431" s="334"/>
    </row>
    <row r="432" spans="7:8" s="333" customFormat="1" x14ac:dyDescent="0.25">
      <c r="G432" s="334"/>
      <c r="H432" s="334"/>
    </row>
    <row r="433" spans="7:8" s="333" customFormat="1" x14ac:dyDescent="0.25">
      <c r="G433" s="334"/>
      <c r="H433" s="334"/>
    </row>
    <row r="434" spans="7:8" s="333" customFormat="1" x14ac:dyDescent="0.25">
      <c r="G434" s="334"/>
      <c r="H434" s="334"/>
    </row>
    <row r="435" spans="7:8" s="333" customFormat="1" x14ac:dyDescent="0.25">
      <c r="G435" s="334"/>
      <c r="H435" s="334"/>
    </row>
    <row r="436" spans="7:8" s="333" customFormat="1" x14ac:dyDescent="0.25">
      <c r="G436" s="334"/>
      <c r="H436" s="334"/>
    </row>
    <row r="437" spans="7:8" s="333" customFormat="1" x14ac:dyDescent="0.25">
      <c r="G437" s="334"/>
      <c r="H437" s="334"/>
    </row>
    <row r="438" spans="7:8" s="333" customFormat="1" x14ac:dyDescent="0.25">
      <c r="G438" s="334"/>
      <c r="H438" s="334"/>
    </row>
    <row r="439" spans="7:8" s="333" customFormat="1" x14ac:dyDescent="0.25">
      <c r="G439" s="334"/>
      <c r="H439" s="334"/>
    </row>
    <row r="440" spans="7:8" s="333" customFormat="1" x14ac:dyDescent="0.25">
      <c r="G440" s="334"/>
      <c r="H440" s="334"/>
    </row>
    <row r="441" spans="7:8" s="333" customFormat="1" x14ac:dyDescent="0.25">
      <c r="G441" s="334"/>
      <c r="H441" s="334"/>
    </row>
    <row r="442" spans="7:8" s="333" customFormat="1" x14ac:dyDescent="0.25">
      <c r="G442" s="334"/>
      <c r="H442" s="334"/>
    </row>
    <row r="443" spans="7:8" s="333" customFormat="1" x14ac:dyDescent="0.25">
      <c r="G443" s="334"/>
      <c r="H443" s="334"/>
    </row>
    <row r="444" spans="7:8" s="333" customFormat="1" x14ac:dyDescent="0.25">
      <c r="G444" s="334"/>
      <c r="H444" s="334"/>
    </row>
    <row r="445" spans="7:8" s="333" customFormat="1" x14ac:dyDescent="0.25">
      <c r="G445" s="334"/>
      <c r="H445" s="334"/>
    </row>
    <row r="446" spans="7:8" s="333" customFormat="1" x14ac:dyDescent="0.25">
      <c r="G446" s="334"/>
      <c r="H446" s="334"/>
    </row>
    <row r="447" spans="7:8" s="333" customFormat="1" x14ac:dyDescent="0.25">
      <c r="G447" s="334"/>
      <c r="H447" s="334"/>
    </row>
    <row r="448" spans="7:8" s="333" customFormat="1" x14ac:dyDescent="0.25">
      <c r="G448" s="334"/>
      <c r="H448" s="334"/>
    </row>
    <row r="449" spans="7:8" s="333" customFormat="1" x14ac:dyDescent="0.25">
      <c r="G449" s="334"/>
      <c r="H449" s="334"/>
    </row>
    <row r="450" spans="7:8" s="333" customFormat="1" x14ac:dyDescent="0.25">
      <c r="G450" s="334"/>
      <c r="H450" s="334"/>
    </row>
    <row r="451" spans="7:8" s="333" customFormat="1" x14ac:dyDescent="0.25">
      <c r="G451" s="334"/>
      <c r="H451" s="334"/>
    </row>
    <row r="452" spans="7:8" s="333" customFormat="1" x14ac:dyDescent="0.25">
      <c r="G452" s="334"/>
      <c r="H452" s="334"/>
    </row>
    <row r="453" spans="7:8" s="333" customFormat="1" x14ac:dyDescent="0.25">
      <c r="G453" s="334"/>
      <c r="H453" s="334"/>
    </row>
    <row r="454" spans="7:8" s="333" customFormat="1" x14ac:dyDescent="0.25">
      <c r="G454" s="334"/>
      <c r="H454" s="334"/>
    </row>
    <row r="455" spans="7:8" s="333" customFormat="1" x14ac:dyDescent="0.25">
      <c r="G455" s="334"/>
      <c r="H455" s="334"/>
    </row>
    <row r="456" spans="7:8" s="333" customFormat="1" x14ac:dyDescent="0.25">
      <c r="G456" s="334"/>
      <c r="H456" s="334"/>
    </row>
    <row r="457" spans="7:8" s="333" customFormat="1" x14ac:dyDescent="0.25">
      <c r="G457" s="334"/>
      <c r="H457" s="334"/>
    </row>
    <row r="458" spans="7:8" s="333" customFormat="1" x14ac:dyDescent="0.25">
      <c r="G458" s="334"/>
      <c r="H458" s="334"/>
    </row>
    <row r="459" spans="7:8" s="333" customFormat="1" x14ac:dyDescent="0.25">
      <c r="G459" s="334"/>
      <c r="H459" s="334"/>
    </row>
    <row r="460" spans="7:8" s="333" customFormat="1" x14ac:dyDescent="0.25">
      <c r="G460" s="334"/>
      <c r="H460" s="334"/>
    </row>
    <row r="461" spans="7:8" s="333" customFormat="1" x14ac:dyDescent="0.25">
      <c r="G461" s="334"/>
      <c r="H461" s="334"/>
    </row>
    <row r="462" spans="7:8" s="333" customFormat="1" x14ac:dyDescent="0.25">
      <c r="G462" s="334"/>
      <c r="H462" s="334"/>
    </row>
    <row r="463" spans="7:8" s="333" customFormat="1" x14ac:dyDescent="0.25">
      <c r="G463" s="334"/>
      <c r="H463" s="334"/>
    </row>
    <row r="464" spans="7:8" s="333" customFormat="1" x14ac:dyDescent="0.25">
      <c r="G464" s="334"/>
      <c r="H464" s="334"/>
    </row>
    <row r="465" spans="7:8" s="333" customFormat="1" x14ac:dyDescent="0.25">
      <c r="G465" s="334"/>
      <c r="H465" s="334"/>
    </row>
    <row r="466" spans="7:8" s="333" customFormat="1" x14ac:dyDescent="0.25">
      <c r="G466" s="334"/>
      <c r="H466" s="334"/>
    </row>
    <row r="467" spans="7:8" s="333" customFormat="1" x14ac:dyDescent="0.25">
      <c r="G467" s="334"/>
      <c r="H467" s="334"/>
    </row>
    <row r="468" spans="7:8" s="333" customFormat="1" x14ac:dyDescent="0.25">
      <c r="G468" s="334"/>
      <c r="H468" s="334"/>
    </row>
    <row r="469" spans="7:8" s="333" customFormat="1" x14ac:dyDescent="0.25">
      <c r="G469" s="334"/>
      <c r="H469" s="334"/>
    </row>
    <row r="470" spans="7:8" s="333" customFormat="1" x14ac:dyDescent="0.25">
      <c r="G470" s="334"/>
      <c r="H470" s="334"/>
    </row>
    <row r="471" spans="7:8" s="333" customFormat="1" x14ac:dyDescent="0.25">
      <c r="G471" s="334"/>
      <c r="H471" s="334"/>
    </row>
    <row r="472" spans="7:8" s="333" customFormat="1" x14ac:dyDescent="0.25">
      <c r="G472" s="334"/>
      <c r="H472" s="334"/>
    </row>
    <row r="473" spans="7:8" s="333" customFormat="1" x14ac:dyDescent="0.25">
      <c r="G473" s="334"/>
      <c r="H473" s="334"/>
    </row>
    <row r="474" spans="7:8" s="333" customFormat="1" x14ac:dyDescent="0.25">
      <c r="G474" s="334"/>
      <c r="H474" s="334"/>
    </row>
    <row r="475" spans="7:8" s="333" customFormat="1" x14ac:dyDescent="0.25">
      <c r="G475" s="334"/>
      <c r="H475" s="334"/>
    </row>
    <row r="476" spans="7:8" s="333" customFormat="1" x14ac:dyDescent="0.25">
      <c r="G476" s="334"/>
      <c r="H476" s="334"/>
    </row>
    <row r="477" spans="7:8" s="333" customFormat="1" x14ac:dyDescent="0.25">
      <c r="G477" s="334"/>
      <c r="H477" s="334"/>
    </row>
    <row r="478" spans="7:8" s="333" customFormat="1" x14ac:dyDescent="0.25">
      <c r="G478" s="334"/>
      <c r="H478" s="334"/>
    </row>
    <row r="479" spans="7:8" s="333" customFormat="1" x14ac:dyDescent="0.25">
      <c r="G479" s="334"/>
      <c r="H479" s="334"/>
    </row>
    <row r="480" spans="7:8" s="333" customFormat="1" x14ac:dyDescent="0.25">
      <c r="G480" s="334"/>
      <c r="H480" s="334"/>
    </row>
    <row r="481" spans="7:8" s="333" customFormat="1" x14ac:dyDescent="0.25">
      <c r="G481" s="334"/>
      <c r="H481" s="334"/>
    </row>
    <row r="482" spans="7:8" s="333" customFormat="1" x14ac:dyDescent="0.25">
      <c r="G482" s="334"/>
      <c r="H482" s="334"/>
    </row>
    <row r="483" spans="7:8" s="333" customFormat="1" x14ac:dyDescent="0.25">
      <c r="G483" s="334"/>
      <c r="H483" s="334"/>
    </row>
    <row r="484" spans="7:8" s="333" customFormat="1" x14ac:dyDescent="0.25">
      <c r="G484" s="334"/>
      <c r="H484" s="334"/>
    </row>
    <row r="485" spans="7:8" s="333" customFormat="1" x14ac:dyDescent="0.25">
      <c r="G485" s="334"/>
      <c r="H485" s="334"/>
    </row>
    <row r="486" spans="7:8" s="333" customFormat="1" x14ac:dyDescent="0.25">
      <c r="G486" s="334"/>
      <c r="H486" s="334"/>
    </row>
    <row r="487" spans="7:8" s="333" customFormat="1" x14ac:dyDescent="0.25">
      <c r="G487" s="334"/>
      <c r="H487" s="334"/>
    </row>
    <row r="488" spans="7:8" s="333" customFormat="1" x14ac:dyDescent="0.25">
      <c r="G488" s="334"/>
      <c r="H488" s="334"/>
    </row>
    <row r="489" spans="7:8" s="333" customFormat="1" x14ac:dyDescent="0.25">
      <c r="G489" s="334"/>
      <c r="H489" s="334"/>
    </row>
    <row r="490" spans="7:8" s="333" customFormat="1" x14ac:dyDescent="0.25">
      <c r="G490" s="334"/>
      <c r="H490" s="334"/>
    </row>
    <row r="491" spans="7:8" s="333" customFormat="1" x14ac:dyDescent="0.25">
      <c r="G491" s="334"/>
      <c r="H491" s="334"/>
    </row>
    <row r="492" spans="7:8" s="333" customFormat="1" x14ac:dyDescent="0.25">
      <c r="G492" s="334"/>
      <c r="H492" s="334"/>
    </row>
    <row r="493" spans="7:8" s="333" customFormat="1" x14ac:dyDescent="0.25">
      <c r="G493" s="334"/>
      <c r="H493" s="334"/>
    </row>
    <row r="494" spans="7:8" s="333" customFormat="1" x14ac:dyDescent="0.25">
      <c r="G494" s="334"/>
      <c r="H494" s="334"/>
    </row>
    <row r="495" spans="7:8" s="333" customFormat="1" x14ac:dyDescent="0.25">
      <c r="G495" s="334"/>
      <c r="H495" s="334"/>
    </row>
    <row r="496" spans="7:8" s="333" customFormat="1" x14ac:dyDescent="0.25">
      <c r="G496" s="334"/>
      <c r="H496" s="334"/>
    </row>
    <row r="497" spans="7:8" s="333" customFormat="1" x14ac:dyDescent="0.25">
      <c r="G497" s="334"/>
      <c r="H497" s="334"/>
    </row>
    <row r="498" spans="7:8" s="333" customFormat="1" x14ac:dyDescent="0.25">
      <c r="G498" s="334"/>
      <c r="H498" s="334"/>
    </row>
    <row r="499" spans="7:8" s="333" customFormat="1" x14ac:dyDescent="0.25">
      <c r="G499" s="334"/>
      <c r="H499" s="334"/>
    </row>
    <row r="500" spans="7:8" s="333" customFormat="1" x14ac:dyDescent="0.25">
      <c r="G500" s="334"/>
      <c r="H500" s="334"/>
    </row>
    <row r="501" spans="7:8" s="333" customFormat="1" x14ac:dyDescent="0.25">
      <c r="G501" s="334"/>
      <c r="H501" s="334"/>
    </row>
    <row r="502" spans="7:8" s="333" customFormat="1" x14ac:dyDescent="0.25">
      <c r="G502" s="334"/>
      <c r="H502" s="334"/>
    </row>
    <row r="503" spans="7:8" s="333" customFormat="1" x14ac:dyDescent="0.25">
      <c r="G503" s="334"/>
      <c r="H503" s="334"/>
    </row>
    <row r="504" spans="7:8" s="333" customFormat="1" x14ac:dyDescent="0.25">
      <c r="G504" s="334"/>
      <c r="H504" s="334"/>
    </row>
    <row r="505" spans="7:8" s="333" customFormat="1" x14ac:dyDescent="0.25">
      <c r="G505" s="334"/>
      <c r="H505" s="334"/>
    </row>
    <row r="506" spans="7:8" s="333" customFormat="1" x14ac:dyDescent="0.25">
      <c r="G506" s="334"/>
      <c r="H506" s="334"/>
    </row>
    <row r="507" spans="7:8" s="333" customFormat="1" x14ac:dyDescent="0.25">
      <c r="G507" s="334"/>
      <c r="H507" s="334"/>
    </row>
    <row r="508" spans="7:8" s="333" customFormat="1" x14ac:dyDescent="0.25">
      <c r="G508" s="334"/>
      <c r="H508" s="334"/>
    </row>
    <row r="509" spans="7:8" s="333" customFormat="1" x14ac:dyDescent="0.25">
      <c r="G509" s="334"/>
      <c r="H509" s="334"/>
    </row>
    <row r="510" spans="7:8" s="333" customFormat="1" x14ac:dyDescent="0.25">
      <c r="G510" s="334"/>
      <c r="H510" s="334"/>
    </row>
    <row r="511" spans="7:8" s="333" customFormat="1" x14ac:dyDescent="0.25">
      <c r="G511" s="334"/>
      <c r="H511" s="334"/>
    </row>
    <row r="512" spans="7:8" s="333" customFormat="1" x14ac:dyDescent="0.25">
      <c r="G512" s="334"/>
      <c r="H512" s="334"/>
    </row>
    <row r="513" spans="7:8" s="333" customFormat="1" x14ac:dyDescent="0.25">
      <c r="G513" s="334"/>
      <c r="H513" s="334"/>
    </row>
    <row r="514" spans="7:8" s="333" customFormat="1" x14ac:dyDescent="0.25">
      <c r="G514" s="334"/>
      <c r="H514" s="334"/>
    </row>
    <row r="515" spans="7:8" s="333" customFormat="1" x14ac:dyDescent="0.25">
      <c r="G515" s="334"/>
      <c r="H515" s="334"/>
    </row>
    <row r="516" spans="7:8" s="333" customFormat="1" x14ac:dyDescent="0.25">
      <c r="G516" s="334"/>
      <c r="H516" s="334"/>
    </row>
    <row r="517" spans="7:8" s="333" customFormat="1" x14ac:dyDescent="0.25">
      <c r="G517" s="334"/>
      <c r="H517" s="334"/>
    </row>
    <row r="518" spans="7:8" s="333" customFormat="1" x14ac:dyDescent="0.25">
      <c r="G518" s="334"/>
      <c r="H518" s="334"/>
    </row>
    <row r="519" spans="7:8" s="333" customFormat="1" x14ac:dyDescent="0.25">
      <c r="G519" s="334"/>
      <c r="H519" s="334"/>
    </row>
    <row r="520" spans="7:8" s="333" customFormat="1" x14ac:dyDescent="0.25">
      <c r="G520" s="334"/>
      <c r="H520" s="334"/>
    </row>
    <row r="521" spans="7:8" s="333" customFormat="1" x14ac:dyDescent="0.25">
      <c r="G521" s="334"/>
      <c r="H521" s="334"/>
    </row>
    <row r="522" spans="7:8" s="333" customFormat="1" x14ac:dyDescent="0.25">
      <c r="G522" s="334"/>
      <c r="H522" s="334"/>
    </row>
    <row r="523" spans="7:8" s="333" customFormat="1" x14ac:dyDescent="0.25">
      <c r="G523" s="334"/>
      <c r="H523" s="334"/>
    </row>
    <row r="524" spans="7:8" s="333" customFormat="1" x14ac:dyDescent="0.25">
      <c r="G524" s="334"/>
      <c r="H524" s="334"/>
    </row>
    <row r="525" spans="7:8" s="333" customFormat="1" x14ac:dyDescent="0.25">
      <c r="G525" s="334"/>
      <c r="H525" s="334"/>
    </row>
    <row r="526" spans="7:8" s="333" customFormat="1" x14ac:dyDescent="0.25">
      <c r="G526" s="334"/>
      <c r="H526" s="334"/>
    </row>
    <row r="527" spans="7:8" s="333" customFormat="1" x14ac:dyDescent="0.25">
      <c r="G527" s="334"/>
      <c r="H527" s="334"/>
    </row>
    <row r="528" spans="7:8" s="333" customFormat="1" x14ac:dyDescent="0.25">
      <c r="G528" s="334"/>
      <c r="H528" s="334"/>
    </row>
    <row r="529" spans="2:8" s="333" customFormat="1" x14ac:dyDescent="0.25">
      <c r="G529" s="334"/>
      <c r="H529" s="334"/>
    </row>
    <row r="530" spans="2:8" s="333" customFormat="1" x14ac:dyDescent="0.25">
      <c r="G530" s="334"/>
      <c r="H530" s="334"/>
    </row>
    <row r="531" spans="2:8" s="333" customFormat="1" x14ac:dyDescent="0.25">
      <c r="G531" s="334"/>
      <c r="H531" s="334"/>
    </row>
    <row r="532" spans="2:8" s="333" customFormat="1" x14ac:dyDescent="0.25">
      <c r="G532" s="334"/>
      <c r="H532" s="334"/>
    </row>
    <row r="533" spans="2:8" s="333" customFormat="1" x14ac:dyDescent="0.25">
      <c r="G533" s="334"/>
      <c r="H533" s="334"/>
    </row>
    <row r="534" spans="2:8" s="333" customFormat="1" x14ac:dyDescent="0.25">
      <c r="G534" s="334"/>
      <c r="H534" s="334"/>
    </row>
    <row r="535" spans="2:8" s="333" customFormat="1" x14ac:dyDescent="0.25">
      <c r="G535" s="334"/>
      <c r="H535" s="334"/>
    </row>
    <row r="536" spans="2:8" s="333" customFormat="1" x14ac:dyDescent="0.25">
      <c r="G536" s="334"/>
      <c r="H536" s="334"/>
    </row>
    <row r="537" spans="2:8" s="333" customFormat="1" x14ac:dyDescent="0.25">
      <c r="G537" s="334"/>
      <c r="H537" s="334"/>
    </row>
    <row r="538" spans="2:8" s="333" customFormat="1" x14ac:dyDescent="0.25">
      <c r="G538" s="334"/>
      <c r="H538" s="334"/>
    </row>
    <row r="539" spans="2:8" s="333" customFormat="1" x14ac:dyDescent="0.25">
      <c r="G539" s="334"/>
      <c r="H539" s="334"/>
    </row>
    <row r="540" spans="2:8" s="333" customFormat="1" x14ac:dyDescent="0.25">
      <c r="G540" s="334"/>
      <c r="H540" s="334"/>
    </row>
    <row r="541" spans="2:8" x14ac:dyDescent="0.25">
      <c r="B541" s="333"/>
      <c r="C541" s="333"/>
      <c r="D541" s="333"/>
    </row>
  </sheetData>
  <sheetProtection algorithmName="SHA-512" hashValue="8m43ZMb8YwNtAvSKDFCSjynqspYSso4T/AJ/E2tlmjIsCW6OFROVyWNKE+oDYyu/inWDflvuT4KKFJ8UpCQm1Q==" saltValue="blutydZjVXjjJxNJ/rhrjA==" spinCount="100000" sheet="1" objects="1" scenarios="1" selectLockedCells="1"/>
  <mergeCells count="13">
    <mergeCell ref="B21:D29"/>
    <mergeCell ref="C19:D19"/>
    <mergeCell ref="C11:D11"/>
    <mergeCell ref="B5:D5"/>
    <mergeCell ref="B9:D9"/>
    <mergeCell ref="B14:D14"/>
    <mergeCell ref="C12:D12"/>
    <mergeCell ref="C10:D10"/>
    <mergeCell ref="G3:H3"/>
    <mergeCell ref="C15:D15"/>
    <mergeCell ref="C16:D16"/>
    <mergeCell ref="C17:D17"/>
    <mergeCell ref="C18:D18"/>
  </mergeCells>
  <dataValidations count="3">
    <dataValidation type="list" allowBlank="1" showInputMessage="1" showErrorMessage="1" sqref="C12">
      <formula1>$G$5:$G$6</formula1>
    </dataValidation>
    <dataValidation type="list" allowBlank="1" showInputMessage="1" showErrorMessage="1" sqref="C11:D11">
      <formula1>$H$5:$H$11</formula1>
    </dataValidation>
    <dataValidation type="list" allowBlank="1" showInputMessage="1" showErrorMessage="1" sqref="C10:D10">
      <formula1>$I$3:$I$4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E13" sqref="E13"/>
    </sheetView>
  </sheetViews>
  <sheetFormatPr defaultRowHeight="12.75" x14ac:dyDescent="0.2"/>
  <cols>
    <col min="1" max="1" width="10.42578125" style="2" customWidth="1"/>
    <col min="2" max="2" width="2.140625" style="2" customWidth="1"/>
    <col min="3" max="3" width="75" style="2" customWidth="1"/>
    <col min="4" max="4" width="2.140625" style="2" customWidth="1"/>
    <col min="5" max="5" width="9.140625" style="2" customWidth="1"/>
    <col min="6" max="16384" width="9.140625" style="2"/>
  </cols>
  <sheetData>
    <row r="1" spans="2:4" ht="51" customHeight="1" x14ac:dyDescent="0.4">
      <c r="C1" s="305" t="s">
        <v>96</v>
      </c>
    </row>
    <row r="2" spans="2:4" ht="10.5" customHeight="1" x14ac:dyDescent="0.2">
      <c r="B2" s="303"/>
      <c r="C2" s="303"/>
      <c r="D2" s="303"/>
    </row>
    <row r="3" spans="2:4" ht="277.5" customHeight="1" x14ac:dyDescent="0.2">
      <c r="B3" s="303"/>
      <c r="C3" s="304" t="s">
        <v>99</v>
      </c>
      <c r="D3" s="303"/>
    </row>
    <row r="4" spans="2:4" ht="10.5" customHeight="1" x14ac:dyDescent="0.2">
      <c r="B4" s="303"/>
      <c r="C4" s="303"/>
      <c r="D4" s="303"/>
    </row>
    <row r="5" spans="2:4" ht="39.75" customHeight="1" x14ac:dyDescent="0.25">
      <c r="B5" s="637" t="s">
        <v>97</v>
      </c>
      <c r="C5" s="637"/>
      <c r="D5" s="637"/>
    </row>
    <row r="8" spans="2:4" ht="18" x14ac:dyDescent="0.25">
      <c r="B8" s="637"/>
      <c r="C8" s="637"/>
      <c r="D8" s="637"/>
    </row>
  </sheetData>
  <mergeCells count="2">
    <mergeCell ref="B5:D5"/>
    <mergeCell ref="B8:D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MACROS DISABLED!</vt:lpstr>
      <vt:lpstr>Cover - Location Info</vt:lpstr>
      <vt:lpstr>Cable Info</vt:lpstr>
      <vt:lpstr>Cable Info (2)</vt:lpstr>
      <vt:lpstr>Splice Table</vt:lpstr>
      <vt:lpstr>Customer Table</vt:lpstr>
      <vt:lpstr>Site Survey</vt:lpstr>
      <vt:lpstr>Pics</vt:lpstr>
      <vt:lpstr>Coverpic</vt:lpstr>
      <vt:lpstr>'Cable Info'!Print_Area</vt:lpstr>
      <vt:lpstr>'Cable Info (2)'!Print_Area</vt:lpstr>
      <vt:lpstr>'Cover - Location Info'!Print_Area</vt:lpstr>
      <vt:lpstr>'Customer Table'!Print_Area</vt:lpstr>
      <vt:lpstr>'Site Survey'!Print_Area</vt:lpstr>
      <vt:lpstr>'Splice Table'!Print_Area</vt:lpstr>
      <vt:lpstr>'Customer Table'!Print_Titles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Leon Walker</cp:lastModifiedBy>
  <cp:lastPrinted>2014-07-02T16:10:46Z</cp:lastPrinted>
  <dcterms:created xsi:type="dcterms:W3CDTF">1998-05-29T15:48:38Z</dcterms:created>
  <dcterms:modified xsi:type="dcterms:W3CDTF">2016-11-07T16:55:28Z</dcterms:modified>
</cp:coreProperties>
</file>