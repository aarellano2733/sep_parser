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ittany.bodane\Downloads\"/>
    </mc:Choice>
  </mc:AlternateContent>
  <bookViews>
    <workbookView xWindow="0" yWindow="0" windowWidth="28800" windowHeight="130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AT11" i="3" s="1"/>
  <c r="AW11" i="3" s="1"/>
  <c r="P11" i="2"/>
  <c r="AT12" i="3" s="1"/>
  <c r="AW12" i="3" s="1"/>
  <c r="P12" i="2"/>
  <c r="AT13" i="3" s="1"/>
  <c r="AW13" i="3" s="1"/>
  <c r="P13" i="2"/>
  <c r="P14" i="2"/>
  <c r="P15" i="2"/>
  <c r="AT16" i="3" s="1"/>
  <c r="AW16" i="3" s="1"/>
  <c r="P16" i="2"/>
  <c r="P17" i="2"/>
  <c r="P18" i="2"/>
  <c r="AT19" i="3" s="1"/>
  <c r="AW19" i="3" s="1"/>
  <c r="P19" i="2"/>
  <c r="AT20" i="3" s="1"/>
  <c r="AW20" i="3" s="1"/>
  <c r="P20" i="2"/>
  <c r="P21" i="2"/>
  <c r="P22" i="2"/>
  <c r="P23" i="2"/>
  <c r="AT24" i="3" s="1"/>
  <c r="AW24" i="3" s="1"/>
  <c r="P24" i="2"/>
  <c r="P25" i="2"/>
  <c r="P26" i="2"/>
  <c r="P27" i="2"/>
  <c r="AT28" i="3" s="1"/>
  <c r="AW28" i="3" s="1"/>
  <c r="P28" i="2"/>
  <c r="P29" i="2"/>
  <c r="P30" i="2"/>
  <c r="P31" i="2"/>
  <c r="AT32" i="3" s="1"/>
  <c r="AW32" i="3" s="1"/>
  <c r="P32" i="2"/>
  <c r="P33" i="2"/>
  <c r="P34" i="2"/>
  <c r="P35" i="2"/>
  <c r="AT36" i="3" s="1"/>
  <c r="AW36" i="3" s="1"/>
  <c r="P36" i="2"/>
  <c r="P37" i="2"/>
  <c r="P38" i="2"/>
  <c r="P39" i="2"/>
  <c r="P40" i="2"/>
  <c r="P41" i="2"/>
  <c r="P42" i="2"/>
  <c r="P43" i="2"/>
  <c r="AT44" i="3" s="1"/>
  <c r="AW44" i="3" s="1"/>
  <c r="P44" i="2"/>
  <c r="P45" i="2"/>
  <c r="P46" i="2"/>
  <c r="P47" i="2"/>
  <c r="AT48" i="3" s="1"/>
  <c r="AW48" i="3" s="1"/>
  <c r="P48" i="2"/>
  <c r="P49" i="2"/>
  <c r="P50" i="2"/>
  <c r="P51" i="2"/>
  <c r="AT52" i="3" s="1"/>
  <c r="AW52" i="3" s="1"/>
  <c r="P52" i="2"/>
  <c r="P53" i="2"/>
  <c r="P54" i="2"/>
  <c r="P55" i="2"/>
  <c r="AT56" i="3" s="1"/>
  <c r="AW56" i="3" s="1"/>
  <c r="P56" i="2"/>
  <c r="P57" i="2"/>
  <c r="P58" i="2"/>
  <c r="P59" i="2"/>
  <c r="AT60" i="3" s="1"/>
  <c r="AW60" i="3" s="1"/>
  <c r="P60" i="2"/>
  <c r="P61" i="2"/>
  <c r="P62" i="2"/>
  <c r="P63" i="2"/>
  <c r="AT64" i="3" s="1"/>
  <c r="AW64" i="3" s="1"/>
  <c r="P64" i="2"/>
  <c r="P65" i="2"/>
  <c r="P66" i="2"/>
  <c r="P67" i="2"/>
  <c r="AT68" i="3" s="1"/>
  <c r="AW68" i="3" s="1"/>
  <c r="P68" i="2"/>
  <c r="P69" i="2"/>
  <c r="P70" i="2"/>
  <c r="P71" i="2"/>
  <c r="P72" i="2"/>
  <c r="P73" i="2"/>
  <c r="P74" i="2"/>
  <c r="AT75" i="3" s="1"/>
  <c r="AW75" i="3" s="1"/>
  <c r="P75" i="2"/>
  <c r="AT76" i="3" s="1"/>
  <c r="AW76" i="3" s="1"/>
  <c r="P76" i="2"/>
  <c r="AT77" i="3" s="1"/>
  <c r="AW77" i="3" s="1"/>
  <c r="P77" i="2"/>
  <c r="P78" i="2"/>
  <c r="AT79" i="3" s="1"/>
  <c r="AW79" i="3" s="1"/>
  <c r="P79" i="2"/>
  <c r="AT80" i="3" s="1"/>
  <c r="AW80" i="3" s="1"/>
  <c r="P80" i="2"/>
  <c r="AT81" i="3" s="1"/>
  <c r="AW81" i="3" s="1"/>
  <c r="P81" i="2"/>
  <c r="P82" i="2"/>
  <c r="AT83" i="3" s="1"/>
  <c r="AW83" i="3" s="1"/>
  <c r="P83" i="2"/>
  <c r="AT84" i="3" s="1"/>
  <c r="AW84" i="3" s="1"/>
  <c r="P84" i="2"/>
  <c r="AT85" i="3" s="1"/>
  <c r="AW85" i="3" s="1"/>
  <c r="P85" i="2"/>
  <c r="P86" i="2"/>
  <c r="AT87" i="3" s="1"/>
  <c r="AW87" i="3" s="1"/>
  <c r="P87" i="2"/>
  <c r="AT88" i="3" s="1"/>
  <c r="AW88" i="3" s="1"/>
  <c r="P88" i="2"/>
  <c r="AT89" i="3" s="1"/>
  <c r="AW89" i="3" s="1"/>
  <c r="P89" i="2"/>
  <c r="P90" i="2"/>
  <c r="AT91" i="3" s="1"/>
  <c r="AW91" i="3" s="1"/>
  <c r="P91" i="2"/>
  <c r="AT92" i="3" s="1"/>
  <c r="AW92" i="3" s="1"/>
  <c r="P92" i="2"/>
  <c r="AT93" i="3" s="1"/>
  <c r="AW93" i="3" s="1"/>
  <c r="P93" i="2"/>
  <c r="P94" i="2"/>
  <c r="AT95" i="3" s="1"/>
  <c r="AW95" i="3" s="1"/>
  <c r="P95" i="2"/>
  <c r="AT96" i="3" s="1"/>
  <c r="AW96" i="3" s="1"/>
  <c r="P96" i="2"/>
  <c r="AT97" i="3" s="1"/>
  <c r="AW97" i="3" s="1"/>
  <c r="P97" i="2"/>
  <c r="P98" i="2"/>
  <c r="AT99" i="3" s="1"/>
  <c r="AW99" i="3" s="1"/>
  <c r="P99" i="2"/>
  <c r="AT100" i="3" s="1"/>
  <c r="AW100" i="3" s="1"/>
  <c r="P100" i="2"/>
  <c r="AT101" i="3" s="1"/>
  <c r="AW101" i="3" s="1"/>
  <c r="P101" i="2"/>
  <c r="P102" i="2"/>
  <c r="AT103" i="3" s="1"/>
  <c r="AW103" i="3" s="1"/>
  <c r="P103" i="2"/>
  <c r="AT104" i="3" s="1"/>
  <c r="AW104" i="3" s="1"/>
  <c r="P104" i="2"/>
  <c r="AT105" i="3" s="1"/>
  <c r="AW105" i="3" s="1"/>
  <c r="P105" i="2"/>
  <c r="P106" i="2"/>
  <c r="AT107" i="3" s="1"/>
  <c r="AW107" i="3" s="1"/>
  <c r="P107" i="2"/>
  <c r="AT108" i="3" s="1"/>
  <c r="AW108" i="3" s="1"/>
  <c r="P108" i="2"/>
  <c r="AT109" i="3" s="1"/>
  <c r="AW109" i="3" s="1"/>
  <c r="P109" i="2"/>
  <c r="P110" i="2"/>
  <c r="AT111" i="3" s="1"/>
  <c r="AW111" i="3" s="1"/>
  <c r="P111" i="2"/>
  <c r="AT112" i="3" s="1"/>
  <c r="AW112" i="3" s="1"/>
  <c r="P112" i="2"/>
  <c r="AT113" i="3" s="1"/>
  <c r="AW113" i="3" s="1"/>
  <c r="P113" i="2"/>
  <c r="P114" i="2"/>
  <c r="AT115" i="3" s="1"/>
  <c r="AW115" i="3" s="1"/>
  <c r="P115" i="2"/>
  <c r="AT116" i="3" s="1"/>
  <c r="AW116" i="3" s="1"/>
  <c r="P116" i="2"/>
  <c r="AT117" i="3" s="1"/>
  <c r="AW117" i="3" s="1"/>
  <c r="P117" i="2"/>
  <c r="P118" i="2"/>
  <c r="AT119" i="3" s="1"/>
  <c r="AW119" i="3" s="1"/>
  <c r="P119" i="2"/>
  <c r="AT120" i="3" s="1"/>
  <c r="AW120" i="3" s="1"/>
  <c r="P120" i="2"/>
  <c r="AT121" i="3" s="1"/>
  <c r="AW121" i="3" s="1"/>
  <c r="P121" i="2"/>
  <c r="P122" i="2"/>
  <c r="AT123" i="3" s="1"/>
  <c r="AW123" i="3" s="1"/>
  <c r="P123" i="2"/>
  <c r="AT124" i="3" s="1"/>
  <c r="AW124" i="3" s="1"/>
  <c r="P124" i="2"/>
  <c r="AT125" i="3" s="1"/>
  <c r="AW125" i="3" s="1"/>
  <c r="P125" i="2"/>
  <c r="P126" i="2"/>
  <c r="AT127" i="3" s="1"/>
  <c r="AW127" i="3" s="1"/>
  <c r="P127" i="2"/>
  <c r="AT128" i="3" s="1"/>
  <c r="AW128" i="3" s="1"/>
  <c r="P128" i="2"/>
  <c r="AT129" i="3" s="1"/>
  <c r="AW129" i="3" s="1"/>
  <c r="P129" i="2"/>
  <c r="P130" i="2"/>
  <c r="AT131" i="3" s="1"/>
  <c r="AW131" i="3" s="1"/>
  <c r="P131" i="2"/>
  <c r="AT132" i="3" s="1"/>
  <c r="AW132" i="3" s="1"/>
  <c r="P132" i="2"/>
  <c r="AT133" i="3" s="1"/>
  <c r="AW133" i="3" s="1"/>
  <c r="P133" i="2"/>
  <c r="P134" i="2"/>
  <c r="AT135" i="3" s="1"/>
  <c r="AW135" i="3" s="1"/>
  <c r="P135" i="2"/>
  <c r="AT136" i="3" s="1"/>
  <c r="AW136" i="3" s="1"/>
  <c r="P136" i="2"/>
  <c r="AT137" i="3" s="1"/>
  <c r="AW137" i="3" s="1"/>
  <c r="P137" i="2"/>
  <c r="P138" i="2"/>
  <c r="AT139" i="3" s="1"/>
  <c r="AW139" i="3" s="1"/>
  <c r="P139" i="2"/>
  <c r="AT140" i="3" s="1"/>
  <c r="AW140" i="3" s="1"/>
  <c r="P140" i="2"/>
  <c r="AT141" i="3" s="1"/>
  <c r="AW141" i="3" s="1"/>
  <c r="P141" i="2"/>
  <c r="P142" i="2"/>
  <c r="AT143" i="3" s="1"/>
  <c r="AW143" i="3" s="1"/>
  <c r="P143" i="2"/>
  <c r="AT144" i="3" s="1"/>
  <c r="AW144" i="3" s="1"/>
  <c r="P144" i="2"/>
  <c r="AT145" i="3" s="1"/>
  <c r="AW145" i="3" s="1"/>
  <c r="P145" i="2"/>
  <c r="P146" i="2"/>
  <c r="AT147" i="3" s="1"/>
  <c r="AW147" i="3" s="1"/>
  <c r="P147" i="2"/>
  <c r="AT148" i="3" s="1"/>
  <c r="AW148" i="3" s="1"/>
  <c r="P148" i="2"/>
  <c r="AT149" i="3" s="1"/>
  <c r="AW149" i="3" s="1"/>
  <c r="P149" i="2"/>
  <c r="P150" i="2"/>
  <c r="AT151" i="3" s="1"/>
  <c r="AW151" i="3" s="1"/>
  <c r="P151" i="2"/>
  <c r="AT152" i="3" s="1"/>
  <c r="AW152" i="3" s="1"/>
  <c r="P152" i="2"/>
  <c r="AT153" i="3" s="1"/>
  <c r="AW153" i="3" s="1"/>
  <c r="P153" i="2"/>
  <c r="P154" i="2"/>
  <c r="AT155" i="3" s="1"/>
  <c r="AW155" i="3" s="1"/>
  <c r="P155" i="2"/>
  <c r="AT156" i="3" s="1"/>
  <c r="AW156" i="3" s="1"/>
  <c r="P156" i="2"/>
  <c r="AT157" i="3" s="1"/>
  <c r="AW157" i="3" s="1"/>
  <c r="P157" i="2"/>
  <c r="P158" i="2"/>
  <c r="AT159" i="3" s="1"/>
  <c r="AW159" i="3" s="1"/>
  <c r="P159" i="2"/>
  <c r="AT160" i="3" s="1"/>
  <c r="AW160" i="3" s="1"/>
  <c r="P160" i="2"/>
  <c r="AT161" i="3" s="1"/>
  <c r="AW161" i="3" s="1"/>
  <c r="P161" i="2"/>
  <c r="P162" i="2"/>
  <c r="AT163" i="3" s="1"/>
  <c r="AW163" i="3" s="1"/>
  <c r="P163" i="2"/>
  <c r="AT164" i="3" s="1"/>
  <c r="AW164" i="3" s="1"/>
  <c r="P164" i="2"/>
  <c r="AT165" i="3" s="1"/>
  <c r="AW165" i="3" s="1"/>
  <c r="P165" i="2"/>
  <c r="P166" i="2"/>
  <c r="AT167" i="3" s="1"/>
  <c r="AW167" i="3" s="1"/>
  <c r="P167" i="2"/>
  <c r="AT168" i="3" s="1"/>
  <c r="AW168" i="3" s="1"/>
  <c r="P168" i="2"/>
  <c r="AT169" i="3" s="1"/>
  <c r="AW169" i="3" s="1"/>
  <c r="P169" i="2"/>
  <c r="P170" i="2"/>
  <c r="AT171" i="3" s="1"/>
  <c r="AW171" i="3" s="1"/>
  <c r="P171" i="2"/>
  <c r="AT172" i="3" s="1"/>
  <c r="AW172" i="3" s="1"/>
  <c r="P172" i="2"/>
  <c r="AT173" i="3" s="1"/>
  <c r="AW173" i="3" s="1"/>
  <c r="P173" i="2"/>
  <c r="P174" i="2"/>
  <c r="AT175" i="3" s="1"/>
  <c r="AW175" i="3" s="1"/>
  <c r="P175" i="2"/>
  <c r="AT176" i="3" s="1"/>
  <c r="AW176" i="3" s="1"/>
  <c r="P176" i="2"/>
  <c r="AT177" i="3" s="1"/>
  <c r="AW177" i="3" s="1"/>
  <c r="P177" i="2"/>
  <c r="P178" i="2"/>
  <c r="AT179" i="3" s="1"/>
  <c r="AW179" i="3" s="1"/>
  <c r="P179" i="2"/>
  <c r="AT180" i="3" s="1"/>
  <c r="AW180" i="3" s="1"/>
  <c r="P180" i="2"/>
  <c r="AT181" i="3" s="1"/>
  <c r="AW181" i="3" s="1"/>
  <c r="P181" i="2"/>
  <c r="P182" i="2"/>
  <c r="AT183" i="3" s="1"/>
  <c r="AW183" i="3" s="1"/>
  <c r="P183" i="2"/>
  <c r="AT184" i="3" s="1"/>
  <c r="AW184" i="3" s="1"/>
  <c r="P184" i="2"/>
  <c r="AT185" i="3" s="1"/>
  <c r="AW185" i="3" s="1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AT199" i="3" s="1"/>
  <c r="AW199" i="3" s="1"/>
  <c r="P199" i="2"/>
  <c r="AT200" i="3" s="1"/>
  <c r="AW200" i="3" s="1"/>
  <c r="P200" i="2"/>
  <c r="AT201" i="3" s="1"/>
  <c r="AW201" i="3" s="1"/>
  <c r="P201" i="2"/>
  <c r="P202" i="2"/>
  <c r="AT203" i="3" s="1"/>
  <c r="AW203" i="3" s="1"/>
  <c r="P203" i="2"/>
  <c r="AT204" i="3" s="1"/>
  <c r="AW204" i="3" s="1"/>
  <c r="P204" i="2"/>
  <c r="AT205" i="3" s="1"/>
  <c r="AW205" i="3" s="1"/>
  <c r="P205" i="2"/>
  <c r="P206" i="2"/>
  <c r="AT207" i="3" s="1"/>
  <c r="AW207" i="3" s="1"/>
  <c r="P207" i="2"/>
  <c r="AT208" i="3" s="1"/>
  <c r="AW208" i="3" s="1"/>
  <c r="P208" i="2"/>
  <c r="AT209" i="3" s="1"/>
  <c r="AW209" i="3" s="1"/>
  <c r="P209" i="2"/>
  <c r="P210" i="2"/>
  <c r="AT211" i="3" s="1"/>
  <c r="AW211" i="3" s="1"/>
  <c r="P211" i="2"/>
  <c r="AT212" i="3" s="1"/>
  <c r="AW212" i="3" s="1"/>
  <c r="P212" i="2"/>
  <c r="AT213" i="3" s="1"/>
  <c r="AW213" i="3" s="1"/>
  <c r="P213" i="2"/>
  <c r="P214" i="2"/>
  <c r="AT215" i="3" s="1"/>
  <c r="AW215" i="3" s="1"/>
  <c r="P215" i="2"/>
  <c r="AT216" i="3" s="1"/>
  <c r="AW216" i="3" s="1"/>
  <c r="P216" i="2"/>
  <c r="AT217" i="3" s="1"/>
  <c r="AW217" i="3" s="1"/>
  <c r="P217" i="2"/>
  <c r="P218" i="2"/>
  <c r="AT219" i="3" s="1"/>
  <c r="AW219" i="3" s="1"/>
  <c r="P219" i="2"/>
  <c r="AT220" i="3" s="1"/>
  <c r="AW220" i="3" s="1"/>
  <c r="P220" i="2"/>
  <c r="AT221" i="3" s="1"/>
  <c r="AW221" i="3" s="1"/>
  <c r="P221" i="2"/>
  <c r="P222" i="2"/>
  <c r="AT223" i="3" s="1"/>
  <c r="AW223" i="3" s="1"/>
  <c r="P223" i="2"/>
  <c r="AT224" i="3" s="1"/>
  <c r="AW224" i="3" s="1"/>
  <c r="P224" i="2"/>
  <c r="AT225" i="3" s="1"/>
  <c r="AW225" i="3" s="1"/>
  <c r="P225" i="2"/>
  <c r="P226" i="2"/>
  <c r="AT227" i="3" s="1"/>
  <c r="AW227" i="3" s="1"/>
  <c r="P227" i="2"/>
  <c r="AT228" i="3" s="1"/>
  <c r="AW228" i="3" s="1"/>
  <c r="P228" i="2"/>
  <c r="AT229" i="3" s="1"/>
  <c r="AW229" i="3" s="1"/>
  <c r="P229" i="2"/>
  <c r="P230" i="2"/>
  <c r="AT231" i="3" s="1"/>
  <c r="AW231" i="3" s="1"/>
  <c r="P231" i="2"/>
  <c r="AT232" i="3" s="1"/>
  <c r="AW232" i="3" s="1"/>
  <c r="P232" i="2"/>
  <c r="AT233" i="3" s="1"/>
  <c r="AW233" i="3" s="1"/>
  <c r="P233" i="2"/>
  <c r="P234" i="2"/>
  <c r="AT235" i="3" s="1"/>
  <c r="AW235" i="3" s="1"/>
  <c r="P235" i="2"/>
  <c r="AT236" i="3" s="1"/>
  <c r="AW236" i="3" s="1"/>
  <c r="P236" i="2"/>
  <c r="AT237" i="3" s="1"/>
  <c r="AW237" i="3" s="1"/>
  <c r="P237" i="2"/>
  <c r="P238" i="2"/>
  <c r="AT239" i="3" s="1"/>
  <c r="AW239" i="3" s="1"/>
  <c r="P239" i="2"/>
  <c r="AT240" i="3" s="1"/>
  <c r="AW240" i="3" s="1"/>
  <c r="P240" i="2"/>
  <c r="AT241" i="3" s="1"/>
  <c r="AW241" i="3" s="1"/>
  <c r="P241" i="2"/>
  <c r="P242" i="2"/>
  <c r="AT243" i="3" s="1"/>
  <c r="AW243" i="3" s="1"/>
  <c r="P243" i="2"/>
  <c r="AT244" i="3" s="1"/>
  <c r="AW244" i="3" s="1"/>
  <c r="P244" i="2"/>
  <c r="AT245" i="3" s="1"/>
  <c r="AW245" i="3" s="1"/>
  <c r="P245" i="2"/>
  <c r="P246" i="2"/>
  <c r="AT247" i="3" s="1"/>
  <c r="AW247" i="3" s="1"/>
  <c r="P247" i="2"/>
  <c r="AT248" i="3" s="1"/>
  <c r="AW248" i="3" s="1"/>
  <c r="P248" i="2"/>
  <c r="AT249" i="3" s="1"/>
  <c r="AW249" i="3" s="1"/>
  <c r="P249" i="2"/>
  <c r="P250" i="2"/>
  <c r="AT251" i="3" s="1"/>
  <c r="AW251" i="3" s="1"/>
  <c r="P251" i="2"/>
  <c r="AT252" i="3" s="1"/>
  <c r="AW252" i="3" s="1"/>
  <c r="P252" i="2"/>
  <c r="AT253" i="3" s="1"/>
  <c r="AW253" i="3" s="1"/>
  <c r="P253" i="2"/>
  <c r="P254" i="2"/>
  <c r="AT255" i="3" s="1"/>
  <c r="AW255" i="3" s="1"/>
  <c r="P255" i="2"/>
  <c r="AT256" i="3" s="1"/>
  <c r="AW256" i="3" s="1"/>
  <c r="P256" i="2"/>
  <c r="AT257" i="3" s="1"/>
  <c r="AW257" i="3" s="1"/>
  <c r="P257" i="2"/>
  <c r="P258" i="2"/>
  <c r="AT259" i="3" s="1"/>
  <c r="AW259" i="3" s="1"/>
  <c r="P259" i="2"/>
  <c r="AT260" i="3" s="1"/>
  <c r="AW260" i="3" s="1"/>
  <c r="P260" i="2"/>
  <c r="AT261" i="3" s="1"/>
  <c r="AW261" i="3" s="1"/>
  <c r="P261" i="2"/>
  <c r="P262" i="2"/>
  <c r="AT263" i="3" s="1"/>
  <c r="AW263" i="3" s="1"/>
  <c r="P263" i="2"/>
  <c r="AT264" i="3" s="1"/>
  <c r="AW264" i="3" s="1"/>
  <c r="P264" i="2"/>
  <c r="AT265" i="3" s="1"/>
  <c r="AW265" i="3" s="1"/>
  <c r="P265" i="2"/>
  <c r="P266" i="2"/>
  <c r="AT267" i="3" s="1"/>
  <c r="AW267" i="3" s="1"/>
  <c r="P267" i="2"/>
  <c r="AT268" i="3" s="1"/>
  <c r="AW268" i="3" s="1"/>
  <c r="P268" i="2"/>
  <c r="AT269" i="3" s="1"/>
  <c r="AW269" i="3" s="1"/>
  <c r="P269" i="2"/>
  <c r="P270" i="2"/>
  <c r="AT271" i="3" s="1"/>
  <c r="AW271" i="3" s="1"/>
  <c r="P271" i="2"/>
  <c r="AT272" i="3" s="1"/>
  <c r="AW272" i="3" s="1"/>
  <c r="P272" i="2"/>
  <c r="AT273" i="3" s="1"/>
  <c r="AW273" i="3" s="1"/>
  <c r="P273" i="2"/>
  <c r="P274" i="2"/>
  <c r="AT275" i="3" s="1"/>
  <c r="AW275" i="3" s="1"/>
  <c r="P275" i="2"/>
  <c r="AT276" i="3" s="1"/>
  <c r="AW276" i="3" s="1"/>
  <c r="P276" i="2"/>
  <c r="AT277" i="3" s="1"/>
  <c r="AW277" i="3" s="1"/>
  <c r="P277" i="2"/>
  <c r="P278" i="2"/>
  <c r="AT279" i="3" s="1"/>
  <c r="AW279" i="3" s="1"/>
  <c r="P279" i="2"/>
  <c r="AT280" i="3" s="1"/>
  <c r="AW280" i="3" s="1"/>
  <c r="P280" i="2"/>
  <c r="AT281" i="3" s="1"/>
  <c r="AW281" i="3" s="1"/>
  <c r="P281" i="2"/>
  <c r="P282" i="2"/>
  <c r="AT283" i="3" s="1"/>
  <c r="AW283" i="3" s="1"/>
  <c r="P283" i="2"/>
  <c r="AT284" i="3" s="1"/>
  <c r="AW284" i="3" s="1"/>
  <c r="P284" i="2"/>
  <c r="AT285" i="3" s="1"/>
  <c r="AW285" i="3" s="1"/>
  <c r="P285" i="2"/>
  <c r="P286" i="2"/>
  <c r="AT287" i="3" s="1"/>
  <c r="AW287" i="3" s="1"/>
  <c r="P287" i="2"/>
  <c r="AT288" i="3" s="1"/>
  <c r="AW288" i="3" s="1"/>
  <c r="P288" i="2"/>
  <c r="AT289" i="3" s="1"/>
  <c r="AW289" i="3" s="1"/>
  <c r="P289" i="2"/>
  <c r="P290" i="2"/>
  <c r="AT291" i="3" s="1"/>
  <c r="AW291" i="3" s="1"/>
  <c r="P291" i="2"/>
  <c r="AT292" i="3" s="1"/>
  <c r="AW292" i="3" s="1"/>
  <c r="P292" i="2"/>
  <c r="AT293" i="3" s="1"/>
  <c r="AW293" i="3" s="1"/>
  <c r="P293" i="2"/>
  <c r="P294" i="2"/>
  <c r="AT295" i="3" s="1"/>
  <c r="AW295" i="3" s="1"/>
  <c r="P295" i="2"/>
  <c r="AT296" i="3" s="1"/>
  <c r="AW296" i="3" s="1"/>
  <c r="P296" i="2"/>
  <c r="AT297" i="3" s="1"/>
  <c r="AW297" i="3" s="1"/>
  <c r="P297" i="2"/>
  <c r="P298" i="2"/>
  <c r="AT299" i="3" s="1"/>
  <c r="AW299" i="3" s="1"/>
  <c r="P299" i="2"/>
  <c r="AT300" i="3" s="1"/>
  <c r="AW300" i="3" s="1"/>
  <c r="P300" i="2"/>
  <c r="AT301" i="3" s="1"/>
  <c r="AW301" i="3" s="1"/>
  <c r="P301" i="2"/>
  <c r="P302" i="2"/>
  <c r="AT303" i="3" s="1"/>
  <c r="AW303" i="3" s="1"/>
  <c r="P303" i="2"/>
  <c r="AT304" i="3" s="1"/>
  <c r="AW304" i="3" s="1"/>
  <c r="P304" i="2"/>
  <c r="AT305" i="3" s="1"/>
  <c r="AW305" i="3" s="1"/>
  <c r="P305" i="2"/>
  <c r="P306" i="2"/>
  <c r="AT307" i="3" s="1"/>
  <c r="AW307" i="3" s="1"/>
  <c r="P307" i="2"/>
  <c r="AT308" i="3" s="1"/>
  <c r="AW308" i="3" s="1"/>
  <c r="P308" i="2"/>
  <c r="AT309" i="3" s="1"/>
  <c r="AW309" i="3" s="1"/>
  <c r="P309" i="2"/>
  <c r="P310" i="2"/>
  <c r="AT311" i="3" s="1"/>
  <c r="AW311" i="3" s="1"/>
  <c r="P311" i="2"/>
  <c r="AT312" i="3" s="1"/>
  <c r="AW312" i="3" s="1"/>
  <c r="P312" i="2"/>
  <c r="AT313" i="3" s="1"/>
  <c r="AW313" i="3" s="1"/>
  <c r="P313" i="2"/>
  <c r="P314" i="2"/>
  <c r="AT315" i="3" s="1"/>
  <c r="AW315" i="3" s="1"/>
  <c r="P315" i="2"/>
  <c r="AT316" i="3" s="1"/>
  <c r="AW316" i="3" s="1"/>
  <c r="P316" i="2"/>
  <c r="AT317" i="3" s="1"/>
  <c r="AW317" i="3" s="1"/>
  <c r="P317" i="2"/>
  <c r="P318" i="2"/>
  <c r="AT319" i="3" s="1"/>
  <c r="AW319" i="3" s="1"/>
  <c r="P319" i="2"/>
  <c r="AT320" i="3" s="1"/>
  <c r="AW320" i="3" s="1"/>
  <c r="P320" i="2"/>
  <c r="AT321" i="3" s="1"/>
  <c r="AW321" i="3" s="1"/>
  <c r="P321" i="2"/>
  <c r="P322" i="2"/>
  <c r="AT323" i="3" s="1"/>
  <c r="AW323" i="3" s="1"/>
  <c r="P323" i="2"/>
  <c r="AT324" i="3" s="1"/>
  <c r="AW324" i="3" s="1"/>
  <c r="P324" i="2"/>
  <c r="AT325" i="3" s="1"/>
  <c r="AW325" i="3" s="1"/>
  <c r="P325" i="2"/>
  <c r="P326" i="2"/>
  <c r="AT327" i="3" s="1"/>
  <c r="AW327" i="3" s="1"/>
  <c r="P327" i="2"/>
  <c r="AT328" i="3" s="1"/>
  <c r="AW328" i="3" s="1"/>
  <c r="P328" i="2"/>
  <c r="AT329" i="3" s="1"/>
  <c r="AW329" i="3" s="1"/>
  <c r="P329" i="2"/>
  <c r="P330" i="2"/>
  <c r="AT331" i="3" s="1"/>
  <c r="AW331" i="3" s="1"/>
  <c r="P331" i="2"/>
  <c r="AT332" i="3" s="1"/>
  <c r="AW332" i="3" s="1"/>
  <c r="P332" i="2"/>
  <c r="AT333" i="3" s="1"/>
  <c r="AW333" i="3" s="1"/>
  <c r="P333" i="2"/>
  <c r="P334" i="2"/>
  <c r="AT335" i="3" s="1"/>
  <c r="AW335" i="3" s="1"/>
  <c r="P335" i="2"/>
  <c r="AT336" i="3" s="1"/>
  <c r="AW336" i="3" s="1"/>
  <c r="P336" i="2"/>
  <c r="AT337" i="3" s="1"/>
  <c r="AW337" i="3" s="1"/>
  <c r="P337" i="2"/>
  <c r="P338" i="2"/>
  <c r="AT339" i="3" s="1"/>
  <c r="AW339" i="3" s="1"/>
  <c r="P339" i="2"/>
  <c r="AT340" i="3" s="1"/>
  <c r="AW340" i="3" s="1"/>
  <c r="P340" i="2"/>
  <c r="AT341" i="3" s="1"/>
  <c r="AW341" i="3" s="1"/>
  <c r="P341" i="2"/>
  <c r="P342" i="2"/>
  <c r="AT343" i="3" s="1"/>
  <c r="AW343" i="3" s="1"/>
  <c r="P343" i="2"/>
  <c r="AT344" i="3" s="1"/>
  <c r="AW344" i="3" s="1"/>
  <c r="P344" i="2"/>
  <c r="AT345" i="3" s="1"/>
  <c r="AW345" i="3" s="1"/>
  <c r="P345" i="2"/>
  <c r="P346" i="2"/>
  <c r="AT347" i="3" s="1"/>
  <c r="AW347" i="3" s="1"/>
  <c r="P347" i="2"/>
  <c r="AT348" i="3" s="1"/>
  <c r="AW348" i="3" s="1"/>
  <c r="P348" i="2"/>
  <c r="AT349" i="3" s="1"/>
  <c r="AW349" i="3" s="1"/>
  <c r="P349" i="2"/>
  <c r="P350" i="2"/>
  <c r="AT351" i="3" s="1"/>
  <c r="AW351" i="3" s="1"/>
  <c r="P351" i="2"/>
  <c r="AT352" i="3" s="1"/>
  <c r="AW352" i="3" s="1"/>
  <c r="P352" i="2"/>
  <c r="AT353" i="3" s="1"/>
  <c r="AW353" i="3" s="1"/>
  <c r="P353" i="2"/>
  <c r="P354" i="2"/>
  <c r="AT355" i="3" s="1"/>
  <c r="AW355" i="3" s="1"/>
  <c r="P355" i="2"/>
  <c r="AT356" i="3" s="1"/>
  <c r="AW356" i="3" s="1"/>
  <c r="P356" i="2"/>
  <c r="AT357" i="3" s="1"/>
  <c r="AW357" i="3" s="1"/>
  <c r="P357" i="2"/>
  <c r="P358" i="2"/>
  <c r="AT359" i="3" s="1"/>
  <c r="AW359" i="3" s="1"/>
  <c r="P359" i="2"/>
  <c r="AT360" i="3" s="1"/>
  <c r="AW360" i="3" s="1"/>
  <c r="P360" i="2"/>
  <c r="AT361" i="3" s="1"/>
  <c r="AW361" i="3" s="1"/>
  <c r="P361" i="2"/>
  <c r="P362" i="2"/>
  <c r="AT363" i="3" s="1"/>
  <c r="AW363" i="3" s="1"/>
  <c r="P363" i="2"/>
  <c r="AT364" i="3" s="1"/>
  <c r="AW364" i="3" s="1"/>
  <c r="P364" i="2"/>
  <c r="AT365" i="3" s="1"/>
  <c r="AW365" i="3" s="1"/>
  <c r="P365" i="2"/>
  <c r="P366" i="2"/>
  <c r="AT367" i="3" s="1"/>
  <c r="AW367" i="3" s="1"/>
  <c r="P367" i="2"/>
  <c r="AT368" i="3" s="1"/>
  <c r="AW368" i="3" s="1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AO11" i="3" s="1"/>
  <c r="AR11" i="3" s="1"/>
  <c r="N11" i="2"/>
  <c r="N12" i="2"/>
  <c r="AO13" i="3" s="1"/>
  <c r="AR13" i="3" s="1"/>
  <c r="N13" i="2"/>
  <c r="N14" i="2"/>
  <c r="AO15" i="3" s="1"/>
  <c r="AR15" i="3" s="1"/>
  <c r="N15" i="2"/>
  <c r="N16" i="2"/>
  <c r="AO17" i="3" s="1"/>
  <c r="AR17" i="3" s="1"/>
  <c r="N17" i="2"/>
  <c r="AO18" i="3" s="1"/>
  <c r="AR18" i="3" s="1"/>
  <c r="N18" i="2"/>
  <c r="AO19" i="3" s="1"/>
  <c r="AR19" i="3" s="1"/>
  <c r="N19" i="2"/>
  <c r="N20" i="2"/>
  <c r="N21" i="2"/>
  <c r="AO22" i="3" s="1"/>
  <c r="AR22" i="3" s="1"/>
  <c r="N22" i="2"/>
  <c r="AO23" i="3" s="1"/>
  <c r="AR23" i="3" s="1"/>
  <c r="N23" i="2"/>
  <c r="N24" i="2"/>
  <c r="N25" i="2"/>
  <c r="N26" i="2"/>
  <c r="AO27" i="3" s="1"/>
  <c r="AR27" i="3" s="1"/>
  <c r="N27" i="2"/>
  <c r="N28" i="2"/>
  <c r="N29" i="2"/>
  <c r="N30" i="2"/>
  <c r="AO31" i="3" s="1"/>
  <c r="AR31" i="3" s="1"/>
  <c r="N31" i="2"/>
  <c r="N32" i="2"/>
  <c r="AO33" i="3" s="1"/>
  <c r="AR33" i="3" s="1"/>
  <c r="N33" i="2"/>
  <c r="AO34" i="3" s="1"/>
  <c r="AR34" i="3" s="1"/>
  <c r="N34" i="2"/>
  <c r="AO35" i="3" s="1"/>
  <c r="AR35" i="3" s="1"/>
  <c r="N35" i="2"/>
  <c r="N36" i="2"/>
  <c r="N37" i="2"/>
  <c r="N38" i="2"/>
  <c r="AO39" i="3" s="1"/>
  <c r="AR39" i="3" s="1"/>
  <c r="N39" i="2"/>
  <c r="N40" i="2"/>
  <c r="N41" i="2"/>
  <c r="N42" i="2"/>
  <c r="AO43" i="3" s="1"/>
  <c r="AR43" i="3" s="1"/>
  <c r="N43" i="2"/>
  <c r="N44" i="2"/>
  <c r="N45" i="2"/>
  <c r="N46" i="2"/>
  <c r="AO47" i="3" s="1"/>
  <c r="AR47" i="3" s="1"/>
  <c r="N47" i="2"/>
  <c r="N48" i="2"/>
  <c r="N49" i="2"/>
  <c r="N50" i="2"/>
  <c r="AO51" i="3" s="1"/>
  <c r="AR51" i="3" s="1"/>
  <c r="N51" i="2"/>
  <c r="N52" i="2"/>
  <c r="N53" i="2"/>
  <c r="N54" i="2"/>
  <c r="AO55" i="3" s="1"/>
  <c r="AR55" i="3" s="1"/>
  <c r="N55" i="2"/>
  <c r="N56" i="2"/>
  <c r="N57" i="2"/>
  <c r="AO58" i="3" s="1"/>
  <c r="AR58" i="3" s="1"/>
  <c r="N58" i="2"/>
  <c r="AO59" i="3" s="1"/>
  <c r="AR59" i="3" s="1"/>
  <c r="N59" i="2"/>
  <c r="N60" i="2"/>
  <c r="N61" i="2"/>
  <c r="N62" i="2"/>
  <c r="AO63" i="3" s="1"/>
  <c r="AR63" i="3" s="1"/>
  <c r="N63" i="2"/>
  <c r="N64" i="2"/>
  <c r="N65" i="2"/>
  <c r="AO66" i="3" s="1"/>
  <c r="AR66" i="3" s="1"/>
  <c r="N66" i="2"/>
  <c r="AO67" i="3" s="1"/>
  <c r="AR67" i="3" s="1"/>
  <c r="N67" i="2"/>
  <c r="N68" i="2"/>
  <c r="N69" i="2"/>
  <c r="N70" i="2"/>
  <c r="AO71" i="3" s="1"/>
  <c r="AR71" i="3" s="1"/>
  <c r="N71" i="2"/>
  <c r="N72" i="2"/>
  <c r="N73" i="2"/>
  <c r="N74" i="2"/>
  <c r="AO75" i="3" s="1"/>
  <c r="AR75" i="3" s="1"/>
  <c r="N75" i="2"/>
  <c r="N76" i="2"/>
  <c r="N77" i="2"/>
  <c r="N78" i="2"/>
  <c r="AO79" i="3" s="1"/>
  <c r="AR79" i="3" s="1"/>
  <c r="N79" i="2"/>
  <c r="N80" i="2"/>
  <c r="N81" i="2"/>
  <c r="AO82" i="3" s="1"/>
  <c r="AR82" i="3" s="1"/>
  <c r="N82" i="2"/>
  <c r="AO83" i="3" s="1"/>
  <c r="AR83" i="3" s="1"/>
  <c r="N83" i="2"/>
  <c r="N84" i="2"/>
  <c r="N85" i="2"/>
  <c r="N86" i="2"/>
  <c r="AO87" i="3" s="1"/>
  <c r="AR87" i="3" s="1"/>
  <c r="N87" i="2"/>
  <c r="N88" i="2"/>
  <c r="AO89" i="3" s="1"/>
  <c r="AR89" i="3" s="1"/>
  <c r="N89" i="2"/>
  <c r="N90" i="2"/>
  <c r="AO91" i="3" s="1"/>
  <c r="AR91" i="3" s="1"/>
  <c r="N91" i="2"/>
  <c r="N92" i="2"/>
  <c r="N93" i="2"/>
  <c r="N94" i="2"/>
  <c r="AO95" i="3" s="1"/>
  <c r="AR95" i="3" s="1"/>
  <c r="N95" i="2"/>
  <c r="N96" i="2"/>
  <c r="N97" i="2"/>
  <c r="AO98" i="3" s="1"/>
  <c r="AR98" i="3" s="1"/>
  <c r="N98" i="2"/>
  <c r="AO99" i="3" s="1"/>
  <c r="AR99" i="3" s="1"/>
  <c r="N99" i="2"/>
  <c r="N100" i="2"/>
  <c r="N101" i="2"/>
  <c r="N102" i="2"/>
  <c r="AO103" i="3" s="1"/>
  <c r="AR103" i="3" s="1"/>
  <c r="N103" i="2"/>
  <c r="N104" i="2"/>
  <c r="N105" i="2"/>
  <c r="N106" i="2"/>
  <c r="AO107" i="3" s="1"/>
  <c r="AR107" i="3" s="1"/>
  <c r="N107" i="2"/>
  <c r="N108" i="2"/>
  <c r="N109" i="2"/>
  <c r="N110" i="2"/>
  <c r="AO111" i="3" s="1"/>
  <c r="AR111" i="3" s="1"/>
  <c r="N111" i="2"/>
  <c r="N112" i="2"/>
  <c r="N113" i="2"/>
  <c r="N114" i="2"/>
  <c r="AO115" i="3" s="1"/>
  <c r="AR115" i="3" s="1"/>
  <c r="N115" i="2"/>
  <c r="N116" i="2"/>
  <c r="N117" i="2"/>
  <c r="N118" i="2"/>
  <c r="N119" i="2"/>
  <c r="N120" i="2"/>
  <c r="N121" i="2"/>
  <c r="N122" i="2"/>
  <c r="AO123" i="3" s="1"/>
  <c r="AR123" i="3" s="1"/>
  <c r="N123" i="2"/>
  <c r="N124" i="2"/>
  <c r="N125" i="2"/>
  <c r="AO126" i="3" s="1"/>
  <c r="AR126" i="3" s="1"/>
  <c r="N126" i="2"/>
  <c r="AO127" i="3" s="1"/>
  <c r="AR127" i="3" s="1"/>
  <c r="N127" i="2"/>
  <c r="N128" i="2"/>
  <c r="N129" i="2"/>
  <c r="AO130" i="3" s="1"/>
  <c r="AR130" i="3" s="1"/>
  <c r="N130" i="2"/>
  <c r="AO131" i="3" s="1"/>
  <c r="AR131" i="3" s="1"/>
  <c r="N131" i="2"/>
  <c r="N132" i="2"/>
  <c r="N133" i="2"/>
  <c r="N134" i="2"/>
  <c r="AO135" i="3" s="1"/>
  <c r="AR135" i="3" s="1"/>
  <c r="N135" i="2"/>
  <c r="N136" i="2"/>
  <c r="N137" i="2"/>
  <c r="N138" i="2"/>
  <c r="AO139" i="3" s="1"/>
  <c r="AR139" i="3" s="1"/>
  <c r="N139" i="2"/>
  <c r="N140" i="2"/>
  <c r="N141" i="2"/>
  <c r="N142" i="2"/>
  <c r="AO143" i="3" s="1"/>
  <c r="AR143" i="3" s="1"/>
  <c r="N143" i="2"/>
  <c r="N144" i="2"/>
  <c r="N145" i="2"/>
  <c r="AO146" i="3" s="1"/>
  <c r="AR146" i="3" s="1"/>
  <c r="N146" i="2"/>
  <c r="AO147" i="3" s="1"/>
  <c r="AR147" i="3" s="1"/>
  <c r="N147" i="2"/>
  <c r="N148" i="2"/>
  <c r="N149" i="2"/>
  <c r="N150" i="2"/>
  <c r="AO151" i="3" s="1"/>
  <c r="AR151" i="3" s="1"/>
  <c r="N151" i="2"/>
  <c r="N152" i="2"/>
  <c r="N153" i="2"/>
  <c r="N154" i="2"/>
  <c r="AO155" i="3" s="1"/>
  <c r="AR155" i="3" s="1"/>
  <c r="N155" i="2"/>
  <c r="N156" i="2"/>
  <c r="N157" i="2"/>
  <c r="AO158" i="3" s="1"/>
  <c r="AR158" i="3" s="1"/>
  <c r="N158" i="2"/>
  <c r="AO159" i="3" s="1"/>
  <c r="AR159" i="3" s="1"/>
  <c r="N159" i="2"/>
  <c r="N160" i="2"/>
  <c r="N161" i="2"/>
  <c r="AO162" i="3" s="1"/>
  <c r="AR162" i="3" s="1"/>
  <c r="N162" i="2"/>
  <c r="N163" i="2"/>
  <c r="N164" i="2"/>
  <c r="N165" i="2"/>
  <c r="N166" i="2"/>
  <c r="N167" i="2"/>
  <c r="N168" i="2"/>
  <c r="N169" i="2"/>
  <c r="N170" i="2"/>
  <c r="N171" i="2"/>
  <c r="N172" i="2"/>
  <c r="N173" i="2"/>
  <c r="AO174" i="3" s="1"/>
  <c r="AR174" i="3" s="1"/>
  <c r="N174" i="2"/>
  <c r="N175" i="2"/>
  <c r="N176" i="2"/>
  <c r="N177" i="2"/>
  <c r="AO178" i="3" s="1"/>
  <c r="AR178" i="3" s="1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AO198" i="3" s="1"/>
  <c r="AR198" i="3" s="1"/>
  <c r="N198" i="2"/>
  <c r="N199" i="2"/>
  <c r="N200" i="2"/>
  <c r="N201" i="2"/>
  <c r="N202" i="2"/>
  <c r="N203" i="2"/>
  <c r="N204" i="2"/>
  <c r="N205" i="2"/>
  <c r="AO206" i="3" s="1"/>
  <c r="AR206" i="3" s="1"/>
  <c r="N206" i="2"/>
  <c r="N207" i="2"/>
  <c r="N208" i="2"/>
  <c r="N209" i="2"/>
  <c r="AO210" i="3" s="1"/>
  <c r="AR210" i="3" s="1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AO226" i="3" s="1"/>
  <c r="AR226" i="3" s="1"/>
  <c r="N226" i="2"/>
  <c r="N227" i="2"/>
  <c r="N228" i="2"/>
  <c r="N229" i="2"/>
  <c r="AO230" i="3" s="1"/>
  <c r="AR230" i="3" s="1"/>
  <c r="N230" i="2"/>
  <c r="N231" i="2"/>
  <c r="N232" i="2"/>
  <c r="N233" i="2"/>
  <c r="N234" i="2"/>
  <c r="N235" i="2"/>
  <c r="N236" i="2"/>
  <c r="N237" i="2"/>
  <c r="AO238" i="3" s="1"/>
  <c r="AR238" i="3" s="1"/>
  <c r="N238" i="2"/>
  <c r="N239" i="2"/>
  <c r="N240" i="2"/>
  <c r="N241" i="2"/>
  <c r="AO242" i="3" s="1"/>
  <c r="AR242" i="3" s="1"/>
  <c r="N242" i="2"/>
  <c r="N243" i="2"/>
  <c r="N244" i="2"/>
  <c r="N245" i="2"/>
  <c r="N246" i="2"/>
  <c r="N247" i="2"/>
  <c r="N248" i="2"/>
  <c r="N249" i="2"/>
  <c r="AO250" i="3" s="1"/>
  <c r="AR250" i="3" s="1"/>
  <c r="N250" i="2"/>
  <c r="N251" i="2"/>
  <c r="N252" i="2"/>
  <c r="N253" i="2"/>
  <c r="AO254" i="3" s="1"/>
  <c r="AR254" i="3" s="1"/>
  <c r="N254" i="2"/>
  <c r="N255" i="2"/>
  <c r="N256" i="2"/>
  <c r="AO257" i="3" s="1"/>
  <c r="AR257" i="3" s="1"/>
  <c r="N257" i="2"/>
  <c r="N258" i="2"/>
  <c r="N259" i="2"/>
  <c r="N260" i="2"/>
  <c r="N261" i="2"/>
  <c r="N262" i="2"/>
  <c r="N263" i="2"/>
  <c r="N264" i="2"/>
  <c r="N265" i="2"/>
  <c r="AO266" i="3" s="1"/>
  <c r="AR266" i="3" s="1"/>
  <c r="N266" i="2"/>
  <c r="N267" i="2"/>
  <c r="N268" i="2"/>
  <c r="N269" i="2"/>
  <c r="AO270" i="3" s="1"/>
  <c r="AR270" i="3" s="1"/>
  <c r="N270" i="2"/>
  <c r="N271" i="2"/>
  <c r="N272" i="2"/>
  <c r="N273" i="2"/>
  <c r="N274" i="2"/>
  <c r="N275" i="2"/>
  <c r="N276" i="2"/>
  <c r="N277" i="2"/>
  <c r="N278" i="2"/>
  <c r="N279" i="2"/>
  <c r="N280" i="2"/>
  <c r="AO281" i="3" s="1"/>
  <c r="AR281" i="3" s="1"/>
  <c r="N281" i="2"/>
  <c r="AO282" i="3" s="1"/>
  <c r="AR282" i="3" s="1"/>
  <c r="N282" i="2"/>
  <c r="N283" i="2"/>
  <c r="N284" i="2"/>
  <c r="N285" i="2"/>
  <c r="AO286" i="3" s="1"/>
  <c r="AR286" i="3" s="1"/>
  <c r="N286" i="2"/>
  <c r="N287" i="2"/>
  <c r="N288" i="2"/>
  <c r="N289" i="2"/>
  <c r="N290" i="2"/>
  <c r="N291" i="2"/>
  <c r="N292" i="2"/>
  <c r="N293" i="2"/>
  <c r="N294" i="2"/>
  <c r="N295" i="2"/>
  <c r="N296" i="2"/>
  <c r="N297" i="2"/>
  <c r="AO298" i="3" s="1"/>
  <c r="AR298" i="3" s="1"/>
  <c r="N298" i="2"/>
  <c r="N299" i="2"/>
  <c r="N300" i="2"/>
  <c r="N301" i="2"/>
  <c r="AO302" i="3" s="1"/>
  <c r="AR302" i="3" s="1"/>
  <c r="N302" i="2"/>
  <c r="N303" i="2"/>
  <c r="N304" i="2"/>
  <c r="N305" i="2"/>
  <c r="AO306" i="3" s="1"/>
  <c r="AR306" i="3" s="1"/>
  <c r="N306" i="2"/>
  <c r="N307" i="2"/>
  <c r="N308" i="2"/>
  <c r="N309" i="2"/>
  <c r="N310" i="2"/>
  <c r="AO311" i="3" s="1"/>
  <c r="AR311" i="3" s="1"/>
  <c r="N311" i="2"/>
  <c r="N312" i="2"/>
  <c r="N313" i="2"/>
  <c r="N314" i="2"/>
  <c r="AO315" i="3" s="1"/>
  <c r="AR315" i="3" s="1"/>
  <c r="N315" i="2"/>
  <c r="N316" i="2"/>
  <c r="N317" i="2"/>
  <c r="N318" i="2"/>
  <c r="N319" i="2"/>
  <c r="N320" i="2"/>
  <c r="N321" i="2"/>
  <c r="AO322" i="3" s="1"/>
  <c r="AR322" i="3" s="1"/>
  <c r="N322" i="2"/>
  <c r="N323" i="2"/>
  <c r="N324" i="2"/>
  <c r="N325" i="2"/>
  <c r="N326" i="2"/>
  <c r="N327" i="2"/>
  <c r="N328" i="2"/>
  <c r="N329" i="2"/>
  <c r="AO330" i="3" s="1"/>
  <c r="AR330" i="3" s="1"/>
  <c r="N330" i="2"/>
  <c r="N331" i="2"/>
  <c r="N332" i="2"/>
  <c r="N333" i="2"/>
  <c r="AO334" i="3" s="1"/>
  <c r="AR334" i="3" s="1"/>
  <c r="N334" i="2"/>
  <c r="N335" i="2"/>
  <c r="N336" i="2"/>
  <c r="N337" i="2"/>
  <c r="N338" i="2"/>
  <c r="N339" i="2"/>
  <c r="N340" i="2"/>
  <c r="N341" i="2"/>
  <c r="N342" i="2"/>
  <c r="N343" i="2"/>
  <c r="N344" i="2"/>
  <c r="N345" i="2"/>
  <c r="AO346" i="3" s="1"/>
  <c r="AR346" i="3" s="1"/>
  <c r="N346" i="2"/>
  <c r="N347" i="2"/>
  <c r="N348" i="2"/>
  <c r="N349" i="2"/>
  <c r="AO350" i="3" s="1"/>
  <c r="AR350" i="3" s="1"/>
  <c r="N350" i="2"/>
  <c r="N351" i="2"/>
  <c r="N352" i="2"/>
  <c r="AO353" i="3" s="1"/>
  <c r="AR353" i="3" s="1"/>
  <c r="N353" i="2"/>
  <c r="N354" i="2"/>
  <c r="N355" i="2"/>
  <c r="N356" i="2"/>
  <c r="N357" i="2"/>
  <c r="N358" i="2"/>
  <c r="N359" i="2"/>
  <c r="N360" i="2"/>
  <c r="AO361" i="3" s="1"/>
  <c r="AR361" i="3" s="1"/>
  <c r="N361" i="2"/>
  <c r="AO362" i="3" s="1"/>
  <c r="AR362" i="3" s="1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AO737" i="3" s="1"/>
  <c r="AR737" i="3" s="1"/>
  <c r="N442" i="2"/>
  <c r="O442" i="2" s="1"/>
  <c r="N443" i="2"/>
  <c r="O443" i="2" s="1"/>
  <c r="N444" i="2"/>
  <c r="O444" i="2" s="1"/>
  <c r="N445" i="2"/>
  <c r="AO741" i="3" s="1"/>
  <c r="AR741" i="3" s="1"/>
  <c r="N446" i="2"/>
  <c r="O446" i="2" s="1"/>
  <c r="N447" i="2"/>
  <c r="O447" i="2" s="1"/>
  <c r="N448" i="2"/>
  <c r="O448" i="2" s="1"/>
  <c r="N449" i="2"/>
  <c r="AO745" i="3" s="1"/>
  <c r="AR745" i="3" s="1"/>
  <c r="N450" i="2"/>
  <c r="O450" i="2" s="1"/>
  <c r="N451" i="2"/>
  <c r="O451" i="2" s="1"/>
  <c r="N452" i="2"/>
  <c r="O452" i="2" s="1"/>
  <c r="N453" i="2"/>
  <c r="AO749" i="3" s="1"/>
  <c r="AR749" i="3" s="1"/>
  <c r="N454" i="2"/>
  <c r="O454" i="2" s="1"/>
  <c r="N455" i="2"/>
  <c r="O455" i="2" s="1"/>
  <c r="N456" i="2"/>
  <c r="O456" i="2" s="1"/>
  <c r="N457" i="2"/>
  <c r="AO753" i="3" s="1"/>
  <c r="AR753" i="3" s="1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AO766" i="3" s="1"/>
  <c r="AR766" i="3" s="1"/>
  <c r="N471" i="2"/>
  <c r="O471" i="2" s="1"/>
  <c r="N472" i="2"/>
  <c r="O472" i="2" s="1"/>
  <c r="N473" i="2"/>
  <c r="AO769" i="3" s="1"/>
  <c r="AR769" i="3" s="1"/>
  <c r="N474" i="2"/>
  <c r="O474" i="2" s="1"/>
  <c r="N475" i="2"/>
  <c r="O475" i="2" s="1"/>
  <c r="N476" i="2"/>
  <c r="O476" i="2" s="1"/>
  <c r="N477" i="2"/>
  <c r="AO773" i="3" s="1"/>
  <c r="AR773" i="3" s="1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AO781" i="3" s="1"/>
  <c r="AR781" i="3" s="1"/>
  <c r="N486" i="2"/>
  <c r="O486" i="2" s="1"/>
  <c r="N487" i="2"/>
  <c r="O487" i="2" s="1"/>
  <c r="N488" i="2"/>
  <c r="O488" i="2" s="1"/>
  <c r="N489" i="2"/>
  <c r="AO785" i="3" s="1"/>
  <c r="AR785" i="3" s="1"/>
  <c r="N490" i="2"/>
  <c r="O490" i="2" s="1"/>
  <c r="N491" i="2"/>
  <c r="O491" i="2" s="1"/>
  <c r="N492" i="2"/>
  <c r="O492" i="2" s="1"/>
  <c r="N493" i="2"/>
  <c r="AO789" i="3" s="1"/>
  <c r="AR789" i="3" s="1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AO801" i="3" s="1"/>
  <c r="AR801" i="3" s="1"/>
  <c r="N506" i="2"/>
  <c r="O506" i="2" s="1"/>
  <c r="N507" i="2"/>
  <c r="O507" i="2" s="1"/>
  <c r="N508" i="2"/>
  <c r="AO804" i="3" s="1"/>
  <c r="AR804" i="3" s="1"/>
  <c r="N509" i="2"/>
  <c r="AO805" i="3" s="1"/>
  <c r="AR805" i="3" s="1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AO813" i="3" s="1"/>
  <c r="AR813" i="3" s="1"/>
  <c r="N518" i="2"/>
  <c r="AO814" i="3" s="1"/>
  <c r="AR814" i="3" s="1"/>
  <c r="N519" i="2"/>
  <c r="O519" i="2" s="1"/>
  <c r="N520" i="2"/>
  <c r="O520" i="2" s="1"/>
  <c r="N521" i="2"/>
  <c r="AO817" i="3" s="1"/>
  <c r="AR817" i="3" s="1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AO833" i="3" s="1"/>
  <c r="AR833" i="3" s="1"/>
  <c r="N538" i="2"/>
  <c r="O538" i="2" s="1"/>
  <c r="N539" i="2"/>
  <c r="O539" i="2" s="1"/>
  <c r="N540" i="2"/>
  <c r="O540" i="2" s="1"/>
  <c r="N541" i="2"/>
  <c r="AO837" i="3" s="1"/>
  <c r="AR837" i="3" s="1"/>
  <c r="N542" i="2"/>
  <c r="O542" i="2" s="1"/>
  <c r="N543" i="2"/>
  <c r="O543" i="2" s="1"/>
  <c r="N544" i="2"/>
  <c r="O544" i="2" s="1"/>
  <c r="N545" i="2"/>
  <c r="AO841" i="3" s="1"/>
  <c r="AR841" i="3" s="1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AO849" i="3" s="1"/>
  <c r="AR849" i="3" s="1"/>
  <c r="N554" i="2"/>
  <c r="O554" i="2" s="1"/>
  <c r="N555" i="2"/>
  <c r="O555" i="2" s="1"/>
  <c r="N556" i="2"/>
  <c r="O556" i="2" s="1"/>
  <c r="N557" i="2"/>
  <c r="AO853" i="3" s="1"/>
  <c r="AR853" i="3" s="1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AO865" i="3" s="1"/>
  <c r="AR865" i="3" s="1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AO873" i="3" s="1"/>
  <c r="AR873" i="3" s="1"/>
  <c r="N578" i="2"/>
  <c r="O578" i="2" s="1"/>
  <c r="N579" i="2"/>
  <c r="O579" i="2" s="1"/>
  <c r="N580" i="2"/>
  <c r="O580" i="2" s="1"/>
  <c r="N581" i="2"/>
  <c r="AO877" i="3" s="1"/>
  <c r="AR877" i="3" s="1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AO885" i="3" s="1"/>
  <c r="AR885" i="3" s="1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AO897" i="3" s="1"/>
  <c r="AR897" i="3" s="1"/>
  <c r="N602" i="2"/>
  <c r="O602" i="2" s="1"/>
  <c r="N603" i="2"/>
  <c r="O603" i="2" s="1"/>
  <c r="N604" i="2"/>
  <c r="O604" i="2" s="1"/>
  <c r="N605" i="2"/>
  <c r="AO901" i="3" s="1"/>
  <c r="AR901" i="3" s="1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AO909" i="3" s="1"/>
  <c r="AR909" i="3" s="1"/>
  <c r="N614" i="2"/>
  <c r="O614" i="2" s="1"/>
  <c r="N615" i="2"/>
  <c r="O615" i="2" s="1"/>
  <c r="N616" i="2"/>
  <c r="O616" i="2" s="1"/>
  <c r="N617" i="2"/>
  <c r="AO913" i="3" s="1"/>
  <c r="AR913" i="3" s="1"/>
  <c r="N618" i="2"/>
  <c r="O618" i="2" s="1"/>
  <c r="N619" i="2"/>
  <c r="O619" i="2" s="1"/>
  <c r="N620" i="2"/>
  <c r="O620" i="2" s="1"/>
  <c r="N621" i="2"/>
  <c r="AO917" i="3" s="1"/>
  <c r="AR917" i="3" s="1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AO933" i="3" s="1"/>
  <c r="AR933" i="3" s="1"/>
  <c r="N638" i="2"/>
  <c r="O638" i="2" s="1"/>
  <c r="N639" i="2"/>
  <c r="O639" i="2" s="1"/>
  <c r="N640" i="2"/>
  <c r="O640" i="2" s="1"/>
  <c r="N641" i="2"/>
  <c r="AO937" i="3" s="1"/>
  <c r="AR937" i="3" s="1"/>
  <c r="N642" i="2"/>
  <c r="O642" i="2" s="1"/>
  <c r="N643" i="2"/>
  <c r="O643" i="2" s="1"/>
  <c r="N644" i="2"/>
  <c r="O644" i="2" s="1"/>
  <c r="N645" i="2"/>
  <c r="AO941" i="3" s="1"/>
  <c r="AR941" i="3" s="1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AO949" i="3" s="1"/>
  <c r="AR949" i="3" s="1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AO960" i="3" s="1"/>
  <c r="AR960" i="3" s="1"/>
  <c r="N665" i="2"/>
  <c r="O665" i="2" s="1"/>
  <c r="N666" i="2"/>
  <c r="O666" i="2" s="1"/>
  <c r="N667" i="2"/>
  <c r="O667" i="2" s="1"/>
  <c r="N668" i="2"/>
  <c r="O668" i="2" s="1"/>
  <c r="N669" i="2"/>
  <c r="AO965" i="3" s="1"/>
  <c r="AR965" i="3" s="1"/>
  <c r="N670" i="2"/>
  <c r="O670" i="2" s="1"/>
  <c r="N671" i="2"/>
  <c r="O671" i="2" s="1"/>
  <c r="N672" i="2"/>
  <c r="O672" i="2" s="1"/>
  <c r="N673" i="2"/>
  <c r="AO969" i="3" s="1"/>
  <c r="AR969" i="3" s="1"/>
  <c r="N674" i="2"/>
  <c r="O674" i="2" s="1"/>
  <c r="N675" i="2"/>
  <c r="O675" i="2" s="1"/>
  <c r="N676" i="2"/>
  <c r="O676" i="2" s="1"/>
  <c r="N677" i="2"/>
  <c r="AO973" i="3" s="1"/>
  <c r="AR973" i="3" s="1"/>
  <c r="N678" i="2"/>
  <c r="O678" i="2" s="1"/>
  <c r="N679" i="2"/>
  <c r="O679" i="2" s="1"/>
  <c r="N680" i="2"/>
  <c r="O680" i="2" s="1"/>
  <c r="N681" i="2"/>
  <c r="AO977" i="3" s="1"/>
  <c r="AR977" i="3" s="1"/>
  <c r="N682" i="2"/>
  <c r="O682" i="2" s="1"/>
  <c r="N683" i="2"/>
  <c r="O683" i="2" s="1"/>
  <c r="N684" i="2"/>
  <c r="O684" i="2" s="1"/>
  <c r="N685" i="2"/>
  <c r="AO981" i="3" s="1"/>
  <c r="AR981" i="3" s="1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AO993" i="3" s="1"/>
  <c r="AR993" i="3" s="1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AO1001" i="3" s="1"/>
  <c r="AR1001" i="3" s="1"/>
  <c r="N706" i="2"/>
  <c r="O706" i="2" s="1"/>
  <c r="N707" i="2"/>
  <c r="O707" i="2" s="1"/>
  <c r="N708" i="2"/>
  <c r="O708" i="2" s="1"/>
  <c r="N709" i="2"/>
  <c r="AO1005" i="3" s="1"/>
  <c r="AR1005" i="3" s="1"/>
  <c r="N710" i="2"/>
  <c r="O710" i="2" s="1"/>
  <c r="N711" i="2"/>
  <c r="O711" i="2" s="1"/>
  <c r="N712" i="2"/>
  <c r="O712" i="2" s="1"/>
  <c r="N713" i="2"/>
  <c r="AO1009" i="3" s="1"/>
  <c r="AR1009" i="3" s="1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AO1022" i="3" s="1"/>
  <c r="AR1022" i="3" s="1"/>
  <c r="N727" i="2"/>
  <c r="O727" i="2" s="1"/>
  <c r="N728" i="2"/>
  <c r="O728" i="2" s="1"/>
  <c r="N729" i="2"/>
  <c r="AO1025" i="3" s="1"/>
  <c r="AR1025" i="3" s="1"/>
  <c r="N730" i="2"/>
  <c r="O730" i="2" s="1"/>
  <c r="N731" i="2"/>
  <c r="O731" i="2" s="1"/>
  <c r="N732" i="2"/>
  <c r="O732" i="2" s="1"/>
  <c r="N733" i="2"/>
  <c r="AO1029" i="3" s="1"/>
  <c r="AR1029" i="3" s="1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AO1037" i="3" s="1"/>
  <c r="AR1037" i="3" s="1"/>
  <c r="N742" i="2"/>
  <c r="O742" i="2" s="1"/>
  <c r="N743" i="2"/>
  <c r="O743" i="2" s="1"/>
  <c r="N744" i="2"/>
  <c r="O744" i="2" s="1"/>
  <c r="N745" i="2"/>
  <c r="AO1041" i="3" s="1"/>
  <c r="AR1041" i="3" s="1"/>
  <c r="N746" i="2"/>
  <c r="O746" i="2" s="1"/>
  <c r="N747" i="2"/>
  <c r="O747" i="2" s="1"/>
  <c r="N748" i="2"/>
  <c r="O748" i="2" s="1"/>
  <c r="N749" i="2"/>
  <c r="AO1045" i="3" s="1"/>
  <c r="AR1045" i="3" s="1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AO1056" i="3" s="1"/>
  <c r="AR1056" i="3" s="1"/>
  <c r="N761" i="2"/>
  <c r="AO1057" i="3" s="1"/>
  <c r="AR1057" i="3" s="1"/>
  <c r="N762" i="2"/>
  <c r="O762" i="2" s="1"/>
  <c r="N763" i="2"/>
  <c r="O763" i="2" s="1"/>
  <c r="N764" i="2"/>
  <c r="AO1060" i="3" s="1"/>
  <c r="AR1060" i="3" s="1"/>
  <c r="N765" i="2"/>
  <c r="AO1061" i="3" s="1"/>
  <c r="AR1061" i="3" s="1"/>
  <c r="N766" i="2"/>
  <c r="O766" i="2" s="1"/>
  <c r="N767" i="2"/>
  <c r="O767" i="2" s="1"/>
  <c r="N768" i="2"/>
  <c r="AO1064" i="3" s="1"/>
  <c r="AR1064" i="3" s="1"/>
  <c r="N769" i="2"/>
  <c r="AO1065" i="3" s="1"/>
  <c r="AR1065" i="3" s="1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AO1073" i="3" s="1"/>
  <c r="AR1073" i="3" s="1"/>
  <c r="N778" i="2"/>
  <c r="O778" i="2" s="1"/>
  <c r="N779" i="2"/>
  <c r="O779" i="2" s="1"/>
  <c r="N780" i="2"/>
  <c r="O780" i="2" s="1"/>
  <c r="N781" i="2"/>
  <c r="AO1077" i="3" s="1"/>
  <c r="AR1077" i="3" s="1"/>
  <c r="N782" i="2"/>
  <c r="O782" i="2" s="1"/>
  <c r="N783" i="2"/>
  <c r="AO1079" i="3" s="1"/>
  <c r="AR1079" i="3" s="1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AO1093" i="3" s="1"/>
  <c r="AR1093" i="3" s="1"/>
  <c r="N798" i="2"/>
  <c r="O798" i="2" s="1"/>
  <c r="N799" i="2"/>
  <c r="O799" i="2" s="1"/>
  <c r="N800" i="2"/>
  <c r="O800" i="2" s="1"/>
  <c r="N801" i="2"/>
  <c r="AO1097" i="3" s="1"/>
  <c r="AR1097" i="3" s="1"/>
  <c r="N802" i="2"/>
  <c r="O802" i="2" s="1"/>
  <c r="N803" i="2"/>
  <c r="O803" i="2" s="1"/>
  <c r="N804" i="2"/>
  <c r="O804" i="2" s="1"/>
  <c r="N805" i="2"/>
  <c r="AO1101" i="3" s="1"/>
  <c r="AR1101" i="3" s="1"/>
  <c r="N806" i="2"/>
  <c r="O806" i="2" s="1"/>
  <c r="N807" i="2"/>
  <c r="O807" i="2" s="1"/>
  <c r="N808" i="2"/>
  <c r="AO1104" i="3" s="1"/>
  <c r="AR1104" i="3" s="1"/>
  <c r="N809" i="2"/>
  <c r="AO1105" i="3" s="1"/>
  <c r="AR1105" i="3" s="1"/>
  <c r="N810" i="2"/>
  <c r="O810" i="2" s="1"/>
  <c r="N811" i="2"/>
  <c r="O811" i="2" s="1"/>
  <c r="N812" i="2"/>
  <c r="O812" i="2" s="1"/>
  <c r="N813" i="2"/>
  <c r="AO1109" i="3" s="1"/>
  <c r="AR1109" i="3" s="1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AO1121" i="3" s="1"/>
  <c r="AR1121" i="3" s="1"/>
  <c r="N826" i="2"/>
  <c r="O826" i="2" s="1"/>
  <c r="N827" i="2"/>
  <c r="O827" i="2" s="1"/>
  <c r="N828" i="2"/>
  <c r="O828" i="2" s="1"/>
  <c r="N829" i="2"/>
  <c r="AO1125" i="3" s="1"/>
  <c r="AR1125" i="3" s="1"/>
  <c r="N830" i="2"/>
  <c r="O830" i="2" s="1"/>
  <c r="N831" i="2"/>
  <c r="O831" i="2" s="1"/>
  <c r="N832" i="2"/>
  <c r="O832" i="2" s="1"/>
  <c r="N833" i="2"/>
  <c r="AO1129" i="3" s="1"/>
  <c r="AR1129" i="3" s="1"/>
  <c r="N834" i="2"/>
  <c r="O834" i="2" s="1"/>
  <c r="N835" i="2"/>
  <c r="O835" i="2" s="1"/>
  <c r="N836" i="2"/>
  <c r="AO1132" i="3" s="1"/>
  <c r="AR1132" i="3" s="1"/>
  <c r="N837" i="2"/>
  <c r="AO1133" i="3" s="1"/>
  <c r="AR1133" i="3" s="1"/>
  <c r="N838" i="2"/>
  <c r="O838" i="2" s="1"/>
  <c r="N839" i="2"/>
  <c r="O839" i="2" s="1"/>
  <c r="N840" i="2"/>
  <c r="O840" i="2" s="1"/>
  <c r="N841" i="2"/>
  <c r="AO1137" i="3" s="1"/>
  <c r="AR1137" i="3" s="1"/>
  <c r="N842" i="2"/>
  <c r="O842" i="2" s="1"/>
  <c r="N843" i="2"/>
  <c r="O843" i="2" s="1"/>
  <c r="N844" i="2"/>
  <c r="O844" i="2" s="1"/>
  <c r="N845" i="2"/>
  <c r="AO1141" i="3" s="1"/>
  <c r="AR1141" i="3" s="1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AO1153" i="3" s="1"/>
  <c r="AR1153" i="3" s="1"/>
  <c r="N858" i="2"/>
  <c r="O858" i="2" s="1"/>
  <c r="N859" i="2"/>
  <c r="AO1155" i="3" s="1"/>
  <c r="AR1155" i="3" s="1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AO1161" i="3" s="1"/>
  <c r="AR1161" i="3" s="1"/>
  <c r="N2" i="2"/>
  <c r="O3" i="2"/>
  <c r="AO3" i="3" s="1"/>
  <c r="AR3" i="3" s="1"/>
  <c r="O237" i="2"/>
  <c r="O314" i="2"/>
  <c r="O379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O364" i="2" l="1"/>
  <c r="AO365" i="3"/>
  <c r="AR365" i="3" s="1"/>
  <c r="O356" i="2"/>
  <c r="AO357" i="3"/>
  <c r="AR357" i="3" s="1"/>
  <c r="O348" i="2"/>
  <c r="AO349" i="3"/>
  <c r="AR349" i="3" s="1"/>
  <c r="O344" i="2"/>
  <c r="AO345" i="3"/>
  <c r="AR345" i="3" s="1"/>
  <c r="O340" i="2"/>
  <c r="AO341" i="3"/>
  <c r="AR341" i="3" s="1"/>
  <c r="O336" i="2"/>
  <c r="AO337" i="3"/>
  <c r="AR337" i="3" s="1"/>
  <c r="O332" i="2"/>
  <c r="AO333" i="3"/>
  <c r="AR333" i="3" s="1"/>
  <c r="O328" i="2"/>
  <c r="AO329" i="3"/>
  <c r="AR329" i="3" s="1"/>
  <c r="O324" i="2"/>
  <c r="AO325" i="3"/>
  <c r="AR325" i="3" s="1"/>
  <c r="O320" i="2"/>
  <c r="AO321" i="3"/>
  <c r="AR321" i="3" s="1"/>
  <c r="O316" i="2"/>
  <c r="AO317" i="3"/>
  <c r="AR317" i="3" s="1"/>
  <c r="O312" i="2"/>
  <c r="AO313" i="3"/>
  <c r="AR313" i="3" s="1"/>
  <c r="O308" i="2"/>
  <c r="AO309" i="3"/>
  <c r="AR309" i="3" s="1"/>
  <c r="O304" i="2"/>
  <c r="AO305" i="3"/>
  <c r="AR305" i="3" s="1"/>
  <c r="O300" i="2"/>
  <c r="AO301" i="3"/>
  <c r="AR301" i="3" s="1"/>
  <c r="O296" i="2"/>
  <c r="AO297" i="3"/>
  <c r="AR297" i="3" s="1"/>
  <c r="O292" i="2"/>
  <c r="AO293" i="3"/>
  <c r="AR293" i="3" s="1"/>
  <c r="O288" i="2"/>
  <c r="AO289" i="3"/>
  <c r="AR289" i="3" s="1"/>
  <c r="O284" i="2"/>
  <c r="AO285" i="3"/>
  <c r="AR285" i="3" s="1"/>
  <c r="O276" i="2"/>
  <c r="AO277" i="3"/>
  <c r="AR277" i="3" s="1"/>
  <c r="O272" i="2"/>
  <c r="AO273" i="3"/>
  <c r="AR273" i="3" s="1"/>
  <c r="O268" i="2"/>
  <c r="AO269" i="3"/>
  <c r="AR269" i="3" s="1"/>
  <c r="O264" i="2"/>
  <c r="AO265" i="3"/>
  <c r="AR265" i="3" s="1"/>
  <c r="O260" i="2"/>
  <c r="AO261" i="3"/>
  <c r="AR261" i="3" s="1"/>
  <c r="O252" i="2"/>
  <c r="AO253" i="3"/>
  <c r="AR253" i="3" s="1"/>
  <c r="O248" i="2"/>
  <c r="AO249" i="3"/>
  <c r="AR249" i="3" s="1"/>
  <c r="O244" i="2"/>
  <c r="AO245" i="3"/>
  <c r="AR245" i="3" s="1"/>
  <c r="O240" i="2"/>
  <c r="AO241" i="3"/>
  <c r="AR241" i="3" s="1"/>
  <c r="O236" i="2"/>
  <c r="AO237" i="3"/>
  <c r="AR237" i="3" s="1"/>
  <c r="O232" i="2"/>
  <c r="AO233" i="3"/>
  <c r="AR233" i="3" s="1"/>
  <c r="O228" i="2"/>
  <c r="AO229" i="3"/>
  <c r="AR229" i="3" s="1"/>
  <c r="O224" i="2"/>
  <c r="AO225" i="3"/>
  <c r="AR225" i="3" s="1"/>
  <c r="O220" i="2"/>
  <c r="AO221" i="3"/>
  <c r="AR221" i="3" s="1"/>
  <c r="O216" i="2"/>
  <c r="AO217" i="3"/>
  <c r="AR217" i="3" s="1"/>
  <c r="O212" i="2"/>
  <c r="AO213" i="3"/>
  <c r="AR213" i="3" s="1"/>
  <c r="O208" i="2"/>
  <c r="AO209" i="3"/>
  <c r="AR209" i="3" s="1"/>
  <c r="O204" i="2"/>
  <c r="AO205" i="3"/>
  <c r="AR205" i="3" s="1"/>
  <c r="O200" i="2"/>
  <c r="AO201" i="3"/>
  <c r="AR201" i="3" s="1"/>
  <c r="O196" i="2"/>
  <c r="AO197" i="3"/>
  <c r="AR197" i="3" s="1"/>
  <c r="AO379" i="3"/>
  <c r="AR379" i="3" s="1"/>
  <c r="O192" i="2"/>
  <c r="AO193" i="3"/>
  <c r="AR193" i="3" s="1"/>
  <c r="AO375" i="3"/>
  <c r="AR375" i="3" s="1"/>
  <c r="O188" i="2"/>
  <c r="AO189" i="3"/>
  <c r="AR189" i="3" s="1"/>
  <c r="AO371" i="3"/>
  <c r="AR371" i="3" s="1"/>
  <c r="O184" i="2"/>
  <c r="AO185" i="3"/>
  <c r="AR185" i="3" s="1"/>
  <c r="O180" i="2"/>
  <c r="AO181" i="3"/>
  <c r="AR181" i="3" s="1"/>
  <c r="O176" i="2"/>
  <c r="AO177" i="3"/>
  <c r="AR177" i="3" s="1"/>
  <c r="O172" i="2"/>
  <c r="AO173" i="3"/>
  <c r="AR173" i="3" s="1"/>
  <c r="O168" i="2"/>
  <c r="AO169" i="3"/>
  <c r="AR169" i="3" s="1"/>
  <c r="O164" i="2"/>
  <c r="AO165" i="3"/>
  <c r="AR165" i="3" s="1"/>
  <c r="O160" i="2"/>
  <c r="AO161" i="3"/>
  <c r="AR161" i="3" s="1"/>
  <c r="O156" i="2"/>
  <c r="AO157" i="3"/>
  <c r="AR157" i="3" s="1"/>
  <c r="O152" i="2"/>
  <c r="AO153" i="3"/>
  <c r="AR153" i="3" s="1"/>
  <c r="O148" i="2"/>
  <c r="AO149" i="3"/>
  <c r="AR149" i="3" s="1"/>
  <c r="O144" i="2"/>
  <c r="AO145" i="3"/>
  <c r="AR145" i="3" s="1"/>
  <c r="O140" i="2"/>
  <c r="AO141" i="3"/>
  <c r="AR141" i="3" s="1"/>
  <c r="O136" i="2"/>
  <c r="AO137" i="3"/>
  <c r="AR137" i="3" s="1"/>
  <c r="O132" i="2"/>
  <c r="AO133" i="3"/>
  <c r="AR133" i="3" s="1"/>
  <c r="O128" i="2"/>
  <c r="AO129" i="3"/>
  <c r="AR129" i="3" s="1"/>
  <c r="O124" i="2"/>
  <c r="AO125" i="3"/>
  <c r="AR125" i="3" s="1"/>
  <c r="O120" i="2"/>
  <c r="AO121" i="3"/>
  <c r="AR121" i="3" s="1"/>
  <c r="O116" i="2"/>
  <c r="AO117" i="3"/>
  <c r="AR117" i="3" s="1"/>
  <c r="O112" i="2"/>
  <c r="AO113" i="3"/>
  <c r="AR113" i="3" s="1"/>
  <c r="O108" i="2"/>
  <c r="AO109" i="3"/>
  <c r="AR109" i="3" s="1"/>
  <c r="O104" i="2"/>
  <c r="AO105" i="3"/>
  <c r="AR105" i="3" s="1"/>
  <c r="O100" i="2"/>
  <c r="AO101" i="3"/>
  <c r="AR101" i="3" s="1"/>
  <c r="O96" i="2"/>
  <c r="AO97" i="3"/>
  <c r="AR97" i="3" s="1"/>
  <c r="O92" i="2"/>
  <c r="AO93" i="3"/>
  <c r="AR93" i="3" s="1"/>
  <c r="O84" i="2"/>
  <c r="AO85" i="3"/>
  <c r="AR85" i="3" s="1"/>
  <c r="O80" i="2"/>
  <c r="AO81" i="3"/>
  <c r="AR81" i="3" s="1"/>
  <c r="O76" i="2"/>
  <c r="AO77" i="3"/>
  <c r="AR77" i="3" s="1"/>
  <c r="O72" i="2"/>
  <c r="AO73" i="3"/>
  <c r="AR73" i="3" s="1"/>
  <c r="O68" i="2"/>
  <c r="AO69" i="3"/>
  <c r="AR69" i="3" s="1"/>
  <c r="O64" i="2"/>
  <c r="AO65" i="3"/>
  <c r="AR65" i="3" s="1"/>
  <c r="O60" i="2"/>
  <c r="AO61" i="3"/>
  <c r="AR61" i="3" s="1"/>
  <c r="O56" i="2"/>
  <c r="AO57" i="3"/>
  <c r="AR57" i="3" s="1"/>
  <c r="O52" i="2"/>
  <c r="AO53" i="3"/>
  <c r="AR53" i="3" s="1"/>
  <c r="O48" i="2"/>
  <c r="AO49" i="3"/>
  <c r="AR49" i="3" s="1"/>
  <c r="O44" i="2"/>
  <c r="AO45" i="3"/>
  <c r="AR45" i="3" s="1"/>
  <c r="O40" i="2"/>
  <c r="AO41" i="3"/>
  <c r="AR41" i="3" s="1"/>
  <c r="O36" i="2"/>
  <c r="AO37" i="3"/>
  <c r="AR37" i="3" s="1"/>
  <c r="O28" i="2"/>
  <c r="AO29" i="3"/>
  <c r="AR29" i="3" s="1"/>
  <c r="O24" i="2"/>
  <c r="AO25" i="3"/>
  <c r="AR25" i="3" s="1"/>
  <c r="O20" i="2"/>
  <c r="AO21" i="3"/>
  <c r="AR21" i="3" s="1"/>
  <c r="AT196" i="3"/>
  <c r="AW196" i="3" s="1"/>
  <c r="AT378" i="3"/>
  <c r="AW378" i="3" s="1"/>
  <c r="AT192" i="3"/>
  <c r="AW192" i="3" s="1"/>
  <c r="AT374" i="3"/>
  <c r="AW374" i="3" s="1"/>
  <c r="AT188" i="3"/>
  <c r="AW188" i="3" s="1"/>
  <c r="AT370" i="3"/>
  <c r="AW370" i="3" s="1"/>
  <c r="Q71" i="2"/>
  <c r="AT72" i="3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/>
  <c r="AR368" i="3" s="1"/>
  <c r="O363" i="2"/>
  <c r="AO364" i="3"/>
  <c r="AR364" i="3" s="1"/>
  <c r="O359" i="2"/>
  <c r="AO360" i="3"/>
  <c r="AR360" i="3" s="1"/>
  <c r="O355" i="2"/>
  <c r="AO356" i="3"/>
  <c r="AR356" i="3" s="1"/>
  <c r="O351" i="2"/>
  <c r="AO352" i="3"/>
  <c r="AR352" i="3" s="1"/>
  <c r="O347" i="2"/>
  <c r="AO348" i="3"/>
  <c r="AR348" i="3" s="1"/>
  <c r="O343" i="2"/>
  <c r="AO344" i="3"/>
  <c r="AR344" i="3" s="1"/>
  <c r="O339" i="2"/>
  <c r="AO340" i="3"/>
  <c r="AR340" i="3" s="1"/>
  <c r="O335" i="2"/>
  <c r="AO336" i="3"/>
  <c r="AR336" i="3" s="1"/>
  <c r="O331" i="2"/>
  <c r="AO332" i="3"/>
  <c r="AR332" i="3" s="1"/>
  <c r="O327" i="2"/>
  <c r="AO328" i="3"/>
  <c r="AR328" i="3" s="1"/>
  <c r="O323" i="2"/>
  <c r="AO324" i="3"/>
  <c r="AR324" i="3" s="1"/>
  <c r="O319" i="2"/>
  <c r="AO320" i="3"/>
  <c r="AR320" i="3" s="1"/>
  <c r="O315" i="2"/>
  <c r="AO316" i="3"/>
  <c r="AR316" i="3" s="1"/>
  <c r="O311" i="2"/>
  <c r="AO312" i="3"/>
  <c r="AR312" i="3" s="1"/>
  <c r="O307" i="2"/>
  <c r="AO308" i="3"/>
  <c r="AR308" i="3" s="1"/>
  <c r="O303" i="2"/>
  <c r="AO304" i="3"/>
  <c r="AR304" i="3" s="1"/>
  <c r="O299" i="2"/>
  <c r="AO300" i="3"/>
  <c r="AR300" i="3" s="1"/>
  <c r="O295" i="2"/>
  <c r="AO296" i="3"/>
  <c r="AR296" i="3" s="1"/>
  <c r="O291" i="2"/>
  <c r="AO292" i="3"/>
  <c r="AR292" i="3" s="1"/>
  <c r="O287" i="2"/>
  <c r="AO288" i="3"/>
  <c r="AR288" i="3" s="1"/>
  <c r="O283" i="2"/>
  <c r="AO284" i="3"/>
  <c r="AR284" i="3" s="1"/>
  <c r="O279" i="2"/>
  <c r="AO280" i="3"/>
  <c r="AR280" i="3" s="1"/>
  <c r="O275" i="2"/>
  <c r="AO276" i="3"/>
  <c r="AR276" i="3" s="1"/>
  <c r="O271" i="2"/>
  <c r="AO272" i="3"/>
  <c r="AR272" i="3" s="1"/>
  <c r="O267" i="2"/>
  <c r="AO268" i="3"/>
  <c r="AR268" i="3" s="1"/>
  <c r="O263" i="2"/>
  <c r="AO264" i="3"/>
  <c r="AR264" i="3" s="1"/>
  <c r="O259" i="2"/>
  <c r="AO260" i="3"/>
  <c r="AR260" i="3" s="1"/>
  <c r="O255" i="2"/>
  <c r="AO256" i="3"/>
  <c r="AR256" i="3" s="1"/>
  <c r="O251" i="2"/>
  <c r="AO252" i="3"/>
  <c r="AR252" i="3" s="1"/>
  <c r="O247" i="2"/>
  <c r="AO248" i="3"/>
  <c r="AR248" i="3" s="1"/>
  <c r="O243" i="2"/>
  <c r="AO244" i="3"/>
  <c r="AR244" i="3" s="1"/>
  <c r="O239" i="2"/>
  <c r="AO240" i="3"/>
  <c r="AR240" i="3" s="1"/>
  <c r="O235" i="2"/>
  <c r="AO236" i="3"/>
  <c r="AR236" i="3" s="1"/>
  <c r="O231" i="2"/>
  <c r="AO232" i="3"/>
  <c r="AR232" i="3" s="1"/>
  <c r="O227" i="2"/>
  <c r="AO228" i="3"/>
  <c r="AR228" i="3" s="1"/>
  <c r="O223" i="2"/>
  <c r="AO224" i="3"/>
  <c r="AR224" i="3" s="1"/>
  <c r="O219" i="2"/>
  <c r="AO220" i="3"/>
  <c r="AR220" i="3" s="1"/>
  <c r="O215" i="2"/>
  <c r="AO216" i="3"/>
  <c r="AR216" i="3" s="1"/>
  <c r="O211" i="2"/>
  <c r="AO212" i="3"/>
  <c r="AR212" i="3" s="1"/>
  <c r="O207" i="2"/>
  <c r="AO208" i="3"/>
  <c r="AR208" i="3" s="1"/>
  <c r="O203" i="2"/>
  <c r="AO204" i="3"/>
  <c r="AR204" i="3" s="1"/>
  <c r="O199" i="2"/>
  <c r="AO200" i="3"/>
  <c r="AR200" i="3" s="1"/>
  <c r="O195" i="2"/>
  <c r="AO196" i="3"/>
  <c r="AR196" i="3" s="1"/>
  <c r="AO378" i="3"/>
  <c r="AR378" i="3" s="1"/>
  <c r="O191" i="2"/>
  <c r="AO192" i="3"/>
  <c r="AR192" i="3" s="1"/>
  <c r="AO374" i="3"/>
  <c r="AR374" i="3" s="1"/>
  <c r="O187" i="2"/>
  <c r="AO188" i="3"/>
  <c r="AR188" i="3" s="1"/>
  <c r="AO370" i="3"/>
  <c r="AR370" i="3" s="1"/>
  <c r="O183" i="2"/>
  <c r="AO184" i="3"/>
  <c r="AR184" i="3" s="1"/>
  <c r="O179" i="2"/>
  <c r="AO180" i="3"/>
  <c r="AR180" i="3" s="1"/>
  <c r="O175" i="2"/>
  <c r="AO176" i="3"/>
  <c r="AR176" i="3" s="1"/>
  <c r="O171" i="2"/>
  <c r="AO172" i="3"/>
  <c r="AR172" i="3" s="1"/>
  <c r="O167" i="2"/>
  <c r="AO168" i="3"/>
  <c r="AR168" i="3" s="1"/>
  <c r="O163" i="2"/>
  <c r="AO164" i="3"/>
  <c r="AR164" i="3" s="1"/>
  <c r="O159" i="2"/>
  <c r="AO160" i="3"/>
  <c r="AR160" i="3" s="1"/>
  <c r="O155" i="2"/>
  <c r="AO156" i="3"/>
  <c r="AR156" i="3" s="1"/>
  <c r="O151" i="2"/>
  <c r="AO152" i="3"/>
  <c r="AR152" i="3" s="1"/>
  <c r="O147" i="2"/>
  <c r="AO148" i="3"/>
  <c r="AR148" i="3" s="1"/>
  <c r="O143" i="2"/>
  <c r="AO144" i="3"/>
  <c r="AR144" i="3" s="1"/>
  <c r="O139" i="2"/>
  <c r="AO140" i="3"/>
  <c r="AR140" i="3" s="1"/>
  <c r="O135" i="2"/>
  <c r="AO136" i="3"/>
  <c r="AR136" i="3" s="1"/>
  <c r="O131" i="2"/>
  <c r="AO132" i="3"/>
  <c r="AR132" i="3" s="1"/>
  <c r="O127" i="2"/>
  <c r="AO128" i="3"/>
  <c r="AR128" i="3" s="1"/>
  <c r="O123" i="2"/>
  <c r="AO124" i="3"/>
  <c r="AR124" i="3" s="1"/>
  <c r="O119" i="2"/>
  <c r="AO120" i="3"/>
  <c r="AR120" i="3" s="1"/>
  <c r="O115" i="2"/>
  <c r="AO116" i="3"/>
  <c r="AR116" i="3" s="1"/>
  <c r="O111" i="2"/>
  <c r="AO112" i="3"/>
  <c r="AR112" i="3" s="1"/>
  <c r="O107" i="2"/>
  <c r="AO108" i="3"/>
  <c r="AR108" i="3" s="1"/>
  <c r="O103" i="2"/>
  <c r="AO104" i="3"/>
  <c r="AR104" i="3" s="1"/>
  <c r="O99" i="2"/>
  <c r="AO100" i="3"/>
  <c r="AR100" i="3" s="1"/>
  <c r="O95" i="2"/>
  <c r="AO96" i="3"/>
  <c r="AR96" i="3" s="1"/>
  <c r="O91" i="2"/>
  <c r="AO92" i="3"/>
  <c r="AR92" i="3" s="1"/>
  <c r="O87" i="2"/>
  <c r="AO88" i="3"/>
  <c r="AR88" i="3" s="1"/>
  <c r="O83" i="2"/>
  <c r="AO84" i="3"/>
  <c r="AR84" i="3" s="1"/>
  <c r="O79" i="2"/>
  <c r="AO80" i="3"/>
  <c r="AR80" i="3" s="1"/>
  <c r="O75" i="2"/>
  <c r="AO76" i="3"/>
  <c r="AR76" i="3" s="1"/>
  <c r="O71" i="2"/>
  <c r="AO72" i="3"/>
  <c r="AR72" i="3" s="1"/>
  <c r="O67" i="2"/>
  <c r="AO68" i="3"/>
  <c r="AR68" i="3" s="1"/>
  <c r="O63" i="2"/>
  <c r="AO64" i="3"/>
  <c r="AR64" i="3" s="1"/>
  <c r="O59" i="2"/>
  <c r="AO60" i="3"/>
  <c r="AR60" i="3" s="1"/>
  <c r="O55" i="2"/>
  <c r="AO56" i="3"/>
  <c r="AR56" i="3" s="1"/>
  <c r="O51" i="2"/>
  <c r="AO52" i="3"/>
  <c r="AR52" i="3" s="1"/>
  <c r="O47" i="2"/>
  <c r="AO48" i="3"/>
  <c r="AR48" i="3" s="1"/>
  <c r="O43" i="2"/>
  <c r="AO44" i="3"/>
  <c r="AR44" i="3" s="1"/>
  <c r="O39" i="2"/>
  <c r="AO40" i="3"/>
  <c r="AR40" i="3" s="1"/>
  <c r="O35" i="2"/>
  <c r="AO36" i="3"/>
  <c r="AR36" i="3" s="1"/>
  <c r="O31" i="2"/>
  <c r="AO32" i="3"/>
  <c r="AR32" i="3" s="1"/>
  <c r="O27" i="2"/>
  <c r="AO28" i="3"/>
  <c r="AR28" i="3" s="1"/>
  <c r="O23" i="2"/>
  <c r="AO24" i="3"/>
  <c r="AR24" i="3" s="1"/>
  <c r="O19" i="2"/>
  <c r="AO20" i="3"/>
  <c r="AR20" i="3" s="1"/>
  <c r="O15" i="2"/>
  <c r="AO16" i="3"/>
  <c r="AR16" i="3" s="1"/>
  <c r="O11" i="2"/>
  <c r="AO12" i="3"/>
  <c r="AR12" i="3" s="1"/>
  <c r="AT195" i="3"/>
  <c r="AW195" i="3" s="1"/>
  <c r="AT377" i="3"/>
  <c r="AW377" i="3" s="1"/>
  <c r="AT191" i="3"/>
  <c r="AW191" i="3" s="1"/>
  <c r="AT373" i="3"/>
  <c r="AW373" i="3" s="1"/>
  <c r="AT187" i="3"/>
  <c r="AW187" i="3" s="1"/>
  <c r="AT369" i="3"/>
  <c r="AW369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/>
  <c r="AR367" i="3" s="1"/>
  <c r="O362" i="2"/>
  <c r="AO363" i="3"/>
  <c r="AR363" i="3" s="1"/>
  <c r="O358" i="2"/>
  <c r="AO359" i="3"/>
  <c r="AR359" i="3" s="1"/>
  <c r="O354" i="2"/>
  <c r="AO355" i="3"/>
  <c r="AR355" i="3" s="1"/>
  <c r="O350" i="2"/>
  <c r="AO351" i="3"/>
  <c r="AR351" i="3" s="1"/>
  <c r="O346" i="2"/>
  <c r="AO347" i="3"/>
  <c r="AR347" i="3" s="1"/>
  <c r="O342" i="2"/>
  <c r="AO343" i="3"/>
  <c r="AR343" i="3" s="1"/>
  <c r="O338" i="2"/>
  <c r="AO339" i="3"/>
  <c r="AR339" i="3" s="1"/>
  <c r="O334" i="2"/>
  <c r="AO335" i="3"/>
  <c r="AR335" i="3" s="1"/>
  <c r="O330" i="2"/>
  <c r="AO331" i="3"/>
  <c r="AR331" i="3" s="1"/>
  <c r="O326" i="2"/>
  <c r="AO327" i="3"/>
  <c r="AR327" i="3" s="1"/>
  <c r="O322" i="2"/>
  <c r="AO323" i="3"/>
  <c r="AR323" i="3" s="1"/>
  <c r="O318" i="2"/>
  <c r="AO319" i="3"/>
  <c r="AR319" i="3" s="1"/>
  <c r="O306" i="2"/>
  <c r="AO307" i="3"/>
  <c r="AR307" i="3" s="1"/>
  <c r="O302" i="2"/>
  <c r="AO303" i="3"/>
  <c r="AR303" i="3" s="1"/>
  <c r="O298" i="2"/>
  <c r="AO299" i="3"/>
  <c r="AR299" i="3" s="1"/>
  <c r="O294" i="2"/>
  <c r="AO295" i="3"/>
  <c r="AR295" i="3" s="1"/>
  <c r="O290" i="2"/>
  <c r="AO291" i="3"/>
  <c r="AR291" i="3" s="1"/>
  <c r="O286" i="2"/>
  <c r="AO287" i="3"/>
  <c r="AR287" i="3" s="1"/>
  <c r="O282" i="2"/>
  <c r="AO283" i="3"/>
  <c r="AR283" i="3" s="1"/>
  <c r="O278" i="2"/>
  <c r="AO279" i="3"/>
  <c r="AR279" i="3" s="1"/>
  <c r="O274" i="2"/>
  <c r="AO275" i="3"/>
  <c r="AR275" i="3" s="1"/>
  <c r="O270" i="2"/>
  <c r="AO271" i="3"/>
  <c r="AR271" i="3" s="1"/>
  <c r="O266" i="2"/>
  <c r="AO267" i="3"/>
  <c r="AR267" i="3" s="1"/>
  <c r="O262" i="2"/>
  <c r="AO263" i="3"/>
  <c r="AR263" i="3" s="1"/>
  <c r="O258" i="2"/>
  <c r="AO259" i="3"/>
  <c r="AR259" i="3" s="1"/>
  <c r="O254" i="2"/>
  <c r="AO255" i="3"/>
  <c r="AR255" i="3" s="1"/>
  <c r="O250" i="2"/>
  <c r="AO251" i="3"/>
  <c r="AR251" i="3" s="1"/>
  <c r="O246" i="2"/>
  <c r="AO247" i="3"/>
  <c r="AR247" i="3" s="1"/>
  <c r="O242" i="2"/>
  <c r="AO243" i="3"/>
  <c r="AR243" i="3" s="1"/>
  <c r="O238" i="2"/>
  <c r="AO239" i="3"/>
  <c r="AR239" i="3" s="1"/>
  <c r="O234" i="2"/>
  <c r="AO235" i="3"/>
  <c r="AR235" i="3" s="1"/>
  <c r="O230" i="2"/>
  <c r="AO231" i="3"/>
  <c r="AR231" i="3" s="1"/>
  <c r="O226" i="2"/>
  <c r="AO227" i="3"/>
  <c r="AR227" i="3" s="1"/>
  <c r="O222" i="2"/>
  <c r="AO223" i="3"/>
  <c r="AR223" i="3" s="1"/>
  <c r="O218" i="2"/>
  <c r="AO219" i="3"/>
  <c r="AR219" i="3" s="1"/>
  <c r="O214" i="2"/>
  <c r="AO215" i="3"/>
  <c r="AR215" i="3" s="1"/>
  <c r="O210" i="2"/>
  <c r="AO211" i="3"/>
  <c r="AR211" i="3" s="1"/>
  <c r="O206" i="2"/>
  <c r="AO207" i="3"/>
  <c r="AR207" i="3" s="1"/>
  <c r="O202" i="2"/>
  <c r="AO203" i="3"/>
  <c r="AR203" i="3" s="1"/>
  <c r="O198" i="2"/>
  <c r="AO199" i="3"/>
  <c r="AR199" i="3" s="1"/>
  <c r="O194" i="2"/>
  <c r="AO195" i="3"/>
  <c r="AR195" i="3" s="1"/>
  <c r="AO377" i="3"/>
  <c r="AR377" i="3" s="1"/>
  <c r="O190" i="2"/>
  <c r="AO191" i="3"/>
  <c r="AR191" i="3" s="1"/>
  <c r="AO373" i="3"/>
  <c r="AR373" i="3" s="1"/>
  <c r="O186" i="2"/>
  <c r="AO187" i="3"/>
  <c r="AR187" i="3" s="1"/>
  <c r="AO369" i="3"/>
  <c r="AR369" i="3" s="1"/>
  <c r="O182" i="2"/>
  <c r="AO183" i="3"/>
  <c r="AR183" i="3" s="1"/>
  <c r="O178" i="2"/>
  <c r="AO179" i="3"/>
  <c r="AR179" i="3" s="1"/>
  <c r="O174" i="2"/>
  <c r="AO175" i="3"/>
  <c r="AR175" i="3" s="1"/>
  <c r="O170" i="2"/>
  <c r="AO171" i="3"/>
  <c r="AR171" i="3" s="1"/>
  <c r="O166" i="2"/>
  <c r="AO167" i="3"/>
  <c r="AR167" i="3" s="1"/>
  <c r="O162" i="2"/>
  <c r="AO163" i="3"/>
  <c r="AR163" i="3" s="1"/>
  <c r="O118" i="2"/>
  <c r="AO119" i="3"/>
  <c r="AR119" i="3" s="1"/>
  <c r="Q365" i="2"/>
  <c r="AT366" i="3"/>
  <c r="AW366" i="3" s="1"/>
  <c r="Q361" i="2"/>
  <c r="AT362" i="3"/>
  <c r="AW362" i="3" s="1"/>
  <c r="Q357" i="2"/>
  <c r="AT358" i="3"/>
  <c r="AW358" i="3" s="1"/>
  <c r="Q353" i="2"/>
  <c r="AT354" i="3"/>
  <c r="AW354" i="3" s="1"/>
  <c r="Q349" i="2"/>
  <c r="AT350" i="3"/>
  <c r="AW350" i="3" s="1"/>
  <c r="Q345" i="2"/>
  <c r="AT346" i="3"/>
  <c r="AW346" i="3" s="1"/>
  <c r="Q341" i="2"/>
  <c r="AT342" i="3"/>
  <c r="AW342" i="3" s="1"/>
  <c r="Q337" i="2"/>
  <c r="AT338" i="3"/>
  <c r="AW338" i="3" s="1"/>
  <c r="Q333" i="2"/>
  <c r="AT334" i="3"/>
  <c r="AW334" i="3" s="1"/>
  <c r="Q329" i="2"/>
  <c r="AT330" i="3"/>
  <c r="AW330" i="3" s="1"/>
  <c r="Q325" i="2"/>
  <c r="AT326" i="3"/>
  <c r="AW326" i="3" s="1"/>
  <c r="Q321" i="2"/>
  <c r="AT322" i="3"/>
  <c r="AW322" i="3" s="1"/>
  <c r="Q317" i="2"/>
  <c r="AT318" i="3"/>
  <c r="AW318" i="3" s="1"/>
  <c r="Q313" i="2"/>
  <c r="AT314" i="3"/>
  <c r="AW314" i="3" s="1"/>
  <c r="Q309" i="2"/>
  <c r="AT310" i="3"/>
  <c r="AW310" i="3" s="1"/>
  <c r="Q305" i="2"/>
  <c r="AT306" i="3"/>
  <c r="AW306" i="3" s="1"/>
  <c r="Q301" i="2"/>
  <c r="AT302" i="3"/>
  <c r="AW302" i="3" s="1"/>
  <c r="Q297" i="2"/>
  <c r="AT298" i="3"/>
  <c r="AW298" i="3" s="1"/>
  <c r="Q293" i="2"/>
  <c r="AT294" i="3"/>
  <c r="AW294" i="3" s="1"/>
  <c r="Q289" i="2"/>
  <c r="AT290" i="3"/>
  <c r="AW290" i="3" s="1"/>
  <c r="Q285" i="2"/>
  <c r="AT286" i="3"/>
  <c r="AW286" i="3" s="1"/>
  <c r="Q281" i="2"/>
  <c r="AT282" i="3"/>
  <c r="AW282" i="3" s="1"/>
  <c r="Q277" i="2"/>
  <c r="AT278" i="3"/>
  <c r="AW278" i="3" s="1"/>
  <c r="Q273" i="2"/>
  <c r="AT274" i="3"/>
  <c r="AW274" i="3" s="1"/>
  <c r="Q269" i="2"/>
  <c r="AT270" i="3"/>
  <c r="AW270" i="3" s="1"/>
  <c r="Q265" i="2"/>
  <c r="AT266" i="3"/>
  <c r="AW266" i="3" s="1"/>
  <c r="Q261" i="2"/>
  <c r="AT262" i="3"/>
  <c r="AW262" i="3" s="1"/>
  <c r="Q257" i="2"/>
  <c r="AT258" i="3"/>
  <c r="AW258" i="3" s="1"/>
  <c r="Q253" i="2"/>
  <c r="AT254" i="3"/>
  <c r="AW254" i="3" s="1"/>
  <c r="Q249" i="2"/>
  <c r="AT250" i="3"/>
  <c r="AW250" i="3" s="1"/>
  <c r="Q245" i="2"/>
  <c r="AT246" i="3"/>
  <c r="AW246" i="3" s="1"/>
  <c r="Q241" i="2"/>
  <c r="AT242" i="3"/>
  <c r="AW242" i="3" s="1"/>
  <c r="Q237" i="2"/>
  <c r="AT238" i="3"/>
  <c r="AW238" i="3" s="1"/>
  <c r="Q233" i="2"/>
  <c r="AT234" i="3"/>
  <c r="AW234" i="3" s="1"/>
  <c r="Q229" i="2"/>
  <c r="AT230" i="3"/>
  <c r="AW230" i="3" s="1"/>
  <c r="Q225" i="2"/>
  <c r="AT226" i="3"/>
  <c r="AW226" i="3" s="1"/>
  <c r="Q221" i="2"/>
  <c r="AT222" i="3"/>
  <c r="AW222" i="3" s="1"/>
  <c r="Q217" i="2"/>
  <c r="AT218" i="3"/>
  <c r="AW218" i="3" s="1"/>
  <c r="Q213" i="2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194" i="3"/>
  <c r="AW194" i="3" s="1"/>
  <c r="AT376" i="3"/>
  <c r="AW376" i="3" s="1"/>
  <c r="Q189" i="2"/>
  <c r="AT190" i="3"/>
  <c r="AW190" i="3" s="1"/>
  <c r="AT372" i="3"/>
  <c r="AW372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/>
  <c r="AR366" i="3" s="1"/>
  <c r="O357" i="2"/>
  <c r="AO358" i="3"/>
  <c r="AR358" i="3" s="1"/>
  <c r="O353" i="2"/>
  <c r="AO354" i="3"/>
  <c r="AR354" i="3" s="1"/>
  <c r="O341" i="2"/>
  <c r="AO342" i="3"/>
  <c r="AR342" i="3" s="1"/>
  <c r="O337" i="2"/>
  <c r="AO338" i="3"/>
  <c r="AR338" i="3" s="1"/>
  <c r="O325" i="2"/>
  <c r="AO326" i="3"/>
  <c r="AR326" i="3" s="1"/>
  <c r="O317" i="2"/>
  <c r="AO318" i="3"/>
  <c r="AR318" i="3" s="1"/>
  <c r="O313" i="2"/>
  <c r="AO314" i="3"/>
  <c r="AR314" i="3" s="1"/>
  <c r="O309" i="2"/>
  <c r="AO310" i="3"/>
  <c r="AR310" i="3" s="1"/>
  <c r="O293" i="2"/>
  <c r="AO294" i="3"/>
  <c r="AR294" i="3" s="1"/>
  <c r="O289" i="2"/>
  <c r="AO290" i="3"/>
  <c r="AR290" i="3" s="1"/>
  <c r="O277" i="2"/>
  <c r="AO278" i="3"/>
  <c r="AR278" i="3" s="1"/>
  <c r="O273" i="2"/>
  <c r="AO274" i="3"/>
  <c r="AR274" i="3" s="1"/>
  <c r="O261" i="2"/>
  <c r="AO262" i="3"/>
  <c r="AR262" i="3" s="1"/>
  <c r="O257" i="2"/>
  <c r="AO258" i="3"/>
  <c r="AR258" i="3" s="1"/>
  <c r="O245" i="2"/>
  <c r="AO246" i="3"/>
  <c r="AR246" i="3" s="1"/>
  <c r="O233" i="2"/>
  <c r="AO234" i="3"/>
  <c r="AR234" i="3" s="1"/>
  <c r="O221" i="2"/>
  <c r="AO222" i="3"/>
  <c r="AR222" i="3" s="1"/>
  <c r="O217" i="2"/>
  <c r="AO218" i="3"/>
  <c r="AR218" i="3" s="1"/>
  <c r="O213" i="2"/>
  <c r="AO214" i="3"/>
  <c r="AR214" i="3" s="1"/>
  <c r="O201" i="2"/>
  <c r="AO202" i="3"/>
  <c r="AR202" i="3" s="1"/>
  <c r="AO194" i="3"/>
  <c r="AR194" i="3" s="1"/>
  <c r="AO376" i="3"/>
  <c r="AR376" i="3" s="1"/>
  <c r="O189" i="2"/>
  <c r="AO190" i="3"/>
  <c r="AR190" i="3" s="1"/>
  <c r="AO372" i="3"/>
  <c r="AR372" i="3" s="1"/>
  <c r="O185" i="2"/>
  <c r="AO186" i="3"/>
  <c r="AR186" i="3" s="1"/>
  <c r="O181" i="2"/>
  <c r="AO182" i="3"/>
  <c r="AR182" i="3" s="1"/>
  <c r="O169" i="2"/>
  <c r="AO170" i="3"/>
  <c r="AR170" i="3" s="1"/>
  <c r="O165" i="2"/>
  <c r="AO166" i="3"/>
  <c r="AR166" i="3" s="1"/>
  <c r="O153" i="2"/>
  <c r="AO154" i="3"/>
  <c r="AR154" i="3" s="1"/>
  <c r="O149" i="2"/>
  <c r="AO150" i="3"/>
  <c r="AR150" i="3" s="1"/>
  <c r="O141" i="2"/>
  <c r="AO142" i="3"/>
  <c r="AR142" i="3" s="1"/>
  <c r="O137" i="2"/>
  <c r="AO138" i="3"/>
  <c r="AR138" i="3" s="1"/>
  <c r="O133" i="2"/>
  <c r="AO134" i="3"/>
  <c r="AR134" i="3" s="1"/>
  <c r="O121" i="2"/>
  <c r="AO122" i="3"/>
  <c r="AR122" i="3" s="1"/>
  <c r="O117" i="2"/>
  <c r="AO118" i="3"/>
  <c r="AR118" i="3" s="1"/>
  <c r="O113" i="2"/>
  <c r="AO114" i="3"/>
  <c r="AR114" i="3" s="1"/>
  <c r="O109" i="2"/>
  <c r="AO110" i="3"/>
  <c r="AR110" i="3" s="1"/>
  <c r="O105" i="2"/>
  <c r="AO106" i="3"/>
  <c r="AR106" i="3" s="1"/>
  <c r="O101" i="2"/>
  <c r="AO102" i="3"/>
  <c r="AR102" i="3" s="1"/>
  <c r="O93" i="2"/>
  <c r="AO94" i="3"/>
  <c r="AR94" i="3" s="1"/>
  <c r="O89" i="2"/>
  <c r="AO90" i="3"/>
  <c r="AR90" i="3" s="1"/>
  <c r="O85" i="2"/>
  <c r="AO86" i="3"/>
  <c r="AR86" i="3" s="1"/>
  <c r="O77" i="2"/>
  <c r="AO78" i="3"/>
  <c r="AR78" i="3" s="1"/>
  <c r="O73" i="2"/>
  <c r="AO74" i="3"/>
  <c r="AR74" i="3" s="1"/>
  <c r="O69" i="2"/>
  <c r="AO70" i="3"/>
  <c r="AR70" i="3" s="1"/>
  <c r="O61" i="2"/>
  <c r="AO62" i="3"/>
  <c r="AR62" i="3" s="1"/>
  <c r="O53" i="2"/>
  <c r="AO54" i="3"/>
  <c r="AR54" i="3" s="1"/>
  <c r="O49" i="2"/>
  <c r="AO50" i="3"/>
  <c r="AR50" i="3" s="1"/>
  <c r="O45" i="2"/>
  <c r="AO46" i="3"/>
  <c r="AR46" i="3" s="1"/>
  <c r="O41" i="2"/>
  <c r="AO42" i="3"/>
  <c r="AR42" i="3" s="1"/>
  <c r="O37" i="2"/>
  <c r="AO38" i="3"/>
  <c r="AR38" i="3" s="1"/>
  <c r="O29" i="2"/>
  <c r="AO30" i="3"/>
  <c r="AR30" i="3" s="1"/>
  <c r="O25" i="2"/>
  <c r="AO26" i="3"/>
  <c r="AR26" i="3" s="1"/>
  <c r="O13" i="2"/>
  <c r="AO14" i="3"/>
  <c r="AR14" i="3" s="1"/>
  <c r="AT197" i="3"/>
  <c r="AW197" i="3" s="1"/>
  <c r="AT379" i="3"/>
  <c r="AW379" i="3" s="1"/>
  <c r="AT193" i="3"/>
  <c r="AW193" i="3" s="1"/>
  <c r="AT375" i="3"/>
  <c r="AW375" i="3" s="1"/>
  <c r="AT189" i="3"/>
  <c r="AW189" i="3" s="1"/>
  <c r="AT371" i="3"/>
  <c r="AW371" i="3" s="1"/>
  <c r="Q72" i="2"/>
  <c r="AT73" i="3"/>
  <c r="AW73" i="3" s="1"/>
  <c r="Q68" i="2"/>
  <c r="AT69" i="3"/>
  <c r="AW69" i="3" s="1"/>
  <c r="Q64" i="2"/>
  <c r="AT65" i="3"/>
  <c r="AW65" i="3" s="1"/>
  <c r="Q60" i="2"/>
  <c r="AT61" i="3"/>
  <c r="AW61" i="3" s="1"/>
  <c r="Q56" i="2"/>
  <c r="AT57" i="3"/>
  <c r="AW57" i="3" s="1"/>
  <c r="Q52" i="2"/>
  <c r="AT53" i="3"/>
  <c r="AW53" i="3" s="1"/>
  <c r="Q48" i="2"/>
  <c r="AT49" i="3"/>
  <c r="AW49" i="3" s="1"/>
  <c r="Q44" i="2"/>
  <c r="AT45" i="3"/>
  <c r="AW45" i="3" s="1"/>
  <c r="Q40" i="2"/>
  <c r="AT41" i="3"/>
  <c r="AW41" i="3" s="1"/>
  <c r="Q36" i="2"/>
  <c r="AT37" i="3"/>
  <c r="AW37" i="3" s="1"/>
  <c r="Q32" i="2"/>
  <c r="AT33" i="3"/>
  <c r="AW33" i="3" s="1"/>
  <c r="Q28" i="2"/>
  <c r="AT29" i="3"/>
  <c r="AW29" i="3" s="1"/>
  <c r="Q24" i="2"/>
  <c r="AT25" i="3"/>
  <c r="AW25" i="3" s="1"/>
  <c r="Q20" i="2"/>
  <c r="AT21" i="3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O641" i="2"/>
  <c r="O729" i="2"/>
  <c r="O745" i="2"/>
  <c r="O521" i="2"/>
  <c r="O470" i="2"/>
  <c r="O825" i="2"/>
  <c r="O509" i="2"/>
  <c r="O859" i="2"/>
  <c r="O765" i="2"/>
  <c r="O673" i="2"/>
  <c r="O557" i="2"/>
  <c r="O457" i="2"/>
  <c r="O781" i="2"/>
  <c r="O685" i="2"/>
  <c r="O581" i="2"/>
  <c r="O485" i="2"/>
  <c r="AO717" i="3"/>
  <c r="AR717" i="3" s="1"/>
  <c r="AO705" i="3"/>
  <c r="AR705" i="3" s="1"/>
  <c r="AO657" i="3"/>
  <c r="AR657" i="3" s="1"/>
  <c r="AO653" i="3"/>
  <c r="AR653" i="3" s="1"/>
  <c r="AO625" i="3"/>
  <c r="AR625" i="3" s="1"/>
  <c r="AO617" i="3"/>
  <c r="AR617" i="3" s="1"/>
  <c r="AO569" i="3"/>
  <c r="AR569" i="3" s="1"/>
  <c r="AO533" i="3"/>
  <c r="AR533" i="3" s="1"/>
  <c r="AO517" i="3"/>
  <c r="AR517" i="3" s="1"/>
  <c r="AO481" i="3"/>
  <c r="AR481" i="3" s="1"/>
  <c r="O836" i="2"/>
  <c r="O783" i="2"/>
  <c r="O749" i="2"/>
  <c r="O697" i="2"/>
  <c r="O645" i="2"/>
  <c r="O589" i="2"/>
  <c r="O537" i="2"/>
  <c r="O489" i="2"/>
  <c r="O441" i="2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656" i="3"/>
  <c r="AR656" i="3" s="1"/>
  <c r="AO648" i="3"/>
  <c r="AR648" i="3" s="1"/>
  <c r="AO721" i="3"/>
  <c r="AR721" i="3" s="1"/>
  <c r="AO613" i="3"/>
  <c r="AR613" i="3" s="1"/>
  <c r="AO593" i="3"/>
  <c r="AR593" i="3" s="1"/>
  <c r="AO585" i="3"/>
  <c r="AR585" i="3" s="1"/>
  <c r="AO553" i="3"/>
  <c r="AR553" i="3" s="1"/>
  <c r="AO461" i="3"/>
  <c r="AR461" i="3" s="1"/>
  <c r="O857" i="2"/>
  <c r="O801" i="2"/>
  <c r="O764" i="2"/>
  <c r="O713" i="2"/>
  <c r="O669" i="2"/>
  <c r="O613" i="2"/>
  <c r="O553" i="2"/>
  <c r="O508" i="2"/>
  <c r="O453" i="2"/>
  <c r="O397" i="2"/>
  <c r="AO693" i="3" s="1"/>
  <c r="AR693" i="3" s="1"/>
  <c r="O345" i="2"/>
  <c r="AO641" i="3" s="1"/>
  <c r="AR641" i="3" s="1"/>
  <c r="O297" i="2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AO458" i="3"/>
  <c r="AR458" i="3" s="1"/>
  <c r="O837" i="2"/>
  <c r="O805" i="2"/>
  <c r="O777" i="2"/>
  <c r="AO1146" i="3"/>
  <c r="AR1146" i="3" s="1"/>
  <c r="AO1018" i="3"/>
  <c r="AR1018" i="3" s="1"/>
  <c r="AO890" i="3"/>
  <c r="AR890" i="3" s="1"/>
  <c r="AO762" i="3"/>
  <c r="AR762" i="3" s="1"/>
  <c r="AO634" i="3"/>
  <c r="AR634" i="3" s="1"/>
  <c r="AO506" i="3"/>
  <c r="AR506" i="3" s="1"/>
  <c r="O518" i="2"/>
  <c r="O310" i="2"/>
  <c r="AO606" i="3" s="1"/>
  <c r="AR606" i="3" s="1"/>
  <c r="AO1034" i="3"/>
  <c r="AR1034" i="3" s="1"/>
  <c r="AO906" i="3"/>
  <c r="AR906" i="3" s="1"/>
  <c r="AO778" i="3"/>
  <c r="AR778" i="3" s="1"/>
  <c r="AO650" i="3"/>
  <c r="AR650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O16" i="2"/>
  <c r="O280" i="2"/>
  <c r="AO576" i="3" s="1"/>
  <c r="AR576" i="3" s="1"/>
  <c r="AO409" i="3"/>
  <c r="AR409" i="3" s="1"/>
  <c r="AO389" i="3"/>
  <c r="AR389" i="3" s="1"/>
  <c r="AO385" i="3"/>
  <c r="AR385" i="3" s="1"/>
  <c r="O21" i="2"/>
  <c r="O5" i="2"/>
  <c r="AO5" i="3" s="1"/>
  <c r="AR5" i="3" s="1"/>
  <c r="O845" i="2"/>
  <c r="O833" i="2"/>
  <c r="O809" i="2"/>
  <c r="O797" i="2"/>
  <c r="O769" i="2"/>
  <c r="O761" i="2"/>
  <c r="O741" i="2"/>
  <c r="O709" i="2"/>
  <c r="O681" i="2"/>
  <c r="O664" i="2"/>
  <c r="O637" i="2"/>
  <c r="O605" i="2"/>
  <c r="O577" i="2"/>
  <c r="O545" i="2"/>
  <c r="O505" i="2"/>
  <c r="O477" i="2"/>
  <c r="O449" i="2"/>
  <c r="O421" i="2"/>
  <c r="O389" i="2"/>
  <c r="AO685" i="3" s="1"/>
  <c r="AR685" i="3" s="1"/>
  <c r="O377" i="2"/>
  <c r="AO673" i="3" s="1"/>
  <c r="AR673" i="3" s="1"/>
  <c r="O352" i="2"/>
  <c r="O329" i="2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AO554" i="3"/>
  <c r="AR554" i="3" s="1"/>
  <c r="AO490" i="3"/>
  <c r="AR490" i="3" s="1"/>
  <c r="O32" i="2"/>
  <c r="O360" i="2"/>
  <c r="AO437" i="3"/>
  <c r="AR437" i="3" s="1"/>
  <c r="AO429" i="3"/>
  <c r="AR429" i="3" s="1"/>
  <c r="AO405" i="3"/>
  <c r="AR405" i="3" s="1"/>
  <c r="AO401" i="3"/>
  <c r="AR401" i="3" s="1"/>
  <c r="O33" i="2"/>
  <c r="O17" i="2"/>
  <c r="O865" i="2"/>
  <c r="O841" i="2"/>
  <c r="O829" i="2"/>
  <c r="O808" i="2"/>
  <c r="O768" i="2"/>
  <c r="O760" i="2"/>
  <c r="O733" i="2"/>
  <c r="O705" i="2"/>
  <c r="O677" i="2"/>
  <c r="O653" i="2"/>
  <c r="O621" i="2"/>
  <c r="O601" i="2"/>
  <c r="O569" i="2"/>
  <c r="O541" i="2"/>
  <c r="O517" i="2"/>
  <c r="O493" i="2"/>
  <c r="O473" i="2"/>
  <c r="O445" i="2"/>
  <c r="O417" i="2"/>
  <c r="AO713" i="3" s="1"/>
  <c r="AR713" i="3" s="1"/>
  <c r="O388" i="2"/>
  <c r="AO684" i="3" s="1"/>
  <c r="AR684" i="3" s="1"/>
  <c r="O361" i="2"/>
  <c r="O349" i="2"/>
  <c r="AO645" i="3" s="1"/>
  <c r="AR645" i="3" s="1"/>
  <c r="O321" i="2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O57" i="2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538" i="3"/>
  <c r="AR538" i="3" s="1"/>
  <c r="AO474" i="3"/>
  <c r="AR474" i="3" s="1"/>
  <c r="Q859" i="2"/>
  <c r="AT1155" i="3"/>
  <c r="AW1155" i="3" s="1"/>
  <c r="Q851" i="2"/>
  <c r="AT1147" i="3"/>
  <c r="AW1147" i="3" s="1"/>
  <c r="Q839" i="2"/>
  <c r="AT1135" i="3"/>
  <c r="AW1135" i="3" s="1"/>
  <c r="Q831" i="2"/>
  <c r="AT1127" i="3"/>
  <c r="AW1127" i="3" s="1"/>
  <c r="Q823" i="2"/>
  <c r="AT1119" i="3"/>
  <c r="AW1119" i="3" s="1"/>
  <c r="Q815" i="2"/>
  <c r="AT1111" i="3"/>
  <c r="AW1111" i="3" s="1"/>
  <c r="Q803" i="2"/>
  <c r="AT1099" i="3"/>
  <c r="AW1099" i="3" s="1"/>
  <c r="Q795" i="2"/>
  <c r="AT1091" i="3"/>
  <c r="AW1091" i="3" s="1"/>
  <c r="Q787" i="2"/>
  <c r="AT1083" i="3"/>
  <c r="AW1083" i="3" s="1"/>
  <c r="Q779" i="2"/>
  <c r="AT1075" i="3"/>
  <c r="AW1075" i="3" s="1"/>
  <c r="Q771" i="2"/>
  <c r="AT1067" i="3"/>
  <c r="AW1067" i="3" s="1"/>
  <c r="Q763" i="2"/>
  <c r="AT1059" i="3"/>
  <c r="AW1059" i="3" s="1"/>
  <c r="Q755" i="2"/>
  <c r="AT1051" i="3"/>
  <c r="AW1051" i="3" s="1"/>
  <c r="Q747" i="2"/>
  <c r="AT1043" i="3"/>
  <c r="AW1043" i="3" s="1"/>
  <c r="Q739" i="2"/>
  <c r="AT1035" i="3"/>
  <c r="AW1035" i="3" s="1"/>
  <c r="Q731" i="2"/>
  <c r="AT1027" i="3"/>
  <c r="AW1027" i="3" s="1"/>
  <c r="Q723" i="2"/>
  <c r="AT1019" i="3"/>
  <c r="AW1019" i="3" s="1"/>
  <c r="Q715" i="2"/>
  <c r="AT1011" i="3"/>
  <c r="AW1011" i="3" s="1"/>
  <c r="Q707" i="2"/>
  <c r="AT1003" i="3"/>
  <c r="AW1003" i="3" s="1"/>
  <c r="Q695" i="2"/>
  <c r="AT991" i="3"/>
  <c r="AW991" i="3" s="1"/>
  <c r="Q687" i="2"/>
  <c r="AT983" i="3"/>
  <c r="AW983" i="3" s="1"/>
  <c r="Q679" i="2"/>
  <c r="AT975" i="3"/>
  <c r="AW975" i="3" s="1"/>
  <c r="Q671" i="2"/>
  <c r="AT967" i="3"/>
  <c r="AW967" i="3" s="1"/>
  <c r="Q663" i="2"/>
  <c r="AT959" i="3"/>
  <c r="AW959" i="3" s="1"/>
  <c r="Q655" i="2"/>
  <c r="AT951" i="3"/>
  <c r="AW951" i="3" s="1"/>
  <c r="Q647" i="2"/>
  <c r="AT943" i="3"/>
  <c r="AW943" i="3" s="1"/>
  <c r="Q639" i="2"/>
  <c r="AT935" i="3"/>
  <c r="AW935" i="3" s="1"/>
  <c r="Q631" i="2"/>
  <c r="AT927" i="3"/>
  <c r="AW927" i="3" s="1"/>
  <c r="Q627" i="2"/>
  <c r="AT923" i="3"/>
  <c r="AW923" i="3" s="1"/>
  <c r="Q623" i="2"/>
  <c r="AT919" i="3"/>
  <c r="AW919" i="3" s="1"/>
  <c r="Q619" i="2"/>
  <c r="AT915" i="3"/>
  <c r="AW915" i="3" s="1"/>
  <c r="Q615" i="2"/>
  <c r="AT911" i="3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663" i="3"/>
  <c r="AW663" i="3" s="1"/>
  <c r="Q363" i="2"/>
  <c r="AT659" i="3"/>
  <c r="AW659" i="3" s="1"/>
  <c r="Q359" i="2"/>
  <c r="AT655" i="3"/>
  <c r="AW655" i="3" s="1"/>
  <c r="Q355" i="2"/>
  <c r="AT651" i="3"/>
  <c r="AW651" i="3" s="1"/>
  <c r="Q351" i="2"/>
  <c r="AT647" i="3"/>
  <c r="AW647" i="3" s="1"/>
  <c r="Q347" i="2"/>
  <c r="AT643" i="3"/>
  <c r="AW643" i="3" s="1"/>
  <c r="Q343" i="2"/>
  <c r="AT639" i="3"/>
  <c r="AW639" i="3" s="1"/>
  <c r="Q339" i="2"/>
  <c r="AT635" i="3"/>
  <c r="AW635" i="3" s="1"/>
  <c r="Q335" i="2"/>
  <c r="AT631" i="3"/>
  <c r="AW631" i="3" s="1"/>
  <c r="Q331" i="2"/>
  <c r="AT627" i="3"/>
  <c r="AW627" i="3" s="1"/>
  <c r="Q327" i="2"/>
  <c r="AT623" i="3"/>
  <c r="AW623" i="3" s="1"/>
  <c r="Q323" i="2"/>
  <c r="AT619" i="3"/>
  <c r="AW619" i="3" s="1"/>
  <c r="Q319" i="2"/>
  <c r="AT615" i="3"/>
  <c r="AW615" i="3" s="1"/>
  <c r="Q315" i="2"/>
  <c r="AT611" i="3"/>
  <c r="AW611" i="3" s="1"/>
  <c r="Q311" i="2"/>
  <c r="AT607" i="3"/>
  <c r="AW607" i="3" s="1"/>
  <c r="Q307" i="2"/>
  <c r="AT603" i="3"/>
  <c r="AW603" i="3" s="1"/>
  <c r="Q303" i="2"/>
  <c r="AT599" i="3"/>
  <c r="AW599" i="3" s="1"/>
  <c r="Q299" i="2"/>
  <c r="AT595" i="3"/>
  <c r="AW595" i="3" s="1"/>
  <c r="Q295" i="2"/>
  <c r="AT591" i="3"/>
  <c r="AW591" i="3" s="1"/>
  <c r="Q291" i="2"/>
  <c r="AT587" i="3"/>
  <c r="AW587" i="3" s="1"/>
  <c r="Q287" i="2"/>
  <c r="AT583" i="3"/>
  <c r="AW583" i="3" s="1"/>
  <c r="Q283" i="2"/>
  <c r="AT579" i="3"/>
  <c r="AW579" i="3" s="1"/>
  <c r="Q279" i="2"/>
  <c r="AT575" i="3"/>
  <c r="AW575" i="3" s="1"/>
  <c r="Q275" i="2"/>
  <c r="AT571" i="3"/>
  <c r="AW571" i="3" s="1"/>
  <c r="Q271" i="2"/>
  <c r="AT567" i="3"/>
  <c r="AW567" i="3" s="1"/>
  <c r="Q267" i="2"/>
  <c r="AT563" i="3"/>
  <c r="AW563" i="3" s="1"/>
  <c r="Q263" i="2"/>
  <c r="AT559" i="3"/>
  <c r="AW559" i="3" s="1"/>
  <c r="Q259" i="2"/>
  <c r="AT555" i="3"/>
  <c r="AW555" i="3" s="1"/>
  <c r="Q255" i="2"/>
  <c r="AT551" i="3"/>
  <c r="AW551" i="3" s="1"/>
  <c r="Q251" i="2"/>
  <c r="AT547" i="3"/>
  <c r="AW547" i="3" s="1"/>
  <c r="Q247" i="2"/>
  <c r="AT543" i="3"/>
  <c r="AW543" i="3" s="1"/>
  <c r="Q243" i="2"/>
  <c r="AT539" i="3"/>
  <c r="AW539" i="3" s="1"/>
  <c r="Q239" i="2"/>
  <c r="AT535" i="3"/>
  <c r="AW535" i="3" s="1"/>
  <c r="Q235" i="2"/>
  <c r="AT531" i="3"/>
  <c r="AW531" i="3" s="1"/>
  <c r="Q231" i="2"/>
  <c r="AT527" i="3"/>
  <c r="AW527" i="3" s="1"/>
  <c r="Q227" i="2"/>
  <c r="AT523" i="3"/>
  <c r="AW523" i="3" s="1"/>
  <c r="Q223" i="2"/>
  <c r="AT519" i="3"/>
  <c r="AW519" i="3" s="1"/>
  <c r="Q219" i="2"/>
  <c r="AT515" i="3"/>
  <c r="AW515" i="3" s="1"/>
  <c r="Q215" i="2"/>
  <c r="AT511" i="3"/>
  <c r="AW511" i="3" s="1"/>
  <c r="Q211" i="2"/>
  <c r="AT507" i="3"/>
  <c r="AW507" i="3" s="1"/>
  <c r="Q207" i="2"/>
  <c r="AT503" i="3"/>
  <c r="AW503" i="3" s="1"/>
  <c r="Q203" i="2"/>
  <c r="AT499" i="3"/>
  <c r="AW499" i="3" s="1"/>
  <c r="Q199" i="2"/>
  <c r="AT495" i="3"/>
  <c r="AW495" i="3" s="1"/>
  <c r="Q195" i="2"/>
  <c r="AT491" i="3"/>
  <c r="AW491" i="3" s="1"/>
  <c r="Q191" i="2"/>
  <c r="AT487" i="3"/>
  <c r="AW487" i="3" s="1"/>
  <c r="Q187" i="2"/>
  <c r="AT483" i="3"/>
  <c r="AW483" i="3" s="1"/>
  <c r="Q183" i="2"/>
  <c r="AT479" i="3"/>
  <c r="AW479" i="3" s="1"/>
  <c r="Q179" i="2"/>
  <c r="AT475" i="3"/>
  <c r="AW475" i="3" s="1"/>
  <c r="Q175" i="2"/>
  <c r="AT471" i="3"/>
  <c r="AW471" i="3" s="1"/>
  <c r="Q171" i="2"/>
  <c r="AT467" i="3"/>
  <c r="AW467" i="3" s="1"/>
  <c r="Q167" i="2"/>
  <c r="AT463" i="3"/>
  <c r="AW463" i="3" s="1"/>
  <c r="Q163" i="2"/>
  <c r="AT459" i="3"/>
  <c r="AW459" i="3" s="1"/>
  <c r="Q159" i="2"/>
  <c r="AT455" i="3"/>
  <c r="AW455" i="3" s="1"/>
  <c r="Q155" i="2"/>
  <c r="AT451" i="3"/>
  <c r="AW451" i="3" s="1"/>
  <c r="Q151" i="2"/>
  <c r="AT447" i="3"/>
  <c r="AW447" i="3" s="1"/>
  <c r="Q147" i="2"/>
  <c r="AT443" i="3"/>
  <c r="AW443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Q79" i="2"/>
  <c r="Q75" i="2"/>
  <c r="Q67" i="2"/>
  <c r="Q63" i="2"/>
  <c r="Q59" i="2"/>
  <c r="Q55" i="2"/>
  <c r="Q51" i="2"/>
  <c r="Q47" i="2"/>
  <c r="Q43" i="2"/>
  <c r="Q35" i="2"/>
  <c r="Q31" i="2"/>
  <c r="Q27" i="2"/>
  <c r="Q23" i="2"/>
  <c r="Q19" i="2"/>
  <c r="Q15" i="2"/>
  <c r="Q11" i="2"/>
  <c r="Q3" i="2"/>
  <c r="AT3" i="3" s="1"/>
  <c r="AW3" i="3" s="1"/>
  <c r="Q863" i="2"/>
  <c r="AT1159" i="3"/>
  <c r="AW1159" i="3" s="1"/>
  <c r="Q855" i="2"/>
  <c r="AT1151" i="3"/>
  <c r="AW1151" i="3" s="1"/>
  <c r="Q847" i="2"/>
  <c r="AT1143" i="3"/>
  <c r="AW1143" i="3" s="1"/>
  <c r="Q843" i="2"/>
  <c r="AT1139" i="3"/>
  <c r="AW1139" i="3" s="1"/>
  <c r="Q835" i="2"/>
  <c r="AT1131" i="3"/>
  <c r="AW1131" i="3" s="1"/>
  <c r="Q827" i="2"/>
  <c r="AT1123" i="3"/>
  <c r="AW1123" i="3" s="1"/>
  <c r="Q819" i="2"/>
  <c r="AT1115" i="3"/>
  <c r="AW1115" i="3" s="1"/>
  <c r="Q811" i="2"/>
  <c r="AT1107" i="3"/>
  <c r="AW1107" i="3" s="1"/>
  <c r="Q807" i="2"/>
  <c r="AT1103" i="3"/>
  <c r="AW1103" i="3" s="1"/>
  <c r="Q799" i="2"/>
  <c r="AT1095" i="3"/>
  <c r="AW1095" i="3" s="1"/>
  <c r="Q791" i="2"/>
  <c r="AT1087" i="3"/>
  <c r="AW1087" i="3" s="1"/>
  <c r="Q783" i="2"/>
  <c r="AT1079" i="3"/>
  <c r="AW1079" i="3" s="1"/>
  <c r="Q775" i="2"/>
  <c r="AT1071" i="3"/>
  <c r="AW1071" i="3" s="1"/>
  <c r="Q767" i="2"/>
  <c r="AT1063" i="3"/>
  <c r="AW1063" i="3" s="1"/>
  <c r="Q759" i="2"/>
  <c r="AT1055" i="3"/>
  <c r="AW1055" i="3" s="1"/>
  <c r="Q751" i="2"/>
  <c r="AT1047" i="3"/>
  <c r="AW1047" i="3" s="1"/>
  <c r="Q743" i="2"/>
  <c r="AT1039" i="3"/>
  <c r="AW1039" i="3" s="1"/>
  <c r="Q735" i="2"/>
  <c r="AT1031" i="3"/>
  <c r="AW1031" i="3" s="1"/>
  <c r="Q727" i="2"/>
  <c r="AT1023" i="3"/>
  <c r="AW1023" i="3" s="1"/>
  <c r="Q719" i="2"/>
  <c r="AT1015" i="3"/>
  <c r="AW1015" i="3" s="1"/>
  <c r="Q711" i="2"/>
  <c r="AT1007" i="3"/>
  <c r="AW1007" i="3" s="1"/>
  <c r="Q703" i="2"/>
  <c r="AT999" i="3"/>
  <c r="AW999" i="3" s="1"/>
  <c r="Q699" i="2"/>
  <c r="AT995" i="3"/>
  <c r="AW995" i="3" s="1"/>
  <c r="Q691" i="2"/>
  <c r="AT987" i="3"/>
  <c r="AW987" i="3" s="1"/>
  <c r="Q683" i="2"/>
  <c r="AT979" i="3"/>
  <c r="AW979" i="3" s="1"/>
  <c r="Q675" i="2"/>
  <c r="AT971" i="3"/>
  <c r="AW971" i="3" s="1"/>
  <c r="Q667" i="2"/>
  <c r="AT963" i="3"/>
  <c r="AW963" i="3" s="1"/>
  <c r="Q659" i="2"/>
  <c r="AT955" i="3"/>
  <c r="AW955" i="3" s="1"/>
  <c r="Q651" i="2"/>
  <c r="AT947" i="3"/>
  <c r="AW947" i="3" s="1"/>
  <c r="Q643" i="2"/>
  <c r="AT939" i="3"/>
  <c r="AW939" i="3" s="1"/>
  <c r="Q635" i="2"/>
  <c r="AT931" i="3"/>
  <c r="AW931" i="3" s="1"/>
  <c r="Q571" i="2"/>
  <c r="AT867" i="3"/>
  <c r="AW867" i="3" s="1"/>
  <c r="Q864" i="2"/>
  <c r="AT1160" i="3"/>
  <c r="AW1160" i="3" s="1"/>
  <c r="Q860" i="2"/>
  <c r="AT1156" i="3"/>
  <c r="AW1156" i="3" s="1"/>
  <c r="Q856" i="2"/>
  <c r="AT1152" i="3"/>
  <c r="AW1152" i="3" s="1"/>
  <c r="Q852" i="2"/>
  <c r="AT1148" i="3"/>
  <c r="AW1148" i="3" s="1"/>
  <c r="Q848" i="2"/>
  <c r="AT1144" i="3"/>
  <c r="AW1144" i="3" s="1"/>
  <c r="Q844" i="2"/>
  <c r="AT1140" i="3"/>
  <c r="AW1140" i="3" s="1"/>
  <c r="Q840" i="2"/>
  <c r="AT1136" i="3"/>
  <c r="AW1136" i="3" s="1"/>
  <c r="Q836" i="2"/>
  <c r="AT1132" i="3"/>
  <c r="AW1132" i="3" s="1"/>
  <c r="Q832" i="2"/>
  <c r="AT1128" i="3"/>
  <c r="AW1128" i="3" s="1"/>
  <c r="Q828" i="2"/>
  <c r="AT1124" i="3"/>
  <c r="AW1124" i="3" s="1"/>
  <c r="Q824" i="2"/>
  <c r="AT1120" i="3"/>
  <c r="AW1120" i="3" s="1"/>
  <c r="Q820" i="2"/>
  <c r="AT1116" i="3"/>
  <c r="AW1116" i="3" s="1"/>
  <c r="Q816" i="2"/>
  <c r="AT1112" i="3"/>
  <c r="AW1112" i="3" s="1"/>
  <c r="Q812" i="2"/>
  <c r="AT1108" i="3"/>
  <c r="AW1108" i="3" s="1"/>
  <c r="Q808" i="2"/>
  <c r="AT1104" i="3"/>
  <c r="AW1104" i="3" s="1"/>
  <c r="Q804" i="2"/>
  <c r="AT1100" i="3"/>
  <c r="AW1100" i="3" s="1"/>
  <c r="Q800" i="2"/>
  <c r="AT1096" i="3"/>
  <c r="AW1096" i="3" s="1"/>
  <c r="Q796" i="2"/>
  <c r="AT1092" i="3"/>
  <c r="AW1092" i="3" s="1"/>
  <c r="Q792" i="2"/>
  <c r="AT1088" i="3"/>
  <c r="AW1088" i="3" s="1"/>
  <c r="Q788" i="2"/>
  <c r="AT1084" i="3"/>
  <c r="AW1084" i="3" s="1"/>
  <c r="Q784" i="2"/>
  <c r="AT1080" i="3"/>
  <c r="AW1080" i="3" s="1"/>
  <c r="Q780" i="2"/>
  <c r="AT1076" i="3"/>
  <c r="AW1076" i="3" s="1"/>
  <c r="Q776" i="2"/>
  <c r="AT1072" i="3"/>
  <c r="AW1072" i="3" s="1"/>
  <c r="Q772" i="2"/>
  <c r="AT1068" i="3"/>
  <c r="AW1068" i="3" s="1"/>
  <c r="Q768" i="2"/>
  <c r="AT1064" i="3"/>
  <c r="AW1064" i="3" s="1"/>
  <c r="Q764" i="2"/>
  <c r="AT1060" i="3"/>
  <c r="AW1060" i="3" s="1"/>
  <c r="Q760" i="2"/>
  <c r="AT1056" i="3"/>
  <c r="AW1056" i="3" s="1"/>
  <c r="Q756" i="2"/>
  <c r="AT1052" i="3"/>
  <c r="AW1052" i="3" s="1"/>
  <c r="Q752" i="2"/>
  <c r="AT1048" i="3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660" i="3"/>
  <c r="AW660" i="3" s="1"/>
  <c r="Q356" i="2"/>
  <c r="AT652" i="3"/>
  <c r="AW652" i="3" s="1"/>
  <c r="Q348" i="2"/>
  <c r="AT644" i="3"/>
  <c r="AW644" i="3" s="1"/>
  <c r="Q340" i="2"/>
  <c r="AT636" i="3"/>
  <c r="AW636" i="3" s="1"/>
  <c r="Q332" i="2"/>
  <c r="AT628" i="3"/>
  <c r="AW628" i="3" s="1"/>
  <c r="Q324" i="2"/>
  <c r="AT620" i="3"/>
  <c r="AW620" i="3" s="1"/>
  <c r="Q316" i="2"/>
  <c r="AT612" i="3"/>
  <c r="AW612" i="3" s="1"/>
  <c r="Q308" i="2"/>
  <c r="AT604" i="3"/>
  <c r="AW604" i="3" s="1"/>
  <c r="Q300" i="2"/>
  <c r="AT596" i="3"/>
  <c r="AW596" i="3" s="1"/>
  <c r="Q292" i="2"/>
  <c r="AT588" i="3"/>
  <c r="AW588" i="3" s="1"/>
  <c r="Q284" i="2"/>
  <c r="AT580" i="3"/>
  <c r="AW580" i="3" s="1"/>
  <c r="Q276" i="2"/>
  <c r="AT572" i="3"/>
  <c r="AW572" i="3" s="1"/>
  <c r="Q268" i="2"/>
  <c r="AT564" i="3"/>
  <c r="AW564" i="3" s="1"/>
  <c r="Q260" i="2"/>
  <c r="AT556" i="3"/>
  <c r="AW556" i="3" s="1"/>
  <c r="Q252" i="2"/>
  <c r="AT548" i="3"/>
  <c r="AW548" i="3" s="1"/>
  <c r="Q244" i="2"/>
  <c r="AT540" i="3"/>
  <c r="AW540" i="3" s="1"/>
  <c r="Q236" i="2"/>
  <c r="AT532" i="3"/>
  <c r="AW532" i="3" s="1"/>
  <c r="Q228" i="2"/>
  <c r="AT524" i="3"/>
  <c r="AW524" i="3" s="1"/>
  <c r="Q220" i="2"/>
  <c r="AT516" i="3"/>
  <c r="AW516" i="3" s="1"/>
  <c r="Q212" i="2"/>
  <c r="AT508" i="3"/>
  <c r="AW508" i="3" s="1"/>
  <c r="Q204" i="2"/>
  <c r="AT500" i="3"/>
  <c r="AW500" i="3" s="1"/>
  <c r="Q196" i="2"/>
  <c r="AT492" i="3"/>
  <c r="AW492" i="3" s="1"/>
  <c r="Q188" i="2"/>
  <c r="AT484" i="3"/>
  <c r="AW484" i="3" s="1"/>
  <c r="Q180" i="2"/>
  <c r="AT476" i="3"/>
  <c r="AW476" i="3" s="1"/>
  <c r="Q172" i="2"/>
  <c r="AT468" i="3"/>
  <c r="AW468" i="3" s="1"/>
  <c r="Q164" i="2"/>
  <c r="AT460" i="3"/>
  <c r="AW460" i="3" s="1"/>
  <c r="Q156" i="2"/>
  <c r="AT452" i="3"/>
  <c r="AW452" i="3" s="1"/>
  <c r="Q148" i="2"/>
  <c r="AT444" i="3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Q76" i="2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656" i="3"/>
  <c r="AW656" i="3" s="1"/>
  <c r="Q352" i="2"/>
  <c r="AT648" i="3"/>
  <c r="AW648" i="3" s="1"/>
  <c r="Q344" i="2"/>
  <c r="AT640" i="3"/>
  <c r="AW640" i="3" s="1"/>
  <c r="Q336" i="2"/>
  <c r="AT632" i="3"/>
  <c r="AW632" i="3" s="1"/>
  <c r="Q328" i="2"/>
  <c r="AT624" i="3"/>
  <c r="AW624" i="3" s="1"/>
  <c r="Q320" i="2"/>
  <c r="AT616" i="3"/>
  <c r="AW616" i="3" s="1"/>
  <c r="Q312" i="2"/>
  <c r="AT608" i="3"/>
  <c r="AW608" i="3" s="1"/>
  <c r="Q304" i="2"/>
  <c r="AT600" i="3"/>
  <c r="AW600" i="3" s="1"/>
  <c r="Q296" i="2"/>
  <c r="AT592" i="3"/>
  <c r="AW592" i="3" s="1"/>
  <c r="Q288" i="2"/>
  <c r="AT584" i="3"/>
  <c r="AW584" i="3" s="1"/>
  <c r="Q280" i="2"/>
  <c r="AT576" i="3"/>
  <c r="AW576" i="3" s="1"/>
  <c r="Q272" i="2"/>
  <c r="AT568" i="3"/>
  <c r="AW568" i="3" s="1"/>
  <c r="Q264" i="2"/>
  <c r="AT560" i="3"/>
  <c r="AW560" i="3" s="1"/>
  <c r="Q256" i="2"/>
  <c r="AT552" i="3"/>
  <c r="AW552" i="3" s="1"/>
  <c r="Q248" i="2"/>
  <c r="AT544" i="3"/>
  <c r="AW544" i="3" s="1"/>
  <c r="Q240" i="2"/>
  <c r="AT536" i="3"/>
  <c r="AW536" i="3" s="1"/>
  <c r="Q232" i="2"/>
  <c r="AT528" i="3"/>
  <c r="AW528" i="3" s="1"/>
  <c r="Q224" i="2"/>
  <c r="AT520" i="3"/>
  <c r="AW520" i="3" s="1"/>
  <c r="Q216" i="2"/>
  <c r="AT512" i="3"/>
  <c r="AW512" i="3" s="1"/>
  <c r="Q208" i="2"/>
  <c r="AT504" i="3"/>
  <c r="AW504" i="3" s="1"/>
  <c r="Q200" i="2"/>
  <c r="AT496" i="3"/>
  <c r="AW496" i="3" s="1"/>
  <c r="Q192" i="2"/>
  <c r="AT488" i="3"/>
  <c r="AW488" i="3" s="1"/>
  <c r="Q184" i="2"/>
  <c r="AT480" i="3"/>
  <c r="AW480" i="3" s="1"/>
  <c r="Q176" i="2"/>
  <c r="AT472" i="3"/>
  <c r="AW472" i="3" s="1"/>
  <c r="Q168" i="2"/>
  <c r="AT464" i="3"/>
  <c r="AW464" i="3" s="1"/>
  <c r="Q160" i="2"/>
  <c r="AT456" i="3"/>
  <c r="AW456" i="3" s="1"/>
  <c r="Q152" i="2"/>
  <c r="AT448" i="3"/>
  <c r="AW448" i="3" s="1"/>
  <c r="Q144" i="2"/>
  <c r="AT440" i="3" s="1"/>
  <c r="AW440" i="3" s="1"/>
  <c r="Q132" i="2"/>
  <c r="AT428" i="3"/>
  <c r="AW428" i="3" s="1"/>
  <c r="Q124" i="2"/>
  <c r="AT420" i="3" s="1"/>
  <c r="AW420" i="3" s="1"/>
  <c r="Q116" i="2"/>
  <c r="AT412" i="3" s="1"/>
  <c r="AW412" i="3" s="1"/>
  <c r="Q108" i="2"/>
  <c r="AT404" i="3" s="1"/>
  <c r="AW404" i="3" s="1"/>
  <c r="Q100" i="2"/>
  <c r="AT396" i="3" s="1"/>
  <c r="AW396" i="3" s="1"/>
  <c r="Q92" i="2"/>
  <c r="AT388" i="3" s="1"/>
  <c r="AW388" i="3" s="1"/>
  <c r="Q84" i="2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662" i="3"/>
  <c r="AW662" i="3" s="1"/>
  <c r="Q362" i="2"/>
  <c r="AT658" i="3"/>
  <c r="AW658" i="3" s="1"/>
  <c r="Q358" i="2"/>
  <c r="AT654" i="3"/>
  <c r="AW654" i="3" s="1"/>
  <c r="Q354" i="2"/>
  <c r="AT650" i="3"/>
  <c r="AW650" i="3" s="1"/>
  <c r="Q350" i="2"/>
  <c r="AT646" i="3"/>
  <c r="AW646" i="3" s="1"/>
  <c r="Q346" i="2"/>
  <c r="AT642" i="3"/>
  <c r="AW642" i="3" s="1"/>
  <c r="Q342" i="2"/>
  <c r="AT638" i="3"/>
  <c r="AW638" i="3" s="1"/>
  <c r="Q338" i="2"/>
  <c r="AT634" i="3"/>
  <c r="AW634" i="3" s="1"/>
  <c r="Q334" i="2"/>
  <c r="AT630" i="3"/>
  <c r="AW630" i="3" s="1"/>
  <c r="Q330" i="2"/>
  <c r="AT626" i="3"/>
  <c r="AW626" i="3" s="1"/>
  <c r="Q326" i="2"/>
  <c r="AT622" i="3"/>
  <c r="AW622" i="3" s="1"/>
  <c r="Q322" i="2"/>
  <c r="AT618" i="3"/>
  <c r="AW618" i="3" s="1"/>
  <c r="Q318" i="2"/>
  <c r="AT614" i="3"/>
  <c r="AW614" i="3" s="1"/>
  <c r="Q314" i="2"/>
  <c r="AT610" i="3"/>
  <c r="AW610" i="3" s="1"/>
  <c r="Q310" i="2"/>
  <c r="AT606" i="3"/>
  <c r="AW606" i="3" s="1"/>
  <c r="Q306" i="2"/>
  <c r="AT602" i="3"/>
  <c r="AW602" i="3" s="1"/>
  <c r="Q302" i="2"/>
  <c r="AT598" i="3"/>
  <c r="AW598" i="3" s="1"/>
  <c r="Q298" i="2"/>
  <c r="AT594" i="3"/>
  <c r="AW594" i="3" s="1"/>
  <c r="Q294" i="2"/>
  <c r="AT590" i="3"/>
  <c r="AW590" i="3" s="1"/>
  <c r="Q290" i="2"/>
  <c r="AT586" i="3"/>
  <c r="AW586" i="3" s="1"/>
  <c r="Q286" i="2"/>
  <c r="AT582" i="3"/>
  <c r="AW582" i="3" s="1"/>
  <c r="Q282" i="2"/>
  <c r="AT578" i="3"/>
  <c r="AW578" i="3" s="1"/>
  <c r="Q278" i="2"/>
  <c r="AT574" i="3"/>
  <c r="AW574" i="3" s="1"/>
  <c r="Q274" i="2"/>
  <c r="AT570" i="3"/>
  <c r="AW570" i="3" s="1"/>
  <c r="Q270" i="2"/>
  <c r="AT566" i="3"/>
  <c r="AW566" i="3" s="1"/>
  <c r="Q266" i="2"/>
  <c r="AT562" i="3"/>
  <c r="AW562" i="3" s="1"/>
  <c r="Q262" i="2"/>
  <c r="AT558" i="3"/>
  <c r="AW558" i="3" s="1"/>
  <c r="Q258" i="2"/>
  <c r="AT554" i="3"/>
  <c r="AW554" i="3" s="1"/>
  <c r="Q254" i="2"/>
  <c r="AT550" i="3"/>
  <c r="AW550" i="3" s="1"/>
  <c r="Q250" i="2"/>
  <c r="AT546" i="3"/>
  <c r="AW546" i="3" s="1"/>
  <c r="Q246" i="2"/>
  <c r="AT542" i="3"/>
  <c r="AW542" i="3" s="1"/>
  <c r="Q242" i="2"/>
  <c r="AT538" i="3"/>
  <c r="AW538" i="3" s="1"/>
  <c r="Q238" i="2"/>
  <c r="AT534" i="3"/>
  <c r="AW534" i="3" s="1"/>
  <c r="Q234" i="2"/>
  <c r="AT530" i="3"/>
  <c r="AW530" i="3" s="1"/>
  <c r="Q230" i="2"/>
  <c r="AT526" i="3"/>
  <c r="AW526" i="3" s="1"/>
  <c r="Q226" i="2"/>
  <c r="AT522" i="3"/>
  <c r="AW522" i="3" s="1"/>
  <c r="Q222" i="2"/>
  <c r="AT518" i="3"/>
  <c r="AW518" i="3" s="1"/>
  <c r="Q218" i="2"/>
  <c r="AT514" i="3"/>
  <c r="AW514" i="3" s="1"/>
  <c r="Q214" i="2"/>
  <c r="AT510" i="3"/>
  <c r="AW510" i="3" s="1"/>
  <c r="Q210" i="2"/>
  <c r="AT506" i="3"/>
  <c r="AW506" i="3" s="1"/>
  <c r="Q206" i="2"/>
  <c r="AT502" i="3"/>
  <c r="AW502" i="3" s="1"/>
  <c r="Q202" i="2"/>
  <c r="AT498" i="3"/>
  <c r="AW498" i="3" s="1"/>
  <c r="Q198" i="2"/>
  <c r="AT494" i="3"/>
  <c r="AW494" i="3" s="1"/>
  <c r="Q194" i="2"/>
  <c r="AT490" i="3"/>
  <c r="AW490" i="3" s="1"/>
  <c r="Q190" i="2"/>
  <c r="AT486" i="3"/>
  <c r="AW486" i="3" s="1"/>
  <c r="Q186" i="2"/>
  <c r="AT482" i="3"/>
  <c r="AW482" i="3" s="1"/>
  <c r="Q182" i="2"/>
  <c r="AT478" i="3"/>
  <c r="AW478" i="3" s="1"/>
  <c r="Q178" i="2"/>
  <c r="AT474" i="3"/>
  <c r="AW474" i="3" s="1"/>
  <c r="Q174" i="2"/>
  <c r="AT470" i="3"/>
  <c r="AW470" i="3" s="1"/>
  <c r="Q170" i="2"/>
  <c r="AT466" i="3"/>
  <c r="AW466" i="3" s="1"/>
  <c r="Q166" i="2"/>
  <c r="AT462" i="3"/>
  <c r="AW462" i="3" s="1"/>
  <c r="Q162" i="2"/>
  <c r="AT458" i="3"/>
  <c r="AW458" i="3" s="1"/>
  <c r="Q158" i="2"/>
  <c r="AT454" i="3"/>
  <c r="AW454" i="3" s="1"/>
  <c r="Q154" i="2"/>
  <c r="AT450" i="3"/>
  <c r="AW450" i="3" s="1"/>
  <c r="Q150" i="2"/>
  <c r="AT446" i="3"/>
  <c r="AW446" i="3" s="1"/>
  <c r="Q146" i="2"/>
  <c r="AT442" i="3"/>
  <c r="AW442" i="3" s="1"/>
  <c r="Q142" i="2"/>
  <c r="AT438" i="3" s="1"/>
  <c r="AW438" i="3" s="1"/>
  <c r="Q138" i="2"/>
  <c r="AT434" i="3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410" i="3"/>
  <c r="AW410" i="3" s="1"/>
  <c r="Q110" i="2"/>
  <c r="AT406" i="3" s="1"/>
  <c r="AW406" i="3" s="1"/>
  <c r="Q106" i="2"/>
  <c r="AT402" i="3"/>
  <c r="AW402" i="3" s="1"/>
  <c r="Q102" i="2"/>
  <c r="AT398" i="3" s="1"/>
  <c r="AW398" i="3" s="1"/>
  <c r="Q98" i="2"/>
  <c r="AT394" i="3" s="1"/>
  <c r="AW394" i="3" s="1"/>
  <c r="Q94" i="2"/>
  <c r="AT390" i="3" s="1"/>
  <c r="AW390" i="3" s="1"/>
  <c r="Q90" i="2"/>
  <c r="AT386" i="3" s="1"/>
  <c r="AW386" i="3" s="1"/>
  <c r="Q86" i="2"/>
  <c r="AT382" i="3" s="1"/>
  <c r="AW382" i="3" s="1"/>
  <c r="Q82" i="2"/>
  <c r="Q78" i="2"/>
  <c r="Q74" i="2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O66" i="2"/>
  <c r="O54" i="2"/>
  <c r="O46" i="2"/>
  <c r="O34" i="2"/>
  <c r="O22" i="2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42" i="3"/>
  <c r="AR642" i="3" s="1"/>
  <c r="AO626" i="3"/>
  <c r="AR626" i="3" s="1"/>
  <c r="AO594" i="3"/>
  <c r="AR594" i="3" s="1"/>
  <c r="AO578" i="3"/>
  <c r="AR578" i="3" s="1"/>
  <c r="AO562" i="3"/>
  <c r="AR562" i="3" s="1"/>
  <c r="AO546" i="3"/>
  <c r="AR546" i="3" s="1"/>
  <c r="AO530" i="3"/>
  <c r="AR530" i="3" s="1"/>
  <c r="AO514" i="3"/>
  <c r="AR514" i="3" s="1"/>
  <c r="AO498" i="3"/>
  <c r="AR498" i="3" s="1"/>
  <c r="AO482" i="3"/>
  <c r="AR482" i="3" s="1"/>
  <c r="AO466" i="3"/>
  <c r="AR466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O74" i="2"/>
  <c r="O70" i="2"/>
  <c r="O62" i="2"/>
  <c r="O58" i="2"/>
  <c r="O50" i="2"/>
  <c r="O42" i="2"/>
  <c r="O38" i="2"/>
  <c r="O30" i="2"/>
  <c r="O26" i="2"/>
  <c r="O18" i="2"/>
  <c r="O14" i="2"/>
  <c r="O6" i="2"/>
  <c r="AO6" i="3" s="1"/>
  <c r="AR6" i="3" s="1"/>
  <c r="O726" i="2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78" i="3"/>
  <c r="AR478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9" i="3"/>
  <c r="AR479" i="3" s="1"/>
  <c r="AO475" i="3"/>
  <c r="AR475" i="3" s="1"/>
  <c r="AO471" i="3"/>
  <c r="AR471" i="3" s="1"/>
  <c r="AO467" i="3"/>
  <c r="AR467" i="3" s="1"/>
  <c r="AO463" i="3"/>
  <c r="AR463" i="3" s="1"/>
  <c r="AO459" i="3"/>
  <c r="AR459" i="3" s="1"/>
  <c r="AO455" i="3"/>
  <c r="AR455" i="3" s="1"/>
  <c r="AO451" i="3"/>
  <c r="AR451" i="3" s="1"/>
  <c r="AO447" i="3"/>
  <c r="AR447" i="3" s="1"/>
  <c r="AO443" i="3"/>
  <c r="AR443" i="3" s="1"/>
  <c r="AO439" i="3"/>
  <c r="AR439" i="3" s="1"/>
  <c r="AO435" i="3"/>
  <c r="AR435" i="3" s="1"/>
  <c r="AO431" i="3"/>
  <c r="AR431" i="3" s="1"/>
  <c r="AO427" i="3"/>
  <c r="AR427" i="3" s="1"/>
  <c r="AO423" i="3"/>
  <c r="AR423" i="3" s="1"/>
  <c r="AO419" i="3"/>
  <c r="AR419" i="3" s="1"/>
  <c r="AO415" i="3"/>
  <c r="AR415" i="3" s="1"/>
  <c r="AO411" i="3"/>
  <c r="AR411" i="3" s="1"/>
  <c r="AO407" i="3"/>
  <c r="AR407" i="3" s="1"/>
  <c r="AO403" i="3"/>
  <c r="AR403" i="3" s="1"/>
  <c r="AO399" i="3"/>
  <c r="AR399" i="3" s="1"/>
  <c r="AO395" i="3"/>
  <c r="AR395" i="3" s="1"/>
  <c r="AO391" i="3"/>
  <c r="AR391" i="3" s="1"/>
  <c r="AO387" i="3"/>
  <c r="AR387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8" i="3"/>
  <c r="AR508" i="3" s="1"/>
  <c r="AO504" i="3"/>
  <c r="AR504" i="3" s="1"/>
  <c r="AO500" i="3"/>
  <c r="AR500" i="3" s="1"/>
  <c r="AO496" i="3"/>
  <c r="AR496" i="3" s="1"/>
  <c r="AO492" i="3"/>
  <c r="AR492" i="3" s="1"/>
  <c r="AO488" i="3"/>
  <c r="AR488" i="3" s="1"/>
  <c r="AO484" i="3"/>
  <c r="AR484" i="3" s="1"/>
  <c r="AO480" i="3"/>
  <c r="AR480" i="3" s="1"/>
  <c r="AO476" i="3"/>
  <c r="AR476" i="3" s="1"/>
  <c r="AO472" i="3"/>
  <c r="AR472" i="3" s="1"/>
  <c r="AO468" i="3"/>
  <c r="AR468" i="3" s="1"/>
  <c r="AO464" i="3"/>
  <c r="AR464" i="3" s="1"/>
  <c r="AO460" i="3"/>
  <c r="AR460" i="3" s="1"/>
  <c r="AO456" i="3"/>
  <c r="AR456" i="3" s="1"/>
  <c r="AO452" i="3"/>
  <c r="AR452" i="3" s="1"/>
  <c r="AO448" i="3"/>
  <c r="AR448" i="3" s="1"/>
  <c r="AO444" i="3"/>
  <c r="AR444" i="3" s="1"/>
  <c r="AO440" i="3"/>
  <c r="AR440" i="3" s="1"/>
  <c r="AO436" i="3"/>
  <c r="AR436" i="3" s="1"/>
  <c r="AO432" i="3"/>
  <c r="AR432" i="3" s="1"/>
  <c r="AO428" i="3"/>
  <c r="AR428" i="3" s="1"/>
  <c r="AO424" i="3"/>
  <c r="AR424" i="3" s="1"/>
  <c r="AO420" i="3"/>
  <c r="AR420" i="3" s="1"/>
  <c r="AO416" i="3"/>
  <c r="AR416" i="3" s="1"/>
  <c r="AO412" i="3"/>
  <c r="AR412" i="3" s="1"/>
  <c r="AO408" i="3"/>
  <c r="AR408" i="3" s="1"/>
  <c r="AO404" i="3"/>
  <c r="AR404" i="3" s="1"/>
  <c r="AO400" i="3"/>
  <c r="AR400" i="3" s="1"/>
  <c r="AO396" i="3"/>
  <c r="AR396" i="3" s="1"/>
  <c r="AO392" i="3"/>
  <c r="AR392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49" i="3"/>
  <c r="AR649" i="3" s="1"/>
  <c r="AO637" i="3"/>
  <c r="AR637" i="3" s="1"/>
  <c r="AO633" i="3"/>
  <c r="AR633" i="3" s="1"/>
  <c r="AO621" i="3"/>
  <c r="AR621" i="3" s="1"/>
  <c r="AO609" i="3"/>
  <c r="AR609" i="3" s="1"/>
  <c r="AO605" i="3"/>
  <c r="AR605" i="3" s="1"/>
  <c r="AO589" i="3"/>
  <c r="AR589" i="3" s="1"/>
  <c r="AO573" i="3"/>
  <c r="AR573" i="3" s="1"/>
  <c r="AO557" i="3"/>
  <c r="AR557" i="3" s="1"/>
  <c r="AO541" i="3"/>
  <c r="AR541" i="3" s="1"/>
  <c r="AO529" i="3"/>
  <c r="AR529" i="3" s="1"/>
  <c r="AO513" i="3"/>
  <c r="AR513" i="3" s="1"/>
  <c r="AO509" i="3"/>
  <c r="AR509" i="3" s="1"/>
  <c r="AO497" i="3"/>
  <c r="AR497" i="3" s="1"/>
  <c r="AO485" i="3"/>
  <c r="AR485" i="3" s="1"/>
  <c r="AO477" i="3"/>
  <c r="AR477" i="3" s="1"/>
  <c r="AO465" i="3"/>
  <c r="AR465" i="3" s="1"/>
  <c r="AO449" i="3"/>
  <c r="AR449" i="3" s="1"/>
  <c r="AO445" i="3"/>
  <c r="AR445" i="3" s="1"/>
  <c r="AO433" i="3"/>
  <c r="AR433" i="3" s="1"/>
  <c r="AO417" i="3"/>
  <c r="AR417" i="3" s="1"/>
  <c r="AO413" i="3"/>
  <c r="AR413" i="3" s="1"/>
  <c r="AO397" i="3"/>
  <c r="AR397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X10" i="3" l="1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<sst xmlns="http://schemas.openxmlformats.org/spreadsheetml/2006/main" count="1371" uniqueCount="88">
  <si>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</si>
  <si>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</si>
  <si>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</si>
  <si>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</si>
  <si>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</si>
  <si>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</si>
  <si>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</si>
  <si>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</si>
  <si>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</si>
  <si>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</si>
  <si>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</si>
  <si>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</si>
  <si>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</si>
  <si>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</si>
  <si>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</si>
  <si>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</si>
  <si>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</si>
  <si>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</si>
  <si>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</si>
  <si>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</si>
  <si>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</si>
  <si>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</si>
  <si>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</si>
  <si>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</si>
  <si>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</si>
  <si>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</si>
  <si>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</si>
  <si>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</si>
  <si>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</si>
  <si>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</si>
  <si>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</si>
  <si>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</si>
  <si>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</si>
  <si>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</si>
  <si>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</si>
  <si>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</si>
  <si>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</si>
  <si>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</si>
  <si>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</si>
  <si>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</si>
  <si>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</si>
  <si>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</si>
  <si>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</si>
  <si>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</si>
  <si>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</si>
  <si>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</si>
  <si>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</si>
  <si>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</si>
  <si>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</si>
  <si>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</si>
  <si>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</si>
  <si>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</si>
  <si>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</si>
  <si>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</si>
  <si>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</si>
  <si>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</si>
  <si>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</si>
  <si>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</si>
  <si>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</si>
  <si>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</si>
  <si>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</si>
  <si>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</si>
  <si>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</si>
  <si>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</si>
  <si>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00000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</si>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</sst>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47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7" zoomScale="85" zoomScaleNormal="85" workbookViewId="0">
      <selection activeCell="C50" sqref="C50:C51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87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296" t="s">
        <v>73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64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314" t="s">
        <v>82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86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69</v>
      </c>
      <c r="C40" s="34" t="s">
        <v>70</v>
      </c>
      <c r="D40" s="34" t="s">
        <v>71</v>
      </c>
      <c r="E40" s="34" t="s">
        <v>72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316"/>
      <c r="C41" s="316"/>
      <c r="D41" s="316"/>
      <c r="E41" s="316"/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80" t="s">
        <v>75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06"/>
      <c r="C45" s="307"/>
      <c r="D45" s="310" t="str">
        <f>CONCATENATE('Cable Info'!C11,"  ",'Cable Info'!C18,"   ",'Cable Info'!C25,"  ",'Cable Info'!C32,"   ",'Cable Info'!C39,"   ",'Cable Info'!C46)</f>
        <v xml:space="preserve">       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89"/>
      <c r="C50" s="291"/>
      <c r="D50" s="293"/>
      <c r="E50" s="29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80" t="s">
        <v>67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00"/>
      <c r="C53" s="301"/>
      <c r="D53" s="276" t="str">
        <f>J8</f>
        <v>00000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68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11" sqref="D11:F11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00000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76</v>
      </c>
      <c r="M1" s="151"/>
      <c r="N1" s="151" t="s">
        <v>77</v>
      </c>
      <c r="P1" s="150" t="s">
        <v>78</v>
      </c>
      <c r="R1" s="150" t="s">
        <v>79</v>
      </c>
      <c r="T1" s="150" t="s">
        <v>80</v>
      </c>
      <c r="V1" s="150" t="s">
        <v>81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00000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76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77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78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79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80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81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46" t="str">
        <f>'Cover - Location Info'!J8</f>
        <v>00000</v>
      </c>
      <c r="C3" s="221"/>
      <c r="D3" s="221"/>
      <c r="E3" s="221"/>
      <c r="F3" s="348" t="str">
        <f>'Cover - Location Info'!J10</f>
        <v>1.0</v>
      </c>
      <c r="G3" s="213"/>
    </row>
    <row r="4" spans="1:12" ht="12.75" customHeight="1" thickBot="1" x14ac:dyDescent="0.25">
      <c r="A4" s="220"/>
      <c r="B4" s="347"/>
      <c r="C4" s="221"/>
      <c r="D4" s="221"/>
      <c r="E4" s="221"/>
      <c r="F4" s="349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50" t="s">
        <v>74</v>
      </c>
      <c r="C6" s="350"/>
      <c r="D6" s="350"/>
      <c r="E6" s="350"/>
      <c r="F6" s="350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">
      <c r="A30" s="220"/>
      <c r="B30" s="357"/>
      <c r="C30" s="358"/>
      <c r="D30" s="358"/>
      <c r="E30" s="358"/>
      <c r="F30" s="359"/>
      <c r="G30" s="223"/>
    </row>
    <row r="31" spans="1:12" ht="15" customHeight="1" x14ac:dyDescent="0.2">
      <c r="A31" s="220"/>
      <c r="B31" s="357"/>
      <c r="C31" s="358"/>
      <c r="D31" s="358"/>
      <c r="E31" s="358"/>
      <c r="F31" s="359"/>
      <c r="G31" s="223"/>
    </row>
    <row r="32" spans="1:12" ht="15" customHeight="1" x14ac:dyDescent="0.2">
      <c r="A32" s="220"/>
      <c r="B32" s="357"/>
      <c r="C32" s="358"/>
      <c r="D32" s="358"/>
      <c r="E32" s="358"/>
      <c r="F32" s="359"/>
      <c r="G32" s="223"/>
    </row>
    <row r="33" spans="1:7" ht="15" customHeight="1" x14ac:dyDescent="0.2">
      <c r="A33" s="220"/>
      <c r="B33" s="343"/>
      <c r="C33" s="344"/>
      <c r="D33" s="344"/>
      <c r="E33" s="344"/>
      <c r="F33" s="345"/>
      <c r="G33" s="223"/>
    </row>
    <row r="34" spans="1:7" ht="15" customHeight="1" x14ac:dyDescent="0.2">
      <c r="A34" s="220"/>
      <c r="B34" s="343"/>
      <c r="C34" s="344"/>
      <c r="D34" s="344"/>
      <c r="E34" s="344"/>
      <c r="F34" s="345"/>
      <c r="G34" s="223"/>
    </row>
    <row r="35" spans="1:7" ht="15" customHeight="1" x14ac:dyDescent="0.2">
      <c r="A35" s="220"/>
      <c r="B35" s="363"/>
      <c r="C35" s="364"/>
      <c r="D35" s="364"/>
      <c r="E35" s="364"/>
      <c r="F35" s="365"/>
      <c r="G35" s="223"/>
    </row>
    <row r="36" spans="1:7" ht="15" customHeight="1" x14ac:dyDescent="0.2">
      <c r="A36" s="220"/>
      <c r="B36" s="354"/>
      <c r="C36" s="355"/>
      <c r="D36" s="355"/>
      <c r="E36" s="355"/>
      <c r="F36" s="356"/>
      <c r="G36" s="223"/>
    </row>
    <row r="37" spans="1:7" ht="15" customHeight="1" x14ac:dyDescent="0.2">
      <c r="A37" s="220"/>
      <c r="B37" s="354"/>
      <c r="C37" s="355"/>
      <c r="D37" s="355"/>
      <c r="E37" s="355"/>
      <c r="F37" s="356"/>
      <c r="G37" s="223"/>
    </row>
    <row r="38" spans="1:7" ht="15" customHeight="1" x14ac:dyDescent="0.2">
      <c r="A38" s="220"/>
      <c r="B38" s="343"/>
      <c r="C38" s="344"/>
      <c r="D38" s="344"/>
      <c r="E38" s="344"/>
      <c r="F38" s="345"/>
      <c r="G38" s="223"/>
    </row>
    <row r="39" spans="1:7" ht="15" customHeight="1" x14ac:dyDescent="0.2">
      <c r="A39" s="220"/>
      <c r="B39" s="343"/>
      <c r="C39" s="344"/>
      <c r="D39" s="344"/>
      <c r="E39" s="344"/>
      <c r="F39" s="345"/>
      <c r="G39" s="223"/>
    </row>
    <row r="40" spans="1:7" ht="15" customHeight="1" x14ac:dyDescent="0.2">
      <c r="A40" s="220"/>
      <c r="B40" s="343"/>
      <c r="C40" s="344"/>
      <c r="D40" s="344"/>
      <c r="E40" s="344"/>
      <c r="F40" s="345"/>
      <c r="G40" s="223"/>
    </row>
    <row r="41" spans="1:7" ht="15" customHeight="1" x14ac:dyDescent="0.2">
      <c r="A41" s="220"/>
      <c r="B41" s="343"/>
      <c r="C41" s="344"/>
      <c r="D41" s="344"/>
      <c r="E41" s="344"/>
      <c r="F41" s="345"/>
      <c r="G41" s="223"/>
    </row>
    <row r="42" spans="1:7" ht="15" customHeight="1" x14ac:dyDescent="0.2">
      <c r="A42" s="220"/>
      <c r="B42" s="343"/>
      <c r="C42" s="344"/>
      <c r="D42" s="344"/>
      <c r="E42" s="344"/>
      <c r="F42" s="345"/>
      <c r="G42" s="223"/>
    </row>
    <row r="43" spans="1:7" ht="15" customHeight="1" x14ac:dyDescent="0.2">
      <c r="A43" s="220"/>
      <c r="B43" s="372"/>
      <c r="C43" s="373"/>
      <c r="D43" s="373"/>
      <c r="E43" s="373"/>
      <c r="F43" s="374"/>
      <c r="G43" s="223"/>
    </row>
    <row r="44" spans="1:7" ht="15" customHeight="1" x14ac:dyDescent="0.2">
      <c r="A44" s="220"/>
      <c r="B44" s="366"/>
      <c r="C44" s="367"/>
      <c r="D44" s="367"/>
      <c r="E44" s="367"/>
      <c r="F44" s="368"/>
      <c r="G44" s="223"/>
    </row>
    <row r="45" spans="1:7" ht="15" customHeight="1" x14ac:dyDescent="0.2">
      <c r="A45" s="220"/>
      <c r="B45" s="366"/>
      <c r="C45" s="367"/>
      <c r="D45" s="367"/>
      <c r="E45" s="367"/>
      <c r="F45" s="368"/>
      <c r="G45" s="223"/>
    </row>
    <row r="46" spans="1:7" ht="15" customHeight="1" x14ac:dyDescent="0.2">
      <c r="A46" s="220"/>
      <c r="B46" s="375"/>
      <c r="C46" s="376"/>
      <c r="D46" s="376"/>
      <c r="E46" s="376"/>
      <c r="F46" s="377"/>
      <c r="G46" s="223"/>
    </row>
    <row r="47" spans="1:7" ht="15" customHeight="1" x14ac:dyDescent="0.2">
      <c r="A47" s="220"/>
      <c r="B47" s="372"/>
      <c r="C47" s="373"/>
      <c r="D47" s="373"/>
      <c r="E47" s="373"/>
      <c r="F47" s="374"/>
      <c r="G47" s="223"/>
    </row>
    <row r="48" spans="1:7" ht="15" customHeight="1" x14ac:dyDescent="0.2">
      <c r="A48" s="220"/>
      <c r="B48" s="366"/>
      <c r="C48" s="367"/>
      <c r="D48" s="367"/>
      <c r="E48" s="367"/>
      <c r="F48" s="368"/>
      <c r="G48" s="223"/>
    </row>
    <row r="49" spans="1:7" ht="15" customHeight="1" x14ac:dyDescent="0.2">
      <c r="A49" s="220"/>
      <c r="B49" s="366"/>
      <c r="C49" s="367"/>
      <c r="D49" s="367"/>
      <c r="E49" s="367"/>
      <c r="F49" s="368"/>
      <c r="G49" s="223"/>
    </row>
    <row r="50" spans="1:7" ht="15" customHeight="1" x14ac:dyDescent="0.2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25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D53" sqref="D53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/>
      </c>
      <c r="AI1" s="120" t="s">
        <v>17</v>
      </c>
      <c r="AJ1" s="121" t="s">
        <v>12</v>
      </c>
      <c r="AM1" s="121" t="str">
        <f>AF1</f>
        <v/>
      </c>
      <c r="AN1" s="121" t="s">
        <v>17</v>
      </c>
      <c r="AO1" s="121" t="s">
        <v>13</v>
      </c>
      <c r="AR1" s="121" t="str">
        <f>AF2</f>
        <v/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/>
      </c>
      <c r="AJ2" s="121" t="str">
        <f>IF('Cable Info'!L2="","",CONCATENATE('Cable Info'!L2," - ",'Cable Info'!M2))</f>
        <v/>
      </c>
      <c r="AM2" s="121" t="str">
        <f>IF(AK2="",AJ2,CONCATENATE(AJ2,"  &lt;=&gt; ",AK2," ",AL2))</f>
        <v/>
      </c>
      <c r="AO2" s="121" t="str">
        <f>IF('Cable Info'!N2="","",CONCATENATE('Cable Info'!N2," - ",'Cable Info'!O2))</f>
        <v/>
      </c>
      <c r="AR2" s="121" t="str">
        <f>IF(AP2="",AO2,CONCATENATE(AO2,"  &lt;=&gt; ",AP2," ",AQ2))</f>
        <v/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00000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str">
        <f>IF('Cable Info'!L3="","",CONCATENATE('Cable Info'!L3," - ",'Cable Info'!M3))</f>
        <v/>
      </c>
      <c r="AM3" s="121" t="str">
        <f t="shared" ref="AM3:AM10" si="0">IF(AK3="",AJ3,CONCATENATE(AJ3,"  &lt;=&gt; ",AK3," ",AL3))</f>
        <v/>
      </c>
      <c r="AO3" s="121" t="str">
        <f>IF('Cable Info'!N3="","",CONCATENATE('Cable Info'!N3," - ",'Cable Info'!O3))</f>
        <v/>
      </c>
      <c r="AR3" s="121" t="str">
        <f t="shared" ref="AR3:AR10" si="1">IF(AP3="",AO3,CONCATENATE(AO3,"  &lt;=&gt; ",AP3," ",AQ3))</f>
        <v/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str">
        <f>IF('Cable Info'!L4="","",CONCATENATE('Cable Info'!L4," - ",'Cable Info'!M4))</f>
        <v/>
      </c>
      <c r="AM4" s="121" t="str">
        <f t="shared" si="0"/>
        <v/>
      </c>
      <c r="AO4" s="121" t="str">
        <f>IF('Cable Info'!N4="","",CONCATENATE('Cable Info'!N4," - ",'Cable Info'!O4))</f>
        <v/>
      </c>
      <c r="AR4" s="121" t="str">
        <f t="shared" si="1"/>
        <v/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str">
        <f>IF('Cable Info'!L5="","",CONCATENATE('Cable Info'!L5," - ",'Cable Info'!M5))</f>
        <v/>
      </c>
      <c r="AM5" s="121" t="str">
        <f t="shared" si="0"/>
        <v/>
      </c>
      <c r="AO5" s="121" t="str">
        <f>IF('Cable Info'!N5="","",CONCATENATE('Cable Info'!N5," - ",'Cable Info'!O5))</f>
        <v/>
      </c>
      <c r="AR5" s="121" t="str">
        <f t="shared" si="1"/>
        <v/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str">
        <f>IF('Cable Info'!L6="","",CONCATENATE('Cable Info'!L6," - ",'Cable Info'!M6))</f>
        <v/>
      </c>
      <c r="AM6" s="121" t="str">
        <f t="shared" si="0"/>
        <v/>
      </c>
      <c r="AO6" s="121" t="str">
        <f>IF('Cable Info'!N6="","",CONCATENATE('Cable Info'!N6," - ",'Cable Info'!O6))</f>
        <v/>
      </c>
      <c r="AR6" s="121" t="str">
        <f t="shared" si="1"/>
        <v/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str">
        <f>IF('Cable Info'!L7="","",CONCATENATE('Cable Info'!L7," - ",'Cable Info'!M7))</f>
        <v/>
      </c>
      <c r="AM7" s="121" t="str">
        <f t="shared" si="0"/>
        <v/>
      </c>
      <c r="AO7" s="121" t="str">
        <f>IF('Cable Info'!N7="","",CONCATENATE('Cable Info'!N7," - ",'Cable Info'!O7))</f>
        <v/>
      </c>
      <c r="AR7" s="121" t="str">
        <f t="shared" si="1"/>
        <v/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66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65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str">
        <f>IF('Cable Info'!L8="","",CONCATENATE('Cable Info'!L8," - ",'Cable Info'!M8))</f>
        <v/>
      </c>
      <c r="AM8" s="121" t="str">
        <f t="shared" si="0"/>
        <v/>
      </c>
      <c r="AO8" s="121" t="str">
        <f>IF('Cable Info'!N8="","",CONCATENATE('Cable Info'!N8," - ",'Cable Info'!O8))</f>
        <v/>
      </c>
      <c r="AR8" s="121" t="str">
        <f t="shared" si="1"/>
        <v/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67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str">
        <f>IF('Cable Info'!L9="","",CONCATENATE('Cable Info'!L9," - ",'Cable Info'!M9))</f>
        <v/>
      </c>
      <c r="AM9" s="121" t="str">
        <f t="shared" si="0"/>
        <v/>
      </c>
      <c r="AO9" s="121" t="str">
        <f>IF('Cable Info'!N9="","",CONCATENATE('Cable Info'!N9," - ",'Cable Info'!O9))</f>
        <v/>
      </c>
      <c r="AR9" s="121" t="str">
        <f t="shared" si="1"/>
        <v/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/>
      <c r="C10" s="114" t="str">
        <f>IFERROR(IF(B10="","",IF((COUNTIF('Cable Info'!$B$11:$C$50,B10)=0),VLOOKUP(B10,'Cable Info (2)'!$B$11:$C$50,2,FALSE),(VLOOKUP(B10,'Cable Info'!$B$11:$C$50,2,FALSE)))),"NO SUCH EXIT")</f>
        <v/>
      </c>
      <c r="D10" s="243"/>
      <c r="E10" s="259"/>
      <c r="F10" s="110" t="s">
        <v>45</v>
      </c>
      <c r="G10" s="262"/>
      <c r="H10" s="114" t="str">
        <f>IF(G10="","",((E10-G10)-1)*(-1))</f>
        <v/>
      </c>
      <c r="I10" s="258"/>
      <c r="J10" s="110" t="s">
        <v>45</v>
      </c>
      <c r="K10" s="267"/>
      <c r="L10" s="246"/>
      <c r="M10" s="114" t="str">
        <f>IFERROR(IF(P10="","",IF((COUNTIF('Cable Info'!$B$11:$C$50,P10)=0),VLOOKUP(P10,'Cable Info (2)'!$B$11:$C$50,2,FALSE),(VLOOKUP(P10,'Cable Info'!$B$11:$C$50,2,FALSE)))),"NO SUCH EXIT")</f>
        <v/>
      </c>
      <c r="N10" s="129"/>
      <c r="O10" s="179"/>
      <c r="P10" s="130"/>
      <c r="Q10" s="190"/>
      <c r="R10" s="131"/>
      <c r="S10" s="131"/>
      <c r="T10" s="132"/>
      <c r="U10" s="132"/>
      <c r="V10" s="133"/>
      <c r="W10" s="133"/>
      <c r="X10" s="194" t="str">
        <f>IF(V10="","",IF(R10="","",IF(S10="","",IF(R10="SPLICED",(IF(S10="SPLICE",0,9)),IF(V10=$U$3,(IF(S10="BREAK",12,11)),IF(S10="BREAK",2,1))))))</f>
        <v/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 t="str">
        <f>IF(K10="","",((I10-K10)-1)*(-1))</f>
        <v/>
      </c>
      <c r="AB10" s="253" t="str">
        <f>IF(E10="","",IF(G10="","",IF(I10="","",IF(K10="","",IF(AA10&lt;&gt;H10,1,"")))))</f>
        <v/>
      </c>
      <c r="AJ10" s="121" t="str">
        <f>IF('Cable Info'!L10="","",CONCATENATE('Cable Info'!L10," - ",'Cable Info'!M10))</f>
        <v/>
      </c>
      <c r="AM10" s="121" t="str">
        <f t="shared" si="0"/>
        <v/>
      </c>
      <c r="AO10" s="121" t="str">
        <f>IF('Cable Info'!N10="","",CONCATENATE('Cable Info'!N10," - ",'Cable Info'!O10))</f>
        <v/>
      </c>
      <c r="AR10" s="121" t="str">
        <f t="shared" si="1"/>
        <v/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str">
        <f>IF('Cable Info'!L10="","",CONCATENATE('Cable Info'!L10," - ",'Cable Info'!M10))</f>
        <v/>
      </c>
      <c r="AM11" s="121" t="str">
        <f t="shared" ref="AM11" si="11">IF(AK11="",AJ11,CONCATENATE(AJ11,"  &lt;=&gt; ",AK11," ",AL11))</f>
        <v/>
      </c>
      <c r="AO11" s="121" t="str">
        <f>IF('Cable Info'!N10="","",CONCATENATE('Cable Info'!N10," - ",'Cable Info'!O10))</f>
        <v/>
      </c>
      <c r="AR11" s="121" t="str">
        <f t="shared" ref="AR11" si="12">IF(AP11="",AO11,CONCATENATE(AO11,"  &lt;=&gt; ",AP11," ",AQ11))</f>
        <v/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str">
        <f>IF('Cable Info'!L11="","",CONCATENATE('Cable Info'!L11," - ",'Cable Info'!M11))</f>
        <v/>
      </c>
      <c r="AM12" s="121" t="str">
        <f t="shared" ref="AM12" si="23">IF(AK12="",AJ12,CONCATENATE(AJ12,"  &lt;=&gt; ",AK12," ",AL12))</f>
        <v/>
      </c>
      <c r="AO12" s="121" t="str">
        <f>IF('Cable Info'!N11="","",CONCATENATE('Cable Info'!N11," - ",'Cable Info'!O11))</f>
        <v/>
      </c>
      <c r="AR12" s="121" t="str">
        <f t="shared" ref="AR12" si="24">IF(AP12="",AO12,CONCATENATE(AO12,"  &lt;=&gt; ",AP12," ",AQ12))</f>
        <v/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str">
        <f>IF('Cable Info'!L12="","",CONCATENATE('Cable Info'!L12," - ",'Cable Info'!M12))</f>
        <v/>
      </c>
      <c r="AM13" s="121" t="str">
        <f t="shared" ref="AM13:AM76" si="35">IF(AK13="",AJ13,CONCATENATE(AJ13,"  &lt;=&gt; ",AK13," ",AL13))</f>
        <v/>
      </c>
      <c r="AO13" s="121" t="str">
        <f>IF('Cable Info'!N12="","",CONCATENATE('Cable Info'!N12," - ",'Cable Info'!O12))</f>
        <v/>
      </c>
      <c r="AR13" s="121" t="str">
        <f t="shared" ref="AR13:AR76" si="36">IF(AP13="",AO13,CONCATENATE(AO13,"  &lt;=&gt; ",AP13," ",AQ13))</f>
        <v/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str">
        <f>IF('Cable Info'!L13="","",CONCATENATE('Cable Info'!L13," - ",'Cable Info'!M13))</f>
        <v/>
      </c>
      <c r="AM14" s="121" t="str">
        <f t="shared" si="35"/>
        <v/>
      </c>
      <c r="AO14" s="121" t="str">
        <f>IF('Cable Info'!N13="","",CONCATENATE('Cable Info'!N13," - ",'Cable Info'!O13))</f>
        <v/>
      </c>
      <c r="AR14" s="121" t="str">
        <f t="shared" si="36"/>
        <v/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str">
        <f>IF('Cable Info'!L14="","",CONCATENATE('Cable Info'!L14," - ",'Cable Info'!M14))</f>
        <v/>
      </c>
      <c r="AM15" s="121" t="str">
        <f t="shared" si="35"/>
        <v/>
      </c>
      <c r="AO15" s="121" t="str">
        <f>IF('Cable Info'!N14="","",CONCATENATE('Cable Info'!N14," - ",'Cable Info'!O14))</f>
        <v/>
      </c>
      <c r="AR15" s="121" t="str">
        <f t="shared" si="36"/>
        <v/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str">
        <f>IF('Cable Info'!L15="","",CONCATENATE('Cable Info'!L15," - ",'Cable Info'!M15))</f>
        <v/>
      </c>
      <c r="AM16" s="121" t="str">
        <f t="shared" si="35"/>
        <v/>
      </c>
      <c r="AO16" s="121" t="str">
        <f>IF('Cable Info'!N15="","",CONCATENATE('Cable Info'!N15," - ",'Cable Info'!O15))</f>
        <v/>
      </c>
      <c r="AR16" s="121" t="str">
        <f t="shared" si="36"/>
        <v/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str">
        <f>IF('Cable Info'!L16="","",CONCATENATE('Cable Info'!L16," - ",'Cable Info'!M16))</f>
        <v/>
      </c>
      <c r="AM17" s="121" t="str">
        <f t="shared" si="35"/>
        <v/>
      </c>
      <c r="AO17" s="121" t="str">
        <f>IF('Cable Info'!N16="","",CONCATENATE('Cable Info'!N16," - ",'Cable Info'!O16))</f>
        <v/>
      </c>
      <c r="AR17" s="121" t="str">
        <f t="shared" si="36"/>
        <v/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str">
        <f>IF('Cable Info'!L17="","",CONCATENATE('Cable Info'!L17," - ",'Cable Info'!M17))</f>
        <v/>
      </c>
      <c r="AM18" s="121" t="str">
        <f t="shared" si="35"/>
        <v/>
      </c>
      <c r="AO18" s="121" t="str">
        <f>IF('Cable Info'!N17="","",CONCATENATE('Cable Info'!N17," - ",'Cable Info'!O17))</f>
        <v/>
      </c>
      <c r="AR18" s="121" t="str">
        <f t="shared" si="36"/>
        <v/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str">
        <f>IF('Cable Info'!L18="","",CONCATENATE('Cable Info'!L18," - ",'Cable Info'!M18))</f>
        <v/>
      </c>
      <c r="AM19" s="121" t="str">
        <f t="shared" si="35"/>
        <v/>
      </c>
      <c r="AO19" s="121" t="str">
        <f>IF('Cable Info'!N18="","",CONCATENATE('Cable Info'!N18," - ",'Cable Info'!O18))</f>
        <v/>
      </c>
      <c r="AR19" s="121" t="str">
        <f t="shared" si="36"/>
        <v/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str">
        <f>IF('Cable Info'!L19="","",CONCATENATE('Cable Info'!L19," - ",'Cable Info'!M19))</f>
        <v/>
      </c>
      <c r="AM20" s="121" t="str">
        <f t="shared" si="35"/>
        <v/>
      </c>
      <c r="AO20" s="121" t="str">
        <f>IF('Cable Info'!N19="","",CONCATENATE('Cable Info'!N19," - ",'Cable Info'!O19))</f>
        <v/>
      </c>
      <c r="AR20" s="121" t="str">
        <f t="shared" si="36"/>
        <v/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str">
        <f>IF('Cable Info'!L20="","",CONCATENATE('Cable Info'!L20," - ",'Cable Info'!M20))</f>
        <v/>
      </c>
      <c r="AM21" s="121" t="str">
        <f t="shared" si="35"/>
        <v/>
      </c>
      <c r="AO21" s="121" t="str">
        <f>IF('Cable Info'!N20="","",CONCATENATE('Cable Info'!N20," - ",'Cable Info'!O20))</f>
        <v/>
      </c>
      <c r="AR21" s="121" t="str">
        <f t="shared" si="36"/>
        <v/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str">
        <f>IF('Cable Info'!L21="","",CONCATENATE('Cable Info'!L21," - ",'Cable Info'!M21))</f>
        <v/>
      </c>
      <c r="AM22" s="121" t="str">
        <f t="shared" si="35"/>
        <v/>
      </c>
      <c r="AO22" s="121" t="str">
        <f>IF('Cable Info'!N21="","",CONCATENATE('Cable Info'!N21," - ",'Cable Info'!O21))</f>
        <v/>
      </c>
      <c r="AR22" s="121" t="str">
        <f t="shared" si="36"/>
        <v/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str">
        <f>IF('Cable Info'!L22="","",CONCATENATE('Cable Info'!L22," - ",'Cable Info'!M22))</f>
        <v/>
      </c>
      <c r="AM23" s="121" t="str">
        <f t="shared" si="35"/>
        <v/>
      </c>
      <c r="AO23" s="121" t="str">
        <f>IF('Cable Info'!N22="","",CONCATENATE('Cable Info'!N22," - ",'Cable Info'!O22))</f>
        <v/>
      </c>
      <c r="AR23" s="121" t="str">
        <f t="shared" si="36"/>
        <v/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str">
        <f>IF('Cable Info'!L23="","",CONCATENATE('Cable Info'!L23," - ",'Cable Info'!M23))</f>
        <v/>
      </c>
      <c r="AM24" s="121" t="str">
        <f t="shared" si="35"/>
        <v/>
      </c>
      <c r="AO24" s="121" t="str">
        <f>IF('Cable Info'!N23="","",CONCATENATE('Cable Info'!N23," - ",'Cable Info'!O23))</f>
        <v/>
      </c>
      <c r="AR24" s="121" t="str">
        <f t="shared" si="36"/>
        <v/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str">
        <f>IF('Cable Info'!L24="","",CONCATENATE('Cable Info'!L24," - ",'Cable Info'!M24))</f>
        <v/>
      </c>
      <c r="AM25" s="121" t="str">
        <f t="shared" si="35"/>
        <v/>
      </c>
      <c r="AO25" s="121" t="str">
        <f>IF('Cable Info'!N24="","",CONCATENATE('Cable Info'!N24," - ",'Cable Info'!O24))</f>
        <v/>
      </c>
      <c r="AR25" s="121" t="str">
        <f t="shared" si="36"/>
        <v/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str">
        <f>IF('Cable Info'!L25="","",CONCATENATE('Cable Info'!L25," - ",'Cable Info'!M25))</f>
        <v/>
      </c>
      <c r="AM26" s="121" t="str">
        <f t="shared" si="35"/>
        <v/>
      </c>
      <c r="AO26" s="121" t="str">
        <f>IF('Cable Info'!N25="","",CONCATENATE('Cable Info'!N25," - ",'Cable Info'!O25))</f>
        <v/>
      </c>
      <c r="AR26" s="121" t="str">
        <f t="shared" si="36"/>
        <v/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str">
        <f>IF('Cable Info'!L26="","",CONCATENATE('Cable Info'!L26," - ",'Cable Info'!M26))</f>
        <v/>
      </c>
      <c r="AM27" s="121" t="str">
        <f t="shared" si="35"/>
        <v/>
      </c>
      <c r="AO27" s="121" t="str">
        <f>IF('Cable Info'!N26="","",CONCATENATE('Cable Info'!N26," - ",'Cable Info'!O26))</f>
        <v/>
      </c>
      <c r="AR27" s="121" t="str">
        <f t="shared" si="36"/>
        <v/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str">
        <f>IF('Cable Info'!L27="","",CONCATENATE('Cable Info'!L27," - ",'Cable Info'!M27))</f>
        <v/>
      </c>
      <c r="AM28" s="121" t="str">
        <f t="shared" si="35"/>
        <v/>
      </c>
      <c r="AO28" s="121" t="str">
        <f>IF('Cable Info'!N27="","",CONCATENATE('Cable Info'!N27," - ",'Cable Info'!O27))</f>
        <v/>
      </c>
      <c r="AR28" s="121" t="str">
        <f t="shared" si="36"/>
        <v/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str">
        <f>IF('Cable Info'!L28="","",CONCATENATE('Cable Info'!L28," - ",'Cable Info'!M28))</f>
        <v/>
      </c>
      <c r="AM29" s="121" t="str">
        <f t="shared" si="35"/>
        <v/>
      </c>
      <c r="AO29" s="121" t="str">
        <f>IF('Cable Info'!N28="","",CONCATENATE('Cable Info'!N28," - ",'Cable Info'!O28))</f>
        <v/>
      </c>
      <c r="AR29" s="121" t="str">
        <f t="shared" si="36"/>
        <v/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str">
        <f>IF('Cable Info'!L29="","",CONCATENATE('Cable Info'!L29," - ",'Cable Info'!M29))</f>
        <v/>
      </c>
      <c r="AM30" s="121" t="str">
        <f t="shared" si="35"/>
        <v/>
      </c>
      <c r="AO30" s="121" t="str">
        <f>IF('Cable Info'!N29="","",CONCATENATE('Cable Info'!N29," - ",'Cable Info'!O29))</f>
        <v/>
      </c>
      <c r="AR30" s="121" t="str">
        <f t="shared" si="36"/>
        <v/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str">
        <f>IF('Cable Info'!L30="","",CONCATENATE('Cable Info'!L30," - ",'Cable Info'!M30))</f>
        <v/>
      </c>
      <c r="AM31" s="121" t="str">
        <f t="shared" si="35"/>
        <v/>
      </c>
      <c r="AO31" s="121" t="str">
        <f>IF('Cable Info'!N30="","",CONCATENATE('Cable Info'!N30," - ",'Cable Info'!O30))</f>
        <v/>
      </c>
      <c r="AR31" s="121" t="str">
        <f t="shared" si="36"/>
        <v/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str">
        <f>IF('Cable Info'!L31="","",CONCATENATE('Cable Info'!L31," - ",'Cable Info'!M31))</f>
        <v/>
      </c>
      <c r="AM32" s="121" t="str">
        <f t="shared" si="35"/>
        <v/>
      </c>
      <c r="AO32" s="121" t="str">
        <f>IF('Cable Info'!N31="","",CONCATENATE('Cable Info'!N31," - ",'Cable Info'!O31))</f>
        <v/>
      </c>
      <c r="AR32" s="121" t="str">
        <f t="shared" si="36"/>
        <v/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str">
        <f>IF('Cable Info'!L32="","",CONCATENATE('Cable Info'!L32," - ",'Cable Info'!M32))</f>
        <v/>
      </c>
      <c r="AM33" s="121" t="str">
        <f t="shared" si="35"/>
        <v/>
      </c>
      <c r="AO33" s="121" t="str">
        <f>IF('Cable Info'!N32="","",CONCATENATE('Cable Info'!N32," - ",'Cable Info'!O32))</f>
        <v/>
      </c>
      <c r="AR33" s="121" t="str">
        <f t="shared" si="36"/>
        <v/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str">
        <f>IF('Cable Info'!L33="","",CONCATENATE('Cable Info'!L33," - ",'Cable Info'!M33))</f>
        <v/>
      </c>
      <c r="AM34" s="121" t="str">
        <f t="shared" si="35"/>
        <v/>
      </c>
      <c r="AO34" s="121" t="str">
        <f>IF('Cable Info'!N33="","",CONCATENATE('Cable Info'!N33," - ",'Cable Info'!O33))</f>
        <v/>
      </c>
      <c r="AR34" s="121" t="str">
        <f t="shared" si="36"/>
        <v/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str">
        <f>IF('Cable Info'!L34="","",CONCATENATE('Cable Info'!L34," - ",'Cable Info'!M34))</f>
        <v/>
      </c>
      <c r="AM35" s="121" t="str">
        <f t="shared" si="35"/>
        <v/>
      </c>
      <c r="AO35" s="121" t="str">
        <f>IF('Cable Info'!N34="","",CONCATENATE('Cable Info'!N34," - ",'Cable Info'!O34))</f>
        <v/>
      </c>
      <c r="AR35" s="121" t="str">
        <f t="shared" si="36"/>
        <v/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str">
        <f>IF('Cable Info'!L35="","",CONCATENATE('Cable Info'!L35," - ",'Cable Info'!M35))</f>
        <v/>
      </c>
      <c r="AM36" s="121" t="str">
        <f t="shared" si="35"/>
        <v/>
      </c>
      <c r="AO36" s="121" t="str">
        <f>IF('Cable Info'!N35="","",CONCATENATE('Cable Info'!N35," - ",'Cable Info'!O35))</f>
        <v/>
      </c>
      <c r="AR36" s="121" t="str">
        <f t="shared" si="36"/>
        <v/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str">
        <f>IF('Cable Info'!L36="","",CONCATENATE('Cable Info'!L36," - ",'Cable Info'!M36))</f>
        <v/>
      </c>
      <c r="AM37" s="121" t="str">
        <f t="shared" si="35"/>
        <v/>
      </c>
      <c r="AO37" s="121" t="str">
        <f>IF('Cable Info'!N36="","",CONCATENATE('Cable Info'!N36," - ",'Cable Info'!O36))</f>
        <v/>
      </c>
      <c r="AR37" s="121" t="str">
        <f t="shared" si="36"/>
        <v/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str">
        <f>IF('Cable Info'!L37="","",CONCATENATE('Cable Info'!L37," - ",'Cable Info'!M37))</f>
        <v/>
      </c>
      <c r="AM38" s="121" t="str">
        <f t="shared" si="35"/>
        <v/>
      </c>
      <c r="AO38" s="121" t="str">
        <f>IF('Cable Info'!N37="","",CONCATENATE('Cable Info'!N37," - ",'Cable Info'!O37))</f>
        <v/>
      </c>
      <c r="AR38" s="121" t="str">
        <f t="shared" si="36"/>
        <v/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str">
        <f>IF('Cable Info'!L38="","",CONCATENATE('Cable Info'!L38," - ",'Cable Info'!M38))</f>
        <v/>
      </c>
      <c r="AM39" s="121" t="str">
        <f t="shared" si="35"/>
        <v/>
      </c>
      <c r="AO39" s="121" t="str">
        <f>IF('Cable Info'!N38="","",CONCATENATE('Cable Info'!N38," - ",'Cable Info'!O38))</f>
        <v/>
      </c>
      <c r="AR39" s="121" t="str">
        <f t="shared" si="36"/>
        <v/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str">
        <f>IF('Cable Info'!L39="","",CONCATENATE('Cable Info'!L39," - ",'Cable Info'!M39))</f>
        <v/>
      </c>
      <c r="AM40" s="121" t="str">
        <f t="shared" si="35"/>
        <v/>
      </c>
      <c r="AO40" s="121" t="str">
        <f>IF('Cable Info'!N39="","",CONCATENATE('Cable Info'!N39," - ",'Cable Info'!O39))</f>
        <v/>
      </c>
      <c r="AR40" s="121" t="str">
        <f t="shared" si="36"/>
        <v/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str">
        <f>IF('Cable Info'!L40="","",CONCATENATE('Cable Info'!L40," - ",'Cable Info'!M40))</f>
        <v/>
      </c>
      <c r="AM41" s="121" t="str">
        <f t="shared" si="35"/>
        <v/>
      </c>
      <c r="AO41" s="121" t="str">
        <f>IF('Cable Info'!N40="","",CONCATENATE('Cable Info'!N40," - ",'Cable Info'!O40))</f>
        <v/>
      </c>
      <c r="AR41" s="121" t="str">
        <f t="shared" si="36"/>
        <v/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str">
        <f>IF('Cable Info'!L41="","",CONCATENATE('Cable Info'!L41," - ",'Cable Info'!M41))</f>
        <v/>
      </c>
      <c r="AM42" s="121" t="str">
        <f t="shared" si="35"/>
        <v/>
      </c>
      <c r="AO42" s="121" t="str">
        <f>IF('Cable Info'!N41="","",CONCATENATE('Cable Info'!N41," - ",'Cable Info'!O41))</f>
        <v/>
      </c>
      <c r="AR42" s="121" t="str">
        <f t="shared" si="36"/>
        <v/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str">
        <f>IF('Cable Info'!L42="","",CONCATENATE('Cable Info'!L42," - ",'Cable Info'!M42))</f>
        <v/>
      </c>
      <c r="AM43" s="121" t="str">
        <f t="shared" si="35"/>
        <v/>
      </c>
      <c r="AO43" s="121" t="str">
        <f>IF('Cable Info'!N42="","",CONCATENATE('Cable Info'!N42," - ",'Cable Info'!O42))</f>
        <v/>
      </c>
      <c r="AR43" s="121" t="str">
        <f t="shared" si="36"/>
        <v/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str">
        <f>IF('Cable Info'!L43="","",CONCATENATE('Cable Info'!L43," - ",'Cable Info'!M43))</f>
        <v/>
      </c>
      <c r="AM44" s="121" t="str">
        <f t="shared" si="35"/>
        <v/>
      </c>
      <c r="AO44" s="121" t="str">
        <f>IF('Cable Info'!N43="","",CONCATENATE('Cable Info'!N43," - ",'Cable Info'!O43))</f>
        <v/>
      </c>
      <c r="AR44" s="121" t="str">
        <f t="shared" si="36"/>
        <v/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str">
        <f>IF('Cable Info'!L44="","",CONCATENATE('Cable Info'!L44," - ",'Cable Info'!M44))</f>
        <v/>
      </c>
      <c r="AM45" s="121" t="str">
        <f t="shared" si="35"/>
        <v/>
      </c>
      <c r="AO45" s="121" t="str">
        <f>IF('Cable Info'!N44="","",CONCATENATE('Cable Info'!N44," - ",'Cable Info'!O44))</f>
        <v/>
      </c>
      <c r="AR45" s="121" t="str">
        <f t="shared" si="36"/>
        <v/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str">
        <f>IF('Cable Info'!L45="","",CONCATENATE('Cable Info'!L45," - ",'Cable Info'!M45))</f>
        <v/>
      </c>
      <c r="AM46" s="121" t="str">
        <f t="shared" si="35"/>
        <v/>
      </c>
      <c r="AO46" s="121" t="str">
        <f>IF('Cable Info'!N45="","",CONCATENATE('Cable Info'!N45," - ",'Cable Info'!O45))</f>
        <v/>
      </c>
      <c r="AR46" s="121" t="str">
        <f t="shared" si="36"/>
        <v/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str">
        <f>IF('Cable Info'!L46="","",CONCATENATE('Cable Info'!L46," - ",'Cable Info'!M46))</f>
        <v/>
      </c>
      <c r="AM47" s="121" t="str">
        <f t="shared" si="35"/>
        <v/>
      </c>
      <c r="AO47" s="121" t="str">
        <f>IF('Cable Info'!N46="","",CONCATENATE('Cable Info'!N46," - ",'Cable Info'!O46))</f>
        <v/>
      </c>
      <c r="AR47" s="121" t="str">
        <f t="shared" si="36"/>
        <v/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str">
        <f>IF('Cable Info'!L47="","",CONCATENATE('Cable Info'!L47," - ",'Cable Info'!M47))</f>
        <v/>
      </c>
      <c r="AM48" s="121" t="str">
        <f t="shared" si="35"/>
        <v/>
      </c>
      <c r="AO48" s="121" t="str">
        <f>IF('Cable Info'!N47="","",CONCATENATE('Cable Info'!N47," - ",'Cable Info'!O47))</f>
        <v/>
      </c>
      <c r="AR48" s="121" t="str">
        <f t="shared" si="36"/>
        <v/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str">
        <f>IF('Cable Info'!L48="","",CONCATENATE('Cable Info'!L48," - ",'Cable Info'!M48))</f>
        <v/>
      </c>
      <c r="AM49" s="121" t="str">
        <f t="shared" si="35"/>
        <v/>
      </c>
      <c r="AO49" s="121" t="str">
        <f>IF('Cable Info'!N48="","",CONCATENATE('Cable Info'!N48," - ",'Cable Info'!O48))</f>
        <v/>
      </c>
      <c r="AR49" s="121" t="str">
        <f t="shared" si="36"/>
        <v/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str">
        <f>IF('Cable Info'!L49="","",CONCATENATE('Cable Info'!L49," - ",'Cable Info'!M49))</f>
        <v/>
      </c>
      <c r="AM50" s="121" t="str">
        <f t="shared" si="35"/>
        <v/>
      </c>
      <c r="AO50" s="121" t="str">
        <f>IF('Cable Info'!N49="","",CONCATENATE('Cable Info'!N49," - ",'Cable Info'!O49))</f>
        <v/>
      </c>
      <c r="AR50" s="121" t="str">
        <f t="shared" si="36"/>
        <v/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str">
        <f>IF('Cable Info'!L50="","",CONCATENATE('Cable Info'!L50," - ",'Cable Info'!M50))</f>
        <v/>
      </c>
      <c r="AM51" s="121" t="str">
        <f t="shared" si="35"/>
        <v/>
      </c>
      <c r="AO51" s="121" t="str">
        <f>IF('Cable Info'!N50="","",CONCATENATE('Cable Info'!N50," - ",'Cable Info'!O50))</f>
        <v/>
      </c>
      <c r="AR51" s="121" t="str">
        <f t="shared" si="36"/>
        <v/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str">
        <f>IF('Cable Info'!L51="","",CONCATENATE('Cable Info'!L51," - ",'Cable Info'!M51))</f>
        <v/>
      </c>
      <c r="AM52" s="121" t="str">
        <f t="shared" si="35"/>
        <v/>
      </c>
      <c r="AO52" s="121" t="str">
        <f>IF('Cable Info'!N51="","",CONCATENATE('Cable Info'!N51," - ",'Cable Info'!O51))</f>
        <v/>
      </c>
      <c r="AR52" s="121" t="str">
        <f t="shared" si="36"/>
        <v/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str">
        <f>IF('Cable Info'!L52="","",CONCATENATE('Cable Info'!L52," - ",'Cable Info'!M52))</f>
        <v/>
      </c>
      <c r="AM53" s="121" t="str">
        <f t="shared" si="35"/>
        <v/>
      </c>
      <c r="AO53" s="121" t="str">
        <f>IF('Cable Info'!N52="","",CONCATENATE('Cable Info'!N52," - ",'Cable Info'!O52))</f>
        <v/>
      </c>
      <c r="AR53" s="121" t="str">
        <f t="shared" si="36"/>
        <v/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str">
        <f>IF('Cable Info'!L53="","",CONCATENATE('Cable Info'!L53," - ",'Cable Info'!M53))</f>
        <v/>
      </c>
      <c r="AM54" s="121" t="str">
        <f t="shared" si="35"/>
        <v/>
      </c>
      <c r="AO54" s="121" t="str">
        <f>IF('Cable Info'!N53="","",CONCATENATE('Cable Info'!N53," - ",'Cable Info'!O53))</f>
        <v/>
      </c>
      <c r="AR54" s="121" t="str">
        <f t="shared" si="36"/>
        <v/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str">
        <f>IF('Cable Info'!L54="","",CONCATENATE('Cable Info'!L54," - ",'Cable Info'!M54))</f>
        <v/>
      </c>
      <c r="AM55" s="121" t="str">
        <f t="shared" si="35"/>
        <v/>
      </c>
      <c r="AO55" s="121" t="str">
        <f>IF('Cable Info'!N54="","",CONCATENATE('Cable Info'!N54," - ",'Cable Info'!O54))</f>
        <v/>
      </c>
      <c r="AR55" s="121" t="str">
        <f t="shared" si="36"/>
        <v/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str">
        <f>IF('Cable Info'!L55="","",CONCATENATE('Cable Info'!L55," - ",'Cable Info'!M55))</f>
        <v/>
      </c>
      <c r="AM56" s="121" t="str">
        <f t="shared" si="35"/>
        <v/>
      </c>
      <c r="AO56" s="121" t="str">
        <f>IF('Cable Info'!N55="","",CONCATENATE('Cable Info'!N55," - ",'Cable Info'!O55))</f>
        <v/>
      </c>
      <c r="AR56" s="121" t="str">
        <f t="shared" si="36"/>
        <v/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str">
        <f>IF('Cable Info'!L56="","",CONCATENATE('Cable Info'!L56," - ",'Cable Info'!M56))</f>
        <v/>
      </c>
      <c r="AM57" s="121" t="str">
        <f t="shared" si="35"/>
        <v/>
      </c>
      <c r="AO57" s="121" t="str">
        <f>IF('Cable Info'!N56="","",CONCATENATE('Cable Info'!N56," - ",'Cable Info'!O56))</f>
        <v/>
      </c>
      <c r="AR57" s="121" t="str">
        <f t="shared" si="36"/>
        <v/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str">
        <f>IF('Cable Info'!L57="","",CONCATENATE('Cable Info'!L57," - ",'Cable Info'!M57))</f>
        <v/>
      </c>
      <c r="AM58" s="121" t="str">
        <f t="shared" si="35"/>
        <v/>
      </c>
      <c r="AO58" s="121" t="str">
        <f>IF('Cable Info'!N57="","",CONCATENATE('Cable Info'!N57," - ",'Cable Info'!O57))</f>
        <v/>
      </c>
      <c r="AR58" s="121" t="str">
        <f t="shared" si="36"/>
        <v/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str">
        <f>IF('Cable Info'!L58="","",CONCATENATE('Cable Info'!L58," - ",'Cable Info'!M58))</f>
        <v/>
      </c>
      <c r="AM59" s="121" t="str">
        <f t="shared" si="35"/>
        <v/>
      </c>
      <c r="AO59" s="121" t="str">
        <f>IF('Cable Info'!N58="","",CONCATENATE('Cable Info'!N58," - ",'Cable Info'!O58))</f>
        <v/>
      </c>
      <c r="AR59" s="121" t="str">
        <f t="shared" si="36"/>
        <v/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str">
        <f>IF('Cable Info'!L59="","",CONCATENATE('Cable Info'!L59," - ",'Cable Info'!M59))</f>
        <v/>
      </c>
      <c r="AM60" s="121" t="str">
        <f t="shared" si="35"/>
        <v/>
      </c>
      <c r="AO60" s="121" t="str">
        <f>IF('Cable Info'!N59="","",CONCATENATE('Cable Info'!N59," - ",'Cable Info'!O59))</f>
        <v/>
      </c>
      <c r="AR60" s="121" t="str">
        <f t="shared" si="36"/>
        <v/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str">
        <f>IF('Cable Info'!L60="","",CONCATENATE('Cable Info'!L60," - ",'Cable Info'!M60))</f>
        <v/>
      </c>
      <c r="AM61" s="121" t="str">
        <f t="shared" si="35"/>
        <v/>
      </c>
      <c r="AO61" s="121" t="str">
        <f>IF('Cable Info'!N60="","",CONCATENATE('Cable Info'!N60," - ",'Cable Info'!O60))</f>
        <v/>
      </c>
      <c r="AR61" s="121" t="str">
        <f t="shared" si="36"/>
        <v/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str">
        <f>IF('Cable Info'!L61="","",CONCATENATE('Cable Info'!L61," - ",'Cable Info'!M61))</f>
        <v/>
      </c>
      <c r="AM62" s="121" t="str">
        <f t="shared" si="35"/>
        <v/>
      </c>
      <c r="AO62" s="121" t="str">
        <f>IF('Cable Info'!N61="","",CONCATENATE('Cable Info'!N61," - ",'Cable Info'!O61))</f>
        <v/>
      </c>
      <c r="AR62" s="121" t="str">
        <f t="shared" si="36"/>
        <v/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str">
        <f>IF('Cable Info'!L62="","",CONCATENATE('Cable Info'!L62," - ",'Cable Info'!M62))</f>
        <v/>
      </c>
      <c r="AM63" s="121" t="str">
        <f t="shared" si="35"/>
        <v/>
      </c>
      <c r="AO63" s="121" t="str">
        <f>IF('Cable Info'!N62="","",CONCATENATE('Cable Info'!N62," - ",'Cable Info'!O62))</f>
        <v/>
      </c>
      <c r="AR63" s="121" t="str">
        <f t="shared" si="36"/>
        <v/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str">
        <f>IF('Cable Info'!L63="","",CONCATENATE('Cable Info'!L63," - ",'Cable Info'!M63))</f>
        <v/>
      </c>
      <c r="AM64" s="121" t="str">
        <f t="shared" si="35"/>
        <v/>
      </c>
      <c r="AO64" s="121" t="str">
        <f>IF('Cable Info'!N63="","",CONCATENATE('Cable Info'!N63," - ",'Cable Info'!O63))</f>
        <v/>
      </c>
      <c r="AR64" s="121" t="str">
        <f t="shared" si="36"/>
        <v/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str">
        <f>IF('Cable Info'!L64="","",CONCATENATE('Cable Info'!L64," - ",'Cable Info'!M64))</f>
        <v/>
      </c>
      <c r="AM65" s="121" t="str">
        <f t="shared" si="35"/>
        <v/>
      </c>
      <c r="AO65" s="121" t="str">
        <f>IF('Cable Info'!N64="","",CONCATENATE('Cable Info'!N64," - ",'Cable Info'!O64))</f>
        <v/>
      </c>
      <c r="AR65" s="121" t="str">
        <f t="shared" si="36"/>
        <v/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str">
        <f>IF('Cable Info'!L65="","",CONCATENATE('Cable Info'!L65," - ",'Cable Info'!M65))</f>
        <v/>
      </c>
      <c r="AM66" s="121" t="str">
        <f t="shared" si="35"/>
        <v/>
      </c>
      <c r="AO66" s="121" t="str">
        <f>IF('Cable Info'!N65="","",CONCATENATE('Cable Info'!N65," - ",'Cable Info'!O65))</f>
        <v/>
      </c>
      <c r="AR66" s="121" t="str">
        <f t="shared" si="36"/>
        <v/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str">
        <f>IF('Cable Info'!L66="","",CONCATENATE('Cable Info'!L66," - ",'Cable Info'!M66))</f>
        <v/>
      </c>
      <c r="AM67" s="121" t="str">
        <f t="shared" si="35"/>
        <v/>
      </c>
      <c r="AO67" s="121" t="str">
        <f>IF('Cable Info'!N66="","",CONCATENATE('Cable Info'!N66," - ",'Cable Info'!O66))</f>
        <v/>
      </c>
      <c r="AR67" s="121" t="str">
        <f t="shared" si="36"/>
        <v/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str">
        <f>IF('Cable Info'!L67="","",CONCATENATE('Cable Info'!L67," - ",'Cable Info'!M67))</f>
        <v/>
      </c>
      <c r="AM68" s="121" t="str">
        <f t="shared" si="35"/>
        <v/>
      </c>
      <c r="AO68" s="121" t="str">
        <f>IF('Cable Info'!N67="","",CONCATENATE('Cable Info'!N67," - ",'Cable Info'!O67))</f>
        <v/>
      </c>
      <c r="AR68" s="121" t="str">
        <f t="shared" si="36"/>
        <v/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str">
        <f>IF('Cable Info'!L68="","",CONCATENATE('Cable Info'!L68," - ",'Cable Info'!M68))</f>
        <v/>
      </c>
      <c r="AM69" s="121" t="str">
        <f t="shared" si="35"/>
        <v/>
      </c>
      <c r="AO69" s="121" t="str">
        <f>IF('Cable Info'!N68="","",CONCATENATE('Cable Info'!N68," - ",'Cable Info'!O68))</f>
        <v/>
      </c>
      <c r="AR69" s="121" t="str">
        <f t="shared" si="36"/>
        <v/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str">
        <f>IF('Cable Info'!L69="","",CONCATENATE('Cable Info'!L69," - ",'Cable Info'!M69))</f>
        <v/>
      </c>
      <c r="AM70" s="121" t="str">
        <f t="shared" si="35"/>
        <v/>
      </c>
      <c r="AO70" s="121" t="str">
        <f>IF('Cable Info'!N69="","",CONCATENATE('Cable Info'!N69," - ",'Cable Info'!O69))</f>
        <v/>
      </c>
      <c r="AR70" s="121" t="str">
        <f t="shared" si="36"/>
        <v/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str">
        <f>IF('Cable Info'!L70="","",CONCATENATE('Cable Info'!L70," - ",'Cable Info'!M70))</f>
        <v/>
      </c>
      <c r="AM71" s="121" t="str">
        <f t="shared" si="35"/>
        <v/>
      </c>
      <c r="AO71" s="121" t="str">
        <f>IF('Cable Info'!N70="","",CONCATENATE('Cable Info'!N70," - ",'Cable Info'!O70))</f>
        <v/>
      </c>
      <c r="AR71" s="121" t="str">
        <f t="shared" si="36"/>
        <v/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str">
        <f>IF('Cable Info'!L71="","",CONCATENATE('Cable Info'!L71," - ",'Cable Info'!M71))</f>
        <v/>
      </c>
      <c r="AM72" s="121" t="str">
        <f t="shared" si="35"/>
        <v/>
      </c>
      <c r="AO72" s="121" t="str">
        <f>IF('Cable Info'!N71="","",CONCATENATE('Cable Info'!N71," - ",'Cable Info'!O71))</f>
        <v/>
      </c>
      <c r="AR72" s="121" t="str">
        <f t="shared" si="36"/>
        <v/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str">
        <f>IF('Cable Info'!L72="","",CONCATENATE('Cable Info'!L72," - ",'Cable Info'!M72))</f>
        <v/>
      </c>
      <c r="AM73" s="121" t="str">
        <f t="shared" si="35"/>
        <v/>
      </c>
      <c r="AO73" s="121" t="str">
        <f>IF('Cable Info'!N72="","",CONCATENATE('Cable Info'!N72," - ",'Cable Info'!O72))</f>
        <v/>
      </c>
      <c r="AR73" s="121" t="str">
        <f t="shared" si="36"/>
        <v/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str">
        <f>IF('Cable Info'!L73="","",CONCATENATE('Cable Info'!L73," - ",'Cable Info'!M73))</f>
        <v/>
      </c>
      <c r="AM74" s="121" t="str">
        <f t="shared" si="35"/>
        <v/>
      </c>
      <c r="AO74" s="121" t="str">
        <f>IF('Cable Info'!N73="","",CONCATENATE('Cable Info'!N73," - ",'Cable Info'!O73))</f>
        <v/>
      </c>
      <c r="AR74" s="121" t="str">
        <f t="shared" si="36"/>
        <v/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str">
        <f>IF('Cable Info'!L74="","",CONCATENATE('Cable Info'!L74," - ",'Cable Info'!M74))</f>
        <v/>
      </c>
      <c r="AM75" s="121" t="str">
        <f t="shared" si="35"/>
        <v/>
      </c>
      <c r="AO75" s="121" t="str">
        <f>IF('Cable Info'!N74="","",CONCATENATE('Cable Info'!N74," - ",'Cable Info'!O74))</f>
        <v/>
      </c>
      <c r="AR75" s="121" t="str">
        <f t="shared" si="36"/>
        <v/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str">
        <f>IF('Cable Info'!L75="","",CONCATENATE('Cable Info'!L75," - ",'Cable Info'!M75))</f>
        <v/>
      </c>
      <c r="AM76" s="121" t="str">
        <f t="shared" si="35"/>
        <v/>
      </c>
      <c r="AO76" s="121" t="str">
        <f>IF('Cable Info'!N75="","",CONCATENATE('Cable Info'!N75," - ",'Cable Info'!O75))</f>
        <v/>
      </c>
      <c r="AR76" s="121" t="str">
        <f t="shared" si="36"/>
        <v/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str">
        <f>IF('Cable Info'!L76="","",CONCATENATE('Cable Info'!L76," - ",'Cable Info'!M76))</f>
        <v/>
      </c>
      <c r="AM77" s="121" t="str">
        <f t="shared" ref="AM77:AM140" si="47">IF(AK77="",AJ77,CONCATENATE(AJ77,"  &lt;=&gt; ",AK77," ",AL77))</f>
        <v/>
      </c>
      <c r="AO77" s="121" t="str">
        <f>IF('Cable Info'!N76="","",CONCATENATE('Cable Info'!N76," - ",'Cable Info'!O76))</f>
        <v/>
      </c>
      <c r="AR77" s="121" t="str">
        <f t="shared" ref="AR77:AR140" si="48">IF(AP77="",AO77,CONCATENATE(AO77,"  &lt;=&gt; ",AP77," ",AQ77))</f>
        <v/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str">
        <f>IF('Cable Info'!L77="","",CONCATENATE('Cable Info'!L77," - ",'Cable Info'!M77))</f>
        <v/>
      </c>
      <c r="AM78" s="121" t="str">
        <f t="shared" si="47"/>
        <v/>
      </c>
      <c r="AO78" s="121" t="str">
        <f>IF('Cable Info'!N77="","",CONCATENATE('Cable Info'!N77," - ",'Cable Info'!O77))</f>
        <v/>
      </c>
      <c r="AR78" s="121" t="str">
        <f t="shared" si="48"/>
        <v/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str">
        <f>IF('Cable Info'!L78="","",CONCATENATE('Cable Info'!L78," - ",'Cable Info'!M78))</f>
        <v/>
      </c>
      <c r="AM79" s="121" t="str">
        <f t="shared" si="47"/>
        <v/>
      </c>
      <c r="AO79" s="121" t="str">
        <f>IF('Cable Info'!N78="","",CONCATENATE('Cable Info'!N78," - ",'Cable Info'!O78))</f>
        <v/>
      </c>
      <c r="AR79" s="121" t="str">
        <f t="shared" si="48"/>
        <v/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str">
        <f>IF('Cable Info'!L79="","",CONCATENATE('Cable Info'!L79," - ",'Cable Info'!M79))</f>
        <v/>
      </c>
      <c r="AM80" s="121" t="str">
        <f t="shared" si="47"/>
        <v/>
      </c>
      <c r="AO80" s="121" t="str">
        <f>IF('Cable Info'!N79="","",CONCATENATE('Cable Info'!N79," - ",'Cable Info'!O79))</f>
        <v/>
      </c>
      <c r="AR80" s="121" t="str">
        <f t="shared" si="48"/>
        <v/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str">
        <f>IF('Cable Info'!L80="","",CONCATENATE('Cable Info'!L80," - ",'Cable Info'!M80))</f>
        <v/>
      </c>
      <c r="AM81" s="121" t="str">
        <f t="shared" si="47"/>
        <v/>
      </c>
      <c r="AO81" s="121" t="str">
        <f>IF('Cable Info'!N80="","",CONCATENATE('Cable Info'!N80," - ",'Cable Info'!O80))</f>
        <v/>
      </c>
      <c r="AR81" s="121" t="str">
        <f t="shared" si="48"/>
        <v/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str">
        <f>IF('Cable Info'!L81="","",CONCATENATE('Cable Info'!L81," - ",'Cable Info'!M81))</f>
        <v/>
      </c>
      <c r="AM82" s="121" t="str">
        <f t="shared" si="47"/>
        <v/>
      </c>
      <c r="AO82" s="121" t="str">
        <f>IF('Cable Info'!N81="","",CONCATENATE('Cable Info'!N81," - ",'Cable Info'!O81))</f>
        <v/>
      </c>
      <c r="AR82" s="121" t="str">
        <f t="shared" si="48"/>
        <v/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str">
        <f>IF('Cable Info'!L82="","",CONCATENATE('Cable Info'!L82," - ",'Cable Info'!M82))</f>
        <v/>
      </c>
      <c r="AM83" s="121" t="str">
        <f t="shared" si="47"/>
        <v/>
      </c>
      <c r="AO83" s="121" t="str">
        <f>IF('Cable Info'!N82="","",CONCATENATE('Cable Info'!N82," - ",'Cable Info'!O82))</f>
        <v/>
      </c>
      <c r="AR83" s="121" t="str">
        <f t="shared" si="48"/>
        <v/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str">
        <f>IF('Cable Info'!L83="","",CONCATENATE('Cable Info'!L83," - ",'Cable Info'!M83))</f>
        <v/>
      </c>
      <c r="AM84" s="121" t="str">
        <f t="shared" si="47"/>
        <v/>
      </c>
      <c r="AO84" s="121" t="str">
        <f>IF('Cable Info'!N83="","",CONCATENATE('Cable Info'!N83," - ",'Cable Info'!O83))</f>
        <v/>
      </c>
      <c r="AR84" s="121" t="str">
        <f t="shared" si="48"/>
        <v/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str">
        <f>IF('Cable Info'!L84="","",CONCATENATE('Cable Info'!L84," - ",'Cable Info'!M84))</f>
        <v/>
      </c>
      <c r="AM85" s="121" t="str">
        <f t="shared" si="47"/>
        <v/>
      </c>
      <c r="AO85" s="121" t="str">
        <f>IF('Cable Info'!N84="","",CONCATENATE('Cable Info'!N84," - ",'Cable Info'!O84))</f>
        <v/>
      </c>
      <c r="AR85" s="121" t="str">
        <f t="shared" si="48"/>
        <v/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str">
        <f>IF('Cable Info'!L85="","",CONCATENATE('Cable Info'!L85," - ",'Cable Info'!M85))</f>
        <v/>
      </c>
      <c r="AM86" s="121" t="str">
        <f t="shared" si="47"/>
        <v/>
      </c>
      <c r="AO86" s="121" t="str">
        <f>IF('Cable Info'!N85="","",CONCATENATE('Cable Info'!N85," - ",'Cable Info'!O85))</f>
        <v/>
      </c>
      <c r="AR86" s="121" t="str">
        <f t="shared" si="48"/>
        <v/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str">
        <f>IF('Cable Info'!L86="","",CONCATENATE('Cable Info'!L86," - ",'Cable Info'!M86))</f>
        <v/>
      </c>
      <c r="AM87" s="121" t="str">
        <f t="shared" si="47"/>
        <v/>
      </c>
      <c r="AO87" s="121" t="str">
        <f>IF('Cable Info'!N86="","",CONCATENATE('Cable Info'!N86," - ",'Cable Info'!O86))</f>
        <v/>
      </c>
      <c r="AR87" s="121" t="str">
        <f t="shared" si="48"/>
        <v/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str">
        <f>IF('Cable Info'!L87="","",CONCATENATE('Cable Info'!L87," - ",'Cable Info'!M87))</f>
        <v/>
      </c>
      <c r="AM88" s="121" t="str">
        <f t="shared" si="47"/>
        <v/>
      </c>
      <c r="AO88" s="121" t="str">
        <f>IF('Cable Info'!N87="","",CONCATENATE('Cable Info'!N87," - ",'Cable Info'!O87))</f>
        <v/>
      </c>
      <c r="AR88" s="121" t="str">
        <f t="shared" si="48"/>
        <v/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str">
        <f>IF('Cable Info'!L88="","",CONCATENATE('Cable Info'!L88," - ",'Cable Info'!M88))</f>
        <v/>
      </c>
      <c r="AM89" s="121" t="str">
        <f t="shared" si="47"/>
        <v/>
      </c>
      <c r="AO89" s="121" t="str">
        <f>IF('Cable Info'!N88="","",CONCATENATE('Cable Info'!N88," - ",'Cable Info'!O88))</f>
        <v/>
      </c>
      <c r="AR89" s="121" t="str">
        <f t="shared" si="48"/>
        <v/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str">
        <f>IF('Cable Info'!L89="","",CONCATENATE('Cable Info'!L89," - ",'Cable Info'!M89))</f>
        <v/>
      </c>
      <c r="AM90" s="121" t="str">
        <f t="shared" si="47"/>
        <v/>
      </c>
      <c r="AO90" s="121" t="str">
        <f>IF('Cable Info'!N89="","",CONCATENATE('Cable Info'!N89," - ",'Cable Info'!O89))</f>
        <v/>
      </c>
      <c r="AR90" s="121" t="str">
        <f t="shared" si="48"/>
        <v/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str">
        <f>IF('Cable Info'!L90="","",CONCATENATE('Cable Info'!L90," - ",'Cable Info'!M90))</f>
        <v/>
      </c>
      <c r="AM91" s="121" t="str">
        <f t="shared" si="47"/>
        <v/>
      </c>
      <c r="AO91" s="121" t="str">
        <f>IF('Cable Info'!N90="","",CONCATENATE('Cable Info'!N90," - ",'Cable Info'!O90))</f>
        <v/>
      </c>
      <c r="AR91" s="121" t="str">
        <f t="shared" si="48"/>
        <v/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str">
        <f>IF('Cable Info'!L91="","",CONCATENATE('Cable Info'!L91," - ",'Cable Info'!M91))</f>
        <v/>
      </c>
      <c r="AM92" s="121" t="str">
        <f t="shared" si="47"/>
        <v/>
      </c>
      <c r="AO92" s="121" t="str">
        <f>IF('Cable Info'!N91="","",CONCATENATE('Cable Info'!N91," - ",'Cable Info'!O91))</f>
        <v/>
      </c>
      <c r="AR92" s="121" t="str">
        <f t="shared" si="48"/>
        <v/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str">
        <f>IF('Cable Info'!L92="","",CONCATENATE('Cable Info'!L92," - ",'Cable Info'!M92))</f>
        <v/>
      </c>
      <c r="AM93" s="121" t="str">
        <f t="shared" si="47"/>
        <v/>
      </c>
      <c r="AO93" s="121" t="str">
        <f>IF('Cable Info'!N92="","",CONCATENATE('Cable Info'!N92," - ",'Cable Info'!O92))</f>
        <v/>
      </c>
      <c r="AR93" s="121" t="str">
        <f t="shared" si="48"/>
        <v/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str">
        <f>IF('Cable Info'!L93="","",CONCATENATE('Cable Info'!L93," - ",'Cable Info'!M93))</f>
        <v/>
      </c>
      <c r="AM94" s="121" t="str">
        <f t="shared" si="47"/>
        <v/>
      </c>
      <c r="AO94" s="121" t="str">
        <f>IF('Cable Info'!N93="","",CONCATENATE('Cable Info'!N93," - ",'Cable Info'!O93))</f>
        <v/>
      </c>
      <c r="AR94" s="121" t="str">
        <f t="shared" si="48"/>
        <v/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str">
        <f>IF('Cable Info'!L94="","",CONCATENATE('Cable Info'!L94," - ",'Cable Info'!M94))</f>
        <v/>
      </c>
      <c r="AM95" s="121" t="str">
        <f t="shared" si="47"/>
        <v/>
      </c>
      <c r="AO95" s="121" t="str">
        <f>IF('Cable Info'!N94="","",CONCATENATE('Cable Info'!N94," - ",'Cable Info'!O94))</f>
        <v/>
      </c>
      <c r="AR95" s="121" t="str">
        <f t="shared" si="48"/>
        <v/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str">
        <f>IF('Cable Info'!L95="","",CONCATENATE('Cable Info'!L95," - ",'Cable Info'!M95))</f>
        <v/>
      </c>
      <c r="AM96" s="121" t="str">
        <f t="shared" si="47"/>
        <v/>
      </c>
      <c r="AO96" s="121" t="str">
        <f>IF('Cable Info'!N95="","",CONCATENATE('Cable Info'!N95," - ",'Cable Info'!O95))</f>
        <v/>
      </c>
      <c r="AR96" s="121" t="str">
        <f t="shared" si="48"/>
        <v/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str">
        <f>IF('Cable Info'!L96="","",CONCATENATE('Cable Info'!L96," - ",'Cable Info'!M96))</f>
        <v/>
      </c>
      <c r="AM97" s="121" t="str">
        <f t="shared" si="47"/>
        <v/>
      </c>
      <c r="AO97" s="121" t="str">
        <f>IF('Cable Info'!N96="","",CONCATENATE('Cable Info'!N96," - ",'Cable Info'!O96))</f>
        <v/>
      </c>
      <c r="AR97" s="121" t="str">
        <f t="shared" si="48"/>
        <v/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str">
        <f>IF('Cable Info'!L97="","",CONCATENATE('Cable Info'!L97," - ",'Cable Info'!M97))</f>
        <v/>
      </c>
      <c r="AM98" s="121" t="str">
        <f t="shared" si="47"/>
        <v/>
      </c>
      <c r="AO98" s="121" t="str">
        <f>IF('Cable Info'!N97="","",CONCATENATE('Cable Info'!N97," - ",'Cable Info'!O97))</f>
        <v/>
      </c>
      <c r="AR98" s="121" t="str">
        <f t="shared" si="48"/>
        <v/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str">
        <f>IF('Cable Info'!L98="","",CONCATENATE('Cable Info'!L98," - ",'Cable Info'!M98))</f>
        <v/>
      </c>
      <c r="AM99" s="121" t="str">
        <f t="shared" si="47"/>
        <v/>
      </c>
      <c r="AO99" s="121" t="str">
        <f>IF('Cable Info'!N98="","",CONCATENATE('Cable Info'!N98," - ",'Cable Info'!O98))</f>
        <v/>
      </c>
      <c r="AR99" s="121" t="str">
        <f t="shared" si="48"/>
        <v/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str">
        <f>IF('Cable Info'!L99="","",CONCATENATE('Cable Info'!L99," - ",'Cable Info'!M99))</f>
        <v/>
      </c>
      <c r="AM100" s="121" t="str">
        <f t="shared" si="47"/>
        <v/>
      </c>
      <c r="AO100" s="121" t="str">
        <f>IF('Cable Info'!N99="","",CONCATENATE('Cable Info'!N99," - ",'Cable Info'!O99))</f>
        <v/>
      </c>
      <c r="AR100" s="121" t="str">
        <f t="shared" si="48"/>
        <v/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str">
        <f>IF('Cable Info'!L100="","",CONCATENATE('Cable Info'!L100," - ",'Cable Info'!M100))</f>
        <v/>
      </c>
      <c r="AM101" s="121" t="str">
        <f t="shared" si="47"/>
        <v/>
      </c>
      <c r="AO101" s="121" t="str">
        <f>IF('Cable Info'!N100="","",CONCATENATE('Cable Info'!N100," - ",'Cable Info'!O100))</f>
        <v/>
      </c>
      <c r="AR101" s="121" t="str">
        <f t="shared" si="48"/>
        <v/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str">
        <f>IF('Cable Info'!L101="","",CONCATENATE('Cable Info'!L101," - ",'Cable Info'!M101))</f>
        <v/>
      </c>
      <c r="AM102" s="121" t="str">
        <f t="shared" si="47"/>
        <v/>
      </c>
      <c r="AO102" s="121" t="str">
        <f>IF('Cable Info'!N101="","",CONCATENATE('Cable Info'!N101," - ",'Cable Info'!O101))</f>
        <v/>
      </c>
      <c r="AR102" s="121" t="str">
        <f t="shared" si="48"/>
        <v/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str">
        <f>IF('Cable Info'!L102="","",CONCATENATE('Cable Info'!L102," - ",'Cable Info'!M102))</f>
        <v/>
      </c>
      <c r="AM103" s="121" t="str">
        <f t="shared" si="47"/>
        <v/>
      </c>
      <c r="AO103" s="121" t="str">
        <f>IF('Cable Info'!N102="","",CONCATENATE('Cable Info'!N102," - ",'Cable Info'!O102))</f>
        <v/>
      </c>
      <c r="AR103" s="121" t="str">
        <f t="shared" si="48"/>
        <v/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str">
        <f>IF('Cable Info'!L103="","",CONCATENATE('Cable Info'!L103," - ",'Cable Info'!M103))</f>
        <v/>
      </c>
      <c r="AM104" s="121" t="str">
        <f t="shared" si="47"/>
        <v/>
      </c>
      <c r="AO104" s="121" t="str">
        <f>IF('Cable Info'!N103="","",CONCATENATE('Cable Info'!N103," - ",'Cable Info'!O103))</f>
        <v/>
      </c>
      <c r="AR104" s="121" t="str">
        <f t="shared" si="48"/>
        <v/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str">
        <f>IF('Cable Info'!L104="","",CONCATENATE('Cable Info'!L104," - ",'Cable Info'!M104))</f>
        <v/>
      </c>
      <c r="AM105" s="121" t="str">
        <f t="shared" si="47"/>
        <v/>
      </c>
      <c r="AO105" s="121" t="str">
        <f>IF('Cable Info'!N104="","",CONCATENATE('Cable Info'!N104," - ",'Cable Info'!O104))</f>
        <v/>
      </c>
      <c r="AR105" s="121" t="str">
        <f t="shared" si="48"/>
        <v/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str">
        <f>IF('Cable Info'!L105="","",CONCATENATE('Cable Info'!L105," - ",'Cable Info'!M105))</f>
        <v/>
      </c>
      <c r="AM106" s="121" t="str">
        <f t="shared" si="47"/>
        <v/>
      </c>
      <c r="AO106" s="121" t="str">
        <f>IF('Cable Info'!N105="","",CONCATENATE('Cable Info'!N105," - ",'Cable Info'!O105))</f>
        <v/>
      </c>
      <c r="AR106" s="121" t="str">
        <f t="shared" si="48"/>
        <v/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str">
        <f>IF('Cable Info'!L106="","",CONCATENATE('Cable Info'!L106," - ",'Cable Info'!M106))</f>
        <v/>
      </c>
      <c r="AM107" s="121" t="str">
        <f t="shared" si="47"/>
        <v/>
      </c>
      <c r="AO107" s="121" t="str">
        <f>IF('Cable Info'!N106="","",CONCATENATE('Cable Info'!N106," - ",'Cable Info'!O106))</f>
        <v/>
      </c>
      <c r="AR107" s="121" t="str">
        <f t="shared" si="48"/>
        <v/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str">
        <f>IF('Cable Info'!L107="","",CONCATENATE('Cable Info'!L107," - ",'Cable Info'!M107))</f>
        <v/>
      </c>
      <c r="AM108" s="121" t="str">
        <f t="shared" si="47"/>
        <v/>
      </c>
      <c r="AO108" s="121" t="str">
        <f>IF('Cable Info'!N107="","",CONCATENATE('Cable Info'!N107," - ",'Cable Info'!O107))</f>
        <v/>
      </c>
      <c r="AR108" s="121" t="str">
        <f t="shared" si="48"/>
        <v/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str">
        <f>IF('Cable Info'!L108="","",CONCATENATE('Cable Info'!L108," - ",'Cable Info'!M108))</f>
        <v/>
      </c>
      <c r="AM109" s="121" t="str">
        <f t="shared" si="47"/>
        <v/>
      </c>
      <c r="AO109" s="121" t="str">
        <f>IF('Cable Info'!N108="","",CONCATENATE('Cable Info'!N108," - ",'Cable Info'!O108))</f>
        <v/>
      </c>
      <c r="AR109" s="121" t="str">
        <f t="shared" si="48"/>
        <v/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str">
        <f>IF('Cable Info'!L109="","",CONCATENATE('Cable Info'!L109," - ",'Cable Info'!M109))</f>
        <v/>
      </c>
      <c r="AM110" s="121" t="str">
        <f t="shared" si="47"/>
        <v/>
      </c>
      <c r="AO110" s="121" t="str">
        <f>IF('Cable Info'!N109="","",CONCATENATE('Cable Info'!N109," - ",'Cable Info'!O109))</f>
        <v/>
      </c>
      <c r="AR110" s="121" t="str">
        <f t="shared" si="48"/>
        <v/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str">
        <f>IF('Cable Info'!L110="","",CONCATENATE('Cable Info'!L110," - ",'Cable Info'!M110))</f>
        <v/>
      </c>
      <c r="AM111" s="121" t="str">
        <f t="shared" si="47"/>
        <v/>
      </c>
      <c r="AO111" s="121" t="str">
        <f>IF('Cable Info'!N110="","",CONCATENATE('Cable Info'!N110," - ",'Cable Info'!O110))</f>
        <v/>
      </c>
      <c r="AR111" s="121" t="str">
        <f t="shared" si="48"/>
        <v/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str">
        <f>IF('Cable Info'!L111="","",CONCATENATE('Cable Info'!L111," - ",'Cable Info'!M111))</f>
        <v/>
      </c>
      <c r="AM112" s="121" t="str">
        <f t="shared" si="47"/>
        <v/>
      </c>
      <c r="AO112" s="121" t="str">
        <f>IF('Cable Info'!N111="","",CONCATENATE('Cable Info'!N111," - ",'Cable Info'!O111))</f>
        <v/>
      </c>
      <c r="AR112" s="121" t="str">
        <f t="shared" si="48"/>
        <v/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str">
        <f>IF('Cable Info'!L112="","",CONCATENATE('Cable Info'!L112," - ",'Cable Info'!M112))</f>
        <v/>
      </c>
      <c r="AM113" s="121" t="str">
        <f t="shared" si="47"/>
        <v/>
      </c>
      <c r="AO113" s="121" t="str">
        <f>IF('Cable Info'!N112="","",CONCATENATE('Cable Info'!N112," - ",'Cable Info'!O112))</f>
        <v/>
      </c>
      <c r="AR113" s="121" t="str">
        <f t="shared" si="48"/>
        <v/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str">
        <f>IF('Cable Info'!L113="","",CONCATENATE('Cable Info'!L113," - ",'Cable Info'!M113))</f>
        <v/>
      </c>
      <c r="AM114" s="121" t="str">
        <f t="shared" si="47"/>
        <v/>
      </c>
      <c r="AO114" s="121" t="str">
        <f>IF('Cable Info'!N113="","",CONCATENATE('Cable Info'!N113," - ",'Cable Info'!O113))</f>
        <v/>
      </c>
      <c r="AR114" s="121" t="str">
        <f t="shared" si="48"/>
        <v/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str">
        <f>IF('Cable Info'!L114="","",CONCATENATE('Cable Info'!L114," - ",'Cable Info'!M114))</f>
        <v/>
      </c>
      <c r="AM115" s="121" t="str">
        <f t="shared" si="47"/>
        <v/>
      </c>
      <c r="AO115" s="121" t="str">
        <f>IF('Cable Info'!N114="","",CONCATENATE('Cable Info'!N114," - ",'Cable Info'!O114))</f>
        <v/>
      </c>
      <c r="AR115" s="121" t="str">
        <f t="shared" si="48"/>
        <v/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str">
        <f>IF('Cable Info'!L115="","",CONCATENATE('Cable Info'!L115," - ",'Cable Info'!M115))</f>
        <v/>
      </c>
      <c r="AM116" s="121" t="str">
        <f t="shared" si="47"/>
        <v/>
      </c>
      <c r="AO116" s="121" t="str">
        <f>IF('Cable Info'!N115="","",CONCATENATE('Cable Info'!N115," - ",'Cable Info'!O115))</f>
        <v/>
      </c>
      <c r="AR116" s="121" t="str">
        <f t="shared" si="48"/>
        <v/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str">
        <f>IF('Cable Info'!L116="","",CONCATENATE('Cable Info'!L116," - ",'Cable Info'!M116))</f>
        <v/>
      </c>
      <c r="AM117" s="121" t="str">
        <f t="shared" si="47"/>
        <v/>
      </c>
      <c r="AO117" s="121" t="str">
        <f>IF('Cable Info'!N116="","",CONCATENATE('Cable Info'!N116," - ",'Cable Info'!O116))</f>
        <v/>
      </c>
      <c r="AR117" s="121" t="str">
        <f t="shared" si="48"/>
        <v/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str">
        <f>IF('Cable Info'!L117="","",CONCATENATE('Cable Info'!L117," - ",'Cable Info'!M117))</f>
        <v/>
      </c>
      <c r="AM118" s="121" t="str">
        <f t="shared" si="47"/>
        <v/>
      </c>
      <c r="AO118" s="121" t="str">
        <f>IF('Cable Info'!N117="","",CONCATENATE('Cable Info'!N117," - ",'Cable Info'!O117))</f>
        <v/>
      </c>
      <c r="AR118" s="121" t="str">
        <f t="shared" si="48"/>
        <v/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str">
        <f>IF('Cable Info'!L118="","",CONCATENATE('Cable Info'!L118," - ",'Cable Info'!M118))</f>
        <v/>
      </c>
      <c r="AM119" s="121" t="str">
        <f t="shared" si="47"/>
        <v/>
      </c>
      <c r="AO119" s="121" t="str">
        <f>IF('Cable Info'!N118="","",CONCATENATE('Cable Info'!N118," - ",'Cable Info'!O118))</f>
        <v/>
      </c>
      <c r="AR119" s="121" t="str">
        <f t="shared" si="48"/>
        <v/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str">
        <f>IF('Cable Info'!L119="","",CONCATENATE('Cable Info'!L119," - ",'Cable Info'!M119))</f>
        <v/>
      </c>
      <c r="AM120" s="121" t="str">
        <f t="shared" si="47"/>
        <v/>
      </c>
      <c r="AO120" s="121" t="str">
        <f>IF('Cable Info'!N119="","",CONCATENATE('Cable Info'!N119," - ",'Cable Info'!O119))</f>
        <v/>
      </c>
      <c r="AR120" s="121" t="str">
        <f t="shared" si="48"/>
        <v/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str">
        <f>IF('Cable Info'!L120="","",CONCATENATE('Cable Info'!L120," - ",'Cable Info'!M120))</f>
        <v/>
      </c>
      <c r="AM121" s="121" t="str">
        <f t="shared" si="47"/>
        <v/>
      </c>
      <c r="AO121" s="121" t="str">
        <f>IF('Cable Info'!N120="","",CONCATENATE('Cable Info'!N120," - ",'Cable Info'!O120))</f>
        <v/>
      </c>
      <c r="AR121" s="121" t="str">
        <f t="shared" si="48"/>
        <v/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str">
        <f>IF('Cable Info'!L121="","",CONCATENATE('Cable Info'!L121," - ",'Cable Info'!M121))</f>
        <v/>
      </c>
      <c r="AM122" s="121" t="str">
        <f t="shared" si="47"/>
        <v/>
      </c>
      <c r="AO122" s="121" t="str">
        <f>IF('Cable Info'!N121="","",CONCATENATE('Cable Info'!N121," - ",'Cable Info'!O121))</f>
        <v/>
      </c>
      <c r="AR122" s="121" t="str">
        <f t="shared" si="48"/>
        <v/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str">
        <f>IF('Cable Info'!L122="","",CONCATENATE('Cable Info'!L122," - ",'Cable Info'!M122))</f>
        <v/>
      </c>
      <c r="AM123" s="121" t="str">
        <f t="shared" si="47"/>
        <v/>
      </c>
      <c r="AO123" s="121" t="str">
        <f>IF('Cable Info'!N122="","",CONCATENATE('Cable Info'!N122," - ",'Cable Info'!O122))</f>
        <v/>
      </c>
      <c r="AR123" s="121" t="str">
        <f t="shared" si="48"/>
        <v/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str">
        <f>IF('Cable Info'!L123="","",CONCATENATE('Cable Info'!L123," - ",'Cable Info'!M123))</f>
        <v/>
      </c>
      <c r="AM124" s="121" t="str">
        <f t="shared" si="47"/>
        <v/>
      </c>
      <c r="AO124" s="121" t="str">
        <f>IF('Cable Info'!N123="","",CONCATENATE('Cable Info'!N123," - ",'Cable Info'!O123))</f>
        <v/>
      </c>
      <c r="AR124" s="121" t="str">
        <f t="shared" si="48"/>
        <v/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str">
        <f>IF('Cable Info'!L124="","",CONCATENATE('Cable Info'!L124," - ",'Cable Info'!M124))</f>
        <v/>
      </c>
      <c r="AM125" s="121" t="str">
        <f t="shared" si="47"/>
        <v/>
      </c>
      <c r="AO125" s="121" t="str">
        <f>IF('Cable Info'!N124="","",CONCATENATE('Cable Info'!N124," - ",'Cable Info'!O124))</f>
        <v/>
      </c>
      <c r="AR125" s="121" t="str">
        <f t="shared" si="48"/>
        <v/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str">
        <f>IF('Cable Info'!L125="","",CONCATENATE('Cable Info'!L125," - ",'Cable Info'!M125))</f>
        <v/>
      </c>
      <c r="AM126" s="121" t="str">
        <f t="shared" si="47"/>
        <v/>
      </c>
      <c r="AO126" s="121" t="str">
        <f>IF('Cable Info'!N125="","",CONCATENATE('Cable Info'!N125," - ",'Cable Info'!O125))</f>
        <v/>
      </c>
      <c r="AR126" s="121" t="str">
        <f t="shared" si="48"/>
        <v/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str">
        <f>IF('Cable Info'!L126="","",CONCATENATE('Cable Info'!L126," - ",'Cable Info'!M126))</f>
        <v/>
      </c>
      <c r="AM127" s="121" t="str">
        <f t="shared" si="47"/>
        <v/>
      </c>
      <c r="AO127" s="121" t="str">
        <f>IF('Cable Info'!N126="","",CONCATENATE('Cable Info'!N126," - ",'Cable Info'!O126))</f>
        <v/>
      </c>
      <c r="AR127" s="121" t="str">
        <f t="shared" si="48"/>
        <v/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str">
        <f>IF('Cable Info'!L127="","",CONCATENATE('Cable Info'!L127," - ",'Cable Info'!M127))</f>
        <v/>
      </c>
      <c r="AM128" s="121" t="str">
        <f t="shared" si="47"/>
        <v/>
      </c>
      <c r="AO128" s="121" t="str">
        <f>IF('Cable Info'!N127="","",CONCATENATE('Cable Info'!N127," - ",'Cable Info'!O127))</f>
        <v/>
      </c>
      <c r="AR128" s="121" t="str">
        <f t="shared" si="48"/>
        <v/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str">
        <f>IF('Cable Info'!L128="","",CONCATENATE('Cable Info'!L128," - ",'Cable Info'!M128))</f>
        <v/>
      </c>
      <c r="AM129" s="121" t="str">
        <f t="shared" si="47"/>
        <v/>
      </c>
      <c r="AO129" s="121" t="str">
        <f>IF('Cable Info'!N128="","",CONCATENATE('Cable Info'!N128," - ",'Cable Info'!O128))</f>
        <v/>
      </c>
      <c r="AR129" s="121" t="str">
        <f t="shared" si="48"/>
        <v/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str">
        <f>IF('Cable Info'!L129="","",CONCATENATE('Cable Info'!L129," - ",'Cable Info'!M129))</f>
        <v/>
      </c>
      <c r="AM130" s="121" t="str">
        <f t="shared" si="47"/>
        <v/>
      </c>
      <c r="AO130" s="121" t="str">
        <f>IF('Cable Info'!N129="","",CONCATENATE('Cable Info'!N129," - ",'Cable Info'!O129))</f>
        <v/>
      </c>
      <c r="AR130" s="121" t="str">
        <f t="shared" si="48"/>
        <v/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str">
        <f>IF('Cable Info'!L130="","",CONCATENATE('Cable Info'!L130," - ",'Cable Info'!M130))</f>
        <v/>
      </c>
      <c r="AM131" s="121" t="str">
        <f t="shared" si="47"/>
        <v/>
      </c>
      <c r="AO131" s="121" t="str">
        <f>IF('Cable Info'!N130="","",CONCATENATE('Cable Info'!N130," - ",'Cable Info'!O130))</f>
        <v/>
      </c>
      <c r="AR131" s="121" t="str">
        <f t="shared" si="48"/>
        <v/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str">
        <f>IF('Cable Info'!L131="","",CONCATENATE('Cable Info'!L131," - ",'Cable Info'!M131))</f>
        <v/>
      </c>
      <c r="AM132" s="121" t="str">
        <f t="shared" si="47"/>
        <v/>
      </c>
      <c r="AO132" s="121" t="str">
        <f>IF('Cable Info'!N131="","",CONCATENATE('Cable Info'!N131," - ",'Cable Info'!O131))</f>
        <v/>
      </c>
      <c r="AR132" s="121" t="str">
        <f t="shared" si="48"/>
        <v/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str">
        <f>IF('Cable Info'!L132="","",CONCATENATE('Cable Info'!L132," - ",'Cable Info'!M132))</f>
        <v/>
      </c>
      <c r="AM133" s="121" t="str">
        <f t="shared" si="47"/>
        <v/>
      </c>
      <c r="AO133" s="121" t="str">
        <f>IF('Cable Info'!N132="","",CONCATENATE('Cable Info'!N132," - ",'Cable Info'!O132))</f>
        <v/>
      </c>
      <c r="AR133" s="121" t="str">
        <f t="shared" si="48"/>
        <v/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str">
        <f>IF('Cable Info'!L133="","",CONCATENATE('Cable Info'!L133," - ",'Cable Info'!M133))</f>
        <v/>
      </c>
      <c r="AM134" s="121" t="str">
        <f t="shared" si="47"/>
        <v/>
      </c>
      <c r="AO134" s="121" t="str">
        <f>IF('Cable Info'!N133="","",CONCATENATE('Cable Info'!N133," - ",'Cable Info'!O133))</f>
        <v/>
      </c>
      <c r="AR134" s="121" t="str">
        <f t="shared" si="48"/>
        <v/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str">
        <f>IF('Cable Info'!L134="","",CONCATENATE('Cable Info'!L134," - ",'Cable Info'!M134))</f>
        <v/>
      </c>
      <c r="AM135" s="121" t="str">
        <f t="shared" si="47"/>
        <v/>
      </c>
      <c r="AO135" s="121" t="str">
        <f>IF('Cable Info'!N134="","",CONCATENATE('Cable Info'!N134," - ",'Cable Info'!O134))</f>
        <v/>
      </c>
      <c r="AR135" s="121" t="str">
        <f t="shared" si="48"/>
        <v/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str">
        <f>IF('Cable Info'!L135="","",CONCATENATE('Cable Info'!L135," - ",'Cable Info'!M135))</f>
        <v/>
      </c>
      <c r="AM136" s="121" t="str">
        <f t="shared" si="47"/>
        <v/>
      </c>
      <c r="AO136" s="121" t="str">
        <f>IF('Cable Info'!N135="","",CONCATENATE('Cable Info'!N135," - ",'Cable Info'!O135))</f>
        <v/>
      </c>
      <c r="AR136" s="121" t="str">
        <f t="shared" si="48"/>
        <v/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str">
        <f>IF('Cable Info'!L136="","",CONCATENATE('Cable Info'!L136," - ",'Cable Info'!M136))</f>
        <v/>
      </c>
      <c r="AM137" s="121" t="str">
        <f t="shared" si="47"/>
        <v/>
      </c>
      <c r="AO137" s="121" t="str">
        <f>IF('Cable Info'!N136="","",CONCATENATE('Cable Info'!N136," - ",'Cable Info'!O136))</f>
        <v/>
      </c>
      <c r="AR137" s="121" t="str">
        <f t="shared" si="48"/>
        <v/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str">
        <f>IF('Cable Info'!L137="","",CONCATENATE('Cable Info'!L137," - ",'Cable Info'!M137))</f>
        <v/>
      </c>
      <c r="AM138" s="121" t="str">
        <f t="shared" si="47"/>
        <v/>
      </c>
      <c r="AO138" s="121" t="str">
        <f>IF('Cable Info'!N137="","",CONCATENATE('Cable Info'!N137," - ",'Cable Info'!O137))</f>
        <v/>
      </c>
      <c r="AR138" s="121" t="str">
        <f t="shared" si="48"/>
        <v/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str">
        <f>IF('Cable Info'!L138="","",CONCATENATE('Cable Info'!L138," - ",'Cable Info'!M138))</f>
        <v/>
      </c>
      <c r="AM139" s="121" t="str">
        <f t="shared" si="47"/>
        <v/>
      </c>
      <c r="AO139" s="121" t="str">
        <f>IF('Cable Info'!N138="","",CONCATENATE('Cable Info'!N138," - ",'Cable Info'!O138))</f>
        <v/>
      </c>
      <c r="AR139" s="121" t="str">
        <f t="shared" si="48"/>
        <v/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str">
        <f>IF('Cable Info'!L139="","",CONCATENATE('Cable Info'!L139," - ",'Cable Info'!M139))</f>
        <v/>
      </c>
      <c r="AM140" s="121" t="str">
        <f t="shared" si="47"/>
        <v/>
      </c>
      <c r="AO140" s="121" t="str">
        <f>IF('Cable Info'!N139="","",CONCATENATE('Cable Info'!N139," - ",'Cable Info'!O139))</f>
        <v/>
      </c>
      <c r="AR140" s="121" t="str">
        <f t="shared" si="48"/>
        <v/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str">
        <f>IF('Cable Info'!L140="","",CONCATENATE('Cable Info'!L140," - ",'Cable Info'!M140))</f>
        <v/>
      </c>
      <c r="AM141" s="121" t="str">
        <f t="shared" ref="AM141:AM204" si="59">IF(AK141="",AJ141,CONCATENATE(AJ141,"  &lt;=&gt; ",AK141," ",AL141))</f>
        <v/>
      </c>
      <c r="AO141" s="121" t="str">
        <f>IF('Cable Info'!N140="","",CONCATENATE('Cable Info'!N140," - ",'Cable Info'!O140))</f>
        <v/>
      </c>
      <c r="AR141" s="121" t="str">
        <f t="shared" ref="AR141:AR204" si="60">IF(AP141="",AO141,CONCATENATE(AO141,"  &lt;=&gt; ",AP141," ",AQ141))</f>
        <v/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str">
        <f>IF('Cable Info'!L141="","",CONCATENATE('Cable Info'!L141," - ",'Cable Info'!M141))</f>
        <v/>
      </c>
      <c r="AM142" s="121" t="str">
        <f t="shared" si="59"/>
        <v/>
      </c>
      <c r="AO142" s="121" t="str">
        <f>IF('Cable Info'!N141="","",CONCATENATE('Cable Info'!N141," - ",'Cable Info'!O141))</f>
        <v/>
      </c>
      <c r="AR142" s="121" t="str">
        <f t="shared" si="60"/>
        <v/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str">
        <f>IF('Cable Info'!L142="","",CONCATENATE('Cable Info'!L142," - ",'Cable Info'!M142))</f>
        <v/>
      </c>
      <c r="AM143" s="121" t="str">
        <f t="shared" si="59"/>
        <v/>
      </c>
      <c r="AO143" s="121" t="str">
        <f>IF('Cable Info'!N142="","",CONCATENATE('Cable Info'!N142," - ",'Cable Info'!O142))</f>
        <v/>
      </c>
      <c r="AR143" s="121" t="str">
        <f t="shared" si="60"/>
        <v/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str">
        <f>IF('Cable Info'!L143="","",CONCATENATE('Cable Info'!L143," - ",'Cable Info'!M143))</f>
        <v/>
      </c>
      <c r="AM144" s="121" t="str">
        <f t="shared" si="59"/>
        <v/>
      </c>
      <c r="AO144" s="121" t="str">
        <f>IF('Cable Info'!N143="","",CONCATENATE('Cable Info'!N143," - ",'Cable Info'!O143))</f>
        <v/>
      </c>
      <c r="AR144" s="121" t="str">
        <f t="shared" si="60"/>
        <v/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str">
        <f>IF('Cable Info'!L144="","",CONCATENATE('Cable Info'!L144," - ",'Cable Info'!M144))</f>
        <v/>
      </c>
      <c r="AM145" s="121" t="str">
        <f t="shared" si="59"/>
        <v/>
      </c>
      <c r="AO145" s="121" t="str">
        <f>IF('Cable Info'!N144="","",CONCATENATE('Cable Info'!N144," - ",'Cable Info'!O144))</f>
        <v/>
      </c>
      <c r="AR145" s="121" t="str">
        <f t="shared" si="60"/>
        <v/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str">
        <f>IF('Cable Info'!L145="","",CONCATENATE('Cable Info'!L145," - ",'Cable Info'!M145))</f>
        <v/>
      </c>
      <c r="AM146" s="121" t="str">
        <f t="shared" si="59"/>
        <v/>
      </c>
      <c r="AO146" s="121" t="str">
        <f>IF('Cable Info'!N145="","",CONCATENATE('Cable Info'!N145," - ",'Cable Info'!O145))</f>
        <v/>
      </c>
      <c r="AR146" s="121" t="str">
        <f t="shared" si="60"/>
        <v/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str">
        <f>IF('Cable Info'!L146="","",CONCATENATE('Cable Info'!L146," - ",'Cable Info'!M146))</f>
        <v/>
      </c>
      <c r="AM147" s="121" t="str">
        <f t="shared" si="59"/>
        <v/>
      </c>
      <c r="AO147" s="121" t="str">
        <f>IF('Cable Info'!N146="","",CONCATENATE('Cable Info'!N146," - ",'Cable Info'!O146))</f>
        <v/>
      </c>
      <c r="AR147" s="121" t="str">
        <f t="shared" si="60"/>
        <v/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str">
        <f>IF('Cable Info'!L147="","",CONCATENATE('Cable Info'!L147," - ",'Cable Info'!M147))</f>
        <v/>
      </c>
      <c r="AM148" s="121" t="str">
        <f t="shared" si="59"/>
        <v/>
      </c>
      <c r="AO148" s="121" t="str">
        <f>IF('Cable Info'!N147="","",CONCATENATE('Cable Info'!N147," - ",'Cable Info'!O147))</f>
        <v/>
      </c>
      <c r="AR148" s="121" t="str">
        <f t="shared" si="60"/>
        <v/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str">
        <f>IF('Cable Info'!L148="","",CONCATENATE('Cable Info'!L148," - ",'Cable Info'!M148))</f>
        <v/>
      </c>
      <c r="AM149" s="121" t="str">
        <f t="shared" si="59"/>
        <v/>
      </c>
      <c r="AO149" s="121" t="str">
        <f>IF('Cable Info'!N148="","",CONCATENATE('Cable Info'!N148," - ",'Cable Info'!O148))</f>
        <v/>
      </c>
      <c r="AR149" s="121" t="str">
        <f t="shared" si="60"/>
        <v/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str">
        <f>IF('Cable Info'!L149="","",CONCATENATE('Cable Info'!L149," - ",'Cable Info'!M149))</f>
        <v/>
      </c>
      <c r="AM150" s="121" t="str">
        <f t="shared" si="59"/>
        <v/>
      </c>
      <c r="AO150" s="121" t="str">
        <f>IF('Cable Info'!N149="","",CONCATENATE('Cable Info'!N149," - ",'Cable Info'!O149))</f>
        <v/>
      </c>
      <c r="AR150" s="121" t="str">
        <f t="shared" si="60"/>
        <v/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str">
        <f>IF('Cable Info'!L150="","",CONCATENATE('Cable Info'!L150," - ",'Cable Info'!M150))</f>
        <v/>
      </c>
      <c r="AM151" s="121" t="str">
        <f t="shared" si="59"/>
        <v/>
      </c>
      <c r="AO151" s="121" t="str">
        <f>IF('Cable Info'!N150="","",CONCATENATE('Cable Info'!N150," - ",'Cable Info'!O150))</f>
        <v/>
      </c>
      <c r="AR151" s="121" t="str">
        <f t="shared" si="60"/>
        <v/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str">
        <f>IF('Cable Info'!L151="","",CONCATENATE('Cable Info'!L151," - ",'Cable Info'!M151))</f>
        <v/>
      </c>
      <c r="AM152" s="121" t="str">
        <f t="shared" si="59"/>
        <v/>
      </c>
      <c r="AO152" s="121" t="str">
        <f>IF('Cable Info'!N151="","",CONCATENATE('Cable Info'!N151," - ",'Cable Info'!O151))</f>
        <v/>
      </c>
      <c r="AR152" s="121" t="str">
        <f t="shared" si="60"/>
        <v/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str">
        <f>IF('Cable Info'!L152="","",CONCATENATE('Cable Info'!L152," - ",'Cable Info'!M152))</f>
        <v/>
      </c>
      <c r="AM153" s="121" t="str">
        <f t="shared" si="59"/>
        <v/>
      </c>
      <c r="AO153" s="121" t="str">
        <f>IF('Cable Info'!N152="","",CONCATENATE('Cable Info'!N152," - ",'Cable Info'!O152))</f>
        <v/>
      </c>
      <c r="AR153" s="121" t="str">
        <f t="shared" si="60"/>
        <v/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str">
        <f>IF('Cable Info'!L153="","",CONCATENATE('Cable Info'!L153," - ",'Cable Info'!M153))</f>
        <v/>
      </c>
      <c r="AM154" s="121" t="str">
        <f t="shared" si="59"/>
        <v/>
      </c>
      <c r="AO154" s="121" t="str">
        <f>IF('Cable Info'!N153="","",CONCATENATE('Cable Info'!N153," - ",'Cable Info'!O153))</f>
        <v/>
      </c>
      <c r="AR154" s="121" t="str">
        <f t="shared" si="60"/>
        <v/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str">
        <f>IF('Cable Info'!L154="","",CONCATENATE('Cable Info'!L154," - ",'Cable Info'!M154))</f>
        <v/>
      </c>
      <c r="AM155" s="121" t="str">
        <f t="shared" si="59"/>
        <v/>
      </c>
      <c r="AO155" s="121" t="str">
        <f>IF('Cable Info'!N154="","",CONCATENATE('Cable Info'!N154," - ",'Cable Info'!O154))</f>
        <v/>
      </c>
      <c r="AR155" s="121" t="str">
        <f t="shared" si="60"/>
        <v/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str">
        <f>IF('Cable Info'!L155="","",CONCATENATE('Cable Info'!L155," - ",'Cable Info'!M155))</f>
        <v/>
      </c>
      <c r="AM156" s="121" t="str">
        <f t="shared" si="59"/>
        <v/>
      </c>
      <c r="AO156" s="121" t="str">
        <f>IF('Cable Info'!N155="","",CONCATENATE('Cable Info'!N155," - ",'Cable Info'!O155))</f>
        <v/>
      </c>
      <c r="AR156" s="121" t="str">
        <f t="shared" si="60"/>
        <v/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str">
        <f>IF('Cable Info'!L156="","",CONCATENATE('Cable Info'!L156," - ",'Cable Info'!M156))</f>
        <v/>
      </c>
      <c r="AM157" s="121" t="str">
        <f t="shared" si="59"/>
        <v/>
      </c>
      <c r="AO157" s="121" t="str">
        <f>IF('Cable Info'!N156="","",CONCATENATE('Cable Info'!N156," - ",'Cable Info'!O156))</f>
        <v/>
      </c>
      <c r="AR157" s="121" t="str">
        <f t="shared" si="60"/>
        <v/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str">
        <f>IF('Cable Info'!L157="","",CONCATENATE('Cable Info'!L157," - ",'Cable Info'!M157))</f>
        <v/>
      </c>
      <c r="AM158" s="121" t="str">
        <f t="shared" si="59"/>
        <v/>
      </c>
      <c r="AO158" s="121" t="str">
        <f>IF('Cable Info'!N157="","",CONCATENATE('Cable Info'!N157," - ",'Cable Info'!O157))</f>
        <v/>
      </c>
      <c r="AR158" s="121" t="str">
        <f t="shared" si="60"/>
        <v/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str">
        <f>IF('Cable Info'!L158="","",CONCATENATE('Cable Info'!L158," - ",'Cable Info'!M158))</f>
        <v/>
      </c>
      <c r="AM159" s="121" t="str">
        <f t="shared" si="59"/>
        <v/>
      </c>
      <c r="AO159" s="121" t="str">
        <f>IF('Cable Info'!N158="","",CONCATENATE('Cable Info'!N158," - ",'Cable Info'!O158))</f>
        <v/>
      </c>
      <c r="AR159" s="121" t="str">
        <f t="shared" si="60"/>
        <v/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str">
        <f>IF('Cable Info'!L159="","",CONCATENATE('Cable Info'!L159," - ",'Cable Info'!M159))</f>
        <v/>
      </c>
      <c r="AM160" s="121" t="str">
        <f t="shared" si="59"/>
        <v/>
      </c>
      <c r="AO160" s="121" t="str">
        <f>IF('Cable Info'!N159="","",CONCATENATE('Cable Info'!N159," - ",'Cable Info'!O159))</f>
        <v/>
      </c>
      <c r="AR160" s="121" t="str">
        <f t="shared" si="60"/>
        <v/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str">
        <f>IF('Cable Info'!L160="","",CONCATENATE('Cable Info'!L160," - ",'Cable Info'!M160))</f>
        <v/>
      </c>
      <c r="AM161" s="121" t="str">
        <f t="shared" si="59"/>
        <v/>
      </c>
      <c r="AO161" s="121" t="str">
        <f>IF('Cable Info'!N160="","",CONCATENATE('Cable Info'!N160," - ",'Cable Info'!O160))</f>
        <v/>
      </c>
      <c r="AR161" s="121" t="str">
        <f t="shared" si="60"/>
        <v/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str">
        <f>IF('Cable Info'!L161="","",CONCATENATE('Cable Info'!L161," - ",'Cable Info'!M161))</f>
        <v/>
      </c>
      <c r="AM162" s="121" t="str">
        <f t="shared" si="59"/>
        <v/>
      </c>
      <c r="AO162" s="121" t="str">
        <f>IF('Cable Info'!N161="","",CONCATENATE('Cable Info'!N161," - ",'Cable Info'!O161))</f>
        <v/>
      </c>
      <c r="AR162" s="121" t="str">
        <f t="shared" si="60"/>
        <v/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str">
        <f>IF('Cable Info'!L162="","",CONCATENATE('Cable Info'!L162," - ",'Cable Info'!M162))</f>
        <v/>
      </c>
      <c r="AM163" s="121" t="str">
        <f t="shared" si="59"/>
        <v/>
      </c>
      <c r="AO163" s="121" t="str">
        <f>IF('Cable Info'!N162="","",CONCATENATE('Cable Info'!N162," - ",'Cable Info'!O162))</f>
        <v/>
      </c>
      <c r="AR163" s="121" t="str">
        <f t="shared" si="60"/>
        <v/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str">
        <f>IF('Cable Info'!L163="","",CONCATENATE('Cable Info'!L163," - ",'Cable Info'!M163))</f>
        <v/>
      </c>
      <c r="AM164" s="121" t="str">
        <f t="shared" si="59"/>
        <v/>
      </c>
      <c r="AO164" s="121" t="str">
        <f>IF('Cable Info'!N163="","",CONCATENATE('Cable Info'!N163," - ",'Cable Info'!O163))</f>
        <v/>
      </c>
      <c r="AR164" s="121" t="str">
        <f t="shared" si="60"/>
        <v/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str">
        <f>IF('Cable Info'!L164="","",CONCATENATE('Cable Info'!L164," - ",'Cable Info'!M164))</f>
        <v/>
      </c>
      <c r="AM165" s="121" t="str">
        <f t="shared" si="59"/>
        <v/>
      </c>
      <c r="AO165" s="121" t="str">
        <f>IF('Cable Info'!N164="","",CONCATENATE('Cable Info'!N164," - ",'Cable Info'!O164))</f>
        <v/>
      </c>
      <c r="AR165" s="121" t="str">
        <f t="shared" si="60"/>
        <v/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str">
        <f>IF('Cable Info'!L165="","",CONCATENATE('Cable Info'!L165," - ",'Cable Info'!M165))</f>
        <v/>
      </c>
      <c r="AM166" s="121" t="str">
        <f t="shared" si="59"/>
        <v/>
      </c>
      <c r="AO166" s="121" t="str">
        <f>IF('Cable Info'!N165="","",CONCATENATE('Cable Info'!N165," - ",'Cable Info'!O165))</f>
        <v/>
      </c>
      <c r="AR166" s="121" t="str">
        <f t="shared" si="60"/>
        <v/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str">
        <f>IF('Cable Info'!L166="","",CONCATENATE('Cable Info'!L166," - ",'Cable Info'!M166))</f>
        <v/>
      </c>
      <c r="AM167" s="121" t="str">
        <f t="shared" si="59"/>
        <v/>
      </c>
      <c r="AO167" s="121" t="str">
        <f>IF('Cable Info'!N166="","",CONCATENATE('Cable Info'!N166," - ",'Cable Info'!O166))</f>
        <v/>
      </c>
      <c r="AR167" s="121" t="str">
        <f t="shared" si="60"/>
        <v/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str">
        <f>IF('Cable Info'!L167="","",CONCATENATE('Cable Info'!L167," - ",'Cable Info'!M167))</f>
        <v/>
      </c>
      <c r="AM168" s="121" t="str">
        <f t="shared" si="59"/>
        <v/>
      </c>
      <c r="AO168" s="121" t="str">
        <f>IF('Cable Info'!N167="","",CONCATENATE('Cable Info'!N167," - ",'Cable Info'!O167))</f>
        <v/>
      </c>
      <c r="AR168" s="121" t="str">
        <f t="shared" si="60"/>
        <v/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str">
        <f>IF('Cable Info'!L168="","",CONCATENATE('Cable Info'!L168," - ",'Cable Info'!M168))</f>
        <v/>
      </c>
      <c r="AM169" s="121" t="str">
        <f t="shared" si="59"/>
        <v/>
      </c>
      <c r="AO169" s="121" t="str">
        <f>IF('Cable Info'!N168="","",CONCATENATE('Cable Info'!N168," - ",'Cable Info'!O168))</f>
        <v/>
      </c>
      <c r="AR169" s="121" t="str">
        <f t="shared" si="60"/>
        <v/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str">
        <f>IF('Cable Info'!L169="","",CONCATENATE('Cable Info'!L169," - ",'Cable Info'!M169))</f>
        <v/>
      </c>
      <c r="AM170" s="121" t="str">
        <f t="shared" si="59"/>
        <v/>
      </c>
      <c r="AO170" s="121" t="str">
        <f>IF('Cable Info'!N169="","",CONCATENATE('Cable Info'!N169," - ",'Cable Info'!O169))</f>
        <v/>
      </c>
      <c r="AR170" s="121" t="str">
        <f t="shared" si="60"/>
        <v/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str">
        <f>IF('Cable Info'!L170="","",CONCATENATE('Cable Info'!L170," - ",'Cable Info'!M170))</f>
        <v/>
      </c>
      <c r="AM171" s="121" t="str">
        <f t="shared" si="59"/>
        <v/>
      </c>
      <c r="AO171" s="121" t="str">
        <f>IF('Cable Info'!N170="","",CONCATENATE('Cable Info'!N170," - ",'Cable Info'!O170))</f>
        <v/>
      </c>
      <c r="AR171" s="121" t="str">
        <f t="shared" si="60"/>
        <v/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str">
        <f>IF('Cable Info'!L171="","",CONCATENATE('Cable Info'!L171," - ",'Cable Info'!M171))</f>
        <v/>
      </c>
      <c r="AM172" s="121" t="str">
        <f t="shared" si="59"/>
        <v/>
      </c>
      <c r="AO172" s="121" t="str">
        <f>IF('Cable Info'!N171="","",CONCATENATE('Cable Info'!N171," - ",'Cable Info'!O171))</f>
        <v/>
      </c>
      <c r="AR172" s="121" t="str">
        <f t="shared" si="60"/>
        <v/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str">
        <f>IF('Cable Info'!L172="","",CONCATENATE('Cable Info'!L172," - ",'Cable Info'!M172))</f>
        <v/>
      </c>
      <c r="AM173" s="121" t="str">
        <f t="shared" si="59"/>
        <v/>
      </c>
      <c r="AO173" s="121" t="str">
        <f>IF('Cable Info'!N172="","",CONCATENATE('Cable Info'!N172," - ",'Cable Info'!O172))</f>
        <v/>
      </c>
      <c r="AR173" s="121" t="str">
        <f t="shared" si="60"/>
        <v/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str">
        <f>IF('Cable Info'!L173="","",CONCATENATE('Cable Info'!L173," - ",'Cable Info'!M173))</f>
        <v/>
      </c>
      <c r="AM174" s="121" t="str">
        <f t="shared" si="59"/>
        <v/>
      </c>
      <c r="AO174" s="121" t="str">
        <f>IF('Cable Info'!N173="","",CONCATENATE('Cable Info'!N173," - ",'Cable Info'!O173))</f>
        <v/>
      </c>
      <c r="AR174" s="121" t="str">
        <f t="shared" si="60"/>
        <v/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str">
        <f>IF('Cable Info'!L174="","",CONCATENATE('Cable Info'!L174," - ",'Cable Info'!M174))</f>
        <v/>
      </c>
      <c r="AM175" s="121" t="str">
        <f t="shared" si="59"/>
        <v/>
      </c>
      <c r="AO175" s="121" t="str">
        <f>IF('Cable Info'!N174="","",CONCATENATE('Cable Info'!N174," - ",'Cable Info'!O174))</f>
        <v/>
      </c>
      <c r="AR175" s="121" t="str">
        <f t="shared" si="60"/>
        <v/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str">
        <f>IF('Cable Info'!L175="","",CONCATENATE('Cable Info'!L175," - ",'Cable Info'!M175))</f>
        <v/>
      </c>
      <c r="AM176" s="121" t="str">
        <f t="shared" si="59"/>
        <v/>
      </c>
      <c r="AO176" s="121" t="str">
        <f>IF('Cable Info'!N175="","",CONCATENATE('Cable Info'!N175," - ",'Cable Info'!O175))</f>
        <v/>
      </c>
      <c r="AR176" s="121" t="str">
        <f t="shared" si="60"/>
        <v/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str">
        <f>IF('Cable Info'!L176="","",CONCATENATE('Cable Info'!L176," - ",'Cable Info'!M176))</f>
        <v/>
      </c>
      <c r="AM177" s="121" t="str">
        <f t="shared" si="59"/>
        <v/>
      </c>
      <c r="AO177" s="121" t="str">
        <f>IF('Cable Info'!N176="","",CONCATENATE('Cable Info'!N176," - ",'Cable Info'!O176))</f>
        <v/>
      </c>
      <c r="AR177" s="121" t="str">
        <f t="shared" si="60"/>
        <v/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str">
        <f>IF('Cable Info'!L177="","",CONCATENATE('Cable Info'!L177," - ",'Cable Info'!M177))</f>
        <v/>
      </c>
      <c r="AM178" s="121" t="str">
        <f t="shared" si="59"/>
        <v/>
      </c>
      <c r="AO178" s="121" t="str">
        <f>IF('Cable Info'!N177="","",CONCATENATE('Cable Info'!N177," - ",'Cable Info'!O177))</f>
        <v/>
      </c>
      <c r="AR178" s="121" t="str">
        <f t="shared" si="60"/>
        <v/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str">
        <f>IF('Cable Info'!L178="","",CONCATENATE('Cable Info'!L178," - ",'Cable Info'!M178))</f>
        <v/>
      </c>
      <c r="AM179" s="121" t="str">
        <f t="shared" si="59"/>
        <v/>
      </c>
      <c r="AO179" s="121" t="str">
        <f>IF('Cable Info'!N178="","",CONCATENATE('Cable Info'!N178," - ",'Cable Info'!O178))</f>
        <v/>
      </c>
      <c r="AR179" s="121" t="str">
        <f t="shared" si="60"/>
        <v/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str">
        <f>IF('Cable Info'!L179="","",CONCATENATE('Cable Info'!L179," - ",'Cable Info'!M179))</f>
        <v/>
      </c>
      <c r="AM180" s="121" t="str">
        <f t="shared" si="59"/>
        <v/>
      </c>
      <c r="AO180" s="121" t="str">
        <f>IF('Cable Info'!N179="","",CONCATENATE('Cable Info'!N179," - ",'Cable Info'!O179))</f>
        <v/>
      </c>
      <c r="AR180" s="121" t="str">
        <f t="shared" si="60"/>
        <v/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str">
        <f>IF('Cable Info'!L180="","",CONCATENATE('Cable Info'!L180," - ",'Cable Info'!M180))</f>
        <v/>
      </c>
      <c r="AM181" s="121" t="str">
        <f t="shared" si="59"/>
        <v/>
      </c>
      <c r="AO181" s="121" t="str">
        <f>IF('Cable Info'!N180="","",CONCATENATE('Cable Info'!N180," - ",'Cable Info'!O180))</f>
        <v/>
      </c>
      <c r="AR181" s="121" t="str">
        <f t="shared" si="60"/>
        <v/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str">
        <f>IF('Cable Info'!L181="","",CONCATENATE('Cable Info'!L181," - ",'Cable Info'!M181))</f>
        <v/>
      </c>
      <c r="AM182" s="121" t="str">
        <f t="shared" si="59"/>
        <v/>
      </c>
      <c r="AO182" s="121" t="str">
        <f>IF('Cable Info'!N181="","",CONCATENATE('Cable Info'!N181," - ",'Cable Info'!O181))</f>
        <v/>
      </c>
      <c r="AR182" s="121" t="str">
        <f t="shared" si="60"/>
        <v/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str">
        <f>IF('Cable Info'!L182="","",CONCATENATE('Cable Info'!L182," - ",'Cable Info'!M182))</f>
        <v/>
      </c>
      <c r="AM183" s="121" t="str">
        <f t="shared" si="59"/>
        <v/>
      </c>
      <c r="AO183" s="121" t="str">
        <f>IF('Cable Info'!N182="","",CONCATENATE('Cable Info'!N182," - ",'Cable Info'!O182))</f>
        <v/>
      </c>
      <c r="AR183" s="121" t="str">
        <f t="shared" si="60"/>
        <v/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str">
        <f>IF('Cable Info'!L183="","",CONCATENATE('Cable Info'!L183," - ",'Cable Info'!M183))</f>
        <v/>
      </c>
      <c r="AM184" s="121" t="str">
        <f t="shared" si="59"/>
        <v/>
      </c>
      <c r="AO184" s="121" t="str">
        <f>IF('Cable Info'!N183="","",CONCATENATE('Cable Info'!N183," - ",'Cable Info'!O183))</f>
        <v/>
      </c>
      <c r="AR184" s="121" t="str">
        <f t="shared" si="60"/>
        <v/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str">
        <f>IF('Cable Info'!L184="","",CONCATENATE('Cable Info'!L184," - ",'Cable Info'!M184))</f>
        <v/>
      </c>
      <c r="AM185" s="121" t="str">
        <f t="shared" si="59"/>
        <v/>
      </c>
      <c r="AO185" s="121" t="str">
        <f>IF('Cable Info'!N184="","",CONCATENATE('Cable Info'!N184," - ",'Cable Info'!O184))</f>
        <v/>
      </c>
      <c r="AR185" s="121" t="str">
        <f t="shared" si="60"/>
        <v/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str">
        <f>IF('Cable Info'!L185="","",CONCATENATE('Cable Info'!L185," - ",'Cable Info'!M185))</f>
        <v/>
      </c>
      <c r="AM186" s="121" t="str">
        <f t="shared" si="59"/>
        <v/>
      </c>
      <c r="AO186" s="121" t="str">
        <f>IF('Cable Info'!N185="","",CONCATENATE('Cable Info'!N185," - ",'Cable Info'!O185))</f>
        <v/>
      </c>
      <c r="AR186" s="121" t="str">
        <f t="shared" si="60"/>
        <v/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str">
        <f>IF('Cable Info'!L186="","",CONCATENATE('Cable Info'!L186," - ",'Cable Info'!M186))</f>
        <v/>
      </c>
      <c r="AM187" s="121" t="str">
        <f t="shared" si="59"/>
        <v/>
      </c>
      <c r="AO187" s="121" t="str">
        <f>IF('Cable Info'!N186="","",CONCATENATE('Cable Info'!N186," - ",'Cable Info'!O186))</f>
        <v/>
      </c>
      <c r="AR187" s="121" t="str">
        <f t="shared" si="60"/>
        <v/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str">
        <f>IF('Cable Info'!L187="","",CONCATENATE('Cable Info'!L187," - ",'Cable Info'!M187))</f>
        <v/>
      </c>
      <c r="AM188" s="121" t="str">
        <f t="shared" si="59"/>
        <v/>
      </c>
      <c r="AO188" s="121" t="str">
        <f>IF('Cable Info'!N187="","",CONCATENATE('Cable Info'!N187," - ",'Cable Info'!O187))</f>
        <v/>
      </c>
      <c r="AR188" s="121" t="str">
        <f t="shared" si="60"/>
        <v/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str">
        <f>IF('Cable Info'!L188="","",CONCATENATE('Cable Info'!L188," - ",'Cable Info'!M188))</f>
        <v/>
      </c>
      <c r="AM189" s="121" t="str">
        <f t="shared" si="59"/>
        <v/>
      </c>
      <c r="AO189" s="121" t="str">
        <f>IF('Cable Info'!N188="","",CONCATENATE('Cable Info'!N188," - ",'Cable Info'!O188))</f>
        <v/>
      </c>
      <c r="AR189" s="121" t="str">
        <f t="shared" si="60"/>
        <v/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str">
        <f>IF('Cable Info'!L189="","",CONCATENATE('Cable Info'!L189," - ",'Cable Info'!M189))</f>
        <v/>
      </c>
      <c r="AM190" s="121" t="str">
        <f t="shared" si="59"/>
        <v/>
      </c>
      <c r="AO190" s="121" t="str">
        <f>IF('Cable Info'!N189="","",CONCATENATE('Cable Info'!N189," - ",'Cable Info'!O189))</f>
        <v/>
      </c>
      <c r="AR190" s="121" t="str">
        <f t="shared" si="60"/>
        <v/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str">
        <f>IF('Cable Info'!L190="","",CONCATENATE('Cable Info'!L190," - ",'Cable Info'!M190))</f>
        <v/>
      </c>
      <c r="AM191" s="121" t="str">
        <f t="shared" si="59"/>
        <v/>
      </c>
      <c r="AO191" s="121" t="str">
        <f>IF('Cable Info'!N190="","",CONCATENATE('Cable Info'!N190," - ",'Cable Info'!O190))</f>
        <v/>
      </c>
      <c r="AR191" s="121" t="str">
        <f t="shared" si="60"/>
        <v/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str">
        <f>IF('Cable Info'!L191="","",CONCATENATE('Cable Info'!L191," - ",'Cable Info'!M191))</f>
        <v/>
      </c>
      <c r="AM192" s="121" t="str">
        <f t="shared" si="59"/>
        <v/>
      </c>
      <c r="AO192" s="121" t="str">
        <f>IF('Cable Info'!N191="","",CONCATENATE('Cable Info'!N191," - ",'Cable Info'!O191))</f>
        <v/>
      </c>
      <c r="AR192" s="121" t="str">
        <f t="shared" si="60"/>
        <v/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str">
        <f>IF('Cable Info'!L192="","",CONCATENATE('Cable Info'!L192," - ",'Cable Info'!M192))</f>
        <v/>
      </c>
      <c r="AM193" s="121" t="str">
        <f t="shared" si="59"/>
        <v/>
      </c>
      <c r="AO193" s="121" t="str">
        <f>IF('Cable Info'!N192="","",CONCATENATE('Cable Info'!N192," - ",'Cable Info'!O192))</f>
        <v/>
      </c>
      <c r="AR193" s="121" t="str">
        <f t="shared" si="60"/>
        <v/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str">
        <f>IF('Cable Info'!L193="","",CONCATENATE('Cable Info'!L193," - ",'Cable Info'!M193))</f>
        <v/>
      </c>
      <c r="AM194" s="121" t="str">
        <f t="shared" si="59"/>
        <v/>
      </c>
      <c r="AO194" s="121" t="str">
        <f>IF('Cable Info'!N193="","",CONCATENATE('Cable Info'!N193," - ",'Cable Info'!O193))</f>
        <v/>
      </c>
      <c r="AR194" s="121" t="str">
        <f t="shared" si="60"/>
        <v/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str">
        <f>IF('Cable Info'!L194="","",CONCATENATE('Cable Info'!L194," - ",'Cable Info'!M194))</f>
        <v/>
      </c>
      <c r="AM195" s="121" t="str">
        <f t="shared" si="59"/>
        <v/>
      </c>
      <c r="AO195" s="121" t="str">
        <f>IF('Cable Info'!N194="","",CONCATENATE('Cable Info'!N194," - ",'Cable Info'!O194))</f>
        <v/>
      </c>
      <c r="AR195" s="121" t="str">
        <f t="shared" si="60"/>
        <v/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str">
        <f>IF('Cable Info'!L195="","",CONCATENATE('Cable Info'!L195," - ",'Cable Info'!M195))</f>
        <v/>
      </c>
      <c r="AM196" s="121" t="str">
        <f t="shared" si="59"/>
        <v/>
      </c>
      <c r="AO196" s="121" t="str">
        <f>IF('Cable Info'!N195="","",CONCATENATE('Cable Info'!N195," - ",'Cable Info'!O195))</f>
        <v/>
      </c>
      <c r="AR196" s="121" t="str">
        <f t="shared" si="60"/>
        <v/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str">
        <f>IF('Cable Info'!L196="","",CONCATENATE('Cable Info'!L196," - ",'Cable Info'!M196))</f>
        <v/>
      </c>
      <c r="AM197" s="121" t="str">
        <f t="shared" si="59"/>
        <v/>
      </c>
      <c r="AO197" s="121" t="str">
        <f>IF('Cable Info'!N196="","",CONCATENATE('Cable Info'!N196," - ",'Cable Info'!O196))</f>
        <v/>
      </c>
      <c r="AR197" s="121" t="str">
        <f t="shared" si="60"/>
        <v/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str">
        <f>IF('Cable Info'!L197="","",CONCATENATE('Cable Info'!L197," - ",'Cable Info'!M197))</f>
        <v/>
      </c>
      <c r="AM198" s="121" t="str">
        <f t="shared" si="59"/>
        <v/>
      </c>
      <c r="AO198" s="121" t="str">
        <f>IF('Cable Info'!N197="","",CONCATENATE('Cable Info'!N197," - ",'Cable Info'!O197))</f>
        <v/>
      </c>
      <c r="AR198" s="121" t="str">
        <f t="shared" si="60"/>
        <v/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str">
        <f>IF('Cable Info'!L198="","",CONCATENATE('Cable Info'!L198," - ",'Cable Info'!M198))</f>
        <v/>
      </c>
      <c r="AM199" s="121" t="str">
        <f t="shared" si="59"/>
        <v/>
      </c>
      <c r="AO199" s="121" t="str">
        <f>IF('Cable Info'!N198="","",CONCATENATE('Cable Info'!N198," - ",'Cable Info'!O198))</f>
        <v/>
      </c>
      <c r="AR199" s="121" t="str">
        <f t="shared" si="60"/>
        <v/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str">
        <f>IF('Cable Info'!L199="","",CONCATENATE('Cable Info'!L199," - ",'Cable Info'!M199))</f>
        <v/>
      </c>
      <c r="AM200" s="121" t="str">
        <f t="shared" si="59"/>
        <v/>
      </c>
      <c r="AO200" s="121" t="str">
        <f>IF('Cable Info'!N199="","",CONCATENATE('Cable Info'!N199," - ",'Cable Info'!O199))</f>
        <v/>
      </c>
      <c r="AR200" s="121" t="str">
        <f t="shared" si="60"/>
        <v/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str">
        <f>IF('Cable Info'!L200="","",CONCATENATE('Cable Info'!L200," - ",'Cable Info'!M200))</f>
        <v/>
      </c>
      <c r="AM201" s="121" t="str">
        <f t="shared" si="59"/>
        <v/>
      </c>
      <c r="AO201" s="121" t="str">
        <f>IF('Cable Info'!N200="","",CONCATENATE('Cable Info'!N200," - ",'Cable Info'!O200))</f>
        <v/>
      </c>
      <c r="AR201" s="121" t="str">
        <f t="shared" si="60"/>
        <v/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str">
        <f>IF('Cable Info'!L201="","",CONCATENATE('Cable Info'!L201," - ",'Cable Info'!M201))</f>
        <v/>
      </c>
      <c r="AM202" s="121" t="str">
        <f t="shared" si="59"/>
        <v/>
      </c>
      <c r="AO202" s="121" t="str">
        <f>IF('Cable Info'!N201="","",CONCATENATE('Cable Info'!N201," - ",'Cable Info'!O201))</f>
        <v/>
      </c>
      <c r="AR202" s="121" t="str">
        <f t="shared" si="60"/>
        <v/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str">
        <f>IF('Cable Info'!L202="","",CONCATENATE('Cable Info'!L202," - ",'Cable Info'!M202))</f>
        <v/>
      </c>
      <c r="AM203" s="121" t="str">
        <f t="shared" si="59"/>
        <v/>
      </c>
      <c r="AO203" s="121" t="str">
        <f>IF('Cable Info'!N202="","",CONCATENATE('Cable Info'!N202," - ",'Cable Info'!O202))</f>
        <v/>
      </c>
      <c r="AR203" s="121" t="str">
        <f t="shared" si="60"/>
        <v/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str">
        <f>IF('Cable Info'!L203="","",CONCATENATE('Cable Info'!L203," - ",'Cable Info'!M203))</f>
        <v/>
      </c>
      <c r="AM204" s="121" t="str">
        <f t="shared" si="59"/>
        <v/>
      </c>
      <c r="AO204" s="121" t="str">
        <f>IF('Cable Info'!N203="","",CONCATENATE('Cable Info'!N203," - ",'Cable Info'!O203))</f>
        <v/>
      </c>
      <c r="AR204" s="121" t="str">
        <f t="shared" si="60"/>
        <v/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str">
        <f>IF('Cable Info'!L204="","",CONCATENATE('Cable Info'!L204," - ",'Cable Info'!M204))</f>
        <v/>
      </c>
      <c r="AM205" s="121" t="str">
        <f t="shared" ref="AM205:AM268" si="71">IF(AK205="",AJ205,CONCATENATE(AJ205,"  &lt;=&gt; ",AK205," ",AL205))</f>
        <v/>
      </c>
      <c r="AO205" s="121" t="str">
        <f>IF('Cable Info'!N204="","",CONCATENATE('Cable Info'!N204," - ",'Cable Info'!O204))</f>
        <v/>
      </c>
      <c r="AR205" s="121" t="str">
        <f t="shared" ref="AR205:AR268" si="72">IF(AP205="",AO205,CONCATENATE(AO205,"  &lt;=&gt; ",AP205," ",AQ205))</f>
        <v/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str">
        <f>IF('Cable Info'!L205="","",CONCATENATE('Cable Info'!L205," - ",'Cable Info'!M205))</f>
        <v/>
      </c>
      <c r="AM206" s="121" t="str">
        <f t="shared" si="71"/>
        <v/>
      </c>
      <c r="AO206" s="121" t="str">
        <f>IF('Cable Info'!N205="","",CONCATENATE('Cable Info'!N205," - ",'Cable Info'!O205))</f>
        <v/>
      </c>
      <c r="AR206" s="121" t="str">
        <f t="shared" si="72"/>
        <v/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str">
        <f>IF('Cable Info'!L206="","",CONCATENATE('Cable Info'!L206," - ",'Cable Info'!M206))</f>
        <v/>
      </c>
      <c r="AM207" s="121" t="str">
        <f t="shared" si="71"/>
        <v/>
      </c>
      <c r="AO207" s="121" t="str">
        <f>IF('Cable Info'!N206="","",CONCATENATE('Cable Info'!N206," - ",'Cable Info'!O206))</f>
        <v/>
      </c>
      <c r="AR207" s="121" t="str">
        <f t="shared" si="72"/>
        <v/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str">
        <f>IF('Cable Info'!L207="","",CONCATENATE('Cable Info'!L207," - ",'Cable Info'!M207))</f>
        <v/>
      </c>
      <c r="AM208" s="121" t="str">
        <f t="shared" si="71"/>
        <v/>
      </c>
      <c r="AO208" s="121" t="str">
        <f>IF('Cable Info'!N207="","",CONCATENATE('Cable Info'!N207," - ",'Cable Info'!O207))</f>
        <v/>
      </c>
      <c r="AR208" s="121" t="str">
        <f t="shared" si="72"/>
        <v/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str">
        <f>IF('Cable Info'!L208="","",CONCATENATE('Cable Info'!L208," - ",'Cable Info'!M208))</f>
        <v/>
      </c>
      <c r="AM209" s="121" t="str">
        <f t="shared" si="71"/>
        <v/>
      </c>
      <c r="AO209" s="121" t="str">
        <f>IF('Cable Info'!N208="","",CONCATENATE('Cable Info'!N208," - ",'Cable Info'!O208))</f>
        <v/>
      </c>
      <c r="AR209" s="121" t="str">
        <f t="shared" si="72"/>
        <v/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str">
        <f>IF('Cable Info'!L209="","",CONCATENATE('Cable Info'!L209," - ",'Cable Info'!M209))</f>
        <v/>
      </c>
      <c r="AM210" s="121" t="str">
        <f t="shared" si="71"/>
        <v/>
      </c>
      <c r="AO210" s="121" t="str">
        <f>IF('Cable Info'!N209="","",CONCATENATE('Cable Info'!N209," - ",'Cable Info'!O209))</f>
        <v/>
      </c>
      <c r="AR210" s="121" t="str">
        <f t="shared" si="72"/>
        <v/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str">
        <f>IF('Cable Info'!L210="","",CONCATENATE('Cable Info'!L210," - ",'Cable Info'!M210))</f>
        <v/>
      </c>
      <c r="AM211" s="121" t="str">
        <f t="shared" si="71"/>
        <v/>
      </c>
      <c r="AO211" s="121" t="str">
        <f>IF('Cable Info'!N210="","",CONCATENATE('Cable Info'!N210," - ",'Cable Info'!O210))</f>
        <v/>
      </c>
      <c r="AR211" s="121" t="str">
        <f t="shared" si="72"/>
        <v/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str">
        <f>IF('Cable Info'!L211="","",CONCATENATE('Cable Info'!L211," - ",'Cable Info'!M211))</f>
        <v/>
      </c>
      <c r="AM212" s="121" t="str">
        <f t="shared" si="71"/>
        <v/>
      </c>
      <c r="AO212" s="121" t="str">
        <f>IF('Cable Info'!N211="","",CONCATENATE('Cable Info'!N211," - ",'Cable Info'!O211))</f>
        <v/>
      </c>
      <c r="AR212" s="121" t="str">
        <f t="shared" si="72"/>
        <v/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str">
        <f>IF('Cable Info'!L212="","",CONCATENATE('Cable Info'!L212," - ",'Cable Info'!M212))</f>
        <v/>
      </c>
      <c r="AM213" s="121" t="str">
        <f t="shared" si="71"/>
        <v/>
      </c>
      <c r="AO213" s="121" t="str">
        <f>IF('Cable Info'!N212="","",CONCATENATE('Cable Info'!N212," - ",'Cable Info'!O212))</f>
        <v/>
      </c>
      <c r="AR213" s="121" t="str">
        <f t="shared" si="72"/>
        <v/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str">
        <f>IF('Cable Info'!L213="","",CONCATENATE('Cable Info'!L213," - ",'Cable Info'!M213))</f>
        <v/>
      </c>
      <c r="AM214" s="121" t="str">
        <f t="shared" si="71"/>
        <v/>
      </c>
      <c r="AO214" s="121" t="str">
        <f>IF('Cable Info'!N213="","",CONCATENATE('Cable Info'!N213," - ",'Cable Info'!O213))</f>
        <v/>
      </c>
      <c r="AR214" s="121" t="str">
        <f t="shared" si="72"/>
        <v/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str">
        <f>IF('Cable Info'!L214="","",CONCATENATE('Cable Info'!L214," - ",'Cable Info'!M214))</f>
        <v/>
      </c>
      <c r="AM215" s="121" t="str">
        <f t="shared" si="71"/>
        <v/>
      </c>
      <c r="AO215" s="121" t="str">
        <f>IF('Cable Info'!N214="","",CONCATENATE('Cable Info'!N214," - ",'Cable Info'!O214))</f>
        <v/>
      </c>
      <c r="AR215" s="121" t="str">
        <f t="shared" si="72"/>
        <v/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str">
        <f>IF('Cable Info'!L215="","",CONCATENATE('Cable Info'!L215," - ",'Cable Info'!M215))</f>
        <v/>
      </c>
      <c r="AM216" s="121" t="str">
        <f t="shared" si="71"/>
        <v/>
      </c>
      <c r="AO216" s="121" t="str">
        <f>IF('Cable Info'!N215="","",CONCATENATE('Cable Info'!N215," - ",'Cable Info'!O215))</f>
        <v/>
      </c>
      <c r="AR216" s="121" t="str">
        <f t="shared" si="72"/>
        <v/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str">
        <f>IF('Cable Info'!L216="","",CONCATENATE('Cable Info'!L216," - ",'Cable Info'!M216))</f>
        <v/>
      </c>
      <c r="AM217" s="121" t="str">
        <f t="shared" si="71"/>
        <v/>
      </c>
      <c r="AO217" s="121" t="str">
        <f>IF('Cable Info'!N216="","",CONCATENATE('Cable Info'!N216," - ",'Cable Info'!O216))</f>
        <v/>
      </c>
      <c r="AR217" s="121" t="str">
        <f t="shared" si="72"/>
        <v/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str">
        <f>IF('Cable Info'!L217="","",CONCATENATE('Cable Info'!L217," - ",'Cable Info'!M217))</f>
        <v/>
      </c>
      <c r="AM218" s="121" t="str">
        <f t="shared" si="71"/>
        <v/>
      </c>
      <c r="AO218" s="121" t="str">
        <f>IF('Cable Info'!N217="","",CONCATENATE('Cable Info'!N217," - ",'Cable Info'!O217))</f>
        <v/>
      </c>
      <c r="AR218" s="121" t="str">
        <f t="shared" si="72"/>
        <v/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str">
        <f>IF('Cable Info'!L218="","",CONCATENATE('Cable Info'!L218," - ",'Cable Info'!M218))</f>
        <v/>
      </c>
      <c r="AM219" s="121" t="str">
        <f t="shared" si="71"/>
        <v/>
      </c>
      <c r="AO219" s="121" t="str">
        <f>IF('Cable Info'!N218="","",CONCATENATE('Cable Info'!N218," - ",'Cable Info'!O218))</f>
        <v/>
      </c>
      <c r="AR219" s="121" t="str">
        <f t="shared" si="72"/>
        <v/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str">
        <f>IF('Cable Info'!L219="","",CONCATENATE('Cable Info'!L219," - ",'Cable Info'!M219))</f>
        <v/>
      </c>
      <c r="AM220" s="121" t="str">
        <f t="shared" si="71"/>
        <v/>
      </c>
      <c r="AO220" s="121" t="str">
        <f>IF('Cable Info'!N219="","",CONCATENATE('Cable Info'!N219," - ",'Cable Info'!O219))</f>
        <v/>
      </c>
      <c r="AR220" s="121" t="str">
        <f t="shared" si="72"/>
        <v/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str">
        <f>IF('Cable Info'!L220="","",CONCATENATE('Cable Info'!L220," - ",'Cable Info'!M220))</f>
        <v/>
      </c>
      <c r="AM221" s="121" t="str">
        <f t="shared" si="71"/>
        <v/>
      </c>
      <c r="AO221" s="121" t="str">
        <f>IF('Cable Info'!N220="","",CONCATENATE('Cable Info'!N220," - ",'Cable Info'!O220))</f>
        <v/>
      </c>
      <c r="AR221" s="121" t="str">
        <f t="shared" si="72"/>
        <v/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str">
        <f>IF('Cable Info'!L221="","",CONCATENATE('Cable Info'!L221," - ",'Cable Info'!M221))</f>
        <v/>
      </c>
      <c r="AM222" s="121" t="str">
        <f t="shared" si="71"/>
        <v/>
      </c>
      <c r="AO222" s="121" t="str">
        <f>IF('Cable Info'!N221="","",CONCATENATE('Cable Info'!N221," - ",'Cable Info'!O221))</f>
        <v/>
      </c>
      <c r="AR222" s="121" t="str">
        <f t="shared" si="72"/>
        <v/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str">
        <f>IF('Cable Info'!L222="","",CONCATENATE('Cable Info'!L222," - ",'Cable Info'!M222))</f>
        <v/>
      </c>
      <c r="AM223" s="121" t="str">
        <f t="shared" si="71"/>
        <v/>
      </c>
      <c r="AO223" s="121" t="str">
        <f>IF('Cable Info'!N222="","",CONCATENATE('Cable Info'!N222," - ",'Cable Info'!O222))</f>
        <v/>
      </c>
      <c r="AR223" s="121" t="str">
        <f t="shared" si="72"/>
        <v/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str">
        <f>IF('Cable Info'!L223="","",CONCATENATE('Cable Info'!L223," - ",'Cable Info'!M223))</f>
        <v/>
      </c>
      <c r="AM224" s="121" t="str">
        <f t="shared" si="71"/>
        <v/>
      </c>
      <c r="AO224" s="121" t="str">
        <f>IF('Cable Info'!N223="","",CONCATENATE('Cable Info'!N223," - ",'Cable Info'!O223))</f>
        <v/>
      </c>
      <c r="AR224" s="121" t="str">
        <f t="shared" si="72"/>
        <v/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str">
        <f>IF('Cable Info'!L224="","",CONCATENATE('Cable Info'!L224," - ",'Cable Info'!M224))</f>
        <v/>
      </c>
      <c r="AM225" s="121" t="str">
        <f t="shared" si="71"/>
        <v/>
      </c>
      <c r="AO225" s="121" t="str">
        <f>IF('Cable Info'!N224="","",CONCATENATE('Cable Info'!N224," - ",'Cable Info'!O224))</f>
        <v/>
      </c>
      <c r="AR225" s="121" t="str">
        <f t="shared" si="72"/>
        <v/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str">
        <f>IF('Cable Info'!L225="","",CONCATENATE('Cable Info'!L225," - ",'Cable Info'!M225))</f>
        <v/>
      </c>
      <c r="AM226" s="121" t="str">
        <f t="shared" si="71"/>
        <v/>
      </c>
      <c r="AO226" s="121" t="str">
        <f>IF('Cable Info'!N225="","",CONCATENATE('Cable Info'!N225," - ",'Cable Info'!O225))</f>
        <v/>
      </c>
      <c r="AR226" s="121" t="str">
        <f t="shared" si="72"/>
        <v/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str">
        <f>IF('Cable Info'!L226="","",CONCATENATE('Cable Info'!L226," - ",'Cable Info'!M226))</f>
        <v/>
      </c>
      <c r="AM227" s="121" t="str">
        <f t="shared" si="71"/>
        <v/>
      </c>
      <c r="AO227" s="121" t="str">
        <f>IF('Cable Info'!N226="","",CONCATENATE('Cable Info'!N226," - ",'Cable Info'!O226))</f>
        <v/>
      </c>
      <c r="AR227" s="121" t="str">
        <f t="shared" si="72"/>
        <v/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str">
        <f>IF('Cable Info'!L227="","",CONCATENATE('Cable Info'!L227," - ",'Cable Info'!M227))</f>
        <v/>
      </c>
      <c r="AM228" s="121" t="str">
        <f t="shared" si="71"/>
        <v/>
      </c>
      <c r="AO228" s="121" t="str">
        <f>IF('Cable Info'!N227="","",CONCATENATE('Cable Info'!N227," - ",'Cable Info'!O227))</f>
        <v/>
      </c>
      <c r="AR228" s="121" t="str">
        <f t="shared" si="72"/>
        <v/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str">
        <f>IF('Cable Info'!L228="","",CONCATENATE('Cable Info'!L228," - ",'Cable Info'!M228))</f>
        <v/>
      </c>
      <c r="AM229" s="121" t="str">
        <f t="shared" si="71"/>
        <v/>
      </c>
      <c r="AO229" s="121" t="str">
        <f>IF('Cable Info'!N228="","",CONCATENATE('Cable Info'!N228," - ",'Cable Info'!O228))</f>
        <v/>
      </c>
      <c r="AR229" s="121" t="str">
        <f t="shared" si="72"/>
        <v/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str">
        <f>IF('Cable Info'!L229="","",CONCATENATE('Cable Info'!L229," - ",'Cable Info'!M229))</f>
        <v/>
      </c>
      <c r="AM230" s="121" t="str">
        <f t="shared" si="71"/>
        <v/>
      </c>
      <c r="AO230" s="121" t="str">
        <f>IF('Cable Info'!N229="","",CONCATENATE('Cable Info'!N229," - ",'Cable Info'!O229))</f>
        <v/>
      </c>
      <c r="AR230" s="121" t="str">
        <f t="shared" si="72"/>
        <v/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str">
        <f>IF('Cable Info'!L230="","",CONCATENATE('Cable Info'!L230," - ",'Cable Info'!M230))</f>
        <v/>
      </c>
      <c r="AM231" s="121" t="str">
        <f t="shared" si="71"/>
        <v/>
      </c>
      <c r="AO231" s="121" t="str">
        <f>IF('Cable Info'!N230="","",CONCATENATE('Cable Info'!N230," - ",'Cable Info'!O230))</f>
        <v/>
      </c>
      <c r="AR231" s="121" t="str">
        <f t="shared" si="72"/>
        <v/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str">
        <f>IF('Cable Info'!L231="","",CONCATENATE('Cable Info'!L231," - ",'Cable Info'!M231))</f>
        <v/>
      </c>
      <c r="AM232" s="121" t="str">
        <f t="shared" si="71"/>
        <v/>
      </c>
      <c r="AO232" s="121" t="str">
        <f>IF('Cable Info'!N231="","",CONCATENATE('Cable Info'!N231," - ",'Cable Info'!O231))</f>
        <v/>
      </c>
      <c r="AR232" s="121" t="str">
        <f t="shared" si="72"/>
        <v/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str">
        <f>IF('Cable Info'!L232="","",CONCATENATE('Cable Info'!L232," - ",'Cable Info'!M232))</f>
        <v/>
      </c>
      <c r="AM233" s="121" t="str">
        <f t="shared" si="71"/>
        <v/>
      </c>
      <c r="AO233" s="121" t="str">
        <f>IF('Cable Info'!N232="","",CONCATENATE('Cable Info'!N232," - ",'Cable Info'!O232))</f>
        <v/>
      </c>
      <c r="AR233" s="121" t="str">
        <f t="shared" si="72"/>
        <v/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str">
        <f>IF('Cable Info'!L233="","",CONCATENATE('Cable Info'!L233," - ",'Cable Info'!M233))</f>
        <v/>
      </c>
      <c r="AM234" s="121" t="str">
        <f t="shared" si="71"/>
        <v/>
      </c>
      <c r="AO234" s="121" t="str">
        <f>IF('Cable Info'!N233="","",CONCATENATE('Cable Info'!N233," - ",'Cable Info'!O233))</f>
        <v/>
      </c>
      <c r="AR234" s="121" t="str">
        <f t="shared" si="72"/>
        <v/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str">
        <f>IF('Cable Info'!L234="","",CONCATENATE('Cable Info'!L234," - ",'Cable Info'!M234))</f>
        <v/>
      </c>
      <c r="AM235" s="121" t="str">
        <f t="shared" si="71"/>
        <v/>
      </c>
      <c r="AO235" s="121" t="str">
        <f>IF('Cable Info'!N234="","",CONCATENATE('Cable Info'!N234," - ",'Cable Info'!O234))</f>
        <v/>
      </c>
      <c r="AR235" s="121" t="str">
        <f t="shared" si="72"/>
        <v/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str">
        <f>IF('Cable Info'!L235="","",CONCATENATE('Cable Info'!L235," - ",'Cable Info'!M235))</f>
        <v/>
      </c>
      <c r="AM236" s="121" t="str">
        <f t="shared" si="71"/>
        <v/>
      </c>
      <c r="AO236" s="121" t="str">
        <f>IF('Cable Info'!N235="","",CONCATENATE('Cable Info'!N235," - ",'Cable Info'!O235))</f>
        <v/>
      </c>
      <c r="AR236" s="121" t="str">
        <f t="shared" si="72"/>
        <v/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str">
        <f>IF('Cable Info'!L236="","",CONCATENATE('Cable Info'!L236," - ",'Cable Info'!M236))</f>
        <v/>
      </c>
      <c r="AM237" s="121" t="str">
        <f t="shared" si="71"/>
        <v/>
      </c>
      <c r="AO237" s="121" t="str">
        <f>IF('Cable Info'!N236="","",CONCATENATE('Cable Info'!N236," - ",'Cable Info'!O236))</f>
        <v/>
      </c>
      <c r="AR237" s="121" t="str">
        <f t="shared" si="72"/>
        <v/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str">
        <f>IF('Cable Info'!L237="","",CONCATENATE('Cable Info'!L237," - ",'Cable Info'!M237))</f>
        <v/>
      </c>
      <c r="AM238" s="121" t="str">
        <f t="shared" si="71"/>
        <v/>
      </c>
      <c r="AO238" s="121" t="str">
        <f>IF('Cable Info'!N237="","",CONCATENATE('Cable Info'!N237," - ",'Cable Info'!O237))</f>
        <v/>
      </c>
      <c r="AR238" s="121" t="str">
        <f t="shared" si="72"/>
        <v/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str">
        <f>IF('Cable Info'!L238="","",CONCATENATE('Cable Info'!L238," - ",'Cable Info'!M238))</f>
        <v/>
      </c>
      <c r="AM239" s="121" t="str">
        <f t="shared" si="71"/>
        <v/>
      </c>
      <c r="AO239" s="121" t="str">
        <f>IF('Cable Info'!N238="","",CONCATENATE('Cable Info'!N238," - ",'Cable Info'!O238))</f>
        <v/>
      </c>
      <c r="AR239" s="121" t="str">
        <f t="shared" si="72"/>
        <v/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str">
        <f>IF('Cable Info'!L239="","",CONCATENATE('Cable Info'!L239," - ",'Cable Info'!M239))</f>
        <v/>
      </c>
      <c r="AM240" s="121" t="str">
        <f t="shared" si="71"/>
        <v/>
      </c>
      <c r="AO240" s="121" t="str">
        <f>IF('Cable Info'!N239="","",CONCATENATE('Cable Info'!N239," - ",'Cable Info'!O239))</f>
        <v/>
      </c>
      <c r="AR240" s="121" t="str">
        <f t="shared" si="72"/>
        <v/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str">
        <f>IF('Cable Info'!L240="","",CONCATENATE('Cable Info'!L240," - ",'Cable Info'!M240))</f>
        <v/>
      </c>
      <c r="AM241" s="121" t="str">
        <f t="shared" si="71"/>
        <v/>
      </c>
      <c r="AO241" s="121" t="str">
        <f>IF('Cable Info'!N240="","",CONCATENATE('Cable Info'!N240," - ",'Cable Info'!O240))</f>
        <v/>
      </c>
      <c r="AR241" s="121" t="str">
        <f t="shared" si="72"/>
        <v/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str">
        <f>IF('Cable Info'!L241="","",CONCATENATE('Cable Info'!L241," - ",'Cable Info'!M241))</f>
        <v/>
      </c>
      <c r="AM242" s="121" t="str">
        <f t="shared" si="71"/>
        <v/>
      </c>
      <c r="AO242" s="121" t="str">
        <f>IF('Cable Info'!N241="","",CONCATENATE('Cable Info'!N241," - ",'Cable Info'!O241))</f>
        <v/>
      </c>
      <c r="AR242" s="121" t="str">
        <f t="shared" si="72"/>
        <v/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str">
        <f>IF('Cable Info'!L242="","",CONCATENATE('Cable Info'!L242," - ",'Cable Info'!M242))</f>
        <v/>
      </c>
      <c r="AM243" s="121" t="str">
        <f t="shared" si="71"/>
        <v/>
      </c>
      <c r="AO243" s="121" t="str">
        <f>IF('Cable Info'!N242="","",CONCATENATE('Cable Info'!N242," - ",'Cable Info'!O242))</f>
        <v/>
      </c>
      <c r="AR243" s="121" t="str">
        <f t="shared" si="72"/>
        <v/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str">
        <f>IF('Cable Info'!L243="","",CONCATENATE('Cable Info'!L243," - ",'Cable Info'!M243))</f>
        <v/>
      </c>
      <c r="AM244" s="121" t="str">
        <f t="shared" si="71"/>
        <v/>
      </c>
      <c r="AO244" s="121" t="str">
        <f>IF('Cable Info'!N243="","",CONCATENATE('Cable Info'!N243," - ",'Cable Info'!O243))</f>
        <v/>
      </c>
      <c r="AR244" s="121" t="str">
        <f t="shared" si="72"/>
        <v/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str">
        <f>IF('Cable Info'!L244="","",CONCATENATE('Cable Info'!L244," - ",'Cable Info'!M244))</f>
        <v/>
      </c>
      <c r="AM245" s="121" t="str">
        <f t="shared" si="71"/>
        <v/>
      </c>
      <c r="AO245" s="121" t="str">
        <f>IF('Cable Info'!N244="","",CONCATENATE('Cable Info'!N244," - ",'Cable Info'!O244))</f>
        <v/>
      </c>
      <c r="AR245" s="121" t="str">
        <f t="shared" si="72"/>
        <v/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str">
        <f>IF('Cable Info'!L245="","",CONCATENATE('Cable Info'!L245," - ",'Cable Info'!M245))</f>
        <v/>
      </c>
      <c r="AM246" s="121" t="str">
        <f t="shared" si="71"/>
        <v/>
      </c>
      <c r="AO246" s="121" t="str">
        <f>IF('Cable Info'!N245="","",CONCATENATE('Cable Info'!N245," - ",'Cable Info'!O245))</f>
        <v/>
      </c>
      <c r="AR246" s="121" t="str">
        <f t="shared" si="72"/>
        <v/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str">
        <f>IF('Cable Info'!L246="","",CONCATENATE('Cable Info'!L246," - ",'Cable Info'!M246))</f>
        <v/>
      </c>
      <c r="AM247" s="121" t="str">
        <f t="shared" si="71"/>
        <v/>
      </c>
      <c r="AO247" s="121" t="str">
        <f>IF('Cable Info'!N246="","",CONCATENATE('Cable Info'!N246," - ",'Cable Info'!O246))</f>
        <v/>
      </c>
      <c r="AR247" s="121" t="str">
        <f t="shared" si="72"/>
        <v/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str">
        <f>IF('Cable Info'!L247="","",CONCATENATE('Cable Info'!L247," - ",'Cable Info'!M247))</f>
        <v/>
      </c>
      <c r="AM248" s="121" t="str">
        <f t="shared" si="71"/>
        <v/>
      </c>
      <c r="AO248" s="121" t="str">
        <f>IF('Cable Info'!N247="","",CONCATENATE('Cable Info'!N247," - ",'Cable Info'!O247))</f>
        <v/>
      </c>
      <c r="AR248" s="121" t="str">
        <f t="shared" si="72"/>
        <v/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str">
        <f>IF('Cable Info'!L248="","",CONCATENATE('Cable Info'!L248," - ",'Cable Info'!M248))</f>
        <v/>
      </c>
      <c r="AM249" s="121" t="str">
        <f t="shared" si="71"/>
        <v/>
      </c>
      <c r="AO249" s="121" t="str">
        <f>IF('Cable Info'!N248="","",CONCATENATE('Cable Info'!N248," - ",'Cable Info'!O248))</f>
        <v/>
      </c>
      <c r="AR249" s="121" t="str">
        <f t="shared" si="72"/>
        <v/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str">
        <f>IF('Cable Info'!L249="","",CONCATENATE('Cable Info'!L249," - ",'Cable Info'!M249))</f>
        <v/>
      </c>
      <c r="AM250" s="121" t="str">
        <f t="shared" si="71"/>
        <v/>
      </c>
      <c r="AO250" s="121" t="str">
        <f>IF('Cable Info'!N249="","",CONCATENATE('Cable Info'!N249," - ",'Cable Info'!O249))</f>
        <v/>
      </c>
      <c r="AR250" s="121" t="str">
        <f t="shared" si="72"/>
        <v/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str">
        <f>IF('Cable Info'!L250="","",CONCATENATE('Cable Info'!L250," - ",'Cable Info'!M250))</f>
        <v/>
      </c>
      <c r="AM251" s="121" t="str">
        <f t="shared" si="71"/>
        <v/>
      </c>
      <c r="AO251" s="121" t="str">
        <f>IF('Cable Info'!N250="","",CONCATENATE('Cable Info'!N250," - ",'Cable Info'!O250))</f>
        <v/>
      </c>
      <c r="AR251" s="121" t="str">
        <f t="shared" si="72"/>
        <v/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str">
        <f>IF('Cable Info'!L251="","",CONCATENATE('Cable Info'!L251," - ",'Cable Info'!M251))</f>
        <v/>
      </c>
      <c r="AM252" s="121" t="str">
        <f t="shared" si="71"/>
        <v/>
      </c>
      <c r="AO252" s="121" t="str">
        <f>IF('Cable Info'!N251="","",CONCATENATE('Cable Info'!N251," - ",'Cable Info'!O251))</f>
        <v/>
      </c>
      <c r="AR252" s="121" t="str">
        <f t="shared" si="72"/>
        <v/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str">
        <f>IF('Cable Info'!L252="","",CONCATENATE('Cable Info'!L252," - ",'Cable Info'!M252))</f>
        <v/>
      </c>
      <c r="AM253" s="121" t="str">
        <f t="shared" si="71"/>
        <v/>
      </c>
      <c r="AO253" s="121" t="str">
        <f>IF('Cable Info'!N252="","",CONCATENATE('Cable Info'!N252," - ",'Cable Info'!O252))</f>
        <v/>
      </c>
      <c r="AR253" s="121" t="str">
        <f t="shared" si="72"/>
        <v/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str">
        <f>IF('Cable Info'!L253="","",CONCATENATE('Cable Info'!L253," - ",'Cable Info'!M253))</f>
        <v/>
      </c>
      <c r="AM254" s="121" t="str">
        <f t="shared" si="71"/>
        <v/>
      </c>
      <c r="AO254" s="121" t="str">
        <f>IF('Cable Info'!N253="","",CONCATENATE('Cable Info'!N253," - ",'Cable Info'!O253))</f>
        <v/>
      </c>
      <c r="AR254" s="121" t="str">
        <f t="shared" si="72"/>
        <v/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str">
        <f>IF('Cable Info'!L254="","",CONCATENATE('Cable Info'!L254," - ",'Cable Info'!M254))</f>
        <v/>
      </c>
      <c r="AM255" s="121" t="str">
        <f t="shared" si="71"/>
        <v/>
      </c>
      <c r="AO255" s="121" t="str">
        <f>IF('Cable Info'!N254="","",CONCATENATE('Cable Info'!N254," - ",'Cable Info'!O254))</f>
        <v/>
      </c>
      <c r="AR255" s="121" t="str">
        <f t="shared" si="72"/>
        <v/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str">
        <f>IF('Cable Info'!L255="","",CONCATENATE('Cable Info'!L255," - ",'Cable Info'!M255))</f>
        <v/>
      </c>
      <c r="AM256" s="121" t="str">
        <f t="shared" si="71"/>
        <v/>
      </c>
      <c r="AO256" s="121" t="str">
        <f>IF('Cable Info'!N255="","",CONCATENATE('Cable Info'!N255," - ",'Cable Info'!O255))</f>
        <v/>
      </c>
      <c r="AR256" s="121" t="str">
        <f t="shared" si="72"/>
        <v/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str">
        <f>IF('Cable Info'!L256="","",CONCATENATE('Cable Info'!L256," - ",'Cable Info'!M256))</f>
        <v/>
      </c>
      <c r="AM257" s="121" t="str">
        <f t="shared" si="71"/>
        <v/>
      </c>
      <c r="AO257" s="121" t="str">
        <f>IF('Cable Info'!N256="","",CONCATENATE('Cable Info'!N256," - ",'Cable Info'!O256))</f>
        <v/>
      </c>
      <c r="AR257" s="121" t="str">
        <f t="shared" si="72"/>
        <v/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str">
        <f>IF('Cable Info'!L257="","",CONCATENATE('Cable Info'!L257," - ",'Cable Info'!M257))</f>
        <v/>
      </c>
      <c r="AM258" s="121" t="str">
        <f t="shared" si="71"/>
        <v/>
      </c>
      <c r="AO258" s="121" t="str">
        <f>IF('Cable Info'!N257="","",CONCATENATE('Cable Info'!N257," - ",'Cable Info'!O257))</f>
        <v/>
      </c>
      <c r="AR258" s="121" t="str">
        <f t="shared" si="72"/>
        <v/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str">
        <f>IF('Cable Info'!L258="","",CONCATENATE('Cable Info'!L258," - ",'Cable Info'!M258))</f>
        <v/>
      </c>
      <c r="AM259" s="121" t="str">
        <f t="shared" si="71"/>
        <v/>
      </c>
      <c r="AO259" s="121" t="str">
        <f>IF('Cable Info'!N258="","",CONCATENATE('Cable Info'!N258," - ",'Cable Info'!O258))</f>
        <v/>
      </c>
      <c r="AR259" s="121" t="str">
        <f t="shared" si="72"/>
        <v/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str">
        <f>IF('Cable Info'!L259="","",CONCATENATE('Cable Info'!L259," - ",'Cable Info'!M259))</f>
        <v/>
      </c>
      <c r="AM260" s="121" t="str">
        <f t="shared" si="71"/>
        <v/>
      </c>
      <c r="AO260" s="121" t="str">
        <f>IF('Cable Info'!N259="","",CONCATENATE('Cable Info'!N259," - ",'Cable Info'!O259))</f>
        <v/>
      </c>
      <c r="AR260" s="121" t="str">
        <f t="shared" si="72"/>
        <v/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str">
        <f>IF('Cable Info'!L260="","",CONCATENATE('Cable Info'!L260," - ",'Cable Info'!M260))</f>
        <v/>
      </c>
      <c r="AM261" s="121" t="str">
        <f t="shared" si="71"/>
        <v/>
      </c>
      <c r="AO261" s="121" t="str">
        <f>IF('Cable Info'!N260="","",CONCATENATE('Cable Info'!N260," - ",'Cable Info'!O260))</f>
        <v/>
      </c>
      <c r="AR261" s="121" t="str">
        <f t="shared" si="72"/>
        <v/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str">
        <f>IF('Cable Info'!L261="","",CONCATENATE('Cable Info'!L261," - ",'Cable Info'!M261))</f>
        <v/>
      </c>
      <c r="AM262" s="121" t="str">
        <f t="shared" si="71"/>
        <v/>
      </c>
      <c r="AO262" s="121" t="str">
        <f>IF('Cable Info'!N261="","",CONCATENATE('Cable Info'!N261," - ",'Cable Info'!O261))</f>
        <v/>
      </c>
      <c r="AR262" s="121" t="str">
        <f t="shared" si="72"/>
        <v/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str">
        <f>IF('Cable Info'!L262="","",CONCATENATE('Cable Info'!L262," - ",'Cable Info'!M262))</f>
        <v/>
      </c>
      <c r="AM263" s="121" t="str">
        <f t="shared" si="71"/>
        <v/>
      </c>
      <c r="AO263" s="121" t="str">
        <f>IF('Cable Info'!N262="","",CONCATENATE('Cable Info'!N262," - ",'Cable Info'!O262))</f>
        <v/>
      </c>
      <c r="AR263" s="121" t="str">
        <f t="shared" si="72"/>
        <v/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str">
        <f>IF('Cable Info'!L263="","",CONCATENATE('Cable Info'!L263," - ",'Cable Info'!M263))</f>
        <v/>
      </c>
      <c r="AM264" s="121" t="str">
        <f t="shared" si="71"/>
        <v/>
      </c>
      <c r="AO264" s="121" t="str">
        <f>IF('Cable Info'!N263="","",CONCATENATE('Cable Info'!N263," - ",'Cable Info'!O263))</f>
        <v/>
      </c>
      <c r="AR264" s="121" t="str">
        <f t="shared" si="72"/>
        <v/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str">
        <f>IF('Cable Info'!L264="","",CONCATENATE('Cable Info'!L264," - ",'Cable Info'!M264))</f>
        <v/>
      </c>
      <c r="AM265" s="121" t="str">
        <f t="shared" si="71"/>
        <v/>
      </c>
      <c r="AO265" s="121" t="str">
        <f>IF('Cable Info'!N264="","",CONCATENATE('Cable Info'!N264," - ",'Cable Info'!O264))</f>
        <v/>
      </c>
      <c r="AR265" s="121" t="str">
        <f t="shared" si="72"/>
        <v/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str">
        <f>IF('Cable Info'!L265="","",CONCATENATE('Cable Info'!L265," - ",'Cable Info'!M265))</f>
        <v/>
      </c>
      <c r="AM266" s="121" t="str">
        <f t="shared" si="71"/>
        <v/>
      </c>
      <c r="AO266" s="121" t="str">
        <f>IF('Cable Info'!N265="","",CONCATENATE('Cable Info'!N265," - ",'Cable Info'!O265))</f>
        <v/>
      </c>
      <c r="AR266" s="121" t="str">
        <f t="shared" si="72"/>
        <v/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str">
        <f>IF('Cable Info'!L266="","",CONCATENATE('Cable Info'!L266," - ",'Cable Info'!M266))</f>
        <v/>
      </c>
      <c r="AM267" s="121" t="str">
        <f t="shared" si="71"/>
        <v/>
      </c>
      <c r="AO267" s="121" t="str">
        <f>IF('Cable Info'!N266="","",CONCATENATE('Cable Info'!N266," - ",'Cable Info'!O266))</f>
        <v/>
      </c>
      <c r="AR267" s="121" t="str">
        <f t="shared" si="72"/>
        <v/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str">
        <f>IF('Cable Info'!L267="","",CONCATENATE('Cable Info'!L267," - ",'Cable Info'!M267))</f>
        <v/>
      </c>
      <c r="AM268" s="121" t="str">
        <f t="shared" si="71"/>
        <v/>
      </c>
      <c r="AO268" s="121" t="str">
        <f>IF('Cable Info'!N267="","",CONCATENATE('Cable Info'!N267," - ",'Cable Info'!O267))</f>
        <v/>
      </c>
      <c r="AR268" s="121" t="str">
        <f t="shared" si="72"/>
        <v/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str">
        <f>IF('Cable Info'!L268="","",CONCATENATE('Cable Info'!L268," - ",'Cable Info'!M268))</f>
        <v/>
      </c>
      <c r="AM269" s="121" t="str">
        <f t="shared" ref="AM269:AM332" si="83">IF(AK269="",AJ269,CONCATENATE(AJ269,"  &lt;=&gt; ",AK269," ",AL269))</f>
        <v/>
      </c>
      <c r="AO269" s="121" t="str">
        <f>IF('Cable Info'!N268="","",CONCATENATE('Cable Info'!N268," - ",'Cable Info'!O268))</f>
        <v/>
      </c>
      <c r="AR269" s="121" t="str">
        <f t="shared" ref="AR269:AR332" si="84">IF(AP269="",AO269,CONCATENATE(AO269,"  &lt;=&gt; ",AP269," ",AQ269))</f>
        <v/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str">
        <f>IF('Cable Info'!L269="","",CONCATENATE('Cable Info'!L269," - ",'Cable Info'!M269))</f>
        <v/>
      </c>
      <c r="AM270" s="121" t="str">
        <f t="shared" si="83"/>
        <v/>
      </c>
      <c r="AO270" s="121" t="str">
        <f>IF('Cable Info'!N269="","",CONCATENATE('Cable Info'!N269," - ",'Cable Info'!O269))</f>
        <v/>
      </c>
      <c r="AR270" s="121" t="str">
        <f t="shared" si="84"/>
        <v/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str">
        <f>IF('Cable Info'!L270="","",CONCATENATE('Cable Info'!L270," - ",'Cable Info'!M270))</f>
        <v/>
      </c>
      <c r="AM271" s="121" t="str">
        <f t="shared" si="83"/>
        <v/>
      </c>
      <c r="AO271" s="121" t="str">
        <f>IF('Cable Info'!N270="","",CONCATENATE('Cable Info'!N270," - ",'Cable Info'!O270))</f>
        <v/>
      </c>
      <c r="AR271" s="121" t="str">
        <f t="shared" si="84"/>
        <v/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str">
        <f>IF('Cable Info'!L271="","",CONCATENATE('Cable Info'!L271," - ",'Cable Info'!M271))</f>
        <v/>
      </c>
      <c r="AM272" s="121" t="str">
        <f t="shared" si="83"/>
        <v/>
      </c>
      <c r="AO272" s="121" t="str">
        <f>IF('Cable Info'!N271="","",CONCATENATE('Cable Info'!N271," - ",'Cable Info'!O271))</f>
        <v/>
      </c>
      <c r="AR272" s="121" t="str">
        <f t="shared" si="84"/>
        <v/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str">
        <f>IF('Cable Info'!L272="","",CONCATENATE('Cable Info'!L272," - ",'Cable Info'!M272))</f>
        <v/>
      </c>
      <c r="AM273" s="121" t="str">
        <f t="shared" si="83"/>
        <v/>
      </c>
      <c r="AO273" s="121" t="str">
        <f>IF('Cable Info'!N272="","",CONCATENATE('Cable Info'!N272," - ",'Cable Info'!O272))</f>
        <v/>
      </c>
      <c r="AR273" s="121" t="str">
        <f t="shared" si="84"/>
        <v/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str">
        <f>IF('Cable Info'!L273="","",CONCATENATE('Cable Info'!L273," - ",'Cable Info'!M273))</f>
        <v/>
      </c>
      <c r="AM274" s="121" t="str">
        <f t="shared" si="83"/>
        <v/>
      </c>
      <c r="AO274" s="121" t="str">
        <f>IF('Cable Info'!N273="","",CONCATENATE('Cable Info'!N273," - ",'Cable Info'!O273))</f>
        <v/>
      </c>
      <c r="AR274" s="121" t="str">
        <f t="shared" si="84"/>
        <v/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str">
        <f>IF('Cable Info'!L274="","",CONCATENATE('Cable Info'!L274," - ",'Cable Info'!M274))</f>
        <v/>
      </c>
      <c r="AM275" s="121" t="str">
        <f t="shared" si="83"/>
        <v/>
      </c>
      <c r="AO275" s="121" t="str">
        <f>IF('Cable Info'!N274="","",CONCATENATE('Cable Info'!N274," - ",'Cable Info'!O274))</f>
        <v/>
      </c>
      <c r="AR275" s="121" t="str">
        <f t="shared" si="84"/>
        <v/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str">
        <f>IF('Cable Info'!L275="","",CONCATENATE('Cable Info'!L275," - ",'Cable Info'!M275))</f>
        <v/>
      </c>
      <c r="AM276" s="121" t="str">
        <f t="shared" si="83"/>
        <v/>
      </c>
      <c r="AO276" s="121" t="str">
        <f>IF('Cable Info'!N275="","",CONCATENATE('Cable Info'!N275," - ",'Cable Info'!O275))</f>
        <v/>
      </c>
      <c r="AR276" s="121" t="str">
        <f t="shared" si="84"/>
        <v/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str">
        <f>IF('Cable Info'!L276="","",CONCATENATE('Cable Info'!L276," - ",'Cable Info'!M276))</f>
        <v/>
      </c>
      <c r="AM277" s="121" t="str">
        <f t="shared" si="83"/>
        <v/>
      </c>
      <c r="AO277" s="121" t="str">
        <f>IF('Cable Info'!N276="","",CONCATENATE('Cable Info'!N276," - ",'Cable Info'!O276))</f>
        <v/>
      </c>
      <c r="AR277" s="121" t="str">
        <f t="shared" si="84"/>
        <v/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str">
        <f>IF('Cable Info'!L277="","",CONCATENATE('Cable Info'!L277," - ",'Cable Info'!M277))</f>
        <v/>
      </c>
      <c r="AM278" s="121" t="str">
        <f t="shared" si="83"/>
        <v/>
      </c>
      <c r="AO278" s="121" t="str">
        <f>IF('Cable Info'!N277="","",CONCATENATE('Cable Info'!N277," - ",'Cable Info'!O277))</f>
        <v/>
      </c>
      <c r="AR278" s="121" t="str">
        <f t="shared" si="84"/>
        <v/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str">
        <f>IF('Cable Info'!L278="","",CONCATENATE('Cable Info'!L278," - ",'Cable Info'!M278))</f>
        <v/>
      </c>
      <c r="AM279" s="121" t="str">
        <f t="shared" si="83"/>
        <v/>
      </c>
      <c r="AO279" s="121" t="str">
        <f>IF('Cable Info'!N278="","",CONCATENATE('Cable Info'!N278," - ",'Cable Info'!O278))</f>
        <v/>
      </c>
      <c r="AR279" s="121" t="str">
        <f t="shared" si="84"/>
        <v/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str">
        <f>IF('Cable Info'!L279="","",CONCATENATE('Cable Info'!L279," - ",'Cable Info'!M279))</f>
        <v/>
      </c>
      <c r="AM280" s="121" t="str">
        <f t="shared" si="83"/>
        <v/>
      </c>
      <c r="AO280" s="121" t="str">
        <f>IF('Cable Info'!N279="","",CONCATENATE('Cable Info'!N279," - ",'Cable Info'!O279))</f>
        <v/>
      </c>
      <c r="AR280" s="121" t="str">
        <f t="shared" si="84"/>
        <v/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str">
        <f>IF('Cable Info'!L280="","",CONCATENATE('Cable Info'!L280," - ",'Cable Info'!M280))</f>
        <v/>
      </c>
      <c r="AM281" s="121" t="str">
        <f t="shared" si="83"/>
        <v/>
      </c>
      <c r="AO281" s="121" t="str">
        <f>IF('Cable Info'!N280="","",CONCATENATE('Cable Info'!N280," - ",'Cable Info'!O280))</f>
        <v/>
      </c>
      <c r="AR281" s="121" t="str">
        <f t="shared" si="84"/>
        <v/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str">
        <f>IF('Cable Info'!L281="","",CONCATENATE('Cable Info'!L281," - ",'Cable Info'!M281))</f>
        <v/>
      </c>
      <c r="AM282" s="121" t="str">
        <f t="shared" si="83"/>
        <v/>
      </c>
      <c r="AO282" s="121" t="str">
        <f>IF('Cable Info'!N281="","",CONCATENATE('Cable Info'!N281," - ",'Cable Info'!O281))</f>
        <v/>
      </c>
      <c r="AR282" s="121" t="str">
        <f t="shared" si="84"/>
        <v/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str">
        <f>IF('Cable Info'!L282="","",CONCATENATE('Cable Info'!L282," - ",'Cable Info'!M282))</f>
        <v/>
      </c>
      <c r="AM283" s="121" t="str">
        <f t="shared" si="83"/>
        <v/>
      </c>
      <c r="AO283" s="121" t="str">
        <f>IF('Cable Info'!N282="","",CONCATENATE('Cable Info'!N282," - ",'Cable Info'!O282))</f>
        <v/>
      </c>
      <c r="AR283" s="121" t="str">
        <f t="shared" si="84"/>
        <v/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str">
        <f>IF('Cable Info'!L283="","",CONCATENATE('Cable Info'!L283," - ",'Cable Info'!M283))</f>
        <v/>
      </c>
      <c r="AM284" s="121" t="str">
        <f t="shared" si="83"/>
        <v/>
      </c>
      <c r="AO284" s="121" t="str">
        <f>IF('Cable Info'!N283="","",CONCATENATE('Cable Info'!N283," - ",'Cable Info'!O283))</f>
        <v/>
      </c>
      <c r="AR284" s="121" t="str">
        <f t="shared" si="84"/>
        <v/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str">
        <f>IF('Cable Info'!L284="","",CONCATENATE('Cable Info'!L284," - ",'Cable Info'!M284))</f>
        <v/>
      </c>
      <c r="AM285" s="121" t="str">
        <f t="shared" si="83"/>
        <v/>
      </c>
      <c r="AO285" s="121" t="str">
        <f>IF('Cable Info'!N284="","",CONCATENATE('Cable Info'!N284," - ",'Cable Info'!O284))</f>
        <v/>
      </c>
      <c r="AR285" s="121" t="str">
        <f t="shared" si="84"/>
        <v/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str">
        <f>IF('Cable Info'!L285="","",CONCATENATE('Cable Info'!L285," - ",'Cable Info'!M285))</f>
        <v/>
      </c>
      <c r="AM286" s="121" t="str">
        <f t="shared" si="83"/>
        <v/>
      </c>
      <c r="AO286" s="121" t="str">
        <f>IF('Cable Info'!N285="","",CONCATENATE('Cable Info'!N285," - ",'Cable Info'!O285))</f>
        <v/>
      </c>
      <c r="AR286" s="121" t="str">
        <f t="shared" si="84"/>
        <v/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str">
        <f>IF('Cable Info'!L286="","",CONCATENATE('Cable Info'!L286," - ",'Cable Info'!M286))</f>
        <v/>
      </c>
      <c r="AM287" s="121" t="str">
        <f t="shared" si="83"/>
        <v/>
      </c>
      <c r="AO287" s="121" t="str">
        <f>IF('Cable Info'!N286="","",CONCATENATE('Cable Info'!N286," - ",'Cable Info'!O286))</f>
        <v/>
      </c>
      <c r="AR287" s="121" t="str">
        <f t="shared" si="84"/>
        <v/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str">
        <f>IF('Cable Info'!L287="","",CONCATENATE('Cable Info'!L287," - ",'Cable Info'!M287))</f>
        <v/>
      </c>
      <c r="AM288" s="121" t="str">
        <f t="shared" si="83"/>
        <v/>
      </c>
      <c r="AO288" s="121" t="str">
        <f>IF('Cable Info'!N287="","",CONCATENATE('Cable Info'!N287," - ",'Cable Info'!O287))</f>
        <v/>
      </c>
      <c r="AR288" s="121" t="str">
        <f t="shared" si="84"/>
        <v/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str">
        <f>IF('Cable Info'!L288="","",CONCATENATE('Cable Info'!L288," - ",'Cable Info'!M288))</f>
        <v/>
      </c>
      <c r="AM289" s="121" t="str">
        <f t="shared" si="83"/>
        <v/>
      </c>
      <c r="AO289" s="121" t="str">
        <f>IF('Cable Info'!N288="","",CONCATENATE('Cable Info'!N288," - ",'Cable Info'!O288))</f>
        <v/>
      </c>
      <c r="AR289" s="121" t="str">
        <f t="shared" si="84"/>
        <v/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str">
        <f>IF('Cable Info'!L289="","",CONCATENATE('Cable Info'!L289," - ",'Cable Info'!M289))</f>
        <v/>
      </c>
      <c r="AM290" s="121" t="str">
        <f t="shared" si="83"/>
        <v/>
      </c>
      <c r="AO290" s="121" t="str">
        <f>IF('Cable Info'!N289="","",CONCATENATE('Cable Info'!N289," - ",'Cable Info'!O289))</f>
        <v/>
      </c>
      <c r="AR290" s="121" t="str">
        <f t="shared" si="84"/>
        <v/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str">
        <f>IF('Cable Info'!L290="","",CONCATENATE('Cable Info'!L290," - ",'Cable Info'!M290))</f>
        <v/>
      </c>
      <c r="AM291" s="121" t="str">
        <f t="shared" si="83"/>
        <v/>
      </c>
      <c r="AO291" s="121" t="str">
        <f>IF('Cable Info'!N290="","",CONCATENATE('Cable Info'!N290," - ",'Cable Info'!O290))</f>
        <v/>
      </c>
      <c r="AR291" s="121" t="str">
        <f t="shared" si="84"/>
        <v/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str">
        <f>IF('Cable Info'!L291="","",CONCATENATE('Cable Info'!L291," - ",'Cable Info'!M291))</f>
        <v/>
      </c>
      <c r="AM292" s="121" t="str">
        <f t="shared" si="83"/>
        <v/>
      </c>
      <c r="AO292" s="121" t="str">
        <f>IF('Cable Info'!N291="","",CONCATENATE('Cable Info'!N291," - ",'Cable Info'!O291))</f>
        <v/>
      </c>
      <c r="AR292" s="121" t="str">
        <f t="shared" si="84"/>
        <v/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str">
        <f>IF('Cable Info'!L292="","",CONCATENATE('Cable Info'!L292," - ",'Cable Info'!M292))</f>
        <v/>
      </c>
      <c r="AM293" s="121" t="str">
        <f t="shared" si="83"/>
        <v/>
      </c>
      <c r="AO293" s="121" t="str">
        <f>IF('Cable Info'!N292="","",CONCATENATE('Cable Info'!N292," - ",'Cable Info'!O292))</f>
        <v/>
      </c>
      <c r="AR293" s="121" t="str">
        <f t="shared" si="84"/>
        <v/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str">
        <f>IF('Cable Info'!L293="","",CONCATENATE('Cable Info'!L293," - ",'Cable Info'!M293))</f>
        <v/>
      </c>
      <c r="AM294" s="121" t="str">
        <f t="shared" si="83"/>
        <v/>
      </c>
      <c r="AO294" s="121" t="str">
        <f>IF('Cable Info'!N293="","",CONCATENATE('Cable Info'!N293," - ",'Cable Info'!O293))</f>
        <v/>
      </c>
      <c r="AR294" s="121" t="str">
        <f t="shared" si="84"/>
        <v/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str">
        <f>IF('Cable Info'!L294="","",CONCATENATE('Cable Info'!L294," - ",'Cable Info'!M294))</f>
        <v/>
      </c>
      <c r="AM295" s="121" t="str">
        <f t="shared" si="83"/>
        <v/>
      </c>
      <c r="AO295" s="121" t="str">
        <f>IF('Cable Info'!N294="","",CONCATENATE('Cable Info'!N294," - ",'Cable Info'!O294))</f>
        <v/>
      </c>
      <c r="AR295" s="121" t="str">
        <f t="shared" si="84"/>
        <v/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str">
        <f>IF('Cable Info'!L295="","",CONCATENATE('Cable Info'!L295," - ",'Cable Info'!M295))</f>
        <v/>
      </c>
      <c r="AM296" s="121" t="str">
        <f t="shared" si="83"/>
        <v/>
      </c>
      <c r="AO296" s="121" t="str">
        <f>IF('Cable Info'!N295="","",CONCATENATE('Cable Info'!N295," - ",'Cable Info'!O295))</f>
        <v/>
      </c>
      <c r="AR296" s="121" t="str">
        <f t="shared" si="84"/>
        <v/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str">
        <f>IF('Cable Info'!L296="","",CONCATENATE('Cable Info'!L296," - ",'Cable Info'!M296))</f>
        <v/>
      </c>
      <c r="AM297" s="121" t="str">
        <f t="shared" si="83"/>
        <v/>
      </c>
      <c r="AO297" s="121" t="str">
        <f>IF('Cable Info'!N296="","",CONCATENATE('Cable Info'!N296," - ",'Cable Info'!O296))</f>
        <v/>
      </c>
      <c r="AR297" s="121" t="str">
        <f t="shared" si="84"/>
        <v/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str">
        <f>IF('Cable Info'!L297="","",CONCATENATE('Cable Info'!L297," - ",'Cable Info'!M297))</f>
        <v/>
      </c>
      <c r="AM298" s="121" t="str">
        <f t="shared" si="83"/>
        <v/>
      </c>
      <c r="AO298" s="121" t="str">
        <f>IF('Cable Info'!N297="","",CONCATENATE('Cable Info'!N297," - ",'Cable Info'!O297))</f>
        <v/>
      </c>
      <c r="AR298" s="121" t="str">
        <f t="shared" si="84"/>
        <v/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str">
        <f>IF('Cable Info'!L298="","",CONCATENATE('Cable Info'!L298," - ",'Cable Info'!M298))</f>
        <v/>
      </c>
      <c r="AM299" s="121" t="str">
        <f t="shared" si="83"/>
        <v/>
      </c>
      <c r="AO299" s="121" t="str">
        <f>IF('Cable Info'!N298="","",CONCATENATE('Cable Info'!N298," - ",'Cable Info'!O298))</f>
        <v/>
      </c>
      <c r="AR299" s="121" t="str">
        <f t="shared" si="84"/>
        <v/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str">
        <f>IF('Cable Info'!L299="","",CONCATENATE('Cable Info'!L299," - ",'Cable Info'!M299))</f>
        <v/>
      </c>
      <c r="AM300" s="121" t="str">
        <f t="shared" si="83"/>
        <v/>
      </c>
      <c r="AO300" s="121" t="str">
        <f>IF('Cable Info'!N299="","",CONCATENATE('Cable Info'!N299," - ",'Cable Info'!O299))</f>
        <v/>
      </c>
      <c r="AR300" s="121" t="str">
        <f t="shared" si="84"/>
        <v/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str">
        <f>IF('Cable Info'!L300="","",CONCATENATE('Cable Info'!L300," - ",'Cable Info'!M300))</f>
        <v/>
      </c>
      <c r="AM301" s="121" t="str">
        <f t="shared" si="83"/>
        <v/>
      </c>
      <c r="AO301" s="121" t="str">
        <f>IF('Cable Info'!N300="","",CONCATENATE('Cable Info'!N300," - ",'Cable Info'!O300))</f>
        <v/>
      </c>
      <c r="AR301" s="121" t="str">
        <f t="shared" si="84"/>
        <v/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str">
        <f>IF('Cable Info'!L301="","",CONCATENATE('Cable Info'!L301," - ",'Cable Info'!M301))</f>
        <v/>
      </c>
      <c r="AM302" s="121" t="str">
        <f t="shared" si="83"/>
        <v/>
      </c>
      <c r="AO302" s="121" t="str">
        <f>IF('Cable Info'!N301="","",CONCATENATE('Cable Info'!N301," - ",'Cable Info'!O301))</f>
        <v/>
      </c>
      <c r="AR302" s="121" t="str">
        <f t="shared" si="84"/>
        <v/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str">
        <f>IF('Cable Info'!L302="","",CONCATENATE('Cable Info'!L302," - ",'Cable Info'!M302))</f>
        <v/>
      </c>
      <c r="AM303" s="121" t="str">
        <f t="shared" si="83"/>
        <v/>
      </c>
      <c r="AO303" s="121" t="str">
        <f>IF('Cable Info'!N302="","",CONCATENATE('Cable Info'!N302," - ",'Cable Info'!O302))</f>
        <v/>
      </c>
      <c r="AR303" s="121" t="str">
        <f t="shared" si="84"/>
        <v/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str">
        <f>IF('Cable Info'!L303="","",CONCATENATE('Cable Info'!L303," - ",'Cable Info'!M303))</f>
        <v/>
      </c>
      <c r="AM304" s="121" t="str">
        <f t="shared" si="83"/>
        <v/>
      </c>
      <c r="AO304" s="121" t="str">
        <f>IF('Cable Info'!N303="","",CONCATENATE('Cable Info'!N303," - ",'Cable Info'!O303))</f>
        <v/>
      </c>
      <c r="AR304" s="121" t="str">
        <f t="shared" si="84"/>
        <v/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str">
        <f>IF('Cable Info'!L304="","",CONCATENATE('Cable Info'!L304," - ",'Cable Info'!M304))</f>
        <v/>
      </c>
      <c r="AM305" s="121" t="str">
        <f t="shared" si="83"/>
        <v/>
      </c>
      <c r="AO305" s="121" t="str">
        <f>IF('Cable Info'!N304="","",CONCATENATE('Cable Info'!N304," - ",'Cable Info'!O304))</f>
        <v/>
      </c>
      <c r="AR305" s="121" t="str">
        <f t="shared" si="84"/>
        <v/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str">
        <f>IF('Cable Info'!L305="","",CONCATENATE('Cable Info'!L305," - ",'Cable Info'!M305))</f>
        <v/>
      </c>
      <c r="AM306" s="121" t="str">
        <f t="shared" si="83"/>
        <v/>
      </c>
      <c r="AO306" s="121" t="str">
        <f>IF('Cable Info'!N305="","",CONCATENATE('Cable Info'!N305," - ",'Cable Info'!O305))</f>
        <v/>
      </c>
      <c r="AR306" s="121" t="str">
        <f t="shared" si="84"/>
        <v/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str">
        <f>IF('Cable Info'!L306="","",CONCATENATE('Cable Info'!L306," - ",'Cable Info'!M306))</f>
        <v/>
      </c>
      <c r="AM307" s="121" t="str">
        <f t="shared" si="83"/>
        <v/>
      </c>
      <c r="AO307" s="121" t="str">
        <f>IF('Cable Info'!N306="","",CONCATENATE('Cable Info'!N306," - ",'Cable Info'!O306))</f>
        <v/>
      </c>
      <c r="AR307" s="121" t="str">
        <f t="shared" si="84"/>
        <v/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str">
        <f>IF('Cable Info'!L307="","",CONCATENATE('Cable Info'!L307," - ",'Cable Info'!M307))</f>
        <v/>
      </c>
      <c r="AM308" s="121" t="str">
        <f t="shared" si="83"/>
        <v/>
      </c>
      <c r="AO308" s="121" t="str">
        <f>IF('Cable Info'!N307="","",CONCATENATE('Cable Info'!N307," - ",'Cable Info'!O307))</f>
        <v/>
      </c>
      <c r="AR308" s="121" t="str">
        <f t="shared" si="84"/>
        <v/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str">
        <f>IF('Cable Info'!L308="","",CONCATENATE('Cable Info'!L308," - ",'Cable Info'!M308))</f>
        <v/>
      </c>
      <c r="AM309" s="121" t="str">
        <f t="shared" si="83"/>
        <v/>
      </c>
      <c r="AO309" s="121" t="str">
        <f>IF('Cable Info'!N308="","",CONCATENATE('Cable Info'!N308," - ",'Cable Info'!O308))</f>
        <v/>
      </c>
      <c r="AR309" s="121" t="str">
        <f t="shared" si="84"/>
        <v/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str">
        <f>IF('Cable Info'!L309="","",CONCATENATE('Cable Info'!L309," - ",'Cable Info'!M309))</f>
        <v/>
      </c>
      <c r="AM310" s="121" t="str">
        <f t="shared" si="83"/>
        <v/>
      </c>
      <c r="AO310" s="121" t="str">
        <f>IF('Cable Info'!N309="","",CONCATENATE('Cable Info'!N309," - ",'Cable Info'!O309))</f>
        <v/>
      </c>
      <c r="AR310" s="121" t="str">
        <f t="shared" si="84"/>
        <v/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str">
        <f>IF('Cable Info'!L310="","",CONCATENATE('Cable Info'!L310," - ",'Cable Info'!M310))</f>
        <v/>
      </c>
      <c r="AM311" s="121" t="str">
        <f t="shared" si="83"/>
        <v/>
      </c>
      <c r="AO311" s="121" t="str">
        <f>IF('Cable Info'!N310="","",CONCATENATE('Cable Info'!N310," - ",'Cable Info'!O310))</f>
        <v/>
      </c>
      <c r="AR311" s="121" t="str">
        <f t="shared" si="84"/>
        <v/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str">
        <f>IF('Cable Info'!L311="","",CONCATENATE('Cable Info'!L311," - ",'Cable Info'!M311))</f>
        <v/>
      </c>
      <c r="AM312" s="121" t="str">
        <f t="shared" si="83"/>
        <v/>
      </c>
      <c r="AO312" s="121" t="str">
        <f>IF('Cable Info'!N311="","",CONCATENATE('Cable Info'!N311," - ",'Cable Info'!O311))</f>
        <v/>
      </c>
      <c r="AR312" s="121" t="str">
        <f t="shared" si="84"/>
        <v/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str">
        <f>IF('Cable Info'!L312="","",CONCATENATE('Cable Info'!L312," - ",'Cable Info'!M312))</f>
        <v/>
      </c>
      <c r="AM313" s="121" t="str">
        <f t="shared" si="83"/>
        <v/>
      </c>
      <c r="AO313" s="121" t="str">
        <f>IF('Cable Info'!N312="","",CONCATENATE('Cable Info'!N312," - ",'Cable Info'!O312))</f>
        <v/>
      </c>
      <c r="AR313" s="121" t="str">
        <f t="shared" si="84"/>
        <v/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str">
        <f>IF('Cable Info'!L313="","",CONCATENATE('Cable Info'!L313," - ",'Cable Info'!M313))</f>
        <v/>
      </c>
      <c r="AM314" s="121" t="str">
        <f t="shared" si="83"/>
        <v/>
      </c>
      <c r="AO314" s="121" t="str">
        <f>IF('Cable Info'!N313="","",CONCATENATE('Cable Info'!N313," - ",'Cable Info'!O313))</f>
        <v/>
      </c>
      <c r="AR314" s="121" t="str">
        <f t="shared" si="84"/>
        <v/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str">
        <f>IF('Cable Info'!L314="","",CONCATENATE('Cable Info'!L314," - ",'Cable Info'!M314))</f>
        <v/>
      </c>
      <c r="AM315" s="121" t="str">
        <f t="shared" si="83"/>
        <v/>
      </c>
      <c r="AO315" s="121" t="str">
        <f>IF('Cable Info'!N314="","",CONCATENATE('Cable Info'!N314," - ",'Cable Info'!O314))</f>
        <v/>
      </c>
      <c r="AR315" s="121" t="str">
        <f t="shared" si="84"/>
        <v/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str">
        <f>IF('Cable Info'!L315="","",CONCATENATE('Cable Info'!L315," - ",'Cable Info'!M315))</f>
        <v/>
      </c>
      <c r="AM316" s="121" t="str">
        <f t="shared" si="83"/>
        <v/>
      </c>
      <c r="AO316" s="121" t="str">
        <f>IF('Cable Info'!N315="","",CONCATENATE('Cable Info'!N315," - ",'Cable Info'!O315))</f>
        <v/>
      </c>
      <c r="AR316" s="121" t="str">
        <f t="shared" si="84"/>
        <v/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str">
        <f>IF('Cable Info'!L316="","",CONCATENATE('Cable Info'!L316," - ",'Cable Info'!M316))</f>
        <v/>
      </c>
      <c r="AM317" s="121" t="str">
        <f t="shared" si="83"/>
        <v/>
      </c>
      <c r="AO317" s="121" t="str">
        <f>IF('Cable Info'!N316="","",CONCATENATE('Cable Info'!N316," - ",'Cable Info'!O316))</f>
        <v/>
      </c>
      <c r="AR317" s="121" t="str">
        <f t="shared" si="84"/>
        <v/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str">
        <f>IF('Cable Info'!L317="","",CONCATENATE('Cable Info'!L317," - ",'Cable Info'!M317))</f>
        <v/>
      </c>
      <c r="AM318" s="121" t="str">
        <f t="shared" si="83"/>
        <v/>
      </c>
      <c r="AO318" s="121" t="str">
        <f>IF('Cable Info'!N317="","",CONCATENATE('Cable Info'!N317," - ",'Cable Info'!O317))</f>
        <v/>
      </c>
      <c r="AR318" s="121" t="str">
        <f t="shared" si="84"/>
        <v/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str">
        <f>IF('Cable Info'!L318="","",CONCATENATE('Cable Info'!L318," - ",'Cable Info'!M318))</f>
        <v/>
      </c>
      <c r="AM319" s="121" t="str">
        <f t="shared" si="83"/>
        <v/>
      </c>
      <c r="AO319" s="121" t="str">
        <f>IF('Cable Info'!N318="","",CONCATENATE('Cable Info'!N318," - ",'Cable Info'!O318))</f>
        <v/>
      </c>
      <c r="AR319" s="121" t="str">
        <f t="shared" si="84"/>
        <v/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str">
        <f>IF('Cable Info'!L319="","",CONCATENATE('Cable Info'!L319," - ",'Cable Info'!M319))</f>
        <v/>
      </c>
      <c r="AM320" s="121" t="str">
        <f t="shared" si="83"/>
        <v/>
      </c>
      <c r="AO320" s="121" t="str">
        <f>IF('Cable Info'!N319="","",CONCATENATE('Cable Info'!N319," - ",'Cable Info'!O319))</f>
        <v/>
      </c>
      <c r="AR320" s="121" t="str">
        <f t="shared" si="84"/>
        <v/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str">
        <f>IF('Cable Info'!L320="","",CONCATENATE('Cable Info'!L320," - ",'Cable Info'!M320))</f>
        <v/>
      </c>
      <c r="AM321" s="121" t="str">
        <f t="shared" si="83"/>
        <v/>
      </c>
      <c r="AO321" s="121" t="str">
        <f>IF('Cable Info'!N320="","",CONCATENATE('Cable Info'!N320," - ",'Cable Info'!O320))</f>
        <v/>
      </c>
      <c r="AR321" s="121" t="str">
        <f t="shared" si="84"/>
        <v/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str">
        <f>IF('Cable Info'!L321="","",CONCATENATE('Cable Info'!L321," - ",'Cable Info'!M321))</f>
        <v/>
      </c>
      <c r="AM322" s="121" t="str">
        <f t="shared" si="83"/>
        <v/>
      </c>
      <c r="AO322" s="121" t="str">
        <f>IF('Cable Info'!N321="","",CONCATENATE('Cable Info'!N321," - ",'Cable Info'!O321))</f>
        <v/>
      </c>
      <c r="AR322" s="121" t="str">
        <f t="shared" si="84"/>
        <v/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str">
        <f>IF('Cable Info'!L322="","",CONCATENATE('Cable Info'!L322," - ",'Cable Info'!M322))</f>
        <v/>
      </c>
      <c r="AM323" s="121" t="str">
        <f t="shared" si="83"/>
        <v/>
      </c>
      <c r="AO323" s="121" t="str">
        <f>IF('Cable Info'!N322="","",CONCATENATE('Cable Info'!N322," - ",'Cable Info'!O322))</f>
        <v/>
      </c>
      <c r="AR323" s="121" t="str">
        <f t="shared" si="84"/>
        <v/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str">
        <f>IF('Cable Info'!L323="","",CONCATENATE('Cable Info'!L323," - ",'Cable Info'!M323))</f>
        <v/>
      </c>
      <c r="AM324" s="121" t="str">
        <f t="shared" si="83"/>
        <v/>
      </c>
      <c r="AO324" s="121" t="str">
        <f>IF('Cable Info'!N323="","",CONCATENATE('Cable Info'!N323," - ",'Cable Info'!O323))</f>
        <v/>
      </c>
      <c r="AR324" s="121" t="str">
        <f t="shared" si="84"/>
        <v/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str">
        <f>IF('Cable Info'!L324="","",CONCATENATE('Cable Info'!L324," - ",'Cable Info'!M324))</f>
        <v/>
      </c>
      <c r="AM325" s="121" t="str">
        <f t="shared" si="83"/>
        <v/>
      </c>
      <c r="AO325" s="121" t="str">
        <f>IF('Cable Info'!N324="","",CONCATENATE('Cable Info'!N324," - ",'Cable Info'!O324))</f>
        <v/>
      </c>
      <c r="AR325" s="121" t="str">
        <f t="shared" si="84"/>
        <v/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str">
        <f>IF('Cable Info'!L325="","",CONCATENATE('Cable Info'!L325," - ",'Cable Info'!M325))</f>
        <v/>
      </c>
      <c r="AM326" s="121" t="str">
        <f t="shared" si="83"/>
        <v/>
      </c>
      <c r="AO326" s="121" t="str">
        <f>IF('Cable Info'!N325="","",CONCATENATE('Cable Info'!N325," - ",'Cable Info'!O325))</f>
        <v/>
      </c>
      <c r="AR326" s="121" t="str">
        <f t="shared" si="84"/>
        <v/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str">
        <f>IF('Cable Info'!L326="","",CONCATENATE('Cable Info'!L326," - ",'Cable Info'!M326))</f>
        <v/>
      </c>
      <c r="AM327" s="121" t="str">
        <f t="shared" si="83"/>
        <v/>
      </c>
      <c r="AO327" s="121" t="str">
        <f>IF('Cable Info'!N326="","",CONCATENATE('Cable Info'!N326," - ",'Cable Info'!O326))</f>
        <v/>
      </c>
      <c r="AR327" s="121" t="str">
        <f t="shared" si="84"/>
        <v/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str">
        <f>IF('Cable Info'!L327="","",CONCATENATE('Cable Info'!L327," - ",'Cable Info'!M327))</f>
        <v/>
      </c>
      <c r="AM328" s="121" t="str">
        <f t="shared" si="83"/>
        <v/>
      </c>
      <c r="AO328" s="121" t="str">
        <f>IF('Cable Info'!N327="","",CONCATENATE('Cable Info'!N327," - ",'Cable Info'!O327))</f>
        <v/>
      </c>
      <c r="AR328" s="121" t="str">
        <f t="shared" si="84"/>
        <v/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str">
        <f>IF('Cable Info'!L328="","",CONCATENATE('Cable Info'!L328," - ",'Cable Info'!M328))</f>
        <v/>
      </c>
      <c r="AM329" s="121" t="str">
        <f t="shared" si="83"/>
        <v/>
      </c>
      <c r="AO329" s="121" t="str">
        <f>IF('Cable Info'!N328="","",CONCATENATE('Cable Info'!N328," - ",'Cable Info'!O328))</f>
        <v/>
      </c>
      <c r="AR329" s="121" t="str">
        <f t="shared" si="84"/>
        <v/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str">
        <f>IF('Cable Info'!L329="","",CONCATENATE('Cable Info'!L329," - ",'Cable Info'!M329))</f>
        <v/>
      </c>
      <c r="AM330" s="121" t="str">
        <f t="shared" si="83"/>
        <v/>
      </c>
      <c r="AO330" s="121" t="str">
        <f>IF('Cable Info'!N329="","",CONCATENATE('Cable Info'!N329," - ",'Cable Info'!O329))</f>
        <v/>
      </c>
      <c r="AR330" s="121" t="str">
        <f t="shared" si="84"/>
        <v/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str">
        <f>IF('Cable Info'!L330="","",CONCATENATE('Cable Info'!L330," - ",'Cable Info'!M330))</f>
        <v/>
      </c>
      <c r="AM331" s="121" t="str">
        <f t="shared" si="83"/>
        <v/>
      </c>
      <c r="AO331" s="121" t="str">
        <f>IF('Cable Info'!N330="","",CONCATENATE('Cable Info'!N330," - ",'Cable Info'!O330))</f>
        <v/>
      </c>
      <c r="AR331" s="121" t="str">
        <f t="shared" si="84"/>
        <v/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str">
        <f>IF('Cable Info'!L331="","",CONCATENATE('Cable Info'!L331," - ",'Cable Info'!M331))</f>
        <v/>
      </c>
      <c r="AM332" s="121" t="str">
        <f t="shared" si="83"/>
        <v/>
      </c>
      <c r="AO332" s="121" t="str">
        <f>IF('Cable Info'!N331="","",CONCATENATE('Cable Info'!N331," - ",'Cable Info'!O331))</f>
        <v/>
      </c>
      <c r="AR332" s="121" t="str">
        <f t="shared" si="84"/>
        <v/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str">
        <f>IF('Cable Info'!L332="","",CONCATENATE('Cable Info'!L332," - ",'Cable Info'!M332))</f>
        <v/>
      </c>
      <c r="AM333" s="121" t="str">
        <f t="shared" ref="AM333:AM368" si="95">IF(AK333="",AJ333,CONCATENATE(AJ333,"  &lt;=&gt; ",AK333," ",AL333))</f>
        <v/>
      </c>
      <c r="AO333" s="121" t="str">
        <f>IF('Cable Info'!N332="","",CONCATENATE('Cable Info'!N332," - ",'Cable Info'!O332))</f>
        <v/>
      </c>
      <c r="AR333" s="121" t="str">
        <f t="shared" ref="AR333:AR368" si="96">IF(AP333="",AO333,CONCATENATE(AO333,"  &lt;=&gt; ",AP333," ",AQ333))</f>
        <v/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str">
        <f>IF('Cable Info'!L333="","",CONCATENATE('Cable Info'!L333," - ",'Cable Info'!M333))</f>
        <v/>
      </c>
      <c r="AM334" s="121" t="str">
        <f t="shared" si="95"/>
        <v/>
      </c>
      <c r="AO334" s="121" t="str">
        <f>IF('Cable Info'!N333="","",CONCATENATE('Cable Info'!N333," - ",'Cable Info'!O333))</f>
        <v/>
      </c>
      <c r="AR334" s="121" t="str">
        <f t="shared" si="96"/>
        <v/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str">
        <f>IF('Cable Info'!L334="","",CONCATENATE('Cable Info'!L334," - ",'Cable Info'!M334))</f>
        <v/>
      </c>
      <c r="AM335" s="121" t="str">
        <f t="shared" si="95"/>
        <v/>
      </c>
      <c r="AO335" s="121" t="str">
        <f>IF('Cable Info'!N334="","",CONCATENATE('Cable Info'!N334," - ",'Cable Info'!O334))</f>
        <v/>
      </c>
      <c r="AR335" s="121" t="str">
        <f t="shared" si="96"/>
        <v/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str">
        <f>IF('Cable Info'!L335="","",CONCATENATE('Cable Info'!L335," - ",'Cable Info'!M335))</f>
        <v/>
      </c>
      <c r="AM336" s="121" t="str">
        <f t="shared" si="95"/>
        <v/>
      </c>
      <c r="AO336" s="121" t="str">
        <f>IF('Cable Info'!N335="","",CONCATENATE('Cable Info'!N335," - ",'Cable Info'!O335))</f>
        <v/>
      </c>
      <c r="AR336" s="121" t="str">
        <f t="shared" si="96"/>
        <v/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str">
        <f>IF('Cable Info'!L336="","",CONCATENATE('Cable Info'!L336," - ",'Cable Info'!M336))</f>
        <v/>
      </c>
      <c r="AM337" s="121" t="str">
        <f t="shared" si="95"/>
        <v/>
      </c>
      <c r="AO337" s="121" t="str">
        <f>IF('Cable Info'!N336="","",CONCATENATE('Cable Info'!N336," - ",'Cable Info'!O336))</f>
        <v/>
      </c>
      <c r="AR337" s="121" t="str">
        <f t="shared" si="96"/>
        <v/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str">
        <f>IF('Cable Info'!L337="","",CONCATENATE('Cable Info'!L337," - ",'Cable Info'!M337))</f>
        <v/>
      </c>
      <c r="AM338" s="121" t="str">
        <f t="shared" si="95"/>
        <v/>
      </c>
      <c r="AO338" s="121" t="str">
        <f>IF('Cable Info'!N337="","",CONCATENATE('Cable Info'!N337," - ",'Cable Info'!O337))</f>
        <v/>
      </c>
      <c r="AR338" s="121" t="str">
        <f t="shared" si="96"/>
        <v/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str">
        <f>IF('Cable Info'!L338="","",CONCATENATE('Cable Info'!L338," - ",'Cable Info'!M338))</f>
        <v/>
      </c>
      <c r="AM339" s="121" t="str">
        <f t="shared" si="95"/>
        <v/>
      </c>
      <c r="AO339" s="121" t="str">
        <f>IF('Cable Info'!N338="","",CONCATENATE('Cable Info'!N338," - ",'Cable Info'!O338))</f>
        <v/>
      </c>
      <c r="AR339" s="121" t="str">
        <f t="shared" si="96"/>
        <v/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str">
        <f>IF('Cable Info'!L339="","",CONCATENATE('Cable Info'!L339," - ",'Cable Info'!M339))</f>
        <v/>
      </c>
      <c r="AM340" s="121" t="str">
        <f t="shared" si="95"/>
        <v/>
      </c>
      <c r="AO340" s="121" t="str">
        <f>IF('Cable Info'!N339="","",CONCATENATE('Cable Info'!N339," - ",'Cable Info'!O339))</f>
        <v/>
      </c>
      <c r="AR340" s="121" t="str">
        <f t="shared" si="96"/>
        <v/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str">
        <f>IF('Cable Info'!L340="","",CONCATENATE('Cable Info'!L340," - ",'Cable Info'!M340))</f>
        <v/>
      </c>
      <c r="AM341" s="121" t="str">
        <f t="shared" si="95"/>
        <v/>
      </c>
      <c r="AO341" s="121" t="str">
        <f>IF('Cable Info'!N340="","",CONCATENATE('Cable Info'!N340," - ",'Cable Info'!O340))</f>
        <v/>
      </c>
      <c r="AR341" s="121" t="str">
        <f t="shared" si="96"/>
        <v/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str">
        <f>IF('Cable Info'!L341="","",CONCATENATE('Cable Info'!L341," - ",'Cable Info'!M341))</f>
        <v/>
      </c>
      <c r="AM342" s="121" t="str">
        <f t="shared" si="95"/>
        <v/>
      </c>
      <c r="AO342" s="121" t="str">
        <f>IF('Cable Info'!N341="","",CONCATENATE('Cable Info'!N341," - ",'Cable Info'!O341))</f>
        <v/>
      </c>
      <c r="AR342" s="121" t="str">
        <f t="shared" si="96"/>
        <v/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str">
        <f>IF('Cable Info'!L342="","",CONCATENATE('Cable Info'!L342," - ",'Cable Info'!M342))</f>
        <v/>
      </c>
      <c r="AM343" s="121" t="str">
        <f t="shared" si="95"/>
        <v/>
      </c>
      <c r="AO343" s="121" t="str">
        <f>IF('Cable Info'!N342="","",CONCATENATE('Cable Info'!N342," - ",'Cable Info'!O342))</f>
        <v/>
      </c>
      <c r="AR343" s="121" t="str">
        <f t="shared" si="96"/>
        <v/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str">
        <f>IF('Cable Info'!L343="","",CONCATENATE('Cable Info'!L343," - ",'Cable Info'!M343))</f>
        <v/>
      </c>
      <c r="AM344" s="121" t="str">
        <f t="shared" si="95"/>
        <v/>
      </c>
      <c r="AO344" s="121" t="str">
        <f>IF('Cable Info'!N343="","",CONCATENATE('Cable Info'!N343," - ",'Cable Info'!O343))</f>
        <v/>
      </c>
      <c r="AR344" s="121" t="str">
        <f t="shared" si="96"/>
        <v/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str">
        <f>IF('Cable Info'!L344="","",CONCATENATE('Cable Info'!L344," - ",'Cable Info'!M344))</f>
        <v/>
      </c>
      <c r="AM345" s="121" t="str">
        <f t="shared" si="95"/>
        <v/>
      </c>
      <c r="AO345" s="121" t="str">
        <f>IF('Cable Info'!N344="","",CONCATENATE('Cable Info'!N344," - ",'Cable Info'!O344))</f>
        <v/>
      </c>
      <c r="AR345" s="121" t="str">
        <f t="shared" si="96"/>
        <v/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str">
        <f>IF('Cable Info'!L345="","",CONCATENATE('Cable Info'!L345," - ",'Cable Info'!M345))</f>
        <v/>
      </c>
      <c r="AM346" s="121" t="str">
        <f t="shared" si="95"/>
        <v/>
      </c>
      <c r="AO346" s="121" t="str">
        <f>IF('Cable Info'!N345="","",CONCATENATE('Cable Info'!N345," - ",'Cable Info'!O345))</f>
        <v/>
      </c>
      <c r="AR346" s="121" t="str">
        <f t="shared" si="96"/>
        <v/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str">
        <f>IF('Cable Info'!L346="","",CONCATENATE('Cable Info'!L346," - ",'Cable Info'!M346))</f>
        <v/>
      </c>
      <c r="AM347" s="121" t="str">
        <f t="shared" si="95"/>
        <v/>
      </c>
      <c r="AO347" s="121" t="str">
        <f>IF('Cable Info'!N346="","",CONCATENATE('Cable Info'!N346," - ",'Cable Info'!O346))</f>
        <v/>
      </c>
      <c r="AR347" s="121" t="str">
        <f t="shared" si="96"/>
        <v/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str">
        <f>IF('Cable Info'!L347="","",CONCATENATE('Cable Info'!L347," - ",'Cable Info'!M347))</f>
        <v/>
      </c>
      <c r="AM348" s="121" t="str">
        <f t="shared" si="95"/>
        <v/>
      </c>
      <c r="AO348" s="121" t="str">
        <f>IF('Cable Info'!N347="","",CONCATENATE('Cable Info'!N347," - ",'Cable Info'!O347))</f>
        <v/>
      </c>
      <c r="AR348" s="121" t="str">
        <f t="shared" si="96"/>
        <v/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str">
        <f>IF('Cable Info'!L348="","",CONCATENATE('Cable Info'!L348," - ",'Cable Info'!M348))</f>
        <v/>
      </c>
      <c r="AM349" s="121" t="str">
        <f t="shared" si="95"/>
        <v/>
      </c>
      <c r="AO349" s="121" t="str">
        <f>IF('Cable Info'!N348="","",CONCATENATE('Cable Info'!N348," - ",'Cable Info'!O348))</f>
        <v/>
      </c>
      <c r="AR349" s="121" t="str">
        <f t="shared" si="96"/>
        <v/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str">
        <f>IF('Cable Info'!L349="","",CONCATENATE('Cable Info'!L349," - ",'Cable Info'!M349))</f>
        <v/>
      </c>
      <c r="AM350" s="121" t="str">
        <f t="shared" si="95"/>
        <v/>
      </c>
      <c r="AO350" s="121" t="str">
        <f>IF('Cable Info'!N349="","",CONCATENATE('Cable Info'!N349," - ",'Cable Info'!O349))</f>
        <v/>
      </c>
      <c r="AR350" s="121" t="str">
        <f t="shared" si="96"/>
        <v/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str">
        <f>IF('Cable Info'!L350="","",CONCATENATE('Cable Info'!L350," - ",'Cable Info'!M350))</f>
        <v/>
      </c>
      <c r="AM351" s="121" t="str">
        <f t="shared" si="95"/>
        <v/>
      </c>
      <c r="AO351" s="121" t="str">
        <f>IF('Cable Info'!N350="","",CONCATENATE('Cable Info'!N350," - ",'Cable Info'!O350))</f>
        <v/>
      </c>
      <c r="AR351" s="121" t="str">
        <f t="shared" si="96"/>
        <v/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str">
        <f>IF('Cable Info'!L351="","",CONCATENATE('Cable Info'!L351," - ",'Cable Info'!M351))</f>
        <v/>
      </c>
      <c r="AM352" s="121" t="str">
        <f t="shared" si="95"/>
        <v/>
      </c>
      <c r="AO352" s="121" t="str">
        <f>IF('Cable Info'!N351="","",CONCATENATE('Cable Info'!N351," - ",'Cable Info'!O351))</f>
        <v/>
      </c>
      <c r="AR352" s="121" t="str">
        <f t="shared" si="96"/>
        <v/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str">
        <f>IF('Cable Info'!L352="","",CONCATENATE('Cable Info'!L352," - ",'Cable Info'!M352))</f>
        <v/>
      </c>
      <c r="AM353" s="121" t="str">
        <f t="shared" si="95"/>
        <v/>
      </c>
      <c r="AO353" s="121" t="str">
        <f>IF('Cable Info'!N352="","",CONCATENATE('Cable Info'!N352," - ",'Cable Info'!O352))</f>
        <v/>
      </c>
      <c r="AR353" s="121" t="str">
        <f t="shared" si="96"/>
        <v/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str">
        <f>IF('Cable Info'!L353="","",CONCATENATE('Cable Info'!L353," - ",'Cable Info'!M353))</f>
        <v/>
      </c>
      <c r="AM354" s="121" t="str">
        <f t="shared" si="95"/>
        <v/>
      </c>
      <c r="AO354" s="121" t="str">
        <f>IF('Cable Info'!N353="","",CONCATENATE('Cable Info'!N353," - ",'Cable Info'!O353))</f>
        <v/>
      </c>
      <c r="AR354" s="121" t="str">
        <f t="shared" si="96"/>
        <v/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str">
        <f>IF('Cable Info'!L354="","",CONCATENATE('Cable Info'!L354," - ",'Cable Info'!M354))</f>
        <v/>
      </c>
      <c r="AM355" s="121" t="str">
        <f t="shared" si="95"/>
        <v/>
      </c>
      <c r="AO355" s="121" t="str">
        <f>IF('Cable Info'!N354="","",CONCATENATE('Cable Info'!N354," - ",'Cable Info'!O354))</f>
        <v/>
      </c>
      <c r="AR355" s="121" t="str">
        <f t="shared" si="96"/>
        <v/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str">
        <f>IF('Cable Info'!L355="","",CONCATENATE('Cable Info'!L355," - ",'Cable Info'!M355))</f>
        <v/>
      </c>
      <c r="AM356" s="121" t="str">
        <f t="shared" si="95"/>
        <v/>
      </c>
      <c r="AO356" s="121" t="str">
        <f>IF('Cable Info'!N355="","",CONCATENATE('Cable Info'!N355," - ",'Cable Info'!O355))</f>
        <v/>
      </c>
      <c r="AR356" s="121" t="str">
        <f t="shared" si="96"/>
        <v/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str">
        <f>IF('Cable Info'!L356="","",CONCATENATE('Cable Info'!L356," - ",'Cable Info'!M356))</f>
        <v/>
      </c>
      <c r="AM357" s="121" t="str">
        <f t="shared" si="95"/>
        <v/>
      </c>
      <c r="AO357" s="121" t="str">
        <f>IF('Cable Info'!N356="","",CONCATENATE('Cable Info'!N356," - ",'Cable Info'!O356))</f>
        <v/>
      </c>
      <c r="AR357" s="121" t="str">
        <f t="shared" si="96"/>
        <v/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str">
        <f>IF('Cable Info'!L357="","",CONCATENATE('Cable Info'!L357," - ",'Cable Info'!M357))</f>
        <v/>
      </c>
      <c r="AM358" s="121" t="str">
        <f t="shared" si="95"/>
        <v/>
      </c>
      <c r="AO358" s="121" t="str">
        <f>IF('Cable Info'!N357="","",CONCATENATE('Cable Info'!N357," - ",'Cable Info'!O357))</f>
        <v/>
      </c>
      <c r="AR358" s="121" t="str">
        <f t="shared" si="96"/>
        <v/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str">
        <f>IF('Cable Info'!L358="","",CONCATENATE('Cable Info'!L358," - ",'Cable Info'!M358))</f>
        <v/>
      </c>
      <c r="AM359" s="121" t="str">
        <f t="shared" si="95"/>
        <v/>
      </c>
      <c r="AO359" s="121" t="str">
        <f>IF('Cable Info'!N358="","",CONCATENATE('Cable Info'!N358," - ",'Cable Info'!O358))</f>
        <v/>
      </c>
      <c r="AR359" s="121" t="str">
        <f t="shared" si="96"/>
        <v/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str">
        <f>IF('Cable Info'!L359="","",CONCATENATE('Cable Info'!L359," - ",'Cable Info'!M359))</f>
        <v/>
      </c>
      <c r="AM360" s="121" t="str">
        <f t="shared" si="95"/>
        <v/>
      </c>
      <c r="AO360" s="121" t="str">
        <f>IF('Cable Info'!N359="","",CONCATENATE('Cable Info'!N359," - ",'Cable Info'!O359))</f>
        <v/>
      </c>
      <c r="AR360" s="121" t="str">
        <f t="shared" si="96"/>
        <v/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str">
        <f>IF('Cable Info'!L360="","",CONCATENATE('Cable Info'!L360," - ",'Cable Info'!M360))</f>
        <v/>
      </c>
      <c r="AM361" s="121" t="str">
        <f t="shared" si="95"/>
        <v/>
      </c>
      <c r="AO361" s="121" t="str">
        <f>IF('Cable Info'!N360="","",CONCATENATE('Cable Info'!N360," - ",'Cable Info'!O360))</f>
        <v/>
      </c>
      <c r="AR361" s="121" t="str">
        <f t="shared" si="96"/>
        <v/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str">
        <f>IF('Cable Info'!L361="","",CONCATENATE('Cable Info'!L361," - ",'Cable Info'!M361))</f>
        <v/>
      </c>
      <c r="AM362" s="121" t="str">
        <f t="shared" si="95"/>
        <v/>
      </c>
      <c r="AO362" s="121" t="str">
        <f>IF('Cable Info'!N361="","",CONCATENATE('Cable Info'!N361," - ",'Cable Info'!O361))</f>
        <v/>
      </c>
      <c r="AR362" s="121" t="str">
        <f t="shared" si="96"/>
        <v/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str">
        <f>IF('Cable Info'!L362="","",CONCATENATE('Cable Info'!L362," - ",'Cable Info'!M362))</f>
        <v/>
      </c>
      <c r="AM363" s="121" t="str">
        <f t="shared" si="95"/>
        <v/>
      </c>
      <c r="AO363" s="121" t="str">
        <f>IF('Cable Info'!N362="","",CONCATENATE('Cable Info'!N362," - ",'Cable Info'!O362))</f>
        <v/>
      </c>
      <c r="AR363" s="121" t="str">
        <f t="shared" si="96"/>
        <v/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str">
        <f>IF('Cable Info'!L363="","",CONCATENATE('Cable Info'!L363," - ",'Cable Info'!M363))</f>
        <v/>
      </c>
      <c r="AM364" s="121" t="str">
        <f t="shared" si="95"/>
        <v/>
      </c>
      <c r="AO364" s="121" t="str">
        <f>IF('Cable Info'!N363="","",CONCATENATE('Cable Info'!N363," - ",'Cable Info'!O363))</f>
        <v/>
      </c>
      <c r="AR364" s="121" t="str">
        <f t="shared" si="96"/>
        <v/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str">
        <f>IF('Cable Info'!L364="","",CONCATENATE('Cable Info'!L364," - ",'Cable Info'!M364))</f>
        <v/>
      </c>
      <c r="AM365" s="121" t="str">
        <f t="shared" si="95"/>
        <v/>
      </c>
      <c r="AO365" s="121" t="str">
        <f>IF('Cable Info'!N364="","",CONCATENATE('Cable Info'!N364," - ",'Cable Info'!O364))</f>
        <v/>
      </c>
      <c r="AR365" s="121" t="str">
        <f t="shared" si="96"/>
        <v/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str">
        <f>IF('Cable Info'!L365="","",CONCATENATE('Cable Info'!L365," - ",'Cable Info'!M365))</f>
        <v/>
      </c>
      <c r="AM366" s="121" t="str">
        <f t="shared" si="95"/>
        <v/>
      </c>
      <c r="AO366" s="121" t="str">
        <f>IF('Cable Info'!N365="","",CONCATENATE('Cable Info'!N365," - ",'Cable Info'!O365))</f>
        <v/>
      </c>
      <c r="AR366" s="121" t="str">
        <f t="shared" si="96"/>
        <v/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str">
        <f>IF('Cable Info'!L366="","",CONCATENATE('Cable Info'!L366," - ",'Cable Info'!M366))</f>
        <v/>
      </c>
      <c r="AM367" s="121" t="str">
        <f t="shared" si="95"/>
        <v/>
      </c>
      <c r="AO367" s="121" t="str">
        <f>IF('Cable Info'!N366="","",CONCATENATE('Cable Info'!N366," - ",'Cable Info'!O366))</f>
        <v/>
      </c>
      <c r="AR367" s="121" t="str">
        <f t="shared" si="96"/>
        <v/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str">
        <f>IF('Cable Info'!L367="","",CONCATENATE('Cable Info'!L367," - ",'Cable Info'!M367))</f>
        <v/>
      </c>
      <c r="AM368" s="121" t="str">
        <f t="shared" si="95"/>
        <v/>
      </c>
      <c r="AO368" s="121" t="str">
        <f>IF('Cable Info'!N367="","",CONCATENATE('Cable Info'!N367," - ",'Cable Info'!O367))</f>
        <v/>
      </c>
      <c r="AR368" s="121" t="str">
        <f t="shared" si="96"/>
        <v/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str">
        <f>IF('Cable Info'!L186="","",CONCATENATE('Cable Info'!L186," - ",'Cable Info'!M186))</f>
        <v/>
      </c>
      <c r="AM369" s="121" t="str">
        <f t="shared" ref="AM369:AM379" si="107">IF(AK369="",AJ369,CONCATENATE(AJ369,"  &lt;=&gt; ",AK369," ",AL369))</f>
        <v/>
      </c>
      <c r="AO369" s="121" t="str">
        <f>IF('Cable Info'!N186="","",CONCATENATE('Cable Info'!N186," - ",'Cable Info'!O186))</f>
        <v/>
      </c>
      <c r="AR369" s="121" t="str">
        <f t="shared" ref="AR369:AR379" si="108">IF(AP369="",AO369,CONCATENATE(AO369,"  &lt;=&gt; ",AP369," ",AQ369))</f>
        <v/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str">
        <f>IF('Cable Info'!L187="","",CONCATENATE('Cable Info'!L187," - ",'Cable Info'!M187))</f>
        <v/>
      </c>
      <c r="AM370" s="121" t="str">
        <f t="shared" si="107"/>
        <v/>
      </c>
      <c r="AO370" s="121" t="str">
        <f>IF('Cable Info'!N187="","",CONCATENATE('Cable Info'!N187," - ",'Cable Info'!O187))</f>
        <v/>
      </c>
      <c r="AR370" s="121" t="str">
        <f t="shared" si="108"/>
        <v/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str">
        <f>IF('Cable Info'!L188="","",CONCATENATE('Cable Info'!L188," - ",'Cable Info'!M188))</f>
        <v/>
      </c>
      <c r="AM371" s="121" t="str">
        <f t="shared" si="107"/>
        <v/>
      </c>
      <c r="AO371" s="121" t="str">
        <f>IF('Cable Info'!N188="","",CONCATENATE('Cable Info'!N188," - ",'Cable Info'!O188))</f>
        <v/>
      </c>
      <c r="AR371" s="121" t="str">
        <f t="shared" si="108"/>
        <v/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str">
        <f>IF('Cable Info'!L189="","",CONCATENATE('Cable Info'!L189," - ",'Cable Info'!M189))</f>
        <v/>
      </c>
      <c r="AM372" s="121" t="str">
        <f t="shared" si="107"/>
        <v/>
      </c>
      <c r="AO372" s="121" t="str">
        <f>IF('Cable Info'!N189="","",CONCATENATE('Cable Info'!N189," - ",'Cable Info'!O189))</f>
        <v/>
      </c>
      <c r="AR372" s="121" t="str">
        <f t="shared" si="108"/>
        <v/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str">
        <f>IF('Cable Info'!L190="","",CONCATENATE('Cable Info'!L190," - ",'Cable Info'!M190))</f>
        <v/>
      </c>
      <c r="AM373" s="121" t="str">
        <f t="shared" si="107"/>
        <v/>
      </c>
      <c r="AO373" s="121" t="str">
        <f>IF('Cable Info'!N190="","",CONCATENATE('Cable Info'!N190," - ",'Cable Info'!O190))</f>
        <v/>
      </c>
      <c r="AR373" s="121" t="str">
        <f t="shared" si="108"/>
        <v/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str">
        <f>IF('Cable Info'!L191="","",CONCATENATE('Cable Info'!L191," - ",'Cable Info'!M191))</f>
        <v/>
      </c>
      <c r="AM374" s="121" t="str">
        <f t="shared" si="107"/>
        <v/>
      </c>
      <c r="AO374" s="121" t="str">
        <f>IF('Cable Info'!N191="","",CONCATENATE('Cable Info'!N191," - ",'Cable Info'!O191))</f>
        <v/>
      </c>
      <c r="AR374" s="121" t="str">
        <f t="shared" si="108"/>
        <v/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str">
        <f>IF('Cable Info'!L192="","",CONCATENATE('Cable Info'!L192," - ",'Cable Info'!M192))</f>
        <v/>
      </c>
      <c r="AM375" s="121" t="str">
        <f t="shared" si="107"/>
        <v/>
      </c>
      <c r="AO375" s="121" t="str">
        <f>IF('Cable Info'!N192="","",CONCATENATE('Cable Info'!N192," - ",'Cable Info'!O192))</f>
        <v/>
      </c>
      <c r="AR375" s="121" t="str">
        <f t="shared" si="108"/>
        <v/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str">
        <f>IF('Cable Info'!L193="","",CONCATENATE('Cable Info'!L193," - ",'Cable Info'!M193))</f>
        <v/>
      </c>
      <c r="AM376" s="121" t="str">
        <f t="shared" si="107"/>
        <v/>
      </c>
      <c r="AO376" s="121" t="str">
        <f>IF('Cable Info'!N193="","",CONCATENATE('Cable Info'!N193," - ",'Cable Info'!O193))</f>
        <v/>
      </c>
      <c r="AR376" s="121" t="str">
        <f t="shared" si="108"/>
        <v/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str">
        <f>IF('Cable Info'!L194="","",CONCATENATE('Cable Info'!L194," - ",'Cable Info'!M194))</f>
        <v/>
      </c>
      <c r="AM377" s="121" t="str">
        <f t="shared" si="107"/>
        <v/>
      </c>
      <c r="AO377" s="121" t="str">
        <f>IF('Cable Info'!N194="","",CONCATENATE('Cable Info'!N194," - ",'Cable Info'!O194))</f>
        <v/>
      </c>
      <c r="AR377" s="121" t="str">
        <f t="shared" si="108"/>
        <v/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str">
        <f>IF('Cable Info'!L195="","",CONCATENATE('Cable Info'!L195," - ",'Cable Info'!M195))</f>
        <v/>
      </c>
      <c r="AM378" s="121" t="str">
        <f t="shared" si="107"/>
        <v/>
      </c>
      <c r="AO378" s="121" t="str">
        <f>IF('Cable Info'!N195="","",CONCATENATE('Cable Info'!N195," - ",'Cable Info'!O195))</f>
        <v/>
      </c>
      <c r="AR378" s="121" t="str">
        <f t="shared" si="108"/>
        <v/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str">
        <f>IF('Cable Info'!L196="","",CONCATENATE('Cable Info'!L196," - ",'Cable Info'!M196))</f>
        <v/>
      </c>
      <c r="AM379" s="121" t="str">
        <f t="shared" si="107"/>
        <v/>
      </c>
      <c r="AO379" s="121" t="str">
        <f>IF('Cable Info'!N196="","",CONCATENATE('Cable Info'!N196," - ",'Cable Info'!O196))</f>
        <v/>
      </c>
      <c r="AR379" s="121" t="str">
        <f t="shared" si="108"/>
        <v/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str">
        <f>IF('Cable Info'!L84="","",CONCATENATE('Cable Info'!L84," - ",'Cable Info'!M84))</f>
        <v/>
      </c>
      <c r="AM380" s="121" t="str">
        <f t="shared" ref="AM380:AM426" si="119">IF(AK380="",AJ380,CONCATENATE(AJ380,"  &lt;=&gt; ",AK380," ",AL380))</f>
        <v/>
      </c>
      <c r="AO380" s="121" t="str">
        <f>IF('Cable Info'!N84="","",CONCATENATE('Cable Info'!N84," - ",'Cable Info'!O84))</f>
        <v/>
      </c>
      <c r="AR380" s="121" t="str">
        <f t="shared" ref="AR380:AR426" si="120">IF(AP380="",AO380,CONCATENATE(AO380,"  &lt;=&gt; ",AP380," ",AQ380))</f>
        <v/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str">
        <f>IF('Cable Info'!L85="","",CONCATENATE('Cable Info'!L85," - ",'Cable Info'!M85))</f>
        <v/>
      </c>
      <c r="AM381" s="121" t="str">
        <f t="shared" si="119"/>
        <v/>
      </c>
      <c r="AO381" s="121" t="str">
        <f>IF('Cable Info'!N85="","",CONCATENATE('Cable Info'!N85," - ",'Cable Info'!O85))</f>
        <v/>
      </c>
      <c r="AR381" s="121" t="str">
        <f t="shared" si="120"/>
        <v/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str">
        <f>IF('Cable Info'!L86="","",CONCATENATE('Cable Info'!L86," - ",'Cable Info'!M86))</f>
        <v/>
      </c>
      <c r="AK382" s="164"/>
      <c r="AL382" s="164"/>
      <c r="AM382" s="164" t="str">
        <f t="shared" si="119"/>
        <v/>
      </c>
      <c r="AN382" s="164"/>
      <c r="AO382" s="164" t="str">
        <f>IF('Cable Info'!N86="","",CONCATENATE('Cable Info'!N86," - ",'Cable Info'!O86))</f>
        <v/>
      </c>
      <c r="AP382" s="164"/>
      <c r="AQ382" s="164"/>
      <c r="AR382" s="164" t="str">
        <f t="shared" si="120"/>
        <v/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str">
        <f>IF('Cable Info'!L87="","",CONCATENATE('Cable Info'!L87," - ",'Cable Info'!M87))</f>
        <v/>
      </c>
      <c r="AK383" s="160"/>
      <c r="AL383" s="160"/>
      <c r="AM383" s="160" t="str">
        <f t="shared" si="119"/>
        <v/>
      </c>
      <c r="AN383" s="160"/>
      <c r="AO383" s="160" t="str">
        <f>IF('Cable Info'!N87="","",CONCATENATE('Cable Info'!N87," - ",'Cable Info'!O87))</f>
        <v/>
      </c>
      <c r="AP383" s="160"/>
      <c r="AQ383" s="160"/>
      <c r="AR383" s="160" t="str">
        <f t="shared" si="120"/>
        <v/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str">
        <f>IF('Cable Info'!L88="","",CONCATENATE('Cable Info'!L88," - ",'Cable Info'!M88))</f>
        <v/>
      </c>
      <c r="AM384" s="121" t="str">
        <f t="shared" si="119"/>
        <v/>
      </c>
      <c r="AO384" s="121" t="str">
        <f>IF('Cable Info'!N88="","",CONCATENATE('Cable Info'!N88," - ",'Cable Info'!O88))</f>
        <v/>
      </c>
      <c r="AR384" s="121" t="str">
        <f t="shared" si="120"/>
        <v/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str">
        <f>IF('Cable Info'!L89="","",CONCATENATE('Cable Info'!L89," - ",'Cable Info'!M89))</f>
        <v/>
      </c>
      <c r="AM385" s="121" t="str">
        <f t="shared" si="119"/>
        <v/>
      </c>
      <c r="AO385" s="121" t="str">
        <f>IF('Cable Info'!N89="","",CONCATENATE('Cable Info'!N89," - ",'Cable Info'!O89))</f>
        <v/>
      </c>
      <c r="AR385" s="121" t="str">
        <f t="shared" si="120"/>
        <v/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str">
        <f>IF('Cable Info'!L90="","",CONCATENATE('Cable Info'!L90," - ",'Cable Info'!M90))</f>
        <v/>
      </c>
      <c r="AM386" s="121" t="str">
        <f t="shared" si="119"/>
        <v/>
      </c>
      <c r="AO386" s="121" t="str">
        <f>IF('Cable Info'!N90="","",CONCATENATE('Cable Info'!N90," - ",'Cable Info'!O90))</f>
        <v/>
      </c>
      <c r="AR386" s="121" t="str">
        <f t="shared" si="120"/>
        <v/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str">
        <f>IF('Cable Info'!L91="","",CONCATENATE('Cable Info'!L91," - ",'Cable Info'!M91))</f>
        <v/>
      </c>
      <c r="AM387" s="121" t="str">
        <f t="shared" si="119"/>
        <v/>
      </c>
      <c r="AO387" s="121" t="str">
        <f>IF('Cable Info'!N91="","",CONCATENATE('Cable Info'!N91," - ",'Cable Info'!O91))</f>
        <v/>
      </c>
      <c r="AR387" s="121" t="str">
        <f t="shared" si="120"/>
        <v/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str">
        <f>IF('Cable Info'!L92="","",CONCATENATE('Cable Info'!L92," - ",'Cable Info'!M92))</f>
        <v/>
      </c>
      <c r="AM388" s="121" t="str">
        <f t="shared" si="119"/>
        <v/>
      </c>
      <c r="AO388" s="121" t="str">
        <f>IF('Cable Info'!N92="","",CONCATENATE('Cable Info'!N92," - ",'Cable Info'!O92))</f>
        <v/>
      </c>
      <c r="AR388" s="121" t="str">
        <f t="shared" si="120"/>
        <v/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str">
        <f>IF('Cable Info'!L93="","",CONCATENATE('Cable Info'!L93," - ",'Cable Info'!M93))</f>
        <v/>
      </c>
      <c r="AM389" s="121" t="str">
        <f t="shared" si="119"/>
        <v/>
      </c>
      <c r="AO389" s="121" t="str">
        <f>IF('Cable Info'!N93="","",CONCATENATE('Cable Info'!N93," - ",'Cable Info'!O93))</f>
        <v/>
      </c>
      <c r="AR389" s="121" t="str">
        <f t="shared" si="120"/>
        <v/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str">
        <f>IF('Cable Info'!L94="","",CONCATENATE('Cable Info'!L94," - ",'Cable Info'!M94))</f>
        <v/>
      </c>
      <c r="AM390" s="121" t="str">
        <f t="shared" si="119"/>
        <v/>
      </c>
      <c r="AO390" s="121" t="str">
        <f>IF('Cable Info'!N94="","",CONCATENATE('Cable Info'!N94," - ",'Cable Info'!O94))</f>
        <v/>
      </c>
      <c r="AR390" s="121" t="str">
        <f t="shared" si="120"/>
        <v/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str">
        <f>IF('Cable Info'!L95="","",CONCATENATE('Cable Info'!L95," - ",'Cable Info'!M95))</f>
        <v/>
      </c>
      <c r="AM391" s="121" t="str">
        <f t="shared" si="119"/>
        <v/>
      </c>
      <c r="AO391" s="121" t="str">
        <f>IF('Cable Info'!N95="","",CONCATENATE('Cable Info'!N95," - ",'Cable Info'!O95))</f>
        <v/>
      </c>
      <c r="AR391" s="121" t="str">
        <f t="shared" si="120"/>
        <v/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str">
        <f>IF('Cable Info'!L96="","",CONCATENATE('Cable Info'!L96," - ",'Cable Info'!M96))</f>
        <v/>
      </c>
      <c r="AM392" s="121" t="str">
        <f t="shared" si="119"/>
        <v/>
      </c>
      <c r="AO392" s="121" t="str">
        <f>IF('Cable Info'!N96="","",CONCATENATE('Cable Info'!N96," - ",'Cable Info'!O96))</f>
        <v/>
      </c>
      <c r="AR392" s="121" t="str">
        <f t="shared" si="120"/>
        <v/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str">
        <f>IF('Cable Info'!L97="","",CONCATENATE('Cable Info'!L97," - ",'Cable Info'!M97))</f>
        <v/>
      </c>
      <c r="AM393" s="121" t="str">
        <f t="shared" si="119"/>
        <v/>
      </c>
      <c r="AO393" s="121" t="str">
        <f>IF('Cable Info'!N97="","",CONCATENATE('Cable Info'!N97," - ",'Cable Info'!O97))</f>
        <v/>
      </c>
      <c r="AR393" s="121" t="str">
        <f t="shared" si="120"/>
        <v/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str">
        <f>IF('Cable Info'!L98="","",CONCATENATE('Cable Info'!L98," - ",'Cable Info'!M98))</f>
        <v/>
      </c>
      <c r="AM394" s="121" t="str">
        <f t="shared" si="119"/>
        <v/>
      </c>
      <c r="AO394" s="121" t="str">
        <f>IF('Cable Info'!N98="","",CONCATENATE('Cable Info'!N98," - ",'Cable Info'!O98))</f>
        <v/>
      </c>
      <c r="AR394" s="121" t="str">
        <f t="shared" si="120"/>
        <v/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str">
        <f>IF('Cable Info'!L99="","",CONCATENATE('Cable Info'!L99," - ",'Cable Info'!M99))</f>
        <v/>
      </c>
      <c r="AM395" s="121" t="str">
        <f t="shared" si="119"/>
        <v/>
      </c>
      <c r="AO395" s="121" t="str">
        <f>IF('Cable Info'!N99="","",CONCATENATE('Cable Info'!N99," - ",'Cable Info'!O99))</f>
        <v/>
      </c>
      <c r="AR395" s="121" t="str">
        <f t="shared" si="120"/>
        <v/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str">
        <f>IF('Cable Info'!L100="","",CONCATENATE('Cable Info'!L100," - ",'Cable Info'!M100))</f>
        <v/>
      </c>
      <c r="AM396" s="121" t="str">
        <f t="shared" si="119"/>
        <v/>
      </c>
      <c r="AO396" s="121" t="str">
        <f>IF('Cable Info'!N100="","",CONCATENATE('Cable Info'!N100," - ",'Cable Info'!O100))</f>
        <v/>
      </c>
      <c r="AR396" s="121" t="str">
        <f t="shared" si="120"/>
        <v/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str">
        <f>IF('Cable Info'!L101="","",CONCATENATE('Cable Info'!L101," - ",'Cable Info'!M101))</f>
        <v/>
      </c>
      <c r="AM397" s="121" t="str">
        <f t="shared" si="119"/>
        <v/>
      </c>
      <c r="AO397" s="121" t="str">
        <f>IF('Cable Info'!N101="","",CONCATENATE('Cable Info'!N101," - ",'Cable Info'!O101))</f>
        <v/>
      </c>
      <c r="AR397" s="121" t="str">
        <f t="shared" si="120"/>
        <v/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str">
        <f>IF('Cable Info'!L102="","",CONCATENATE('Cable Info'!L102," - ",'Cable Info'!M102))</f>
        <v/>
      </c>
      <c r="AM398" s="121" t="str">
        <f t="shared" si="119"/>
        <v/>
      </c>
      <c r="AO398" s="121" t="str">
        <f>IF('Cable Info'!N102="","",CONCATENATE('Cable Info'!N102," - ",'Cable Info'!O102))</f>
        <v/>
      </c>
      <c r="AR398" s="121" t="str">
        <f t="shared" si="120"/>
        <v/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str">
        <f>IF('Cable Info'!L103="","",CONCATENATE('Cable Info'!L103," - ",'Cable Info'!M103))</f>
        <v/>
      </c>
      <c r="AM399" s="121" t="str">
        <f t="shared" si="119"/>
        <v/>
      </c>
      <c r="AO399" s="121" t="str">
        <f>IF('Cable Info'!N103="","",CONCATENATE('Cable Info'!N103," - ",'Cable Info'!O103))</f>
        <v/>
      </c>
      <c r="AR399" s="121" t="str">
        <f t="shared" si="120"/>
        <v/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str">
        <f>IF('Cable Info'!L104="","",CONCATENATE('Cable Info'!L104," - ",'Cable Info'!M104))</f>
        <v/>
      </c>
      <c r="AM400" s="121" t="str">
        <f t="shared" si="119"/>
        <v/>
      </c>
      <c r="AO400" s="121" t="str">
        <f>IF('Cable Info'!N104="","",CONCATENATE('Cable Info'!N104," - ",'Cable Info'!O104))</f>
        <v/>
      </c>
      <c r="AR400" s="121" t="str">
        <f t="shared" si="120"/>
        <v/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str">
        <f>IF('Cable Info'!L105="","",CONCATENATE('Cable Info'!L105," - ",'Cable Info'!M105))</f>
        <v/>
      </c>
      <c r="AM401" s="121" t="str">
        <f t="shared" si="119"/>
        <v/>
      </c>
      <c r="AO401" s="121" t="str">
        <f>IF('Cable Info'!N105="","",CONCATENATE('Cable Info'!N105," - ",'Cable Info'!O105))</f>
        <v/>
      </c>
      <c r="AR401" s="121" t="str">
        <f t="shared" si="120"/>
        <v/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str">
        <f>IF('Cable Info'!L106="","",CONCATENATE('Cable Info'!L106," - ",'Cable Info'!M106))</f>
        <v/>
      </c>
      <c r="AM402" s="121" t="str">
        <f t="shared" si="119"/>
        <v/>
      </c>
      <c r="AO402" s="121" t="str">
        <f>IF('Cable Info'!N106="","",CONCATENATE('Cable Info'!N106," - ",'Cable Info'!O106))</f>
        <v/>
      </c>
      <c r="AR402" s="121" t="str">
        <f t="shared" si="120"/>
        <v/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str">
        <f>IF('Cable Info'!L107="","",CONCATENATE('Cable Info'!L107," - ",'Cable Info'!M107))</f>
        <v/>
      </c>
      <c r="AM403" s="121" t="str">
        <f t="shared" si="119"/>
        <v/>
      </c>
      <c r="AO403" s="121" t="str">
        <f>IF('Cable Info'!N107="","",CONCATENATE('Cable Info'!N107," - ",'Cable Info'!O107))</f>
        <v/>
      </c>
      <c r="AR403" s="121" t="str">
        <f t="shared" si="120"/>
        <v/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str">
        <f>IF('Cable Info'!L108="","",CONCATENATE('Cable Info'!L108," - ",'Cable Info'!M108))</f>
        <v/>
      </c>
      <c r="AM404" s="121" t="str">
        <f t="shared" si="119"/>
        <v/>
      </c>
      <c r="AO404" s="121" t="str">
        <f>IF('Cable Info'!N108="","",CONCATENATE('Cable Info'!N108," - ",'Cable Info'!O108))</f>
        <v/>
      </c>
      <c r="AR404" s="121" t="str">
        <f t="shared" si="120"/>
        <v/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str">
        <f>IF('Cable Info'!L109="","",CONCATENATE('Cable Info'!L109," - ",'Cable Info'!M109))</f>
        <v/>
      </c>
      <c r="AM405" s="121" t="str">
        <f t="shared" si="119"/>
        <v/>
      </c>
      <c r="AO405" s="121" t="str">
        <f>IF('Cable Info'!N109="","",CONCATENATE('Cable Info'!N109," - ",'Cable Info'!O109))</f>
        <v/>
      </c>
      <c r="AR405" s="121" t="str">
        <f t="shared" si="120"/>
        <v/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str">
        <f>IF('Cable Info'!L110="","",CONCATENATE('Cable Info'!L110," - ",'Cable Info'!M110))</f>
        <v/>
      </c>
      <c r="AM406" s="121" t="str">
        <f t="shared" si="119"/>
        <v/>
      </c>
      <c r="AO406" s="121" t="str">
        <f>IF('Cable Info'!N110="","",CONCATENATE('Cable Info'!N110," - ",'Cable Info'!O110))</f>
        <v/>
      </c>
      <c r="AR406" s="121" t="str">
        <f t="shared" si="120"/>
        <v/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str">
        <f>IF('Cable Info'!L111="","",CONCATENATE('Cable Info'!L111," - ",'Cable Info'!M111))</f>
        <v/>
      </c>
      <c r="AM407" s="121" t="str">
        <f t="shared" si="119"/>
        <v/>
      </c>
      <c r="AO407" s="121" t="str">
        <f>IF('Cable Info'!N111="","",CONCATENATE('Cable Info'!N111," - ",'Cable Info'!O111))</f>
        <v/>
      </c>
      <c r="AR407" s="121" t="str">
        <f t="shared" si="120"/>
        <v/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str">
        <f>IF('Cable Info'!L112="","",CONCATENATE('Cable Info'!L112," - ",'Cable Info'!M112))</f>
        <v/>
      </c>
      <c r="AM408" s="121" t="str">
        <f t="shared" si="119"/>
        <v/>
      </c>
      <c r="AO408" s="121" t="str">
        <f>IF('Cable Info'!N112="","",CONCATENATE('Cable Info'!N112," - ",'Cable Info'!O112))</f>
        <v/>
      </c>
      <c r="AR408" s="121" t="str">
        <f t="shared" si="120"/>
        <v/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str">
        <f>IF('Cable Info'!L113="","",CONCATENATE('Cable Info'!L113," - ",'Cable Info'!M113))</f>
        <v/>
      </c>
      <c r="AM409" s="121" t="str">
        <f t="shared" si="119"/>
        <v/>
      </c>
      <c r="AO409" s="121" t="str">
        <f>IF('Cable Info'!N113="","",CONCATENATE('Cable Info'!N113," - ",'Cable Info'!O113))</f>
        <v/>
      </c>
      <c r="AR409" s="121" t="str">
        <f t="shared" si="120"/>
        <v/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str">
        <f>IF('Cable Info'!L114="","",CONCATENATE('Cable Info'!L114," - ",'Cable Info'!M114))</f>
        <v/>
      </c>
      <c r="AM410" s="121" t="str">
        <f t="shared" si="119"/>
        <v/>
      </c>
      <c r="AO410" s="121" t="str">
        <f>IF('Cable Info'!N114="","",CONCATENATE('Cable Info'!N114," - ",'Cable Info'!O114))</f>
        <v/>
      </c>
      <c r="AR410" s="121" t="str">
        <f t="shared" si="120"/>
        <v/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str">
        <f>IF('Cable Info'!L115="","",CONCATENATE('Cable Info'!L115," - ",'Cable Info'!M115))</f>
        <v/>
      </c>
      <c r="AM411" s="121" t="str">
        <f t="shared" si="119"/>
        <v/>
      </c>
      <c r="AO411" s="121" t="str">
        <f>IF('Cable Info'!N115="","",CONCATENATE('Cable Info'!N115," - ",'Cable Info'!O115))</f>
        <v/>
      </c>
      <c r="AR411" s="121" t="str">
        <f t="shared" si="120"/>
        <v/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str">
        <f>IF('Cable Info'!L116="","",CONCATENATE('Cable Info'!L116," - ",'Cable Info'!M116))</f>
        <v/>
      </c>
      <c r="AM412" s="121" t="str">
        <f t="shared" si="119"/>
        <v/>
      </c>
      <c r="AO412" s="121" t="str">
        <f>IF('Cable Info'!N116="","",CONCATENATE('Cable Info'!N116," - ",'Cable Info'!O116))</f>
        <v/>
      </c>
      <c r="AR412" s="121" t="str">
        <f t="shared" si="120"/>
        <v/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str">
        <f>IF('Cable Info'!L117="","",CONCATENATE('Cable Info'!L117," - ",'Cable Info'!M117))</f>
        <v/>
      </c>
      <c r="AM413" s="121" t="str">
        <f t="shared" si="119"/>
        <v/>
      </c>
      <c r="AO413" s="121" t="str">
        <f>IF('Cable Info'!N117="","",CONCATENATE('Cable Info'!N117," - ",'Cable Info'!O117))</f>
        <v/>
      </c>
      <c r="AR413" s="121" t="str">
        <f t="shared" si="120"/>
        <v/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str">
        <f>IF('Cable Info'!L118="","",CONCATENATE('Cable Info'!L118," - ",'Cable Info'!M118))</f>
        <v/>
      </c>
      <c r="AM414" s="121" t="str">
        <f t="shared" si="119"/>
        <v/>
      </c>
      <c r="AO414" s="121" t="str">
        <f>IF('Cable Info'!N118="","",CONCATENATE('Cable Info'!N118," - ",'Cable Info'!O118))</f>
        <v/>
      </c>
      <c r="AR414" s="121" t="str">
        <f t="shared" si="120"/>
        <v/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str">
        <f>IF('Cable Info'!L119="","",CONCATENATE('Cable Info'!L119," - ",'Cable Info'!M119))</f>
        <v/>
      </c>
      <c r="AM415" s="121" t="str">
        <f t="shared" si="119"/>
        <v/>
      </c>
      <c r="AO415" s="121" t="str">
        <f>IF('Cable Info'!N119="","",CONCATENATE('Cable Info'!N119," - ",'Cable Info'!O119))</f>
        <v/>
      </c>
      <c r="AR415" s="121" t="str">
        <f t="shared" si="120"/>
        <v/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str">
        <f>IF('Cable Info'!L120="","",CONCATENATE('Cable Info'!L120," - ",'Cable Info'!M120))</f>
        <v/>
      </c>
      <c r="AM416" s="121" t="str">
        <f t="shared" si="119"/>
        <v/>
      </c>
      <c r="AO416" s="121" t="str">
        <f>IF('Cable Info'!N120="","",CONCATENATE('Cable Info'!N120," - ",'Cable Info'!O120))</f>
        <v/>
      </c>
      <c r="AR416" s="121" t="str">
        <f t="shared" si="120"/>
        <v/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str">
        <f>IF('Cable Info'!L121="","",CONCATENATE('Cable Info'!L121," - ",'Cable Info'!M121))</f>
        <v/>
      </c>
      <c r="AM417" s="121" t="str">
        <f t="shared" si="119"/>
        <v/>
      </c>
      <c r="AO417" s="121" t="str">
        <f>IF('Cable Info'!N121="","",CONCATENATE('Cable Info'!N121," - ",'Cable Info'!O121))</f>
        <v/>
      </c>
      <c r="AR417" s="121" t="str">
        <f t="shared" si="120"/>
        <v/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str">
        <f>IF('Cable Info'!L122="","",CONCATENATE('Cable Info'!L122," - ",'Cable Info'!M122))</f>
        <v/>
      </c>
      <c r="AM418" s="121" t="str">
        <f t="shared" si="119"/>
        <v/>
      </c>
      <c r="AO418" s="121" t="str">
        <f>IF('Cable Info'!N122="","",CONCATENATE('Cable Info'!N122," - ",'Cable Info'!O122))</f>
        <v/>
      </c>
      <c r="AR418" s="121" t="str">
        <f t="shared" si="120"/>
        <v/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str">
        <f>IF('Cable Info'!L123="","",CONCATENATE('Cable Info'!L123," - ",'Cable Info'!M123))</f>
        <v/>
      </c>
      <c r="AM419" s="121" t="str">
        <f t="shared" si="119"/>
        <v/>
      </c>
      <c r="AO419" s="121" t="str">
        <f>IF('Cable Info'!N123="","",CONCATENATE('Cable Info'!N123," - ",'Cable Info'!O123))</f>
        <v/>
      </c>
      <c r="AR419" s="121" t="str">
        <f t="shared" si="120"/>
        <v/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str">
        <f>IF('Cable Info'!L124="","",CONCATENATE('Cable Info'!L124," - ",'Cable Info'!M124))</f>
        <v/>
      </c>
      <c r="AM420" s="121" t="str">
        <f t="shared" si="119"/>
        <v/>
      </c>
      <c r="AO420" s="121" t="str">
        <f>IF('Cable Info'!N124="","",CONCATENATE('Cable Info'!N124," - ",'Cable Info'!O124))</f>
        <v/>
      </c>
      <c r="AR420" s="121" t="str">
        <f t="shared" si="120"/>
        <v/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str">
        <f>IF('Cable Info'!L125="","",CONCATENATE('Cable Info'!L125," - ",'Cable Info'!M125))</f>
        <v/>
      </c>
      <c r="AM421" s="121" t="str">
        <f t="shared" si="119"/>
        <v/>
      </c>
      <c r="AO421" s="121" t="str">
        <f>IF('Cable Info'!N125="","",CONCATENATE('Cable Info'!N125," - ",'Cable Info'!O125))</f>
        <v/>
      </c>
      <c r="AR421" s="121" t="str">
        <f t="shared" si="120"/>
        <v/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str">
        <f>IF('Cable Info'!L126="","",CONCATENATE('Cable Info'!L126," - ",'Cable Info'!M126))</f>
        <v/>
      </c>
      <c r="AM422" s="121" t="str">
        <f t="shared" si="119"/>
        <v/>
      </c>
      <c r="AO422" s="121" t="str">
        <f>IF('Cable Info'!N126="","",CONCATENATE('Cable Info'!N126," - ",'Cable Info'!O126))</f>
        <v/>
      </c>
      <c r="AR422" s="121" t="str">
        <f t="shared" si="120"/>
        <v/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str">
        <f>IF('Cable Info'!L127="","",CONCATENATE('Cable Info'!L127," - ",'Cable Info'!M127))</f>
        <v/>
      </c>
      <c r="AM423" s="121" t="str">
        <f t="shared" si="119"/>
        <v/>
      </c>
      <c r="AO423" s="121" t="str">
        <f>IF('Cable Info'!N127="","",CONCATENATE('Cable Info'!N127," - ",'Cable Info'!O127))</f>
        <v/>
      </c>
      <c r="AR423" s="121" t="str">
        <f t="shared" si="120"/>
        <v/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str">
        <f>IF('Cable Info'!L128="","",CONCATENATE('Cable Info'!L128," - ",'Cable Info'!M128))</f>
        <v/>
      </c>
      <c r="AM424" s="121" t="str">
        <f t="shared" si="119"/>
        <v/>
      </c>
      <c r="AO424" s="121" t="str">
        <f>IF('Cable Info'!N128="","",CONCATENATE('Cable Info'!N128," - ",'Cable Info'!O128))</f>
        <v/>
      </c>
      <c r="AR424" s="121" t="str">
        <f t="shared" si="120"/>
        <v/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str">
        <f>IF('Cable Info'!L129="","",CONCATENATE('Cable Info'!L129," - ",'Cable Info'!M129))</f>
        <v/>
      </c>
      <c r="AM425" s="121" t="str">
        <f t="shared" si="119"/>
        <v/>
      </c>
      <c r="AO425" s="121" t="str">
        <f>IF('Cable Info'!N129="","",CONCATENATE('Cable Info'!N129," - ",'Cable Info'!O129))</f>
        <v/>
      </c>
      <c r="AR425" s="121" t="str">
        <f t="shared" si="120"/>
        <v/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str">
        <f>IF('Cable Info'!L130="","",CONCATENATE('Cable Info'!L130," - ",'Cable Info'!M130))</f>
        <v/>
      </c>
      <c r="AM426" s="121" t="str">
        <f t="shared" si="119"/>
        <v/>
      </c>
      <c r="AO426" s="121" t="str">
        <f>IF('Cable Info'!N130="","",CONCATENATE('Cable Info'!N130," - ",'Cable Info'!O130))</f>
        <v/>
      </c>
      <c r="AR426" s="121" t="str">
        <f t="shared" si="120"/>
        <v/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str">
        <f>IF('Cable Info'!L131="","",CONCATENATE('Cable Info'!L131," - ",'Cable Info'!M131))</f>
        <v/>
      </c>
      <c r="AM427" s="121" t="str">
        <f t="shared" ref="AM427:AM490" si="125">IF(AK427="",AJ427,CONCATENATE(AJ427,"  &lt;=&gt; ",AK427," ",AL427))</f>
        <v/>
      </c>
      <c r="AO427" s="121" t="str">
        <f>IF('Cable Info'!N131="","",CONCATENATE('Cable Info'!N131," - ",'Cable Info'!O131))</f>
        <v/>
      </c>
      <c r="AR427" s="121" t="str">
        <f t="shared" ref="AR427:AR490" si="126">IF(AP427="",AO427,CONCATENATE(AO427,"  &lt;=&gt; ",AP427," ",AQ427))</f>
        <v/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str">
        <f>IF('Cable Info'!L132="","",CONCATENATE('Cable Info'!L132," - ",'Cable Info'!M132))</f>
        <v/>
      </c>
      <c r="AM428" s="121" t="str">
        <f t="shared" si="125"/>
        <v/>
      </c>
      <c r="AO428" s="121" t="str">
        <f>IF('Cable Info'!N132="","",CONCATENATE('Cable Info'!N132," - ",'Cable Info'!O132))</f>
        <v/>
      </c>
      <c r="AR428" s="121" t="str">
        <f t="shared" si="126"/>
        <v/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str">
        <f>IF('Cable Info'!L133="","",CONCATENATE('Cable Info'!L133," - ",'Cable Info'!M133))</f>
        <v/>
      </c>
      <c r="AM429" s="121" t="str">
        <f t="shared" si="125"/>
        <v/>
      </c>
      <c r="AO429" s="121" t="str">
        <f>IF('Cable Info'!N133="","",CONCATENATE('Cable Info'!N133," - ",'Cable Info'!O133))</f>
        <v/>
      </c>
      <c r="AR429" s="121" t="str">
        <f t="shared" si="126"/>
        <v/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str">
        <f>IF('Cable Info'!L134="","",CONCATENATE('Cable Info'!L134," - ",'Cable Info'!M134))</f>
        <v/>
      </c>
      <c r="AM430" s="121" t="str">
        <f t="shared" si="125"/>
        <v/>
      </c>
      <c r="AO430" s="121" t="str">
        <f>IF('Cable Info'!N134="","",CONCATENATE('Cable Info'!N134," - ",'Cable Info'!O134))</f>
        <v/>
      </c>
      <c r="AR430" s="121" t="str">
        <f t="shared" si="126"/>
        <v/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str">
        <f>IF('Cable Info'!L135="","",CONCATENATE('Cable Info'!L135," - ",'Cable Info'!M135))</f>
        <v/>
      </c>
      <c r="AM431" s="121" t="str">
        <f t="shared" si="125"/>
        <v/>
      </c>
      <c r="AO431" s="121" t="str">
        <f>IF('Cable Info'!N135="","",CONCATENATE('Cable Info'!N135," - ",'Cable Info'!O135))</f>
        <v/>
      </c>
      <c r="AR431" s="121" t="str">
        <f t="shared" si="126"/>
        <v/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str">
        <f>IF('Cable Info'!L136="","",CONCATENATE('Cable Info'!L136," - ",'Cable Info'!M136))</f>
        <v/>
      </c>
      <c r="AM432" s="121" t="str">
        <f t="shared" si="125"/>
        <v/>
      </c>
      <c r="AO432" s="121" t="str">
        <f>IF('Cable Info'!N136="","",CONCATENATE('Cable Info'!N136," - ",'Cable Info'!O136))</f>
        <v/>
      </c>
      <c r="AR432" s="121" t="str">
        <f t="shared" si="126"/>
        <v/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str">
        <f>IF('Cable Info'!L137="","",CONCATENATE('Cable Info'!L137," - ",'Cable Info'!M137))</f>
        <v/>
      </c>
      <c r="AM433" s="121" t="str">
        <f t="shared" si="125"/>
        <v/>
      </c>
      <c r="AO433" s="121" t="str">
        <f>IF('Cable Info'!N137="","",CONCATENATE('Cable Info'!N137," - ",'Cable Info'!O137))</f>
        <v/>
      </c>
      <c r="AR433" s="121" t="str">
        <f t="shared" si="126"/>
        <v/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str">
        <f>IF('Cable Info'!L138="","",CONCATENATE('Cable Info'!L138," - ",'Cable Info'!M138))</f>
        <v/>
      </c>
      <c r="AM434" s="121" t="str">
        <f t="shared" si="125"/>
        <v/>
      </c>
      <c r="AO434" s="121" t="str">
        <f>IF('Cable Info'!N138="","",CONCATENATE('Cable Info'!N138," - ",'Cable Info'!O138))</f>
        <v/>
      </c>
      <c r="AR434" s="121" t="str">
        <f t="shared" si="126"/>
        <v/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str">
        <f>IF('Cable Info'!L139="","",CONCATENATE('Cable Info'!L139," - ",'Cable Info'!M139))</f>
        <v/>
      </c>
      <c r="AM435" s="121" t="str">
        <f t="shared" si="125"/>
        <v/>
      </c>
      <c r="AO435" s="121" t="str">
        <f>IF('Cable Info'!N139="","",CONCATENATE('Cable Info'!N139," - ",'Cable Info'!O139))</f>
        <v/>
      </c>
      <c r="AR435" s="121" t="str">
        <f t="shared" si="126"/>
        <v/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str">
        <f>IF('Cable Info'!L140="","",CONCATENATE('Cable Info'!L140," - ",'Cable Info'!M140))</f>
        <v/>
      </c>
      <c r="AM436" s="121" t="str">
        <f t="shared" si="125"/>
        <v/>
      </c>
      <c r="AO436" s="121" t="str">
        <f>IF('Cable Info'!N140="","",CONCATENATE('Cable Info'!N140," - ",'Cable Info'!O140))</f>
        <v/>
      </c>
      <c r="AR436" s="121" t="str">
        <f t="shared" si="126"/>
        <v/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str">
        <f>IF('Cable Info'!L141="","",CONCATENATE('Cable Info'!L141," - ",'Cable Info'!M141))</f>
        <v/>
      </c>
      <c r="AM437" s="121" t="str">
        <f t="shared" si="125"/>
        <v/>
      </c>
      <c r="AO437" s="121" t="str">
        <f>IF('Cable Info'!N141="","",CONCATENATE('Cable Info'!N141," - ",'Cable Info'!O141))</f>
        <v/>
      </c>
      <c r="AR437" s="121" t="str">
        <f t="shared" si="126"/>
        <v/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str">
        <f>IF('Cable Info'!L142="","",CONCATENATE('Cable Info'!L142," - ",'Cable Info'!M142))</f>
        <v/>
      </c>
      <c r="AM438" s="121" t="str">
        <f t="shared" si="125"/>
        <v/>
      </c>
      <c r="AO438" s="121" t="str">
        <f>IF('Cable Info'!N142="","",CONCATENATE('Cable Info'!N142," - ",'Cable Info'!O142))</f>
        <v/>
      </c>
      <c r="AR438" s="121" t="str">
        <f t="shared" si="126"/>
        <v/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str">
        <f>IF('Cable Info'!L143="","",CONCATENATE('Cable Info'!L143," - ",'Cable Info'!M143))</f>
        <v/>
      </c>
      <c r="AM439" s="121" t="str">
        <f t="shared" si="125"/>
        <v/>
      </c>
      <c r="AO439" s="121" t="str">
        <f>IF('Cable Info'!N143="","",CONCATENATE('Cable Info'!N143," - ",'Cable Info'!O143))</f>
        <v/>
      </c>
      <c r="AR439" s="121" t="str">
        <f t="shared" si="126"/>
        <v/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str">
        <f>IF('Cable Info'!L144="","",CONCATENATE('Cable Info'!L144," - ",'Cable Info'!M144))</f>
        <v/>
      </c>
      <c r="AM440" s="121" t="str">
        <f t="shared" si="125"/>
        <v/>
      </c>
      <c r="AO440" s="121" t="str">
        <f>IF('Cable Info'!N144="","",CONCATENATE('Cable Info'!N144," - ",'Cable Info'!O144))</f>
        <v/>
      </c>
      <c r="AR440" s="121" t="str">
        <f t="shared" si="126"/>
        <v/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str">
        <f>IF('Cable Info'!L145="","",CONCATENATE('Cable Info'!L145," - ",'Cable Info'!M145))</f>
        <v/>
      </c>
      <c r="AM441" s="121" t="str">
        <f t="shared" si="125"/>
        <v/>
      </c>
      <c r="AO441" s="121" t="str">
        <f>IF('Cable Info'!N145="","",CONCATENATE('Cable Info'!N145," - ",'Cable Info'!O145))</f>
        <v/>
      </c>
      <c r="AR441" s="121" t="str">
        <f t="shared" si="126"/>
        <v/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str">
        <f>IF('Cable Info'!L146="","",CONCATENATE('Cable Info'!L146," - ",'Cable Info'!M146))</f>
        <v/>
      </c>
      <c r="AM442" s="121" t="str">
        <f t="shared" si="125"/>
        <v/>
      </c>
      <c r="AO442" s="121" t="str">
        <f>IF('Cable Info'!N146="","",CONCATENATE('Cable Info'!N146," - ",'Cable Info'!O146))</f>
        <v/>
      </c>
      <c r="AR442" s="121" t="str">
        <f t="shared" si="126"/>
        <v/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str">
        <f>IF('Cable Info'!L147="","",CONCATENATE('Cable Info'!L147," - ",'Cable Info'!M147))</f>
        <v/>
      </c>
      <c r="AM443" s="121" t="str">
        <f t="shared" si="125"/>
        <v/>
      </c>
      <c r="AO443" s="121" t="str">
        <f>IF('Cable Info'!N147="","",CONCATENATE('Cable Info'!N147," - ",'Cable Info'!O147))</f>
        <v/>
      </c>
      <c r="AR443" s="121" t="str">
        <f t="shared" si="126"/>
        <v/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str">
        <f>IF('Cable Info'!L148="","",CONCATENATE('Cable Info'!L148," - ",'Cable Info'!M148))</f>
        <v/>
      </c>
      <c r="AM444" s="121" t="str">
        <f t="shared" si="125"/>
        <v/>
      </c>
      <c r="AO444" s="121" t="str">
        <f>IF('Cable Info'!N148="","",CONCATENATE('Cable Info'!N148," - ",'Cable Info'!O148))</f>
        <v/>
      </c>
      <c r="AR444" s="121" t="str">
        <f t="shared" si="126"/>
        <v/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str">
        <f>IF('Cable Info'!L149="","",CONCATENATE('Cable Info'!L149," - ",'Cable Info'!M149))</f>
        <v/>
      </c>
      <c r="AM445" s="121" t="str">
        <f t="shared" si="125"/>
        <v/>
      </c>
      <c r="AO445" s="121" t="str">
        <f>IF('Cable Info'!N149="","",CONCATENATE('Cable Info'!N149," - ",'Cable Info'!O149))</f>
        <v/>
      </c>
      <c r="AR445" s="121" t="str">
        <f t="shared" si="126"/>
        <v/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str">
        <f>IF('Cable Info'!L150="","",CONCATENATE('Cable Info'!L150," - ",'Cable Info'!M150))</f>
        <v/>
      </c>
      <c r="AM446" s="121" t="str">
        <f t="shared" si="125"/>
        <v/>
      </c>
      <c r="AO446" s="121" t="str">
        <f>IF('Cable Info'!N150="","",CONCATENATE('Cable Info'!N150," - ",'Cable Info'!O150))</f>
        <v/>
      </c>
      <c r="AR446" s="121" t="str">
        <f t="shared" si="126"/>
        <v/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str">
        <f>IF('Cable Info'!L151="","",CONCATENATE('Cable Info'!L151," - ",'Cable Info'!M151))</f>
        <v/>
      </c>
      <c r="AM447" s="121" t="str">
        <f t="shared" si="125"/>
        <v/>
      </c>
      <c r="AO447" s="121" t="str">
        <f>IF('Cable Info'!N151="","",CONCATENATE('Cable Info'!N151," - ",'Cable Info'!O151))</f>
        <v/>
      </c>
      <c r="AR447" s="121" t="str">
        <f t="shared" si="126"/>
        <v/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str">
        <f>IF('Cable Info'!L152="","",CONCATENATE('Cable Info'!L152," - ",'Cable Info'!M152))</f>
        <v/>
      </c>
      <c r="AM448" s="121" t="str">
        <f t="shared" si="125"/>
        <v/>
      </c>
      <c r="AO448" s="121" t="str">
        <f>IF('Cable Info'!N152="","",CONCATENATE('Cable Info'!N152," - ",'Cable Info'!O152))</f>
        <v/>
      </c>
      <c r="AR448" s="121" t="str">
        <f t="shared" si="126"/>
        <v/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str">
        <f>IF('Cable Info'!L153="","",CONCATENATE('Cable Info'!L153," - ",'Cable Info'!M153))</f>
        <v/>
      </c>
      <c r="AM449" s="121" t="str">
        <f t="shared" si="125"/>
        <v/>
      </c>
      <c r="AO449" s="121" t="str">
        <f>IF('Cable Info'!N153="","",CONCATENATE('Cable Info'!N153," - ",'Cable Info'!O153))</f>
        <v/>
      </c>
      <c r="AR449" s="121" t="str">
        <f t="shared" si="126"/>
        <v/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str">
        <f>IF('Cable Info'!L154="","",CONCATENATE('Cable Info'!L154," - ",'Cable Info'!M154))</f>
        <v/>
      </c>
      <c r="AM450" s="121" t="str">
        <f t="shared" si="125"/>
        <v/>
      </c>
      <c r="AO450" s="121" t="str">
        <f>IF('Cable Info'!N154="","",CONCATENATE('Cable Info'!N154," - ",'Cable Info'!O154))</f>
        <v/>
      </c>
      <c r="AR450" s="121" t="str">
        <f t="shared" si="126"/>
        <v/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str">
        <f>IF('Cable Info'!L155="","",CONCATENATE('Cable Info'!L155," - ",'Cable Info'!M155))</f>
        <v/>
      </c>
      <c r="AM451" s="121" t="str">
        <f t="shared" si="125"/>
        <v/>
      </c>
      <c r="AO451" s="121" t="str">
        <f>IF('Cable Info'!N155="","",CONCATENATE('Cable Info'!N155," - ",'Cable Info'!O155))</f>
        <v/>
      </c>
      <c r="AR451" s="121" t="str">
        <f t="shared" si="126"/>
        <v/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str">
        <f>IF('Cable Info'!L156="","",CONCATENATE('Cable Info'!L156," - ",'Cable Info'!M156))</f>
        <v/>
      </c>
      <c r="AM452" s="121" t="str">
        <f t="shared" si="125"/>
        <v/>
      </c>
      <c r="AO452" s="121" t="str">
        <f>IF('Cable Info'!N156="","",CONCATENATE('Cable Info'!N156," - ",'Cable Info'!O156))</f>
        <v/>
      </c>
      <c r="AR452" s="121" t="str">
        <f t="shared" si="126"/>
        <v/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str">
        <f>IF('Cable Info'!L157="","",CONCATENATE('Cable Info'!L157," - ",'Cable Info'!M157))</f>
        <v/>
      </c>
      <c r="AM453" s="121" t="str">
        <f t="shared" si="125"/>
        <v/>
      </c>
      <c r="AO453" s="121" t="str">
        <f>IF('Cable Info'!N157="","",CONCATENATE('Cable Info'!N157," - ",'Cable Info'!O157))</f>
        <v/>
      </c>
      <c r="AR453" s="121" t="str">
        <f t="shared" si="126"/>
        <v/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str">
        <f>IF('Cable Info'!L158="","",CONCATENATE('Cable Info'!L158," - ",'Cable Info'!M158))</f>
        <v/>
      </c>
      <c r="AM454" s="121" t="str">
        <f t="shared" si="125"/>
        <v/>
      </c>
      <c r="AO454" s="121" t="str">
        <f>IF('Cable Info'!N158="","",CONCATENATE('Cable Info'!N158," - ",'Cable Info'!O158))</f>
        <v/>
      </c>
      <c r="AR454" s="121" t="str">
        <f t="shared" si="126"/>
        <v/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str">
        <f>IF('Cable Info'!L159="","",CONCATENATE('Cable Info'!L159," - ",'Cable Info'!M159))</f>
        <v/>
      </c>
      <c r="AM455" s="121" t="str">
        <f t="shared" si="125"/>
        <v/>
      </c>
      <c r="AO455" s="121" t="str">
        <f>IF('Cable Info'!N159="","",CONCATENATE('Cable Info'!N159," - ",'Cable Info'!O159))</f>
        <v/>
      </c>
      <c r="AR455" s="121" t="str">
        <f t="shared" si="126"/>
        <v/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str">
        <f>IF('Cable Info'!L160="","",CONCATENATE('Cable Info'!L160," - ",'Cable Info'!M160))</f>
        <v/>
      </c>
      <c r="AM456" s="121" t="str">
        <f t="shared" si="125"/>
        <v/>
      </c>
      <c r="AO456" s="121" t="str">
        <f>IF('Cable Info'!N160="","",CONCATENATE('Cable Info'!N160," - ",'Cable Info'!O160))</f>
        <v/>
      </c>
      <c r="AR456" s="121" t="str">
        <f t="shared" si="126"/>
        <v/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str">
        <f>IF('Cable Info'!L161="","",CONCATENATE('Cable Info'!L161," - ",'Cable Info'!M161))</f>
        <v/>
      </c>
      <c r="AM457" s="121" t="str">
        <f t="shared" si="125"/>
        <v/>
      </c>
      <c r="AO457" s="121" t="str">
        <f>IF('Cable Info'!N161="","",CONCATENATE('Cable Info'!N161," - ",'Cable Info'!O161))</f>
        <v/>
      </c>
      <c r="AR457" s="121" t="str">
        <f t="shared" si="126"/>
        <v/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str">
        <f>IF('Cable Info'!L162="","",CONCATENATE('Cable Info'!L162," - ",'Cable Info'!M162))</f>
        <v/>
      </c>
      <c r="AM458" s="121" t="str">
        <f t="shared" si="125"/>
        <v/>
      </c>
      <c r="AO458" s="121" t="str">
        <f>IF('Cable Info'!N162="","",CONCATENATE('Cable Info'!N162," - ",'Cable Info'!O162))</f>
        <v/>
      </c>
      <c r="AR458" s="121" t="str">
        <f t="shared" si="126"/>
        <v/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str">
        <f>IF('Cable Info'!L163="","",CONCATENATE('Cable Info'!L163," - ",'Cable Info'!M163))</f>
        <v/>
      </c>
      <c r="AM459" s="121" t="str">
        <f t="shared" si="125"/>
        <v/>
      </c>
      <c r="AO459" s="121" t="str">
        <f>IF('Cable Info'!N163="","",CONCATENATE('Cable Info'!N163," - ",'Cable Info'!O163))</f>
        <v/>
      </c>
      <c r="AR459" s="121" t="str">
        <f t="shared" si="126"/>
        <v/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str">
        <f>IF('Cable Info'!L164="","",CONCATENATE('Cable Info'!L164," - ",'Cable Info'!M164))</f>
        <v/>
      </c>
      <c r="AM460" s="121" t="str">
        <f t="shared" si="125"/>
        <v/>
      </c>
      <c r="AO460" s="121" t="str">
        <f>IF('Cable Info'!N164="","",CONCATENATE('Cable Info'!N164," - ",'Cable Info'!O164))</f>
        <v/>
      </c>
      <c r="AR460" s="121" t="str">
        <f t="shared" si="126"/>
        <v/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str">
        <f>IF('Cable Info'!L165="","",CONCATENATE('Cable Info'!L165," - ",'Cable Info'!M165))</f>
        <v/>
      </c>
      <c r="AM461" s="121" t="str">
        <f t="shared" si="125"/>
        <v/>
      </c>
      <c r="AO461" s="121" t="str">
        <f>IF('Cable Info'!N165="","",CONCATENATE('Cable Info'!N165," - ",'Cable Info'!O165))</f>
        <v/>
      </c>
      <c r="AR461" s="121" t="str">
        <f t="shared" si="126"/>
        <v/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str">
        <f>IF('Cable Info'!L166="","",CONCATENATE('Cable Info'!L166," - ",'Cable Info'!M166))</f>
        <v/>
      </c>
      <c r="AM462" s="121" t="str">
        <f t="shared" si="125"/>
        <v/>
      </c>
      <c r="AO462" s="121" t="str">
        <f>IF('Cable Info'!N166="","",CONCATENATE('Cable Info'!N166," - ",'Cable Info'!O166))</f>
        <v/>
      </c>
      <c r="AR462" s="121" t="str">
        <f t="shared" si="126"/>
        <v/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str">
        <f>IF('Cable Info'!L167="","",CONCATENATE('Cable Info'!L167," - ",'Cable Info'!M167))</f>
        <v/>
      </c>
      <c r="AM463" s="121" t="str">
        <f t="shared" si="125"/>
        <v/>
      </c>
      <c r="AO463" s="121" t="str">
        <f>IF('Cable Info'!N167="","",CONCATENATE('Cable Info'!N167," - ",'Cable Info'!O167))</f>
        <v/>
      </c>
      <c r="AR463" s="121" t="str">
        <f t="shared" si="126"/>
        <v/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str">
        <f>IF('Cable Info'!L168="","",CONCATENATE('Cable Info'!L168," - ",'Cable Info'!M168))</f>
        <v/>
      </c>
      <c r="AM464" s="121" t="str">
        <f t="shared" si="125"/>
        <v/>
      </c>
      <c r="AO464" s="121" t="str">
        <f>IF('Cable Info'!N168="","",CONCATENATE('Cable Info'!N168," - ",'Cable Info'!O168))</f>
        <v/>
      </c>
      <c r="AR464" s="121" t="str">
        <f t="shared" si="126"/>
        <v/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str">
        <f>IF('Cable Info'!L169="","",CONCATENATE('Cable Info'!L169," - ",'Cable Info'!M169))</f>
        <v/>
      </c>
      <c r="AM465" s="121" t="str">
        <f t="shared" si="125"/>
        <v/>
      </c>
      <c r="AO465" s="121" t="str">
        <f>IF('Cable Info'!N169="","",CONCATENATE('Cable Info'!N169," - ",'Cable Info'!O169))</f>
        <v/>
      </c>
      <c r="AR465" s="121" t="str">
        <f t="shared" si="126"/>
        <v/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str">
        <f>IF('Cable Info'!L170="","",CONCATENATE('Cable Info'!L170," - ",'Cable Info'!M170))</f>
        <v/>
      </c>
      <c r="AM466" s="121" t="str">
        <f t="shared" si="125"/>
        <v/>
      </c>
      <c r="AO466" s="121" t="str">
        <f>IF('Cable Info'!N170="","",CONCATENATE('Cable Info'!N170," - ",'Cable Info'!O170))</f>
        <v/>
      </c>
      <c r="AR466" s="121" t="str">
        <f t="shared" si="126"/>
        <v/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str">
        <f>IF('Cable Info'!L171="","",CONCATENATE('Cable Info'!L171," - ",'Cable Info'!M171))</f>
        <v/>
      </c>
      <c r="AM467" s="121" t="str">
        <f t="shared" si="125"/>
        <v/>
      </c>
      <c r="AO467" s="121" t="str">
        <f>IF('Cable Info'!N171="","",CONCATENATE('Cable Info'!N171," - ",'Cable Info'!O171))</f>
        <v/>
      </c>
      <c r="AR467" s="121" t="str">
        <f t="shared" si="126"/>
        <v/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str">
        <f>IF('Cable Info'!L172="","",CONCATENATE('Cable Info'!L172," - ",'Cable Info'!M172))</f>
        <v/>
      </c>
      <c r="AM468" s="121" t="str">
        <f t="shared" si="125"/>
        <v/>
      </c>
      <c r="AO468" s="121" t="str">
        <f>IF('Cable Info'!N172="","",CONCATENATE('Cable Info'!N172," - ",'Cable Info'!O172))</f>
        <v/>
      </c>
      <c r="AR468" s="121" t="str">
        <f t="shared" si="126"/>
        <v/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str">
        <f>IF('Cable Info'!L173="","",CONCATENATE('Cable Info'!L173," - ",'Cable Info'!M173))</f>
        <v/>
      </c>
      <c r="AM469" s="121" t="str">
        <f t="shared" si="125"/>
        <v/>
      </c>
      <c r="AO469" s="121" t="str">
        <f>IF('Cable Info'!N173="","",CONCATENATE('Cable Info'!N173," - ",'Cable Info'!O173))</f>
        <v/>
      </c>
      <c r="AR469" s="121" t="str">
        <f t="shared" si="126"/>
        <v/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str">
        <f>IF('Cable Info'!L174="","",CONCATENATE('Cable Info'!L174," - ",'Cable Info'!M174))</f>
        <v/>
      </c>
      <c r="AM470" s="121" t="str">
        <f t="shared" si="125"/>
        <v/>
      </c>
      <c r="AO470" s="121" t="str">
        <f>IF('Cable Info'!N174="","",CONCATENATE('Cable Info'!N174," - ",'Cable Info'!O174))</f>
        <v/>
      </c>
      <c r="AR470" s="121" t="str">
        <f t="shared" si="126"/>
        <v/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str">
        <f>IF('Cable Info'!L175="","",CONCATENATE('Cable Info'!L175," - ",'Cable Info'!M175))</f>
        <v/>
      </c>
      <c r="AM471" s="121" t="str">
        <f t="shared" si="125"/>
        <v/>
      </c>
      <c r="AO471" s="121" t="str">
        <f>IF('Cable Info'!N175="","",CONCATENATE('Cable Info'!N175," - ",'Cable Info'!O175))</f>
        <v/>
      </c>
      <c r="AR471" s="121" t="str">
        <f t="shared" si="126"/>
        <v/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str">
        <f>IF('Cable Info'!L176="","",CONCATENATE('Cable Info'!L176," - ",'Cable Info'!M176))</f>
        <v/>
      </c>
      <c r="AM472" s="121" t="str">
        <f t="shared" si="125"/>
        <v/>
      </c>
      <c r="AO472" s="121" t="str">
        <f>IF('Cable Info'!N176="","",CONCATENATE('Cable Info'!N176," - ",'Cable Info'!O176))</f>
        <v/>
      </c>
      <c r="AR472" s="121" t="str">
        <f t="shared" si="126"/>
        <v/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str">
        <f>IF('Cable Info'!L177="","",CONCATENATE('Cable Info'!L177," - ",'Cable Info'!M177))</f>
        <v/>
      </c>
      <c r="AM473" s="121" t="str">
        <f t="shared" si="125"/>
        <v/>
      </c>
      <c r="AO473" s="121" t="str">
        <f>IF('Cable Info'!N177="","",CONCATENATE('Cable Info'!N177," - ",'Cable Info'!O177))</f>
        <v/>
      </c>
      <c r="AR473" s="121" t="str">
        <f t="shared" si="126"/>
        <v/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str">
        <f>IF('Cable Info'!L178="","",CONCATENATE('Cable Info'!L178," - ",'Cable Info'!M178))</f>
        <v/>
      </c>
      <c r="AM474" s="121" t="str">
        <f t="shared" si="125"/>
        <v/>
      </c>
      <c r="AO474" s="121" t="str">
        <f>IF('Cable Info'!N178="","",CONCATENATE('Cable Info'!N178," - ",'Cable Info'!O178))</f>
        <v/>
      </c>
      <c r="AR474" s="121" t="str">
        <f t="shared" si="126"/>
        <v/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str">
        <f>IF('Cable Info'!L179="","",CONCATENATE('Cable Info'!L179," - ",'Cable Info'!M179))</f>
        <v/>
      </c>
      <c r="AM475" s="121" t="str">
        <f t="shared" si="125"/>
        <v/>
      </c>
      <c r="AO475" s="121" t="str">
        <f>IF('Cable Info'!N179="","",CONCATENATE('Cable Info'!N179," - ",'Cable Info'!O179))</f>
        <v/>
      </c>
      <c r="AR475" s="121" t="str">
        <f t="shared" si="126"/>
        <v/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str">
        <f>IF('Cable Info'!L180="","",CONCATENATE('Cable Info'!L180," - ",'Cable Info'!M180))</f>
        <v/>
      </c>
      <c r="AM476" s="121" t="str">
        <f t="shared" si="125"/>
        <v/>
      </c>
      <c r="AO476" s="121" t="str">
        <f>IF('Cable Info'!N180="","",CONCATENATE('Cable Info'!N180," - ",'Cable Info'!O180))</f>
        <v/>
      </c>
      <c r="AR476" s="121" t="str">
        <f t="shared" si="126"/>
        <v/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str">
        <f>IF('Cable Info'!L181="","",CONCATENATE('Cable Info'!L181," - ",'Cable Info'!M181))</f>
        <v/>
      </c>
      <c r="AM477" s="121" t="str">
        <f t="shared" si="125"/>
        <v/>
      </c>
      <c r="AO477" s="121" t="str">
        <f>IF('Cable Info'!N181="","",CONCATENATE('Cable Info'!N181," - ",'Cable Info'!O181))</f>
        <v/>
      </c>
      <c r="AR477" s="121" t="str">
        <f t="shared" si="126"/>
        <v/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str">
        <f>IF('Cable Info'!L182="","",CONCATENATE('Cable Info'!L182," - ",'Cable Info'!M182))</f>
        <v/>
      </c>
      <c r="AM478" s="121" t="str">
        <f t="shared" si="125"/>
        <v/>
      </c>
      <c r="AO478" s="121" t="str">
        <f>IF('Cable Info'!N182="","",CONCATENATE('Cable Info'!N182," - ",'Cable Info'!O182))</f>
        <v/>
      </c>
      <c r="AR478" s="121" t="str">
        <f t="shared" si="126"/>
        <v/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str">
        <f>IF('Cable Info'!L183="","",CONCATENATE('Cable Info'!L183," - ",'Cable Info'!M183))</f>
        <v/>
      </c>
      <c r="AM479" s="121" t="str">
        <f t="shared" si="125"/>
        <v/>
      </c>
      <c r="AO479" s="121" t="str">
        <f>IF('Cable Info'!N183="","",CONCATENATE('Cable Info'!N183," - ",'Cable Info'!O183))</f>
        <v/>
      </c>
      <c r="AR479" s="121" t="str">
        <f t="shared" si="126"/>
        <v/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str">
        <f>IF('Cable Info'!L184="","",CONCATENATE('Cable Info'!L184," - ",'Cable Info'!M184))</f>
        <v/>
      </c>
      <c r="AM480" s="121" t="str">
        <f t="shared" si="125"/>
        <v/>
      </c>
      <c r="AO480" s="121" t="str">
        <f>IF('Cable Info'!N184="","",CONCATENATE('Cable Info'!N184," - ",'Cable Info'!O184))</f>
        <v/>
      </c>
      <c r="AR480" s="121" t="str">
        <f t="shared" si="126"/>
        <v/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str">
        <f>IF('Cable Info'!L185="","",CONCATENATE('Cable Info'!L185," - ",'Cable Info'!M185))</f>
        <v/>
      </c>
      <c r="AM481" s="121" t="str">
        <f t="shared" si="125"/>
        <v/>
      </c>
      <c r="AO481" s="121" t="str">
        <f>IF('Cable Info'!N185="","",CONCATENATE('Cable Info'!N185," - ",'Cable Info'!O185))</f>
        <v/>
      </c>
      <c r="AR481" s="121" t="str">
        <f t="shared" si="126"/>
        <v/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str">
        <f>IF('Cable Info'!L186="","",CONCATENATE('Cable Info'!L186," - ",'Cable Info'!M186))</f>
        <v/>
      </c>
      <c r="AM482" s="121" t="str">
        <f t="shared" si="125"/>
        <v/>
      </c>
      <c r="AO482" s="121" t="str">
        <f>IF('Cable Info'!N186="","",CONCATENATE('Cable Info'!N186," - ",'Cable Info'!O186))</f>
        <v/>
      </c>
      <c r="AR482" s="121" t="str">
        <f t="shared" si="126"/>
        <v/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str">
        <f>IF('Cable Info'!L187="","",CONCATENATE('Cable Info'!L187," - ",'Cable Info'!M187))</f>
        <v/>
      </c>
      <c r="AM483" s="121" t="str">
        <f t="shared" si="125"/>
        <v/>
      </c>
      <c r="AO483" s="121" t="str">
        <f>IF('Cable Info'!N187="","",CONCATENATE('Cable Info'!N187," - ",'Cable Info'!O187))</f>
        <v/>
      </c>
      <c r="AR483" s="121" t="str">
        <f t="shared" si="126"/>
        <v/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str">
        <f>IF('Cable Info'!L188="","",CONCATENATE('Cable Info'!L188," - ",'Cable Info'!M188))</f>
        <v/>
      </c>
      <c r="AM484" s="121" t="str">
        <f t="shared" si="125"/>
        <v/>
      </c>
      <c r="AO484" s="121" t="str">
        <f>IF('Cable Info'!N188="","",CONCATENATE('Cable Info'!N188," - ",'Cable Info'!O188))</f>
        <v/>
      </c>
      <c r="AR484" s="121" t="str">
        <f t="shared" si="126"/>
        <v/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str">
        <f>IF('Cable Info'!L189="","",CONCATENATE('Cable Info'!L189," - ",'Cable Info'!M189))</f>
        <v/>
      </c>
      <c r="AM485" s="121" t="str">
        <f t="shared" si="125"/>
        <v/>
      </c>
      <c r="AO485" s="121" t="str">
        <f>IF('Cable Info'!N189="","",CONCATENATE('Cable Info'!N189," - ",'Cable Info'!O189))</f>
        <v/>
      </c>
      <c r="AR485" s="121" t="str">
        <f t="shared" si="126"/>
        <v/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str">
        <f>IF('Cable Info'!L190="","",CONCATENATE('Cable Info'!L190," - ",'Cable Info'!M190))</f>
        <v/>
      </c>
      <c r="AM486" s="121" t="str">
        <f t="shared" si="125"/>
        <v/>
      </c>
      <c r="AO486" s="121" t="str">
        <f>IF('Cable Info'!N190="","",CONCATENATE('Cable Info'!N190," - ",'Cable Info'!O190))</f>
        <v/>
      </c>
      <c r="AR486" s="121" t="str">
        <f t="shared" si="126"/>
        <v/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str">
        <f>IF('Cable Info'!L191="","",CONCATENATE('Cable Info'!L191," - ",'Cable Info'!M191))</f>
        <v/>
      </c>
      <c r="AM487" s="121" t="str">
        <f t="shared" si="125"/>
        <v/>
      </c>
      <c r="AO487" s="121" t="str">
        <f>IF('Cable Info'!N191="","",CONCATENATE('Cable Info'!N191," - ",'Cable Info'!O191))</f>
        <v/>
      </c>
      <c r="AR487" s="121" t="str">
        <f t="shared" si="126"/>
        <v/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str">
        <f>IF('Cable Info'!L192="","",CONCATENATE('Cable Info'!L192," - ",'Cable Info'!M192))</f>
        <v/>
      </c>
      <c r="AM488" s="121" t="str">
        <f t="shared" si="125"/>
        <v/>
      </c>
      <c r="AO488" s="121" t="str">
        <f>IF('Cable Info'!N192="","",CONCATENATE('Cable Info'!N192," - ",'Cable Info'!O192))</f>
        <v/>
      </c>
      <c r="AR488" s="121" t="str">
        <f t="shared" si="126"/>
        <v/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str">
        <f>IF('Cable Info'!L193="","",CONCATENATE('Cable Info'!L193," - ",'Cable Info'!M193))</f>
        <v/>
      </c>
      <c r="AM489" s="121" t="str">
        <f t="shared" si="125"/>
        <v/>
      </c>
      <c r="AO489" s="121" t="str">
        <f>IF('Cable Info'!N193="","",CONCATENATE('Cable Info'!N193," - ",'Cable Info'!O193))</f>
        <v/>
      </c>
      <c r="AR489" s="121" t="str">
        <f t="shared" si="126"/>
        <v/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str">
        <f>IF('Cable Info'!L194="","",CONCATENATE('Cable Info'!L194," - ",'Cable Info'!M194))</f>
        <v/>
      </c>
      <c r="AM490" s="121" t="str">
        <f t="shared" si="125"/>
        <v/>
      </c>
      <c r="AO490" s="121" t="str">
        <f>IF('Cable Info'!N194="","",CONCATENATE('Cable Info'!N194," - ",'Cable Info'!O194))</f>
        <v/>
      </c>
      <c r="AR490" s="121" t="str">
        <f t="shared" si="126"/>
        <v/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str">
        <f>IF('Cable Info'!L195="","",CONCATENATE('Cable Info'!L195," - ",'Cable Info'!M195))</f>
        <v/>
      </c>
      <c r="AM491" s="121" t="str">
        <f t="shared" ref="AM491:AM554" si="131">IF(AK491="",AJ491,CONCATENATE(AJ491,"  &lt;=&gt; ",AK491," ",AL491))</f>
        <v/>
      </c>
      <c r="AO491" s="121" t="str">
        <f>IF('Cable Info'!N195="","",CONCATENATE('Cable Info'!N195," - ",'Cable Info'!O195))</f>
        <v/>
      </c>
      <c r="AR491" s="121" t="str">
        <f t="shared" ref="AR491:AR554" si="132">IF(AP491="",AO491,CONCATENATE(AO491,"  &lt;=&gt; ",AP491," ",AQ491))</f>
        <v/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str">
        <f>IF('Cable Info'!L196="","",CONCATENATE('Cable Info'!L196," - ",'Cable Info'!M196))</f>
        <v/>
      </c>
      <c r="AM492" s="121" t="str">
        <f t="shared" si="131"/>
        <v/>
      </c>
      <c r="AO492" s="121" t="str">
        <f>IF('Cable Info'!N196="","",CONCATENATE('Cable Info'!N196," - ",'Cable Info'!O196))</f>
        <v/>
      </c>
      <c r="AR492" s="121" t="str">
        <f t="shared" si="132"/>
        <v/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str">
        <f>IF('Cable Info'!L197="","",CONCATENATE('Cable Info'!L197," - ",'Cable Info'!M197))</f>
        <v/>
      </c>
      <c r="AM493" s="121" t="str">
        <f t="shared" si="131"/>
        <v/>
      </c>
      <c r="AO493" s="121" t="str">
        <f>IF('Cable Info'!N197="","",CONCATENATE('Cable Info'!N197," - ",'Cable Info'!O197))</f>
        <v/>
      </c>
      <c r="AR493" s="121" t="str">
        <f t="shared" si="132"/>
        <v/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str">
        <f>IF('Cable Info'!L198="","",CONCATENATE('Cable Info'!L198," - ",'Cable Info'!M198))</f>
        <v/>
      </c>
      <c r="AM494" s="121" t="str">
        <f t="shared" si="131"/>
        <v/>
      </c>
      <c r="AO494" s="121" t="str">
        <f>IF('Cable Info'!N198="","",CONCATENATE('Cable Info'!N198," - ",'Cable Info'!O198))</f>
        <v/>
      </c>
      <c r="AR494" s="121" t="str">
        <f t="shared" si="132"/>
        <v/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str">
        <f>IF('Cable Info'!L199="","",CONCATENATE('Cable Info'!L199," - ",'Cable Info'!M199))</f>
        <v/>
      </c>
      <c r="AM495" s="121" t="str">
        <f t="shared" si="131"/>
        <v/>
      </c>
      <c r="AO495" s="121" t="str">
        <f>IF('Cable Info'!N199="","",CONCATENATE('Cable Info'!N199," - ",'Cable Info'!O199))</f>
        <v/>
      </c>
      <c r="AR495" s="121" t="str">
        <f t="shared" si="132"/>
        <v/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str">
        <f>IF('Cable Info'!L200="","",CONCATENATE('Cable Info'!L200," - ",'Cable Info'!M200))</f>
        <v/>
      </c>
      <c r="AM496" s="121" t="str">
        <f t="shared" si="131"/>
        <v/>
      </c>
      <c r="AO496" s="121" t="str">
        <f>IF('Cable Info'!N200="","",CONCATENATE('Cable Info'!N200," - ",'Cable Info'!O200))</f>
        <v/>
      </c>
      <c r="AR496" s="121" t="str">
        <f t="shared" si="132"/>
        <v/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str">
        <f>IF('Cable Info'!L201="","",CONCATENATE('Cable Info'!L201," - ",'Cable Info'!M201))</f>
        <v/>
      </c>
      <c r="AM497" s="121" t="str">
        <f t="shared" si="131"/>
        <v/>
      </c>
      <c r="AO497" s="121" t="str">
        <f>IF('Cable Info'!N201="","",CONCATENATE('Cable Info'!N201," - ",'Cable Info'!O201))</f>
        <v/>
      </c>
      <c r="AR497" s="121" t="str">
        <f t="shared" si="132"/>
        <v/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str">
        <f>IF('Cable Info'!L202="","",CONCATENATE('Cable Info'!L202," - ",'Cable Info'!M202))</f>
        <v/>
      </c>
      <c r="AM498" s="121" t="str">
        <f t="shared" si="131"/>
        <v/>
      </c>
      <c r="AO498" s="121" t="str">
        <f>IF('Cable Info'!N202="","",CONCATENATE('Cable Info'!N202," - ",'Cable Info'!O202))</f>
        <v/>
      </c>
      <c r="AR498" s="121" t="str">
        <f t="shared" si="132"/>
        <v/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str">
        <f>IF('Cable Info'!L203="","",CONCATENATE('Cable Info'!L203," - ",'Cable Info'!M203))</f>
        <v/>
      </c>
      <c r="AM499" s="121" t="str">
        <f t="shared" si="131"/>
        <v/>
      </c>
      <c r="AO499" s="121" t="str">
        <f>IF('Cable Info'!N203="","",CONCATENATE('Cable Info'!N203," - ",'Cable Info'!O203))</f>
        <v/>
      </c>
      <c r="AR499" s="121" t="str">
        <f t="shared" si="132"/>
        <v/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str">
        <f>IF('Cable Info'!L204="","",CONCATENATE('Cable Info'!L204," - ",'Cable Info'!M204))</f>
        <v/>
      </c>
      <c r="AM500" s="121" t="str">
        <f t="shared" si="131"/>
        <v/>
      </c>
      <c r="AO500" s="121" t="str">
        <f>IF('Cable Info'!N204="","",CONCATENATE('Cable Info'!N204," - ",'Cable Info'!O204))</f>
        <v/>
      </c>
      <c r="AR500" s="121" t="str">
        <f t="shared" si="132"/>
        <v/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str">
        <f>IF('Cable Info'!L205="","",CONCATENATE('Cable Info'!L205," - ",'Cable Info'!M205))</f>
        <v/>
      </c>
      <c r="AM501" s="121" t="str">
        <f t="shared" si="131"/>
        <v/>
      </c>
      <c r="AO501" s="121" t="str">
        <f>IF('Cable Info'!N205="","",CONCATENATE('Cable Info'!N205," - ",'Cable Info'!O205))</f>
        <v/>
      </c>
      <c r="AR501" s="121" t="str">
        <f t="shared" si="132"/>
        <v/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str">
        <f>IF('Cable Info'!L206="","",CONCATENATE('Cable Info'!L206," - ",'Cable Info'!M206))</f>
        <v/>
      </c>
      <c r="AM502" s="121" t="str">
        <f t="shared" si="131"/>
        <v/>
      </c>
      <c r="AO502" s="121" t="str">
        <f>IF('Cable Info'!N206="","",CONCATENATE('Cable Info'!N206," - ",'Cable Info'!O206))</f>
        <v/>
      </c>
      <c r="AR502" s="121" t="str">
        <f t="shared" si="132"/>
        <v/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str">
        <f>IF('Cable Info'!L207="","",CONCATENATE('Cable Info'!L207," - ",'Cable Info'!M207))</f>
        <v/>
      </c>
      <c r="AM503" s="121" t="str">
        <f t="shared" si="131"/>
        <v/>
      </c>
      <c r="AO503" s="121" t="str">
        <f>IF('Cable Info'!N207="","",CONCATENATE('Cable Info'!N207," - ",'Cable Info'!O207))</f>
        <v/>
      </c>
      <c r="AR503" s="121" t="str">
        <f t="shared" si="132"/>
        <v/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str">
        <f>IF('Cable Info'!L208="","",CONCATENATE('Cable Info'!L208," - ",'Cable Info'!M208))</f>
        <v/>
      </c>
      <c r="AM504" s="121" t="str">
        <f t="shared" si="131"/>
        <v/>
      </c>
      <c r="AO504" s="121" t="str">
        <f>IF('Cable Info'!N208="","",CONCATENATE('Cable Info'!N208," - ",'Cable Info'!O208))</f>
        <v/>
      </c>
      <c r="AR504" s="121" t="str">
        <f t="shared" si="132"/>
        <v/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str">
        <f>IF('Cable Info'!L209="","",CONCATENATE('Cable Info'!L209," - ",'Cable Info'!M209))</f>
        <v/>
      </c>
      <c r="AM505" s="121" t="str">
        <f t="shared" si="131"/>
        <v/>
      </c>
      <c r="AO505" s="121" t="str">
        <f>IF('Cable Info'!N209="","",CONCATENATE('Cable Info'!N209," - ",'Cable Info'!O209))</f>
        <v/>
      </c>
      <c r="AR505" s="121" t="str">
        <f t="shared" si="132"/>
        <v/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str">
        <f>IF('Cable Info'!L210="","",CONCATENATE('Cable Info'!L210," - ",'Cable Info'!M210))</f>
        <v/>
      </c>
      <c r="AM506" s="121" t="str">
        <f t="shared" si="131"/>
        <v/>
      </c>
      <c r="AO506" s="121" t="str">
        <f>IF('Cable Info'!N210="","",CONCATENATE('Cable Info'!N210," - ",'Cable Info'!O210))</f>
        <v/>
      </c>
      <c r="AR506" s="121" t="str">
        <f t="shared" si="132"/>
        <v/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str">
        <f>IF('Cable Info'!L211="","",CONCATENATE('Cable Info'!L211," - ",'Cable Info'!M211))</f>
        <v/>
      </c>
      <c r="AM507" s="121" t="str">
        <f t="shared" si="131"/>
        <v/>
      </c>
      <c r="AO507" s="121" t="str">
        <f>IF('Cable Info'!N211="","",CONCATENATE('Cable Info'!N211," - ",'Cable Info'!O211))</f>
        <v/>
      </c>
      <c r="AR507" s="121" t="str">
        <f t="shared" si="132"/>
        <v/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str">
        <f>IF('Cable Info'!L212="","",CONCATENATE('Cable Info'!L212," - ",'Cable Info'!M212))</f>
        <v/>
      </c>
      <c r="AM508" s="121" t="str">
        <f t="shared" si="131"/>
        <v/>
      </c>
      <c r="AO508" s="121" t="str">
        <f>IF('Cable Info'!N212="","",CONCATENATE('Cable Info'!N212," - ",'Cable Info'!O212))</f>
        <v/>
      </c>
      <c r="AR508" s="121" t="str">
        <f t="shared" si="132"/>
        <v/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str">
        <f>IF('Cable Info'!L213="","",CONCATENATE('Cable Info'!L213," - ",'Cable Info'!M213))</f>
        <v/>
      </c>
      <c r="AM509" s="121" t="str">
        <f t="shared" si="131"/>
        <v/>
      </c>
      <c r="AO509" s="121" t="str">
        <f>IF('Cable Info'!N213="","",CONCATENATE('Cable Info'!N213," - ",'Cable Info'!O213))</f>
        <v/>
      </c>
      <c r="AR509" s="121" t="str">
        <f t="shared" si="132"/>
        <v/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str">
        <f>IF('Cable Info'!L214="","",CONCATENATE('Cable Info'!L214," - ",'Cable Info'!M214))</f>
        <v/>
      </c>
      <c r="AM510" s="121" t="str">
        <f t="shared" si="131"/>
        <v/>
      </c>
      <c r="AO510" s="121" t="str">
        <f>IF('Cable Info'!N214="","",CONCATENATE('Cable Info'!N214," - ",'Cable Info'!O214))</f>
        <v/>
      </c>
      <c r="AR510" s="121" t="str">
        <f t="shared" si="132"/>
        <v/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str">
        <f>IF('Cable Info'!L215="","",CONCATENATE('Cable Info'!L215," - ",'Cable Info'!M215))</f>
        <v/>
      </c>
      <c r="AM511" s="121" t="str">
        <f t="shared" si="131"/>
        <v/>
      </c>
      <c r="AO511" s="121" t="str">
        <f>IF('Cable Info'!N215="","",CONCATENATE('Cable Info'!N215," - ",'Cable Info'!O215))</f>
        <v/>
      </c>
      <c r="AR511" s="121" t="str">
        <f t="shared" si="132"/>
        <v/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str">
        <f>IF('Cable Info'!L216="","",CONCATENATE('Cable Info'!L216," - ",'Cable Info'!M216))</f>
        <v/>
      </c>
      <c r="AM512" s="121" t="str">
        <f t="shared" si="131"/>
        <v/>
      </c>
      <c r="AO512" s="121" t="str">
        <f>IF('Cable Info'!N216="","",CONCATENATE('Cable Info'!N216," - ",'Cable Info'!O216))</f>
        <v/>
      </c>
      <c r="AR512" s="121" t="str">
        <f t="shared" si="132"/>
        <v/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str">
        <f>IF('Cable Info'!L217="","",CONCATENATE('Cable Info'!L217," - ",'Cable Info'!M217))</f>
        <v/>
      </c>
      <c r="AM513" s="121" t="str">
        <f t="shared" si="131"/>
        <v/>
      </c>
      <c r="AO513" s="121" t="str">
        <f>IF('Cable Info'!N217="","",CONCATENATE('Cable Info'!N217," - ",'Cable Info'!O217))</f>
        <v/>
      </c>
      <c r="AR513" s="121" t="str">
        <f t="shared" si="132"/>
        <v/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str">
        <f>IF('Cable Info'!L218="","",CONCATENATE('Cable Info'!L218," - ",'Cable Info'!M218))</f>
        <v/>
      </c>
      <c r="AM514" s="121" t="str">
        <f t="shared" si="131"/>
        <v/>
      </c>
      <c r="AO514" s="121" t="str">
        <f>IF('Cable Info'!N218="","",CONCATENATE('Cable Info'!N218," - ",'Cable Info'!O218))</f>
        <v/>
      </c>
      <c r="AR514" s="121" t="str">
        <f t="shared" si="132"/>
        <v/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str">
        <f>IF('Cable Info'!L219="","",CONCATENATE('Cable Info'!L219," - ",'Cable Info'!M219))</f>
        <v/>
      </c>
      <c r="AM515" s="121" t="str">
        <f t="shared" si="131"/>
        <v/>
      </c>
      <c r="AO515" s="121" t="str">
        <f>IF('Cable Info'!N219="","",CONCATENATE('Cable Info'!N219," - ",'Cable Info'!O219))</f>
        <v/>
      </c>
      <c r="AR515" s="121" t="str">
        <f t="shared" si="132"/>
        <v/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str">
        <f>IF('Cable Info'!L220="","",CONCATENATE('Cable Info'!L220," - ",'Cable Info'!M220))</f>
        <v/>
      </c>
      <c r="AM516" s="121" t="str">
        <f t="shared" si="131"/>
        <v/>
      </c>
      <c r="AO516" s="121" t="str">
        <f>IF('Cable Info'!N220="","",CONCATENATE('Cable Info'!N220," - ",'Cable Info'!O220))</f>
        <v/>
      </c>
      <c r="AR516" s="121" t="str">
        <f t="shared" si="132"/>
        <v/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str">
        <f>IF('Cable Info'!L221="","",CONCATENATE('Cable Info'!L221," - ",'Cable Info'!M221))</f>
        <v/>
      </c>
      <c r="AM517" s="121" t="str">
        <f t="shared" si="131"/>
        <v/>
      </c>
      <c r="AO517" s="121" t="str">
        <f>IF('Cable Info'!N221="","",CONCATENATE('Cable Info'!N221," - ",'Cable Info'!O221))</f>
        <v/>
      </c>
      <c r="AR517" s="121" t="str">
        <f t="shared" si="132"/>
        <v/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str">
        <f>IF('Cable Info'!L222="","",CONCATENATE('Cable Info'!L222," - ",'Cable Info'!M222))</f>
        <v/>
      </c>
      <c r="AM518" s="121" t="str">
        <f t="shared" si="131"/>
        <v/>
      </c>
      <c r="AO518" s="121" t="str">
        <f>IF('Cable Info'!N222="","",CONCATENATE('Cable Info'!N222," - ",'Cable Info'!O222))</f>
        <v/>
      </c>
      <c r="AR518" s="121" t="str">
        <f t="shared" si="132"/>
        <v/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str">
        <f>IF('Cable Info'!L223="","",CONCATENATE('Cable Info'!L223," - ",'Cable Info'!M223))</f>
        <v/>
      </c>
      <c r="AM519" s="121" t="str">
        <f t="shared" si="131"/>
        <v/>
      </c>
      <c r="AO519" s="121" t="str">
        <f>IF('Cable Info'!N223="","",CONCATENATE('Cable Info'!N223," - ",'Cable Info'!O223))</f>
        <v/>
      </c>
      <c r="AR519" s="121" t="str">
        <f t="shared" si="132"/>
        <v/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str">
        <f>IF('Cable Info'!L224="","",CONCATENATE('Cable Info'!L224," - ",'Cable Info'!M224))</f>
        <v/>
      </c>
      <c r="AM520" s="121" t="str">
        <f t="shared" si="131"/>
        <v/>
      </c>
      <c r="AO520" s="121" t="str">
        <f>IF('Cable Info'!N224="","",CONCATENATE('Cable Info'!N224," - ",'Cable Info'!O224))</f>
        <v/>
      </c>
      <c r="AR520" s="121" t="str">
        <f t="shared" si="132"/>
        <v/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str">
        <f>IF('Cable Info'!L225="","",CONCATENATE('Cable Info'!L225," - ",'Cable Info'!M225))</f>
        <v/>
      </c>
      <c r="AM521" s="121" t="str">
        <f t="shared" si="131"/>
        <v/>
      </c>
      <c r="AO521" s="121" t="str">
        <f>IF('Cable Info'!N225="","",CONCATENATE('Cable Info'!N225," - ",'Cable Info'!O225))</f>
        <v/>
      </c>
      <c r="AR521" s="121" t="str">
        <f t="shared" si="132"/>
        <v/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str">
        <f>IF('Cable Info'!L226="","",CONCATENATE('Cable Info'!L226," - ",'Cable Info'!M226))</f>
        <v/>
      </c>
      <c r="AM522" s="121" t="str">
        <f t="shared" si="131"/>
        <v/>
      </c>
      <c r="AO522" s="121" t="str">
        <f>IF('Cable Info'!N226="","",CONCATENATE('Cable Info'!N226," - ",'Cable Info'!O226))</f>
        <v/>
      </c>
      <c r="AR522" s="121" t="str">
        <f t="shared" si="132"/>
        <v/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str">
        <f>IF('Cable Info'!L227="","",CONCATENATE('Cable Info'!L227," - ",'Cable Info'!M227))</f>
        <v/>
      </c>
      <c r="AM523" s="121" t="str">
        <f t="shared" si="131"/>
        <v/>
      </c>
      <c r="AO523" s="121" t="str">
        <f>IF('Cable Info'!N227="","",CONCATENATE('Cable Info'!N227," - ",'Cable Info'!O227))</f>
        <v/>
      </c>
      <c r="AR523" s="121" t="str">
        <f t="shared" si="132"/>
        <v/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str">
        <f>IF('Cable Info'!L228="","",CONCATENATE('Cable Info'!L228," - ",'Cable Info'!M228))</f>
        <v/>
      </c>
      <c r="AM524" s="121" t="str">
        <f t="shared" si="131"/>
        <v/>
      </c>
      <c r="AO524" s="121" t="str">
        <f>IF('Cable Info'!N228="","",CONCATENATE('Cable Info'!N228," - ",'Cable Info'!O228))</f>
        <v/>
      </c>
      <c r="AR524" s="121" t="str">
        <f t="shared" si="132"/>
        <v/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str">
        <f>IF('Cable Info'!L229="","",CONCATENATE('Cable Info'!L229," - ",'Cable Info'!M229))</f>
        <v/>
      </c>
      <c r="AM525" s="121" t="str">
        <f t="shared" si="131"/>
        <v/>
      </c>
      <c r="AO525" s="121" t="str">
        <f>IF('Cable Info'!N229="","",CONCATENATE('Cable Info'!N229," - ",'Cable Info'!O229))</f>
        <v/>
      </c>
      <c r="AR525" s="121" t="str">
        <f t="shared" si="132"/>
        <v/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str">
        <f>IF('Cable Info'!L230="","",CONCATENATE('Cable Info'!L230," - ",'Cable Info'!M230))</f>
        <v/>
      </c>
      <c r="AM526" s="121" t="str">
        <f t="shared" si="131"/>
        <v/>
      </c>
      <c r="AO526" s="121" t="str">
        <f>IF('Cable Info'!N230="","",CONCATENATE('Cable Info'!N230," - ",'Cable Info'!O230))</f>
        <v/>
      </c>
      <c r="AR526" s="121" t="str">
        <f t="shared" si="132"/>
        <v/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str">
        <f>IF('Cable Info'!L231="","",CONCATENATE('Cable Info'!L231," - ",'Cable Info'!M231))</f>
        <v/>
      </c>
      <c r="AM527" s="121" t="str">
        <f t="shared" si="131"/>
        <v/>
      </c>
      <c r="AO527" s="121" t="str">
        <f>IF('Cable Info'!N231="","",CONCATENATE('Cable Info'!N231," - ",'Cable Info'!O231))</f>
        <v/>
      </c>
      <c r="AR527" s="121" t="str">
        <f t="shared" si="132"/>
        <v/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str">
        <f>IF('Cable Info'!L232="","",CONCATENATE('Cable Info'!L232," - ",'Cable Info'!M232))</f>
        <v/>
      </c>
      <c r="AM528" s="121" t="str">
        <f t="shared" si="131"/>
        <v/>
      </c>
      <c r="AO528" s="121" t="str">
        <f>IF('Cable Info'!N232="","",CONCATENATE('Cable Info'!N232," - ",'Cable Info'!O232))</f>
        <v/>
      </c>
      <c r="AR528" s="121" t="str">
        <f t="shared" si="132"/>
        <v/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str">
        <f>IF('Cable Info'!L233="","",CONCATENATE('Cable Info'!L233," - ",'Cable Info'!M233))</f>
        <v/>
      </c>
      <c r="AM529" s="121" t="str">
        <f t="shared" si="131"/>
        <v/>
      </c>
      <c r="AO529" s="121" t="str">
        <f>IF('Cable Info'!N233="","",CONCATENATE('Cable Info'!N233," - ",'Cable Info'!O233))</f>
        <v/>
      </c>
      <c r="AR529" s="121" t="str">
        <f t="shared" si="132"/>
        <v/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str">
        <f>IF('Cable Info'!L234="","",CONCATENATE('Cable Info'!L234," - ",'Cable Info'!M234))</f>
        <v/>
      </c>
      <c r="AM530" s="121" t="str">
        <f t="shared" si="131"/>
        <v/>
      </c>
      <c r="AO530" s="121" t="str">
        <f>IF('Cable Info'!N234="","",CONCATENATE('Cable Info'!N234," - ",'Cable Info'!O234))</f>
        <v/>
      </c>
      <c r="AR530" s="121" t="str">
        <f t="shared" si="132"/>
        <v/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str">
        <f>IF('Cable Info'!L235="","",CONCATENATE('Cable Info'!L235," - ",'Cable Info'!M235))</f>
        <v/>
      </c>
      <c r="AM531" s="121" t="str">
        <f t="shared" si="131"/>
        <v/>
      </c>
      <c r="AO531" s="121" t="str">
        <f>IF('Cable Info'!N235="","",CONCATENATE('Cable Info'!N235," - ",'Cable Info'!O235))</f>
        <v/>
      </c>
      <c r="AR531" s="121" t="str">
        <f t="shared" si="132"/>
        <v/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str">
        <f>IF('Cable Info'!L236="","",CONCATENATE('Cable Info'!L236," - ",'Cable Info'!M236))</f>
        <v/>
      </c>
      <c r="AM532" s="121" t="str">
        <f t="shared" si="131"/>
        <v/>
      </c>
      <c r="AO532" s="121" t="str">
        <f>IF('Cable Info'!N236="","",CONCATENATE('Cable Info'!N236," - ",'Cable Info'!O236))</f>
        <v/>
      </c>
      <c r="AR532" s="121" t="str">
        <f t="shared" si="132"/>
        <v/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str">
        <f>IF('Cable Info'!L237="","",CONCATENATE('Cable Info'!L237," - ",'Cable Info'!M237))</f>
        <v/>
      </c>
      <c r="AM533" s="121" t="str">
        <f t="shared" si="131"/>
        <v/>
      </c>
      <c r="AO533" s="121" t="str">
        <f>IF('Cable Info'!N237="","",CONCATENATE('Cable Info'!N237," - ",'Cable Info'!O237))</f>
        <v/>
      </c>
      <c r="AR533" s="121" t="str">
        <f t="shared" si="132"/>
        <v/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str">
        <f>IF('Cable Info'!L238="","",CONCATENATE('Cable Info'!L238," - ",'Cable Info'!M238))</f>
        <v/>
      </c>
      <c r="AM534" s="121" t="str">
        <f t="shared" si="131"/>
        <v/>
      </c>
      <c r="AO534" s="121" t="str">
        <f>IF('Cable Info'!N238="","",CONCATENATE('Cable Info'!N238," - ",'Cable Info'!O238))</f>
        <v/>
      </c>
      <c r="AR534" s="121" t="str">
        <f t="shared" si="132"/>
        <v/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str">
        <f>IF('Cable Info'!L239="","",CONCATENATE('Cable Info'!L239," - ",'Cable Info'!M239))</f>
        <v/>
      </c>
      <c r="AM535" s="121" t="str">
        <f t="shared" si="131"/>
        <v/>
      </c>
      <c r="AO535" s="121" t="str">
        <f>IF('Cable Info'!N239="","",CONCATENATE('Cable Info'!N239," - ",'Cable Info'!O239))</f>
        <v/>
      </c>
      <c r="AR535" s="121" t="str">
        <f t="shared" si="132"/>
        <v/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str">
        <f>IF('Cable Info'!L240="","",CONCATENATE('Cable Info'!L240," - ",'Cable Info'!M240))</f>
        <v/>
      </c>
      <c r="AM536" s="121" t="str">
        <f t="shared" si="131"/>
        <v/>
      </c>
      <c r="AO536" s="121" t="str">
        <f>IF('Cable Info'!N240="","",CONCATENATE('Cable Info'!N240," - ",'Cable Info'!O240))</f>
        <v/>
      </c>
      <c r="AR536" s="121" t="str">
        <f t="shared" si="132"/>
        <v/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str">
        <f>IF('Cable Info'!L241="","",CONCATENATE('Cable Info'!L241," - ",'Cable Info'!M241))</f>
        <v/>
      </c>
      <c r="AM537" s="121" t="str">
        <f t="shared" si="131"/>
        <v/>
      </c>
      <c r="AO537" s="121" t="str">
        <f>IF('Cable Info'!N241="","",CONCATENATE('Cable Info'!N241," - ",'Cable Info'!O241))</f>
        <v/>
      </c>
      <c r="AR537" s="121" t="str">
        <f t="shared" si="132"/>
        <v/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str">
        <f>IF('Cable Info'!L242="","",CONCATENATE('Cable Info'!L242," - ",'Cable Info'!M242))</f>
        <v/>
      </c>
      <c r="AM538" s="121" t="str">
        <f t="shared" si="131"/>
        <v/>
      </c>
      <c r="AO538" s="121" t="str">
        <f>IF('Cable Info'!N242="","",CONCATENATE('Cable Info'!N242," - ",'Cable Info'!O242))</f>
        <v/>
      </c>
      <c r="AR538" s="121" t="str">
        <f t="shared" si="132"/>
        <v/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str">
        <f>IF('Cable Info'!L243="","",CONCATENATE('Cable Info'!L243," - ",'Cable Info'!M243))</f>
        <v/>
      </c>
      <c r="AM539" s="121" t="str">
        <f t="shared" si="131"/>
        <v/>
      </c>
      <c r="AO539" s="121" t="str">
        <f>IF('Cable Info'!N243="","",CONCATENATE('Cable Info'!N243," - ",'Cable Info'!O243))</f>
        <v/>
      </c>
      <c r="AR539" s="121" t="str">
        <f t="shared" si="132"/>
        <v/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str">
        <f>IF('Cable Info'!L244="","",CONCATENATE('Cable Info'!L244," - ",'Cable Info'!M244))</f>
        <v/>
      </c>
      <c r="AM540" s="121" t="str">
        <f t="shared" si="131"/>
        <v/>
      </c>
      <c r="AO540" s="121" t="str">
        <f>IF('Cable Info'!N244="","",CONCATENATE('Cable Info'!N244," - ",'Cable Info'!O244))</f>
        <v/>
      </c>
      <c r="AR540" s="121" t="str">
        <f t="shared" si="132"/>
        <v/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str">
        <f>IF('Cable Info'!L245="","",CONCATENATE('Cable Info'!L245," - ",'Cable Info'!M245))</f>
        <v/>
      </c>
      <c r="AM541" s="121" t="str">
        <f t="shared" si="131"/>
        <v/>
      </c>
      <c r="AO541" s="121" t="str">
        <f>IF('Cable Info'!N245="","",CONCATENATE('Cable Info'!N245," - ",'Cable Info'!O245))</f>
        <v/>
      </c>
      <c r="AR541" s="121" t="str">
        <f t="shared" si="132"/>
        <v/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str">
        <f>IF('Cable Info'!L246="","",CONCATENATE('Cable Info'!L246," - ",'Cable Info'!M246))</f>
        <v/>
      </c>
      <c r="AM542" s="121" t="str">
        <f t="shared" si="131"/>
        <v/>
      </c>
      <c r="AO542" s="121" t="str">
        <f>IF('Cable Info'!N246="","",CONCATENATE('Cable Info'!N246," - ",'Cable Info'!O246))</f>
        <v/>
      </c>
      <c r="AR542" s="121" t="str">
        <f t="shared" si="132"/>
        <v/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str">
        <f>IF('Cable Info'!L247="","",CONCATENATE('Cable Info'!L247," - ",'Cable Info'!M247))</f>
        <v/>
      </c>
      <c r="AM543" s="121" t="str">
        <f t="shared" si="131"/>
        <v/>
      </c>
      <c r="AO543" s="121" t="str">
        <f>IF('Cable Info'!N247="","",CONCATENATE('Cable Info'!N247," - ",'Cable Info'!O247))</f>
        <v/>
      </c>
      <c r="AR543" s="121" t="str">
        <f t="shared" si="132"/>
        <v/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str">
        <f>IF('Cable Info'!L248="","",CONCATENATE('Cable Info'!L248," - ",'Cable Info'!M248))</f>
        <v/>
      </c>
      <c r="AM544" s="121" t="str">
        <f t="shared" si="131"/>
        <v/>
      </c>
      <c r="AO544" s="121" t="str">
        <f>IF('Cable Info'!N248="","",CONCATENATE('Cable Info'!N248," - ",'Cable Info'!O248))</f>
        <v/>
      </c>
      <c r="AR544" s="121" t="str">
        <f t="shared" si="132"/>
        <v/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str">
        <f>IF('Cable Info'!L249="","",CONCATENATE('Cable Info'!L249," - ",'Cable Info'!M249))</f>
        <v/>
      </c>
      <c r="AM545" s="121" t="str">
        <f t="shared" si="131"/>
        <v/>
      </c>
      <c r="AO545" s="121" t="str">
        <f>IF('Cable Info'!N249="","",CONCATENATE('Cable Info'!N249," - ",'Cable Info'!O249))</f>
        <v/>
      </c>
      <c r="AR545" s="121" t="str">
        <f t="shared" si="132"/>
        <v/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str">
        <f>IF('Cable Info'!L250="","",CONCATENATE('Cable Info'!L250," - ",'Cable Info'!M250))</f>
        <v/>
      </c>
      <c r="AM546" s="121" t="str">
        <f t="shared" si="131"/>
        <v/>
      </c>
      <c r="AO546" s="121" t="str">
        <f>IF('Cable Info'!N250="","",CONCATENATE('Cable Info'!N250," - ",'Cable Info'!O250))</f>
        <v/>
      </c>
      <c r="AR546" s="121" t="str">
        <f t="shared" si="132"/>
        <v/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str">
        <f>IF('Cable Info'!L251="","",CONCATENATE('Cable Info'!L251," - ",'Cable Info'!M251))</f>
        <v/>
      </c>
      <c r="AM547" s="121" t="str">
        <f t="shared" si="131"/>
        <v/>
      </c>
      <c r="AO547" s="121" t="str">
        <f>IF('Cable Info'!N251="","",CONCATENATE('Cable Info'!N251," - ",'Cable Info'!O251))</f>
        <v/>
      </c>
      <c r="AR547" s="121" t="str">
        <f t="shared" si="132"/>
        <v/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str">
        <f>IF('Cable Info'!L252="","",CONCATENATE('Cable Info'!L252," - ",'Cable Info'!M252))</f>
        <v/>
      </c>
      <c r="AM548" s="121" t="str">
        <f t="shared" si="131"/>
        <v/>
      </c>
      <c r="AO548" s="121" t="str">
        <f>IF('Cable Info'!N252="","",CONCATENATE('Cable Info'!N252," - ",'Cable Info'!O252))</f>
        <v/>
      </c>
      <c r="AR548" s="121" t="str">
        <f t="shared" si="132"/>
        <v/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str">
        <f>IF('Cable Info'!L253="","",CONCATENATE('Cable Info'!L253," - ",'Cable Info'!M253))</f>
        <v/>
      </c>
      <c r="AM549" s="121" t="str">
        <f t="shared" si="131"/>
        <v/>
      </c>
      <c r="AO549" s="121" t="str">
        <f>IF('Cable Info'!N253="","",CONCATENATE('Cable Info'!N253," - ",'Cable Info'!O253))</f>
        <v/>
      </c>
      <c r="AR549" s="121" t="str">
        <f t="shared" si="132"/>
        <v/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str">
        <f>IF('Cable Info'!L254="","",CONCATENATE('Cable Info'!L254," - ",'Cable Info'!M254))</f>
        <v/>
      </c>
      <c r="AM550" s="121" t="str">
        <f t="shared" si="131"/>
        <v/>
      </c>
      <c r="AO550" s="121" t="str">
        <f>IF('Cable Info'!N254="","",CONCATENATE('Cable Info'!N254," - ",'Cable Info'!O254))</f>
        <v/>
      </c>
      <c r="AR550" s="121" t="str">
        <f t="shared" si="132"/>
        <v/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str">
        <f>IF('Cable Info'!L255="","",CONCATENATE('Cable Info'!L255," - ",'Cable Info'!M255))</f>
        <v/>
      </c>
      <c r="AM551" s="121" t="str">
        <f t="shared" si="131"/>
        <v/>
      </c>
      <c r="AO551" s="121" t="str">
        <f>IF('Cable Info'!N255="","",CONCATENATE('Cable Info'!N255," - ",'Cable Info'!O255))</f>
        <v/>
      </c>
      <c r="AR551" s="121" t="str">
        <f t="shared" si="132"/>
        <v/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str">
        <f>IF('Cable Info'!L256="","",CONCATENATE('Cable Info'!L256," - ",'Cable Info'!M256))</f>
        <v/>
      </c>
      <c r="AM552" s="121" t="str">
        <f t="shared" si="131"/>
        <v/>
      </c>
      <c r="AO552" s="121" t="str">
        <f>IF('Cable Info'!N256="","",CONCATENATE('Cable Info'!N256," - ",'Cable Info'!O256))</f>
        <v/>
      </c>
      <c r="AR552" s="121" t="str">
        <f t="shared" si="132"/>
        <v/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str">
        <f>IF('Cable Info'!L257="","",CONCATENATE('Cable Info'!L257," - ",'Cable Info'!M257))</f>
        <v/>
      </c>
      <c r="AM553" s="121" t="str">
        <f t="shared" si="131"/>
        <v/>
      </c>
      <c r="AO553" s="121" t="str">
        <f>IF('Cable Info'!N257="","",CONCATENATE('Cable Info'!N257," - ",'Cable Info'!O257))</f>
        <v/>
      </c>
      <c r="AR553" s="121" t="str">
        <f t="shared" si="132"/>
        <v/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str">
        <f>IF('Cable Info'!L258="","",CONCATENATE('Cable Info'!L258," - ",'Cable Info'!M258))</f>
        <v/>
      </c>
      <c r="AM554" s="121" t="str">
        <f t="shared" si="131"/>
        <v/>
      </c>
      <c r="AO554" s="121" t="str">
        <f>IF('Cable Info'!N258="","",CONCATENATE('Cable Info'!N258," - ",'Cable Info'!O258))</f>
        <v/>
      </c>
      <c r="AR554" s="121" t="str">
        <f t="shared" si="132"/>
        <v/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str">
        <f>IF('Cable Info'!L259="","",CONCATENATE('Cable Info'!L259," - ",'Cable Info'!M259))</f>
        <v/>
      </c>
      <c r="AM555" s="121" t="str">
        <f t="shared" ref="AM555:AM618" si="137">IF(AK555="",AJ555,CONCATENATE(AJ555,"  &lt;=&gt; ",AK555," ",AL555))</f>
        <v/>
      </c>
      <c r="AO555" s="121" t="str">
        <f>IF('Cable Info'!N259="","",CONCATENATE('Cable Info'!N259," - ",'Cable Info'!O259))</f>
        <v/>
      </c>
      <c r="AR555" s="121" t="str">
        <f t="shared" ref="AR555:AR618" si="138">IF(AP555="",AO555,CONCATENATE(AO555,"  &lt;=&gt; ",AP555," ",AQ555))</f>
        <v/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str">
        <f>IF('Cable Info'!L260="","",CONCATENATE('Cable Info'!L260," - ",'Cable Info'!M260))</f>
        <v/>
      </c>
      <c r="AM556" s="121" t="str">
        <f t="shared" si="137"/>
        <v/>
      </c>
      <c r="AO556" s="121" t="str">
        <f>IF('Cable Info'!N260="","",CONCATENATE('Cable Info'!N260," - ",'Cable Info'!O260))</f>
        <v/>
      </c>
      <c r="AR556" s="121" t="str">
        <f t="shared" si="138"/>
        <v/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str">
        <f>IF('Cable Info'!L261="","",CONCATENATE('Cable Info'!L261," - ",'Cable Info'!M261))</f>
        <v/>
      </c>
      <c r="AM557" s="121" t="str">
        <f t="shared" si="137"/>
        <v/>
      </c>
      <c r="AO557" s="121" t="str">
        <f>IF('Cable Info'!N261="","",CONCATENATE('Cable Info'!N261," - ",'Cable Info'!O261))</f>
        <v/>
      </c>
      <c r="AR557" s="121" t="str">
        <f t="shared" si="138"/>
        <v/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str">
        <f>IF('Cable Info'!L262="","",CONCATENATE('Cable Info'!L262," - ",'Cable Info'!M262))</f>
        <v/>
      </c>
      <c r="AM558" s="121" t="str">
        <f t="shared" si="137"/>
        <v/>
      </c>
      <c r="AO558" s="121" t="str">
        <f>IF('Cable Info'!N262="","",CONCATENATE('Cable Info'!N262," - ",'Cable Info'!O262))</f>
        <v/>
      </c>
      <c r="AR558" s="121" t="str">
        <f t="shared" si="138"/>
        <v/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str">
        <f>IF('Cable Info'!L263="","",CONCATENATE('Cable Info'!L263," - ",'Cable Info'!M263))</f>
        <v/>
      </c>
      <c r="AM559" s="121" t="str">
        <f t="shared" si="137"/>
        <v/>
      </c>
      <c r="AO559" s="121" t="str">
        <f>IF('Cable Info'!N263="","",CONCATENATE('Cable Info'!N263," - ",'Cable Info'!O263))</f>
        <v/>
      </c>
      <c r="AR559" s="121" t="str">
        <f t="shared" si="138"/>
        <v/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str">
        <f>IF('Cable Info'!L264="","",CONCATENATE('Cable Info'!L264," - ",'Cable Info'!M264))</f>
        <v/>
      </c>
      <c r="AM560" s="121" t="str">
        <f t="shared" si="137"/>
        <v/>
      </c>
      <c r="AO560" s="121" t="str">
        <f>IF('Cable Info'!N264="","",CONCATENATE('Cable Info'!N264," - ",'Cable Info'!O264))</f>
        <v/>
      </c>
      <c r="AR560" s="121" t="str">
        <f t="shared" si="138"/>
        <v/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str">
        <f>IF('Cable Info'!L265="","",CONCATENATE('Cable Info'!L265," - ",'Cable Info'!M265))</f>
        <v/>
      </c>
      <c r="AM561" s="121" t="str">
        <f t="shared" si="137"/>
        <v/>
      </c>
      <c r="AO561" s="121" t="str">
        <f>IF('Cable Info'!N265="","",CONCATENATE('Cable Info'!N265," - ",'Cable Info'!O265))</f>
        <v/>
      </c>
      <c r="AR561" s="121" t="str">
        <f t="shared" si="138"/>
        <v/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str">
        <f>IF('Cable Info'!L266="","",CONCATENATE('Cable Info'!L266," - ",'Cable Info'!M266))</f>
        <v/>
      </c>
      <c r="AM562" s="121" t="str">
        <f t="shared" si="137"/>
        <v/>
      </c>
      <c r="AO562" s="121" t="str">
        <f>IF('Cable Info'!N266="","",CONCATENATE('Cable Info'!N266," - ",'Cable Info'!O266))</f>
        <v/>
      </c>
      <c r="AR562" s="121" t="str">
        <f t="shared" si="138"/>
        <v/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str">
        <f>IF('Cable Info'!L267="","",CONCATENATE('Cable Info'!L267," - ",'Cable Info'!M267))</f>
        <v/>
      </c>
      <c r="AM563" s="121" t="str">
        <f t="shared" si="137"/>
        <v/>
      </c>
      <c r="AO563" s="121" t="str">
        <f>IF('Cable Info'!N267="","",CONCATENATE('Cable Info'!N267," - ",'Cable Info'!O267))</f>
        <v/>
      </c>
      <c r="AR563" s="121" t="str">
        <f t="shared" si="138"/>
        <v/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str">
        <f>IF('Cable Info'!L268="","",CONCATENATE('Cable Info'!L268," - ",'Cable Info'!M268))</f>
        <v/>
      </c>
      <c r="AM564" s="121" t="str">
        <f t="shared" si="137"/>
        <v/>
      </c>
      <c r="AO564" s="121" t="str">
        <f>IF('Cable Info'!N268="","",CONCATENATE('Cable Info'!N268," - ",'Cable Info'!O268))</f>
        <v/>
      </c>
      <c r="AR564" s="121" t="str">
        <f t="shared" si="138"/>
        <v/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str">
        <f>IF('Cable Info'!L269="","",CONCATENATE('Cable Info'!L269," - ",'Cable Info'!M269))</f>
        <v/>
      </c>
      <c r="AM565" s="121" t="str">
        <f t="shared" si="137"/>
        <v/>
      </c>
      <c r="AO565" s="121" t="str">
        <f>IF('Cable Info'!N269="","",CONCATENATE('Cable Info'!N269," - ",'Cable Info'!O269))</f>
        <v/>
      </c>
      <c r="AR565" s="121" t="str">
        <f t="shared" si="138"/>
        <v/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str">
        <f>IF('Cable Info'!L270="","",CONCATENATE('Cable Info'!L270," - ",'Cable Info'!M270))</f>
        <v/>
      </c>
      <c r="AM566" s="121" t="str">
        <f t="shared" si="137"/>
        <v/>
      </c>
      <c r="AO566" s="121" t="str">
        <f>IF('Cable Info'!N270="","",CONCATENATE('Cable Info'!N270," - ",'Cable Info'!O270))</f>
        <v/>
      </c>
      <c r="AR566" s="121" t="str">
        <f t="shared" si="138"/>
        <v/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str">
        <f>IF('Cable Info'!L271="","",CONCATENATE('Cable Info'!L271," - ",'Cable Info'!M271))</f>
        <v/>
      </c>
      <c r="AM567" s="121" t="str">
        <f t="shared" si="137"/>
        <v/>
      </c>
      <c r="AO567" s="121" t="str">
        <f>IF('Cable Info'!N271="","",CONCATENATE('Cable Info'!N271," - ",'Cable Info'!O271))</f>
        <v/>
      </c>
      <c r="AR567" s="121" t="str">
        <f t="shared" si="138"/>
        <v/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str">
        <f>IF('Cable Info'!L272="","",CONCATENATE('Cable Info'!L272," - ",'Cable Info'!M272))</f>
        <v/>
      </c>
      <c r="AM568" s="121" t="str">
        <f t="shared" si="137"/>
        <v/>
      </c>
      <c r="AO568" s="121" t="str">
        <f>IF('Cable Info'!N272="","",CONCATENATE('Cable Info'!N272," - ",'Cable Info'!O272))</f>
        <v/>
      </c>
      <c r="AR568" s="121" t="str">
        <f t="shared" si="138"/>
        <v/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str">
        <f>IF('Cable Info'!L273="","",CONCATENATE('Cable Info'!L273," - ",'Cable Info'!M273))</f>
        <v/>
      </c>
      <c r="AM569" s="121" t="str">
        <f t="shared" si="137"/>
        <v/>
      </c>
      <c r="AO569" s="121" t="str">
        <f>IF('Cable Info'!N273="","",CONCATENATE('Cable Info'!N273," - ",'Cable Info'!O273))</f>
        <v/>
      </c>
      <c r="AR569" s="121" t="str">
        <f t="shared" si="138"/>
        <v/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str">
        <f>IF('Cable Info'!L274="","",CONCATENATE('Cable Info'!L274," - ",'Cable Info'!M274))</f>
        <v/>
      </c>
      <c r="AM570" s="121" t="str">
        <f t="shared" si="137"/>
        <v/>
      </c>
      <c r="AO570" s="121" t="str">
        <f>IF('Cable Info'!N274="","",CONCATENATE('Cable Info'!N274," - ",'Cable Info'!O274))</f>
        <v/>
      </c>
      <c r="AR570" s="121" t="str">
        <f t="shared" si="138"/>
        <v/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str">
        <f>IF('Cable Info'!L275="","",CONCATENATE('Cable Info'!L275," - ",'Cable Info'!M275))</f>
        <v/>
      </c>
      <c r="AM571" s="121" t="str">
        <f t="shared" si="137"/>
        <v/>
      </c>
      <c r="AO571" s="121" t="str">
        <f>IF('Cable Info'!N275="","",CONCATENATE('Cable Info'!N275," - ",'Cable Info'!O275))</f>
        <v/>
      </c>
      <c r="AR571" s="121" t="str">
        <f t="shared" si="138"/>
        <v/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str">
        <f>IF('Cable Info'!L276="","",CONCATENATE('Cable Info'!L276," - ",'Cable Info'!M276))</f>
        <v/>
      </c>
      <c r="AM572" s="121" t="str">
        <f t="shared" si="137"/>
        <v/>
      </c>
      <c r="AO572" s="121" t="str">
        <f>IF('Cable Info'!N276="","",CONCATENATE('Cable Info'!N276," - ",'Cable Info'!O276))</f>
        <v/>
      </c>
      <c r="AR572" s="121" t="str">
        <f t="shared" si="138"/>
        <v/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str">
        <f>IF('Cable Info'!L277="","",CONCATENATE('Cable Info'!L277," - ",'Cable Info'!M277))</f>
        <v/>
      </c>
      <c r="AM573" s="121" t="str">
        <f t="shared" si="137"/>
        <v/>
      </c>
      <c r="AO573" s="121" t="str">
        <f>IF('Cable Info'!N277="","",CONCATENATE('Cable Info'!N277," - ",'Cable Info'!O277))</f>
        <v/>
      </c>
      <c r="AR573" s="121" t="str">
        <f t="shared" si="138"/>
        <v/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str">
        <f>IF('Cable Info'!L278="","",CONCATENATE('Cable Info'!L278," - ",'Cable Info'!M278))</f>
        <v/>
      </c>
      <c r="AM574" s="121" t="str">
        <f t="shared" si="137"/>
        <v/>
      </c>
      <c r="AO574" s="121" t="str">
        <f>IF('Cable Info'!N278="","",CONCATENATE('Cable Info'!N278," - ",'Cable Info'!O278))</f>
        <v/>
      </c>
      <c r="AR574" s="121" t="str">
        <f t="shared" si="138"/>
        <v/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str">
        <f>IF('Cable Info'!L279="","",CONCATENATE('Cable Info'!L279," - ",'Cable Info'!M279))</f>
        <v/>
      </c>
      <c r="AM575" s="121" t="str">
        <f t="shared" si="137"/>
        <v/>
      </c>
      <c r="AO575" s="121" t="str">
        <f>IF('Cable Info'!N279="","",CONCATENATE('Cable Info'!N279," - ",'Cable Info'!O279))</f>
        <v/>
      </c>
      <c r="AR575" s="121" t="str">
        <f t="shared" si="138"/>
        <v/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str">
        <f>IF('Cable Info'!L280="","",CONCATENATE('Cable Info'!L280," - ",'Cable Info'!M280))</f>
        <v/>
      </c>
      <c r="AM576" s="121" t="str">
        <f t="shared" si="137"/>
        <v/>
      </c>
      <c r="AO576" s="121" t="str">
        <f>IF('Cable Info'!N280="","",CONCATENATE('Cable Info'!N280," - ",'Cable Info'!O280))</f>
        <v/>
      </c>
      <c r="AR576" s="121" t="str">
        <f t="shared" si="138"/>
        <v/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str">
        <f>IF('Cable Info'!L281="","",CONCATENATE('Cable Info'!L281," - ",'Cable Info'!M281))</f>
        <v/>
      </c>
      <c r="AM577" s="121" t="str">
        <f t="shared" si="137"/>
        <v/>
      </c>
      <c r="AO577" s="121" t="str">
        <f>IF('Cable Info'!N281="","",CONCATENATE('Cable Info'!N281," - ",'Cable Info'!O281))</f>
        <v/>
      </c>
      <c r="AR577" s="121" t="str">
        <f t="shared" si="138"/>
        <v/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str">
        <f>IF('Cable Info'!L282="","",CONCATENATE('Cable Info'!L282," - ",'Cable Info'!M282))</f>
        <v/>
      </c>
      <c r="AM578" s="121" t="str">
        <f t="shared" si="137"/>
        <v/>
      </c>
      <c r="AO578" s="121" t="str">
        <f>IF('Cable Info'!N282="","",CONCATENATE('Cable Info'!N282," - ",'Cable Info'!O282))</f>
        <v/>
      </c>
      <c r="AR578" s="121" t="str">
        <f t="shared" si="138"/>
        <v/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str">
        <f>IF('Cable Info'!L283="","",CONCATENATE('Cable Info'!L283," - ",'Cable Info'!M283))</f>
        <v/>
      </c>
      <c r="AM579" s="121" t="str">
        <f t="shared" si="137"/>
        <v/>
      </c>
      <c r="AO579" s="121" t="str">
        <f>IF('Cable Info'!N283="","",CONCATENATE('Cable Info'!N283," - ",'Cable Info'!O283))</f>
        <v/>
      </c>
      <c r="AR579" s="121" t="str">
        <f t="shared" si="138"/>
        <v/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str">
        <f>IF('Cable Info'!L284="","",CONCATENATE('Cable Info'!L284," - ",'Cable Info'!M284))</f>
        <v/>
      </c>
      <c r="AM580" s="121" t="str">
        <f t="shared" si="137"/>
        <v/>
      </c>
      <c r="AO580" s="121" t="str">
        <f>IF('Cable Info'!N284="","",CONCATENATE('Cable Info'!N284," - ",'Cable Info'!O284))</f>
        <v/>
      </c>
      <c r="AR580" s="121" t="str">
        <f t="shared" si="138"/>
        <v/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str">
        <f>IF('Cable Info'!L285="","",CONCATENATE('Cable Info'!L285," - ",'Cable Info'!M285))</f>
        <v/>
      </c>
      <c r="AM581" s="121" t="str">
        <f t="shared" si="137"/>
        <v/>
      </c>
      <c r="AO581" s="121" t="str">
        <f>IF('Cable Info'!N285="","",CONCATENATE('Cable Info'!N285," - ",'Cable Info'!O285))</f>
        <v/>
      </c>
      <c r="AR581" s="121" t="str">
        <f t="shared" si="138"/>
        <v/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str">
        <f>IF('Cable Info'!L286="","",CONCATENATE('Cable Info'!L286," - ",'Cable Info'!M286))</f>
        <v/>
      </c>
      <c r="AM582" s="121" t="str">
        <f t="shared" si="137"/>
        <v/>
      </c>
      <c r="AO582" s="121" t="str">
        <f>IF('Cable Info'!N286="","",CONCATENATE('Cable Info'!N286," - ",'Cable Info'!O286))</f>
        <v/>
      </c>
      <c r="AR582" s="121" t="str">
        <f t="shared" si="138"/>
        <v/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str">
        <f>IF('Cable Info'!L287="","",CONCATENATE('Cable Info'!L287," - ",'Cable Info'!M287))</f>
        <v/>
      </c>
      <c r="AM583" s="121" t="str">
        <f t="shared" si="137"/>
        <v/>
      </c>
      <c r="AO583" s="121" t="str">
        <f>IF('Cable Info'!N287="","",CONCATENATE('Cable Info'!N287," - ",'Cable Info'!O287))</f>
        <v/>
      </c>
      <c r="AR583" s="121" t="str">
        <f t="shared" si="138"/>
        <v/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str">
        <f>IF('Cable Info'!L288="","",CONCATENATE('Cable Info'!L288," - ",'Cable Info'!M288))</f>
        <v/>
      </c>
      <c r="AM584" s="121" t="str">
        <f t="shared" si="137"/>
        <v/>
      </c>
      <c r="AO584" s="121" t="str">
        <f>IF('Cable Info'!N288="","",CONCATENATE('Cable Info'!N288," - ",'Cable Info'!O288))</f>
        <v/>
      </c>
      <c r="AR584" s="121" t="str">
        <f t="shared" si="138"/>
        <v/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str">
        <f>IF('Cable Info'!L289="","",CONCATENATE('Cable Info'!L289," - ",'Cable Info'!M289))</f>
        <v/>
      </c>
      <c r="AM585" s="121" t="str">
        <f t="shared" si="137"/>
        <v/>
      </c>
      <c r="AO585" s="121" t="str">
        <f>IF('Cable Info'!N289="","",CONCATENATE('Cable Info'!N289," - ",'Cable Info'!O289))</f>
        <v/>
      </c>
      <c r="AR585" s="121" t="str">
        <f t="shared" si="138"/>
        <v/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str">
        <f>IF('Cable Info'!L290="","",CONCATENATE('Cable Info'!L290," - ",'Cable Info'!M290))</f>
        <v/>
      </c>
      <c r="AM586" s="121" t="str">
        <f t="shared" si="137"/>
        <v/>
      </c>
      <c r="AO586" s="121" t="str">
        <f>IF('Cable Info'!N290="","",CONCATENATE('Cable Info'!N290," - ",'Cable Info'!O290))</f>
        <v/>
      </c>
      <c r="AR586" s="121" t="str">
        <f t="shared" si="138"/>
        <v/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str">
        <f>IF('Cable Info'!L291="","",CONCATENATE('Cable Info'!L291," - ",'Cable Info'!M291))</f>
        <v/>
      </c>
      <c r="AM587" s="121" t="str">
        <f t="shared" si="137"/>
        <v/>
      </c>
      <c r="AO587" s="121" t="str">
        <f>IF('Cable Info'!N291="","",CONCATENATE('Cable Info'!N291," - ",'Cable Info'!O291))</f>
        <v/>
      </c>
      <c r="AR587" s="121" t="str">
        <f t="shared" si="138"/>
        <v/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str">
        <f>IF('Cable Info'!L292="","",CONCATENATE('Cable Info'!L292," - ",'Cable Info'!M292))</f>
        <v/>
      </c>
      <c r="AM588" s="121" t="str">
        <f t="shared" si="137"/>
        <v/>
      </c>
      <c r="AO588" s="121" t="str">
        <f>IF('Cable Info'!N292="","",CONCATENATE('Cable Info'!N292," - ",'Cable Info'!O292))</f>
        <v/>
      </c>
      <c r="AR588" s="121" t="str">
        <f t="shared" si="138"/>
        <v/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str">
        <f>IF('Cable Info'!L293="","",CONCATENATE('Cable Info'!L293," - ",'Cable Info'!M293))</f>
        <v/>
      </c>
      <c r="AM589" s="121" t="str">
        <f t="shared" si="137"/>
        <v/>
      </c>
      <c r="AO589" s="121" t="str">
        <f>IF('Cable Info'!N293="","",CONCATENATE('Cable Info'!N293," - ",'Cable Info'!O293))</f>
        <v/>
      </c>
      <c r="AR589" s="121" t="str">
        <f t="shared" si="138"/>
        <v/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str">
        <f>IF('Cable Info'!L294="","",CONCATENATE('Cable Info'!L294," - ",'Cable Info'!M294))</f>
        <v/>
      </c>
      <c r="AM590" s="121" t="str">
        <f t="shared" si="137"/>
        <v/>
      </c>
      <c r="AO590" s="121" t="str">
        <f>IF('Cable Info'!N294="","",CONCATENATE('Cable Info'!N294," - ",'Cable Info'!O294))</f>
        <v/>
      </c>
      <c r="AR590" s="121" t="str">
        <f t="shared" si="138"/>
        <v/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str">
        <f>IF('Cable Info'!L295="","",CONCATENATE('Cable Info'!L295," - ",'Cable Info'!M295))</f>
        <v/>
      </c>
      <c r="AM591" s="121" t="str">
        <f t="shared" si="137"/>
        <v/>
      </c>
      <c r="AO591" s="121" t="str">
        <f>IF('Cable Info'!N295="","",CONCATENATE('Cable Info'!N295," - ",'Cable Info'!O295))</f>
        <v/>
      </c>
      <c r="AR591" s="121" t="str">
        <f t="shared" si="138"/>
        <v/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str">
        <f>IF('Cable Info'!L296="","",CONCATENATE('Cable Info'!L296," - ",'Cable Info'!M296))</f>
        <v/>
      </c>
      <c r="AM592" s="121" t="str">
        <f t="shared" si="137"/>
        <v/>
      </c>
      <c r="AO592" s="121" t="str">
        <f>IF('Cable Info'!N296="","",CONCATENATE('Cable Info'!N296," - ",'Cable Info'!O296))</f>
        <v/>
      </c>
      <c r="AR592" s="121" t="str">
        <f t="shared" si="138"/>
        <v/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str">
        <f>IF('Cable Info'!L297="","",CONCATENATE('Cable Info'!L297," - ",'Cable Info'!M297))</f>
        <v/>
      </c>
      <c r="AM593" s="121" t="str">
        <f t="shared" si="137"/>
        <v/>
      </c>
      <c r="AO593" s="121" t="str">
        <f>IF('Cable Info'!N297="","",CONCATENATE('Cable Info'!N297," - ",'Cable Info'!O297))</f>
        <v/>
      </c>
      <c r="AR593" s="121" t="str">
        <f t="shared" si="138"/>
        <v/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str">
        <f>IF('Cable Info'!L298="","",CONCATENATE('Cable Info'!L298," - ",'Cable Info'!M298))</f>
        <v/>
      </c>
      <c r="AM594" s="121" t="str">
        <f t="shared" si="137"/>
        <v/>
      </c>
      <c r="AO594" s="121" t="str">
        <f>IF('Cable Info'!N298="","",CONCATENATE('Cable Info'!N298," - ",'Cable Info'!O298))</f>
        <v/>
      </c>
      <c r="AR594" s="121" t="str">
        <f t="shared" si="138"/>
        <v/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str">
        <f>IF('Cable Info'!L299="","",CONCATENATE('Cable Info'!L299," - ",'Cable Info'!M299))</f>
        <v/>
      </c>
      <c r="AM595" s="121" t="str">
        <f t="shared" si="137"/>
        <v/>
      </c>
      <c r="AO595" s="121" t="str">
        <f>IF('Cable Info'!N299="","",CONCATENATE('Cable Info'!N299," - ",'Cable Info'!O299))</f>
        <v/>
      </c>
      <c r="AR595" s="121" t="str">
        <f t="shared" si="138"/>
        <v/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str">
        <f>IF('Cable Info'!L300="","",CONCATENATE('Cable Info'!L300," - ",'Cable Info'!M300))</f>
        <v/>
      </c>
      <c r="AM596" s="121" t="str">
        <f t="shared" si="137"/>
        <v/>
      </c>
      <c r="AO596" s="121" t="str">
        <f>IF('Cable Info'!N300="","",CONCATENATE('Cable Info'!N300," - ",'Cable Info'!O300))</f>
        <v/>
      </c>
      <c r="AR596" s="121" t="str">
        <f t="shared" si="138"/>
        <v/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str">
        <f>IF('Cable Info'!L301="","",CONCATENATE('Cable Info'!L301," - ",'Cable Info'!M301))</f>
        <v/>
      </c>
      <c r="AM597" s="121" t="str">
        <f t="shared" si="137"/>
        <v/>
      </c>
      <c r="AO597" s="121" t="str">
        <f>IF('Cable Info'!N301="","",CONCATENATE('Cable Info'!N301," - ",'Cable Info'!O301))</f>
        <v/>
      </c>
      <c r="AR597" s="121" t="str">
        <f t="shared" si="138"/>
        <v/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str">
        <f>IF('Cable Info'!L302="","",CONCATENATE('Cable Info'!L302," - ",'Cable Info'!M302))</f>
        <v/>
      </c>
      <c r="AM598" s="121" t="str">
        <f t="shared" si="137"/>
        <v/>
      </c>
      <c r="AO598" s="121" t="str">
        <f>IF('Cable Info'!N302="","",CONCATENATE('Cable Info'!N302," - ",'Cable Info'!O302))</f>
        <v/>
      </c>
      <c r="AR598" s="121" t="str">
        <f t="shared" si="138"/>
        <v/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str">
        <f>IF('Cable Info'!L303="","",CONCATENATE('Cable Info'!L303," - ",'Cable Info'!M303))</f>
        <v/>
      </c>
      <c r="AM599" s="121" t="str">
        <f t="shared" si="137"/>
        <v/>
      </c>
      <c r="AO599" s="121" t="str">
        <f>IF('Cable Info'!N303="","",CONCATENATE('Cable Info'!N303," - ",'Cable Info'!O303))</f>
        <v/>
      </c>
      <c r="AR599" s="121" t="str">
        <f t="shared" si="138"/>
        <v/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str">
        <f>IF('Cable Info'!L304="","",CONCATENATE('Cable Info'!L304," - ",'Cable Info'!M304))</f>
        <v/>
      </c>
      <c r="AM600" s="121" t="str">
        <f t="shared" si="137"/>
        <v/>
      </c>
      <c r="AO600" s="121" t="str">
        <f>IF('Cable Info'!N304="","",CONCATENATE('Cable Info'!N304," - ",'Cable Info'!O304))</f>
        <v/>
      </c>
      <c r="AR600" s="121" t="str">
        <f t="shared" si="138"/>
        <v/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str">
        <f>IF('Cable Info'!L305="","",CONCATENATE('Cable Info'!L305," - ",'Cable Info'!M305))</f>
        <v/>
      </c>
      <c r="AM601" s="121" t="str">
        <f t="shared" si="137"/>
        <v/>
      </c>
      <c r="AO601" s="121" t="str">
        <f>IF('Cable Info'!N305="","",CONCATENATE('Cable Info'!N305," - ",'Cable Info'!O305))</f>
        <v/>
      </c>
      <c r="AR601" s="121" t="str">
        <f t="shared" si="138"/>
        <v/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str">
        <f>IF('Cable Info'!L306="","",CONCATENATE('Cable Info'!L306," - ",'Cable Info'!M306))</f>
        <v/>
      </c>
      <c r="AM602" s="121" t="str">
        <f t="shared" si="137"/>
        <v/>
      </c>
      <c r="AO602" s="121" t="str">
        <f>IF('Cable Info'!N306="","",CONCATENATE('Cable Info'!N306," - ",'Cable Info'!O306))</f>
        <v/>
      </c>
      <c r="AR602" s="121" t="str">
        <f t="shared" si="138"/>
        <v/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str">
        <f>IF('Cable Info'!L307="","",CONCATENATE('Cable Info'!L307," - ",'Cable Info'!M307))</f>
        <v/>
      </c>
      <c r="AM603" s="121" t="str">
        <f t="shared" si="137"/>
        <v/>
      </c>
      <c r="AO603" s="121" t="str">
        <f>IF('Cable Info'!N307="","",CONCATENATE('Cable Info'!N307," - ",'Cable Info'!O307))</f>
        <v/>
      </c>
      <c r="AR603" s="121" t="str">
        <f t="shared" si="138"/>
        <v/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str">
        <f>IF('Cable Info'!L308="","",CONCATENATE('Cable Info'!L308," - ",'Cable Info'!M308))</f>
        <v/>
      </c>
      <c r="AM604" s="121" t="str">
        <f t="shared" si="137"/>
        <v/>
      </c>
      <c r="AO604" s="121" t="str">
        <f>IF('Cable Info'!N308="","",CONCATENATE('Cable Info'!N308," - ",'Cable Info'!O308))</f>
        <v/>
      </c>
      <c r="AR604" s="121" t="str">
        <f t="shared" si="138"/>
        <v/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str">
        <f>IF('Cable Info'!L309="","",CONCATENATE('Cable Info'!L309," - ",'Cable Info'!M309))</f>
        <v/>
      </c>
      <c r="AM605" s="121" t="str">
        <f t="shared" si="137"/>
        <v/>
      </c>
      <c r="AO605" s="121" t="str">
        <f>IF('Cable Info'!N309="","",CONCATENATE('Cable Info'!N309," - ",'Cable Info'!O309))</f>
        <v/>
      </c>
      <c r="AR605" s="121" t="str">
        <f t="shared" si="138"/>
        <v/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str">
        <f>IF('Cable Info'!L310="","",CONCATENATE('Cable Info'!L310," - ",'Cable Info'!M310))</f>
        <v/>
      </c>
      <c r="AM606" s="121" t="str">
        <f t="shared" si="137"/>
        <v/>
      </c>
      <c r="AO606" s="121" t="str">
        <f>IF('Cable Info'!N310="","",CONCATENATE('Cable Info'!N310," - ",'Cable Info'!O310))</f>
        <v/>
      </c>
      <c r="AR606" s="121" t="str">
        <f t="shared" si="138"/>
        <v/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str">
        <f>IF('Cable Info'!L311="","",CONCATENATE('Cable Info'!L311," - ",'Cable Info'!M311))</f>
        <v/>
      </c>
      <c r="AM607" s="121" t="str">
        <f t="shared" si="137"/>
        <v/>
      </c>
      <c r="AO607" s="121" t="str">
        <f>IF('Cable Info'!N311="","",CONCATENATE('Cable Info'!N311," - ",'Cable Info'!O311))</f>
        <v/>
      </c>
      <c r="AR607" s="121" t="str">
        <f t="shared" si="138"/>
        <v/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str">
        <f>IF('Cable Info'!L312="","",CONCATENATE('Cable Info'!L312," - ",'Cable Info'!M312))</f>
        <v/>
      </c>
      <c r="AM608" s="121" t="str">
        <f t="shared" si="137"/>
        <v/>
      </c>
      <c r="AO608" s="121" t="str">
        <f>IF('Cable Info'!N312="","",CONCATENATE('Cable Info'!N312," - ",'Cable Info'!O312))</f>
        <v/>
      </c>
      <c r="AR608" s="121" t="str">
        <f t="shared" si="138"/>
        <v/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str">
        <f>IF('Cable Info'!L313="","",CONCATENATE('Cable Info'!L313," - ",'Cable Info'!M313))</f>
        <v/>
      </c>
      <c r="AM609" s="121" t="str">
        <f t="shared" si="137"/>
        <v/>
      </c>
      <c r="AO609" s="121" t="str">
        <f>IF('Cable Info'!N313="","",CONCATENATE('Cable Info'!N313," - ",'Cable Info'!O313))</f>
        <v/>
      </c>
      <c r="AR609" s="121" t="str">
        <f t="shared" si="138"/>
        <v/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str">
        <f>IF('Cable Info'!L314="","",CONCATENATE('Cable Info'!L314," - ",'Cable Info'!M314))</f>
        <v/>
      </c>
      <c r="AM610" s="121" t="str">
        <f t="shared" si="137"/>
        <v/>
      </c>
      <c r="AO610" s="121" t="str">
        <f>IF('Cable Info'!N314="","",CONCATENATE('Cable Info'!N314," - ",'Cable Info'!O314))</f>
        <v/>
      </c>
      <c r="AR610" s="121" t="str">
        <f t="shared" si="138"/>
        <v/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str">
        <f>IF('Cable Info'!L315="","",CONCATENATE('Cable Info'!L315," - ",'Cable Info'!M315))</f>
        <v/>
      </c>
      <c r="AM611" s="121" t="str">
        <f t="shared" si="137"/>
        <v/>
      </c>
      <c r="AO611" s="121" t="str">
        <f>IF('Cable Info'!N315="","",CONCATENATE('Cable Info'!N315," - ",'Cable Info'!O315))</f>
        <v/>
      </c>
      <c r="AR611" s="121" t="str">
        <f t="shared" si="138"/>
        <v/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str">
        <f>IF('Cable Info'!L316="","",CONCATENATE('Cable Info'!L316," - ",'Cable Info'!M316))</f>
        <v/>
      </c>
      <c r="AM612" s="121" t="str">
        <f t="shared" si="137"/>
        <v/>
      </c>
      <c r="AO612" s="121" t="str">
        <f>IF('Cable Info'!N316="","",CONCATENATE('Cable Info'!N316," - ",'Cable Info'!O316))</f>
        <v/>
      </c>
      <c r="AR612" s="121" t="str">
        <f t="shared" si="138"/>
        <v/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str">
        <f>IF('Cable Info'!L317="","",CONCATENATE('Cable Info'!L317," - ",'Cable Info'!M317))</f>
        <v/>
      </c>
      <c r="AM613" s="121" t="str">
        <f t="shared" si="137"/>
        <v/>
      </c>
      <c r="AO613" s="121" t="str">
        <f>IF('Cable Info'!N317="","",CONCATENATE('Cable Info'!N317," - ",'Cable Info'!O317))</f>
        <v/>
      </c>
      <c r="AR613" s="121" t="str">
        <f t="shared" si="138"/>
        <v/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str">
        <f>IF('Cable Info'!L318="","",CONCATENATE('Cable Info'!L318," - ",'Cable Info'!M318))</f>
        <v/>
      </c>
      <c r="AM614" s="121" t="str">
        <f t="shared" si="137"/>
        <v/>
      </c>
      <c r="AO614" s="121" t="str">
        <f>IF('Cable Info'!N318="","",CONCATENATE('Cable Info'!N318," - ",'Cable Info'!O318))</f>
        <v/>
      </c>
      <c r="AR614" s="121" t="str">
        <f t="shared" si="138"/>
        <v/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str">
        <f>IF('Cable Info'!L319="","",CONCATENATE('Cable Info'!L319," - ",'Cable Info'!M319))</f>
        <v/>
      </c>
      <c r="AM615" s="121" t="str">
        <f t="shared" si="137"/>
        <v/>
      </c>
      <c r="AO615" s="121" t="str">
        <f>IF('Cable Info'!N319="","",CONCATENATE('Cable Info'!N319," - ",'Cable Info'!O319))</f>
        <v/>
      </c>
      <c r="AR615" s="121" t="str">
        <f t="shared" si="138"/>
        <v/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str">
        <f>IF('Cable Info'!L320="","",CONCATENATE('Cable Info'!L320," - ",'Cable Info'!M320))</f>
        <v/>
      </c>
      <c r="AM616" s="121" t="str">
        <f t="shared" si="137"/>
        <v/>
      </c>
      <c r="AO616" s="121" t="str">
        <f>IF('Cable Info'!N320="","",CONCATENATE('Cable Info'!N320," - ",'Cable Info'!O320))</f>
        <v/>
      </c>
      <c r="AR616" s="121" t="str">
        <f t="shared" si="138"/>
        <v/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str">
        <f>IF('Cable Info'!L321="","",CONCATENATE('Cable Info'!L321," - ",'Cable Info'!M321))</f>
        <v/>
      </c>
      <c r="AM617" s="121" t="str">
        <f t="shared" si="137"/>
        <v/>
      </c>
      <c r="AO617" s="121" t="str">
        <f>IF('Cable Info'!N321="","",CONCATENATE('Cable Info'!N321," - ",'Cable Info'!O321))</f>
        <v/>
      </c>
      <c r="AR617" s="121" t="str">
        <f t="shared" si="138"/>
        <v/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str">
        <f>IF('Cable Info'!L322="","",CONCATENATE('Cable Info'!L322," - ",'Cable Info'!M322))</f>
        <v/>
      </c>
      <c r="AM618" s="121" t="str">
        <f t="shared" si="137"/>
        <v/>
      </c>
      <c r="AO618" s="121" t="str">
        <f>IF('Cable Info'!N322="","",CONCATENATE('Cable Info'!N322," - ",'Cable Info'!O322))</f>
        <v/>
      </c>
      <c r="AR618" s="121" t="str">
        <f t="shared" si="138"/>
        <v/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str">
        <f>IF('Cable Info'!L323="","",CONCATENATE('Cable Info'!L323," - ",'Cable Info'!M323))</f>
        <v/>
      </c>
      <c r="AM619" s="121" t="str">
        <f t="shared" ref="AM619:AM682" si="143">IF(AK619="",AJ619,CONCATENATE(AJ619,"  &lt;=&gt; ",AK619," ",AL619))</f>
        <v/>
      </c>
      <c r="AO619" s="121" t="str">
        <f>IF('Cable Info'!N323="","",CONCATENATE('Cable Info'!N323," - ",'Cable Info'!O323))</f>
        <v/>
      </c>
      <c r="AR619" s="121" t="str">
        <f t="shared" ref="AR619:AR682" si="144">IF(AP619="",AO619,CONCATENATE(AO619,"  &lt;=&gt; ",AP619," ",AQ619))</f>
        <v/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str">
        <f>IF('Cable Info'!L324="","",CONCATENATE('Cable Info'!L324," - ",'Cable Info'!M324))</f>
        <v/>
      </c>
      <c r="AM620" s="121" t="str">
        <f t="shared" si="143"/>
        <v/>
      </c>
      <c r="AO620" s="121" t="str">
        <f>IF('Cable Info'!N324="","",CONCATENATE('Cable Info'!N324," - ",'Cable Info'!O324))</f>
        <v/>
      </c>
      <c r="AR620" s="121" t="str">
        <f t="shared" si="144"/>
        <v/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str">
        <f>IF('Cable Info'!L325="","",CONCATENATE('Cable Info'!L325," - ",'Cable Info'!M325))</f>
        <v/>
      </c>
      <c r="AM621" s="121" t="str">
        <f t="shared" si="143"/>
        <v/>
      </c>
      <c r="AO621" s="121" t="str">
        <f>IF('Cable Info'!N325="","",CONCATENATE('Cable Info'!N325," - ",'Cable Info'!O325))</f>
        <v/>
      </c>
      <c r="AR621" s="121" t="str">
        <f t="shared" si="144"/>
        <v/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str">
        <f>IF('Cable Info'!L326="","",CONCATENATE('Cable Info'!L326," - ",'Cable Info'!M326))</f>
        <v/>
      </c>
      <c r="AM622" s="121" t="str">
        <f t="shared" si="143"/>
        <v/>
      </c>
      <c r="AO622" s="121" t="str">
        <f>IF('Cable Info'!N326="","",CONCATENATE('Cable Info'!N326," - ",'Cable Info'!O326))</f>
        <v/>
      </c>
      <c r="AR622" s="121" t="str">
        <f t="shared" si="144"/>
        <v/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str">
        <f>IF('Cable Info'!L327="","",CONCATENATE('Cable Info'!L327," - ",'Cable Info'!M327))</f>
        <v/>
      </c>
      <c r="AM623" s="121" t="str">
        <f t="shared" si="143"/>
        <v/>
      </c>
      <c r="AO623" s="121" t="str">
        <f>IF('Cable Info'!N327="","",CONCATENATE('Cable Info'!N327," - ",'Cable Info'!O327))</f>
        <v/>
      </c>
      <c r="AR623" s="121" t="str">
        <f t="shared" si="144"/>
        <v/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str">
        <f>IF('Cable Info'!L328="","",CONCATENATE('Cable Info'!L328," - ",'Cable Info'!M328))</f>
        <v/>
      </c>
      <c r="AM624" s="121" t="str">
        <f t="shared" si="143"/>
        <v/>
      </c>
      <c r="AO624" s="121" t="str">
        <f>IF('Cable Info'!N328="","",CONCATENATE('Cable Info'!N328," - ",'Cable Info'!O328))</f>
        <v/>
      </c>
      <c r="AR624" s="121" t="str">
        <f t="shared" si="144"/>
        <v/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str">
        <f>IF('Cable Info'!L329="","",CONCATENATE('Cable Info'!L329," - ",'Cable Info'!M329))</f>
        <v/>
      </c>
      <c r="AM625" s="121" t="str">
        <f t="shared" si="143"/>
        <v/>
      </c>
      <c r="AO625" s="121" t="str">
        <f>IF('Cable Info'!N329="","",CONCATENATE('Cable Info'!N329," - ",'Cable Info'!O329))</f>
        <v/>
      </c>
      <c r="AR625" s="121" t="str">
        <f t="shared" si="144"/>
        <v/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str">
        <f>IF('Cable Info'!L330="","",CONCATENATE('Cable Info'!L330," - ",'Cable Info'!M330))</f>
        <v/>
      </c>
      <c r="AM626" s="121" t="str">
        <f t="shared" si="143"/>
        <v/>
      </c>
      <c r="AO626" s="121" t="str">
        <f>IF('Cable Info'!N330="","",CONCATENATE('Cable Info'!N330," - ",'Cable Info'!O330))</f>
        <v/>
      </c>
      <c r="AR626" s="121" t="str">
        <f t="shared" si="144"/>
        <v/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str">
        <f>IF('Cable Info'!L331="","",CONCATENATE('Cable Info'!L331," - ",'Cable Info'!M331))</f>
        <v/>
      </c>
      <c r="AM627" s="121" t="str">
        <f t="shared" si="143"/>
        <v/>
      </c>
      <c r="AO627" s="121" t="str">
        <f>IF('Cable Info'!N331="","",CONCATENATE('Cable Info'!N331," - ",'Cable Info'!O331))</f>
        <v/>
      </c>
      <c r="AR627" s="121" t="str">
        <f t="shared" si="144"/>
        <v/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str">
        <f>IF('Cable Info'!L332="","",CONCATENATE('Cable Info'!L332," - ",'Cable Info'!M332))</f>
        <v/>
      </c>
      <c r="AM628" s="121" t="str">
        <f t="shared" si="143"/>
        <v/>
      </c>
      <c r="AO628" s="121" t="str">
        <f>IF('Cable Info'!N332="","",CONCATENATE('Cable Info'!N332," - ",'Cable Info'!O332))</f>
        <v/>
      </c>
      <c r="AR628" s="121" t="str">
        <f t="shared" si="144"/>
        <v/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str">
        <f>IF('Cable Info'!L333="","",CONCATENATE('Cable Info'!L333," - ",'Cable Info'!M333))</f>
        <v/>
      </c>
      <c r="AM629" s="121" t="str">
        <f t="shared" si="143"/>
        <v/>
      </c>
      <c r="AO629" s="121" t="str">
        <f>IF('Cable Info'!N333="","",CONCATENATE('Cable Info'!N333," - ",'Cable Info'!O333))</f>
        <v/>
      </c>
      <c r="AR629" s="121" t="str">
        <f t="shared" si="144"/>
        <v/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str">
        <f>IF('Cable Info'!L334="","",CONCATENATE('Cable Info'!L334," - ",'Cable Info'!M334))</f>
        <v/>
      </c>
      <c r="AM630" s="121" t="str">
        <f t="shared" si="143"/>
        <v/>
      </c>
      <c r="AO630" s="121" t="str">
        <f>IF('Cable Info'!N334="","",CONCATENATE('Cable Info'!N334," - ",'Cable Info'!O334))</f>
        <v/>
      </c>
      <c r="AR630" s="121" t="str">
        <f t="shared" si="144"/>
        <v/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str">
        <f>IF('Cable Info'!L335="","",CONCATENATE('Cable Info'!L335," - ",'Cable Info'!M335))</f>
        <v/>
      </c>
      <c r="AM631" s="121" t="str">
        <f t="shared" si="143"/>
        <v/>
      </c>
      <c r="AO631" s="121" t="str">
        <f>IF('Cable Info'!N335="","",CONCATENATE('Cable Info'!N335," - ",'Cable Info'!O335))</f>
        <v/>
      </c>
      <c r="AR631" s="121" t="str">
        <f t="shared" si="144"/>
        <v/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str">
        <f>IF('Cable Info'!L336="","",CONCATENATE('Cable Info'!L336," - ",'Cable Info'!M336))</f>
        <v/>
      </c>
      <c r="AM632" s="121" t="str">
        <f t="shared" si="143"/>
        <v/>
      </c>
      <c r="AO632" s="121" t="str">
        <f>IF('Cable Info'!N336="","",CONCATENATE('Cable Info'!N336," - ",'Cable Info'!O336))</f>
        <v/>
      </c>
      <c r="AR632" s="121" t="str">
        <f t="shared" si="144"/>
        <v/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str">
        <f>IF('Cable Info'!L337="","",CONCATENATE('Cable Info'!L337," - ",'Cable Info'!M337))</f>
        <v/>
      </c>
      <c r="AM633" s="121" t="str">
        <f t="shared" si="143"/>
        <v/>
      </c>
      <c r="AO633" s="121" t="str">
        <f>IF('Cable Info'!N337="","",CONCATENATE('Cable Info'!N337," - ",'Cable Info'!O337))</f>
        <v/>
      </c>
      <c r="AR633" s="121" t="str">
        <f t="shared" si="144"/>
        <v/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str">
        <f>IF('Cable Info'!L338="","",CONCATENATE('Cable Info'!L338," - ",'Cable Info'!M338))</f>
        <v/>
      </c>
      <c r="AM634" s="121" t="str">
        <f t="shared" si="143"/>
        <v/>
      </c>
      <c r="AO634" s="121" t="str">
        <f>IF('Cable Info'!N338="","",CONCATENATE('Cable Info'!N338," - ",'Cable Info'!O338))</f>
        <v/>
      </c>
      <c r="AR634" s="121" t="str">
        <f t="shared" si="144"/>
        <v/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str">
        <f>IF('Cable Info'!L339="","",CONCATENATE('Cable Info'!L339," - ",'Cable Info'!M339))</f>
        <v/>
      </c>
      <c r="AM635" s="121" t="str">
        <f t="shared" si="143"/>
        <v/>
      </c>
      <c r="AO635" s="121" t="str">
        <f>IF('Cable Info'!N339="","",CONCATENATE('Cable Info'!N339," - ",'Cable Info'!O339))</f>
        <v/>
      </c>
      <c r="AR635" s="121" t="str">
        <f t="shared" si="144"/>
        <v/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str">
        <f>IF('Cable Info'!L340="","",CONCATENATE('Cable Info'!L340," - ",'Cable Info'!M340))</f>
        <v/>
      </c>
      <c r="AM636" s="121" t="str">
        <f t="shared" si="143"/>
        <v/>
      </c>
      <c r="AO636" s="121" t="str">
        <f>IF('Cable Info'!N340="","",CONCATENATE('Cable Info'!N340," - ",'Cable Info'!O340))</f>
        <v/>
      </c>
      <c r="AR636" s="121" t="str">
        <f t="shared" si="144"/>
        <v/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str">
        <f>IF('Cable Info'!L341="","",CONCATENATE('Cable Info'!L341," - ",'Cable Info'!M341))</f>
        <v/>
      </c>
      <c r="AM637" s="121" t="str">
        <f t="shared" si="143"/>
        <v/>
      </c>
      <c r="AO637" s="121" t="str">
        <f>IF('Cable Info'!N341="","",CONCATENATE('Cable Info'!N341," - ",'Cable Info'!O341))</f>
        <v/>
      </c>
      <c r="AR637" s="121" t="str">
        <f t="shared" si="144"/>
        <v/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str">
        <f>IF('Cable Info'!L342="","",CONCATENATE('Cable Info'!L342," - ",'Cable Info'!M342))</f>
        <v/>
      </c>
      <c r="AM638" s="121" t="str">
        <f t="shared" si="143"/>
        <v/>
      </c>
      <c r="AO638" s="121" t="str">
        <f>IF('Cable Info'!N342="","",CONCATENATE('Cable Info'!N342," - ",'Cable Info'!O342))</f>
        <v/>
      </c>
      <c r="AR638" s="121" t="str">
        <f t="shared" si="144"/>
        <v/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str">
        <f>IF('Cable Info'!L343="","",CONCATENATE('Cable Info'!L343," - ",'Cable Info'!M343))</f>
        <v/>
      </c>
      <c r="AM639" s="121" t="str">
        <f t="shared" si="143"/>
        <v/>
      </c>
      <c r="AO639" s="121" t="str">
        <f>IF('Cable Info'!N343="","",CONCATENATE('Cable Info'!N343," - ",'Cable Info'!O343))</f>
        <v/>
      </c>
      <c r="AR639" s="121" t="str">
        <f t="shared" si="144"/>
        <v/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str">
        <f>IF('Cable Info'!L344="","",CONCATENATE('Cable Info'!L344," - ",'Cable Info'!M344))</f>
        <v/>
      </c>
      <c r="AM640" s="121" t="str">
        <f t="shared" si="143"/>
        <v/>
      </c>
      <c r="AO640" s="121" t="str">
        <f>IF('Cable Info'!N344="","",CONCATENATE('Cable Info'!N344," - ",'Cable Info'!O344))</f>
        <v/>
      </c>
      <c r="AR640" s="121" t="str">
        <f t="shared" si="144"/>
        <v/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str">
        <f>IF('Cable Info'!L345="","",CONCATENATE('Cable Info'!L345," - ",'Cable Info'!M345))</f>
        <v/>
      </c>
      <c r="AM641" s="121" t="str">
        <f t="shared" si="143"/>
        <v/>
      </c>
      <c r="AO641" s="121" t="str">
        <f>IF('Cable Info'!N345="","",CONCATENATE('Cable Info'!N345," - ",'Cable Info'!O345))</f>
        <v/>
      </c>
      <c r="AR641" s="121" t="str">
        <f t="shared" si="144"/>
        <v/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str">
        <f>IF('Cable Info'!L346="","",CONCATENATE('Cable Info'!L346," - ",'Cable Info'!M346))</f>
        <v/>
      </c>
      <c r="AM642" s="121" t="str">
        <f t="shared" si="143"/>
        <v/>
      </c>
      <c r="AO642" s="121" t="str">
        <f>IF('Cable Info'!N346="","",CONCATENATE('Cable Info'!N346," - ",'Cable Info'!O346))</f>
        <v/>
      </c>
      <c r="AR642" s="121" t="str">
        <f t="shared" si="144"/>
        <v/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str">
        <f>IF('Cable Info'!L347="","",CONCATENATE('Cable Info'!L347," - ",'Cable Info'!M347))</f>
        <v/>
      </c>
      <c r="AM643" s="121" t="str">
        <f t="shared" si="143"/>
        <v/>
      </c>
      <c r="AO643" s="121" t="str">
        <f>IF('Cable Info'!N347="","",CONCATENATE('Cable Info'!N347," - ",'Cable Info'!O347))</f>
        <v/>
      </c>
      <c r="AR643" s="121" t="str">
        <f t="shared" si="144"/>
        <v/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str">
        <f>IF('Cable Info'!L348="","",CONCATENATE('Cable Info'!L348," - ",'Cable Info'!M348))</f>
        <v/>
      </c>
      <c r="AM644" s="121" t="str">
        <f t="shared" si="143"/>
        <v/>
      </c>
      <c r="AO644" s="121" t="str">
        <f>IF('Cable Info'!N348="","",CONCATENATE('Cable Info'!N348," - ",'Cable Info'!O348))</f>
        <v/>
      </c>
      <c r="AR644" s="121" t="str">
        <f t="shared" si="144"/>
        <v/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str">
        <f>IF('Cable Info'!L349="","",CONCATENATE('Cable Info'!L349," - ",'Cable Info'!M349))</f>
        <v/>
      </c>
      <c r="AM645" s="121" t="str">
        <f t="shared" si="143"/>
        <v/>
      </c>
      <c r="AO645" s="121" t="str">
        <f>IF('Cable Info'!N349="","",CONCATENATE('Cable Info'!N349," - ",'Cable Info'!O349))</f>
        <v/>
      </c>
      <c r="AR645" s="121" t="str">
        <f t="shared" si="144"/>
        <v/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str">
        <f>IF('Cable Info'!L350="","",CONCATENATE('Cable Info'!L350," - ",'Cable Info'!M350))</f>
        <v/>
      </c>
      <c r="AM646" s="121" t="str">
        <f t="shared" si="143"/>
        <v/>
      </c>
      <c r="AO646" s="121" t="str">
        <f>IF('Cable Info'!N350="","",CONCATENATE('Cable Info'!N350," - ",'Cable Info'!O350))</f>
        <v/>
      </c>
      <c r="AR646" s="121" t="str">
        <f t="shared" si="144"/>
        <v/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str">
        <f>IF('Cable Info'!L351="","",CONCATENATE('Cable Info'!L351," - ",'Cable Info'!M351))</f>
        <v/>
      </c>
      <c r="AM647" s="121" t="str">
        <f t="shared" si="143"/>
        <v/>
      </c>
      <c r="AO647" s="121" t="str">
        <f>IF('Cable Info'!N351="","",CONCATENATE('Cable Info'!N351," - ",'Cable Info'!O351))</f>
        <v/>
      </c>
      <c r="AR647" s="121" t="str">
        <f t="shared" si="144"/>
        <v/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str">
        <f>IF('Cable Info'!L352="","",CONCATENATE('Cable Info'!L352," - ",'Cable Info'!M352))</f>
        <v/>
      </c>
      <c r="AM648" s="121" t="str">
        <f t="shared" si="143"/>
        <v/>
      </c>
      <c r="AO648" s="121" t="str">
        <f>IF('Cable Info'!N352="","",CONCATENATE('Cable Info'!N352," - ",'Cable Info'!O352))</f>
        <v/>
      </c>
      <c r="AR648" s="121" t="str">
        <f t="shared" si="144"/>
        <v/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str">
        <f>IF('Cable Info'!L353="","",CONCATENATE('Cable Info'!L353," - ",'Cable Info'!M353))</f>
        <v/>
      </c>
      <c r="AM649" s="121" t="str">
        <f t="shared" si="143"/>
        <v/>
      </c>
      <c r="AO649" s="121" t="str">
        <f>IF('Cable Info'!N353="","",CONCATENATE('Cable Info'!N353," - ",'Cable Info'!O353))</f>
        <v/>
      </c>
      <c r="AR649" s="121" t="str">
        <f t="shared" si="144"/>
        <v/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str">
        <f>IF('Cable Info'!L354="","",CONCATENATE('Cable Info'!L354," - ",'Cable Info'!M354))</f>
        <v/>
      </c>
      <c r="AM650" s="121" t="str">
        <f t="shared" si="143"/>
        <v/>
      </c>
      <c r="AO650" s="121" t="str">
        <f>IF('Cable Info'!N354="","",CONCATENATE('Cable Info'!N354," - ",'Cable Info'!O354))</f>
        <v/>
      </c>
      <c r="AR650" s="121" t="str">
        <f t="shared" si="144"/>
        <v/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str">
        <f>IF('Cable Info'!L355="","",CONCATENATE('Cable Info'!L355," - ",'Cable Info'!M355))</f>
        <v/>
      </c>
      <c r="AM651" s="121" t="str">
        <f t="shared" si="143"/>
        <v/>
      </c>
      <c r="AO651" s="121" t="str">
        <f>IF('Cable Info'!N355="","",CONCATENATE('Cable Info'!N355," - ",'Cable Info'!O355))</f>
        <v/>
      </c>
      <c r="AR651" s="121" t="str">
        <f t="shared" si="144"/>
        <v/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str">
        <f>IF('Cable Info'!L356="","",CONCATENATE('Cable Info'!L356," - ",'Cable Info'!M356))</f>
        <v/>
      </c>
      <c r="AM652" s="121" t="str">
        <f t="shared" si="143"/>
        <v/>
      </c>
      <c r="AO652" s="121" t="str">
        <f>IF('Cable Info'!N356="","",CONCATENATE('Cable Info'!N356," - ",'Cable Info'!O356))</f>
        <v/>
      </c>
      <c r="AR652" s="121" t="str">
        <f t="shared" si="144"/>
        <v/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str">
        <f>IF('Cable Info'!L357="","",CONCATENATE('Cable Info'!L357," - ",'Cable Info'!M357))</f>
        <v/>
      </c>
      <c r="AM653" s="121" t="str">
        <f t="shared" si="143"/>
        <v/>
      </c>
      <c r="AO653" s="121" t="str">
        <f>IF('Cable Info'!N357="","",CONCATENATE('Cable Info'!N357," - ",'Cable Info'!O357))</f>
        <v/>
      </c>
      <c r="AR653" s="121" t="str">
        <f t="shared" si="144"/>
        <v/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str">
        <f>IF('Cable Info'!L358="","",CONCATENATE('Cable Info'!L358," - ",'Cable Info'!M358))</f>
        <v/>
      </c>
      <c r="AM654" s="121" t="str">
        <f t="shared" si="143"/>
        <v/>
      </c>
      <c r="AO654" s="121" t="str">
        <f>IF('Cable Info'!N358="","",CONCATENATE('Cable Info'!N358," - ",'Cable Info'!O358))</f>
        <v/>
      </c>
      <c r="AR654" s="121" t="str">
        <f t="shared" si="144"/>
        <v/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str">
        <f>IF('Cable Info'!L359="","",CONCATENATE('Cable Info'!L359," - ",'Cable Info'!M359))</f>
        <v/>
      </c>
      <c r="AM655" s="121" t="str">
        <f t="shared" si="143"/>
        <v/>
      </c>
      <c r="AO655" s="121" t="str">
        <f>IF('Cable Info'!N359="","",CONCATENATE('Cable Info'!N359," - ",'Cable Info'!O359))</f>
        <v/>
      </c>
      <c r="AR655" s="121" t="str">
        <f t="shared" si="144"/>
        <v/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str">
        <f>IF('Cable Info'!L360="","",CONCATENATE('Cable Info'!L360," - ",'Cable Info'!M360))</f>
        <v/>
      </c>
      <c r="AM656" s="121" t="str">
        <f t="shared" si="143"/>
        <v/>
      </c>
      <c r="AO656" s="121" t="str">
        <f>IF('Cable Info'!N360="","",CONCATENATE('Cable Info'!N360," - ",'Cable Info'!O360))</f>
        <v/>
      </c>
      <c r="AR656" s="121" t="str">
        <f t="shared" si="144"/>
        <v/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str">
        <f>IF('Cable Info'!L361="","",CONCATENATE('Cable Info'!L361," - ",'Cable Info'!M361))</f>
        <v/>
      </c>
      <c r="AM657" s="121" t="str">
        <f t="shared" si="143"/>
        <v/>
      </c>
      <c r="AO657" s="121" t="str">
        <f>IF('Cable Info'!N361="","",CONCATENATE('Cable Info'!N361," - ",'Cable Info'!O361))</f>
        <v/>
      </c>
      <c r="AR657" s="121" t="str">
        <f t="shared" si="144"/>
        <v/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str">
        <f>IF('Cable Info'!L362="","",CONCATENATE('Cable Info'!L362," - ",'Cable Info'!M362))</f>
        <v/>
      </c>
      <c r="AM658" s="121" t="str">
        <f t="shared" si="143"/>
        <v/>
      </c>
      <c r="AO658" s="121" t="str">
        <f>IF('Cable Info'!N362="","",CONCATENATE('Cable Info'!N362," - ",'Cable Info'!O362))</f>
        <v/>
      </c>
      <c r="AR658" s="121" t="str">
        <f t="shared" si="144"/>
        <v/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str">
        <f>IF('Cable Info'!L363="","",CONCATENATE('Cable Info'!L363," - ",'Cable Info'!M363))</f>
        <v/>
      </c>
      <c r="AM659" s="121" t="str">
        <f t="shared" si="143"/>
        <v/>
      </c>
      <c r="AO659" s="121" t="str">
        <f>IF('Cable Info'!N363="","",CONCATENATE('Cable Info'!N363," - ",'Cable Info'!O363))</f>
        <v/>
      </c>
      <c r="AR659" s="121" t="str">
        <f t="shared" si="144"/>
        <v/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str">
        <f>IF('Cable Info'!L364="","",CONCATENATE('Cable Info'!L364," - ",'Cable Info'!M364))</f>
        <v/>
      </c>
      <c r="AM660" s="121" t="str">
        <f t="shared" si="143"/>
        <v/>
      </c>
      <c r="AO660" s="121" t="str">
        <f>IF('Cable Info'!N364="","",CONCATENATE('Cable Info'!N364," - ",'Cable Info'!O364))</f>
        <v/>
      </c>
      <c r="AR660" s="121" t="str">
        <f t="shared" si="144"/>
        <v/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str">
        <f>IF('Cable Info'!L365="","",CONCATENATE('Cable Info'!L365," - ",'Cable Info'!M365))</f>
        <v/>
      </c>
      <c r="AM661" s="121" t="str">
        <f t="shared" si="143"/>
        <v/>
      </c>
      <c r="AO661" s="121" t="str">
        <f>IF('Cable Info'!N365="","",CONCATENATE('Cable Info'!N365," - ",'Cable Info'!O365))</f>
        <v/>
      </c>
      <c r="AR661" s="121" t="str">
        <f t="shared" si="144"/>
        <v/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str">
        <f>IF('Cable Info'!L366="","",CONCATENATE('Cable Info'!L366," - ",'Cable Info'!M366))</f>
        <v/>
      </c>
      <c r="AM662" s="121" t="str">
        <f t="shared" si="143"/>
        <v/>
      </c>
      <c r="AO662" s="121" t="str">
        <f>IF('Cable Info'!N366="","",CONCATENATE('Cable Info'!N366," - ",'Cable Info'!O366))</f>
        <v/>
      </c>
      <c r="AR662" s="121" t="str">
        <f t="shared" si="144"/>
        <v/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str">
        <f>IF('Cable Info'!L367="","",CONCATENATE('Cable Info'!L367," - ",'Cable Info'!M367))</f>
        <v/>
      </c>
      <c r="AM663" s="121" t="str">
        <f t="shared" si="143"/>
        <v/>
      </c>
      <c r="AO663" s="121" t="str">
        <f>IF('Cable Info'!N367="","",CONCATENATE('Cable Info'!N367," - ",'Cable Info'!O367))</f>
        <v/>
      </c>
      <c r="AR663" s="121" t="str">
        <f t="shared" si="144"/>
        <v/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str">
        <f>IF('Cable Info'!L368="","",CONCATENATE('Cable Info'!L368," - ",'Cable Info'!M368))</f>
        <v/>
      </c>
      <c r="AM664" s="121" t="str">
        <f t="shared" si="143"/>
        <v/>
      </c>
      <c r="AO664" s="121" t="str">
        <f>IF('Cable Info'!N368="","",CONCATENATE('Cable Info'!N368," - ",'Cable Info'!O368))</f>
        <v/>
      </c>
      <c r="AR664" s="121" t="str">
        <f t="shared" si="144"/>
        <v/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str">
        <f>IF('Cable Info'!L369="","",CONCATENATE('Cable Info'!L369," - ",'Cable Info'!M369))</f>
        <v/>
      </c>
      <c r="AM665" s="121" t="str">
        <f t="shared" si="143"/>
        <v/>
      </c>
      <c r="AO665" s="121" t="str">
        <f>IF('Cable Info'!N369="","",CONCATENATE('Cable Info'!N369," - ",'Cable Info'!O369))</f>
        <v/>
      </c>
      <c r="AR665" s="121" t="str">
        <f t="shared" si="144"/>
        <v/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str">
        <f>IF('Cable Info'!L370="","",CONCATENATE('Cable Info'!L370," - ",'Cable Info'!M370))</f>
        <v/>
      </c>
      <c r="AM666" s="121" t="str">
        <f t="shared" si="143"/>
        <v/>
      </c>
      <c r="AO666" s="121" t="str">
        <f>IF('Cable Info'!N370="","",CONCATENATE('Cable Info'!N370," - ",'Cable Info'!O370))</f>
        <v/>
      </c>
      <c r="AR666" s="121" t="str">
        <f t="shared" si="144"/>
        <v/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str">
        <f>IF('Cable Info'!L371="","",CONCATENATE('Cable Info'!L371," - ",'Cable Info'!M371))</f>
        <v/>
      </c>
      <c r="AM667" s="121" t="str">
        <f t="shared" si="143"/>
        <v/>
      </c>
      <c r="AO667" s="121" t="str">
        <f>IF('Cable Info'!N371="","",CONCATENATE('Cable Info'!N371," - ",'Cable Info'!O371))</f>
        <v/>
      </c>
      <c r="AR667" s="121" t="str">
        <f t="shared" si="144"/>
        <v/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str">
        <f>IF('Cable Info'!L372="","",CONCATENATE('Cable Info'!L372," - ",'Cable Info'!M372))</f>
        <v/>
      </c>
      <c r="AM668" s="121" t="str">
        <f t="shared" si="143"/>
        <v/>
      </c>
      <c r="AO668" s="121" t="str">
        <f>IF('Cable Info'!N372="","",CONCATENATE('Cable Info'!N372," - ",'Cable Info'!O372))</f>
        <v/>
      </c>
      <c r="AR668" s="121" t="str">
        <f t="shared" si="144"/>
        <v/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str">
        <f>IF('Cable Info'!L373="","",CONCATENATE('Cable Info'!L373," - ",'Cable Info'!M373))</f>
        <v/>
      </c>
      <c r="AM669" s="121" t="str">
        <f t="shared" si="143"/>
        <v/>
      </c>
      <c r="AO669" s="121" t="str">
        <f>IF('Cable Info'!N373="","",CONCATENATE('Cable Info'!N373," - ",'Cable Info'!O373))</f>
        <v/>
      </c>
      <c r="AR669" s="121" t="str">
        <f t="shared" si="144"/>
        <v/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str">
        <f>IF('Cable Info'!L374="","",CONCATENATE('Cable Info'!L374," - ",'Cable Info'!M374))</f>
        <v/>
      </c>
      <c r="AM670" s="121" t="str">
        <f t="shared" si="143"/>
        <v/>
      </c>
      <c r="AO670" s="121" t="str">
        <f>IF('Cable Info'!N374="","",CONCATENATE('Cable Info'!N374," - ",'Cable Info'!O374))</f>
        <v/>
      </c>
      <c r="AR670" s="121" t="str">
        <f t="shared" si="144"/>
        <v/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str">
        <f>IF('Cable Info'!L375="","",CONCATENATE('Cable Info'!L375," - ",'Cable Info'!M375))</f>
        <v/>
      </c>
      <c r="AM671" s="121" t="str">
        <f t="shared" si="143"/>
        <v/>
      </c>
      <c r="AO671" s="121" t="str">
        <f>IF('Cable Info'!N375="","",CONCATENATE('Cable Info'!N375," - ",'Cable Info'!O375))</f>
        <v/>
      </c>
      <c r="AR671" s="121" t="str">
        <f t="shared" si="144"/>
        <v/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str">
        <f>IF('Cable Info'!L376="","",CONCATENATE('Cable Info'!L376," - ",'Cable Info'!M376))</f>
        <v/>
      </c>
      <c r="AM672" s="121" t="str">
        <f t="shared" si="143"/>
        <v/>
      </c>
      <c r="AO672" s="121" t="str">
        <f>IF('Cable Info'!N376="","",CONCATENATE('Cable Info'!N376," - ",'Cable Info'!O376))</f>
        <v/>
      </c>
      <c r="AR672" s="121" t="str">
        <f t="shared" si="144"/>
        <v/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str">
        <f>IF('Cable Info'!L377="","",CONCATENATE('Cable Info'!L377," - ",'Cable Info'!M377))</f>
        <v/>
      </c>
      <c r="AM673" s="121" t="str">
        <f t="shared" si="143"/>
        <v/>
      </c>
      <c r="AO673" s="121" t="str">
        <f>IF('Cable Info'!N377="","",CONCATENATE('Cable Info'!N377," - ",'Cable Info'!O377))</f>
        <v/>
      </c>
      <c r="AR673" s="121" t="str">
        <f t="shared" si="144"/>
        <v/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str">
        <f>IF('Cable Info'!L378="","",CONCATENATE('Cable Info'!L378," - ",'Cable Info'!M378))</f>
        <v/>
      </c>
      <c r="AM674" s="121" t="str">
        <f t="shared" si="143"/>
        <v/>
      </c>
      <c r="AO674" s="121" t="str">
        <f>IF('Cable Info'!N378="","",CONCATENATE('Cable Info'!N378," - ",'Cable Info'!O378))</f>
        <v/>
      </c>
      <c r="AR674" s="121" t="str">
        <f t="shared" si="144"/>
        <v/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str">
        <f>IF('Cable Info'!L379="","",CONCATENATE('Cable Info'!L379," - ",'Cable Info'!M379))</f>
        <v/>
      </c>
      <c r="AM675" s="121" t="str">
        <f t="shared" si="143"/>
        <v/>
      </c>
      <c r="AO675" s="121" t="str">
        <f>IF('Cable Info'!N379="","",CONCATENATE('Cable Info'!N379," - ",'Cable Info'!O379))</f>
        <v/>
      </c>
      <c r="AR675" s="121" t="str">
        <f t="shared" si="144"/>
        <v/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str">
        <f>IF('Cable Info'!L380="","",CONCATENATE('Cable Info'!L380," - ",'Cable Info'!M380))</f>
        <v/>
      </c>
      <c r="AM676" s="121" t="str">
        <f t="shared" si="143"/>
        <v/>
      </c>
      <c r="AO676" s="121" t="str">
        <f>IF('Cable Info'!N380="","",CONCATENATE('Cable Info'!N380," - ",'Cable Info'!O380))</f>
        <v/>
      </c>
      <c r="AR676" s="121" t="str">
        <f t="shared" si="144"/>
        <v/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str">
        <f>IF('Cable Info'!L381="","",CONCATENATE('Cable Info'!L381," - ",'Cable Info'!M381))</f>
        <v/>
      </c>
      <c r="AM677" s="121" t="str">
        <f t="shared" si="143"/>
        <v/>
      </c>
      <c r="AO677" s="121" t="str">
        <f>IF('Cable Info'!N381="","",CONCATENATE('Cable Info'!N381," - ",'Cable Info'!O381))</f>
        <v/>
      </c>
      <c r="AR677" s="121" t="str">
        <f t="shared" si="144"/>
        <v/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str">
        <f>IF('Cable Info'!L382="","",CONCATENATE('Cable Info'!L382," - ",'Cable Info'!M382))</f>
        <v/>
      </c>
      <c r="AM678" s="121" t="str">
        <f t="shared" si="143"/>
        <v/>
      </c>
      <c r="AO678" s="121" t="str">
        <f>IF('Cable Info'!N382="","",CONCATENATE('Cable Info'!N382," - ",'Cable Info'!O382))</f>
        <v/>
      </c>
      <c r="AR678" s="121" t="str">
        <f t="shared" si="144"/>
        <v/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str">
        <f>IF('Cable Info'!L383="","",CONCATENATE('Cable Info'!L383," - ",'Cable Info'!M383))</f>
        <v/>
      </c>
      <c r="AM679" s="121" t="str">
        <f t="shared" si="143"/>
        <v/>
      </c>
      <c r="AO679" s="121" t="str">
        <f>IF('Cable Info'!N383="","",CONCATENATE('Cable Info'!N383," - ",'Cable Info'!O383))</f>
        <v/>
      </c>
      <c r="AR679" s="121" t="str">
        <f t="shared" si="144"/>
        <v/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str">
        <f>IF('Cable Info'!L384="","",CONCATENATE('Cable Info'!L384," - ",'Cable Info'!M384))</f>
        <v/>
      </c>
      <c r="AM680" s="121" t="str">
        <f t="shared" si="143"/>
        <v/>
      </c>
      <c r="AO680" s="121" t="str">
        <f>IF('Cable Info'!N384="","",CONCATENATE('Cable Info'!N384," - ",'Cable Info'!O384))</f>
        <v/>
      </c>
      <c r="AR680" s="121" t="str">
        <f t="shared" si="144"/>
        <v/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str">
        <f>IF('Cable Info'!L385="","",CONCATENATE('Cable Info'!L385," - ",'Cable Info'!M385))</f>
        <v/>
      </c>
      <c r="AM681" s="121" t="str">
        <f t="shared" si="143"/>
        <v/>
      </c>
      <c r="AO681" s="121" t="str">
        <f>IF('Cable Info'!N385="","",CONCATENATE('Cable Info'!N385," - ",'Cable Info'!O385))</f>
        <v/>
      </c>
      <c r="AR681" s="121" t="str">
        <f t="shared" si="144"/>
        <v/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str">
        <f>IF('Cable Info'!L386="","",CONCATENATE('Cable Info'!L386," - ",'Cable Info'!M386))</f>
        <v/>
      </c>
      <c r="AM682" s="121" t="str">
        <f t="shared" si="143"/>
        <v/>
      </c>
      <c r="AO682" s="121" t="str">
        <f>IF('Cable Info'!N386="","",CONCATENATE('Cable Info'!N386," - ",'Cable Info'!O386))</f>
        <v/>
      </c>
      <c r="AR682" s="121" t="str">
        <f t="shared" si="144"/>
        <v/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str">
        <f>IF('Cable Info'!L387="","",CONCATENATE('Cable Info'!L387," - ",'Cable Info'!M387))</f>
        <v/>
      </c>
      <c r="AM683" s="121" t="str">
        <f t="shared" ref="AM683:AM746" si="149">IF(AK683="",AJ683,CONCATENATE(AJ683,"  &lt;=&gt; ",AK683," ",AL683))</f>
        <v/>
      </c>
      <c r="AO683" s="121" t="str">
        <f>IF('Cable Info'!N387="","",CONCATENATE('Cable Info'!N387," - ",'Cable Info'!O387))</f>
        <v/>
      </c>
      <c r="AR683" s="121" t="str">
        <f t="shared" ref="AR683:AR746" si="150">IF(AP683="",AO683,CONCATENATE(AO683,"  &lt;=&gt; ",AP683," ",AQ683))</f>
        <v/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str">
        <f>IF('Cable Info'!L388="","",CONCATENATE('Cable Info'!L388," - ",'Cable Info'!M388))</f>
        <v/>
      </c>
      <c r="AM684" s="121" t="str">
        <f t="shared" si="149"/>
        <v/>
      </c>
      <c r="AO684" s="121" t="str">
        <f>IF('Cable Info'!N388="","",CONCATENATE('Cable Info'!N388," - ",'Cable Info'!O388))</f>
        <v/>
      </c>
      <c r="AR684" s="121" t="str">
        <f t="shared" si="150"/>
        <v/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str">
        <f>IF('Cable Info'!L389="","",CONCATENATE('Cable Info'!L389," - ",'Cable Info'!M389))</f>
        <v/>
      </c>
      <c r="AM685" s="121" t="str">
        <f t="shared" si="149"/>
        <v/>
      </c>
      <c r="AO685" s="121" t="str">
        <f>IF('Cable Info'!N389="","",CONCATENATE('Cable Info'!N389," - ",'Cable Info'!O389))</f>
        <v/>
      </c>
      <c r="AR685" s="121" t="str">
        <f t="shared" si="150"/>
        <v/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str">
        <f>IF('Cable Info'!L390="","",CONCATENATE('Cable Info'!L390," - ",'Cable Info'!M390))</f>
        <v/>
      </c>
      <c r="AM686" s="121" t="str">
        <f t="shared" si="149"/>
        <v/>
      </c>
      <c r="AO686" s="121" t="str">
        <f>IF('Cable Info'!N390="","",CONCATENATE('Cable Info'!N390," - ",'Cable Info'!O390))</f>
        <v/>
      </c>
      <c r="AR686" s="121" t="str">
        <f t="shared" si="150"/>
        <v/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str">
        <f>IF('Cable Info'!L391="","",CONCATENATE('Cable Info'!L391," - ",'Cable Info'!M391))</f>
        <v/>
      </c>
      <c r="AM687" s="121" t="str">
        <f t="shared" si="149"/>
        <v/>
      </c>
      <c r="AO687" s="121" t="str">
        <f>IF('Cable Info'!N391="","",CONCATENATE('Cable Info'!N391," - ",'Cable Info'!O391))</f>
        <v/>
      </c>
      <c r="AR687" s="121" t="str">
        <f t="shared" si="150"/>
        <v/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str">
        <f>IF('Cable Info'!L392="","",CONCATENATE('Cable Info'!L392," - ",'Cable Info'!M392))</f>
        <v/>
      </c>
      <c r="AM688" s="121" t="str">
        <f t="shared" si="149"/>
        <v/>
      </c>
      <c r="AO688" s="121" t="str">
        <f>IF('Cable Info'!N392="","",CONCATENATE('Cable Info'!N392," - ",'Cable Info'!O392))</f>
        <v/>
      </c>
      <c r="AR688" s="121" t="str">
        <f t="shared" si="150"/>
        <v/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str">
        <f>IF('Cable Info'!L393="","",CONCATENATE('Cable Info'!L393," - ",'Cable Info'!M393))</f>
        <v/>
      </c>
      <c r="AM689" s="121" t="str">
        <f t="shared" si="149"/>
        <v/>
      </c>
      <c r="AO689" s="121" t="str">
        <f>IF('Cable Info'!N393="","",CONCATENATE('Cable Info'!N393," - ",'Cable Info'!O393))</f>
        <v/>
      </c>
      <c r="AR689" s="121" t="str">
        <f t="shared" si="150"/>
        <v/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str">
        <f>IF('Cable Info'!L394="","",CONCATENATE('Cable Info'!L394," - ",'Cable Info'!M394))</f>
        <v/>
      </c>
      <c r="AM690" s="121" t="str">
        <f t="shared" si="149"/>
        <v/>
      </c>
      <c r="AO690" s="121" t="str">
        <f>IF('Cable Info'!N394="","",CONCATENATE('Cable Info'!N394," - ",'Cable Info'!O394))</f>
        <v/>
      </c>
      <c r="AR690" s="121" t="str">
        <f t="shared" si="150"/>
        <v/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str">
        <f>IF('Cable Info'!L395="","",CONCATENATE('Cable Info'!L395," - ",'Cable Info'!M395))</f>
        <v/>
      </c>
      <c r="AM691" s="121" t="str">
        <f t="shared" si="149"/>
        <v/>
      </c>
      <c r="AO691" s="121" t="str">
        <f>IF('Cable Info'!N395="","",CONCATENATE('Cable Info'!N395," - ",'Cable Info'!O395))</f>
        <v/>
      </c>
      <c r="AR691" s="121" t="str">
        <f t="shared" si="150"/>
        <v/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str">
        <f>IF('Cable Info'!L396="","",CONCATENATE('Cable Info'!L396," - ",'Cable Info'!M396))</f>
        <v/>
      </c>
      <c r="AM692" s="121" t="str">
        <f t="shared" si="149"/>
        <v/>
      </c>
      <c r="AO692" s="121" t="str">
        <f>IF('Cable Info'!N396="","",CONCATENATE('Cable Info'!N396," - ",'Cable Info'!O396))</f>
        <v/>
      </c>
      <c r="AR692" s="121" t="str">
        <f t="shared" si="150"/>
        <v/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str">
        <f>IF('Cable Info'!L397="","",CONCATENATE('Cable Info'!L397," - ",'Cable Info'!M397))</f>
        <v/>
      </c>
      <c r="AM693" s="121" t="str">
        <f t="shared" si="149"/>
        <v/>
      </c>
      <c r="AO693" s="121" t="str">
        <f>IF('Cable Info'!N397="","",CONCATENATE('Cable Info'!N397," - ",'Cable Info'!O397))</f>
        <v/>
      </c>
      <c r="AR693" s="121" t="str">
        <f t="shared" si="150"/>
        <v/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str">
        <f>IF('Cable Info'!L398="","",CONCATENATE('Cable Info'!L398," - ",'Cable Info'!M398))</f>
        <v/>
      </c>
      <c r="AM694" s="121" t="str">
        <f t="shared" si="149"/>
        <v/>
      </c>
      <c r="AO694" s="121" t="str">
        <f>IF('Cable Info'!N398="","",CONCATENATE('Cable Info'!N398," - ",'Cable Info'!O398))</f>
        <v/>
      </c>
      <c r="AR694" s="121" t="str">
        <f t="shared" si="150"/>
        <v/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str">
        <f>IF('Cable Info'!L399="","",CONCATENATE('Cable Info'!L399," - ",'Cable Info'!M399))</f>
        <v/>
      </c>
      <c r="AM695" s="121" t="str">
        <f t="shared" si="149"/>
        <v/>
      </c>
      <c r="AO695" s="121" t="str">
        <f>IF('Cable Info'!N399="","",CONCATENATE('Cable Info'!N399," - ",'Cable Info'!O399))</f>
        <v/>
      </c>
      <c r="AR695" s="121" t="str">
        <f t="shared" si="150"/>
        <v/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str">
        <f>IF('Cable Info'!L400="","",CONCATENATE('Cable Info'!L400," - ",'Cable Info'!M400))</f>
        <v/>
      </c>
      <c r="AM696" s="121" t="str">
        <f t="shared" si="149"/>
        <v/>
      </c>
      <c r="AO696" s="121" t="str">
        <f>IF('Cable Info'!N400="","",CONCATENATE('Cable Info'!N400," - ",'Cable Info'!O400))</f>
        <v/>
      </c>
      <c r="AR696" s="121" t="str">
        <f t="shared" si="150"/>
        <v/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str">
        <f>IF('Cable Info'!L401="","",CONCATENATE('Cable Info'!L401," - ",'Cable Info'!M401))</f>
        <v/>
      </c>
      <c r="AM697" s="121" t="str">
        <f t="shared" si="149"/>
        <v/>
      </c>
      <c r="AO697" s="121" t="str">
        <f>IF('Cable Info'!N401="","",CONCATENATE('Cable Info'!N401," - ",'Cable Info'!O401))</f>
        <v/>
      </c>
      <c r="AR697" s="121" t="str">
        <f t="shared" si="150"/>
        <v/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str">
        <f>IF('Cable Info'!L402="","",CONCATENATE('Cable Info'!L402," - ",'Cable Info'!M402))</f>
        <v/>
      </c>
      <c r="AM698" s="121" t="str">
        <f t="shared" si="149"/>
        <v/>
      </c>
      <c r="AO698" s="121" t="str">
        <f>IF('Cable Info'!N402="","",CONCATENATE('Cable Info'!N402," - ",'Cable Info'!O402))</f>
        <v/>
      </c>
      <c r="AR698" s="121" t="str">
        <f t="shared" si="150"/>
        <v/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str">
        <f>IF('Cable Info'!L403="","",CONCATENATE('Cable Info'!L403," - ",'Cable Info'!M403))</f>
        <v/>
      </c>
      <c r="AM699" s="121" t="str">
        <f t="shared" si="149"/>
        <v/>
      </c>
      <c r="AO699" s="121" t="str">
        <f>IF('Cable Info'!N403="","",CONCATENATE('Cable Info'!N403," - ",'Cable Info'!O403))</f>
        <v/>
      </c>
      <c r="AR699" s="121" t="str">
        <f t="shared" si="150"/>
        <v/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str">
        <f>IF('Cable Info'!L404="","",CONCATENATE('Cable Info'!L404," - ",'Cable Info'!M404))</f>
        <v/>
      </c>
      <c r="AM700" s="121" t="str">
        <f t="shared" si="149"/>
        <v/>
      </c>
      <c r="AO700" s="121" t="str">
        <f>IF('Cable Info'!N404="","",CONCATENATE('Cable Info'!N404," - ",'Cable Info'!O404))</f>
        <v/>
      </c>
      <c r="AR700" s="121" t="str">
        <f t="shared" si="150"/>
        <v/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str">
        <f>IF('Cable Info'!L405="","",CONCATENATE('Cable Info'!L405," - ",'Cable Info'!M405))</f>
        <v/>
      </c>
      <c r="AM701" s="121" t="str">
        <f t="shared" si="149"/>
        <v/>
      </c>
      <c r="AO701" s="121" t="str">
        <f>IF('Cable Info'!N405="","",CONCATENATE('Cable Info'!N405," - ",'Cable Info'!O405))</f>
        <v/>
      </c>
      <c r="AR701" s="121" t="str">
        <f t="shared" si="150"/>
        <v/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str">
        <f>IF('Cable Info'!L406="","",CONCATENATE('Cable Info'!L406," - ",'Cable Info'!M406))</f>
        <v/>
      </c>
      <c r="AM702" s="121" t="str">
        <f t="shared" si="149"/>
        <v/>
      </c>
      <c r="AO702" s="121" t="str">
        <f>IF('Cable Info'!N406="","",CONCATENATE('Cable Info'!N406," - ",'Cable Info'!O406))</f>
        <v/>
      </c>
      <c r="AR702" s="121" t="str">
        <f t="shared" si="150"/>
        <v/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str">
        <f>IF('Cable Info'!L407="","",CONCATENATE('Cable Info'!L407," - ",'Cable Info'!M407))</f>
        <v/>
      </c>
      <c r="AM703" s="121" t="str">
        <f t="shared" si="149"/>
        <v/>
      </c>
      <c r="AO703" s="121" t="str">
        <f>IF('Cable Info'!N407="","",CONCATENATE('Cable Info'!N407," - ",'Cable Info'!O407))</f>
        <v/>
      </c>
      <c r="AR703" s="121" t="str">
        <f t="shared" si="150"/>
        <v/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str">
        <f>IF('Cable Info'!L408="","",CONCATENATE('Cable Info'!L408," - ",'Cable Info'!M408))</f>
        <v/>
      </c>
      <c r="AM704" s="121" t="str">
        <f t="shared" si="149"/>
        <v/>
      </c>
      <c r="AO704" s="121" t="str">
        <f>IF('Cable Info'!N408="","",CONCATENATE('Cable Info'!N408," - ",'Cable Info'!O408))</f>
        <v/>
      </c>
      <c r="AR704" s="121" t="str">
        <f t="shared" si="150"/>
        <v/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str">
        <f>IF('Cable Info'!L409="","",CONCATENATE('Cable Info'!L409," - ",'Cable Info'!M409))</f>
        <v/>
      </c>
      <c r="AM705" s="121" t="str">
        <f t="shared" si="149"/>
        <v/>
      </c>
      <c r="AO705" s="121" t="str">
        <f>IF('Cable Info'!N409="","",CONCATENATE('Cable Info'!N409," - ",'Cable Info'!O409))</f>
        <v/>
      </c>
      <c r="AR705" s="121" t="str">
        <f t="shared" si="150"/>
        <v/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str">
        <f>IF('Cable Info'!L410="","",CONCATENATE('Cable Info'!L410," - ",'Cable Info'!M410))</f>
        <v/>
      </c>
      <c r="AM706" s="121" t="str">
        <f t="shared" si="149"/>
        <v/>
      </c>
      <c r="AO706" s="121" t="str">
        <f>IF('Cable Info'!N410="","",CONCATENATE('Cable Info'!N410," - ",'Cable Info'!O410))</f>
        <v/>
      </c>
      <c r="AR706" s="121" t="str">
        <f t="shared" si="150"/>
        <v/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str">
        <f>IF('Cable Info'!L411="","",CONCATENATE('Cable Info'!L411," - ",'Cable Info'!M411))</f>
        <v/>
      </c>
      <c r="AM707" s="121" t="str">
        <f t="shared" si="149"/>
        <v/>
      </c>
      <c r="AO707" s="121" t="str">
        <f>IF('Cable Info'!N411="","",CONCATENATE('Cable Info'!N411," - ",'Cable Info'!O411))</f>
        <v/>
      </c>
      <c r="AR707" s="121" t="str">
        <f t="shared" si="150"/>
        <v/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str">
        <f>IF('Cable Info'!L412="","",CONCATENATE('Cable Info'!L412," - ",'Cable Info'!M412))</f>
        <v/>
      </c>
      <c r="AM708" s="121" t="str">
        <f t="shared" si="149"/>
        <v/>
      </c>
      <c r="AO708" s="121" t="str">
        <f>IF('Cable Info'!N412="","",CONCATENATE('Cable Info'!N412," - ",'Cable Info'!O412))</f>
        <v/>
      </c>
      <c r="AR708" s="121" t="str">
        <f t="shared" si="150"/>
        <v/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str">
        <f>IF('Cable Info'!L413="","",CONCATENATE('Cable Info'!L413," - ",'Cable Info'!M413))</f>
        <v/>
      </c>
      <c r="AM709" s="121" t="str">
        <f t="shared" si="149"/>
        <v/>
      </c>
      <c r="AO709" s="121" t="str">
        <f>IF('Cable Info'!N413="","",CONCATENATE('Cable Info'!N413," - ",'Cable Info'!O413))</f>
        <v/>
      </c>
      <c r="AR709" s="121" t="str">
        <f t="shared" si="150"/>
        <v/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str">
        <f>IF('Cable Info'!L414="","",CONCATENATE('Cable Info'!L414," - ",'Cable Info'!M414))</f>
        <v/>
      </c>
      <c r="AM710" s="121" t="str">
        <f t="shared" si="149"/>
        <v/>
      </c>
      <c r="AO710" s="121" t="str">
        <f>IF('Cable Info'!N414="","",CONCATENATE('Cable Info'!N414," - ",'Cable Info'!O414))</f>
        <v/>
      </c>
      <c r="AR710" s="121" t="str">
        <f t="shared" si="150"/>
        <v/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str">
        <f>IF('Cable Info'!L415="","",CONCATENATE('Cable Info'!L415," - ",'Cable Info'!M415))</f>
        <v/>
      </c>
      <c r="AM711" s="121" t="str">
        <f t="shared" si="149"/>
        <v/>
      </c>
      <c r="AO711" s="121" t="str">
        <f>IF('Cable Info'!N415="","",CONCATENATE('Cable Info'!N415," - ",'Cable Info'!O415))</f>
        <v/>
      </c>
      <c r="AR711" s="121" t="str">
        <f t="shared" si="150"/>
        <v/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str">
        <f>IF('Cable Info'!L416="","",CONCATENATE('Cable Info'!L416," - ",'Cable Info'!M416))</f>
        <v/>
      </c>
      <c r="AM712" s="121" t="str">
        <f t="shared" si="149"/>
        <v/>
      </c>
      <c r="AO712" s="121" t="str">
        <f>IF('Cable Info'!N416="","",CONCATENATE('Cable Info'!N416," - ",'Cable Info'!O416))</f>
        <v/>
      </c>
      <c r="AR712" s="121" t="str">
        <f t="shared" si="150"/>
        <v/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str">
        <f>IF('Cable Info'!L417="","",CONCATENATE('Cable Info'!L417," - ",'Cable Info'!M417))</f>
        <v/>
      </c>
      <c r="AM713" s="121" t="str">
        <f t="shared" si="149"/>
        <v/>
      </c>
      <c r="AO713" s="121" t="str">
        <f>IF('Cable Info'!N417="","",CONCATENATE('Cable Info'!N417," - ",'Cable Info'!O417))</f>
        <v/>
      </c>
      <c r="AR713" s="121" t="str">
        <f t="shared" si="150"/>
        <v/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str">
        <f>IF('Cable Info'!L418="","",CONCATENATE('Cable Info'!L418," - ",'Cable Info'!M418))</f>
        <v/>
      </c>
      <c r="AM714" s="121" t="str">
        <f t="shared" si="149"/>
        <v/>
      </c>
      <c r="AO714" s="121" t="str">
        <f>IF('Cable Info'!N418="","",CONCATENATE('Cable Info'!N418," - ",'Cable Info'!O418))</f>
        <v/>
      </c>
      <c r="AR714" s="121" t="str">
        <f t="shared" si="150"/>
        <v/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str">
        <f>IF('Cable Info'!L419="","",CONCATENATE('Cable Info'!L419," - ",'Cable Info'!M419))</f>
        <v/>
      </c>
      <c r="AM715" s="121" t="str">
        <f t="shared" si="149"/>
        <v/>
      </c>
      <c r="AO715" s="121" t="str">
        <f>IF('Cable Info'!N419="","",CONCATENATE('Cable Info'!N419," - ",'Cable Info'!O419))</f>
        <v/>
      </c>
      <c r="AR715" s="121" t="str">
        <f t="shared" si="150"/>
        <v/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str">
        <f>IF('Cable Info'!L420="","",CONCATENATE('Cable Info'!L420," - ",'Cable Info'!M420))</f>
        <v/>
      </c>
      <c r="AM716" s="121" t="str">
        <f t="shared" si="149"/>
        <v/>
      </c>
      <c r="AO716" s="121" t="str">
        <f>IF('Cable Info'!N420="","",CONCATENATE('Cable Info'!N420," - ",'Cable Info'!O420))</f>
        <v/>
      </c>
      <c r="AR716" s="121" t="str">
        <f t="shared" si="150"/>
        <v/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str">
        <f>IF('Cable Info'!L421="","",CONCATENATE('Cable Info'!L421," - ",'Cable Info'!M421))</f>
        <v/>
      </c>
      <c r="AM717" s="121" t="str">
        <f t="shared" si="149"/>
        <v/>
      </c>
      <c r="AO717" s="121" t="str">
        <f>IF('Cable Info'!N421="","",CONCATENATE('Cable Info'!N421," - ",'Cable Info'!O421))</f>
        <v/>
      </c>
      <c r="AR717" s="121" t="str">
        <f t="shared" si="150"/>
        <v/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str">
        <f>IF('Cable Info'!L422="","",CONCATENATE('Cable Info'!L422," - ",'Cable Info'!M422))</f>
        <v/>
      </c>
      <c r="AM718" s="121" t="str">
        <f t="shared" si="149"/>
        <v/>
      </c>
      <c r="AO718" s="121" t="str">
        <f>IF('Cable Info'!N422="","",CONCATENATE('Cable Info'!N422," - ",'Cable Info'!O422))</f>
        <v/>
      </c>
      <c r="AR718" s="121" t="str">
        <f t="shared" si="150"/>
        <v/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str">
        <f>IF('Cable Info'!L423="","",CONCATENATE('Cable Info'!L423," - ",'Cable Info'!M423))</f>
        <v/>
      </c>
      <c r="AM719" s="121" t="str">
        <f t="shared" si="149"/>
        <v/>
      </c>
      <c r="AO719" s="121" t="str">
        <f>IF('Cable Info'!N423="","",CONCATENATE('Cable Info'!N423," - ",'Cable Info'!O423))</f>
        <v/>
      </c>
      <c r="AR719" s="121" t="str">
        <f t="shared" si="150"/>
        <v/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str">
        <f>IF('Cable Info'!L424="","",CONCATENATE('Cable Info'!L424," - ",'Cable Info'!M424))</f>
        <v/>
      </c>
      <c r="AM720" s="121" t="str">
        <f t="shared" si="149"/>
        <v/>
      </c>
      <c r="AO720" s="121" t="str">
        <f>IF('Cable Info'!N424="","",CONCATENATE('Cable Info'!N424," - ",'Cable Info'!O424))</f>
        <v/>
      </c>
      <c r="AR720" s="121" t="str">
        <f t="shared" si="150"/>
        <v/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str">
        <f>IF('Cable Info'!L425="","",CONCATENATE('Cable Info'!L425," - ",'Cable Info'!M425))</f>
        <v/>
      </c>
      <c r="AM721" s="121" t="str">
        <f t="shared" si="149"/>
        <v/>
      </c>
      <c r="AO721" s="121" t="str">
        <f>IF('Cable Info'!N425="","",CONCATENATE('Cable Info'!N425," - ",'Cable Info'!O425))</f>
        <v/>
      </c>
      <c r="AR721" s="121" t="str">
        <f t="shared" si="150"/>
        <v/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str">
        <f>IF('Cable Info'!L426="","",CONCATENATE('Cable Info'!L426," - ",'Cable Info'!M426))</f>
        <v/>
      </c>
      <c r="AM722" s="121" t="str">
        <f t="shared" si="149"/>
        <v/>
      </c>
      <c r="AO722" s="121" t="str">
        <f>IF('Cable Info'!N426="","",CONCATENATE('Cable Info'!N426," - ",'Cable Info'!O426))</f>
        <v/>
      </c>
      <c r="AR722" s="121" t="str">
        <f t="shared" si="150"/>
        <v/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str">
        <f>IF('Cable Info'!L427="","",CONCATENATE('Cable Info'!L427," - ",'Cable Info'!M427))</f>
        <v/>
      </c>
      <c r="AM723" s="121" t="str">
        <f t="shared" si="149"/>
        <v/>
      </c>
      <c r="AO723" s="121" t="str">
        <f>IF('Cable Info'!N427="","",CONCATENATE('Cable Info'!N427," - ",'Cable Info'!O427))</f>
        <v/>
      </c>
      <c r="AR723" s="121" t="str">
        <f t="shared" si="150"/>
        <v/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str">
        <f>IF('Cable Info'!L428="","",CONCATENATE('Cable Info'!L428," - ",'Cable Info'!M428))</f>
        <v/>
      </c>
      <c r="AM724" s="121" t="str">
        <f t="shared" si="149"/>
        <v/>
      </c>
      <c r="AO724" s="121" t="str">
        <f>IF('Cable Info'!N428="","",CONCATENATE('Cable Info'!N428," - ",'Cable Info'!O428))</f>
        <v/>
      </c>
      <c r="AR724" s="121" t="str">
        <f t="shared" si="150"/>
        <v/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str">
        <f>IF('Cable Info'!L429="","",CONCATENATE('Cable Info'!L429," - ",'Cable Info'!M429))</f>
        <v/>
      </c>
      <c r="AM725" s="121" t="str">
        <f t="shared" si="149"/>
        <v/>
      </c>
      <c r="AO725" s="121" t="str">
        <f>IF('Cable Info'!N429="","",CONCATENATE('Cable Info'!N429," - ",'Cable Info'!O429))</f>
        <v/>
      </c>
      <c r="AR725" s="121" t="str">
        <f t="shared" si="150"/>
        <v/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str">
        <f>IF('Cable Info'!L430="","",CONCATENATE('Cable Info'!L430," - ",'Cable Info'!M430))</f>
        <v/>
      </c>
      <c r="AM726" s="121" t="str">
        <f t="shared" si="149"/>
        <v/>
      </c>
      <c r="AO726" s="121" t="str">
        <f>IF('Cable Info'!N430="","",CONCATENATE('Cable Info'!N430," - ",'Cable Info'!O430))</f>
        <v/>
      </c>
      <c r="AR726" s="121" t="str">
        <f t="shared" si="150"/>
        <v/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str">
        <f>IF('Cable Info'!L431="","",CONCATENATE('Cable Info'!L431," - ",'Cable Info'!M431))</f>
        <v/>
      </c>
      <c r="AM727" s="121" t="str">
        <f t="shared" si="149"/>
        <v/>
      </c>
      <c r="AO727" s="121" t="str">
        <f>IF('Cable Info'!N431="","",CONCATENATE('Cable Info'!N431," - ",'Cable Info'!O431))</f>
        <v/>
      </c>
      <c r="AR727" s="121" t="str">
        <f t="shared" si="150"/>
        <v/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str">
        <f>IF('Cable Info'!L432="","",CONCATENATE('Cable Info'!L432," - ",'Cable Info'!M432))</f>
        <v/>
      </c>
      <c r="AM728" s="121" t="str">
        <f t="shared" si="149"/>
        <v/>
      </c>
      <c r="AO728" s="121" t="str">
        <f>IF('Cable Info'!N432="","",CONCATENATE('Cable Info'!N432," - ",'Cable Info'!O432))</f>
        <v/>
      </c>
      <c r="AR728" s="121" t="str">
        <f t="shared" si="150"/>
        <v/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str">
        <f>IF('Cable Info'!L433="","",CONCATENATE('Cable Info'!L433," - ",'Cable Info'!M433))</f>
        <v/>
      </c>
      <c r="AM729" s="121" t="str">
        <f t="shared" si="149"/>
        <v/>
      </c>
      <c r="AO729" s="121" t="str">
        <f>IF('Cable Info'!N433="","",CONCATENATE('Cable Info'!N433," - ",'Cable Info'!O433))</f>
        <v/>
      </c>
      <c r="AR729" s="121" t="str">
        <f t="shared" si="150"/>
        <v/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str">
        <f>IF('Cable Info'!L434="","",CONCATENATE('Cable Info'!L434," - ",'Cable Info'!M434))</f>
        <v/>
      </c>
      <c r="AM730" s="121" t="str">
        <f t="shared" si="149"/>
        <v/>
      </c>
      <c r="AO730" s="121" t="str">
        <f>IF('Cable Info'!N434="","",CONCATENATE('Cable Info'!N434," - ",'Cable Info'!O434))</f>
        <v/>
      </c>
      <c r="AR730" s="121" t="str">
        <f t="shared" si="150"/>
        <v/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str">
        <f>IF('Cable Info'!L435="","",CONCATENATE('Cable Info'!L435," - ",'Cable Info'!M435))</f>
        <v/>
      </c>
      <c r="AM731" s="121" t="str">
        <f t="shared" si="149"/>
        <v/>
      </c>
      <c r="AO731" s="121" t="str">
        <f>IF('Cable Info'!N435="","",CONCATENATE('Cable Info'!N435," - ",'Cable Info'!O435))</f>
        <v/>
      </c>
      <c r="AR731" s="121" t="str">
        <f t="shared" si="150"/>
        <v/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str">
        <f>IF('Cable Info'!L436="","",CONCATENATE('Cable Info'!L436," - ",'Cable Info'!M436))</f>
        <v/>
      </c>
      <c r="AM732" s="121" t="str">
        <f t="shared" si="149"/>
        <v/>
      </c>
      <c r="AO732" s="121" t="str">
        <f>IF('Cable Info'!N436="","",CONCATENATE('Cable Info'!N436," - ",'Cable Info'!O436))</f>
        <v/>
      </c>
      <c r="AR732" s="121" t="str">
        <f t="shared" si="150"/>
        <v/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str">
        <f>IF('Cable Info'!L437="","",CONCATENATE('Cable Info'!L437," - ",'Cable Info'!M437))</f>
        <v/>
      </c>
      <c r="AM733" s="121" t="str">
        <f t="shared" si="149"/>
        <v/>
      </c>
      <c r="AO733" s="121" t="str">
        <f>IF('Cable Info'!N437="","",CONCATENATE('Cable Info'!N437," - ",'Cable Info'!O437))</f>
        <v/>
      </c>
      <c r="AR733" s="121" t="str">
        <f t="shared" si="150"/>
        <v/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str">
        <f>IF('Cable Info'!L438="","",CONCATENATE('Cable Info'!L438," - ",'Cable Info'!M438))</f>
        <v/>
      </c>
      <c r="AM734" s="121" t="str">
        <f t="shared" si="149"/>
        <v/>
      </c>
      <c r="AO734" s="121" t="str">
        <f>IF('Cable Info'!N438="","",CONCATENATE('Cable Info'!N438," - ",'Cable Info'!O438))</f>
        <v/>
      </c>
      <c r="AR734" s="121" t="str">
        <f t="shared" si="150"/>
        <v/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str">
        <f>IF('Cable Info'!L439="","",CONCATENATE('Cable Info'!L439," - ",'Cable Info'!M439))</f>
        <v/>
      </c>
      <c r="AM735" s="121" t="str">
        <f t="shared" si="149"/>
        <v/>
      </c>
      <c r="AO735" s="121" t="str">
        <f>IF('Cable Info'!N439="","",CONCATENATE('Cable Info'!N439," - ",'Cable Info'!O439))</f>
        <v/>
      </c>
      <c r="AR735" s="121" t="str">
        <f t="shared" si="150"/>
        <v/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str">
        <f>IF('Cable Info'!L440="","",CONCATENATE('Cable Info'!L440," - ",'Cable Info'!M440))</f>
        <v/>
      </c>
      <c r="AM736" s="121" t="str">
        <f t="shared" si="149"/>
        <v/>
      </c>
      <c r="AO736" s="121" t="str">
        <f>IF('Cable Info'!N440="","",CONCATENATE('Cable Info'!N440," - ",'Cable Info'!O440))</f>
        <v/>
      </c>
      <c r="AR736" s="121" t="str">
        <f t="shared" si="150"/>
        <v/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str">
        <f>IF('Cable Info'!L441="","",CONCATENATE('Cable Info'!L441," - ",'Cable Info'!M441))</f>
        <v/>
      </c>
      <c r="AM737" s="121" t="str">
        <f t="shared" si="149"/>
        <v/>
      </c>
      <c r="AO737" s="121" t="str">
        <f>IF('Cable Info'!N441="","",CONCATENATE('Cable Info'!N441," - ",'Cable Info'!O441))</f>
        <v/>
      </c>
      <c r="AR737" s="121" t="str">
        <f t="shared" si="150"/>
        <v/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str">
        <f>IF('Cable Info'!L442="","",CONCATENATE('Cable Info'!L442," - ",'Cable Info'!M442))</f>
        <v/>
      </c>
      <c r="AM738" s="121" t="str">
        <f t="shared" si="149"/>
        <v/>
      </c>
      <c r="AO738" s="121" t="str">
        <f>IF('Cable Info'!N442="","",CONCATENATE('Cable Info'!N442," - ",'Cable Info'!O442))</f>
        <v/>
      </c>
      <c r="AR738" s="121" t="str">
        <f t="shared" si="150"/>
        <v/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str">
        <f>IF('Cable Info'!L443="","",CONCATENATE('Cable Info'!L443," - ",'Cable Info'!M443))</f>
        <v/>
      </c>
      <c r="AM739" s="121" t="str">
        <f t="shared" si="149"/>
        <v/>
      </c>
      <c r="AO739" s="121" t="str">
        <f>IF('Cable Info'!N443="","",CONCATENATE('Cable Info'!N443," - ",'Cable Info'!O443))</f>
        <v/>
      </c>
      <c r="AR739" s="121" t="str">
        <f t="shared" si="150"/>
        <v/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str">
        <f>IF('Cable Info'!L444="","",CONCATENATE('Cable Info'!L444," - ",'Cable Info'!M444))</f>
        <v/>
      </c>
      <c r="AM740" s="121" t="str">
        <f t="shared" si="149"/>
        <v/>
      </c>
      <c r="AO740" s="121" t="str">
        <f>IF('Cable Info'!N444="","",CONCATENATE('Cable Info'!N444," - ",'Cable Info'!O444))</f>
        <v/>
      </c>
      <c r="AR740" s="121" t="str">
        <f t="shared" si="150"/>
        <v/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str">
        <f>IF('Cable Info'!L445="","",CONCATENATE('Cable Info'!L445," - ",'Cable Info'!M445))</f>
        <v/>
      </c>
      <c r="AM741" s="121" t="str">
        <f t="shared" si="149"/>
        <v/>
      </c>
      <c r="AO741" s="121" t="str">
        <f>IF('Cable Info'!N445="","",CONCATENATE('Cable Info'!N445," - ",'Cable Info'!O445))</f>
        <v/>
      </c>
      <c r="AR741" s="121" t="str">
        <f t="shared" si="150"/>
        <v/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str">
        <f>IF('Cable Info'!L446="","",CONCATENATE('Cable Info'!L446," - ",'Cable Info'!M446))</f>
        <v/>
      </c>
      <c r="AM742" s="121" t="str">
        <f t="shared" si="149"/>
        <v/>
      </c>
      <c r="AO742" s="121" t="str">
        <f>IF('Cable Info'!N446="","",CONCATENATE('Cable Info'!N446," - ",'Cable Info'!O446))</f>
        <v/>
      </c>
      <c r="AR742" s="121" t="str">
        <f t="shared" si="150"/>
        <v/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str">
        <f>IF('Cable Info'!L447="","",CONCATENATE('Cable Info'!L447," - ",'Cable Info'!M447))</f>
        <v/>
      </c>
      <c r="AM743" s="121" t="str">
        <f t="shared" si="149"/>
        <v/>
      </c>
      <c r="AO743" s="121" t="str">
        <f>IF('Cable Info'!N447="","",CONCATENATE('Cable Info'!N447," - ",'Cable Info'!O447))</f>
        <v/>
      </c>
      <c r="AR743" s="121" t="str">
        <f t="shared" si="150"/>
        <v/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str">
        <f>IF('Cable Info'!L448="","",CONCATENATE('Cable Info'!L448," - ",'Cable Info'!M448))</f>
        <v/>
      </c>
      <c r="AM744" s="121" t="str">
        <f t="shared" si="149"/>
        <v/>
      </c>
      <c r="AO744" s="121" t="str">
        <f>IF('Cable Info'!N448="","",CONCATENATE('Cable Info'!N448," - ",'Cable Info'!O448))</f>
        <v/>
      </c>
      <c r="AR744" s="121" t="str">
        <f t="shared" si="150"/>
        <v/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str">
        <f>IF('Cable Info'!L449="","",CONCATENATE('Cable Info'!L449," - ",'Cable Info'!M449))</f>
        <v/>
      </c>
      <c r="AM745" s="121" t="str">
        <f t="shared" si="149"/>
        <v/>
      </c>
      <c r="AO745" s="121" t="str">
        <f>IF('Cable Info'!N449="","",CONCATENATE('Cable Info'!N449," - ",'Cable Info'!O449))</f>
        <v/>
      </c>
      <c r="AR745" s="121" t="str">
        <f t="shared" si="150"/>
        <v/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str">
        <f>IF('Cable Info'!L450="","",CONCATENATE('Cable Info'!L450," - ",'Cable Info'!M450))</f>
        <v/>
      </c>
      <c r="AM746" s="121" t="str">
        <f t="shared" si="149"/>
        <v/>
      </c>
      <c r="AO746" s="121" t="str">
        <f>IF('Cable Info'!N450="","",CONCATENATE('Cable Info'!N450," - ",'Cable Info'!O450))</f>
        <v/>
      </c>
      <c r="AR746" s="121" t="str">
        <f t="shared" si="150"/>
        <v/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str">
        <f>IF('Cable Info'!L451="","",CONCATENATE('Cable Info'!L451," - ",'Cable Info'!M451))</f>
        <v/>
      </c>
      <c r="AM747" s="121" t="str">
        <f t="shared" ref="AM747:AM810" si="155">IF(AK747="",AJ747,CONCATENATE(AJ747,"  &lt;=&gt; ",AK747," ",AL747))</f>
        <v/>
      </c>
      <c r="AO747" s="121" t="str">
        <f>IF('Cable Info'!N451="","",CONCATENATE('Cable Info'!N451," - ",'Cable Info'!O451))</f>
        <v/>
      </c>
      <c r="AR747" s="121" t="str">
        <f t="shared" ref="AR747:AR810" si="156">IF(AP747="",AO747,CONCATENATE(AO747,"  &lt;=&gt; ",AP747," ",AQ747))</f>
        <v/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str">
        <f>IF('Cable Info'!L452="","",CONCATENATE('Cable Info'!L452," - ",'Cable Info'!M452))</f>
        <v/>
      </c>
      <c r="AM748" s="121" t="str">
        <f t="shared" si="155"/>
        <v/>
      </c>
      <c r="AO748" s="121" t="str">
        <f>IF('Cable Info'!N452="","",CONCATENATE('Cable Info'!N452," - ",'Cable Info'!O452))</f>
        <v/>
      </c>
      <c r="AR748" s="121" t="str">
        <f t="shared" si="156"/>
        <v/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str">
        <f>IF('Cable Info'!L453="","",CONCATENATE('Cable Info'!L453," - ",'Cable Info'!M453))</f>
        <v/>
      </c>
      <c r="AM749" s="121" t="str">
        <f t="shared" si="155"/>
        <v/>
      </c>
      <c r="AO749" s="121" t="str">
        <f>IF('Cable Info'!N453="","",CONCATENATE('Cable Info'!N453," - ",'Cable Info'!O453))</f>
        <v/>
      </c>
      <c r="AR749" s="121" t="str">
        <f t="shared" si="156"/>
        <v/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str">
        <f>IF('Cable Info'!L454="","",CONCATENATE('Cable Info'!L454," - ",'Cable Info'!M454))</f>
        <v/>
      </c>
      <c r="AM750" s="121" t="str">
        <f t="shared" si="155"/>
        <v/>
      </c>
      <c r="AO750" s="121" t="str">
        <f>IF('Cable Info'!N454="","",CONCATENATE('Cable Info'!N454," - ",'Cable Info'!O454))</f>
        <v/>
      </c>
      <c r="AR750" s="121" t="str">
        <f t="shared" si="156"/>
        <v/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str">
        <f>IF('Cable Info'!L455="","",CONCATENATE('Cable Info'!L455," - ",'Cable Info'!M455))</f>
        <v/>
      </c>
      <c r="AM751" s="121" t="str">
        <f t="shared" si="155"/>
        <v/>
      </c>
      <c r="AO751" s="121" t="str">
        <f>IF('Cable Info'!N455="","",CONCATENATE('Cable Info'!N455," - ",'Cable Info'!O455))</f>
        <v/>
      </c>
      <c r="AR751" s="121" t="str">
        <f t="shared" si="156"/>
        <v/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str">
        <f>IF('Cable Info'!L456="","",CONCATENATE('Cable Info'!L456," - ",'Cable Info'!M456))</f>
        <v/>
      </c>
      <c r="AM752" s="121" t="str">
        <f t="shared" si="155"/>
        <v/>
      </c>
      <c r="AO752" s="121" t="str">
        <f>IF('Cable Info'!N456="","",CONCATENATE('Cable Info'!N456," - ",'Cable Info'!O456))</f>
        <v/>
      </c>
      <c r="AR752" s="121" t="str">
        <f t="shared" si="156"/>
        <v/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str">
        <f>IF('Cable Info'!L457="","",CONCATENATE('Cable Info'!L457," - ",'Cable Info'!M457))</f>
        <v/>
      </c>
      <c r="AM753" s="121" t="str">
        <f t="shared" si="155"/>
        <v/>
      </c>
      <c r="AO753" s="121" t="str">
        <f>IF('Cable Info'!N457="","",CONCATENATE('Cable Info'!N457," - ",'Cable Info'!O457))</f>
        <v/>
      </c>
      <c r="AR753" s="121" t="str">
        <f t="shared" si="156"/>
        <v/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str">
        <f>IF('Cable Info'!L458="","",CONCATENATE('Cable Info'!L458," - ",'Cable Info'!M458))</f>
        <v/>
      </c>
      <c r="AM754" s="121" t="str">
        <f t="shared" si="155"/>
        <v/>
      </c>
      <c r="AO754" s="121" t="str">
        <f>IF('Cable Info'!N458="","",CONCATENATE('Cable Info'!N458," - ",'Cable Info'!O458))</f>
        <v/>
      </c>
      <c r="AR754" s="121" t="str">
        <f t="shared" si="156"/>
        <v/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str">
        <f>IF('Cable Info'!L459="","",CONCATENATE('Cable Info'!L459," - ",'Cable Info'!M459))</f>
        <v/>
      </c>
      <c r="AM755" s="121" t="str">
        <f t="shared" si="155"/>
        <v/>
      </c>
      <c r="AO755" s="121" t="str">
        <f>IF('Cable Info'!N459="","",CONCATENATE('Cable Info'!N459," - ",'Cable Info'!O459))</f>
        <v/>
      </c>
      <c r="AR755" s="121" t="str">
        <f t="shared" si="156"/>
        <v/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str">
        <f>IF('Cable Info'!L460="","",CONCATENATE('Cable Info'!L460," - ",'Cable Info'!M460))</f>
        <v/>
      </c>
      <c r="AM756" s="121" t="str">
        <f t="shared" si="155"/>
        <v/>
      </c>
      <c r="AO756" s="121" t="str">
        <f>IF('Cable Info'!N460="","",CONCATENATE('Cable Info'!N460," - ",'Cable Info'!O460))</f>
        <v/>
      </c>
      <c r="AR756" s="121" t="str">
        <f t="shared" si="156"/>
        <v/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str">
        <f>IF('Cable Info'!L461="","",CONCATENATE('Cable Info'!L461," - ",'Cable Info'!M461))</f>
        <v/>
      </c>
      <c r="AM757" s="121" t="str">
        <f t="shared" si="155"/>
        <v/>
      </c>
      <c r="AO757" s="121" t="str">
        <f>IF('Cable Info'!N461="","",CONCATENATE('Cable Info'!N461," - ",'Cable Info'!O461))</f>
        <v/>
      </c>
      <c r="AR757" s="121" t="str">
        <f t="shared" si="156"/>
        <v/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str">
        <f>IF('Cable Info'!L462="","",CONCATENATE('Cable Info'!L462," - ",'Cable Info'!M462))</f>
        <v/>
      </c>
      <c r="AM758" s="121" t="str">
        <f t="shared" si="155"/>
        <v/>
      </c>
      <c r="AO758" s="121" t="str">
        <f>IF('Cable Info'!N462="","",CONCATENATE('Cable Info'!N462," - ",'Cable Info'!O462))</f>
        <v/>
      </c>
      <c r="AR758" s="121" t="str">
        <f t="shared" si="156"/>
        <v/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str">
        <f>IF('Cable Info'!L463="","",CONCATENATE('Cable Info'!L463," - ",'Cable Info'!M463))</f>
        <v/>
      </c>
      <c r="AM759" s="121" t="str">
        <f t="shared" si="155"/>
        <v/>
      </c>
      <c r="AO759" s="121" t="str">
        <f>IF('Cable Info'!N463="","",CONCATENATE('Cable Info'!N463," - ",'Cable Info'!O463))</f>
        <v/>
      </c>
      <c r="AR759" s="121" t="str">
        <f t="shared" si="156"/>
        <v/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str">
        <f>IF('Cable Info'!L464="","",CONCATENATE('Cable Info'!L464," - ",'Cable Info'!M464))</f>
        <v/>
      </c>
      <c r="AM760" s="121" t="str">
        <f t="shared" si="155"/>
        <v/>
      </c>
      <c r="AO760" s="121" t="str">
        <f>IF('Cable Info'!N464="","",CONCATENATE('Cable Info'!N464," - ",'Cable Info'!O464))</f>
        <v/>
      </c>
      <c r="AR760" s="121" t="str">
        <f t="shared" si="156"/>
        <v/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str">
        <f>IF('Cable Info'!L465="","",CONCATENATE('Cable Info'!L465," - ",'Cable Info'!M465))</f>
        <v/>
      </c>
      <c r="AM761" s="121" t="str">
        <f t="shared" si="155"/>
        <v/>
      </c>
      <c r="AO761" s="121" t="str">
        <f>IF('Cable Info'!N465="","",CONCATENATE('Cable Info'!N465," - ",'Cable Info'!O465))</f>
        <v/>
      </c>
      <c r="AR761" s="121" t="str">
        <f t="shared" si="156"/>
        <v/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str">
        <f>IF('Cable Info'!L466="","",CONCATENATE('Cable Info'!L466," - ",'Cable Info'!M466))</f>
        <v/>
      </c>
      <c r="AM762" s="121" t="str">
        <f t="shared" si="155"/>
        <v/>
      </c>
      <c r="AO762" s="121" t="str">
        <f>IF('Cable Info'!N466="","",CONCATENATE('Cable Info'!N466," - ",'Cable Info'!O466))</f>
        <v/>
      </c>
      <c r="AR762" s="121" t="str">
        <f t="shared" si="156"/>
        <v/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str">
        <f>IF('Cable Info'!L467="","",CONCATENATE('Cable Info'!L467," - ",'Cable Info'!M467))</f>
        <v/>
      </c>
      <c r="AM763" s="121" t="str">
        <f t="shared" si="155"/>
        <v/>
      </c>
      <c r="AO763" s="121" t="str">
        <f>IF('Cable Info'!N467="","",CONCATENATE('Cable Info'!N467," - ",'Cable Info'!O467))</f>
        <v/>
      </c>
      <c r="AR763" s="121" t="str">
        <f t="shared" si="156"/>
        <v/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str">
        <f>IF('Cable Info'!L468="","",CONCATENATE('Cable Info'!L468," - ",'Cable Info'!M468))</f>
        <v/>
      </c>
      <c r="AM764" s="121" t="str">
        <f t="shared" si="155"/>
        <v/>
      </c>
      <c r="AO764" s="121" t="str">
        <f>IF('Cable Info'!N468="","",CONCATENATE('Cable Info'!N468," - ",'Cable Info'!O468))</f>
        <v/>
      </c>
      <c r="AR764" s="121" t="str">
        <f t="shared" si="156"/>
        <v/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str">
        <f>IF('Cable Info'!L469="","",CONCATENATE('Cable Info'!L469," - ",'Cable Info'!M469))</f>
        <v/>
      </c>
      <c r="AM765" s="121" t="str">
        <f t="shared" si="155"/>
        <v/>
      </c>
      <c r="AO765" s="121" t="str">
        <f>IF('Cable Info'!N469="","",CONCATENATE('Cable Info'!N469," - ",'Cable Info'!O469))</f>
        <v/>
      </c>
      <c r="AR765" s="121" t="str">
        <f t="shared" si="156"/>
        <v/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str">
        <f>IF('Cable Info'!L470="","",CONCATENATE('Cable Info'!L470," - ",'Cable Info'!M470))</f>
        <v/>
      </c>
      <c r="AM766" s="121" t="str">
        <f t="shared" si="155"/>
        <v/>
      </c>
      <c r="AO766" s="121" t="str">
        <f>IF('Cable Info'!N470="","",CONCATENATE('Cable Info'!N470," - ",'Cable Info'!O470))</f>
        <v/>
      </c>
      <c r="AR766" s="121" t="str">
        <f t="shared" si="156"/>
        <v/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str">
        <f>IF('Cable Info'!L471="","",CONCATENATE('Cable Info'!L471," - ",'Cable Info'!M471))</f>
        <v/>
      </c>
      <c r="AM767" s="121" t="str">
        <f t="shared" si="155"/>
        <v/>
      </c>
      <c r="AO767" s="121" t="str">
        <f>IF('Cable Info'!N471="","",CONCATENATE('Cable Info'!N471," - ",'Cable Info'!O471))</f>
        <v/>
      </c>
      <c r="AR767" s="121" t="str">
        <f t="shared" si="156"/>
        <v/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str">
        <f>IF('Cable Info'!L472="","",CONCATENATE('Cable Info'!L472," - ",'Cable Info'!M472))</f>
        <v/>
      </c>
      <c r="AM768" s="121" t="str">
        <f t="shared" si="155"/>
        <v/>
      </c>
      <c r="AO768" s="121" t="str">
        <f>IF('Cable Info'!N472="","",CONCATENATE('Cable Info'!N472," - ",'Cable Info'!O472))</f>
        <v/>
      </c>
      <c r="AR768" s="121" t="str">
        <f t="shared" si="156"/>
        <v/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str">
        <f>IF('Cable Info'!L473="","",CONCATENATE('Cable Info'!L473," - ",'Cable Info'!M473))</f>
        <v/>
      </c>
      <c r="AM769" s="121" t="str">
        <f t="shared" si="155"/>
        <v/>
      </c>
      <c r="AO769" s="121" t="str">
        <f>IF('Cable Info'!N473="","",CONCATENATE('Cable Info'!N473," - ",'Cable Info'!O473))</f>
        <v/>
      </c>
      <c r="AR769" s="121" t="str">
        <f t="shared" si="156"/>
        <v/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str">
        <f>IF('Cable Info'!L474="","",CONCATENATE('Cable Info'!L474," - ",'Cable Info'!M474))</f>
        <v/>
      </c>
      <c r="AM770" s="121" t="str">
        <f t="shared" si="155"/>
        <v/>
      </c>
      <c r="AO770" s="121" t="str">
        <f>IF('Cable Info'!N474="","",CONCATENATE('Cable Info'!N474," - ",'Cable Info'!O474))</f>
        <v/>
      </c>
      <c r="AR770" s="121" t="str">
        <f t="shared" si="156"/>
        <v/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str">
        <f>IF('Cable Info'!L475="","",CONCATENATE('Cable Info'!L475," - ",'Cable Info'!M475))</f>
        <v/>
      </c>
      <c r="AM771" s="121" t="str">
        <f t="shared" si="155"/>
        <v/>
      </c>
      <c r="AO771" s="121" t="str">
        <f>IF('Cable Info'!N475="","",CONCATENATE('Cable Info'!N475," - ",'Cable Info'!O475))</f>
        <v/>
      </c>
      <c r="AR771" s="121" t="str">
        <f t="shared" si="156"/>
        <v/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str">
        <f>IF('Cable Info'!L476="","",CONCATENATE('Cable Info'!L476," - ",'Cable Info'!M476))</f>
        <v/>
      </c>
      <c r="AM772" s="121" t="str">
        <f t="shared" si="155"/>
        <v/>
      </c>
      <c r="AO772" s="121" t="str">
        <f>IF('Cable Info'!N476="","",CONCATENATE('Cable Info'!N476," - ",'Cable Info'!O476))</f>
        <v/>
      </c>
      <c r="AR772" s="121" t="str">
        <f t="shared" si="156"/>
        <v/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str">
        <f>IF('Cable Info'!L477="","",CONCATENATE('Cable Info'!L477," - ",'Cable Info'!M477))</f>
        <v/>
      </c>
      <c r="AM773" s="121" t="str">
        <f t="shared" si="155"/>
        <v/>
      </c>
      <c r="AO773" s="121" t="str">
        <f>IF('Cable Info'!N477="","",CONCATENATE('Cable Info'!N477," - ",'Cable Info'!O477))</f>
        <v/>
      </c>
      <c r="AR773" s="121" t="str">
        <f t="shared" si="156"/>
        <v/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str">
        <f>IF('Cable Info'!L478="","",CONCATENATE('Cable Info'!L478," - ",'Cable Info'!M478))</f>
        <v/>
      </c>
      <c r="AM774" s="121" t="str">
        <f t="shared" si="155"/>
        <v/>
      </c>
      <c r="AO774" s="121" t="str">
        <f>IF('Cable Info'!N478="","",CONCATENATE('Cable Info'!N478," - ",'Cable Info'!O478))</f>
        <v/>
      </c>
      <c r="AR774" s="121" t="str">
        <f t="shared" si="156"/>
        <v/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str">
        <f>IF('Cable Info'!L479="","",CONCATENATE('Cable Info'!L479," - ",'Cable Info'!M479))</f>
        <v/>
      </c>
      <c r="AM775" s="121" t="str">
        <f t="shared" si="155"/>
        <v/>
      </c>
      <c r="AO775" s="121" t="str">
        <f>IF('Cable Info'!N479="","",CONCATENATE('Cable Info'!N479," - ",'Cable Info'!O479))</f>
        <v/>
      </c>
      <c r="AR775" s="121" t="str">
        <f t="shared" si="156"/>
        <v/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str">
        <f>IF('Cable Info'!L480="","",CONCATENATE('Cable Info'!L480," - ",'Cable Info'!M480))</f>
        <v/>
      </c>
      <c r="AM776" s="121" t="str">
        <f t="shared" si="155"/>
        <v/>
      </c>
      <c r="AO776" s="121" t="str">
        <f>IF('Cable Info'!N480="","",CONCATENATE('Cable Info'!N480," - ",'Cable Info'!O480))</f>
        <v/>
      </c>
      <c r="AR776" s="121" t="str">
        <f t="shared" si="156"/>
        <v/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str">
        <f>IF('Cable Info'!L481="","",CONCATENATE('Cable Info'!L481," - ",'Cable Info'!M481))</f>
        <v/>
      </c>
      <c r="AM777" s="121" t="str">
        <f t="shared" si="155"/>
        <v/>
      </c>
      <c r="AO777" s="121" t="str">
        <f>IF('Cable Info'!N481="","",CONCATENATE('Cable Info'!N481," - ",'Cable Info'!O481))</f>
        <v/>
      </c>
      <c r="AR777" s="121" t="str">
        <f t="shared" si="156"/>
        <v/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str">
        <f>IF('Cable Info'!L482="","",CONCATENATE('Cable Info'!L482," - ",'Cable Info'!M482))</f>
        <v/>
      </c>
      <c r="AM778" s="121" t="str">
        <f t="shared" si="155"/>
        <v/>
      </c>
      <c r="AO778" s="121" t="str">
        <f>IF('Cable Info'!N482="","",CONCATENATE('Cable Info'!N482," - ",'Cable Info'!O482))</f>
        <v/>
      </c>
      <c r="AR778" s="121" t="str">
        <f t="shared" si="156"/>
        <v/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str">
        <f>IF('Cable Info'!L483="","",CONCATENATE('Cable Info'!L483," - ",'Cable Info'!M483))</f>
        <v/>
      </c>
      <c r="AM779" s="121" t="str">
        <f t="shared" si="155"/>
        <v/>
      </c>
      <c r="AO779" s="121" t="str">
        <f>IF('Cable Info'!N483="","",CONCATENATE('Cable Info'!N483," - ",'Cable Info'!O483))</f>
        <v/>
      </c>
      <c r="AR779" s="121" t="str">
        <f t="shared" si="156"/>
        <v/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str">
        <f>IF('Cable Info'!L484="","",CONCATENATE('Cable Info'!L484," - ",'Cable Info'!M484))</f>
        <v/>
      </c>
      <c r="AM780" s="121" t="str">
        <f t="shared" si="155"/>
        <v/>
      </c>
      <c r="AO780" s="121" t="str">
        <f>IF('Cable Info'!N484="","",CONCATENATE('Cable Info'!N484," - ",'Cable Info'!O484))</f>
        <v/>
      </c>
      <c r="AR780" s="121" t="str">
        <f t="shared" si="156"/>
        <v/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str">
        <f>IF('Cable Info'!L485="","",CONCATENATE('Cable Info'!L485," - ",'Cable Info'!M485))</f>
        <v/>
      </c>
      <c r="AM781" s="121" t="str">
        <f t="shared" si="155"/>
        <v/>
      </c>
      <c r="AO781" s="121" t="str">
        <f>IF('Cable Info'!N485="","",CONCATENATE('Cable Info'!N485," - ",'Cable Info'!O485))</f>
        <v/>
      </c>
      <c r="AR781" s="121" t="str">
        <f t="shared" si="156"/>
        <v/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str">
        <f>IF('Cable Info'!L486="","",CONCATENATE('Cable Info'!L486," - ",'Cable Info'!M486))</f>
        <v/>
      </c>
      <c r="AM782" s="121" t="str">
        <f t="shared" si="155"/>
        <v/>
      </c>
      <c r="AO782" s="121" t="str">
        <f>IF('Cable Info'!N486="","",CONCATENATE('Cable Info'!N486," - ",'Cable Info'!O486))</f>
        <v/>
      </c>
      <c r="AR782" s="121" t="str">
        <f t="shared" si="156"/>
        <v/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str">
        <f>IF('Cable Info'!L487="","",CONCATENATE('Cable Info'!L487," - ",'Cable Info'!M487))</f>
        <v/>
      </c>
      <c r="AM783" s="121" t="str">
        <f t="shared" si="155"/>
        <v/>
      </c>
      <c r="AO783" s="121" t="str">
        <f>IF('Cable Info'!N487="","",CONCATENATE('Cable Info'!N487," - ",'Cable Info'!O487))</f>
        <v/>
      </c>
      <c r="AR783" s="121" t="str">
        <f t="shared" si="156"/>
        <v/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str">
        <f>IF('Cable Info'!L488="","",CONCATENATE('Cable Info'!L488," - ",'Cable Info'!M488))</f>
        <v/>
      </c>
      <c r="AM784" s="121" t="str">
        <f t="shared" si="155"/>
        <v/>
      </c>
      <c r="AO784" s="121" t="str">
        <f>IF('Cable Info'!N488="","",CONCATENATE('Cable Info'!N488," - ",'Cable Info'!O488))</f>
        <v/>
      </c>
      <c r="AR784" s="121" t="str">
        <f t="shared" si="156"/>
        <v/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str">
        <f>IF('Cable Info'!L489="","",CONCATENATE('Cable Info'!L489," - ",'Cable Info'!M489))</f>
        <v/>
      </c>
      <c r="AM785" s="121" t="str">
        <f t="shared" si="155"/>
        <v/>
      </c>
      <c r="AO785" s="121" t="str">
        <f>IF('Cable Info'!N489="","",CONCATENATE('Cable Info'!N489," - ",'Cable Info'!O489))</f>
        <v/>
      </c>
      <c r="AR785" s="121" t="str">
        <f t="shared" si="156"/>
        <v/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str">
        <f>IF('Cable Info'!L490="","",CONCATENATE('Cable Info'!L490," - ",'Cable Info'!M490))</f>
        <v/>
      </c>
      <c r="AM786" s="121" t="str">
        <f t="shared" si="155"/>
        <v/>
      </c>
      <c r="AO786" s="121" t="str">
        <f>IF('Cable Info'!N490="","",CONCATENATE('Cable Info'!N490," - ",'Cable Info'!O490))</f>
        <v/>
      </c>
      <c r="AR786" s="121" t="str">
        <f t="shared" si="156"/>
        <v/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str">
        <f>IF('Cable Info'!L491="","",CONCATENATE('Cable Info'!L491," - ",'Cable Info'!M491))</f>
        <v/>
      </c>
      <c r="AM787" s="121" t="str">
        <f t="shared" si="155"/>
        <v/>
      </c>
      <c r="AO787" s="121" t="str">
        <f>IF('Cable Info'!N491="","",CONCATENATE('Cable Info'!N491," - ",'Cable Info'!O491))</f>
        <v/>
      </c>
      <c r="AR787" s="121" t="str">
        <f t="shared" si="156"/>
        <v/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str">
        <f>IF('Cable Info'!L492="","",CONCATENATE('Cable Info'!L492," - ",'Cable Info'!M492))</f>
        <v/>
      </c>
      <c r="AM788" s="121" t="str">
        <f t="shared" si="155"/>
        <v/>
      </c>
      <c r="AO788" s="121" t="str">
        <f>IF('Cable Info'!N492="","",CONCATENATE('Cable Info'!N492," - ",'Cable Info'!O492))</f>
        <v/>
      </c>
      <c r="AR788" s="121" t="str">
        <f t="shared" si="156"/>
        <v/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str">
        <f>IF('Cable Info'!L493="","",CONCATENATE('Cable Info'!L493," - ",'Cable Info'!M493))</f>
        <v/>
      </c>
      <c r="AM789" s="121" t="str">
        <f t="shared" si="155"/>
        <v/>
      </c>
      <c r="AO789" s="121" t="str">
        <f>IF('Cable Info'!N493="","",CONCATENATE('Cable Info'!N493," - ",'Cable Info'!O493))</f>
        <v/>
      </c>
      <c r="AR789" s="121" t="str">
        <f t="shared" si="156"/>
        <v/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str">
        <f>IF('Cable Info'!L494="","",CONCATENATE('Cable Info'!L494," - ",'Cable Info'!M494))</f>
        <v/>
      </c>
      <c r="AM790" s="121" t="str">
        <f t="shared" si="155"/>
        <v/>
      </c>
      <c r="AO790" s="121" t="str">
        <f>IF('Cable Info'!N494="","",CONCATENATE('Cable Info'!N494," - ",'Cable Info'!O494))</f>
        <v/>
      </c>
      <c r="AR790" s="121" t="str">
        <f t="shared" si="156"/>
        <v/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str">
        <f>IF('Cable Info'!L495="","",CONCATENATE('Cable Info'!L495," - ",'Cable Info'!M495))</f>
        <v/>
      </c>
      <c r="AM791" s="121" t="str">
        <f t="shared" si="155"/>
        <v/>
      </c>
      <c r="AO791" s="121" t="str">
        <f>IF('Cable Info'!N495="","",CONCATENATE('Cable Info'!N495," - ",'Cable Info'!O495))</f>
        <v/>
      </c>
      <c r="AR791" s="121" t="str">
        <f t="shared" si="156"/>
        <v/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str">
        <f>IF('Cable Info'!L496="","",CONCATENATE('Cable Info'!L496," - ",'Cable Info'!M496))</f>
        <v/>
      </c>
      <c r="AM792" s="121" t="str">
        <f t="shared" si="155"/>
        <v/>
      </c>
      <c r="AO792" s="121" t="str">
        <f>IF('Cable Info'!N496="","",CONCATENATE('Cable Info'!N496," - ",'Cable Info'!O496))</f>
        <v/>
      </c>
      <c r="AR792" s="121" t="str">
        <f t="shared" si="156"/>
        <v/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str">
        <f>IF('Cable Info'!L497="","",CONCATENATE('Cable Info'!L497," - ",'Cable Info'!M497))</f>
        <v/>
      </c>
      <c r="AM793" s="121" t="str">
        <f t="shared" si="155"/>
        <v/>
      </c>
      <c r="AO793" s="121" t="str">
        <f>IF('Cable Info'!N497="","",CONCATENATE('Cable Info'!N497," - ",'Cable Info'!O497))</f>
        <v/>
      </c>
      <c r="AR793" s="121" t="str">
        <f t="shared" si="156"/>
        <v/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str">
        <f>IF('Cable Info'!L498="","",CONCATENATE('Cable Info'!L498," - ",'Cable Info'!M498))</f>
        <v/>
      </c>
      <c r="AM794" s="121" t="str">
        <f t="shared" si="155"/>
        <v/>
      </c>
      <c r="AO794" s="121" t="str">
        <f>IF('Cable Info'!N498="","",CONCATENATE('Cable Info'!N498," - ",'Cable Info'!O498))</f>
        <v/>
      </c>
      <c r="AR794" s="121" t="str">
        <f t="shared" si="156"/>
        <v/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str">
        <f>IF('Cable Info'!L499="","",CONCATENATE('Cable Info'!L499," - ",'Cable Info'!M499))</f>
        <v/>
      </c>
      <c r="AM795" s="121" t="str">
        <f t="shared" si="155"/>
        <v/>
      </c>
      <c r="AO795" s="121" t="str">
        <f>IF('Cable Info'!N499="","",CONCATENATE('Cable Info'!N499," - ",'Cable Info'!O499))</f>
        <v/>
      </c>
      <c r="AR795" s="121" t="str">
        <f t="shared" si="156"/>
        <v/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str">
        <f>IF('Cable Info'!L500="","",CONCATENATE('Cable Info'!L500," - ",'Cable Info'!M500))</f>
        <v/>
      </c>
      <c r="AM796" s="121" t="str">
        <f t="shared" si="155"/>
        <v/>
      </c>
      <c r="AO796" s="121" t="str">
        <f>IF('Cable Info'!N500="","",CONCATENATE('Cable Info'!N500," - ",'Cable Info'!O500))</f>
        <v/>
      </c>
      <c r="AR796" s="121" t="str">
        <f t="shared" si="156"/>
        <v/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str">
        <f>IF('Cable Info'!L501="","",CONCATENATE('Cable Info'!L501," - ",'Cable Info'!M501))</f>
        <v/>
      </c>
      <c r="AM797" s="121" t="str">
        <f t="shared" si="155"/>
        <v/>
      </c>
      <c r="AO797" s="121" t="str">
        <f>IF('Cable Info'!N501="","",CONCATENATE('Cable Info'!N501," - ",'Cable Info'!O501))</f>
        <v/>
      </c>
      <c r="AR797" s="121" t="str">
        <f t="shared" si="156"/>
        <v/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str">
        <f>IF('Cable Info'!L502="","",CONCATENATE('Cable Info'!L502," - ",'Cable Info'!M502))</f>
        <v/>
      </c>
      <c r="AM798" s="121" t="str">
        <f t="shared" si="155"/>
        <v/>
      </c>
      <c r="AO798" s="121" t="str">
        <f>IF('Cable Info'!N502="","",CONCATENATE('Cable Info'!N502," - ",'Cable Info'!O502))</f>
        <v/>
      </c>
      <c r="AR798" s="121" t="str">
        <f t="shared" si="156"/>
        <v/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str">
        <f>IF('Cable Info'!L503="","",CONCATENATE('Cable Info'!L503," - ",'Cable Info'!M503))</f>
        <v/>
      </c>
      <c r="AM799" s="121" t="str">
        <f t="shared" si="155"/>
        <v/>
      </c>
      <c r="AO799" s="121" t="str">
        <f>IF('Cable Info'!N503="","",CONCATENATE('Cable Info'!N503," - ",'Cable Info'!O503))</f>
        <v/>
      </c>
      <c r="AR799" s="121" t="str">
        <f t="shared" si="156"/>
        <v/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str">
        <f>IF('Cable Info'!L504="","",CONCATENATE('Cable Info'!L504," - ",'Cable Info'!M504))</f>
        <v/>
      </c>
      <c r="AM800" s="121" t="str">
        <f t="shared" si="155"/>
        <v/>
      </c>
      <c r="AO800" s="121" t="str">
        <f>IF('Cable Info'!N504="","",CONCATENATE('Cable Info'!N504," - ",'Cable Info'!O504))</f>
        <v/>
      </c>
      <c r="AR800" s="121" t="str">
        <f t="shared" si="156"/>
        <v/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str">
        <f>IF('Cable Info'!L505="","",CONCATENATE('Cable Info'!L505," - ",'Cable Info'!M505))</f>
        <v/>
      </c>
      <c r="AM801" s="121" t="str">
        <f t="shared" si="155"/>
        <v/>
      </c>
      <c r="AO801" s="121" t="str">
        <f>IF('Cable Info'!N505="","",CONCATENATE('Cable Info'!N505," - ",'Cable Info'!O505))</f>
        <v/>
      </c>
      <c r="AR801" s="121" t="str">
        <f t="shared" si="156"/>
        <v/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str">
        <f>IF('Cable Info'!L506="","",CONCATENATE('Cable Info'!L506," - ",'Cable Info'!M506))</f>
        <v/>
      </c>
      <c r="AM802" s="121" t="str">
        <f t="shared" si="155"/>
        <v/>
      </c>
      <c r="AO802" s="121" t="str">
        <f>IF('Cable Info'!N506="","",CONCATENATE('Cable Info'!N506," - ",'Cable Info'!O506))</f>
        <v/>
      </c>
      <c r="AR802" s="121" t="str">
        <f t="shared" si="156"/>
        <v/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str">
        <f>IF('Cable Info'!L507="","",CONCATENATE('Cable Info'!L507," - ",'Cable Info'!M507))</f>
        <v/>
      </c>
      <c r="AM803" s="121" t="str">
        <f t="shared" si="155"/>
        <v/>
      </c>
      <c r="AO803" s="121" t="str">
        <f>IF('Cable Info'!N507="","",CONCATENATE('Cable Info'!N507," - ",'Cable Info'!O507))</f>
        <v/>
      </c>
      <c r="AR803" s="121" t="str">
        <f t="shared" si="156"/>
        <v/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str">
        <f>IF('Cable Info'!L508="","",CONCATENATE('Cable Info'!L508," - ",'Cable Info'!M508))</f>
        <v/>
      </c>
      <c r="AM804" s="121" t="str">
        <f t="shared" si="155"/>
        <v/>
      </c>
      <c r="AO804" s="121" t="str">
        <f>IF('Cable Info'!N508="","",CONCATENATE('Cable Info'!N508," - ",'Cable Info'!O508))</f>
        <v/>
      </c>
      <c r="AR804" s="121" t="str">
        <f t="shared" si="156"/>
        <v/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str">
        <f>IF('Cable Info'!L509="","",CONCATENATE('Cable Info'!L509," - ",'Cable Info'!M509))</f>
        <v/>
      </c>
      <c r="AM805" s="121" t="str">
        <f t="shared" si="155"/>
        <v/>
      </c>
      <c r="AO805" s="121" t="str">
        <f>IF('Cable Info'!N509="","",CONCATENATE('Cable Info'!N509," - ",'Cable Info'!O509))</f>
        <v/>
      </c>
      <c r="AR805" s="121" t="str">
        <f t="shared" si="156"/>
        <v/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str">
        <f>IF('Cable Info'!L510="","",CONCATENATE('Cable Info'!L510," - ",'Cable Info'!M510))</f>
        <v/>
      </c>
      <c r="AM806" s="121" t="str">
        <f t="shared" si="155"/>
        <v/>
      </c>
      <c r="AO806" s="121" t="str">
        <f>IF('Cable Info'!N510="","",CONCATENATE('Cable Info'!N510," - ",'Cable Info'!O510))</f>
        <v/>
      </c>
      <c r="AR806" s="121" t="str">
        <f t="shared" si="156"/>
        <v/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str">
        <f>IF('Cable Info'!L511="","",CONCATENATE('Cable Info'!L511," - ",'Cable Info'!M511))</f>
        <v/>
      </c>
      <c r="AM807" s="121" t="str">
        <f t="shared" si="155"/>
        <v/>
      </c>
      <c r="AO807" s="121" t="str">
        <f>IF('Cable Info'!N511="","",CONCATENATE('Cable Info'!N511," - ",'Cable Info'!O511))</f>
        <v/>
      </c>
      <c r="AR807" s="121" t="str">
        <f t="shared" si="156"/>
        <v/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str">
        <f>IF('Cable Info'!L512="","",CONCATENATE('Cable Info'!L512," - ",'Cable Info'!M512))</f>
        <v/>
      </c>
      <c r="AM808" s="121" t="str">
        <f t="shared" si="155"/>
        <v/>
      </c>
      <c r="AO808" s="121" t="str">
        <f>IF('Cable Info'!N512="","",CONCATENATE('Cable Info'!N512," - ",'Cable Info'!O512))</f>
        <v/>
      </c>
      <c r="AR808" s="121" t="str">
        <f t="shared" si="156"/>
        <v/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str">
        <f>IF('Cable Info'!L513="","",CONCATENATE('Cable Info'!L513," - ",'Cable Info'!M513))</f>
        <v/>
      </c>
      <c r="AM809" s="121" t="str">
        <f t="shared" si="155"/>
        <v/>
      </c>
      <c r="AO809" s="121" t="str">
        <f>IF('Cable Info'!N513="","",CONCATENATE('Cable Info'!N513," - ",'Cable Info'!O513))</f>
        <v/>
      </c>
      <c r="AR809" s="121" t="str">
        <f t="shared" si="156"/>
        <v/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str">
        <f>IF('Cable Info'!L514="","",CONCATENATE('Cable Info'!L514," - ",'Cable Info'!M514))</f>
        <v/>
      </c>
      <c r="AM810" s="121" t="str">
        <f t="shared" si="155"/>
        <v/>
      </c>
      <c r="AO810" s="121" t="str">
        <f>IF('Cable Info'!N514="","",CONCATENATE('Cable Info'!N514," - ",'Cable Info'!O514))</f>
        <v/>
      </c>
      <c r="AR810" s="121" t="str">
        <f t="shared" si="156"/>
        <v/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str">
        <f>IF('Cable Info'!L515="","",CONCATENATE('Cable Info'!L515," - ",'Cable Info'!M515))</f>
        <v/>
      </c>
      <c r="AM811" s="121" t="str">
        <f t="shared" ref="AM811:AM874" si="161">IF(AK811="",AJ811,CONCATENATE(AJ811,"  &lt;=&gt; ",AK811," ",AL811))</f>
        <v/>
      </c>
      <c r="AO811" s="121" t="str">
        <f>IF('Cable Info'!N515="","",CONCATENATE('Cable Info'!N515," - ",'Cable Info'!O515))</f>
        <v/>
      </c>
      <c r="AR811" s="121" t="str">
        <f t="shared" ref="AR811:AR874" si="162">IF(AP811="",AO811,CONCATENATE(AO811,"  &lt;=&gt; ",AP811," ",AQ811))</f>
        <v/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str">
        <f>IF('Cable Info'!L516="","",CONCATENATE('Cable Info'!L516," - ",'Cable Info'!M516))</f>
        <v/>
      </c>
      <c r="AM812" s="121" t="str">
        <f t="shared" si="161"/>
        <v/>
      </c>
      <c r="AO812" s="121" t="str">
        <f>IF('Cable Info'!N516="","",CONCATENATE('Cable Info'!N516," - ",'Cable Info'!O516))</f>
        <v/>
      </c>
      <c r="AR812" s="121" t="str">
        <f t="shared" si="162"/>
        <v/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str">
        <f>IF('Cable Info'!L517="","",CONCATENATE('Cable Info'!L517," - ",'Cable Info'!M517))</f>
        <v/>
      </c>
      <c r="AM813" s="121" t="str">
        <f t="shared" si="161"/>
        <v/>
      </c>
      <c r="AO813" s="121" t="str">
        <f>IF('Cable Info'!N517="","",CONCATENATE('Cable Info'!N517," - ",'Cable Info'!O517))</f>
        <v/>
      </c>
      <c r="AR813" s="121" t="str">
        <f t="shared" si="162"/>
        <v/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str">
        <f>IF('Cable Info'!L518="","",CONCATENATE('Cable Info'!L518," - ",'Cable Info'!M518))</f>
        <v/>
      </c>
      <c r="AM814" s="121" t="str">
        <f t="shared" si="161"/>
        <v/>
      </c>
      <c r="AO814" s="121" t="str">
        <f>IF('Cable Info'!N518="","",CONCATENATE('Cable Info'!N518," - ",'Cable Info'!O518))</f>
        <v/>
      </c>
      <c r="AR814" s="121" t="str">
        <f t="shared" si="162"/>
        <v/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str">
        <f>IF('Cable Info'!L519="","",CONCATENATE('Cable Info'!L519," - ",'Cable Info'!M519))</f>
        <v/>
      </c>
      <c r="AM815" s="121" t="str">
        <f t="shared" si="161"/>
        <v/>
      </c>
      <c r="AO815" s="121" t="str">
        <f>IF('Cable Info'!N519="","",CONCATENATE('Cable Info'!N519," - ",'Cable Info'!O519))</f>
        <v/>
      </c>
      <c r="AR815" s="121" t="str">
        <f t="shared" si="162"/>
        <v/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str">
        <f>IF('Cable Info'!L520="","",CONCATENATE('Cable Info'!L520," - ",'Cable Info'!M520))</f>
        <v/>
      </c>
      <c r="AM816" s="121" t="str">
        <f t="shared" si="161"/>
        <v/>
      </c>
      <c r="AO816" s="121" t="str">
        <f>IF('Cable Info'!N520="","",CONCATENATE('Cable Info'!N520," - ",'Cable Info'!O520))</f>
        <v/>
      </c>
      <c r="AR816" s="121" t="str">
        <f t="shared" si="162"/>
        <v/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str">
        <f>IF('Cable Info'!L521="","",CONCATENATE('Cable Info'!L521," - ",'Cable Info'!M521))</f>
        <v/>
      </c>
      <c r="AM817" s="121" t="str">
        <f t="shared" si="161"/>
        <v/>
      </c>
      <c r="AO817" s="121" t="str">
        <f>IF('Cable Info'!N521="","",CONCATENATE('Cable Info'!N521," - ",'Cable Info'!O521))</f>
        <v/>
      </c>
      <c r="AR817" s="121" t="str">
        <f t="shared" si="162"/>
        <v/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str">
        <f>IF('Cable Info'!L522="","",CONCATENATE('Cable Info'!L522," - ",'Cable Info'!M522))</f>
        <v/>
      </c>
      <c r="AM818" s="121" t="str">
        <f t="shared" si="161"/>
        <v/>
      </c>
      <c r="AO818" s="121" t="str">
        <f>IF('Cable Info'!N522="","",CONCATENATE('Cable Info'!N522," - ",'Cable Info'!O522))</f>
        <v/>
      </c>
      <c r="AR818" s="121" t="str">
        <f t="shared" si="162"/>
        <v/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str">
        <f>IF('Cable Info'!L523="","",CONCATENATE('Cable Info'!L523," - ",'Cable Info'!M523))</f>
        <v/>
      </c>
      <c r="AM819" s="121" t="str">
        <f t="shared" si="161"/>
        <v/>
      </c>
      <c r="AO819" s="121" t="str">
        <f>IF('Cable Info'!N523="","",CONCATENATE('Cable Info'!N523," - ",'Cable Info'!O523))</f>
        <v/>
      </c>
      <c r="AR819" s="121" t="str">
        <f t="shared" si="162"/>
        <v/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str">
        <f>IF('Cable Info'!L524="","",CONCATENATE('Cable Info'!L524," - ",'Cable Info'!M524))</f>
        <v/>
      </c>
      <c r="AM820" s="121" t="str">
        <f t="shared" si="161"/>
        <v/>
      </c>
      <c r="AO820" s="121" t="str">
        <f>IF('Cable Info'!N524="","",CONCATENATE('Cable Info'!N524," - ",'Cable Info'!O524))</f>
        <v/>
      </c>
      <c r="AR820" s="121" t="str">
        <f t="shared" si="162"/>
        <v/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str">
        <f>IF('Cable Info'!L525="","",CONCATENATE('Cable Info'!L525," - ",'Cable Info'!M525))</f>
        <v/>
      </c>
      <c r="AM821" s="121" t="str">
        <f t="shared" si="161"/>
        <v/>
      </c>
      <c r="AO821" s="121" t="str">
        <f>IF('Cable Info'!N525="","",CONCATENATE('Cable Info'!N525," - ",'Cable Info'!O525))</f>
        <v/>
      </c>
      <c r="AR821" s="121" t="str">
        <f t="shared" si="162"/>
        <v/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str">
        <f>IF('Cable Info'!L526="","",CONCATENATE('Cable Info'!L526," - ",'Cable Info'!M526))</f>
        <v/>
      </c>
      <c r="AM822" s="121" t="str">
        <f t="shared" si="161"/>
        <v/>
      </c>
      <c r="AO822" s="121" t="str">
        <f>IF('Cable Info'!N526="","",CONCATENATE('Cable Info'!N526," - ",'Cable Info'!O526))</f>
        <v/>
      </c>
      <c r="AR822" s="121" t="str">
        <f t="shared" si="162"/>
        <v/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str">
        <f>IF('Cable Info'!L527="","",CONCATENATE('Cable Info'!L527," - ",'Cable Info'!M527))</f>
        <v/>
      </c>
      <c r="AM823" s="121" t="str">
        <f t="shared" si="161"/>
        <v/>
      </c>
      <c r="AO823" s="121" t="str">
        <f>IF('Cable Info'!N527="","",CONCATENATE('Cable Info'!N527," - ",'Cable Info'!O527))</f>
        <v/>
      </c>
      <c r="AR823" s="121" t="str">
        <f t="shared" si="162"/>
        <v/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str">
        <f>IF('Cable Info'!L528="","",CONCATENATE('Cable Info'!L528," - ",'Cable Info'!M528))</f>
        <v/>
      </c>
      <c r="AM824" s="121" t="str">
        <f t="shared" si="161"/>
        <v/>
      </c>
      <c r="AO824" s="121" t="str">
        <f>IF('Cable Info'!N528="","",CONCATENATE('Cable Info'!N528," - ",'Cable Info'!O528))</f>
        <v/>
      </c>
      <c r="AR824" s="121" t="str">
        <f t="shared" si="162"/>
        <v/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str">
        <f>IF('Cable Info'!L529="","",CONCATENATE('Cable Info'!L529," - ",'Cable Info'!M529))</f>
        <v/>
      </c>
      <c r="AM825" s="121" t="str">
        <f t="shared" si="161"/>
        <v/>
      </c>
      <c r="AO825" s="121" t="str">
        <f>IF('Cable Info'!N529="","",CONCATENATE('Cable Info'!N529," - ",'Cable Info'!O529))</f>
        <v/>
      </c>
      <c r="AR825" s="121" t="str">
        <f t="shared" si="162"/>
        <v/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str">
        <f>IF('Cable Info'!L530="","",CONCATENATE('Cable Info'!L530," - ",'Cable Info'!M530))</f>
        <v/>
      </c>
      <c r="AM826" s="121" t="str">
        <f t="shared" si="161"/>
        <v/>
      </c>
      <c r="AO826" s="121" t="str">
        <f>IF('Cable Info'!N530="","",CONCATENATE('Cable Info'!N530," - ",'Cable Info'!O530))</f>
        <v/>
      </c>
      <c r="AR826" s="121" t="str">
        <f t="shared" si="162"/>
        <v/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str">
        <f>IF('Cable Info'!L531="","",CONCATENATE('Cable Info'!L531," - ",'Cable Info'!M531))</f>
        <v/>
      </c>
      <c r="AM827" s="121" t="str">
        <f t="shared" si="161"/>
        <v/>
      </c>
      <c r="AO827" s="121" t="str">
        <f>IF('Cable Info'!N531="","",CONCATENATE('Cable Info'!N531," - ",'Cable Info'!O531))</f>
        <v/>
      </c>
      <c r="AR827" s="121" t="str">
        <f t="shared" si="162"/>
        <v/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str">
        <f>IF('Cable Info'!L532="","",CONCATENATE('Cable Info'!L532," - ",'Cable Info'!M532))</f>
        <v/>
      </c>
      <c r="AM828" s="121" t="str">
        <f t="shared" si="161"/>
        <v/>
      </c>
      <c r="AO828" s="121" t="str">
        <f>IF('Cable Info'!N532="","",CONCATENATE('Cable Info'!N532," - ",'Cable Info'!O532))</f>
        <v/>
      </c>
      <c r="AR828" s="121" t="str">
        <f t="shared" si="162"/>
        <v/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str">
        <f>IF('Cable Info'!L533="","",CONCATENATE('Cable Info'!L533," - ",'Cable Info'!M533))</f>
        <v/>
      </c>
      <c r="AM829" s="121" t="str">
        <f t="shared" si="161"/>
        <v/>
      </c>
      <c r="AO829" s="121" t="str">
        <f>IF('Cable Info'!N533="","",CONCATENATE('Cable Info'!N533," - ",'Cable Info'!O533))</f>
        <v/>
      </c>
      <c r="AR829" s="121" t="str">
        <f t="shared" si="162"/>
        <v/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str">
        <f>IF('Cable Info'!L534="","",CONCATENATE('Cable Info'!L534," - ",'Cable Info'!M534))</f>
        <v/>
      </c>
      <c r="AM830" s="121" t="str">
        <f t="shared" si="161"/>
        <v/>
      </c>
      <c r="AO830" s="121" t="str">
        <f>IF('Cable Info'!N534="","",CONCATENATE('Cable Info'!N534," - ",'Cable Info'!O534))</f>
        <v/>
      </c>
      <c r="AR830" s="121" t="str">
        <f t="shared" si="162"/>
        <v/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str">
        <f>IF('Cable Info'!L535="","",CONCATENATE('Cable Info'!L535," - ",'Cable Info'!M535))</f>
        <v/>
      </c>
      <c r="AM831" s="121" t="str">
        <f t="shared" si="161"/>
        <v/>
      </c>
      <c r="AO831" s="121" t="str">
        <f>IF('Cable Info'!N535="","",CONCATENATE('Cable Info'!N535," - ",'Cable Info'!O535))</f>
        <v/>
      </c>
      <c r="AR831" s="121" t="str">
        <f t="shared" si="162"/>
        <v/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str">
        <f>IF('Cable Info'!L536="","",CONCATENATE('Cable Info'!L536," - ",'Cable Info'!M536))</f>
        <v/>
      </c>
      <c r="AM832" s="121" t="str">
        <f t="shared" si="161"/>
        <v/>
      </c>
      <c r="AO832" s="121" t="str">
        <f>IF('Cable Info'!N536="","",CONCATENATE('Cable Info'!N536," - ",'Cable Info'!O536))</f>
        <v/>
      </c>
      <c r="AR832" s="121" t="str">
        <f t="shared" si="162"/>
        <v/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str">
        <f>IF('Cable Info'!L537="","",CONCATENATE('Cable Info'!L537," - ",'Cable Info'!M537))</f>
        <v/>
      </c>
      <c r="AM833" s="121" t="str">
        <f t="shared" si="161"/>
        <v/>
      </c>
      <c r="AO833" s="121" t="str">
        <f>IF('Cable Info'!N537="","",CONCATENATE('Cable Info'!N537," - ",'Cable Info'!O537))</f>
        <v/>
      </c>
      <c r="AR833" s="121" t="str">
        <f t="shared" si="162"/>
        <v/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str">
        <f>IF('Cable Info'!L538="","",CONCATENATE('Cable Info'!L538," - ",'Cable Info'!M538))</f>
        <v/>
      </c>
      <c r="AM834" s="121" t="str">
        <f t="shared" si="161"/>
        <v/>
      </c>
      <c r="AO834" s="121" t="str">
        <f>IF('Cable Info'!N538="","",CONCATENATE('Cable Info'!N538," - ",'Cable Info'!O538))</f>
        <v/>
      </c>
      <c r="AR834" s="121" t="str">
        <f t="shared" si="162"/>
        <v/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str">
        <f>IF('Cable Info'!L539="","",CONCATENATE('Cable Info'!L539," - ",'Cable Info'!M539))</f>
        <v/>
      </c>
      <c r="AM835" s="121" t="str">
        <f t="shared" si="161"/>
        <v/>
      </c>
      <c r="AO835" s="121" t="str">
        <f>IF('Cable Info'!N539="","",CONCATENATE('Cable Info'!N539," - ",'Cable Info'!O539))</f>
        <v/>
      </c>
      <c r="AR835" s="121" t="str">
        <f t="shared" si="162"/>
        <v/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str">
        <f>IF('Cable Info'!L540="","",CONCATENATE('Cable Info'!L540," - ",'Cable Info'!M540))</f>
        <v/>
      </c>
      <c r="AM836" s="121" t="str">
        <f t="shared" si="161"/>
        <v/>
      </c>
      <c r="AO836" s="121" t="str">
        <f>IF('Cable Info'!N540="","",CONCATENATE('Cable Info'!N540," - ",'Cable Info'!O540))</f>
        <v/>
      </c>
      <c r="AR836" s="121" t="str">
        <f t="shared" si="162"/>
        <v/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str">
        <f>IF('Cable Info'!L541="","",CONCATENATE('Cable Info'!L541," - ",'Cable Info'!M541))</f>
        <v/>
      </c>
      <c r="AM837" s="121" t="str">
        <f t="shared" si="161"/>
        <v/>
      </c>
      <c r="AO837" s="121" t="str">
        <f>IF('Cable Info'!N541="","",CONCATENATE('Cable Info'!N541," - ",'Cable Info'!O541))</f>
        <v/>
      </c>
      <c r="AR837" s="121" t="str">
        <f t="shared" si="162"/>
        <v/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str">
        <f>IF('Cable Info'!L542="","",CONCATENATE('Cable Info'!L542," - ",'Cable Info'!M542))</f>
        <v/>
      </c>
      <c r="AM838" s="121" t="str">
        <f t="shared" si="161"/>
        <v/>
      </c>
      <c r="AO838" s="121" t="str">
        <f>IF('Cable Info'!N542="","",CONCATENATE('Cable Info'!N542," - ",'Cable Info'!O542))</f>
        <v/>
      </c>
      <c r="AR838" s="121" t="str">
        <f t="shared" si="162"/>
        <v/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str">
        <f>IF('Cable Info'!L543="","",CONCATENATE('Cable Info'!L543," - ",'Cable Info'!M543))</f>
        <v/>
      </c>
      <c r="AM839" s="121" t="str">
        <f t="shared" si="161"/>
        <v/>
      </c>
      <c r="AO839" s="121" t="str">
        <f>IF('Cable Info'!N543="","",CONCATENATE('Cable Info'!N543," - ",'Cable Info'!O543))</f>
        <v/>
      </c>
      <c r="AR839" s="121" t="str">
        <f t="shared" si="162"/>
        <v/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str">
        <f>IF('Cable Info'!L544="","",CONCATENATE('Cable Info'!L544," - ",'Cable Info'!M544))</f>
        <v/>
      </c>
      <c r="AM840" s="121" t="str">
        <f t="shared" si="161"/>
        <v/>
      </c>
      <c r="AO840" s="121" t="str">
        <f>IF('Cable Info'!N544="","",CONCATENATE('Cable Info'!N544," - ",'Cable Info'!O544))</f>
        <v/>
      </c>
      <c r="AR840" s="121" t="str">
        <f t="shared" si="162"/>
        <v/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str">
        <f>IF('Cable Info'!L545="","",CONCATENATE('Cable Info'!L545," - ",'Cable Info'!M545))</f>
        <v/>
      </c>
      <c r="AM841" s="121" t="str">
        <f t="shared" si="161"/>
        <v/>
      </c>
      <c r="AO841" s="121" t="str">
        <f>IF('Cable Info'!N545="","",CONCATENATE('Cable Info'!N545," - ",'Cable Info'!O545))</f>
        <v/>
      </c>
      <c r="AR841" s="121" t="str">
        <f t="shared" si="162"/>
        <v/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str">
        <f>IF('Cable Info'!L546="","",CONCATENATE('Cable Info'!L546," - ",'Cable Info'!M546))</f>
        <v/>
      </c>
      <c r="AM842" s="121" t="str">
        <f t="shared" si="161"/>
        <v/>
      </c>
      <c r="AO842" s="121" t="str">
        <f>IF('Cable Info'!N546="","",CONCATENATE('Cable Info'!N546," - ",'Cable Info'!O546))</f>
        <v/>
      </c>
      <c r="AR842" s="121" t="str">
        <f t="shared" si="162"/>
        <v/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str">
        <f>IF('Cable Info'!L547="","",CONCATENATE('Cable Info'!L547," - ",'Cable Info'!M547))</f>
        <v/>
      </c>
      <c r="AM843" s="121" t="str">
        <f t="shared" si="161"/>
        <v/>
      </c>
      <c r="AO843" s="121" t="str">
        <f>IF('Cable Info'!N547="","",CONCATENATE('Cable Info'!N547," - ",'Cable Info'!O547))</f>
        <v/>
      </c>
      <c r="AR843" s="121" t="str">
        <f t="shared" si="162"/>
        <v/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str">
        <f>IF('Cable Info'!L548="","",CONCATENATE('Cable Info'!L548," - ",'Cable Info'!M548))</f>
        <v/>
      </c>
      <c r="AM844" s="121" t="str">
        <f t="shared" si="161"/>
        <v/>
      </c>
      <c r="AO844" s="121" t="str">
        <f>IF('Cable Info'!N548="","",CONCATENATE('Cable Info'!N548," - ",'Cable Info'!O548))</f>
        <v/>
      </c>
      <c r="AR844" s="121" t="str">
        <f t="shared" si="162"/>
        <v/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str">
        <f>IF('Cable Info'!L549="","",CONCATENATE('Cable Info'!L549," - ",'Cable Info'!M549))</f>
        <v/>
      </c>
      <c r="AM845" s="121" t="str">
        <f t="shared" si="161"/>
        <v/>
      </c>
      <c r="AO845" s="121" t="str">
        <f>IF('Cable Info'!N549="","",CONCATENATE('Cable Info'!N549," - ",'Cable Info'!O549))</f>
        <v/>
      </c>
      <c r="AR845" s="121" t="str">
        <f t="shared" si="162"/>
        <v/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str">
        <f>IF('Cable Info'!L550="","",CONCATENATE('Cable Info'!L550," - ",'Cable Info'!M550))</f>
        <v/>
      </c>
      <c r="AM846" s="121" t="str">
        <f t="shared" si="161"/>
        <v/>
      </c>
      <c r="AO846" s="121" t="str">
        <f>IF('Cable Info'!N550="","",CONCATENATE('Cable Info'!N550," - ",'Cable Info'!O550))</f>
        <v/>
      </c>
      <c r="AR846" s="121" t="str">
        <f t="shared" si="162"/>
        <v/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str">
        <f>IF('Cable Info'!L551="","",CONCATENATE('Cable Info'!L551," - ",'Cable Info'!M551))</f>
        <v/>
      </c>
      <c r="AM847" s="121" t="str">
        <f t="shared" si="161"/>
        <v/>
      </c>
      <c r="AO847" s="121" t="str">
        <f>IF('Cable Info'!N551="","",CONCATENATE('Cable Info'!N551," - ",'Cable Info'!O551))</f>
        <v/>
      </c>
      <c r="AR847" s="121" t="str">
        <f t="shared" si="162"/>
        <v/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str">
        <f>IF('Cable Info'!L552="","",CONCATENATE('Cable Info'!L552," - ",'Cable Info'!M552))</f>
        <v/>
      </c>
      <c r="AM848" s="121" t="str">
        <f t="shared" si="161"/>
        <v/>
      </c>
      <c r="AO848" s="121" t="str">
        <f>IF('Cable Info'!N552="","",CONCATENATE('Cable Info'!N552," - ",'Cable Info'!O552))</f>
        <v/>
      </c>
      <c r="AR848" s="121" t="str">
        <f t="shared" si="162"/>
        <v/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str">
        <f>IF('Cable Info'!L553="","",CONCATENATE('Cable Info'!L553," - ",'Cable Info'!M553))</f>
        <v/>
      </c>
      <c r="AM849" s="121" t="str">
        <f t="shared" si="161"/>
        <v/>
      </c>
      <c r="AO849" s="121" t="str">
        <f>IF('Cable Info'!N553="","",CONCATENATE('Cable Info'!N553," - ",'Cable Info'!O553))</f>
        <v/>
      </c>
      <c r="AR849" s="121" t="str">
        <f t="shared" si="162"/>
        <v/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str">
        <f>IF('Cable Info'!L554="","",CONCATENATE('Cable Info'!L554," - ",'Cable Info'!M554))</f>
        <v/>
      </c>
      <c r="AM850" s="121" t="str">
        <f t="shared" si="161"/>
        <v/>
      </c>
      <c r="AO850" s="121" t="str">
        <f>IF('Cable Info'!N554="","",CONCATENATE('Cable Info'!N554," - ",'Cable Info'!O554))</f>
        <v/>
      </c>
      <c r="AR850" s="121" t="str">
        <f t="shared" si="162"/>
        <v/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str">
        <f>IF('Cable Info'!L555="","",CONCATENATE('Cable Info'!L555," - ",'Cable Info'!M555))</f>
        <v/>
      </c>
      <c r="AM851" s="121" t="str">
        <f t="shared" si="161"/>
        <v/>
      </c>
      <c r="AO851" s="121" t="str">
        <f>IF('Cable Info'!N555="","",CONCATENATE('Cable Info'!N555," - ",'Cable Info'!O555))</f>
        <v/>
      </c>
      <c r="AR851" s="121" t="str">
        <f t="shared" si="162"/>
        <v/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str">
        <f>IF('Cable Info'!L556="","",CONCATENATE('Cable Info'!L556," - ",'Cable Info'!M556))</f>
        <v/>
      </c>
      <c r="AM852" s="121" t="str">
        <f t="shared" si="161"/>
        <v/>
      </c>
      <c r="AO852" s="121" t="str">
        <f>IF('Cable Info'!N556="","",CONCATENATE('Cable Info'!N556," - ",'Cable Info'!O556))</f>
        <v/>
      </c>
      <c r="AR852" s="121" t="str">
        <f t="shared" si="162"/>
        <v/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str">
        <f>IF('Cable Info'!L557="","",CONCATENATE('Cable Info'!L557," - ",'Cable Info'!M557))</f>
        <v/>
      </c>
      <c r="AM853" s="121" t="str">
        <f t="shared" si="161"/>
        <v/>
      </c>
      <c r="AO853" s="121" t="str">
        <f>IF('Cable Info'!N557="","",CONCATENATE('Cable Info'!N557," - ",'Cable Info'!O557))</f>
        <v/>
      </c>
      <c r="AR853" s="121" t="str">
        <f t="shared" si="162"/>
        <v/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str">
        <f>IF('Cable Info'!L558="","",CONCATENATE('Cable Info'!L558," - ",'Cable Info'!M558))</f>
        <v/>
      </c>
      <c r="AM854" s="121" t="str">
        <f t="shared" si="161"/>
        <v/>
      </c>
      <c r="AO854" s="121" t="str">
        <f>IF('Cable Info'!N558="","",CONCATENATE('Cable Info'!N558," - ",'Cable Info'!O558))</f>
        <v/>
      </c>
      <c r="AR854" s="121" t="str">
        <f t="shared" si="162"/>
        <v/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str">
        <f>IF('Cable Info'!L559="","",CONCATENATE('Cable Info'!L559," - ",'Cable Info'!M559))</f>
        <v/>
      </c>
      <c r="AM855" s="121" t="str">
        <f t="shared" si="161"/>
        <v/>
      </c>
      <c r="AO855" s="121" t="str">
        <f>IF('Cable Info'!N559="","",CONCATENATE('Cable Info'!N559," - ",'Cable Info'!O559))</f>
        <v/>
      </c>
      <c r="AR855" s="121" t="str">
        <f t="shared" si="162"/>
        <v/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str">
        <f>IF('Cable Info'!L560="","",CONCATENATE('Cable Info'!L560," - ",'Cable Info'!M560))</f>
        <v/>
      </c>
      <c r="AM856" s="121" t="str">
        <f t="shared" si="161"/>
        <v/>
      </c>
      <c r="AO856" s="121" t="str">
        <f>IF('Cable Info'!N560="","",CONCATENATE('Cable Info'!N560," - ",'Cable Info'!O560))</f>
        <v/>
      </c>
      <c r="AR856" s="121" t="str">
        <f t="shared" si="162"/>
        <v/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str">
        <f>IF('Cable Info'!L561="","",CONCATENATE('Cable Info'!L561," - ",'Cable Info'!M561))</f>
        <v/>
      </c>
      <c r="AM857" s="121" t="str">
        <f t="shared" si="161"/>
        <v/>
      </c>
      <c r="AO857" s="121" t="str">
        <f>IF('Cable Info'!N561="","",CONCATENATE('Cable Info'!N561," - ",'Cable Info'!O561))</f>
        <v/>
      </c>
      <c r="AR857" s="121" t="str">
        <f t="shared" si="162"/>
        <v/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str">
        <f>IF('Cable Info'!L562="","",CONCATENATE('Cable Info'!L562," - ",'Cable Info'!M562))</f>
        <v/>
      </c>
      <c r="AM858" s="121" t="str">
        <f t="shared" si="161"/>
        <v/>
      </c>
      <c r="AO858" s="121" t="str">
        <f>IF('Cable Info'!N562="","",CONCATENATE('Cable Info'!N562," - ",'Cable Info'!O562))</f>
        <v/>
      </c>
      <c r="AR858" s="121" t="str">
        <f t="shared" si="162"/>
        <v/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str">
        <f>IF('Cable Info'!L563="","",CONCATENATE('Cable Info'!L563," - ",'Cable Info'!M563))</f>
        <v/>
      </c>
      <c r="AM859" s="121" t="str">
        <f t="shared" si="161"/>
        <v/>
      </c>
      <c r="AO859" s="121" t="str">
        <f>IF('Cable Info'!N563="","",CONCATENATE('Cable Info'!N563," - ",'Cable Info'!O563))</f>
        <v/>
      </c>
      <c r="AR859" s="121" t="str">
        <f t="shared" si="162"/>
        <v/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str">
        <f>IF('Cable Info'!L564="","",CONCATENATE('Cable Info'!L564," - ",'Cable Info'!M564))</f>
        <v/>
      </c>
      <c r="AM860" s="121" t="str">
        <f t="shared" si="161"/>
        <v/>
      </c>
      <c r="AO860" s="121" t="str">
        <f>IF('Cable Info'!N564="","",CONCATENATE('Cable Info'!N564," - ",'Cable Info'!O564))</f>
        <v/>
      </c>
      <c r="AR860" s="121" t="str">
        <f t="shared" si="162"/>
        <v/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str">
        <f>IF('Cable Info'!L565="","",CONCATENATE('Cable Info'!L565," - ",'Cable Info'!M565))</f>
        <v/>
      </c>
      <c r="AM861" s="121" t="str">
        <f t="shared" si="161"/>
        <v/>
      </c>
      <c r="AO861" s="121" t="str">
        <f>IF('Cable Info'!N565="","",CONCATENATE('Cable Info'!N565," - ",'Cable Info'!O565))</f>
        <v/>
      </c>
      <c r="AR861" s="121" t="str">
        <f t="shared" si="162"/>
        <v/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str">
        <f>IF('Cable Info'!L566="","",CONCATENATE('Cable Info'!L566," - ",'Cable Info'!M566))</f>
        <v/>
      </c>
      <c r="AM862" s="121" t="str">
        <f t="shared" si="161"/>
        <v/>
      </c>
      <c r="AO862" s="121" t="str">
        <f>IF('Cable Info'!N566="","",CONCATENATE('Cable Info'!N566," - ",'Cable Info'!O566))</f>
        <v/>
      </c>
      <c r="AR862" s="121" t="str">
        <f t="shared" si="162"/>
        <v/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str">
        <f>IF('Cable Info'!L567="","",CONCATENATE('Cable Info'!L567," - ",'Cable Info'!M567))</f>
        <v/>
      </c>
      <c r="AM863" s="121" t="str">
        <f t="shared" si="161"/>
        <v/>
      </c>
      <c r="AO863" s="121" t="str">
        <f>IF('Cable Info'!N567="","",CONCATENATE('Cable Info'!N567," - ",'Cable Info'!O567))</f>
        <v/>
      </c>
      <c r="AR863" s="121" t="str">
        <f t="shared" si="162"/>
        <v/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str">
        <f>IF('Cable Info'!L568="","",CONCATENATE('Cable Info'!L568," - ",'Cable Info'!M568))</f>
        <v/>
      </c>
      <c r="AM864" s="121" t="str">
        <f t="shared" si="161"/>
        <v/>
      </c>
      <c r="AO864" s="121" t="str">
        <f>IF('Cable Info'!N568="","",CONCATENATE('Cable Info'!N568," - ",'Cable Info'!O568))</f>
        <v/>
      </c>
      <c r="AR864" s="121" t="str">
        <f t="shared" si="162"/>
        <v/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str">
        <f>IF('Cable Info'!L569="","",CONCATENATE('Cable Info'!L569," - ",'Cable Info'!M569))</f>
        <v/>
      </c>
      <c r="AM865" s="121" t="str">
        <f t="shared" si="161"/>
        <v/>
      </c>
      <c r="AO865" s="121" t="str">
        <f>IF('Cable Info'!N569="","",CONCATENATE('Cable Info'!N569," - ",'Cable Info'!O569))</f>
        <v/>
      </c>
      <c r="AR865" s="121" t="str">
        <f t="shared" si="162"/>
        <v/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str">
        <f>IF('Cable Info'!L570="","",CONCATENATE('Cable Info'!L570," - ",'Cable Info'!M570))</f>
        <v/>
      </c>
      <c r="AM866" s="121" t="str">
        <f t="shared" si="161"/>
        <v/>
      </c>
      <c r="AO866" s="121" t="str">
        <f>IF('Cable Info'!N570="","",CONCATENATE('Cable Info'!N570," - ",'Cable Info'!O570))</f>
        <v/>
      </c>
      <c r="AR866" s="121" t="str">
        <f t="shared" si="162"/>
        <v/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str">
        <f>IF('Cable Info'!L571="","",CONCATENATE('Cable Info'!L571," - ",'Cable Info'!M571))</f>
        <v/>
      </c>
      <c r="AM867" s="121" t="str">
        <f t="shared" si="161"/>
        <v/>
      </c>
      <c r="AO867" s="121" t="str">
        <f>IF('Cable Info'!N571="","",CONCATENATE('Cable Info'!N571," - ",'Cable Info'!O571))</f>
        <v/>
      </c>
      <c r="AR867" s="121" t="str">
        <f t="shared" si="162"/>
        <v/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str">
        <f>IF('Cable Info'!L572="","",CONCATENATE('Cable Info'!L572," - ",'Cable Info'!M572))</f>
        <v/>
      </c>
      <c r="AM868" s="121" t="str">
        <f t="shared" si="161"/>
        <v/>
      </c>
      <c r="AO868" s="121" t="str">
        <f>IF('Cable Info'!N572="","",CONCATENATE('Cable Info'!N572," - ",'Cable Info'!O572))</f>
        <v/>
      </c>
      <c r="AR868" s="121" t="str">
        <f t="shared" si="162"/>
        <v/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str">
        <f>IF('Cable Info'!L573="","",CONCATENATE('Cable Info'!L573," - ",'Cable Info'!M573))</f>
        <v/>
      </c>
      <c r="AM869" s="121" t="str">
        <f t="shared" si="161"/>
        <v/>
      </c>
      <c r="AO869" s="121" t="str">
        <f>IF('Cable Info'!N573="","",CONCATENATE('Cable Info'!N573," - ",'Cable Info'!O573))</f>
        <v/>
      </c>
      <c r="AR869" s="121" t="str">
        <f t="shared" si="162"/>
        <v/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str">
        <f>IF('Cable Info'!L574="","",CONCATENATE('Cable Info'!L574," - ",'Cable Info'!M574))</f>
        <v/>
      </c>
      <c r="AM870" s="121" t="str">
        <f t="shared" si="161"/>
        <v/>
      </c>
      <c r="AO870" s="121" t="str">
        <f>IF('Cable Info'!N574="","",CONCATENATE('Cable Info'!N574," - ",'Cable Info'!O574))</f>
        <v/>
      </c>
      <c r="AR870" s="121" t="str">
        <f t="shared" si="162"/>
        <v/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str">
        <f>IF('Cable Info'!L575="","",CONCATENATE('Cable Info'!L575," - ",'Cable Info'!M575))</f>
        <v/>
      </c>
      <c r="AM871" s="121" t="str">
        <f t="shared" si="161"/>
        <v/>
      </c>
      <c r="AO871" s="121" t="str">
        <f>IF('Cable Info'!N575="","",CONCATENATE('Cable Info'!N575," - ",'Cable Info'!O575))</f>
        <v/>
      </c>
      <c r="AR871" s="121" t="str">
        <f t="shared" si="162"/>
        <v/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str">
        <f>IF('Cable Info'!L576="","",CONCATENATE('Cable Info'!L576," - ",'Cable Info'!M576))</f>
        <v/>
      </c>
      <c r="AM872" s="121" t="str">
        <f t="shared" si="161"/>
        <v/>
      </c>
      <c r="AO872" s="121" t="str">
        <f>IF('Cable Info'!N576="","",CONCATENATE('Cable Info'!N576," - ",'Cable Info'!O576))</f>
        <v/>
      </c>
      <c r="AR872" s="121" t="str">
        <f t="shared" si="162"/>
        <v/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str">
        <f>IF('Cable Info'!L577="","",CONCATENATE('Cable Info'!L577," - ",'Cable Info'!M577))</f>
        <v/>
      </c>
      <c r="AM873" s="121" t="str">
        <f t="shared" si="161"/>
        <v/>
      </c>
      <c r="AO873" s="121" t="str">
        <f>IF('Cable Info'!N577="","",CONCATENATE('Cable Info'!N577," - ",'Cable Info'!O577))</f>
        <v/>
      </c>
      <c r="AR873" s="121" t="str">
        <f t="shared" si="162"/>
        <v/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str">
        <f>IF('Cable Info'!L578="","",CONCATENATE('Cable Info'!L578," - ",'Cable Info'!M578))</f>
        <v/>
      </c>
      <c r="AM874" s="121" t="str">
        <f t="shared" si="161"/>
        <v/>
      </c>
      <c r="AO874" s="121" t="str">
        <f>IF('Cable Info'!N578="","",CONCATENATE('Cable Info'!N578," - ",'Cable Info'!O578))</f>
        <v/>
      </c>
      <c r="AR874" s="121" t="str">
        <f t="shared" si="162"/>
        <v/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str">
        <f>IF('Cable Info'!L579="","",CONCATENATE('Cable Info'!L579," - ",'Cable Info'!M579))</f>
        <v/>
      </c>
      <c r="AM875" s="121" t="str">
        <f t="shared" ref="AM875:AM938" si="167">IF(AK875="",AJ875,CONCATENATE(AJ875,"  &lt;=&gt; ",AK875," ",AL875))</f>
        <v/>
      </c>
      <c r="AO875" s="121" t="str">
        <f>IF('Cable Info'!N579="","",CONCATENATE('Cable Info'!N579," - ",'Cable Info'!O579))</f>
        <v/>
      </c>
      <c r="AR875" s="121" t="str">
        <f t="shared" ref="AR875:AR938" si="168">IF(AP875="",AO875,CONCATENATE(AO875,"  &lt;=&gt; ",AP875," ",AQ875))</f>
        <v/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str">
        <f>IF('Cable Info'!L580="","",CONCATENATE('Cable Info'!L580," - ",'Cable Info'!M580))</f>
        <v/>
      </c>
      <c r="AM876" s="121" t="str">
        <f t="shared" si="167"/>
        <v/>
      </c>
      <c r="AO876" s="121" t="str">
        <f>IF('Cable Info'!N580="","",CONCATENATE('Cable Info'!N580," - ",'Cable Info'!O580))</f>
        <v/>
      </c>
      <c r="AR876" s="121" t="str">
        <f t="shared" si="168"/>
        <v/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str">
        <f>IF('Cable Info'!L581="","",CONCATENATE('Cable Info'!L581," - ",'Cable Info'!M581))</f>
        <v/>
      </c>
      <c r="AM877" s="121" t="str">
        <f t="shared" si="167"/>
        <v/>
      </c>
      <c r="AO877" s="121" t="str">
        <f>IF('Cable Info'!N581="","",CONCATENATE('Cable Info'!N581," - ",'Cable Info'!O581))</f>
        <v/>
      </c>
      <c r="AR877" s="121" t="str">
        <f t="shared" si="168"/>
        <v/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str">
        <f>IF('Cable Info'!L582="","",CONCATENATE('Cable Info'!L582," - ",'Cable Info'!M582))</f>
        <v/>
      </c>
      <c r="AM878" s="121" t="str">
        <f t="shared" si="167"/>
        <v/>
      </c>
      <c r="AO878" s="121" t="str">
        <f>IF('Cable Info'!N582="","",CONCATENATE('Cable Info'!N582," - ",'Cable Info'!O582))</f>
        <v/>
      </c>
      <c r="AR878" s="121" t="str">
        <f t="shared" si="168"/>
        <v/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str">
        <f>IF('Cable Info'!L583="","",CONCATENATE('Cable Info'!L583," - ",'Cable Info'!M583))</f>
        <v/>
      </c>
      <c r="AM879" s="121" t="str">
        <f t="shared" si="167"/>
        <v/>
      </c>
      <c r="AO879" s="121" t="str">
        <f>IF('Cable Info'!N583="","",CONCATENATE('Cable Info'!N583," - ",'Cable Info'!O583))</f>
        <v/>
      </c>
      <c r="AR879" s="121" t="str">
        <f t="shared" si="168"/>
        <v/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str">
        <f>IF('Cable Info'!L584="","",CONCATENATE('Cable Info'!L584," - ",'Cable Info'!M584))</f>
        <v/>
      </c>
      <c r="AM880" s="121" t="str">
        <f t="shared" si="167"/>
        <v/>
      </c>
      <c r="AO880" s="121" t="str">
        <f>IF('Cable Info'!N584="","",CONCATENATE('Cable Info'!N584," - ",'Cable Info'!O584))</f>
        <v/>
      </c>
      <c r="AR880" s="121" t="str">
        <f t="shared" si="168"/>
        <v/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str">
        <f>IF('Cable Info'!L585="","",CONCATENATE('Cable Info'!L585," - ",'Cable Info'!M585))</f>
        <v/>
      </c>
      <c r="AM881" s="121" t="str">
        <f t="shared" si="167"/>
        <v/>
      </c>
      <c r="AO881" s="121" t="str">
        <f>IF('Cable Info'!N585="","",CONCATENATE('Cable Info'!N585," - ",'Cable Info'!O585))</f>
        <v/>
      </c>
      <c r="AR881" s="121" t="str">
        <f t="shared" si="168"/>
        <v/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str">
        <f>IF('Cable Info'!L586="","",CONCATENATE('Cable Info'!L586," - ",'Cable Info'!M586))</f>
        <v/>
      </c>
      <c r="AM882" s="121" t="str">
        <f t="shared" si="167"/>
        <v/>
      </c>
      <c r="AO882" s="121" t="str">
        <f>IF('Cable Info'!N586="","",CONCATENATE('Cable Info'!N586," - ",'Cable Info'!O586))</f>
        <v/>
      </c>
      <c r="AR882" s="121" t="str">
        <f t="shared" si="168"/>
        <v/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str">
        <f>IF('Cable Info'!L587="","",CONCATENATE('Cable Info'!L587," - ",'Cable Info'!M587))</f>
        <v/>
      </c>
      <c r="AM883" s="121" t="str">
        <f t="shared" si="167"/>
        <v/>
      </c>
      <c r="AO883" s="121" t="str">
        <f>IF('Cable Info'!N587="","",CONCATENATE('Cable Info'!N587," - ",'Cable Info'!O587))</f>
        <v/>
      </c>
      <c r="AR883" s="121" t="str">
        <f t="shared" si="168"/>
        <v/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str">
        <f>IF('Cable Info'!L588="","",CONCATENATE('Cable Info'!L588," - ",'Cable Info'!M588))</f>
        <v/>
      </c>
      <c r="AM884" s="121" t="str">
        <f t="shared" si="167"/>
        <v/>
      </c>
      <c r="AO884" s="121" t="str">
        <f>IF('Cable Info'!N588="","",CONCATENATE('Cable Info'!N588," - ",'Cable Info'!O588))</f>
        <v/>
      </c>
      <c r="AR884" s="121" t="str">
        <f t="shared" si="168"/>
        <v/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str">
        <f>IF('Cable Info'!L589="","",CONCATENATE('Cable Info'!L589," - ",'Cable Info'!M589))</f>
        <v/>
      </c>
      <c r="AM885" s="121" t="str">
        <f t="shared" si="167"/>
        <v/>
      </c>
      <c r="AO885" s="121" t="str">
        <f>IF('Cable Info'!N589="","",CONCATENATE('Cable Info'!N589," - ",'Cable Info'!O589))</f>
        <v/>
      </c>
      <c r="AR885" s="121" t="str">
        <f t="shared" si="168"/>
        <v/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str">
        <f>IF('Cable Info'!L590="","",CONCATENATE('Cable Info'!L590," - ",'Cable Info'!M590))</f>
        <v/>
      </c>
      <c r="AM886" s="121" t="str">
        <f t="shared" si="167"/>
        <v/>
      </c>
      <c r="AO886" s="121" t="str">
        <f>IF('Cable Info'!N590="","",CONCATENATE('Cable Info'!N590," - ",'Cable Info'!O590))</f>
        <v/>
      </c>
      <c r="AR886" s="121" t="str">
        <f t="shared" si="168"/>
        <v/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str">
        <f>IF('Cable Info'!L591="","",CONCATENATE('Cable Info'!L591," - ",'Cable Info'!M591))</f>
        <v/>
      </c>
      <c r="AM887" s="121" t="str">
        <f t="shared" si="167"/>
        <v/>
      </c>
      <c r="AO887" s="121" t="str">
        <f>IF('Cable Info'!N591="","",CONCATENATE('Cable Info'!N591," - ",'Cable Info'!O591))</f>
        <v/>
      </c>
      <c r="AR887" s="121" t="str">
        <f t="shared" si="168"/>
        <v/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str">
        <f>IF('Cable Info'!L592="","",CONCATENATE('Cable Info'!L592," - ",'Cable Info'!M592))</f>
        <v/>
      </c>
      <c r="AM888" s="121" t="str">
        <f t="shared" si="167"/>
        <v/>
      </c>
      <c r="AO888" s="121" t="str">
        <f>IF('Cable Info'!N592="","",CONCATENATE('Cable Info'!N592," - ",'Cable Info'!O592))</f>
        <v/>
      </c>
      <c r="AR888" s="121" t="str">
        <f t="shared" si="168"/>
        <v/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str">
        <f>IF('Cable Info'!L593="","",CONCATENATE('Cable Info'!L593," - ",'Cable Info'!M593))</f>
        <v/>
      </c>
      <c r="AM889" s="121" t="str">
        <f t="shared" si="167"/>
        <v/>
      </c>
      <c r="AO889" s="121" t="str">
        <f>IF('Cable Info'!N593="","",CONCATENATE('Cable Info'!N593," - ",'Cable Info'!O593))</f>
        <v/>
      </c>
      <c r="AR889" s="121" t="str">
        <f t="shared" si="168"/>
        <v/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str">
        <f>IF('Cable Info'!L594="","",CONCATENATE('Cable Info'!L594," - ",'Cable Info'!M594))</f>
        <v/>
      </c>
      <c r="AM890" s="121" t="str">
        <f t="shared" si="167"/>
        <v/>
      </c>
      <c r="AO890" s="121" t="str">
        <f>IF('Cable Info'!N594="","",CONCATENATE('Cable Info'!N594," - ",'Cable Info'!O594))</f>
        <v/>
      </c>
      <c r="AR890" s="121" t="str">
        <f t="shared" si="168"/>
        <v/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str">
        <f>IF('Cable Info'!L595="","",CONCATENATE('Cable Info'!L595," - ",'Cable Info'!M595))</f>
        <v/>
      </c>
      <c r="AM891" s="121" t="str">
        <f t="shared" si="167"/>
        <v/>
      </c>
      <c r="AO891" s="121" t="str">
        <f>IF('Cable Info'!N595="","",CONCATENATE('Cable Info'!N595," - ",'Cable Info'!O595))</f>
        <v/>
      </c>
      <c r="AR891" s="121" t="str">
        <f t="shared" si="168"/>
        <v/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str">
        <f>IF('Cable Info'!L596="","",CONCATENATE('Cable Info'!L596," - ",'Cable Info'!M596))</f>
        <v/>
      </c>
      <c r="AM892" s="121" t="str">
        <f t="shared" si="167"/>
        <v/>
      </c>
      <c r="AO892" s="121" t="str">
        <f>IF('Cable Info'!N596="","",CONCATENATE('Cable Info'!N596," - ",'Cable Info'!O596))</f>
        <v/>
      </c>
      <c r="AR892" s="121" t="str">
        <f t="shared" si="168"/>
        <v/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str">
        <f>IF('Cable Info'!L597="","",CONCATENATE('Cable Info'!L597," - ",'Cable Info'!M597))</f>
        <v/>
      </c>
      <c r="AM893" s="121" t="str">
        <f t="shared" si="167"/>
        <v/>
      </c>
      <c r="AO893" s="121" t="str">
        <f>IF('Cable Info'!N597="","",CONCATENATE('Cable Info'!N597," - ",'Cable Info'!O597))</f>
        <v/>
      </c>
      <c r="AR893" s="121" t="str">
        <f t="shared" si="168"/>
        <v/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str">
        <f>IF('Cable Info'!L598="","",CONCATENATE('Cable Info'!L598," - ",'Cable Info'!M598))</f>
        <v/>
      </c>
      <c r="AM894" s="121" t="str">
        <f t="shared" si="167"/>
        <v/>
      </c>
      <c r="AO894" s="121" t="str">
        <f>IF('Cable Info'!N598="","",CONCATENATE('Cable Info'!N598," - ",'Cable Info'!O598))</f>
        <v/>
      </c>
      <c r="AR894" s="121" t="str">
        <f t="shared" si="168"/>
        <v/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str">
        <f>IF('Cable Info'!L599="","",CONCATENATE('Cable Info'!L599," - ",'Cable Info'!M599))</f>
        <v/>
      </c>
      <c r="AM895" s="121" t="str">
        <f t="shared" si="167"/>
        <v/>
      </c>
      <c r="AO895" s="121" t="str">
        <f>IF('Cable Info'!N599="","",CONCATENATE('Cable Info'!N599," - ",'Cable Info'!O599))</f>
        <v/>
      </c>
      <c r="AR895" s="121" t="str">
        <f t="shared" si="168"/>
        <v/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str">
        <f>IF('Cable Info'!L600="","",CONCATENATE('Cable Info'!L600," - ",'Cable Info'!M600))</f>
        <v/>
      </c>
      <c r="AM896" s="121" t="str">
        <f t="shared" si="167"/>
        <v/>
      </c>
      <c r="AO896" s="121" t="str">
        <f>IF('Cable Info'!N600="","",CONCATENATE('Cable Info'!N600," - ",'Cable Info'!O600))</f>
        <v/>
      </c>
      <c r="AR896" s="121" t="str">
        <f t="shared" si="168"/>
        <v/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str">
        <f>IF('Cable Info'!L601="","",CONCATENATE('Cable Info'!L601," - ",'Cable Info'!M601))</f>
        <v/>
      </c>
      <c r="AM897" s="121" t="str">
        <f t="shared" si="167"/>
        <v/>
      </c>
      <c r="AO897" s="121" t="str">
        <f>IF('Cable Info'!N601="","",CONCATENATE('Cable Info'!N601," - ",'Cable Info'!O601))</f>
        <v/>
      </c>
      <c r="AR897" s="121" t="str">
        <f t="shared" si="168"/>
        <v/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str">
        <f>IF('Cable Info'!L602="","",CONCATENATE('Cable Info'!L602," - ",'Cable Info'!M602))</f>
        <v/>
      </c>
      <c r="AM898" s="121" t="str">
        <f t="shared" si="167"/>
        <v/>
      </c>
      <c r="AO898" s="121" t="str">
        <f>IF('Cable Info'!N602="","",CONCATENATE('Cable Info'!N602," - ",'Cable Info'!O602))</f>
        <v/>
      </c>
      <c r="AR898" s="121" t="str">
        <f t="shared" si="168"/>
        <v/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str">
        <f>IF('Cable Info'!L603="","",CONCATENATE('Cable Info'!L603," - ",'Cable Info'!M603))</f>
        <v/>
      </c>
      <c r="AM899" s="121" t="str">
        <f t="shared" si="167"/>
        <v/>
      </c>
      <c r="AO899" s="121" t="str">
        <f>IF('Cable Info'!N603="","",CONCATENATE('Cable Info'!N603," - ",'Cable Info'!O603))</f>
        <v/>
      </c>
      <c r="AR899" s="121" t="str">
        <f t="shared" si="168"/>
        <v/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str">
        <f>IF('Cable Info'!L604="","",CONCATENATE('Cable Info'!L604," - ",'Cable Info'!M604))</f>
        <v/>
      </c>
      <c r="AM900" s="121" t="str">
        <f t="shared" si="167"/>
        <v/>
      </c>
      <c r="AO900" s="121" t="str">
        <f>IF('Cable Info'!N604="","",CONCATENATE('Cable Info'!N604," - ",'Cable Info'!O604))</f>
        <v/>
      </c>
      <c r="AR900" s="121" t="str">
        <f t="shared" si="168"/>
        <v/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str">
        <f>IF('Cable Info'!L605="","",CONCATENATE('Cable Info'!L605," - ",'Cable Info'!M605))</f>
        <v/>
      </c>
      <c r="AM901" s="121" t="str">
        <f t="shared" si="167"/>
        <v/>
      </c>
      <c r="AO901" s="121" t="str">
        <f>IF('Cable Info'!N605="","",CONCATENATE('Cable Info'!N605," - ",'Cable Info'!O605))</f>
        <v/>
      </c>
      <c r="AR901" s="121" t="str">
        <f t="shared" si="168"/>
        <v/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str">
        <f>IF('Cable Info'!L606="","",CONCATENATE('Cable Info'!L606," - ",'Cable Info'!M606))</f>
        <v/>
      </c>
      <c r="AM902" s="121" t="str">
        <f t="shared" si="167"/>
        <v/>
      </c>
      <c r="AO902" s="121" t="str">
        <f>IF('Cable Info'!N606="","",CONCATENATE('Cable Info'!N606," - ",'Cable Info'!O606))</f>
        <v/>
      </c>
      <c r="AR902" s="121" t="str">
        <f t="shared" si="168"/>
        <v/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str">
        <f>IF('Cable Info'!L607="","",CONCATENATE('Cable Info'!L607," - ",'Cable Info'!M607))</f>
        <v/>
      </c>
      <c r="AM903" s="121" t="str">
        <f t="shared" si="167"/>
        <v/>
      </c>
      <c r="AO903" s="121" t="str">
        <f>IF('Cable Info'!N607="","",CONCATENATE('Cable Info'!N607," - ",'Cable Info'!O607))</f>
        <v/>
      </c>
      <c r="AR903" s="121" t="str">
        <f t="shared" si="168"/>
        <v/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str">
        <f>IF('Cable Info'!L608="","",CONCATENATE('Cable Info'!L608," - ",'Cable Info'!M608))</f>
        <v/>
      </c>
      <c r="AM904" s="121" t="str">
        <f t="shared" si="167"/>
        <v/>
      </c>
      <c r="AO904" s="121" t="str">
        <f>IF('Cable Info'!N608="","",CONCATENATE('Cable Info'!N608," - ",'Cable Info'!O608))</f>
        <v/>
      </c>
      <c r="AR904" s="121" t="str">
        <f t="shared" si="168"/>
        <v/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str">
        <f>IF('Cable Info'!L609="","",CONCATENATE('Cable Info'!L609," - ",'Cable Info'!M609))</f>
        <v/>
      </c>
      <c r="AM905" s="121" t="str">
        <f t="shared" si="167"/>
        <v/>
      </c>
      <c r="AO905" s="121" t="str">
        <f>IF('Cable Info'!N609="","",CONCATENATE('Cable Info'!N609," - ",'Cable Info'!O609))</f>
        <v/>
      </c>
      <c r="AR905" s="121" t="str">
        <f t="shared" si="168"/>
        <v/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str">
        <f>IF('Cable Info'!L610="","",CONCATENATE('Cable Info'!L610," - ",'Cable Info'!M610))</f>
        <v/>
      </c>
      <c r="AM906" s="121" t="str">
        <f t="shared" si="167"/>
        <v/>
      </c>
      <c r="AO906" s="121" t="str">
        <f>IF('Cable Info'!N610="","",CONCATENATE('Cable Info'!N610," - ",'Cable Info'!O610))</f>
        <v/>
      </c>
      <c r="AR906" s="121" t="str">
        <f t="shared" si="168"/>
        <v/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str">
        <f>IF('Cable Info'!L611="","",CONCATENATE('Cable Info'!L611," - ",'Cable Info'!M611))</f>
        <v/>
      </c>
      <c r="AM907" s="121" t="str">
        <f t="shared" si="167"/>
        <v/>
      </c>
      <c r="AO907" s="121" t="str">
        <f>IF('Cable Info'!N611="","",CONCATENATE('Cable Info'!N611," - ",'Cable Info'!O611))</f>
        <v/>
      </c>
      <c r="AR907" s="121" t="str">
        <f t="shared" si="168"/>
        <v/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str">
        <f>IF('Cable Info'!L612="","",CONCATENATE('Cable Info'!L612," - ",'Cable Info'!M612))</f>
        <v/>
      </c>
      <c r="AM908" s="121" t="str">
        <f t="shared" si="167"/>
        <v/>
      </c>
      <c r="AO908" s="121" t="str">
        <f>IF('Cable Info'!N612="","",CONCATENATE('Cable Info'!N612," - ",'Cable Info'!O612))</f>
        <v/>
      </c>
      <c r="AR908" s="121" t="str">
        <f t="shared" si="168"/>
        <v/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str">
        <f>IF('Cable Info'!L613="","",CONCATENATE('Cable Info'!L613," - ",'Cable Info'!M613))</f>
        <v/>
      </c>
      <c r="AM909" s="121" t="str">
        <f t="shared" si="167"/>
        <v/>
      </c>
      <c r="AO909" s="121" t="str">
        <f>IF('Cable Info'!N613="","",CONCATENATE('Cable Info'!N613," - ",'Cable Info'!O613))</f>
        <v/>
      </c>
      <c r="AR909" s="121" t="str">
        <f t="shared" si="168"/>
        <v/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str">
        <f>IF('Cable Info'!L614="","",CONCATENATE('Cable Info'!L614," - ",'Cable Info'!M614))</f>
        <v/>
      </c>
      <c r="AM910" s="121" t="str">
        <f t="shared" si="167"/>
        <v/>
      </c>
      <c r="AO910" s="121" t="str">
        <f>IF('Cable Info'!N614="","",CONCATENATE('Cable Info'!N614," - ",'Cable Info'!O614))</f>
        <v/>
      </c>
      <c r="AR910" s="121" t="str">
        <f t="shared" si="168"/>
        <v/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str">
        <f>IF('Cable Info'!L615="","",CONCATENATE('Cable Info'!L615," - ",'Cable Info'!M615))</f>
        <v/>
      </c>
      <c r="AM911" s="121" t="str">
        <f t="shared" si="167"/>
        <v/>
      </c>
      <c r="AO911" s="121" t="str">
        <f>IF('Cable Info'!N615="","",CONCATENATE('Cable Info'!N615," - ",'Cable Info'!O615))</f>
        <v/>
      </c>
      <c r="AR911" s="121" t="str">
        <f t="shared" si="168"/>
        <v/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str">
        <f>IF('Cable Info'!L616="","",CONCATENATE('Cable Info'!L616," - ",'Cable Info'!M616))</f>
        <v/>
      </c>
      <c r="AM912" s="121" t="str">
        <f t="shared" si="167"/>
        <v/>
      </c>
      <c r="AO912" s="121" t="str">
        <f>IF('Cable Info'!N616="","",CONCATENATE('Cable Info'!N616," - ",'Cable Info'!O616))</f>
        <v/>
      </c>
      <c r="AR912" s="121" t="str">
        <f t="shared" si="168"/>
        <v/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str">
        <f>IF('Cable Info'!L617="","",CONCATENATE('Cable Info'!L617," - ",'Cable Info'!M617))</f>
        <v/>
      </c>
      <c r="AM913" s="121" t="str">
        <f t="shared" si="167"/>
        <v/>
      </c>
      <c r="AO913" s="121" t="str">
        <f>IF('Cable Info'!N617="","",CONCATENATE('Cable Info'!N617," - ",'Cable Info'!O617))</f>
        <v/>
      </c>
      <c r="AR913" s="121" t="str">
        <f t="shared" si="168"/>
        <v/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str">
        <f>IF('Cable Info'!L618="","",CONCATENATE('Cable Info'!L618," - ",'Cable Info'!M618))</f>
        <v/>
      </c>
      <c r="AM914" s="121" t="str">
        <f t="shared" si="167"/>
        <v/>
      </c>
      <c r="AO914" s="121" t="str">
        <f>IF('Cable Info'!N618="","",CONCATENATE('Cable Info'!N618," - ",'Cable Info'!O618))</f>
        <v/>
      </c>
      <c r="AR914" s="121" t="str">
        <f t="shared" si="168"/>
        <v/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str">
        <f>IF('Cable Info'!L619="","",CONCATENATE('Cable Info'!L619," - ",'Cable Info'!M619))</f>
        <v/>
      </c>
      <c r="AM915" s="121" t="str">
        <f t="shared" si="167"/>
        <v/>
      </c>
      <c r="AO915" s="121" t="str">
        <f>IF('Cable Info'!N619="","",CONCATENATE('Cable Info'!N619," - ",'Cable Info'!O619))</f>
        <v/>
      </c>
      <c r="AR915" s="121" t="str">
        <f t="shared" si="168"/>
        <v/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str">
        <f>IF('Cable Info'!L620="","",CONCATENATE('Cable Info'!L620," - ",'Cable Info'!M620))</f>
        <v/>
      </c>
      <c r="AM916" s="121" t="str">
        <f t="shared" si="167"/>
        <v/>
      </c>
      <c r="AO916" s="121" t="str">
        <f>IF('Cable Info'!N620="","",CONCATENATE('Cable Info'!N620," - ",'Cable Info'!O620))</f>
        <v/>
      </c>
      <c r="AR916" s="121" t="str">
        <f t="shared" si="168"/>
        <v/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str">
        <f>IF('Cable Info'!L621="","",CONCATENATE('Cable Info'!L621," - ",'Cable Info'!M621))</f>
        <v/>
      </c>
      <c r="AM917" s="121" t="str">
        <f t="shared" si="167"/>
        <v/>
      </c>
      <c r="AO917" s="121" t="str">
        <f>IF('Cable Info'!N621="","",CONCATENATE('Cable Info'!N621," - ",'Cable Info'!O621))</f>
        <v/>
      </c>
      <c r="AR917" s="121" t="str">
        <f t="shared" si="168"/>
        <v/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str">
        <f>IF('Cable Info'!L622="","",CONCATENATE('Cable Info'!L622," - ",'Cable Info'!M622))</f>
        <v/>
      </c>
      <c r="AM918" s="121" t="str">
        <f t="shared" si="167"/>
        <v/>
      </c>
      <c r="AO918" s="121" t="str">
        <f>IF('Cable Info'!N622="","",CONCATENATE('Cable Info'!N622," - ",'Cable Info'!O622))</f>
        <v/>
      </c>
      <c r="AR918" s="121" t="str">
        <f t="shared" si="168"/>
        <v/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str">
        <f>IF('Cable Info'!L623="","",CONCATENATE('Cable Info'!L623," - ",'Cable Info'!M623))</f>
        <v/>
      </c>
      <c r="AM919" s="121" t="str">
        <f t="shared" si="167"/>
        <v/>
      </c>
      <c r="AO919" s="121" t="str">
        <f>IF('Cable Info'!N623="","",CONCATENATE('Cable Info'!N623," - ",'Cable Info'!O623))</f>
        <v/>
      </c>
      <c r="AR919" s="121" t="str">
        <f t="shared" si="168"/>
        <v/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str">
        <f>IF('Cable Info'!L624="","",CONCATENATE('Cable Info'!L624," - ",'Cable Info'!M624))</f>
        <v/>
      </c>
      <c r="AM920" s="121" t="str">
        <f t="shared" si="167"/>
        <v/>
      </c>
      <c r="AO920" s="121" t="str">
        <f>IF('Cable Info'!N624="","",CONCATENATE('Cable Info'!N624," - ",'Cable Info'!O624))</f>
        <v/>
      </c>
      <c r="AR920" s="121" t="str">
        <f t="shared" si="168"/>
        <v/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str">
        <f>IF('Cable Info'!L625="","",CONCATENATE('Cable Info'!L625," - ",'Cable Info'!M625))</f>
        <v/>
      </c>
      <c r="AM921" s="121" t="str">
        <f t="shared" si="167"/>
        <v/>
      </c>
      <c r="AO921" s="121" t="str">
        <f>IF('Cable Info'!N625="","",CONCATENATE('Cable Info'!N625," - ",'Cable Info'!O625))</f>
        <v/>
      </c>
      <c r="AR921" s="121" t="str">
        <f t="shared" si="168"/>
        <v/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str">
        <f>IF('Cable Info'!L626="","",CONCATENATE('Cable Info'!L626," - ",'Cable Info'!M626))</f>
        <v/>
      </c>
      <c r="AM922" s="121" t="str">
        <f t="shared" si="167"/>
        <v/>
      </c>
      <c r="AO922" s="121" t="str">
        <f>IF('Cable Info'!N626="","",CONCATENATE('Cable Info'!N626," - ",'Cable Info'!O626))</f>
        <v/>
      </c>
      <c r="AR922" s="121" t="str">
        <f t="shared" si="168"/>
        <v/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str">
        <f>IF('Cable Info'!L627="","",CONCATENATE('Cable Info'!L627," - ",'Cable Info'!M627))</f>
        <v/>
      </c>
      <c r="AM923" s="121" t="str">
        <f t="shared" si="167"/>
        <v/>
      </c>
      <c r="AO923" s="121" t="str">
        <f>IF('Cable Info'!N627="","",CONCATENATE('Cable Info'!N627," - ",'Cable Info'!O627))</f>
        <v/>
      </c>
      <c r="AR923" s="121" t="str">
        <f t="shared" si="168"/>
        <v/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str">
        <f>IF('Cable Info'!L628="","",CONCATENATE('Cable Info'!L628," - ",'Cable Info'!M628))</f>
        <v/>
      </c>
      <c r="AM924" s="121" t="str">
        <f t="shared" si="167"/>
        <v/>
      </c>
      <c r="AO924" s="121" t="str">
        <f>IF('Cable Info'!N628="","",CONCATENATE('Cable Info'!N628," - ",'Cable Info'!O628))</f>
        <v/>
      </c>
      <c r="AR924" s="121" t="str">
        <f t="shared" si="168"/>
        <v/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str">
        <f>IF('Cable Info'!L629="","",CONCATENATE('Cable Info'!L629," - ",'Cable Info'!M629))</f>
        <v/>
      </c>
      <c r="AM925" s="121" t="str">
        <f t="shared" si="167"/>
        <v/>
      </c>
      <c r="AO925" s="121" t="str">
        <f>IF('Cable Info'!N629="","",CONCATENATE('Cable Info'!N629," - ",'Cable Info'!O629))</f>
        <v/>
      </c>
      <c r="AR925" s="121" t="str">
        <f t="shared" si="168"/>
        <v/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str">
        <f>IF('Cable Info'!L630="","",CONCATENATE('Cable Info'!L630," - ",'Cable Info'!M630))</f>
        <v/>
      </c>
      <c r="AM926" s="121" t="str">
        <f t="shared" si="167"/>
        <v/>
      </c>
      <c r="AO926" s="121" t="str">
        <f>IF('Cable Info'!N630="","",CONCATENATE('Cable Info'!N630," - ",'Cable Info'!O630))</f>
        <v/>
      </c>
      <c r="AR926" s="121" t="str">
        <f t="shared" si="168"/>
        <v/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str">
        <f>IF('Cable Info'!L631="","",CONCATENATE('Cable Info'!L631," - ",'Cable Info'!M631))</f>
        <v/>
      </c>
      <c r="AM927" s="121" t="str">
        <f t="shared" si="167"/>
        <v/>
      </c>
      <c r="AO927" s="121" t="str">
        <f>IF('Cable Info'!N631="","",CONCATENATE('Cable Info'!N631," - ",'Cable Info'!O631))</f>
        <v/>
      </c>
      <c r="AR927" s="121" t="str">
        <f t="shared" si="168"/>
        <v/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str">
        <f>IF('Cable Info'!L632="","",CONCATENATE('Cable Info'!L632," - ",'Cable Info'!M632))</f>
        <v/>
      </c>
      <c r="AM928" s="121" t="str">
        <f t="shared" si="167"/>
        <v/>
      </c>
      <c r="AO928" s="121" t="str">
        <f>IF('Cable Info'!N632="","",CONCATENATE('Cable Info'!N632," - ",'Cable Info'!O632))</f>
        <v/>
      </c>
      <c r="AR928" s="121" t="str">
        <f t="shared" si="168"/>
        <v/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str">
        <f>IF('Cable Info'!L633="","",CONCATENATE('Cable Info'!L633," - ",'Cable Info'!M633))</f>
        <v/>
      </c>
      <c r="AM929" s="121" t="str">
        <f t="shared" si="167"/>
        <v/>
      </c>
      <c r="AO929" s="121" t="str">
        <f>IF('Cable Info'!N633="","",CONCATENATE('Cable Info'!N633," - ",'Cable Info'!O633))</f>
        <v/>
      </c>
      <c r="AR929" s="121" t="str">
        <f t="shared" si="168"/>
        <v/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str">
        <f>IF('Cable Info'!L634="","",CONCATENATE('Cable Info'!L634," - ",'Cable Info'!M634))</f>
        <v/>
      </c>
      <c r="AM930" s="121" t="str">
        <f t="shared" si="167"/>
        <v/>
      </c>
      <c r="AO930" s="121" t="str">
        <f>IF('Cable Info'!N634="","",CONCATENATE('Cable Info'!N634," - ",'Cable Info'!O634))</f>
        <v/>
      </c>
      <c r="AR930" s="121" t="str">
        <f t="shared" si="168"/>
        <v/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str">
        <f>IF('Cable Info'!L635="","",CONCATENATE('Cable Info'!L635," - ",'Cable Info'!M635))</f>
        <v/>
      </c>
      <c r="AM931" s="121" t="str">
        <f t="shared" si="167"/>
        <v/>
      </c>
      <c r="AO931" s="121" t="str">
        <f>IF('Cable Info'!N635="","",CONCATENATE('Cable Info'!N635," - ",'Cable Info'!O635))</f>
        <v/>
      </c>
      <c r="AR931" s="121" t="str">
        <f t="shared" si="168"/>
        <v/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str">
        <f>IF('Cable Info'!L636="","",CONCATENATE('Cable Info'!L636," - ",'Cable Info'!M636))</f>
        <v/>
      </c>
      <c r="AM932" s="121" t="str">
        <f t="shared" si="167"/>
        <v/>
      </c>
      <c r="AO932" s="121" t="str">
        <f>IF('Cable Info'!N636="","",CONCATENATE('Cable Info'!N636," - ",'Cable Info'!O636))</f>
        <v/>
      </c>
      <c r="AR932" s="121" t="str">
        <f t="shared" si="168"/>
        <v/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str">
        <f>IF('Cable Info'!L637="","",CONCATENATE('Cable Info'!L637," - ",'Cable Info'!M637))</f>
        <v/>
      </c>
      <c r="AM933" s="121" t="str">
        <f t="shared" si="167"/>
        <v/>
      </c>
      <c r="AO933" s="121" t="str">
        <f>IF('Cable Info'!N637="","",CONCATENATE('Cable Info'!N637," - ",'Cable Info'!O637))</f>
        <v/>
      </c>
      <c r="AR933" s="121" t="str">
        <f t="shared" si="168"/>
        <v/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str">
        <f>IF('Cable Info'!L638="","",CONCATENATE('Cable Info'!L638," - ",'Cable Info'!M638))</f>
        <v/>
      </c>
      <c r="AM934" s="121" t="str">
        <f t="shared" si="167"/>
        <v/>
      </c>
      <c r="AO934" s="121" t="str">
        <f>IF('Cable Info'!N638="","",CONCATENATE('Cable Info'!N638," - ",'Cable Info'!O638))</f>
        <v/>
      </c>
      <c r="AR934" s="121" t="str">
        <f t="shared" si="168"/>
        <v/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str">
        <f>IF('Cable Info'!L639="","",CONCATENATE('Cable Info'!L639," - ",'Cable Info'!M639))</f>
        <v/>
      </c>
      <c r="AM935" s="121" t="str">
        <f t="shared" si="167"/>
        <v/>
      </c>
      <c r="AO935" s="121" t="str">
        <f>IF('Cable Info'!N639="","",CONCATENATE('Cable Info'!N639," - ",'Cable Info'!O639))</f>
        <v/>
      </c>
      <c r="AR935" s="121" t="str">
        <f t="shared" si="168"/>
        <v/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str">
        <f>IF('Cable Info'!L640="","",CONCATENATE('Cable Info'!L640," - ",'Cable Info'!M640))</f>
        <v/>
      </c>
      <c r="AM936" s="121" t="str">
        <f t="shared" si="167"/>
        <v/>
      </c>
      <c r="AO936" s="121" t="str">
        <f>IF('Cable Info'!N640="","",CONCATENATE('Cable Info'!N640," - ",'Cable Info'!O640))</f>
        <v/>
      </c>
      <c r="AR936" s="121" t="str">
        <f t="shared" si="168"/>
        <v/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str">
        <f>IF('Cable Info'!L641="","",CONCATENATE('Cable Info'!L641," - ",'Cable Info'!M641))</f>
        <v/>
      </c>
      <c r="AM937" s="121" t="str">
        <f t="shared" si="167"/>
        <v/>
      </c>
      <c r="AO937" s="121" t="str">
        <f>IF('Cable Info'!N641="","",CONCATENATE('Cable Info'!N641," - ",'Cable Info'!O641))</f>
        <v/>
      </c>
      <c r="AR937" s="121" t="str">
        <f t="shared" si="168"/>
        <v/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str">
        <f>IF('Cable Info'!L642="","",CONCATENATE('Cable Info'!L642," - ",'Cable Info'!M642))</f>
        <v/>
      </c>
      <c r="AM938" s="121" t="str">
        <f t="shared" si="167"/>
        <v/>
      </c>
      <c r="AO938" s="121" t="str">
        <f>IF('Cable Info'!N642="","",CONCATENATE('Cable Info'!N642," - ",'Cable Info'!O642))</f>
        <v/>
      </c>
      <c r="AR938" s="121" t="str">
        <f t="shared" si="168"/>
        <v/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str">
        <f>IF('Cable Info'!L643="","",CONCATENATE('Cable Info'!L643," - ",'Cable Info'!M643))</f>
        <v/>
      </c>
      <c r="AM939" s="121" t="str">
        <f t="shared" ref="AM939:AM1002" si="173">IF(AK939="",AJ939,CONCATENATE(AJ939,"  &lt;=&gt; ",AK939," ",AL939))</f>
        <v/>
      </c>
      <c r="AO939" s="121" t="str">
        <f>IF('Cable Info'!N643="","",CONCATENATE('Cable Info'!N643," - ",'Cable Info'!O643))</f>
        <v/>
      </c>
      <c r="AR939" s="121" t="str">
        <f t="shared" ref="AR939:AR1002" si="174">IF(AP939="",AO939,CONCATENATE(AO939,"  &lt;=&gt; ",AP939," ",AQ939))</f>
        <v/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str">
        <f>IF('Cable Info'!L644="","",CONCATENATE('Cable Info'!L644," - ",'Cable Info'!M644))</f>
        <v/>
      </c>
      <c r="AM940" s="121" t="str">
        <f t="shared" si="173"/>
        <v/>
      </c>
      <c r="AO940" s="121" t="str">
        <f>IF('Cable Info'!N644="","",CONCATENATE('Cable Info'!N644," - ",'Cable Info'!O644))</f>
        <v/>
      </c>
      <c r="AR940" s="121" t="str">
        <f t="shared" si="174"/>
        <v/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str">
        <f>IF('Cable Info'!L645="","",CONCATENATE('Cable Info'!L645," - ",'Cable Info'!M645))</f>
        <v/>
      </c>
      <c r="AM941" s="121" t="str">
        <f t="shared" si="173"/>
        <v/>
      </c>
      <c r="AO941" s="121" t="str">
        <f>IF('Cable Info'!N645="","",CONCATENATE('Cable Info'!N645," - ",'Cable Info'!O645))</f>
        <v/>
      </c>
      <c r="AR941" s="121" t="str">
        <f t="shared" si="174"/>
        <v/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str">
        <f>IF('Cable Info'!L646="","",CONCATENATE('Cable Info'!L646," - ",'Cable Info'!M646))</f>
        <v/>
      </c>
      <c r="AM942" s="121" t="str">
        <f t="shared" si="173"/>
        <v/>
      </c>
      <c r="AO942" s="121" t="str">
        <f>IF('Cable Info'!N646="","",CONCATENATE('Cable Info'!N646," - ",'Cable Info'!O646))</f>
        <v/>
      </c>
      <c r="AR942" s="121" t="str">
        <f t="shared" si="174"/>
        <v/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str">
        <f>IF('Cable Info'!L647="","",CONCATENATE('Cable Info'!L647," - ",'Cable Info'!M647))</f>
        <v/>
      </c>
      <c r="AM943" s="121" t="str">
        <f t="shared" si="173"/>
        <v/>
      </c>
      <c r="AO943" s="121" t="str">
        <f>IF('Cable Info'!N647="","",CONCATENATE('Cable Info'!N647," - ",'Cable Info'!O647))</f>
        <v/>
      </c>
      <c r="AR943" s="121" t="str">
        <f t="shared" si="174"/>
        <v/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str">
        <f>IF('Cable Info'!L648="","",CONCATENATE('Cable Info'!L648," - ",'Cable Info'!M648))</f>
        <v/>
      </c>
      <c r="AM944" s="121" t="str">
        <f t="shared" si="173"/>
        <v/>
      </c>
      <c r="AO944" s="121" t="str">
        <f>IF('Cable Info'!N648="","",CONCATENATE('Cable Info'!N648," - ",'Cable Info'!O648))</f>
        <v/>
      </c>
      <c r="AR944" s="121" t="str">
        <f t="shared" si="174"/>
        <v/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str">
        <f>IF('Cable Info'!L649="","",CONCATENATE('Cable Info'!L649," - ",'Cable Info'!M649))</f>
        <v/>
      </c>
      <c r="AM945" s="121" t="str">
        <f t="shared" si="173"/>
        <v/>
      </c>
      <c r="AO945" s="121" t="str">
        <f>IF('Cable Info'!N649="","",CONCATENATE('Cable Info'!N649," - ",'Cable Info'!O649))</f>
        <v/>
      </c>
      <c r="AR945" s="121" t="str">
        <f t="shared" si="174"/>
        <v/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str">
        <f>IF('Cable Info'!L650="","",CONCATENATE('Cable Info'!L650," - ",'Cable Info'!M650))</f>
        <v/>
      </c>
      <c r="AM946" s="121" t="str">
        <f t="shared" si="173"/>
        <v/>
      </c>
      <c r="AO946" s="121" t="str">
        <f>IF('Cable Info'!N650="","",CONCATENATE('Cable Info'!N650," - ",'Cable Info'!O650))</f>
        <v/>
      </c>
      <c r="AR946" s="121" t="str">
        <f t="shared" si="174"/>
        <v/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str">
        <f>IF('Cable Info'!L651="","",CONCATENATE('Cable Info'!L651," - ",'Cable Info'!M651))</f>
        <v/>
      </c>
      <c r="AM947" s="121" t="str">
        <f t="shared" si="173"/>
        <v/>
      </c>
      <c r="AO947" s="121" t="str">
        <f>IF('Cable Info'!N651="","",CONCATENATE('Cable Info'!N651," - ",'Cable Info'!O651))</f>
        <v/>
      </c>
      <c r="AR947" s="121" t="str">
        <f t="shared" si="174"/>
        <v/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str">
        <f>IF('Cable Info'!L652="","",CONCATENATE('Cable Info'!L652," - ",'Cable Info'!M652))</f>
        <v/>
      </c>
      <c r="AM948" s="121" t="str">
        <f t="shared" si="173"/>
        <v/>
      </c>
      <c r="AO948" s="121" t="str">
        <f>IF('Cable Info'!N652="","",CONCATENATE('Cable Info'!N652," - ",'Cable Info'!O652))</f>
        <v/>
      </c>
      <c r="AR948" s="121" t="str">
        <f t="shared" si="174"/>
        <v/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str">
        <f>IF('Cable Info'!L653="","",CONCATENATE('Cable Info'!L653," - ",'Cable Info'!M653))</f>
        <v/>
      </c>
      <c r="AM949" s="121" t="str">
        <f t="shared" si="173"/>
        <v/>
      </c>
      <c r="AO949" s="121" t="str">
        <f>IF('Cable Info'!N653="","",CONCATENATE('Cable Info'!N653," - ",'Cable Info'!O653))</f>
        <v/>
      </c>
      <c r="AR949" s="121" t="str">
        <f t="shared" si="174"/>
        <v/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str">
        <f>IF('Cable Info'!L654="","",CONCATENATE('Cable Info'!L654," - ",'Cable Info'!M654))</f>
        <v/>
      </c>
      <c r="AM950" s="121" t="str">
        <f t="shared" si="173"/>
        <v/>
      </c>
      <c r="AO950" s="121" t="str">
        <f>IF('Cable Info'!N654="","",CONCATENATE('Cable Info'!N654," - ",'Cable Info'!O654))</f>
        <v/>
      </c>
      <c r="AR950" s="121" t="str">
        <f t="shared" si="174"/>
        <v/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str">
        <f>IF('Cable Info'!L655="","",CONCATENATE('Cable Info'!L655," - ",'Cable Info'!M655))</f>
        <v/>
      </c>
      <c r="AM951" s="121" t="str">
        <f t="shared" si="173"/>
        <v/>
      </c>
      <c r="AO951" s="121" t="str">
        <f>IF('Cable Info'!N655="","",CONCATENATE('Cable Info'!N655," - ",'Cable Info'!O655))</f>
        <v/>
      </c>
      <c r="AR951" s="121" t="str">
        <f t="shared" si="174"/>
        <v/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str">
        <f>IF('Cable Info'!L656="","",CONCATENATE('Cable Info'!L656," - ",'Cable Info'!M656))</f>
        <v/>
      </c>
      <c r="AM952" s="121" t="str">
        <f t="shared" si="173"/>
        <v/>
      </c>
      <c r="AO952" s="121" t="str">
        <f>IF('Cable Info'!N656="","",CONCATENATE('Cable Info'!N656," - ",'Cable Info'!O656))</f>
        <v/>
      </c>
      <c r="AR952" s="121" t="str">
        <f t="shared" si="174"/>
        <v/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str">
        <f>IF('Cable Info'!L657="","",CONCATENATE('Cable Info'!L657," - ",'Cable Info'!M657))</f>
        <v/>
      </c>
      <c r="AM953" s="121" t="str">
        <f t="shared" si="173"/>
        <v/>
      </c>
      <c r="AO953" s="121" t="str">
        <f>IF('Cable Info'!N657="","",CONCATENATE('Cable Info'!N657," - ",'Cable Info'!O657))</f>
        <v/>
      </c>
      <c r="AR953" s="121" t="str">
        <f t="shared" si="174"/>
        <v/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str">
        <f>IF('Cable Info'!L658="","",CONCATENATE('Cable Info'!L658," - ",'Cable Info'!M658))</f>
        <v/>
      </c>
      <c r="AM954" s="121" t="str">
        <f t="shared" si="173"/>
        <v/>
      </c>
      <c r="AO954" s="121" t="str">
        <f>IF('Cable Info'!N658="","",CONCATENATE('Cable Info'!N658," - ",'Cable Info'!O658))</f>
        <v/>
      </c>
      <c r="AR954" s="121" t="str">
        <f t="shared" si="174"/>
        <v/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str">
        <f>IF('Cable Info'!L659="","",CONCATENATE('Cable Info'!L659," - ",'Cable Info'!M659))</f>
        <v/>
      </c>
      <c r="AM955" s="121" t="str">
        <f t="shared" si="173"/>
        <v/>
      </c>
      <c r="AO955" s="121" t="str">
        <f>IF('Cable Info'!N659="","",CONCATENATE('Cable Info'!N659," - ",'Cable Info'!O659))</f>
        <v/>
      </c>
      <c r="AR955" s="121" t="str">
        <f t="shared" si="174"/>
        <v/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str">
        <f>IF('Cable Info'!L660="","",CONCATENATE('Cable Info'!L660," - ",'Cable Info'!M660))</f>
        <v/>
      </c>
      <c r="AM956" s="121" t="str">
        <f t="shared" si="173"/>
        <v/>
      </c>
      <c r="AO956" s="121" t="str">
        <f>IF('Cable Info'!N660="","",CONCATENATE('Cable Info'!N660," - ",'Cable Info'!O660))</f>
        <v/>
      </c>
      <c r="AR956" s="121" t="str">
        <f t="shared" si="174"/>
        <v/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str">
        <f>IF('Cable Info'!L661="","",CONCATENATE('Cable Info'!L661," - ",'Cable Info'!M661))</f>
        <v/>
      </c>
      <c r="AM957" s="121" t="str">
        <f t="shared" si="173"/>
        <v/>
      </c>
      <c r="AO957" s="121" t="str">
        <f>IF('Cable Info'!N661="","",CONCATENATE('Cable Info'!N661," - ",'Cable Info'!O661))</f>
        <v/>
      </c>
      <c r="AR957" s="121" t="str">
        <f t="shared" si="174"/>
        <v/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str">
        <f>IF('Cable Info'!L662="","",CONCATENATE('Cable Info'!L662," - ",'Cable Info'!M662))</f>
        <v/>
      </c>
      <c r="AM958" s="121" t="str">
        <f t="shared" si="173"/>
        <v/>
      </c>
      <c r="AO958" s="121" t="str">
        <f>IF('Cable Info'!N662="","",CONCATENATE('Cable Info'!N662," - ",'Cable Info'!O662))</f>
        <v/>
      </c>
      <c r="AR958" s="121" t="str">
        <f t="shared" si="174"/>
        <v/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str">
        <f>IF('Cable Info'!L663="","",CONCATENATE('Cable Info'!L663," - ",'Cable Info'!M663))</f>
        <v/>
      </c>
      <c r="AM959" s="121" t="str">
        <f t="shared" si="173"/>
        <v/>
      </c>
      <c r="AO959" s="121" t="str">
        <f>IF('Cable Info'!N663="","",CONCATENATE('Cable Info'!N663," - ",'Cable Info'!O663))</f>
        <v/>
      </c>
      <c r="AR959" s="121" t="str">
        <f t="shared" si="174"/>
        <v/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str">
        <f>IF('Cable Info'!L664="","",CONCATENATE('Cable Info'!L664," - ",'Cable Info'!M664))</f>
        <v/>
      </c>
      <c r="AM960" s="121" t="str">
        <f t="shared" si="173"/>
        <v/>
      </c>
      <c r="AO960" s="121" t="str">
        <f>IF('Cable Info'!N664="","",CONCATENATE('Cable Info'!N664," - ",'Cable Info'!O664))</f>
        <v/>
      </c>
      <c r="AR960" s="121" t="str">
        <f t="shared" si="174"/>
        <v/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str">
        <f>IF('Cable Info'!L665="","",CONCATENATE('Cable Info'!L665," - ",'Cable Info'!M665))</f>
        <v/>
      </c>
      <c r="AM961" s="121" t="str">
        <f t="shared" si="173"/>
        <v/>
      </c>
      <c r="AO961" s="121" t="str">
        <f>IF('Cable Info'!N665="","",CONCATENATE('Cable Info'!N665," - ",'Cable Info'!O665))</f>
        <v/>
      </c>
      <c r="AR961" s="121" t="str">
        <f t="shared" si="174"/>
        <v/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str">
        <f>IF('Cable Info'!L666="","",CONCATENATE('Cable Info'!L666," - ",'Cable Info'!M666))</f>
        <v/>
      </c>
      <c r="AM962" s="121" t="str">
        <f t="shared" si="173"/>
        <v/>
      </c>
      <c r="AO962" s="121" t="str">
        <f>IF('Cable Info'!N666="","",CONCATENATE('Cable Info'!N666," - ",'Cable Info'!O666))</f>
        <v/>
      </c>
      <c r="AR962" s="121" t="str">
        <f t="shared" si="174"/>
        <v/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str">
        <f>IF('Cable Info'!L667="","",CONCATENATE('Cable Info'!L667," - ",'Cable Info'!M667))</f>
        <v/>
      </c>
      <c r="AM963" s="121" t="str">
        <f t="shared" si="173"/>
        <v/>
      </c>
      <c r="AO963" s="121" t="str">
        <f>IF('Cable Info'!N667="","",CONCATENATE('Cable Info'!N667," - ",'Cable Info'!O667))</f>
        <v/>
      </c>
      <c r="AR963" s="121" t="str">
        <f t="shared" si="174"/>
        <v/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str">
        <f>IF('Cable Info'!L668="","",CONCATENATE('Cable Info'!L668," - ",'Cable Info'!M668))</f>
        <v/>
      </c>
      <c r="AM964" s="121" t="str">
        <f t="shared" si="173"/>
        <v/>
      </c>
      <c r="AO964" s="121" t="str">
        <f>IF('Cable Info'!N668="","",CONCATENATE('Cable Info'!N668," - ",'Cable Info'!O668))</f>
        <v/>
      </c>
      <c r="AR964" s="121" t="str">
        <f t="shared" si="174"/>
        <v/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str">
        <f>IF('Cable Info'!L669="","",CONCATENATE('Cable Info'!L669," - ",'Cable Info'!M669))</f>
        <v/>
      </c>
      <c r="AM965" s="121" t="str">
        <f t="shared" si="173"/>
        <v/>
      </c>
      <c r="AO965" s="121" t="str">
        <f>IF('Cable Info'!N669="","",CONCATENATE('Cable Info'!N669," - ",'Cable Info'!O669))</f>
        <v/>
      </c>
      <c r="AR965" s="121" t="str">
        <f t="shared" si="174"/>
        <v/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str">
        <f>IF('Cable Info'!L670="","",CONCATENATE('Cable Info'!L670," - ",'Cable Info'!M670))</f>
        <v/>
      </c>
      <c r="AM966" s="121" t="str">
        <f t="shared" si="173"/>
        <v/>
      </c>
      <c r="AO966" s="121" t="str">
        <f>IF('Cable Info'!N670="","",CONCATENATE('Cable Info'!N670," - ",'Cable Info'!O670))</f>
        <v/>
      </c>
      <c r="AR966" s="121" t="str">
        <f t="shared" si="174"/>
        <v/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str">
        <f>IF('Cable Info'!L671="","",CONCATENATE('Cable Info'!L671," - ",'Cable Info'!M671))</f>
        <v/>
      </c>
      <c r="AM967" s="121" t="str">
        <f t="shared" si="173"/>
        <v/>
      </c>
      <c r="AO967" s="121" t="str">
        <f>IF('Cable Info'!N671="","",CONCATENATE('Cable Info'!N671," - ",'Cable Info'!O671))</f>
        <v/>
      </c>
      <c r="AR967" s="121" t="str">
        <f t="shared" si="174"/>
        <v/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str">
        <f>IF('Cable Info'!L672="","",CONCATENATE('Cable Info'!L672," - ",'Cable Info'!M672))</f>
        <v/>
      </c>
      <c r="AM968" s="121" t="str">
        <f t="shared" si="173"/>
        <v/>
      </c>
      <c r="AO968" s="121" t="str">
        <f>IF('Cable Info'!N672="","",CONCATENATE('Cable Info'!N672," - ",'Cable Info'!O672))</f>
        <v/>
      </c>
      <c r="AR968" s="121" t="str">
        <f t="shared" si="174"/>
        <v/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str">
        <f>IF('Cable Info'!L673="","",CONCATENATE('Cable Info'!L673," - ",'Cable Info'!M673))</f>
        <v/>
      </c>
      <c r="AM969" s="121" t="str">
        <f t="shared" si="173"/>
        <v/>
      </c>
      <c r="AO969" s="121" t="str">
        <f>IF('Cable Info'!N673="","",CONCATENATE('Cable Info'!N673," - ",'Cable Info'!O673))</f>
        <v/>
      </c>
      <c r="AR969" s="121" t="str">
        <f t="shared" si="174"/>
        <v/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str">
        <f>IF('Cable Info'!L674="","",CONCATENATE('Cable Info'!L674," - ",'Cable Info'!M674))</f>
        <v/>
      </c>
      <c r="AM970" s="121" t="str">
        <f t="shared" si="173"/>
        <v/>
      </c>
      <c r="AO970" s="121" t="str">
        <f>IF('Cable Info'!N674="","",CONCATENATE('Cable Info'!N674," - ",'Cable Info'!O674))</f>
        <v/>
      </c>
      <c r="AR970" s="121" t="str">
        <f t="shared" si="174"/>
        <v/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str">
        <f>IF('Cable Info'!L675="","",CONCATENATE('Cable Info'!L675," - ",'Cable Info'!M675))</f>
        <v/>
      </c>
      <c r="AM971" s="121" t="str">
        <f t="shared" si="173"/>
        <v/>
      </c>
      <c r="AO971" s="121" t="str">
        <f>IF('Cable Info'!N675="","",CONCATENATE('Cable Info'!N675," - ",'Cable Info'!O675))</f>
        <v/>
      </c>
      <c r="AR971" s="121" t="str">
        <f t="shared" si="174"/>
        <v/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str">
        <f>IF('Cable Info'!L676="","",CONCATENATE('Cable Info'!L676," - ",'Cable Info'!M676))</f>
        <v/>
      </c>
      <c r="AM972" s="121" t="str">
        <f t="shared" si="173"/>
        <v/>
      </c>
      <c r="AO972" s="121" t="str">
        <f>IF('Cable Info'!N676="","",CONCATENATE('Cable Info'!N676," - ",'Cable Info'!O676))</f>
        <v/>
      </c>
      <c r="AR972" s="121" t="str">
        <f t="shared" si="174"/>
        <v/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str">
        <f>IF('Cable Info'!L677="","",CONCATENATE('Cable Info'!L677," - ",'Cable Info'!M677))</f>
        <v/>
      </c>
      <c r="AM973" s="121" t="str">
        <f t="shared" si="173"/>
        <v/>
      </c>
      <c r="AO973" s="121" t="str">
        <f>IF('Cable Info'!N677="","",CONCATENATE('Cable Info'!N677," - ",'Cable Info'!O677))</f>
        <v/>
      </c>
      <c r="AR973" s="121" t="str">
        <f t="shared" si="174"/>
        <v/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str">
        <f>IF('Cable Info'!L678="","",CONCATENATE('Cable Info'!L678," - ",'Cable Info'!M678))</f>
        <v/>
      </c>
      <c r="AM974" s="121" t="str">
        <f t="shared" si="173"/>
        <v/>
      </c>
      <c r="AO974" s="121" t="str">
        <f>IF('Cable Info'!N678="","",CONCATENATE('Cable Info'!N678," - ",'Cable Info'!O678))</f>
        <v/>
      </c>
      <c r="AR974" s="121" t="str">
        <f t="shared" si="174"/>
        <v/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str">
        <f>IF('Cable Info'!L679="","",CONCATENATE('Cable Info'!L679," - ",'Cable Info'!M679))</f>
        <v/>
      </c>
      <c r="AM975" s="121" t="str">
        <f t="shared" si="173"/>
        <v/>
      </c>
      <c r="AO975" s="121" t="str">
        <f>IF('Cable Info'!N679="","",CONCATENATE('Cable Info'!N679," - ",'Cable Info'!O679))</f>
        <v/>
      </c>
      <c r="AR975" s="121" t="str">
        <f t="shared" si="174"/>
        <v/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str">
        <f>IF('Cable Info'!L680="","",CONCATENATE('Cable Info'!L680," - ",'Cable Info'!M680))</f>
        <v/>
      </c>
      <c r="AM976" s="121" t="str">
        <f t="shared" si="173"/>
        <v/>
      </c>
      <c r="AO976" s="121" t="str">
        <f>IF('Cable Info'!N680="","",CONCATENATE('Cable Info'!N680," - ",'Cable Info'!O680))</f>
        <v/>
      </c>
      <c r="AR976" s="121" t="str">
        <f t="shared" si="174"/>
        <v/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str">
        <f>IF('Cable Info'!L681="","",CONCATENATE('Cable Info'!L681," - ",'Cable Info'!M681))</f>
        <v/>
      </c>
      <c r="AM977" s="121" t="str">
        <f t="shared" si="173"/>
        <v/>
      </c>
      <c r="AO977" s="121" t="str">
        <f>IF('Cable Info'!N681="","",CONCATENATE('Cable Info'!N681," - ",'Cable Info'!O681))</f>
        <v/>
      </c>
      <c r="AR977" s="121" t="str">
        <f t="shared" si="174"/>
        <v/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str">
        <f>IF('Cable Info'!L682="","",CONCATENATE('Cable Info'!L682," - ",'Cable Info'!M682))</f>
        <v/>
      </c>
      <c r="AM978" s="121" t="str">
        <f t="shared" si="173"/>
        <v/>
      </c>
      <c r="AO978" s="121" t="str">
        <f>IF('Cable Info'!N682="","",CONCATENATE('Cable Info'!N682," - ",'Cable Info'!O682))</f>
        <v/>
      </c>
      <c r="AR978" s="121" t="str">
        <f t="shared" si="174"/>
        <v/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str">
        <f>IF('Cable Info'!L683="","",CONCATENATE('Cable Info'!L683," - ",'Cable Info'!M683))</f>
        <v/>
      </c>
      <c r="AM979" s="121" t="str">
        <f t="shared" si="173"/>
        <v/>
      </c>
      <c r="AO979" s="121" t="str">
        <f>IF('Cable Info'!N683="","",CONCATENATE('Cable Info'!N683," - ",'Cable Info'!O683))</f>
        <v/>
      </c>
      <c r="AR979" s="121" t="str">
        <f t="shared" si="174"/>
        <v/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str">
        <f>IF('Cable Info'!L684="","",CONCATENATE('Cable Info'!L684," - ",'Cable Info'!M684))</f>
        <v/>
      </c>
      <c r="AM980" s="121" t="str">
        <f t="shared" si="173"/>
        <v/>
      </c>
      <c r="AO980" s="121" t="str">
        <f>IF('Cable Info'!N684="","",CONCATENATE('Cable Info'!N684," - ",'Cable Info'!O684))</f>
        <v/>
      </c>
      <c r="AR980" s="121" t="str">
        <f t="shared" si="174"/>
        <v/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str">
        <f>IF('Cable Info'!L685="","",CONCATENATE('Cable Info'!L685," - ",'Cable Info'!M685))</f>
        <v/>
      </c>
      <c r="AM981" s="121" t="str">
        <f t="shared" si="173"/>
        <v/>
      </c>
      <c r="AO981" s="121" t="str">
        <f>IF('Cable Info'!N685="","",CONCATENATE('Cable Info'!N685," - ",'Cable Info'!O685))</f>
        <v/>
      </c>
      <c r="AR981" s="121" t="str">
        <f t="shared" si="174"/>
        <v/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str">
        <f>IF('Cable Info'!L686="","",CONCATENATE('Cable Info'!L686," - ",'Cable Info'!M686))</f>
        <v/>
      </c>
      <c r="AM982" s="121" t="str">
        <f t="shared" si="173"/>
        <v/>
      </c>
      <c r="AO982" s="121" t="str">
        <f>IF('Cable Info'!N686="","",CONCATENATE('Cable Info'!N686," - ",'Cable Info'!O686))</f>
        <v/>
      </c>
      <c r="AR982" s="121" t="str">
        <f t="shared" si="174"/>
        <v/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str">
        <f>IF('Cable Info'!L687="","",CONCATENATE('Cable Info'!L687," - ",'Cable Info'!M687))</f>
        <v/>
      </c>
      <c r="AM983" s="121" t="str">
        <f t="shared" si="173"/>
        <v/>
      </c>
      <c r="AO983" s="121" t="str">
        <f>IF('Cable Info'!N687="","",CONCATENATE('Cable Info'!N687," - ",'Cable Info'!O687))</f>
        <v/>
      </c>
      <c r="AR983" s="121" t="str">
        <f t="shared" si="174"/>
        <v/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str">
        <f>IF('Cable Info'!L688="","",CONCATENATE('Cable Info'!L688," - ",'Cable Info'!M688))</f>
        <v/>
      </c>
      <c r="AM984" s="121" t="str">
        <f t="shared" si="173"/>
        <v/>
      </c>
      <c r="AO984" s="121" t="str">
        <f>IF('Cable Info'!N688="","",CONCATENATE('Cable Info'!N688," - ",'Cable Info'!O688))</f>
        <v/>
      </c>
      <c r="AR984" s="121" t="str">
        <f t="shared" si="174"/>
        <v/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str">
        <f>IF('Cable Info'!L689="","",CONCATENATE('Cable Info'!L689," - ",'Cable Info'!M689))</f>
        <v/>
      </c>
      <c r="AM985" s="121" t="str">
        <f t="shared" si="173"/>
        <v/>
      </c>
      <c r="AO985" s="121" t="str">
        <f>IF('Cable Info'!N689="","",CONCATENATE('Cable Info'!N689," - ",'Cable Info'!O689))</f>
        <v/>
      </c>
      <c r="AR985" s="121" t="str">
        <f t="shared" si="174"/>
        <v/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str">
        <f>IF('Cable Info'!L690="","",CONCATENATE('Cable Info'!L690," - ",'Cable Info'!M690))</f>
        <v/>
      </c>
      <c r="AM986" s="121" t="str">
        <f t="shared" si="173"/>
        <v/>
      </c>
      <c r="AO986" s="121" t="str">
        <f>IF('Cable Info'!N690="","",CONCATENATE('Cable Info'!N690," - ",'Cable Info'!O690))</f>
        <v/>
      </c>
      <c r="AR986" s="121" t="str">
        <f t="shared" si="174"/>
        <v/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str">
        <f>IF('Cable Info'!L691="","",CONCATENATE('Cable Info'!L691," - ",'Cable Info'!M691))</f>
        <v/>
      </c>
      <c r="AM987" s="121" t="str">
        <f t="shared" si="173"/>
        <v/>
      </c>
      <c r="AO987" s="121" t="str">
        <f>IF('Cable Info'!N691="","",CONCATENATE('Cable Info'!N691," - ",'Cable Info'!O691))</f>
        <v/>
      </c>
      <c r="AR987" s="121" t="str">
        <f t="shared" si="174"/>
        <v/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str">
        <f>IF('Cable Info'!L692="","",CONCATENATE('Cable Info'!L692," - ",'Cable Info'!M692))</f>
        <v/>
      </c>
      <c r="AM988" s="121" t="str">
        <f t="shared" si="173"/>
        <v/>
      </c>
      <c r="AO988" s="121" t="str">
        <f>IF('Cable Info'!N692="","",CONCATENATE('Cable Info'!N692," - ",'Cable Info'!O692))</f>
        <v/>
      </c>
      <c r="AR988" s="121" t="str">
        <f t="shared" si="174"/>
        <v/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str">
        <f>IF('Cable Info'!L693="","",CONCATENATE('Cable Info'!L693," - ",'Cable Info'!M693))</f>
        <v/>
      </c>
      <c r="AM989" s="121" t="str">
        <f t="shared" si="173"/>
        <v/>
      </c>
      <c r="AO989" s="121" t="str">
        <f>IF('Cable Info'!N693="","",CONCATENATE('Cable Info'!N693," - ",'Cable Info'!O693))</f>
        <v/>
      </c>
      <c r="AR989" s="121" t="str">
        <f t="shared" si="174"/>
        <v/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str">
        <f>IF('Cable Info'!L694="","",CONCATENATE('Cable Info'!L694," - ",'Cable Info'!M694))</f>
        <v/>
      </c>
      <c r="AM990" s="121" t="str">
        <f t="shared" si="173"/>
        <v/>
      </c>
      <c r="AO990" s="121" t="str">
        <f>IF('Cable Info'!N694="","",CONCATENATE('Cable Info'!N694," - ",'Cable Info'!O694))</f>
        <v/>
      </c>
      <c r="AR990" s="121" t="str">
        <f t="shared" si="174"/>
        <v/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str">
        <f>IF('Cable Info'!L695="","",CONCATENATE('Cable Info'!L695," - ",'Cable Info'!M695))</f>
        <v/>
      </c>
      <c r="AM991" s="121" t="str">
        <f t="shared" si="173"/>
        <v/>
      </c>
      <c r="AO991" s="121" t="str">
        <f>IF('Cable Info'!N695="","",CONCATENATE('Cable Info'!N695," - ",'Cable Info'!O695))</f>
        <v/>
      </c>
      <c r="AR991" s="121" t="str">
        <f t="shared" si="174"/>
        <v/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str">
        <f>IF('Cable Info'!L696="","",CONCATENATE('Cable Info'!L696," - ",'Cable Info'!M696))</f>
        <v/>
      </c>
      <c r="AM992" s="121" t="str">
        <f t="shared" si="173"/>
        <v/>
      </c>
      <c r="AO992" s="121" t="str">
        <f>IF('Cable Info'!N696="","",CONCATENATE('Cable Info'!N696," - ",'Cable Info'!O696))</f>
        <v/>
      </c>
      <c r="AR992" s="121" t="str">
        <f t="shared" si="174"/>
        <v/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str">
        <f>IF('Cable Info'!L697="","",CONCATENATE('Cable Info'!L697," - ",'Cable Info'!M697))</f>
        <v/>
      </c>
      <c r="AM993" s="121" t="str">
        <f t="shared" si="173"/>
        <v/>
      </c>
      <c r="AO993" s="121" t="str">
        <f>IF('Cable Info'!N697="","",CONCATENATE('Cable Info'!N697," - ",'Cable Info'!O697))</f>
        <v/>
      </c>
      <c r="AR993" s="121" t="str">
        <f t="shared" si="174"/>
        <v/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str">
        <f>IF('Cable Info'!L698="","",CONCATENATE('Cable Info'!L698," - ",'Cable Info'!M698))</f>
        <v/>
      </c>
      <c r="AM994" s="121" t="str">
        <f t="shared" si="173"/>
        <v/>
      </c>
      <c r="AO994" s="121" t="str">
        <f>IF('Cable Info'!N698="","",CONCATENATE('Cable Info'!N698," - ",'Cable Info'!O698))</f>
        <v/>
      </c>
      <c r="AR994" s="121" t="str">
        <f t="shared" si="174"/>
        <v/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str">
        <f>IF('Cable Info'!L699="","",CONCATENATE('Cable Info'!L699," - ",'Cable Info'!M699))</f>
        <v/>
      </c>
      <c r="AM995" s="121" t="str">
        <f t="shared" si="173"/>
        <v/>
      </c>
      <c r="AO995" s="121" t="str">
        <f>IF('Cable Info'!N699="","",CONCATENATE('Cable Info'!N699," - ",'Cable Info'!O699))</f>
        <v/>
      </c>
      <c r="AR995" s="121" t="str">
        <f t="shared" si="174"/>
        <v/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str">
        <f>IF('Cable Info'!L700="","",CONCATENATE('Cable Info'!L700," - ",'Cable Info'!M700))</f>
        <v/>
      </c>
      <c r="AM996" s="121" t="str">
        <f t="shared" si="173"/>
        <v/>
      </c>
      <c r="AO996" s="121" t="str">
        <f>IF('Cable Info'!N700="","",CONCATENATE('Cable Info'!N700," - ",'Cable Info'!O700))</f>
        <v/>
      </c>
      <c r="AR996" s="121" t="str">
        <f t="shared" si="174"/>
        <v/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str">
        <f>IF('Cable Info'!L701="","",CONCATENATE('Cable Info'!L701," - ",'Cable Info'!M701))</f>
        <v/>
      </c>
      <c r="AM997" s="121" t="str">
        <f t="shared" si="173"/>
        <v/>
      </c>
      <c r="AO997" s="121" t="str">
        <f>IF('Cable Info'!N701="","",CONCATENATE('Cable Info'!N701," - ",'Cable Info'!O701))</f>
        <v/>
      </c>
      <c r="AR997" s="121" t="str">
        <f t="shared" si="174"/>
        <v/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str">
        <f>IF('Cable Info'!L702="","",CONCATENATE('Cable Info'!L702," - ",'Cable Info'!M702))</f>
        <v/>
      </c>
      <c r="AM998" s="121" t="str">
        <f t="shared" si="173"/>
        <v/>
      </c>
      <c r="AO998" s="121" t="str">
        <f>IF('Cable Info'!N702="","",CONCATENATE('Cable Info'!N702," - ",'Cable Info'!O702))</f>
        <v/>
      </c>
      <c r="AR998" s="121" t="str">
        <f t="shared" si="174"/>
        <v/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str">
        <f>IF('Cable Info'!L703="","",CONCATENATE('Cable Info'!L703," - ",'Cable Info'!M703))</f>
        <v/>
      </c>
      <c r="AM999" s="121" t="str">
        <f t="shared" si="173"/>
        <v/>
      </c>
      <c r="AO999" s="121" t="str">
        <f>IF('Cable Info'!N703="","",CONCATENATE('Cable Info'!N703," - ",'Cable Info'!O703))</f>
        <v/>
      </c>
      <c r="AR999" s="121" t="str">
        <f t="shared" si="174"/>
        <v/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str">
        <f>IF('Cable Info'!L704="","",CONCATENATE('Cable Info'!L704," - ",'Cable Info'!M704))</f>
        <v/>
      </c>
      <c r="AM1000" s="121" t="str">
        <f t="shared" si="173"/>
        <v/>
      </c>
      <c r="AO1000" s="121" t="str">
        <f>IF('Cable Info'!N704="","",CONCATENATE('Cable Info'!N704," - ",'Cable Info'!O704))</f>
        <v/>
      </c>
      <c r="AR1000" s="121" t="str">
        <f t="shared" si="174"/>
        <v/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str">
        <f>IF('Cable Info'!L705="","",CONCATENATE('Cable Info'!L705," - ",'Cable Info'!M705))</f>
        <v/>
      </c>
      <c r="AM1001" s="121" t="str">
        <f t="shared" si="173"/>
        <v/>
      </c>
      <c r="AO1001" s="121" t="str">
        <f>IF('Cable Info'!N705="","",CONCATENATE('Cable Info'!N705," - ",'Cable Info'!O705))</f>
        <v/>
      </c>
      <c r="AR1001" s="121" t="str">
        <f t="shared" si="174"/>
        <v/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str">
        <f>IF('Cable Info'!L706="","",CONCATENATE('Cable Info'!L706," - ",'Cable Info'!M706))</f>
        <v/>
      </c>
      <c r="AM1002" s="121" t="str">
        <f t="shared" si="173"/>
        <v/>
      </c>
      <c r="AO1002" s="121" t="str">
        <f>IF('Cable Info'!N706="","",CONCATENATE('Cable Info'!N706," - ",'Cable Info'!O706))</f>
        <v/>
      </c>
      <c r="AR1002" s="121" t="str">
        <f t="shared" si="174"/>
        <v/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str">
        <f>IF('Cable Info'!L707="","",CONCATENATE('Cable Info'!L707," - ",'Cable Info'!M707))</f>
        <v/>
      </c>
      <c r="AM1003" s="121" t="str">
        <f t="shared" ref="AM1003:AM1066" si="179">IF(AK1003="",AJ1003,CONCATENATE(AJ1003,"  &lt;=&gt; ",AK1003," ",AL1003))</f>
        <v/>
      </c>
      <c r="AO1003" s="121" t="str">
        <f>IF('Cable Info'!N707="","",CONCATENATE('Cable Info'!N707," - ",'Cable Info'!O707))</f>
        <v/>
      </c>
      <c r="AR1003" s="121" t="str">
        <f t="shared" ref="AR1003:AR1066" si="180">IF(AP1003="",AO1003,CONCATENATE(AO1003,"  &lt;=&gt; ",AP1003," ",AQ1003))</f>
        <v/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str">
        <f>IF('Cable Info'!L708="","",CONCATENATE('Cable Info'!L708," - ",'Cable Info'!M708))</f>
        <v/>
      </c>
      <c r="AM1004" s="121" t="str">
        <f t="shared" si="179"/>
        <v/>
      </c>
      <c r="AO1004" s="121" t="str">
        <f>IF('Cable Info'!N708="","",CONCATENATE('Cable Info'!N708," - ",'Cable Info'!O708))</f>
        <v/>
      </c>
      <c r="AR1004" s="121" t="str">
        <f t="shared" si="180"/>
        <v/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str">
        <f>IF('Cable Info'!L709="","",CONCATENATE('Cable Info'!L709," - ",'Cable Info'!M709))</f>
        <v/>
      </c>
      <c r="AM1005" s="121" t="str">
        <f t="shared" si="179"/>
        <v/>
      </c>
      <c r="AO1005" s="121" t="str">
        <f>IF('Cable Info'!N709="","",CONCATENATE('Cable Info'!N709," - ",'Cable Info'!O709))</f>
        <v/>
      </c>
      <c r="AR1005" s="121" t="str">
        <f t="shared" si="180"/>
        <v/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str">
        <f>IF('Cable Info'!L710="","",CONCATENATE('Cable Info'!L710," - ",'Cable Info'!M710))</f>
        <v/>
      </c>
      <c r="AM1006" s="121" t="str">
        <f t="shared" si="179"/>
        <v/>
      </c>
      <c r="AO1006" s="121" t="str">
        <f>IF('Cable Info'!N710="","",CONCATENATE('Cable Info'!N710," - ",'Cable Info'!O710))</f>
        <v/>
      </c>
      <c r="AR1006" s="121" t="str">
        <f t="shared" si="180"/>
        <v/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str">
        <f>IF('Cable Info'!L711="","",CONCATENATE('Cable Info'!L711," - ",'Cable Info'!M711))</f>
        <v/>
      </c>
      <c r="AM1007" s="121" t="str">
        <f t="shared" si="179"/>
        <v/>
      </c>
      <c r="AO1007" s="121" t="str">
        <f>IF('Cable Info'!N711="","",CONCATENATE('Cable Info'!N711," - ",'Cable Info'!O711))</f>
        <v/>
      </c>
      <c r="AR1007" s="121" t="str">
        <f t="shared" si="180"/>
        <v/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str">
        <f>IF('Cable Info'!L712="","",CONCATENATE('Cable Info'!L712," - ",'Cable Info'!M712))</f>
        <v/>
      </c>
      <c r="AM1008" s="121" t="str">
        <f t="shared" si="179"/>
        <v/>
      </c>
      <c r="AO1008" s="121" t="str">
        <f>IF('Cable Info'!N712="","",CONCATENATE('Cable Info'!N712," - ",'Cable Info'!O712))</f>
        <v/>
      </c>
      <c r="AR1008" s="121" t="str">
        <f t="shared" si="180"/>
        <v/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str">
        <f>IF('Cable Info'!L713="","",CONCATENATE('Cable Info'!L713," - ",'Cable Info'!M713))</f>
        <v/>
      </c>
      <c r="AM1009" s="121" t="str">
        <f t="shared" si="179"/>
        <v/>
      </c>
      <c r="AO1009" s="121" t="str">
        <f>IF('Cable Info'!N713="","",CONCATENATE('Cable Info'!N713," - ",'Cable Info'!O713))</f>
        <v/>
      </c>
      <c r="AR1009" s="121" t="str">
        <f t="shared" si="180"/>
        <v/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str">
        <f>IF('Cable Info'!L714="","",CONCATENATE('Cable Info'!L714," - ",'Cable Info'!M714))</f>
        <v/>
      </c>
      <c r="AM1010" s="121" t="str">
        <f t="shared" si="179"/>
        <v/>
      </c>
      <c r="AO1010" s="121" t="str">
        <f>IF('Cable Info'!N714="","",CONCATENATE('Cable Info'!N714," - ",'Cable Info'!O714))</f>
        <v/>
      </c>
      <c r="AR1010" s="121" t="str">
        <f t="shared" si="180"/>
        <v/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str">
        <f>IF('Cable Info'!L715="","",CONCATENATE('Cable Info'!L715," - ",'Cable Info'!M715))</f>
        <v/>
      </c>
      <c r="AM1011" s="121" t="str">
        <f t="shared" si="179"/>
        <v/>
      </c>
      <c r="AO1011" s="121" t="str">
        <f>IF('Cable Info'!N715="","",CONCATENATE('Cable Info'!N715," - ",'Cable Info'!O715))</f>
        <v/>
      </c>
      <c r="AR1011" s="121" t="str">
        <f t="shared" si="180"/>
        <v/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str">
        <f>IF('Cable Info'!L716="","",CONCATENATE('Cable Info'!L716," - ",'Cable Info'!M716))</f>
        <v/>
      </c>
      <c r="AM1012" s="121" t="str">
        <f t="shared" si="179"/>
        <v/>
      </c>
      <c r="AO1012" s="121" t="str">
        <f>IF('Cable Info'!N716="","",CONCATENATE('Cable Info'!N716," - ",'Cable Info'!O716))</f>
        <v/>
      </c>
      <c r="AR1012" s="121" t="str">
        <f t="shared" si="180"/>
        <v/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str">
        <f>IF('Cable Info'!L717="","",CONCATENATE('Cable Info'!L717," - ",'Cable Info'!M717))</f>
        <v/>
      </c>
      <c r="AM1013" s="121" t="str">
        <f t="shared" si="179"/>
        <v/>
      </c>
      <c r="AO1013" s="121" t="str">
        <f>IF('Cable Info'!N717="","",CONCATENATE('Cable Info'!N717," - ",'Cable Info'!O717))</f>
        <v/>
      </c>
      <c r="AR1013" s="121" t="str">
        <f t="shared" si="180"/>
        <v/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str">
        <f>IF('Cable Info'!L718="","",CONCATENATE('Cable Info'!L718," - ",'Cable Info'!M718))</f>
        <v/>
      </c>
      <c r="AM1014" s="121" t="str">
        <f t="shared" si="179"/>
        <v/>
      </c>
      <c r="AO1014" s="121" t="str">
        <f>IF('Cable Info'!N718="","",CONCATENATE('Cable Info'!N718," - ",'Cable Info'!O718))</f>
        <v/>
      </c>
      <c r="AR1014" s="121" t="str">
        <f t="shared" si="180"/>
        <v/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str">
        <f>IF('Cable Info'!L719="","",CONCATENATE('Cable Info'!L719," - ",'Cable Info'!M719))</f>
        <v/>
      </c>
      <c r="AM1015" s="121" t="str">
        <f t="shared" si="179"/>
        <v/>
      </c>
      <c r="AO1015" s="121" t="str">
        <f>IF('Cable Info'!N719="","",CONCATENATE('Cable Info'!N719," - ",'Cable Info'!O719))</f>
        <v/>
      </c>
      <c r="AR1015" s="121" t="str">
        <f t="shared" si="180"/>
        <v/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str">
        <f>IF('Cable Info'!L720="","",CONCATENATE('Cable Info'!L720," - ",'Cable Info'!M720))</f>
        <v/>
      </c>
      <c r="AM1016" s="121" t="str">
        <f t="shared" si="179"/>
        <v/>
      </c>
      <c r="AO1016" s="121" t="str">
        <f>IF('Cable Info'!N720="","",CONCATENATE('Cable Info'!N720," - ",'Cable Info'!O720))</f>
        <v/>
      </c>
      <c r="AR1016" s="121" t="str">
        <f t="shared" si="180"/>
        <v/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str">
        <f>IF('Cable Info'!L721="","",CONCATENATE('Cable Info'!L721," - ",'Cable Info'!M721))</f>
        <v/>
      </c>
      <c r="AM1017" s="121" t="str">
        <f t="shared" si="179"/>
        <v/>
      </c>
      <c r="AO1017" s="121" t="str">
        <f>IF('Cable Info'!N721="","",CONCATENATE('Cable Info'!N721," - ",'Cable Info'!O721))</f>
        <v/>
      </c>
      <c r="AR1017" s="121" t="str">
        <f t="shared" si="180"/>
        <v/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str">
        <f>IF('Cable Info'!L722="","",CONCATENATE('Cable Info'!L722," - ",'Cable Info'!M722))</f>
        <v/>
      </c>
      <c r="AM1018" s="121" t="str">
        <f t="shared" si="179"/>
        <v/>
      </c>
      <c r="AO1018" s="121" t="str">
        <f>IF('Cable Info'!N722="","",CONCATENATE('Cable Info'!N722," - ",'Cable Info'!O722))</f>
        <v/>
      </c>
      <c r="AR1018" s="121" t="str">
        <f t="shared" si="180"/>
        <v/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str">
        <f>IF('Cable Info'!L723="","",CONCATENATE('Cable Info'!L723," - ",'Cable Info'!M723))</f>
        <v/>
      </c>
      <c r="AM1019" s="121" t="str">
        <f t="shared" si="179"/>
        <v/>
      </c>
      <c r="AO1019" s="121" t="str">
        <f>IF('Cable Info'!N723="","",CONCATENATE('Cable Info'!N723," - ",'Cable Info'!O723))</f>
        <v/>
      </c>
      <c r="AR1019" s="121" t="str">
        <f t="shared" si="180"/>
        <v/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str">
        <f>IF('Cable Info'!L724="","",CONCATENATE('Cable Info'!L724," - ",'Cable Info'!M724))</f>
        <v/>
      </c>
      <c r="AM1020" s="121" t="str">
        <f t="shared" si="179"/>
        <v/>
      </c>
      <c r="AO1020" s="121" t="str">
        <f>IF('Cable Info'!N724="","",CONCATENATE('Cable Info'!N724," - ",'Cable Info'!O724))</f>
        <v/>
      </c>
      <c r="AR1020" s="121" t="str">
        <f t="shared" si="180"/>
        <v/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str">
        <f>IF('Cable Info'!L725="","",CONCATENATE('Cable Info'!L725," - ",'Cable Info'!M725))</f>
        <v/>
      </c>
      <c r="AM1021" s="121" t="str">
        <f t="shared" si="179"/>
        <v/>
      </c>
      <c r="AO1021" s="121" t="str">
        <f>IF('Cable Info'!N725="","",CONCATENATE('Cable Info'!N725," - ",'Cable Info'!O725))</f>
        <v/>
      </c>
      <c r="AR1021" s="121" t="str">
        <f t="shared" si="180"/>
        <v/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str">
        <f>IF('Cable Info'!L726="","",CONCATENATE('Cable Info'!L726," - ",'Cable Info'!M726))</f>
        <v/>
      </c>
      <c r="AM1022" s="121" t="str">
        <f t="shared" si="179"/>
        <v/>
      </c>
      <c r="AO1022" s="121" t="str">
        <f>IF('Cable Info'!N726="","",CONCATENATE('Cable Info'!N726," - ",'Cable Info'!O726))</f>
        <v/>
      </c>
      <c r="AR1022" s="121" t="str">
        <f t="shared" si="180"/>
        <v/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str">
        <f>IF('Cable Info'!L727="","",CONCATENATE('Cable Info'!L727," - ",'Cable Info'!M727))</f>
        <v/>
      </c>
      <c r="AM1023" s="121" t="str">
        <f t="shared" si="179"/>
        <v/>
      </c>
      <c r="AO1023" s="121" t="str">
        <f>IF('Cable Info'!N727="","",CONCATENATE('Cable Info'!N727," - ",'Cable Info'!O727))</f>
        <v/>
      </c>
      <c r="AR1023" s="121" t="str">
        <f t="shared" si="180"/>
        <v/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str">
        <f>IF('Cable Info'!L728="","",CONCATENATE('Cable Info'!L728," - ",'Cable Info'!M728))</f>
        <v/>
      </c>
      <c r="AM1024" s="121" t="str">
        <f t="shared" si="179"/>
        <v/>
      </c>
      <c r="AO1024" s="121" t="str">
        <f>IF('Cable Info'!N728="","",CONCATENATE('Cable Info'!N728," - ",'Cable Info'!O728))</f>
        <v/>
      </c>
      <c r="AR1024" s="121" t="str">
        <f t="shared" si="180"/>
        <v/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str">
        <f>IF('Cable Info'!L729="","",CONCATENATE('Cable Info'!L729," - ",'Cable Info'!M729))</f>
        <v/>
      </c>
      <c r="AM1025" s="121" t="str">
        <f t="shared" si="179"/>
        <v/>
      </c>
      <c r="AO1025" s="121" t="str">
        <f>IF('Cable Info'!N729="","",CONCATENATE('Cable Info'!N729," - ",'Cable Info'!O729))</f>
        <v/>
      </c>
      <c r="AR1025" s="121" t="str">
        <f t="shared" si="180"/>
        <v/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str">
        <f>IF('Cable Info'!L730="","",CONCATENATE('Cable Info'!L730," - ",'Cable Info'!M730))</f>
        <v/>
      </c>
      <c r="AM1026" s="121" t="str">
        <f t="shared" si="179"/>
        <v/>
      </c>
      <c r="AO1026" s="121" t="str">
        <f>IF('Cable Info'!N730="","",CONCATENATE('Cable Info'!N730," - ",'Cable Info'!O730))</f>
        <v/>
      </c>
      <c r="AR1026" s="121" t="str">
        <f t="shared" si="180"/>
        <v/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str">
        <f>IF('Cable Info'!L731="","",CONCATENATE('Cable Info'!L731," - ",'Cable Info'!M731))</f>
        <v/>
      </c>
      <c r="AM1027" s="121" t="str">
        <f t="shared" si="179"/>
        <v/>
      </c>
      <c r="AO1027" s="121" t="str">
        <f>IF('Cable Info'!N731="","",CONCATENATE('Cable Info'!N731," - ",'Cable Info'!O731))</f>
        <v/>
      </c>
      <c r="AR1027" s="121" t="str">
        <f t="shared" si="180"/>
        <v/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str">
        <f>IF('Cable Info'!L732="","",CONCATENATE('Cable Info'!L732," - ",'Cable Info'!M732))</f>
        <v/>
      </c>
      <c r="AM1028" s="121" t="str">
        <f t="shared" si="179"/>
        <v/>
      </c>
      <c r="AO1028" s="121" t="str">
        <f>IF('Cable Info'!N732="","",CONCATENATE('Cable Info'!N732," - ",'Cable Info'!O732))</f>
        <v/>
      </c>
      <c r="AR1028" s="121" t="str">
        <f t="shared" si="180"/>
        <v/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str">
        <f>IF('Cable Info'!L733="","",CONCATENATE('Cable Info'!L733," - ",'Cable Info'!M733))</f>
        <v/>
      </c>
      <c r="AM1029" s="121" t="str">
        <f t="shared" si="179"/>
        <v/>
      </c>
      <c r="AO1029" s="121" t="str">
        <f>IF('Cable Info'!N733="","",CONCATENATE('Cable Info'!N733," - ",'Cable Info'!O733))</f>
        <v/>
      </c>
      <c r="AR1029" s="121" t="str">
        <f t="shared" si="180"/>
        <v/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str">
        <f>IF('Cable Info'!L734="","",CONCATENATE('Cable Info'!L734," - ",'Cable Info'!M734))</f>
        <v/>
      </c>
      <c r="AM1030" s="121" t="str">
        <f t="shared" si="179"/>
        <v/>
      </c>
      <c r="AO1030" s="121" t="str">
        <f>IF('Cable Info'!N734="","",CONCATENATE('Cable Info'!N734," - ",'Cable Info'!O734))</f>
        <v/>
      </c>
      <c r="AR1030" s="121" t="str">
        <f t="shared" si="180"/>
        <v/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str">
        <f>IF('Cable Info'!L735="","",CONCATENATE('Cable Info'!L735," - ",'Cable Info'!M735))</f>
        <v/>
      </c>
      <c r="AM1031" s="121" t="str">
        <f t="shared" si="179"/>
        <v/>
      </c>
      <c r="AO1031" s="121" t="str">
        <f>IF('Cable Info'!N735="","",CONCATENATE('Cable Info'!N735," - ",'Cable Info'!O735))</f>
        <v/>
      </c>
      <c r="AR1031" s="121" t="str">
        <f t="shared" si="180"/>
        <v/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str">
        <f>IF('Cable Info'!L736="","",CONCATENATE('Cable Info'!L736," - ",'Cable Info'!M736))</f>
        <v/>
      </c>
      <c r="AM1032" s="121" t="str">
        <f t="shared" si="179"/>
        <v/>
      </c>
      <c r="AO1032" s="121" t="str">
        <f>IF('Cable Info'!N736="","",CONCATENATE('Cable Info'!N736," - ",'Cable Info'!O736))</f>
        <v/>
      </c>
      <c r="AR1032" s="121" t="str">
        <f t="shared" si="180"/>
        <v/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str">
        <f>IF('Cable Info'!L737="","",CONCATENATE('Cable Info'!L737," - ",'Cable Info'!M737))</f>
        <v/>
      </c>
      <c r="AM1033" s="121" t="str">
        <f t="shared" si="179"/>
        <v/>
      </c>
      <c r="AO1033" s="121" t="str">
        <f>IF('Cable Info'!N737="","",CONCATENATE('Cable Info'!N737," - ",'Cable Info'!O737))</f>
        <v/>
      </c>
      <c r="AR1033" s="121" t="str">
        <f t="shared" si="180"/>
        <v/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str">
        <f>IF('Cable Info'!L738="","",CONCATENATE('Cable Info'!L738," - ",'Cable Info'!M738))</f>
        <v/>
      </c>
      <c r="AM1034" s="121" t="str">
        <f t="shared" si="179"/>
        <v/>
      </c>
      <c r="AO1034" s="121" t="str">
        <f>IF('Cable Info'!N738="","",CONCATENATE('Cable Info'!N738," - ",'Cable Info'!O738))</f>
        <v/>
      </c>
      <c r="AR1034" s="121" t="str">
        <f t="shared" si="180"/>
        <v/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str">
        <f>IF('Cable Info'!L739="","",CONCATENATE('Cable Info'!L739," - ",'Cable Info'!M739))</f>
        <v/>
      </c>
      <c r="AM1035" s="121" t="str">
        <f t="shared" si="179"/>
        <v/>
      </c>
      <c r="AO1035" s="121" t="str">
        <f>IF('Cable Info'!N739="","",CONCATENATE('Cable Info'!N739," - ",'Cable Info'!O739))</f>
        <v/>
      </c>
      <c r="AR1035" s="121" t="str">
        <f t="shared" si="180"/>
        <v/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str">
        <f>IF('Cable Info'!L740="","",CONCATENATE('Cable Info'!L740," - ",'Cable Info'!M740))</f>
        <v/>
      </c>
      <c r="AM1036" s="121" t="str">
        <f t="shared" si="179"/>
        <v/>
      </c>
      <c r="AO1036" s="121" t="str">
        <f>IF('Cable Info'!N740="","",CONCATENATE('Cable Info'!N740," - ",'Cable Info'!O740))</f>
        <v/>
      </c>
      <c r="AR1036" s="121" t="str">
        <f t="shared" si="180"/>
        <v/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str">
        <f>IF('Cable Info'!L741="","",CONCATENATE('Cable Info'!L741," - ",'Cable Info'!M741))</f>
        <v/>
      </c>
      <c r="AM1037" s="121" t="str">
        <f t="shared" si="179"/>
        <v/>
      </c>
      <c r="AO1037" s="121" t="str">
        <f>IF('Cable Info'!N741="","",CONCATENATE('Cable Info'!N741," - ",'Cable Info'!O741))</f>
        <v/>
      </c>
      <c r="AR1037" s="121" t="str">
        <f t="shared" si="180"/>
        <v/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str">
        <f>IF('Cable Info'!L742="","",CONCATENATE('Cable Info'!L742," - ",'Cable Info'!M742))</f>
        <v/>
      </c>
      <c r="AM1038" s="121" t="str">
        <f t="shared" si="179"/>
        <v/>
      </c>
      <c r="AO1038" s="121" t="str">
        <f>IF('Cable Info'!N742="","",CONCATENATE('Cable Info'!N742," - ",'Cable Info'!O742))</f>
        <v/>
      </c>
      <c r="AR1038" s="121" t="str">
        <f t="shared" si="180"/>
        <v/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str">
        <f>IF('Cable Info'!L743="","",CONCATENATE('Cable Info'!L743," - ",'Cable Info'!M743))</f>
        <v/>
      </c>
      <c r="AM1039" s="121" t="str">
        <f t="shared" si="179"/>
        <v/>
      </c>
      <c r="AO1039" s="121" t="str">
        <f>IF('Cable Info'!N743="","",CONCATENATE('Cable Info'!N743," - ",'Cable Info'!O743))</f>
        <v/>
      </c>
      <c r="AR1039" s="121" t="str">
        <f t="shared" si="180"/>
        <v/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str">
        <f>IF('Cable Info'!L744="","",CONCATENATE('Cable Info'!L744," - ",'Cable Info'!M744))</f>
        <v/>
      </c>
      <c r="AM1040" s="121" t="str">
        <f t="shared" si="179"/>
        <v/>
      </c>
      <c r="AO1040" s="121" t="str">
        <f>IF('Cable Info'!N744="","",CONCATENATE('Cable Info'!N744," - ",'Cable Info'!O744))</f>
        <v/>
      </c>
      <c r="AR1040" s="121" t="str">
        <f t="shared" si="180"/>
        <v/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str">
        <f>IF('Cable Info'!L745="","",CONCATENATE('Cable Info'!L745," - ",'Cable Info'!M745))</f>
        <v/>
      </c>
      <c r="AM1041" s="121" t="str">
        <f t="shared" si="179"/>
        <v/>
      </c>
      <c r="AO1041" s="121" t="str">
        <f>IF('Cable Info'!N745="","",CONCATENATE('Cable Info'!N745," - ",'Cable Info'!O745))</f>
        <v/>
      </c>
      <c r="AR1041" s="121" t="str">
        <f t="shared" si="180"/>
        <v/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str">
        <f>IF('Cable Info'!L746="","",CONCATENATE('Cable Info'!L746," - ",'Cable Info'!M746))</f>
        <v/>
      </c>
      <c r="AM1042" s="121" t="str">
        <f t="shared" si="179"/>
        <v/>
      </c>
      <c r="AO1042" s="121" t="str">
        <f>IF('Cable Info'!N746="","",CONCATENATE('Cable Info'!N746," - ",'Cable Info'!O746))</f>
        <v/>
      </c>
      <c r="AR1042" s="121" t="str">
        <f t="shared" si="180"/>
        <v/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str">
        <f>IF('Cable Info'!L747="","",CONCATENATE('Cable Info'!L747," - ",'Cable Info'!M747))</f>
        <v/>
      </c>
      <c r="AM1043" s="121" t="str">
        <f t="shared" si="179"/>
        <v/>
      </c>
      <c r="AO1043" s="121" t="str">
        <f>IF('Cable Info'!N747="","",CONCATENATE('Cable Info'!N747," - ",'Cable Info'!O747))</f>
        <v/>
      </c>
      <c r="AR1043" s="121" t="str">
        <f t="shared" si="180"/>
        <v/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str">
        <f>IF('Cable Info'!L748="","",CONCATENATE('Cable Info'!L748," - ",'Cable Info'!M748))</f>
        <v/>
      </c>
      <c r="AM1044" s="121" t="str">
        <f t="shared" si="179"/>
        <v/>
      </c>
      <c r="AO1044" s="121" t="str">
        <f>IF('Cable Info'!N748="","",CONCATENATE('Cable Info'!N748," - ",'Cable Info'!O748))</f>
        <v/>
      </c>
      <c r="AR1044" s="121" t="str">
        <f t="shared" si="180"/>
        <v/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str">
        <f>IF('Cable Info'!L749="","",CONCATENATE('Cable Info'!L749," - ",'Cable Info'!M749))</f>
        <v/>
      </c>
      <c r="AM1045" s="121" t="str">
        <f t="shared" si="179"/>
        <v/>
      </c>
      <c r="AO1045" s="121" t="str">
        <f>IF('Cable Info'!N749="","",CONCATENATE('Cable Info'!N749," - ",'Cable Info'!O749))</f>
        <v/>
      </c>
      <c r="AR1045" s="121" t="str">
        <f t="shared" si="180"/>
        <v/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str">
        <f>IF('Cable Info'!L750="","",CONCATENATE('Cable Info'!L750," - ",'Cable Info'!M750))</f>
        <v/>
      </c>
      <c r="AM1046" s="121" t="str">
        <f t="shared" si="179"/>
        <v/>
      </c>
      <c r="AO1046" s="121" t="str">
        <f>IF('Cable Info'!N750="","",CONCATENATE('Cable Info'!N750," - ",'Cable Info'!O750))</f>
        <v/>
      </c>
      <c r="AR1046" s="121" t="str">
        <f t="shared" si="180"/>
        <v/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str">
        <f>IF('Cable Info'!L751="","",CONCATENATE('Cable Info'!L751," - ",'Cable Info'!M751))</f>
        <v/>
      </c>
      <c r="AM1047" s="121" t="str">
        <f t="shared" si="179"/>
        <v/>
      </c>
      <c r="AO1047" s="121" t="str">
        <f>IF('Cable Info'!N751="","",CONCATENATE('Cable Info'!N751," - ",'Cable Info'!O751))</f>
        <v/>
      </c>
      <c r="AR1047" s="121" t="str">
        <f t="shared" si="180"/>
        <v/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str">
        <f>IF('Cable Info'!L752="","",CONCATENATE('Cable Info'!L752," - ",'Cable Info'!M752))</f>
        <v/>
      </c>
      <c r="AM1048" s="121" t="str">
        <f t="shared" si="179"/>
        <v/>
      </c>
      <c r="AO1048" s="121" t="str">
        <f>IF('Cable Info'!N752="","",CONCATENATE('Cable Info'!N752," - ",'Cable Info'!O752))</f>
        <v/>
      </c>
      <c r="AR1048" s="121" t="str">
        <f t="shared" si="180"/>
        <v/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str">
        <f>IF('Cable Info'!L753="","",CONCATENATE('Cable Info'!L753," - ",'Cable Info'!M753))</f>
        <v/>
      </c>
      <c r="AM1049" s="121" t="str">
        <f t="shared" si="179"/>
        <v/>
      </c>
      <c r="AO1049" s="121" t="str">
        <f>IF('Cable Info'!N753="","",CONCATENATE('Cable Info'!N753," - ",'Cable Info'!O753))</f>
        <v/>
      </c>
      <c r="AR1049" s="121" t="str">
        <f t="shared" si="180"/>
        <v/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str">
        <f>IF('Cable Info'!L754="","",CONCATENATE('Cable Info'!L754," - ",'Cable Info'!M754))</f>
        <v/>
      </c>
      <c r="AM1050" s="121" t="str">
        <f t="shared" si="179"/>
        <v/>
      </c>
      <c r="AO1050" s="121" t="str">
        <f>IF('Cable Info'!N754="","",CONCATENATE('Cable Info'!N754," - ",'Cable Info'!O754))</f>
        <v/>
      </c>
      <c r="AR1050" s="121" t="str">
        <f t="shared" si="180"/>
        <v/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str">
        <f>IF('Cable Info'!L755="","",CONCATENATE('Cable Info'!L755," - ",'Cable Info'!M755))</f>
        <v/>
      </c>
      <c r="AM1051" s="121" t="str">
        <f t="shared" si="179"/>
        <v/>
      </c>
      <c r="AO1051" s="121" t="str">
        <f>IF('Cable Info'!N755="","",CONCATENATE('Cable Info'!N755," - ",'Cable Info'!O755))</f>
        <v/>
      </c>
      <c r="AR1051" s="121" t="str">
        <f t="shared" si="180"/>
        <v/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str">
        <f>IF('Cable Info'!L756="","",CONCATENATE('Cable Info'!L756," - ",'Cable Info'!M756))</f>
        <v/>
      </c>
      <c r="AM1052" s="121" t="str">
        <f t="shared" si="179"/>
        <v/>
      </c>
      <c r="AO1052" s="121" t="str">
        <f>IF('Cable Info'!N756="","",CONCATENATE('Cable Info'!N756," - ",'Cable Info'!O756))</f>
        <v/>
      </c>
      <c r="AR1052" s="121" t="str">
        <f t="shared" si="180"/>
        <v/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str">
        <f>IF('Cable Info'!L757="","",CONCATENATE('Cable Info'!L757," - ",'Cable Info'!M757))</f>
        <v/>
      </c>
      <c r="AM1053" s="121" t="str">
        <f t="shared" si="179"/>
        <v/>
      </c>
      <c r="AO1053" s="121" t="str">
        <f>IF('Cable Info'!N757="","",CONCATENATE('Cable Info'!N757," - ",'Cable Info'!O757))</f>
        <v/>
      </c>
      <c r="AR1053" s="121" t="str">
        <f t="shared" si="180"/>
        <v/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str">
        <f>IF('Cable Info'!L758="","",CONCATENATE('Cable Info'!L758," - ",'Cable Info'!M758))</f>
        <v/>
      </c>
      <c r="AM1054" s="121" t="str">
        <f t="shared" si="179"/>
        <v/>
      </c>
      <c r="AO1054" s="121" t="str">
        <f>IF('Cable Info'!N758="","",CONCATENATE('Cable Info'!N758," - ",'Cable Info'!O758))</f>
        <v/>
      </c>
      <c r="AR1054" s="121" t="str">
        <f t="shared" si="180"/>
        <v/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str">
        <f>IF('Cable Info'!L759="","",CONCATENATE('Cable Info'!L759," - ",'Cable Info'!M759))</f>
        <v/>
      </c>
      <c r="AM1055" s="121" t="str">
        <f t="shared" si="179"/>
        <v/>
      </c>
      <c r="AO1055" s="121" t="str">
        <f>IF('Cable Info'!N759="","",CONCATENATE('Cable Info'!N759," - ",'Cable Info'!O759))</f>
        <v/>
      </c>
      <c r="AR1055" s="121" t="str">
        <f t="shared" si="180"/>
        <v/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str">
        <f>IF('Cable Info'!L760="","",CONCATENATE('Cable Info'!L760," - ",'Cable Info'!M760))</f>
        <v/>
      </c>
      <c r="AM1056" s="121" t="str">
        <f t="shared" si="179"/>
        <v/>
      </c>
      <c r="AO1056" s="121" t="str">
        <f>IF('Cable Info'!N760="","",CONCATENATE('Cable Info'!N760," - ",'Cable Info'!O760))</f>
        <v/>
      </c>
      <c r="AR1056" s="121" t="str">
        <f t="shared" si="180"/>
        <v/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str">
        <f>IF('Cable Info'!L761="","",CONCATENATE('Cable Info'!L761," - ",'Cable Info'!M761))</f>
        <v/>
      </c>
      <c r="AM1057" s="121" t="str">
        <f t="shared" si="179"/>
        <v/>
      </c>
      <c r="AO1057" s="121" t="str">
        <f>IF('Cable Info'!N761="","",CONCATENATE('Cable Info'!N761," - ",'Cable Info'!O761))</f>
        <v/>
      </c>
      <c r="AR1057" s="121" t="str">
        <f t="shared" si="180"/>
        <v/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str">
        <f>IF('Cable Info'!L762="","",CONCATENATE('Cable Info'!L762," - ",'Cable Info'!M762))</f>
        <v/>
      </c>
      <c r="AM1058" s="121" t="str">
        <f t="shared" si="179"/>
        <v/>
      </c>
      <c r="AO1058" s="121" t="str">
        <f>IF('Cable Info'!N762="","",CONCATENATE('Cable Info'!N762," - ",'Cable Info'!O762))</f>
        <v/>
      </c>
      <c r="AR1058" s="121" t="str">
        <f t="shared" si="180"/>
        <v/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str">
        <f>IF('Cable Info'!L763="","",CONCATENATE('Cable Info'!L763," - ",'Cable Info'!M763))</f>
        <v/>
      </c>
      <c r="AM1059" s="121" t="str">
        <f t="shared" si="179"/>
        <v/>
      </c>
      <c r="AO1059" s="121" t="str">
        <f>IF('Cable Info'!N763="","",CONCATENATE('Cable Info'!N763," - ",'Cable Info'!O763))</f>
        <v/>
      </c>
      <c r="AR1059" s="121" t="str">
        <f t="shared" si="180"/>
        <v/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str">
        <f>IF('Cable Info'!L764="","",CONCATENATE('Cable Info'!L764," - ",'Cable Info'!M764))</f>
        <v/>
      </c>
      <c r="AM1060" s="121" t="str">
        <f t="shared" si="179"/>
        <v/>
      </c>
      <c r="AO1060" s="121" t="str">
        <f>IF('Cable Info'!N764="","",CONCATENATE('Cable Info'!N764," - ",'Cable Info'!O764))</f>
        <v/>
      </c>
      <c r="AR1060" s="121" t="str">
        <f t="shared" si="180"/>
        <v/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str">
        <f>IF('Cable Info'!L765="","",CONCATENATE('Cable Info'!L765," - ",'Cable Info'!M765))</f>
        <v/>
      </c>
      <c r="AM1061" s="121" t="str">
        <f t="shared" si="179"/>
        <v/>
      </c>
      <c r="AO1061" s="121" t="str">
        <f>IF('Cable Info'!N765="","",CONCATENATE('Cable Info'!N765," - ",'Cable Info'!O765))</f>
        <v/>
      </c>
      <c r="AR1061" s="121" t="str">
        <f t="shared" si="180"/>
        <v/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str">
        <f>IF('Cable Info'!L766="","",CONCATENATE('Cable Info'!L766," - ",'Cable Info'!M766))</f>
        <v/>
      </c>
      <c r="AM1062" s="121" t="str">
        <f t="shared" si="179"/>
        <v/>
      </c>
      <c r="AO1062" s="121" t="str">
        <f>IF('Cable Info'!N766="","",CONCATENATE('Cable Info'!N766," - ",'Cable Info'!O766))</f>
        <v/>
      </c>
      <c r="AR1062" s="121" t="str">
        <f t="shared" si="180"/>
        <v/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str">
        <f>IF('Cable Info'!L767="","",CONCATENATE('Cable Info'!L767," - ",'Cable Info'!M767))</f>
        <v/>
      </c>
      <c r="AM1063" s="121" t="str">
        <f t="shared" si="179"/>
        <v/>
      </c>
      <c r="AO1063" s="121" t="str">
        <f>IF('Cable Info'!N767="","",CONCATENATE('Cable Info'!N767," - ",'Cable Info'!O767))</f>
        <v/>
      </c>
      <c r="AR1063" s="121" t="str">
        <f t="shared" si="180"/>
        <v/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str">
        <f>IF('Cable Info'!L768="","",CONCATENATE('Cable Info'!L768," - ",'Cable Info'!M768))</f>
        <v/>
      </c>
      <c r="AM1064" s="121" t="str">
        <f t="shared" si="179"/>
        <v/>
      </c>
      <c r="AO1064" s="121" t="str">
        <f>IF('Cable Info'!N768="","",CONCATENATE('Cable Info'!N768," - ",'Cable Info'!O768))</f>
        <v/>
      </c>
      <c r="AR1064" s="121" t="str">
        <f t="shared" si="180"/>
        <v/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str">
        <f>IF('Cable Info'!L769="","",CONCATENATE('Cable Info'!L769," - ",'Cable Info'!M769))</f>
        <v/>
      </c>
      <c r="AM1065" s="121" t="str">
        <f t="shared" si="179"/>
        <v/>
      </c>
      <c r="AO1065" s="121" t="str">
        <f>IF('Cable Info'!N769="","",CONCATENATE('Cable Info'!N769," - ",'Cable Info'!O769))</f>
        <v/>
      </c>
      <c r="AR1065" s="121" t="str">
        <f t="shared" si="180"/>
        <v/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str">
        <f>IF('Cable Info'!L770="","",CONCATENATE('Cable Info'!L770," - ",'Cable Info'!M770))</f>
        <v/>
      </c>
      <c r="AM1066" s="121" t="str">
        <f t="shared" si="179"/>
        <v/>
      </c>
      <c r="AO1066" s="121" t="str">
        <f>IF('Cable Info'!N770="","",CONCATENATE('Cable Info'!N770," - ",'Cable Info'!O770))</f>
        <v/>
      </c>
      <c r="AR1066" s="121" t="str">
        <f t="shared" si="180"/>
        <v/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str">
        <f>IF('Cable Info'!L771="","",CONCATENATE('Cable Info'!L771," - ",'Cable Info'!M771))</f>
        <v/>
      </c>
      <c r="AM1067" s="121" t="str">
        <f t="shared" ref="AM1067:AM1130" si="185">IF(AK1067="",AJ1067,CONCATENATE(AJ1067,"  &lt;=&gt; ",AK1067," ",AL1067))</f>
        <v/>
      </c>
      <c r="AO1067" s="121" t="str">
        <f>IF('Cable Info'!N771="","",CONCATENATE('Cable Info'!N771," - ",'Cable Info'!O771))</f>
        <v/>
      </c>
      <c r="AR1067" s="121" t="str">
        <f t="shared" ref="AR1067:AR1130" si="186">IF(AP1067="",AO1067,CONCATENATE(AO1067,"  &lt;=&gt; ",AP1067," ",AQ1067))</f>
        <v/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str">
        <f>IF('Cable Info'!L772="","",CONCATENATE('Cable Info'!L772," - ",'Cable Info'!M772))</f>
        <v/>
      </c>
      <c r="AM1068" s="121" t="str">
        <f t="shared" si="185"/>
        <v/>
      </c>
      <c r="AO1068" s="121" t="str">
        <f>IF('Cable Info'!N772="","",CONCATENATE('Cable Info'!N772," - ",'Cable Info'!O772))</f>
        <v/>
      </c>
      <c r="AR1068" s="121" t="str">
        <f t="shared" si="186"/>
        <v/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str">
        <f>IF('Cable Info'!L773="","",CONCATENATE('Cable Info'!L773," - ",'Cable Info'!M773))</f>
        <v/>
      </c>
      <c r="AM1069" s="121" t="str">
        <f t="shared" si="185"/>
        <v/>
      </c>
      <c r="AO1069" s="121" t="str">
        <f>IF('Cable Info'!N773="","",CONCATENATE('Cable Info'!N773," - ",'Cable Info'!O773))</f>
        <v/>
      </c>
      <c r="AR1069" s="121" t="str">
        <f t="shared" si="186"/>
        <v/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str">
        <f>IF('Cable Info'!L774="","",CONCATENATE('Cable Info'!L774," - ",'Cable Info'!M774))</f>
        <v/>
      </c>
      <c r="AM1070" s="121" t="str">
        <f t="shared" si="185"/>
        <v/>
      </c>
      <c r="AO1070" s="121" t="str">
        <f>IF('Cable Info'!N774="","",CONCATENATE('Cable Info'!N774," - ",'Cable Info'!O774))</f>
        <v/>
      </c>
      <c r="AR1070" s="121" t="str">
        <f t="shared" si="186"/>
        <v/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str">
        <f>IF('Cable Info'!L775="","",CONCATENATE('Cable Info'!L775," - ",'Cable Info'!M775))</f>
        <v/>
      </c>
      <c r="AM1071" s="121" t="str">
        <f t="shared" si="185"/>
        <v/>
      </c>
      <c r="AO1071" s="121" t="str">
        <f>IF('Cable Info'!N775="","",CONCATENATE('Cable Info'!N775," - ",'Cable Info'!O775))</f>
        <v/>
      </c>
      <c r="AR1071" s="121" t="str">
        <f t="shared" si="186"/>
        <v/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str">
        <f>IF('Cable Info'!L776="","",CONCATENATE('Cable Info'!L776," - ",'Cable Info'!M776))</f>
        <v/>
      </c>
      <c r="AM1072" s="121" t="str">
        <f t="shared" si="185"/>
        <v/>
      </c>
      <c r="AO1072" s="121" t="str">
        <f>IF('Cable Info'!N776="","",CONCATENATE('Cable Info'!N776," - ",'Cable Info'!O776))</f>
        <v/>
      </c>
      <c r="AR1072" s="121" t="str">
        <f t="shared" si="186"/>
        <v/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str">
        <f>IF('Cable Info'!L777="","",CONCATENATE('Cable Info'!L777," - ",'Cable Info'!M777))</f>
        <v/>
      </c>
      <c r="AM1073" s="121" t="str">
        <f t="shared" si="185"/>
        <v/>
      </c>
      <c r="AO1073" s="121" t="str">
        <f>IF('Cable Info'!N777="","",CONCATENATE('Cable Info'!N777," - ",'Cable Info'!O777))</f>
        <v/>
      </c>
      <c r="AR1073" s="121" t="str">
        <f t="shared" si="186"/>
        <v/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str">
        <f>IF('Cable Info'!L778="","",CONCATENATE('Cable Info'!L778," - ",'Cable Info'!M778))</f>
        <v/>
      </c>
      <c r="AM1074" s="121" t="str">
        <f t="shared" si="185"/>
        <v/>
      </c>
      <c r="AO1074" s="121" t="str">
        <f>IF('Cable Info'!N778="","",CONCATENATE('Cable Info'!N778," - ",'Cable Info'!O778))</f>
        <v/>
      </c>
      <c r="AR1074" s="121" t="str">
        <f t="shared" si="186"/>
        <v/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str">
        <f>IF('Cable Info'!L779="","",CONCATENATE('Cable Info'!L779," - ",'Cable Info'!M779))</f>
        <v/>
      </c>
      <c r="AM1075" s="121" t="str">
        <f t="shared" si="185"/>
        <v/>
      </c>
      <c r="AO1075" s="121" t="str">
        <f>IF('Cable Info'!N779="","",CONCATENATE('Cable Info'!N779," - ",'Cable Info'!O779))</f>
        <v/>
      </c>
      <c r="AR1075" s="121" t="str">
        <f t="shared" si="186"/>
        <v/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str">
        <f>IF('Cable Info'!L780="","",CONCATENATE('Cable Info'!L780," - ",'Cable Info'!M780))</f>
        <v/>
      </c>
      <c r="AM1076" s="121" t="str">
        <f t="shared" si="185"/>
        <v/>
      </c>
      <c r="AO1076" s="121" t="str">
        <f>IF('Cable Info'!N780="","",CONCATENATE('Cable Info'!N780," - ",'Cable Info'!O780))</f>
        <v/>
      </c>
      <c r="AR1076" s="121" t="str">
        <f t="shared" si="186"/>
        <v/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str">
        <f>IF('Cable Info'!L781="","",CONCATENATE('Cable Info'!L781," - ",'Cable Info'!M781))</f>
        <v/>
      </c>
      <c r="AM1077" s="121" t="str">
        <f t="shared" si="185"/>
        <v/>
      </c>
      <c r="AO1077" s="121" t="str">
        <f>IF('Cable Info'!N781="","",CONCATENATE('Cable Info'!N781," - ",'Cable Info'!O781))</f>
        <v/>
      </c>
      <c r="AR1077" s="121" t="str">
        <f t="shared" si="186"/>
        <v/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str">
        <f>IF('Cable Info'!L782="","",CONCATENATE('Cable Info'!L782," - ",'Cable Info'!M782))</f>
        <v/>
      </c>
      <c r="AM1078" s="121" t="str">
        <f t="shared" si="185"/>
        <v/>
      </c>
      <c r="AO1078" s="121" t="str">
        <f>IF('Cable Info'!N782="","",CONCATENATE('Cable Info'!N782," - ",'Cable Info'!O782))</f>
        <v/>
      </c>
      <c r="AR1078" s="121" t="str">
        <f t="shared" si="186"/>
        <v/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str">
        <f>IF('Cable Info'!L783="","",CONCATENATE('Cable Info'!L783," - ",'Cable Info'!M783))</f>
        <v/>
      </c>
      <c r="AM1079" s="121" t="str">
        <f t="shared" si="185"/>
        <v/>
      </c>
      <c r="AO1079" s="121" t="str">
        <f>IF('Cable Info'!N783="","",CONCATENATE('Cable Info'!N783," - ",'Cable Info'!O783))</f>
        <v/>
      </c>
      <c r="AR1079" s="121" t="str">
        <f t="shared" si="186"/>
        <v/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str">
        <f>IF('Cable Info'!L784="","",CONCATENATE('Cable Info'!L784," - ",'Cable Info'!M784))</f>
        <v/>
      </c>
      <c r="AM1080" s="121" t="str">
        <f t="shared" si="185"/>
        <v/>
      </c>
      <c r="AO1080" s="121" t="str">
        <f>IF('Cable Info'!N784="","",CONCATENATE('Cable Info'!N784," - ",'Cable Info'!O784))</f>
        <v/>
      </c>
      <c r="AR1080" s="121" t="str">
        <f t="shared" si="186"/>
        <v/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str">
        <f>IF('Cable Info'!L785="","",CONCATENATE('Cable Info'!L785," - ",'Cable Info'!M785))</f>
        <v/>
      </c>
      <c r="AM1081" s="121" t="str">
        <f t="shared" si="185"/>
        <v/>
      </c>
      <c r="AO1081" s="121" t="str">
        <f>IF('Cable Info'!N785="","",CONCATENATE('Cable Info'!N785," - ",'Cable Info'!O785))</f>
        <v/>
      </c>
      <c r="AR1081" s="121" t="str">
        <f t="shared" si="186"/>
        <v/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str">
        <f>IF('Cable Info'!L786="","",CONCATENATE('Cable Info'!L786," - ",'Cable Info'!M786))</f>
        <v/>
      </c>
      <c r="AM1082" s="121" t="str">
        <f t="shared" si="185"/>
        <v/>
      </c>
      <c r="AO1082" s="121" t="str">
        <f>IF('Cable Info'!N786="","",CONCATENATE('Cable Info'!N786," - ",'Cable Info'!O786))</f>
        <v/>
      </c>
      <c r="AR1082" s="121" t="str">
        <f t="shared" si="186"/>
        <v/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str">
        <f>IF('Cable Info'!L787="","",CONCATENATE('Cable Info'!L787," - ",'Cable Info'!M787))</f>
        <v/>
      </c>
      <c r="AM1083" s="121" t="str">
        <f t="shared" si="185"/>
        <v/>
      </c>
      <c r="AO1083" s="121" t="str">
        <f>IF('Cable Info'!N787="","",CONCATENATE('Cable Info'!N787," - ",'Cable Info'!O787))</f>
        <v/>
      </c>
      <c r="AR1083" s="121" t="str">
        <f t="shared" si="186"/>
        <v/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str">
        <f>IF('Cable Info'!L788="","",CONCATENATE('Cable Info'!L788," - ",'Cable Info'!M788))</f>
        <v/>
      </c>
      <c r="AM1084" s="121" t="str">
        <f t="shared" si="185"/>
        <v/>
      </c>
      <c r="AO1084" s="121" t="str">
        <f>IF('Cable Info'!N788="","",CONCATENATE('Cable Info'!N788," - ",'Cable Info'!O788))</f>
        <v/>
      </c>
      <c r="AR1084" s="121" t="str">
        <f t="shared" si="186"/>
        <v/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str">
        <f>IF('Cable Info'!L789="","",CONCATENATE('Cable Info'!L789," - ",'Cable Info'!M789))</f>
        <v/>
      </c>
      <c r="AM1085" s="121" t="str">
        <f t="shared" si="185"/>
        <v/>
      </c>
      <c r="AO1085" s="121" t="str">
        <f>IF('Cable Info'!N789="","",CONCATENATE('Cable Info'!N789," - ",'Cable Info'!O789))</f>
        <v/>
      </c>
      <c r="AR1085" s="121" t="str">
        <f t="shared" si="186"/>
        <v/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str">
        <f>IF('Cable Info'!L790="","",CONCATENATE('Cable Info'!L790," - ",'Cable Info'!M790))</f>
        <v/>
      </c>
      <c r="AM1086" s="121" t="str">
        <f t="shared" si="185"/>
        <v/>
      </c>
      <c r="AO1086" s="121" t="str">
        <f>IF('Cable Info'!N790="","",CONCATENATE('Cable Info'!N790," - ",'Cable Info'!O790))</f>
        <v/>
      </c>
      <c r="AR1086" s="121" t="str">
        <f t="shared" si="186"/>
        <v/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str">
        <f>IF('Cable Info'!L791="","",CONCATENATE('Cable Info'!L791," - ",'Cable Info'!M791))</f>
        <v/>
      </c>
      <c r="AM1087" s="121" t="str">
        <f t="shared" si="185"/>
        <v/>
      </c>
      <c r="AO1087" s="121" t="str">
        <f>IF('Cable Info'!N791="","",CONCATENATE('Cable Info'!N791," - ",'Cable Info'!O791))</f>
        <v/>
      </c>
      <c r="AR1087" s="121" t="str">
        <f t="shared" si="186"/>
        <v/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str">
        <f>IF('Cable Info'!L792="","",CONCATENATE('Cable Info'!L792," - ",'Cable Info'!M792))</f>
        <v/>
      </c>
      <c r="AM1088" s="121" t="str">
        <f t="shared" si="185"/>
        <v/>
      </c>
      <c r="AO1088" s="121" t="str">
        <f>IF('Cable Info'!N792="","",CONCATENATE('Cable Info'!N792," - ",'Cable Info'!O792))</f>
        <v/>
      </c>
      <c r="AR1088" s="121" t="str">
        <f t="shared" si="186"/>
        <v/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str">
        <f>IF('Cable Info'!L793="","",CONCATENATE('Cable Info'!L793," - ",'Cable Info'!M793))</f>
        <v/>
      </c>
      <c r="AM1089" s="121" t="str">
        <f t="shared" si="185"/>
        <v/>
      </c>
      <c r="AO1089" s="121" t="str">
        <f>IF('Cable Info'!N793="","",CONCATENATE('Cable Info'!N793," - ",'Cable Info'!O793))</f>
        <v/>
      </c>
      <c r="AR1089" s="121" t="str">
        <f t="shared" si="186"/>
        <v/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str">
        <f>IF('Cable Info'!L794="","",CONCATENATE('Cable Info'!L794," - ",'Cable Info'!M794))</f>
        <v/>
      </c>
      <c r="AM1090" s="121" t="str">
        <f t="shared" si="185"/>
        <v/>
      </c>
      <c r="AO1090" s="121" t="str">
        <f>IF('Cable Info'!N794="","",CONCATENATE('Cable Info'!N794," - ",'Cable Info'!O794))</f>
        <v/>
      </c>
      <c r="AR1090" s="121" t="str">
        <f t="shared" si="186"/>
        <v/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str">
        <f>IF('Cable Info'!L795="","",CONCATENATE('Cable Info'!L795," - ",'Cable Info'!M795))</f>
        <v/>
      </c>
      <c r="AM1091" s="121" t="str">
        <f t="shared" si="185"/>
        <v/>
      </c>
      <c r="AO1091" s="121" t="str">
        <f>IF('Cable Info'!N795="","",CONCATENATE('Cable Info'!N795," - ",'Cable Info'!O795))</f>
        <v/>
      </c>
      <c r="AR1091" s="121" t="str">
        <f t="shared" si="186"/>
        <v/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str">
        <f>IF('Cable Info'!L796="","",CONCATENATE('Cable Info'!L796," - ",'Cable Info'!M796))</f>
        <v/>
      </c>
      <c r="AM1092" s="121" t="str">
        <f t="shared" si="185"/>
        <v/>
      </c>
      <c r="AO1092" s="121" t="str">
        <f>IF('Cable Info'!N796="","",CONCATENATE('Cable Info'!N796," - ",'Cable Info'!O796))</f>
        <v/>
      </c>
      <c r="AR1092" s="121" t="str">
        <f t="shared" si="186"/>
        <v/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str">
        <f>IF('Cable Info'!L797="","",CONCATENATE('Cable Info'!L797," - ",'Cable Info'!M797))</f>
        <v/>
      </c>
      <c r="AM1093" s="121" t="str">
        <f t="shared" si="185"/>
        <v/>
      </c>
      <c r="AO1093" s="121" t="str">
        <f>IF('Cable Info'!N797="","",CONCATENATE('Cable Info'!N797," - ",'Cable Info'!O797))</f>
        <v/>
      </c>
      <c r="AR1093" s="121" t="str">
        <f t="shared" si="186"/>
        <v/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str">
        <f>IF('Cable Info'!L798="","",CONCATENATE('Cable Info'!L798," - ",'Cable Info'!M798))</f>
        <v/>
      </c>
      <c r="AM1094" s="121" t="str">
        <f t="shared" si="185"/>
        <v/>
      </c>
      <c r="AO1094" s="121" t="str">
        <f>IF('Cable Info'!N798="","",CONCATENATE('Cable Info'!N798," - ",'Cable Info'!O798))</f>
        <v/>
      </c>
      <c r="AR1094" s="121" t="str">
        <f t="shared" si="186"/>
        <v/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str">
        <f>IF('Cable Info'!L799="","",CONCATENATE('Cable Info'!L799," - ",'Cable Info'!M799))</f>
        <v/>
      </c>
      <c r="AM1095" s="121" t="str">
        <f t="shared" si="185"/>
        <v/>
      </c>
      <c r="AO1095" s="121" t="str">
        <f>IF('Cable Info'!N799="","",CONCATENATE('Cable Info'!N799," - ",'Cable Info'!O799))</f>
        <v/>
      </c>
      <c r="AR1095" s="121" t="str">
        <f t="shared" si="186"/>
        <v/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str">
        <f>IF('Cable Info'!L800="","",CONCATENATE('Cable Info'!L800," - ",'Cable Info'!M800))</f>
        <v/>
      </c>
      <c r="AM1096" s="121" t="str">
        <f t="shared" si="185"/>
        <v/>
      </c>
      <c r="AO1096" s="121" t="str">
        <f>IF('Cable Info'!N800="","",CONCATENATE('Cable Info'!N800," - ",'Cable Info'!O800))</f>
        <v/>
      </c>
      <c r="AR1096" s="121" t="str">
        <f t="shared" si="186"/>
        <v/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str">
        <f>IF('Cable Info'!L801="","",CONCATENATE('Cable Info'!L801," - ",'Cable Info'!M801))</f>
        <v/>
      </c>
      <c r="AM1097" s="121" t="str">
        <f t="shared" si="185"/>
        <v/>
      </c>
      <c r="AO1097" s="121" t="str">
        <f>IF('Cable Info'!N801="","",CONCATENATE('Cable Info'!N801," - ",'Cable Info'!O801))</f>
        <v/>
      </c>
      <c r="AR1097" s="121" t="str">
        <f t="shared" si="186"/>
        <v/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str">
        <f>IF('Cable Info'!L802="","",CONCATENATE('Cable Info'!L802," - ",'Cable Info'!M802))</f>
        <v/>
      </c>
      <c r="AM1098" s="121" t="str">
        <f t="shared" si="185"/>
        <v/>
      </c>
      <c r="AO1098" s="121" t="str">
        <f>IF('Cable Info'!N802="","",CONCATENATE('Cable Info'!N802," - ",'Cable Info'!O802))</f>
        <v/>
      </c>
      <c r="AR1098" s="121" t="str">
        <f t="shared" si="186"/>
        <v/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str">
        <f>IF('Cable Info'!L803="","",CONCATENATE('Cable Info'!L803," - ",'Cable Info'!M803))</f>
        <v/>
      </c>
      <c r="AM1099" s="121" t="str">
        <f t="shared" si="185"/>
        <v/>
      </c>
      <c r="AO1099" s="121" t="str">
        <f>IF('Cable Info'!N803="","",CONCATENATE('Cable Info'!N803," - ",'Cable Info'!O803))</f>
        <v/>
      </c>
      <c r="AR1099" s="121" t="str">
        <f t="shared" si="186"/>
        <v/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str">
        <f>IF('Cable Info'!L804="","",CONCATENATE('Cable Info'!L804," - ",'Cable Info'!M804))</f>
        <v/>
      </c>
      <c r="AM1100" s="121" t="str">
        <f t="shared" si="185"/>
        <v/>
      </c>
      <c r="AO1100" s="121" t="str">
        <f>IF('Cable Info'!N804="","",CONCATENATE('Cable Info'!N804," - ",'Cable Info'!O804))</f>
        <v/>
      </c>
      <c r="AR1100" s="121" t="str">
        <f t="shared" si="186"/>
        <v/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str">
        <f>IF('Cable Info'!L805="","",CONCATENATE('Cable Info'!L805," - ",'Cable Info'!M805))</f>
        <v/>
      </c>
      <c r="AM1101" s="121" t="str">
        <f t="shared" si="185"/>
        <v/>
      </c>
      <c r="AO1101" s="121" t="str">
        <f>IF('Cable Info'!N805="","",CONCATENATE('Cable Info'!N805," - ",'Cable Info'!O805))</f>
        <v/>
      </c>
      <c r="AR1101" s="121" t="str">
        <f t="shared" si="186"/>
        <v/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str">
        <f>IF('Cable Info'!L806="","",CONCATENATE('Cable Info'!L806," - ",'Cable Info'!M806))</f>
        <v/>
      </c>
      <c r="AM1102" s="121" t="str">
        <f t="shared" si="185"/>
        <v/>
      </c>
      <c r="AO1102" s="121" t="str">
        <f>IF('Cable Info'!N806="","",CONCATENATE('Cable Info'!N806," - ",'Cable Info'!O806))</f>
        <v/>
      </c>
      <c r="AR1102" s="121" t="str">
        <f t="shared" si="186"/>
        <v/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str">
        <f>IF('Cable Info'!L807="","",CONCATENATE('Cable Info'!L807," - ",'Cable Info'!M807))</f>
        <v/>
      </c>
      <c r="AM1103" s="121" t="str">
        <f t="shared" si="185"/>
        <v/>
      </c>
      <c r="AO1103" s="121" t="str">
        <f>IF('Cable Info'!N807="","",CONCATENATE('Cable Info'!N807," - ",'Cable Info'!O807))</f>
        <v/>
      </c>
      <c r="AR1103" s="121" t="str">
        <f t="shared" si="186"/>
        <v/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str">
        <f>IF('Cable Info'!L808="","",CONCATENATE('Cable Info'!L808," - ",'Cable Info'!M808))</f>
        <v/>
      </c>
      <c r="AM1104" s="121" t="str">
        <f t="shared" si="185"/>
        <v/>
      </c>
      <c r="AO1104" s="121" t="str">
        <f>IF('Cable Info'!N808="","",CONCATENATE('Cable Info'!N808," - ",'Cable Info'!O808))</f>
        <v/>
      </c>
      <c r="AR1104" s="121" t="str">
        <f t="shared" si="186"/>
        <v/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str">
        <f>IF('Cable Info'!L809="","",CONCATENATE('Cable Info'!L809," - ",'Cable Info'!M809))</f>
        <v/>
      </c>
      <c r="AM1105" s="121" t="str">
        <f t="shared" si="185"/>
        <v/>
      </c>
      <c r="AO1105" s="121" t="str">
        <f>IF('Cable Info'!N809="","",CONCATENATE('Cable Info'!N809," - ",'Cable Info'!O809))</f>
        <v/>
      </c>
      <c r="AR1105" s="121" t="str">
        <f t="shared" si="186"/>
        <v/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str">
        <f>IF('Cable Info'!L810="","",CONCATENATE('Cable Info'!L810," - ",'Cable Info'!M810))</f>
        <v/>
      </c>
      <c r="AM1106" s="121" t="str">
        <f t="shared" si="185"/>
        <v/>
      </c>
      <c r="AO1106" s="121" t="str">
        <f>IF('Cable Info'!N810="","",CONCATENATE('Cable Info'!N810," - ",'Cable Info'!O810))</f>
        <v/>
      </c>
      <c r="AR1106" s="121" t="str">
        <f t="shared" si="186"/>
        <v/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str">
        <f>IF('Cable Info'!L811="","",CONCATENATE('Cable Info'!L811," - ",'Cable Info'!M811))</f>
        <v/>
      </c>
      <c r="AM1107" s="121" t="str">
        <f t="shared" si="185"/>
        <v/>
      </c>
      <c r="AO1107" s="121" t="str">
        <f>IF('Cable Info'!N811="","",CONCATENATE('Cable Info'!N811," - ",'Cable Info'!O811))</f>
        <v/>
      </c>
      <c r="AR1107" s="121" t="str">
        <f t="shared" si="186"/>
        <v/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str">
        <f>IF('Cable Info'!L812="","",CONCATENATE('Cable Info'!L812," - ",'Cable Info'!M812))</f>
        <v/>
      </c>
      <c r="AM1108" s="121" t="str">
        <f t="shared" si="185"/>
        <v/>
      </c>
      <c r="AO1108" s="121" t="str">
        <f>IF('Cable Info'!N812="","",CONCATENATE('Cable Info'!N812," - ",'Cable Info'!O812))</f>
        <v/>
      </c>
      <c r="AR1108" s="121" t="str">
        <f t="shared" si="186"/>
        <v/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str">
        <f>IF('Cable Info'!L813="","",CONCATENATE('Cable Info'!L813," - ",'Cable Info'!M813))</f>
        <v/>
      </c>
      <c r="AM1109" s="121" t="str">
        <f t="shared" si="185"/>
        <v/>
      </c>
      <c r="AO1109" s="121" t="str">
        <f>IF('Cable Info'!N813="","",CONCATENATE('Cable Info'!N813," - ",'Cable Info'!O813))</f>
        <v/>
      </c>
      <c r="AR1109" s="121" t="str">
        <f t="shared" si="186"/>
        <v/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str">
        <f>IF('Cable Info'!L814="","",CONCATENATE('Cable Info'!L814," - ",'Cable Info'!M814))</f>
        <v/>
      </c>
      <c r="AM1110" s="121" t="str">
        <f t="shared" si="185"/>
        <v/>
      </c>
      <c r="AO1110" s="121" t="str">
        <f>IF('Cable Info'!N814="","",CONCATENATE('Cable Info'!N814," - ",'Cable Info'!O814))</f>
        <v/>
      </c>
      <c r="AR1110" s="121" t="str">
        <f t="shared" si="186"/>
        <v/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str">
        <f>IF('Cable Info'!L815="","",CONCATENATE('Cable Info'!L815," - ",'Cable Info'!M815))</f>
        <v/>
      </c>
      <c r="AM1111" s="121" t="str">
        <f t="shared" si="185"/>
        <v/>
      </c>
      <c r="AO1111" s="121" t="str">
        <f>IF('Cable Info'!N815="","",CONCATENATE('Cable Info'!N815," - ",'Cable Info'!O815))</f>
        <v/>
      </c>
      <c r="AR1111" s="121" t="str">
        <f t="shared" si="186"/>
        <v/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str">
        <f>IF('Cable Info'!L816="","",CONCATENATE('Cable Info'!L816," - ",'Cable Info'!M816))</f>
        <v/>
      </c>
      <c r="AM1112" s="121" t="str">
        <f t="shared" si="185"/>
        <v/>
      </c>
      <c r="AO1112" s="121" t="str">
        <f>IF('Cable Info'!N816="","",CONCATENATE('Cable Info'!N816," - ",'Cable Info'!O816))</f>
        <v/>
      </c>
      <c r="AR1112" s="121" t="str">
        <f t="shared" si="186"/>
        <v/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str">
        <f>IF('Cable Info'!L817="","",CONCATENATE('Cable Info'!L817," - ",'Cable Info'!M817))</f>
        <v/>
      </c>
      <c r="AM1113" s="121" t="str">
        <f t="shared" si="185"/>
        <v/>
      </c>
      <c r="AO1113" s="121" t="str">
        <f>IF('Cable Info'!N817="","",CONCATENATE('Cable Info'!N817," - ",'Cable Info'!O817))</f>
        <v/>
      </c>
      <c r="AR1113" s="121" t="str">
        <f t="shared" si="186"/>
        <v/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str">
        <f>IF('Cable Info'!L818="","",CONCATENATE('Cable Info'!L818," - ",'Cable Info'!M818))</f>
        <v/>
      </c>
      <c r="AM1114" s="121" t="str">
        <f t="shared" si="185"/>
        <v/>
      </c>
      <c r="AO1114" s="121" t="str">
        <f>IF('Cable Info'!N818="","",CONCATENATE('Cable Info'!N818," - ",'Cable Info'!O818))</f>
        <v/>
      </c>
      <c r="AR1114" s="121" t="str">
        <f t="shared" si="186"/>
        <v/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str">
        <f>IF('Cable Info'!L819="","",CONCATENATE('Cable Info'!L819," - ",'Cable Info'!M819))</f>
        <v/>
      </c>
      <c r="AM1115" s="121" t="str">
        <f t="shared" si="185"/>
        <v/>
      </c>
      <c r="AO1115" s="121" t="str">
        <f>IF('Cable Info'!N819="","",CONCATENATE('Cable Info'!N819," - ",'Cable Info'!O819))</f>
        <v/>
      </c>
      <c r="AR1115" s="121" t="str">
        <f t="shared" si="186"/>
        <v/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str">
        <f>IF('Cable Info'!L820="","",CONCATENATE('Cable Info'!L820," - ",'Cable Info'!M820))</f>
        <v/>
      </c>
      <c r="AM1116" s="121" t="str">
        <f t="shared" si="185"/>
        <v/>
      </c>
      <c r="AO1116" s="121" t="str">
        <f>IF('Cable Info'!N820="","",CONCATENATE('Cable Info'!N820," - ",'Cable Info'!O820))</f>
        <v/>
      </c>
      <c r="AR1116" s="121" t="str">
        <f t="shared" si="186"/>
        <v/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str">
        <f>IF('Cable Info'!L821="","",CONCATENATE('Cable Info'!L821," - ",'Cable Info'!M821))</f>
        <v/>
      </c>
      <c r="AM1117" s="121" t="str">
        <f t="shared" si="185"/>
        <v/>
      </c>
      <c r="AO1117" s="121" t="str">
        <f>IF('Cable Info'!N821="","",CONCATENATE('Cable Info'!N821," - ",'Cable Info'!O821))</f>
        <v/>
      </c>
      <c r="AR1117" s="121" t="str">
        <f t="shared" si="186"/>
        <v/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str">
        <f>IF('Cable Info'!L822="","",CONCATENATE('Cable Info'!L822," - ",'Cable Info'!M822))</f>
        <v/>
      </c>
      <c r="AM1118" s="121" t="str">
        <f t="shared" si="185"/>
        <v/>
      </c>
      <c r="AO1118" s="121" t="str">
        <f>IF('Cable Info'!N822="","",CONCATENATE('Cable Info'!N822," - ",'Cable Info'!O822))</f>
        <v/>
      </c>
      <c r="AR1118" s="121" t="str">
        <f t="shared" si="186"/>
        <v/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str">
        <f>IF('Cable Info'!L823="","",CONCATENATE('Cable Info'!L823," - ",'Cable Info'!M823))</f>
        <v/>
      </c>
      <c r="AM1119" s="121" t="str">
        <f t="shared" si="185"/>
        <v/>
      </c>
      <c r="AO1119" s="121" t="str">
        <f>IF('Cable Info'!N823="","",CONCATENATE('Cable Info'!N823," - ",'Cable Info'!O823))</f>
        <v/>
      </c>
      <c r="AR1119" s="121" t="str">
        <f t="shared" si="186"/>
        <v/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str">
        <f>IF('Cable Info'!L824="","",CONCATENATE('Cable Info'!L824," - ",'Cable Info'!M824))</f>
        <v/>
      </c>
      <c r="AM1120" s="121" t="str">
        <f t="shared" si="185"/>
        <v/>
      </c>
      <c r="AO1120" s="121" t="str">
        <f>IF('Cable Info'!N824="","",CONCATENATE('Cable Info'!N824," - ",'Cable Info'!O824))</f>
        <v/>
      </c>
      <c r="AR1120" s="121" t="str">
        <f t="shared" si="186"/>
        <v/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str">
        <f>IF('Cable Info'!L825="","",CONCATENATE('Cable Info'!L825," - ",'Cable Info'!M825))</f>
        <v/>
      </c>
      <c r="AM1121" s="121" t="str">
        <f t="shared" si="185"/>
        <v/>
      </c>
      <c r="AO1121" s="121" t="str">
        <f>IF('Cable Info'!N825="","",CONCATENATE('Cable Info'!N825," - ",'Cable Info'!O825))</f>
        <v/>
      </c>
      <c r="AR1121" s="121" t="str">
        <f t="shared" si="186"/>
        <v/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str">
        <f>IF('Cable Info'!L826="","",CONCATENATE('Cable Info'!L826," - ",'Cable Info'!M826))</f>
        <v/>
      </c>
      <c r="AM1122" s="121" t="str">
        <f t="shared" si="185"/>
        <v/>
      </c>
      <c r="AO1122" s="121" t="str">
        <f>IF('Cable Info'!N826="","",CONCATENATE('Cable Info'!N826," - ",'Cable Info'!O826))</f>
        <v/>
      </c>
      <c r="AR1122" s="121" t="str">
        <f t="shared" si="186"/>
        <v/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str">
        <f>IF('Cable Info'!L827="","",CONCATENATE('Cable Info'!L827," - ",'Cable Info'!M827))</f>
        <v/>
      </c>
      <c r="AM1123" s="121" t="str">
        <f t="shared" si="185"/>
        <v/>
      </c>
      <c r="AO1123" s="121" t="str">
        <f>IF('Cable Info'!N827="","",CONCATENATE('Cable Info'!N827," - ",'Cable Info'!O827))</f>
        <v/>
      </c>
      <c r="AR1123" s="121" t="str">
        <f t="shared" si="186"/>
        <v/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str">
        <f>IF('Cable Info'!L828="","",CONCATENATE('Cable Info'!L828," - ",'Cable Info'!M828))</f>
        <v/>
      </c>
      <c r="AM1124" s="121" t="str">
        <f t="shared" si="185"/>
        <v/>
      </c>
      <c r="AO1124" s="121" t="str">
        <f>IF('Cable Info'!N828="","",CONCATENATE('Cable Info'!N828," - ",'Cable Info'!O828))</f>
        <v/>
      </c>
      <c r="AR1124" s="121" t="str">
        <f t="shared" si="186"/>
        <v/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str">
        <f>IF('Cable Info'!L829="","",CONCATENATE('Cable Info'!L829," - ",'Cable Info'!M829))</f>
        <v/>
      </c>
      <c r="AM1125" s="121" t="str">
        <f t="shared" si="185"/>
        <v/>
      </c>
      <c r="AO1125" s="121" t="str">
        <f>IF('Cable Info'!N829="","",CONCATENATE('Cable Info'!N829," - ",'Cable Info'!O829))</f>
        <v/>
      </c>
      <c r="AR1125" s="121" t="str">
        <f t="shared" si="186"/>
        <v/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str">
        <f>IF('Cable Info'!L830="","",CONCATENATE('Cable Info'!L830," - ",'Cable Info'!M830))</f>
        <v/>
      </c>
      <c r="AM1126" s="121" t="str">
        <f t="shared" si="185"/>
        <v/>
      </c>
      <c r="AO1126" s="121" t="str">
        <f>IF('Cable Info'!N830="","",CONCATENATE('Cable Info'!N830," - ",'Cable Info'!O830))</f>
        <v/>
      </c>
      <c r="AR1126" s="121" t="str">
        <f t="shared" si="186"/>
        <v/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str">
        <f>IF('Cable Info'!L831="","",CONCATENATE('Cable Info'!L831," - ",'Cable Info'!M831))</f>
        <v/>
      </c>
      <c r="AM1127" s="121" t="str">
        <f t="shared" si="185"/>
        <v/>
      </c>
      <c r="AO1127" s="121" t="str">
        <f>IF('Cable Info'!N831="","",CONCATENATE('Cable Info'!N831," - ",'Cable Info'!O831))</f>
        <v/>
      </c>
      <c r="AR1127" s="121" t="str">
        <f t="shared" si="186"/>
        <v/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str">
        <f>IF('Cable Info'!L832="","",CONCATENATE('Cable Info'!L832," - ",'Cable Info'!M832))</f>
        <v/>
      </c>
      <c r="AM1128" s="121" t="str">
        <f t="shared" si="185"/>
        <v/>
      </c>
      <c r="AO1128" s="121" t="str">
        <f>IF('Cable Info'!N832="","",CONCATENATE('Cable Info'!N832," - ",'Cable Info'!O832))</f>
        <v/>
      </c>
      <c r="AR1128" s="121" t="str">
        <f t="shared" si="186"/>
        <v/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str">
        <f>IF('Cable Info'!L833="","",CONCATENATE('Cable Info'!L833," - ",'Cable Info'!M833))</f>
        <v/>
      </c>
      <c r="AM1129" s="121" t="str">
        <f t="shared" si="185"/>
        <v/>
      </c>
      <c r="AO1129" s="121" t="str">
        <f>IF('Cable Info'!N833="","",CONCATENATE('Cable Info'!N833," - ",'Cable Info'!O833))</f>
        <v/>
      </c>
      <c r="AR1129" s="121" t="str">
        <f t="shared" si="186"/>
        <v/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str">
        <f>IF('Cable Info'!L834="","",CONCATENATE('Cable Info'!L834," - ",'Cable Info'!M834))</f>
        <v/>
      </c>
      <c r="AM1130" s="121" t="str">
        <f t="shared" si="185"/>
        <v/>
      </c>
      <c r="AO1130" s="121" t="str">
        <f>IF('Cable Info'!N834="","",CONCATENATE('Cable Info'!N834," - ",'Cable Info'!O834))</f>
        <v/>
      </c>
      <c r="AR1130" s="121" t="str">
        <f t="shared" si="186"/>
        <v/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str">
        <f>IF('Cable Info'!L835="","",CONCATENATE('Cable Info'!L835," - ",'Cable Info'!M835))</f>
        <v/>
      </c>
      <c r="AM1131" s="121" t="str">
        <f t="shared" ref="AM1131:AM1161" si="191">IF(AK1131="",AJ1131,CONCATENATE(AJ1131,"  &lt;=&gt; ",AK1131," ",AL1131))</f>
        <v/>
      </c>
      <c r="AO1131" s="121" t="str">
        <f>IF('Cable Info'!N835="","",CONCATENATE('Cable Info'!N835," - ",'Cable Info'!O835))</f>
        <v/>
      </c>
      <c r="AR1131" s="121" t="str">
        <f t="shared" ref="AR1131:AR1161" si="192">IF(AP1131="",AO1131,CONCATENATE(AO1131,"  &lt;=&gt; ",AP1131," ",AQ1131))</f>
        <v/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str">
        <f>IF('Cable Info'!L836="","",CONCATENATE('Cable Info'!L836," - ",'Cable Info'!M836))</f>
        <v/>
      </c>
      <c r="AM1132" s="121" t="str">
        <f t="shared" si="191"/>
        <v/>
      </c>
      <c r="AO1132" s="121" t="str">
        <f>IF('Cable Info'!N836="","",CONCATENATE('Cable Info'!N836," - ",'Cable Info'!O836))</f>
        <v/>
      </c>
      <c r="AR1132" s="121" t="str">
        <f t="shared" si="192"/>
        <v/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str">
        <f>IF('Cable Info'!L837="","",CONCATENATE('Cable Info'!L837," - ",'Cable Info'!M837))</f>
        <v/>
      </c>
      <c r="AM1133" s="121" t="str">
        <f t="shared" si="191"/>
        <v/>
      </c>
      <c r="AO1133" s="121" t="str">
        <f>IF('Cable Info'!N837="","",CONCATENATE('Cable Info'!N837," - ",'Cable Info'!O837))</f>
        <v/>
      </c>
      <c r="AR1133" s="121" t="str">
        <f t="shared" si="192"/>
        <v/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str">
        <f>IF('Cable Info'!L838="","",CONCATENATE('Cable Info'!L838," - ",'Cable Info'!M838))</f>
        <v/>
      </c>
      <c r="AM1134" s="121" t="str">
        <f t="shared" si="191"/>
        <v/>
      </c>
      <c r="AO1134" s="121" t="str">
        <f>IF('Cable Info'!N838="","",CONCATENATE('Cable Info'!N838," - ",'Cable Info'!O838))</f>
        <v/>
      </c>
      <c r="AR1134" s="121" t="str">
        <f t="shared" si="192"/>
        <v/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str">
        <f>IF('Cable Info'!L839="","",CONCATENATE('Cable Info'!L839," - ",'Cable Info'!M839))</f>
        <v/>
      </c>
      <c r="AM1135" s="121" t="str">
        <f t="shared" si="191"/>
        <v/>
      </c>
      <c r="AO1135" s="121" t="str">
        <f>IF('Cable Info'!N839="","",CONCATENATE('Cable Info'!N839," - ",'Cable Info'!O839))</f>
        <v/>
      </c>
      <c r="AR1135" s="121" t="str">
        <f t="shared" si="192"/>
        <v/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str">
        <f>IF('Cable Info'!L840="","",CONCATENATE('Cable Info'!L840," - ",'Cable Info'!M840))</f>
        <v/>
      </c>
      <c r="AM1136" s="121" t="str">
        <f t="shared" si="191"/>
        <v/>
      </c>
      <c r="AO1136" s="121" t="str">
        <f>IF('Cable Info'!N840="","",CONCATENATE('Cable Info'!N840," - ",'Cable Info'!O840))</f>
        <v/>
      </c>
      <c r="AR1136" s="121" t="str">
        <f t="shared" si="192"/>
        <v/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str">
        <f>IF('Cable Info'!L841="","",CONCATENATE('Cable Info'!L841," - ",'Cable Info'!M841))</f>
        <v/>
      </c>
      <c r="AM1137" s="121" t="str">
        <f t="shared" si="191"/>
        <v/>
      </c>
      <c r="AO1137" s="121" t="str">
        <f>IF('Cable Info'!N841="","",CONCATENATE('Cable Info'!N841," - ",'Cable Info'!O841))</f>
        <v/>
      </c>
      <c r="AR1137" s="121" t="str">
        <f t="shared" si="192"/>
        <v/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str">
        <f>IF('Cable Info'!L842="","",CONCATENATE('Cable Info'!L842," - ",'Cable Info'!M842))</f>
        <v/>
      </c>
      <c r="AM1138" s="121" t="str">
        <f t="shared" si="191"/>
        <v/>
      </c>
      <c r="AO1138" s="121" t="str">
        <f>IF('Cable Info'!N842="","",CONCATENATE('Cable Info'!N842," - ",'Cable Info'!O842))</f>
        <v/>
      </c>
      <c r="AR1138" s="121" t="str">
        <f t="shared" si="192"/>
        <v/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str">
        <f>IF('Cable Info'!L843="","",CONCATENATE('Cable Info'!L843," - ",'Cable Info'!M843))</f>
        <v/>
      </c>
      <c r="AM1139" s="121" t="str">
        <f t="shared" si="191"/>
        <v/>
      </c>
      <c r="AO1139" s="121" t="str">
        <f>IF('Cable Info'!N843="","",CONCATENATE('Cable Info'!N843," - ",'Cable Info'!O843))</f>
        <v/>
      </c>
      <c r="AR1139" s="121" t="str">
        <f t="shared" si="192"/>
        <v/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str">
        <f>IF('Cable Info'!L844="","",CONCATENATE('Cable Info'!L844," - ",'Cable Info'!M844))</f>
        <v/>
      </c>
      <c r="AM1140" s="121" t="str">
        <f t="shared" si="191"/>
        <v/>
      </c>
      <c r="AO1140" s="121" t="str">
        <f>IF('Cable Info'!N844="","",CONCATENATE('Cable Info'!N844," - ",'Cable Info'!O844))</f>
        <v/>
      </c>
      <c r="AR1140" s="121" t="str">
        <f t="shared" si="192"/>
        <v/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str">
        <f>IF('Cable Info'!L845="","",CONCATENATE('Cable Info'!L845," - ",'Cable Info'!M845))</f>
        <v/>
      </c>
      <c r="AM1141" s="121" t="str">
        <f t="shared" si="191"/>
        <v/>
      </c>
      <c r="AO1141" s="121" t="str">
        <f>IF('Cable Info'!N845="","",CONCATENATE('Cable Info'!N845," - ",'Cable Info'!O845))</f>
        <v/>
      </c>
      <c r="AR1141" s="121" t="str">
        <f t="shared" si="192"/>
        <v/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str">
        <f>IF('Cable Info'!L846="","",CONCATENATE('Cable Info'!L846," - ",'Cable Info'!M846))</f>
        <v/>
      </c>
      <c r="AM1142" s="121" t="str">
        <f t="shared" si="191"/>
        <v/>
      </c>
      <c r="AO1142" s="121" t="str">
        <f>IF('Cable Info'!N846="","",CONCATENATE('Cable Info'!N846," - ",'Cable Info'!O846))</f>
        <v/>
      </c>
      <c r="AR1142" s="121" t="str">
        <f t="shared" si="192"/>
        <v/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str">
        <f>IF('Cable Info'!L847="","",CONCATENATE('Cable Info'!L847," - ",'Cable Info'!M847))</f>
        <v/>
      </c>
      <c r="AM1143" s="121" t="str">
        <f t="shared" si="191"/>
        <v/>
      </c>
      <c r="AO1143" s="121" t="str">
        <f>IF('Cable Info'!N847="","",CONCATENATE('Cable Info'!N847," - ",'Cable Info'!O847))</f>
        <v/>
      </c>
      <c r="AR1143" s="121" t="str">
        <f t="shared" si="192"/>
        <v/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str">
        <f>IF('Cable Info'!L848="","",CONCATENATE('Cable Info'!L848," - ",'Cable Info'!M848))</f>
        <v/>
      </c>
      <c r="AM1144" s="121" t="str">
        <f t="shared" si="191"/>
        <v/>
      </c>
      <c r="AO1144" s="121" t="str">
        <f>IF('Cable Info'!N848="","",CONCATENATE('Cable Info'!N848," - ",'Cable Info'!O848))</f>
        <v/>
      </c>
      <c r="AR1144" s="121" t="str">
        <f t="shared" si="192"/>
        <v/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str">
        <f>IF('Cable Info'!L849="","",CONCATENATE('Cable Info'!L849," - ",'Cable Info'!M849))</f>
        <v/>
      </c>
      <c r="AM1145" s="121" t="str">
        <f t="shared" si="191"/>
        <v/>
      </c>
      <c r="AO1145" s="121" t="str">
        <f>IF('Cable Info'!N849="","",CONCATENATE('Cable Info'!N849," - ",'Cable Info'!O849))</f>
        <v/>
      </c>
      <c r="AR1145" s="121" t="str">
        <f t="shared" si="192"/>
        <v/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str">
        <f>IF('Cable Info'!L850="","",CONCATENATE('Cable Info'!L850," - ",'Cable Info'!M850))</f>
        <v/>
      </c>
      <c r="AM1146" s="121" t="str">
        <f t="shared" si="191"/>
        <v/>
      </c>
      <c r="AO1146" s="121" t="str">
        <f>IF('Cable Info'!N850="","",CONCATENATE('Cable Info'!N850," - ",'Cable Info'!O850))</f>
        <v/>
      </c>
      <c r="AR1146" s="121" t="str">
        <f t="shared" si="192"/>
        <v/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str">
        <f>IF('Cable Info'!L851="","",CONCATENATE('Cable Info'!L851," - ",'Cable Info'!M851))</f>
        <v/>
      </c>
      <c r="AM1147" s="121" t="str">
        <f t="shared" si="191"/>
        <v/>
      </c>
      <c r="AO1147" s="121" t="str">
        <f>IF('Cable Info'!N851="","",CONCATENATE('Cable Info'!N851," - ",'Cable Info'!O851))</f>
        <v/>
      </c>
      <c r="AR1147" s="121" t="str">
        <f t="shared" si="192"/>
        <v/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str">
        <f>IF('Cable Info'!L852="","",CONCATENATE('Cable Info'!L852," - ",'Cable Info'!M852))</f>
        <v/>
      </c>
      <c r="AM1148" s="121" t="str">
        <f t="shared" si="191"/>
        <v/>
      </c>
      <c r="AO1148" s="121" t="str">
        <f>IF('Cable Info'!N852="","",CONCATENATE('Cable Info'!N852," - ",'Cable Info'!O852))</f>
        <v/>
      </c>
      <c r="AR1148" s="121" t="str">
        <f t="shared" si="192"/>
        <v/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str">
        <f>IF('Cable Info'!L853="","",CONCATENATE('Cable Info'!L853," - ",'Cable Info'!M853))</f>
        <v/>
      </c>
      <c r="AM1149" s="121" t="str">
        <f t="shared" si="191"/>
        <v/>
      </c>
      <c r="AO1149" s="121" t="str">
        <f>IF('Cable Info'!N853="","",CONCATENATE('Cable Info'!N853," - ",'Cable Info'!O853))</f>
        <v/>
      </c>
      <c r="AR1149" s="121" t="str">
        <f t="shared" si="192"/>
        <v/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str">
        <f>IF('Cable Info'!L854="","",CONCATENATE('Cable Info'!L854," - ",'Cable Info'!M854))</f>
        <v/>
      </c>
      <c r="AM1150" s="121" t="str">
        <f t="shared" si="191"/>
        <v/>
      </c>
      <c r="AO1150" s="121" t="str">
        <f>IF('Cable Info'!N854="","",CONCATENATE('Cable Info'!N854," - ",'Cable Info'!O854))</f>
        <v/>
      </c>
      <c r="AR1150" s="121" t="str">
        <f t="shared" si="192"/>
        <v/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str">
        <f>IF('Cable Info'!L855="","",CONCATENATE('Cable Info'!L855," - ",'Cable Info'!M855))</f>
        <v/>
      </c>
      <c r="AM1151" s="121" t="str">
        <f t="shared" si="191"/>
        <v/>
      </c>
      <c r="AO1151" s="121" t="str">
        <f>IF('Cable Info'!N855="","",CONCATENATE('Cable Info'!N855," - ",'Cable Info'!O855))</f>
        <v/>
      </c>
      <c r="AR1151" s="121" t="str">
        <f t="shared" si="192"/>
        <v/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str">
        <f>IF('Cable Info'!L856="","",CONCATENATE('Cable Info'!L856," - ",'Cable Info'!M856))</f>
        <v/>
      </c>
      <c r="AM1152" s="121" t="str">
        <f t="shared" si="191"/>
        <v/>
      </c>
      <c r="AO1152" s="121" t="str">
        <f>IF('Cable Info'!N856="","",CONCATENATE('Cable Info'!N856," - ",'Cable Info'!O856))</f>
        <v/>
      </c>
      <c r="AR1152" s="121" t="str">
        <f t="shared" si="192"/>
        <v/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str">
        <f>IF('Cable Info'!L857="","",CONCATENATE('Cable Info'!L857," - ",'Cable Info'!M857))</f>
        <v/>
      </c>
      <c r="AM1153" s="121" t="str">
        <f t="shared" si="191"/>
        <v/>
      </c>
      <c r="AO1153" s="121" t="str">
        <f>IF('Cable Info'!N857="","",CONCATENATE('Cable Info'!N857," - ",'Cable Info'!O857))</f>
        <v/>
      </c>
      <c r="AR1153" s="121" t="str">
        <f t="shared" si="192"/>
        <v/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str">
        <f>IF('Cable Info'!L858="","",CONCATENATE('Cable Info'!L858," - ",'Cable Info'!M858))</f>
        <v/>
      </c>
      <c r="AM1154" s="121" t="str">
        <f t="shared" si="191"/>
        <v/>
      </c>
      <c r="AO1154" s="121" t="str">
        <f>IF('Cable Info'!N858="","",CONCATENATE('Cable Info'!N858," - ",'Cable Info'!O858))</f>
        <v/>
      </c>
      <c r="AR1154" s="121" t="str">
        <f t="shared" si="192"/>
        <v/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str">
        <f>IF('Cable Info'!L859="","",CONCATENATE('Cable Info'!L859," - ",'Cable Info'!M859))</f>
        <v/>
      </c>
      <c r="AM1155" s="121" t="str">
        <f t="shared" si="191"/>
        <v/>
      </c>
      <c r="AO1155" s="121" t="str">
        <f>IF('Cable Info'!N859="","",CONCATENATE('Cable Info'!N859," - ",'Cable Info'!O859))</f>
        <v/>
      </c>
      <c r="AR1155" s="121" t="str">
        <f t="shared" si="192"/>
        <v/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str">
        <f>IF('Cable Info'!L860="","",CONCATENATE('Cable Info'!L860," - ",'Cable Info'!M860))</f>
        <v/>
      </c>
      <c r="AM1156" s="121" t="str">
        <f t="shared" si="191"/>
        <v/>
      </c>
      <c r="AO1156" s="121" t="str">
        <f>IF('Cable Info'!N860="","",CONCATENATE('Cable Info'!N860," - ",'Cable Info'!O860))</f>
        <v/>
      </c>
      <c r="AR1156" s="121" t="str">
        <f t="shared" si="192"/>
        <v/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str">
        <f>IF('Cable Info'!L861="","",CONCATENATE('Cable Info'!L861," - ",'Cable Info'!M861))</f>
        <v/>
      </c>
      <c r="AM1157" s="121" t="str">
        <f t="shared" si="191"/>
        <v/>
      </c>
      <c r="AO1157" s="121" t="str">
        <f>IF('Cable Info'!N861="","",CONCATENATE('Cable Info'!N861," - ",'Cable Info'!O861))</f>
        <v/>
      </c>
      <c r="AR1157" s="121" t="str">
        <f t="shared" si="192"/>
        <v/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str">
        <f>IF('Cable Info'!L862="","",CONCATENATE('Cable Info'!L862," - ",'Cable Info'!M862))</f>
        <v/>
      </c>
      <c r="AM1158" s="121" t="str">
        <f t="shared" si="191"/>
        <v/>
      </c>
      <c r="AO1158" s="121" t="str">
        <f>IF('Cable Info'!N862="","",CONCATENATE('Cable Info'!N862," - ",'Cable Info'!O862))</f>
        <v/>
      </c>
      <c r="AR1158" s="121" t="str">
        <f t="shared" si="192"/>
        <v/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str">
        <f>IF('Cable Info'!L863="","",CONCATENATE('Cable Info'!L863," - ",'Cable Info'!M863))</f>
        <v/>
      </c>
      <c r="AM1159" s="121" t="str">
        <f t="shared" si="191"/>
        <v/>
      </c>
      <c r="AO1159" s="121" t="str">
        <f>IF('Cable Info'!N863="","",CONCATENATE('Cable Info'!N863," - ",'Cable Info'!O863))</f>
        <v/>
      </c>
      <c r="AR1159" s="121" t="str">
        <f t="shared" si="192"/>
        <v/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str">
        <f>IF('Cable Info'!L864="","",CONCATENATE('Cable Info'!L864," - ",'Cable Info'!M864))</f>
        <v/>
      </c>
      <c r="AM1160" s="121" t="str">
        <f t="shared" si="191"/>
        <v/>
      </c>
      <c r="AO1160" s="121" t="str">
        <f>IF('Cable Info'!N864="","",CONCATENATE('Cable Info'!N864," - ",'Cable Info'!O864))</f>
        <v/>
      </c>
      <c r="AR1160" s="121" t="str">
        <f t="shared" si="192"/>
        <v/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str">
        <f>IF('Cable Info'!L865="","",CONCATENATE('Cable Info'!L865," - ",'Cable Info'!M865))</f>
        <v/>
      </c>
      <c r="AM1161" s="121" t="str">
        <f t="shared" si="191"/>
        <v/>
      </c>
      <c r="AO1161" s="121" t="str">
        <f>IF('Cable Info'!N865="","",CONCATENATE('Cable Info'!N865," - ",'Cable Info'!O865))</f>
        <v/>
      </c>
      <c r="AR1161" s="121" t="str">
        <f t="shared" si="192"/>
        <v/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83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84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85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Brittany W. Bodane</cp:lastModifiedBy>
  <cp:lastPrinted>2013-11-22T22:56:05Z</cp:lastPrinted>
  <dcterms:created xsi:type="dcterms:W3CDTF">1998-05-29T15:48:38Z</dcterms:created>
  <dcterms:modified xsi:type="dcterms:W3CDTF">2016-11-04T14:19:23Z</dcterms:modified>
</cp:coreProperties>
</file>