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Engineering_As-built\SEPs\All-SEPs\"/>
    </mc:Choice>
  </mc:AlternateContent>
  <bookViews>
    <workbookView xWindow="0" yWindow="0" windowWidth="19716" windowHeight="11628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AO11" i="3" s="1"/>
  <c r="AR11" i="3" s="1"/>
  <c r="N11" i="2"/>
  <c r="N12" i="2"/>
  <c r="AO13" i="3" s="1"/>
  <c r="AR13" i="3" s="1"/>
  <c r="N13" i="2"/>
  <c r="N14" i="2"/>
  <c r="AO15" i="3" s="1"/>
  <c r="AR15" i="3" s="1"/>
  <c r="N15" i="2"/>
  <c r="N16" i="2"/>
  <c r="AO17" i="3" s="1"/>
  <c r="AR17" i="3" s="1"/>
  <c r="N17" i="2"/>
  <c r="AO18" i="3" s="1"/>
  <c r="AR18" i="3" s="1"/>
  <c r="N18" i="2"/>
  <c r="AO19" i="3" s="1"/>
  <c r="AR19" i="3" s="1"/>
  <c r="N19" i="2"/>
  <c r="N20" i="2"/>
  <c r="N21" i="2"/>
  <c r="AO22" i="3" s="1"/>
  <c r="AR22" i="3" s="1"/>
  <c r="N22" i="2"/>
  <c r="AO23" i="3" s="1"/>
  <c r="AR23" i="3" s="1"/>
  <c r="N23" i="2"/>
  <c r="N24" i="2"/>
  <c r="N25" i="2"/>
  <c r="N26" i="2"/>
  <c r="AO27" i="3" s="1"/>
  <c r="AR27" i="3" s="1"/>
  <c r="N27" i="2"/>
  <c r="N28" i="2"/>
  <c r="N29" i="2"/>
  <c r="N30" i="2"/>
  <c r="AO31" i="3" s="1"/>
  <c r="AR31" i="3" s="1"/>
  <c r="N31" i="2"/>
  <c r="N32" i="2"/>
  <c r="AO33" i="3" s="1"/>
  <c r="AR33" i="3" s="1"/>
  <c r="N33" i="2"/>
  <c r="AO34" i="3" s="1"/>
  <c r="AR34" i="3" s="1"/>
  <c r="N34" i="2"/>
  <c r="AO35" i="3" s="1"/>
  <c r="AR35" i="3" s="1"/>
  <c r="N35" i="2"/>
  <c r="N36" i="2"/>
  <c r="N37" i="2"/>
  <c r="N38" i="2"/>
  <c r="AO39" i="3" s="1"/>
  <c r="AR39" i="3" s="1"/>
  <c r="N39" i="2"/>
  <c r="N40" i="2"/>
  <c r="N41" i="2"/>
  <c r="N42" i="2"/>
  <c r="AO43" i="3" s="1"/>
  <c r="AR43" i="3" s="1"/>
  <c r="N43" i="2"/>
  <c r="N44" i="2"/>
  <c r="N45" i="2"/>
  <c r="N46" i="2"/>
  <c r="AO47" i="3" s="1"/>
  <c r="AR47" i="3" s="1"/>
  <c r="N47" i="2"/>
  <c r="N48" i="2"/>
  <c r="N49" i="2"/>
  <c r="N50" i="2"/>
  <c r="AO51" i="3" s="1"/>
  <c r="AR51" i="3" s="1"/>
  <c r="N51" i="2"/>
  <c r="N52" i="2"/>
  <c r="N53" i="2"/>
  <c r="N54" i="2"/>
  <c r="AO55" i="3" s="1"/>
  <c r="AR55" i="3" s="1"/>
  <c r="N55" i="2"/>
  <c r="N56" i="2"/>
  <c r="N57" i="2"/>
  <c r="AO58" i="3" s="1"/>
  <c r="AR58" i="3" s="1"/>
  <c r="N58" i="2"/>
  <c r="AO59" i="3" s="1"/>
  <c r="AR59" i="3" s="1"/>
  <c r="N59" i="2"/>
  <c r="N60" i="2"/>
  <c r="N61" i="2"/>
  <c r="N62" i="2"/>
  <c r="AO63" i="3" s="1"/>
  <c r="AR63" i="3" s="1"/>
  <c r="N63" i="2"/>
  <c r="N64" i="2"/>
  <c r="N65" i="2"/>
  <c r="AO66" i="3" s="1"/>
  <c r="AR66" i="3" s="1"/>
  <c r="N66" i="2"/>
  <c r="AO67" i="3" s="1"/>
  <c r="AR67" i="3" s="1"/>
  <c r="N67" i="2"/>
  <c r="N68" i="2"/>
  <c r="N69" i="2"/>
  <c r="N70" i="2"/>
  <c r="AO71" i="3" s="1"/>
  <c r="AR71" i="3" s="1"/>
  <c r="N71" i="2"/>
  <c r="N72" i="2"/>
  <c r="N73" i="2"/>
  <c r="N74" i="2"/>
  <c r="AO75" i="3" s="1"/>
  <c r="AR75" i="3" s="1"/>
  <c r="N75" i="2"/>
  <c r="N76" i="2"/>
  <c r="N77" i="2"/>
  <c r="N78" i="2"/>
  <c r="AO79" i="3" s="1"/>
  <c r="AR79" i="3" s="1"/>
  <c r="N79" i="2"/>
  <c r="N80" i="2"/>
  <c r="N81" i="2"/>
  <c r="AO82" i="3" s="1"/>
  <c r="AR82" i="3" s="1"/>
  <c r="N82" i="2"/>
  <c r="AO83" i="3" s="1"/>
  <c r="AR83" i="3" s="1"/>
  <c r="N83" i="2"/>
  <c r="N84" i="2"/>
  <c r="N85" i="2"/>
  <c r="N86" i="2"/>
  <c r="AO87" i="3" s="1"/>
  <c r="AR87" i="3" s="1"/>
  <c r="N87" i="2"/>
  <c r="N88" i="2"/>
  <c r="AO89" i="3" s="1"/>
  <c r="AR89" i="3" s="1"/>
  <c r="N89" i="2"/>
  <c r="N90" i="2"/>
  <c r="AO91" i="3" s="1"/>
  <c r="AR91" i="3" s="1"/>
  <c r="N91" i="2"/>
  <c r="N92" i="2"/>
  <c r="N93" i="2"/>
  <c r="N94" i="2"/>
  <c r="AO95" i="3" s="1"/>
  <c r="AR95" i="3" s="1"/>
  <c r="N95" i="2"/>
  <c r="N96" i="2"/>
  <c r="N97" i="2"/>
  <c r="AO98" i="3" s="1"/>
  <c r="AR98" i="3" s="1"/>
  <c r="N98" i="2"/>
  <c r="AO99" i="3" s="1"/>
  <c r="AR99" i="3" s="1"/>
  <c r="N99" i="2"/>
  <c r="N100" i="2"/>
  <c r="N101" i="2"/>
  <c r="N102" i="2"/>
  <c r="AO103" i="3" s="1"/>
  <c r="AR103" i="3" s="1"/>
  <c r="N103" i="2"/>
  <c r="N104" i="2"/>
  <c r="N105" i="2"/>
  <c r="N106" i="2"/>
  <c r="AO107" i="3" s="1"/>
  <c r="AR107" i="3" s="1"/>
  <c r="N107" i="2"/>
  <c r="N108" i="2"/>
  <c r="N109" i="2"/>
  <c r="N110" i="2"/>
  <c r="AO111" i="3" s="1"/>
  <c r="AR111" i="3" s="1"/>
  <c r="N111" i="2"/>
  <c r="N112" i="2"/>
  <c r="N113" i="2"/>
  <c r="N114" i="2"/>
  <c r="AO115" i="3" s="1"/>
  <c r="AR115" i="3" s="1"/>
  <c r="N115" i="2"/>
  <c r="N116" i="2"/>
  <c r="N117" i="2"/>
  <c r="N118" i="2"/>
  <c r="N119" i="2"/>
  <c r="N120" i="2"/>
  <c r="N121" i="2"/>
  <c r="N122" i="2"/>
  <c r="AO123" i="3" s="1"/>
  <c r="AR123" i="3" s="1"/>
  <c r="N123" i="2"/>
  <c r="N124" i="2"/>
  <c r="N125" i="2"/>
  <c r="AO126" i="3" s="1"/>
  <c r="AR126" i="3" s="1"/>
  <c r="N126" i="2"/>
  <c r="AO127" i="3" s="1"/>
  <c r="AR127" i="3" s="1"/>
  <c r="N127" i="2"/>
  <c r="N128" i="2"/>
  <c r="N129" i="2"/>
  <c r="AO130" i="3" s="1"/>
  <c r="AR130" i="3" s="1"/>
  <c r="N130" i="2"/>
  <c r="AO131" i="3" s="1"/>
  <c r="AR131" i="3" s="1"/>
  <c r="N131" i="2"/>
  <c r="N132" i="2"/>
  <c r="N133" i="2"/>
  <c r="N134" i="2"/>
  <c r="AO135" i="3" s="1"/>
  <c r="AR135" i="3" s="1"/>
  <c r="N135" i="2"/>
  <c r="N136" i="2"/>
  <c r="N137" i="2"/>
  <c r="N138" i="2"/>
  <c r="AO139" i="3" s="1"/>
  <c r="AR139" i="3" s="1"/>
  <c r="N139" i="2"/>
  <c r="N140" i="2"/>
  <c r="N141" i="2"/>
  <c r="N142" i="2"/>
  <c r="AO143" i="3" s="1"/>
  <c r="AR143" i="3" s="1"/>
  <c r="N143" i="2"/>
  <c r="N144" i="2"/>
  <c r="N145" i="2"/>
  <c r="AO146" i="3" s="1"/>
  <c r="AR146" i="3" s="1"/>
  <c r="N146" i="2"/>
  <c r="AO147" i="3" s="1"/>
  <c r="AR147" i="3" s="1"/>
  <c r="N147" i="2"/>
  <c r="N148" i="2"/>
  <c r="N149" i="2"/>
  <c r="N150" i="2"/>
  <c r="AO151" i="3" s="1"/>
  <c r="AR151" i="3" s="1"/>
  <c r="N151" i="2"/>
  <c r="N152" i="2"/>
  <c r="N153" i="2"/>
  <c r="N154" i="2"/>
  <c r="AO155" i="3" s="1"/>
  <c r="AR155" i="3" s="1"/>
  <c r="N155" i="2"/>
  <c r="N156" i="2"/>
  <c r="N157" i="2"/>
  <c r="AO158" i="3" s="1"/>
  <c r="AR158" i="3" s="1"/>
  <c r="N158" i="2"/>
  <c r="AO159" i="3" s="1"/>
  <c r="AR159" i="3" s="1"/>
  <c r="N159" i="2"/>
  <c r="N160" i="2"/>
  <c r="N161" i="2"/>
  <c r="AO162" i="3" s="1"/>
  <c r="AR162" i="3" s="1"/>
  <c r="N162" i="2"/>
  <c r="N163" i="2"/>
  <c r="N164" i="2"/>
  <c r="N165" i="2"/>
  <c r="N166" i="2"/>
  <c r="N167" i="2"/>
  <c r="N168" i="2"/>
  <c r="N169" i="2"/>
  <c r="N170" i="2"/>
  <c r="N171" i="2"/>
  <c r="N172" i="2"/>
  <c r="N173" i="2"/>
  <c r="AO174" i="3" s="1"/>
  <c r="AR174" i="3" s="1"/>
  <c r="N174" i="2"/>
  <c r="N175" i="2"/>
  <c r="N176" i="2"/>
  <c r="N177" i="2"/>
  <c r="AO178" i="3" s="1"/>
  <c r="AR178" i="3" s="1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AO198" i="3" s="1"/>
  <c r="AR198" i="3" s="1"/>
  <c r="N198" i="2"/>
  <c r="N199" i="2"/>
  <c r="N200" i="2"/>
  <c r="N201" i="2"/>
  <c r="N202" i="2"/>
  <c r="N203" i="2"/>
  <c r="N204" i="2"/>
  <c r="N205" i="2"/>
  <c r="AO206" i="3" s="1"/>
  <c r="AR206" i="3" s="1"/>
  <c r="N206" i="2"/>
  <c r="N207" i="2"/>
  <c r="N208" i="2"/>
  <c r="N209" i="2"/>
  <c r="AO210" i="3" s="1"/>
  <c r="AR210" i="3" s="1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AO226" i="3" s="1"/>
  <c r="AR226" i="3" s="1"/>
  <c r="N226" i="2"/>
  <c r="N227" i="2"/>
  <c r="N228" i="2"/>
  <c r="N229" i="2"/>
  <c r="AO230" i="3" s="1"/>
  <c r="AR230" i="3" s="1"/>
  <c r="N230" i="2"/>
  <c r="N231" i="2"/>
  <c r="N232" i="2"/>
  <c r="N233" i="2"/>
  <c r="N234" i="2"/>
  <c r="N235" i="2"/>
  <c r="N236" i="2"/>
  <c r="N237" i="2"/>
  <c r="AO238" i="3" s="1"/>
  <c r="AR238" i="3" s="1"/>
  <c r="N238" i="2"/>
  <c r="N239" i="2"/>
  <c r="N240" i="2"/>
  <c r="N241" i="2"/>
  <c r="AO242" i="3" s="1"/>
  <c r="AR242" i="3" s="1"/>
  <c r="N242" i="2"/>
  <c r="N243" i="2"/>
  <c r="N244" i="2"/>
  <c r="N245" i="2"/>
  <c r="N246" i="2"/>
  <c r="N247" i="2"/>
  <c r="N248" i="2"/>
  <c r="N249" i="2"/>
  <c r="AO250" i="3" s="1"/>
  <c r="AR250" i="3" s="1"/>
  <c r="N250" i="2"/>
  <c r="N251" i="2"/>
  <c r="N252" i="2"/>
  <c r="N253" i="2"/>
  <c r="AO254" i="3" s="1"/>
  <c r="AR254" i="3" s="1"/>
  <c r="N254" i="2"/>
  <c r="N255" i="2"/>
  <c r="N256" i="2"/>
  <c r="AO257" i="3" s="1"/>
  <c r="AR257" i="3" s="1"/>
  <c r="N257" i="2"/>
  <c r="N258" i="2"/>
  <c r="N259" i="2"/>
  <c r="N260" i="2"/>
  <c r="N261" i="2"/>
  <c r="N262" i="2"/>
  <c r="N263" i="2"/>
  <c r="N264" i="2"/>
  <c r="N265" i="2"/>
  <c r="AO266" i="3" s="1"/>
  <c r="AR266" i="3" s="1"/>
  <c r="N266" i="2"/>
  <c r="N267" i="2"/>
  <c r="N268" i="2"/>
  <c r="N269" i="2"/>
  <c r="AO270" i="3" s="1"/>
  <c r="AR270" i="3" s="1"/>
  <c r="N270" i="2"/>
  <c r="N271" i="2"/>
  <c r="N272" i="2"/>
  <c r="N273" i="2"/>
  <c r="N274" i="2"/>
  <c r="N275" i="2"/>
  <c r="N276" i="2"/>
  <c r="N277" i="2"/>
  <c r="N278" i="2"/>
  <c r="N279" i="2"/>
  <c r="N280" i="2"/>
  <c r="AO281" i="3" s="1"/>
  <c r="AR281" i="3" s="1"/>
  <c r="N281" i="2"/>
  <c r="AO282" i="3" s="1"/>
  <c r="AR282" i="3" s="1"/>
  <c r="N282" i="2"/>
  <c r="N283" i="2"/>
  <c r="N284" i="2"/>
  <c r="N285" i="2"/>
  <c r="AO286" i="3" s="1"/>
  <c r="AR286" i="3" s="1"/>
  <c r="N286" i="2"/>
  <c r="N287" i="2"/>
  <c r="N288" i="2"/>
  <c r="N289" i="2"/>
  <c r="N290" i="2"/>
  <c r="N291" i="2"/>
  <c r="N292" i="2"/>
  <c r="N293" i="2"/>
  <c r="N294" i="2"/>
  <c r="N295" i="2"/>
  <c r="N296" i="2"/>
  <c r="N297" i="2"/>
  <c r="AO298" i="3" s="1"/>
  <c r="AR298" i="3" s="1"/>
  <c r="N298" i="2"/>
  <c r="N299" i="2"/>
  <c r="N300" i="2"/>
  <c r="N301" i="2"/>
  <c r="AO302" i="3" s="1"/>
  <c r="AR302" i="3" s="1"/>
  <c r="N302" i="2"/>
  <c r="N303" i="2"/>
  <c r="N304" i="2"/>
  <c r="N305" i="2"/>
  <c r="AO306" i="3" s="1"/>
  <c r="AR306" i="3" s="1"/>
  <c r="N306" i="2"/>
  <c r="N307" i="2"/>
  <c r="N308" i="2"/>
  <c r="N309" i="2"/>
  <c r="N310" i="2"/>
  <c r="AO311" i="3" s="1"/>
  <c r="AR311" i="3" s="1"/>
  <c r="N311" i="2"/>
  <c r="N312" i="2"/>
  <c r="N313" i="2"/>
  <c r="N314" i="2"/>
  <c r="AO315" i="3" s="1"/>
  <c r="AR315" i="3" s="1"/>
  <c r="N315" i="2"/>
  <c r="N316" i="2"/>
  <c r="N317" i="2"/>
  <c r="N318" i="2"/>
  <c r="N319" i="2"/>
  <c r="N320" i="2"/>
  <c r="N321" i="2"/>
  <c r="AO322" i="3" s="1"/>
  <c r="AR322" i="3" s="1"/>
  <c r="N322" i="2"/>
  <c r="N323" i="2"/>
  <c r="N324" i="2"/>
  <c r="N325" i="2"/>
  <c r="N326" i="2"/>
  <c r="N327" i="2"/>
  <c r="N328" i="2"/>
  <c r="N329" i="2"/>
  <c r="AO330" i="3" s="1"/>
  <c r="AR330" i="3" s="1"/>
  <c r="N330" i="2"/>
  <c r="N331" i="2"/>
  <c r="N332" i="2"/>
  <c r="N333" i="2"/>
  <c r="AO334" i="3" s="1"/>
  <c r="AR334" i="3" s="1"/>
  <c r="N334" i="2"/>
  <c r="N335" i="2"/>
  <c r="N336" i="2"/>
  <c r="N337" i="2"/>
  <c r="N338" i="2"/>
  <c r="N339" i="2"/>
  <c r="N340" i="2"/>
  <c r="N341" i="2"/>
  <c r="N342" i="2"/>
  <c r="N343" i="2"/>
  <c r="N344" i="2"/>
  <c r="N345" i="2"/>
  <c r="AO346" i="3" s="1"/>
  <c r="AR346" i="3" s="1"/>
  <c r="N346" i="2"/>
  <c r="N347" i="2"/>
  <c r="N348" i="2"/>
  <c r="N349" i="2"/>
  <c r="AO350" i="3" s="1"/>
  <c r="AR350" i="3" s="1"/>
  <c r="N350" i="2"/>
  <c r="N351" i="2"/>
  <c r="N352" i="2"/>
  <c r="AO353" i="3" s="1"/>
  <c r="AR353" i="3" s="1"/>
  <c r="N353" i="2"/>
  <c r="N354" i="2"/>
  <c r="N355" i="2"/>
  <c r="N356" i="2"/>
  <c r="N357" i="2"/>
  <c r="N358" i="2"/>
  <c r="N359" i="2"/>
  <c r="N360" i="2"/>
  <c r="AO361" i="3" s="1"/>
  <c r="AR361" i="3" s="1"/>
  <c r="N361" i="2"/>
  <c r="AO362" i="3" s="1"/>
  <c r="AR362" i="3" s="1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AO737" i="3" s="1"/>
  <c r="AR737" i="3" s="1"/>
  <c r="N442" i="2"/>
  <c r="O442" i="2" s="1"/>
  <c r="N443" i="2"/>
  <c r="O443" i="2" s="1"/>
  <c r="N444" i="2"/>
  <c r="O444" i="2" s="1"/>
  <c r="N445" i="2"/>
  <c r="AO741" i="3" s="1"/>
  <c r="AR741" i="3" s="1"/>
  <c r="N446" i="2"/>
  <c r="O446" i="2" s="1"/>
  <c r="N447" i="2"/>
  <c r="O447" i="2" s="1"/>
  <c r="N448" i="2"/>
  <c r="O448" i="2" s="1"/>
  <c r="N449" i="2"/>
  <c r="AO745" i="3" s="1"/>
  <c r="AR745" i="3" s="1"/>
  <c r="N450" i="2"/>
  <c r="O450" i="2" s="1"/>
  <c r="N451" i="2"/>
  <c r="O451" i="2" s="1"/>
  <c r="N452" i="2"/>
  <c r="O452" i="2" s="1"/>
  <c r="N453" i="2"/>
  <c r="AO749" i="3" s="1"/>
  <c r="AR749" i="3" s="1"/>
  <c r="N454" i="2"/>
  <c r="O454" i="2" s="1"/>
  <c r="N455" i="2"/>
  <c r="O455" i="2" s="1"/>
  <c r="N456" i="2"/>
  <c r="O456" i="2" s="1"/>
  <c r="N457" i="2"/>
  <c r="AO753" i="3" s="1"/>
  <c r="AR753" i="3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AO766" i="3" s="1"/>
  <c r="AR766" i="3" s="1"/>
  <c r="N471" i="2"/>
  <c r="O471" i="2" s="1"/>
  <c r="N472" i="2"/>
  <c r="O472" i="2" s="1"/>
  <c r="N473" i="2"/>
  <c r="AO769" i="3" s="1"/>
  <c r="AR769" i="3" s="1"/>
  <c r="N474" i="2"/>
  <c r="O474" i="2" s="1"/>
  <c r="N475" i="2"/>
  <c r="O475" i="2" s="1"/>
  <c r="N476" i="2"/>
  <c r="O476" i="2" s="1"/>
  <c r="N477" i="2"/>
  <c r="AO773" i="3" s="1"/>
  <c r="AR773" i="3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AO781" i="3" s="1"/>
  <c r="AR781" i="3" s="1"/>
  <c r="N486" i="2"/>
  <c r="O486" i="2" s="1"/>
  <c r="N487" i="2"/>
  <c r="O487" i="2" s="1"/>
  <c r="N488" i="2"/>
  <c r="O488" i="2" s="1"/>
  <c r="N489" i="2"/>
  <c r="AO785" i="3" s="1"/>
  <c r="AR785" i="3" s="1"/>
  <c r="N490" i="2"/>
  <c r="O490" i="2" s="1"/>
  <c r="N491" i="2"/>
  <c r="O491" i="2" s="1"/>
  <c r="N492" i="2"/>
  <c r="O492" i="2" s="1"/>
  <c r="N493" i="2"/>
  <c r="AO789" i="3" s="1"/>
  <c r="AR789" i="3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AO801" i="3" s="1"/>
  <c r="AR801" i="3" s="1"/>
  <c r="N506" i="2"/>
  <c r="O506" i="2" s="1"/>
  <c r="N507" i="2"/>
  <c r="O507" i="2" s="1"/>
  <c r="N508" i="2"/>
  <c r="AO804" i="3" s="1"/>
  <c r="AR804" i="3" s="1"/>
  <c r="N509" i="2"/>
  <c r="AO805" i="3" s="1"/>
  <c r="AR805" i="3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AO813" i="3" s="1"/>
  <c r="AR813" i="3" s="1"/>
  <c r="N518" i="2"/>
  <c r="AO814" i="3" s="1"/>
  <c r="AR814" i="3" s="1"/>
  <c r="N519" i="2"/>
  <c r="O519" i="2" s="1"/>
  <c r="N520" i="2"/>
  <c r="O520" i="2" s="1"/>
  <c r="N521" i="2"/>
  <c r="AO817" i="3" s="1"/>
  <c r="AR817" i="3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AO833" i="3" s="1"/>
  <c r="AR833" i="3" s="1"/>
  <c r="N538" i="2"/>
  <c r="O538" i="2" s="1"/>
  <c r="N539" i="2"/>
  <c r="O539" i="2" s="1"/>
  <c r="N540" i="2"/>
  <c r="O540" i="2" s="1"/>
  <c r="N541" i="2"/>
  <c r="AO837" i="3" s="1"/>
  <c r="AR837" i="3" s="1"/>
  <c r="N542" i="2"/>
  <c r="O542" i="2" s="1"/>
  <c r="N543" i="2"/>
  <c r="O543" i="2" s="1"/>
  <c r="N544" i="2"/>
  <c r="O544" i="2" s="1"/>
  <c r="N545" i="2"/>
  <c r="AO841" i="3" s="1"/>
  <c r="AR841" i="3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AO849" i="3" s="1"/>
  <c r="AR849" i="3" s="1"/>
  <c r="N554" i="2"/>
  <c r="O554" i="2" s="1"/>
  <c r="N555" i="2"/>
  <c r="O555" i="2" s="1"/>
  <c r="N556" i="2"/>
  <c r="O556" i="2" s="1"/>
  <c r="N557" i="2"/>
  <c r="AO853" i="3" s="1"/>
  <c r="AR853" i="3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AO865" i="3" s="1"/>
  <c r="AR865" i="3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AO873" i="3" s="1"/>
  <c r="AR873" i="3" s="1"/>
  <c r="N578" i="2"/>
  <c r="O578" i="2" s="1"/>
  <c r="N579" i="2"/>
  <c r="O579" i="2" s="1"/>
  <c r="N580" i="2"/>
  <c r="O580" i="2" s="1"/>
  <c r="N581" i="2"/>
  <c r="AO877" i="3" s="1"/>
  <c r="AR877" i="3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AO885" i="3" s="1"/>
  <c r="AR885" i="3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AO897" i="3" s="1"/>
  <c r="AR897" i="3" s="1"/>
  <c r="N602" i="2"/>
  <c r="O602" i="2" s="1"/>
  <c r="N603" i="2"/>
  <c r="O603" i="2" s="1"/>
  <c r="N604" i="2"/>
  <c r="O604" i="2" s="1"/>
  <c r="N605" i="2"/>
  <c r="AO901" i="3" s="1"/>
  <c r="AR901" i="3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AO909" i="3" s="1"/>
  <c r="AR909" i="3" s="1"/>
  <c r="N614" i="2"/>
  <c r="O614" i="2" s="1"/>
  <c r="N615" i="2"/>
  <c r="O615" i="2" s="1"/>
  <c r="N616" i="2"/>
  <c r="O616" i="2" s="1"/>
  <c r="N617" i="2"/>
  <c r="AO913" i="3" s="1"/>
  <c r="AR913" i="3" s="1"/>
  <c r="N618" i="2"/>
  <c r="O618" i="2" s="1"/>
  <c r="N619" i="2"/>
  <c r="O619" i="2" s="1"/>
  <c r="N620" i="2"/>
  <c r="O620" i="2" s="1"/>
  <c r="N621" i="2"/>
  <c r="AO917" i="3" s="1"/>
  <c r="AR917" i="3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AO933" i="3" s="1"/>
  <c r="AR933" i="3" s="1"/>
  <c r="N638" i="2"/>
  <c r="O638" i="2" s="1"/>
  <c r="N639" i="2"/>
  <c r="O639" i="2" s="1"/>
  <c r="N640" i="2"/>
  <c r="O640" i="2" s="1"/>
  <c r="N641" i="2"/>
  <c r="AO937" i="3" s="1"/>
  <c r="AR937" i="3" s="1"/>
  <c r="N642" i="2"/>
  <c r="O642" i="2" s="1"/>
  <c r="N643" i="2"/>
  <c r="O643" i="2" s="1"/>
  <c r="N644" i="2"/>
  <c r="O644" i="2" s="1"/>
  <c r="N645" i="2"/>
  <c r="AO941" i="3" s="1"/>
  <c r="AR941" i="3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AO949" i="3" s="1"/>
  <c r="AR949" i="3" s="1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AO960" i="3" s="1"/>
  <c r="AR960" i="3" s="1"/>
  <c r="N665" i="2"/>
  <c r="O665" i="2" s="1"/>
  <c r="N666" i="2"/>
  <c r="O666" i="2" s="1"/>
  <c r="N667" i="2"/>
  <c r="O667" i="2" s="1"/>
  <c r="N668" i="2"/>
  <c r="O668" i="2" s="1"/>
  <c r="N669" i="2"/>
  <c r="AO965" i="3" s="1"/>
  <c r="AR965" i="3" s="1"/>
  <c r="N670" i="2"/>
  <c r="O670" i="2" s="1"/>
  <c r="N671" i="2"/>
  <c r="O671" i="2" s="1"/>
  <c r="N672" i="2"/>
  <c r="O672" i="2" s="1"/>
  <c r="N673" i="2"/>
  <c r="AO969" i="3" s="1"/>
  <c r="AR969" i="3" s="1"/>
  <c r="N674" i="2"/>
  <c r="O674" i="2" s="1"/>
  <c r="N675" i="2"/>
  <c r="O675" i="2" s="1"/>
  <c r="N676" i="2"/>
  <c r="O676" i="2" s="1"/>
  <c r="N677" i="2"/>
  <c r="AO973" i="3" s="1"/>
  <c r="AR973" i="3" s="1"/>
  <c r="N678" i="2"/>
  <c r="O678" i="2" s="1"/>
  <c r="N679" i="2"/>
  <c r="O679" i="2" s="1"/>
  <c r="N680" i="2"/>
  <c r="O680" i="2" s="1"/>
  <c r="N681" i="2"/>
  <c r="AO977" i="3" s="1"/>
  <c r="AR977" i="3" s="1"/>
  <c r="N682" i="2"/>
  <c r="O682" i="2" s="1"/>
  <c r="N683" i="2"/>
  <c r="O683" i="2" s="1"/>
  <c r="N684" i="2"/>
  <c r="O684" i="2" s="1"/>
  <c r="N685" i="2"/>
  <c r="AO981" i="3" s="1"/>
  <c r="AR981" i="3" s="1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AO993" i="3" s="1"/>
  <c r="AR993" i="3" s="1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AO1001" i="3" s="1"/>
  <c r="AR1001" i="3" s="1"/>
  <c r="N706" i="2"/>
  <c r="O706" i="2" s="1"/>
  <c r="N707" i="2"/>
  <c r="O707" i="2" s="1"/>
  <c r="N708" i="2"/>
  <c r="O708" i="2" s="1"/>
  <c r="N709" i="2"/>
  <c r="AO1005" i="3" s="1"/>
  <c r="AR1005" i="3" s="1"/>
  <c r="N710" i="2"/>
  <c r="O710" i="2" s="1"/>
  <c r="N711" i="2"/>
  <c r="O711" i="2" s="1"/>
  <c r="N712" i="2"/>
  <c r="O712" i="2" s="1"/>
  <c r="N713" i="2"/>
  <c r="AO1009" i="3" s="1"/>
  <c r="AR1009" i="3" s="1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AO1022" i="3" s="1"/>
  <c r="AR1022" i="3" s="1"/>
  <c r="N727" i="2"/>
  <c r="O727" i="2" s="1"/>
  <c r="N728" i="2"/>
  <c r="O728" i="2" s="1"/>
  <c r="N729" i="2"/>
  <c r="AO1025" i="3" s="1"/>
  <c r="AR1025" i="3" s="1"/>
  <c r="N730" i="2"/>
  <c r="O730" i="2" s="1"/>
  <c r="N731" i="2"/>
  <c r="O731" i="2" s="1"/>
  <c r="N732" i="2"/>
  <c r="O732" i="2" s="1"/>
  <c r="N733" i="2"/>
  <c r="AO1029" i="3" s="1"/>
  <c r="AR1029" i="3" s="1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AO1037" i="3" s="1"/>
  <c r="AR1037" i="3" s="1"/>
  <c r="N742" i="2"/>
  <c r="O742" i="2" s="1"/>
  <c r="N743" i="2"/>
  <c r="O743" i="2" s="1"/>
  <c r="N744" i="2"/>
  <c r="O744" i="2" s="1"/>
  <c r="N745" i="2"/>
  <c r="AO1041" i="3" s="1"/>
  <c r="AR1041" i="3" s="1"/>
  <c r="N746" i="2"/>
  <c r="O746" i="2" s="1"/>
  <c r="N747" i="2"/>
  <c r="O747" i="2" s="1"/>
  <c r="N748" i="2"/>
  <c r="O748" i="2" s="1"/>
  <c r="N749" i="2"/>
  <c r="AO1045" i="3" s="1"/>
  <c r="AR1045" i="3" s="1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AO1056" i="3" s="1"/>
  <c r="AR1056" i="3" s="1"/>
  <c r="N761" i="2"/>
  <c r="AO1057" i="3" s="1"/>
  <c r="AR1057" i="3" s="1"/>
  <c r="N762" i="2"/>
  <c r="O762" i="2" s="1"/>
  <c r="N763" i="2"/>
  <c r="O763" i="2" s="1"/>
  <c r="N764" i="2"/>
  <c r="AO1060" i="3" s="1"/>
  <c r="AR1060" i="3" s="1"/>
  <c r="N765" i="2"/>
  <c r="AO1061" i="3" s="1"/>
  <c r="AR1061" i="3" s="1"/>
  <c r="N766" i="2"/>
  <c r="O766" i="2" s="1"/>
  <c r="N767" i="2"/>
  <c r="O767" i="2" s="1"/>
  <c r="N768" i="2"/>
  <c r="AO1064" i="3" s="1"/>
  <c r="AR1064" i="3" s="1"/>
  <c r="N769" i="2"/>
  <c r="AO1065" i="3" s="1"/>
  <c r="AR1065" i="3" s="1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AO1073" i="3" s="1"/>
  <c r="AR1073" i="3" s="1"/>
  <c r="N778" i="2"/>
  <c r="O778" i="2" s="1"/>
  <c r="N779" i="2"/>
  <c r="O779" i="2" s="1"/>
  <c r="N780" i="2"/>
  <c r="O780" i="2" s="1"/>
  <c r="N781" i="2"/>
  <c r="AO1077" i="3" s="1"/>
  <c r="AR1077" i="3" s="1"/>
  <c r="N782" i="2"/>
  <c r="O782" i="2" s="1"/>
  <c r="N783" i="2"/>
  <c r="AO1079" i="3" s="1"/>
  <c r="AR1079" i="3" s="1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AO1093" i="3" s="1"/>
  <c r="AR1093" i="3" s="1"/>
  <c r="N798" i="2"/>
  <c r="O798" i="2" s="1"/>
  <c r="N799" i="2"/>
  <c r="O799" i="2" s="1"/>
  <c r="N800" i="2"/>
  <c r="O800" i="2" s="1"/>
  <c r="N801" i="2"/>
  <c r="AO1097" i="3" s="1"/>
  <c r="AR1097" i="3" s="1"/>
  <c r="N802" i="2"/>
  <c r="O802" i="2" s="1"/>
  <c r="N803" i="2"/>
  <c r="O803" i="2" s="1"/>
  <c r="N804" i="2"/>
  <c r="O804" i="2" s="1"/>
  <c r="N805" i="2"/>
  <c r="AO1101" i="3" s="1"/>
  <c r="AR1101" i="3" s="1"/>
  <c r="N806" i="2"/>
  <c r="O806" i="2" s="1"/>
  <c r="N807" i="2"/>
  <c r="O807" i="2" s="1"/>
  <c r="N808" i="2"/>
  <c r="AO1104" i="3" s="1"/>
  <c r="AR1104" i="3" s="1"/>
  <c r="N809" i="2"/>
  <c r="AO1105" i="3" s="1"/>
  <c r="AR1105" i="3" s="1"/>
  <c r="N810" i="2"/>
  <c r="O810" i="2" s="1"/>
  <c r="N811" i="2"/>
  <c r="O811" i="2" s="1"/>
  <c r="N812" i="2"/>
  <c r="O812" i="2" s="1"/>
  <c r="N813" i="2"/>
  <c r="AO1109" i="3" s="1"/>
  <c r="AR1109" i="3" s="1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AO1121" i="3" s="1"/>
  <c r="AR1121" i="3" s="1"/>
  <c r="N826" i="2"/>
  <c r="O826" i="2" s="1"/>
  <c r="N827" i="2"/>
  <c r="O827" i="2" s="1"/>
  <c r="N828" i="2"/>
  <c r="O828" i="2" s="1"/>
  <c r="N829" i="2"/>
  <c r="AO1125" i="3" s="1"/>
  <c r="AR1125" i="3" s="1"/>
  <c r="N830" i="2"/>
  <c r="O830" i="2" s="1"/>
  <c r="N831" i="2"/>
  <c r="O831" i="2" s="1"/>
  <c r="N832" i="2"/>
  <c r="O832" i="2" s="1"/>
  <c r="N833" i="2"/>
  <c r="AO1129" i="3" s="1"/>
  <c r="AR1129" i="3" s="1"/>
  <c r="N834" i="2"/>
  <c r="O834" i="2" s="1"/>
  <c r="N835" i="2"/>
  <c r="O835" i="2" s="1"/>
  <c r="N836" i="2"/>
  <c r="AO1132" i="3" s="1"/>
  <c r="AR1132" i="3" s="1"/>
  <c r="N837" i="2"/>
  <c r="AO1133" i="3" s="1"/>
  <c r="AR1133" i="3" s="1"/>
  <c r="N838" i="2"/>
  <c r="O838" i="2" s="1"/>
  <c r="N839" i="2"/>
  <c r="O839" i="2" s="1"/>
  <c r="N840" i="2"/>
  <c r="O840" i="2" s="1"/>
  <c r="N841" i="2"/>
  <c r="AO1137" i="3" s="1"/>
  <c r="AR1137" i="3" s="1"/>
  <c r="N842" i="2"/>
  <c r="O842" i="2" s="1"/>
  <c r="N843" i="2"/>
  <c r="O843" i="2" s="1"/>
  <c r="N844" i="2"/>
  <c r="O844" i="2" s="1"/>
  <c r="N845" i="2"/>
  <c r="AO1141" i="3" s="1"/>
  <c r="AR1141" i="3" s="1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AO1153" i="3" s="1"/>
  <c r="AR1153" i="3" s="1"/>
  <c r="N858" i="2"/>
  <c r="O858" i="2" s="1"/>
  <c r="N859" i="2"/>
  <c r="AO1155" i="3" s="1"/>
  <c r="AR1155" i="3" s="1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AO1161" i="3" s="1"/>
  <c r="AR1161" i="3" s="1"/>
  <c r="N2" i="2"/>
  <c r="O3" i="2"/>
  <c r="AO3" i="3" s="1"/>
  <c r="AR3" i="3" s="1"/>
  <c r="O237" i="2"/>
  <c r="O314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64" i="2" l="1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201" i="3"/>
  <c r="AR201" i="3" s="1"/>
  <c r="O196" i="2"/>
  <c r="AO197" i="3"/>
  <c r="AR197" i="3" s="1"/>
  <c r="AO379" i="3"/>
  <c r="AR379" i="3" s="1"/>
  <c r="O192" i="2"/>
  <c r="AO193" i="3"/>
  <c r="AR193" i="3" s="1"/>
  <c r="AO375" i="3"/>
  <c r="AR375" i="3" s="1"/>
  <c r="O188" i="2"/>
  <c r="AO189" i="3"/>
  <c r="AR189" i="3" s="1"/>
  <c r="AO371" i="3"/>
  <c r="AR371" i="3" s="1"/>
  <c r="O184" i="2"/>
  <c r="AO185" i="3"/>
  <c r="AR185" i="3" s="1"/>
  <c r="O180" i="2"/>
  <c r="AO181" i="3"/>
  <c r="AR181" i="3" s="1"/>
  <c r="O176" i="2"/>
  <c r="AO177" i="3"/>
  <c r="AR177" i="3" s="1"/>
  <c r="O172" i="2"/>
  <c r="AO173" i="3"/>
  <c r="AR173" i="3" s="1"/>
  <c r="O168" i="2"/>
  <c r="AO169" i="3"/>
  <c r="AR169" i="3" s="1"/>
  <c r="O164" i="2"/>
  <c r="AO165" i="3"/>
  <c r="AR165" i="3" s="1"/>
  <c r="O160" i="2"/>
  <c r="AO161" i="3"/>
  <c r="AR161" i="3" s="1"/>
  <c r="O156" i="2"/>
  <c r="AO157" i="3"/>
  <c r="AR157" i="3" s="1"/>
  <c r="O152" i="2"/>
  <c r="AO153" i="3"/>
  <c r="AR153" i="3" s="1"/>
  <c r="O148" i="2"/>
  <c r="AO149" i="3"/>
  <c r="AR149" i="3" s="1"/>
  <c r="O144" i="2"/>
  <c r="AO145" i="3"/>
  <c r="AR145" i="3" s="1"/>
  <c r="O140" i="2"/>
  <c r="AO141" i="3"/>
  <c r="AR141" i="3" s="1"/>
  <c r="O136" i="2"/>
  <c r="AO137" i="3"/>
  <c r="AR137" i="3" s="1"/>
  <c r="O132" i="2"/>
  <c r="AO133" i="3"/>
  <c r="AR133" i="3" s="1"/>
  <c r="O128" i="2"/>
  <c r="AO129" i="3"/>
  <c r="AR129" i="3" s="1"/>
  <c r="O124" i="2"/>
  <c r="AO125" i="3"/>
  <c r="AR125" i="3" s="1"/>
  <c r="O120" i="2"/>
  <c r="AO121" i="3"/>
  <c r="AR121" i="3" s="1"/>
  <c r="O116" i="2"/>
  <c r="AO117" i="3"/>
  <c r="AR117" i="3" s="1"/>
  <c r="O112" i="2"/>
  <c r="AO113" i="3"/>
  <c r="AR113" i="3" s="1"/>
  <c r="O108" i="2"/>
  <c r="AO109" i="3"/>
  <c r="AR109" i="3" s="1"/>
  <c r="O104" i="2"/>
  <c r="AO105" i="3"/>
  <c r="AR105" i="3" s="1"/>
  <c r="O100" i="2"/>
  <c r="AO101" i="3"/>
  <c r="AR101" i="3" s="1"/>
  <c r="O96" i="2"/>
  <c r="AO97" i="3"/>
  <c r="AR97" i="3" s="1"/>
  <c r="O92" i="2"/>
  <c r="AO93" i="3"/>
  <c r="AR93" i="3" s="1"/>
  <c r="O84" i="2"/>
  <c r="AO85" i="3"/>
  <c r="AR85" i="3" s="1"/>
  <c r="O80" i="2"/>
  <c r="AO81" i="3"/>
  <c r="AR81" i="3" s="1"/>
  <c r="O76" i="2"/>
  <c r="AO77" i="3"/>
  <c r="AR77" i="3" s="1"/>
  <c r="O72" i="2"/>
  <c r="AO73" i="3"/>
  <c r="AR73" i="3" s="1"/>
  <c r="O68" i="2"/>
  <c r="AO69" i="3"/>
  <c r="AR69" i="3" s="1"/>
  <c r="O64" i="2"/>
  <c r="AO65" i="3"/>
  <c r="AR65" i="3" s="1"/>
  <c r="O60" i="2"/>
  <c r="AO61" i="3"/>
  <c r="AR61" i="3" s="1"/>
  <c r="O56" i="2"/>
  <c r="AO57" i="3"/>
  <c r="AR57" i="3" s="1"/>
  <c r="O52" i="2"/>
  <c r="AO53" i="3"/>
  <c r="AR53" i="3" s="1"/>
  <c r="O48" i="2"/>
  <c r="AO49" i="3"/>
  <c r="AR49" i="3" s="1"/>
  <c r="O44" i="2"/>
  <c r="AO45" i="3"/>
  <c r="AR45" i="3" s="1"/>
  <c r="O40" i="2"/>
  <c r="AO41" i="3"/>
  <c r="AR41" i="3" s="1"/>
  <c r="O36" i="2"/>
  <c r="AO37" i="3"/>
  <c r="AR37" i="3" s="1"/>
  <c r="O28" i="2"/>
  <c r="AO29" i="3"/>
  <c r="AR29" i="3" s="1"/>
  <c r="O24" i="2"/>
  <c r="AO25" i="3"/>
  <c r="AR25" i="3" s="1"/>
  <c r="O20" i="2"/>
  <c r="AO21" i="3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196" i="3"/>
  <c r="AR196" i="3" s="1"/>
  <c r="AO378" i="3"/>
  <c r="AR378" i="3" s="1"/>
  <c r="O191" i="2"/>
  <c r="AO192" i="3"/>
  <c r="AR192" i="3" s="1"/>
  <c r="AO374" i="3"/>
  <c r="AR374" i="3" s="1"/>
  <c r="O187" i="2"/>
  <c r="AO188" i="3"/>
  <c r="AR188" i="3" s="1"/>
  <c r="AO370" i="3"/>
  <c r="AR370" i="3" s="1"/>
  <c r="O183" i="2"/>
  <c r="AO184" i="3"/>
  <c r="AR184" i="3" s="1"/>
  <c r="O179" i="2"/>
  <c r="AO180" i="3"/>
  <c r="AR180" i="3" s="1"/>
  <c r="O175" i="2"/>
  <c r="AO176" i="3"/>
  <c r="AR176" i="3" s="1"/>
  <c r="O171" i="2"/>
  <c r="AO172" i="3"/>
  <c r="AR172" i="3" s="1"/>
  <c r="O167" i="2"/>
  <c r="AO168" i="3"/>
  <c r="AR168" i="3" s="1"/>
  <c r="O163" i="2"/>
  <c r="AO164" i="3"/>
  <c r="AR164" i="3" s="1"/>
  <c r="O159" i="2"/>
  <c r="AO160" i="3"/>
  <c r="AR160" i="3" s="1"/>
  <c r="O155" i="2"/>
  <c r="AO156" i="3"/>
  <c r="AR156" i="3" s="1"/>
  <c r="O151" i="2"/>
  <c r="AO152" i="3"/>
  <c r="AR152" i="3" s="1"/>
  <c r="O147" i="2"/>
  <c r="AO148" i="3"/>
  <c r="AR148" i="3" s="1"/>
  <c r="O143" i="2"/>
  <c r="AO144" i="3"/>
  <c r="AR144" i="3" s="1"/>
  <c r="O139" i="2"/>
  <c r="AO140" i="3"/>
  <c r="AR140" i="3" s="1"/>
  <c r="O135" i="2"/>
  <c r="AO136" i="3"/>
  <c r="AR136" i="3" s="1"/>
  <c r="O131" i="2"/>
  <c r="AO132" i="3"/>
  <c r="AR132" i="3" s="1"/>
  <c r="O127" i="2"/>
  <c r="AO128" i="3"/>
  <c r="AR128" i="3" s="1"/>
  <c r="O123" i="2"/>
  <c r="AO124" i="3"/>
  <c r="AR124" i="3" s="1"/>
  <c r="O119" i="2"/>
  <c r="AO120" i="3"/>
  <c r="AR120" i="3" s="1"/>
  <c r="O115" i="2"/>
  <c r="AO116" i="3"/>
  <c r="AR116" i="3" s="1"/>
  <c r="O111" i="2"/>
  <c r="AO112" i="3"/>
  <c r="AR112" i="3" s="1"/>
  <c r="O107" i="2"/>
  <c r="AO108" i="3"/>
  <c r="AR108" i="3" s="1"/>
  <c r="O103" i="2"/>
  <c r="AO104" i="3"/>
  <c r="AR104" i="3" s="1"/>
  <c r="O99" i="2"/>
  <c r="AO100" i="3"/>
  <c r="AR100" i="3" s="1"/>
  <c r="O95" i="2"/>
  <c r="AO96" i="3"/>
  <c r="AR96" i="3" s="1"/>
  <c r="O91" i="2"/>
  <c r="AO92" i="3"/>
  <c r="AR92" i="3" s="1"/>
  <c r="O87" i="2"/>
  <c r="AO88" i="3"/>
  <c r="AR88" i="3" s="1"/>
  <c r="O83" i="2"/>
  <c r="AO84" i="3"/>
  <c r="AR84" i="3" s="1"/>
  <c r="O79" i="2"/>
  <c r="AO80" i="3"/>
  <c r="AR80" i="3" s="1"/>
  <c r="O75" i="2"/>
  <c r="AO76" i="3"/>
  <c r="AR76" i="3" s="1"/>
  <c r="O71" i="2"/>
  <c r="AO72" i="3"/>
  <c r="AR72" i="3" s="1"/>
  <c r="O67" i="2"/>
  <c r="AO68" i="3"/>
  <c r="AR68" i="3" s="1"/>
  <c r="O63" i="2"/>
  <c r="AO64" i="3"/>
  <c r="AR64" i="3" s="1"/>
  <c r="O59" i="2"/>
  <c r="AO60" i="3"/>
  <c r="AR60" i="3" s="1"/>
  <c r="O55" i="2"/>
  <c r="AO56" i="3"/>
  <c r="AR56" i="3" s="1"/>
  <c r="O51" i="2"/>
  <c r="AO52" i="3"/>
  <c r="AR52" i="3" s="1"/>
  <c r="O47" i="2"/>
  <c r="AO48" i="3"/>
  <c r="AR48" i="3" s="1"/>
  <c r="O43" i="2"/>
  <c r="AO44" i="3"/>
  <c r="AR44" i="3" s="1"/>
  <c r="O39" i="2"/>
  <c r="AO40" i="3"/>
  <c r="AR40" i="3" s="1"/>
  <c r="O35" i="2"/>
  <c r="AO36" i="3"/>
  <c r="AR36" i="3" s="1"/>
  <c r="O31" i="2"/>
  <c r="AO32" i="3"/>
  <c r="AR32" i="3" s="1"/>
  <c r="O27" i="2"/>
  <c r="AO28" i="3"/>
  <c r="AR28" i="3" s="1"/>
  <c r="O23" i="2"/>
  <c r="AO24" i="3"/>
  <c r="AR24" i="3" s="1"/>
  <c r="O19" i="2"/>
  <c r="AO20" i="3"/>
  <c r="AR20" i="3" s="1"/>
  <c r="O15" i="2"/>
  <c r="AO16" i="3"/>
  <c r="AR16" i="3" s="1"/>
  <c r="O11" i="2"/>
  <c r="AO12" i="3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/>
  <c r="AR363" i="3" s="1"/>
  <c r="O358" i="2"/>
  <c r="AO359" i="3"/>
  <c r="AR359" i="3" s="1"/>
  <c r="O354" i="2"/>
  <c r="AO355" i="3"/>
  <c r="AR355" i="3" s="1"/>
  <c r="O350" i="2"/>
  <c r="AO351" i="3"/>
  <c r="AR351" i="3" s="1"/>
  <c r="O346" i="2"/>
  <c r="AO347" i="3"/>
  <c r="AR347" i="3" s="1"/>
  <c r="O342" i="2"/>
  <c r="AO343" i="3"/>
  <c r="AR343" i="3" s="1"/>
  <c r="O338" i="2"/>
  <c r="AO339" i="3"/>
  <c r="AR339" i="3" s="1"/>
  <c r="O334" i="2"/>
  <c r="AO335" i="3"/>
  <c r="AR335" i="3" s="1"/>
  <c r="O330" i="2"/>
  <c r="AO331" i="3"/>
  <c r="AR331" i="3" s="1"/>
  <c r="O326" i="2"/>
  <c r="AO327" i="3"/>
  <c r="AR327" i="3" s="1"/>
  <c r="O322" i="2"/>
  <c r="AO323" i="3"/>
  <c r="AR323" i="3" s="1"/>
  <c r="O318" i="2"/>
  <c r="AO319" i="3"/>
  <c r="AR319" i="3" s="1"/>
  <c r="O306" i="2"/>
  <c r="AO307" i="3"/>
  <c r="AR307" i="3" s="1"/>
  <c r="O302" i="2"/>
  <c r="AO303" i="3"/>
  <c r="AR303" i="3" s="1"/>
  <c r="O298" i="2"/>
  <c r="AO299" i="3"/>
  <c r="AR299" i="3" s="1"/>
  <c r="O294" i="2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263" i="3"/>
  <c r="AR263" i="3" s="1"/>
  <c r="O258" i="2"/>
  <c r="AO259" i="3"/>
  <c r="AR259" i="3" s="1"/>
  <c r="O254" i="2"/>
  <c r="AO255" i="3"/>
  <c r="AR255" i="3" s="1"/>
  <c r="O250" i="2"/>
  <c r="AO251" i="3"/>
  <c r="AR251" i="3" s="1"/>
  <c r="O246" i="2"/>
  <c r="AO247" i="3"/>
  <c r="AR247" i="3" s="1"/>
  <c r="O242" i="2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203" i="3"/>
  <c r="AR203" i="3" s="1"/>
  <c r="O198" i="2"/>
  <c r="AO199" i="3"/>
  <c r="AR199" i="3" s="1"/>
  <c r="O194" i="2"/>
  <c r="AO195" i="3"/>
  <c r="AR195" i="3" s="1"/>
  <c r="AO377" i="3"/>
  <c r="AR377" i="3" s="1"/>
  <c r="O190" i="2"/>
  <c r="AO191" i="3"/>
  <c r="AR191" i="3" s="1"/>
  <c r="AO373" i="3"/>
  <c r="AR373" i="3" s="1"/>
  <c r="O186" i="2"/>
  <c r="AO187" i="3"/>
  <c r="AR187" i="3" s="1"/>
  <c r="AO369" i="3"/>
  <c r="AR369" i="3" s="1"/>
  <c r="O182" i="2"/>
  <c r="AO183" i="3"/>
  <c r="AR183" i="3" s="1"/>
  <c r="O178" i="2"/>
  <c r="AO179" i="3"/>
  <c r="AR179" i="3" s="1"/>
  <c r="O174" i="2"/>
  <c r="AO175" i="3"/>
  <c r="AR175" i="3" s="1"/>
  <c r="O170" i="2"/>
  <c r="AO171" i="3"/>
  <c r="AR171" i="3" s="1"/>
  <c r="O166" i="2"/>
  <c r="AO167" i="3"/>
  <c r="AR167" i="3" s="1"/>
  <c r="O162" i="2"/>
  <c r="AO163" i="3"/>
  <c r="AR163" i="3" s="1"/>
  <c r="O118" i="2"/>
  <c r="AO119" i="3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/>
  <c r="AR366" i="3" s="1"/>
  <c r="O357" i="2"/>
  <c r="AO358" i="3"/>
  <c r="AR358" i="3" s="1"/>
  <c r="O353" i="2"/>
  <c r="AO354" i="3"/>
  <c r="AR354" i="3" s="1"/>
  <c r="O341" i="2"/>
  <c r="AO342" i="3"/>
  <c r="AR342" i="3" s="1"/>
  <c r="O337" i="2"/>
  <c r="AO338" i="3"/>
  <c r="AR338" i="3" s="1"/>
  <c r="O325" i="2"/>
  <c r="AO326" i="3"/>
  <c r="AR326" i="3" s="1"/>
  <c r="O317" i="2"/>
  <c r="AO318" i="3"/>
  <c r="AR318" i="3" s="1"/>
  <c r="O313" i="2"/>
  <c r="AO314" i="3"/>
  <c r="AR314" i="3" s="1"/>
  <c r="O309" i="2"/>
  <c r="AO310" i="3"/>
  <c r="AR310" i="3" s="1"/>
  <c r="O293" i="2"/>
  <c r="AO294" i="3"/>
  <c r="AR294" i="3" s="1"/>
  <c r="O289" i="2"/>
  <c r="AO290" i="3"/>
  <c r="AR290" i="3" s="1"/>
  <c r="O277" i="2"/>
  <c r="AO278" i="3"/>
  <c r="AR278" i="3" s="1"/>
  <c r="O273" i="2"/>
  <c r="AO274" i="3"/>
  <c r="AR274" i="3" s="1"/>
  <c r="O261" i="2"/>
  <c r="AO262" i="3"/>
  <c r="AR262" i="3" s="1"/>
  <c r="O257" i="2"/>
  <c r="AO258" i="3"/>
  <c r="AR258" i="3" s="1"/>
  <c r="O245" i="2"/>
  <c r="AO246" i="3"/>
  <c r="AR246" i="3" s="1"/>
  <c r="O233" i="2"/>
  <c r="AO234" i="3"/>
  <c r="AR234" i="3" s="1"/>
  <c r="O221" i="2"/>
  <c r="AO222" i="3"/>
  <c r="AR222" i="3" s="1"/>
  <c r="O217" i="2"/>
  <c r="AO218" i="3"/>
  <c r="AR218" i="3" s="1"/>
  <c r="O213" i="2"/>
  <c r="AO214" i="3"/>
  <c r="AR214" i="3" s="1"/>
  <c r="O201" i="2"/>
  <c r="AO202" i="3"/>
  <c r="AR202" i="3" s="1"/>
  <c r="AO194" i="3"/>
  <c r="AR194" i="3" s="1"/>
  <c r="AO376" i="3"/>
  <c r="AR376" i="3" s="1"/>
  <c r="O189" i="2"/>
  <c r="AO190" i="3"/>
  <c r="AR190" i="3" s="1"/>
  <c r="AO372" i="3"/>
  <c r="AR372" i="3" s="1"/>
  <c r="O185" i="2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O641" i="2"/>
  <c r="O729" i="2"/>
  <c r="O745" i="2"/>
  <c r="O521" i="2"/>
  <c r="O470" i="2"/>
  <c r="O825" i="2"/>
  <c r="O509" i="2"/>
  <c r="O859" i="2"/>
  <c r="O765" i="2"/>
  <c r="O673" i="2"/>
  <c r="O557" i="2"/>
  <c r="O457" i="2"/>
  <c r="O781" i="2"/>
  <c r="O685" i="2"/>
  <c r="O581" i="2"/>
  <c r="O485" i="2"/>
  <c r="AO717" i="3"/>
  <c r="AR717" i="3" s="1"/>
  <c r="AO705" i="3"/>
  <c r="AR705" i="3" s="1"/>
  <c r="AO657" i="3"/>
  <c r="AR657" i="3" s="1"/>
  <c r="AO653" i="3"/>
  <c r="AR653" i="3" s="1"/>
  <c r="AO625" i="3"/>
  <c r="AR625" i="3" s="1"/>
  <c r="AO617" i="3"/>
  <c r="AR617" i="3" s="1"/>
  <c r="AO569" i="3"/>
  <c r="AR569" i="3" s="1"/>
  <c r="AO533" i="3"/>
  <c r="AR533" i="3" s="1"/>
  <c r="AO517" i="3"/>
  <c r="AR517" i="3" s="1"/>
  <c r="AO481" i="3"/>
  <c r="AR481" i="3" s="1"/>
  <c r="O836" i="2"/>
  <c r="O783" i="2"/>
  <c r="O749" i="2"/>
  <c r="O697" i="2"/>
  <c r="O645" i="2"/>
  <c r="O589" i="2"/>
  <c r="O537" i="2"/>
  <c r="O489" i="2"/>
  <c r="O441" i="2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656" i="3"/>
  <c r="AR656" i="3" s="1"/>
  <c r="AO648" i="3"/>
  <c r="AR648" i="3" s="1"/>
  <c r="AO721" i="3"/>
  <c r="AR721" i="3" s="1"/>
  <c r="AO613" i="3"/>
  <c r="AR613" i="3" s="1"/>
  <c r="AO593" i="3"/>
  <c r="AR593" i="3" s="1"/>
  <c r="AO585" i="3"/>
  <c r="AR585" i="3" s="1"/>
  <c r="AO553" i="3"/>
  <c r="AR553" i="3" s="1"/>
  <c r="AO461" i="3"/>
  <c r="AR461" i="3" s="1"/>
  <c r="O857" i="2"/>
  <c r="O801" i="2"/>
  <c r="O764" i="2"/>
  <c r="O713" i="2"/>
  <c r="O669" i="2"/>
  <c r="O613" i="2"/>
  <c r="O553" i="2"/>
  <c r="O508" i="2"/>
  <c r="O453" i="2"/>
  <c r="O397" i="2"/>
  <c r="AO693" i="3" s="1"/>
  <c r="AR693" i="3" s="1"/>
  <c r="O345" i="2"/>
  <c r="AO641" i="3" s="1"/>
  <c r="AR641" i="3" s="1"/>
  <c r="O297" i="2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O805" i="2"/>
  <c r="O777" i="2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O280" i="2"/>
  <c r="AO576" i="3" s="1"/>
  <c r="AR576" i="3" s="1"/>
  <c r="AO409" i="3"/>
  <c r="AR409" i="3" s="1"/>
  <c r="AO389" i="3"/>
  <c r="AR389" i="3" s="1"/>
  <c r="AO385" i="3"/>
  <c r="AR385" i="3" s="1"/>
  <c r="O21" i="2"/>
  <c r="O5" i="2"/>
  <c r="AO5" i="3" s="1"/>
  <c r="AR5" i="3" s="1"/>
  <c r="O845" i="2"/>
  <c r="O833" i="2"/>
  <c r="O809" i="2"/>
  <c r="O797" i="2"/>
  <c r="O769" i="2"/>
  <c r="O761" i="2"/>
  <c r="O741" i="2"/>
  <c r="O709" i="2"/>
  <c r="O681" i="2"/>
  <c r="O664" i="2"/>
  <c r="O637" i="2"/>
  <c r="O605" i="2"/>
  <c r="O577" i="2"/>
  <c r="O545" i="2"/>
  <c r="O505" i="2"/>
  <c r="O477" i="2"/>
  <c r="O449" i="2"/>
  <c r="O421" i="2"/>
  <c r="O389" i="2"/>
  <c r="AO685" i="3" s="1"/>
  <c r="AR685" i="3" s="1"/>
  <c r="O377" i="2"/>
  <c r="AO673" i="3" s="1"/>
  <c r="AR673" i="3" s="1"/>
  <c r="O352" i="2"/>
  <c r="O329" i="2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O360" i="2"/>
  <c r="AO437" i="3"/>
  <c r="AR437" i="3" s="1"/>
  <c r="AO429" i="3"/>
  <c r="AR429" i="3" s="1"/>
  <c r="AO405" i="3"/>
  <c r="AR405" i="3" s="1"/>
  <c r="AO401" i="3"/>
  <c r="AR401" i="3" s="1"/>
  <c r="O33" i="2"/>
  <c r="O17" i="2"/>
  <c r="O865" i="2"/>
  <c r="O841" i="2"/>
  <c r="O829" i="2"/>
  <c r="O808" i="2"/>
  <c r="O768" i="2"/>
  <c r="O760" i="2"/>
  <c r="O733" i="2"/>
  <c r="O705" i="2"/>
  <c r="O677" i="2"/>
  <c r="O653" i="2"/>
  <c r="O621" i="2"/>
  <c r="O601" i="2"/>
  <c r="O569" i="2"/>
  <c r="O541" i="2"/>
  <c r="O517" i="2"/>
  <c r="O493" i="2"/>
  <c r="O473" i="2"/>
  <c r="O445" i="2"/>
  <c r="O417" i="2"/>
  <c r="AO713" i="3" s="1"/>
  <c r="AR713" i="3" s="1"/>
  <c r="O388" i="2"/>
  <c r="AO684" i="3" s="1"/>
  <c r="AR684" i="3" s="1"/>
  <c r="O361" i="2"/>
  <c r="O349" i="2"/>
  <c r="AO645" i="3" s="1"/>
  <c r="AR645" i="3" s="1"/>
  <c r="O321" i="2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O57" i="2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O66" i="2"/>
  <c r="O54" i="2"/>
  <c r="O46" i="2"/>
  <c r="O34" i="2"/>
  <c r="O22" i="2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AO466" i="3"/>
  <c r="AR466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O74" i="2"/>
  <c r="O70" i="2"/>
  <c r="O62" i="2"/>
  <c r="O58" i="2"/>
  <c r="O50" i="2"/>
  <c r="O42" i="2"/>
  <c r="O38" i="2"/>
  <c r="O30" i="2"/>
  <c r="O26" i="2"/>
  <c r="O18" i="2"/>
  <c r="O14" i="2"/>
  <c r="O6" i="2"/>
  <c r="AO6" i="3" s="1"/>
  <c r="AR6" i="3" s="1"/>
  <c r="O726" i="2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13" i="3"/>
  <c r="AR513" i="3" s="1"/>
  <c r="AO509" i="3"/>
  <c r="AR509" i="3" s="1"/>
  <c r="AO497" i="3"/>
  <c r="AR497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X10" i="3" l="1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<sst xmlns="http://schemas.openxmlformats.org/spreadsheetml/2006/main" count="1381" uniqueCount="97">
  <si>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</si>
  <si>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</si>
  <si>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</si>
  <si>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</si>
  <si>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</si>
  <si>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</si>
  <si>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</si>
  <si>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</si>
  <si>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</si>
  <si>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</si>
  <si>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</si>
  <si>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</si>
  <si>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</si>
  <si>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</si>
  <si>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</si>
  <si>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</si>
  <si>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</si>
  <si>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</si>
  <si>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</si>
  <si>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</si>
  <si>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</si>
  <si>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</si>
  <si>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</si>
  <si>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</si>
  <si>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</si>
  <si>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</si>
  <si>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</si>
  <si>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</si>
  <si>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</si>
  <si>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</si>
  <si>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</si>
  <si>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</si>
  <si>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</si>
  <si>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</si>
  <si>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</si>
  <si>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</si>
  <si>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</si>
  <si>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</si>
  <si>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</si>
  <si>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</si>
  <si>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</si>
  <si>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</si>
  <si>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</si>
  <si>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</si>
  <si>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</si>
  <si>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</si>
  <si>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</si>
  <si>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</si>
  <si>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</si>
  <si>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</si>
  <si>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</si>
  <si>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</si>
  <si>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</si>
  <si>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</si>
  <si>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</si>
  <si>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</si>
  <si>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</si>
  <si>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</si>
  <si>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</si>
  <si>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</si>
  <si>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</si>
  <si>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</si>
  <si>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</si>
  <si>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</si>
  <si>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</si>
  <si>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</si>
  <si>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</si>
  <si>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</si>
  <si>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</si>
  <si>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</si>
  <si>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</si>
  <si>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</si>
  <si>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</si>
  <si>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</si>
  <si>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</si>
  <si>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</si>
  <si>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</si>
  <si>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</si>
  <si>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</si>
  <si>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</si>
  <si>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</si>
  <si>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</si>
  <si>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</si>
  <si>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</si>
  <si>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</si>
  <si>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</si>
  <si>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</si>
  <si>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N Andrus</t>
  </si>
  <si>
    <t>Zyo</t>
  </si>
  <si>
    <t>Houston, TX</t>
  </si>
  <si>
    <t>101324</t>
  </si>
  <si>
    <t>Ardmore St and Yellowstone Blvd</t>
  </si>
  <si>
    <t>D Martin</t>
  </si>
  <si>
    <t>OFS</t>
  </si>
  <si>
    <t>96</t>
  </si>
  <si>
    <t>TX-255: 9999-ENT-E-1</t>
  </si>
  <si>
    <t>AT-3BE83SX-96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</si>
</sst>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12" zoomScale="70" zoomScaleNormal="70" workbookViewId="0">
      <selection activeCell="D50" sqref="D50:D51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90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79"/>
      <c r="C41" s="279" t="s">
        <v>88</v>
      </c>
      <c r="D41" s="279" t="s">
        <v>91</v>
      </c>
      <c r="E41" s="279" t="s">
        <v>89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TX-255: 9999-ENT-E-1  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99" t="s">
        <v>87</v>
      </c>
      <c r="C50" s="301">
        <v>42670</v>
      </c>
      <c r="D50" s="303" t="s">
        <v>92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10"/>
      <c r="C53" s="311"/>
      <c r="D53" s="286" t="str">
        <f>J8</f>
        <v>101324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15" sqref="E15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101324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95</v>
      </c>
      <c r="D11" s="322"/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 t="s">
        <v>94</v>
      </c>
      <c r="C13" s="340" t="s">
        <v>93</v>
      </c>
      <c r="D13" s="87" t="s">
        <v>96</v>
      </c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>
        <v>96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/>
      <c r="D18" s="322"/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str">
        <f t="shared" si="1"/>
        <v>AW</v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str">
        <f t="shared" si="1"/>
        <v>AW</v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str">
        <f t="shared" si="1"/>
        <v>AW</v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str">
        <f t="shared" si="1"/>
        <v>AW</v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str">
        <f t="shared" si="1"/>
        <v>AW</v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str">
        <f t="shared" si="1"/>
        <v>AW</v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str">
        <f t="shared" si="1"/>
        <v>AW</v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str">
        <f t="shared" si="1"/>
        <v>AW</v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str">
        <f t="shared" si="1"/>
        <v>AW</v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str">
        <f t="shared" si="1"/>
        <v>AW</v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str">
        <f t="shared" si="1"/>
        <v>AW</v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str">
        <f t="shared" si="1"/>
        <v>AW</v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str">
        <f t="shared" si="1"/>
        <v>AW</v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str">
        <f t="shared" si="1"/>
        <v>AW</v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str">
        <f t="shared" si="1"/>
        <v>AW</v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str">
        <f t="shared" si="1"/>
        <v>AW</v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str">
        <f t="shared" si="1"/>
        <v>AW</v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str">
        <f t="shared" ref="M67:M130" si="13">IF(L67="","",IF(L67&lt;=$E$15,VLOOKUP($E$14,$I$1:$J$4,2,FALSE),VLOOKUP($F$14,$I$1:$J$4,2,FALSE)))</f>
        <v>AW</v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str">
        <f t="shared" si="13"/>
        <v>AW</v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str">
        <f t="shared" si="13"/>
        <v>AW</v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str">
        <f t="shared" si="13"/>
        <v>AW</v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str">
        <f t="shared" si="13"/>
        <v>AW</v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str">
        <f t="shared" si="13"/>
        <v>AW</v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str">
        <f t="shared" si="13"/>
        <v>AW</v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str">
        <f t="shared" si="13"/>
        <v>AW</v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str">
        <f t="shared" si="13"/>
        <v>AW</v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str">
        <f t="shared" si="13"/>
        <v>AW</v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str">
        <f t="shared" si="13"/>
        <v>AW</v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str">
        <f t="shared" si="13"/>
        <v>AW</v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str">
        <f t="shared" si="13"/>
        <v>AW</v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str">
        <f t="shared" si="13"/>
        <v>AW</v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str">
        <f t="shared" si="13"/>
        <v>AW</v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str">
        <f t="shared" si="13"/>
        <v>AW</v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str">
        <f t="shared" si="13"/>
        <v>AW</v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str">
        <f t="shared" si="13"/>
        <v>AW</v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str">
        <f t="shared" si="13"/>
        <v>AW</v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str">
        <f t="shared" si="13"/>
        <v>AW</v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str">
        <f t="shared" si="13"/>
        <v>AW</v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str">
        <f t="shared" si="13"/>
        <v>AW</v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str">
        <f t="shared" si="13"/>
        <v>AW</v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str">
        <f t="shared" si="13"/>
        <v>AW</v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str">
        <f t="shared" si="13"/>
        <v>AW</v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str">
        <f t="shared" si="13"/>
        <v>AW</v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str">
        <f t="shared" si="13"/>
        <v>AW</v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str">
        <f t="shared" si="13"/>
        <v>AW</v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str">
        <f t="shared" si="13"/>
        <v>AW</v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str">
        <f t="shared" si="13"/>
        <v>AW</v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str">
        <f t="shared" si="13"/>
        <v>AW</v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101324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70" t="str">
        <f>'Cover - Location Info'!J8</f>
        <v>101324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3">
      <c r="A4" s="220"/>
      <c r="B4" s="371"/>
      <c r="C4" s="221"/>
      <c r="D4" s="221"/>
      <c r="E4" s="221"/>
      <c r="F4" s="373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74" t="s">
        <v>73</v>
      </c>
      <c r="C6" s="374"/>
      <c r="D6" s="374"/>
      <c r="E6" s="374"/>
      <c r="F6" s="374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5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5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5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5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5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5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5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5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5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5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5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5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5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5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5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5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5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5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5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5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5">
      <c r="A30" s="220"/>
      <c r="B30" s="358"/>
      <c r="C30" s="359"/>
      <c r="D30" s="359"/>
      <c r="E30" s="359"/>
      <c r="F30" s="360"/>
      <c r="G30" s="223"/>
    </row>
    <row r="31" spans="1:12" ht="15" customHeight="1" x14ac:dyDescent="0.25">
      <c r="A31" s="220"/>
      <c r="B31" s="358"/>
      <c r="C31" s="359"/>
      <c r="D31" s="359"/>
      <c r="E31" s="359"/>
      <c r="F31" s="360"/>
      <c r="G31" s="223"/>
    </row>
    <row r="32" spans="1:12" ht="15" customHeight="1" x14ac:dyDescent="0.25">
      <c r="A32" s="220"/>
      <c r="B32" s="358"/>
      <c r="C32" s="359"/>
      <c r="D32" s="359"/>
      <c r="E32" s="359"/>
      <c r="F32" s="360"/>
      <c r="G32" s="223"/>
    </row>
    <row r="33" spans="1:7" ht="15" customHeight="1" x14ac:dyDescent="0.25">
      <c r="A33" s="220"/>
      <c r="B33" s="349"/>
      <c r="C33" s="350"/>
      <c r="D33" s="350"/>
      <c r="E33" s="350"/>
      <c r="F33" s="351"/>
      <c r="G33" s="223"/>
    </row>
    <row r="34" spans="1:7" ht="15" customHeight="1" x14ac:dyDescent="0.25">
      <c r="A34" s="220"/>
      <c r="B34" s="349"/>
      <c r="C34" s="350"/>
      <c r="D34" s="350"/>
      <c r="E34" s="350"/>
      <c r="F34" s="351"/>
      <c r="G34" s="223"/>
    </row>
    <row r="35" spans="1:7" ht="15" customHeight="1" x14ac:dyDescent="0.25">
      <c r="A35" s="220"/>
      <c r="B35" s="361"/>
      <c r="C35" s="362"/>
      <c r="D35" s="362"/>
      <c r="E35" s="362"/>
      <c r="F35" s="363"/>
      <c r="G35" s="223"/>
    </row>
    <row r="36" spans="1:7" ht="15" customHeight="1" x14ac:dyDescent="0.25">
      <c r="A36" s="220"/>
      <c r="B36" s="364"/>
      <c r="C36" s="365"/>
      <c r="D36" s="365"/>
      <c r="E36" s="365"/>
      <c r="F36" s="366"/>
      <c r="G36" s="223"/>
    </row>
    <row r="37" spans="1:7" ht="15" customHeight="1" x14ac:dyDescent="0.25">
      <c r="A37" s="220"/>
      <c r="B37" s="364"/>
      <c r="C37" s="365"/>
      <c r="D37" s="365"/>
      <c r="E37" s="365"/>
      <c r="F37" s="366"/>
      <c r="G37" s="223"/>
    </row>
    <row r="38" spans="1:7" ht="15" customHeight="1" x14ac:dyDescent="0.25">
      <c r="A38" s="220"/>
      <c r="B38" s="349"/>
      <c r="C38" s="350"/>
      <c r="D38" s="350"/>
      <c r="E38" s="350"/>
      <c r="F38" s="351"/>
      <c r="G38" s="223"/>
    </row>
    <row r="39" spans="1:7" ht="15" customHeight="1" x14ac:dyDescent="0.25">
      <c r="A39" s="220"/>
      <c r="B39" s="349"/>
      <c r="C39" s="350"/>
      <c r="D39" s="350"/>
      <c r="E39" s="350"/>
      <c r="F39" s="351"/>
      <c r="G39" s="223"/>
    </row>
    <row r="40" spans="1:7" ht="15" customHeight="1" x14ac:dyDescent="0.25">
      <c r="A40" s="220"/>
      <c r="B40" s="349"/>
      <c r="C40" s="350"/>
      <c r="D40" s="350"/>
      <c r="E40" s="350"/>
      <c r="F40" s="351"/>
      <c r="G40" s="223"/>
    </row>
    <row r="41" spans="1:7" ht="15" customHeight="1" x14ac:dyDescent="0.25">
      <c r="A41" s="220"/>
      <c r="B41" s="349"/>
      <c r="C41" s="350"/>
      <c r="D41" s="350"/>
      <c r="E41" s="350"/>
      <c r="F41" s="351"/>
      <c r="G41" s="223"/>
    </row>
    <row r="42" spans="1:7" ht="15" customHeight="1" x14ac:dyDescent="0.25">
      <c r="A42" s="220"/>
      <c r="B42" s="349"/>
      <c r="C42" s="350"/>
      <c r="D42" s="350"/>
      <c r="E42" s="350"/>
      <c r="F42" s="351"/>
      <c r="G42" s="223"/>
    </row>
    <row r="43" spans="1:7" ht="15" customHeight="1" x14ac:dyDescent="0.25">
      <c r="A43" s="220"/>
      <c r="B43" s="352"/>
      <c r="C43" s="353"/>
      <c r="D43" s="353"/>
      <c r="E43" s="353"/>
      <c r="F43" s="354"/>
      <c r="G43" s="223"/>
    </row>
    <row r="44" spans="1:7" ht="15" customHeight="1" x14ac:dyDescent="0.25">
      <c r="A44" s="220"/>
      <c r="B44" s="343"/>
      <c r="C44" s="344"/>
      <c r="D44" s="344"/>
      <c r="E44" s="344"/>
      <c r="F44" s="345"/>
      <c r="G44" s="223"/>
    </row>
    <row r="45" spans="1:7" ht="15" customHeight="1" x14ac:dyDescent="0.25">
      <c r="A45" s="220"/>
      <c r="B45" s="343"/>
      <c r="C45" s="344"/>
      <c r="D45" s="344"/>
      <c r="E45" s="344"/>
      <c r="F45" s="345"/>
      <c r="G45" s="223"/>
    </row>
    <row r="46" spans="1:7" ht="15" customHeight="1" x14ac:dyDescent="0.25">
      <c r="A46" s="220"/>
      <c r="B46" s="355"/>
      <c r="C46" s="356"/>
      <c r="D46" s="356"/>
      <c r="E46" s="356"/>
      <c r="F46" s="357"/>
      <c r="G46" s="223"/>
    </row>
    <row r="47" spans="1:7" ht="15" customHeight="1" x14ac:dyDescent="0.25">
      <c r="A47" s="220"/>
      <c r="B47" s="352"/>
      <c r="C47" s="353"/>
      <c r="D47" s="353"/>
      <c r="E47" s="353"/>
      <c r="F47" s="354"/>
      <c r="G47" s="223"/>
    </row>
    <row r="48" spans="1:7" ht="15" customHeight="1" x14ac:dyDescent="0.25">
      <c r="A48" s="220"/>
      <c r="B48" s="343"/>
      <c r="C48" s="344"/>
      <c r="D48" s="344"/>
      <c r="E48" s="344"/>
      <c r="F48" s="345"/>
      <c r="G48" s="223"/>
    </row>
    <row r="49" spans="1:7" ht="15" customHeight="1" x14ac:dyDescent="0.25">
      <c r="A49" s="220"/>
      <c r="B49" s="343"/>
      <c r="C49" s="344"/>
      <c r="D49" s="344"/>
      <c r="E49" s="344"/>
      <c r="F49" s="345"/>
      <c r="G49" s="223"/>
    </row>
    <row r="50" spans="1:7" ht="15" customHeight="1" x14ac:dyDescent="0.25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3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opLeftCell="A289" zoomScale="85" zoomScaleNormal="85" workbookViewId="0">
      <selection activeCell="U360" sqref="U360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104.10937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TX-255: 9999-ENT-E-1</v>
      </c>
      <c r="AI1" s="120" t="s">
        <v>17</v>
      </c>
      <c r="AJ1" s="121" t="s">
        <v>12</v>
      </c>
      <c r="AM1" s="121" t="str">
        <f>AF1</f>
        <v>[A] TX-255: 9999-ENT-E-1</v>
      </c>
      <c r="AN1" s="121" t="s">
        <v>17</v>
      </c>
      <c r="AO1" s="121" t="s">
        <v>13</v>
      </c>
      <c r="AR1" s="121" t="str">
        <f>AF2</f>
        <v/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/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/>
      </c>
      <c r="AR2" s="121" t="str">
        <f>IF(AP2="",AO2,CONCATENATE(AO2,"  &lt;=&gt; ",AP2," ",AQ2))</f>
        <v/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101324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/>
      </c>
      <c r="AR3" s="121" t="str">
        <f t="shared" ref="AR3:AR10" si="1">IF(AP3="",AO3,CONCATENATE(AO3,"  &lt;=&gt; ",AP3," ",AQ3))</f>
        <v/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/>
      </c>
      <c r="AR4" s="121" t="str">
        <f t="shared" si="1"/>
        <v/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/>
      </c>
      <c r="AR5" s="121" t="str">
        <f t="shared" si="1"/>
        <v/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/>
      </c>
      <c r="AR6" s="121" t="str">
        <f t="shared" si="1"/>
        <v/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/>
      </c>
      <c r="AR7" s="121" t="str">
        <f t="shared" si="1"/>
        <v/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/>
      </c>
      <c r="AR8" s="121" t="str">
        <f t="shared" si="1"/>
        <v/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/>
      </c>
      <c r="AR9" s="121" t="str">
        <f t="shared" si="1"/>
        <v/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/>
      <c r="C10" s="114" t="str">
        <f>IFERROR(IF(B10="","",IF((COUNTIF('Cable Info'!$B$11:$C$50,B10)=0),VLOOKUP(B10,'Cable Info (2)'!$B$11:$C$50,2,FALSE),(VLOOKUP(B10,'Cable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Info'!$B$11:$C$50,P10)=0),VLOOKUP(P10,'Cable Info (2)'!$B$11:$C$50,2,FALSE),(VLOOKUP(P10,'Cable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/>
      </c>
      <c r="AR10" s="121" t="str">
        <f t="shared" si="1"/>
        <v/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5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/>
      </c>
      <c r="AR11" s="121" t="str">
        <f t="shared" ref="AR11" si="12">IF(AP11="",AO11,CONCATENATE(AO11,"  &lt;=&gt; ",AP11," ",AQ11))</f>
        <v/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/>
      </c>
      <c r="AR12" s="121" t="str">
        <f t="shared" ref="AR12" si="24">IF(AP12="",AO12,CONCATENATE(AO12,"  &lt;=&gt; ",AP12," ",AQ12))</f>
        <v/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/>
      </c>
      <c r="AR13" s="121" t="str">
        <f t="shared" ref="AR13:AR76" si="36">IF(AP13="",AO13,CONCATENATE(AO13,"  &lt;=&gt; ",AP13," ",AQ13))</f>
        <v/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/>
      </c>
      <c r="AR14" s="121" t="str">
        <f t="shared" si="36"/>
        <v/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str">
        <f>IF('Cable Info'!N14="","",CONCATENATE('Cable Info'!N14," - ",'Cable Info'!O14))</f>
        <v/>
      </c>
      <c r="AR15" s="121" t="str">
        <f t="shared" si="36"/>
        <v/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AW</v>
      </c>
      <c r="AM16" s="121" t="str">
        <f t="shared" si="35"/>
        <v>14 - AW</v>
      </c>
      <c r="AO16" s="121" t="str">
        <f>IF('Cable Info'!N15="","",CONCATENATE('Cable Info'!N15," - ",'Cable Info'!O15))</f>
        <v/>
      </c>
      <c r="AR16" s="121" t="str">
        <f t="shared" si="36"/>
        <v/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AW</v>
      </c>
      <c r="AM17" s="121" t="str">
        <f t="shared" si="35"/>
        <v>15 - AW</v>
      </c>
      <c r="AO17" s="121" t="str">
        <f>IF('Cable Info'!N16="","",CONCATENATE('Cable Info'!N16," - ",'Cable Info'!O16))</f>
        <v/>
      </c>
      <c r="AR17" s="121" t="str">
        <f t="shared" si="36"/>
        <v/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AW</v>
      </c>
      <c r="AM18" s="121" t="str">
        <f t="shared" si="35"/>
        <v>16 - AW</v>
      </c>
      <c r="AO18" s="121" t="str">
        <f>IF('Cable Info'!N17="","",CONCATENATE('Cable Info'!N17," - ",'Cable Info'!O17))</f>
        <v/>
      </c>
      <c r="AR18" s="121" t="str">
        <f t="shared" si="36"/>
        <v/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AW</v>
      </c>
      <c r="AM19" s="121" t="str">
        <f t="shared" si="35"/>
        <v>17 - AW</v>
      </c>
      <c r="AO19" s="121" t="str">
        <f>IF('Cable Info'!N18="","",CONCATENATE('Cable Info'!N18," - ",'Cable Info'!O18))</f>
        <v/>
      </c>
      <c r="AR19" s="121" t="str">
        <f t="shared" si="36"/>
        <v/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AW</v>
      </c>
      <c r="AM20" s="121" t="str">
        <f t="shared" si="35"/>
        <v>18 - AW</v>
      </c>
      <c r="AO20" s="121" t="str">
        <f>IF('Cable Info'!N19="","",CONCATENATE('Cable Info'!N19," - ",'Cable Info'!O19))</f>
        <v/>
      </c>
      <c r="AR20" s="121" t="str">
        <f t="shared" si="36"/>
        <v/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AW</v>
      </c>
      <c r="AM21" s="121" t="str">
        <f t="shared" si="35"/>
        <v>19 - AW</v>
      </c>
      <c r="AO21" s="121" t="str">
        <f>IF('Cable Info'!N20="","",CONCATENATE('Cable Info'!N20," - ",'Cable Info'!O20))</f>
        <v/>
      </c>
      <c r="AR21" s="121" t="str">
        <f t="shared" si="36"/>
        <v/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AW</v>
      </c>
      <c r="AM22" s="121" t="str">
        <f t="shared" si="35"/>
        <v>20 - AW</v>
      </c>
      <c r="AO22" s="121" t="str">
        <f>IF('Cable Info'!N21="","",CONCATENATE('Cable Info'!N21," - ",'Cable Info'!O21))</f>
        <v/>
      </c>
      <c r="AR22" s="121" t="str">
        <f t="shared" si="36"/>
        <v/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AW</v>
      </c>
      <c r="AM23" s="121" t="str">
        <f t="shared" si="35"/>
        <v>21 - AW</v>
      </c>
      <c r="AO23" s="121" t="str">
        <f>IF('Cable Info'!N22="","",CONCATENATE('Cable Info'!N22," - ",'Cable Info'!O22))</f>
        <v/>
      </c>
      <c r="AR23" s="121" t="str">
        <f t="shared" si="36"/>
        <v/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AW</v>
      </c>
      <c r="AM24" s="121" t="str">
        <f t="shared" si="35"/>
        <v>22 - AW</v>
      </c>
      <c r="AO24" s="121" t="str">
        <f>IF('Cable Info'!N23="","",CONCATENATE('Cable Info'!N23," - ",'Cable Info'!O23))</f>
        <v/>
      </c>
      <c r="AR24" s="121" t="str">
        <f t="shared" si="36"/>
        <v/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AW</v>
      </c>
      <c r="AM25" s="121" t="str">
        <f t="shared" si="35"/>
        <v>23 - AW</v>
      </c>
      <c r="AO25" s="121" t="str">
        <f>IF('Cable Info'!N24="","",CONCATENATE('Cable Info'!N24," - ",'Cable Info'!O24))</f>
        <v/>
      </c>
      <c r="AR25" s="121" t="str">
        <f t="shared" si="36"/>
        <v/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AW</v>
      </c>
      <c r="AM26" s="121" t="str">
        <f t="shared" si="35"/>
        <v>24 - AW</v>
      </c>
      <c r="AO26" s="121" t="str">
        <f>IF('Cable Info'!N25="","",CONCATENATE('Cable Info'!N25," - ",'Cable Info'!O25))</f>
        <v/>
      </c>
      <c r="AR26" s="121" t="str">
        <f t="shared" si="36"/>
        <v/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AW</v>
      </c>
      <c r="AM27" s="121" t="str">
        <f t="shared" si="35"/>
        <v>25 - AW</v>
      </c>
      <c r="AO27" s="121" t="str">
        <f>IF('Cable Info'!N26="","",CONCATENATE('Cable Info'!N26," - ",'Cable Info'!O26))</f>
        <v/>
      </c>
      <c r="AR27" s="121" t="str">
        <f t="shared" si="36"/>
        <v/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AW</v>
      </c>
      <c r="AM28" s="121" t="str">
        <f t="shared" si="35"/>
        <v>26 - AW</v>
      </c>
      <c r="AO28" s="121" t="str">
        <f>IF('Cable Info'!N27="","",CONCATENATE('Cable Info'!N27," - ",'Cable Info'!O27))</f>
        <v/>
      </c>
      <c r="AR28" s="121" t="str">
        <f t="shared" si="36"/>
        <v/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AW</v>
      </c>
      <c r="AM29" s="121" t="str">
        <f t="shared" si="35"/>
        <v>27 - AW</v>
      </c>
      <c r="AO29" s="121" t="str">
        <f>IF('Cable Info'!N28="","",CONCATENATE('Cable Info'!N28," - ",'Cable Info'!O28))</f>
        <v/>
      </c>
      <c r="AR29" s="121" t="str">
        <f t="shared" si="36"/>
        <v/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AW</v>
      </c>
      <c r="AM30" s="121" t="str">
        <f t="shared" si="35"/>
        <v>28 - AW</v>
      </c>
      <c r="AO30" s="121" t="str">
        <f>IF('Cable Info'!N29="","",CONCATENATE('Cable Info'!N29," - ",'Cable Info'!O29))</f>
        <v/>
      </c>
      <c r="AR30" s="121" t="str">
        <f t="shared" si="36"/>
        <v/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AW</v>
      </c>
      <c r="AM31" s="121" t="str">
        <f t="shared" si="35"/>
        <v>29 - AW</v>
      </c>
      <c r="AO31" s="121" t="str">
        <f>IF('Cable Info'!N30="","",CONCATENATE('Cable Info'!N30," - ",'Cable Info'!O30))</f>
        <v/>
      </c>
      <c r="AR31" s="121" t="str">
        <f t="shared" si="36"/>
        <v/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AW</v>
      </c>
      <c r="AM32" s="121" t="str">
        <f t="shared" si="35"/>
        <v>30 - AW</v>
      </c>
      <c r="AO32" s="121" t="str">
        <f>IF('Cable Info'!N31="","",CONCATENATE('Cable Info'!N31," - ",'Cable Info'!O31))</f>
        <v/>
      </c>
      <c r="AR32" s="121" t="str">
        <f t="shared" si="36"/>
        <v/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AW</v>
      </c>
      <c r="AM33" s="121" t="str">
        <f t="shared" si="35"/>
        <v>31 - AW</v>
      </c>
      <c r="AO33" s="121" t="str">
        <f>IF('Cable Info'!N32="","",CONCATENATE('Cable Info'!N32," - ",'Cable Info'!O32))</f>
        <v/>
      </c>
      <c r="AR33" s="121" t="str">
        <f t="shared" si="36"/>
        <v/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AW</v>
      </c>
      <c r="AM34" s="121" t="str">
        <f t="shared" si="35"/>
        <v>32 - AW</v>
      </c>
      <c r="AO34" s="121" t="str">
        <f>IF('Cable Info'!N33="","",CONCATENATE('Cable Info'!N33," - ",'Cable Info'!O33))</f>
        <v/>
      </c>
      <c r="AR34" s="121" t="str">
        <f t="shared" si="36"/>
        <v/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AW</v>
      </c>
      <c r="AM35" s="121" t="str">
        <f t="shared" si="35"/>
        <v>33 - AW</v>
      </c>
      <c r="AO35" s="121" t="str">
        <f>IF('Cable Info'!N34="","",CONCATENATE('Cable Info'!N34," - ",'Cable Info'!O34))</f>
        <v/>
      </c>
      <c r="AR35" s="121" t="str">
        <f t="shared" si="36"/>
        <v/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AW</v>
      </c>
      <c r="AM36" s="121" t="str">
        <f t="shared" si="35"/>
        <v>34 - AW</v>
      </c>
      <c r="AO36" s="121" t="str">
        <f>IF('Cable Info'!N35="","",CONCATENATE('Cable Info'!N35," - ",'Cable Info'!O35))</f>
        <v/>
      </c>
      <c r="AR36" s="121" t="str">
        <f t="shared" si="36"/>
        <v/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AW</v>
      </c>
      <c r="AM37" s="121" t="str">
        <f t="shared" si="35"/>
        <v>35 - AW</v>
      </c>
      <c r="AO37" s="121" t="str">
        <f>IF('Cable Info'!N36="","",CONCATENATE('Cable Info'!N36," - ",'Cable Info'!O36))</f>
        <v/>
      </c>
      <c r="AR37" s="121" t="str">
        <f t="shared" si="36"/>
        <v/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AW</v>
      </c>
      <c r="AM38" s="121" t="str">
        <f t="shared" si="35"/>
        <v>36 - AW</v>
      </c>
      <c r="AO38" s="121" t="str">
        <f>IF('Cable Info'!N37="","",CONCATENATE('Cable Info'!N37," - ",'Cable Info'!O37))</f>
        <v/>
      </c>
      <c r="AR38" s="121" t="str">
        <f t="shared" si="36"/>
        <v/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AW</v>
      </c>
      <c r="AM39" s="121" t="str">
        <f t="shared" si="35"/>
        <v>37 - AW</v>
      </c>
      <c r="AO39" s="121" t="str">
        <f>IF('Cable Info'!N38="","",CONCATENATE('Cable Info'!N38," - ",'Cable Info'!O38))</f>
        <v/>
      </c>
      <c r="AR39" s="121" t="str">
        <f t="shared" si="36"/>
        <v/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AW</v>
      </c>
      <c r="AM40" s="121" t="str">
        <f t="shared" si="35"/>
        <v>38 - AW</v>
      </c>
      <c r="AO40" s="121" t="str">
        <f>IF('Cable Info'!N39="","",CONCATENATE('Cable Info'!N39," - ",'Cable Info'!O39))</f>
        <v/>
      </c>
      <c r="AR40" s="121" t="str">
        <f t="shared" si="36"/>
        <v/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AW</v>
      </c>
      <c r="AM41" s="121" t="str">
        <f t="shared" si="35"/>
        <v>39 - AW</v>
      </c>
      <c r="AO41" s="121" t="str">
        <f>IF('Cable Info'!N40="","",CONCATENATE('Cable Info'!N40," - ",'Cable Info'!O40))</f>
        <v/>
      </c>
      <c r="AR41" s="121" t="str">
        <f t="shared" si="36"/>
        <v/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AW</v>
      </c>
      <c r="AM42" s="121" t="str">
        <f t="shared" si="35"/>
        <v>40 - AW</v>
      </c>
      <c r="AO42" s="121" t="str">
        <f>IF('Cable Info'!N41="","",CONCATENATE('Cable Info'!N41," - ",'Cable Info'!O41))</f>
        <v/>
      </c>
      <c r="AR42" s="121" t="str">
        <f t="shared" si="36"/>
        <v/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AW</v>
      </c>
      <c r="AM43" s="121" t="str">
        <f t="shared" si="35"/>
        <v>41 - AW</v>
      </c>
      <c r="AO43" s="121" t="str">
        <f>IF('Cable Info'!N42="","",CONCATENATE('Cable Info'!N42," - ",'Cable Info'!O42))</f>
        <v/>
      </c>
      <c r="AR43" s="121" t="str">
        <f t="shared" si="36"/>
        <v/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AW</v>
      </c>
      <c r="AM44" s="121" t="str">
        <f t="shared" si="35"/>
        <v>42 - AW</v>
      </c>
      <c r="AO44" s="121" t="str">
        <f>IF('Cable Info'!N43="","",CONCATENATE('Cable Info'!N43," - ",'Cable Info'!O43))</f>
        <v/>
      </c>
      <c r="AR44" s="121" t="str">
        <f t="shared" si="36"/>
        <v/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AW</v>
      </c>
      <c r="AM45" s="121" t="str">
        <f t="shared" si="35"/>
        <v>43 - AW</v>
      </c>
      <c r="AO45" s="121" t="str">
        <f>IF('Cable Info'!N44="","",CONCATENATE('Cable Info'!N44," - ",'Cable Info'!O44))</f>
        <v/>
      </c>
      <c r="AR45" s="121" t="str">
        <f t="shared" si="36"/>
        <v/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AW</v>
      </c>
      <c r="AM46" s="121" t="str">
        <f t="shared" si="35"/>
        <v>44 - AW</v>
      </c>
      <c r="AO46" s="121" t="str">
        <f>IF('Cable Info'!N45="","",CONCATENATE('Cable Info'!N45," - ",'Cable Info'!O45))</f>
        <v/>
      </c>
      <c r="AR46" s="121" t="str">
        <f t="shared" si="36"/>
        <v/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AW</v>
      </c>
      <c r="AM47" s="121" t="str">
        <f t="shared" si="35"/>
        <v>45 - AW</v>
      </c>
      <c r="AO47" s="121" t="str">
        <f>IF('Cable Info'!N46="","",CONCATENATE('Cable Info'!N46," - ",'Cable Info'!O46))</f>
        <v/>
      </c>
      <c r="AR47" s="121" t="str">
        <f t="shared" si="36"/>
        <v/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AW</v>
      </c>
      <c r="AM48" s="121" t="str">
        <f t="shared" si="35"/>
        <v>46 - AW</v>
      </c>
      <c r="AO48" s="121" t="str">
        <f>IF('Cable Info'!N47="","",CONCATENATE('Cable Info'!N47," - ",'Cable Info'!O47))</f>
        <v/>
      </c>
      <c r="AR48" s="121" t="str">
        <f t="shared" si="36"/>
        <v/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AW</v>
      </c>
      <c r="AM49" s="121" t="str">
        <f t="shared" si="35"/>
        <v>47 - AW</v>
      </c>
      <c r="AO49" s="121" t="str">
        <f>IF('Cable Info'!N48="","",CONCATENATE('Cable Info'!N48," - ",'Cable Info'!O48))</f>
        <v/>
      </c>
      <c r="AR49" s="121" t="str">
        <f t="shared" si="36"/>
        <v/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AW</v>
      </c>
      <c r="AM50" s="121" t="str">
        <f t="shared" si="35"/>
        <v>48 - AW</v>
      </c>
      <c r="AO50" s="121" t="str">
        <f>IF('Cable Info'!N49="","",CONCATENATE('Cable Info'!N49," - ",'Cable Info'!O49))</f>
        <v/>
      </c>
      <c r="AR50" s="121" t="str">
        <f t="shared" si="36"/>
        <v/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str">
        <f>IF('Cable Info'!L50="","",CONCATENATE('Cable Info'!L50," - ",'Cable Info'!M50))</f>
        <v>49 - AW</v>
      </c>
      <c r="AM51" s="121" t="str">
        <f t="shared" si="35"/>
        <v>49 - AW</v>
      </c>
      <c r="AO51" s="121" t="str">
        <f>IF('Cable Info'!N50="","",CONCATENATE('Cable Info'!N50," - ",'Cable Info'!O50))</f>
        <v/>
      </c>
      <c r="AR51" s="121" t="str">
        <f t="shared" si="36"/>
        <v/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str">
        <f>IF('Cable Info'!L51="","",CONCATENATE('Cable Info'!L51," - ",'Cable Info'!M51))</f>
        <v>50 - AW</v>
      </c>
      <c r="AM52" s="121" t="str">
        <f t="shared" si="35"/>
        <v>50 - AW</v>
      </c>
      <c r="AO52" s="121" t="str">
        <f>IF('Cable Info'!N51="","",CONCATENATE('Cable Info'!N51," - ",'Cable Info'!O51))</f>
        <v/>
      </c>
      <c r="AR52" s="121" t="str">
        <f t="shared" si="36"/>
        <v/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str">
        <f>IF('Cable Info'!L52="","",CONCATENATE('Cable Info'!L52," - ",'Cable Info'!M52))</f>
        <v>51 - AW</v>
      </c>
      <c r="AM53" s="121" t="str">
        <f t="shared" si="35"/>
        <v>51 - AW</v>
      </c>
      <c r="AO53" s="121" t="str">
        <f>IF('Cable Info'!N52="","",CONCATENATE('Cable Info'!N52," - ",'Cable Info'!O52))</f>
        <v/>
      </c>
      <c r="AR53" s="121" t="str">
        <f t="shared" si="36"/>
        <v/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str">
        <f>IF('Cable Info'!L53="","",CONCATENATE('Cable Info'!L53," - ",'Cable Info'!M53))</f>
        <v>52 - AW</v>
      </c>
      <c r="AM54" s="121" t="str">
        <f t="shared" si="35"/>
        <v>52 - AW</v>
      </c>
      <c r="AO54" s="121" t="str">
        <f>IF('Cable Info'!N53="","",CONCATENATE('Cable Info'!N53," - ",'Cable Info'!O53))</f>
        <v/>
      </c>
      <c r="AR54" s="121" t="str">
        <f t="shared" si="36"/>
        <v/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str">
        <f>IF('Cable Info'!L54="","",CONCATENATE('Cable Info'!L54," - ",'Cable Info'!M54))</f>
        <v>53 - AW</v>
      </c>
      <c r="AM55" s="121" t="str">
        <f t="shared" si="35"/>
        <v>53 - AW</v>
      </c>
      <c r="AO55" s="121" t="str">
        <f>IF('Cable Info'!N54="","",CONCATENATE('Cable Info'!N54," - ",'Cable Info'!O54))</f>
        <v/>
      </c>
      <c r="AR55" s="121" t="str">
        <f t="shared" si="36"/>
        <v/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str">
        <f>IF('Cable Info'!L55="","",CONCATENATE('Cable Info'!L55," - ",'Cable Info'!M55))</f>
        <v>54 - AW</v>
      </c>
      <c r="AM56" s="121" t="str">
        <f t="shared" si="35"/>
        <v>54 - AW</v>
      </c>
      <c r="AO56" s="121" t="str">
        <f>IF('Cable Info'!N55="","",CONCATENATE('Cable Info'!N55," - ",'Cable Info'!O55))</f>
        <v/>
      </c>
      <c r="AR56" s="121" t="str">
        <f t="shared" si="36"/>
        <v/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str">
        <f>IF('Cable Info'!L56="","",CONCATENATE('Cable Info'!L56," - ",'Cable Info'!M56))</f>
        <v>55 - AW</v>
      </c>
      <c r="AM57" s="121" t="str">
        <f t="shared" si="35"/>
        <v>55 - AW</v>
      </c>
      <c r="AO57" s="121" t="str">
        <f>IF('Cable Info'!N56="","",CONCATENATE('Cable Info'!N56," - ",'Cable Info'!O56))</f>
        <v/>
      </c>
      <c r="AR57" s="121" t="str">
        <f t="shared" si="36"/>
        <v/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str">
        <f>IF('Cable Info'!L57="","",CONCATENATE('Cable Info'!L57," - ",'Cable Info'!M57))</f>
        <v>56 - AW</v>
      </c>
      <c r="AM58" s="121" t="str">
        <f t="shared" si="35"/>
        <v>56 - AW</v>
      </c>
      <c r="AO58" s="121" t="str">
        <f>IF('Cable Info'!N57="","",CONCATENATE('Cable Info'!N57," - ",'Cable Info'!O57))</f>
        <v/>
      </c>
      <c r="AR58" s="121" t="str">
        <f t="shared" si="36"/>
        <v/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str">
        <f>IF('Cable Info'!L58="","",CONCATENATE('Cable Info'!L58," - ",'Cable Info'!M58))</f>
        <v>57 - AW</v>
      </c>
      <c r="AM59" s="121" t="str">
        <f t="shared" si="35"/>
        <v>57 - AW</v>
      </c>
      <c r="AO59" s="121" t="str">
        <f>IF('Cable Info'!N58="","",CONCATENATE('Cable Info'!N58," - ",'Cable Info'!O58))</f>
        <v/>
      </c>
      <c r="AR59" s="121" t="str">
        <f t="shared" si="36"/>
        <v/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str">
        <f>IF('Cable Info'!L59="","",CONCATENATE('Cable Info'!L59," - ",'Cable Info'!M59))</f>
        <v>58 - AW</v>
      </c>
      <c r="AM60" s="121" t="str">
        <f t="shared" si="35"/>
        <v>58 - AW</v>
      </c>
      <c r="AO60" s="121" t="str">
        <f>IF('Cable Info'!N59="","",CONCATENATE('Cable Info'!N59," - ",'Cable Info'!O59))</f>
        <v/>
      </c>
      <c r="AR60" s="121" t="str">
        <f t="shared" si="36"/>
        <v/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str">
        <f>IF('Cable Info'!L60="","",CONCATENATE('Cable Info'!L60," - ",'Cable Info'!M60))</f>
        <v>59 - AW</v>
      </c>
      <c r="AM61" s="121" t="str">
        <f t="shared" si="35"/>
        <v>59 - AW</v>
      </c>
      <c r="AO61" s="121" t="str">
        <f>IF('Cable Info'!N60="","",CONCATENATE('Cable Info'!N60," - ",'Cable Info'!O60))</f>
        <v/>
      </c>
      <c r="AR61" s="121" t="str">
        <f t="shared" si="36"/>
        <v/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str">
        <f>IF('Cable Info'!L61="","",CONCATENATE('Cable Info'!L61," - ",'Cable Info'!M61))</f>
        <v>60 - AW</v>
      </c>
      <c r="AM62" s="121" t="str">
        <f t="shared" si="35"/>
        <v>60 - AW</v>
      </c>
      <c r="AO62" s="121" t="str">
        <f>IF('Cable Info'!N61="","",CONCATENATE('Cable Info'!N61," - ",'Cable Info'!O61))</f>
        <v/>
      </c>
      <c r="AR62" s="121" t="str">
        <f t="shared" si="36"/>
        <v/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str">
        <f>IF('Cable Info'!L62="","",CONCATENATE('Cable Info'!L62," - ",'Cable Info'!M62))</f>
        <v>61 - AW</v>
      </c>
      <c r="AM63" s="121" t="str">
        <f t="shared" si="35"/>
        <v>61 - AW</v>
      </c>
      <c r="AO63" s="121" t="str">
        <f>IF('Cable Info'!N62="","",CONCATENATE('Cable Info'!N62," - ",'Cable Info'!O62))</f>
        <v/>
      </c>
      <c r="AR63" s="121" t="str">
        <f t="shared" si="36"/>
        <v/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str">
        <f>IF('Cable Info'!L63="","",CONCATENATE('Cable Info'!L63," - ",'Cable Info'!M63))</f>
        <v>62 - AW</v>
      </c>
      <c r="AM64" s="121" t="str">
        <f t="shared" si="35"/>
        <v>62 - AW</v>
      </c>
      <c r="AO64" s="121" t="str">
        <f>IF('Cable Info'!N63="","",CONCATENATE('Cable Info'!N63," - ",'Cable Info'!O63))</f>
        <v/>
      </c>
      <c r="AR64" s="121" t="str">
        <f t="shared" si="36"/>
        <v/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str">
        <f>IF('Cable Info'!L64="","",CONCATENATE('Cable Info'!L64," - ",'Cable Info'!M64))</f>
        <v>63 - AW</v>
      </c>
      <c r="AM65" s="121" t="str">
        <f t="shared" si="35"/>
        <v>63 - AW</v>
      </c>
      <c r="AO65" s="121" t="str">
        <f>IF('Cable Info'!N64="","",CONCATENATE('Cable Info'!N64," - ",'Cable Info'!O64))</f>
        <v/>
      </c>
      <c r="AR65" s="121" t="str">
        <f t="shared" si="36"/>
        <v/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str">
        <f>IF('Cable Info'!L65="","",CONCATENATE('Cable Info'!L65," - ",'Cable Info'!M65))</f>
        <v>64 - AW</v>
      </c>
      <c r="AM66" s="121" t="str">
        <f t="shared" si="35"/>
        <v>64 - AW</v>
      </c>
      <c r="AO66" s="121" t="str">
        <f>IF('Cable Info'!N65="","",CONCATENATE('Cable Info'!N65," - ",'Cable Info'!O65))</f>
        <v/>
      </c>
      <c r="AR66" s="121" t="str">
        <f t="shared" si="36"/>
        <v/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str">
        <f>IF('Cable Info'!L66="","",CONCATENATE('Cable Info'!L66," - ",'Cable Info'!M66))</f>
        <v>65 - AW</v>
      </c>
      <c r="AM67" s="121" t="str">
        <f t="shared" si="35"/>
        <v>65 - AW</v>
      </c>
      <c r="AO67" s="121" t="str">
        <f>IF('Cable Info'!N66="","",CONCATENATE('Cable Info'!N66," - ",'Cable Info'!O66))</f>
        <v/>
      </c>
      <c r="AR67" s="121" t="str">
        <f t="shared" si="36"/>
        <v/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str">
        <f>IF('Cable Info'!L67="","",CONCATENATE('Cable Info'!L67," - ",'Cable Info'!M67))</f>
        <v>66 - AW</v>
      </c>
      <c r="AM68" s="121" t="str">
        <f t="shared" si="35"/>
        <v>66 - AW</v>
      </c>
      <c r="AO68" s="121" t="str">
        <f>IF('Cable Info'!N67="","",CONCATENATE('Cable Info'!N67," - ",'Cable Info'!O67))</f>
        <v/>
      </c>
      <c r="AR68" s="121" t="str">
        <f t="shared" si="36"/>
        <v/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str">
        <f>IF('Cable Info'!L68="","",CONCATENATE('Cable Info'!L68," - ",'Cable Info'!M68))</f>
        <v>67 - AW</v>
      </c>
      <c r="AM69" s="121" t="str">
        <f t="shared" si="35"/>
        <v>67 - AW</v>
      </c>
      <c r="AO69" s="121" t="str">
        <f>IF('Cable Info'!N68="","",CONCATENATE('Cable Info'!N68," - ",'Cable Info'!O68))</f>
        <v/>
      </c>
      <c r="AR69" s="121" t="str">
        <f t="shared" si="36"/>
        <v/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str">
        <f>IF('Cable Info'!L69="","",CONCATENATE('Cable Info'!L69," - ",'Cable Info'!M69))</f>
        <v>68 - AW</v>
      </c>
      <c r="AM70" s="121" t="str">
        <f t="shared" si="35"/>
        <v>68 - AW</v>
      </c>
      <c r="AO70" s="121" t="str">
        <f>IF('Cable Info'!N69="","",CONCATENATE('Cable Info'!N69," - ",'Cable Info'!O69))</f>
        <v/>
      </c>
      <c r="AR70" s="121" t="str">
        <f t="shared" si="36"/>
        <v/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str">
        <f>IF('Cable Info'!L70="","",CONCATENATE('Cable Info'!L70," - ",'Cable Info'!M70))</f>
        <v>69 - AW</v>
      </c>
      <c r="AM71" s="121" t="str">
        <f t="shared" si="35"/>
        <v>69 - AW</v>
      </c>
      <c r="AO71" s="121" t="str">
        <f>IF('Cable Info'!N70="","",CONCATENATE('Cable Info'!N70," - ",'Cable Info'!O70))</f>
        <v/>
      </c>
      <c r="AR71" s="121" t="str">
        <f t="shared" si="36"/>
        <v/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str">
        <f>IF('Cable Info'!L71="","",CONCATENATE('Cable Info'!L71," - ",'Cable Info'!M71))</f>
        <v>70 - AW</v>
      </c>
      <c r="AM72" s="121" t="str">
        <f t="shared" si="35"/>
        <v>70 - AW</v>
      </c>
      <c r="AO72" s="121" t="str">
        <f>IF('Cable Info'!N71="","",CONCATENATE('Cable Info'!N71," - ",'Cable Info'!O71))</f>
        <v/>
      </c>
      <c r="AR72" s="121" t="str">
        <f t="shared" si="36"/>
        <v/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str">
        <f>IF('Cable Info'!L72="","",CONCATENATE('Cable Info'!L72," - ",'Cable Info'!M72))</f>
        <v>71 - AW</v>
      </c>
      <c r="AM73" s="121" t="str">
        <f t="shared" si="35"/>
        <v>71 - AW</v>
      </c>
      <c r="AO73" s="121" t="str">
        <f>IF('Cable Info'!N72="","",CONCATENATE('Cable Info'!N72," - ",'Cable Info'!O72))</f>
        <v/>
      </c>
      <c r="AR73" s="121" t="str">
        <f t="shared" si="36"/>
        <v/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str">
        <f>IF('Cable Info'!L73="","",CONCATENATE('Cable Info'!L73," - ",'Cable Info'!M73))</f>
        <v>72 - AW</v>
      </c>
      <c r="AM74" s="121" t="str">
        <f t="shared" si="35"/>
        <v>72 - AW</v>
      </c>
      <c r="AO74" s="121" t="str">
        <f>IF('Cable Info'!N73="","",CONCATENATE('Cable Info'!N73," - ",'Cable Info'!O73))</f>
        <v/>
      </c>
      <c r="AR74" s="121" t="str">
        <f t="shared" si="36"/>
        <v/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str">
        <f>IF('Cable Info'!L74="","",CONCATENATE('Cable Info'!L74," - ",'Cable Info'!M74))</f>
        <v>73 - AW</v>
      </c>
      <c r="AM75" s="121" t="str">
        <f t="shared" si="35"/>
        <v>73 - AW</v>
      </c>
      <c r="AO75" s="121" t="str">
        <f>IF('Cable Info'!N74="","",CONCATENATE('Cable Info'!N74," - ",'Cable Info'!O74))</f>
        <v/>
      </c>
      <c r="AR75" s="121" t="str">
        <f t="shared" si="36"/>
        <v/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str">
        <f>IF('Cable Info'!L75="","",CONCATENATE('Cable Info'!L75," - ",'Cable Info'!M75))</f>
        <v>74 - AW</v>
      </c>
      <c r="AM76" s="121" t="str">
        <f t="shared" si="35"/>
        <v>74 - AW</v>
      </c>
      <c r="AO76" s="121" t="str">
        <f>IF('Cable Info'!N75="","",CONCATENATE('Cable Info'!N75," - ",'Cable Info'!O75))</f>
        <v/>
      </c>
      <c r="AR76" s="121" t="str">
        <f t="shared" si="36"/>
        <v/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str">
        <f>IF('Cable Info'!L76="","",CONCATENATE('Cable Info'!L76," - ",'Cable Info'!M76))</f>
        <v>75 - AW</v>
      </c>
      <c r="AM77" s="121" t="str">
        <f t="shared" ref="AM77:AM140" si="47">IF(AK77="",AJ77,CONCATENATE(AJ77,"  &lt;=&gt; ",AK77," ",AL77))</f>
        <v>75 - AW</v>
      </c>
      <c r="AO77" s="121" t="str">
        <f>IF('Cable Info'!N76="","",CONCATENATE('Cable Info'!N76," - ",'Cable Info'!O76))</f>
        <v/>
      </c>
      <c r="AR77" s="121" t="str">
        <f t="shared" ref="AR77:AR140" si="48">IF(AP77="",AO77,CONCATENATE(AO77,"  &lt;=&gt; ",AP77," ",AQ77))</f>
        <v/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str">
        <f>IF('Cable Info'!L77="","",CONCATENATE('Cable Info'!L77," - ",'Cable Info'!M77))</f>
        <v>76 - AW</v>
      </c>
      <c r="AM78" s="121" t="str">
        <f t="shared" si="47"/>
        <v>76 - AW</v>
      </c>
      <c r="AO78" s="121" t="str">
        <f>IF('Cable Info'!N77="","",CONCATENATE('Cable Info'!N77," - ",'Cable Info'!O77))</f>
        <v/>
      </c>
      <c r="AR78" s="121" t="str">
        <f t="shared" si="48"/>
        <v/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str">
        <f>IF('Cable Info'!L78="","",CONCATENATE('Cable Info'!L78," - ",'Cable Info'!M78))</f>
        <v>77 - AW</v>
      </c>
      <c r="AM79" s="121" t="str">
        <f t="shared" si="47"/>
        <v>77 - AW</v>
      </c>
      <c r="AO79" s="121" t="str">
        <f>IF('Cable Info'!N78="","",CONCATENATE('Cable Info'!N78," - ",'Cable Info'!O78))</f>
        <v/>
      </c>
      <c r="AR79" s="121" t="str">
        <f t="shared" si="48"/>
        <v/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str">
        <f>IF('Cable Info'!L79="","",CONCATENATE('Cable Info'!L79," - ",'Cable Info'!M79))</f>
        <v>78 - AW</v>
      </c>
      <c r="AM80" s="121" t="str">
        <f t="shared" si="47"/>
        <v>78 - AW</v>
      </c>
      <c r="AO80" s="121" t="str">
        <f>IF('Cable Info'!N79="","",CONCATENATE('Cable Info'!N79," - ",'Cable Info'!O79))</f>
        <v/>
      </c>
      <c r="AR80" s="121" t="str">
        <f t="shared" si="48"/>
        <v/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str">
        <f>IF('Cable Info'!L80="","",CONCATENATE('Cable Info'!L80," - ",'Cable Info'!M80))</f>
        <v>79 - AW</v>
      </c>
      <c r="AM81" s="121" t="str">
        <f t="shared" si="47"/>
        <v>79 - AW</v>
      </c>
      <c r="AO81" s="121" t="str">
        <f>IF('Cable Info'!N80="","",CONCATENATE('Cable Info'!N80," - ",'Cable Info'!O80))</f>
        <v/>
      </c>
      <c r="AR81" s="121" t="str">
        <f t="shared" si="48"/>
        <v/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str">
        <f>IF('Cable Info'!L81="","",CONCATENATE('Cable Info'!L81," - ",'Cable Info'!M81))</f>
        <v>80 - AW</v>
      </c>
      <c r="AM82" s="121" t="str">
        <f t="shared" si="47"/>
        <v>80 - AW</v>
      </c>
      <c r="AO82" s="121" t="str">
        <f>IF('Cable Info'!N81="","",CONCATENATE('Cable Info'!N81," - ",'Cable Info'!O81))</f>
        <v/>
      </c>
      <c r="AR82" s="121" t="str">
        <f t="shared" si="48"/>
        <v/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str">
        <f>IF('Cable Info'!L82="","",CONCATENATE('Cable Info'!L82," - ",'Cable Info'!M82))</f>
        <v>81 - AW</v>
      </c>
      <c r="AM83" s="121" t="str">
        <f t="shared" si="47"/>
        <v>81 - AW</v>
      </c>
      <c r="AO83" s="121" t="str">
        <f>IF('Cable Info'!N82="","",CONCATENATE('Cable Info'!N82," - ",'Cable Info'!O82))</f>
        <v/>
      </c>
      <c r="AR83" s="121" t="str">
        <f t="shared" si="48"/>
        <v/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str">
        <f>IF('Cable Info'!L83="","",CONCATENATE('Cable Info'!L83," - ",'Cable Info'!M83))</f>
        <v>82 - AW</v>
      </c>
      <c r="AM84" s="121" t="str">
        <f t="shared" si="47"/>
        <v>82 - AW</v>
      </c>
      <c r="AO84" s="121" t="str">
        <f>IF('Cable Info'!N83="","",CONCATENATE('Cable Info'!N83," - ",'Cable Info'!O83))</f>
        <v/>
      </c>
      <c r="AR84" s="121" t="str">
        <f t="shared" si="48"/>
        <v/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str">
        <f>IF('Cable Info'!L84="","",CONCATENATE('Cable Info'!L84," - ",'Cable Info'!M84))</f>
        <v>83 - AW</v>
      </c>
      <c r="AM85" s="121" t="str">
        <f t="shared" si="47"/>
        <v>83 - AW</v>
      </c>
      <c r="AO85" s="121" t="str">
        <f>IF('Cable Info'!N84="","",CONCATENATE('Cable Info'!N84," - ",'Cable Info'!O84))</f>
        <v/>
      </c>
      <c r="AR85" s="121" t="str">
        <f t="shared" si="48"/>
        <v/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str">
        <f>IF('Cable Info'!L85="","",CONCATENATE('Cable Info'!L85," - ",'Cable Info'!M85))</f>
        <v>84 - AW</v>
      </c>
      <c r="AM86" s="121" t="str">
        <f t="shared" si="47"/>
        <v>84 - AW</v>
      </c>
      <c r="AO86" s="121" t="str">
        <f>IF('Cable Info'!N85="","",CONCATENATE('Cable Info'!N85," - ",'Cable Info'!O85))</f>
        <v/>
      </c>
      <c r="AR86" s="121" t="str">
        <f t="shared" si="48"/>
        <v/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str">
        <f>IF('Cable Info'!L86="","",CONCATENATE('Cable Info'!L86," - ",'Cable Info'!M86))</f>
        <v>85 - AW</v>
      </c>
      <c r="AM87" s="121" t="str">
        <f t="shared" si="47"/>
        <v>85 - AW</v>
      </c>
      <c r="AO87" s="121" t="str">
        <f>IF('Cable Info'!N86="","",CONCATENATE('Cable Info'!N86," - ",'Cable Info'!O86))</f>
        <v/>
      </c>
      <c r="AR87" s="121" t="str">
        <f t="shared" si="48"/>
        <v/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str">
        <f>IF('Cable Info'!L87="","",CONCATENATE('Cable Info'!L87," - ",'Cable Info'!M87))</f>
        <v>86 - AW</v>
      </c>
      <c r="AM88" s="121" t="str">
        <f t="shared" si="47"/>
        <v>86 - AW</v>
      </c>
      <c r="AO88" s="121" t="str">
        <f>IF('Cable Info'!N87="","",CONCATENATE('Cable Info'!N87," - ",'Cable Info'!O87))</f>
        <v/>
      </c>
      <c r="AR88" s="121" t="str">
        <f t="shared" si="48"/>
        <v/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str">
        <f>IF('Cable Info'!L88="","",CONCATENATE('Cable Info'!L88," - ",'Cable Info'!M88))</f>
        <v>87 - AW</v>
      </c>
      <c r="AM89" s="121" t="str">
        <f t="shared" si="47"/>
        <v>87 - AW</v>
      </c>
      <c r="AO89" s="121" t="str">
        <f>IF('Cable Info'!N88="","",CONCATENATE('Cable Info'!N88," - ",'Cable Info'!O88))</f>
        <v/>
      </c>
      <c r="AR89" s="121" t="str">
        <f t="shared" si="48"/>
        <v/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str">
        <f>IF('Cable Info'!L89="","",CONCATENATE('Cable Info'!L89," - ",'Cable Info'!M89))</f>
        <v>88 - AW</v>
      </c>
      <c r="AM90" s="121" t="str">
        <f t="shared" si="47"/>
        <v>88 - AW</v>
      </c>
      <c r="AO90" s="121" t="str">
        <f>IF('Cable Info'!N89="","",CONCATENATE('Cable Info'!N89," - ",'Cable Info'!O89))</f>
        <v/>
      </c>
      <c r="AR90" s="121" t="str">
        <f t="shared" si="48"/>
        <v/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str">
        <f>IF('Cable Info'!L90="","",CONCATENATE('Cable Info'!L90," - ",'Cable Info'!M90))</f>
        <v>89 - AW</v>
      </c>
      <c r="AM91" s="121" t="str">
        <f t="shared" si="47"/>
        <v>89 - AW</v>
      </c>
      <c r="AO91" s="121" t="str">
        <f>IF('Cable Info'!N90="","",CONCATENATE('Cable Info'!N90," - ",'Cable Info'!O90))</f>
        <v/>
      </c>
      <c r="AR91" s="121" t="str">
        <f t="shared" si="48"/>
        <v/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str">
        <f>IF('Cable Info'!L91="","",CONCATENATE('Cable Info'!L91," - ",'Cable Info'!M91))</f>
        <v>90 - AW</v>
      </c>
      <c r="AM92" s="121" t="str">
        <f t="shared" si="47"/>
        <v>90 - AW</v>
      </c>
      <c r="AO92" s="121" t="str">
        <f>IF('Cable Info'!N91="","",CONCATENATE('Cable Info'!N91," - ",'Cable Info'!O91))</f>
        <v/>
      </c>
      <c r="AR92" s="121" t="str">
        <f t="shared" si="48"/>
        <v/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str">
        <f>IF('Cable Info'!L92="","",CONCATENATE('Cable Info'!L92," - ",'Cable Info'!M92))</f>
        <v>91 - AW</v>
      </c>
      <c r="AM93" s="121" t="str">
        <f t="shared" si="47"/>
        <v>91 - AW</v>
      </c>
      <c r="AO93" s="121" t="str">
        <f>IF('Cable Info'!N92="","",CONCATENATE('Cable Info'!N92," - ",'Cable Info'!O92))</f>
        <v/>
      </c>
      <c r="AR93" s="121" t="str">
        <f t="shared" si="48"/>
        <v/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str">
        <f>IF('Cable Info'!L93="","",CONCATENATE('Cable Info'!L93," - ",'Cable Info'!M93))</f>
        <v>92 - AW</v>
      </c>
      <c r="AM94" s="121" t="str">
        <f t="shared" si="47"/>
        <v>92 - AW</v>
      </c>
      <c r="AO94" s="121" t="str">
        <f>IF('Cable Info'!N93="","",CONCATENATE('Cable Info'!N93," - ",'Cable Info'!O93))</f>
        <v/>
      </c>
      <c r="AR94" s="121" t="str">
        <f t="shared" si="48"/>
        <v/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str">
        <f>IF('Cable Info'!L94="","",CONCATENATE('Cable Info'!L94," - ",'Cable Info'!M94))</f>
        <v>93 - AW</v>
      </c>
      <c r="AM95" s="121" t="str">
        <f t="shared" si="47"/>
        <v>93 - AW</v>
      </c>
      <c r="AO95" s="121" t="str">
        <f>IF('Cable Info'!N94="","",CONCATENATE('Cable Info'!N94," - ",'Cable Info'!O94))</f>
        <v/>
      </c>
      <c r="AR95" s="121" t="str">
        <f t="shared" si="48"/>
        <v/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str">
        <f>IF('Cable Info'!L95="","",CONCATENATE('Cable Info'!L95," - ",'Cable Info'!M95))</f>
        <v>94 - AW</v>
      </c>
      <c r="AM96" s="121" t="str">
        <f t="shared" si="47"/>
        <v>94 - AW</v>
      </c>
      <c r="AO96" s="121" t="str">
        <f>IF('Cable Info'!N95="","",CONCATENATE('Cable Info'!N95," - ",'Cable Info'!O95))</f>
        <v/>
      </c>
      <c r="AR96" s="121" t="str">
        <f t="shared" si="48"/>
        <v/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str">
        <f>IF('Cable Info'!L96="","",CONCATENATE('Cable Info'!L96," - ",'Cable Info'!M96))</f>
        <v>95 - AW</v>
      </c>
      <c r="AM97" s="121" t="str">
        <f t="shared" si="47"/>
        <v>95 - AW</v>
      </c>
      <c r="AO97" s="121" t="str">
        <f>IF('Cable Info'!N96="","",CONCATENATE('Cable Info'!N96," - ",'Cable Info'!O96))</f>
        <v/>
      </c>
      <c r="AR97" s="121" t="str">
        <f t="shared" si="48"/>
        <v/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str">
        <f>IF('Cable Info'!L97="","",CONCATENATE('Cable Info'!L97," - ",'Cable Info'!M97))</f>
        <v>96 - AW</v>
      </c>
      <c r="AM98" s="121" t="str">
        <f t="shared" si="47"/>
        <v>96 - AW</v>
      </c>
      <c r="AO98" s="121" t="str">
        <f>IF('Cable Info'!N97="","",CONCATENATE('Cable Info'!N97," - ",'Cable Info'!O97))</f>
        <v/>
      </c>
      <c r="AR98" s="121" t="str">
        <f t="shared" si="48"/>
        <v/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str">
        <f>IF('Cable Info'!N98="","",CONCATENATE('Cable Info'!N98," - ",'Cable Info'!O98))</f>
        <v/>
      </c>
      <c r="AR99" s="121" t="str">
        <f t="shared" si="48"/>
        <v/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str">
        <f>IF('Cable Info'!N99="","",CONCATENATE('Cable Info'!N99," - ",'Cable Info'!O99))</f>
        <v/>
      </c>
      <c r="AR100" s="121" t="str">
        <f t="shared" si="48"/>
        <v/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str">
        <f>IF('Cable Info'!N100="","",CONCATENATE('Cable Info'!N100," - ",'Cable Info'!O100))</f>
        <v/>
      </c>
      <c r="AR101" s="121" t="str">
        <f t="shared" si="48"/>
        <v/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str">
        <f>IF('Cable Info'!N101="","",CONCATENATE('Cable Info'!N101," - ",'Cable Info'!O101))</f>
        <v/>
      </c>
      <c r="AR102" s="121" t="str">
        <f t="shared" si="48"/>
        <v/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str">
        <f>IF('Cable Info'!N102="","",CONCATENATE('Cable Info'!N102," - ",'Cable Info'!O102))</f>
        <v/>
      </c>
      <c r="AR103" s="121" t="str">
        <f t="shared" si="48"/>
        <v/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str">
        <f>IF('Cable Info'!N103="","",CONCATENATE('Cable Info'!N103," - ",'Cable Info'!O103))</f>
        <v/>
      </c>
      <c r="AR104" s="121" t="str">
        <f t="shared" si="48"/>
        <v/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str">
        <f>IF('Cable Info'!N104="","",CONCATENATE('Cable Info'!N104," - ",'Cable Info'!O104))</f>
        <v/>
      </c>
      <c r="AR105" s="121" t="str">
        <f t="shared" si="48"/>
        <v/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str">
        <f>IF('Cable Info'!N105="","",CONCATENATE('Cable Info'!N105," - ",'Cable Info'!O105))</f>
        <v/>
      </c>
      <c r="AR106" s="121" t="str">
        <f t="shared" si="48"/>
        <v/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str">
        <f>IF('Cable Info'!N106="","",CONCATENATE('Cable Info'!N106," - ",'Cable Info'!O106))</f>
        <v/>
      </c>
      <c r="AR107" s="121" t="str">
        <f t="shared" si="48"/>
        <v/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str">
        <f>IF('Cable Info'!N107="","",CONCATENATE('Cable Info'!N107," - ",'Cable Info'!O107))</f>
        <v/>
      </c>
      <c r="AR108" s="121" t="str">
        <f t="shared" si="48"/>
        <v/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str">
        <f>IF('Cable Info'!N108="","",CONCATENATE('Cable Info'!N108," - ",'Cable Info'!O108))</f>
        <v/>
      </c>
      <c r="AR109" s="121" t="str">
        <f t="shared" si="48"/>
        <v/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str">
        <f>IF('Cable Info'!N109="","",CONCATENATE('Cable Info'!N109," - ",'Cable Info'!O109))</f>
        <v/>
      </c>
      <c r="AR110" s="121" t="str">
        <f t="shared" si="48"/>
        <v/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str">
        <f>IF('Cable Info'!N110="","",CONCATENATE('Cable Info'!N110," - ",'Cable Info'!O110))</f>
        <v/>
      </c>
      <c r="AR111" s="121" t="str">
        <f t="shared" si="48"/>
        <v/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str">
        <f>IF('Cable Info'!N111="","",CONCATENATE('Cable Info'!N111," - ",'Cable Info'!O111))</f>
        <v/>
      </c>
      <c r="AR112" s="121" t="str">
        <f t="shared" si="48"/>
        <v/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str">
        <f>IF('Cable Info'!N112="","",CONCATENATE('Cable Info'!N112," - ",'Cable Info'!O112))</f>
        <v/>
      </c>
      <c r="AR113" s="121" t="str">
        <f t="shared" si="48"/>
        <v/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str">
        <f>IF('Cable Info'!N113="","",CONCATENATE('Cable Info'!N113," - ",'Cable Info'!O113))</f>
        <v/>
      </c>
      <c r="AR114" s="121" t="str">
        <f t="shared" si="48"/>
        <v/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str">
        <f>IF('Cable Info'!N114="","",CONCATENATE('Cable Info'!N114," - ",'Cable Info'!O114))</f>
        <v/>
      </c>
      <c r="AR115" s="121" t="str">
        <f t="shared" si="48"/>
        <v/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str">
        <f>IF('Cable Info'!N115="","",CONCATENATE('Cable Info'!N115," - ",'Cable Info'!O115))</f>
        <v/>
      </c>
      <c r="AR116" s="121" t="str">
        <f t="shared" si="48"/>
        <v/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str">
        <f>IF('Cable Info'!N116="","",CONCATENATE('Cable Info'!N116," - ",'Cable Info'!O116))</f>
        <v/>
      </c>
      <c r="AR117" s="121" t="str">
        <f t="shared" si="48"/>
        <v/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str">
        <f>IF('Cable Info'!N117="","",CONCATENATE('Cable Info'!N117," - ",'Cable Info'!O117))</f>
        <v/>
      </c>
      <c r="AR118" s="121" t="str">
        <f t="shared" si="48"/>
        <v/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str">
        <f>IF('Cable Info'!N118="","",CONCATENATE('Cable Info'!N118," - ",'Cable Info'!O118))</f>
        <v/>
      </c>
      <c r="AR119" s="121" t="str">
        <f t="shared" si="48"/>
        <v/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str">
        <f>IF('Cable Info'!N119="","",CONCATENATE('Cable Info'!N119," - ",'Cable Info'!O119))</f>
        <v/>
      </c>
      <c r="AR120" s="121" t="str">
        <f t="shared" si="48"/>
        <v/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str">
        <f>IF('Cable Info'!N120="","",CONCATENATE('Cable Info'!N120," - ",'Cable Info'!O120))</f>
        <v/>
      </c>
      <c r="AR121" s="121" t="str">
        <f t="shared" si="48"/>
        <v/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str">
        <f>IF('Cable Info'!N121="","",CONCATENATE('Cable Info'!N121," - ",'Cable Info'!O121))</f>
        <v/>
      </c>
      <c r="AR122" s="121" t="str">
        <f t="shared" si="48"/>
        <v/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str">
        <f>IF('Cable Info'!N122="","",CONCATENATE('Cable Info'!N122," - ",'Cable Info'!O122))</f>
        <v/>
      </c>
      <c r="AR123" s="121" t="str">
        <f t="shared" si="48"/>
        <v/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str">
        <f>IF('Cable Info'!N123="","",CONCATENATE('Cable Info'!N123," - ",'Cable Info'!O123))</f>
        <v/>
      </c>
      <c r="AR124" s="121" t="str">
        <f t="shared" si="48"/>
        <v/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str">
        <f>IF('Cable Info'!N124="","",CONCATENATE('Cable Info'!N124," - ",'Cable Info'!O124))</f>
        <v/>
      </c>
      <c r="AR125" s="121" t="str">
        <f t="shared" si="48"/>
        <v/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str">
        <f>IF('Cable Info'!N125="","",CONCATENATE('Cable Info'!N125," - ",'Cable Info'!O125))</f>
        <v/>
      </c>
      <c r="AR126" s="121" t="str">
        <f t="shared" si="48"/>
        <v/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str">
        <f>IF('Cable Info'!N126="","",CONCATENATE('Cable Info'!N126," - ",'Cable Info'!O126))</f>
        <v/>
      </c>
      <c r="AR127" s="121" t="str">
        <f t="shared" si="48"/>
        <v/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str">
        <f>IF('Cable Info'!N127="","",CONCATENATE('Cable Info'!N127," - ",'Cable Info'!O127))</f>
        <v/>
      </c>
      <c r="AR128" s="121" t="str">
        <f t="shared" si="48"/>
        <v/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str">
        <f>IF('Cable Info'!N128="","",CONCATENATE('Cable Info'!N128," - ",'Cable Info'!O128))</f>
        <v/>
      </c>
      <c r="AR129" s="121" t="str">
        <f t="shared" si="48"/>
        <v/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str">
        <f>IF('Cable Info'!N129="","",CONCATENATE('Cable Info'!N129," - ",'Cable Info'!O129))</f>
        <v/>
      </c>
      <c r="AR130" s="121" t="str">
        <f t="shared" si="48"/>
        <v/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str">
        <f>IF('Cable Info'!N130="","",CONCATENATE('Cable Info'!N130," - ",'Cable Info'!O130))</f>
        <v/>
      </c>
      <c r="AR131" s="121" t="str">
        <f t="shared" si="48"/>
        <v/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str">
        <f>IF('Cable Info'!N131="","",CONCATENATE('Cable Info'!N131," - ",'Cable Info'!O131))</f>
        <v/>
      </c>
      <c r="AR132" s="121" t="str">
        <f t="shared" si="48"/>
        <v/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str">
        <f>IF('Cable Info'!N132="","",CONCATENATE('Cable Info'!N132," - ",'Cable Info'!O132))</f>
        <v/>
      </c>
      <c r="AR133" s="121" t="str">
        <f t="shared" si="48"/>
        <v/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str">
        <f>IF('Cable Info'!N133="","",CONCATENATE('Cable Info'!N133," - ",'Cable Info'!O133))</f>
        <v/>
      </c>
      <c r="AR134" s="121" t="str">
        <f t="shared" si="48"/>
        <v/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str">
        <f>IF('Cable Info'!N134="","",CONCATENATE('Cable Info'!N134," - ",'Cable Info'!O134))</f>
        <v/>
      </c>
      <c r="AR135" s="121" t="str">
        <f t="shared" si="48"/>
        <v/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str">
        <f>IF('Cable Info'!N135="","",CONCATENATE('Cable Info'!N135," - ",'Cable Info'!O135))</f>
        <v/>
      </c>
      <c r="AR136" s="121" t="str">
        <f t="shared" si="48"/>
        <v/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str">
        <f>IF('Cable Info'!N136="","",CONCATENATE('Cable Info'!N136," - ",'Cable Info'!O136))</f>
        <v/>
      </c>
      <c r="AR137" s="121" t="str">
        <f t="shared" si="48"/>
        <v/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str">
        <f>IF('Cable Info'!N137="","",CONCATENATE('Cable Info'!N137," - ",'Cable Info'!O137))</f>
        <v/>
      </c>
      <c r="AR138" s="121" t="str">
        <f t="shared" si="48"/>
        <v/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str">
        <f>IF('Cable Info'!N138="","",CONCATENATE('Cable Info'!N138," - ",'Cable Info'!O138))</f>
        <v/>
      </c>
      <c r="AR139" s="121" t="str">
        <f t="shared" si="48"/>
        <v/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str">
        <f>IF('Cable Info'!N139="","",CONCATENATE('Cable Info'!N139," - ",'Cable Info'!O139))</f>
        <v/>
      </c>
      <c r="AR140" s="121" t="str">
        <f t="shared" si="48"/>
        <v/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str">
        <f>IF('Cable Info'!N140="","",CONCATENATE('Cable Info'!N140," - ",'Cable Info'!O140))</f>
        <v/>
      </c>
      <c r="AR141" s="121" t="str">
        <f t="shared" ref="AR141:AR204" si="60">IF(AP141="",AO141,CONCATENATE(AO141,"  &lt;=&gt; ",AP141," ",AQ141))</f>
        <v/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str">
        <f>IF('Cable Info'!N141="","",CONCATENATE('Cable Info'!N141," - ",'Cable Info'!O141))</f>
        <v/>
      </c>
      <c r="AR142" s="121" t="str">
        <f t="shared" si="60"/>
        <v/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str">
        <f>IF('Cable Info'!N142="","",CONCATENATE('Cable Info'!N142," - ",'Cable Info'!O142))</f>
        <v/>
      </c>
      <c r="AR143" s="121" t="str">
        <f t="shared" si="60"/>
        <v/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str">
        <f>IF('Cable Info'!N143="","",CONCATENATE('Cable Info'!N143," - ",'Cable Info'!O143))</f>
        <v/>
      </c>
      <c r="AR144" s="121" t="str">
        <f t="shared" si="60"/>
        <v/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str">
        <f>IF('Cable Info'!N144="","",CONCATENATE('Cable Info'!N144," - ",'Cable Info'!O144))</f>
        <v/>
      </c>
      <c r="AR145" s="121" t="str">
        <f t="shared" si="60"/>
        <v/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str">
        <f>IF('Cable Info'!N145="","",CONCATENATE('Cable Info'!N145," - ",'Cable Info'!O145))</f>
        <v/>
      </c>
      <c r="AR146" s="121" t="str">
        <f t="shared" si="60"/>
        <v/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str">
        <f>IF('Cable Info'!N146="","",CONCATENATE('Cable Info'!N146," - ",'Cable Info'!O146))</f>
        <v/>
      </c>
      <c r="AR147" s="121" t="str">
        <f t="shared" si="60"/>
        <v/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str">
        <f>IF('Cable Info'!N147="","",CONCATENATE('Cable Info'!N147," - ",'Cable Info'!O147))</f>
        <v/>
      </c>
      <c r="AR148" s="121" t="str">
        <f t="shared" si="60"/>
        <v/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str">
        <f>IF('Cable Info'!N148="","",CONCATENATE('Cable Info'!N148," - ",'Cable Info'!O148))</f>
        <v/>
      </c>
      <c r="AR149" s="121" t="str">
        <f t="shared" si="60"/>
        <v/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str">
        <f>IF('Cable Info'!N149="","",CONCATENATE('Cable Info'!N149," - ",'Cable Info'!O149))</f>
        <v/>
      </c>
      <c r="AR150" s="121" t="str">
        <f t="shared" si="60"/>
        <v/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str">
        <f>IF('Cable Info'!N150="","",CONCATENATE('Cable Info'!N150," - ",'Cable Info'!O150))</f>
        <v/>
      </c>
      <c r="AR151" s="121" t="str">
        <f t="shared" si="60"/>
        <v/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str">
        <f>IF('Cable Info'!N151="","",CONCATENATE('Cable Info'!N151," - ",'Cable Info'!O151))</f>
        <v/>
      </c>
      <c r="AR152" s="121" t="str">
        <f t="shared" si="60"/>
        <v/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str">
        <f>IF('Cable Info'!N152="","",CONCATENATE('Cable Info'!N152," - ",'Cable Info'!O152))</f>
        <v/>
      </c>
      <c r="AR153" s="121" t="str">
        <f t="shared" si="60"/>
        <v/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str">
        <f>IF('Cable Info'!N153="","",CONCATENATE('Cable Info'!N153," - ",'Cable Info'!O153))</f>
        <v/>
      </c>
      <c r="AR154" s="121" t="str">
        <f t="shared" si="60"/>
        <v/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str">
        <f>IF('Cable Info'!N154="","",CONCATENATE('Cable Info'!N154," - ",'Cable Info'!O154))</f>
        <v/>
      </c>
      <c r="AR155" s="121" t="str">
        <f t="shared" si="60"/>
        <v/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str">
        <f>IF('Cable Info'!N155="","",CONCATENATE('Cable Info'!N155," - ",'Cable Info'!O155))</f>
        <v/>
      </c>
      <c r="AR156" s="121" t="str">
        <f t="shared" si="60"/>
        <v/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str">
        <f>IF('Cable Info'!N156="","",CONCATENATE('Cable Info'!N156," - ",'Cable Info'!O156))</f>
        <v/>
      </c>
      <c r="AR157" s="121" t="str">
        <f t="shared" si="60"/>
        <v/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str">
        <f>IF('Cable Info'!N157="","",CONCATENATE('Cable Info'!N157," - ",'Cable Info'!O157))</f>
        <v/>
      </c>
      <c r="AR158" s="121" t="str">
        <f t="shared" si="60"/>
        <v/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str">
        <f>IF('Cable Info'!N158="","",CONCATENATE('Cable Info'!N158," - ",'Cable Info'!O158))</f>
        <v/>
      </c>
      <c r="AR159" s="121" t="str">
        <f t="shared" si="60"/>
        <v/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str">
        <f>IF('Cable Info'!N159="","",CONCATENATE('Cable Info'!N159," - ",'Cable Info'!O159))</f>
        <v/>
      </c>
      <c r="AR160" s="121" t="str">
        <f t="shared" si="60"/>
        <v/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str">
        <f>IF('Cable Info'!N160="","",CONCATENATE('Cable Info'!N160," - ",'Cable Info'!O160))</f>
        <v/>
      </c>
      <c r="AR161" s="121" t="str">
        <f t="shared" si="60"/>
        <v/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str">
        <f>IF('Cable Info'!N161="","",CONCATENATE('Cable Info'!N161," - ",'Cable Info'!O161))</f>
        <v/>
      </c>
      <c r="AR162" s="121" t="str">
        <f t="shared" si="60"/>
        <v/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str">
        <f>IF('Cable Info'!N162="","",CONCATENATE('Cable Info'!N162," - ",'Cable Info'!O162))</f>
        <v/>
      </c>
      <c r="AR163" s="121" t="str">
        <f t="shared" si="60"/>
        <v/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str">
        <f>IF('Cable Info'!N163="","",CONCATENATE('Cable Info'!N163," - ",'Cable Info'!O163))</f>
        <v/>
      </c>
      <c r="AR164" s="121" t="str">
        <f t="shared" si="60"/>
        <v/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str">
        <f>IF('Cable Info'!N164="","",CONCATENATE('Cable Info'!N164," - ",'Cable Info'!O164))</f>
        <v/>
      </c>
      <c r="AR165" s="121" t="str">
        <f t="shared" si="60"/>
        <v/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str">
        <f>IF('Cable Info'!N165="","",CONCATENATE('Cable Info'!N165," - ",'Cable Info'!O165))</f>
        <v/>
      </c>
      <c r="AR166" s="121" t="str">
        <f t="shared" si="60"/>
        <v/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str">
        <f>IF('Cable Info'!N166="","",CONCATENATE('Cable Info'!N166," - ",'Cable Info'!O166))</f>
        <v/>
      </c>
      <c r="AR167" s="121" t="str">
        <f t="shared" si="60"/>
        <v/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str">
        <f>IF('Cable Info'!N167="","",CONCATENATE('Cable Info'!N167," - ",'Cable Info'!O167))</f>
        <v/>
      </c>
      <c r="AR168" s="121" t="str">
        <f t="shared" si="60"/>
        <v/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str">
        <f>IF('Cable Info'!N168="","",CONCATENATE('Cable Info'!N168," - ",'Cable Info'!O168))</f>
        <v/>
      </c>
      <c r="AR169" s="121" t="str">
        <f t="shared" si="60"/>
        <v/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str">
        <f>IF('Cable Info'!N169="","",CONCATENATE('Cable Info'!N169," - ",'Cable Info'!O169))</f>
        <v/>
      </c>
      <c r="AR170" s="121" t="str">
        <f t="shared" si="60"/>
        <v/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str">
        <f>IF('Cable Info'!N170="","",CONCATENATE('Cable Info'!N170," - ",'Cable Info'!O170))</f>
        <v/>
      </c>
      <c r="AR171" s="121" t="str">
        <f t="shared" si="60"/>
        <v/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str">
        <f>IF('Cable Info'!N171="","",CONCATENATE('Cable Info'!N171," - ",'Cable Info'!O171))</f>
        <v/>
      </c>
      <c r="AR172" s="121" t="str">
        <f t="shared" si="60"/>
        <v/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str">
        <f>IF('Cable Info'!N172="","",CONCATENATE('Cable Info'!N172," - ",'Cable Info'!O172))</f>
        <v/>
      </c>
      <c r="AR173" s="121" t="str">
        <f t="shared" si="60"/>
        <v/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str">
        <f>IF('Cable Info'!N173="","",CONCATENATE('Cable Info'!N173," - ",'Cable Info'!O173))</f>
        <v/>
      </c>
      <c r="AR174" s="121" t="str">
        <f t="shared" si="60"/>
        <v/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str">
        <f>IF('Cable Info'!N174="","",CONCATENATE('Cable Info'!N174," - ",'Cable Info'!O174))</f>
        <v/>
      </c>
      <c r="AR175" s="121" t="str">
        <f t="shared" si="60"/>
        <v/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str">
        <f>IF('Cable Info'!N175="","",CONCATENATE('Cable Info'!N175," - ",'Cable Info'!O175))</f>
        <v/>
      </c>
      <c r="AR176" s="121" t="str">
        <f t="shared" si="60"/>
        <v/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str">
        <f>IF('Cable Info'!N176="","",CONCATENATE('Cable Info'!N176," - ",'Cable Info'!O176))</f>
        <v/>
      </c>
      <c r="AR177" s="121" t="str">
        <f t="shared" si="60"/>
        <v/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str">
        <f>IF('Cable Info'!N177="","",CONCATENATE('Cable Info'!N177," - ",'Cable Info'!O177))</f>
        <v/>
      </c>
      <c r="AR178" s="121" t="str">
        <f t="shared" si="60"/>
        <v/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str">
        <f>IF('Cable Info'!N178="","",CONCATENATE('Cable Info'!N178," - ",'Cable Info'!O178))</f>
        <v/>
      </c>
      <c r="AR179" s="121" t="str">
        <f t="shared" si="60"/>
        <v/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str">
        <f>IF('Cable Info'!N179="","",CONCATENATE('Cable Info'!N179," - ",'Cable Info'!O179))</f>
        <v/>
      </c>
      <c r="AR180" s="121" t="str">
        <f t="shared" si="60"/>
        <v/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str">
        <f>IF('Cable Info'!N180="","",CONCATENATE('Cable Info'!N180," - ",'Cable Info'!O180))</f>
        <v/>
      </c>
      <c r="AR181" s="121" t="str">
        <f t="shared" si="60"/>
        <v/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str">
        <f>IF('Cable Info'!N181="","",CONCATENATE('Cable Info'!N181," - ",'Cable Info'!O181))</f>
        <v/>
      </c>
      <c r="AR182" s="121" t="str">
        <f t="shared" si="60"/>
        <v/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str">
        <f>IF('Cable Info'!N182="","",CONCATENATE('Cable Info'!N182," - ",'Cable Info'!O182))</f>
        <v/>
      </c>
      <c r="AR183" s="121" t="str">
        <f t="shared" si="60"/>
        <v/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str">
        <f>IF('Cable Info'!N183="","",CONCATENATE('Cable Info'!N183," - ",'Cable Info'!O183))</f>
        <v/>
      </c>
      <c r="AR184" s="121" t="str">
        <f t="shared" si="60"/>
        <v/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str">
        <f>IF('Cable Info'!N184="","",CONCATENATE('Cable Info'!N184," - ",'Cable Info'!O184))</f>
        <v/>
      </c>
      <c r="AR185" s="121" t="str">
        <f t="shared" si="60"/>
        <v/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str">
        <f>IF('Cable Info'!N185="","",CONCATENATE('Cable Info'!N185," - ",'Cable Info'!O185))</f>
        <v/>
      </c>
      <c r="AR186" s="121" t="str">
        <f t="shared" si="60"/>
        <v/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str">
        <f>IF('Cable Info'!N186="","",CONCATENATE('Cable Info'!N186," - ",'Cable Info'!O186))</f>
        <v/>
      </c>
      <c r="AR187" s="121" t="str">
        <f t="shared" si="60"/>
        <v/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str">
        <f>IF('Cable Info'!N187="","",CONCATENATE('Cable Info'!N187," - ",'Cable Info'!O187))</f>
        <v/>
      </c>
      <c r="AR188" s="121" t="str">
        <f t="shared" si="60"/>
        <v/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str">
        <f>IF('Cable Info'!N188="","",CONCATENATE('Cable Info'!N188," - ",'Cable Info'!O188))</f>
        <v/>
      </c>
      <c r="AR189" s="121" t="str">
        <f t="shared" si="60"/>
        <v/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str">
        <f>IF('Cable Info'!N189="","",CONCATENATE('Cable Info'!N189," - ",'Cable Info'!O189))</f>
        <v/>
      </c>
      <c r="AR190" s="121" t="str">
        <f t="shared" si="60"/>
        <v/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str">
        <f>IF('Cable Info'!N190="","",CONCATENATE('Cable Info'!N190," - ",'Cable Info'!O190))</f>
        <v/>
      </c>
      <c r="AR191" s="121" t="str">
        <f t="shared" si="60"/>
        <v/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str">
        <f>IF('Cable Info'!N191="","",CONCATENATE('Cable Info'!N191," - ",'Cable Info'!O191))</f>
        <v/>
      </c>
      <c r="AR192" s="121" t="str">
        <f t="shared" si="60"/>
        <v/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str">
        <f>IF('Cable Info'!N192="","",CONCATENATE('Cable Info'!N192," - ",'Cable Info'!O192))</f>
        <v/>
      </c>
      <c r="AR193" s="121" t="str">
        <f t="shared" si="60"/>
        <v/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str">
        <f>IF('Cable Info'!N193="","",CONCATENATE('Cable Info'!N193," - ",'Cable Info'!O193))</f>
        <v/>
      </c>
      <c r="AR194" s="121" t="str">
        <f t="shared" si="60"/>
        <v/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str">
        <f>IF('Cable Info'!N194="","",CONCATENATE('Cable Info'!N194," - ",'Cable Info'!O194))</f>
        <v/>
      </c>
      <c r="AR195" s="121" t="str">
        <f t="shared" si="60"/>
        <v/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str">
        <f>IF('Cable Info'!N195="","",CONCATENATE('Cable Info'!N195," - ",'Cable Info'!O195))</f>
        <v/>
      </c>
      <c r="AR196" s="121" t="str">
        <f t="shared" si="60"/>
        <v/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str">
        <f>IF('Cable Info'!N196="","",CONCATENATE('Cable Info'!N196," - ",'Cable Info'!O196))</f>
        <v/>
      </c>
      <c r="AR197" s="121" t="str">
        <f t="shared" si="60"/>
        <v/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str">
        <f>IF('Cable Info'!N197="","",CONCATENATE('Cable Info'!N197," - ",'Cable Info'!O197))</f>
        <v/>
      </c>
      <c r="AR198" s="121" t="str">
        <f t="shared" si="60"/>
        <v/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str">
        <f>IF('Cable Info'!N198="","",CONCATENATE('Cable Info'!N198," - ",'Cable Info'!O198))</f>
        <v/>
      </c>
      <c r="AR199" s="121" t="str">
        <f t="shared" si="60"/>
        <v/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str">
        <f>IF('Cable Info'!N199="","",CONCATENATE('Cable Info'!N199," - ",'Cable Info'!O199))</f>
        <v/>
      </c>
      <c r="AR200" s="121" t="str">
        <f t="shared" si="60"/>
        <v/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str">
        <f>IF('Cable Info'!N200="","",CONCATENATE('Cable Info'!N200," - ",'Cable Info'!O200))</f>
        <v/>
      </c>
      <c r="AR201" s="121" t="str">
        <f t="shared" si="60"/>
        <v/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str">
        <f>IF('Cable Info'!N201="","",CONCATENATE('Cable Info'!N201," - ",'Cable Info'!O201))</f>
        <v/>
      </c>
      <c r="AR202" s="121" t="str">
        <f t="shared" si="60"/>
        <v/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str">
        <f>IF('Cable Info'!N202="","",CONCATENATE('Cable Info'!N202," - ",'Cable Info'!O202))</f>
        <v/>
      </c>
      <c r="AR203" s="121" t="str">
        <f t="shared" si="60"/>
        <v/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str">
        <f>IF('Cable Info'!N203="","",CONCATENATE('Cable Info'!N203," - ",'Cable Info'!O203))</f>
        <v/>
      </c>
      <c r="AR204" s="121" t="str">
        <f t="shared" si="60"/>
        <v/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str">
        <f>IF('Cable Info'!N204="","",CONCATENATE('Cable Info'!N204," - ",'Cable Info'!O204))</f>
        <v/>
      </c>
      <c r="AR205" s="121" t="str">
        <f t="shared" ref="AR205:AR268" si="72">IF(AP205="",AO205,CONCATENATE(AO205,"  &lt;=&gt; ",AP205," ",AQ205))</f>
        <v/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str">
        <f>IF('Cable Info'!N205="","",CONCATENATE('Cable Info'!N205," - ",'Cable Info'!O205))</f>
        <v/>
      </c>
      <c r="AR206" s="121" t="str">
        <f t="shared" si="72"/>
        <v/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str">
        <f>IF('Cable Info'!N206="","",CONCATENATE('Cable Info'!N206," - ",'Cable Info'!O206))</f>
        <v/>
      </c>
      <c r="AR207" s="121" t="str">
        <f t="shared" si="72"/>
        <v/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str">
        <f>IF('Cable Info'!N207="","",CONCATENATE('Cable Info'!N207," - ",'Cable Info'!O207))</f>
        <v/>
      </c>
      <c r="AR208" s="121" t="str">
        <f t="shared" si="72"/>
        <v/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str">
        <f>IF('Cable Info'!N208="","",CONCATENATE('Cable Info'!N208," - ",'Cable Info'!O208))</f>
        <v/>
      </c>
      <c r="AR209" s="121" t="str">
        <f t="shared" si="72"/>
        <v/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str">
        <f>IF('Cable Info'!N209="","",CONCATENATE('Cable Info'!N209," - ",'Cable Info'!O209))</f>
        <v/>
      </c>
      <c r="AR210" s="121" t="str">
        <f t="shared" si="72"/>
        <v/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str">
        <f>IF('Cable Info'!N210="","",CONCATENATE('Cable Info'!N210," - ",'Cable Info'!O210))</f>
        <v/>
      </c>
      <c r="AR211" s="121" t="str">
        <f t="shared" si="72"/>
        <v/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str">
        <f>IF('Cable Info'!N211="","",CONCATENATE('Cable Info'!N211," - ",'Cable Info'!O211))</f>
        <v/>
      </c>
      <c r="AR212" s="121" t="str">
        <f t="shared" si="72"/>
        <v/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str">
        <f>IF('Cable Info'!N212="","",CONCATENATE('Cable Info'!N212," - ",'Cable Info'!O212))</f>
        <v/>
      </c>
      <c r="AR213" s="121" t="str">
        <f t="shared" si="72"/>
        <v/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str">
        <f>IF('Cable Info'!N213="","",CONCATENATE('Cable Info'!N213," - ",'Cable Info'!O213))</f>
        <v/>
      </c>
      <c r="AR214" s="121" t="str">
        <f t="shared" si="72"/>
        <v/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str">
        <f>IF('Cable Info'!N214="","",CONCATENATE('Cable Info'!N214," - ",'Cable Info'!O214))</f>
        <v/>
      </c>
      <c r="AR215" s="121" t="str">
        <f t="shared" si="72"/>
        <v/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str">
        <f>IF('Cable Info'!N215="","",CONCATENATE('Cable Info'!N215," - ",'Cable Info'!O215))</f>
        <v/>
      </c>
      <c r="AR216" s="121" t="str">
        <f t="shared" si="72"/>
        <v/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str">
        <f>IF('Cable Info'!N216="","",CONCATENATE('Cable Info'!N216," - ",'Cable Info'!O216))</f>
        <v/>
      </c>
      <c r="AR217" s="121" t="str">
        <f t="shared" si="72"/>
        <v/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str">
        <f>IF('Cable Info'!N217="","",CONCATENATE('Cable Info'!N217," - ",'Cable Info'!O217))</f>
        <v/>
      </c>
      <c r="AR218" s="121" t="str">
        <f t="shared" si="72"/>
        <v/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str">
        <f>IF('Cable Info'!N218="","",CONCATENATE('Cable Info'!N218," - ",'Cable Info'!O218))</f>
        <v/>
      </c>
      <c r="AR219" s="121" t="str">
        <f t="shared" si="72"/>
        <v/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str">
        <f>IF('Cable Info'!N219="","",CONCATENATE('Cable Info'!N219," - ",'Cable Info'!O219))</f>
        <v/>
      </c>
      <c r="AR220" s="121" t="str">
        <f t="shared" si="72"/>
        <v/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str">
        <f>IF('Cable Info'!N220="","",CONCATENATE('Cable Info'!N220," - ",'Cable Info'!O220))</f>
        <v/>
      </c>
      <c r="AR221" s="121" t="str">
        <f t="shared" si="72"/>
        <v/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str">
        <f>IF('Cable Info'!N221="","",CONCATENATE('Cable Info'!N221," - ",'Cable Info'!O221))</f>
        <v/>
      </c>
      <c r="AR222" s="121" t="str">
        <f t="shared" si="72"/>
        <v/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str">
        <f>IF('Cable Info'!N222="","",CONCATENATE('Cable Info'!N222," - ",'Cable Info'!O222))</f>
        <v/>
      </c>
      <c r="AR223" s="121" t="str">
        <f t="shared" si="72"/>
        <v/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str">
        <f>IF('Cable Info'!N223="","",CONCATENATE('Cable Info'!N223," - ",'Cable Info'!O223))</f>
        <v/>
      </c>
      <c r="AR224" s="121" t="str">
        <f t="shared" si="72"/>
        <v/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str">
        <f>IF('Cable Info'!N224="","",CONCATENATE('Cable Info'!N224," - ",'Cable Info'!O224))</f>
        <v/>
      </c>
      <c r="AR225" s="121" t="str">
        <f t="shared" si="72"/>
        <v/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str">
        <f>IF('Cable Info'!N225="","",CONCATENATE('Cable Info'!N225," - ",'Cable Info'!O225))</f>
        <v/>
      </c>
      <c r="AR226" s="121" t="str">
        <f t="shared" si="72"/>
        <v/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str">
        <f>IF('Cable Info'!N226="","",CONCATENATE('Cable Info'!N226," - ",'Cable Info'!O226))</f>
        <v/>
      </c>
      <c r="AR227" s="121" t="str">
        <f t="shared" si="72"/>
        <v/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str">
        <f>IF('Cable Info'!N227="","",CONCATENATE('Cable Info'!N227," - ",'Cable Info'!O227))</f>
        <v/>
      </c>
      <c r="AR228" s="121" t="str">
        <f t="shared" si="72"/>
        <v/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str">
        <f>IF('Cable Info'!N228="","",CONCATENATE('Cable Info'!N228," - ",'Cable Info'!O228))</f>
        <v/>
      </c>
      <c r="AR229" s="121" t="str">
        <f t="shared" si="72"/>
        <v/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str">
        <f>IF('Cable Info'!N229="","",CONCATENATE('Cable Info'!N229," - ",'Cable Info'!O229))</f>
        <v/>
      </c>
      <c r="AR230" s="121" t="str">
        <f t="shared" si="72"/>
        <v/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str">
        <f>IF('Cable Info'!N230="","",CONCATENATE('Cable Info'!N230," - ",'Cable Info'!O230))</f>
        <v/>
      </c>
      <c r="AR231" s="121" t="str">
        <f t="shared" si="72"/>
        <v/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str">
        <f>IF('Cable Info'!N231="","",CONCATENATE('Cable Info'!N231," - ",'Cable Info'!O231))</f>
        <v/>
      </c>
      <c r="AR232" s="121" t="str">
        <f t="shared" si="72"/>
        <v/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str">
        <f>IF('Cable Info'!N232="","",CONCATENATE('Cable Info'!N232," - ",'Cable Info'!O232))</f>
        <v/>
      </c>
      <c r="AR233" s="121" t="str">
        <f t="shared" si="72"/>
        <v/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str">
        <f>IF('Cable Info'!N233="","",CONCATENATE('Cable Info'!N233," - ",'Cable Info'!O233))</f>
        <v/>
      </c>
      <c r="AR234" s="121" t="str">
        <f t="shared" si="72"/>
        <v/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str">
        <f>IF('Cable Info'!N234="","",CONCATENATE('Cable Info'!N234," - ",'Cable Info'!O234))</f>
        <v/>
      </c>
      <c r="AR235" s="121" t="str">
        <f t="shared" si="72"/>
        <v/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str">
        <f>IF('Cable Info'!N235="","",CONCATENATE('Cable Info'!N235," - ",'Cable Info'!O235))</f>
        <v/>
      </c>
      <c r="AR236" s="121" t="str">
        <f t="shared" si="72"/>
        <v/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str">
        <f>IF('Cable Info'!N236="","",CONCATENATE('Cable Info'!N236," - ",'Cable Info'!O236))</f>
        <v/>
      </c>
      <c r="AR237" s="121" t="str">
        <f t="shared" si="72"/>
        <v/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str">
        <f>IF('Cable Info'!N237="","",CONCATENATE('Cable Info'!N237," - ",'Cable Info'!O237))</f>
        <v/>
      </c>
      <c r="AR238" s="121" t="str">
        <f t="shared" si="72"/>
        <v/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str">
        <f>IF('Cable Info'!N238="","",CONCATENATE('Cable Info'!N238," - ",'Cable Info'!O238))</f>
        <v/>
      </c>
      <c r="AR239" s="121" t="str">
        <f t="shared" si="72"/>
        <v/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str">
        <f>IF('Cable Info'!N239="","",CONCATENATE('Cable Info'!N239," - ",'Cable Info'!O239))</f>
        <v/>
      </c>
      <c r="AR240" s="121" t="str">
        <f t="shared" si="72"/>
        <v/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str">
        <f>IF('Cable Info'!N240="","",CONCATENATE('Cable Info'!N240," - ",'Cable Info'!O240))</f>
        <v/>
      </c>
      <c r="AR241" s="121" t="str">
        <f t="shared" si="72"/>
        <v/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str">
        <f>IF('Cable Info'!N241="","",CONCATENATE('Cable Info'!N241," - ",'Cable Info'!O241))</f>
        <v/>
      </c>
      <c r="AR242" s="121" t="str">
        <f t="shared" si="72"/>
        <v/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str">
        <f>IF('Cable Info'!N242="","",CONCATENATE('Cable Info'!N242," - ",'Cable Info'!O242))</f>
        <v/>
      </c>
      <c r="AR243" s="121" t="str">
        <f t="shared" si="72"/>
        <v/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str">
        <f>IF('Cable Info'!N243="","",CONCATENATE('Cable Info'!N243," - ",'Cable Info'!O243))</f>
        <v/>
      </c>
      <c r="AR244" s="121" t="str">
        <f t="shared" si="72"/>
        <v/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str">
        <f>IF('Cable Info'!N244="","",CONCATENATE('Cable Info'!N244," - ",'Cable Info'!O244))</f>
        <v/>
      </c>
      <c r="AR245" s="121" t="str">
        <f t="shared" si="72"/>
        <v/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str">
        <f>IF('Cable Info'!N245="","",CONCATENATE('Cable Info'!N245," - ",'Cable Info'!O245))</f>
        <v/>
      </c>
      <c r="AR246" s="121" t="str">
        <f t="shared" si="72"/>
        <v/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str">
        <f>IF('Cable Info'!N246="","",CONCATENATE('Cable Info'!N246," - ",'Cable Info'!O246))</f>
        <v/>
      </c>
      <c r="AR247" s="121" t="str">
        <f t="shared" si="72"/>
        <v/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str">
        <f>IF('Cable Info'!N247="","",CONCATENATE('Cable Info'!N247," - ",'Cable Info'!O247))</f>
        <v/>
      </c>
      <c r="AR248" s="121" t="str">
        <f t="shared" si="72"/>
        <v/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str">
        <f>IF('Cable Info'!N248="","",CONCATENATE('Cable Info'!N248," - ",'Cable Info'!O248))</f>
        <v/>
      </c>
      <c r="AR249" s="121" t="str">
        <f t="shared" si="72"/>
        <v/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str">
        <f>IF('Cable Info'!N249="","",CONCATENATE('Cable Info'!N249," - ",'Cable Info'!O249))</f>
        <v/>
      </c>
      <c r="AR250" s="121" t="str">
        <f t="shared" si="72"/>
        <v/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str">
        <f>IF('Cable Info'!N250="","",CONCATENATE('Cable Info'!N250," - ",'Cable Info'!O250))</f>
        <v/>
      </c>
      <c r="AR251" s="121" t="str">
        <f t="shared" si="72"/>
        <v/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str">
        <f>IF('Cable Info'!N251="","",CONCATENATE('Cable Info'!N251," - ",'Cable Info'!O251))</f>
        <v/>
      </c>
      <c r="AR252" s="121" t="str">
        <f t="shared" si="72"/>
        <v/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str">
        <f>IF('Cable Info'!N252="","",CONCATENATE('Cable Info'!N252," - ",'Cable Info'!O252))</f>
        <v/>
      </c>
      <c r="AR253" s="121" t="str">
        <f t="shared" si="72"/>
        <v/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str">
        <f>IF('Cable Info'!N253="","",CONCATENATE('Cable Info'!N253," - ",'Cable Info'!O253))</f>
        <v/>
      </c>
      <c r="AR254" s="121" t="str">
        <f t="shared" si="72"/>
        <v/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str">
        <f>IF('Cable Info'!N254="","",CONCATENATE('Cable Info'!N254," - ",'Cable Info'!O254))</f>
        <v/>
      </c>
      <c r="AR255" s="121" t="str">
        <f t="shared" si="72"/>
        <v/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str">
        <f>IF('Cable Info'!N255="","",CONCATENATE('Cable Info'!N255," - ",'Cable Info'!O255))</f>
        <v/>
      </c>
      <c r="AR256" s="121" t="str">
        <f t="shared" si="72"/>
        <v/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str">
        <f>IF('Cable Info'!N256="","",CONCATENATE('Cable Info'!N256," - ",'Cable Info'!O256))</f>
        <v/>
      </c>
      <c r="AR257" s="121" t="str">
        <f t="shared" si="72"/>
        <v/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str">
        <f>IF('Cable Info'!N257="","",CONCATENATE('Cable Info'!N257," - ",'Cable Info'!O257))</f>
        <v/>
      </c>
      <c r="AR258" s="121" t="str">
        <f t="shared" si="72"/>
        <v/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str">
        <f>IF('Cable Info'!N258="","",CONCATENATE('Cable Info'!N258," - ",'Cable Info'!O258))</f>
        <v/>
      </c>
      <c r="AR259" s="121" t="str">
        <f t="shared" si="72"/>
        <v/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str">
        <f>IF('Cable Info'!N259="","",CONCATENATE('Cable Info'!N259," - ",'Cable Info'!O259))</f>
        <v/>
      </c>
      <c r="AR260" s="121" t="str">
        <f t="shared" si="72"/>
        <v/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str">
        <f>IF('Cable Info'!N260="","",CONCATENATE('Cable Info'!N260," - ",'Cable Info'!O260))</f>
        <v/>
      </c>
      <c r="AR261" s="121" t="str">
        <f t="shared" si="72"/>
        <v/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str">
        <f>IF('Cable Info'!N261="","",CONCATENATE('Cable Info'!N261," - ",'Cable Info'!O261))</f>
        <v/>
      </c>
      <c r="AR262" s="121" t="str">
        <f t="shared" si="72"/>
        <v/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str">
        <f>IF('Cable Info'!N262="","",CONCATENATE('Cable Info'!N262," - ",'Cable Info'!O262))</f>
        <v/>
      </c>
      <c r="AR263" s="121" t="str">
        <f t="shared" si="72"/>
        <v/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str">
        <f>IF('Cable Info'!N263="","",CONCATENATE('Cable Info'!N263," - ",'Cable Info'!O263))</f>
        <v/>
      </c>
      <c r="AR264" s="121" t="str">
        <f t="shared" si="72"/>
        <v/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str">
        <f>IF('Cable Info'!N264="","",CONCATENATE('Cable Info'!N264," - ",'Cable Info'!O264))</f>
        <v/>
      </c>
      <c r="AR265" s="121" t="str">
        <f t="shared" si="72"/>
        <v/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str">
        <f>IF('Cable Info'!N265="","",CONCATENATE('Cable Info'!N265," - ",'Cable Info'!O265))</f>
        <v/>
      </c>
      <c r="AR266" s="121" t="str">
        <f t="shared" si="72"/>
        <v/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str">
        <f>IF('Cable Info'!N266="","",CONCATENATE('Cable Info'!N266," - ",'Cable Info'!O266))</f>
        <v/>
      </c>
      <c r="AR267" s="121" t="str">
        <f t="shared" si="72"/>
        <v/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str">
        <f>IF('Cable Info'!N267="","",CONCATENATE('Cable Info'!N267," - ",'Cable Info'!O267))</f>
        <v/>
      </c>
      <c r="AR268" s="121" t="str">
        <f t="shared" si="72"/>
        <v/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str">
        <f>IF('Cable Info'!N268="","",CONCATENATE('Cable Info'!N268," - ",'Cable Info'!O268))</f>
        <v/>
      </c>
      <c r="AR269" s="121" t="str">
        <f t="shared" ref="AR269:AR332" si="84">IF(AP269="",AO269,CONCATENATE(AO269,"  &lt;=&gt; ",AP269," ",AQ269))</f>
        <v/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str">
        <f>IF('Cable Info'!N269="","",CONCATENATE('Cable Info'!N269," - ",'Cable Info'!O269))</f>
        <v/>
      </c>
      <c r="AR270" s="121" t="str">
        <f t="shared" si="84"/>
        <v/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str">
        <f>IF('Cable Info'!N270="","",CONCATENATE('Cable Info'!N270," - ",'Cable Info'!O270))</f>
        <v/>
      </c>
      <c r="AR271" s="121" t="str">
        <f t="shared" si="84"/>
        <v/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str">
        <f>IF('Cable Info'!N271="","",CONCATENATE('Cable Info'!N271," - ",'Cable Info'!O271))</f>
        <v/>
      </c>
      <c r="AR272" s="121" t="str">
        <f t="shared" si="84"/>
        <v/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str">
        <f>IF('Cable Info'!N272="","",CONCATENATE('Cable Info'!N272," - ",'Cable Info'!O272))</f>
        <v/>
      </c>
      <c r="AR273" s="121" t="str">
        <f t="shared" si="84"/>
        <v/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str">
        <f>IF('Cable Info'!N273="","",CONCATENATE('Cable Info'!N273," - ",'Cable Info'!O273))</f>
        <v/>
      </c>
      <c r="AR274" s="121" t="str">
        <f t="shared" si="84"/>
        <v/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str">
        <f>IF('Cable Info'!N274="","",CONCATENATE('Cable Info'!N274," - ",'Cable Info'!O274))</f>
        <v/>
      </c>
      <c r="AR275" s="121" t="str">
        <f t="shared" si="84"/>
        <v/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str">
        <f>IF('Cable Info'!N275="","",CONCATENATE('Cable Info'!N275," - ",'Cable Info'!O275))</f>
        <v/>
      </c>
      <c r="AR276" s="121" t="str">
        <f t="shared" si="84"/>
        <v/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str">
        <f>IF('Cable Info'!N276="","",CONCATENATE('Cable Info'!N276," - ",'Cable Info'!O276))</f>
        <v/>
      </c>
      <c r="AR277" s="121" t="str">
        <f t="shared" si="84"/>
        <v/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str">
        <f>IF('Cable Info'!N277="","",CONCATENATE('Cable Info'!N277," - ",'Cable Info'!O277))</f>
        <v/>
      </c>
      <c r="AR278" s="121" t="str">
        <f t="shared" si="84"/>
        <v/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str">
        <f>IF('Cable Info'!N278="","",CONCATENATE('Cable Info'!N278," - ",'Cable Info'!O278))</f>
        <v/>
      </c>
      <c r="AR279" s="121" t="str">
        <f t="shared" si="84"/>
        <v/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str">
        <f>IF('Cable Info'!N279="","",CONCATENATE('Cable Info'!N279," - ",'Cable Info'!O279))</f>
        <v/>
      </c>
      <c r="AR280" s="121" t="str">
        <f t="shared" si="84"/>
        <v/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str">
        <f>IF('Cable Info'!N280="","",CONCATENATE('Cable Info'!N280," - ",'Cable Info'!O280))</f>
        <v/>
      </c>
      <c r="AR281" s="121" t="str">
        <f t="shared" si="84"/>
        <v/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str">
        <f>IF('Cable Info'!N281="","",CONCATENATE('Cable Info'!N281," - ",'Cable Info'!O281))</f>
        <v/>
      </c>
      <c r="AR282" s="121" t="str">
        <f t="shared" si="84"/>
        <v/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str">
        <f>IF('Cable Info'!N282="","",CONCATENATE('Cable Info'!N282," - ",'Cable Info'!O282))</f>
        <v/>
      </c>
      <c r="AR283" s="121" t="str">
        <f t="shared" si="84"/>
        <v/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str">
        <f>IF('Cable Info'!N283="","",CONCATENATE('Cable Info'!N283," - ",'Cable Info'!O283))</f>
        <v/>
      </c>
      <c r="AR284" s="121" t="str">
        <f t="shared" si="84"/>
        <v/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str">
        <f>IF('Cable Info'!N284="","",CONCATENATE('Cable Info'!N284," - ",'Cable Info'!O284))</f>
        <v/>
      </c>
      <c r="AR285" s="121" t="str">
        <f t="shared" si="84"/>
        <v/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str">
        <f>IF('Cable Info'!N285="","",CONCATENATE('Cable Info'!N285," - ",'Cable Info'!O285))</f>
        <v/>
      </c>
      <c r="AR286" s="121" t="str">
        <f t="shared" si="84"/>
        <v/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str">
        <f>IF('Cable Info'!N286="","",CONCATENATE('Cable Info'!N286," - ",'Cable Info'!O286))</f>
        <v/>
      </c>
      <c r="AR287" s="121" t="str">
        <f t="shared" si="84"/>
        <v/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str">
        <f>IF('Cable Info'!N287="","",CONCATENATE('Cable Info'!N287," - ",'Cable Info'!O287))</f>
        <v/>
      </c>
      <c r="AR288" s="121" t="str">
        <f t="shared" si="84"/>
        <v/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str">
        <f>IF('Cable Info'!N288="","",CONCATENATE('Cable Info'!N288," - ",'Cable Info'!O288))</f>
        <v/>
      </c>
      <c r="AR289" s="121" t="str">
        <f t="shared" si="84"/>
        <v/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str">
        <f>IF('Cable Info'!N289="","",CONCATENATE('Cable Info'!N289," - ",'Cable Info'!O289))</f>
        <v/>
      </c>
      <c r="AR290" s="121" t="str">
        <f t="shared" si="84"/>
        <v/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str">
        <f>IF('Cable Info'!N290="","",CONCATENATE('Cable Info'!N290," - ",'Cable Info'!O290))</f>
        <v/>
      </c>
      <c r="AR291" s="121" t="str">
        <f t="shared" si="84"/>
        <v/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str">
        <f>IF('Cable Info'!N291="","",CONCATENATE('Cable Info'!N291," - ",'Cable Info'!O291))</f>
        <v/>
      </c>
      <c r="AR292" s="121" t="str">
        <f t="shared" si="84"/>
        <v/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str">
        <f>IF('Cable Info'!N292="","",CONCATENATE('Cable Info'!N292," - ",'Cable Info'!O292))</f>
        <v/>
      </c>
      <c r="AR293" s="121" t="str">
        <f t="shared" si="84"/>
        <v/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str">
        <f>IF('Cable Info'!N293="","",CONCATENATE('Cable Info'!N293," - ",'Cable Info'!O293))</f>
        <v/>
      </c>
      <c r="AR294" s="121" t="str">
        <f t="shared" si="84"/>
        <v/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str">
        <f>IF('Cable Info'!N294="","",CONCATENATE('Cable Info'!N294," - ",'Cable Info'!O294))</f>
        <v/>
      </c>
      <c r="AR295" s="121" t="str">
        <f t="shared" si="84"/>
        <v/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str">
        <f>IF('Cable Info'!N295="","",CONCATENATE('Cable Info'!N295," - ",'Cable Info'!O295))</f>
        <v/>
      </c>
      <c r="AR296" s="121" t="str">
        <f t="shared" si="84"/>
        <v/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str">
        <f>IF('Cable Info'!N296="","",CONCATENATE('Cable Info'!N296," - ",'Cable Info'!O296))</f>
        <v/>
      </c>
      <c r="AR297" s="121" t="str">
        <f t="shared" si="84"/>
        <v/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str">
        <f>IF('Cable Info'!N297="","",CONCATENATE('Cable Info'!N297," - ",'Cable Info'!O297))</f>
        <v/>
      </c>
      <c r="AR298" s="121" t="str">
        <f t="shared" si="84"/>
        <v/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str">
        <f>IF('Cable Info'!N298="","",CONCATENATE('Cable Info'!N298," - ",'Cable Info'!O298))</f>
        <v/>
      </c>
      <c r="AR299" s="121" t="str">
        <f t="shared" si="84"/>
        <v/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str">
        <f>IF('Cable Info'!N299="","",CONCATENATE('Cable Info'!N299," - ",'Cable Info'!O299))</f>
        <v/>
      </c>
      <c r="AR300" s="121" t="str">
        <f t="shared" si="84"/>
        <v/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str">
        <f>IF('Cable Info'!N300="","",CONCATENATE('Cable Info'!N300," - ",'Cable Info'!O300))</f>
        <v/>
      </c>
      <c r="AR301" s="121" t="str">
        <f t="shared" si="84"/>
        <v/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str">
        <f>IF('Cable Info'!N301="","",CONCATENATE('Cable Info'!N301," - ",'Cable Info'!O301))</f>
        <v/>
      </c>
      <c r="AR302" s="121" t="str">
        <f t="shared" si="84"/>
        <v/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str">
        <f>IF('Cable Info'!N302="","",CONCATENATE('Cable Info'!N302," - ",'Cable Info'!O302))</f>
        <v/>
      </c>
      <c r="AR303" s="121" t="str">
        <f t="shared" si="84"/>
        <v/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str">
        <f>IF('Cable Info'!N303="","",CONCATENATE('Cable Info'!N303," - ",'Cable Info'!O303))</f>
        <v/>
      </c>
      <c r="AR304" s="121" t="str">
        <f t="shared" si="84"/>
        <v/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str">
        <f>IF('Cable Info'!N304="","",CONCATENATE('Cable Info'!N304," - ",'Cable Info'!O304))</f>
        <v/>
      </c>
      <c r="AR305" s="121" t="str">
        <f t="shared" si="84"/>
        <v/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str">
        <f>IF('Cable Info'!N305="","",CONCATENATE('Cable Info'!N305," - ",'Cable Info'!O305))</f>
        <v/>
      </c>
      <c r="AR306" s="121" t="str">
        <f t="shared" si="84"/>
        <v/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str">
        <f>IF('Cable Info'!N306="","",CONCATENATE('Cable Info'!N306," - ",'Cable Info'!O306))</f>
        <v/>
      </c>
      <c r="AR307" s="121" t="str">
        <f t="shared" si="84"/>
        <v/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str">
        <f>IF('Cable Info'!N307="","",CONCATENATE('Cable Info'!N307," - ",'Cable Info'!O307))</f>
        <v/>
      </c>
      <c r="AR308" s="121" t="str">
        <f t="shared" si="84"/>
        <v/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str">
        <f>IF('Cable Info'!N308="","",CONCATENATE('Cable Info'!N308," - ",'Cable Info'!O308))</f>
        <v/>
      </c>
      <c r="AR309" s="121" t="str">
        <f t="shared" si="84"/>
        <v/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str">
        <f>IF('Cable Info'!N309="","",CONCATENATE('Cable Info'!N309," - ",'Cable Info'!O309))</f>
        <v/>
      </c>
      <c r="AR310" s="121" t="str">
        <f t="shared" si="84"/>
        <v/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str">
        <f>IF('Cable Info'!N310="","",CONCATENATE('Cable Info'!N310," - ",'Cable Info'!O310))</f>
        <v/>
      </c>
      <c r="AR311" s="121" t="str">
        <f t="shared" si="84"/>
        <v/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str">
        <f>IF('Cable Info'!N311="","",CONCATENATE('Cable Info'!N311," - ",'Cable Info'!O311))</f>
        <v/>
      </c>
      <c r="AR312" s="121" t="str">
        <f t="shared" si="84"/>
        <v/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str">
        <f>IF('Cable Info'!N312="","",CONCATENATE('Cable Info'!N312," - ",'Cable Info'!O312))</f>
        <v/>
      </c>
      <c r="AR313" s="121" t="str">
        <f t="shared" si="84"/>
        <v/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str">
        <f>IF('Cable Info'!N313="","",CONCATENATE('Cable Info'!N313," - ",'Cable Info'!O313))</f>
        <v/>
      </c>
      <c r="AR314" s="121" t="str">
        <f t="shared" si="84"/>
        <v/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str">
        <f>IF('Cable Info'!N314="","",CONCATENATE('Cable Info'!N314," - ",'Cable Info'!O314))</f>
        <v/>
      </c>
      <c r="AR315" s="121" t="str">
        <f t="shared" si="84"/>
        <v/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str">
        <f>IF('Cable Info'!N315="","",CONCATENATE('Cable Info'!N315," - ",'Cable Info'!O315))</f>
        <v/>
      </c>
      <c r="AR316" s="121" t="str">
        <f t="shared" si="84"/>
        <v/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str">
        <f>IF('Cable Info'!N316="","",CONCATENATE('Cable Info'!N316," - ",'Cable Info'!O316))</f>
        <v/>
      </c>
      <c r="AR317" s="121" t="str">
        <f t="shared" si="84"/>
        <v/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str">
        <f>IF('Cable Info'!N317="","",CONCATENATE('Cable Info'!N317," - ",'Cable Info'!O317))</f>
        <v/>
      </c>
      <c r="AR318" s="121" t="str">
        <f t="shared" si="84"/>
        <v/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str">
        <f>IF('Cable Info'!N318="","",CONCATENATE('Cable Info'!N318," - ",'Cable Info'!O318))</f>
        <v/>
      </c>
      <c r="AR319" s="121" t="str">
        <f t="shared" si="84"/>
        <v/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str">
        <f>IF('Cable Info'!N319="","",CONCATENATE('Cable Info'!N319," - ",'Cable Info'!O319))</f>
        <v/>
      </c>
      <c r="AR320" s="121" t="str">
        <f t="shared" si="84"/>
        <v/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str">
        <f>IF('Cable Info'!N320="","",CONCATENATE('Cable Info'!N320," - ",'Cable Info'!O320))</f>
        <v/>
      </c>
      <c r="AR321" s="121" t="str">
        <f t="shared" si="84"/>
        <v/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str">
        <f>IF('Cable Info'!N321="","",CONCATENATE('Cable Info'!N321," - ",'Cable Info'!O321))</f>
        <v/>
      </c>
      <c r="AR322" s="121" t="str">
        <f t="shared" si="84"/>
        <v/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str">
        <f>IF('Cable Info'!N322="","",CONCATENATE('Cable Info'!N322," - ",'Cable Info'!O322))</f>
        <v/>
      </c>
      <c r="AR323" s="121" t="str">
        <f t="shared" si="84"/>
        <v/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str">
        <f>IF('Cable Info'!N323="","",CONCATENATE('Cable Info'!N323," - ",'Cable Info'!O323))</f>
        <v/>
      </c>
      <c r="AR324" s="121" t="str">
        <f t="shared" si="84"/>
        <v/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str">
        <f>IF('Cable Info'!N324="","",CONCATENATE('Cable Info'!N324," - ",'Cable Info'!O324))</f>
        <v/>
      </c>
      <c r="AR325" s="121" t="str">
        <f t="shared" si="84"/>
        <v/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str">
        <f>IF('Cable Info'!N325="","",CONCATENATE('Cable Info'!N325," - ",'Cable Info'!O325))</f>
        <v/>
      </c>
      <c r="AR326" s="121" t="str">
        <f t="shared" si="84"/>
        <v/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str">
        <f>IF('Cable Info'!N326="","",CONCATENATE('Cable Info'!N326," - ",'Cable Info'!O326))</f>
        <v/>
      </c>
      <c r="AR327" s="121" t="str">
        <f t="shared" si="84"/>
        <v/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str">
        <f>IF('Cable Info'!N327="","",CONCATENATE('Cable Info'!N327," - ",'Cable Info'!O327))</f>
        <v/>
      </c>
      <c r="AR328" s="121" t="str">
        <f t="shared" si="84"/>
        <v/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str">
        <f>IF('Cable Info'!N328="","",CONCATENATE('Cable Info'!N328," - ",'Cable Info'!O328))</f>
        <v/>
      </c>
      <c r="AR329" s="121" t="str">
        <f t="shared" si="84"/>
        <v/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str">
        <f>IF('Cable Info'!N329="","",CONCATENATE('Cable Info'!N329," - ",'Cable Info'!O329))</f>
        <v/>
      </c>
      <c r="AR330" s="121" t="str">
        <f t="shared" si="84"/>
        <v/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str">
        <f>IF('Cable Info'!N330="","",CONCATENATE('Cable Info'!N330," - ",'Cable Info'!O330))</f>
        <v/>
      </c>
      <c r="AR331" s="121" t="str">
        <f t="shared" si="84"/>
        <v/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str">
        <f>IF('Cable Info'!N331="","",CONCATENATE('Cable Info'!N331," - ",'Cable Info'!O331))</f>
        <v/>
      </c>
      <c r="AR332" s="121" t="str">
        <f t="shared" si="84"/>
        <v/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str">
        <f>IF('Cable Info'!N332="","",CONCATENATE('Cable Info'!N332," - ",'Cable Info'!O332))</f>
        <v/>
      </c>
      <c r="AR333" s="121" t="str">
        <f t="shared" ref="AR333:AR368" si="96">IF(AP333="",AO333,CONCATENATE(AO333,"  &lt;=&gt; ",AP333," ",AQ333))</f>
        <v/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str">
        <f>IF('Cable Info'!N333="","",CONCATENATE('Cable Info'!N333," - ",'Cable Info'!O333))</f>
        <v/>
      </c>
      <c r="AR334" s="121" t="str">
        <f t="shared" si="96"/>
        <v/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str">
        <f>IF('Cable Info'!N334="","",CONCATENATE('Cable Info'!N334," - ",'Cable Info'!O334))</f>
        <v/>
      </c>
      <c r="AR335" s="121" t="str">
        <f t="shared" si="96"/>
        <v/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str">
        <f>IF('Cable Info'!N335="","",CONCATENATE('Cable Info'!N335," - ",'Cable Info'!O335))</f>
        <v/>
      </c>
      <c r="AR336" s="121" t="str">
        <f t="shared" si="96"/>
        <v/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str">
        <f>IF('Cable Info'!N336="","",CONCATENATE('Cable Info'!N336," - ",'Cable Info'!O336))</f>
        <v/>
      </c>
      <c r="AR337" s="121" t="str">
        <f t="shared" si="96"/>
        <v/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str">
        <f>IF('Cable Info'!N337="","",CONCATENATE('Cable Info'!N337," - ",'Cable Info'!O337))</f>
        <v/>
      </c>
      <c r="AR338" s="121" t="str">
        <f t="shared" si="96"/>
        <v/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str">
        <f>IF('Cable Info'!N338="","",CONCATENATE('Cable Info'!N338," - ",'Cable Info'!O338))</f>
        <v/>
      </c>
      <c r="AR339" s="121" t="str">
        <f t="shared" si="96"/>
        <v/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str">
        <f>IF('Cable Info'!N339="","",CONCATENATE('Cable Info'!N339," - ",'Cable Info'!O339))</f>
        <v/>
      </c>
      <c r="AR340" s="121" t="str">
        <f t="shared" si="96"/>
        <v/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str">
        <f>IF('Cable Info'!N340="","",CONCATENATE('Cable Info'!N340," - ",'Cable Info'!O340))</f>
        <v/>
      </c>
      <c r="AR341" s="121" t="str">
        <f t="shared" si="96"/>
        <v/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str">
        <f>IF('Cable Info'!N341="","",CONCATENATE('Cable Info'!N341," - ",'Cable Info'!O341))</f>
        <v/>
      </c>
      <c r="AR342" s="121" t="str">
        <f t="shared" si="96"/>
        <v/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str">
        <f>IF('Cable Info'!N342="","",CONCATENATE('Cable Info'!N342," - ",'Cable Info'!O342))</f>
        <v/>
      </c>
      <c r="AR343" s="121" t="str">
        <f t="shared" si="96"/>
        <v/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str">
        <f>IF('Cable Info'!N343="","",CONCATENATE('Cable Info'!N343," - ",'Cable Info'!O343))</f>
        <v/>
      </c>
      <c r="AR344" s="121" t="str">
        <f t="shared" si="96"/>
        <v/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str">
        <f>IF('Cable Info'!N344="","",CONCATENATE('Cable Info'!N344," - ",'Cable Info'!O344))</f>
        <v/>
      </c>
      <c r="AR345" s="121" t="str">
        <f t="shared" si="96"/>
        <v/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str">
        <f>IF('Cable Info'!N345="","",CONCATENATE('Cable Info'!N345," - ",'Cable Info'!O345))</f>
        <v/>
      </c>
      <c r="AR346" s="121" t="str">
        <f t="shared" si="96"/>
        <v/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str">
        <f>IF('Cable Info'!N346="","",CONCATENATE('Cable Info'!N346," - ",'Cable Info'!O346))</f>
        <v/>
      </c>
      <c r="AR347" s="121" t="str">
        <f t="shared" si="96"/>
        <v/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str">
        <f>IF('Cable Info'!N347="","",CONCATENATE('Cable Info'!N347," - ",'Cable Info'!O347))</f>
        <v/>
      </c>
      <c r="AR348" s="121" t="str">
        <f t="shared" si="96"/>
        <v/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str">
        <f>IF('Cable Info'!N348="","",CONCATENATE('Cable Info'!N348," - ",'Cable Info'!O348))</f>
        <v/>
      </c>
      <c r="AR349" s="121" t="str">
        <f t="shared" si="96"/>
        <v/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str">
        <f>IF('Cable Info'!N349="","",CONCATENATE('Cable Info'!N349," - ",'Cable Info'!O349))</f>
        <v/>
      </c>
      <c r="AR350" s="121" t="str">
        <f t="shared" si="96"/>
        <v/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str">
        <f>IF('Cable Info'!N350="","",CONCATENATE('Cable Info'!N350," - ",'Cable Info'!O350))</f>
        <v/>
      </c>
      <c r="AR351" s="121" t="str">
        <f t="shared" si="96"/>
        <v/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str">
        <f>IF('Cable Info'!N351="","",CONCATENATE('Cable Info'!N351," - ",'Cable Info'!O351))</f>
        <v/>
      </c>
      <c r="AR352" s="121" t="str">
        <f t="shared" si="96"/>
        <v/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str">
        <f>IF('Cable Info'!N352="","",CONCATENATE('Cable Info'!N352," - ",'Cable Info'!O352))</f>
        <v/>
      </c>
      <c r="AR353" s="121" t="str">
        <f t="shared" si="96"/>
        <v/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str">
        <f>IF('Cable Info'!N353="","",CONCATENATE('Cable Info'!N353," - ",'Cable Info'!O353))</f>
        <v/>
      </c>
      <c r="AR354" s="121" t="str">
        <f t="shared" si="96"/>
        <v/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str">
        <f>IF('Cable Info'!N354="","",CONCATENATE('Cable Info'!N354," - ",'Cable Info'!O354))</f>
        <v/>
      </c>
      <c r="AR355" s="121" t="str">
        <f t="shared" si="96"/>
        <v/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str">
        <f>IF('Cable Info'!N355="","",CONCATENATE('Cable Info'!N355," - ",'Cable Info'!O355))</f>
        <v/>
      </c>
      <c r="AR356" s="121" t="str">
        <f t="shared" si="96"/>
        <v/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str">
        <f>IF('Cable Info'!N356="","",CONCATENATE('Cable Info'!N356," - ",'Cable Info'!O356))</f>
        <v/>
      </c>
      <c r="AR357" s="121" t="str">
        <f t="shared" si="96"/>
        <v/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str">
        <f>IF('Cable Info'!N357="","",CONCATENATE('Cable Info'!N357," - ",'Cable Info'!O357))</f>
        <v/>
      </c>
      <c r="AR358" s="121" t="str">
        <f t="shared" si="96"/>
        <v/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str">
        <f>IF('Cable Info'!N358="","",CONCATENATE('Cable Info'!N358," - ",'Cable Info'!O358))</f>
        <v/>
      </c>
      <c r="AR359" s="121" t="str">
        <f t="shared" si="96"/>
        <v/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str">
        <f>IF('Cable Info'!N359="","",CONCATENATE('Cable Info'!N359," - ",'Cable Info'!O359))</f>
        <v/>
      </c>
      <c r="AR360" s="121" t="str">
        <f t="shared" si="96"/>
        <v/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str">
        <f>IF('Cable Info'!N360="","",CONCATENATE('Cable Info'!N360," - ",'Cable Info'!O360))</f>
        <v/>
      </c>
      <c r="AR361" s="121" t="str">
        <f t="shared" si="96"/>
        <v/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str">
        <f>IF('Cable Info'!N361="","",CONCATENATE('Cable Info'!N361," - ",'Cable Info'!O361))</f>
        <v/>
      </c>
      <c r="AR362" s="121" t="str">
        <f t="shared" si="96"/>
        <v/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str">
        <f>IF('Cable Info'!N362="","",CONCATENATE('Cable Info'!N362," - ",'Cable Info'!O362))</f>
        <v/>
      </c>
      <c r="AR363" s="121" t="str">
        <f t="shared" si="96"/>
        <v/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str">
        <f>IF('Cable Info'!N363="","",CONCATENATE('Cable Info'!N363," - ",'Cable Info'!O363))</f>
        <v/>
      </c>
      <c r="AR364" s="121" t="str">
        <f t="shared" si="96"/>
        <v/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str">
        <f>IF('Cable Info'!N364="","",CONCATENATE('Cable Info'!N364," - ",'Cable Info'!O364))</f>
        <v/>
      </c>
      <c r="AR365" s="121" t="str">
        <f t="shared" si="96"/>
        <v/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str">
        <f>IF('Cable Info'!N365="","",CONCATENATE('Cable Info'!N365," - ",'Cable Info'!O365))</f>
        <v/>
      </c>
      <c r="AR366" s="121" t="str">
        <f t="shared" si="96"/>
        <v/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str">
        <f>IF('Cable Info'!N366="","",CONCATENATE('Cable Info'!N366," - ",'Cable Info'!O366))</f>
        <v/>
      </c>
      <c r="AR367" s="121" t="str">
        <f t="shared" si="96"/>
        <v/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str">
        <f>IF('Cable Info'!N367="","",CONCATENATE('Cable Info'!N367," - ",'Cable Info'!O367))</f>
        <v/>
      </c>
      <c r="AR368" s="121" t="str">
        <f t="shared" si="96"/>
        <v/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str">
        <f>IF('Cable Info'!N186="","",CONCATENATE('Cable Info'!N186," - ",'Cable Info'!O186))</f>
        <v/>
      </c>
      <c r="AR369" s="121" t="str">
        <f t="shared" ref="AR369:AR379" si="108">IF(AP369="",AO369,CONCATENATE(AO369,"  &lt;=&gt; ",AP369," ",AQ369))</f>
        <v/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str">
        <f>IF('Cable Info'!N187="","",CONCATENATE('Cable Info'!N187," - ",'Cable Info'!O187))</f>
        <v/>
      </c>
      <c r="AR370" s="121" t="str">
        <f t="shared" si="108"/>
        <v/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str">
        <f>IF('Cable Info'!N188="","",CONCATENATE('Cable Info'!N188," - ",'Cable Info'!O188))</f>
        <v/>
      </c>
      <c r="AR371" s="121" t="str">
        <f t="shared" si="108"/>
        <v/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str">
        <f>IF('Cable Info'!N189="","",CONCATENATE('Cable Info'!N189," - ",'Cable Info'!O189))</f>
        <v/>
      </c>
      <c r="AR372" s="121" t="str">
        <f t="shared" si="108"/>
        <v/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str">
        <f>IF('Cable Info'!N190="","",CONCATENATE('Cable Info'!N190," - ",'Cable Info'!O190))</f>
        <v/>
      </c>
      <c r="AR373" s="121" t="str">
        <f t="shared" si="108"/>
        <v/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str">
        <f>IF('Cable Info'!N191="","",CONCATENATE('Cable Info'!N191," - ",'Cable Info'!O191))</f>
        <v/>
      </c>
      <c r="AR374" s="121" t="str">
        <f t="shared" si="108"/>
        <v/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str">
        <f>IF('Cable Info'!N192="","",CONCATENATE('Cable Info'!N192," - ",'Cable Info'!O192))</f>
        <v/>
      </c>
      <c r="AR375" s="121" t="str">
        <f t="shared" si="108"/>
        <v/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str">
        <f>IF('Cable Info'!N193="","",CONCATENATE('Cable Info'!N193," - ",'Cable Info'!O193))</f>
        <v/>
      </c>
      <c r="AR376" s="121" t="str">
        <f t="shared" si="108"/>
        <v/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str">
        <f>IF('Cable Info'!N194="","",CONCATENATE('Cable Info'!N194," - ",'Cable Info'!O194))</f>
        <v/>
      </c>
      <c r="AR377" s="121" t="str">
        <f t="shared" si="108"/>
        <v/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str">
        <f>IF('Cable Info'!N195="","",CONCATENATE('Cable Info'!N195," - ",'Cable Info'!O195))</f>
        <v/>
      </c>
      <c r="AR378" s="121" t="str">
        <f t="shared" si="108"/>
        <v/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str">
        <f>IF('Cable Info'!N196="","",CONCATENATE('Cable Info'!N196," - ",'Cable Info'!O196))</f>
        <v/>
      </c>
      <c r="AR379" s="121" t="str">
        <f t="shared" si="108"/>
        <v/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str">
        <f>IF('Cable Info'!L84="","",CONCATENATE('Cable Info'!L84," - ",'Cable Info'!M84))</f>
        <v>83 - AW</v>
      </c>
      <c r="AM380" s="121" t="str">
        <f t="shared" ref="AM380:AM426" si="119">IF(AK380="",AJ380,CONCATENATE(AJ380,"  &lt;=&gt; ",AK380," ",AL380))</f>
        <v>83 - AW</v>
      </c>
      <c r="AO380" s="121" t="str">
        <f>IF('Cable Info'!N84="","",CONCATENATE('Cable Info'!N84," - ",'Cable Info'!O84))</f>
        <v/>
      </c>
      <c r="AR380" s="121" t="str">
        <f t="shared" ref="AR380:AR426" si="120">IF(AP380="",AO380,CONCATENATE(AO380,"  &lt;=&gt; ",AP380," ",AQ380))</f>
        <v/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str">
        <f>IF('Cable Info'!L85="","",CONCATENATE('Cable Info'!L85," - ",'Cable Info'!M85))</f>
        <v>84 - AW</v>
      </c>
      <c r="AM381" s="121" t="str">
        <f t="shared" si="119"/>
        <v>84 - AW</v>
      </c>
      <c r="AO381" s="121" t="str">
        <f>IF('Cable Info'!N85="","",CONCATENATE('Cable Info'!N85," - ",'Cable Info'!O85))</f>
        <v/>
      </c>
      <c r="AR381" s="121" t="str">
        <f t="shared" si="120"/>
        <v/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str">
        <f>IF('Cable Info'!L86="","",CONCATENATE('Cable Info'!L86," - ",'Cable Info'!M86))</f>
        <v>85 - AW</v>
      </c>
      <c r="AK382" s="164"/>
      <c r="AL382" s="164"/>
      <c r="AM382" s="164" t="str">
        <f t="shared" si="119"/>
        <v>85 - AW</v>
      </c>
      <c r="AN382" s="164"/>
      <c r="AO382" s="164" t="str">
        <f>IF('Cable Info'!N86="","",CONCATENATE('Cable Info'!N86," - ",'Cable Info'!O86))</f>
        <v/>
      </c>
      <c r="AP382" s="164"/>
      <c r="AQ382" s="164"/>
      <c r="AR382" s="164" t="str">
        <f t="shared" si="120"/>
        <v/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str">
        <f>IF('Cable Info'!L87="","",CONCATENATE('Cable Info'!L87," - ",'Cable Info'!M87))</f>
        <v>86 - AW</v>
      </c>
      <c r="AK383" s="160"/>
      <c r="AL383" s="160"/>
      <c r="AM383" s="160" t="str">
        <f t="shared" si="119"/>
        <v>86 - AW</v>
      </c>
      <c r="AN383" s="160"/>
      <c r="AO383" s="160" t="str">
        <f>IF('Cable Info'!N87="","",CONCATENATE('Cable Info'!N87," - ",'Cable Info'!O87))</f>
        <v/>
      </c>
      <c r="AP383" s="160"/>
      <c r="AQ383" s="160"/>
      <c r="AR383" s="160" t="str">
        <f t="shared" si="120"/>
        <v/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Info'!L88="","",CONCATENATE('Cable Info'!L88," - ",'Cable Info'!M88))</f>
        <v>87 - AW</v>
      </c>
      <c r="AM384" s="121" t="str">
        <f t="shared" si="119"/>
        <v>87 - AW</v>
      </c>
      <c r="AO384" s="121" t="str">
        <f>IF('Cable Info'!N88="","",CONCATENATE('Cable Info'!N88," - ",'Cable Info'!O88))</f>
        <v/>
      </c>
      <c r="AR384" s="121" t="str">
        <f t="shared" si="120"/>
        <v/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Info'!L89="","",CONCATENATE('Cable Info'!L89," - ",'Cable Info'!M89))</f>
        <v>88 - AW</v>
      </c>
      <c r="AM385" s="121" t="str">
        <f t="shared" si="119"/>
        <v>88 - AW</v>
      </c>
      <c r="AO385" s="121" t="str">
        <f>IF('Cable Info'!N89="","",CONCATENATE('Cable Info'!N89," - ",'Cable Info'!O89))</f>
        <v/>
      </c>
      <c r="AR385" s="121" t="str">
        <f t="shared" si="120"/>
        <v/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Info'!L90="","",CONCATENATE('Cable Info'!L90," - ",'Cable Info'!M90))</f>
        <v>89 - AW</v>
      </c>
      <c r="AM386" s="121" t="str">
        <f t="shared" si="119"/>
        <v>89 - AW</v>
      </c>
      <c r="AO386" s="121" t="str">
        <f>IF('Cable Info'!N90="","",CONCATENATE('Cable Info'!N90," - ",'Cable Info'!O90))</f>
        <v/>
      </c>
      <c r="AR386" s="121" t="str">
        <f t="shared" si="120"/>
        <v/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Info'!L91="","",CONCATENATE('Cable Info'!L91," - ",'Cable Info'!M91))</f>
        <v>90 - AW</v>
      </c>
      <c r="AM387" s="121" t="str">
        <f t="shared" si="119"/>
        <v>90 - AW</v>
      </c>
      <c r="AO387" s="121" t="str">
        <f>IF('Cable Info'!N91="","",CONCATENATE('Cable Info'!N91," - ",'Cable Info'!O91))</f>
        <v/>
      </c>
      <c r="AR387" s="121" t="str">
        <f t="shared" si="120"/>
        <v/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Info'!L92="","",CONCATENATE('Cable Info'!L92," - ",'Cable Info'!M92))</f>
        <v>91 - AW</v>
      </c>
      <c r="AM388" s="121" t="str">
        <f t="shared" si="119"/>
        <v>91 - AW</v>
      </c>
      <c r="AO388" s="121" t="str">
        <f>IF('Cable Info'!N92="","",CONCATENATE('Cable Info'!N92," - ",'Cable Info'!O92))</f>
        <v/>
      </c>
      <c r="AR388" s="121" t="str">
        <f t="shared" si="120"/>
        <v/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Info'!L93="","",CONCATENATE('Cable Info'!L93," - ",'Cable Info'!M93))</f>
        <v>92 - AW</v>
      </c>
      <c r="AM389" s="121" t="str">
        <f t="shared" si="119"/>
        <v>92 - AW</v>
      </c>
      <c r="AO389" s="121" t="str">
        <f>IF('Cable Info'!N93="","",CONCATENATE('Cable Info'!N93," - ",'Cable Info'!O93))</f>
        <v/>
      </c>
      <c r="AR389" s="121" t="str">
        <f t="shared" si="120"/>
        <v/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Info'!L94="","",CONCATENATE('Cable Info'!L94," - ",'Cable Info'!M94))</f>
        <v>93 - AW</v>
      </c>
      <c r="AM390" s="121" t="str">
        <f t="shared" si="119"/>
        <v>93 - AW</v>
      </c>
      <c r="AO390" s="121" t="str">
        <f>IF('Cable Info'!N94="","",CONCATENATE('Cable Info'!N94," - ",'Cable Info'!O94))</f>
        <v/>
      </c>
      <c r="AR390" s="121" t="str">
        <f t="shared" si="120"/>
        <v/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Info'!L95="","",CONCATENATE('Cable Info'!L95," - ",'Cable Info'!M95))</f>
        <v>94 - AW</v>
      </c>
      <c r="AM391" s="121" t="str">
        <f t="shared" si="119"/>
        <v>94 - AW</v>
      </c>
      <c r="AO391" s="121" t="str">
        <f>IF('Cable Info'!N95="","",CONCATENATE('Cable Info'!N95," - ",'Cable Info'!O95))</f>
        <v/>
      </c>
      <c r="AR391" s="121" t="str">
        <f t="shared" si="120"/>
        <v/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Info'!L96="","",CONCATENATE('Cable Info'!L96," - ",'Cable Info'!M96))</f>
        <v>95 - AW</v>
      </c>
      <c r="AM392" s="121" t="str">
        <f t="shared" si="119"/>
        <v>95 - AW</v>
      </c>
      <c r="AO392" s="121" t="str">
        <f>IF('Cable Info'!N96="","",CONCATENATE('Cable Info'!N96," - ",'Cable Info'!O96))</f>
        <v/>
      </c>
      <c r="AR392" s="121" t="str">
        <f t="shared" si="120"/>
        <v/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Info'!L97="","",CONCATENATE('Cable Info'!L97," - ",'Cable Info'!M97))</f>
        <v>96 - AW</v>
      </c>
      <c r="AM393" s="121" t="str">
        <f t="shared" si="119"/>
        <v>96 - AW</v>
      </c>
      <c r="AO393" s="121" t="str">
        <f>IF('Cable Info'!N97="","",CONCATENATE('Cable Info'!N97," - ",'Cable Info'!O97))</f>
        <v/>
      </c>
      <c r="AR393" s="121" t="str">
        <f t="shared" si="120"/>
        <v/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str">
        <f>IF('Cable Info'!N98="","",CONCATENATE('Cable Info'!N98," - ",'Cable Info'!O98))</f>
        <v/>
      </c>
      <c r="AR394" s="121" t="str">
        <f t="shared" si="120"/>
        <v/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str">
        <f>IF('Cable Info'!N99="","",CONCATENATE('Cable Info'!N99," - ",'Cable Info'!O99))</f>
        <v/>
      </c>
      <c r="AR395" s="121" t="str">
        <f t="shared" si="120"/>
        <v/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str">
        <f>IF('Cable Info'!N100="","",CONCATENATE('Cable Info'!N100," - ",'Cable Info'!O100))</f>
        <v/>
      </c>
      <c r="AR396" s="121" t="str">
        <f t="shared" si="120"/>
        <v/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str">
        <f>IF('Cable Info'!N101="","",CONCATENATE('Cable Info'!N101," - ",'Cable Info'!O101))</f>
        <v/>
      </c>
      <c r="AR397" s="121" t="str">
        <f t="shared" si="120"/>
        <v/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str">
        <f>IF('Cable Info'!N102="","",CONCATENATE('Cable Info'!N102," - ",'Cable Info'!O102))</f>
        <v/>
      </c>
      <c r="AR398" s="121" t="str">
        <f t="shared" si="120"/>
        <v/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str">
        <f>IF('Cable Info'!N103="","",CONCATENATE('Cable Info'!N103," - ",'Cable Info'!O103))</f>
        <v/>
      </c>
      <c r="AR399" s="121" t="str">
        <f t="shared" si="120"/>
        <v/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str">
        <f>IF('Cable Info'!N104="","",CONCATENATE('Cable Info'!N104," - ",'Cable Info'!O104))</f>
        <v/>
      </c>
      <c r="AR400" s="121" t="str">
        <f t="shared" si="120"/>
        <v/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str">
        <f>IF('Cable Info'!N105="","",CONCATENATE('Cable Info'!N105," - ",'Cable Info'!O105))</f>
        <v/>
      </c>
      <c r="AR401" s="121" t="str">
        <f t="shared" si="120"/>
        <v/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str">
        <f>IF('Cable Info'!N106="","",CONCATENATE('Cable Info'!N106," - ",'Cable Info'!O106))</f>
        <v/>
      </c>
      <c r="AR402" s="121" t="str">
        <f t="shared" si="120"/>
        <v/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str">
        <f>IF('Cable Info'!N107="","",CONCATENATE('Cable Info'!N107," - ",'Cable Info'!O107))</f>
        <v/>
      </c>
      <c r="AR403" s="121" t="str">
        <f t="shared" si="120"/>
        <v/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str">
        <f>IF('Cable Info'!N108="","",CONCATENATE('Cable Info'!N108," - ",'Cable Info'!O108))</f>
        <v/>
      </c>
      <c r="AR404" s="121" t="str">
        <f t="shared" si="120"/>
        <v/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str">
        <f>IF('Cable Info'!N109="","",CONCATENATE('Cable Info'!N109," - ",'Cable Info'!O109))</f>
        <v/>
      </c>
      <c r="AR405" s="121" t="str">
        <f t="shared" si="120"/>
        <v/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str">
        <f>IF('Cable Info'!N110="","",CONCATENATE('Cable Info'!N110," - ",'Cable Info'!O110))</f>
        <v/>
      </c>
      <c r="AR406" s="121" t="str">
        <f t="shared" si="120"/>
        <v/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str">
        <f>IF('Cable Info'!N111="","",CONCATENATE('Cable Info'!N111," - ",'Cable Info'!O111))</f>
        <v/>
      </c>
      <c r="AR407" s="121" t="str">
        <f t="shared" si="120"/>
        <v/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str">
        <f>IF('Cable Info'!N112="","",CONCATENATE('Cable Info'!N112," - ",'Cable Info'!O112))</f>
        <v/>
      </c>
      <c r="AR408" s="121" t="str">
        <f t="shared" si="120"/>
        <v/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str">
        <f>IF('Cable Info'!N113="","",CONCATENATE('Cable Info'!N113," - ",'Cable Info'!O113))</f>
        <v/>
      </c>
      <c r="AR409" s="121" t="str">
        <f t="shared" si="120"/>
        <v/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str">
        <f>IF('Cable Info'!N114="","",CONCATENATE('Cable Info'!N114," - ",'Cable Info'!O114))</f>
        <v/>
      </c>
      <c r="AR410" s="121" t="str">
        <f t="shared" si="120"/>
        <v/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str">
        <f>IF('Cable Info'!N115="","",CONCATENATE('Cable Info'!N115," - ",'Cable Info'!O115))</f>
        <v/>
      </c>
      <c r="AR411" s="121" t="str">
        <f t="shared" si="120"/>
        <v/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str">
        <f>IF('Cable Info'!N116="","",CONCATENATE('Cable Info'!N116," - ",'Cable Info'!O116))</f>
        <v/>
      </c>
      <c r="AR412" s="121" t="str">
        <f t="shared" si="120"/>
        <v/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str">
        <f>IF('Cable Info'!N117="","",CONCATENATE('Cable Info'!N117," - ",'Cable Info'!O117))</f>
        <v/>
      </c>
      <c r="AR413" s="121" t="str">
        <f t="shared" si="120"/>
        <v/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str">
        <f>IF('Cable Info'!N118="","",CONCATENATE('Cable Info'!N118," - ",'Cable Info'!O118))</f>
        <v/>
      </c>
      <c r="AR414" s="121" t="str">
        <f t="shared" si="120"/>
        <v/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str">
        <f>IF('Cable Info'!N119="","",CONCATENATE('Cable Info'!N119," - ",'Cable Info'!O119))</f>
        <v/>
      </c>
      <c r="AR415" s="121" t="str">
        <f t="shared" si="120"/>
        <v/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str">
        <f>IF('Cable Info'!N120="","",CONCATENATE('Cable Info'!N120," - ",'Cable Info'!O120))</f>
        <v/>
      </c>
      <c r="AR416" s="121" t="str">
        <f t="shared" si="120"/>
        <v/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str">
        <f>IF('Cable Info'!N121="","",CONCATENATE('Cable Info'!N121," - ",'Cable Info'!O121))</f>
        <v/>
      </c>
      <c r="AR417" s="121" t="str">
        <f t="shared" si="120"/>
        <v/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str">
        <f>IF('Cable Info'!N122="","",CONCATENATE('Cable Info'!N122," - ",'Cable Info'!O122))</f>
        <v/>
      </c>
      <c r="AR418" s="121" t="str">
        <f t="shared" si="120"/>
        <v/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str">
        <f>IF('Cable Info'!N123="","",CONCATENATE('Cable Info'!N123," - ",'Cable Info'!O123))</f>
        <v/>
      </c>
      <c r="AR419" s="121" t="str">
        <f t="shared" si="120"/>
        <v/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str">
        <f>IF('Cable Info'!N124="","",CONCATENATE('Cable Info'!N124," - ",'Cable Info'!O124))</f>
        <v/>
      </c>
      <c r="AR420" s="121" t="str">
        <f t="shared" si="120"/>
        <v/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str">
        <f>IF('Cable Info'!N125="","",CONCATENATE('Cable Info'!N125," - ",'Cable Info'!O125))</f>
        <v/>
      </c>
      <c r="AR421" s="121" t="str">
        <f t="shared" si="120"/>
        <v/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str">
        <f>IF('Cable Info'!N126="","",CONCATENATE('Cable Info'!N126," - ",'Cable Info'!O126))</f>
        <v/>
      </c>
      <c r="AR422" s="121" t="str">
        <f t="shared" si="120"/>
        <v/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str">
        <f>IF('Cable Info'!N127="","",CONCATENATE('Cable Info'!N127," - ",'Cable Info'!O127))</f>
        <v/>
      </c>
      <c r="AR423" s="121" t="str">
        <f t="shared" si="120"/>
        <v/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str">
        <f>IF('Cable Info'!N128="","",CONCATENATE('Cable Info'!N128," - ",'Cable Info'!O128))</f>
        <v/>
      </c>
      <c r="AR424" s="121" t="str">
        <f t="shared" si="120"/>
        <v/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str">
        <f>IF('Cable Info'!N129="","",CONCATENATE('Cable Info'!N129," - ",'Cable Info'!O129))</f>
        <v/>
      </c>
      <c r="AR425" s="121" t="str">
        <f t="shared" si="120"/>
        <v/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str">
        <f>IF('Cable Info'!N130="","",CONCATENATE('Cable Info'!N130," - ",'Cable Info'!O130))</f>
        <v/>
      </c>
      <c r="AR426" s="121" t="str">
        <f t="shared" si="120"/>
        <v/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str">
        <f>IF('Cable Info'!N131="","",CONCATENATE('Cable Info'!N131," - ",'Cable Info'!O131))</f>
        <v/>
      </c>
      <c r="AR427" s="121" t="str">
        <f t="shared" ref="AR427:AR490" si="126">IF(AP427="",AO427,CONCATENATE(AO427,"  &lt;=&gt; ",AP427," ",AQ427))</f>
        <v/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str">
        <f>IF('Cable Info'!N132="","",CONCATENATE('Cable Info'!N132," - ",'Cable Info'!O132))</f>
        <v/>
      </c>
      <c r="AR428" s="121" t="str">
        <f t="shared" si="126"/>
        <v/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str">
        <f>IF('Cable Info'!N133="","",CONCATENATE('Cable Info'!N133," - ",'Cable Info'!O133))</f>
        <v/>
      </c>
      <c r="AR429" s="121" t="str">
        <f t="shared" si="126"/>
        <v/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str">
        <f>IF('Cable Info'!N134="","",CONCATENATE('Cable Info'!N134," - ",'Cable Info'!O134))</f>
        <v/>
      </c>
      <c r="AR430" s="121" t="str">
        <f t="shared" si="126"/>
        <v/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str">
        <f>IF('Cable Info'!N135="","",CONCATENATE('Cable Info'!N135," - ",'Cable Info'!O135))</f>
        <v/>
      </c>
      <c r="AR431" s="121" t="str">
        <f t="shared" si="126"/>
        <v/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str">
        <f>IF('Cable Info'!N136="","",CONCATENATE('Cable Info'!N136," - ",'Cable Info'!O136))</f>
        <v/>
      </c>
      <c r="AR432" s="121" t="str">
        <f t="shared" si="126"/>
        <v/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str">
        <f>IF('Cable Info'!N137="","",CONCATENATE('Cable Info'!N137," - ",'Cable Info'!O137))</f>
        <v/>
      </c>
      <c r="AR433" s="121" t="str">
        <f t="shared" si="126"/>
        <v/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str">
        <f>IF('Cable Info'!N138="","",CONCATENATE('Cable Info'!N138," - ",'Cable Info'!O138))</f>
        <v/>
      </c>
      <c r="AR434" s="121" t="str">
        <f t="shared" si="126"/>
        <v/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str">
        <f>IF('Cable Info'!N139="","",CONCATENATE('Cable Info'!N139," - ",'Cable Info'!O139))</f>
        <v/>
      </c>
      <c r="AR435" s="121" t="str">
        <f t="shared" si="126"/>
        <v/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str">
        <f>IF('Cable Info'!N140="","",CONCATENATE('Cable Info'!N140," - ",'Cable Info'!O140))</f>
        <v/>
      </c>
      <c r="AR436" s="121" t="str">
        <f t="shared" si="126"/>
        <v/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str">
        <f>IF('Cable Info'!N141="","",CONCATENATE('Cable Info'!N141," - ",'Cable Info'!O141))</f>
        <v/>
      </c>
      <c r="AR437" s="121" t="str">
        <f t="shared" si="126"/>
        <v/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str">
        <f>IF('Cable Info'!N142="","",CONCATENATE('Cable Info'!N142," - ",'Cable Info'!O142))</f>
        <v/>
      </c>
      <c r="AR438" s="121" t="str">
        <f t="shared" si="126"/>
        <v/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str">
        <f>IF('Cable Info'!N143="","",CONCATENATE('Cable Info'!N143," - ",'Cable Info'!O143))</f>
        <v/>
      </c>
      <c r="AR439" s="121" t="str">
        <f t="shared" si="126"/>
        <v/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str">
        <f>IF('Cable Info'!N144="","",CONCATENATE('Cable Info'!N144," - ",'Cable Info'!O144))</f>
        <v/>
      </c>
      <c r="AR440" s="121" t="str">
        <f t="shared" si="126"/>
        <v/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str">
        <f>IF('Cable Info'!N145="","",CONCATENATE('Cable Info'!N145," - ",'Cable Info'!O145))</f>
        <v/>
      </c>
      <c r="AR441" s="121" t="str">
        <f t="shared" si="126"/>
        <v/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str">
        <f>IF('Cable Info'!N146="","",CONCATENATE('Cable Info'!N146," - ",'Cable Info'!O146))</f>
        <v/>
      </c>
      <c r="AR442" s="121" t="str">
        <f t="shared" si="126"/>
        <v/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str">
        <f>IF('Cable Info'!N147="","",CONCATENATE('Cable Info'!N147," - ",'Cable Info'!O147))</f>
        <v/>
      </c>
      <c r="AR443" s="121" t="str">
        <f t="shared" si="126"/>
        <v/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str">
        <f>IF('Cable Info'!N148="","",CONCATENATE('Cable Info'!N148," - ",'Cable Info'!O148))</f>
        <v/>
      </c>
      <c r="AR444" s="121" t="str">
        <f t="shared" si="126"/>
        <v/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str">
        <f>IF('Cable Info'!N149="","",CONCATENATE('Cable Info'!N149," - ",'Cable Info'!O149))</f>
        <v/>
      </c>
      <c r="AR445" s="121" t="str">
        <f t="shared" si="126"/>
        <v/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str">
        <f>IF('Cable Info'!N150="","",CONCATENATE('Cable Info'!N150," - ",'Cable Info'!O150))</f>
        <v/>
      </c>
      <c r="AR446" s="121" t="str">
        <f t="shared" si="126"/>
        <v/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str">
        <f>IF('Cable Info'!N151="","",CONCATENATE('Cable Info'!N151," - ",'Cable Info'!O151))</f>
        <v/>
      </c>
      <c r="AR447" s="121" t="str">
        <f t="shared" si="126"/>
        <v/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str">
        <f>IF('Cable Info'!N152="","",CONCATENATE('Cable Info'!N152," - ",'Cable Info'!O152))</f>
        <v/>
      </c>
      <c r="AR448" s="121" t="str">
        <f t="shared" si="126"/>
        <v/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str">
        <f>IF('Cable Info'!N153="","",CONCATENATE('Cable Info'!N153," - ",'Cable Info'!O153))</f>
        <v/>
      </c>
      <c r="AR449" s="121" t="str">
        <f t="shared" si="126"/>
        <v/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str">
        <f>IF('Cable Info'!N154="","",CONCATENATE('Cable Info'!N154," - ",'Cable Info'!O154))</f>
        <v/>
      </c>
      <c r="AR450" s="121" t="str">
        <f t="shared" si="126"/>
        <v/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str">
        <f>IF('Cable Info'!N155="","",CONCATENATE('Cable Info'!N155," - ",'Cable Info'!O155))</f>
        <v/>
      </c>
      <c r="AR451" s="121" t="str">
        <f t="shared" si="126"/>
        <v/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str">
        <f>IF('Cable Info'!N156="","",CONCATENATE('Cable Info'!N156," - ",'Cable Info'!O156))</f>
        <v/>
      </c>
      <c r="AR452" s="121" t="str">
        <f t="shared" si="126"/>
        <v/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str">
        <f>IF('Cable Info'!N157="","",CONCATENATE('Cable Info'!N157," - ",'Cable Info'!O157))</f>
        <v/>
      </c>
      <c r="AR453" s="121" t="str">
        <f t="shared" si="126"/>
        <v/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str">
        <f>IF('Cable Info'!N158="","",CONCATENATE('Cable Info'!N158," - ",'Cable Info'!O158))</f>
        <v/>
      </c>
      <c r="AR454" s="121" t="str">
        <f t="shared" si="126"/>
        <v/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str">
        <f>IF('Cable Info'!N159="","",CONCATENATE('Cable Info'!N159," - ",'Cable Info'!O159))</f>
        <v/>
      </c>
      <c r="AR455" s="121" t="str">
        <f t="shared" si="126"/>
        <v/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str">
        <f>IF('Cable Info'!N160="","",CONCATENATE('Cable Info'!N160," - ",'Cable Info'!O160))</f>
        <v/>
      </c>
      <c r="AR456" s="121" t="str">
        <f t="shared" si="126"/>
        <v/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str">
        <f>IF('Cable Info'!N161="","",CONCATENATE('Cable Info'!N161," - ",'Cable Info'!O161))</f>
        <v/>
      </c>
      <c r="AR457" s="121" t="str">
        <f t="shared" si="126"/>
        <v/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str">
        <f>IF('Cable Info'!N162="","",CONCATENATE('Cable Info'!N162," - ",'Cable Info'!O162))</f>
        <v/>
      </c>
      <c r="AR458" s="121" t="str">
        <f t="shared" si="126"/>
        <v/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str">
        <f>IF('Cable Info'!N163="","",CONCATENATE('Cable Info'!N163," - ",'Cable Info'!O163))</f>
        <v/>
      </c>
      <c r="AR459" s="121" t="str">
        <f t="shared" si="126"/>
        <v/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str">
        <f>IF('Cable Info'!N164="","",CONCATENATE('Cable Info'!N164," - ",'Cable Info'!O164))</f>
        <v/>
      </c>
      <c r="AR460" s="121" t="str">
        <f t="shared" si="126"/>
        <v/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str">
        <f>IF('Cable Info'!N165="","",CONCATENATE('Cable Info'!N165," - ",'Cable Info'!O165))</f>
        <v/>
      </c>
      <c r="AR461" s="121" t="str">
        <f t="shared" si="126"/>
        <v/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str">
        <f>IF('Cable Info'!N166="","",CONCATENATE('Cable Info'!N166," - ",'Cable Info'!O166))</f>
        <v/>
      </c>
      <c r="AR462" s="121" t="str">
        <f t="shared" si="126"/>
        <v/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str">
        <f>IF('Cable Info'!N167="","",CONCATENATE('Cable Info'!N167," - ",'Cable Info'!O167))</f>
        <v/>
      </c>
      <c r="AR463" s="121" t="str">
        <f t="shared" si="126"/>
        <v/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str">
        <f>IF('Cable Info'!N168="","",CONCATENATE('Cable Info'!N168," - ",'Cable Info'!O168))</f>
        <v/>
      </c>
      <c r="AR464" s="121" t="str">
        <f t="shared" si="126"/>
        <v/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str">
        <f>IF('Cable Info'!N169="","",CONCATENATE('Cable Info'!N169," - ",'Cable Info'!O169))</f>
        <v/>
      </c>
      <c r="AR465" s="121" t="str">
        <f t="shared" si="126"/>
        <v/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str">
        <f>IF('Cable Info'!N170="","",CONCATENATE('Cable Info'!N170," - ",'Cable Info'!O170))</f>
        <v/>
      </c>
      <c r="AR466" s="121" t="str">
        <f t="shared" si="126"/>
        <v/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str">
        <f>IF('Cable Info'!N171="","",CONCATENATE('Cable Info'!N171," - ",'Cable Info'!O171))</f>
        <v/>
      </c>
      <c r="AR467" s="121" t="str">
        <f t="shared" si="126"/>
        <v/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str">
        <f>IF('Cable Info'!N172="","",CONCATENATE('Cable Info'!N172," - ",'Cable Info'!O172))</f>
        <v/>
      </c>
      <c r="AR468" s="121" t="str">
        <f t="shared" si="126"/>
        <v/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str">
        <f>IF('Cable Info'!N173="","",CONCATENATE('Cable Info'!N173," - ",'Cable Info'!O173))</f>
        <v/>
      </c>
      <c r="AR469" s="121" t="str">
        <f t="shared" si="126"/>
        <v/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str">
        <f>IF('Cable Info'!N174="","",CONCATENATE('Cable Info'!N174," - ",'Cable Info'!O174))</f>
        <v/>
      </c>
      <c r="AR470" s="121" t="str">
        <f t="shared" si="126"/>
        <v/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str">
        <f>IF('Cable Info'!N175="","",CONCATENATE('Cable Info'!N175," - ",'Cable Info'!O175))</f>
        <v/>
      </c>
      <c r="AR471" s="121" t="str">
        <f t="shared" si="126"/>
        <v/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str">
        <f>IF('Cable Info'!N176="","",CONCATENATE('Cable Info'!N176," - ",'Cable Info'!O176))</f>
        <v/>
      </c>
      <c r="AR472" s="121" t="str">
        <f t="shared" si="126"/>
        <v/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str">
        <f>IF('Cable Info'!N177="","",CONCATENATE('Cable Info'!N177," - ",'Cable Info'!O177))</f>
        <v/>
      </c>
      <c r="AR473" s="121" t="str">
        <f t="shared" si="126"/>
        <v/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str">
        <f>IF('Cable Info'!N178="","",CONCATENATE('Cable Info'!N178," - ",'Cable Info'!O178))</f>
        <v/>
      </c>
      <c r="AR474" s="121" t="str">
        <f t="shared" si="126"/>
        <v/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str">
        <f>IF('Cable Info'!N179="","",CONCATENATE('Cable Info'!N179," - ",'Cable Info'!O179))</f>
        <v/>
      </c>
      <c r="AR475" s="121" t="str">
        <f t="shared" si="126"/>
        <v/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str">
        <f>IF('Cable Info'!N180="","",CONCATENATE('Cable Info'!N180," - ",'Cable Info'!O180))</f>
        <v/>
      </c>
      <c r="AR476" s="121" t="str">
        <f t="shared" si="126"/>
        <v/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str">
        <f>IF('Cable Info'!N181="","",CONCATENATE('Cable Info'!N181," - ",'Cable Info'!O181))</f>
        <v/>
      </c>
      <c r="AR477" s="121" t="str">
        <f t="shared" si="126"/>
        <v/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str">
        <f>IF('Cable Info'!N182="","",CONCATENATE('Cable Info'!N182," - ",'Cable Info'!O182))</f>
        <v/>
      </c>
      <c r="AR478" s="121" t="str">
        <f t="shared" si="126"/>
        <v/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str">
        <f>IF('Cable Info'!N183="","",CONCATENATE('Cable Info'!N183," - ",'Cable Info'!O183))</f>
        <v/>
      </c>
      <c r="AR479" s="121" t="str">
        <f t="shared" si="126"/>
        <v/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str">
        <f>IF('Cable Info'!N184="","",CONCATENATE('Cable Info'!N184," - ",'Cable Info'!O184))</f>
        <v/>
      </c>
      <c r="AR480" s="121" t="str">
        <f t="shared" si="126"/>
        <v/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str">
        <f>IF('Cable Info'!N185="","",CONCATENATE('Cable Info'!N185," - ",'Cable Info'!O185))</f>
        <v/>
      </c>
      <c r="AR481" s="121" t="str">
        <f t="shared" si="126"/>
        <v/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str">
        <f>IF('Cable Info'!N186="","",CONCATENATE('Cable Info'!N186," - ",'Cable Info'!O186))</f>
        <v/>
      </c>
      <c r="AR482" s="121" t="str">
        <f t="shared" si="126"/>
        <v/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str">
        <f>IF('Cable Info'!N187="","",CONCATENATE('Cable Info'!N187," - ",'Cable Info'!O187))</f>
        <v/>
      </c>
      <c r="AR483" s="121" t="str">
        <f t="shared" si="126"/>
        <v/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str">
        <f>IF('Cable Info'!N188="","",CONCATENATE('Cable Info'!N188," - ",'Cable Info'!O188))</f>
        <v/>
      </c>
      <c r="AR484" s="121" t="str">
        <f t="shared" si="126"/>
        <v/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str">
        <f>IF('Cable Info'!N189="","",CONCATENATE('Cable Info'!N189," - ",'Cable Info'!O189))</f>
        <v/>
      </c>
      <c r="AR485" s="121" t="str">
        <f t="shared" si="126"/>
        <v/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str">
        <f>IF('Cable Info'!N190="","",CONCATENATE('Cable Info'!N190," - ",'Cable Info'!O190))</f>
        <v/>
      </c>
      <c r="AR486" s="121" t="str">
        <f t="shared" si="126"/>
        <v/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str">
        <f>IF('Cable Info'!N191="","",CONCATENATE('Cable Info'!N191," - ",'Cable Info'!O191))</f>
        <v/>
      </c>
      <c r="AR487" s="121" t="str">
        <f t="shared" si="126"/>
        <v/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str">
        <f>IF('Cable Info'!N192="","",CONCATENATE('Cable Info'!N192," - ",'Cable Info'!O192))</f>
        <v/>
      </c>
      <c r="AR488" s="121" t="str">
        <f t="shared" si="126"/>
        <v/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str">
        <f>IF('Cable Info'!N193="","",CONCATENATE('Cable Info'!N193," - ",'Cable Info'!O193))</f>
        <v/>
      </c>
      <c r="AR489" s="121" t="str">
        <f t="shared" si="126"/>
        <v/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str">
        <f>IF('Cable Info'!N194="","",CONCATENATE('Cable Info'!N194," - ",'Cable Info'!O194))</f>
        <v/>
      </c>
      <c r="AR490" s="121" t="str">
        <f t="shared" si="126"/>
        <v/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str">
        <f>IF('Cable Info'!N195="","",CONCATENATE('Cable Info'!N195," - ",'Cable Info'!O195))</f>
        <v/>
      </c>
      <c r="AR491" s="121" t="str">
        <f t="shared" ref="AR491:AR554" si="132">IF(AP491="",AO491,CONCATENATE(AO491,"  &lt;=&gt; ",AP491," ",AQ491))</f>
        <v/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str">
        <f>IF('Cable Info'!N196="","",CONCATENATE('Cable Info'!N196," - ",'Cable Info'!O196))</f>
        <v/>
      </c>
      <c r="AR492" s="121" t="str">
        <f t="shared" si="132"/>
        <v/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str">
        <f>IF('Cable Info'!N197="","",CONCATENATE('Cable Info'!N197," - ",'Cable Info'!O197))</f>
        <v/>
      </c>
      <c r="AR493" s="121" t="str">
        <f t="shared" si="132"/>
        <v/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str">
        <f>IF('Cable Info'!N198="","",CONCATENATE('Cable Info'!N198," - ",'Cable Info'!O198))</f>
        <v/>
      </c>
      <c r="AR494" s="121" t="str">
        <f t="shared" si="132"/>
        <v/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str">
        <f>IF('Cable Info'!N199="","",CONCATENATE('Cable Info'!N199," - ",'Cable Info'!O199))</f>
        <v/>
      </c>
      <c r="AR495" s="121" t="str">
        <f t="shared" si="132"/>
        <v/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str">
        <f>IF('Cable Info'!N200="","",CONCATENATE('Cable Info'!N200," - ",'Cable Info'!O200))</f>
        <v/>
      </c>
      <c r="AR496" s="121" t="str">
        <f t="shared" si="132"/>
        <v/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str">
        <f>IF('Cable Info'!N201="","",CONCATENATE('Cable Info'!N201," - ",'Cable Info'!O201))</f>
        <v/>
      </c>
      <c r="AR497" s="121" t="str">
        <f t="shared" si="132"/>
        <v/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str">
        <f>IF('Cable Info'!N202="","",CONCATENATE('Cable Info'!N202," - ",'Cable Info'!O202))</f>
        <v/>
      </c>
      <c r="AR498" s="121" t="str">
        <f t="shared" si="132"/>
        <v/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str">
        <f>IF('Cable Info'!N203="","",CONCATENATE('Cable Info'!N203," - ",'Cable Info'!O203))</f>
        <v/>
      </c>
      <c r="AR499" s="121" t="str">
        <f t="shared" si="132"/>
        <v/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str">
        <f>IF('Cable Info'!N204="","",CONCATENATE('Cable Info'!N204," - ",'Cable Info'!O204))</f>
        <v/>
      </c>
      <c r="AR500" s="121" t="str">
        <f t="shared" si="132"/>
        <v/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str">
        <f>IF('Cable Info'!N205="","",CONCATENATE('Cable Info'!N205," - ",'Cable Info'!O205))</f>
        <v/>
      </c>
      <c r="AR501" s="121" t="str">
        <f t="shared" si="132"/>
        <v/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str">
        <f>IF('Cable Info'!N206="","",CONCATENATE('Cable Info'!N206," - ",'Cable Info'!O206))</f>
        <v/>
      </c>
      <c r="AR502" s="121" t="str">
        <f t="shared" si="132"/>
        <v/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str">
        <f>IF('Cable Info'!N207="","",CONCATENATE('Cable Info'!N207," - ",'Cable Info'!O207))</f>
        <v/>
      </c>
      <c r="AR503" s="121" t="str">
        <f t="shared" si="132"/>
        <v/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str">
        <f>IF('Cable Info'!N208="","",CONCATENATE('Cable Info'!N208," - ",'Cable Info'!O208))</f>
        <v/>
      </c>
      <c r="AR504" s="121" t="str">
        <f t="shared" si="132"/>
        <v/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str">
        <f>IF('Cable Info'!N209="","",CONCATENATE('Cable Info'!N209," - ",'Cable Info'!O209))</f>
        <v/>
      </c>
      <c r="AR505" s="121" t="str">
        <f t="shared" si="132"/>
        <v/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str">
        <f>IF('Cable Info'!N210="","",CONCATENATE('Cable Info'!N210," - ",'Cable Info'!O210))</f>
        <v/>
      </c>
      <c r="AR506" s="121" t="str">
        <f t="shared" si="132"/>
        <v/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str">
        <f>IF('Cable Info'!N211="","",CONCATENATE('Cable Info'!N211," - ",'Cable Info'!O211))</f>
        <v/>
      </c>
      <c r="AR507" s="121" t="str">
        <f t="shared" si="132"/>
        <v/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str">
        <f>IF('Cable Info'!N212="","",CONCATENATE('Cable Info'!N212," - ",'Cable Info'!O212))</f>
        <v/>
      </c>
      <c r="AR508" s="121" t="str">
        <f t="shared" si="132"/>
        <v/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str">
        <f>IF('Cable Info'!N213="","",CONCATENATE('Cable Info'!N213," - ",'Cable Info'!O213))</f>
        <v/>
      </c>
      <c r="AR509" s="121" t="str">
        <f t="shared" si="132"/>
        <v/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str">
        <f>IF('Cable Info'!N214="","",CONCATENATE('Cable Info'!N214," - ",'Cable Info'!O214))</f>
        <v/>
      </c>
      <c r="AR510" s="121" t="str">
        <f t="shared" si="132"/>
        <v/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str">
        <f>IF('Cable Info'!N215="","",CONCATENATE('Cable Info'!N215," - ",'Cable Info'!O215))</f>
        <v/>
      </c>
      <c r="AR511" s="121" t="str">
        <f t="shared" si="132"/>
        <v/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str">
        <f>IF('Cable Info'!N216="","",CONCATENATE('Cable Info'!N216," - ",'Cable Info'!O216))</f>
        <v/>
      </c>
      <c r="AR512" s="121" t="str">
        <f t="shared" si="132"/>
        <v/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str">
        <f>IF('Cable Info'!N217="","",CONCATENATE('Cable Info'!N217," - ",'Cable Info'!O217))</f>
        <v/>
      </c>
      <c r="AR513" s="121" t="str">
        <f t="shared" si="132"/>
        <v/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str">
        <f>IF('Cable Info'!N218="","",CONCATENATE('Cable Info'!N218," - ",'Cable Info'!O218))</f>
        <v/>
      </c>
      <c r="AR514" s="121" t="str">
        <f t="shared" si="132"/>
        <v/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str">
        <f>IF('Cable Info'!N219="","",CONCATENATE('Cable Info'!N219," - ",'Cable Info'!O219))</f>
        <v/>
      </c>
      <c r="AR515" s="121" t="str">
        <f t="shared" si="132"/>
        <v/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str">
        <f>IF('Cable Info'!N220="","",CONCATENATE('Cable Info'!N220," - ",'Cable Info'!O220))</f>
        <v/>
      </c>
      <c r="AR516" s="121" t="str">
        <f t="shared" si="132"/>
        <v/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str">
        <f>IF('Cable Info'!N221="","",CONCATENATE('Cable Info'!N221," - ",'Cable Info'!O221))</f>
        <v/>
      </c>
      <c r="AR517" s="121" t="str">
        <f t="shared" si="132"/>
        <v/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str">
        <f>IF('Cable Info'!N222="","",CONCATENATE('Cable Info'!N222," - ",'Cable Info'!O222))</f>
        <v/>
      </c>
      <c r="AR518" s="121" t="str">
        <f t="shared" si="132"/>
        <v/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str">
        <f>IF('Cable Info'!N223="","",CONCATENATE('Cable Info'!N223," - ",'Cable Info'!O223))</f>
        <v/>
      </c>
      <c r="AR519" s="121" t="str">
        <f t="shared" si="132"/>
        <v/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str">
        <f>IF('Cable Info'!N224="","",CONCATENATE('Cable Info'!N224," - ",'Cable Info'!O224))</f>
        <v/>
      </c>
      <c r="AR520" s="121" t="str">
        <f t="shared" si="132"/>
        <v/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str">
        <f>IF('Cable Info'!N225="","",CONCATENATE('Cable Info'!N225," - ",'Cable Info'!O225))</f>
        <v/>
      </c>
      <c r="AR521" s="121" t="str">
        <f t="shared" si="132"/>
        <v/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str">
        <f>IF('Cable Info'!N226="","",CONCATENATE('Cable Info'!N226," - ",'Cable Info'!O226))</f>
        <v/>
      </c>
      <c r="AR522" s="121" t="str">
        <f t="shared" si="132"/>
        <v/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str">
        <f>IF('Cable Info'!N227="","",CONCATENATE('Cable Info'!N227," - ",'Cable Info'!O227))</f>
        <v/>
      </c>
      <c r="AR523" s="121" t="str">
        <f t="shared" si="132"/>
        <v/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str">
        <f>IF('Cable Info'!N228="","",CONCATENATE('Cable Info'!N228," - ",'Cable Info'!O228))</f>
        <v/>
      </c>
      <c r="AR524" s="121" t="str">
        <f t="shared" si="132"/>
        <v/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str">
        <f>IF('Cable Info'!N229="","",CONCATENATE('Cable Info'!N229," - ",'Cable Info'!O229))</f>
        <v/>
      </c>
      <c r="AR525" s="121" t="str">
        <f t="shared" si="132"/>
        <v/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str">
        <f>IF('Cable Info'!N230="","",CONCATENATE('Cable Info'!N230," - ",'Cable Info'!O230))</f>
        <v/>
      </c>
      <c r="AR526" s="121" t="str">
        <f t="shared" si="132"/>
        <v/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str">
        <f>IF('Cable Info'!N231="","",CONCATENATE('Cable Info'!N231," - ",'Cable Info'!O231))</f>
        <v/>
      </c>
      <c r="AR527" s="121" t="str">
        <f t="shared" si="132"/>
        <v/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str">
        <f>IF('Cable Info'!N232="","",CONCATENATE('Cable Info'!N232," - ",'Cable Info'!O232))</f>
        <v/>
      </c>
      <c r="AR528" s="121" t="str">
        <f t="shared" si="132"/>
        <v/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str">
        <f>IF('Cable Info'!N233="","",CONCATENATE('Cable Info'!N233," - ",'Cable Info'!O233))</f>
        <v/>
      </c>
      <c r="AR529" s="121" t="str">
        <f t="shared" si="132"/>
        <v/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str">
        <f>IF('Cable Info'!N234="","",CONCATENATE('Cable Info'!N234," - ",'Cable Info'!O234))</f>
        <v/>
      </c>
      <c r="AR530" s="121" t="str">
        <f t="shared" si="132"/>
        <v/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str">
        <f>IF('Cable Info'!N235="","",CONCATENATE('Cable Info'!N235," - ",'Cable Info'!O235))</f>
        <v/>
      </c>
      <c r="AR531" s="121" t="str">
        <f t="shared" si="132"/>
        <v/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str">
        <f>IF('Cable Info'!N236="","",CONCATENATE('Cable Info'!N236," - ",'Cable Info'!O236))</f>
        <v/>
      </c>
      <c r="AR532" s="121" t="str">
        <f t="shared" si="132"/>
        <v/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str">
        <f>IF('Cable Info'!N237="","",CONCATENATE('Cable Info'!N237," - ",'Cable Info'!O237))</f>
        <v/>
      </c>
      <c r="AR533" s="121" t="str">
        <f t="shared" si="132"/>
        <v/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str">
        <f>IF('Cable Info'!N238="","",CONCATENATE('Cable Info'!N238," - ",'Cable Info'!O238))</f>
        <v/>
      </c>
      <c r="AR534" s="121" t="str">
        <f t="shared" si="132"/>
        <v/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str">
        <f>IF('Cable Info'!N239="","",CONCATENATE('Cable Info'!N239," - ",'Cable Info'!O239))</f>
        <v/>
      </c>
      <c r="AR535" s="121" t="str">
        <f t="shared" si="132"/>
        <v/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str">
        <f>IF('Cable Info'!N240="","",CONCATENATE('Cable Info'!N240," - ",'Cable Info'!O240))</f>
        <v/>
      </c>
      <c r="AR536" s="121" t="str">
        <f t="shared" si="132"/>
        <v/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str">
        <f>IF('Cable Info'!N241="","",CONCATENATE('Cable Info'!N241," - ",'Cable Info'!O241))</f>
        <v/>
      </c>
      <c r="AR537" s="121" t="str">
        <f t="shared" si="132"/>
        <v/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str">
        <f>IF('Cable Info'!N242="","",CONCATENATE('Cable Info'!N242," - ",'Cable Info'!O242))</f>
        <v/>
      </c>
      <c r="AR538" s="121" t="str">
        <f t="shared" si="132"/>
        <v/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str">
        <f>IF('Cable Info'!N243="","",CONCATENATE('Cable Info'!N243," - ",'Cable Info'!O243))</f>
        <v/>
      </c>
      <c r="AR539" s="121" t="str">
        <f t="shared" si="132"/>
        <v/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str">
        <f>IF('Cable Info'!N244="","",CONCATENATE('Cable Info'!N244," - ",'Cable Info'!O244))</f>
        <v/>
      </c>
      <c r="AR540" s="121" t="str">
        <f t="shared" si="132"/>
        <v/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str">
        <f>IF('Cable Info'!N245="","",CONCATENATE('Cable Info'!N245," - ",'Cable Info'!O245))</f>
        <v/>
      </c>
      <c r="AR541" s="121" t="str">
        <f t="shared" si="132"/>
        <v/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str">
        <f>IF('Cable Info'!N246="","",CONCATENATE('Cable Info'!N246," - ",'Cable Info'!O246))</f>
        <v/>
      </c>
      <c r="AR542" s="121" t="str">
        <f t="shared" si="132"/>
        <v/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str">
        <f>IF('Cable Info'!N247="","",CONCATENATE('Cable Info'!N247," - ",'Cable Info'!O247))</f>
        <v/>
      </c>
      <c r="AR543" s="121" t="str">
        <f t="shared" si="132"/>
        <v/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str">
        <f>IF('Cable Info'!N248="","",CONCATENATE('Cable Info'!N248," - ",'Cable Info'!O248))</f>
        <v/>
      </c>
      <c r="AR544" s="121" t="str">
        <f t="shared" si="132"/>
        <v/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str">
        <f>IF('Cable Info'!N249="","",CONCATENATE('Cable Info'!N249," - ",'Cable Info'!O249))</f>
        <v/>
      </c>
      <c r="AR545" s="121" t="str">
        <f t="shared" si="132"/>
        <v/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str">
        <f>IF('Cable Info'!N250="","",CONCATENATE('Cable Info'!N250," - ",'Cable Info'!O250))</f>
        <v/>
      </c>
      <c r="AR546" s="121" t="str">
        <f t="shared" si="132"/>
        <v/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str">
        <f>IF('Cable Info'!N251="","",CONCATENATE('Cable Info'!N251," - ",'Cable Info'!O251))</f>
        <v/>
      </c>
      <c r="AR547" s="121" t="str">
        <f t="shared" si="132"/>
        <v/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str">
        <f>IF('Cable Info'!N252="","",CONCATENATE('Cable Info'!N252," - ",'Cable Info'!O252))</f>
        <v/>
      </c>
      <c r="AR548" s="121" t="str">
        <f t="shared" si="132"/>
        <v/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str">
        <f>IF('Cable Info'!N253="","",CONCATENATE('Cable Info'!N253," - ",'Cable Info'!O253))</f>
        <v/>
      </c>
      <c r="AR549" s="121" t="str">
        <f t="shared" si="132"/>
        <v/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str">
        <f>IF('Cable Info'!N254="","",CONCATENATE('Cable Info'!N254," - ",'Cable Info'!O254))</f>
        <v/>
      </c>
      <c r="AR550" s="121" t="str">
        <f t="shared" si="132"/>
        <v/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str">
        <f>IF('Cable Info'!N255="","",CONCATENATE('Cable Info'!N255," - ",'Cable Info'!O255))</f>
        <v/>
      </c>
      <c r="AR551" s="121" t="str">
        <f t="shared" si="132"/>
        <v/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str">
        <f>IF('Cable Info'!N256="","",CONCATENATE('Cable Info'!N256," - ",'Cable Info'!O256))</f>
        <v/>
      </c>
      <c r="AR552" s="121" t="str">
        <f t="shared" si="132"/>
        <v/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str">
        <f>IF('Cable Info'!N257="","",CONCATENATE('Cable Info'!N257," - ",'Cable Info'!O257))</f>
        <v/>
      </c>
      <c r="AR553" s="121" t="str">
        <f t="shared" si="132"/>
        <v/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str">
        <f>IF('Cable Info'!N258="","",CONCATENATE('Cable Info'!N258," - ",'Cable Info'!O258))</f>
        <v/>
      </c>
      <c r="AR554" s="121" t="str">
        <f t="shared" si="132"/>
        <v/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str">
        <f>IF('Cable Info'!N259="","",CONCATENATE('Cable Info'!N259," - ",'Cable Info'!O259))</f>
        <v/>
      </c>
      <c r="AR555" s="121" t="str">
        <f t="shared" ref="AR555:AR618" si="138">IF(AP555="",AO555,CONCATENATE(AO555,"  &lt;=&gt; ",AP555," ",AQ555))</f>
        <v/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str">
        <f>IF('Cable Info'!N260="","",CONCATENATE('Cable Info'!N260," - ",'Cable Info'!O260))</f>
        <v/>
      </c>
      <c r="AR556" s="121" t="str">
        <f t="shared" si="138"/>
        <v/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str">
        <f>IF('Cable Info'!N261="","",CONCATENATE('Cable Info'!N261," - ",'Cable Info'!O261))</f>
        <v/>
      </c>
      <c r="AR557" s="121" t="str">
        <f t="shared" si="138"/>
        <v/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str">
        <f>IF('Cable Info'!N262="","",CONCATENATE('Cable Info'!N262," - ",'Cable Info'!O262))</f>
        <v/>
      </c>
      <c r="AR558" s="121" t="str">
        <f t="shared" si="138"/>
        <v/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str">
        <f>IF('Cable Info'!N263="","",CONCATENATE('Cable Info'!N263," - ",'Cable Info'!O263))</f>
        <v/>
      </c>
      <c r="AR559" s="121" t="str">
        <f t="shared" si="138"/>
        <v/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str">
        <f>IF('Cable Info'!N264="","",CONCATENATE('Cable Info'!N264," - ",'Cable Info'!O264))</f>
        <v/>
      </c>
      <c r="AR560" s="121" t="str">
        <f t="shared" si="138"/>
        <v/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str">
        <f>IF('Cable Info'!N265="","",CONCATENATE('Cable Info'!N265," - ",'Cable Info'!O265))</f>
        <v/>
      </c>
      <c r="AR561" s="121" t="str">
        <f t="shared" si="138"/>
        <v/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str">
        <f>IF('Cable Info'!N266="","",CONCATENATE('Cable Info'!N266," - ",'Cable Info'!O266))</f>
        <v/>
      </c>
      <c r="AR562" s="121" t="str">
        <f t="shared" si="138"/>
        <v/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str">
        <f>IF('Cable Info'!N267="","",CONCATENATE('Cable Info'!N267," - ",'Cable Info'!O267))</f>
        <v/>
      </c>
      <c r="AR563" s="121" t="str">
        <f t="shared" si="138"/>
        <v/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str">
        <f>IF('Cable Info'!N268="","",CONCATENATE('Cable Info'!N268," - ",'Cable Info'!O268))</f>
        <v/>
      </c>
      <c r="AR564" s="121" t="str">
        <f t="shared" si="138"/>
        <v/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str">
        <f>IF('Cable Info'!N269="","",CONCATENATE('Cable Info'!N269," - ",'Cable Info'!O269))</f>
        <v/>
      </c>
      <c r="AR565" s="121" t="str">
        <f t="shared" si="138"/>
        <v/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str">
        <f>IF('Cable Info'!N270="","",CONCATENATE('Cable Info'!N270," - ",'Cable Info'!O270))</f>
        <v/>
      </c>
      <c r="AR566" s="121" t="str">
        <f t="shared" si="138"/>
        <v/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str">
        <f>IF('Cable Info'!N271="","",CONCATENATE('Cable Info'!N271," - ",'Cable Info'!O271))</f>
        <v/>
      </c>
      <c r="AR567" s="121" t="str">
        <f t="shared" si="138"/>
        <v/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str">
        <f>IF('Cable Info'!N272="","",CONCATENATE('Cable Info'!N272," - ",'Cable Info'!O272))</f>
        <v/>
      </c>
      <c r="AR568" s="121" t="str">
        <f t="shared" si="138"/>
        <v/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str">
        <f>IF('Cable Info'!N273="","",CONCATENATE('Cable Info'!N273," - ",'Cable Info'!O273))</f>
        <v/>
      </c>
      <c r="AR569" s="121" t="str">
        <f t="shared" si="138"/>
        <v/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str">
        <f>IF('Cable Info'!N274="","",CONCATENATE('Cable Info'!N274," - ",'Cable Info'!O274))</f>
        <v/>
      </c>
      <c r="AR570" s="121" t="str">
        <f t="shared" si="138"/>
        <v/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str">
        <f>IF('Cable Info'!N275="","",CONCATENATE('Cable Info'!N275," - ",'Cable Info'!O275))</f>
        <v/>
      </c>
      <c r="AR571" s="121" t="str">
        <f t="shared" si="138"/>
        <v/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str">
        <f>IF('Cable Info'!N276="","",CONCATENATE('Cable Info'!N276," - ",'Cable Info'!O276))</f>
        <v/>
      </c>
      <c r="AR572" s="121" t="str">
        <f t="shared" si="138"/>
        <v/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str">
        <f>IF('Cable Info'!N277="","",CONCATENATE('Cable Info'!N277," - ",'Cable Info'!O277))</f>
        <v/>
      </c>
      <c r="AR573" s="121" t="str">
        <f t="shared" si="138"/>
        <v/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str">
        <f>IF('Cable Info'!N278="","",CONCATENATE('Cable Info'!N278," - ",'Cable Info'!O278))</f>
        <v/>
      </c>
      <c r="AR574" s="121" t="str">
        <f t="shared" si="138"/>
        <v/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str">
        <f>IF('Cable Info'!N279="","",CONCATENATE('Cable Info'!N279," - ",'Cable Info'!O279))</f>
        <v/>
      </c>
      <c r="AR575" s="121" t="str">
        <f t="shared" si="138"/>
        <v/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str">
        <f>IF('Cable Info'!N280="","",CONCATENATE('Cable Info'!N280," - ",'Cable Info'!O280))</f>
        <v/>
      </c>
      <c r="AR576" s="121" t="str">
        <f t="shared" si="138"/>
        <v/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str">
        <f>IF('Cable Info'!N281="","",CONCATENATE('Cable Info'!N281," - ",'Cable Info'!O281))</f>
        <v/>
      </c>
      <c r="AR577" s="121" t="str">
        <f t="shared" si="138"/>
        <v/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str">
        <f>IF('Cable Info'!N282="","",CONCATENATE('Cable Info'!N282," - ",'Cable Info'!O282))</f>
        <v/>
      </c>
      <c r="AR578" s="121" t="str">
        <f t="shared" si="138"/>
        <v/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str">
        <f>IF('Cable Info'!N283="","",CONCATENATE('Cable Info'!N283," - ",'Cable Info'!O283))</f>
        <v/>
      </c>
      <c r="AR579" s="121" t="str">
        <f t="shared" si="138"/>
        <v/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str">
        <f>IF('Cable Info'!N284="","",CONCATENATE('Cable Info'!N284," - ",'Cable Info'!O284))</f>
        <v/>
      </c>
      <c r="AR580" s="121" t="str">
        <f t="shared" si="138"/>
        <v/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str">
        <f>IF('Cable Info'!N285="","",CONCATENATE('Cable Info'!N285," - ",'Cable Info'!O285))</f>
        <v/>
      </c>
      <c r="AR581" s="121" t="str">
        <f t="shared" si="138"/>
        <v/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str">
        <f>IF('Cable Info'!N286="","",CONCATENATE('Cable Info'!N286," - ",'Cable Info'!O286))</f>
        <v/>
      </c>
      <c r="AR582" s="121" t="str">
        <f t="shared" si="138"/>
        <v/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str">
        <f>IF('Cable Info'!N287="","",CONCATENATE('Cable Info'!N287," - ",'Cable Info'!O287))</f>
        <v/>
      </c>
      <c r="AR583" s="121" t="str">
        <f t="shared" si="138"/>
        <v/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str">
        <f>IF('Cable Info'!N288="","",CONCATENATE('Cable Info'!N288," - ",'Cable Info'!O288))</f>
        <v/>
      </c>
      <c r="AR584" s="121" t="str">
        <f t="shared" si="138"/>
        <v/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str">
        <f>IF('Cable Info'!N289="","",CONCATENATE('Cable Info'!N289," - ",'Cable Info'!O289))</f>
        <v/>
      </c>
      <c r="AR585" s="121" t="str">
        <f t="shared" si="138"/>
        <v/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str">
        <f>IF('Cable Info'!N290="","",CONCATENATE('Cable Info'!N290," - ",'Cable Info'!O290))</f>
        <v/>
      </c>
      <c r="AR586" s="121" t="str">
        <f t="shared" si="138"/>
        <v/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str">
        <f>IF('Cable Info'!N291="","",CONCATENATE('Cable Info'!N291," - ",'Cable Info'!O291))</f>
        <v/>
      </c>
      <c r="AR587" s="121" t="str">
        <f t="shared" si="138"/>
        <v/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str">
        <f>IF('Cable Info'!N292="","",CONCATENATE('Cable Info'!N292," - ",'Cable Info'!O292))</f>
        <v/>
      </c>
      <c r="AR588" s="121" t="str">
        <f t="shared" si="138"/>
        <v/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str">
        <f>IF('Cable Info'!N293="","",CONCATENATE('Cable Info'!N293," - ",'Cable Info'!O293))</f>
        <v/>
      </c>
      <c r="AR589" s="121" t="str">
        <f t="shared" si="138"/>
        <v/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str">
        <f>IF('Cable Info'!N294="","",CONCATENATE('Cable Info'!N294," - ",'Cable Info'!O294))</f>
        <v/>
      </c>
      <c r="AR590" s="121" t="str">
        <f t="shared" si="138"/>
        <v/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str">
        <f>IF('Cable Info'!N295="","",CONCATENATE('Cable Info'!N295," - ",'Cable Info'!O295))</f>
        <v/>
      </c>
      <c r="AR591" s="121" t="str">
        <f t="shared" si="138"/>
        <v/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str">
        <f>IF('Cable Info'!N296="","",CONCATENATE('Cable Info'!N296," - ",'Cable Info'!O296))</f>
        <v/>
      </c>
      <c r="AR592" s="121" t="str">
        <f t="shared" si="138"/>
        <v/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str">
        <f>IF('Cable Info'!N297="","",CONCATENATE('Cable Info'!N297," - ",'Cable Info'!O297))</f>
        <v/>
      </c>
      <c r="AR593" s="121" t="str">
        <f t="shared" si="138"/>
        <v/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str">
        <f>IF('Cable Info'!N298="","",CONCATENATE('Cable Info'!N298," - ",'Cable Info'!O298))</f>
        <v/>
      </c>
      <c r="AR594" s="121" t="str">
        <f t="shared" si="138"/>
        <v/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str">
        <f>IF('Cable Info'!N299="","",CONCATENATE('Cable Info'!N299," - ",'Cable Info'!O299))</f>
        <v/>
      </c>
      <c r="AR595" s="121" t="str">
        <f t="shared" si="138"/>
        <v/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str">
        <f>IF('Cable Info'!N300="","",CONCATENATE('Cable Info'!N300," - ",'Cable Info'!O300))</f>
        <v/>
      </c>
      <c r="AR596" s="121" t="str">
        <f t="shared" si="138"/>
        <v/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str">
        <f>IF('Cable Info'!N301="","",CONCATENATE('Cable Info'!N301," - ",'Cable Info'!O301))</f>
        <v/>
      </c>
      <c r="AR597" s="121" t="str">
        <f t="shared" si="138"/>
        <v/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str">
        <f>IF('Cable Info'!N302="","",CONCATENATE('Cable Info'!N302," - ",'Cable Info'!O302))</f>
        <v/>
      </c>
      <c r="AR598" s="121" t="str">
        <f t="shared" si="138"/>
        <v/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str">
        <f>IF('Cable Info'!N303="","",CONCATENATE('Cable Info'!N303," - ",'Cable Info'!O303))</f>
        <v/>
      </c>
      <c r="AR599" s="121" t="str">
        <f t="shared" si="138"/>
        <v/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str">
        <f>IF('Cable Info'!N304="","",CONCATENATE('Cable Info'!N304," - ",'Cable Info'!O304))</f>
        <v/>
      </c>
      <c r="AR600" s="121" t="str">
        <f t="shared" si="138"/>
        <v/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str">
        <f>IF('Cable Info'!N305="","",CONCATENATE('Cable Info'!N305," - ",'Cable Info'!O305))</f>
        <v/>
      </c>
      <c r="AR601" s="121" t="str">
        <f t="shared" si="138"/>
        <v/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str">
        <f>IF('Cable Info'!N306="","",CONCATENATE('Cable Info'!N306," - ",'Cable Info'!O306))</f>
        <v/>
      </c>
      <c r="AR602" s="121" t="str">
        <f t="shared" si="138"/>
        <v/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str">
        <f>IF('Cable Info'!N307="","",CONCATENATE('Cable Info'!N307," - ",'Cable Info'!O307))</f>
        <v/>
      </c>
      <c r="AR603" s="121" t="str">
        <f t="shared" si="138"/>
        <v/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str">
        <f>IF('Cable Info'!N308="","",CONCATENATE('Cable Info'!N308," - ",'Cable Info'!O308))</f>
        <v/>
      </c>
      <c r="AR604" s="121" t="str">
        <f t="shared" si="138"/>
        <v/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str">
        <f>IF('Cable Info'!N309="","",CONCATENATE('Cable Info'!N309," - ",'Cable Info'!O309))</f>
        <v/>
      </c>
      <c r="AR605" s="121" t="str">
        <f t="shared" si="138"/>
        <v/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str">
        <f>IF('Cable Info'!N310="","",CONCATENATE('Cable Info'!N310," - ",'Cable Info'!O310))</f>
        <v/>
      </c>
      <c r="AR606" s="121" t="str">
        <f t="shared" si="138"/>
        <v/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str">
        <f>IF('Cable Info'!N311="","",CONCATENATE('Cable Info'!N311," - ",'Cable Info'!O311))</f>
        <v/>
      </c>
      <c r="AR607" s="121" t="str">
        <f t="shared" si="138"/>
        <v/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str">
        <f>IF('Cable Info'!N312="","",CONCATENATE('Cable Info'!N312," - ",'Cable Info'!O312))</f>
        <v/>
      </c>
      <c r="AR608" s="121" t="str">
        <f t="shared" si="138"/>
        <v/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str">
        <f>IF('Cable Info'!N313="","",CONCATENATE('Cable Info'!N313," - ",'Cable Info'!O313))</f>
        <v/>
      </c>
      <c r="AR609" s="121" t="str">
        <f t="shared" si="138"/>
        <v/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str">
        <f>IF('Cable Info'!N314="","",CONCATENATE('Cable Info'!N314," - ",'Cable Info'!O314))</f>
        <v/>
      </c>
      <c r="AR610" s="121" t="str">
        <f t="shared" si="138"/>
        <v/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str">
        <f>IF('Cable Info'!N315="","",CONCATENATE('Cable Info'!N315," - ",'Cable Info'!O315))</f>
        <v/>
      </c>
      <c r="AR611" s="121" t="str">
        <f t="shared" si="138"/>
        <v/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str">
        <f>IF('Cable Info'!N316="","",CONCATENATE('Cable Info'!N316," - ",'Cable Info'!O316))</f>
        <v/>
      </c>
      <c r="AR612" s="121" t="str">
        <f t="shared" si="138"/>
        <v/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str">
        <f>IF('Cable Info'!N317="","",CONCATENATE('Cable Info'!N317," - ",'Cable Info'!O317))</f>
        <v/>
      </c>
      <c r="AR613" s="121" t="str">
        <f t="shared" si="138"/>
        <v/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str">
        <f>IF('Cable Info'!N318="","",CONCATENATE('Cable Info'!N318," - ",'Cable Info'!O318))</f>
        <v/>
      </c>
      <c r="AR614" s="121" t="str">
        <f t="shared" si="138"/>
        <v/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str">
        <f>IF('Cable Info'!N319="","",CONCATENATE('Cable Info'!N319," - ",'Cable Info'!O319))</f>
        <v/>
      </c>
      <c r="AR615" s="121" t="str">
        <f t="shared" si="138"/>
        <v/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str">
        <f>IF('Cable Info'!N320="","",CONCATENATE('Cable Info'!N320," - ",'Cable Info'!O320))</f>
        <v/>
      </c>
      <c r="AR616" s="121" t="str">
        <f t="shared" si="138"/>
        <v/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str">
        <f>IF('Cable Info'!N321="","",CONCATENATE('Cable Info'!N321," - ",'Cable Info'!O321))</f>
        <v/>
      </c>
      <c r="AR617" s="121" t="str">
        <f t="shared" si="138"/>
        <v/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str">
        <f>IF('Cable Info'!N322="","",CONCATENATE('Cable Info'!N322," - ",'Cable Info'!O322))</f>
        <v/>
      </c>
      <c r="AR618" s="121" t="str">
        <f t="shared" si="138"/>
        <v/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str">
        <f>IF('Cable Info'!N323="","",CONCATENATE('Cable Info'!N323," - ",'Cable Info'!O323))</f>
        <v/>
      </c>
      <c r="AR619" s="121" t="str">
        <f t="shared" ref="AR619:AR682" si="144">IF(AP619="",AO619,CONCATENATE(AO619,"  &lt;=&gt; ",AP619," ",AQ619))</f>
        <v/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str">
        <f>IF('Cable Info'!N324="","",CONCATENATE('Cable Info'!N324," - ",'Cable Info'!O324))</f>
        <v/>
      </c>
      <c r="AR620" s="121" t="str">
        <f t="shared" si="144"/>
        <v/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str">
        <f>IF('Cable Info'!N325="","",CONCATENATE('Cable Info'!N325," - ",'Cable Info'!O325))</f>
        <v/>
      </c>
      <c r="AR621" s="121" t="str">
        <f t="shared" si="144"/>
        <v/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str">
        <f>IF('Cable Info'!N326="","",CONCATENATE('Cable Info'!N326," - ",'Cable Info'!O326))</f>
        <v/>
      </c>
      <c r="AR622" s="121" t="str">
        <f t="shared" si="144"/>
        <v/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str">
        <f>IF('Cable Info'!N327="","",CONCATENATE('Cable Info'!N327," - ",'Cable Info'!O327))</f>
        <v/>
      </c>
      <c r="AR623" s="121" t="str">
        <f t="shared" si="144"/>
        <v/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str">
        <f>IF('Cable Info'!N328="","",CONCATENATE('Cable Info'!N328," - ",'Cable Info'!O328))</f>
        <v/>
      </c>
      <c r="AR624" s="121" t="str">
        <f t="shared" si="144"/>
        <v/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str">
        <f>IF('Cable Info'!N329="","",CONCATENATE('Cable Info'!N329," - ",'Cable Info'!O329))</f>
        <v/>
      </c>
      <c r="AR625" s="121" t="str">
        <f t="shared" si="144"/>
        <v/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str">
        <f>IF('Cable Info'!N330="","",CONCATENATE('Cable Info'!N330," - ",'Cable Info'!O330))</f>
        <v/>
      </c>
      <c r="AR626" s="121" t="str">
        <f t="shared" si="144"/>
        <v/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str">
        <f>IF('Cable Info'!N331="","",CONCATENATE('Cable Info'!N331," - ",'Cable Info'!O331))</f>
        <v/>
      </c>
      <c r="AR627" s="121" t="str">
        <f t="shared" si="144"/>
        <v/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str">
        <f>IF('Cable Info'!N332="","",CONCATENATE('Cable Info'!N332," - ",'Cable Info'!O332))</f>
        <v/>
      </c>
      <c r="AR628" s="121" t="str">
        <f t="shared" si="144"/>
        <v/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str">
        <f>IF('Cable Info'!N333="","",CONCATENATE('Cable Info'!N333," - ",'Cable Info'!O333))</f>
        <v/>
      </c>
      <c r="AR629" s="121" t="str">
        <f t="shared" si="144"/>
        <v/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str">
        <f>IF('Cable Info'!N334="","",CONCATENATE('Cable Info'!N334," - ",'Cable Info'!O334))</f>
        <v/>
      </c>
      <c r="AR630" s="121" t="str">
        <f t="shared" si="144"/>
        <v/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str">
        <f>IF('Cable Info'!N335="","",CONCATENATE('Cable Info'!N335," - ",'Cable Info'!O335))</f>
        <v/>
      </c>
      <c r="AR631" s="121" t="str">
        <f t="shared" si="144"/>
        <v/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str">
        <f>IF('Cable Info'!N336="","",CONCATENATE('Cable Info'!N336," - ",'Cable Info'!O336))</f>
        <v/>
      </c>
      <c r="AR632" s="121" t="str">
        <f t="shared" si="144"/>
        <v/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str">
        <f>IF('Cable Info'!N337="","",CONCATENATE('Cable Info'!N337," - ",'Cable Info'!O337))</f>
        <v/>
      </c>
      <c r="AR633" s="121" t="str">
        <f t="shared" si="144"/>
        <v/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str">
        <f>IF('Cable Info'!N338="","",CONCATENATE('Cable Info'!N338," - ",'Cable Info'!O338))</f>
        <v/>
      </c>
      <c r="AR634" s="121" t="str">
        <f t="shared" si="144"/>
        <v/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str">
        <f>IF('Cable Info'!N339="","",CONCATENATE('Cable Info'!N339," - ",'Cable Info'!O339))</f>
        <v/>
      </c>
      <c r="AR635" s="121" t="str">
        <f t="shared" si="144"/>
        <v/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str">
        <f>IF('Cable Info'!N340="","",CONCATENATE('Cable Info'!N340," - ",'Cable Info'!O340))</f>
        <v/>
      </c>
      <c r="AR636" s="121" t="str">
        <f t="shared" si="144"/>
        <v/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str">
        <f>IF('Cable Info'!N341="","",CONCATENATE('Cable Info'!N341," - ",'Cable Info'!O341))</f>
        <v/>
      </c>
      <c r="AR637" s="121" t="str">
        <f t="shared" si="144"/>
        <v/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str">
        <f>IF('Cable Info'!N342="","",CONCATENATE('Cable Info'!N342," - ",'Cable Info'!O342))</f>
        <v/>
      </c>
      <c r="AR638" s="121" t="str">
        <f t="shared" si="144"/>
        <v/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str">
        <f>IF('Cable Info'!N343="","",CONCATENATE('Cable Info'!N343," - ",'Cable Info'!O343))</f>
        <v/>
      </c>
      <c r="AR639" s="121" t="str">
        <f t="shared" si="144"/>
        <v/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str">
        <f>IF('Cable Info'!N344="","",CONCATENATE('Cable Info'!N344," - ",'Cable Info'!O344))</f>
        <v/>
      </c>
      <c r="AR640" s="121" t="str">
        <f t="shared" si="144"/>
        <v/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str">
        <f>IF('Cable Info'!N345="","",CONCATENATE('Cable Info'!N345," - ",'Cable Info'!O345))</f>
        <v/>
      </c>
      <c r="AR641" s="121" t="str">
        <f t="shared" si="144"/>
        <v/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str">
        <f>IF('Cable Info'!N346="","",CONCATENATE('Cable Info'!N346," - ",'Cable Info'!O346))</f>
        <v/>
      </c>
      <c r="AR642" s="121" t="str">
        <f t="shared" si="144"/>
        <v/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str">
        <f>IF('Cable Info'!N347="","",CONCATENATE('Cable Info'!N347," - ",'Cable Info'!O347))</f>
        <v/>
      </c>
      <c r="AR643" s="121" t="str">
        <f t="shared" si="144"/>
        <v/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str">
        <f>IF('Cable Info'!N348="","",CONCATENATE('Cable Info'!N348," - ",'Cable Info'!O348))</f>
        <v/>
      </c>
      <c r="AR644" s="121" t="str">
        <f t="shared" si="144"/>
        <v/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str">
        <f>IF('Cable Info'!N349="","",CONCATENATE('Cable Info'!N349," - ",'Cable Info'!O349))</f>
        <v/>
      </c>
      <c r="AR645" s="121" t="str">
        <f t="shared" si="144"/>
        <v/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str">
        <f>IF('Cable Info'!N350="","",CONCATENATE('Cable Info'!N350," - ",'Cable Info'!O350))</f>
        <v/>
      </c>
      <c r="AR646" s="121" t="str">
        <f t="shared" si="144"/>
        <v/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str">
        <f>IF('Cable Info'!N351="","",CONCATENATE('Cable Info'!N351," - ",'Cable Info'!O351))</f>
        <v/>
      </c>
      <c r="AR647" s="121" t="str">
        <f t="shared" si="144"/>
        <v/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str">
        <f>IF('Cable Info'!N352="","",CONCATENATE('Cable Info'!N352," - ",'Cable Info'!O352))</f>
        <v/>
      </c>
      <c r="AR648" s="121" t="str">
        <f t="shared" si="144"/>
        <v/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str">
        <f>IF('Cable Info'!N353="","",CONCATENATE('Cable Info'!N353," - ",'Cable Info'!O353))</f>
        <v/>
      </c>
      <c r="AR649" s="121" t="str">
        <f t="shared" si="144"/>
        <v/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str">
        <f>IF('Cable Info'!N354="","",CONCATENATE('Cable Info'!N354," - ",'Cable Info'!O354))</f>
        <v/>
      </c>
      <c r="AR650" s="121" t="str">
        <f t="shared" si="144"/>
        <v/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str">
        <f>IF('Cable Info'!N355="","",CONCATENATE('Cable Info'!N355," - ",'Cable Info'!O355))</f>
        <v/>
      </c>
      <c r="AR651" s="121" t="str">
        <f t="shared" si="144"/>
        <v/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str">
        <f>IF('Cable Info'!N356="","",CONCATENATE('Cable Info'!N356," - ",'Cable Info'!O356))</f>
        <v/>
      </c>
      <c r="AR652" s="121" t="str">
        <f t="shared" si="144"/>
        <v/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str">
        <f>IF('Cable Info'!N357="","",CONCATENATE('Cable Info'!N357," - ",'Cable Info'!O357))</f>
        <v/>
      </c>
      <c r="AR653" s="121" t="str">
        <f t="shared" si="144"/>
        <v/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str">
        <f>IF('Cable Info'!N358="","",CONCATENATE('Cable Info'!N358," - ",'Cable Info'!O358))</f>
        <v/>
      </c>
      <c r="AR654" s="121" t="str">
        <f t="shared" si="144"/>
        <v/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str">
        <f>IF('Cable Info'!N359="","",CONCATENATE('Cable Info'!N359," - ",'Cable Info'!O359))</f>
        <v/>
      </c>
      <c r="AR655" s="121" t="str">
        <f t="shared" si="144"/>
        <v/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str">
        <f>IF('Cable Info'!N360="","",CONCATENATE('Cable Info'!N360," - ",'Cable Info'!O360))</f>
        <v/>
      </c>
      <c r="AR656" s="121" t="str">
        <f t="shared" si="144"/>
        <v/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str">
        <f>IF('Cable Info'!N361="","",CONCATENATE('Cable Info'!N361," - ",'Cable Info'!O361))</f>
        <v/>
      </c>
      <c r="AR657" s="121" t="str">
        <f t="shared" si="144"/>
        <v/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str">
        <f>IF('Cable Info'!N362="","",CONCATENATE('Cable Info'!N362," - ",'Cable Info'!O362))</f>
        <v/>
      </c>
      <c r="AR658" s="121" t="str">
        <f t="shared" si="144"/>
        <v/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str">
        <f>IF('Cable Info'!N363="","",CONCATENATE('Cable Info'!N363," - ",'Cable Info'!O363))</f>
        <v/>
      </c>
      <c r="AR659" s="121" t="str">
        <f t="shared" si="144"/>
        <v/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str">
        <f>IF('Cable Info'!N364="","",CONCATENATE('Cable Info'!N364," - ",'Cable Info'!O364))</f>
        <v/>
      </c>
      <c r="AR660" s="121" t="str">
        <f t="shared" si="144"/>
        <v/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str">
        <f>IF('Cable Info'!N365="","",CONCATENATE('Cable Info'!N365," - ",'Cable Info'!O365))</f>
        <v/>
      </c>
      <c r="AR661" s="121" t="str">
        <f t="shared" si="144"/>
        <v/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str">
        <f>IF('Cable Info'!N366="","",CONCATENATE('Cable Info'!N366," - ",'Cable Info'!O366))</f>
        <v/>
      </c>
      <c r="AR662" s="121" t="str">
        <f t="shared" si="144"/>
        <v/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str">
        <f>IF('Cable Info'!N367="","",CONCATENATE('Cable Info'!N367," - ",'Cable Info'!O367))</f>
        <v/>
      </c>
      <c r="AR663" s="121" t="str">
        <f t="shared" si="144"/>
        <v/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str">
        <f>IF('Cable Info'!N368="","",CONCATENATE('Cable Info'!N368," - ",'Cable Info'!O368))</f>
        <v/>
      </c>
      <c r="AR664" s="121" t="str">
        <f t="shared" si="144"/>
        <v/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str">
        <f>IF('Cable Info'!N369="","",CONCATENATE('Cable Info'!N369," - ",'Cable Info'!O369))</f>
        <v/>
      </c>
      <c r="AR665" s="121" t="str">
        <f t="shared" si="144"/>
        <v/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str">
        <f>IF('Cable Info'!N370="","",CONCATENATE('Cable Info'!N370," - ",'Cable Info'!O370))</f>
        <v/>
      </c>
      <c r="AR666" s="121" t="str">
        <f t="shared" si="144"/>
        <v/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str">
        <f>IF('Cable Info'!N371="","",CONCATENATE('Cable Info'!N371," - ",'Cable Info'!O371))</f>
        <v/>
      </c>
      <c r="AR667" s="121" t="str">
        <f t="shared" si="144"/>
        <v/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str">
        <f>IF('Cable Info'!N372="","",CONCATENATE('Cable Info'!N372," - ",'Cable Info'!O372))</f>
        <v/>
      </c>
      <c r="AR668" s="121" t="str">
        <f t="shared" si="144"/>
        <v/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str">
        <f>IF('Cable Info'!N373="","",CONCATENATE('Cable Info'!N373," - ",'Cable Info'!O373))</f>
        <v/>
      </c>
      <c r="AR669" s="121" t="str">
        <f t="shared" si="144"/>
        <v/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str">
        <f>IF('Cable Info'!N374="","",CONCATENATE('Cable Info'!N374," - ",'Cable Info'!O374))</f>
        <v/>
      </c>
      <c r="AR670" s="121" t="str">
        <f t="shared" si="144"/>
        <v/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str">
        <f>IF('Cable Info'!N375="","",CONCATENATE('Cable Info'!N375," - ",'Cable Info'!O375))</f>
        <v/>
      </c>
      <c r="AR671" s="121" t="str">
        <f t="shared" si="144"/>
        <v/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str">
        <f>IF('Cable Info'!N376="","",CONCATENATE('Cable Info'!N376," - ",'Cable Info'!O376))</f>
        <v/>
      </c>
      <c r="AR672" s="121" t="str">
        <f t="shared" si="144"/>
        <v/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str">
        <f>IF('Cable Info'!N377="","",CONCATENATE('Cable Info'!N377," - ",'Cable Info'!O377))</f>
        <v/>
      </c>
      <c r="AR673" s="121" t="str">
        <f t="shared" si="144"/>
        <v/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str">
        <f>IF('Cable Info'!N378="","",CONCATENATE('Cable Info'!N378," - ",'Cable Info'!O378))</f>
        <v/>
      </c>
      <c r="AR674" s="121" t="str">
        <f t="shared" si="144"/>
        <v/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str">
        <f>IF('Cable Info'!N379="","",CONCATENATE('Cable Info'!N379," - ",'Cable Info'!O379))</f>
        <v/>
      </c>
      <c r="AR675" s="121" t="str">
        <f t="shared" si="144"/>
        <v/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str">
        <f>IF('Cable Info'!N380="","",CONCATENATE('Cable Info'!N380," - ",'Cable Info'!O380))</f>
        <v/>
      </c>
      <c r="AR676" s="121" t="str">
        <f t="shared" si="144"/>
        <v/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str">
        <f>IF('Cable Info'!N381="","",CONCATENATE('Cable Info'!N381," - ",'Cable Info'!O381))</f>
        <v/>
      </c>
      <c r="AR677" s="121" t="str">
        <f t="shared" si="144"/>
        <v/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str">
        <f>IF('Cable Info'!N382="","",CONCATENATE('Cable Info'!N382," - ",'Cable Info'!O382))</f>
        <v/>
      </c>
      <c r="AR678" s="121" t="str">
        <f t="shared" si="144"/>
        <v/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str">
        <f>IF('Cable Info'!N383="","",CONCATENATE('Cable Info'!N383," - ",'Cable Info'!O383))</f>
        <v/>
      </c>
      <c r="AR679" s="121" t="str">
        <f t="shared" si="144"/>
        <v/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str">
        <f>IF('Cable Info'!N384="","",CONCATENATE('Cable Info'!N384," - ",'Cable Info'!O384))</f>
        <v/>
      </c>
      <c r="AR680" s="121" t="str">
        <f t="shared" si="144"/>
        <v/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str">
        <f>IF('Cable Info'!N385="","",CONCATENATE('Cable Info'!N385," - ",'Cable Info'!O385))</f>
        <v/>
      </c>
      <c r="AR681" s="121" t="str">
        <f t="shared" si="144"/>
        <v/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str">
        <f>IF('Cable Info'!N386="","",CONCATENATE('Cable Info'!N386," - ",'Cable Info'!O386))</f>
        <v/>
      </c>
      <c r="AR682" s="121" t="str">
        <f t="shared" si="144"/>
        <v/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str">
        <f>IF('Cable Info'!N387="","",CONCATENATE('Cable Info'!N387," - ",'Cable Info'!O387))</f>
        <v/>
      </c>
      <c r="AR683" s="121" t="str">
        <f t="shared" ref="AR683:AR746" si="150">IF(AP683="",AO683,CONCATENATE(AO683,"  &lt;=&gt; ",AP683," ",AQ683))</f>
        <v/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str">
        <f>IF('Cable Info'!N388="","",CONCATENATE('Cable Info'!N388," - ",'Cable Info'!O388))</f>
        <v/>
      </c>
      <c r="AR684" s="121" t="str">
        <f t="shared" si="150"/>
        <v/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str">
        <f>IF('Cable Info'!N389="","",CONCATENATE('Cable Info'!N389," - ",'Cable Info'!O389))</f>
        <v/>
      </c>
      <c r="AR685" s="121" t="str">
        <f t="shared" si="150"/>
        <v/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str">
        <f>IF('Cable Info'!N390="","",CONCATENATE('Cable Info'!N390," - ",'Cable Info'!O390))</f>
        <v/>
      </c>
      <c r="AR686" s="121" t="str">
        <f t="shared" si="150"/>
        <v/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str">
        <f>IF('Cable Info'!N391="","",CONCATENATE('Cable Info'!N391," - ",'Cable Info'!O391))</f>
        <v/>
      </c>
      <c r="AR687" s="121" t="str">
        <f t="shared" si="150"/>
        <v/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str">
        <f>IF('Cable Info'!N392="","",CONCATENATE('Cable Info'!N392," - ",'Cable Info'!O392))</f>
        <v/>
      </c>
      <c r="AR688" s="121" t="str">
        <f t="shared" si="150"/>
        <v/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str">
        <f>IF('Cable Info'!N393="","",CONCATENATE('Cable Info'!N393," - ",'Cable Info'!O393))</f>
        <v/>
      </c>
      <c r="AR689" s="121" t="str">
        <f t="shared" si="150"/>
        <v/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str">
        <f>IF('Cable Info'!N394="","",CONCATENATE('Cable Info'!N394," - ",'Cable Info'!O394))</f>
        <v/>
      </c>
      <c r="AR690" s="121" t="str">
        <f t="shared" si="150"/>
        <v/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str">
        <f>IF('Cable Info'!N395="","",CONCATENATE('Cable Info'!N395," - ",'Cable Info'!O395))</f>
        <v/>
      </c>
      <c r="AR691" s="121" t="str">
        <f t="shared" si="150"/>
        <v/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str">
        <f>IF('Cable Info'!N396="","",CONCATENATE('Cable Info'!N396," - ",'Cable Info'!O396))</f>
        <v/>
      </c>
      <c r="AR692" s="121" t="str">
        <f t="shared" si="150"/>
        <v/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str">
        <f>IF('Cable Info'!N397="","",CONCATENATE('Cable Info'!N397," - ",'Cable Info'!O397))</f>
        <v/>
      </c>
      <c r="AR693" s="121" t="str">
        <f t="shared" si="150"/>
        <v/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str">
        <f>IF('Cable Info'!N398="","",CONCATENATE('Cable Info'!N398," - ",'Cable Info'!O398))</f>
        <v/>
      </c>
      <c r="AR694" s="121" t="str">
        <f t="shared" si="150"/>
        <v/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str">
        <f>IF('Cable Info'!N399="","",CONCATENATE('Cable Info'!N399," - ",'Cable Info'!O399))</f>
        <v/>
      </c>
      <c r="AR695" s="121" t="str">
        <f t="shared" si="150"/>
        <v/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str">
        <f>IF('Cable Info'!N400="","",CONCATENATE('Cable Info'!N400," - ",'Cable Info'!O400))</f>
        <v/>
      </c>
      <c r="AR696" s="121" t="str">
        <f t="shared" si="150"/>
        <v/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str">
        <f>IF('Cable Info'!N401="","",CONCATENATE('Cable Info'!N401," - ",'Cable Info'!O401))</f>
        <v/>
      </c>
      <c r="AR697" s="121" t="str">
        <f t="shared" si="150"/>
        <v/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str">
        <f>IF('Cable Info'!N402="","",CONCATENATE('Cable Info'!N402," - ",'Cable Info'!O402))</f>
        <v/>
      </c>
      <c r="AR698" s="121" t="str">
        <f t="shared" si="150"/>
        <v/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str">
        <f>IF('Cable Info'!N403="","",CONCATENATE('Cable Info'!N403," - ",'Cable Info'!O403))</f>
        <v/>
      </c>
      <c r="AR699" s="121" t="str">
        <f t="shared" si="150"/>
        <v/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str">
        <f>IF('Cable Info'!N404="","",CONCATENATE('Cable Info'!N404," - ",'Cable Info'!O404))</f>
        <v/>
      </c>
      <c r="AR700" s="121" t="str">
        <f t="shared" si="150"/>
        <v/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str">
        <f>IF('Cable Info'!N405="","",CONCATENATE('Cable Info'!N405," - ",'Cable Info'!O405))</f>
        <v/>
      </c>
      <c r="AR701" s="121" t="str">
        <f t="shared" si="150"/>
        <v/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str">
        <f>IF('Cable Info'!N406="","",CONCATENATE('Cable Info'!N406," - ",'Cable Info'!O406))</f>
        <v/>
      </c>
      <c r="AR702" s="121" t="str">
        <f t="shared" si="150"/>
        <v/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str">
        <f>IF('Cable Info'!N407="","",CONCATENATE('Cable Info'!N407," - ",'Cable Info'!O407))</f>
        <v/>
      </c>
      <c r="AR703" s="121" t="str">
        <f t="shared" si="150"/>
        <v/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str">
        <f>IF('Cable Info'!N408="","",CONCATENATE('Cable Info'!N408," - ",'Cable Info'!O408))</f>
        <v/>
      </c>
      <c r="AR704" s="121" t="str">
        <f t="shared" si="150"/>
        <v/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str">
        <f>IF('Cable Info'!N409="","",CONCATENATE('Cable Info'!N409," - ",'Cable Info'!O409))</f>
        <v/>
      </c>
      <c r="AR705" s="121" t="str">
        <f t="shared" si="150"/>
        <v/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str">
        <f>IF('Cable Info'!N410="","",CONCATENATE('Cable Info'!N410," - ",'Cable Info'!O410))</f>
        <v/>
      </c>
      <c r="AR706" s="121" t="str">
        <f t="shared" si="150"/>
        <v/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str">
        <f>IF('Cable Info'!N411="","",CONCATENATE('Cable Info'!N411," - ",'Cable Info'!O411))</f>
        <v/>
      </c>
      <c r="AR707" s="121" t="str">
        <f t="shared" si="150"/>
        <v/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str">
        <f>IF('Cable Info'!N412="","",CONCATENATE('Cable Info'!N412," - ",'Cable Info'!O412))</f>
        <v/>
      </c>
      <c r="AR708" s="121" t="str">
        <f t="shared" si="150"/>
        <v/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str">
        <f>IF('Cable Info'!N413="","",CONCATENATE('Cable Info'!N413," - ",'Cable Info'!O413))</f>
        <v/>
      </c>
      <c r="AR709" s="121" t="str">
        <f t="shared" si="150"/>
        <v/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str">
        <f>IF('Cable Info'!N414="","",CONCATENATE('Cable Info'!N414," - ",'Cable Info'!O414))</f>
        <v/>
      </c>
      <c r="AR710" s="121" t="str">
        <f t="shared" si="150"/>
        <v/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str">
        <f>IF('Cable Info'!N415="","",CONCATENATE('Cable Info'!N415," - ",'Cable Info'!O415))</f>
        <v/>
      </c>
      <c r="AR711" s="121" t="str">
        <f t="shared" si="150"/>
        <v/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str">
        <f>IF('Cable Info'!N416="","",CONCATENATE('Cable Info'!N416," - ",'Cable Info'!O416))</f>
        <v/>
      </c>
      <c r="AR712" s="121" t="str">
        <f t="shared" si="150"/>
        <v/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str">
        <f>IF('Cable Info'!N417="","",CONCATENATE('Cable Info'!N417," - ",'Cable Info'!O417))</f>
        <v/>
      </c>
      <c r="AR713" s="121" t="str">
        <f t="shared" si="150"/>
        <v/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str">
        <f>IF('Cable Info'!N418="","",CONCATENATE('Cable Info'!N418," - ",'Cable Info'!O418))</f>
        <v/>
      </c>
      <c r="AR714" s="121" t="str">
        <f t="shared" si="150"/>
        <v/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str">
        <f>IF('Cable Info'!N419="","",CONCATENATE('Cable Info'!N419," - ",'Cable Info'!O419))</f>
        <v/>
      </c>
      <c r="AR715" s="121" t="str">
        <f t="shared" si="150"/>
        <v/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str">
        <f>IF('Cable Info'!N420="","",CONCATENATE('Cable Info'!N420," - ",'Cable Info'!O420))</f>
        <v/>
      </c>
      <c r="AR716" s="121" t="str">
        <f t="shared" si="150"/>
        <v/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str">
        <f>IF('Cable Info'!N421="","",CONCATENATE('Cable Info'!N421," - ",'Cable Info'!O421))</f>
        <v/>
      </c>
      <c r="AR717" s="121" t="str">
        <f t="shared" si="150"/>
        <v/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str">
        <f>IF('Cable Info'!N422="","",CONCATENATE('Cable Info'!N422," - ",'Cable Info'!O422))</f>
        <v/>
      </c>
      <c r="AR718" s="121" t="str">
        <f t="shared" si="150"/>
        <v/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str">
        <f>IF('Cable Info'!N423="","",CONCATENATE('Cable Info'!N423," - ",'Cable Info'!O423))</f>
        <v/>
      </c>
      <c r="AR719" s="121" t="str">
        <f t="shared" si="150"/>
        <v/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str">
        <f>IF('Cable Info'!N424="","",CONCATENATE('Cable Info'!N424," - ",'Cable Info'!O424))</f>
        <v/>
      </c>
      <c r="AR720" s="121" t="str">
        <f t="shared" si="150"/>
        <v/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str">
        <f>IF('Cable Info'!N425="","",CONCATENATE('Cable Info'!N425," - ",'Cable Info'!O425))</f>
        <v/>
      </c>
      <c r="AR721" s="121" t="str">
        <f t="shared" si="150"/>
        <v/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str">
        <f>IF('Cable Info'!N426="","",CONCATENATE('Cable Info'!N426," - ",'Cable Info'!O426))</f>
        <v/>
      </c>
      <c r="AR722" s="121" t="str">
        <f t="shared" si="150"/>
        <v/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str">
        <f>IF('Cable Info'!N427="","",CONCATENATE('Cable Info'!N427," - ",'Cable Info'!O427))</f>
        <v/>
      </c>
      <c r="AR723" s="121" t="str">
        <f t="shared" si="150"/>
        <v/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str">
        <f>IF('Cable Info'!N428="","",CONCATENATE('Cable Info'!N428," - ",'Cable Info'!O428))</f>
        <v/>
      </c>
      <c r="AR724" s="121" t="str">
        <f t="shared" si="150"/>
        <v/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str">
        <f>IF('Cable Info'!N429="","",CONCATENATE('Cable Info'!N429," - ",'Cable Info'!O429))</f>
        <v/>
      </c>
      <c r="AR725" s="121" t="str">
        <f t="shared" si="150"/>
        <v/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str">
        <f>IF('Cable Info'!N430="","",CONCATENATE('Cable Info'!N430," - ",'Cable Info'!O430))</f>
        <v/>
      </c>
      <c r="AR726" s="121" t="str">
        <f t="shared" si="150"/>
        <v/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str">
        <f>IF('Cable Info'!N431="","",CONCATENATE('Cable Info'!N431," - ",'Cable Info'!O431))</f>
        <v/>
      </c>
      <c r="AR727" s="121" t="str">
        <f t="shared" si="150"/>
        <v/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str">
        <f>IF('Cable Info'!N432="","",CONCATENATE('Cable Info'!N432," - ",'Cable Info'!O432))</f>
        <v/>
      </c>
      <c r="AR728" s="121" t="str">
        <f t="shared" si="150"/>
        <v/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str">
        <f>IF('Cable Info'!N433="","",CONCATENATE('Cable Info'!N433," - ",'Cable Info'!O433))</f>
        <v/>
      </c>
      <c r="AR729" s="121" t="str">
        <f t="shared" si="150"/>
        <v/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str">
        <f>IF('Cable Info'!N434="","",CONCATENATE('Cable Info'!N434," - ",'Cable Info'!O434))</f>
        <v/>
      </c>
      <c r="AR730" s="121" t="str">
        <f t="shared" si="150"/>
        <v/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str">
        <f>IF('Cable Info'!N435="","",CONCATENATE('Cable Info'!N435," - ",'Cable Info'!O435))</f>
        <v/>
      </c>
      <c r="AR731" s="121" t="str">
        <f t="shared" si="150"/>
        <v/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str">
        <f>IF('Cable Info'!N436="","",CONCATENATE('Cable Info'!N436," - ",'Cable Info'!O436))</f>
        <v/>
      </c>
      <c r="AR732" s="121" t="str">
        <f t="shared" si="150"/>
        <v/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str">
        <f>IF('Cable Info'!N437="","",CONCATENATE('Cable Info'!N437," - ",'Cable Info'!O437))</f>
        <v/>
      </c>
      <c r="AR733" s="121" t="str">
        <f t="shared" si="150"/>
        <v/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str">
        <f>IF('Cable Info'!N438="","",CONCATENATE('Cable Info'!N438," - ",'Cable Info'!O438))</f>
        <v/>
      </c>
      <c r="AR734" s="121" t="str">
        <f t="shared" si="150"/>
        <v/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str">
        <f>IF('Cable Info'!N439="","",CONCATENATE('Cable Info'!N439," - ",'Cable Info'!O439))</f>
        <v/>
      </c>
      <c r="AR735" s="121" t="str">
        <f t="shared" si="150"/>
        <v/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str">
        <f>IF('Cable Info'!N440="","",CONCATENATE('Cable Info'!N440," - ",'Cable Info'!O440))</f>
        <v/>
      </c>
      <c r="AR736" s="121" t="str">
        <f t="shared" si="150"/>
        <v/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str">
        <f>IF('Cable Info'!N441="","",CONCATENATE('Cable Info'!N441," - ",'Cable Info'!O441))</f>
        <v/>
      </c>
      <c r="AR737" s="121" t="str">
        <f t="shared" si="150"/>
        <v/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str">
        <f>IF('Cable Info'!N442="","",CONCATENATE('Cable Info'!N442," - ",'Cable Info'!O442))</f>
        <v/>
      </c>
      <c r="AR738" s="121" t="str">
        <f t="shared" si="150"/>
        <v/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str">
        <f>IF('Cable Info'!N443="","",CONCATENATE('Cable Info'!N443," - ",'Cable Info'!O443))</f>
        <v/>
      </c>
      <c r="AR739" s="121" t="str">
        <f t="shared" si="150"/>
        <v/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str">
        <f>IF('Cable Info'!N444="","",CONCATENATE('Cable Info'!N444," - ",'Cable Info'!O444))</f>
        <v/>
      </c>
      <c r="AR740" s="121" t="str">
        <f t="shared" si="150"/>
        <v/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str">
        <f>IF('Cable Info'!N445="","",CONCATENATE('Cable Info'!N445," - ",'Cable Info'!O445))</f>
        <v/>
      </c>
      <c r="AR741" s="121" t="str">
        <f t="shared" si="150"/>
        <v/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str">
        <f>IF('Cable Info'!N446="","",CONCATENATE('Cable Info'!N446," - ",'Cable Info'!O446))</f>
        <v/>
      </c>
      <c r="AR742" s="121" t="str">
        <f t="shared" si="150"/>
        <v/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str">
        <f>IF('Cable Info'!N447="","",CONCATENATE('Cable Info'!N447," - ",'Cable Info'!O447))</f>
        <v/>
      </c>
      <c r="AR743" s="121" t="str">
        <f t="shared" si="150"/>
        <v/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str">
        <f>IF('Cable Info'!N448="","",CONCATENATE('Cable Info'!N448," - ",'Cable Info'!O448))</f>
        <v/>
      </c>
      <c r="AR744" s="121" t="str">
        <f t="shared" si="150"/>
        <v/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str">
        <f>IF('Cable Info'!N449="","",CONCATENATE('Cable Info'!N449," - ",'Cable Info'!O449))</f>
        <v/>
      </c>
      <c r="AR745" s="121" t="str">
        <f t="shared" si="150"/>
        <v/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str">
        <f>IF('Cable Info'!N450="","",CONCATENATE('Cable Info'!N450," - ",'Cable Info'!O450))</f>
        <v/>
      </c>
      <c r="AR746" s="121" t="str">
        <f t="shared" si="150"/>
        <v/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str">
        <f>IF('Cable Info'!N451="","",CONCATENATE('Cable Info'!N451," - ",'Cable Info'!O451))</f>
        <v/>
      </c>
      <c r="AR747" s="121" t="str">
        <f t="shared" ref="AR747:AR810" si="156">IF(AP747="",AO747,CONCATENATE(AO747,"  &lt;=&gt; ",AP747," ",AQ747))</f>
        <v/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str">
        <f>IF('Cable Info'!N452="","",CONCATENATE('Cable Info'!N452," - ",'Cable Info'!O452))</f>
        <v/>
      </c>
      <c r="AR748" s="121" t="str">
        <f t="shared" si="156"/>
        <v/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str">
        <f>IF('Cable Info'!N453="","",CONCATENATE('Cable Info'!N453," - ",'Cable Info'!O453))</f>
        <v/>
      </c>
      <c r="AR749" s="121" t="str">
        <f t="shared" si="156"/>
        <v/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str">
        <f>IF('Cable Info'!N454="","",CONCATENATE('Cable Info'!N454," - ",'Cable Info'!O454))</f>
        <v/>
      </c>
      <c r="AR750" s="121" t="str">
        <f t="shared" si="156"/>
        <v/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str">
        <f>IF('Cable Info'!N455="","",CONCATENATE('Cable Info'!N455," - ",'Cable Info'!O455))</f>
        <v/>
      </c>
      <c r="AR751" s="121" t="str">
        <f t="shared" si="156"/>
        <v/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str">
        <f>IF('Cable Info'!N456="","",CONCATENATE('Cable Info'!N456," - ",'Cable Info'!O456))</f>
        <v/>
      </c>
      <c r="AR752" s="121" t="str">
        <f t="shared" si="156"/>
        <v/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str">
        <f>IF('Cable Info'!N457="","",CONCATENATE('Cable Info'!N457," - ",'Cable Info'!O457))</f>
        <v/>
      </c>
      <c r="AR753" s="121" t="str">
        <f t="shared" si="156"/>
        <v/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str">
        <f>IF('Cable Info'!N458="","",CONCATENATE('Cable Info'!N458," - ",'Cable Info'!O458))</f>
        <v/>
      </c>
      <c r="AR754" s="121" t="str">
        <f t="shared" si="156"/>
        <v/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str">
        <f>IF('Cable Info'!N459="","",CONCATENATE('Cable Info'!N459," - ",'Cable Info'!O459))</f>
        <v/>
      </c>
      <c r="AR755" s="121" t="str">
        <f t="shared" si="156"/>
        <v/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str">
        <f>IF('Cable Info'!N460="","",CONCATENATE('Cable Info'!N460," - ",'Cable Info'!O460))</f>
        <v/>
      </c>
      <c r="AR756" s="121" t="str">
        <f t="shared" si="156"/>
        <v/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str">
        <f>IF('Cable Info'!N461="","",CONCATENATE('Cable Info'!N461," - ",'Cable Info'!O461))</f>
        <v/>
      </c>
      <c r="AR757" s="121" t="str">
        <f t="shared" si="156"/>
        <v/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str">
        <f>IF('Cable Info'!N462="","",CONCATENATE('Cable Info'!N462," - ",'Cable Info'!O462))</f>
        <v/>
      </c>
      <c r="AR758" s="121" t="str">
        <f t="shared" si="156"/>
        <v/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str">
        <f>IF('Cable Info'!N463="","",CONCATENATE('Cable Info'!N463," - ",'Cable Info'!O463))</f>
        <v/>
      </c>
      <c r="AR759" s="121" t="str">
        <f t="shared" si="156"/>
        <v/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str">
        <f>IF('Cable Info'!N464="","",CONCATENATE('Cable Info'!N464," - ",'Cable Info'!O464))</f>
        <v/>
      </c>
      <c r="AR760" s="121" t="str">
        <f t="shared" si="156"/>
        <v/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str">
        <f>IF('Cable Info'!N465="","",CONCATENATE('Cable Info'!N465," - ",'Cable Info'!O465))</f>
        <v/>
      </c>
      <c r="AR761" s="121" t="str">
        <f t="shared" si="156"/>
        <v/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str">
        <f>IF('Cable Info'!N466="","",CONCATENATE('Cable Info'!N466," - ",'Cable Info'!O466))</f>
        <v/>
      </c>
      <c r="AR762" s="121" t="str">
        <f t="shared" si="156"/>
        <v/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str">
        <f>IF('Cable Info'!N467="","",CONCATENATE('Cable Info'!N467," - ",'Cable Info'!O467))</f>
        <v/>
      </c>
      <c r="AR763" s="121" t="str">
        <f t="shared" si="156"/>
        <v/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str">
        <f>IF('Cable Info'!N468="","",CONCATENATE('Cable Info'!N468," - ",'Cable Info'!O468))</f>
        <v/>
      </c>
      <c r="AR764" s="121" t="str">
        <f t="shared" si="156"/>
        <v/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str">
        <f>IF('Cable Info'!N469="","",CONCATENATE('Cable Info'!N469," - ",'Cable Info'!O469))</f>
        <v/>
      </c>
      <c r="AR765" s="121" t="str">
        <f t="shared" si="156"/>
        <v/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str">
        <f>IF('Cable Info'!N470="","",CONCATENATE('Cable Info'!N470," - ",'Cable Info'!O470))</f>
        <v/>
      </c>
      <c r="AR766" s="121" t="str">
        <f t="shared" si="156"/>
        <v/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str">
        <f>IF('Cable Info'!N471="","",CONCATENATE('Cable Info'!N471," - ",'Cable Info'!O471))</f>
        <v/>
      </c>
      <c r="AR767" s="121" t="str">
        <f t="shared" si="156"/>
        <v/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str">
        <f>IF('Cable Info'!N472="","",CONCATENATE('Cable Info'!N472," - ",'Cable Info'!O472))</f>
        <v/>
      </c>
      <c r="AR768" s="121" t="str">
        <f t="shared" si="156"/>
        <v/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str">
        <f>IF('Cable Info'!N473="","",CONCATENATE('Cable Info'!N473," - ",'Cable Info'!O473))</f>
        <v/>
      </c>
      <c r="AR769" s="121" t="str">
        <f t="shared" si="156"/>
        <v/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str">
        <f>IF('Cable Info'!N474="","",CONCATENATE('Cable Info'!N474," - ",'Cable Info'!O474))</f>
        <v/>
      </c>
      <c r="AR770" s="121" t="str">
        <f t="shared" si="156"/>
        <v/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str">
        <f>IF('Cable Info'!N475="","",CONCATENATE('Cable Info'!N475," - ",'Cable Info'!O475))</f>
        <v/>
      </c>
      <c r="AR771" s="121" t="str">
        <f t="shared" si="156"/>
        <v/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str">
        <f>IF('Cable Info'!N476="","",CONCATENATE('Cable Info'!N476," - ",'Cable Info'!O476))</f>
        <v/>
      </c>
      <c r="AR772" s="121" t="str">
        <f t="shared" si="156"/>
        <v/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str">
        <f>IF('Cable Info'!N477="","",CONCATENATE('Cable Info'!N477," - ",'Cable Info'!O477))</f>
        <v/>
      </c>
      <c r="AR773" s="121" t="str">
        <f t="shared" si="156"/>
        <v/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str">
        <f>IF('Cable Info'!N478="","",CONCATENATE('Cable Info'!N478," - ",'Cable Info'!O478))</f>
        <v/>
      </c>
      <c r="AR774" s="121" t="str">
        <f t="shared" si="156"/>
        <v/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str">
        <f>IF('Cable Info'!N479="","",CONCATENATE('Cable Info'!N479," - ",'Cable Info'!O479))</f>
        <v/>
      </c>
      <c r="AR775" s="121" t="str">
        <f t="shared" si="156"/>
        <v/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str">
        <f>IF('Cable Info'!N480="","",CONCATENATE('Cable Info'!N480," - ",'Cable Info'!O480))</f>
        <v/>
      </c>
      <c r="AR776" s="121" t="str">
        <f t="shared" si="156"/>
        <v/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str">
        <f>IF('Cable Info'!N481="","",CONCATENATE('Cable Info'!N481," - ",'Cable Info'!O481))</f>
        <v/>
      </c>
      <c r="AR777" s="121" t="str">
        <f t="shared" si="156"/>
        <v/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str">
        <f>IF('Cable Info'!N482="","",CONCATENATE('Cable Info'!N482," - ",'Cable Info'!O482))</f>
        <v/>
      </c>
      <c r="AR778" s="121" t="str">
        <f t="shared" si="156"/>
        <v/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str">
        <f>IF('Cable Info'!N483="","",CONCATENATE('Cable Info'!N483," - ",'Cable Info'!O483))</f>
        <v/>
      </c>
      <c r="AR779" s="121" t="str">
        <f t="shared" si="156"/>
        <v/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str">
        <f>IF('Cable Info'!N484="","",CONCATENATE('Cable Info'!N484," - ",'Cable Info'!O484))</f>
        <v/>
      </c>
      <c r="AR780" s="121" t="str">
        <f t="shared" si="156"/>
        <v/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str">
        <f>IF('Cable Info'!N485="","",CONCATENATE('Cable Info'!N485," - ",'Cable Info'!O485))</f>
        <v/>
      </c>
      <c r="AR781" s="121" t="str">
        <f t="shared" si="156"/>
        <v/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str">
        <f>IF('Cable Info'!N486="","",CONCATENATE('Cable Info'!N486," - ",'Cable Info'!O486))</f>
        <v/>
      </c>
      <c r="AR782" s="121" t="str">
        <f t="shared" si="156"/>
        <v/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str">
        <f>IF('Cable Info'!N487="","",CONCATENATE('Cable Info'!N487," - ",'Cable Info'!O487))</f>
        <v/>
      </c>
      <c r="AR783" s="121" t="str">
        <f t="shared" si="156"/>
        <v/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str">
        <f>IF('Cable Info'!N488="","",CONCATENATE('Cable Info'!N488," - ",'Cable Info'!O488))</f>
        <v/>
      </c>
      <c r="AR784" s="121" t="str">
        <f t="shared" si="156"/>
        <v/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str">
        <f>IF('Cable Info'!N489="","",CONCATENATE('Cable Info'!N489," - ",'Cable Info'!O489))</f>
        <v/>
      </c>
      <c r="AR785" s="121" t="str">
        <f t="shared" si="156"/>
        <v/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str">
        <f>IF('Cable Info'!N490="","",CONCATENATE('Cable Info'!N490," - ",'Cable Info'!O490))</f>
        <v/>
      </c>
      <c r="AR786" s="121" t="str">
        <f t="shared" si="156"/>
        <v/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str">
        <f>IF('Cable Info'!N491="","",CONCATENATE('Cable Info'!N491," - ",'Cable Info'!O491))</f>
        <v/>
      </c>
      <c r="AR787" s="121" t="str">
        <f t="shared" si="156"/>
        <v/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str">
        <f>IF('Cable Info'!N492="","",CONCATENATE('Cable Info'!N492," - ",'Cable Info'!O492))</f>
        <v/>
      </c>
      <c r="AR788" s="121" t="str">
        <f t="shared" si="156"/>
        <v/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str">
        <f>IF('Cable Info'!N493="","",CONCATENATE('Cable Info'!N493," - ",'Cable Info'!O493))</f>
        <v/>
      </c>
      <c r="AR789" s="121" t="str">
        <f t="shared" si="156"/>
        <v/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str">
        <f>IF('Cable Info'!N494="","",CONCATENATE('Cable Info'!N494," - ",'Cable Info'!O494))</f>
        <v/>
      </c>
      <c r="AR790" s="121" t="str">
        <f t="shared" si="156"/>
        <v/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str">
        <f>IF('Cable Info'!N495="","",CONCATENATE('Cable Info'!N495," - ",'Cable Info'!O495))</f>
        <v/>
      </c>
      <c r="AR791" s="121" t="str">
        <f t="shared" si="156"/>
        <v/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str">
        <f>IF('Cable Info'!N496="","",CONCATENATE('Cable Info'!N496," - ",'Cable Info'!O496))</f>
        <v/>
      </c>
      <c r="AR792" s="121" t="str">
        <f t="shared" si="156"/>
        <v/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str">
        <f>IF('Cable Info'!N497="","",CONCATENATE('Cable Info'!N497," - ",'Cable Info'!O497))</f>
        <v/>
      </c>
      <c r="AR793" s="121" t="str">
        <f t="shared" si="156"/>
        <v/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str">
        <f>IF('Cable Info'!N498="","",CONCATENATE('Cable Info'!N498," - ",'Cable Info'!O498))</f>
        <v/>
      </c>
      <c r="AR794" s="121" t="str">
        <f t="shared" si="156"/>
        <v/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str">
        <f>IF('Cable Info'!N499="","",CONCATENATE('Cable Info'!N499," - ",'Cable Info'!O499))</f>
        <v/>
      </c>
      <c r="AR795" s="121" t="str">
        <f t="shared" si="156"/>
        <v/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str">
        <f>IF('Cable Info'!N500="","",CONCATENATE('Cable Info'!N500," - ",'Cable Info'!O500))</f>
        <v/>
      </c>
      <c r="AR796" s="121" t="str">
        <f t="shared" si="156"/>
        <v/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str">
        <f>IF('Cable Info'!N501="","",CONCATENATE('Cable Info'!N501," - ",'Cable Info'!O501))</f>
        <v/>
      </c>
      <c r="AR797" s="121" t="str">
        <f t="shared" si="156"/>
        <v/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str">
        <f>IF('Cable Info'!N502="","",CONCATENATE('Cable Info'!N502," - ",'Cable Info'!O502))</f>
        <v/>
      </c>
      <c r="AR798" s="121" t="str">
        <f t="shared" si="156"/>
        <v/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str">
        <f>IF('Cable Info'!N503="","",CONCATENATE('Cable Info'!N503," - ",'Cable Info'!O503))</f>
        <v/>
      </c>
      <c r="AR799" s="121" t="str">
        <f t="shared" si="156"/>
        <v/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str">
        <f>IF('Cable Info'!N504="","",CONCATENATE('Cable Info'!N504," - ",'Cable Info'!O504))</f>
        <v/>
      </c>
      <c r="AR800" s="121" t="str">
        <f t="shared" si="156"/>
        <v/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str">
        <f>IF('Cable Info'!N505="","",CONCATENATE('Cable Info'!N505," - ",'Cable Info'!O505))</f>
        <v/>
      </c>
      <c r="AR801" s="121" t="str">
        <f t="shared" si="156"/>
        <v/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str">
        <f>IF('Cable Info'!N506="","",CONCATENATE('Cable Info'!N506," - ",'Cable Info'!O506))</f>
        <v/>
      </c>
      <c r="AR802" s="121" t="str">
        <f t="shared" si="156"/>
        <v/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str">
        <f>IF('Cable Info'!N507="","",CONCATENATE('Cable Info'!N507," - ",'Cable Info'!O507))</f>
        <v/>
      </c>
      <c r="AR803" s="121" t="str">
        <f t="shared" si="156"/>
        <v/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str">
        <f>IF('Cable Info'!N508="","",CONCATENATE('Cable Info'!N508," - ",'Cable Info'!O508))</f>
        <v/>
      </c>
      <c r="AR804" s="121" t="str">
        <f t="shared" si="156"/>
        <v/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str">
        <f>IF('Cable Info'!N509="","",CONCATENATE('Cable Info'!N509," - ",'Cable Info'!O509))</f>
        <v/>
      </c>
      <c r="AR805" s="121" t="str">
        <f t="shared" si="156"/>
        <v/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str">
        <f>IF('Cable Info'!N510="","",CONCATENATE('Cable Info'!N510," - ",'Cable Info'!O510))</f>
        <v/>
      </c>
      <c r="AR806" s="121" t="str">
        <f t="shared" si="156"/>
        <v/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str">
        <f>IF('Cable Info'!N511="","",CONCATENATE('Cable Info'!N511," - ",'Cable Info'!O511))</f>
        <v/>
      </c>
      <c r="AR807" s="121" t="str">
        <f t="shared" si="156"/>
        <v/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str">
        <f>IF('Cable Info'!N512="","",CONCATENATE('Cable Info'!N512," - ",'Cable Info'!O512))</f>
        <v/>
      </c>
      <c r="AR808" s="121" t="str">
        <f t="shared" si="156"/>
        <v/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str">
        <f>IF('Cable Info'!N513="","",CONCATENATE('Cable Info'!N513," - ",'Cable Info'!O513))</f>
        <v/>
      </c>
      <c r="AR809" s="121" t="str">
        <f t="shared" si="156"/>
        <v/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str">
        <f>IF('Cable Info'!N514="","",CONCATENATE('Cable Info'!N514," - ",'Cable Info'!O514))</f>
        <v/>
      </c>
      <c r="AR810" s="121" t="str">
        <f t="shared" si="156"/>
        <v/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str">
        <f>IF('Cable Info'!N515="","",CONCATENATE('Cable Info'!N515," - ",'Cable Info'!O515))</f>
        <v/>
      </c>
      <c r="AR811" s="121" t="str">
        <f t="shared" ref="AR811:AR874" si="162">IF(AP811="",AO811,CONCATENATE(AO811,"  &lt;=&gt; ",AP811," ",AQ811))</f>
        <v/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str">
        <f>IF('Cable Info'!N516="","",CONCATENATE('Cable Info'!N516," - ",'Cable Info'!O516))</f>
        <v/>
      </c>
      <c r="AR812" s="121" t="str">
        <f t="shared" si="162"/>
        <v/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str">
        <f>IF('Cable Info'!N517="","",CONCATENATE('Cable Info'!N517," - ",'Cable Info'!O517))</f>
        <v/>
      </c>
      <c r="AR813" s="121" t="str">
        <f t="shared" si="162"/>
        <v/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str">
        <f>IF('Cable Info'!N518="","",CONCATENATE('Cable Info'!N518," - ",'Cable Info'!O518))</f>
        <v/>
      </c>
      <c r="AR814" s="121" t="str">
        <f t="shared" si="162"/>
        <v/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str">
        <f>IF('Cable Info'!N519="","",CONCATENATE('Cable Info'!N519," - ",'Cable Info'!O519))</f>
        <v/>
      </c>
      <c r="AR815" s="121" t="str">
        <f t="shared" si="162"/>
        <v/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str">
        <f>IF('Cable Info'!N520="","",CONCATENATE('Cable Info'!N520," - ",'Cable Info'!O520))</f>
        <v/>
      </c>
      <c r="AR816" s="121" t="str">
        <f t="shared" si="162"/>
        <v/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str">
        <f>IF('Cable Info'!N521="","",CONCATENATE('Cable Info'!N521," - ",'Cable Info'!O521))</f>
        <v/>
      </c>
      <c r="AR817" s="121" t="str">
        <f t="shared" si="162"/>
        <v/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str">
        <f>IF('Cable Info'!N522="","",CONCATENATE('Cable Info'!N522," - ",'Cable Info'!O522))</f>
        <v/>
      </c>
      <c r="AR818" s="121" t="str">
        <f t="shared" si="162"/>
        <v/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str">
        <f>IF('Cable Info'!N523="","",CONCATENATE('Cable Info'!N523," - ",'Cable Info'!O523))</f>
        <v/>
      </c>
      <c r="AR819" s="121" t="str">
        <f t="shared" si="162"/>
        <v/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str">
        <f>IF('Cable Info'!N524="","",CONCATENATE('Cable Info'!N524," - ",'Cable Info'!O524))</f>
        <v/>
      </c>
      <c r="AR820" s="121" t="str">
        <f t="shared" si="162"/>
        <v/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str">
        <f>IF('Cable Info'!N525="","",CONCATENATE('Cable Info'!N525," - ",'Cable Info'!O525))</f>
        <v/>
      </c>
      <c r="AR821" s="121" t="str">
        <f t="shared" si="162"/>
        <v/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str">
        <f>IF('Cable Info'!N526="","",CONCATENATE('Cable Info'!N526," - ",'Cable Info'!O526))</f>
        <v/>
      </c>
      <c r="AR822" s="121" t="str">
        <f t="shared" si="162"/>
        <v/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str">
        <f>IF('Cable Info'!N527="","",CONCATENATE('Cable Info'!N527," - ",'Cable Info'!O527))</f>
        <v/>
      </c>
      <c r="AR823" s="121" t="str">
        <f t="shared" si="162"/>
        <v/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str">
        <f>IF('Cable Info'!N528="","",CONCATENATE('Cable Info'!N528," - ",'Cable Info'!O528))</f>
        <v/>
      </c>
      <c r="AR824" s="121" t="str">
        <f t="shared" si="162"/>
        <v/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str">
        <f>IF('Cable Info'!N529="","",CONCATENATE('Cable Info'!N529," - ",'Cable Info'!O529))</f>
        <v/>
      </c>
      <c r="AR825" s="121" t="str">
        <f t="shared" si="162"/>
        <v/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str">
        <f>IF('Cable Info'!N530="","",CONCATENATE('Cable Info'!N530," - ",'Cable Info'!O530))</f>
        <v/>
      </c>
      <c r="AR826" s="121" t="str">
        <f t="shared" si="162"/>
        <v/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str">
        <f>IF('Cable Info'!N531="","",CONCATENATE('Cable Info'!N531," - ",'Cable Info'!O531))</f>
        <v/>
      </c>
      <c r="AR827" s="121" t="str">
        <f t="shared" si="162"/>
        <v/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str">
        <f>IF('Cable Info'!N532="","",CONCATENATE('Cable Info'!N532," - ",'Cable Info'!O532))</f>
        <v/>
      </c>
      <c r="AR828" s="121" t="str">
        <f t="shared" si="162"/>
        <v/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str">
        <f>IF('Cable Info'!N533="","",CONCATENATE('Cable Info'!N533," - ",'Cable Info'!O533))</f>
        <v/>
      </c>
      <c r="AR829" s="121" t="str">
        <f t="shared" si="162"/>
        <v/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str">
        <f>IF('Cable Info'!N534="","",CONCATENATE('Cable Info'!N534," - ",'Cable Info'!O534))</f>
        <v/>
      </c>
      <c r="AR830" s="121" t="str">
        <f t="shared" si="162"/>
        <v/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str">
        <f>IF('Cable Info'!N535="","",CONCATENATE('Cable Info'!N535," - ",'Cable Info'!O535))</f>
        <v/>
      </c>
      <c r="AR831" s="121" t="str">
        <f t="shared" si="162"/>
        <v/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str">
        <f>IF('Cable Info'!N536="","",CONCATENATE('Cable Info'!N536," - ",'Cable Info'!O536))</f>
        <v/>
      </c>
      <c r="AR832" s="121" t="str">
        <f t="shared" si="162"/>
        <v/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str">
        <f>IF('Cable Info'!N537="","",CONCATENATE('Cable Info'!N537," - ",'Cable Info'!O537))</f>
        <v/>
      </c>
      <c r="AR833" s="121" t="str">
        <f t="shared" si="162"/>
        <v/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str">
        <f>IF('Cable Info'!N538="","",CONCATENATE('Cable Info'!N538," - ",'Cable Info'!O538))</f>
        <v/>
      </c>
      <c r="AR834" s="121" t="str">
        <f t="shared" si="162"/>
        <v/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str">
        <f>IF('Cable Info'!N539="","",CONCATENATE('Cable Info'!N539," - ",'Cable Info'!O539))</f>
        <v/>
      </c>
      <c r="AR835" s="121" t="str">
        <f t="shared" si="162"/>
        <v/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str">
        <f>IF('Cable Info'!N540="","",CONCATENATE('Cable Info'!N540," - ",'Cable Info'!O540))</f>
        <v/>
      </c>
      <c r="AR836" s="121" t="str">
        <f t="shared" si="162"/>
        <v/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str">
        <f>IF('Cable Info'!N541="","",CONCATENATE('Cable Info'!N541," - ",'Cable Info'!O541))</f>
        <v/>
      </c>
      <c r="AR837" s="121" t="str">
        <f t="shared" si="162"/>
        <v/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str">
        <f>IF('Cable Info'!N542="","",CONCATENATE('Cable Info'!N542," - ",'Cable Info'!O542))</f>
        <v/>
      </c>
      <c r="AR838" s="121" t="str">
        <f t="shared" si="162"/>
        <v/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str">
        <f>IF('Cable Info'!N543="","",CONCATENATE('Cable Info'!N543," - ",'Cable Info'!O543))</f>
        <v/>
      </c>
      <c r="AR839" s="121" t="str">
        <f t="shared" si="162"/>
        <v/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str">
        <f>IF('Cable Info'!N544="","",CONCATENATE('Cable Info'!N544," - ",'Cable Info'!O544))</f>
        <v/>
      </c>
      <c r="AR840" s="121" t="str">
        <f t="shared" si="162"/>
        <v/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str">
        <f>IF('Cable Info'!N545="","",CONCATENATE('Cable Info'!N545," - ",'Cable Info'!O545))</f>
        <v/>
      </c>
      <c r="AR841" s="121" t="str">
        <f t="shared" si="162"/>
        <v/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str">
        <f>IF('Cable Info'!N546="","",CONCATENATE('Cable Info'!N546," - ",'Cable Info'!O546))</f>
        <v/>
      </c>
      <c r="AR842" s="121" t="str">
        <f t="shared" si="162"/>
        <v/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str">
        <f>IF('Cable Info'!N547="","",CONCATENATE('Cable Info'!N547," - ",'Cable Info'!O547))</f>
        <v/>
      </c>
      <c r="AR843" s="121" t="str">
        <f t="shared" si="162"/>
        <v/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str">
        <f>IF('Cable Info'!N548="","",CONCATENATE('Cable Info'!N548," - ",'Cable Info'!O548))</f>
        <v/>
      </c>
      <c r="AR844" s="121" t="str">
        <f t="shared" si="162"/>
        <v/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str">
        <f>IF('Cable Info'!N549="","",CONCATENATE('Cable Info'!N549," - ",'Cable Info'!O549))</f>
        <v/>
      </c>
      <c r="AR845" s="121" t="str">
        <f t="shared" si="162"/>
        <v/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str">
        <f>IF('Cable Info'!N550="","",CONCATENATE('Cable Info'!N550," - ",'Cable Info'!O550))</f>
        <v/>
      </c>
      <c r="AR846" s="121" t="str">
        <f t="shared" si="162"/>
        <v/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str">
        <f>IF('Cable Info'!N551="","",CONCATENATE('Cable Info'!N551," - ",'Cable Info'!O551))</f>
        <v/>
      </c>
      <c r="AR847" s="121" t="str">
        <f t="shared" si="162"/>
        <v/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str">
        <f>IF('Cable Info'!N552="","",CONCATENATE('Cable Info'!N552," - ",'Cable Info'!O552))</f>
        <v/>
      </c>
      <c r="AR848" s="121" t="str">
        <f t="shared" si="162"/>
        <v/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str">
        <f>IF('Cable Info'!N553="","",CONCATENATE('Cable Info'!N553," - ",'Cable Info'!O553))</f>
        <v/>
      </c>
      <c r="AR849" s="121" t="str">
        <f t="shared" si="162"/>
        <v/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str">
        <f>IF('Cable Info'!N554="","",CONCATENATE('Cable Info'!N554," - ",'Cable Info'!O554))</f>
        <v/>
      </c>
      <c r="AR850" s="121" t="str">
        <f t="shared" si="162"/>
        <v/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str">
        <f>IF('Cable Info'!N555="","",CONCATENATE('Cable Info'!N555," - ",'Cable Info'!O555))</f>
        <v/>
      </c>
      <c r="AR851" s="121" t="str">
        <f t="shared" si="162"/>
        <v/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str">
        <f>IF('Cable Info'!N556="","",CONCATENATE('Cable Info'!N556," - ",'Cable Info'!O556))</f>
        <v/>
      </c>
      <c r="AR852" s="121" t="str">
        <f t="shared" si="162"/>
        <v/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str">
        <f>IF('Cable Info'!N557="","",CONCATENATE('Cable Info'!N557," - ",'Cable Info'!O557))</f>
        <v/>
      </c>
      <c r="AR853" s="121" t="str">
        <f t="shared" si="162"/>
        <v/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str">
        <f>IF('Cable Info'!N558="","",CONCATENATE('Cable Info'!N558," - ",'Cable Info'!O558))</f>
        <v/>
      </c>
      <c r="AR854" s="121" t="str">
        <f t="shared" si="162"/>
        <v/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str">
        <f>IF('Cable Info'!N559="","",CONCATENATE('Cable Info'!N559," - ",'Cable Info'!O559))</f>
        <v/>
      </c>
      <c r="AR855" s="121" t="str">
        <f t="shared" si="162"/>
        <v/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str">
        <f>IF('Cable Info'!N560="","",CONCATENATE('Cable Info'!N560," - ",'Cable Info'!O560))</f>
        <v/>
      </c>
      <c r="AR856" s="121" t="str">
        <f t="shared" si="162"/>
        <v/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str">
        <f>IF('Cable Info'!N561="","",CONCATENATE('Cable Info'!N561," - ",'Cable Info'!O561))</f>
        <v/>
      </c>
      <c r="AR857" s="121" t="str">
        <f t="shared" si="162"/>
        <v/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str">
        <f>IF('Cable Info'!N562="","",CONCATENATE('Cable Info'!N562," - ",'Cable Info'!O562))</f>
        <v/>
      </c>
      <c r="AR858" s="121" t="str">
        <f t="shared" si="162"/>
        <v/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str">
        <f>IF('Cable Info'!N563="","",CONCATENATE('Cable Info'!N563," - ",'Cable Info'!O563))</f>
        <v/>
      </c>
      <c r="AR859" s="121" t="str">
        <f t="shared" si="162"/>
        <v/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str">
        <f>IF('Cable Info'!N564="","",CONCATENATE('Cable Info'!N564," - ",'Cable Info'!O564))</f>
        <v/>
      </c>
      <c r="AR860" s="121" t="str">
        <f t="shared" si="162"/>
        <v/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str">
        <f>IF('Cable Info'!N565="","",CONCATENATE('Cable Info'!N565," - ",'Cable Info'!O565))</f>
        <v/>
      </c>
      <c r="AR861" s="121" t="str">
        <f t="shared" si="162"/>
        <v/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str">
        <f>IF('Cable Info'!N566="","",CONCATENATE('Cable Info'!N566," - ",'Cable Info'!O566))</f>
        <v/>
      </c>
      <c r="AR862" s="121" t="str">
        <f t="shared" si="162"/>
        <v/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str">
        <f>IF('Cable Info'!N567="","",CONCATENATE('Cable Info'!N567," - ",'Cable Info'!O567))</f>
        <v/>
      </c>
      <c r="AR863" s="121" t="str">
        <f t="shared" si="162"/>
        <v/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str">
        <f>IF('Cable Info'!N568="","",CONCATENATE('Cable Info'!N568," - ",'Cable Info'!O568))</f>
        <v/>
      </c>
      <c r="AR864" s="121" t="str">
        <f t="shared" si="162"/>
        <v/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str">
        <f>IF('Cable Info'!N569="","",CONCATENATE('Cable Info'!N569," - ",'Cable Info'!O569))</f>
        <v/>
      </c>
      <c r="AR865" s="121" t="str">
        <f t="shared" si="162"/>
        <v/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str">
        <f>IF('Cable Info'!N570="","",CONCATENATE('Cable Info'!N570," - ",'Cable Info'!O570))</f>
        <v/>
      </c>
      <c r="AR866" s="121" t="str">
        <f t="shared" si="162"/>
        <v/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str">
        <f>IF('Cable Info'!N571="","",CONCATENATE('Cable Info'!N571," - ",'Cable Info'!O571))</f>
        <v/>
      </c>
      <c r="AR867" s="121" t="str">
        <f t="shared" si="162"/>
        <v/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str">
        <f>IF('Cable Info'!N572="","",CONCATENATE('Cable Info'!N572," - ",'Cable Info'!O572))</f>
        <v/>
      </c>
      <c r="AR868" s="121" t="str">
        <f t="shared" si="162"/>
        <v/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str">
        <f>IF('Cable Info'!N573="","",CONCATENATE('Cable Info'!N573," - ",'Cable Info'!O573))</f>
        <v/>
      </c>
      <c r="AR869" s="121" t="str">
        <f t="shared" si="162"/>
        <v/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str">
        <f>IF('Cable Info'!N574="","",CONCATENATE('Cable Info'!N574," - ",'Cable Info'!O574))</f>
        <v/>
      </c>
      <c r="AR870" s="121" t="str">
        <f t="shared" si="162"/>
        <v/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str">
        <f>IF('Cable Info'!N575="","",CONCATENATE('Cable Info'!N575," - ",'Cable Info'!O575))</f>
        <v/>
      </c>
      <c r="AR871" s="121" t="str">
        <f t="shared" si="162"/>
        <v/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str">
        <f>IF('Cable Info'!N576="","",CONCATENATE('Cable Info'!N576," - ",'Cable Info'!O576))</f>
        <v/>
      </c>
      <c r="AR872" s="121" t="str">
        <f t="shared" si="162"/>
        <v/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str">
        <f>IF('Cable Info'!N577="","",CONCATENATE('Cable Info'!N577," - ",'Cable Info'!O577))</f>
        <v/>
      </c>
      <c r="AR873" s="121" t="str">
        <f t="shared" si="162"/>
        <v/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str">
        <f>IF('Cable Info'!N578="","",CONCATENATE('Cable Info'!N578," - ",'Cable Info'!O578))</f>
        <v/>
      </c>
      <c r="AR874" s="121" t="str">
        <f t="shared" si="162"/>
        <v/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str">
        <f>IF('Cable Info'!N579="","",CONCATENATE('Cable Info'!N579," - ",'Cable Info'!O579))</f>
        <v/>
      </c>
      <c r="AR875" s="121" t="str">
        <f t="shared" ref="AR875:AR938" si="168">IF(AP875="",AO875,CONCATENATE(AO875,"  &lt;=&gt; ",AP875," ",AQ875))</f>
        <v/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str">
        <f>IF('Cable Info'!N580="","",CONCATENATE('Cable Info'!N580," - ",'Cable Info'!O580))</f>
        <v/>
      </c>
      <c r="AR876" s="121" t="str">
        <f t="shared" si="168"/>
        <v/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str">
        <f>IF('Cable Info'!N581="","",CONCATENATE('Cable Info'!N581," - ",'Cable Info'!O581))</f>
        <v/>
      </c>
      <c r="AR877" s="121" t="str">
        <f t="shared" si="168"/>
        <v/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str">
        <f>IF('Cable Info'!N582="","",CONCATENATE('Cable Info'!N582," - ",'Cable Info'!O582))</f>
        <v/>
      </c>
      <c r="AR878" s="121" t="str">
        <f t="shared" si="168"/>
        <v/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str">
        <f>IF('Cable Info'!N583="","",CONCATENATE('Cable Info'!N583," - ",'Cable Info'!O583))</f>
        <v/>
      </c>
      <c r="AR879" s="121" t="str">
        <f t="shared" si="168"/>
        <v/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str">
        <f>IF('Cable Info'!N584="","",CONCATENATE('Cable Info'!N584," - ",'Cable Info'!O584))</f>
        <v/>
      </c>
      <c r="AR880" s="121" t="str">
        <f t="shared" si="168"/>
        <v/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str">
        <f>IF('Cable Info'!N585="","",CONCATENATE('Cable Info'!N585," - ",'Cable Info'!O585))</f>
        <v/>
      </c>
      <c r="AR881" s="121" t="str">
        <f t="shared" si="168"/>
        <v/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str">
        <f>IF('Cable Info'!N586="","",CONCATENATE('Cable Info'!N586," - ",'Cable Info'!O586))</f>
        <v/>
      </c>
      <c r="AR882" s="121" t="str">
        <f t="shared" si="168"/>
        <v/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str">
        <f>IF('Cable Info'!N587="","",CONCATENATE('Cable Info'!N587," - ",'Cable Info'!O587))</f>
        <v/>
      </c>
      <c r="AR883" s="121" t="str">
        <f t="shared" si="168"/>
        <v/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str">
        <f>IF('Cable Info'!N588="","",CONCATENATE('Cable Info'!N588," - ",'Cable Info'!O588))</f>
        <v/>
      </c>
      <c r="AR884" s="121" t="str">
        <f t="shared" si="168"/>
        <v/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str">
        <f>IF('Cable Info'!N589="","",CONCATENATE('Cable Info'!N589," - ",'Cable Info'!O589))</f>
        <v/>
      </c>
      <c r="AR885" s="121" t="str">
        <f t="shared" si="168"/>
        <v/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str">
        <f>IF('Cable Info'!N590="","",CONCATENATE('Cable Info'!N590," - ",'Cable Info'!O590))</f>
        <v/>
      </c>
      <c r="AR886" s="121" t="str">
        <f t="shared" si="168"/>
        <v/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str">
        <f>IF('Cable Info'!N591="","",CONCATENATE('Cable Info'!N591," - ",'Cable Info'!O591))</f>
        <v/>
      </c>
      <c r="AR887" s="121" t="str">
        <f t="shared" si="168"/>
        <v/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str">
        <f>IF('Cable Info'!N592="","",CONCATENATE('Cable Info'!N592," - ",'Cable Info'!O592))</f>
        <v/>
      </c>
      <c r="AR888" s="121" t="str">
        <f t="shared" si="168"/>
        <v/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str">
        <f>IF('Cable Info'!N593="","",CONCATENATE('Cable Info'!N593," - ",'Cable Info'!O593))</f>
        <v/>
      </c>
      <c r="AR889" s="121" t="str">
        <f t="shared" si="168"/>
        <v/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str">
        <f>IF('Cable Info'!N594="","",CONCATENATE('Cable Info'!N594," - ",'Cable Info'!O594))</f>
        <v/>
      </c>
      <c r="AR890" s="121" t="str">
        <f t="shared" si="168"/>
        <v/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str">
        <f>IF('Cable Info'!N595="","",CONCATENATE('Cable Info'!N595," - ",'Cable Info'!O595))</f>
        <v/>
      </c>
      <c r="AR891" s="121" t="str">
        <f t="shared" si="168"/>
        <v/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str">
        <f>IF('Cable Info'!N596="","",CONCATENATE('Cable Info'!N596," - ",'Cable Info'!O596))</f>
        <v/>
      </c>
      <c r="AR892" s="121" t="str">
        <f t="shared" si="168"/>
        <v/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str">
        <f>IF('Cable Info'!N597="","",CONCATENATE('Cable Info'!N597," - ",'Cable Info'!O597))</f>
        <v/>
      </c>
      <c r="AR893" s="121" t="str">
        <f t="shared" si="168"/>
        <v/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str">
        <f>IF('Cable Info'!N598="","",CONCATENATE('Cable Info'!N598," - ",'Cable Info'!O598))</f>
        <v/>
      </c>
      <c r="AR894" s="121" t="str">
        <f t="shared" si="168"/>
        <v/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str">
        <f>IF('Cable Info'!N599="","",CONCATENATE('Cable Info'!N599," - ",'Cable Info'!O599))</f>
        <v/>
      </c>
      <c r="AR895" s="121" t="str">
        <f t="shared" si="168"/>
        <v/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str">
        <f>IF('Cable Info'!N600="","",CONCATENATE('Cable Info'!N600," - ",'Cable Info'!O600))</f>
        <v/>
      </c>
      <c r="AR896" s="121" t="str">
        <f t="shared" si="168"/>
        <v/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str">
        <f>IF('Cable Info'!N601="","",CONCATENATE('Cable Info'!N601," - ",'Cable Info'!O601))</f>
        <v/>
      </c>
      <c r="AR897" s="121" t="str">
        <f t="shared" si="168"/>
        <v/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str">
        <f>IF('Cable Info'!N602="","",CONCATENATE('Cable Info'!N602," - ",'Cable Info'!O602))</f>
        <v/>
      </c>
      <c r="AR898" s="121" t="str">
        <f t="shared" si="168"/>
        <v/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str">
        <f>IF('Cable Info'!N603="","",CONCATENATE('Cable Info'!N603," - ",'Cable Info'!O603))</f>
        <v/>
      </c>
      <c r="AR899" s="121" t="str">
        <f t="shared" si="168"/>
        <v/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str">
        <f>IF('Cable Info'!N604="","",CONCATENATE('Cable Info'!N604," - ",'Cable Info'!O604))</f>
        <v/>
      </c>
      <c r="AR900" s="121" t="str">
        <f t="shared" si="168"/>
        <v/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str">
        <f>IF('Cable Info'!N605="","",CONCATENATE('Cable Info'!N605," - ",'Cable Info'!O605))</f>
        <v/>
      </c>
      <c r="AR901" s="121" t="str">
        <f t="shared" si="168"/>
        <v/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str">
        <f>IF('Cable Info'!N606="","",CONCATENATE('Cable Info'!N606," - ",'Cable Info'!O606))</f>
        <v/>
      </c>
      <c r="AR902" s="121" t="str">
        <f t="shared" si="168"/>
        <v/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str">
        <f>IF('Cable Info'!N607="","",CONCATENATE('Cable Info'!N607," - ",'Cable Info'!O607))</f>
        <v/>
      </c>
      <c r="AR903" s="121" t="str">
        <f t="shared" si="168"/>
        <v/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str">
        <f>IF('Cable Info'!N608="","",CONCATENATE('Cable Info'!N608," - ",'Cable Info'!O608))</f>
        <v/>
      </c>
      <c r="AR904" s="121" t="str">
        <f t="shared" si="168"/>
        <v/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str">
        <f>IF('Cable Info'!N609="","",CONCATENATE('Cable Info'!N609," - ",'Cable Info'!O609))</f>
        <v/>
      </c>
      <c r="AR905" s="121" t="str">
        <f t="shared" si="168"/>
        <v/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str">
        <f>IF('Cable Info'!N610="","",CONCATENATE('Cable Info'!N610," - ",'Cable Info'!O610))</f>
        <v/>
      </c>
      <c r="AR906" s="121" t="str">
        <f t="shared" si="168"/>
        <v/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str">
        <f>IF('Cable Info'!N611="","",CONCATENATE('Cable Info'!N611," - ",'Cable Info'!O611))</f>
        <v/>
      </c>
      <c r="AR907" s="121" t="str">
        <f t="shared" si="168"/>
        <v/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str">
        <f>IF('Cable Info'!N612="","",CONCATENATE('Cable Info'!N612," - ",'Cable Info'!O612))</f>
        <v/>
      </c>
      <c r="AR908" s="121" t="str">
        <f t="shared" si="168"/>
        <v/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str">
        <f>IF('Cable Info'!N613="","",CONCATENATE('Cable Info'!N613," - ",'Cable Info'!O613))</f>
        <v/>
      </c>
      <c r="AR909" s="121" t="str">
        <f t="shared" si="168"/>
        <v/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str">
        <f>IF('Cable Info'!N614="","",CONCATENATE('Cable Info'!N614," - ",'Cable Info'!O614))</f>
        <v/>
      </c>
      <c r="AR910" s="121" t="str">
        <f t="shared" si="168"/>
        <v/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str">
        <f>IF('Cable Info'!N615="","",CONCATENATE('Cable Info'!N615," - ",'Cable Info'!O615))</f>
        <v/>
      </c>
      <c r="AR911" s="121" t="str">
        <f t="shared" si="168"/>
        <v/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str">
        <f>IF('Cable Info'!N616="","",CONCATENATE('Cable Info'!N616," - ",'Cable Info'!O616))</f>
        <v/>
      </c>
      <c r="AR912" s="121" t="str">
        <f t="shared" si="168"/>
        <v/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str">
        <f>IF('Cable Info'!N617="","",CONCATENATE('Cable Info'!N617," - ",'Cable Info'!O617))</f>
        <v/>
      </c>
      <c r="AR913" s="121" t="str">
        <f t="shared" si="168"/>
        <v/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str">
        <f>IF('Cable Info'!N618="","",CONCATENATE('Cable Info'!N618," - ",'Cable Info'!O618))</f>
        <v/>
      </c>
      <c r="AR914" s="121" t="str">
        <f t="shared" si="168"/>
        <v/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str">
        <f>IF('Cable Info'!N619="","",CONCATENATE('Cable Info'!N619," - ",'Cable Info'!O619))</f>
        <v/>
      </c>
      <c r="AR915" s="121" t="str">
        <f t="shared" si="168"/>
        <v/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str">
        <f>IF('Cable Info'!N620="","",CONCATENATE('Cable Info'!N620," - ",'Cable Info'!O620))</f>
        <v/>
      </c>
      <c r="AR916" s="121" t="str">
        <f t="shared" si="168"/>
        <v/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str">
        <f>IF('Cable Info'!N621="","",CONCATENATE('Cable Info'!N621," - ",'Cable Info'!O621))</f>
        <v/>
      </c>
      <c r="AR917" s="121" t="str">
        <f t="shared" si="168"/>
        <v/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str">
        <f>IF('Cable Info'!N622="","",CONCATENATE('Cable Info'!N622," - ",'Cable Info'!O622))</f>
        <v/>
      </c>
      <c r="AR918" s="121" t="str">
        <f t="shared" si="168"/>
        <v/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str">
        <f>IF('Cable Info'!N623="","",CONCATENATE('Cable Info'!N623," - ",'Cable Info'!O623))</f>
        <v/>
      </c>
      <c r="AR919" s="121" t="str">
        <f t="shared" si="168"/>
        <v/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str">
        <f>IF('Cable Info'!N624="","",CONCATENATE('Cable Info'!N624," - ",'Cable Info'!O624))</f>
        <v/>
      </c>
      <c r="AR920" s="121" t="str">
        <f t="shared" si="168"/>
        <v/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str">
        <f>IF('Cable Info'!N625="","",CONCATENATE('Cable Info'!N625," - ",'Cable Info'!O625))</f>
        <v/>
      </c>
      <c r="AR921" s="121" t="str">
        <f t="shared" si="168"/>
        <v/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str">
        <f>IF('Cable Info'!N626="","",CONCATENATE('Cable Info'!N626," - ",'Cable Info'!O626))</f>
        <v/>
      </c>
      <c r="AR922" s="121" t="str">
        <f t="shared" si="168"/>
        <v/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str">
        <f>IF('Cable Info'!N627="","",CONCATENATE('Cable Info'!N627," - ",'Cable Info'!O627))</f>
        <v/>
      </c>
      <c r="AR923" s="121" t="str">
        <f t="shared" si="168"/>
        <v/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str">
        <f>IF('Cable Info'!N628="","",CONCATENATE('Cable Info'!N628," - ",'Cable Info'!O628))</f>
        <v/>
      </c>
      <c r="AR924" s="121" t="str">
        <f t="shared" si="168"/>
        <v/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str">
        <f>IF('Cable Info'!N629="","",CONCATENATE('Cable Info'!N629," - ",'Cable Info'!O629))</f>
        <v/>
      </c>
      <c r="AR925" s="121" t="str">
        <f t="shared" si="168"/>
        <v/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str">
        <f>IF('Cable Info'!N630="","",CONCATENATE('Cable Info'!N630," - ",'Cable Info'!O630))</f>
        <v/>
      </c>
      <c r="AR926" s="121" t="str">
        <f t="shared" si="168"/>
        <v/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str">
        <f>IF('Cable Info'!N631="","",CONCATENATE('Cable Info'!N631," - ",'Cable Info'!O631))</f>
        <v/>
      </c>
      <c r="AR927" s="121" t="str">
        <f t="shared" si="168"/>
        <v/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str">
        <f>IF('Cable Info'!N632="","",CONCATENATE('Cable Info'!N632," - ",'Cable Info'!O632))</f>
        <v/>
      </c>
      <c r="AR928" s="121" t="str">
        <f t="shared" si="168"/>
        <v/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str">
        <f>IF('Cable Info'!N633="","",CONCATENATE('Cable Info'!N633," - ",'Cable Info'!O633))</f>
        <v/>
      </c>
      <c r="AR929" s="121" t="str">
        <f t="shared" si="168"/>
        <v/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str">
        <f>IF('Cable Info'!N634="","",CONCATENATE('Cable Info'!N634," - ",'Cable Info'!O634))</f>
        <v/>
      </c>
      <c r="AR930" s="121" t="str">
        <f t="shared" si="168"/>
        <v/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str">
        <f>IF('Cable Info'!N635="","",CONCATENATE('Cable Info'!N635," - ",'Cable Info'!O635))</f>
        <v/>
      </c>
      <c r="AR931" s="121" t="str">
        <f t="shared" si="168"/>
        <v/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str">
        <f>IF('Cable Info'!N636="","",CONCATENATE('Cable Info'!N636," - ",'Cable Info'!O636))</f>
        <v/>
      </c>
      <c r="AR932" s="121" t="str">
        <f t="shared" si="168"/>
        <v/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str">
        <f>IF('Cable Info'!N637="","",CONCATENATE('Cable Info'!N637," - ",'Cable Info'!O637))</f>
        <v/>
      </c>
      <c r="AR933" s="121" t="str">
        <f t="shared" si="168"/>
        <v/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str">
        <f>IF('Cable Info'!N638="","",CONCATENATE('Cable Info'!N638," - ",'Cable Info'!O638))</f>
        <v/>
      </c>
      <c r="AR934" s="121" t="str">
        <f t="shared" si="168"/>
        <v/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str">
        <f>IF('Cable Info'!N639="","",CONCATENATE('Cable Info'!N639," - ",'Cable Info'!O639))</f>
        <v/>
      </c>
      <c r="AR935" s="121" t="str">
        <f t="shared" si="168"/>
        <v/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str">
        <f>IF('Cable Info'!N640="","",CONCATENATE('Cable Info'!N640," - ",'Cable Info'!O640))</f>
        <v/>
      </c>
      <c r="AR936" s="121" t="str">
        <f t="shared" si="168"/>
        <v/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str">
        <f>IF('Cable Info'!N641="","",CONCATENATE('Cable Info'!N641," - ",'Cable Info'!O641))</f>
        <v/>
      </c>
      <c r="AR937" s="121" t="str">
        <f t="shared" si="168"/>
        <v/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str">
        <f>IF('Cable Info'!N642="","",CONCATENATE('Cable Info'!N642," - ",'Cable Info'!O642))</f>
        <v/>
      </c>
      <c r="AR938" s="121" t="str">
        <f t="shared" si="168"/>
        <v/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str">
        <f>IF('Cable Info'!N643="","",CONCATENATE('Cable Info'!N643," - ",'Cable Info'!O643))</f>
        <v/>
      </c>
      <c r="AR939" s="121" t="str">
        <f t="shared" ref="AR939:AR1002" si="174">IF(AP939="",AO939,CONCATENATE(AO939,"  &lt;=&gt; ",AP939," ",AQ939))</f>
        <v/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str">
        <f>IF('Cable Info'!N644="","",CONCATENATE('Cable Info'!N644," - ",'Cable Info'!O644))</f>
        <v/>
      </c>
      <c r="AR940" s="121" t="str">
        <f t="shared" si="174"/>
        <v/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str">
        <f>IF('Cable Info'!N645="","",CONCATENATE('Cable Info'!N645," - ",'Cable Info'!O645))</f>
        <v/>
      </c>
      <c r="AR941" s="121" t="str">
        <f t="shared" si="174"/>
        <v/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str">
        <f>IF('Cable Info'!N646="","",CONCATENATE('Cable Info'!N646," - ",'Cable Info'!O646))</f>
        <v/>
      </c>
      <c r="AR942" s="121" t="str">
        <f t="shared" si="174"/>
        <v/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str">
        <f>IF('Cable Info'!N647="","",CONCATENATE('Cable Info'!N647," - ",'Cable Info'!O647))</f>
        <v/>
      </c>
      <c r="AR943" s="121" t="str">
        <f t="shared" si="174"/>
        <v/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str">
        <f>IF('Cable Info'!N648="","",CONCATENATE('Cable Info'!N648," - ",'Cable Info'!O648))</f>
        <v/>
      </c>
      <c r="AR944" s="121" t="str">
        <f t="shared" si="174"/>
        <v/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str">
        <f>IF('Cable Info'!N649="","",CONCATENATE('Cable Info'!N649," - ",'Cable Info'!O649))</f>
        <v/>
      </c>
      <c r="AR945" s="121" t="str">
        <f t="shared" si="174"/>
        <v/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str">
        <f>IF('Cable Info'!N650="","",CONCATENATE('Cable Info'!N650," - ",'Cable Info'!O650))</f>
        <v/>
      </c>
      <c r="AR946" s="121" t="str">
        <f t="shared" si="174"/>
        <v/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str">
        <f>IF('Cable Info'!N651="","",CONCATENATE('Cable Info'!N651," - ",'Cable Info'!O651))</f>
        <v/>
      </c>
      <c r="AR947" s="121" t="str">
        <f t="shared" si="174"/>
        <v/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str">
        <f>IF('Cable Info'!N652="","",CONCATENATE('Cable Info'!N652," - ",'Cable Info'!O652))</f>
        <v/>
      </c>
      <c r="AR948" s="121" t="str">
        <f t="shared" si="174"/>
        <v/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str">
        <f>IF('Cable Info'!N653="","",CONCATENATE('Cable Info'!N653," - ",'Cable Info'!O653))</f>
        <v/>
      </c>
      <c r="AR949" s="121" t="str">
        <f t="shared" si="174"/>
        <v/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str">
        <f>IF('Cable Info'!N654="","",CONCATENATE('Cable Info'!N654," - ",'Cable Info'!O654))</f>
        <v/>
      </c>
      <c r="AR950" s="121" t="str">
        <f t="shared" si="174"/>
        <v/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str">
        <f>IF('Cable Info'!N655="","",CONCATENATE('Cable Info'!N655," - ",'Cable Info'!O655))</f>
        <v/>
      </c>
      <c r="AR951" s="121" t="str">
        <f t="shared" si="174"/>
        <v/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str">
        <f>IF('Cable Info'!N656="","",CONCATENATE('Cable Info'!N656," - ",'Cable Info'!O656))</f>
        <v/>
      </c>
      <c r="AR952" s="121" t="str">
        <f t="shared" si="174"/>
        <v/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str">
        <f>IF('Cable Info'!N657="","",CONCATENATE('Cable Info'!N657," - ",'Cable Info'!O657))</f>
        <v/>
      </c>
      <c r="AR953" s="121" t="str">
        <f t="shared" si="174"/>
        <v/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str">
        <f>IF('Cable Info'!N658="","",CONCATENATE('Cable Info'!N658," - ",'Cable Info'!O658))</f>
        <v/>
      </c>
      <c r="AR954" s="121" t="str">
        <f t="shared" si="174"/>
        <v/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str">
        <f>IF('Cable Info'!N659="","",CONCATENATE('Cable Info'!N659," - ",'Cable Info'!O659))</f>
        <v/>
      </c>
      <c r="AR955" s="121" t="str">
        <f t="shared" si="174"/>
        <v/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str">
        <f>IF('Cable Info'!N660="","",CONCATENATE('Cable Info'!N660," - ",'Cable Info'!O660))</f>
        <v/>
      </c>
      <c r="AR956" s="121" t="str">
        <f t="shared" si="174"/>
        <v/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str">
        <f>IF('Cable Info'!N661="","",CONCATENATE('Cable Info'!N661," - ",'Cable Info'!O661))</f>
        <v/>
      </c>
      <c r="AR957" s="121" t="str">
        <f t="shared" si="174"/>
        <v/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str">
        <f>IF('Cable Info'!N662="","",CONCATENATE('Cable Info'!N662," - ",'Cable Info'!O662))</f>
        <v/>
      </c>
      <c r="AR958" s="121" t="str">
        <f t="shared" si="174"/>
        <v/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str">
        <f>IF('Cable Info'!N663="","",CONCATENATE('Cable Info'!N663," - ",'Cable Info'!O663))</f>
        <v/>
      </c>
      <c r="AR959" s="121" t="str">
        <f t="shared" si="174"/>
        <v/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str">
        <f>IF('Cable Info'!N664="","",CONCATENATE('Cable Info'!N664," - ",'Cable Info'!O664))</f>
        <v/>
      </c>
      <c r="AR960" s="121" t="str">
        <f t="shared" si="174"/>
        <v/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str">
        <f>IF('Cable Info'!N665="","",CONCATENATE('Cable Info'!N665," - ",'Cable Info'!O665))</f>
        <v/>
      </c>
      <c r="AR961" s="121" t="str">
        <f t="shared" si="174"/>
        <v/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str">
        <f>IF('Cable Info'!N666="","",CONCATENATE('Cable Info'!N666," - ",'Cable Info'!O666))</f>
        <v/>
      </c>
      <c r="AR962" s="121" t="str">
        <f t="shared" si="174"/>
        <v/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str">
        <f>IF('Cable Info'!N667="","",CONCATENATE('Cable Info'!N667," - ",'Cable Info'!O667))</f>
        <v/>
      </c>
      <c r="AR963" s="121" t="str">
        <f t="shared" si="174"/>
        <v/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str">
        <f>IF('Cable Info'!N668="","",CONCATENATE('Cable Info'!N668," - ",'Cable Info'!O668))</f>
        <v/>
      </c>
      <c r="AR964" s="121" t="str">
        <f t="shared" si="174"/>
        <v/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str">
        <f>IF('Cable Info'!N669="","",CONCATENATE('Cable Info'!N669," - ",'Cable Info'!O669))</f>
        <v/>
      </c>
      <c r="AR965" s="121" t="str">
        <f t="shared" si="174"/>
        <v/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str">
        <f>IF('Cable Info'!N670="","",CONCATENATE('Cable Info'!N670," - ",'Cable Info'!O670))</f>
        <v/>
      </c>
      <c r="AR966" s="121" t="str">
        <f t="shared" si="174"/>
        <v/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str">
        <f>IF('Cable Info'!N671="","",CONCATENATE('Cable Info'!N671," - ",'Cable Info'!O671))</f>
        <v/>
      </c>
      <c r="AR967" s="121" t="str">
        <f t="shared" si="174"/>
        <v/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str">
        <f>IF('Cable Info'!N672="","",CONCATENATE('Cable Info'!N672," - ",'Cable Info'!O672))</f>
        <v/>
      </c>
      <c r="AR968" s="121" t="str">
        <f t="shared" si="174"/>
        <v/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str">
        <f>IF('Cable Info'!N673="","",CONCATENATE('Cable Info'!N673," - ",'Cable Info'!O673))</f>
        <v/>
      </c>
      <c r="AR969" s="121" t="str">
        <f t="shared" si="174"/>
        <v/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str">
        <f>IF('Cable Info'!N674="","",CONCATENATE('Cable Info'!N674," - ",'Cable Info'!O674))</f>
        <v/>
      </c>
      <c r="AR970" s="121" t="str">
        <f t="shared" si="174"/>
        <v/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str">
        <f>IF('Cable Info'!N675="","",CONCATENATE('Cable Info'!N675," - ",'Cable Info'!O675))</f>
        <v/>
      </c>
      <c r="AR971" s="121" t="str">
        <f t="shared" si="174"/>
        <v/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str">
        <f>IF('Cable Info'!N676="","",CONCATENATE('Cable Info'!N676," - ",'Cable Info'!O676))</f>
        <v/>
      </c>
      <c r="AR972" s="121" t="str">
        <f t="shared" si="174"/>
        <v/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str">
        <f>IF('Cable Info'!N677="","",CONCATENATE('Cable Info'!N677," - ",'Cable Info'!O677))</f>
        <v/>
      </c>
      <c r="AR973" s="121" t="str">
        <f t="shared" si="174"/>
        <v/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str">
        <f>IF('Cable Info'!N678="","",CONCATENATE('Cable Info'!N678," - ",'Cable Info'!O678))</f>
        <v/>
      </c>
      <c r="AR974" s="121" t="str">
        <f t="shared" si="174"/>
        <v/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str">
        <f>IF('Cable Info'!N679="","",CONCATENATE('Cable Info'!N679," - ",'Cable Info'!O679))</f>
        <v/>
      </c>
      <c r="AR975" s="121" t="str">
        <f t="shared" si="174"/>
        <v/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str">
        <f>IF('Cable Info'!N680="","",CONCATENATE('Cable Info'!N680," - ",'Cable Info'!O680))</f>
        <v/>
      </c>
      <c r="AR976" s="121" t="str">
        <f t="shared" si="174"/>
        <v/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str">
        <f>IF('Cable Info'!N681="","",CONCATENATE('Cable Info'!N681," - ",'Cable Info'!O681))</f>
        <v/>
      </c>
      <c r="AR977" s="121" t="str">
        <f t="shared" si="174"/>
        <v/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str">
        <f>IF('Cable Info'!N682="","",CONCATENATE('Cable Info'!N682," - ",'Cable Info'!O682))</f>
        <v/>
      </c>
      <c r="AR978" s="121" t="str">
        <f t="shared" si="174"/>
        <v/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str">
        <f>IF('Cable Info'!N683="","",CONCATENATE('Cable Info'!N683," - ",'Cable Info'!O683))</f>
        <v/>
      </c>
      <c r="AR979" s="121" t="str">
        <f t="shared" si="174"/>
        <v/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str">
        <f>IF('Cable Info'!N684="","",CONCATENATE('Cable Info'!N684," - ",'Cable Info'!O684))</f>
        <v/>
      </c>
      <c r="AR980" s="121" t="str">
        <f t="shared" si="174"/>
        <v/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str">
        <f>IF('Cable Info'!N685="","",CONCATENATE('Cable Info'!N685," - ",'Cable Info'!O685))</f>
        <v/>
      </c>
      <c r="AR981" s="121" t="str">
        <f t="shared" si="174"/>
        <v/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str">
        <f>IF('Cable Info'!N686="","",CONCATENATE('Cable Info'!N686," - ",'Cable Info'!O686))</f>
        <v/>
      </c>
      <c r="AR982" s="121" t="str">
        <f t="shared" si="174"/>
        <v/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str">
        <f>IF('Cable Info'!N687="","",CONCATENATE('Cable Info'!N687," - ",'Cable Info'!O687))</f>
        <v/>
      </c>
      <c r="AR983" s="121" t="str">
        <f t="shared" si="174"/>
        <v/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str">
        <f>IF('Cable Info'!N688="","",CONCATENATE('Cable Info'!N688," - ",'Cable Info'!O688))</f>
        <v/>
      </c>
      <c r="AR984" s="121" t="str">
        <f t="shared" si="174"/>
        <v/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str">
        <f>IF('Cable Info'!N689="","",CONCATENATE('Cable Info'!N689," - ",'Cable Info'!O689))</f>
        <v/>
      </c>
      <c r="AR985" s="121" t="str">
        <f t="shared" si="174"/>
        <v/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str">
        <f>IF('Cable Info'!N690="","",CONCATENATE('Cable Info'!N690," - ",'Cable Info'!O690))</f>
        <v/>
      </c>
      <c r="AR986" s="121" t="str">
        <f t="shared" si="174"/>
        <v/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str">
        <f>IF('Cable Info'!N691="","",CONCATENATE('Cable Info'!N691," - ",'Cable Info'!O691))</f>
        <v/>
      </c>
      <c r="AR987" s="121" t="str">
        <f t="shared" si="174"/>
        <v/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str">
        <f>IF('Cable Info'!N692="","",CONCATENATE('Cable Info'!N692," - ",'Cable Info'!O692))</f>
        <v/>
      </c>
      <c r="AR988" s="121" t="str">
        <f t="shared" si="174"/>
        <v/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str">
        <f>IF('Cable Info'!N693="","",CONCATENATE('Cable Info'!N693," - ",'Cable Info'!O693))</f>
        <v/>
      </c>
      <c r="AR989" s="121" t="str">
        <f t="shared" si="174"/>
        <v/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str">
        <f>IF('Cable Info'!N694="","",CONCATENATE('Cable Info'!N694," - ",'Cable Info'!O694))</f>
        <v/>
      </c>
      <c r="AR990" s="121" t="str">
        <f t="shared" si="174"/>
        <v/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str">
        <f>IF('Cable Info'!N695="","",CONCATENATE('Cable Info'!N695," - ",'Cable Info'!O695))</f>
        <v/>
      </c>
      <c r="AR991" s="121" t="str">
        <f t="shared" si="174"/>
        <v/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str">
        <f>IF('Cable Info'!N696="","",CONCATENATE('Cable Info'!N696," - ",'Cable Info'!O696))</f>
        <v/>
      </c>
      <c r="AR992" s="121" t="str">
        <f t="shared" si="174"/>
        <v/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str">
        <f>IF('Cable Info'!N697="","",CONCATENATE('Cable Info'!N697," - ",'Cable Info'!O697))</f>
        <v/>
      </c>
      <c r="AR993" s="121" t="str">
        <f t="shared" si="174"/>
        <v/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str">
        <f>IF('Cable Info'!N698="","",CONCATENATE('Cable Info'!N698," - ",'Cable Info'!O698))</f>
        <v/>
      </c>
      <c r="AR994" s="121" t="str">
        <f t="shared" si="174"/>
        <v/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str">
        <f>IF('Cable Info'!N699="","",CONCATENATE('Cable Info'!N699," - ",'Cable Info'!O699))</f>
        <v/>
      </c>
      <c r="AR995" s="121" t="str">
        <f t="shared" si="174"/>
        <v/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str">
        <f>IF('Cable Info'!N700="","",CONCATENATE('Cable Info'!N700," - ",'Cable Info'!O700))</f>
        <v/>
      </c>
      <c r="AR996" s="121" t="str">
        <f t="shared" si="174"/>
        <v/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str">
        <f>IF('Cable Info'!N701="","",CONCATENATE('Cable Info'!N701," - ",'Cable Info'!O701))</f>
        <v/>
      </c>
      <c r="AR997" s="121" t="str">
        <f t="shared" si="174"/>
        <v/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str">
        <f>IF('Cable Info'!N702="","",CONCATENATE('Cable Info'!N702," - ",'Cable Info'!O702))</f>
        <v/>
      </c>
      <c r="AR998" s="121" t="str">
        <f t="shared" si="174"/>
        <v/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str">
        <f>IF('Cable Info'!N703="","",CONCATENATE('Cable Info'!N703," - ",'Cable Info'!O703))</f>
        <v/>
      </c>
      <c r="AR999" s="121" t="str">
        <f t="shared" si="174"/>
        <v/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str">
        <f>IF('Cable Info'!N704="","",CONCATENATE('Cable Info'!N704," - ",'Cable Info'!O704))</f>
        <v/>
      </c>
      <c r="AR1000" s="121" t="str">
        <f t="shared" si="174"/>
        <v/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str">
        <f>IF('Cable Info'!N705="","",CONCATENATE('Cable Info'!N705," - ",'Cable Info'!O705))</f>
        <v/>
      </c>
      <c r="AR1001" s="121" t="str">
        <f t="shared" si="174"/>
        <v/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str">
        <f>IF('Cable Info'!N706="","",CONCATENATE('Cable Info'!N706," - ",'Cable Info'!O706))</f>
        <v/>
      </c>
      <c r="AR1002" s="121" t="str">
        <f t="shared" si="174"/>
        <v/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str">
        <f>IF('Cable Info'!N707="","",CONCATENATE('Cable Info'!N707," - ",'Cable Info'!O707))</f>
        <v/>
      </c>
      <c r="AR1003" s="121" t="str">
        <f t="shared" ref="AR1003:AR1066" si="180">IF(AP1003="",AO1003,CONCATENATE(AO1003,"  &lt;=&gt; ",AP1003," ",AQ1003))</f>
        <v/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str">
        <f>IF('Cable Info'!N708="","",CONCATENATE('Cable Info'!N708," - ",'Cable Info'!O708))</f>
        <v/>
      </c>
      <c r="AR1004" s="121" t="str">
        <f t="shared" si="180"/>
        <v/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str">
        <f>IF('Cable Info'!N709="","",CONCATENATE('Cable Info'!N709," - ",'Cable Info'!O709))</f>
        <v/>
      </c>
      <c r="AR1005" s="121" t="str">
        <f t="shared" si="180"/>
        <v/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str">
        <f>IF('Cable Info'!N710="","",CONCATENATE('Cable Info'!N710," - ",'Cable Info'!O710))</f>
        <v/>
      </c>
      <c r="AR1006" s="121" t="str">
        <f t="shared" si="180"/>
        <v/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str">
        <f>IF('Cable Info'!N711="","",CONCATENATE('Cable Info'!N711," - ",'Cable Info'!O711))</f>
        <v/>
      </c>
      <c r="AR1007" s="121" t="str">
        <f t="shared" si="180"/>
        <v/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str">
        <f>IF('Cable Info'!N712="","",CONCATENATE('Cable Info'!N712," - ",'Cable Info'!O712))</f>
        <v/>
      </c>
      <c r="AR1008" s="121" t="str">
        <f t="shared" si="180"/>
        <v/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str">
        <f>IF('Cable Info'!N713="","",CONCATENATE('Cable Info'!N713," - ",'Cable Info'!O713))</f>
        <v/>
      </c>
      <c r="AR1009" s="121" t="str">
        <f t="shared" si="180"/>
        <v/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str">
        <f>IF('Cable Info'!N714="","",CONCATENATE('Cable Info'!N714," - ",'Cable Info'!O714))</f>
        <v/>
      </c>
      <c r="AR1010" s="121" t="str">
        <f t="shared" si="180"/>
        <v/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str">
        <f>IF('Cable Info'!N715="","",CONCATENATE('Cable Info'!N715," - ",'Cable Info'!O715))</f>
        <v/>
      </c>
      <c r="AR1011" s="121" t="str">
        <f t="shared" si="180"/>
        <v/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str">
        <f>IF('Cable Info'!N716="","",CONCATENATE('Cable Info'!N716," - ",'Cable Info'!O716))</f>
        <v/>
      </c>
      <c r="AR1012" s="121" t="str">
        <f t="shared" si="180"/>
        <v/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str">
        <f>IF('Cable Info'!N717="","",CONCATENATE('Cable Info'!N717," - ",'Cable Info'!O717))</f>
        <v/>
      </c>
      <c r="AR1013" s="121" t="str">
        <f t="shared" si="180"/>
        <v/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str">
        <f>IF('Cable Info'!N718="","",CONCATENATE('Cable Info'!N718," - ",'Cable Info'!O718))</f>
        <v/>
      </c>
      <c r="AR1014" s="121" t="str">
        <f t="shared" si="180"/>
        <v/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str">
        <f>IF('Cable Info'!N719="","",CONCATENATE('Cable Info'!N719," - ",'Cable Info'!O719))</f>
        <v/>
      </c>
      <c r="AR1015" s="121" t="str">
        <f t="shared" si="180"/>
        <v/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str">
        <f>IF('Cable Info'!N720="","",CONCATENATE('Cable Info'!N720," - ",'Cable Info'!O720))</f>
        <v/>
      </c>
      <c r="AR1016" s="121" t="str">
        <f t="shared" si="180"/>
        <v/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str">
        <f>IF('Cable Info'!N721="","",CONCATENATE('Cable Info'!N721," - ",'Cable Info'!O721))</f>
        <v/>
      </c>
      <c r="AR1017" s="121" t="str">
        <f t="shared" si="180"/>
        <v/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str">
        <f>IF('Cable Info'!N722="","",CONCATENATE('Cable Info'!N722," - ",'Cable Info'!O722))</f>
        <v/>
      </c>
      <c r="AR1018" s="121" t="str">
        <f t="shared" si="180"/>
        <v/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str">
        <f>IF('Cable Info'!N723="","",CONCATENATE('Cable Info'!N723," - ",'Cable Info'!O723))</f>
        <v/>
      </c>
      <c r="AR1019" s="121" t="str">
        <f t="shared" si="180"/>
        <v/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str">
        <f>IF('Cable Info'!N724="","",CONCATENATE('Cable Info'!N724," - ",'Cable Info'!O724))</f>
        <v/>
      </c>
      <c r="AR1020" s="121" t="str">
        <f t="shared" si="180"/>
        <v/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str">
        <f>IF('Cable Info'!N725="","",CONCATENATE('Cable Info'!N725," - ",'Cable Info'!O725))</f>
        <v/>
      </c>
      <c r="AR1021" s="121" t="str">
        <f t="shared" si="180"/>
        <v/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str">
        <f>IF('Cable Info'!N726="","",CONCATENATE('Cable Info'!N726," - ",'Cable Info'!O726))</f>
        <v/>
      </c>
      <c r="AR1022" s="121" t="str">
        <f t="shared" si="180"/>
        <v/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str">
        <f>IF('Cable Info'!N727="","",CONCATENATE('Cable Info'!N727," - ",'Cable Info'!O727))</f>
        <v/>
      </c>
      <c r="AR1023" s="121" t="str">
        <f t="shared" si="180"/>
        <v/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str">
        <f>IF('Cable Info'!N728="","",CONCATENATE('Cable Info'!N728," - ",'Cable Info'!O728))</f>
        <v/>
      </c>
      <c r="AR1024" s="121" t="str">
        <f t="shared" si="180"/>
        <v/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str">
        <f>IF('Cable Info'!N729="","",CONCATENATE('Cable Info'!N729," - ",'Cable Info'!O729))</f>
        <v/>
      </c>
      <c r="AR1025" s="121" t="str">
        <f t="shared" si="180"/>
        <v/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str">
        <f>IF('Cable Info'!N730="","",CONCATENATE('Cable Info'!N730," - ",'Cable Info'!O730))</f>
        <v/>
      </c>
      <c r="AR1026" s="121" t="str">
        <f t="shared" si="180"/>
        <v/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str">
        <f>IF('Cable Info'!N731="","",CONCATENATE('Cable Info'!N731," - ",'Cable Info'!O731))</f>
        <v/>
      </c>
      <c r="AR1027" s="121" t="str">
        <f t="shared" si="180"/>
        <v/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str">
        <f>IF('Cable Info'!N732="","",CONCATENATE('Cable Info'!N732," - ",'Cable Info'!O732))</f>
        <v/>
      </c>
      <c r="AR1028" s="121" t="str">
        <f t="shared" si="180"/>
        <v/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str">
        <f>IF('Cable Info'!N733="","",CONCATENATE('Cable Info'!N733," - ",'Cable Info'!O733))</f>
        <v/>
      </c>
      <c r="AR1029" s="121" t="str">
        <f t="shared" si="180"/>
        <v/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str">
        <f>IF('Cable Info'!N734="","",CONCATENATE('Cable Info'!N734," - ",'Cable Info'!O734))</f>
        <v/>
      </c>
      <c r="AR1030" s="121" t="str">
        <f t="shared" si="180"/>
        <v/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str">
        <f>IF('Cable Info'!N735="","",CONCATENATE('Cable Info'!N735," - ",'Cable Info'!O735))</f>
        <v/>
      </c>
      <c r="AR1031" s="121" t="str">
        <f t="shared" si="180"/>
        <v/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str">
        <f>IF('Cable Info'!N736="","",CONCATENATE('Cable Info'!N736," - ",'Cable Info'!O736))</f>
        <v/>
      </c>
      <c r="AR1032" s="121" t="str">
        <f t="shared" si="180"/>
        <v/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str">
        <f>IF('Cable Info'!N737="","",CONCATENATE('Cable Info'!N737," - ",'Cable Info'!O737))</f>
        <v/>
      </c>
      <c r="AR1033" s="121" t="str">
        <f t="shared" si="180"/>
        <v/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str">
        <f>IF('Cable Info'!N738="","",CONCATENATE('Cable Info'!N738," - ",'Cable Info'!O738))</f>
        <v/>
      </c>
      <c r="AR1034" s="121" t="str">
        <f t="shared" si="180"/>
        <v/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str">
        <f>IF('Cable Info'!N739="","",CONCATENATE('Cable Info'!N739," - ",'Cable Info'!O739))</f>
        <v/>
      </c>
      <c r="AR1035" s="121" t="str">
        <f t="shared" si="180"/>
        <v/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str">
        <f>IF('Cable Info'!N740="","",CONCATENATE('Cable Info'!N740," - ",'Cable Info'!O740))</f>
        <v/>
      </c>
      <c r="AR1036" s="121" t="str">
        <f t="shared" si="180"/>
        <v/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str">
        <f>IF('Cable Info'!N741="","",CONCATENATE('Cable Info'!N741," - ",'Cable Info'!O741))</f>
        <v/>
      </c>
      <c r="AR1037" s="121" t="str">
        <f t="shared" si="180"/>
        <v/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str">
        <f>IF('Cable Info'!N742="","",CONCATENATE('Cable Info'!N742," - ",'Cable Info'!O742))</f>
        <v/>
      </c>
      <c r="AR1038" s="121" t="str">
        <f t="shared" si="180"/>
        <v/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str">
        <f>IF('Cable Info'!N743="","",CONCATENATE('Cable Info'!N743," - ",'Cable Info'!O743))</f>
        <v/>
      </c>
      <c r="AR1039" s="121" t="str">
        <f t="shared" si="180"/>
        <v/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str">
        <f>IF('Cable Info'!N744="","",CONCATENATE('Cable Info'!N744," - ",'Cable Info'!O744))</f>
        <v/>
      </c>
      <c r="AR1040" s="121" t="str">
        <f t="shared" si="180"/>
        <v/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str">
        <f>IF('Cable Info'!N745="","",CONCATENATE('Cable Info'!N745," - ",'Cable Info'!O745))</f>
        <v/>
      </c>
      <c r="AR1041" s="121" t="str">
        <f t="shared" si="180"/>
        <v/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str">
        <f>IF('Cable Info'!N746="","",CONCATENATE('Cable Info'!N746," - ",'Cable Info'!O746))</f>
        <v/>
      </c>
      <c r="AR1042" s="121" t="str">
        <f t="shared" si="180"/>
        <v/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str">
        <f>IF('Cable Info'!N747="","",CONCATENATE('Cable Info'!N747," - ",'Cable Info'!O747))</f>
        <v/>
      </c>
      <c r="AR1043" s="121" t="str">
        <f t="shared" si="180"/>
        <v/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str">
        <f>IF('Cable Info'!N748="","",CONCATENATE('Cable Info'!N748," - ",'Cable Info'!O748))</f>
        <v/>
      </c>
      <c r="AR1044" s="121" t="str">
        <f t="shared" si="180"/>
        <v/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str">
        <f>IF('Cable Info'!N749="","",CONCATENATE('Cable Info'!N749," - ",'Cable Info'!O749))</f>
        <v/>
      </c>
      <c r="AR1045" s="121" t="str">
        <f t="shared" si="180"/>
        <v/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str">
        <f>IF('Cable Info'!N750="","",CONCATENATE('Cable Info'!N750," - ",'Cable Info'!O750))</f>
        <v/>
      </c>
      <c r="AR1046" s="121" t="str">
        <f t="shared" si="180"/>
        <v/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str">
        <f>IF('Cable Info'!N751="","",CONCATENATE('Cable Info'!N751," - ",'Cable Info'!O751))</f>
        <v/>
      </c>
      <c r="AR1047" s="121" t="str">
        <f t="shared" si="180"/>
        <v/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str">
        <f>IF('Cable Info'!N752="","",CONCATENATE('Cable Info'!N752," - ",'Cable Info'!O752))</f>
        <v/>
      </c>
      <c r="AR1048" s="121" t="str">
        <f t="shared" si="180"/>
        <v/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str">
        <f>IF('Cable Info'!N753="","",CONCATENATE('Cable Info'!N753," - ",'Cable Info'!O753))</f>
        <v/>
      </c>
      <c r="AR1049" s="121" t="str">
        <f t="shared" si="180"/>
        <v/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str">
        <f>IF('Cable Info'!N754="","",CONCATENATE('Cable Info'!N754," - ",'Cable Info'!O754))</f>
        <v/>
      </c>
      <c r="AR1050" s="121" t="str">
        <f t="shared" si="180"/>
        <v/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str">
        <f>IF('Cable Info'!N755="","",CONCATENATE('Cable Info'!N755," - ",'Cable Info'!O755))</f>
        <v/>
      </c>
      <c r="AR1051" s="121" t="str">
        <f t="shared" si="180"/>
        <v/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str">
        <f>IF('Cable Info'!N756="","",CONCATENATE('Cable Info'!N756," - ",'Cable Info'!O756))</f>
        <v/>
      </c>
      <c r="AR1052" s="121" t="str">
        <f t="shared" si="180"/>
        <v/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str">
        <f>IF('Cable Info'!N757="","",CONCATENATE('Cable Info'!N757," - ",'Cable Info'!O757))</f>
        <v/>
      </c>
      <c r="AR1053" s="121" t="str">
        <f t="shared" si="180"/>
        <v/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str">
        <f>IF('Cable Info'!N758="","",CONCATENATE('Cable Info'!N758," - ",'Cable Info'!O758))</f>
        <v/>
      </c>
      <c r="AR1054" s="121" t="str">
        <f t="shared" si="180"/>
        <v/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str">
        <f>IF('Cable Info'!N759="","",CONCATENATE('Cable Info'!N759," - ",'Cable Info'!O759))</f>
        <v/>
      </c>
      <c r="AR1055" s="121" t="str">
        <f t="shared" si="180"/>
        <v/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str">
        <f>IF('Cable Info'!N760="","",CONCATENATE('Cable Info'!N760," - ",'Cable Info'!O760))</f>
        <v/>
      </c>
      <c r="AR1056" s="121" t="str">
        <f t="shared" si="180"/>
        <v/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str">
        <f>IF('Cable Info'!N761="","",CONCATENATE('Cable Info'!N761," - ",'Cable Info'!O761))</f>
        <v/>
      </c>
      <c r="AR1057" s="121" t="str">
        <f t="shared" si="180"/>
        <v/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str">
        <f>IF('Cable Info'!N762="","",CONCATENATE('Cable Info'!N762," - ",'Cable Info'!O762))</f>
        <v/>
      </c>
      <c r="AR1058" s="121" t="str">
        <f t="shared" si="180"/>
        <v/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str">
        <f>IF('Cable Info'!N763="","",CONCATENATE('Cable Info'!N763," - ",'Cable Info'!O763))</f>
        <v/>
      </c>
      <c r="AR1059" s="121" t="str">
        <f t="shared" si="180"/>
        <v/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str">
        <f>IF('Cable Info'!N764="","",CONCATENATE('Cable Info'!N764," - ",'Cable Info'!O764))</f>
        <v/>
      </c>
      <c r="AR1060" s="121" t="str">
        <f t="shared" si="180"/>
        <v/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str">
        <f>IF('Cable Info'!N765="","",CONCATENATE('Cable Info'!N765," - ",'Cable Info'!O765))</f>
        <v/>
      </c>
      <c r="AR1061" s="121" t="str">
        <f t="shared" si="180"/>
        <v/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str">
        <f>IF('Cable Info'!N766="","",CONCATENATE('Cable Info'!N766," - ",'Cable Info'!O766))</f>
        <v/>
      </c>
      <c r="AR1062" s="121" t="str">
        <f t="shared" si="180"/>
        <v/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str">
        <f>IF('Cable Info'!N767="","",CONCATENATE('Cable Info'!N767," - ",'Cable Info'!O767))</f>
        <v/>
      </c>
      <c r="AR1063" s="121" t="str">
        <f t="shared" si="180"/>
        <v/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str">
        <f>IF('Cable Info'!N768="","",CONCATENATE('Cable Info'!N768," - ",'Cable Info'!O768))</f>
        <v/>
      </c>
      <c r="AR1064" s="121" t="str">
        <f t="shared" si="180"/>
        <v/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str">
        <f>IF('Cable Info'!N769="","",CONCATENATE('Cable Info'!N769," - ",'Cable Info'!O769))</f>
        <v/>
      </c>
      <c r="AR1065" s="121" t="str">
        <f t="shared" si="180"/>
        <v/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str">
        <f>IF('Cable Info'!N770="","",CONCATENATE('Cable Info'!N770," - ",'Cable Info'!O770))</f>
        <v/>
      </c>
      <c r="AR1066" s="121" t="str">
        <f t="shared" si="180"/>
        <v/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str">
        <f>IF('Cable Info'!N771="","",CONCATENATE('Cable Info'!N771," - ",'Cable Info'!O771))</f>
        <v/>
      </c>
      <c r="AR1067" s="121" t="str">
        <f t="shared" ref="AR1067:AR1130" si="186">IF(AP1067="",AO1067,CONCATENATE(AO1067,"  &lt;=&gt; ",AP1067," ",AQ1067))</f>
        <v/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str">
        <f>IF('Cable Info'!N772="","",CONCATENATE('Cable Info'!N772," - ",'Cable Info'!O772))</f>
        <v/>
      </c>
      <c r="AR1068" s="121" t="str">
        <f t="shared" si="186"/>
        <v/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str">
        <f>IF('Cable Info'!N773="","",CONCATENATE('Cable Info'!N773," - ",'Cable Info'!O773))</f>
        <v/>
      </c>
      <c r="AR1069" s="121" t="str">
        <f t="shared" si="186"/>
        <v/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str">
        <f>IF('Cable Info'!N774="","",CONCATENATE('Cable Info'!N774," - ",'Cable Info'!O774))</f>
        <v/>
      </c>
      <c r="AR1070" s="121" t="str">
        <f t="shared" si="186"/>
        <v/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str">
        <f>IF('Cable Info'!N775="","",CONCATENATE('Cable Info'!N775," - ",'Cable Info'!O775))</f>
        <v/>
      </c>
      <c r="AR1071" s="121" t="str">
        <f t="shared" si="186"/>
        <v/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str">
        <f>IF('Cable Info'!N776="","",CONCATENATE('Cable Info'!N776," - ",'Cable Info'!O776))</f>
        <v/>
      </c>
      <c r="AR1072" s="121" t="str">
        <f t="shared" si="186"/>
        <v/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str">
        <f>IF('Cable Info'!N777="","",CONCATENATE('Cable Info'!N777," - ",'Cable Info'!O777))</f>
        <v/>
      </c>
      <c r="AR1073" s="121" t="str">
        <f t="shared" si="186"/>
        <v/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str">
        <f>IF('Cable Info'!N778="","",CONCATENATE('Cable Info'!N778," - ",'Cable Info'!O778))</f>
        <v/>
      </c>
      <c r="AR1074" s="121" t="str">
        <f t="shared" si="186"/>
        <v/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str">
        <f>IF('Cable Info'!N779="","",CONCATENATE('Cable Info'!N779," - ",'Cable Info'!O779))</f>
        <v/>
      </c>
      <c r="AR1075" s="121" t="str">
        <f t="shared" si="186"/>
        <v/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str">
        <f>IF('Cable Info'!N780="","",CONCATENATE('Cable Info'!N780," - ",'Cable Info'!O780))</f>
        <v/>
      </c>
      <c r="AR1076" s="121" t="str">
        <f t="shared" si="186"/>
        <v/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str">
        <f>IF('Cable Info'!N781="","",CONCATENATE('Cable Info'!N781," - ",'Cable Info'!O781))</f>
        <v/>
      </c>
      <c r="AR1077" s="121" t="str">
        <f t="shared" si="186"/>
        <v/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str">
        <f>IF('Cable Info'!N782="","",CONCATENATE('Cable Info'!N782," - ",'Cable Info'!O782))</f>
        <v/>
      </c>
      <c r="AR1078" s="121" t="str">
        <f t="shared" si="186"/>
        <v/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str">
        <f>IF('Cable Info'!N783="","",CONCATENATE('Cable Info'!N783," - ",'Cable Info'!O783))</f>
        <v/>
      </c>
      <c r="AR1079" s="121" t="str">
        <f t="shared" si="186"/>
        <v/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str">
        <f>IF('Cable Info'!N784="","",CONCATENATE('Cable Info'!N784," - ",'Cable Info'!O784))</f>
        <v/>
      </c>
      <c r="AR1080" s="121" t="str">
        <f t="shared" si="186"/>
        <v/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str">
        <f>IF('Cable Info'!N785="","",CONCATENATE('Cable Info'!N785," - ",'Cable Info'!O785))</f>
        <v/>
      </c>
      <c r="AR1081" s="121" t="str">
        <f t="shared" si="186"/>
        <v/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str">
        <f>IF('Cable Info'!N786="","",CONCATENATE('Cable Info'!N786," - ",'Cable Info'!O786))</f>
        <v/>
      </c>
      <c r="AR1082" s="121" t="str">
        <f t="shared" si="186"/>
        <v/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str">
        <f>IF('Cable Info'!N787="","",CONCATENATE('Cable Info'!N787," - ",'Cable Info'!O787))</f>
        <v/>
      </c>
      <c r="AR1083" s="121" t="str">
        <f t="shared" si="186"/>
        <v/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str">
        <f>IF('Cable Info'!N788="","",CONCATENATE('Cable Info'!N788," - ",'Cable Info'!O788))</f>
        <v/>
      </c>
      <c r="AR1084" s="121" t="str">
        <f t="shared" si="186"/>
        <v/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str">
        <f>IF('Cable Info'!N789="","",CONCATENATE('Cable Info'!N789," - ",'Cable Info'!O789))</f>
        <v/>
      </c>
      <c r="AR1085" s="121" t="str">
        <f t="shared" si="186"/>
        <v/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str">
        <f>IF('Cable Info'!N790="","",CONCATENATE('Cable Info'!N790," - ",'Cable Info'!O790))</f>
        <v/>
      </c>
      <c r="AR1086" s="121" t="str">
        <f t="shared" si="186"/>
        <v/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str">
        <f>IF('Cable Info'!N791="","",CONCATENATE('Cable Info'!N791," - ",'Cable Info'!O791))</f>
        <v/>
      </c>
      <c r="AR1087" s="121" t="str">
        <f t="shared" si="186"/>
        <v/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str">
        <f>IF('Cable Info'!N792="","",CONCATENATE('Cable Info'!N792," - ",'Cable Info'!O792))</f>
        <v/>
      </c>
      <c r="AR1088" s="121" t="str">
        <f t="shared" si="186"/>
        <v/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str">
        <f>IF('Cable Info'!N793="","",CONCATENATE('Cable Info'!N793," - ",'Cable Info'!O793))</f>
        <v/>
      </c>
      <c r="AR1089" s="121" t="str">
        <f t="shared" si="186"/>
        <v/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str">
        <f>IF('Cable Info'!N794="","",CONCATENATE('Cable Info'!N794," - ",'Cable Info'!O794))</f>
        <v/>
      </c>
      <c r="AR1090" s="121" t="str">
        <f t="shared" si="186"/>
        <v/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str">
        <f>IF('Cable Info'!N795="","",CONCATENATE('Cable Info'!N795," - ",'Cable Info'!O795))</f>
        <v/>
      </c>
      <c r="AR1091" s="121" t="str">
        <f t="shared" si="186"/>
        <v/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str">
        <f>IF('Cable Info'!N796="","",CONCATENATE('Cable Info'!N796," - ",'Cable Info'!O796))</f>
        <v/>
      </c>
      <c r="AR1092" s="121" t="str">
        <f t="shared" si="186"/>
        <v/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str">
        <f>IF('Cable Info'!N797="","",CONCATENATE('Cable Info'!N797," - ",'Cable Info'!O797))</f>
        <v/>
      </c>
      <c r="AR1093" s="121" t="str">
        <f t="shared" si="186"/>
        <v/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str">
        <f>IF('Cable Info'!N798="","",CONCATENATE('Cable Info'!N798," - ",'Cable Info'!O798))</f>
        <v/>
      </c>
      <c r="AR1094" s="121" t="str">
        <f t="shared" si="186"/>
        <v/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str">
        <f>IF('Cable Info'!N799="","",CONCATENATE('Cable Info'!N799," - ",'Cable Info'!O799))</f>
        <v/>
      </c>
      <c r="AR1095" s="121" t="str">
        <f t="shared" si="186"/>
        <v/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str">
        <f>IF('Cable Info'!N800="","",CONCATENATE('Cable Info'!N800," - ",'Cable Info'!O800))</f>
        <v/>
      </c>
      <c r="AR1096" s="121" t="str">
        <f t="shared" si="186"/>
        <v/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str">
        <f>IF('Cable Info'!N801="","",CONCATENATE('Cable Info'!N801," - ",'Cable Info'!O801))</f>
        <v/>
      </c>
      <c r="AR1097" s="121" t="str">
        <f t="shared" si="186"/>
        <v/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str">
        <f>IF('Cable Info'!N802="","",CONCATENATE('Cable Info'!N802," - ",'Cable Info'!O802))</f>
        <v/>
      </c>
      <c r="AR1098" s="121" t="str">
        <f t="shared" si="186"/>
        <v/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str">
        <f>IF('Cable Info'!N803="","",CONCATENATE('Cable Info'!N803," - ",'Cable Info'!O803))</f>
        <v/>
      </c>
      <c r="AR1099" s="121" t="str">
        <f t="shared" si="186"/>
        <v/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str">
        <f>IF('Cable Info'!N804="","",CONCATENATE('Cable Info'!N804," - ",'Cable Info'!O804))</f>
        <v/>
      </c>
      <c r="AR1100" s="121" t="str">
        <f t="shared" si="186"/>
        <v/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str">
        <f>IF('Cable Info'!N805="","",CONCATENATE('Cable Info'!N805," - ",'Cable Info'!O805))</f>
        <v/>
      </c>
      <c r="AR1101" s="121" t="str">
        <f t="shared" si="186"/>
        <v/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str">
        <f>IF('Cable Info'!N806="","",CONCATENATE('Cable Info'!N806," - ",'Cable Info'!O806))</f>
        <v/>
      </c>
      <c r="AR1102" s="121" t="str">
        <f t="shared" si="186"/>
        <v/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str">
        <f>IF('Cable Info'!N807="","",CONCATENATE('Cable Info'!N807," - ",'Cable Info'!O807))</f>
        <v/>
      </c>
      <c r="AR1103" s="121" t="str">
        <f t="shared" si="186"/>
        <v/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str">
        <f>IF('Cable Info'!N808="","",CONCATENATE('Cable Info'!N808," - ",'Cable Info'!O808))</f>
        <v/>
      </c>
      <c r="AR1104" s="121" t="str">
        <f t="shared" si="186"/>
        <v/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str">
        <f>IF('Cable Info'!N809="","",CONCATENATE('Cable Info'!N809," - ",'Cable Info'!O809))</f>
        <v/>
      </c>
      <c r="AR1105" s="121" t="str">
        <f t="shared" si="186"/>
        <v/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str">
        <f>IF('Cable Info'!N810="","",CONCATENATE('Cable Info'!N810," - ",'Cable Info'!O810))</f>
        <v/>
      </c>
      <c r="AR1106" s="121" t="str">
        <f t="shared" si="186"/>
        <v/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str">
        <f>IF('Cable Info'!N811="","",CONCATENATE('Cable Info'!N811," - ",'Cable Info'!O811))</f>
        <v/>
      </c>
      <c r="AR1107" s="121" t="str">
        <f t="shared" si="186"/>
        <v/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str">
        <f>IF('Cable Info'!N812="","",CONCATENATE('Cable Info'!N812," - ",'Cable Info'!O812))</f>
        <v/>
      </c>
      <c r="AR1108" s="121" t="str">
        <f t="shared" si="186"/>
        <v/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str">
        <f>IF('Cable Info'!N813="","",CONCATENATE('Cable Info'!N813," - ",'Cable Info'!O813))</f>
        <v/>
      </c>
      <c r="AR1109" s="121" t="str">
        <f t="shared" si="186"/>
        <v/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str">
        <f>IF('Cable Info'!N814="","",CONCATENATE('Cable Info'!N814," - ",'Cable Info'!O814))</f>
        <v/>
      </c>
      <c r="AR1110" s="121" t="str">
        <f t="shared" si="186"/>
        <v/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str">
        <f>IF('Cable Info'!N815="","",CONCATENATE('Cable Info'!N815," - ",'Cable Info'!O815))</f>
        <v/>
      </c>
      <c r="AR1111" s="121" t="str">
        <f t="shared" si="186"/>
        <v/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str">
        <f>IF('Cable Info'!N816="","",CONCATENATE('Cable Info'!N816," - ",'Cable Info'!O816))</f>
        <v/>
      </c>
      <c r="AR1112" s="121" t="str">
        <f t="shared" si="186"/>
        <v/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str">
        <f>IF('Cable Info'!N817="","",CONCATENATE('Cable Info'!N817," - ",'Cable Info'!O817))</f>
        <v/>
      </c>
      <c r="AR1113" s="121" t="str">
        <f t="shared" si="186"/>
        <v/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str">
        <f>IF('Cable Info'!N818="","",CONCATENATE('Cable Info'!N818," - ",'Cable Info'!O818))</f>
        <v/>
      </c>
      <c r="AR1114" s="121" t="str">
        <f t="shared" si="186"/>
        <v/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str">
        <f>IF('Cable Info'!N819="","",CONCATENATE('Cable Info'!N819," - ",'Cable Info'!O819))</f>
        <v/>
      </c>
      <c r="AR1115" s="121" t="str">
        <f t="shared" si="186"/>
        <v/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str">
        <f>IF('Cable Info'!N820="","",CONCATENATE('Cable Info'!N820," - ",'Cable Info'!O820))</f>
        <v/>
      </c>
      <c r="AR1116" s="121" t="str">
        <f t="shared" si="186"/>
        <v/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str">
        <f>IF('Cable Info'!N821="","",CONCATENATE('Cable Info'!N821," - ",'Cable Info'!O821))</f>
        <v/>
      </c>
      <c r="AR1117" s="121" t="str">
        <f t="shared" si="186"/>
        <v/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str">
        <f>IF('Cable Info'!N822="","",CONCATENATE('Cable Info'!N822," - ",'Cable Info'!O822))</f>
        <v/>
      </c>
      <c r="AR1118" s="121" t="str">
        <f t="shared" si="186"/>
        <v/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str">
        <f>IF('Cable Info'!N823="","",CONCATENATE('Cable Info'!N823," - ",'Cable Info'!O823))</f>
        <v/>
      </c>
      <c r="AR1119" s="121" t="str">
        <f t="shared" si="186"/>
        <v/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str">
        <f>IF('Cable Info'!N824="","",CONCATENATE('Cable Info'!N824," - ",'Cable Info'!O824))</f>
        <v/>
      </c>
      <c r="AR1120" s="121" t="str">
        <f t="shared" si="186"/>
        <v/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str">
        <f>IF('Cable Info'!N825="","",CONCATENATE('Cable Info'!N825," - ",'Cable Info'!O825))</f>
        <v/>
      </c>
      <c r="AR1121" s="121" t="str">
        <f t="shared" si="186"/>
        <v/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str">
        <f>IF('Cable Info'!N826="","",CONCATENATE('Cable Info'!N826," - ",'Cable Info'!O826))</f>
        <v/>
      </c>
      <c r="AR1122" s="121" t="str">
        <f t="shared" si="186"/>
        <v/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str">
        <f>IF('Cable Info'!N827="","",CONCATENATE('Cable Info'!N827," - ",'Cable Info'!O827))</f>
        <v/>
      </c>
      <c r="AR1123" s="121" t="str">
        <f t="shared" si="186"/>
        <v/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str">
        <f>IF('Cable Info'!N828="","",CONCATENATE('Cable Info'!N828," - ",'Cable Info'!O828))</f>
        <v/>
      </c>
      <c r="AR1124" s="121" t="str">
        <f t="shared" si="186"/>
        <v/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str">
        <f>IF('Cable Info'!N829="","",CONCATENATE('Cable Info'!N829," - ",'Cable Info'!O829))</f>
        <v/>
      </c>
      <c r="AR1125" s="121" t="str">
        <f t="shared" si="186"/>
        <v/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str">
        <f>IF('Cable Info'!N830="","",CONCATENATE('Cable Info'!N830," - ",'Cable Info'!O830))</f>
        <v/>
      </c>
      <c r="AR1126" s="121" t="str">
        <f t="shared" si="186"/>
        <v/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str">
        <f>IF('Cable Info'!N831="","",CONCATENATE('Cable Info'!N831," - ",'Cable Info'!O831))</f>
        <v/>
      </c>
      <c r="AR1127" s="121" t="str">
        <f t="shared" si="186"/>
        <v/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str">
        <f>IF('Cable Info'!N832="","",CONCATENATE('Cable Info'!N832," - ",'Cable Info'!O832))</f>
        <v/>
      </c>
      <c r="AR1128" s="121" t="str">
        <f t="shared" si="186"/>
        <v/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str">
        <f>IF('Cable Info'!N833="","",CONCATENATE('Cable Info'!N833," - ",'Cable Info'!O833))</f>
        <v/>
      </c>
      <c r="AR1129" s="121" t="str">
        <f t="shared" si="186"/>
        <v/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str">
        <f>IF('Cable Info'!N834="","",CONCATENATE('Cable Info'!N834," - ",'Cable Info'!O834))</f>
        <v/>
      </c>
      <c r="AR1130" s="121" t="str">
        <f t="shared" si="186"/>
        <v/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str">
        <f>IF('Cable Info'!N835="","",CONCATENATE('Cable Info'!N835," - ",'Cable Info'!O835))</f>
        <v/>
      </c>
      <c r="AR1131" s="121" t="str">
        <f t="shared" ref="AR1131:AR1161" si="192">IF(AP1131="",AO1131,CONCATENATE(AO1131,"  &lt;=&gt; ",AP1131," ",AQ1131))</f>
        <v/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str">
        <f>IF('Cable Info'!N836="","",CONCATENATE('Cable Info'!N836," - ",'Cable Info'!O836))</f>
        <v/>
      </c>
      <c r="AR1132" s="121" t="str">
        <f t="shared" si="192"/>
        <v/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str">
        <f>IF('Cable Info'!N837="","",CONCATENATE('Cable Info'!N837," - ",'Cable Info'!O837))</f>
        <v/>
      </c>
      <c r="AR1133" s="121" t="str">
        <f t="shared" si="192"/>
        <v/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str">
        <f>IF('Cable Info'!N838="","",CONCATENATE('Cable Info'!N838," - ",'Cable Info'!O838))</f>
        <v/>
      </c>
      <c r="AR1134" s="121" t="str">
        <f t="shared" si="192"/>
        <v/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str">
        <f>IF('Cable Info'!N839="","",CONCATENATE('Cable Info'!N839," - ",'Cable Info'!O839))</f>
        <v/>
      </c>
      <c r="AR1135" s="121" t="str">
        <f t="shared" si="192"/>
        <v/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str">
        <f>IF('Cable Info'!N840="","",CONCATENATE('Cable Info'!N840," - ",'Cable Info'!O840))</f>
        <v/>
      </c>
      <c r="AR1136" s="121" t="str">
        <f t="shared" si="192"/>
        <v/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str">
        <f>IF('Cable Info'!N841="","",CONCATENATE('Cable Info'!N841," - ",'Cable Info'!O841))</f>
        <v/>
      </c>
      <c r="AR1137" s="121" t="str">
        <f t="shared" si="192"/>
        <v/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str">
        <f>IF('Cable Info'!N842="","",CONCATENATE('Cable Info'!N842," - ",'Cable Info'!O842))</f>
        <v/>
      </c>
      <c r="AR1138" s="121" t="str">
        <f t="shared" si="192"/>
        <v/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str">
        <f>IF('Cable Info'!N843="","",CONCATENATE('Cable Info'!N843," - ",'Cable Info'!O843))</f>
        <v/>
      </c>
      <c r="AR1139" s="121" t="str">
        <f t="shared" si="192"/>
        <v/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str">
        <f>IF('Cable Info'!N844="","",CONCATENATE('Cable Info'!N844," - ",'Cable Info'!O844))</f>
        <v/>
      </c>
      <c r="AR1140" s="121" t="str">
        <f t="shared" si="192"/>
        <v/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str">
        <f>IF('Cable Info'!N845="","",CONCATENATE('Cable Info'!N845," - ",'Cable Info'!O845))</f>
        <v/>
      </c>
      <c r="AR1141" s="121" t="str">
        <f t="shared" si="192"/>
        <v/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str">
        <f>IF('Cable Info'!N846="","",CONCATENATE('Cable Info'!N846," - ",'Cable Info'!O846))</f>
        <v/>
      </c>
      <c r="AR1142" s="121" t="str">
        <f t="shared" si="192"/>
        <v/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str">
        <f>IF('Cable Info'!N847="","",CONCATENATE('Cable Info'!N847," - ",'Cable Info'!O847))</f>
        <v/>
      </c>
      <c r="AR1143" s="121" t="str">
        <f t="shared" si="192"/>
        <v/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str">
        <f>IF('Cable Info'!N848="","",CONCATENATE('Cable Info'!N848," - ",'Cable Info'!O848))</f>
        <v/>
      </c>
      <c r="AR1144" s="121" t="str">
        <f t="shared" si="192"/>
        <v/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str">
        <f>IF('Cable Info'!N849="","",CONCATENATE('Cable Info'!N849," - ",'Cable Info'!O849))</f>
        <v/>
      </c>
      <c r="AR1145" s="121" t="str">
        <f t="shared" si="192"/>
        <v/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str">
        <f>IF('Cable Info'!N850="","",CONCATENATE('Cable Info'!N850," - ",'Cable Info'!O850))</f>
        <v/>
      </c>
      <c r="AR1146" s="121" t="str">
        <f t="shared" si="192"/>
        <v/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str">
        <f>IF('Cable Info'!N851="","",CONCATENATE('Cable Info'!N851," - ",'Cable Info'!O851))</f>
        <v/>
      </c>
      <c r="AR1147" s="121" t="str">
        <f t="shared" si="192"/>
        <v/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str">
        <f>IF('Cable Info'!N852="","",CONCATENATE('Cable Info'!N852," - ",'Cable Info'!O852))</f>
        <v/>
      </c>
      <c r="AR1148" s="121" t="str">
        <f t="shared" si="192"/>
        <v/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str">
        <f>IF('Cable Info'!N853="","",CONCATENATE('Cable Info'!N853," - ",'Cable Info'!O853))</f>
        <v/>
      </c>
      <c r="AR1149" s="121" t="str">
        <f t="shared" si="192"/>
        <v/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str">
        <f>IF('Cable Info'!N854="","",CONCATENATE('Cable Info'!N854," - ",'Cable Info'!O854))</f>
        <v/>
      </c>
      <c r="AR1150" s="121" t="str">
        <f t="shared" si="192"/>
        <v/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str">
        <f>IF('Cable Info'!N855="","",CONCATENATE('Cable Info'!N855," - ",'Cable Info'!O855))</f>
        <v/>
      </c>
      <c r="AR1151" s="121" t="str">
        <f t="shared" si="192"/>
        <v/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str">
        <f>IF('Cable Info'!N856="","",CONCATENATE('Cable Info'!N856," - ",'Cable Info'!O856))</f>
        <v/>
      </c>
      <c r="AR1152" s="121" t="str">
        <f t="shared" si="192"/>
        <v/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str">
        <f>IF('Cable Info'!N857="","",CONCATENATE('Cable Info'!N857," - ",'Cable Info'!O857))</f>
        <v/>
      </c>
      <c r="AR1153" s="121" t="str">
        <f t="shared" si="192"/>
        <v/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str">
        <f>IF('Cable Info'!N858="","",CONCATENATE('Cable Info'!N858," - ",'Cable Info'!O858))</f>
        <v/>
      </c>
      <c r="AR1154" s="121" t="str">
        <f t="shared" si="192"/>
        <v/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str">
        <f>IF('Cable Info'!N859="","",CONCATENATE('Cable Info'!N859," - ",'Cable Info'!O859))</f>
        <v/>
      </c>
      <c r="AR1155" s="121" t="str">
        <f t="shared" si="192"/>
        <v/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str">
        <f>IF('Cable Info'!N860="","",CONCATENATE('Cable Info'!N860," - ",'Cable Info'!O860))</f>
        <v/>
      </c>
      <c r="AR1156" s="121" t="str">
        <f t="shared" si="192"/>
        <v/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str">
        <f>IF('Cable Info'!N861="","",CONCATENATE('Cable Info'!N861," - ",'Cable Info'!O861))</f>
        <v/>
      </c>
      <c r="AR1157" s="121" t="str">
        <f t="shared" si="192"/>
        <v/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str">
        <f>IF('Cable Info'!N862="","",CONCATENATE('Cable Info'!N862," - ",'Cable Info'!O862))</f>
        <v/>
      </c>
      <c r="AR1158" s="121" t="str">
        <f t="shared" si="192"/>
        <v/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str">
        <f>IF('Cable Info'!N863="","",CONCATENATE('Cable Info'!N863," - ",'Cable Info'!O863))</f>
        <v/>
      </c>
      <c r="AR1159" s="121" t="str">
        <f t="shared" si="192"/>
        <v/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str">
        <f>IF('Cable Info'!N864="","",CONCATENATE('Cable Info'!N864," - ",'Cable Info'!O864))</f>
        <v/>
      </c>
      <c r="AR1160" s="121" t="str">
        <f t="shared" si="192"/>
        <v/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str">
        <f>IF('Cable Info'!N865="","",CONCATENATE('Cable Info'!N865," - ",'Cable Info'!O865))</f>
        <v/>
      </c>
      <c r="AR1161" s="121" t="str">
        <f t="shared" si="192"/>
        <v/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Nicholas Andrus</cp:lastModifiedBy>
  <cp:lastPrinted>2013-11-22T22:56:05Z</cp:lastPrinted>
  <dcterms:created xsi:type="dcterms:W3CDTF">1998-05-29T15:48:38Z</dcterms:created>
  <dcterms:modified xsi:type="dcterms:W3CDTF">2016-10-27T17:11:54Z</dcterms:modified>
</cp:coreProperties>
</file>