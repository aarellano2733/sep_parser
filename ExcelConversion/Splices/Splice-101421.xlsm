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396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C14" i="3"/>
  <c r="H14" i="3"/>
  <c r="M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3" i="3" l="1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T754" i="7"/>
  <c r="U754" i="7" s="1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T648" i="7"/>
  <c r="U648" i="7" s="1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N646" i="7"/>
  <c r="O646" i="7" s="1"/>
  <c r="L646" i="7"/>
  <c r="M646" i="7" s="1"/>
  <c r="V645" i="7"/>
  <c r="W645" i="7" s="1"/>
  <c r="T645" i="7"/>
  <c r="U645" i="7" s="1"/>
  <c r="S645" i="7"/>
  <c r="R645" i="7"/>
  <c r="P645" i="7"/>
  <c r="Q645" i="7" s="1"/>
  <c r="N645" i="7"/>
  <c r="O645" i="7" s="1"/>
  <c r="L645" i="7"/>
  <c r="M645" i="7" s="1"/>
  <c r="V644" i="7"/>
  <c r="W644" i="7" s="1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N640" i="7"/>
  <c r="O640" i="7" s="1"/>
  <c r="L640" i="7"/>
  <c r="M640" i="7" s="1"/>
  <c r="V639" i="7"/>
  <c r="W639" i="7" s="1"/>
  <c r="T639" i="7"/>
  <c r="U639" i="7" s="1"/>
  <c r="S639" i="7"/>
  <c r="R639" i="7"/>
  <c r="P639" i="7"/>
  <c r="Q639" i="7" s="1"/>
  <c r="N639" i="7"/>
  <c r="O639" i="7" s="1"/>
  <c r="L639" i="7"/>
  <c r="M639" i="7" s="1"/>
  <c r="V638" i="7"/>
  <c r="W638" i="7" s="1"/>
  <c r="T638" i="7"/>
  <c r="U638" i="7" s="1"/>
  <c r="R638" i="7"/>
  <c r="S638" i="7" s="1"/>
  <c r="P638" i="7"/>
  <c r="Q638" i="7" s="1"/>
  <c r="N638" i="7"/>
  <c r="O638" i="7" s="1"/>
  <c r="L638" i="7"/>
  <c r="M638" i="7" s="1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N635" i="7"/>
  <c r="O635" i="7" s="1"/>
  <c r="L635" i="7"/>
  <c r="M635" i="7" s="1"/>
  <c r="W634" i="7"/>
  <c r="V634" i="7"/>
  <c r="T634" i="7"/>
  <c r="U634" i="7" s="1"/>
  <c r="R634" i="7"/>
  <c r="S634" i="7" s="1"/>
  <c r="P634" i="7"/>
  <c r="Q634" i="7" s="1"/>
  <c r="N634" i="7"/>
  <c r="O634" i="7" s="1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R631" i="7"/>
  <c r="S631" i="7" s="1"/>
  <c r="P631" i="7"/>
  <c r="Q631" i="7" s="1"/>
  <c r="N631" i="7"/>
  <c r="O631" i="7" s="1"/>
  <c r="L631" i="7"/>
  <c r="M631" i="7" s="1"/>
  <c r="W630" i="7"/>
  <c r="V630" i="7"/>
  <c r="T630" i="7"/>
  <c r="U630" i="7" s="1"/>
  <c r="R630" i="7"/>
  <c r="S630" i="7" s="1"/>
  <c r="P630" i="7"/>
  <c r="Q630" i="7" s="1"/>
  <c r="N630" i="7"/>
  <c r="O630" i="7" s="1"/>
  <c r="L630" i="7"/>
  <c r="M630" i="7" s="1"/>
  <c r="W629" i="7"/>
  <c r="V629" i="7"/>
  <c r="T629" i="7"/>
  <c r="U629" i="7" s="1"/>
  <c r="R629" i="7"/>
  <c r="S629" i="7" s="1"/>
  <c r="P629" i="7"/>
  <c r="Q629" i="7" s="1"/>
  <c r="N629" i="7"/>
  <c r="O629" i="7" s="1"/>
  <c r="L629" i="7"/>
  <c r="M629" i="7" s="1"/>
  <c r="W628" i="7"/>
  <c r="V628" i="7"/>
  <c r="T628" i="7"/>
  <c r="U628" i="7" s="1"/>
  <c r="R628" i="7"/>
  <c r="S628" i="7" s="1"/>
  <c r="P628" i="7"/>
  <c r="Q628" i="7" s="1"/>
  <c r="O628" i="7"/>
  <c r="N628" i="7"/>
  <c r="L628" i="7"/>
  <c r="M628" i="7" s="1"/>
  <c r="V627" i="7"/>
  <c r="W627" i="7" s="1"/>
  <c r="T627" i="7"/>
  <c r="U627" i="7" s="1"/>
  <c r="R627" i="7"/>
  <c r="S627" i="7" s="1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V622" i="7"/>
  <c r="W622" i="7" s="1"/>
  <c r="T622" i="7"/>
  <c r="U622" i="7" s="1"/>
  <c r="R622" i="7"/>
  <c r="S622" i="7" s="1"/>
  <c r="P622" i="7"/>
  <c r="Q622" i="7" s="1"/>
  <c r="N622" i="7"/>
  <c r="O622" i="7" s="1"/>
  <c r="L622" i="7"/>
  <c r="M622" i="7" s="1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R620" i="7"/>
  <c r="S620" i="7" s="1"/>
  <c r="P620" i="7"/>
  <c r="Q620" i="7" s="1"/>
  <c r="N620" i="7"/>
  <c r="O620" i="7" s="1"/>
  <c r="L620" i="7"/>
  <c r="M620" i="7" s="1"/>
  <c r="V619" i="7"/>
  <c r="W619" i="7" s="1"/>
  <c r="T619" i="7"/>
  <c r="U619" i="7" s="1"/>
  <c r="R619" i="7"/>
  <c r="S619" i="7" s="1"/>
  <c r="P619" i="7"/>
  <c r="Q619" i="7" s="1"/>
  <c r="N619" i="7"/>
  <c r="O619" i="7" s="1"/>
  <c r="L619" i="7"/>
  <c r="M619" i="7" s="1"/>
  <c r="V618" i="7"/>
  <c r="W618" i="7" s="1"/>
  <c r="T618" i="7"/>
  <c r="U618" i="7" s="1"/>
  <c r="R618" i="7"/>
  <c r="S618" i="7" s="1"/>
  <c r="P618" i="7"/>
  <c r="Q618" i="7" s="1"/>
  <c r="O618" i="7"/>
  <c r="N618" i="7"/>
  <c r="L618" i="7"/>
  <c r="M618" i="7" s="1"/>
  <c r="V617" i="7"/>
  <c r="W617" i="7" s="1"/>
  <c r="T617" i="7"/>
  <c r="U617" i="7" s="1"/>
  <c r="S617" i="7"/>
  <c r="R617" i="7"/>
  <c r="P617" i="7"/>
  <c r="Q617" i="7" s="1"/>
  <c r="N617" i="7"/>
  <c r="O617" i="7" s="1"/>
  <c r="L617" i="7"/>
  <c r="M617" i="7" s="1"/>
  <c r="V616" i="7"/>
  <c r="W616" i="7" s="1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N615" i="7"/>
  <c r="O615" i="7" s="1"/>
  <c r="L615" i="7"/>
  <c r="M615" i="7" s="1"/>
  <c r="V614" i="7"/>
  <c r="W614" i="7" s="1"/>
  <c r="T614" i="7"/>
  <c r="U614" i="7" s="1"/>
  <c r="R614" i="7"/>
  <c r="S614" i="7" s="1"/>
  <c r="P614" i="7"/>
  <c r="Q614" i="7" s="1"/>
  <c r="N614" i="7"/>
  <c r="O614" i="7" s="1"/>
  <c r="L614" i="7"/>
  <c r="M614" i="7" s="1"/>
  <c r="V613" i="7"/>
  <c r="W613" i="7" s="1"/>
  <c r="T613" i="7"/>
  <c r="U613" i="7" s="1"/>
  <c r="S613" i="7"/>
  <c r="R613" i="7"/>
  <c r="P613" i="7"/>
  <c r="Q613" i="7" s="1"/>
  <c r="N613" i="7"/>
  <c r="O613" i="7" s="1"/>
  <c r="L613" i="7"/>
  <c r="M613" i="7" s="1"/>
  <c r="V612" i="7"/>
  <c r="W612" i="7" s="1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N610" i="7"/>
  <c r="O610" i="7" s="1"/>
  <c r="L610" i="7"/>
  <c r="M610" i="7" s="1"/>
  <c r="V609" i="7"/>
  <c r="W609" i="7" s="1"/>
  <c r="T609" i="7"/>
  <c r="U609" i="7" s="1"/>
  <c r="S609" i="7"/>
  <c r="R609" i="7"/>
  <c r="P609" i="7"/>
  <c r="Q609" i="7" s="1"/>
  <c r="N609" i="7"/>
  <c r="O609" i="7" s="1"/>
  <c r="L609" i="7"/>
  <c r="M609" i="7" s="1"/>
  <c r="V608" i="7"/>
  <c r="W608" i="7" s="1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V606" i="7"/>
  <c r="W606" i="7" s="1"/>
  <c r="T606" i="7"/>
  <c r="U606" i="7" s="1"/>
  <c r="R606" i="7"/>
  <c r="S606" i="7" s="1"/>
  <c r="P606" i="7"/>
  <c r="Q606" i="7" s="1"/>
  <c r="O606" i="7"/>
  <c r="N606" i="7"/>
  <c r="L606" i="7"/>
  <c r="M606" i="7" s="1"/>
  <c r="V605" i="7"/>
  <c r="W605" i="7" s="1"/>
  <c r="T605" i="7"/>
  <c r="U605" i="7" s="1"/>
  <c r="R605" i="7"/>
  <c r="S605" i="7" s="1"/>
  <c r="P605" i="7"/>
  <c r="Q605" i="7" s="1"/>
  <c r="N605" i="7"/>
  <c r="O605" i="7" s="1"/>
  <c r="L605" i="7"/>
  <c r="M605" i="7" s="1"/>
  <c r="V604" i="7"/>
  <c r="W604" i="7" s="1"/>
  <c r="T604" i="7"/>
  <c r="U604" i="7" s="1"/>
  <c r="S604" i="7"/>
  <c r="R604" i="7"/>
  <c r="P604" i="7"/>
  <c r="Q604" i="7" s="1"/>
  <c r="N604" i="7"/>
  <c r="O604" i="7" s="1"/>
  <c r="L604" i="7"/>
  <c r="M604" i="7" s="1"/>
  <c r="V603" i="7"/>
  <c r="W603" i="7" s="1"/>
  <c r="T603" i="7"/>
  <c r="U603" i="7" s="1"/>
  <c r="S603" i="7"/>
  <c r="R603" i="7"/>
  <c r="P603" i="7"/>
  <c r="Q603" i="7" s="1"/>
  <c r="N603" i="7"/>
  <c r="O603" i="7" s="1"/>
  <c r="L603" i="7"/>
  <c r="M603" i="7" s="1"/>
  <c r="W602" i="7"/>
  <c r="V602" i="7"/>
  <c r="T602" i="7"/>
  <c r="U602" i="7" s="1"/>
  <c r="R602" i="7"/>
  <c r="S602" i="7" s="1"/>
  <c r="P602" i="7"/>
  <c r="Q602" i="7" s="1"/>
  <c r="N602" i="7"/>
  <c r="O602" i="7" s="1"/>
  <c r="L602" i="7"/>
  <c r="M602" i="7" s="1"/>
  <c r="W601" i="7"/>
  <c r="V601" i="7"/>
  <c r="T601" i="7"/>
  <c r="U601" i="7" s="1"/>
  <c r="R601" i="7"/>
  <c r="S601" i="7" s="1"/>
  <c r="P601" i="7"/>
  <c r="Q601" i="7" s="1"/>
  <c r="N601" i="7"/>
  <c r="O601" i="7" s="1"/>
  <c r="L601" i="7"/>
  <c r="M601" i="7" s="1"/>
  <c r="W600" i="7"/>
  <c r="V600" i="7"/>
  <c r="T600" i="7"/>
  <c r="U600" i="7" s="1"/>
  <c r="R600" i="7"/>
  <c r="S600" i="7" s="1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R597" i="7"/>
  <c r="S597" i="7" s="1"/>
  <c r="P597" i="7"/>
  <c r="Q597" i="7" s="1"/>
  <c r="N597" i="7"/>
  <c r="O597" i="7" s="1"/>
  <c r="L597" i="7"/>
  <c r="M597" i="7" s="1"/>
  <c r="V596" i="7"/>
  <c r="W596" i="7" s="1"/>
  <c r="T596" i="7"/>
  <c r="U596" i="7" s="1"/>
  <c r="R596" i="7"/>
  <c r="S596" i="7" s="1"/>
  <c r="P596" i="7"/>
  <c r="Q596" i="7" s="1"/>
  <c r="O596" i="7"/>
  <c r="N596" i="7"/>
  <c r="L596" i="7"/>
  <c r="M596" i="7" s="1"/>
  <c r="V595" i="7"/>
  <c r="W595" i="7" s="1"/>
  <c r="T595" i="7"/>
  <c r="U595" i="7" s="1"/>
  <c r="R595" i="7"/>
  <c r="S595" i="7" s="1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R593" i="7"/>
  <c r="S593" i="7" s="1"/>
  <c r="P593" i="7"/>
  <c r="Q593" i="7" s="1"/>
  <c r="N593" i="7"/>
  <c r="O593" i="7" s="1"/>
  <c r="L593" i="7"/>
  <c r="M593" i="7" s="1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V574" i="7"/>
  <c r="W574" i="7" s="1"/>
  <c r="T574" i="7"/>
  <c r="U574" i="7" s="1"/>
  <c r="R574" i="7"/>
  <c r="S574" i="7" s="1"/>
  <c r="P574" i="7"/>
  <c r="Q574" i="7" s="1"/>
  <c r="O574" i="7"/>
  <c r="N574" i="7"/>
  <c r="L574" i="7"/>
  <c r="M574" i="7" s="1"/>
  <c r="V573" i="7"/>
  <c r="W573" i="7" s="1"/>
  <c r="T573" i="7"/>
  <c r="U573" i="7" s="1"/>
  <c r="R573" i="7"/>
  <c r="S573" i="7" s="1"/>
  <c r="P573" i="7"/>
  <c r="Q573" i="7" s="1"/>
  <c r="N573" i="7"/>
  <c r="O573" i="7" s="1"/>
  <c r="L573" i="7"/>
  <c r="M573" i="7" s="1"/>
  <c r="W572" i="7"/>
  <c r="V572" i="7"/>
  <c r="T572" i="7"/>
  <c r="U572" i="7" s="1"/>
  <c r="R572" i="7"/>
  <c r="S572" i="7" s="1"/>
  <c r="P572" i="7"/>
  <c r="Q572" i="7" s="1"/>
  <c r="O572" i="7"/>
  <c r="N572" i="7"/>
  <c r="L572" i="7"/>
  <c r="M572" i="7" s="1"/>
  <c r="V571" i="7"/>
  <c r="W571" i="7" s="1"/>
  <c r="T571" i="7"/>
  <c r="U571" i="7" s="1"/>
  <c r="S571" i="7"/>
  <c r="R571" i="7"/>
  <c r="P571" i="7"/>
  <c r="Q571" i="7" s="1"/>
  <c r="O571" i="7"/>
  <c r="N571" i="7"/>
  <c r="L571" i="7"/>
  <c r="M571" i="7" s="1"/>
  <c r="V570" i="7"/>
  <c r="W570" i="7" s="1"/>
  <c r="T570" i="7"/>
  <c r="U570" i="7" s="1"/>
  <c r="R570" i="7"/>
  <c r="S570" i="7" s="1"/>
  <c r="P570" i="7"/>
  <c r="Q570" i="7" s="1"/>
  <c r="O570" i="7"/>
  <c r="N570" i="7"/>
  <c r="L570" i="7"/>
  <c r="M570" i="7" s="1"/>
  <c r="V569" i="7"/>
  <c r="W569" i="7" s="1"/>
  <c r="T569" i="7"/>
  <c r="U569" i="7" s="1"/>
  <c r="S569" i="7"/>
  <c r="R569" i="7"/>
  <c r="P569" i="7"/>
  <c r="Q569" i="7" s="1"/>
  <c r="N569" i="7"/>
  <c r="O569" i="7" s="1"/>
  <c r="L569" i="7"/>
  <c r="M569" i="7" s="1"/>
  <c r="W568" i="7"/>
  <c r="V568" i="7"/>
  <c r="T568" i="7"/>
  <c r="U568" i="7" s="1"/>
  <c r="S568" i="7"/>
  <c r="R568" i="7"/>
  <c r="P568" i="7"/>
  <c r="Q568" i="7" s="1"/>
  <c r="N568" i="7"/>
  <c r="O568" i="7" s="1"/>
  <c r="L568" i="7"/>
  <c r="M568" i="7" s="1"/>
  <c r="V567" i="7"/>
  <c r="W567" i="7" s="1"/>
  <c r="T567" i="7"/>
  <c r="U567" i="7" s="1"/>
  <c r="S567" i="7"/>
  <c r="R567" i="7"/>
  <c r="P567" i="7"/>
  <c r="Q567" i="7" s="1"/>
  <c r="N567" i="7"/>
  <c r="O567" i="7" s="1"/>
  <c r="L567" i="7"/>
  <c r="M567" i="7" s="1"/>
  <c r="W566" i="7"/>
  <c r="V566" i="7"/>
  <c r="T566" i="7"/>
  <c r="U566" i="7" s="1"/>
  <c r="R566" i="7"/>
  <c r="S566" i="7" s="1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N565" i="7"/>
  <c r="O565" i="7" s="1"/>
  <c r="L565" i="7"/>
  <c r="M565" i="7" s="1"/>
  <c r="W564" i="7"/>
  <c r="V564" i="7"/>
  <c r="T564" i="7"/>
  <c r="U564" i="7" s="1"/>
  <c r="S564" i="7"/>
  <c r="R564" i="7"/>
  <c r="P564" i="7"/>
  <c r="Q564" i="7" s="1"/>
  <c r="N564" i="7"/>
  <c r="O564" i="7" s="1"/>
  <c r="L564" i="7"/>
  <c r="M564" i="7" s="1"/>
  <c r="V563" i="7"/>
  <c r="W563" i="7" s="1"/>
  <c r="T563" i="7"/>
  <c r="U563" i="7" s="1"/>
  <c r="S563" i="7"/>
  <c r="R563" i="7"/>
  <c r="P563" i="7"/>
  <c r="Q563" i="7" s="1"/>
  <c r="N563" i="7"/>
  <c r="O563" i="7" s="1"/>
  <c r="L563" i="7"/>
  <c r="M563" i="7" s="1"/>
  <c r="V562" i="7"/>
  <c r="W562" i="7" s="1"/>
  <c r="T562" i="7"/>
  <c r="U562" i="7" s="1"/>
  <c r="R562" i="7"/>
  <c r="S562" i="7" s="1"/>
  <c r="P562" i="7"/>
  <c r="Q562" i="7" s="1"/>
  <c r="O562" i="7"/>
  <c r="N562" i="7"/>
  <c r="L562" i="7"/>
  <c r="M562" i="7" s="1"/>
  <c r="V561" i="7"/>
  <c r="W561" i="7" s="1"/>
  <c r="T561" i="7"/>
  <c r="U561" i="7" s="1"/>
  <c r="S561" i="7"/>
  <c r="R561" i="7"/>
  <c r="P561" i="7"/>
  <c r="Q561" i="7" s="1"/>
  <c r="N561" i="7"/>
  <c r="O561" i="7" s="1"/>
  <c r="L561" i="7"/>
  <c r="M561" i="7" s="1"/>
  <c r="W560" i="7"/>
  <c r="V560" i="7"/>
  <c r="T560" i="7"/>
  <c r="U560" i="7" s="1"/>
  <c r="S560" i="7"/>
  <c r="R560" i="7"/>
  <c r="P560" i="7"/>
  <c r="Q560" i="7" s="1"/>
  <c r="N560" i="7"/>
  <c r="O560" i="7" s="1"/>
  <c r="L560" i="7"/>
  <c r="M560" i="7" s="1"/>
  <c r="V559" i="7"/>
  <c r="W559" i="7" s="1"/>
  <c r="T559" i="7"/>
  <c r="U559" i="7" s="1"/>
  <c r="S559" i="7"/>
  <c r="R559" i="7"/>
  <c r="P559" i="7"/>
  <c r="Q559" i="7" s="1"/>
  <c r="N559" i="7"/>
  <c r="O559" i="7" s="1"/>
  <c r="L559" i="7"/>
  <c r="M559" i="7" s="1"/>
  <c r="W558" i="7"/>
  <c r="V558" i="7"/>
  <c r="T558" i="7"/>
  <c r="U558" i="7" s="1"/>
  <c r="R558" i="7"/>
  <c r="S558" i="7" s="1"/>
  <c r="P558" i="7"/>
  <c r="Q558" i="7" s="1"/>
  <c r="O558" i="7"/>
  <c r="N558" i="7"/>
  <c r="L558" i="7"/>
  <c r="M558" i="7" s="1"/>
  <c r="W557" i="7"/>
  <c r="V557" i="7"/>
  <c r="T557" i="7"/>
  <c r="U557" i="7" s="1"/>
  <c r="R557" i="7"/>
  <c r="S557" i="7" s="1"/>
  <c r="P557" i="7"/>
  <c r="Q557" i="7" s="1"/>
  <c r="N557" i="7"/>
  <c r="O557" i="7" s="1"/>
  <c r="L557" i="7"/>
  <c r="M557" i="7" s="1"/>
  <c r="W556" i="7"/>
  <c r="V556" i="7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R554" i="7"/>
  <c r="S554" i="7" s="1"/>
  <c r="P554" i="7"/>
  <c r="Q554" i="7" s="1"/>
  <c r="O554" i="7"/>
  <c r="N554" i="7"/>
  <c r="L554" i="7"/>
  <c r="M554" i="7" s="1"/>
  <c r="W553" i="7"/>
  <c r="V553" i="7"/>
  <c r="T553" i="7"/>
  <c r="U553" i="7" s="1"/>
  <c r="R553" i="7"/>
  <c r="S553" i="7" s="1"/>
  <c r="P553" i="7"/>
  <c r="Q553" i="7" s="1"/>
  <c r="N553" i="7"/>
  <c r="O553" i="7" s="1"/>
  <c r="L553" i="7"/>
  <c r="M553" i="7" s="1"/>
  <c r="W552" i="7"/>
  <c r="V552" i="7"/>
  <c r="T552" i="7"/>
  <c r="U552" i="7" s="1"/>
  <c r="R552" i="7"/>
  <c r="S552" i="7" s="1"/>
  <c r="P552" i="7"/>
  <c r="Q552" i="7" s="1"/>
  <c r="N552" i="7"/>
  <c r="O552" i="7" s="1"/>
  <c r="L552" i="7"/>
  <c r="M552" i="7" s="1"/>
  <c r="V551" i="7"/>
  <c r="W551" i="7" s="1"/>
  <c r="T551" i="7"/>
  <c r="U551" i="7" s="1"/>
  <c r="S551" i="7"/>
  <c r="R551" i="7"/>
  <c r="P551" i="7"/>
  <c r="Q551" i="7" s="1"/>
  <c r="N551" i="7"/>
  <c r="O551" i="7" s="1"/>
  <c r="L551" i="7"/>
  <c r="M551" i="7" s="1"/>
  <c r="W550" i="7"/>
  <c r="V550" i="7"/>
  <c r="T550" i="7"/>
  <c r="U550" i="7" s="1"/>
  <c r="R550" i="7"/>
  <c r="S550" i="7" s="1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R548" i="7"/>
  <c r="S548" i="7" s="1"/>
  <c r="P548" i="7"/>
  <c r="Q548" i="7" s="1"/>
  <c r="N548" i="7"/>
  <c r="O548" i="7" s="1"/>
  <c r="L548" i="7"/>
  <c r="M548" i="7" s="1"/>
  <c r="W547" i="7"/>
  <c r="V547" i="7"/>
  <c r="T547" i="7"/>
  <c r="U547" i="7" s="1"/>
  <c r="R547" i="7"/>
  <c r="S547" i="7" s="1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R545" i="7"/>
  <c r="S545" i="7" s="1"/>
  <c r="P545" i="7"/>
  <c r="Q545" i="7" s="1"/>
  <c r="N545" i="7"/>
  <c r="O545" i="7" s="1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R542" i="7"/>
  <c r="S542" i="7" s="1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N541" i="7"/>
  <c r="O541" i="7" s="1"/>
  <c r="L541" i="7"/>
  <c r="M541" i="7" s="1"/>
  <c r="V540" i="7"/>
  <c r="W540" i="7" s="1"/>
  <c r="T540" i="7"/>
  <c r="U540" i="7" s="1"/>
  <c r="S540" i="7"/>
  <c r="R540" i="7"/>
  <c r="P540" i="7"/>
  <c r="Q540" i="7" s="1"/>
  <c r="N540" i="7"/>
  <c r="O540" i="7" s="1"/>
  <c r="L540" i="7"/>
  <c r="M540" i="7" s="1"/>
  <c r="V539" i="7"/>
  <c r="W539" i="7" s="1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V537" i="7"/>
  <c r="W537" i="7" s="1"/>
  <c r="T537" i="7"/>
  <c r="U537" i="7" s="1"/>
  <c r="R537" i="7"/>
  <c r="S537" i="7" s="1"/>
  <c r="P537" i="7"/>
  <c r="Q537" i="7" s="1"/>
  <c r="O537" i="7"/>
  <c r="N537" i="7"/>
  <c r="L537" i="7"/>
  <c r="M537" i="7" s="1"/>
  <c r="V536" i="7"/>
  <c r="W536" i="7" s="1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V534" i="7"/>
  <c r="W534" i="7" s="1"/>
  <c r="T534" i="7"/>
  <c r="U534" i="7" s="1"/>
  <c r="R534" i="7"/>
  <c r="S534" i="7" s="1"/>
  <c r="P534" i="7"/>
  <c r="Q534" i="7" s="1"/>
  <c r="O534" i="7"/>
  <c r="N534" i="7"/>
  <c r="L534" i="7"/>
  <c r="M534" i="7" s="1"/>
  <c r="V533" i="7"/>
  <c r="W533" i="7" s="1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N532" i="7"/>
  <c r="O532" i="7" s="1"/>
  <c r="L532" i="7"/>
  <c r="M532" i="7" s="1"/>
  <c r="V531" i="7"/>
  <c r="W531" i="7" s="1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N527" i="7"/>
  <c r="O527" i="7" s="1"/>
  <c r="L527" i="7"/>
  <c r="M527" i="7" s="1"/>
  <c r="V526" i="7"/>
  <c r="W526" i="7" s="1"/>
  <c r="T526" i="7"/>
  <c r="U526" i="7" s="1"/>
  <c r="R526" i="7"/>
  <c r="S526" i="7" s="1"/>
  <c r="P526" i="7"/>
  <c r="Q526" i="7" s="1"/>
  <c r="N526" i="7"/>
  <c r="O526" i="7" s="1"/>
  <c r="L526" i="7"/>
  <c r="M526" i="7" s="1"/>
  <c r="W525" i="7"/>
  <c r="V525" i="7"/>
  <c r="T525" i="7"/>
  <c r="U525" i="7" s="1"/>
  <c r="R525" i="7"/>
  <c r="S525" i="7" s="1"/>
  <c r="P525" i="7"/>
  <c r="Q525" i="7" s="1"/>
  <c r="N525" i="7"/>
  <c r="O525" i="7" s="1"/>
  <c r="L525" i="7"/>
  <c r="M525" i="7" s="1"/>
  <c r="W524" i="7"/>
  <c r="V524" i="7"/>
  <c r="T524" i="7"/>
  <c r="U524" i="7" s="1"/>
  <c r="R524" i="7"/>
  <c r="S524" i="7" s="1"/>
  <c r="P524" i="7"/>
  <c r="Q524" i="7" s="1"/>
  <c r="N524" i="7"/>
  <c r="O524" i="7" s="1"/>
  <c r="L524" i="7"/>
  <c r="M524" i="7" s="1"/>
  <c r="W523" i="7"/>
  <c r="V523" i="7"/>
  <c r="T523" i="7"/>
  <c r="U523" i="7" s="1"/>
  <c r="R523" i="7"/>
  <c r="S523" i="7" s="1"/>
  <c r="P523" i="7"/>
  <c r="Q523" i="7" s="1"/>
  <c r="O523" i="7"/>
  <c r="N523" i="7"/>
  <c r="L523" i="7"/>
  <c r="M523" i="7" s="1"/>
  <c r="V522" i="7"/>
  <c r="W522" i="7" s="1"/>
  <c r="T522" i="7"/>
  <c r="U522" i="7" s="1"/>
  <c r="R522" i="7"/>
  <c r="S522" i="7" s="1"/>
  <c r="P522" i="7"/>
  <c r="Q522" i="7" s="1"/>
  <c r="O522" i="7"/>
  <c r="N522" i="7"/>
  <c r="L522" i="7"/>
  <c r="M522" i="7" s="1"/>
  <c r="V521" i="7"/>
  <c r="W521" i="7" s="1"/>
  <c r="T521" i="7"/>
  <c r="U521" i="7" s="1"/>
  <c r="R521" i="7"/>
  <c r="S521" i="7" s="1"/>
  <c r="P521" i="7"/>
  <c r="Q521" i="7" s="1"/>
  <c r="N521" i="7"/>
  <c r="O521" i="7" s="1"/>
  <c r="L521" i="7"/>
  <c r="M521" i="7" s="1"/>
  <c r="V520" i="7"/>
  <c r="W520" i="7" s="1"/>
  <c r="T520" i="7"/>
  <c r="U520" i="7" s="1"/>
  <c r="S520" i="7"/>
  <c r="R520" i="7"/>
  <c r="P520" i="7"/>
  <c r="Q520" i="7" s="1"/>
  <c r="N520" i="7"/>
  <c r="O520" i="7" s="1"/>
  <c r="L520" i="7"/>
  <c r="M520" i="7" s="1"/>
  <c r="V519" i="7"/>
  <c r="W519" i="7" s="1"/>
  <c r="T519" i="7"/>
  <c r="U519" i="7" s="1"/>
  <c r="S519" i="7"/>
  <c r="R519" i="7"/>
  <c r="P519" i="7"/>
  <c r="Q519" i="7" s="1"/>
  <c r="N519" i="7"/>
  <c r="O519" i="7" s="1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N517" i="7"/>
  <c r="O517" i="7" s="1"/>
  <c r="L517" i="7"/>
  <c r="M517" i="7" s="1"/>
  <c r="V516" i="7"/>
  <c r="W516" i="7" s="1"/>
  <c r="T516" i="7"/>
  <c r="U516" i="7" s="1"/>
  <c r="R516" i="7"/>
  <c r="S516" i="7" s="1"/>
  <c r="P516" i="7"/>
  <c r="Q516" i="7" s="1"/>
  <c r="N516" i="7"/>
  <c r="O516" i="7" s="1"/>
  <c r="L516" i="7"/>
  <c r="M516" i="7" s="1"/>
  <c r="W515" i="7"/>
  <c r="V515" i="7"/>
  <c r="T515" i="7"/>
  <c r="U515" i="7" s="1"/>
  <c r="R515" i="7"/>
  <c r="S515" i="7" s="1"/>
  <c r="P515" i="7"/>
  <c r="Q515" i="7" s="1"/>
  <c r="O515" i="7"/>
  <c r="N515" i="7"/>
  <c r="L515" i="7"/>
  <c r="M515" i="7" s="1"/>
  <c r="V514" i="7"/>
  <c r="W514" i="7" s="1"/>
  <c r="T514" i="7"/>
  <c r="U514" i="7" s="1"/>
  <c r="R514" i="7"/>
  <c r="S514" i="7" s="1"/>
  <c r="P514" i="7"/>
  <c r="Q514" i="7" s="1"/>
  <c r="O514" i="7"/>
  <c r="N514" i="7"/>
  <c r="L514" i="7"/>
  <c r="M514" i="7" s="1"/>
  <c r="V513" i="7"/>
  <c r="W513" i="7" s="1"/>
  <c r="T513" i="7"/>
  <c r="U513" i="7" s="1"/>
  <c r="R513" i="7"/>
  <c r="S513" i="7" s="1"/>
  <c r="P513" i="7"/>
  <c r="Q513" i="7" s="1"/>
  <c r="O513" i="7"/>
  <c r="N513" i="7"/>
  <c r="L513" i="7"/>
  <c r="M513" i="7" s="1"/>
  <c r="V512" i="7"/>
  <c r="W512" i="7" s="1"/>
  <c r="T512" i="7"/>
  <c r="U512" i="7" s="1"/>
  <c r="S512" i="7"/>
  <c r="R512" i="7"/>
  <c r="P512" i="7"/>
  <c r="Q512" i="7" s="1"/>
  <c r="N512" i="7"/>
  <c r="O512" i="7" s="1"/>
  <c r="L512" i="7"/>
  <c r="M512" i="7" s="1"/>
  <c r="V511" i="7"/>
  <c r="W511" i="7" s="1"/>
  <c r="T511" i="7"/>
  <c r="U511" i="7" s="1"/>
  <c r="S511" i="7"/>
  <c r="R511" i="7"/>
  <c r="P511" i="7"/>
  <c r="Q511" i="7" s="1"/>
  <c r="N511" i="7"/>
  <c r="O511" i="7" s="1"/>
  <c r="L511" i="7"/>
  <c r="M511" i="7" s="1"/>
  <c r="V510" i="7"/>
  <c r="W510" i="7" s="1"/>
  <c r="T510" i="7"/>
  <c r="U510" i="7" s="1"/>
  <c r="R510" i="7"/>
  <c r="S510" i="7" s="1"/>
  <c r="P510" i="7"/>
  <c r="Q510" i="7" s="1"/>
  <c r="N510" i="7"/>
  <c r="O510" i="7" s="1"/>
  <c r="L510" i="7"/>
  <c r="M510" i="7" s="1"/>
  <c r="W509" i="7"/>
  <c r="V509" i="7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N507" i="7"/>
  <c r="O507" i="7" s="1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L505" i="7"/>
  <c r="M505" i="7" s="1"/>
  <c r="V504" i="7"/>
  <c r="W504" i="7" s="1"/>
  <c r="T504" i="7"/>
  <c r="U504" i="7" s="1"/>
  <c r="S504" i="7"/>
  <c r="R504" i="7"/>
  <c r="P504" i="7"/>
  <c r="Q504" i="7" s="1"/>
  <c r="N504" i="7"/>
  <c r="O504" i="7" s="1"/>
  <c r="L504" i="7"/>
  <c r="M504" i="7" s="1"/>
  <c r="V503" i="7"/>
  <c r="W503" i="7" s="1"/>
  <c r="T503" i="7"/>
  <c r="U503" i="7" s="1"/>
  <c r="S503" i="7"/>
  <c r="R503" i="7"/>
  <c r="P503" i="7"/>
  <c r="Q503" i="7" s="1"/>
  <c r="N503" i="7"/>
  <c r="O503" i="7" s="1"/>
  <c r="L503" i="7"/>
  <c r="M503" i="7" s="1"/>
  <c r="V502" i="7"/>
  <c r="W502" i="7" s="1"/>
  <c r="T502" i="7"/>
  <c r="U502" i="7" s="1"/>
  <c r="S502" i="7"/>
  <c r="R502" i="7"/>
  <c r="P502" i="7"/>
  <c r="Q502" i="7" s="1"/>
  <c r="N502" i="7"/>
  <c r="O502" i="7" s="1"/>
  <c r="L502" i="7"/>
  <c r="M502" i="7" s="1"/>
  <c r="W501" i="7"/>
  <c r="V501" i="7"/>
  <c r="T501" i="7"/>
  <c r="U501" i="7" s="1"/>
  <c r="R501" i="7"/>
  <c r="S501" i="7" s="1"/>
  <c r="P501" i="7"/>
  <c r="Q501" i="7" s="1"/>
  <c r="N501" i="7"/>
  <c r="O501" i="7" s="1"/>
  <c r="L501" i="7"/>
  <c r="M501" i="7" s="1"/>
  <c r="W500" i="7"/>
  <c r="V500" i="7"/>
  <c r="T500" i="7"/>
  <c r="U500" i="7" s="1"/>
  <c r="R500" i="7"/>
  <c r="S500" i="7" s="1"/>
  <c r="P500" i="7"/>
  <c r="Q500" i="7" s="1"/>
  <c r="N500" i="7"/>
  <c r="O500" i="7" s="1"/>
  <c r="L500" i="7"/>
  <c r="M500" i="7" s="1"/>
  <c r="V499" i="7"/>
  <c r="W499" i="7" s="1"/>
  <c r="T499" i="7"/>
  <c r="U499" i="7" s="1"/>
  <c r="R499" i="7"/>
  <c r="S499" i="7" s="1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R496" i="7"/>
  <c r="S496" i="7" s="1"/>
  <c r="P496" i="7"/>
  <c r="Q496" i="7" s="1"/>
  <c r="N496" i="7"/>
  <c r="O496" i="7" s="1"/>
  <c r="L496" i="7"/>
  <c r="M496" i="7" s="1"/>
  <c r="W495" i="7"/>
  <c r="V495" i="7"/>
  <c r="T495" i="7"/>
  <c r="U495" i="7" s="1"/>
  <c r="R495" i="7"/>
  <c r="S495" i="7" s="1"/>
  <c r="P495" i="7"/>
  <c r="Q495" i="7" s="1"/>
  <c r="N495" i="7"/>
  <c r="O495" i="7" s="1"/>
  <c r="L495" i="7"/>
  <c r="M495" i="7" s="1"/>
  <c r="V494" i="7"/>
  <c r="W494" i="7" s="1"/>
  <c r="T494" i="7"/>
  <c r="U494" i="7" s="1"/>
  <c r="S494" i="7"/>
  <c r="R494" i="7"/>
  <c r="P494" i="7"/>
  <c r="Q494" i="7" s="1"/>
  <c r="N494" i="7"/>
  <c r="O494" i="7" s="1"/>
  <c r="L494" i="7"/>
  <c r="M494" i="7" s="1"/>
  <c r="W493" i="7"/>
  <c r="V493" i="7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R492" i="7"/>
  <c r="S492" i="7" s="1"/>
  <c r="P492" i="7"/>
  <c r="Q492" i="7" s="1"/>
  <c r="N492" i="7"/>
  <c r="O492" i="7" s="1"/>
  <c r="L492" i="7"/>
  <c r="M492" i="7" s="1"/>
  <c r="W491" i="7"/>
  <c r="V491" i="7"/>
  <c r="T491" i="7"/>
  <c r="U491" i="7" s="1"/>
  <c r="R491" i="7"/>
  <c r="S491" i="7" s="1"/>
  <c r="P491" i="7"/>
  <c r="Q491" i="7" s="1"/>
  <c r="O491" i="7"/>
  <c r="N491" i="7"/>
  <c r="L491" i="7"/>
  <c r="M491" i="7" s="1"/>
  <c r="V490" i="7"/>
  <c r="W490" i="7" s="1"/>
  <c r="T490" i="7"/>
  <c r="U490" i="7" s="1"/>
  <c r="R490" i="7"/>
  <c r="S490" i="7" s="1"/>
  <c r="P490" i="7"/>
  <c r="Q490" i="7" s="1"/>
  <c r="O490" i="7"/>
  <c r="N490" i="7"/>
  <c r="L490" i="7"/>
  <c r="M490" i="7" s="1"/>
  <c r="V489" i="7"/>
  <c r="W489" i="7" s="1"/>
  <c r="T489" i="7"/>
  <c r="U489" i="7" s="1"/>
  <c r="R489" i="7"/>
  <c r="S489" i="7" s="1"/>
  <c r="P489" i="7"/>
  <c r="Q489" i="7" s="1"/>
  <c r="N489" i="7"/>
  <c r="O489" i="7" s="1"/>
  <c r="L489" i="7"/>
  <c r="M489" i="7" s="1"/>
  <c r="V488" i="7"/>
  <c r="W488" i="7" s="1"/>
  <c r="T488" i="7"/>
  <c r="U488" i="7" s="1"/>
  <c r="S488" i="7"/>
  <c r="R488" i="7"/>
  <c r="P488" i="7"/>
  <c r="Q488" i="7" s="1"/>
  <c r="N488" i="7"/>
  <c r="O488" i="7" s="1"/>
  <c r="L488" i="7"/>
  <c r="M488" i="7" s="1"/>
  <c r="V487" i="7"/>
  <c r="W487" i="7" s="1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V485" i="7"/>
  <c r="W485" i="7" s="1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R484" i="7"/>
  <c r="S484" i="7" s="1"/>
  <c r="P484" i="7"/>
  <c r="Q484" i="7" s="1"/>
  <c r="N484" i="7"/>
  <c r="O484" i="7" s="1"/>
  <c r="L484" i="7"/>
  <c r="M484" i="7" s="1"/>
  <c r="V483" i="7"/>
  <c r="W483" i="7" s="1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R482" i="7"/>
  <c r="S482" i="7" s="1"/>
  <c r="P482" i="7"/>
  <c r="Q482" i="7" s="1"/>
  <c r="O482" i="7"/>
  <c r="N482" i="7"/>
  <c r="L482" i="7"/>
  <c r="M482" i="7" s="1"/>
  <c r="V481" i="7"/>
  <c r="W481" i="7" s="1"/>
  <c r="T481" i="7"/>
  <c r="U481" i="7" s="1"/>
  <c r="R481" i="7"/>
  <c r="S481" i="7" s="1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N480" i="7"/>
  <c r="O480" i="7" s="1"/>
  <c r="L480" i="7"/>
  <c r="M480" i="7" s="1"/>
  <c r="V479" i="7"/>
  <c r="W479" i="7" s="1"/>
  <c r="T479" i="7"/>
  <c r="U479" i="7" s="1"/>
  <c r="S479" i="7"/>
  <c r="R479" i="7"/>
  <c r="P479" i="7"/>
  <c r="Q479" i="7" s="1"/>
  <c r="N479" i="7"/>
  <c r="O479" i="7" s="1"/>
  <c r="L479" i="7"/>
  <c r="M479" i="7" s="1"/>
  <c r="V478" i="7"/>
  <c r="W478" i="7" s="1"/>
  <c r="T478" i="7"/>
  <c r="U478" i="7" s="1"/>
  <c r="R478" i="7"/>
  <c r="S478" i="7" s="1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S476" i="7"/>
  <c r="R476" i="7"/>
  <c r="P476" i="7"/>
  <c r="Q476" i="7" s="1"/>
  <c r="N476" i="7"/>
  <c r="O476" i="7" s="1"/>
  <c r="L476" i="7"/>
  <c r="M476" i="7" s="1"/>
  <c r="W475" i="7"/>
  <c r="V475" i="7"/>
  <c r="T475" i="7"/>
  <c r="U475" i="7" s="1"/>
  <c r="R475" i="7"/>
  <c r="S475" i="7" s="1"/>
  <c r="P475" i="7"/>
  <c r="Q475" i="7" s="1"/>
  <c r="O475" i="7"/>
  <c r="N475" i="7"/>
  <c r="L475" i="7"/>
  <c r="M475" i="7" s="1"/>
  <c r="V474" i="7"/>
  <c r="W474" i="7" s="1"/>
  <c r="T474" i="7"/>
  <c r="U474" i="7" s="1"/>
  <c r="S474" i="7"/>
  <c r="R474" i="7"/>
  <c r="P474" i="7"/>
  <c r="Q474" i="7" s="1"/>
  <c r="N474" i="7"/>
  <c r="O474" i="7" s="1"/>
  <c r="L474" i="7"/>
  <c r="M474" i="7" s="1"/>
  <c r="W473" i="7"/>
  <c r="V473" i="7"/>
  <c r="T473" i="7"/>
  <c r="U473" i="7" s="1"/>
  <c r="R473" i="7"/>
  <c r="S473" i="7" s="1"/>
  <c r="P473" i="7"/>
  <c r="Q473" i="7" s="1"/>
  <c r="O473" i="7"/>
  <c r="N473" i="7"/>
  <c r="L473" i="7"/>
  <c r="M473" i="7" s="1"/>
  <c r="V472" i="7"/>
  <c r="W472" i="7" s="1"/>
  <c r="T472" i="7"/>
  <c r="U472" i="7" s="1"/>
  <c r="S472" i="7"/>
  <c r="R472" i="7"/>
  <c r="P472" i="7"/>
  <c r="Q472" i="7" s="1"/>
  <c r="N472" i="7"/>
  <c r="O472" i="7" s="1"/>
  <c r="L472" i="7"/>
  <c r="M472" i="7" s="1"/>
  <c r="W471" i="7"/>
  <c r="V471" i="7"/>
  <c r="T471" i="7"/>
  <c r="U471" i="7" s="1"/>
  <c r="R471" i="7"/>
  <c r="S471" i="7" s="1"/>
  <c r="P471" i="7"/>
  <c r="Q471" i="7" s="1"/>
  <c r="O471" i="7"/>
  <c r="N471" i="7"/>
  <c r="L471" i="7"/>
  <c r="M471" i="7" s="1"/>
  <c r="V470" i="7"/>
  <c r="W470" i="7" s="1"/>
  <c r="T470" i="7"/>
  <c r="U470" i="7" s="1"/>
  <c r="S470" i="7"/>
  <c r="R470" i="7"/>
  <c r="P470" i="7"/>
  <c r="Q470" i="7" s="1"/>
  <c r="N470" i="7"/>
  <c r="O470" i="7" s="1"/>
  <c r="L470" i="7"/>
  <c r="M470" i="7" s="1"/>
  <c r="W469" i="7"/>
  <c r="V469" i="7"/>
  <c r="T469" i="7"/>
  <c r="U469" i="7" s="1"/>
  <c r="R469" i="7"/>
  <c r="S469" i="7" s="1"/>
  <c r="P469" i="7"/>
  <c r="Q469" i="7" s="1"/>
  <c r="O469" i="7"/>
  <c r="N469" i="7"/>
  <c r="L469" i="7"/>
  <c r="M469" i="7" s="1"/>
  <c r="V468" i="7"/>
  <c r="W468" i="7" s="1"/>
  <c r="T468" i="7"/>
  <c r="U468" i="7" s="1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S314" i="7"/>
  <c r="R314" i="7"/>
  <c r="P314" i="7"/>
  <c r="Q314" i="7" s="1"/>
  <c r="N314" i="7"/>
  <c r="O314" i="7" s="1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S298" i="7"/>
  <c r="R298" i="7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O293" i="7"/>
  <c r="N293" i="7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W287" i="7"/>
  <c r="V287" i="7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W271" i="7"/>
  <c r="V271" i="7"/>
  <c r="T271" i="7"/>
  <c r="U271" i="7" s="1"/>
  <c r="R271" i="7"/>
  <c r="S271" i="7" s="1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R269" i="7"/>
  <c r="S269" i="7" s="1"/>
  <c r="P269" i="7"/>
  <c r="Q269" i="7" s="1"/>
  <c r="O269" i="7"/>
  <c r="N269" i="7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S266" i="7"/>
  <c r="R266" i="7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R252" i="7"/>
  <c r="S252" i="7" s="1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N247" i="7"/>
  <c r="O247" i="7" s="1"/>
  <c r="L247" i="7"/>
  <c r="M247" i="7" s="1"/>
  <c r="V246" i="7"/>
  <c r="W246" i="7" s="1"/>
  <c r="T246" i="7"/>
  <c r="U246" i="7" s="1"/>
  <c r="S246" i="7"/>
  <c r="R246" i="7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S242" i="7"/>
  <c r="R242" i="7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V240" i="7"/>
  <c r="W240" i="7" s="1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R238" i="7"/>
  <c r="S238" i="7" s="1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R236" i="7"/>
  <c r="S236" i="7" s="1"/>
  <c r="P236" i="7"/>
  <c r="Q236" i="7" s="1"/>
  <c r="N236" i="7"/>
  <c r="O236" i="7" s="1"/>
  <c r="L236" i="7"/>
  <c r="M236" i="7" s="1"/>
  <c r="W235" i="7"/>
  <c r="V235" i="7"/>
  <c r="T235" i="7"/>
  <c r="U235" i="7" s="1"/>
  <c r="R235" i="7"/>
  <c r="S235" i="7" s="1"/>
  <c r="P235" i="7"/>
  <c r="Q235" i="7" s="1"/>
  <c r="N235" i="7"/>
  <c r="O235" i="7" s="1"/>
  <c r="L235" i="7"/>
  <c r="M235" i="7" s="1"/>
  <c r="V234" i="7"/>
  <c r="W234" i="7" s="1"/>
  <c r="T234" i="7"/>
  <c r="U234" i="7" s="1"/>
  <c r="R234" i="7"/>
  <c r="S234" i="7" s="1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N233" i="7"/>
  <c r="O233" i="7" s="1"/>
  <c r="L233" i="7"/>
  <c r="M233" i="7" s="1"/>
  <c r="W232" i="7"/>
  <c r="V232" i="7"/>
  <c r="T232" i="7"/>
  <c r="U232" i="7" s="1"/>
  <c r="R232" i="7"/>
  <c r="S232" i="7" s="1"/>
  <c r="P232" i="7"/>
  <c r="Q232" i="7" s="1"/>
  <c r="N232" i="7"/>
  <c r="O232" i="7" s="1"/>
  <c r="L232" i="7"/>
  <c r="M232" i="7" s="1"/>
  <c r="W231" i="7"/>
  <c r="V231" i="7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V227" i="7"/>
  <c r="W227" i="7" s="1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R224" i="7"/>
  <c r="S224" i="7" s="1"/>
  <c r="P224" i="7"/>
  <c r="Q224" i="7" s="1"/>
  <c r="N224" i="7"/>
  <c r="O224" i="7" s="1"/>
  <c r="L224" i="7"/>
  <c r="M224" i="7" s="1"/>
  <c r="V223" i="7"/>
  <c r="W223" i="7" s="1"/>
  <c r="T223" i="7"/>
  <c r="U223" i="7" s="1"/>
  <c r="R223" i="7"/>
  <c r="S223" i="7" s="1"/>
  <c r="P223" i="7"/>
  <c r="Q223" i="7" s="1"/>
  <c r="O223" i="7"/>
  <c r="N223" i="7"/>
  <c r="L223" i="7"/>
  <c r="M223" i="7" s="1"/>
  <c r="V222" i="7"/>
  <c r="W222" i="7" s="1"/>
  <c r="T222" i="7"/>
  <c r="U222" i="7" s="1"/>
  <c r="R222" i="7"/>
  <c r="S222" i="7" s="1"/>
  <c r="P222" i="7"/>
  <c r="Q222" i="7" s="1"/>
  <c r="O222" i="7"/>
  <c r="N222" i="7"/>
  <c r="L222" i="7"/>
  <c r="M222" i="7" s="1"/>
  <c r="V221" i="7"/>
  <c r="W221" i="7" s="1"/>
  <c r="T221" i="7"/>
  <c r="U221" i="7" s="1"/>
  <c r="R221" i="7"/>
  <c r="S221" i="7" s="1"/>
  <c r="P221" i="7"/>
  <c r="Q221" i="7" s="1"/>
  <c r="O221" i="7"/>
  <c r="N221" i="7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V219" i="7"/>
  <c r="W219" i="7" s="1"/>
  <c r="T219" i="7"/>
  <c r="U219" i="7" s="1"/>
  <c r="S219" i="7"/>
  <c r="R219" i="7"/>
  <c r="P219" i="7"/>
  <c r="Q219" i="7" s="1"/>
  <c r="N219" i="7"/>
  <c r="O219" i="7" s="1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N217" i="7"/>
  <c r="O217" i="7" s="1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R213" i="7"/>
  <c r="S213" i="7" s="1"/>
  <c r="P213" i="7"/>
  <c r="Q213" i="7" s="1"/>
  <c r="O213" i="7"/>
  <c r="N213" i="7"/>
  <c r="L213" i="7"/>
  <c r="M213" i="7" s="1"/>
  <c r="V212" i="7"/>
  <c r="W212" i="7" s="1"/>
  <c r="T212" i="7"/>
  <c r="U212" i="7" s="1"/>
  <c r="S212" i="7"/>
  <c r="R212" i="7"/>
  <c r="P212" i="7"/>
  <c r="Q212" i="7" s="1"/>
  <c r="N212" i="7"/>
  <c r="O212" i="7" s="1"/>
  <c r="L212" i="7"/>
  <c r="M212" i="7" s="1"/>
  <c r="V211" i="7"/>
  <c r="W211" i="7" s="1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R206" i="7"/>
  <c r="S206" i="7" s="1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T203" i="7"/>
  <c r="U203" i="7" s="1"/>
  <c r="S203" i="7"/>
  <c r="R203" i="7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O202" i="7"/>
  <c r="N202" i="7"/>
  <c r="L202" i="7"/>
  <c r="M202" i="7" s="1"/>
  <c r="W201" i="7"/>
  <c r="V201" i="7"/>
  <c r="T201" i="7"/>
  <c r="U201" i="7" s="1"/>
  <c r="R201" i="7"/>
  <c r="S201" i="7" s="1"/>
  <c r="P201" i="7"/>
  <c r="Q201" i="7" s="1"/>
  <c r="N201" i="7"/>
  <c r="O201" i="7" s="1"/>
  <c r="L201" i="7"/>
  <c r="M201" i="7" s="1"/>
  <c r="W200" i="7"/>
  <c r="V200" i="7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S199" i="7"/>
  <c r="R199" i="7"/>
  <c r="P199" i="7"/>
  <c r="Q199" i="7" s="1"/>
  <c r="O199" i="7"/>
  <c r="N199" i="7"/>
  <c r="L199" i="7"/>
  <c r="M199" i="7" s="1"/>
  <c r="V198" i="7"/>
  <c r="W198" i="7" s="1"/>
  <c r="T198" i="7"/>
  <c r="U198" i="7" s="1"/>
  <c r="R198" i="7"/>
  <c r="S198" i="7" s="1"/>
  <c r="P198" i="7"/>
  <c r="Q198" i="7" s="1"/>
  <c r="O198" i="7"/>
  <c r="N198" i="7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W196" i="7"/>
  <c r="V196" i="7"/>
  <c r="T196" i="7"/>
  <c r="U196" i="7" s="1"/>
  <c r="S196" i="7"/>
  <c r="R196" i="7"/>
  <c r="P196" i="7"/>
  <c r="Q196" i="7" s="1"/>
  <c r="N196" i="7"/>
  <c r="O196" i="7" s="1"/>
  <c r="L196" i="7"/>
  <c r="M196" i="7" s="1"/>
  <c r="V195" i="7"/>
  <c r="W195" i="7" s="1"/>
  <c r="T195" i="7"/>
  <c r="U195" i="7" s="1"/>
  <c r="S195" i="7"/>
  <c r="R195" i="7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O194" i="7"/>
  <c r="N194" i="7"/>
  <c r="L194" i="7"/>
  <c r="M194" i="7" s="1"/>
  <c r="W193" i="7"/>
  <c r="V193" i="7"/>
  <c r="T193" i="7"/>
  <c r="U193" i="7" s="1"/>
  <c r="R193" i="7"/>
  <c r="S193" i="7" s="1"/>
  <c r="P193" i="7"/>
  <c r="Q193" i="7" s="1"/>
  <c r="N193" i="7"/>
  <c r="O193" i="7" s="1"/>
  <c r="L193" i="7"/>
  <c r="M193" i="7" s="1"/>
  <c r="W192" i="7"/>
  <c r="V192" i="7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S191" i="7"/>
  <c r="R191" i="7"/>
  <c r="P191" i="7"/>
  <c r="Q191" i="7" s="1"/>
  <c r="O191" i="7"/>
  <c r="N191" i="7"/>
  <c r="L191" i="7"/>
  <c r="M191" i="7" s="1"/>
  <c r="V190" i="7"/>
  <c r="W190" i="7" s="1"/>
  <c r="T190" i="7"/>
  <c r="U190" i="7" s="1"/>
  <c r="R190" i="7"/>
  <c r="S190" i="7" s="1"/>
  <c r="P190" i="7"/>
  <c r="Q190" i="7" s="1"/>
  <c r="O190" i="7"/>
  <c r="N190" i="7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W188" i="7"/>
  <c r="V188" i="7"/>
  <c r="T188" i="7"/>
  <c r="U188" i="7" s="1"/>
  <c r="S188" i="7"/>
  <c r="R188" i="7"/>
  <c r="P188" i="7"/>
  <c r="Q188" i="7" s="1"/>
  <c r="N188" i="7"/>
  <c r="O188" i="7" s="1"/>
  <c r="L188" i="7"/>
  <c r="M188" i="7" s="1"/>
  <c r="V187" i="7"/>
  <c r="W187" i="7" s="1"/>
  <c r="T187" i="7"/>
  <c r="U187" i="7" s="1"/>
  <c r="S187" i="7"/>
  <c r="R187" i="7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O186" i="7"/>
  <c r="N186" i="7"/>
  <c r="L186" i="7"/>
  <c r="M186" i="7" s="1"/>
  <c r="W185" i="7"/>
  <c r="V185" i="7"/>
  <c r="T185" i="7"/>
  <c r="U185" i="7" s="1"/>
  <c r="R185" i="7"/>
  <c r="S185" i="7" s="1"/>
  <c r="P185" i="7"/>
  <c r="Q185" i="7" s="1"/>
  <c r="N185" i="7"/>
  <c r="O185" i="7" s="1"/>
  <c r="L185" i="7"/>
  <c r="M185" i="7" s="1"/>
  <c r="W184" i="7"/>
  <c r="V184" i="7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S183" i="7"/>
  <c r="R183" i="7"/>
  <c r="P183" i="7"/>
  <c r="Q183" i="7" s="1"/>
  <c r="O183" i="7"/>
  <c r="N183" i="7"/>
  <c r="L183" i="7"/>
  <c r="M183" i="7" s="1"/>
  <c r="V182" i="7"/>
  <c r="W182" i="7" s="1"/>
  <c r="T182" i="7"/>
  <c r="U182" i="7" s="1"/>
  <c r="R182" i="7"/>
  <c r="S182" i="7" s="1"/>
  <c r="P182" i="7"/>
  <c r="Q182" i="7" s="1"/>
  <c r="O182" i="7"/>
  <c r="N182" i="7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W180" i="7"/>
  <c r="V180" i="7"/>
  <c r="T180" i="7"/>
  <c r="U180" i="7" s="1"/>
  <c r="S180" i="7"/>
  <c r="R180" i="7"/>
  <c r="P180" i="7"/>
  <c r="Q180" i="7" s="1"/>
  <c r="N180" i="7"/>
  <c r="O180" i="7" s="1"/>
  <c r="L180" i="7"/>
  <c r="M180" i="7" s="1"/>
  <c r="V179" i="7"/>
  <c r="W179" i="7" s="1"/>
  <c r="T179" i="7"/>
  <c r="U179" i="7" s="1"/>
  <c r="S179" i="7"/>
  <c r="R179" i="7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O178" i="7"/>
  <c r="N178" i="7"/>
  <c r="L178" i="7"/>
  <c r="M178" i="7" s="1"/>
  <c r="W177" i="7"/>
  <c r="V177" i="7"/>
  <c r="T177" i="7"/>
  <c r="U177" i="7" s="1"/>
  <c r="R177" i="7"/>
  <c r="S177" i="7" s="1"/>
  <c r="P177" i="7"/>
  <c r="Q177" i="7" s="1"/>
  <c r="N177" i="7"/>
  <c r="O177" i="7" s="1"/>
  <c r="L177" i="7"/>
  <c r="M177" i="7" s="1"/>
  <c r="W176" i="7"/>
  <c r="V176" i="7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S175" i="7"/>
  <c r="R175" i="7"/>
  <c r="P175" i="7"/>
  <c r="Q175" i="7" s="1"/>
  <c r="O175" i="7"/>
  <c r="N175" i="7"/>
  <c r="L175" i="7"/>
  <c r="M175" i="7" s="1"/>
  <c r="V174" i="7"/>
  <c r="W174" i="7" s="1"/>
  <c r="T174" i="7"/>
  <c r="U174" i="7" s="1"/>
  <c r="R174" i="7"/>
  <c r="S174" i="7" s="1"/>
  <c r="P174" i="7"/>
  <c r="Q174" i="7" s="1"/>
  <c r="O174" i="7"/>
  <c r="N174" i="7"/>
  <c r="L174" i="7"/>
  <c r="M174" i="7" s="1"/>
  <c r="V173" i="7"/>
  <c r="W173" i="7" s="1"/>
  <c r="T173" i="7"/>
  <c r="U173" i="7" s="1"/>
  <c r="S173" i="7"/>
  <c r="R173" i="7"/>
  <c r="P173" i="7"/>
  <c r="Q173" i="7" s="1"/>
  <c r="N173" i="7"/>
  <c r="O173" i="7" s="1"/>
  <c r="L173" i="7"/>
  <c r="M173" i="7" s="1"/>
  <c r="W172" i="7"/>
  <c r="V172" i="7"/>
  <c r="T172" i="7"/>
  <c r="U172" i="7" s="1"/>
  <c r="S172" i="7"/>
  <c r="R172" i="7"/>
  <c r="P172" i="7"/>
  <c r="Q172" i="7" s="1"/>
  <c r="O172" i="7"/>
  <c r="N172" i="7"/>
  <c r="L172" i="7"/>
  <c r="M172" i="7" s="1"/>
  <c r="V171" i="7"/>
  <c r="W171" i="7" s="1"/>
  <c r="T171" i="7"/>
  <c r="U171" i="7" s="1"/>
  <c r="S171" i="7"/>
  <c r="R171" i="7"/>
  <c r="P171" i="7"/>
  <c r="Q171" i="7" s="1"/>
  <c r="O171" i="7"/>
  <c r="N171" i="7"/>
  <c r="L171" i="7"/>
  <c r="M171" i="7" s="1"/>
  <c r="V170" i="7"/>
  <c r="W170" i="7" s="1"/>
  <c r="T170" i="7"/>
  <c r="U170" i="7" s="1"/>
  <c r="R170" i="7"/>
  <c r="S170" i="7" s="1"/>
  <c r="P170" i="7"/>
  <c r="Q170" i="7" s="1"/>
  <c r="O170" i="7"/>
  <c r="N170" i="7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W168" i="7"/>
  <c r="V168" i="7"/>
  <c r="T168" i="7"/>
  <c r="U168" i="7" s="1"/>
  <c r="R168" i="7"/>
  <c r="S168" i="7" s="1"/>
  <c r="P168" i="7"/>
  <c r="Q168" i="7" s="1"/>
  <c r="O168" i="7"/>
  <c r="N168" i="7"/>
  <c r="L168" i="7"/>
  <c r="M168" i="7" s="1"/>
  <c r="V167" i="7"/>
  <c r="W167" i="7" s="1"/>
  <c r="T167" i="7"/>
  <c r="U167" i="7" s="1"/>
  <c r="S167" i="7"/>
  <c r="R167" i="7"/>
  <c r="P167" i="7"/>
  <c r="Q167" i="7" s="1"/>
  <c r="O167" i="7"/>
  <c r="N167" i="7"/>
  <c r="L167" i="7"/>
  <c r="M167" i="7" s="1"/>
  <c r="W166" i="7"/>
  <c r="V166" i="7"/>
  <c r="T166" i="7"/>
  <c r="U166" i="7" s="1"/>
  <c r="R166" i="7"/>
  <c r="S166" i="7" s="1"/>
  <c r="P166" i="7"/>
  <c r="Q166" i="7" s="1"/>
  <c r="O166" i="7"/>
  <c r="N166" i="7"/>
  <c r="L166" i="7"/>
  <c r="M166" i="7" s="1"/>
  <c r="W165" i="7"/>
  <c r="V165" i="7"/>
  <c r="T165" i="7"/>
  <c r="U165" i="7" s="1"/>
  <c r="R165" i="7"/>
  <c r="S165" i="7" s="1"/>
  <c r="P165" i="7"/>
  <c r="Q165" i="7" s="1"/>
  <c r="N165" i="7"/>
  <c r="O165" i="7" s="1"/>
  <c r="L165" i="7"/>
  <c r="M165" i="7" s="1"/>
  <c r="W164" i="7"/>
  <c r="V164" i="7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S163" i="7"/>
  <c r="R163" i="7"/>
  <c r="P163" i="7"/>
  <c r="Q163" i="7" s="1"/>
  <c r="N163" i="7"/>
  <c r="O163" i="7" s="1"/>
  <c r="L163" i="7"/>
  <c r="M163" i="7" s="1"/>
  <c r="W162" i="7"/>
  <c r="V162" i="7"/>
  <c r="T162" i="7"/>
  <c r="U162" i="7" s="1"/>
  <c r="S162" i="7"/>
  <c r="R162" i="7"/>
  <c r="P162" i="7"/>
  <c r="Q162" i="7" s="1"/>
  <c r="N162" i="7"/>
  <c r="O162" i="7" s="1"/>
  <c r="L162" i="7"/>
  <c r="M162" i="7" s="1"/>
  <c r="V161" i="7"/>
  <c r="W161" i="7" s="1"/>
  <c r="T161" i="7"/>
  <c r="U161" i="7" s="1"/>
  <c r="S161" i="7"/>
  <c r="R161" i="7"/>
  <c r="P161" i="7"/>
  <c r="Q161" i="7" s="1"/>
  <c r="O161" i="7"/>
  <c r="N161" i="7"/>
  <c r="L161" i="7"/>
  <c r="M161" i="7" s="1"/>
  <c r="V160" i="7"/>
  <c r="W160" i="7" s="1"/>
  <c r="T160" i="7"/>
  <c r="U160" i="7" s="1"/>
  <c r="R160" i="7"/>
  <c r="S160" i="7" s="1"/>
  <c r="P160" i="7"/>
  <c r="Q160" i="7" s="1"/>
  <c r="O160" i="7"/>
  <c r="N160" i="7"/>
  <c r="L160" i="7"/>
  <c r="M160" i="7" s="1"/>
  <c r="W159" i="7"/>
  <c r="V159" i="7"/>
  <c r="T159" i="7"/>
  <c r="U159" i="7" s="1"/>
  <c r="R159" i="7"/>
  <c r="S159" i="7" s="1"/>
  <c r="P159" i="7"/>
  <c r="Q159" i="7" s="1"/>
  <c r="N159" i="7"/>
  <c r="O159" i="7" s="1"/>
  <c r="L159" i="7"/>
  <c r="M159" i="7" s="1"/>
  <c r="W158" i="7"/>
  <c r="V158" i="7"/>
  <c r="T158" i="7"/>
  <c r="U158" i="7" s="1"/>
  <c r="S158" i="7"/>
  <c r="R158" i="7"/>
  <c r="P158" i="7"/>
  <c r="Q158" i="7" s="1"/>
  <c r="N158" i="7"/>
  <c r="O158" i="7" s="1"/>
  <c r="L158" i="7"/>
  <c r="M158" i="7" s="1"/>
  <c r="V157" i="7"/>
  <c r="W157" i="7" s="1"/>
  <c r="T157" i="7"/>
  <c r="U157" i="7" s="1"/>
  <c r="S157" i="7"/>
  <c r="R157" i="7"/>
  <c r="P157" i="7"/>
  <c r="Q157" i="7" s="1"/>
  <c r="O157" i="7"/>
  <c r="N157" i="7"/>
  <c r="L157" i="7"/>
  <c r="M157" i="7" s="1"/>
  <c r="V156" i="7"/>
  <c r="W156" i="7" s="1"/>
  <c r="T156" i="7"/>
  <c r="U156" i="7" s="1"/>
  <c r="R156" i="7"/>
  <c r="S156" i="7" s="1"/>
  <c r="P156" i="7"/>
  <c r="Q156" i="7" s="1"/>
  <c r="O156" i="7"/>
  <c r="N156" i="7"/>
  <c r="L156" i="7"/>
  <c r="M156" i="7" s="1"/>
  <c r="W155" i="7"/>
  <c r="V155" i="7"/>
  <c r="T155" i="7"/>
  <c r="U155" i="7" s="1"/>
  <c r="R155" i="7"/>
  <c r="S155" i="7" s="1"/>
  <c r="P155" i="7"/>
  <c r="Q155" i="7" s="1"/>
  <c r="N155" i="7"/>
  <c r="O155" i="7" s="1"/>
  <c r="L155" i="7"/>
  <c r="M155" i="7" s="1"/>
  <c r="W154" i="7"/>
  <c r="V154" i="7"/>
  <c r="T154" i="7"/>
  <c r="U154" i="7" s="1"/>
  <c r="S154" i="7"/>
  <c r="R154" i="7"/>
  <c r="P154" i="7"/>
  <c r="Q154" i="7" s="1"/>
  <c r="N154" i="7"/>
  <c r="O154" i="7" s="1"/>
  <c r="L154" i="7"/>
  <c r="M154" i="7" s="1"/>
  <c r="V153" i="7"/>
  <c r="W153" i="7" s="1"/>
  <c r="T153" i="7"/>
  <c r="U153" i="7" s="1"/>
  <c r="S153" i="7"/>
  <c r="R153" i="7"/>
  <c r="P153" i="7"/>
  <c r="Q153" i="7" s="1"/>
  <c r="O153" i="7"/>
  <c r="N153" i="7"/>
  <c r="L153" i="7"/>
  <c r="M153" i="7" s="1"/>
  <c r="V152" i="7"/>
  <c r="W152" i="7" s="1"/>
  <c r="T152" i="7"/>
  <c r="U152" i="7" s="1"/>
  <c r="R152" i="7"/>
  <c r="S152" i="7" s="1"/>
  <c r="P152" i="7"/>
  <c r="Q152" i="7" s="1"/>
  <c r="O152" i="7"/>
  <c r="N152" i="7"/>
  <c r="L152" i="7"/>
  <c r="M152" i="7" s="1"/>
  <c r="W151" i="7"/>
  <c r="V151" i="7"/>
  <c r="T151" i="7"/>
  <c r="U151" i="7" s="1"/>
  <c r="R151" i="7"/>
  <c r="S151" i="7" s="1"/>
  <c r="P151" i="7"/>
  <c r="Q151" i="7" s="1"/>
  <c r="N151" i="7"/>
  <c r="O151" i="7" s="1"/>
  <c r="L151" i="7"/>
  <c r="M151" i="7" s="1"/>
  <c r="W150" i="7"/>
  <c r="V150" i="7"/>
  <c r="T150" i="7"/>
  <c r="U150" i="7" s="1"/>
  <c r="S150" i="7"/>
  <c r="R150" i="7"/>
  <c r="P150" i="7"/>
  <c r="Q150" i="7" s="1"/>
  <c r="N150" i="7"/>
  <c r="O150" i="7" s="1"/>
  <c r="L150" i="7"/>
  <c r="M150" i="7" s="1"/>
  <c r="V149" i="7"/>
  <c r="W149" i="7" s="1"/>
  <c r="T149" i="7"/>
  <c r="U149" i="7" s="1"/>
  <c r="S149" i="7"/>
  <c r="R149" i="7"/>
  <c r="P149" i="7"/>
  <c r="Q149" i="7" s="1"/>
  <c r="O149" i="7"/>
  <c r="N149" i="7"/>
  <c r="L149" i="7"/>
  <c r="M149" i="7" s="1"/>
  <c r="V148" i="7"/>
  <c r="W148" i="7" s="1"/>
  <c r="T148" i="7"/>
  <c r="U148" i="7" s="1"/>
  <c r="R148" i="7"/>
  <c r="S148" i="7" s="1"/>
  <c r="P148" i="7"/>
  <c r="Q148" i="7" s="1"/>
  <c r="O148" i="7"/>
  <c r="N148" i="7"/>
  <c r="L148" i="7"/>
  <c r="M148" i="7" s="1"/>
  <c r="W147" i="7"/>
  <c r="V147" i="7"/>
  <c r="T147" i="7"/>
  <c r="U147" i="7" s="1"/>
  <c r="R147" i="7"/>
  <c r="S147" i="7" s="1"/>
  <c r="P147" i="7"/>
  <c r="Q147" i="7" s="1"/>
  <c r="N147" i="7"/>
  <c r="O147" i="7" s="1"/>
  <c r="L147" i="7"/>
  <c r="M147" i="7" s="1"/>
  <c r="W146" i="7"/>
  <c r="V146" i="7"/>
  <c r="T146" i="7"/>
  <c r="U146" i="7" s="1"/>
  <c r="S146" i="7"/>
  <c r="R146" i="7"/>
  <c r="P146" i="7"/>
  <c r="Q146" i="7" s="1"/>
  <c r="N146" i="7"/>
  <c r="O146" i="7" s="1"/>
  <c r="L146" i="7"/>
  <c r="M146" i="7" s="1"/>
  <c r="V145" i="7"/>
  <c r="W145" i="7" s="1"/>
  <c r="T145" i="7"/>
  <c r="U145" i="7" s="1"/>
  <c r="S145" i="7"/>
  <c r="R145" i="7"/>
  <c r="P145" i="7"/>
  <c r="Q145" i="7" s="1"/>
  <c r="O145" i="7"/>
  <c r="N145" i="7"/>
  <c r="L145" i="7"/>
  <c r="M145" i="7" s="1"/>
  <c r="V144" i="7"/>
  <c r="W144" i="7" s="1"/>
  <c r="T144" i="7"/>
  <c r="U144" i="7" s="1"/>
  <c r="R144" i="7"/>
  <c r="S144" i="7" s="1"/>
  <c r="P144" i="7"/>
  <c r="Q144" i="7" s="1"/>
  <c r="O144" i="7"/>
  <c r="N144" i="7"/>
  <c r="L144" i="7"/>
  <c r="M144" i="7" s="1"/>
  <c r="W143" i="7"/>
  <c r="V143" i="7"/>
  <c r="T143" i="7"/>
  <c r="U143" i="7" s="1"/>
  <c r="R143" i="7"/>
  <c r="S143" i="7" s="1"/>
  <c r="P143" i="7"/>
  <c r="Q143" i="7" s="1"/>
  <c r="N143" i="7"/>
  <c r="O143" i="7" s="1"/>
  <c r="L143" i="7"/>
  <c r="M143" i="7" s="1"/>
  <c r="W142" i="7"/>
  <c r="V142" i="7"/>
  <c r="T142" i="7"/>
  <c r="U142" i="7" s="1"/>
  <c r="S142" i="7"/>
  <c r="R142" i="7"/>
  <c r="P142" i="7"/>
  <c r="Q142" i="7" s="1"/>
  <c r="N142" i="7"/>
  <c r="O142" i="7" s="1"/>
  <c r="L142" i="7"/>
  <c r="M142" i="7" s="1"/>
  <c r="V141" i="7"/>
  <c r="W141" i="7" s="1"/>
  <c r="T141" i="7"/>
  <c r="U141" i="7" s="1"/>
  <c r="S141" i="7"/>
  <c r="R141" i="7"/>
  <c r="P141" i="7"/>
  <c r="Q141" i="7" s="1"/>
  <c r="O141" i="7"/>
  <c r="N141" i="7"/>
  <c r="L141" i="7"/>
  <c r="M141" i="7" s="1"/>
  <c r="V140" i="7"/>
  <c r="W140" i="7" s="1"/>
  <c r="T140" i="7"/>
  <c r="U140" i="7" s="1"/>
  <c r="R140" i="7"/>
  <c r="S140" i="7" s="1"/>
  <c r="P140" i="7"/>
  <c r="Q140" i="7" s="1"/>
  <c r="O140" i="7"/>
  <c r="N140" i="7"/>
  <c r="L140" i="7"/>
  <c r="M140" i="7" s="1"/>
  <c r="W139" i="7"/>
  <c r="V139" i="7"/>
  <c r="T139" i="7"/>
  <c r="U139" i="7" s="1"/>
  <c r="R139" i="7"/>
  <c r="S139" i="7" s="1"/>
  <c r="P139" i="7"/>
  <c r="Q139" i="7" s="1"/>
  <c r="N139" i="7"/>
  <c r="O139" i="7" s="1"/>
  <c r="L139" i="7"/>
  <c r="M139" i="7" s="1"/>
  <c r="W138" i="7"/>
  <c r="V138" i="7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S137" i="7"/>
  <c r="R137" i="7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O136" i="7"/>
  <c r="N136" i="7"/>
  <c r="L136" i="7"/>
  <c r="M136" i="7" s="1"/>
  <c r="W135" i="7"/>
  <c r="V135" i="7"/>
  <c r="T135" i="7"/>
  <c r="U135" i="7" s="1"/>
  <c r="R135" i="7"/>
  <c r="S135" i="7" s="1"/>
  <c r="P135" i="7"/>
  <c r="Q135" i="7" s="1"/>
  <c r="N135" i="7"/>
  <c r="O135" i="7" s="1"/>
  <c r="L135" i="7"/>
  <c r="M135" i="7" s="1"/>
  <c r="W134" i="7"/>
  <c r="V134" i="7"/>
  <c r="T134" i="7"/>
  <c r="U134" i="7" s="1"/>
  <c r="S134" i="7"/>
  <c r="R134" i="7"/>
  <c r="P134" i="7"/>
  <c r="Q134" i="7" s="1"/>
  <c r="N134" i="7"/>
  <c r="O134" i="7" s="1"/>
  <c r="L134" i="7"/>
  <c r="M134" i="7" s="1"/>
  <c r="V133" i="7"/>
  <c r="W133" i="7" s="1"/>
  <c r="T133" i="7"/>
  <c r="U133" i="7" s="1"/>
  <c r="S133" i="7"/>
  <c r="R133" i="7"/>
  <c r="P133" i="7"/>
  <c r="Q133" i="7" s="1"/>
  <c r="O133" i="7"/>
  <c r="N133" i="7"/>
  <c r="L133" i="7"/>
  <c r="M133" i="7" s="1"/>
  <c r="V132" i="7"/>
  <c r="W132" i="7" s="1"/>
  <c r="T132" i="7"/>
  <c r="U132" i="7" s="1"/>
  <c r="R132" i="7"/>
  <c r="S132" i="7" s="1"/>
  <c r="P132" i="7"/>
  <c r="Q132" i="7" s="1"/>
  <c r="O132" i="7"/>
  <c r="N132" i="7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W130" i="7"/>
  <c r="V130" i="7"/>
  <c r="T130" i="7"/>
  <c r="U130" i="7" s="1"/>
  <c r="S130" i="7"/>
  <c r="R130" i="7"/>
  <c r="P130" i="7"/>
  <c r="Q130" i="7" s="1"/>
  <c r="N130" i="7"/>
  <c r="O130" i="7" s="1"/>
  <c r="L130" i="7"/>
  <c r="M130" i="7" s="1"/>
  <c r="V129" i="7"/>
  <c r="W129" i="7" s="1"/>
  <c r="T129" i="7"/>
  <c r="U129" i="7" s="1"/>
  <c r="S129" i="7"/>
  <c r="R129" i="7"/>
  <c r="P129" i="7"/>
  <c r="Q129" i="7" s="1"/>
  <c r="O129" i="7"/>
  <c r="N129" i="7"/>
  <c r="L129" i="7"/>
  <c r="M129" i="7" s="1"/>
  <c r="V128" i="7"/>
  <c r="W128" i="7" s="1"/>
  <c r="T128" i="7"/>
  <c r="U128" i="7" s="1"/>
  <c r="R128" i="7"/>
  <c r="S128" i="7" s="1"/>
  <c r="P128" i="7"/>
  <c r="Q128" i="7" s="1"/>
  <c r="O128" i="7"/>
  <c r="N128" i="7"/>
  <c r="L128" i="7"/>
  <c r="M128" i="7" s="1"/>
  <c r="W127" i="7"/>
  <c r="V127" i="7"/>
  <c r="T127" i="7"/>
  <c r="U127" i="7" s="1"/>
  <c r="R127" i="7"/>
  <c r="S127" i="7" s="1"/>
  <c r="P127" i="7"/>
  <c r="Q127" i="7" s="1"/>
  <c r="N127" i="7"/>
  <c r="O127" i="7" s="1"/>
  <c r="L127" i="7"/>
  <c r="M127" i="7" s="1"/>
  <c r="W126" i="7"/>
  <c r="V126" i="7"/>
  <c r="T126" i="7"/>
  <c r="U126" i="7" s="1"/>
  <c r="S126" i="7"/>
  <c r="R126" i="7"/>
  <c r="P126" i="7"/>
  <c r="Q126" i="7" s="1"/>
  <c r="N126" i="7"/>
  <c r="O126" i="7" s="1"/>
  <c r="L126" i="7"/>
  <c r="M126" i="7" s="1"/>
  <c r="V125" i="7"/>
  <c r="W125" i="7" s="1"/>
  <c r="T125" i="7"/>
  <c r="U125" i="7" s="1"/>
  <c r="S125" i="7"/>
  <c r="R125" i="7"/>
  <c r="P125" i="7"/>
  <c r="Q125" i="7" s="1"/>
  <c r="O125" i="7"/>
  <c r="N125" i="7"/>
  <c r="L125" i="7"/>
  <c r="M125" i="7" s="1"/>
  <c r="V124" i="7"/>
  <c r="W124" i="7" s="1"/>
  <c r="T124" i="7"/>
  <c r="U124" i="7" s="1"/>
  <c r="R124" i="7"/>
  <c r="S124" i="7" s="1"/>
  <c r="P124" i="7"/>
  <c r="Q124" i="7" s="1"/>
  <c r="O124" i="7"/>
  <c r="N124" i="7"/>
  <c r="L124" i="7"/>
  <c r="M124" i="7" s="1"/>
  <c r="W123" i="7"/>
  <c r="V123" i="7"/>
  <c r="T123" i="7"/>
  <c r="U123" i="7" s="1"/>
  <c r="R123" i="7"/>
  <c r="S123" i="7" s="1"/>
  <c r="P123" i="7"/>
  <c r="Q123" i="7" s="1"/>
  <c r="N123" i="7"/>
  <c r="O123" i="7" s="1"/>
  <c r="L123" i="7"/>
  <c r="M123" i="7" s="1"/>
  <c r="W122" i="7"/>
  <c r="V122" i="7"/>
  <c r="T122" i="7"/>
  <c r="U122" i="7" s="1"/>
  <c r="S122" i="7"/>
  <c r="R122" i="7"/>
  <c r="P122" i="7"/>
  <c r="Q122" i="7" s="1"/>
  <c r="N122" i="7"/>
  <c r="O122" i="7" s="1"/>
  <c r="L122" i="7"/>
  <c r="M122" i="7" s="1"/>
  <c r="V121" i="7"/>
  <c r="W121" i="7" s="1"/>
  <c r="T121" i="7"/>
  <c r="U121" i="7" s="1"/>
  <c r="S121" i="7"/>
  <c r="R121" i="7"/>
  <c r="P121" i="7"/>
  <c r="Q121" i="7" s="1"/>
  <c r="O121" i="7"/>
  <c r="N121" i="7"/>
  <c r="L121" i="7"/>
  <c r="M121" i="7" s="1"/>
  <c r="V120" i="7"/>
  <c r="W120" i="7" s="1"/>
  <c r="T120" i="7"/>
  <c r="U120" i="7" s="1"/>
  <c r="R120" i="7"/>
  <c r="S120" i="7" s="1"/>
  <c r="P120" i="7"/>
  <c r="Q120" i="7" s="1"/>
  <c r="O120" i="7"/>
  <c r="N120" i="7"/>
  <c r="L120" i="7"/>
  <c r="M120" i="7" s="1"/>
  <c r="W119" i="7"/>
  <c r="V119" i="7"/>
  <c r="T119" i="7"/>
  <c r="U119" i="7" s="1"/>
  <c r="R119" i="7"/>
  <c r="S119" i="7" s="1"/>
  <c r="P119" i="7"/>
  <c r="Q119" i="7" s="1"/>
  <c r="N119" i="7"/>
  <c r="O119" i="7" s="1"/>
  <c r="L119" i="7"/>
  <c r="M119" i="7" s="1"/>
  <c r="W118" i="7"/>
  <c r="V118" i="7"/>
  <c r="T118" i="7"/>
  <c r="U118" i="7" s="1"/>
  <c r="S118" i="7"/>
  <c r="R118" i="7"/>
  <c r="P118" i="7"/>
  <c r="Q118" i="7" s="1"/>
  <c r="N118" i="7"/>
  <c r="O118" i="7" s="1"/>
  <c r="L118" i="7"/>
  <c r="M118" i="7" s="1"/>
  <c r="V117" i="7"/>
  <c r="W117" i="7" s="1"/>
  <c r="T117" i="7"/>
  <c r="U117" i="7" s="1"/>
  <c r="S117" i="7"/>
  <c r="R117" i="7"/>
  <c r="P117" i="7"/>
  <c r="Q117" i="7" s="1"/>
  <c r="O117" i="7"/>
  <c r="N117" i="7"/>
  <c r="L117" i="7"/>
  <c r="M117" i="7" s="1"/>
  <c r="V116" i="7"/>
  <c r="W116" i="7" s="1"/>
  <c r="U116" i="7"/>
  <c r="T116" i="7"/>
  <c r="R116" i="7"/>
  <c r="S116" i="7" s="1"/>
  <c r="Q116" i="7"/>
  <c r="P116" i="7"/>
  <c r="N116" i="7"/>
  <c r="O116" i="7" s="1"/>
  <c r="M116" i="7"/>
  <c r="L116" i="7"/>
  <c r="V115" i="7"/>
  <c r="W115" i="7" s="1"/>
  <c r="U115" i="7"/>
  <c r="T115" i="7"/>
  <c r="R115" i="7"/>
  <c r="S115" i="7" s="1"/>
  <c r="Q115" i="7"/>
  <c r="P115" i="7"/>
  <c r="N115" i="7"/>
  <c r="O115" i="7" s="1"/>
  <c r="M115" i="7"/>
  <c r="L115" i="7"/>
  <c r="V114" i="7"/>
  <c r="W114" i="7" s="1"/>
  <c r="U114" i="7"/>
  <c r="T114" i="7"/>
  <c r="R114" i="7"/>
  <c r="S114" i="7" s="1"/>
  <c r="Q114" i="7"/>
  <c r="P114" i="7"/>
  <c r="N114" i="7"/>
  <c r="O114" i="7" s="1"/>
  <c r="M114" i="7"/>
  <c r="L114" i="7"/>
  <c r="V113" i="7"/>
  <c r="W113" i="7" s="1"/>
  <c r="U113" i="7"/>
  <c r="T113" i="7"/>
  <c r="R113" i="7"/>
  <c r="S113" i="7" s="1"/>
  <c r="Q113" i="7"/>
  <c r="P113" i="7"/>
  <c r="N113" i="7"/>
  <c r="O113" i="7" s="1"/>
  <c r="M113" i="7"/>
  <c r="L113" i="7"/>
  <c r="V112" i="7"/>
  <c r="W112" i="7" s="1"/>
  <c r="U112" i="7"/>
  <c r="T112" i="7"/>
  <c r="R112" i="7"/>
  <c r="S112" i="7" s="1"/>
  <c r="Q112" i="7"/>
  <c r="P112" i="7"/>
  <c r="N112" i="7"/>
  <c r="O112" i="7" s="1"/>
  <c r="M112" i="7"/>
  <c r="L112" i="7"/>
  <c r="V111" i="7"/>
  <c r="W111" i="7" s="1"/>
  <c r="U111" i="7"/>
  <c r="T111" i="7"/>
  <c r="R111" i="7"/>
  <c r="S111" i="7" s="1"/>
  <c r="Q111" i="7"/>
  <c r="P111" i="7"/>
  <c r="N111" i="7"/>
  <c r="O111" i="7" s="1"/>
  <c r="M111" i="7"/>
  <c r="L111" i="7"/>
  <c r="V110" i="7"/>
  <c r="W110" i="7" s="1"/>
  <c r="U110" i="7"/>
  <c r="T110" i="7"/>
  <c r="R110" i="7"/>
  <c r="S110" i="7" s="1"/>
  <c r="Q110" i="7"/>
  <c r="P110" i="7"/>
  <c r="N110" i="7"/>
  <c r="O110" i="7" s="1"/>
  <c r="M110" i="7"/>
  <c r="L110" i="7"/>
  <c r="V109" i="7"/>
  <c r="W109" i="7" s="1"/>
  <c r="U109" i="7"/>
  <c r="T109" i="7"/>
  <c r="R109" i="7"/>
  <c r="S109" i="7" s="1"/>
  <c r="Q109" i="7"/>
  <c r="P109" i="7"/>
  <c r="N109" i="7"/>
  <c r="O109" i="7" s="1"/>
  <c r="M109" i="7"/>
  <c r="L109" i="7"/>
  <c r="V108" i="7"/>
  <c r="W108" i="7" s="1"/>
  <c r="U108" i="7"/>
  <c r="T108" i="7"/>
  <c r="R108" i="7"/>
  <c r="S108" i="7" s="1"/>
  <c r="Q108" i="7"/>
  <c r="P108" i="7"/>
  <c r="N108" i="7"/>
  <c r="O108" i="7" s="1"/>
  <c r="M108" i="7"/>
  <c r="L108" i="7"/>
  <c r="V107" i="7"/>
  <c r="W107" i="7" s="1"/>
  <c r="U107" i="7"/>
  <c r="T107" i="7"/>
  <c r="R107" i="7"/>
  <c r="S107" i="7" s="1"/>
  <c r="Q107" i="7"/>
  <c r="P107" i="7"/>
  <c r="N107" i="7"/>
  <c r="O107" i="7" s="1"/>
  <c r="M107" i="7"/>
  <c r="L107" i="7"/>
  <c r="V106" i="7"/>
  <c r="W106" i="7" s="1"/>
  <c r="U106" i="7"/>
  <c r="T106" i="7"/>
  <c r="R106" i="7"/>
  <c r="S106" i="7" s="1"/>
  <c r="Q106" i="7"/>
  <c r="P106" i="7"/>
  <c r="N106" i="7"/>
  <c r="O106" i="7" s="1"/>
  <c r="M106" i="7"/>
  <c r="L106" i="7"/>
  <c r="V105" i="7"/>
  <c r="W105" i="7" s="1"/>
  <c r="U105" i="7"/>
  <c r="T105" i="7"/>
  <c r="R105" i="7"/>
  <c r="S105" i="7" s="1"/>
  <c r="Q105" i="7"/>
  <c r="P105" i="7"/>
  <c r="N105" i="7"/>
  <c r="O105" i="7" s="1"/>
  <c r="M105" i="7"/>
  <c r="L105" i="7"/>
  <c r="V104" i="7"/>
  <c r="W104" i="7" s="1"/>
  <c r="U104" i="7"/>
  <c r="T104" i="7"/>
  <c r="R104" i="7"/>
  <c r="S104" i="7" s="1"/>
  <c r="Q104" i="7"/>
  <c r="P104" i="7"/>
  <c r="N104" i="7"/>
  <c r="O104" i="7" s="1"/>
  <c r="M104" i="7"/>
  <c r="L104" i="7"/>
  <c r="V103" i="7"/>
  <c r="W103" i="7" s="1"/>
  <c r="U103" i="7"/>
  <c r="T103" i="7"/>
  <c r="R103" i="7"/>
  <c r="S103" i="7" s="1"/>
  <c r="Q103" i="7"/>
  <c r="P103" i="7"/>
  <c r="N103" i="7"/>
  <c r="O103" i="7" s="1"/>
  <c r="M103" i="7"/>
  <c r="L103" i="7"/>
  <c r="V102" i="7"/>
  <c r="W102" i="7" s="1"/>
  <c r="U102" i="7"/>
  <c r="T102" i="7"/>
  <c r="R102" i="7"/>
  <c r="S102" i="7" s="1"/>
  <c r="Q102" i="7"/>
  <c r="P102" i="7"/>
  <c r="N102" i="7"/>
  <c r="O102" i="7" s="1"/>
  <c r="M102" i="7"/>
  <c r="L102" i="7"/>
  <c r="V101" i="7"/>
  <c r="W101" i="7" s="1"/>
  <c r="U101" i="7"/>
  <c r="T101" i="7"/>
  <c r="R101" i="7"/>
  <c r="S101" i="7" s="1"/>
  <c r="Q101" i="7"/>
  <c r="P101" i="7"/>
  <c r="N101" i="7"/>
  <c r="O101" i="7" s="1"/>
  <c r="M101" i="7"/>
  <c r="L101" i="7"/>
  <c r="V100" i="7"/>
  <c r="W100" i="7" s="1"/>
  <c r="U100" i="7"/>
  <c r="T100" i="7"/>
  <c r="R100" i="7"/>
  <c r="S100" i="7" s="1"/>
  <c r="Q100" i="7"/>
  <c r="P100" i="7"/>
  <c r="N100" i="7"/>
  <c r="O100" i="7" s="1"/>
  <c r="M100" i="7"/>
  <c r="L100" i="7"/>
  <c r="V99" i="7"/>
  <c r="W99" i="7" s="1"/>
  <c r="U99" i="7"/>
  <c r="T99" i="7"/>
  <c r="R99" i="7"/>
  <c r="S99" i="7" s="1"/>
  <c r="Q99" i="7"/>
  <c r="P99" i="7"/>
  <c r="N99" i="7"/>
  <c r="O99" i="7" s="1"/>
  <c r="M99" i="7"/>
  <c r="L99" i="7"/>
  <c r="V98" i="7"/>
  <c r="W98" i="7" s="1"/>
  <c r="U98" i="7"/>
  <c r="T98" i="7"/>
  <c r="R98" i="7"/>
  <c r="S98" i="7" s="1"/>
  <c r="Q98" i="7"/>
  <c r="P98" i="7"/>
  <c r="N98" i="7"/>
  <c r="O98" i="7" s="1"/>
  <c r="M98" i="7"/>
  <c r="L98" i="7"/>
  <c r="V97" i="7"/>
  <c r="W97" i="7" s="1"/>
  <c r="U97" i="7"/>
  <c r="T97" i="7"/>
  <c r="R97" i="7"/>
  <c r="S97" i="7" s="1"/>
  <c r="Q97" i="7"/>
  <c r="P97" i="7"/>
  <c r="N97" i="7"/>
  <c r="O97" i="7" s="1"/>
  <c r="M97" i="7"/>
  <c r="L97" i="7"/>
  <c r="V96" i="7"/>
  <c r="W96" i="7" s="1"/>
  <c r="U96" i="7"/>
  <c r="T96" i="7"/>
  <c r="R96" i="7"/>
  <c r="S96" i="7" s="1"/>
  <c r="Q96" i="7"/>
  <c r="P96" i="7"/>
  <c r="N96" i="7"/>
  <c r="O96" i="7" s="1"/>
  <c r="M96" i="7"/>
  <c r="L96" i="7"/>
  <c r="V95" i="7"/>
  <c r="W95" i="7" s="1"/>
  <c r="U95" i="7"/>
  <c r="T95" i="7"/>
  <c r="R95" i="7"/>
  <c r="S95" i="7" s="1"/>
  <c r="Q95" i="7"/>
  <c r="P95" i="7"/>
  <c r="N95" i="7"/>
  <c r="O95" i="7" s="1"/>
  <c r="M95" i="7"/>
  <c r="L95" i="7"/>
  <c r="V94" i="7"/>
  <c r="W94" i="7" s="1"/>
  <c r="U94" i="7"/>
  <c r="T94" i="7"/>
  <c r="R94" i="7"/>
  <c r="S94" i="7" s="1"/>
  <c r="Q94" i="7"/>
  <c r="P94" i="7"/>
  <c r="N94" i="7"/>
  <c r="O94" i="7" s="1"/>
  <c r="M94" i="7"/>
  <c r="L94" i="7"/>
  <c r="V93" i="7"/>
  <c r="W93" i="7" s="1"/>
  <c r="U93" i="7"/>
  <c r="T93" i="7"/>
  <c r="R93" i="7"/>
  <c r="S93" i="7" s="1"/>
  <c r="Q93" i="7"/>
  <c r="P93" i="7"/>
  <c r="N93" i="7"/>
  <c r="O93" i="7" s="1"/>
  <c r="M93" i="7"/>
  <c r="L93" i="7"/>
  <c r="V92" i="7"/>
  <c r="W92" i="7" s="1"/>
  <c r="U92" i="7"/>
  <c r="T92" i="7"/>
  <c r="R92" i="7"/>
  <c r="S92" i="7" s="1"/>
  <c r="Q92" i="7"/>
  <c r="P92" i="7"/>
  <c r="N92" i="7"/>
  <c r="O92" i="7" s="1"/>
  <c r="M92" i="7"/>
  <c r="L92" i="7"/>
  <c r="V91" i="7"/>
  <c r="W91" i="7" s="1"/>
  <c r="U91" i="7"/>
  <c r="T91" i="7"/>
  <c r="R91" i="7"/>
  <c r="S91" i="7" s="1"/>
  <c r="Q91" i="7"/>
  <c r="P91" i="7"/>
  <c r="N91" i="7"/>
  <c r="O91" i="7" s="1"/>
  <c r="M91" i="7"/>
  <c r="L91" i="7"/>
  <c r="V90" i="7"/>
  <c r="W90" i="7" s="1"/>
  <c r="U90" i="7"/>
  <c r="T90" i="7"/>
  <c r="R90" i="7"/>
  <c r="S90" i="7" s="1"/>
  <c r="Q90" i="7"/>
  <c r="P90" i="7"/>
  <c r="N90" i="7"/>
  <c r="O90" i="7" s="1"/>
  <c r="M90" i="7"/>
  <c r="L90" i="7"/>
  <c r="V89" i="7"/>
  <c r="W89" i="7" s="1"/>
  <c r="U89" i="7"/>
  <c r="T89" i="7"/>
  <c r="R89" i="7"/>
  <c r="S89" i="7" s="1"/>
  <c r="Q89" i="7"/>
  <c r="P89" i="7"/>
  <c r="N89" i="7"/>
  <c r="O89" i="7" s="1"/>
  <c r="M89" i="7"/>
  <c r="L89" i="7"/>
  <c r="V88" i="7"/>
  <c r="W88" i="7" s="1"/>
  <c r="U88" i="7"/>
  <c r="T88" i="7"/>
  <c r="R88" i="7"/>
  <c r="S88" i="7" s="1"/>
  <c r="Q88" i="7"/>
  <c r="P88" i="7"/>
  <c r="N88" i="7"/>
  <c r="O88" i="7" s="1"/>
  <c r="M88" i="7"/>
  <c r="L88" i="7"/>
  <c r="V87" i="7"/>
  <c r="W87" i="7" s="1"/>
  <c r="U87" i="7"/>
  <c r="T87" i="7"/>
  <c r="R87" i="7"/>
  <c r="S87" i="7" s="1"/>
  <c r="Q87" i="7"/>
  <c r="P87" i="7"/>
  <c r="N87" i="7"/>
  <c r="O87" i="7" s="1"/>
  <c r="M87" i="7"/>
  <c r="L87" i="7"/>
  <c r="V86" i="7"/>
  <c r="W86" i="7" s="1"/>
  <c r="U86" i="7"/>
  <c r="T86" i="7"/>
  <c r="R86" i="7"/>
  <c r="S86" i="7" s="1"/>
  <c r="Q86" i="7"/>
  <c r="P86" i="7"/>
  <c r="N86" i="7"/>
  <c r="O86" i="7" s="1"/>
  <c r="M86" i="7"/>
  <c r="L86" i="7"/>
  <c r="V85" i="7"/>
  <c r="W85" i="7" s="1"/>
  <c r="U85" i="7"/>
  <c r="T85" i="7"/>
  <c r="R85" i="7"/>
  <c r="S85" i="7" s="1"/>
  <c r="Q85" i="7"/>
  <c r="P85" i="7"/>
  <c r="N85" i="7"/>
  <c r="O85" i="7" s="1"/>
  <c r="M85" i="7"/>
  <c r="L85" i="7"/>
  <c r="V84" i="7"/>
  <c r="W84" i="7" s="1"/>
  <c r="U84" i="7"/>
  <c r="T84" i="7"/>
  <c r="R84" i="7"/>
  <c r="S84" i="7" s="1"/>
  <c r="Q84" i="7"/>
  <c r="P84" i="7"/>
  <c r="N84" i="7"/>
  <c r="O84" i="7" s="1"/>
  <c r="M84" i="7"/>
  <c r="L84" i="7"/>
  <c r="V83" i="7"/>
  <c r="W83" i="7" s="1"/>
  <c r="U83" i="7"/>
  <c r="T83" i="7"/>
  <c r="R83" i="7"/>
  <c r="S83" i="7" s="1"/>
  <c r="Q83" i="7"/>
  <c r="P83" i="7"/>
  <c r="N83" i="7"/>
  <c r="O83" i="7" s="1"/>
  <c r="M83" i="7"/>
  <c r="L83" i="7"/>
  <c r="V82" i="7"/>
  <c r="W82" i="7" s="1"/>
  <c r="U82" i="7"/>
  <c r="T82" i="7"/>
  <c r="R82" i="7"/>
  <c r="S82" i="7" s="1"/>
  <c r="Q82" i="7"/>
  <c r="P82" i="7"/>
  <c r="N82" i="7"/>
  <c r="O82" i="7" s="1"/>
  <c r="M82" i="7"/>
  <c r="L82" i="7"/>
  <c r="V81" i="7"/>
  <c r="W81" i="7" s="1"/>
  <c r="U81" i="7"/>
  <c r="T81" i="7"/>
  <c r="R81" i="7"/>
  <c r="S81" i="7" s="1"/>
  <c r="Q81" i="7"/>
  <c r="P81" i="7"/>
  <c r="N81" i="7"/>
  <c r="O81" i="7" s="1"/>
  <c r="M81" i="7"/>
  <c r="L81" i="7"/>
  <c r="V80" i="7"/>
  <c r="W80" i="7" s="1"/>
  <c r="U80" i="7"/>
  <c r="T80" i="7"/>
  <c r="R80" i="7"/>
  <c r="S80" i="7" s="1"/>
  <c r="Q80" i="7"/>
  <c r="P80" i="7"/>
  <c r="N80" i="7"/>
  <c r="O80" i="7" s="1"/>
  <c r="M80" i="7"/>
  <c r="L80" i="7"/>
  <c r="V79" i="7"/>
  <c r="W79" i="7" s="1"/>
  <c r="U79" i="7"/>
  <c r="T79" i="7"/>
  <c r="R79" i="7"/>
  <c r="S79" i="7" s="1"/>
  <c r="Q79" i="7"/>
  <c r="P79" i="7"/>
  <c r="N79" i="7"/>
  <c r="O79" i="7" s="1"/>
  <c r="M79" i="7"/>
  <c r="L79" i="7"/>
  <c r="V78" i="7"/>
  <c r="W78" i="7" s="1"/>
  <c r="U78" i="7"/>
  <c r="T78" i="7"/>
  <c r="R78" i="7"/>
  <c r="S78" i="7" s="1"/>
  <c r="Q78" i="7"/>
  <c r="P78" i="7"/>
  <c r="N78" i="7"/>
  <c r="O78" i="7" s="1"/>
  <c r="M78" i="7"/>
  <c r="L78" i="7"/>
  <c r="V77" i="7"/>
  <c r="W77" i="7" s="1"/>
  <c r="U77" i="7"/>
  <c r="T77" i="7"/>
  <c r="R77" i="7"/>
  <c r="S77" i="7" s="1"/>
  <c r="Q77" i="7"/>
  <c r="P77" i="7"/>
  <c r="N77" i="7"/>
  <c r="O77" i="7" s="1"/>
  <c r="M77" i="7"/>
  <c r="L77" i="7"/>
  <c r="V76" i="7"/>
  <c r="W76" i="7" s="1"/>
  <c r="U76" i="7"/>
  <c r="T76" i="7"/>
  <c r="R76" i="7"/>
  <c r="S76" i="7" s="1"/>
  <c r="Q76" i="7"/>
  <c r="P76" i="7"/>
  <c r="N76" i="7"/>
  <c r="O76" i="7" s="1"/>
  <c r="M76" i="7"/>
  <c r="L76" i="7"/>
  <c r="V75" i="7"/>
  <c r="W75" i="7" s="1"/>
  <c r="U75" i="7"/>
  <c r="T75" i="7"/>
  <c r="R75" i="7"/>
  <c r="S75" i="7" s="1"/>
  <c r="Q75" i="7"/>
  <c r="P75" i="7"/>
  <c r="N75" i="7"/>
  <c r="O75" i="7" s="1"/>
  <c r="M75" i="7"/>
  <c r="L75" i="7"/>
  <c r="V74" i="7"/>
  <c r="W74" i="7" s="1"/>
  <c r="U74" i="7"/>
  <c r="T74" i="7"/>
  <c r="R74" i="7"/>
  <c r="S74" i="7" s="1"/>
  <c r="Q74" i="7"/>
  <c r="P74" i="7"/>
  <c r="N74" i="7"/>
  <c r="O74" i="7" s="1"/>
  <c r="M74" i="7"/>
  <c r="L74" i="7"/>
  <c r="V73" i="7"/>
  <c r="W73" i="7" s="1"/>
  <c r="U73" i="7"/>
  <c r="T73" i="7"/>
  <c r="R73" i="7"/>
  <c r="S73" i="7" s="1"/>
  <c r="Q73" i="7"/>
  <c r="P73" i="7"/>
  <c r="N73" i="7"/>
  <c r="O73" i="7" s="1"/>
  <c r="M73" i="7"/>
  <c r="L73" i="7"/>
  <c r="V72" i="7"/>
  <c r="W72" i="7" s="1"/>
  <c r="U72" i="7"/>
  <c r="T72" i="7"/>
  <c r="R72" i="7"/>
  <c r="S72" i="7" s="1"/>
  <c r="Q72" i="7"/>
  <c r="P72" i="7"/>
  <c r="N72" i="7"/>
  <c r="O72" i="7" s="1"/>
  <c r="M72" i="7"/>
  <c r="L72" i="7"/>
  <c r="V71" i="7"/>
  <c r="W71" i="7" s="1"/>
  <c r="U71" i="7"/>
  <c r="T71" i="7"/>
  <c r="R71" i="7"/>
  <c r="S71" i="7" s="1"/>
  <c r="Q71" i="7"/>
  <c r="P71" i="7"/>
  <c r="N71" i="7"/>
  <c r="O71" i="7" s="1"/>
  <c r="M71" i="7"/>
  <c r="L71" i="7"/>
  <c r="V70" i="7"/>
  <c r="W70" i="7" s="1"/>
  <c r="U70" i="7"/>
  <c r="T70" i="7"/>
  <c r="R70" i="7"/>
  <c r="S70" i="7" s="1"/>
  <c r="Q70" i="7"/>
  <c r="P70" i="7"/>
  <c r="N70" i="7"/>
  <c r="O70" i="7" s="1"/>
  <c r="M70" i="7"/>
  <c r="L70" i="7"/>
  <c r="V69" i="7"/>
  <c r="W69" i="7" s="1"/>
  <c r="U69" i="7"/>
  <c r="T69" i="7"/>
  <c r="R69" i="7"/>
  <c r="S69" i="7" s="1"/>
  <c r="Q69" i="7"/>
  <c r="P69" i="7"/>
  <c r="N69" i="7"/>
  <c r="O69" i="7" s="1"/>
  <c r="M69" i="7"/>
  <c r="L69" i="7"/>
  <c r="V68" i="7"/>
  <c r="W68" i="7" s="1"/>
  <c r="U68" i="7"/>
  <c r="T68" i="7"/>
  <c r="R68" i="7"/>
  <c r="S68" i="7" s="1"/>
  <c r="Q68" i="7"/>
  <c r="P68" i="7"/>
  <c r="N68" i="7"/>
  <c r="O68" i="7" s="1"/>
  <c r="M68" i="7"/>
  <c r="L68" i="7"/>
  <c r="V67" i="7"/>
  <c r="W67" i="7" s="1"/>
  <c r="U67" i="7"/>
  <c r="T67" i="7"/>
  <c r="R67" i="7"/>
  <c r="S67" i="7" s="1"/>
  <c r="Q67" i="7"/>
  <c r="P67" i="7"/>
  <c r="N67" i="7"/>
  <c r="O67" i="7" s="1"/>
  <c r="M67" i="7"/>
  <c r="L67" i="7"/>
  <c r="V66" i="7"/>
  <c r="W66" i="7" s="1"/>
  <c r="U66" i="7"/>
  <c r="T66" i="7"/>
  <c r="R66" i="7"/>
  <c r="S66" i="7" s="1"/>
  <c r="Q66" i="7"/>
  <c r="P66" i="7"/>
  <c r="N66" i="7"/>
  <c r="O66" i="7" s="1"/>
  <c r="M66" i="7"/>
  <c r="L66" i="7"/>
  <c r="V65" i="7"/>
  <c r="W65" i="7" s="1"/>
  <c r="U65" i="7"/>
  <c r="T65" i="7"/>
  <c r="R65" i="7"/>
  <c r="S65" i="7" s="1"/>
  <c r="Q65" i="7"/>
  <c r="P65" i="7"/>
  <c r="N65" i="7"/>
  <c r="O65" i="7" s="1"/>
  <c r="M65" i="7"/>
  <c r="L65" i="7"/>
  <c r="V64" i="7"/>
  <c r="W64" i="7" s="1"/>
  <c r="U64" i="7"/>
  <c r="T64" i="7"/>
  <c r="R64" i="7"/>
  <c r="S64" i="7" s="1"/>
  <c r="Q64" i="7"/>
  <c r="P64" i="7"/>
  <c r="N64" i="7"/>
  <c r="O64" i="7" s="1"/>
  <c r="M64" i="7"/>
  <c r="L64" i="7"/>
  <c r="V63" i="7"/>
  <c r="W63" i="7" s="1"/>
  <c r="U63" i="7"/>
  <c r="T63" i="7"/>
  <c r="R63" i="7"/>
  <c r="S63" i="7" s="1"/>
  <c r="Q63" i="7"/>
  <c r="P63" i="7"/>
  <c r="N63" i="7"/>
  <c r="O63" i="7" s="1"/>
  <c r="M63" i="7"/>
  <c r="L63" i="7"/>
  <c r="V62" i="7"/>
  <c r="W62" i="7" s="1"/>
  <c r="U62" i="7"/>
  <c r="T62" i="7"/>
  <c r="R62" i="7"/>
  <c r="S62" i="7" s="1"/>
  <c r="Q62" i="7"/>
  <c r="P62" i="7"/>
  <c r="N62" i="7"/>
  <c r="O62" i="7" s="1"/>
  <c r="M62" i="7"/>
  <c r="L62" i="7"/>
  <c r="V61" i="7"/>
  <c r="W61" i="7" s="1"/>
  <c r="U61" i="7"/>
  <c r="T61" i="7"/>
  <c r="R61" i="7"/>
  <c r="S61" i="7" s="1"/>
  <c r="Q61" i="7"/>
  <c r="P61" i="7"/>
  <c r="N61" i="7"/>
  <c r="O61" i="7" s="1"/>
  <c r="M61" i="7"/>
  <c r="L61" i="7"/>
  <c r="V60" i="7"/>
  <c r="W60" i="7" s="1"/>
  <c r="U60" i="7"/>
  <c r="T60" i="7"/>
  <c r="R60" i="7"/>
  <c r="S60" i="7" s="1"/>
  <c r="Q60" i="7"/>
  <c r="P60" i="7"/>
  <c r="N60" i="7"/>
  <c r="O60" i="7" s="1"/>
  <c r="M60" i="7"/>
  <c r="L60" i="7"/>
  <c r="V59" i="7"/>
  <c r="W59" i="7" s="1"/>
  <c r="U59" i="7"/>
  <c r="T59" i="7"/>
  <c r="R59" i="7"/>
  <c r="S59" i="7" s="1"/>
  <c r="Q59" i="7"/>
  <c r="P59" i="7"/>
  <c r="N59" i="7"/>
  <c r="O59" i="7" s="1"/>
  <c r="M59" i="7"/>
  <c r="L59" i="7"/>
  <c r="V58" i="7"/>
  <c r="W58" i="7" s="1"/>
  <c r="U58" i="7"/>
  <c r="T58" i="7"/>
  <c r="R58" i="7"/>
  <c r="S58" i="7" s="1"/>
  <c r="Q58" i="7"/>
  <c r="P58" i="7"/>
  <c r="N58" i="7"/>
  <c r="O58" i="7" s="1"/>
  <c r="M58" i="7"/>
  <c r="L58" i="7"/>
  <c r="V57" i="7"/>
  <c r="W57" i="7" s="1"/>
  <c r="U57" i="7"/>
  <c r="T57" i="7"/>
  <c r="R57" i="7"/>
  <c r="S57" i="7" s="1"/>
  <c r="Q57" i="7"/>
  <c r="P57" i="7"/>
  <c r="N57" i="7"/>
  <c r="O57" i="7" s="1"/>
  <c r="M57" i="7"/>
  <c r="L57" i="7"/>
  <c r="V56" i="7"/>
  <c r="W56" i="7" s="1"/>
  <c r="U56" i="7"/>
  <c r="T56" i="7"/>
  <c r="R56" i="7"/>
  <c r="S56" i="7" s="1"/>
  <c r="Q56" i="7"/>
  <c r="P56" i="7"/>
  <c r="N56" i="7"/>
  <c r="O56" i="7" s="1"/>
  <c r="M56" i="7"/>
  <c r="L56" i="7"/>
  <c r="V55" i="7"/>
  <c r="W55" i="7" s="1"/>
  <c r="U55" i="7"/>
  <c r="T55" i="7"/>
  <c r="R55" i="7"/>
  <c r="S55" i="7" s="1"/>
  <c r="Q55" i="7"/>
  <c r="P55" i="7"/>
  <c r="N55" i="7"/>
  <c r="O55" i="7" s="1"/>
  <c r="M55" i="7"/>
  <c r="L55" i="7"/>
  <c r="V54" i="7"/>
  <c r="W54" i="7" s="1"/>
  <c r="U54" i="7"/>
  <c r="T54" i="7"/>
  <c r="R54" i="7"/>
  <c r="S54" i="7" s="1"/>
  <c r="Q54" i="7"/>
  <c r="P54" i="7"/>
  <c r="N54" i="7"/>
  <c r="O54" i="7" s="1"/>
  <c r="M54" i="7"/>
  <c r="L54" i="7"/>
  <c r="V53" i="7"/>
  <c r="W53" i="7" s="1"/>
  <c r="U53" i="7"/>
  <c r="T53" i="7"/>
  <c r="R53" i="7"/>
  <c r="S53" i="7" s="1"/>
  <c r="Q53" i="7"/>
  <c r="P53" i="7"/>
  <c r="N53" i="7"/>
  <c r="O53" i="7" s="1"/>
  <c r="M53" i="7"/>
  <c r="L53" i="7"/>
  <c r="V52" i="7"/>
  <c r="W52" i="7" s="1"/>
  <c r="U52" i="7"/>
  <c r="T52" i="7"/>
  <c r="R52" i="7"/>
  <c r="S52" i="7" s="1"/>
  <c r="Q52" i="7"/>
  <c r="P52" i="7"/>
  <c r="N52" i="7"/>
  <c r="O52" i="7" s="1"/>
  <c r="M52" i="7"/>
  <c r="L52" i="7"/>
  <c r="V51" i="7"/>
  <c r="W51" i="7" s="1"/>
  <c r="U51" i="7"/>
  <c r="T51" i="7"/>
  <c r="R51" i="7"/>
  <c r="S51" i="7" s="1"/>
  <c r="Q51" i="7"/>
  <c r="P51" i="7"/>
  <c r="N51" i="7"/>
  <c r="O51" i="7" s="1"/>
  <c r="M51" i="7"/>
  <c r="L51" i="7"/>
  <c r="V50" i="7"/>
  <c r="W50" i="7" s="1"/>
  <c r="U50" i="7"/>
  <c r="T50" i="7"/>
  <c r="R50" i="7"/>
  <c r="S50" i="7" s="1"/>
  <c r="Q50" i="7"/>
  <c r="P50" i="7"/>
  <c r="N50" i="7"/>
  <c r="O50" i="7" s="1"/>
  <c r="M50" i="7"/>
  <c r="L50" i="7"/>
  <c r="F50" i="7"/>
  <c r="V49" i="7"/>
  <c r="W49" i="7" s="1"/>
  <c r="T49" i="7"/>
  <c r="U49" i="7" s="1"/>
  <c r="R49" i="7"/>
  <c r="S49" i="7" s="1"/>
  <c r="P49" i="7"/>
  <c r="Q49" i="7" s="1"/>
  <c r="O49" i="7"/>
  <c r="N49" i="7"/>
  <c r="L49" i="7"/>
  <c r="M49" i="7" s="1"/>
  <c r="W48" i="7"/>
  <c r="V48" i="7"/>
  <c r="T48" i="7"/>
  <c r="U48" i="7" s="1"/>
  <c r="R48" i="7"/>
  <c r="S48" i="7" s="1"/>
  <c r="P48" i="7"/>
  <c r="Q48" i="7" s="1"/>
  <c r="N48" i="7"/>
  <c r="O48" i="7" s="1"/>
  <c r="L48" i="7"/>
  <c r="M48" i="7" s="1"/>
  <c r="W47" i="7"/>
  <c r="V47" i="7"/>
  <c r="T47" i="7"/>
  <c r="U47" i="7" s="1"/>
  <c r="S47" i="7"/>
  <c r="R47" i="7"/>
  <c r="P47" i="7"/>
  <c r="Q47" i="7" s="1"/>
  <c r="N47" i="7"/>
  <c r="O47" i="7" s="1"/>
  <c r="L47" i="7"/>
  <c r="M47" i="7" s="1"/>
  <c r="V46" i="7"/>
  <c r="W46" i="7" s="1"/>
  <c r="T46" i="7"/>
  <c r="U46" i="7" s="1"/>
  <c r="S46" i="7"/>
  <c r="R46" i="7"/>
  <c r="P46" i="7"/>
  <c r="Q46" i="7" s="1"/>
  <c r="O46" i="7"/>
  <c r="N46" i="7"/>
  <c r="L46" i="7"/>
  <c r="M46" i="7" s="1"/>
  <c r="V45" i="7"/>
  <c r="W45" i="7" s="1"/>
  <c r="T45" i="7"/>
  <c r="U45" i="7" s="1"/>
  <c r="R45" i="7"/>
  <c r="S45" i="7" s="1"/>
  <c r="P45" i="7"/>
  <c r="Q45" i="7" s="1"/>
  <c r="O45" i="7"/>
  <c r="N45" i="7"/>
  <c r="L45" i="7"/>
  <c r="M45" i="7" s="1"/>
  <c r="W44" i="7"/>
  <c r="V44" i="7"/>
  <c r="T44" i="7"/>
  <c r="U44" i="7" s="1"/>
  <c r="R44" i="7"/>
  <c r="S44" i="7" s="1"/>
  <c r="P44" i="7"/>
  <c r="Q44" i="7" s="1"/>
  <c r="N44" i="7"/>
  <c r="O44" i="7" s="1"/>
  <c r="L44" i="7"/>
  <c r="M44" i="7" s="1"/>
  <c r="W43" i="7"/>
  <c r="V43" i="7"/>
  <c r="T43" i="7"/>
  <c r="U43" i="7" s="1"/>
  <c r="S43" i="7"/>
  <c r="R43" i="7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R34" i="7"/>
  <c r="S34" i="7" s="1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R30" i="7"/>
  <c r="S30" i="7" s="1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S19" i="7"/>
  <c r="R19" i="7"/>
  <c r="P19" i="7"/>
  <c r="Q19" i="7" s="1"/>
  <c r="N19" i="7"/>
  <c r="O19" i="7" s="1"/>
  <c r="L19" i="7"/>
  <c r="M19" i="7" s="1"/>
  <c r="V18" i="7"/>
  <c r="W18" i="7" s="1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V16" i="7"/>
  <c r="W16" i="7" s="1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T416" i="2"/>
  <c r="T417" i="2"/>
  <c r="T418" i="2"/>
  <c r="T419" i="2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T448" i="2"/>
  <c r="T449" i="2"/>
  <c r="T450" i="2"/>
  <c r="T451" i="2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T464" i="2"/>
  <c r="T465" i="2"/>
  <c r="T466" i="2"/>
  <c r="T467" i="2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T480" i="2"/>
  <c r="T481" i="2"/>
  <c r="T482" i="2"/>
  <c r="T483" i="2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T512" i="2"/>
  <c r="T513" i="2"/>
  <c r="T514" i="2"/>
  <c r="T515" i="2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T544" i="2"/>
  <c r="T545" i="2"/>
  <c r="T546" i="2"/>
  <c r="T547" i="2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T576" i="2"/>
  <c r="T577" i="2"/>
  <c r="T578" i="2"/>
  <c r="T579" i="2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T592" i="2"/>
  <c r="T593" i="2"/>
  <c r="T594" i="2"/>
  <c r="T595" i="2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T608" i="2"/>
  <c r="T609" i="2"/>
  <c r="T610" i="2"/>
  <c r="T611" i="2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T640" i="2"/>
  <c r="T641" i="2"/>
  <c r="T642" i="2"/>
  <c r="T643" i="2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T672" i="2"/>
  <c r="T673" i="2"/>
  <c r="T674" i="2"/>
  <c r="T675" i="2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T704" i="2"/>
  <c r="T705" i="2"/>
  <c r="T706" i="2"/>
  <c r="T707" i="2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T720" i="2"/>
  <c r="T721" i="2"/>
  <c r="T722" i="2"/>
  <c r="T723" i="2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T736" i="2"/>
  <c r="T737" i="2"/>
  <c r="T738" i="2"/>
  <c r="T739" i="2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T768" i="2"/>
  <c r="T769" i="2"/>
  <c r="T770" i="2"/>
  <c r="T771" i="2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T800" i="2"/>
  <c r="T801" i="2"/>
  <c r="T802" i="2"/>
  <c r="T803" i="2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T832" i="2"/>
  <c r="T833" i="2"/>
  <c r="T834" i="2"/>
  <c r="T835" i="2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T848" i="2"/>
  <c r="T849" i="2"/>
  <c r="T850" i="2"/>
  <c r="T851" i="2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BD274" i="3" l="1"/>
  <c r="BG274" i="3" s="1"/>
  <c r="BD138" i="3"/>
  <c r="BG138" i="3" s="1"/>
  <c r="BD871" i="3"/>
  <c r="BG871" i="3" s="1"/>
  <c r="BD679" i="3"/>
  <c r="BG679" i="3" s="1"/>
  <c r="BD367" i="3"/>
  <c r="BG367" i="3" s="1"/>
  <c r="BD275" i="3"/>
  <c r="BG275" i="3" s="1"/>
  <c r="BD115" i="3"/>
  <c r="BG115" i="3" s="1"/>
  <c r="BD27" i="3"/>
  <c r="BG27" i="3" s="1"/>
  <c r="U363" i="2"/>
  <c r="BD364" i="3" s="1"/>
  <c r="BG364" i="3" s="1"/>
  <c r="U359" i="2"/>
  <c r="BD655" i="3" s="1"/>
  <c r="BG655" i="3" s="1"/>
  <c r="U347" i="2"/>
  <c r="BD348" i="3"/>
  <c r="BG348" i="3" s="1"/>
  <c r="U343" i="2"/>
  <c r="BD344" i="3" s="1"/>
  <c r="BG344" i="3" s="1"/>
  <c r="U331" i="2"/>
  <c r="BD332" i="3"/>
  <c r="BG332" i="3" s="1"/>
  <c r="U327" i="2"/>
  <c r="BD328" i="3" s="1"/>
  <c r="BG328" i="3" s="1"/>
  <c r="U315" i="2"/>
  <c r="BD316" i="3" s="1"/>
  <c r="BG316" i="3" s="1"/>
  <c r="U311" i="2"/>
  <c r="U299" i="2"/>
  <c r="BD300" i="3" s="1"/>
  <c r="BG300" i="3" s="1"/>
  <c r="U295" i="2"/>
  <c r="BD587" i="3"/>
  <c r="BG587" i="3" s="1"/>
  <c r="U283" i="2"/>
  <c r="BD284" i="3" s="1"/>
  <c r="BG284" i="3" s="1"/>
  <c r="U279" i="2"/>
  <c r="BD280" i="3" s="1"/>
  <c r="BG280" i="3" s="1"/>
  <c r="U267" i="2"/>
  <c r="BD268" i="3" s="1"/>
  <c r="BG268" i="3" s="1"/>
  <c r="U263" i="2"/>
  <c r="BD264" i="3" s="1"/>
  <c r="BG264" i="3" s="1"/>
  <c r="U251" i="2"/>
  <c r="BD252" i="3" s="1"/>
  <c r="BG252" i="3" s="1"/>
  <c r="U247" i="2"/>
  <c r="U235" i="2"/>
  <c r="BD236" i="3" s="1"/>
  <c r="BG236" i="3" s="1"/>
  <c r="U231" i="2"/>
  <c r="U219" i="2"/>
  <c r="BD220" i="3" s="1"/>
  <c r="BG220" i="3" s="1"/>
  <c r="U215" i="2"/>
  <c r="BD216" i="3" s="1"/>
  <c r="BG216" i="3" s="1"/>
  <c r="U203" i="2"/>
  <c r="BD204" i="3" s="1"/>
  <c r="BG204" i="3" s="1"/>
  <c r="U199" i="2"/>
  <c r="BD200" i="3" s="1"/>
  <c r="BG200" i="3" s="1"/>
  <c r="BD192" i="3"/>
  <c r="BG192" i="3" s="1"/>
  <c r="U187" i="2"/>
  <c r="BD188" i="3" s="1"/>
  <c r="BG188" i="3" s="1"/>
  <c r="BD370" i="3"/>
  <c r="BG370" i="3" s="1"/>
  <c r="U183" i="2"/>
  <c r="BD184" i="3"/>
  <c r="BG184" i="3" s="1"/>
  <c r="U171" i="2"/>
  <c r="BD172" i="3"/>
  <c r="BG172" i="3" s="1"/>
  <c r="U167" i="2"/>
  <c r="BD463" i="3" s="1"/>
  <c r="BG463" i="3" s="1"/>
  <c r="U155" i="2"/>
  <c r="BD156" i="3"/>
  <c r="BG156" i="3" s="1"/>
  <c r="U151" i="2"/>
  <c r="BD152" i="3"/>
  <c r="BG152" i="3" s="1"/>
  <c r="U139" i="2"/>
  <c r="BD435" i="3" s="1"/>
  <c r="BG435" i="3" s="1"/>
  <c r="U135" i="2"/>
  <c r="BD136" i="3"/>
  <c r="BG136" i="3" s="1"/>
  <c r="BD132" i="3"/>
  <c r="BG132" i="3" s="1"/>
  <c r="U123" i="2"/>
  <c r="BD124" i="3"/>
  <c r="BG124" i="3" s="1"/>
  <c r="U119" i="2"/>
  <c r="BD120" i="3" s="1"/>
  <c r="BG120" i="3" s="1"/>
  <c r="U107" i="2"/>
  <c r="BD108" i="3"/>
  <c r="BG108" i="3" s="1"/>
  <c r="U103" i="2"/>
  <c r="BD104" i="3"/>
  <c r="BG104" i="3" s="1"/>
  <c r="U91" i="2"/>
  <c r="BD92" i="3" s="1"/>
  <c r="BG92" i="3" s="1"/>
  <c r="U87" i="2"/>
  <c r="BD88" i="3"/>
  <c r="BG88" i="3" s="1"/>
  <c r="U75" i="2"/>
  <c r="BD76" i="3" s="1"/>
  <c r="BG76" i="3" s="1"/>
  <c r="U71" i="2"/>
  <c r="BD72" i="3"/>
  <c r="BG72" i="3" s="1"/>
  <c r="U59" i="2"/>
  <c r="BD60" i="3" s="1"/>
  <c r="BG60" i="3" s="1"/>
  <c r="U55" i="2"/>
  <c r="BD56" i="3"/>
  <c r="BG56" i="3" s="1"/>
  <c r="U43" i="2"/>
  <c r="BD44" i="3" s="1"/>
  <c r="BG44" i="3" s="1"/>
  <c r="U39" i="2"/>
  <c r="BD40" i="3"/>
  <c r="BG40" i="3" s="1"/>
  <c r="U27" i="2"/>
  <c r="BD28" i="3" s="1"/>
  <c r="BG28" i="3" s="1"/>
  <c r="U23" i="2"/>
  <c r="BD24" i="3"/>
  <c r="BG24" i="3" s="1"/>
  <c r="U19" i="2"/>
  <c r="BD20" i="3" s="1"/>
  <c r="BG20" i="3" s="1"/>
  <c r="U11" i="2"/>
  <c r="BD12" i="3"/>
  <c r="BG12" i="3" s="1"/>
  <c r="U751" i="2"/>
  <c r="BD1047" i="3" s="1"/>
  <c r="BG1047" i="3" s="1"/>
  <c r="U623" i="2"/>
  <c r="BD919" i="3" s="1"/>
  <c r="BG919" i="3" s="1"/>
  <c r="U495" i="2"/>
  <c r="BD791" i="3" s="1"/>
  <c r="BG791" i="3" s="1"/>
  <c r="U367" i="2"/>
  <c r="U239" i="2"/>
  <c r="BD240" i="3" s="1"/>
  <c r="BG240" i="3" s="1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U22" i="2"/>
  <c r="BD23" i="3" s="1"/>
  <c r="BG23" i="3" s="1"/>
  <c r="U14" i="2"/>
  <c r="BD15" i="3" s="1"/>
  <c r="BG15" i="3" s="1"/>
  <c r="U847" i="2"/>
  <c r="BD1143" i="3" s="1"/>
  <c r="BG1143" i="3" s="1"/>
  <c r="U719" i="2"/>
  <c r="BD1015" i="3" s="1"/>
  <c r="BG1015" i="3" s="1"/>
  <c r="U591" i="2"/>
  <c r="BD887" i="3" s="1"/>
  <c r="BG887" i="3" s="1"/>
  <c r="U463" i="2"/>
  <c r="BD759" i="3" s="1"/>
  <c r="BG759" i="3" s="1"/>
  <c r="U335" i="2"/>
  <c r="BD336" i="3" s="1"/>
  <c r="BG336" i="3" s="1"/>
  <c r="U207" i="2"/>
  <c r="BD208" i="3" s="1"/>
  <c r="BG208" i="3" s="1"/>
  <c r="U79" i="2"/>
  <c r="BD80" i="3" s="1"/>
  <c r="BG80" i="3" s="1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I1084" i="3"/>
  <c r="BL1084" i="3" s="1"/>
  <c r="BI956" i="3"/>
  <c r="BL956" i="3" s="1"/>
  <c r="BI828" i="3"/>
  <c r="BL828" i="3" s="1"/>
  <c r="BI700" i="3"/>
  <c r="BL700" i="3" s="1"/>
  <c r="BD372" i="3"/>
  <c r="BG372" i="3" s="1"/>
  <c r="U21" i="2"/>
  <c r="BD22" i="3"/>
  <c r="BG22" i="3" s="1"/>
  <c r="U303" i="2"/>
  <c r="BD599" i="3" s="1"/>
  <c r="BG599" i="3" s="1"/>
  <c r="U175" i="2"/>
  <c r="BD471" i="3" s="1"/>
  <c r="BG471" i="3" s="1"/>
  <c r="U47" i="2"/>
  <c r="BD48" i="3" s="1"/>
  <c r="BG48" i="3" s="1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U271" i="2"/>
  <c r="U143" i="2"/>
  <c r="BD144" i="3" s="1"/>
  <c r="BG144" i="3" s="1"/>
  <c r="U15" i="2"/>
  <c r="BD16" i="3" s="1"/>
  <c r="BG16" i="3" s="1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91" i="3" s="1"/>
  <c r="BB491" i="3" s="1"/>
  <c r="S179" i="2"/>
  <c r="AY180" i="3" s="1"/>
  <c r="BB180" i="3" s="1"/>
  <c r="S171" i="2"/>
  <c r="AY172" i="3" s="1"/>
  <c r="BB172" i="3" s="1"/>
  <c r="S155" i="2"/>
  <c r="AY156" i="3" s="1"/>
  <c r="BB156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 s="1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S22" i="2"/>
  <c r="AY23" i="3" s="1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 s="1"/>
  <c r="BB18" i="3" s="1"/>
  <c r="S13" i="2"/>
  <c r="AY14" i="3" s="1"/>
  <c r="BB14" i="3" s="1"/>
  <c r="S360" i="2"/>
  <c r="AY361" i="3" s="1"/>
  <c r="BB361" i="3" s="1"/>
  <c r="S352" i="2"/>
  <c r="AY353" i="3" s="1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616" i="3" s="1"/>
  <c r="BB616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 s="1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 s="1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S96" i="2"/>
  <c r="AY97" i="3" s="1"/>
  <c r="BB97" i="3" s="1"/>
  <c r="S88" i="2"/>
  <c r="AY89" i="3" s="1"/>
  <c r="BB89" i="3" s="1"/>
  <c r="S80" i="2"/>
  <c r="AY81" i="3" s="1"/>
  <c r="BB81" i="3" s="1"/>
  <c r="S72" i="2"/>
  <c r="AY73" i="3" s="1"/>
  <c r="BB73" i="3" s="1"/>
  <c r="S64" i="2"/>
  <c r="AY65" i="3" s="1"/>
  <c r="BB65" i="3" s="1"/>
  <c r="S56" i="2"/>
  <c r="AY57" i="3" s="1"/>
  <c r="BB57" i="3" s="1"/>
  <c r="S48" i="2"/>
  <c r="AY49" i="3" s="1"/>
  <c r="BB49" i="3" s="1"/>
  <c r="S40" i="2"/>
  <c r="AY41" i="3" s="1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BD1131" i="3" s="1"/>
  <c r="BG1131" i="3" s="1"/>
  <c r="U771" i="2"/>
  <c r="BD1067" i="3" s="1"/>
  <c r="BG1067" i="3" s="1"/>
  <c r="U707" i="2"/>
  <c r="BD1003" i="3" s="1"/>
  <c r="BG1003" i="3" s="1"/>
  <c r="U643" i="2"/>
  <c r="BD939" i="3" s="1"/>
  <c r="BG939" i="3" s="1"/>
  <c r="U579" i="2"/>
  <c r="BD875" i="3" s="1"/>
  <c r="BG875" i="3" s="1"/>
  <c r="U515" i="2"/>
  <c r="BD811" i="3" s="1"/>
  <c r="BG811" i="3" s="1"/>
  <c r="U419" i="2"/>
  <c r="BD715" i="3" s="1"/>
  <c r="BG715" i="3" s="1"/>
  <c r="U355" i="2"/>
  <c r="BD651" i="3" s="1"/>
  <c r="BG651" i="3" s="1"/>
  <c r="U259" i="2"/>
  <c r="BD260" i="3" s="1"/>
  <c r="BG260" i="3" s="1"/>
  <c r="U131" i="2"/>
  <c r="BD427" i="3" s="1"/>
  <c r="BG427" i="3" s="1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23" i="3"/>
  <c r="BG623" i="3" s="1"/>
  <c r="BD559" i="3"/>
  <c r="BG559" i="3" s="1"/>
  <c r="BD495" i="3"/>
  <c r="BG495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BD19" i="3" s="1"/>
  <c r="BG19" i="3" s="1"/>
  <c r="U10" i="2"/>
  <c r="BD10" i="3" s="1"/>
  <c r="BG10" i="3" s="1"/>
  <c r="U863" i="2"/>
  <c r="BD1159" i="3" s="1"/>
  <c r="BG1159" i="3" s="1"/>
  <c r="U831" i="2"/>
  <c r="BD1127" i="3" s="1"/>
  <c r="BG1127" i="3" s="1"/>
  <c r="U799" i="2"/>
  <c r="BD1095" i="3" s="1"/>
  <c r="BG1095" i="3" s="1"/>
  <c r="U767" i="2"/>
  <c r="BD1063" i="3" s="1"/>
  <c r="BG1063" i="3" s="1"/>
  <c r="U735" i="2"/>
  <c r="BD1031" i="3" s="1"/>
  <c r="BG1031" i="3" s="1"/>
  <c r="U703" i="2"/>
  <c r="BD999" i="3" s="1"/>
  <c r="BG999" i="3" s="1"/>
  <c r="U671" i="2"/>
  <c r="BD967" i="3" s="1"/>
  <c r="BG967" i="3" s="1"/>
  <c r="U639" i="2"/>
  <c r="BD935" i="3" s="1"/>
  <c r="BG935" i="3" s="1"/>
  <c r="U607" i="2"/>
  <c r="BD903" i="3" s="1"/>
  <c r="BG903" i="3" s="1"/>
  <c r="U575" i="2"/>
  <c r="U543" i="2"/>
  <c r="BD839" i="3" s="1"/>
  <c r="BG839" i="3" s="1"/>
  <c r="U511" i="2"/>
  <c r="BD807" i="3" s="1"/>
  <c r="BG807" i="3" s="1"/>
  <c r="U479" i="2"/>
  <c r="BD775" i="3" s="1"/>
  <c r="BG775" i="3" s="1"/>
  <c r="U447" i="2"/>
  <c r="BD743" i="3" s="1"/>
  <c r="BG743" i="3" s="1"/>
  <c r="U415" i="2"/>
  <c r="BD711" i="3" s="1"/>
  <c r="BG711" i="3" s="1"/>
  <c r="U383" i="2"/>
  <c r="U351" i="2"/>
  <c r="BD352" i="3" s="1"/>
  <c r="BG352" i="3" s="1"/>
  <c r="U319" i="2"/>
  <c r="BD615" i="3" s="1"/>
  <c r="BG615" i="3" s="1"/>
  <c r="U287" i="2"/>
  <c r="BD288" i="3" s="1"/>
  <c r="BG288" i="3" s="1"/>
  <c r="U255" i="2"/>
  <c r="BD256" i="3" s="1"/>
  <c r="BG256" i="3" s="1"/>
  <c r="U223" i="2"/>
  <c r="BD224" i="3" s="1"/>
  <c r="BG224" i="3" s="1"/>
  <c r="U191" i="2"/>
  <c r="BD487" i="3" s="1"/>
  <c r="BG487" i="3" s="1"/>
  <c r="U159" i="2"/>
  <c r="BD455" i="3" s="1"/>
  <c r="BG455" i="3" s="1"/>
  <c r="U127" i="2"/>
  <c r="BD423" i="3" s="1"/>
  <c r="BG423" i="3" s="1"/>
  <c r="U95" i="2"/>
  <c r="BD391" i="3" s="1"/>
  <c r="BG391" i="3" s="1"/>
  <c r="U63" i="2"/>
  <c r="BD64" i="3" s="1"/>
  <c r="BG64" i="3" s="1"/>
  <c r="U31" i="2"/>
  <c r="BD32" i="3" s="1"/>
  <c r="BG32" i="3" s="1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BD1099" i="3" s="1"/>
  <c r="BG1099" i="3" s="1"/>
  <c r="U739" i="2"/>
  <c r="BD1035" i="3" s="1"/>
  <c r="BG1035" i="3" s="1"/>
  <c r="U675" i="2"/>
  <c r="BD971" i="3" s="1"/>
  <c r="BG971" i="3" s="1"/>
  <c r="U611" i="2"/>
  <c r="BD907" i="3" s="1"/>
  <c r="BG907" i="3" s="1"/>
  <c r="U547" i="2"/>
  <c r="BD843" i="3" s="1"/>
  <c r="BG843" i="3" s="1"/>
  <c r="U483" i="2"/>
  <c r="BD779" i="3" s="1"/>
  <c r="BG779" i="3" s="1"/>
  <c r="U451" i="2"/>
  <c r="BD747" i="3" s="1"/>
  <c r="BG747" i="3" s="1"/>
  <c r="U387" i="2"/>
  <c r="BD683" i="3" s="1"/>
  <c r="BG683" i="3" s="1"/>
  <c r="U323" i="2"/>
  <c r="BD619" i="3" s="1"/>
  <c r="BG619" i="3" s="1"/>
  <c r="U291" i="2"/>
  <c r="BD292" i="3" s="1"/>
  <c r="BG292" i="3" s="1"/>
  <c r="U227" i="2"/>
  <c r="BD228" i="3" s="1"/>
  <c r="BG228" i="3" s="1"/>
  <c r="U195" i="2"/>
  <c r="BD196" i="3" s="1"/>
  <c r="BG196" i="3" s="1"/>
  <c r="U163" i="2"/>
  <c r="BD459" i="3" s="1"/>
  <c r="BG459" i="3" s="1"/>
  <c r="U99" i="2"/>
  <c r="BD395" i="3" s="1"/>
  <c r="BG395" i="3" s="1"/>
  <c r="U67" i="2"/>
  <c r="BD68" i="3" s="1"/>
  <c r="BG68" i="3" s="1"/>
  <c r="U35" i="2"/>
  <c r="BD36" i="3" s="1"/>
  <c r="BG36" i="3" s="1"/>
  <c r="U851" i="2"/>
  <c r="BD1147" i="3" s="1"/>
  <c r="BG1147" i="3" s="1"/>
  <c r="U819" i="2"/>
  <c r="BD1115" i="3" s="1"/>
  <c r="BG1115" i="3" s="1"/>
  <c r="U787" i="2"/>
  <c r="BD1083" i="3" s="1"/>
  <c r="BG1083" i="3" s="1"/>
  <c r="U755" i="2"/>
  <c r="BD1051" i="3" s="1"/>
  <c r="BG1051" i="3" s="1"/>
  <c r="U723" i="2"/>
  <c r="BD1019" i="3" s="1"/>
  <c r="BG1019" i="3" s="1"/>
  <c r="U691" i="2"/>
  <c r="BD987" i="3" s="1"/>
  <c r="BG987" i="3" s="1"/>
  <c r="U659" i="2"/>
  <c r="BD955" i="3" s="1"/>
  <c r="BG955" i="3" s="1"/>
  <c r="U627" i="2"/>
  <c r="BD923" i="3" s="1"/>
  <c r="BG923" i="3" s="1"/>
  <c r="U595" i="2"/>
  <c r="BD891" i="3" s="1"/>
  <c r="BG891" i="3" s="1"/>
  <c r="U563" i="2"/>
  <c r="BD859" i="3" s="1"/>
  <c r="BG859" i="3" s="1"/>
  <c r="U531" i="2"/>
  <c r="BD827" i="3" s="1"/>
  <c r="BG827" i="3" s="1"/>
  <c r="U499" i="2"/>
  <c r="BD795" i="3" s="1"/>
  <c r="BG795" i="3" s="1"/>
  <c r="U467" i="2"/>
  <c r="BD763" i="3" s="1"/>
  <c r="BG763" i="3" s="1"/>
  <c r="U435" i="2"/>
  <c r="BD731" i="3" s="1"/>
  <c r="BG731" i="3" s="1"/>
  <c r="U403" i="2"/>
  <c r="BD699" i="3" s="1"/>
  <c r="BG699" i="3" s="1"/>
  <c r="U371" i="2"/>
  <c r="BD667" i="3" s="1"/>
  <c r="BG667" i="3" s="1"/>
  <c r="U339" i="2"/>
  <c r="BD635" i="3" s="1"/>
  <c r="BG635" i="3" s="1"/>
  <c r="U307" i="2"/>
  <c r="BD308" i="3" s="1"/>
  <c r="BG308" i="3" s="1"/>
  <c r="U275" i="2"/>
  <c r="BD276" i="3" s="1"/>
  <c r="BG276" i="3" s="1"/>
  <c r="U243" i="2"/>
  <c r="BD244" i="3" s="1"/>
  <c r="BG244" i="3" s="1"/>
  <c r="U211" i="2"/>
  <c r="BD212" i="3" s="1"/>
  <c r="BG212" i="3" s="1"/>
  <c r="U179" i="2"/>
  <c r="BD475" i="3" s="1"/>
  <c r="BG475" i="3" s="1"/>
  <c r="U147" i="2"/>
  <c r="BD443" i="3" s="1"/>
  <c r="BG443" i="3" s="1"/>
  <c r="U115" i="2"/>
  <c r="BD411" i="3" s="1"/>
  <c r="BG411" i="3" s="1"/>
  <c r="U83" i="2"/>
  <c r="BD84" i="3" s="1"/>
  <c r="BG84" i="3" s="1"/>
  <c r="U51" i="2"/>
  <c r="BD52" i="3" s="1"/>
  <c r="BG52" i="3" s="1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575" i="3"/>
  <c r="BG575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S863" i="2"/>
  <c r="AY1159" i="3" s="1"/>
  <c r="BB1159" i="3" s="1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 s="1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 s="1"/>
  <c r="BB1115" i="3" s="1"/>
  <c r="S815" i="2"/>
  <c r="AY1111" i="3" s="1"/>
  <c r="BB1111" i="3" s="1"/>
  <c r="S811" i="2"/>
  <c r="AY1107" i="3" s="1"/>
  <c r="BB1107" i="3" s="1"/>
  <c r="S807" i="2"/>
  <c r="AY1103" i="3" s="1"/>
  <c r="BB1103" i="3" s="1"/>
  <c r="S803" i="2"/>
  <c r="AY1099" i="3" s="1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 s="1"/>
  <c r="BB1075" i="3" s="1"/>
  <c r="S775" i="2"/>
  <c r="AY1071" i="3" s="1"/>
  <c r="BB1071" i="3" s="1"/>
  <c r="S771" i="2"/>
  <c r="AY1067" i="3" s="1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 s="1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 s="1"/>
  <c r="BB1035" i="3" s="1"/>
  <c r="S735" i="2"/>
  <c r="AY1031" i="3" s="1"/>
  <c r="BB1031" i="3" s="1"/>
  <c r="S731" i="2"/>
  <c r="AY1027" i="3" s="1"/>
  <c r="BB1027" i="3" s="1"/>
  <c r="S727" i="2"/>
  <c r="AY1023" i="3" s="1"/>
  <c r="BB1023" i="3" s="1"/>
  <c r="S723" i="2"/>
  <c r="AY1019" i="3" s="1"/>
  <c r="BB1019" i="3" s="1"/>
  <c r="S719" i="2"/>
  <c r="AY1015" i="3" s="1"/>
  <c r="BB1015" i="3" s="1"/>
  <c r="S715" i="2"/>
  <c r="AY1011" i="3" s="1"/>
  <c r="BB1011" i="3" s="1"/>
  <c r="AY1007" i="3"/>
  <c r="BB1007" i="3" s="1"/>
  <c r="S711" i="2"/>
  <c r="S707" i="2"/>
  <c r="AY1003" i="3" s="1"/>
  <c r="BB1003" i="3" s="1"/>
  <c r="S703" i="2"/>
  <c r="AY999" i="3" s="1"/>
  <c r="BB999" i="3" s="1"/>
  <c r="S699" i="2"/>
  <c r="AY995" i="3" s="1"/>
  <c r="BB995" i="3" s="1"/>
  <c r="S695" i="2"/>
  <c r="AY991" i="3" s="1"/>
  <c r="BB991" i="3" s="1"/>
  <c r="S691" i="2"/>
  <c r="AY987" i="3" s="1"/>
  <c r="BB987" i="3" s="1"/>
  <c r="S687" i="2"/>
  <c r="AY983" i="3" s="1"/>
  <c r="BB983" i="3" s="1"/>
  <c r="S683" i="2"/>
  <c r="AY979" i="3" s="1"/>
  <c r="BB979" i="3" s="1"/>
  <c r="S679" i="2"/>
  <c r="AY975" i="3" s="1"/>
  <c r="BB975" i="3" s="1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 s="1"/>
  <c r="BB947" i="3" s="1"/>
  <c r="S647" i="2"/>
  <c r="AY943" i="3" s="1"/>
  <c r="BB943" i="3" s="1"/>
  <c r="S643" i="2"/>
  <c r="AY939" i="3" s="1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 s="1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S607" i="2"/>
  <c r="AY903" i="3" s="1"/>
  <c r="BB903" i="3" s="1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 s="1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 s="1"/>
  <c r="BB859" i="3" s="1"/>
  <c r="S559" i="2"/>
  <c r="AY855" i="3" s="1"/>
  <c r="BB855" i="3" s="1"/>
  <c r="S555" i="2"/>
  <c r="AY851" i="3" s="1"/>
  <c r="BB851" i="3" s="1"/>
  <c r="S551" i="2"/>
  <c r="AY847" i="3" s="1"/>
  <c r="BB847" i="3" s="1"/>
  <c r="S547" i="2"/>
  <c r="AY843" i="3" s="1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 s="1"/>
  <c r="BB735" i="3" s="1"/>
  <c r="S431" i="2"/>
  <c r="AY727" i="3" s="1"/>
  <c r="BB727" i="3" s="1"/>
  <c r="S407" i="2"/>
  <c r="AY703" i="3" s="1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152" i="3" s="1"/>
  <c r="BB152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 s="1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 s="1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S180" i="2"/>
  <c r="S172" i="2"/>
  <c r="S148" i="2"/>
  <c r="S140" i="2"/>
  <c r="AY141" i="3" s="1"/>
  <c r="BB141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 s="1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 s="1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 s="1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 s="1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 s="1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 s="1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AY483" i="3" s="1"/>
  <c r="BB483" i="3" s="1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44" i="3"/>
  <c r="BB544" i="3" s="1"/>
  <c r="AY528" i="3"/>
  <c r="BB528" i="3" s="1"/>
  <c r="AY512" i="3"/>
  <c r="BB512" i="3" s="1"/>
  <c r="AY448" i="3"/>
  <c r="BB448" i="3" s="1"/>
  <c r="AY400" i="3"/>
  <c r="BB400" i="3" s="1"/>
  <c r="S519" i="2"/>
  <c r="AY815" i="3" s="1"/>
  <c r="BB815" i="3" s="1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35" i="3"/>
  <c r="BB635" i="3" s="1"/>
  <c r="AY603" i="3"/>
  <c r="BB603" i="3" s="1"/>
  <c r="AY555" i="3"/>
  <c r="BB555" i="3" s="1"/>
  <c r="AY507" i="3"/>
  <c r="BB507" i="3" s="1"/>
  <c r="AY475" i="3"/>
  <c r="BB475" i="3" s="1"/>
  <c r="AY443" i="3"/>
  <c r="BB443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63" i="3"/>
  <c r="BB563" i="3" s="1"/>
  <c r="AY499" i="3"/>
  <c r="BB49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 s="1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 s="1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 s="1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 s="1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 s="1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 s="1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 s="1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 s="1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 s="1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 s="1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 s="1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 s="1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 s="1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 s="1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 s="1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 s="1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 s="1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 s="1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 s="1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 s="1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 s="1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 s="1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 s="1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 s="1"/>
  <c r="BG1161" i="3" s="1"/>
  <c r="U861" i="2"/>
  <c r="BD1157" i="3" s="1"/>
  <c r="BG1157" i="3" s="1"/>
  <c r="U857" i="2"/>
  <c r="BD1153" i="3" s="1"/>
  <c r="BG1153" i="3" s="1"/>
  <c r="U853" i="2"/>
  <c r="BD1149" i="3" s="1"/>
  <c r="BG1149" i="3" s="1"/>
  <c r="U849" i="2"/>
  <c r="BD1145" i="3" s="1"/>
  <c r="BG1145" i="3" s="1"/>
  <c r="U845" i="2"/>
  <c r="BD1141" i="3" s="1"/>
  <c r="BG1141" i="3" s="1"/>
  <c r="U841" i="2"/>
  <c r="BD1137" i="3" s="1"/>
  <c r="BG1137" i="3" s="1"/>
  <c r="U837" i="2"/>
  <c r="BD1133" i="3" s="1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122" i="3" s="1"/>
  <c r="BG122" i="3" s="1"/>
  <c r="BD417" i="3"/>
  <c r="BG417" i="3" s="1"/>
  <c r="U113" i="2"/>
  <c r="BD114" i="3" s="1"/>
  <c r="BG114" i="3" s="1"/>
  <c r="BD409" i="3"/>
  <c r="BG409" i="3" s="1"/>
  <c r="U105" i="2"/>
  <c r="BD106" i="3" s="1"/>
  <c r="BG106" i="3" s="1"/>
  <c r="BD401" i="3"/>
  <c r="BG401" i="3" s="1"/>
  <c r="U97" i="2"/>
  <c r="BD98" i="3" s="1"/>
  <c r="BG98" i="3" s="1"/>
  <c r="BD393" i="3"/>
  <c r="BG393" i="3" s="1"/>
  <c r="U89" i="2"/>
  <c r="BD90" i="3" s="1"/>
  <c r="BG90" i="3" s="1"/>
  <c r="BD385" i="3"/>
  <c r="BG385" i="3" s="1"/>
  <c r="U81" i="2"/>
  <c r="BD82" i="3" s="1"/>
  <c r="BG82" i="3" s="1"/>
  <c r="U73" i="2"/>
  <c r="BD74" i="3" s="1"/>
  <c r="BG74" i="3" s="1"/>
  <c r="U65" i="2"/>
  <c r="BD66" i="3" s="1"/>
  <c r="BG66" i="3" s="1"/>
  <c r="U57" i="2"/>
  <c r="BD58" i="3" s="1"/>
  <c r="BG58" i="3" s="1"/>
  <c r="U49" i="2"/>
  <c r="BD50" i="3" s="1"/>
  <c r="BG50" i="3" s="1"/>
  <c r="U41" i="2"/>
  <c r="BD42" i="3" s="1"/>
  <c r="BG42" i="3" s="1"/>
  <c r="U33" i="2"/>
  <c r="BD34" i="3" s="1"/>
  <c r="BG34" i="3" s="1"/>
  <c r="U17" i="2"/>
  <c r="BD18" i="3" s="1"/>
  <c r="BG18" i="3" s="1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363" i="3" s="1"/>
  <c r="BG363" i="3" s="1"/>
  <c r="BD658" i="3"/>
  <c r="BG658" i="3" s="1"/>
  <c r="U358" i="2"/>
  <c r="BD359" i="3" s="1"/>
  <c r="BG359" i="3" s="1"/>
  <c r="BD654" i="3"/>
  <c r="BG654" i="3" s="1"/>
  <c r="U354" i="2"/>
  <c r="BD355" i="3" s="1"/>
  <c r="BG355" i="3" s="1"/>
  <c r="BD650" i="3"/>
  <c r="BG650" i="3" s="1"/>
  <c r="U350" i="2"/>
  <c r="BD351" i="3" s="1"/>
  <c r="BG351" i="3" s="1"/>
  <c r="BD646" i="3"/>
  <c r="BG646" i="3" s="1"/>
  <c r="U346" i="2"/>
  <c r="BD347" i="3" s="1"/>
  <c r="BG347" i="3" s="1"/>
  <c r="BD642" i="3"/>
  <c r="BG642" i="3" s="1"/>
  <c r="U342" i="2"/>
  <c r="BD343" i="3" s="1"/>
  <c r="BG343" i="3" s="1"/>
  <c r="BD638" i="3"/>
  <c r="BG638" i="3" s="1"/>
  <c r="U338" i="2"/>
  <c r="BD339" i="3" s="1"/>
  <c r="BG339" i="3" s="1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366" i="3" s="1"/>
  <c r="BG366" i="3" s="1"/>
  <c r="BD661" i="3"/>
  <c r="BG661" i="3" s="1"/>
  <c r="U361" i="2"/>
  <c r="BD362" i="3" s="1"/>
  <c r="BG362" i="3" s="1"/>
  <c r="BD657" i="3"/>
  <c r="BG657" i="3" s="1"/>
  <c r="U357" i="2"/>
  <c r="BD358" i="3" s="1"/>
  <c r="BG358" i="3" s="1"/>
  <c r="BD653" i="3"/>
  <c r="BG653" i="3" s="1"/>
  <c r="U353" i="2"/>
  <c r="BD354" i="3" s="1"/>
  <c r="BG354" i="3" s="1"/>
  <c r="BD649" i="3"/>
  <c r="BG649" i="3" s="1"/>
  <c r="U349" i="2"/>
  <c r="BD350" i="3" s="1"/>
  <c r="BG350" i="3" s="1"/>
  <c r="BD645" i="3"/>
  <c r="BG645" i="3" s="1"/>
  <c r="U345" i="2"/>
  <c r="BD346" i="3" s="1"/>
  <c r="BG346" i="3" s="1"/>
  <c r="BD641" i="3"/>
  <c r="BG641" i="3" s="1"/>
  <c r="U341" i="2"/>
  <c r="BD342" i="3" s="1"/>
  <c r="BG342" i="3" s="1"/>
  <c r="BD637" i="3"/>
  <c r="BG637" i="3" s="1"/>
  <c r="U337" i="2"/>
  <c r="BD338" i="3" s="1"/>
  <c r="BG338" i="3" s="1"/>
  <c r="BD633" i="3"/>
  <c r="BG633" i="3" s="1"/>
  <c r="U333" i="2"/>
  <c r="BD334" i="3" s="1"/>
  <c r="BG334" i="3" s="1"/>
  <c r="BD629" i="3"/>
  <c r="BG629" i="3" s="1"/>
  <c r="U329" i="2"/>
  <c r="BD330" i="3" s="1"/>
  <c r="BG330" i="3" s="1"/>
  <c r="BD625" i="3"/>
  <c r="BG625" i="3" s="1"/>
  <c r="U325" i="2"/>
  <c r="BD326" i="3" s="1"/>
  <c r="BG326" i="3" s="1"/>
  <c r="BD621" i="3"/>
  <c r="BG621" i="3" s="1"/>
  <c r="U321" i="2"/>
  <c r="BD322" i="3" s="1"/>
  <c r="BG322" i="3" s="1"/>
  <c r="BD617" i="3"/>
  <c r="BG617" i="3" s="1"/>
  <c r="U317" i="2"/>
  <c r="BD318" i="3" s="1"/>
  <c r="BG318" i="3" s="1"/>
  <c r="BD613" i="3"/>
  <c r="BG613" i="3" s="1"/>
  <c r="U313" i="2"/>
  <c r="BD314" i="3" s="1"/>
  <c r="BG314" i="3" s="1"/>
  <c r="BD609" i="3"/>
  <c r="BG609" i="3" s="1"/>
  <c r="U309" i="2"/>
  <c r="BD310" i="3" s="1"/>
  <c r="BG310" i="3" s="1"/>
  <c r="BD605" i="3"/>
  <c r="BG605" i="3" s="1"/>
  <c r="U305" i="2"/>
  <c r="BD306" i="3" s="1"/>
  <c r="BG306" i="3" s="1"/>
  <c r="BD601" i="3"/>
  <c r="BG601" i="3" s="1"/>
  <c r="U301" i="2"/>
  <c r="BD302" i="3" s="1"/>
  <c r="BG302" i="3" s="1"/>
  <c r="BD597" i="3"/>
  <c r="BG597" i="3" s="1"/>
  <c r="U297" i="2"/>
  <c r="BD298" i="3" s="1"/>
  <c r="BG298" i="3" s="1"/>
  <c r="BD593" i="3"/>
  <c r="BG593" i="3" s="1"/>
  <c r="U293" i="2"/>
  <c r="BD294" i="3" s="1"/>
  <c r="BG294" i="3" s="1"/>
  <c r="BD589" i="3"/>
  <c r="BG589" i="3" s="1"/>
  <c r="U289" i="2"/>
  <c r="BD290" i="3" s="1"/>
  <c r="BG290" i="3" s="1"/>
  <c r="BD585" i="3"/>
  <c r="BG585" i="3" s="1"/>
  <c r="U285" i="2"/>
  <c r="BD286" i="3" s="1"/>
  <c r="BG286" i="3" s="1"/>
  <c r="BD581" i="3"/>
  <c r="BG581" i="3" s="1"/>
  <c r="U281" i="2"/>
  <c r="BD282" i="3" s="1"/>
  <c r="BG282" i="3" s="1"/>
  <c r="BD577" i="3"/>
  <c r="BG577" i="3" s="1"/>
  <c r="U277" i="2"/>
  <c r="BD278" i="3" s="1"/>
  <c r="BG278" i="3" s="1"/>
  <c r="BD573" i="3"/>
  <c r="BG573" i="3" s="1"/>
  <c r="U273" i="2"/>
  <c r="BD569" i="3"/>
  <c r="BG569" i="3" s="1"/>
  <c r="U269" i="2"/>
  <c r="BD270" i="3" s="1"/>
  <c r="BG270" i="3" s="1"/>
  <c r="BD565" i="3"/>
  <c r="BG565" i="3" s="1"/>
  <c r="U265" i="2"/>
  <c r="BD266" i="3" s="1"/>
  <c r="BG266" i="3" s="1"/>
  <c r="BD561" i="3"/>
  <c r="BG561" i="3" s="1"/>
  <c r="U261" i="2"/>
  <c r="BD262" i="3" s="1"/>
  <c r="BG262" i="3" s="1"/>
  <c r="BD557" i="3"/>
  <c r="BG557" i="3" s="1"/>
  <c r="U257" i="2"/>
  <c r="BD258" i="3" s="1"/>
  <c r="BG258" i="3" s="1"/>
  <c r="BD553" i="3"/>
  <c r="BG553" i="3" s="1"/>
  <c r="U253" i="2"/>
  <c r="BD254" i="3" s="1"/>
  <c r="BG254" i="3" s="1"/>
  <c r="BD549" i="3"/>
  <c r="BG549" i="3" s="1"/>
  <c r="U249" i="2"/>
  <c r="BD250" i="3" s="1"/>
  <c r="BG250" i="3" s="1"/>
  <c r="BD545" i="3"/>
  <c r="BG545" i="3" s="1"/>
  <c r="U245" i="2"/>
  <c r="BD246" i="3" s="1"/>
  <c r="BG246" i="3" s="1"/>
  <c r="BD541" i="3"/>
  <c r="BG541" i="3" s="1"/>
  <c r="U241" i="2"/>
  <c r="BD242" i="3" s="1"/>
  <c r="BG242" i="3" s="1"/>
  <c r="BD537" i="3"/>
  <c r="BG537" i="3" s="1"/>
  <c r="U237" i="2"/>
  <c r="BD238" i="3" s="1"/>
  <c r="BG238" i="3" s="1"/>
  <c r="BD533" i="3"/>
  <c r="BG533" i="3" s="1"/>
  <c r="U233" i="2"/>
  <c r="BD234" i="3" s="1"/>
  <c r="BG234" i="3" s="1"/>
  <c r="BD529" i="3"/>
  <c r="BG529" i="3" s="1"/>
  <c r="U229" i="2"/>
  <c r="BD230" i="3" s="1"/>
  <c r="BG230" i="3" s="1"/>
  <c r="BD525" i="3"/>
  <c r="BG525" i="3" s="1"/>
  <c r="U225" i="2"/>
  <c r="BD226" i="3" s="1"/>
  <c r="BG226" i="3" s="1"/>
  <c r="BD521" i="3"/>
  <c r="BG521" i="3" s="1"/>
  <c r="U221" i="2"/>
  <c r="BD222" i="3" s="1"/>
  <c r="BG222" i="3" s="1"/>
  <c r="BD517" i="3"/>
  <c r="BG517" i="3" s="1"/>
  <c r="U217" i="2"/>
  <c r="BD218" i="3" s="1"/>
  <c r="BG218" i="3" s="1"/>
  <c r="BD513" i="3"/>
  <c r="BG513" i="3" s="1"/>
  <c r="U213" i="2"/>
  <c r="BD214" i="3" s="1"/>
  <c r="BG214" i="3" s="1"/>
  <c r="BD509" i="3"/>
  <c r="BG509" i="3" s="1"/>
  <c r="U209" i="2"/>
  <c r="BD210" i="3" s="1"/>
  <c r="BG210" i="3" s="1"/>
  <c r="BD505" i="3"/>
  <c r="BG505" i="3" s="1"/>
  <c r="U205" i="2"/>
  <c r="BD206" i="3" s="1"/>
  <c r="BG206" i="3" s="1"/>
  <c r="BD501" i="3"/>
  <c r="BG501" i="3" s="1"/>
  <c r="U201" i="2"/>
  <c r="BD202" i="3" s="1"/>
  <c r="BG202" i="3" s="1"/>
  <c r="BD497" i="3"/>
  <c r="BG497" i="3" s="1"/>
  <c r="U197" i="2"/>
  <c r="BD198" i="3" s="1"/>
  <c r="BG198" i="3" s="1"/>
  <c r="BD493" i="3"/>
  <c r="BG493" i="3" s="1"/>
  <c r="U193" i="2"/>
  <c r="BD194" i="3" s="1"/>
  <c r="BG194" i="3" s="1"/>
  <c r="BD489" i="3"/>
  <c r="BG489" i="3" s="1"/>
  <c r="U189" i="2"/>
  <c r="BD190" i="3" s="1"/>
  <c r="BG190" i="3" s="1"/>
  <c r="BD485" i="3"/>
  <c r="BG485" i="3" s="1"/>
  <c r="U185" i="2"/>
  <c r="BD186" i="3" s="1"/>
  <c r="BG186" i="3" s="1"/>
  <c r="BD481" i="3"/>
  <c r="BG481" i="3" s="1"/>
  <c r="U181" i="2"/>
  <c r="BD182" i="3" s="1"/>
  <c r="BG182" i="3" s="1"/>
  <c r="BD477" i="3"/>
  <c r="BG477" i="3" s="1"/>
  <c r="U177" i="2"/>
  <c r="BD178" i="3" s="1"/>
  <c r="BG178" i="3" s="1"/>
  <c r="BD473" i="3"/>
  <c r="BG473" i="3" s="1"/>
  <c r="U173" i="2"/>
  <c r="BD174" i="3" s="1"/>
  <c r="BG174" i="3" s="1"/>
  <c r="BD469" i="3"/>
  <c r="BG469" i="3" s="1"/>
  <c r="U169" i="2"/>
  <c r="BD170" i="3" s="1"/>
  <c r="BG170" i="3" s="1"/>
  <c r="BD465" i="3"/>
  <c r="BG465" i="3" s="1"/>
  <c r="U165" i="2"/>
  <c r="BD166" i="3" s="1"/>
  <c r="BG166" i="3" s="1"/>
  <c r="BD461" i="3"/>
  <c r="BG461" i="3" s="1"/>
  <c r="U161" i="2"/>
  <c r="BD162" i="3" s="1"/>
  <c r="BG162" i="3" s="1"/>
  <c r="BD457" i="3"/>
  <c r="BG457" i="3" s="1"/>
  <c r="U157" i="2"/>
  <c r="BD158" i="3" s="1"/>
  <c r="BG158" i="3" s="1"/>
  <c r="BD453" i="3"/>
  <c r="BG453" i="3" s="1"/>
  <c r="U153" i="2"/>
  <c r="BD154" i="3" s="1"/>
  <c r="BG154" i="3" s="1"/>
  <c r="BD449" i="3"/>
  <c r="BG449" i="3" s="1"/>
  <c r="U149" i="2"/>
  <c r="BD150" i="3" s="1"/>
  <c r="BG150" i="3" s="1"/>
  <c r="BD445" i="3"/>
  <c r="BG445" i="3" s="1"/>
  <c r="U145" i="2"/>
  <c r="BD146" i="3" s="1"/>
  <c r="BG146" i="3" s="1"/>
  <c r="BD441" i="3"/>
  <c r="BG441" i="3" s="1"/>
  <c r="U141" i="2"/>
  <c r="BD142" i="3" s="1"/>
  <c r="BG142" i="3" s="1"/>
  <c r="BD437" i="3"/>
  <c r="BG437" i="3" s="1"/>
  <c r="U137" i="2"/>
  <c r="BD433" i="3"/>
  <c r="BG433" i="3" s="1"/>
  <c r="U133" i="2"/>
  <c r="BD134" i="3" s="1"/>
  <c r="BG134" i="3" s="1"/>
  <c r="BD429" i="3"/>
  <c r="BG429" i="3" s="1"/>
  <c r="U129" i="2"/>
  <c r="BD130" i="3" s="1"/>
  <c r="BG130" i="3" s="1"/>
  <c r="BD425" i="3"/>
  <c r="BG425" i="3" s="1"/>
  <c r="U125" i="2"/>
  <c r="BD126" i="3" s="1"/>
  <c r="BG126" i="3" s="1"/>
  <c r="BD421" i="3"/>
  <c r="BG421" i="3" s="1"/>
  <c r="U117" i="2"/>
  <c r="BD118" i="3" s="1"/>
  <c r="BG118" i="3" s="1"/>
  <c r="BD413" i="3"/>
  <c r="BG413" i="3" s="1"/>
  <c r="U109" i="2"/>
  <c r="BD110" i="3" s="1"/>
  <c r="BG110" i="3" s="1"/>
  <c r="BD405" i="3"/>
  <c r="BG405" i="3" s="1"/>
  <c r="U101" i="2"/>
  <c r="BD102" i="3" s="1"/>
  <c r="BG102" i="3" s="1"/>
  <c r="BD397" i="3"/>
  <c r="BG397" i="3" s="1"/>
  <c r="U93" i="2"/>
  <c r="BD94" i="3" s="1"/>
  <c r="BG94" i="3" s="1"/>
  <c r="BD389" i="3"/>
  <c r="BG389" i="3" s="1"/>
  <c r="U85" i="2"/>
  <c r="BD86" i="3" s="1"/>
  <c r="BG86" i="3" s="1"/>
  <c r="BD381" i="3"/>
  <c r="BG381" i="3" s="1"/>
  <c r="U77" i="2"/>
  <c r="BD78" i="3" s="1"/>
  <c r="BG78" i="3" s="1"/>
  <c r="U69" i="2"/>
  <c r="BD70" i="3" s="1"/>
  <c r="BG70" i="3" s="1"/>
  <c r="U61" i="2"/>
  <c r="BD62" i="3" s="1"/>
  <c r="BG62" i="3" s="1"/>
  <c r="U53" i="2"/>
  <c r="BD54" i="3" s="1"/>
  <c r="BG54" i="3" s="1"/>
  <c r="U45" i="2"/>
  <c r="BD46" i="3" s="1"/>
  <c r="BG46" i="3" s="1"/>
  <c r="U37" i="2"/>
  <c r="BD38" i="3" s="1"/>
  <c r="BG38" i="3" s="1"/>
  <c r="U29" i="2"/>
  <c r="BD30" i="3" s="1"/>
  <c r="BG30" i="3" s="1"/>
  <c r="U25" i="2"/>
  <c r="BD26" i="3" s="1"/>
  <c r="BG26" i="3" s="1"/>
  <c r="U13" i="2"/>
  <c r="BD14" i="3" s="1"/>
  <c r="BG14" i="3" s="1"/>
  <c r="U334" i="2"/>
  <c r="BD335" i="3" s="1"/>
  <c r="BG335" i="3" s="1"/>
  <c r="U326" i="2"/>
  <c r="BD327" i="3" s="1"/>
  <c r="BG327" i="3" s="1"/>
  <c r="U318" i="2"/>
  <c r="BD614" i="3" s="1"/>
  <c r="BG614" i="3" s="1"/>
  <c r="U310" i="2"/>
  <c r="BD311" i="3" s="1"/>
  <c r="BG311" i="3" s="1"/>
  <c r="U302" i="2"/>
  <c r="BD303" i="3" s="1"/>
  <c r="BG303" i="3" s="1"/>
  <c r="U294" i="2"/>
  <c r="BD295" i="3" s="1"/>
  <c r="BG295" i="3" s="1"/>
  <c r="U286" i="2"/>
  <c r="BD582" i="3" s="1"/>
  <c r="BG582" i="3" s="1"/>
  <c r="U278" i="2"/>
  <c r="BD279" i="3" s="1"/>
  <c r="BG279" i="3" s="1"/>
  <c r="U270" i="2"/>
  <c r="BD271" i="3" s="1"/>
  <c r="BG271" i="3" s="1"/>
  <c r="U262" i="2"/>
  <c r="BD263" i="3" s="1"/>
  <c r="BG263" i="3" s="1"/>
  <c r="U254" i="2"/>
  <c r="BD550" i="3" s="1"/>
  <c r="BG550" i="3" s="1"/>
  <c r="U246" i="2"/>
  <c r="BD247" i="3" s="1"/>
  <c r="BG247" i="3" s="1"/>
  <c r="U238" i="2"/>
  <c r="BD239" i="3" s="1"/>
  <c r="BG239" i="3" s="1"/>
  <c r="U230" i="2"/>
  <c r="BD526" i="3" s="1"/>
  <c r="BG526" i="3" s="1"/>
  <c r="U222" i="2"/>
  <c r="BD223" i="3" s="1"/>
  <c r="BG223" i="3" s="1"/>
  <c r="U214" i="2"/>
  <c r="BD215" i="3" s="1"/>
  <c r="BG215" i="3" s="1"/>
  <c r="U206" i="2"/>
  <c r="BD207" i="3" s="1"/>
  <c r="BG207" i="3" s="1"/>
  <c r="U198" i="2"/>
  <c r="BD199" i="3" s="1"/>
  <c r="BG199" i="3" s="1"/>
  <c r="U190" i="2"/>
  <c r="BD373" i="3" s="1"/>
  <c r="BG373" i="3" s="1"/>
  <c r="U182" i="2"/>
  <c r="BD183" i="3" s="1"/>
  <c r="BG183" i="3" s="1"/>
  <c r="U174" i="2"/>
  <c r="BD175" i="3" s="1"/>
  <c r="BG175" i="3" s="1"/>
  <c r="U166" i="2"/>
  <c r="BD167" i="3" s="1"/>
  <c r="BG167" i="3" s="1"/>
  <c r="U158" i="2"/>
  <c r="BD159" i="3" s="1"/>
  <c r="BG159" i="3" s="1"/>
  <c r="U150" i="2"/>
  <c r="BD151" i="3" s="1"/>
  <c r="BG151" i="3" s="1"/>
  <c r="U142" i="2"/>
  <c r="BD143" i="3" s="1"/>
  <c r="BG143" i="3" s="1"/>
  <c r="U134" i="2"/>
  <c r="BD430" i="3" s="1"/>
  <c r="BG430" i="3" s="1"/>
  <c r="U126" i="2"/>
  <c r="BD127" i="3" s="1"/>
  <c r="BG127" i="3" s="1"/>
  <c r="U118" i="2"/>
  <c r="BD119" i="3" s="1"/>
  <c r="BG119" i="3" s="1"/>
  <c r="U110" i="2"/>
  <c r="BD111" i="3" s="1"/>
  <c r="BG111" i="3" s="1"/>
  <c r="U102" i="2"/>
  <c r="BD103" i="3" s="1"/>
  <c r="BG103" i="3" s="1"/>
  <c r="U94" i="2"/>
  <c r="BD95" i="3" s="1"/>
  <c r="BG95" i="3" s="1"/>
  <c r="U86" i="2"/>
  <c r="BD87" i="3" s="1"/>
  <c r="BG87" i="3" s="1"/>
  <c r="U78" i="2"/>
  <c r="BD79" i="3" s="1"/>
  <c r="BG79" i="3" s="1"/>
  <c r="U70" i="2"/>
  <c r="BD71" i="3" s="1"/>
  <c r="BG71" i="3" s="1"/>
  <c r="U62" i="2"/>
  <c r="BD63" i="3" s="1"/>
  <c r="BG63" i="3" s="1"/>
  <c r="U54" i="2"/>
  <c r="BD55" i="3" s="1"/>
  <c r="BG55" i="3" s="1"/>
  <c r="U46" i="2"/>
  <c r="BD47" i="3" s="1"/>
  <c r="BG47" i="3" s="1"/>
  <c r="U38" i="2"/>
  <c r="BD39" i="3" s="1"/>
  <c r="BG39" i="3" s="1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31" i="3"/>
  <c r="BG531" i="3" s="1"/>
  <c r="BD515" i="3"/>
  <c r="BG515" i="3" s="1"/>
  <c r="BD483" i="3"/>
  <c r="BG483" i="3" s="1"/>
  <c r="BD467" i="3"/>
  <c r="BG467" i="3" s="1"/>
  <c r="BD451" i="3"/>
  <c r="BG451" i="3" s="1"/>
  <c r="BD419" i="3"/>
  <c r="BG419" i="3" s="1"/>
  <c r="BD403" i="3"/>
  <c r="BG403" i="3" s="1"/>
  <c r="U330" i="2"/>
  <c r="BD331" i="3" s="1"/>
  <c r="BG331" i="3" s="1"/>
  <c r="BD626" i="3"/>
  <c r="BG626" i="3" s="1"/>
  <c r="U322" i="2"/>
  <c r="BD323" i="3" s="1"/>
  <c r="BG323" i="3" s="1"/>
  <c r="BD618" i="3"/>
  <c r="BG618" i="3" s="1"/>
  <c r="U314" i="2"/>
  <c r="BD315" i="3" s="1"/>
  <c r="BG315" i="3" s="1"/>
  <c r="BD610" i="3"/>
  <c r="BG610" i="3" s="1"/>
  <c r="U306" i="2"/>
  <c r="BD307" i="3" s="1"/>
  <c r="BG307" i="3" s="1"/>
  <c r="BD602" i="3"/>
  <c r="BG602" i="3" s="1"/>
  <c r="U298" i="2"/>
  <c r="BD299" i="3" s="1"/>
  <c r="BG299" i="3" s="1"/>
  <c r="BD594" i="3"/>
  <c r="BG594" i="3" s="1"/>
  <c r="U290" i="2"/>
  <c r="BD291" i="3" s="1"/>
  <c r="BG291" i="3" s="1"/>
  <c r="BD586" i="3"/>
  <c r="BG586" i="3" s="1"/>
  <c r="U282" i="2"/>
  <c r="BD283" i="3" s="1"/>
  <c r="BG283" i="3" s="1"/>
  <c r="BD578" i="3"/>
  <c r="BG578" i="3" s="1"/>
  <c r="U274" i="2"/>
  <c r="BD570" i="3"/>
  <c r="BG570" i="3" s="1"/>
  <c r="U266" i="2"/>
  <c r="BD267" i="3" s="1"/>
  <c r="BG267" i="3" s="1"/>
  <c r="BD562" i="3"/>
  <c r="BG562" i="3" s="1"/>
  <c r="U258" i="2"/>
  <c r="BD259" i="3" s="1"/>
  <c r="BG259" i="3" s="1"/>
  <c r="BD554" i="3"/>
  <c r="BG554" i="3" s="1"/>
  <c r="U250" i="2"/>
  <c r="BD251" i="3" s="1"/>
  <c r="BG251" i="3" s="1"/>
  <c r="BD546" i="3"/>
  <c r="BG546" i="3" s="1"/>
  <c r="U242" i="2"/>
  <c r="BD243" i="3" s="1"/>
  <c r="BG243" i="3" s="1"/>
  <c r="BD538" i="3"/>
  <c r="BG538" i="3" s="1"/>
  <c r="U234" i="2"/>
  <c r="BD235" i="3" s="1"/>
  <c r="BG235" i="3" s="1"/>
  <c r="BD530" i="3"/>
  <c r="BG530" i="3" s="1"/>
  <c r="U226" i="2"/>
  <c r="BD227" i="3" s="1"/>
  <c r="BG227" i="3" s="1"/>
  <c r="BD522" i="3"/>
  <c r="BG522" i="3" s="1"/>
  <c r="U218" i="2"/>
  <c r="BD219" i="3" s="1"/>
  <c r="BG219" i="3" s="1"/>
  <c r="BD514" i="3"/>
  <c r="BG514" i="3" s="1"/>
  <c r="U210" i="2"/>
  <c r="BD211" i="3" s="1"/>
  <c r="BG211" i="3" s="1"/>
  <c r="BD506" i="3"/>
  <c r="BG506" i="3" s="1"/>
  <c r="U202" i="2"/>
  <c r="BD203" i="3" s="1"/>
  <c r="BG203" i="3" s="1"/>
  <c r="BD498" i="3"/>
  <c r="BG498" i="3" s="1"/>
  <c r="U194" i="2"/>
  <c r="BD195" i="3" s="1"/>
  <c r="BG195" i="3" s="1"/>
  <c r="BD490" i="3"/>
  <c r="BG490" i="3" s="1"/>
  <c r="U186" i="2"/>
  <c r="BD369" i="3" s="1"/>
  <c r="BG369" i="3" s="1"/>
  <c r="BD482" i="3"/>
  <c r="BG482" i="3" s="1"/>
  <c r="U178" i="2"/>
  <c r="BD179" i="3" s="1"/>
  <c r="BG179" i="3" s="1"/>
  <c r="BD474" i="3"/>
  <c r="BG474" i="3" s="1"/>
  <c r="U170" i="2"/>
  <c r="BD171" i="3" s="1"/>
  <c r="BG171" i="3" s="1"/>
  <c r="BD466" i="3"/>
  <c r="BG466" i="3" s="1"/>
  <c r="U162" i="2"/>
  <c r="BD163" i="3" s="1"/>
  <c r="BG163" i="3" s="1"/>
  <c r="BD458" i="3"/>
  <c r="BG458" i="3" s="1"/>
  <c r="U154" i="2"/>
  <c r="BD155" i="3" s="1"/>
  <c r="BG155" i="3" s="1"/>
  <c r="BD450" i="3"/>
  <c r="BG450" i="3" s="1"/>
  <c r="U146" i="2"/>
  <c r="BD147" i="3" s="1"/>
  <c r="BG147" i="3" s="1"/>
  <c r="BD442" i="3"/>
  <c r="BG442" i="3" s="1"/>
  <c r="U138" i="2"/>
  <c r="BD139" i="3" s="1"/>
  <c r="BG139" i="3" s="1"/>
  <c r="BD434" i="3"/>
  <c r="BG434" i="3" s="1"/>
  <c r="U130" i="2"/>
  <c r="BD131" i="3" s="1"/>
  <c r="BG131" i="3" s="1"/>
  <c r="BD426" i="3"/>
  <c r="BG426" i="3" s="1"/>
  <c r="U122" i="2"/>
  <c r="BD123" i="3" s="1"/>
  <c r="BG123" i="3" s="1"/>
  <c r="BD418" i="3"/>
  <c r="BG418" i="3" s="1"/>
  <c r="U114" i="2"/>
  <c r="BD410" i="3"/>
  <c r="BG410" i="3" s="1"/>
  <c r="U106" i="2"/>
  <c r="BD107" i="3" s="1"/>
  <c r="BG107" i="3" s="1"/>
  <c r="BD402" i="3"/>
  <c r="BG402" i="3" s="1"/>
  <c r="U98" i="2"/>
  <c r="BD99" i="3" s="1"/>
  <c r="BG99" i="3" s="1"/>
  <c r="BD394" i="3"/>
  <c r="BG394" i="3" s="1"/>
  <c r="U90" i="2"/>
  <c r="BD91" i="3" s="1"/>
  <c r="BG91" i="3" s="1"/>
  <c r="BD386" i="3"/>
  <c r="BG386" i="3" s="1"/>
  <c r="U82" i="2"/>
  <c r="BD83" i="3" s="1"/>
  <c r="BG83" i="3" s="1"/>
  <c r="U74" i="2"/>
  <c r="BD75" i="3" s="1"/>
  <c r="BG75" i="3" s="1"/>
  <c r="U66" i="2"/>
  <c r="BD67" i="3" s="1"/>
  <c r="BG67" i="3" s="1"/>
  <c r="U58" i="2"/>
  <c r="BD59" i="3" s="1"/>
  <c r="BG59" i="3" s="1"/>
  <c r="U50" i="2"/>
  <c r="BD51" i="3" s="1"/>
  <c r="BG51" i="3" s="1"/>
  <c r="U42" i="2"/>
  <c r="BD43" i="3" s="1"/>
  <c r="BG43" i="3" s="1"/>
  <c r="U34" i="2"/>
  <c r="BD35" i="3" s="1"/>
  <c r="BG35" i="3" s="1"/>
  <c r="U30" i="2"/>
  <c r="BD31" i="3" s="1"/>
  <c r="BG31" i="3" s="1"/>
  <c r="U26" i="2"/>
  <c r="U864" i="2"/>
  <c r="BD1160" i="3" s="1"/>
  <c r="BG1160" i="3" s="1"/>
  <c r="U860" i="2"/>
  <c r="BD1156" i="3" s="1"/>
  <c r="BG1156" i="3" s="1"/>
  <c r="U856" i="2"/>
  <c r="BD1152" i="3" s="1"/>
  <c r="BG1152" i="3" s="1"/>
  <c r="U852" i="2"/>
  <c r="BD1148" i="3" s="1"/>
  <c r="BG1148" i="3" s="1"/>
  <c r="U848" i="2"/>
  <c r="BD1144" i="3" s="1"/>
  <c r="BG1144" i="3" s="1"/>
  <c r="U844" i="2"/>
  <c r="BD1140" i="3" s="1"/>
  <c r="BG1140" i="3" s="1"/>
  <c r="U840" i="2"/>
  <c r="BD1136" i="3" s="1"/>
  <c r="BG1136" i="3" s="1"/>
  <c r="U836" i="2"/>
  <c r="BD1132" i="3" s="1"/>
  <c r="BG1132" i="3" s="1"/>
  <c r="U832" i="2"/>
  <c r="BD1128" i="3" s="1"/>
  <c r="BG1128" i="3" s="1"/>
  <c r="U828" i="2"/>
  <c r="BD1124" i="3" s="1"/>
  <c r="BG1124" i="3" s="1"/>
  <c r="U824" i="2"/>
  <c r="BD1120" i="3" s="1"/>
  <c r="BG1120" i="3" s="1"/>
  <c r="U820" i="2"/>
  <c r="BD1116" i="3" s="1"/>
  <c r="BG1116" i="3" s="1"/>
  <c r="U816" i="2"/>
  <c r="BD1112" i="3" s="1"/>
  <c r="BG1112" i="3" s="1"/>
  <c r="U812" i="2"/>
  <c r="BD1108" i="3" s="1"/>
  <c r="BG1108" i="3" s="1"/>
  <c r="U808" i="2"/>
  <c r="BD1104" i="3" s="1"/>
  <c r="BG1104" i="3" s="1"/>
  <c r="U804" i="2"/>
  <c r="BD1100" i="3" s="1"/>
  <c r="BG1100" i="3" s="1"/>
  <c r="U800" i="2"/>
  <c r="BD1096" i="3" s="1"/>
  <c r="BG1096" i="3" s="1"/>
  <c r="U796" i="2"/>
  <c r="BD1092" i="3" s="1"/>
  <c r="BG1092" i="3" s="1"/>
  <c r="U792" i="2"/>
  <c r="BD1088" i="3" s="1"/>
  <c r="BG1088" i="3" s="1"/>
  <c r="U788" i="2"/>
  <c r="BD1084" i="3" s="1"/>
  <c r="BG1084" i="3" s="1"/>
  <c r="U784" i="2"/>
  <c r="BD1080" i="3" s="1"/>
  <c r="BG1080" i="3" s="1"/>
  <c r="U780" i="2"/>
  <c r="BD1076" i="3" s="1"/>
  <c r="BG1076" i="3" s="1"/>
  <c r="U776" i="2"/>
  <c r="BD1072" i="3" s="1"/>
  <c r="BG1072" i="3" s="1"/>
  <c r="U772" i="2"/>
  <c r="BD1068" i="3" s="1"/>
  <c r="BG1068" i="3" s="1"/>
  <c r="U768" i="2"/>
  <c r="BD1064" i="3" s="1"/>
  <c r="BG1064" i="3" s="1"/>
  <c r="U764" i="2"/>
  <c r="BD1060" i="3" s="1"/>
  <c r="BG1060" i="3" s="1"/>
  <c r="U760" i="2"/>
  <c r="BD1056" i="3" s="1"/>
  <c r="BG1056" i="3" s="1"/>
  <c r="U756" i="2"/>
  <c r="BD1052" i="3" s="1"/>
  <c r="BG1052" i="3" s="1"/>
  <c r="U752" i="2"/>
  <c r="BD1048" i="3" s="1"/>
  <c r="BG1048" i="3" s="1"/>
  <c r="U748" i="2"/>
  <c r="BD1044" i="3" s="1"/>
  <c r="BG1044" i="3" s="1"/>
  <c r="U744" i="2"/>
  <c r="BD1040" i="3" s="1"/>
  <c r="BG1040" i="3" s="1"/>
  <c r="U740" i="2"/>
  <c r="BD1036" i="3" s="1"/>
  <c r="BG1036" i="3" s="1"/>
  <c r="U736" i="2"/>
  <c r="BD1032" i="3" s="1"/>
  <c r="BG1032" i="3" s="1"/>
  <c r="U732" i="2"/>
  <c r="BD1028" i="3" s="1"/>
  <c r="BG1028" i="3" s="1"/>
  <c r="U728" i="2"/>
  <c r="BD1024" i="3" s="1"/>
  <c r="BG1024" i="3" s="1"/>
  <c r="U724" i="2"/>
  <c r="BD1020" i="3" s="1"/>
  <c r="BG1020" i="3" s="1"/>
  <c r="U720" i="2"/>
  <c r="BD1016" i="3" s="1"/>
  <c r="BG1016" i="3" s="1"/>
  <c r="U716" i="2"/>
  <c r="BD1012" i="3" s="1"/>
  <c r="BG1012" i="3" s="1"/>
  <c r="U712" i="2"/>
  <c r="BD1008" i="3" s="1"/>
  <c r="BG1008" i="3" s="1"/>
  <c r="U708" i="2"/>
  <c r="BD1004" i="3" s="1"/>
  <c r="BG1004" i="3" s="1"/>
  <c r="U704" i="2"/>
  <c r="BD1000" i="3" s="1"/>
  <c r="BG1000" i="3" s="1"/>
  <c r="U700" i="2"/>
  <c r="BD996" i="3" s="1"/>
  <c r="BG996" i="3" s="1"/>
  <c r="U696" i="2"/>
  <c r="BD992" i="3" s="1"/>
  <c r="BG992" i="3" s="1"/>
  <c r="U692" i="2"/>
  <c r="BD988" i="3" s="1"/>
  <c r="BG988" i="3" s="1"/>
  <c r="U688" i="2"/>
  <c r="BD984" i="3" s="1"/>
  <c r="BG984" i="3" s="1"/>
  <c r="U684" i="2"/>
  <c r="BD980" i="3" s="1"/>
  <c r="BG980" i="3" s="1"/>
  <c r="U680" i="2"/>
  <c r="BD976" i="3" s="1"/>
  <c r="BG976" i="3" s="1"/>
  <c r="U676" i="2"/>
  <c r="BD972" i="3" s="1"/>
  <c r="BG972" i="3" s="1"/>
  <c r="U672" i="2"/>
  <c r="BD968" i="3" s="1"/>
  <c r="BG968" i="3" s="1"/>
  <c r="U668" i="2"/>
  <c r="BD964" i="3" s="1"/>
  <c r="BG964" i="3" s="1"/>
  <c r="U664" i="2"/>
  <c r="BD960" i="3" s="1"/>
  <c r="BG960" i="3" s="1"/>
  <c r="U660" i="2"/>
  <c r="BD956" i="3" s="1"/>
  <c r="BG956" i="3" s="1"/>
  <c r="U656" i="2"/>
  <c r="BD952" i="3" s="1"/>
  <c r="BG952" i="3" s="1"/>
  <c r="U652" i="2"/>
  <c r="BD948" i="3" s="1"/>
  <c r="BG948" i="3" s="1"/>
  <c r="U648" i="2"/>
  <c r="BD944" i="3" s="1"/>
  <c r="BG944" i="3" s="1"/>
  <c r="U644" i="2"/>
  <c r="BD940" i="3" s="1"/>
  <c r="BG940" i="3" s="1"/>
  <c r="U640" i="2"/>
  <c r="BD936" i="3" s="1"/>
  <c r="BG936" i="3" s="1"/>
  <c r="U636" i="2"/>
  <c r="BD932" i="3" s="1"/>
  <c r="BG932" i="3" s="1"/>
  <c r="U632" i="2"/>
  <c r="BD928" i="3" s="1"/>
  <c r="BG928" i="3" s="1"/>
  <c r="U628" i="2"/>
  <c r="BD924" i="3" s="1"/>
  <c r="BG924" i="3" s="1"/>
  <c r="U624" i="2"/>
  <c r="BD920" i="3" s="1"/>
  <c r="BG920" i="3" s="1"/>
  <c r="U620" i="2"/>
  <c r="BD916" i="3" s="1"/>
  <c r="BG916" i="3" s="1"/>
  <c r="U616" i="2"/>
  <c r="BD912" i="3" s="1"/>
  <c r="BG912" i="3" s="1"/>
  <c r="U612" i="2"/>
  <c r="BD908" i="3" s="1"/>
  <c r="BG908" i="3" s="1"/>
  <c r="U608" i="2"/>
  <c r="BD904" i="3" s="1"/>
  <c r="BG904" i="3" s="1"/>
  <c r="U604" i="2"/>
  <c r="BD900" i="3" s="1"/>
  <c r="BG900" i="3" s="1"/>
  <c r="U600" i="2"/>
  <c r="BD896" i="3" s="1"/>
  <c r="BG896" i="3" s="1"/>
  <c r="U596" i="2"/>
  <c r="BD892" i="3" s="1"/>
  <c r="BG892" i="3" s="1"/>
  <c r="U592" i="2"/>
  <c r="BD888" i="3" s="1"/>
  <c r="BG888" i="3" s="1"/>
  <c r="U588" i="2"/>
  <c r="BD884" i="3" s="1"/>
  <c r="BG884" i="3" s="1"/>
  <c r="U584" i="2"/>
  <c r="BD880" i="3" s="1"/>
  <c r="BG880" i="3" s="1"/>
  <c r="U580" i="2"/>
  <c r="BD876" i="3" s="1"/>
  <c r="BG876" i="3" s="1"/>
  <c r="U576" i="2"/>
  <c r="BD872" i="3" s="1"/>
  <c r="BG872" i="3" s="1"/>
  <c r="U572" i="2"/>
  <c r="BD868" i="3" s="1"/>
  <c r="BG868" i="3" s="1"/>
  <c r="U568" i="2"/>
  <c r="BD864" i="3" s="1"/>
  <c r="BG864" i="3" s="1"/>
  <c r="U564" i="2"/>
  <c r="BD860" i="3" s="1"/>
  <c r="BG860" i="3" s="1"/>
  <c r="U560" i="2"/>
  <c r="BD856" i="3" s="1"/>
  <c r="BG856" i="3" s="1"/>
  <c r="U556" i="2"/>
  <c r="BD852" i="3" s="1"/>
  <c r="BG852" i="3" s="1"/>
  <c r="U552" i="2"/>
  <c r="BD848" i="3" s="1"/>
  <c r="BG848" i="3" s="1"/>
  <c r="U548" i="2"/>
  <c r="BD844" i="3" s="1"/>
  <c r="BG844" i="3" s="1"/>
  <c r="U544" i="2"/>
  <c r="BD840" i="3" s="1"/>
  <c r="BG840" i="3" s="1"/>
  <c r="U540" i="2"/>
  <c r="BD836" i="3" s="1"/>
  <c r="BG836" i="3" s="1"/>
  <c r="U536" i="2"/>
  <c r="BD832" i="3" s="1"/>
  <c r="BG832" i="3" s="1"/>
  <c r="U532" i="2"/>
  <c r="BD828" i="3" s="1"/>
  <c r="BG828" i="3" s="1"/>
  <c r="U528" i="2"/>
  <c r="BD824" i="3" s="1"/>
  <c r="BG824" i="3" s="1"/>
  <c r="U524" i="2"/>
  <c r="BD820" i="3" s="1"/>
  <c r="BG820" i="3" s="1"/>
  <c r="U520" i="2"/>
  <c r="BD816" i="3" s="1"/>
  <c r="BG816" i="3" s="1"/>
  <c r="U516" i="2"/>
  <c r="BD812" i="3" s="1"/>
  <c r="BG812" i="3" s="1"/>
  <c r="U512" i="2"/>
  <c r="BD808" i="3" s="1"/>
  <c r="BG808" i="3" s="1"/>
  <c r="U508" i="2"/>
  <c r="BD804" i="3" s="1"/>
  <c r="BG804" i="3" s="1"/>
  <c r="U504" i="2"/>
  <c r="BD800" i="3" s="1"/>
  <c r="BG800" i="3" s="1"/>
  <c r="U500" i="2"/>
  <c r="BD796" i="3" s="1"/>
  <c r="BG796" i="3" s="1"/>
  <c r="U496" i="2"/>
  <c r="BD792" i="3" s="1"/>
  <c r="BG792" i="3" s="1"/>
  <c r="U492" i="2"/>
  <c r="BD788" i="3" s="1"/>
  <c r="BG788" i="3" s="1"/>
  <c r="U488" i="2"/>
  <c r="BD784" i="3" s="1"/>
  <c r="BG784" i="3" s="1"/>
  <c r="U484" i="2"/>
  <c r="BD780" i="3" s="1"/>
  <c r="BG780" i="3" s="1"/>
  <c r="U480" i="2"/>
  <c r="BD776" i="3" s="1"/>
  <c r="BG776" i="3" s="1"/>
  <c r="U476" i="2"/>
  <c r="BD772" i="3" s="1"/>
  <c r="BG772" i="3" s="1"/>
  <c r="U472" i="2"/>
  <c r="BD768" i="3" s="1"/>
  <c r="BG768" i="3" s="1"/>
  <c r="U468" i="2"/>
  <c r="BD764" i="3" s="1"/>
  <c r="BG764" i="3" s="1"/>
  <c r="U464" i="2"/>
  <c r="BD760" i="3" s="1"/>
  <c r="BG760" i="3" s="1"/>
  <c r="U460" i="2"/>
  <c r="BD756" i="3" s="1"/>
  <c r="BG756" i="3" s="1"/>
  <c r="U456" i="2"/>
  <c r="BD752" i="3" s="1"/>
  <c r="BG752" i="3" s="1"/>
  <c r="U452" i="2"/>
  <c r="BD748" i="3" s="1"/>
  <c r="BG748" i="3" s="1"/>
  <c r="U448" i="2"/>
  <c r="BD744" i="3" s="1"/>
  <c r="BG744" i="3" s="1"/>
  <c r="U444" i="2"/>
  <c r="BD740" i="3" s="1"/>
  <c r="BG740" i="3" s="1"/>
  <c r="U440" i="2"/>
  <c r="BD736" i="3" s="1"/>
  <c r="BG736" i="3" s="1"/>
  <c r="U436" i="2"/>
  <c r="BD732" i="3" s="1"/>
  <c r="BG732" i="3" s="1"/>
  <c r="U432" i="2"/>
  <c r="BD728" i="3" s="1"/>
  <c r="BG728" i="3" s="1"/>
  <c r="U428" i="2"/>
  <c r="BD724" i="3" s="1"/>
  <c r="BG724" i="3" s="1"/>
  <c r="U424" i="2"/>
  <c r="BD720" i="3" s="1"/>
  <c r="BG720" i="3" s="1"/>
  <c r="U420" i="2"/>
  <c r="BD716" i="3" s="1"/>
  <c r="BG716" i="3" s="1"/>
  <c r="U416" i="2"/>
  <c r="BD712" i="3" s="1"/>
  <c r="BG712" i="3" s="1"/>
  <c r="U412" i="2"/>
  <c r="BD708" i="3" s="1"/>
  <c r="BG708" i="3" s="1"/>
  <c r="U408" i="2"/>
  <c r="BD704" i="3" s="1"/>
  <c r="BG704" i="3" s="1"/>
  <c r="U404" i="2"/>
  <c r="BD700" i="3" s="1"/>
  <c r="BG700" i="3" s="1"/>
  <c r="U400" i="2"/>
  <c r="BD696" i="3" s="1"/>
  <c r="BG696" i="3" s="1"/>
  <c r="U396" i="2"/>
  <c r="BD692" i="3" s="1"/>
  <c r="BG692" i="3" s="1"/>
  <c r="U392" i="2"/>
  <c r="BD688" i="3" s="1"/>
  <c r="BG688" i="3" s="1"/>
  <c r="U388" i="2"/>
  <c r="BD684" i="3" s="1"/>
  <c r="BG684" i="3" s="1"/>
  <c r="U384" i="2"/>
  <c r="BD680" i="3" s="1"/>
  <c r="BG680" i="3" s="1"/>
  <c r="U380" i="2"/>
  <c r="BD676" i="3" s="1"/>
  <c r="BG676" i="3" s="1"/>
  <c r="U376" i="2"/>
  <c r="BD672" i="3" s="1"/>
  <c r="BG672" i="3" s="1"/>
  <c r="U372" i="2"/>
  <c r="BD668" i="3" s="1"/>
  <c r="BG668" i="3" s="1"/>
  <c r="U368" i="2"/>
  <c r="BD664" i="3" s="1"/>
  <c r="BG664" i="3" s="1"/>
  <c r="U364" i="2"/>
  <c r="BD365" i="3" s="1"/>
  <c r="BG365" i="3" s="1"/>
  <c r="U360" i="2"/>
  <c r="BD361" i="3" s="1"/>
  <c r="BG361" i="3" s="1"/>
  <c r="U356" i="2"/>
  <c r="BD357" i="3" s="1"/>
  <c r="BG357" i="3" s="1"/>
  <c r="U352" i="2"/>
  <c r="BD353" i="3" s="1"/>
  <c r="BG353" i="3" s="1"/>
  <c r="U348" i="2"/>
  <c r="BD349" i="3" s="1"/>
  <c r="BG349" i="3" s="1"/>
  <c r="U344" i="2"/>
  <c r="BD345" i="3" s="1"/>
  <c r="BG345" i="3" s="1"/>
  <c r="U340" i="2"/>
  <c r="BD341" i="3" s="1"/>
  <c r="BG341" i="3" s="1"/>
  <c r="U336" i="2"/>
  <c r="BD337" i="3" s="1"/>
  <c r="BG337" i="3" s="1"/>
  <c r="U332" i="2"/>
  <c r="BD333" i="3" s="1"/>
  <c r="BG333" i="3" s="1"/>
  <c r="U328" i="2"/>
  <c r="BD329" i="3" s="1"/>
  <c r="BG329" i="3" s="1"/>
  <c r="U324" i="2"/>
  <c r="BD325" i="3" s="1"/>
  <c r="BG325" i="3" s="1"/>
  <c r="U320" i="2"/>
  <c r="BD321" i="3" s="1"/>
  <c r="BG321" i="3" s="1"/>
  <c r="U316" i="2"/>
  <c r="BD317" i="3" s="1"/>
  <c r="BG317" i="3" s="1"/>
  <c r="U312" i="2"/>
  <c r="BD313" i="3" s="1"/>
  <c r="BG313" i="3" s="1"/>
  <c r="U308" i="2"/>
  <c r="BD309" i="3" s="1"/>
  <c r="BG309" i="3" s="1"/>
  <c r="U304" i="2"/>
  <c r="BD600" i="3" s="1"/>
  <c r="BG600" i="3" s="1"/>
  <c r="U300" i="2"/>
  <c r="BD301" i="3" s="1"/>
  <c r="BG301" i="3" s="1"/>
  <c r="U296" i="2"/>
  <c r="BD297" i="3" s="1"/>
  <c r="BG297" i="3" s="1"/>
  <c r="U292" i="2"/>
  <c r="BD293" i="3" s="1"/>
  <c r="BG293" i="3" s="1"/>
  <c r="U288" i="2"/>
  <c r="BD289" i="3" s="1"/>
  <c r="BG289" i="3" s="1"/>
  <c r="U284" i="2"/>
  <c r="BD285" i="3" s="1"/>
  <c r="BG285" i="3" s="1"/>
  <c r="U280" i="2"/>
  <c r="BD281" i="3" s="1"/>
  <c r="BG281" i="3" s="1"/>
  <c r="U276" i="2"/>
  <c r="BD277" i="3" s="1"/>
  <c r="BG277" i="3" s="1"/>
  <c r="U272" i="2"/>
  <c r="BD273" i="3" s="1"/>
  <c r="BG273" i="3" s="1"/>
  <c r="U268" i="2"/>
  <c r="BD269" i="3" s="1"/>
  <c r="BG269" i="3" s="1"/>
  <c r="U264" i="2"/>
  <c r="BD265" i="3" s="1"/>
  <c r="BG265" i="3" s="1"/>
  <c r="U260" i="2"/>
  <c r="BD261" i="3" s="1"/>
  <c r="BG261" i="3" s="1"/>
  <c r="U256" i="2"/>
  <c r="BD257" i="3" s="1"/>
  <c r="BG257" i="3" s="1"/>
  <c r="U252" i="2"/>
  <c r="BD253" i="3" s="1"/>
  <c r="BG253" i="3" s="1"/>
  <c r="U248" i="2"/>
  <c r="BD249" i="3" s="1"/>
  <c r="BG249" i="3" s="1"/>
  <c r="U244" i="2"/>
  <c r="BD245" i="3" s="1"/>
  <c r="BG245" i="3" s="1"/>
  <c r="U240" i="2"/>
  <c r="BD536" i="3" s="1"/>
  <c r="BG536" i="3" s="1"/>
  <c r="U236" i="2"/>
  <c r="BD237" i="3" s="1"/>
  <c r="BG237" i="3" s="1"/>
  <c r="U232" i="2"/>
  <c r="BD233" i="3" s="1"/>
  <c r="BG233" i="3" s="1"/>
  <c r="U228" i="2"/>
  <c r="BD229" i="3" s="1"/>
  <c r="BG229" i="3" s="1"/>
  <c r="U224" i="2"/>
  <c r="BD225" i="3" s="1"/>
  <c r="BG225" i="3" s="1"/>
  <c r="U220" i="2"/>
  <c r="BD221" i="3" s="1"/>
  <c r="BG221" i="3" s="1"/>
  <c r="U216" i="2"/>
  <c r="BD217" i="3" s="1"/>
  <c r="BG217" i="3" s="1"/>
  <c r="U212" i="2"/>
  <c r="BD508" i="3" s="1"/>
  <c r="BG508" i="3" s="1"/>
  <c r="U208" i="2"/>
  <c r="BD209" i="3" s="1"/>
  <c r="BG209" i="3" s="1"/>
  <c r="U204" i="2"/>
  <c r="BD500" i="3" s="1"/>
  <c r="BG500" i="3" s="1"/>
  <c r="U200" i="2"/>
  <c r="BD201" i="3" s="1"/>
  <c r="BG201" i="3" s="1"/>
  <c r="U196" i="2"/>
  <c r="BD379" i="3" s="1"/>
  <c r="BG379" i="3" s="1"/>
  <c r="U192" i="2"/>
  <c r="BD375" i="3" s="1"/>
  <c r="BG375" i="3" s="1"/>
  <c r="U188" i="2"/>
  <c r="BD371" i="3" s="1"/>
  <c r="BG371" i="3" s="1"/>
  <c r="U184" i="2"/>
  <c r="BD185" i="3" s="1"/>
  <c r="BG185" i="3" s="1"/>
  <c r="U180" i="2"/>
  <c r="BD476" i="3" s="1"/>
  <c r="BG476" i="3" s="1"/>
  <c r="U176" i="2"/>
  <c r="BD177" i="3" s="1"/>
  <c r="BG177" i="3" s="1"/>
  <c r="U172" i="2"/>
  <c r="BD173" i="3" s="1"/>
  <c r="BG173" i="3" s="1"/>
  <c r="U168" i="2"/>
  <c r="BD169" i="3" s="1"/>
  <c r="BG169" i="3" s="1"/>
  <c r="U164" i="2"/>
  <c r="BD165" i="3" s="1"/>
  <c r="BG165" i="3" s="1"/>
  <c r="U160" i="2"/>
  <c r="BD161" i="3" s="1"/>
  <c r="BG161" i="3" s="1"/>
  <c r="U156" i="2"/>
  <c r="BD157" i="3" s="1"/>
  <c r="BG157" i="3" s="1"/>
  <c r="U152" i="2"/>
  <c r="BD153" i="3" s="1"/>
  <c r="BG153" i="3" s="1"/>
  <c r="U148" i="2"/>
  <c r="BD444" i="3" s="1"/>
  <c r="BG444" i="3" s="1"/>
  <c r="U144" i="2"/>
  <c r="BD145" i="3" s="1"/>
  <c r="BG145" i="3" s="1"/>
  <c r="U140" i="2"/>
  <c r="BD141" i="3" s="1"/>
  <c r="BG141" i="3" s="1"/>
  <c r="U136" i="2"/>
  <c r="BD432" i="3" s="1"/>
  <c r="BG432" i="3" s="1"/>
  <c r="U132" i="2"/>
  <c r="BD133" i="3" s="1"/>
  <c r="BG133" i="3" s="1"/>
  <c r="U128" i="2"/>
  <c r="BD129" i="3" s="1"/>
  <c r="BG129" i="3" s="1"/>
  <c r="U124" i="2"/>
  <c r="BD125" i="3" s="1"/>
  <c r="BG125" i="3" s="1"/>
  <c r="U120" i="2"/>
  <c r="BD121" i="3" s="1"/>
  <c r="BG121" i="3" s="1"/>
  <c r="U116" i="2"/>
  <c r="BD412" i="3" s="1"/>
  <c r="BG412" i="3" s="1"/>
  <c r="U112" i="2"/>
  <c r="BD113" i="3" s="1"/>
  <c r="BG113" i="3" s="1"/>
  <c r="U108" i="2"/>
  <c r="BD109" i="3" s="1"/>
  <c r="BG109" i="3" s="1"/>
  <c r="U104" i="2"/>
  <c r="BD105" i="3" s="1"/>
  <c r="BG105" i="3" s="1"/>
  <c r="U100" i="2"/>
  <c r="BD101" i="3" s="1"/>
  <c r="BG101" i="3" s="1"/>
  <c r="U96" i="2"/>
  <c r="BD392" i="3" s="1"/>
  <c r="BG392" i="3" s="1"/>
  <c r="U92" i="2"/>
  <c r="BD93" i="3" s="1"/>
  <c r="BG93" i="3" s="1"/>
  <c r="U88" i="2"/>
  <c r="BD89" i="3" s="1"/>
  <c r="BG89" i="3" s="1"/>
  <c r="U84" i="2"/>
  <c r="BD85" i="3" s="1"/>
  <c r="BG85" i="3" s="1"/>
  <c r="U80" i="2"/>
  <c r="BD81" i="3" s="1"/>
  <c r="BG81" i="3" s="1"/>
  <c r="U76" i="2"/>
  <c r="BD77" i="3" s="1"/>
  <c r="BG77" i="3" s="1"/>
  <c r="U72" i="2"/>
  <c r="BD73" i="3" s="1"/>
  <c r="BG73" i="3" s="1"/>
  <c r="U68" i="2"/>
  <c r="BD69" i="3" s="1"/>
  <c r="BG69" i="3" s="1"/>
  <c r="U64" i="2"/>
  <c r="BD65" i="3" s="1"/>
  <c r="BG65" i="3" s="1"/>
  <c r="U60" i="2"/>
  <c r="BD61" i="3" s="1"/>
  <c r="BG61" i="3" s="1"/>
  <c r="U56" i="2"/>
  <c r="BD57" i="3" s="1"/>
  <c r="BG57" i="3" s="1"/>
  <c r="U52" i="2"/>
  <c r="BD53" i="3" s="1"/>
  <c r="BG53" i="3" s="1"/>
  <c r="U48" i="2"/>
  <c r="BD49" i="3" s="1"/>
  <c r="BG49" i="3" s="1"/>
  <c r="U44" i="2"/>
  <c r="BD45" i="3" s="1"/>
  <c r="BG45" i="3" s="1"/>
  <c r="U40" i="2"/>
  <c r="BD41" i="3" s="1"/>
  <c r="BG41" i="3" s="1"/>
  <c r="U36" i="2"/>
  <c r="BD37" i="3" s="1"/>
  <c r="BG37" i="3" s="1"/>
  <c r="U32" i="2"/>
  <c r="BD33" i="3" s="1"/>
  <c r="BG33" i="3" s="1"/>
  <c r="U28" i="2"/>
  <c r="BD29" i="3" s="1"/>
  <c r="BG29" i="3" s="1"/>
  <c r="U24" i="2"/>
  <c r="BD25" i="3" s="1"/>
  <c r="BG25" i="3" s="1"/>
  <c r="U20" i="2"/>
  <c r="BD21" i="3" s="1"/>
  <c r="BG21" i="3" s="1"/>
  <c r="U16" i="2"/>
  <c r="BD17" i="3" s="1"/>
  <c r="BG17" i="3" s="1"/>
  <c r="U12" i="2"/>
  <c r="BD13" i="3" s="1"/>
  <c r="BG13" i="3" s="1"/>
  <c r="U8" i="2"/>
  <c r="BD8" i="3" s="1"/>
  <c r="BG8" i="3" s="1"/>
  <c r="U4" i="2"/>
  <c r="BD4" i="3" s="1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4" i="3" s="1"/>
  <c r="B3" i="3"/>
  <c r="B3" i="2"/>
  <c r="E3" i="2"/>
  <c r="BD387" i="3" l="1"/>
  <c r="BG387" i="3" s="1"/>
  <c r="BD547" i="3"/>
  <c r="BG547" i="3" s="1"/>
  <c r="AY434" i="3"/>
  <c r="BB434" i="3" s="1"/>
  <c r="AY562" i="3"/>
  <c r="BB562" i="3" s="1"/>
  <c r="AY401" i="3"/>
  <c r="BB401" i="3" s="1"/>
  <c r="AY451" i="3"/>
  <c r="BB451" i="3" s="1"/>
  <c r="AY617" i="3"/>
  <c r="BB617" i="3" s="1"/>
  <c r="AY652" i="3"/>
  <c r="BB652" i="3" s="1"/>
  <c r="AY321" i="3"/>
  <c r="BB321" i="3" s="1"/>
  <c r="BD128" i="3"/>
  <c r="BG128" i="3" s="1"/>
  <c r="BD140" i="3"/>
  <c r="BG140" i="3" s="1"/>
  <c r="BD168" i="3"/>
  <c r="BG168" i="3" s="1"/>
  <c r="BD180" i="3"/>
  <c r="BG180" i="3" s="1"/>
  <c r="BD519" i="3"/>
  <c r="BG519" i="3" s="1"/>
  <c r="BD583" i="3"/>
  <c r="BG583" i="3" s="1"/>
  <c r="BD603" i="3"/>
  <c r="BG603" i="3" s="1"/>
  <c r="BD360" i="3"/>
  <c r="BG360" i="3" s="1"/>
  <c r="BD11" i="3"/>
  <c r="BG11" i="3" s="1"/>
  <c r="BD304" i="3"/>
  <c r="BG304" i="3" s="1"/>
  <c r="AY465" i="3"/>
  <c r="BB465" i="3" s="1"/>
  <c r="AY531" i="3"/>
  <c r="BB531" i="3" s="1"/>
  <c r="AY619" i="3"/>
  <c r="BB619" i="3" s="1"/>
  <c r="AY553" i="3"/>
  <c r="BB553" i="3" s="1"/>
  <c r="AY500" i="3"/>
  <c r="BB500" i="3" s="1"/>
  <c r="AY310" i="3"/>
  <c r="BB310" i="3" s="1"/>
  <c r="BD535" i="3"/>
  <c r="BG535" i="3" s="1"/>
  <c r="BD439" i="3"/>
  <c r="BG439" i="3" s="1"/>
  <c r="BD187" i="3"/>
  <c r="BG187" i="3" s="1"/>
  <c r="BD100" i="3"/>
  <c r="BG100" i="3" s="1"/>
  <c r="BD148" i="3"/>
  <c r="BG148" i="3" s="1"/>
  <c r="BD378" i="3"/>
  <c r="BG378" i="3" s="1"/>
  <c r="BD551" i="3"/>
  <c r="BG551" i="3" s="1"/>
  <c r="AY411" i="3"/>
  <c r="BB411" i="3" s="1"/>
  <c r="AY651" i="3"/>
  <c r="BB651" i="3" s="1"/>
  <c r="AY592" i="3"/>
  <c r="BB592" i="3" s="1"/>
  <c r="AY648" i="3"/>
  <c r="BB648" i="3" s="1"/>
  <c r="BD377" i="3"/>
  <c r="BG377" i="3" s="1"/>
  <c r="BD116" i="3"/>
  <c r="BG116" i="3" s="1"/>
  <c r="BD164" i="3"/>
  <c r="BG164" i="3" s="1"/>
  <c r="BD491" i="3"/>
  <c r="BG491" i="3" s="1"/>
  <c r="BD539" i="3"/>
  <c r="BG539" i="3" s="1"/>
  <c r="BD555" i="3"/>
  <c r="BG555" i="3" s="1"/>
  <c r="BD340" i="3"/>
  <c r="BG340" i="3" s="1"/>
  <c r="BD647" i="3"/>
  <c r="BG647" i="3" s="1"/>
  <c r="BD197" i="3"/>
  <c r="BG197" i="3" s="1"/>
  <c r="BD527" i="3"/>
  <c r="BG527" i="3" s="1"/>
  <c r="BD232" i="3"/>
  <c r="BG232" i="3" s="1"/>
  <c r="BD135" i="3"/>
  <c r="BG135" i="3" s="1"/>
  <c r="BD231" i="3"/>
  <c r="BG231" i="3" s="1"/>
  <c r="BD319" i="3"/>
  <c r="BG319" i="3" s="1"/>
  <c r="BD97" i="3"/>
  <c r="BG97" i="3" s="1"/>
  <c r="BD137" i="3"/>
  <c r="BG137" i="3" s="1"/>
  <c r="BD181" i="3"/>
  <c r="BG181" i="3" s="1"/>
  <c r="BD241" i="3"/>
  <c r="BG241" i="3" s="1"/>
  <c r="BD305" i="3"/>
  <c r="BG305" i="3" s="1"/>
  <c r="BD384" i="3"/>
  <c r="BG384" i="3" s="1"/>
  <c r="BD400" i="3"/>
  <c r="BG400" i="3" s="1"/>
  <c r="BD408" i="3"/>
  <c r="BG408" i="3" s="1"/>
  <c r="BD416" i="3"/>
  <c r="BG416" i="3" s="1"/>
  <c r="BD424" i="3"/>
  <c r="BG424" i="3" s="1"/>
  <c r="BD440" i="3"/>
  <c r="BG440" i="3" s="1"/>
  <c r="BD448" i="3"/>
  <c r="BG448" i="3" s="1"/>
  <c r="BD456" i="3"/>
  <c r="BG456" i="3" s="1"/>
  <c r="BD464" i="3"/>
  <c r="BG464" i="3" s="1"/>
  <c r="BD472" i="3"/>
  <c r="BG472" i="3" s="1"/>
  <c r="BD480" i="3"/>
  <c r="BG480" i="3" s="1"/>
  <c r="BD488" i="3"/>
  <c r="BG488" i="3" s="1"/>
  <c r="BD496" i="3"/>
  <c r="BG496" i="3" s="1"/>
  <c r="BD504" i="3"/>
  <c r="BG504" i="3" s="1"/>
  <c r="BD512" i="3"/>
  <c r="BG512" i="3" s="1"/>
  <c r="BD520" i="3"/>
  <c r="BG520" i="3" s="1"/>
  <c r="BD528" i="3"/>
  <c r="BG528" i="3" s="1"/>
  <c r="BD544" i="3"/>
  <c r="BG544" i="3" s="1"/>
  <c r="BD552" i="3"/>
  <c r="BG552" i="3" s="1"/>
  <c r="BD560" i="3"/>
  <c r="BG560" i="3" s="1"/>
  <c r="BD568" i="3"/>
  <c r="BG568" i="3" s="1"/>
  <c r="BD576" i="3"/>
  <c r="BG576" i="3" s="1"/>
  <c r="BD584" i="3"/>
  <c r="BG584" i="3" s="1"/>
  <c r="BD592" i="3"/>
  <c r="BG592" i="3" s="1"/>
  <c r="BD608" i="3"/>
  <c r="BG608" i="3" s="1"/>
  <c r="BD616" i="3"/>
  <c r="BG616" i="3" s="1"/>
  <c r="BD624" i="3"/>
  <c r="BG624" i="3" s="1"/>
  <c r="BD632" i="3"/>
  <c r="BG632" i="3" s="1"/>
  <c r="BD640" i="3"/>
  <c r="BG640" i="3" s="1"/>
  <c r="BD648" i="3"/>
  <c r="BG648" i="3" s="1"/>
  <c r="BD656" i="3"/>
  <c r="BG656" i="3" s="1"/>
  <c r="BD499" i="3"/>
  <c r="BG499" i="3" s="1"/>
  <c r="BD563" i="3"/>
  <c r="BG563" i="3" s="1"/>
  <c r="BD382" i="3"/>
  <c r="BG382" i="3" s="1"/>
  <c r="BD398" i="3"/>
  <c r="BG398" i="3" s="1"/>
  <c r="BD414" i="3"/>
  <c r="BG414" i="3" s="1"/>
  <c r="BD446" i="3"/>
  <c r="BG446" i="3" s="1"/>
  <c r="BD462" i="3"/>
  <c r="BG462" i="3" s="1"/>
  <c r="BD478" i="3"/>
  <c r="BG478" i="3" s="1"/>
  <c r="BD494" i="3"/>
  <c r="BG494" i="3" s="1"/>
  <c r="BD510" i="3"/>
  <c r="BG510" i="3" s="1"/>
  <c r="BD542" i="3"/>
  <c r="BG542" i="3" s="1"/>
  <c r="BD558" i="3"/>
  <c r="BG558" i="3" s="1"/>
  <c r="BD574" i="3"/>
  <c r="BG574" i="3" s="1"/>
  <c r="BD590" i="3"/>
  <c r="BG590" i="3" s="1"/>
  <c r="BD606" i="3"/>
  <c r="BG606" i="3" s="1"/>
  <c r="BD622" i="3"/>
  <c r="BG622" i="3" s="1"/>
  <c r="BD511" i="3"/>
  <c r="BG511" i="3" s="1"/>
  <c r="BD272" i="3"/>
  <c r="BG272" i="3" s="1"/>
  <c r="BD567" i="3"/>
  <c r="BG567" i="3" s="1"/>
  <c r="BD191" i="3"/>
  <c r="BG191" i="3" s="1"/>
  <c r="BD368" i="3"/>
  <c r="BG368" i="3" s="1"/>
  <c r="BD663" i="3"/>
  <c r="BG663" i="3" s="1"/>
  <c r="BD96" i="3"/>
  <c r="BG96" i="3" s="1"/>
  <c r="BD571" i="3"/>
  <c r="BG571" i="3" s="1"/>
  <c r="BD312" i="3"/>
  <c r="BG312" i="3" s="1"/>
  <c r="BD607" i="3"/>
  <c r="BG607" i="3" s="1"/>
  <c r="BD287" i="3"/>
  <c r="BG287" i="3" s="1"/>
  <c r="BD149" i="3"/>
  <c r="BG149" i="3" s="1"/>
  <c r="BD205" i="3"/>
  <c r="BG205" i="3" s="1"/>
  <c r="BD189" i="3"/>
  <c r="BG189" i="3" s="1"/>
  <c r="BD296" i="3"/>
  <c r="BG296" i="3" s="1"/>
  <c r="BD591" i="3"/>
  <c r="BG591" i="3" s="1"/>
  <c r="BD255" i="3"/>
  <c r="BG255" i="3" s="1"/>
  <c r="BD117" i="3"/>
  <c r="BG117" i="3" s="1"/>
  <c r="BD213" i="3"/>
  <c r="BG213" i="3" s="1"/>
  <c r="BD380" i="3"/>
  <c r="BG380" i="3" s="1"/>
  <c r="BD388" i="3"/>
  <c r="BG388" i="3" s="1"/>
  <c r="BD396" i="3"/>
  <c r="BG396" i="3" s="1"/>
  <c r="BD404" i="3"/>
  <c r="BG404" i="3" s="1"/>
  <c r="BD420" i="3"/>
  <c r="BG420" i="3" s="1"/>
  <c r="BD428" i="3"/>
  <c r="BG428" i="3" s="1"/>
  <c r="BD436" i="3"/>
  <c r="BG436" i="3" s="1"/>
  <c r="BD452" i="3"/>
  <c r="BG452" i="3" s="1"/>
  <c r="BD460" i="3"/>
  <c r="BG460" i="3" s="1"/>
  <c r="BD468" i="3"/>
  <c r="BG468" i="3" s="1"/>
  <c r="BD484" i="3"/>
  <c r="BG484" i="3" s="1"/>
  <c r="BD492" i="3"/>
  <c r="BG492" i="3" s="1"/>
  <c r="BD516" i="3"/>
  <c r="BG516" i="3" s="1"/>
  <c r="BD524" i="3"/>
  <c r="BG524" i="3" s="1"/>
  <c r="BD532" i="3"/>
  <c r="BG532" i="3" s="1"/>
  <c r="BD540" i="3"/>
  <c r="BG540" i="3" s="1"/>
  <c r="BD548" i="3"/>
  <c r="BG548" i="3" s="1"/>
  <c r="BD556" i="3"/>
  <c r="BG556" i="3" s="1"/>
  <c r="BD564" i="3"/>
  <c r="BG564" i="3" s="1"/>
  <c r="BD572" i="3"/>
  <c r="BG572" i="3" s="1"/>
  <c r="BD580" i="3"/>
  <c r="BG580" i="3" s="1"/>
  <c r="BD588" i="3"/>
  <c r="BG588" i="3" s="1"/>
  <c r="BD596" i="3"/>
  <c r="BG596" i="3" s="1"/>
  <c r="BD604" i="3"/>
  <c r="BG604" i="3" s="1"/>
  <c r="BD612" i="3"/>
  <c r="BG612" i="3" s="1"/>
  <c r="BD620" i="3"/>
  <c r="BG620" i="3" s="1"/>
  <c r="BD628" i="3"/>
  <c r="BG628" i="3" s="1"/>
  <c r="BD636" i="3"/>
  <c r="BG636" i="3" s="1"/>
  <c r="BD644" i="3"/>
  <c r="BG644" i="3" s="1"/>
  <c r="BD652" i="3"/>
  <c r="BG652" i="3" s="1"/>
  <c r="BD660" i="3"/>
  <c r="BG660" i="3" s="1"/>
  <c r="BD390" i="3"/>
  <c r="BG390" i="3" s="1"/>
  <c r="BD406" i="3"/>
  <c r="BG406" i="3" s="1"/>
  <c r="BD422" i="3"/>
  <c r="BG422" i="3" s="1"/>
  <c r="BD438" i="3"/>
  <c r="BG438" i="3" s="1"/>
  <c r="BD454" i="3"/>
  <c r="BG454" i="3" s="1"/>
  <c r="BD470" i="3"/>
  <c r="BG470" i="3" s="1"/>
  <c r="BD486" i="3"/>
  <c r="BG486" i="3" s="1"/>
  <c r="BD502" i="3"/>
  <c r="BG502" i="3" s="1"/>
  <c r="BD518" i="3"/>
  <c r="BG518" i="3" s="1"/>
  <c r="BD534" i="3"/>
  <c r="BG534" i="3" s="1"/>
  <c r="BD566" i="3"/>
  <c r="BG566" i="3" s="1"/>
  <c r="BD598" i="3"/>
  <c r="BG598" i="3" s="1"/>
  <c r="BD630" i="3"/>
  <c r="BG630" i="3" s="1"/>
  <c r="BD193" i="3"/>
  <c r="BG193" i="3" s="1"/>
  <c r="BD376" i="3"/>
  <c r="BG376" i="3" s="1"/>
  <c r="BD112" i="3"/>
  <c r="BG112" i="3" s="1"/>
  <c r="BD407" i="3"/>
  <c r="BG407" i="3" s="1"/>
  <c r="BD160" i="3"/>
  <c r="BG160" i="3" s="1"/>
  <c r="BD507" i="3"/>
  <c r="BG507" i="3" s="1"/>
  <c r="BD523" i="3"/>
  <c r="BG523" i="3" s="1"/>
  <c r="BD248" i="3"/>
  <c r="BG248" i="3" s="1"/>
  <c r="BD543" i="3"/>
  <c r="BG543" i="3" s="1"/>
  <c r="BD324" i="3"/>
  <c r="BG324" i="3" s="1"/>
  <c r="BD176" i="3"/>
  <c r="BG176" i="3" s="1"/>
  <c r="BD374" i="3"/>
  <c r="BG374" i="3" s="1"/>
  <c r="BD356" i="3"/>
  <c r="BG356" i="3" s="1"/>
  <c r="BD320" i="3"/>
  <c r="BG320" i="3" s="1"/>
  <c r="AY386" i="3"/>
  <c r="BB386" i="3" s="1"/>
  <c r="AY450" i="3"/>
  <c r="BB450" i="3" s="1"/>
  <c r="AY514" i="3"/>
  <c r="BB514" i="3" s="1"/>
  <c r="AY578" i="3"/>
  <c r="BB578" i="3" s="1"/>
  <c r="AY642" i="3"/>
  <c r="BB642" i="3" s="1"/>
  <c r="AY417" i="3"/>
  <c r="BB417" i="3" s="1"/>
  <c r="AY481" i="3"/>
  <c r="BB481" i="3" s="1"/>
  <c r="AY467" i="3"/>
  <c r="BB467" i="3" s="1"/>
  <c r="AY595" i="3"/>
  <c r="BB595" i="3" s="1"/>
  <c r="AY464" i="3"/>
  <c r="BB464" i="3" s="1"/>
  <c r="AY576" i="3"/>
  <c r="BB576" i="3" s="1"/>
  <c r="AY521" i="3"/>
  <c r="BB521" i="3" s="1"/>
  <c r="AY577" i="3"/>
  <c r="BB577" i="3" s="1"/>
  <c r="AY601" i="3"/>
  <c r="BB601" i="3" s="1"/>
  <c r="AY641" i="3"/>
  <c r="BB641" i="3" s="1"/>
  <c r="AY436" i="3"/>
  <c r="BB436" i="3" s="1"/>
  <c r="AY620" i="3"/>
  <c r="BB620" i="3" s="1"/>
  <c r="AY575" i="3"/>
  <c r="BB575" i="3" s="1"/>
  <c r="AY584" i="3"/>
  <c r="BB584" i="3" s="1"/>
  <c r="AY418" i="3"/>
  <c r="BB418" i="3" s="1"/>
  <c r="AY482" i="3"/>
  <c r="BB482" i="3" s="1"/>
  <c r="AY546" i="3"/>
  <c r="BB546" i="3" s="1"/>
  <c r="AY610" i="3"/>
  <c r="BB610" i="3" s="1"/>
  <c r="AY385" i="3"/>
  <c r="BB385" i="3" s="1"/>
  <c r="AY449" i="3"/>
  <c r="BB449" i="3" s="1"/>
  <c r="AY419" i="3"/>
  <c r="BB419" i="3" s="1"/>
  <c r="AY428" i="3"/>
  <c r="BB428" i="3" s="1"/>
  <c r="AY432" i="3"/>
  <c r="BB432" i="3" s="1"/>
  <c r="AY556" i="3"/>
  <c r="BB556" i="3" s="1"/>
  <c r="AY447" i="3"/>
  <c r="BB447" i="3" s="1"/>
  <c r="AY101" i="3"/>
  <c r="BB101" i="3" s="1"/>
  <c r="AY342" i="3"/>
  <c r="BB342" i="3" s="1"/>
  <c r="AT657" i="3"/>
  <c r="AW657" i="3" s="1"/>
  <c r="AT449" i="3"/>
  <c r="AW449" i="3" s="1"/>
  <c r="AO609" i="3"/>
  <c r="AR609" i="3" s="1"/>
  <c r="AO502" i="3"/>
  <c r="AR502" i="3" s="1"/>
  <c r="AO616" i="3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<sst xmlns="http://schemas.openxmlformats.org/spreadsheetml/2006/main" count="1426" uniqueCount="117">
  <si>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</si>
  <si>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</si>
  <si>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</si>
  <si>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</si>
  <si>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</si>
  <si>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</si>
  <si>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</si>
  <si>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</si>
  <si>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</si>
  <si>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</si>
  <si>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</si>
  <si>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</si>
  <si>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</si>
  <si>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</si>
  <si>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</si>
  <si>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</si>
  <si>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</si>
  <si>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</si>
  <si>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</si>
  <si>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</si>
  <si>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</si>
  <si>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</si>
  <si>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</si>
  <si>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</si>
  <si>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</si>
  <si>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</si>
  <si>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</si>
  <si>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</si>
  <si>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</si>
  <si>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</si>
  <si>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</si>
  <si>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</si>
  <si>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</si>
  <si>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</si>
  <si>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</si>
  <si>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</si>
  <si>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</si>
  <si>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</si>
  <si>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</si>
  <si>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</si>
  <si>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</si>
  <si>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</si>
  <si>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</si>
  <si>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</si>
  <si>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</si>
  <si>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</si>
  <si>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</si>
  <si>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</si>
  <si>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</si>
  <si>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</si>
  <si>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</si>
  <si>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</si>
  <si>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</si>
  <si>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</si>
  <si>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</si>
  <si>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</si>
  <si>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</si>
  <si>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</si>
  <si>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</si>
  <si>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</si>
  <si>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</si>
  <si>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</si>
  <si>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</si>
  <si>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</si>
  <si>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</si>
  <si>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</si>
  <si>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</si>
  <si>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</si>
  <si>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</si>
  <si>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</si>
  <si>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</si>
  <si>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</si>
  <si>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</si>
  <si>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</si>
  <si>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</si>
  <si>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</si>
  <si>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</si>
  <si>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</si>
  <si>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</si>
  <si>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</si>
  <si>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</si>
  <si>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</si>
  <si>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</si>
  <si>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</si>
  <si>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</si>
  <si>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</si>
  <si>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</si>
  <si>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</si>
  <si>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</si>
  <si>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</si>
  <si>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</si>
  <si>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101421</t>
  </si>
  <si>
    <t>Indianapolis, IN</t>
  </si>
  <si>
    <t>144</t>
  </si>
  <si>
    <t>West Backbone</t>
  </si>
  <si>
    <t>North Backbone</t>
  </si>
  <si>
    <t>IND-B336</t>
  </si>
  <si>
    <t>East Small Cell Build</t>
  </si>
  <si>
    <t>96</t>
  </si>
  <si>
    <t>South Small Cell Build</t>
  </si>
  <si>
    <t>12</t>
  </si>
  <si>
    <t>386791: ZAYO-ENT-S-1</t>
  </si>
  <si>
    <t>386893: CUST-ENT-N-1</t>
  </si>
  <si>
    <t>VZW 106th and Cumberland SC lateral</t>
  </si>
  <si>
    <t>110801</t>
  </si>
  <si>
    <t>E 106TH AND CUMBERLAND SMALL CELL</t>
  </si>
  <si>
    <t>110819</t>
  </si>
  <si>
    <t>BRADFORD KNOLL AND CUMBERLAND SC</t>
  </si>
  <si>
    <t>110800</t>
  </si>
  <si>
    <t>E 106TH AND HAMILTON SMALL CELL</t>
  </si>
  <si>
    <t>110782</t>
  </si>
  <si>
    <t>GREENWAY AND WYNHAM SMALL CELL</t>
  </si>
  <si>
    <t>ZYO 2016-08486</t>
  </si>
  <si>
    <t>2.0</t>
  </si>
  <si>
    <t>IRONWOOD SMALL CELLS PHASE 3</t>
  </si>
  <si>
    <t>IND-5A (W)</t>
  </si>
  <si>
    <t>IND-5A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</si>
</sst>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5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D50" sqref="D50:D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113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112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IND-5A (W)  IND-5A (N)   IND-B336  386791: ZAYO-ENT-S-1   386893: CUST-ENT-N-1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87</v>
      </c>
      <c r="C50" s="291">
        <v>42878</v>
      </c>
      <c r="D50" s="293"/>
      <c r="E50" s="29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101421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0" sqref="D2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>
        <f>IF($B$41&gt;=K2,K2,"")</f>
        <v>1</v>
      </c>
      <c r="U2" s="150" t="e">
        <f>IF(T2="","",IF(T2&lt;=$E$43,VLOOKUP($E$42,$I$1:$J$4,2,FALSE),VLOOKUP($F$42,$I$1:$J$4,2,FALSE)))</f>
        <v>#N/A</v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101421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>
        <f t="shared" ref="T3:T66" si="8">IF($B$41&gt;=K3,K3,"")</f>
        <v>2</v>
      </c>
      <c r="U3" s="150" t="e">
        <f t="shared" ref="U3:U66" si="9">IF(T3="","",IF(T3&lt;=$E$43,VLOOKUP($E$42,$I$1:$J$4,2,FALSE),VLOOKUP($F$42,$I$1:$J$4,2,FALSE)))</f>
        <v>#N/A</v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>
        <f t="shared" si="8"/>
        <v>3</v>
      </c>
      <c r="U4" s="150" t="e">
        <f t="shared" si="9"/>
        <v>#N/A</v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>
        <f t="shared" si="8"/>
        <v>4</v>
      </c>
      <c r="U5" s="150" t="e">
        <f t="shared" si="9"/>
        <v>#N/A</v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>
        <f t="shared" si="8"/>
        <v>5</v>
      </c>
      <c r="U6" s="150" t="e">
        <f t="shared" si="9"/>
        <v>#N/A</v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>
        <f t="shared" si="8"/>
        <v>6</v>
      </c>
      <c r="U7" s="150" t="e">
        <f t="shared" si="9"/>
        <v>#N/A</v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>
        <f t="shared" si="8"/>
        <v>7</v>
      </c>
      <c r="U8" s="150" t="e">
        <f t="shared" si="9"/>
        <v>#N/A</v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>
        <f t="shared" si="8"/>
        <v>8</v>
      </c>
      <c r="U9" s="150" t="e">
        <f t="shared" si="9"/>
        <v>#N/A</v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>
        <f t="shared" si="8"/>
        <v>9</v>
      </c>
      <c r="U10" s="150" t="e">
        <f t="shared" si="9"/>
        <v>#N/A</v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115</v>
      </c>
      <c r="D11" s="323" t="s">
        <v>94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>
        <f t="shared" si="8"/>
        <v>10</v>
      </c>
      <c r="U11" s="150" t="e">
        <f t="shared" si="9"/>
        <v>#N/A</v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>
        <f t="shared" si="8"/>
        <v>11</v>
      </c>
      <c r="U12" s="150" t="e">
        <f t="shared" si="9"/>
        <v>#N/A</v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>
        <f t="shared" si="8"/>
        <v>12</v>
      </c>
      <c r="U13" s="150" t="e">
        <f t="shared" si="9"/>
        <v>#N/A</v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>
        <f t="shared" si="8"/>
        <v>13</v>
      </c>
      <c r="U14" s="150" t="e">
        <f t="shared" si="9"/>
        <v>#N/A</v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>
        <f t="shared" si="8"/>
        <v>14</v>
      </c>
      <c r="U15" s="150" t="e">
        <f t="shared" si="9"/>
        <v>#N/A</v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>
        <f t="shared" si="8"/>
        <v>15</v>
      </c>
      <c r="U16" s="150" t="e">
        <f t="shared" si="9"/>
        <v>#N/A</v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>
        <f t="shared" si="8"/>
        <v>16</v>
      </c>
      <c r="U17" s="150" t="e">
        <f t="shared" si="9"/>
        <v>#N/A</v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116</v>
      </c>
      <c r="D18" s="323" t="s">
        <v>95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>
        <f t="shared" si="8"/>
        <v>17</v>
      </c>
      <c r="U18" s="150" t="e">
        <f t="shared" si="9"/>
        <v>#N/A</v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>
        <f t="shared" si="8"/>
        <v>18</v>
      </c>
      <c r="U19" s="150" t="e">
        <f t="shared" si="9"/>
        <v>#N/A</v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93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>
        <f t="shared" si="8"/>
        <v>19</v>
      </c>
      <c r="U20" s="150" t="e">
        <f t="shared" si="9"/>
        <v>#N/A</v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>
        <f t="shared" si="8"/>
        <v>20</v>
      </c>
      <c r="U21" s="150" t="e">
        <f t="shared" si="9"/>
        <v>#N/A</v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>
        <f t="shared" si="8"/>
        <v>21</v>
      </c>
      <c r="U22" s="150" t="e">
        <f t="shared" si="9"/>
        <v>#N/A</v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>
        <f t="shared" si="8"/>
        <v>22</v>
      </c>
      <c r="U23" s="150" t="e">
        <f t="shared" si="9"/>
        <v>#N/A</v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>
        <f t="shared" si="8"/>
        <v>23</v>
      </c>
      <c r="U24" s="150" t="e">
        <f t="shared" si="9"/>
        <v>#N/A</v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96</v>
      </c>
      <c r="D25" s="323" t="s">
        <v>97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>
        <f t="shared" si="8"/>
        <v>24</v>
      </c>
      <c r="U25" s="150" t="e">
        <f t="shared" si="9"/>
        <v>#N/A</v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>
        <f t="shared" si="8"/>
        <v>25</v>
      </c>
      <c r="U26" s="150" t="e">
        <f t="shared" si="9"/>
        <v>#N/A</v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 t="s">
        <v>98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>
        <f t="shared" si="8"/>
        <v>26</v>
      </c>
      <c r="U27" s="150" t="e">
        <f t="shared" si="9"/>
        <v>#N/A</v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>
        <f t="shared" si="8"/>
        <v>27</v>
      </c>
      <c r="U28" s="150" t="e">
        <f t="shared" si="9"/>
        <v>#N/A</v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>
        <f t="shared" si="8"/>
        <v>28</v>
      </c>
      <c r="U29" s="150" t="e">
        <f t="shared" si="9"/>
        <v>#N/A</v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>
        <f t="shared" si="8"/>
        <v>29</v>
      </c>
      <c r="U30" s="150" t="e">
        <f t="shared" si="9"/>
        <v>#N/A</v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>
        <f t="shared" si="8"/>
        <v>30</v>
      </c>
      <c r="U31" s="150" t="e">
        <f t="shared" si="9"/>
        <v>#N/A</v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 t="s">
        <v>101</v>
      </c>
      <c r="D32" s="323" t="s">
        <v>99</v>
      </c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>
        <f t="shared" si="8"/>
        <v>31</v>
      </c>
      <c r="U32" s="150" t="e">
        <f t="shared" si="9"/>
        <v>#N/A</v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>
        <f t="shared" si="8"/>
        <v>32</v>
      </c>
      <c r="U33" s="150" t="e">
        <f t="shared" si="9"/>
        <v>#N/A</v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 t="s">
        <v>93</v>
      </c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>
        <f t="shared" si="8"/>
        <v>33</v>
      </c>
      <c r="U34" s="150" t="e">
        <f t="shared" si="9"/>
        <v>#N/A</v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>
        <f t="shared" si="8"/>
        <v>34</v>
      </c>
      <c r="U35" s="150" t="e">
        <f t="shared" si="9"/>
        <v>#N/A</v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>
        <f t="shared" si="8"/>
        <v>35</v>
      </c>
      <c r="U36" s="150" t="e">
        <f t="shared" si="9"/>
        <v>#N/A</v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>
        <f t="shared" si="8"/>
        <v>36</v>
      </c>
      <c r="U37" s="150" t="e">
        <f t="shared" si="9"/>
        <v>#N/A</v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>
        <f t="shared" si="8"/>
        <v>37</v>
      </c>
      <c r="U38" s="150" t="e">
        <f t="shared" si="9"/>
        <v>#N/A</v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 t="s">
        <v>102</v>
      </c>
      <c r="D39" s="323" t="s">
        <v>103</v>
      </c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>
        <f t="shared" si="8"/>
        <v>38</v>
      </c>
      <c r="U39" s="150" t="e">
        <f t="shared" si="9"/>
        <v>#N/A</v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>
        <f t="shared" si="8"/>
        <v>39</v>
      </c>
      <c r="U40" s="150" t="e">
        <f t="shared" si="9"/>
        <v>#N/A</v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 t="s">
        <v>100</v>
      </c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>
        <f t="shared" si="8"/>
        <v>40</v>
      </c>
      <c r="U41" s="150" t="e">
        <f t="shared" si="9"/>
        <v>#N/A</v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>
        <f t="shared" si="8"/>
        <v>41</v>
      </c>
      <c r="U42" s="150" t="e">
        <f t="shared" si="9"/>
        <v>#N/A</v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>
        <f t="shared" si="8"/>
        <v>42</v>
      </c>
      <c r="U43" s="150" t="e">
        <f t="shared" si="9"/>
        <v>#N/A</v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>
        <f t="shared" si="8"/>
        <v>43</v>
      </c>
      <c r="U44" s="150" t="e">
        <f t="shared" si="9"/>
        <v>#N/A</v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>
        <f t="shared" si="8"/>
        <v>44</v>
      </c>
      <c r="U45" s="150" t="e">
        <f t="shared" si="9"/>
        <v>#N/A</v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>
        <f t="shared" si="8"/>
        <v>45</v>
      </c>
      <c r="U46" s="150" t="e">
        <f t="shared" si="9"/>
        <v>#N/A</v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>
        <f t="shared" si="8"/>
        <v>46</v>
      </c>
      <c r="U47" s="150" t="e">
        <f t="shared" si="9"/>
        <v>#N/A</v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>
        <f t="shared" si="8"/>
        <v>47</v>
      </c>
      <c r="U48" s="150" t="e">
        <f t="shared" si="9"/>
        <v>#N/A</v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>
        <f t="shared" si="8"/>
        <v>48</v>
      </c>
      <c r="U49" s="150" t="e">
        <f t="shared" si="9"/>
        <v>#N/A</v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>
        <f t="shared" si="8"/>
        <v>49</v>
      </c>
      <c r="U50" s="150" t="e">
        <f t="shared" si="9"/>
        <v>#N/A</v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>
        <f t="shared" si="8"/>
        <v>50</v>
      </c>
      <c r="U51" s="150" t="e">
        <f t="shared" si="9"/>
        <v>#N/A</v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>
        <f t="shared" si="8"/>
        <v>51</v>
      </c>
      <c r="U52" s="150" t="e">
        <f t="shared" si="9"/>
        <v>#N/A</v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>
        <f t="shared" si="8"/>
        <v>52</v>
      </c>
      <c r="U53" s="150" t="e">
        <f t="shared" si="9"/>
        <v>#N/A</v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>
        <f t="shared" si="8"/>
        <v>53</v>
      </c>
      <c r="U54" s="150" t="e">
        <f t="shared" si="9"/>
        <v>#N/A</v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>
        <f t="shared" si="8"/>
        <v>54</v>
      </c>
      <c r="U55" s="150" t="e">
        <f t="shared" si="9"/>
        <v>#N/A</v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>
        <f t="shared" si="8"/>
        <v>55</v>
      </c>
      <c r="U56" s="150" t="e">
        <f t="shared" si="9"/>
        <v>#N/A</v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>
        <f t="shared" si="8"/>
        <v>56</v>
      </c>
      <c r="U57" s="150" t="e">
        <f t="shared" si="9"/>
        <v>#N/A</v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>
        <f t="shared" si="8"/>
        <v>57</v>
      </c>
      <c r="U58" s="150" t="e">
        <f t="shared" si="9"/>
        <v>#N/A</v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>
        <f t="shared" si="8"/>
        <v>58</v>
      </c>
      <c r="U59" s="150" t="e">
        <f t="shared" si="9"/>
        <v>#N/A</v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>
        <f t="shared" si="8"/>
        <v>59</v>
      </c>
      <c r="U60" s="150" t="e">
        <f t="shared" si="9"/>
        <v>#N/A</v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>
        <f t="shared" si="8"/>
        <v>60</v>
      </c>
      <c r="U61" s="150" t="e">
        <f t="shared" si="9"/>
        <v>#N/A</v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>
        <f t="shared" si="8"/>
        <v>61</v>
      </c>
      <c r="U62" s="150" t="e">
        <f t="shared" si="9"/>
        <v>#N/A</v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>
        <f t="shared" si="8"/>
        <v>62</v>
      </c>
      <c r="U63" s="150" t="e">
        <f t="shared" si="9"/>
        <v>#N/A</v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>
        <f t="shared" si="8"/>
        <v>63</v>
      </c>
      <c r="U64" s="150" t="e">
        <f t="shared" si="9"/>
        <v>#N/A</v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>
        <f t="shared" si="8"/>
        <v>64</v>
      </c>
      <c r="U65" s="150" t="e">
        <f t="shared" si="9"/>
        <v>#N/A</v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>
        <f t="shared" si="8"/>
        <v>65</v>
      </c>
      <c r="U66" s="150" t="e">
        <f t="shared" si="9"/>
        <v>#N/A</v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>
        <f t="shared" ref="T67:T130" si="20">IF($B$41&gt;=K67,K67,"")</f>
        <v>66</v>
      </c>
      <c r="U67" s="150" t="e">
        <f t="shared" ref="U67:U130" si="21">IF(T67="","",IF(T67&lt;=$E$43,VLOOKUP($E$42,$I$1:$J$4,2,FALSE),VLOOKUP($F$42,$I$1:$J$4,2,FALSE)))</f>
        <v>#N/A</v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>
        <f t="shared" si="20"/>
        <v>67</v>
      </c>
      <c r="U68" s="150" t="e">
        <f t="shared" si="21"/>
        <v>#N/A</v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>
        <f t="shared" si="20"/>
        <v>68</v>
      </c>
      <c r="U69" s="150" t="e">
        <f t="shared" si="21"/>
        <v>#N/A</v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>
        <f t="shared" si="20"/>
        <v>69</v>
      </c>
      <c r="U70" s="150" t="e">
        <f t="shared" si="21"/>
        <v>#N/A</v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>
        <f t="shared" si="20"/>
        <v>70</v>
      </c>
      <c r="U71" s="150" t="e">
        <f t="shared" si="21"/>
        <v>#N/A</v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>
        <f t="shared" si="20"/>
        <v>71</v>
      </c>
      <c r="U72" s="150" t="e">
        <f t="shared" si="21"/>
        <v>#N/A</v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>
        <f t="shared" si="20"/>
        <v>72</v>
      </c>
      <c r="U73" s="150" t="e">
        <f t="shared" si="21"/>
        <v>#N/A</v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>
        <f t="shared" si="20"/>
        <v>73</v>
      </c>
      <c r="U74" s="150" t="e">
        <f t="shared" si="21"/>
        <v>#N/A</v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>
        <f t="shared" si="20"/>
        <v>74</v>
      </c>
      <c r="U75" s="150" t="e">
        <f t="shared" si="21"/>
        <v>#N/A</v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>
        <f t="shared" si="20"/>
        <v>75</v>
      </c>
      <c r="U76" s="150" t="e">
        <f t="shared" si="21"/>
        <v>#N/A</v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>
        <f t="shared" si="20"/>
        <v>76</v>
      </c>
      <c r="U77" s="150" t="e">
        <f t="shared" si="21"/>
        <v>#N/A</v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>
        <f t="shared" si="20"/>
        <v>77</v>
      </c>
      <c r="U78" s="150" t="e">
        <f t="shared" si="21"/>
        <v>#N/A</v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>
        <f t="shared" si="20"/>
        <v>78</v>
      </c>
      <c r="U79" s="150" t="e">
        <f t="shared" si="21"/>
        <v>#N/A</v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>
        <f t="shared" si="20"/>
        <v>79</v>
      </c>
      <c r="U80" s="150" t="e">
        <f t="shared" si="21"/>
        <v>#N/A</v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>
        <f t="shared" si="20"/>
        <v>80</v>
      </c>
      <c r="U81" s="150" t="e">
        <f t="shared" si="21"/>
        <v>#N/A</v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>
        <f t="shared" si="20"/>
        <v>81</v>
      </c>
      <c r="U82" s="150" t="e">
        <f t="shared" si="21"/>
        <v>#N/A</v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>
        <f t="shared" si="20"/>
        <v>82</v>
      </c>
      <c r="U83" s="150" t="e">
        <f t="shared" si="21"/>
        <v>#N/A</v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>
        <f t="shared" si="20"/>
        <v>83</v>
      </c>
      <c r="U84" s="150" t="e">
        <f t="shared" si="21"/>
        <v>#N/A</v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>
        <f t="shared" si="20"/>
        <v>84</v>
      </c>
      <c r="U85" s="150" t="e">
        <f t="shared" si="21"/>
        <v>#N/A</v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>
        <f t="shared" si="20"/>
        <v>85</v>
      </c>
      <c r="U86" s="150" t="e">
        <f t="shared" si="21"/>
        <v>#N/A</v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>
        <f t="shared" si="20"/>
        <v>86</v>
      </c>
      <c r="U87" s="150" t="e">
        <f t="shared" si="21"/>
        <v>#N/A</v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>
        <f t="shared" si="20"/>
        <v>87</v>
      </c>
      <c r="U88" s="150" t="e">
        <f t="shared" si="21"/>
        <v>#N/A</v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>
        <f t="shared" si="20"/>
        <v>88</v>
      </c>
      <c r="U89" s="150" t="e">
        <f t="shared" si="21"/>
        <v>#N/A</v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>
        <f t="shared" si="20"/>
        <v>89</v>
      </c>
      <c r="U90" s="150" t="e">
        <f t="shared" si="21"/>
        <v>#N/A</v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>
        <f t="shared" si="20"/>
        <v>90</v>
      </c>
      <c r="U91" s="150" t="e">
        <f t="shared" si="21"/>
        <v>#N/A</v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>
        <f t="shared" si="20"/>
        <v>91</v>
      </c>
      <c r="U92" s="150" t="e">
        <f t="shared" si="21"/>
        <v>#N/A</v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>
        <f t="shared" si="20"/>
        <v>92</v>
      </c>
      <c r="U93" s="150" t="e">
        <f t="shared" si="21"/>
        <v>#N/A</v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>
        <f t="shared" si="20"/>
        <v>93</v>
      </c>
      <c r="U94" s="150" t="e">
        <f t="shared" si="21"/>
        <v>#N/A</v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>
        <f t="shared" si="20"/>
        <v>94</v>
      </c>
      <c r="U95" s="150" t="e">
        <f t="shared" si="21"/>
        <v>#N/A</v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>
        <f t="shared" si="20"/>
        <v>95</v>
      </c>
      <c r="U96" s="150" t="e">
        <f t="shared" si="21"/>
        <v>#N/A</v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>
        <f t="shared" si="20"/>
        <v>96</v>
      </c>
      <c r="U97" s="150" t="e">
        <f t="shared" si="21"/>
        <v>#N/A</v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>
        <f t="shared" si="20"/>
        <v>97</v>
      </c>
      <c r="U98" s="150" t="e">
        <f t="shared" si="21"/>
        <v>#N/A</v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>
        <f t="shared" si="20"/>
        <v>98</v>
      </c>
      <c r="U99" s="150" t="e">
        <f t="shared" si="21"/>
        <v>#N/A</v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>
        <f t="shared" si="20"/>
        <v>99</v>
      </c>
      <c r="U100" s="150" t="e">
        <f t="shared" si="21"/>
        <v>#N/A</v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>
        <f t="shared" si="20"/>
        <v>100</v>
      </c>
      <c r="U101" s="150" t="e">
        <f t="shared" si="21"/>
        <v>#N/A</v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>
        <f t="shared" si="20"/>
        <v>101</v>
      </c>
      <c r="U102" s="150" t="e">
        <f t="shared" si="21"/>
        <v>#N/A</v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>
        <f t="shared" si="20"/>
        <v>102</v>
      </c>
      <c r="U103" s="150" t="e">
        <f t="shared" si="21"/>
        <v>#N/A</v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>
        <f t="shared" si="20"/>
        <v>103</v>
      </c>
      <c r="U104" s="150" t="e">
        <f t="shared" si="21"/>
        <v>#N/A</v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>
        <f t="shared" si="20"/>
        <v>104</v>
      </c>
      <c r="U105" s="150" t="e">
        <f t="shared" si="21"/>
        <v>#N/A</v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>
        <f t="shared" si="20"/>
        <v>105</v>
      </c>
      <c r="U106" s="150" t="e">
        <f t="shared" si="21"/>
        <v>#N/A</v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>
        <f t="shared" si="20"/>
        <v>106</v>
      </c>
      <c r="U107" s="150" t="e">
        <f t="shared" si="21"/>
        <v>#N/A</v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>
        <f t="shared" si="20"/>
        <v>107</v>
      </c>
      <c r="U108" s="150" t="e">
        <f t="shared" si="21"/>
        <v>#N/A</v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>
        <f t="shared" si="20"/>
        <v>108</v>
      </c>
      <c r="U109" s="150" t="e">
        <f t="shared" si="21"/>
        <v>#N/A</v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>
        <f t="shared" si="20"/>
        <v>109</v>
      </c>
      <c r="U110" s="150" t="e">
        <f t="shared" si="21"/>
        <v>#N/A</v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>
        <f t="shared" si="20"/>
        <v>110</v>
      </c>
      <c r="U111" s="150" t="e">
        <f t="shared" si="21"/>
        <v>#N/A</v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>
        <f t="shared" si="20"/>
        <v>111</v>
      </c>
      <c r="U112" s="150" t="e">
        <f t="shared" si="21"/>
        <v>#N/A</v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>
        <f t="shared" si="20"/>
        <v>112</v>
      </c>
      <c r="U113" s="150" t="e">
        <f t="shared" si="21"/>
        <v>#N/A</v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>
        <f t="shared" si="20"/>
        <v>113</v>
      </c>
      <c r="U114" s="150" t="e">
        <f t="shared" si="21"/>
        <v>#N/A</v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>
        <f t="shared" si="20"/>
        <v>114</v>
      </c>
      <c r="U115" s="150" t="e">
        <f t="shared" si="21"/>
        <v>#N/A</v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>
        <f t="shared" si="20"/>
        <v>115</v>
      </c>
      <c r="U116" s="150" t="e">
        <f t="shared" si="21"/>
        <v>#N/A</v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>
        <f t="shared" si="20"/>
        <v>116</v>
      </c>
      <c r="U117" s="150" t="e">
        <f t="shared" si="21"/>
        <v>#N/A</v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>
        <f t="shared" si="20"/>
        <v>117</v>
      </c>
      <c r="U118" s="150" t="e">
        <f t="shared" si="21"/>
        <v>#N/A</v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>
        <f t="shared" si="20"/>
        <v>118</v>
      </c>
      <c r="U119" s="150" t="e">
        <f t="shared" si="21"/>
        <v>#N/A</v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>
        <f t="shared" si="20"/>
        <v>119</v>
      </c>
      <c r="U120" s="150" t="e">
        <f t="shared" si="21"/>
        <v>#N/A</v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>
        <f t="shared" si="20"/>
        <v>120</v>
      </c>
      <c r="U121" s="150" t="e">
        <f t="shared" si="21"/>
        <v>#N/A</v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>
        <f t="shared" si="20"/>
        <v>121</v>
      </c>
      <c r="U122" s="150" t="e">
        <f t="shared" si="21"/>
        <v>#N/A</v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>
        <f t="shared" si="20"/>
        <v>122</v>
      </c>
      <c r="U123" s="150" t="e">
        <f t="shared" si="21"/>
        <v>#N/A</v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>
        <f t="shared" si="20"/>
        <v>123</v>
      </c>
      <c r="U124" s="150" t="e">
        <f t="shared" si="21"/>
        <v>#N/A</v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>
        <f t="shared" si="20"/>
        <v>124</v>
      </c>
      <c r="U125" s="150" t="e">
        <f t="shared" si="21"/>
        <v>#N/A</v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>
        <f t="shared" si="20"/>
        <v>125</v>
      </c>
      <c r="U126" s="150" t="e">
        <f t="shared" si="21"/>
        <v>#N/A</v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>
        <f t="shared" si="20"/>
        <v>126</v>
      </c>
      <c r="U127" s="150" t="e">
        <f t="shared" si="21"/>
        <v>#N/A</v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>
        <f t="shared" si="20"/>
        <v>127</v>
      </c>
      <c r="U128" s="150" t="e">
        <f t="shared" si="21"/>
        <v>#N/A</v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>
        <f t="shared" si="20"/>
        <v>128</v>
      </c>
      <c r="U129" s="150" t="e">
        <f t="shared" si="21"/>
        <v>#N/A</v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>
        <f t="shared" si="20"/>
        <v>129</v>
      </c>
      <c r="U130" s="150" t="e">
        <f t="shared" si="21"/>
        <v>#N/A</v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>
        <f t="shared" ref="T131:T194" si="32">IF($B$41&gt;=K131,K131,"")</f>
        <v>130</v>
      </c>
      <c r="U131" s="150" t="e">
        <f t="shared" ref="U131:U194" si="33">IF(T131="","",IF(T131&lt;=$E$43,VLOOKUP($E$42,$I$1:$J$4,2,FALSE),VLOOKUP($F$42,$I$1:$J$4,2,FALSE)))</f>
        <v>#N/A</v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>
        <f t="shared" si="32"/>
        <v>131</v>
      </c>
      <c r="U132" s="150" t="e">
        <f t="shared" si="33"/>
        <v>#N/A</v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>
        <f t="shared" si="32"/>
        <v>132</v>
      </c>
      <c r="U133" s="150" t="e">
        <f t="shared" si="33"/>
        <v>#N/A</v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>
        <f t="shared" si="32"/>
        <v>133</v>
      </c>
      <c r="U134" s="150" t="e">
        <f t="shared" si="33"/>
        <v>#N/A</v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>
        <f t="shared" si="32"/>
        <v>134</v>
      </c>
      <c r="U135" s="150" t="e">
        <f t="shared" si="33"/>
        <v>#N/A</v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>
        <f t="shared" si="32"/>
        <v>135</v>
      </c>
      <c r="U136" s="150" t="e">
        <f t="shared" si="33"/>
        <v>#N/A</v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>
        <f t="shared" si="32"/>
        <v>136</v>
      </c>
      <c r="U137" s="150" t="e">
        <f t="shared" si="33"/>
        <v>#N/A</v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>
        <f t="shared" si="32"/>
        <v>137</v>
      </c>
      <c r="U138" s="150" t="e">
        <f t="shared" si="33"/>
        <v>#N/A</v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>
        <f t="shared" si="32"/>
        <v>138</v>
      </c>
      <c r="U139" s="150" t="e">
        <f t="shared" si="33"/>
        <v>#N/A</v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>
        <f t="shared" si="32"/>
        <v>139</v>
      </c>
      <c r="U140" s="150" t="e">
        <f t="shared" si="33"/>
        <v>#N/A</v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>
        <f t="shared" si="32"/>
        <v>140</v>
      </c>
      <c r="U141" s="150" t="e">
        <f t="shared" si="33"/>
        <v>#N/A</v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>
        <f t="shared" si="32"/>
        <v>141</v>
      </c>
      <c r="U142" s="150" t="e">
        <f t="shared" si="33"/>
        <v>#N/A</v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>
        <f t="shared" si="32"/>
        <v>142</v>
      </c>
      <c r="U143" s="150" t="e">
        <f t="shared" si="33"/>
        <v>#N/A</v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>
        <f t="shared" si="32"/>
        <v>143</v>
      </c>
      <c r="U144" s="150" t="e">
        <f t="shared" si="33"/>
        <v>#N/A</v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>
        <f t="shared" si="32"/>
        <v>144</v>
      </c>
      <c r="U145" s="150" t="e">
        <f t="shared" si="33"/>
        <v>#N/A</v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>
        <f t="shared" si="32"/>
        <v>145</v>
      </c>
      <c r="U146" s="150" t="e">
        <f t="shared" si="33"/>
        <v>#N/A</v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>
        <f t="shared" si="32"/>
        <v>146</v>
      </c>
      <c r="U147" s="150" t="e">
        <f t="shared" si="33"/>
        <v>#N/A</v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>
        <f t="shared" si="32"/>
        <v>147</v>
      </c>
      <c r="U148" s="150" t="e">
        <f t="shared" si="33"/>
        <v>#N/A</v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>
        <f t="shared" si="32"/>
        <v>148</v>
      </c>
      <c r="U149" s="150" t="e">
        <f t="shared" si="33"/>
        <v>#N/A</v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>
        <f t="shared" si="32"/>
        <v>149</v>
      </c>
      <c r="U150" s="150" t="e">
        <f t="shared" si="33"/>
        <v>#N/A</v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>
        <f t="shared" si="32"/>
        <v>150</v>
      </c>
      <c r="U151" s="150" t="e">
        <f t="shared" si="33"/>
        <v>#N/A</v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>
        <f t="shared" si="32"/>
        <v>151</v>
      </c>
      <c r="U152" s="150" t="e">
        <f t="shared" si="33"/>
        <v>#N/A</v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>
        <f t="shared" si="32"/>
        <v>152</v>
      </c>
      <c r="U153" s="150" t="e">
        <f t="shared" si="33"/>
        <v>#N/A</v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>
        <f t="shared" si="32"/>
        <v>153</v>
      </c>
      <c r="U154" s="150" t="e">
        <f t="shared" si="33"/>
        <v>#N/A</v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>
        <f t="shared" si="32"/>
        <v>154</v>
      </c>
      <c r="U155" s="150" t="e">
        <f t="shared" si="33"/>
        <v>#N/A</v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>
        <f t="shared" si="32"/>
        <v>155</v>
      </c>
      <c r="U156" s="150" t="e">
        <f t="shared" si="33"/>
        <v>#N/A</v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>
        <f t="shared" si="32"/>
        <v>156</v>
      </c>
      <c r="U157" s="150" t="e">
        <f t="shared" si="33"/>
        <v>#N/A</v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>
        <f t="shared" si="32"/>
        <v>157</v>
      </c>
      <c r="U158" s="150" t="e">
        <f t="shared" si="33"/>
        <v>#N/A</v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>
        <f t="shared" si="32"/>
        <v>158</v>
      </c>
      <c r="U159" s="150" t="e">
        <f t="shared" si="33"/>
        <v>#N/A</v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>
        <f t="shared" si="32"/>
        <v>159</v>
      </c>
      <c r="U160" s="150" t="e">
        <f t="shared" si="33"/>
        <v>#N/A</v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>
        <f t="shared" si="32"/>
        <v>160</v>
      </c>
      <c r="U161" s="150" t="e">
        <f t="shared" si="33"/>
        <v>#N/A</v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>
        <f t="shared" si="32"/>
        <v>161</v>
      </c>
      <c r="U162" s="150" t="e">
        <f t="shared" si="33"/>
        <v>#N/A</v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>
        <f t="shared" si="32"/>
        <v>162</v>
      </c>
      <c r="U163" s="150" t="e">
        <f t="shared" si="33"/>
        <v>#N/A</v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>
        <f t="shared" si="32"/>
        <v>163</v>
      </c>
      <c r="U164" s="150" t="e">
        <f t="shared" si="33"/>
        <v>#N/A</v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>
        <f t="shared" si="32"/>
        <v>164</v>
      </c>
      <c r="U165" s="150" t="e">
        <f t="shared" si="33"/>
        <v>#N/A</v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>
        <f t="shared" si="32"/>
        <v>165</v>
      </c>
      <c r="U166" s="150" t="e">
        <f t="shared" si="33"/>
        <v>#N/A</v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>
        <f t="shared" si="32"/>
        <v>166</v>
      </c>
      <c r="U167" s="150" t="e">
        <f t="shared" si="33"/>
        <v>#N/A</v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>
        <f t="shared" si="32"/>
        <v>167</v>
      </c>
      <c r="U168" s="150" t="e">
        <f t="shared" si="33"/>
        <v>#N/A</v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>
        <f t="shared" si="32"/>
        <v>168</v>
      </c>
      <c r="U169" s="150" t="e">
        <f t="shared" si="33"/>
        <v>#N/A</v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>
        <f t="shared" si="32"/>
        <v>169</v>
      </c>
      <c r="U170" s="150" t="e">
        <f t="shared" si="33"/>
        <v>#N/A</v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>
        <f t="shared" si="32"/>
        <v>170</v>
      </c>
      <c r="U171" s="150" t="e">
        <f t="shared" si="33"/>
        <v>#N/A</v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>
        <f t="shared" si="32"/>
        <v>171</v>
      </c>
      <c r="U172" s="150" t="e">
        <f t="shared" si="33"/>
        <v>#N/A</v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>
        <f t="shared" si="32"/>
        <v>172</v>
      </c>
      <c r="U173" s="150" t="e">
        <f t="shared" si="33"/>
        <v>#N/A</v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>
        <f t="shared" si="32"/>
        <v>173</v>
      </c>
      <c r="U174" s="150" t="e">
        <f t="shared" si="33"/>
        <v>#N/A</v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>
        <f t="shared" si="32"/>
        <v>174</v>
      </c>
      <c r="U175" s="150" t="e">
        <f t="shared" si="33"/>
        <v>#N/A</v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>
        <f t="shared" si="32"/>
        <v>175</v>
      </c>
      <c r="U176" s="150" t="e">
        <f t="shared" si="33"/>
        <v>#N/A</v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>
        <f t="shared" si="32"/>
        <v>176</v>
      </c>
      <c r="U177" s="150" t="e">
        <f t="shared" si="33"/>
        <v>#N/A</v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>
        <f t="shared" si="32"/>
        <v>177</v>
      </c>
      <c r="U178" s="150" t="e">
        <f t="shared" si="33"/>
        <v>#N/A</v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>
        <f t="shared" si="32"/>
        <v>178</v>
      </c>
      <c r="U179" s="150" t="e">
        <f t="shared" si="33"/>
        <v>#N/A</v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>
        <f t="shared" si="32"/>
        <v>179</v>
      </c>
      <c r="U180" s="150" t="e">
        <f t="shared" si="33"/>
        <v>#N/A</v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>
        <f t="shared" si="32"/>
        <v>180</v>
      </c>
      <c r="U181" s="150" t="e">
        <f t="shared" si="33"/>
        <v>#N/A</v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>
        <f t="shared" si="32"/>
        <v>181</v>
      </c>
      <c r="U182" s="150" t="e">
        <f t="shared" si="33"/>
        <v>#N/A</v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>
        <f t="shared" si="32"/>
        <v>182</v>
      </c>
      <c r="U183" s="150" t="e">
        <f t="shared" si="33"/>
        <v>#N/A</v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>
        <f t="shared" si="32"/>
        <v>183</v>
      </c>
      <c r="U184" s="150" t="e">
        <f t="shared" si="33"/>
        <v>#N/A</v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>
        <f t="shared" si="32"/>
        <v>184</v>
      </c>
      <c r="U185" s="150" t="e">
        <f t="shared" si="33"/>
        <v>#N/A</v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>
        <f t="shared" si="32"/>
        <v>185</v>
      </c>
      <c r="U186" s="150" t="e">
        <f t="shared" si="33"/>
        <v>#N/A</v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>
        <f t="shared" si="32"/>
        <v>186</v>
      </c>
      <c r="U187" s="150" t="e">
        <f t="shared" si="33"/>
        <v>#N/A</v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>
        <f t="shared" si="32"/>
        <v>187</v>
      </c>
      <c r="U188" s="150" t="e">
        <f t="shared" si="33"/>
        <v>#N/A</v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>
        <f t="shared" si="32"/>
        <v>188</v>
      </c>
      <c r="U189" s="150" t="e">
        <f t="shared" si="33"/>
        <v>#N/A</v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>
        <f t="shared" si="32"/>
        <v>189</v>
      </c>
      <c r="U190" s="150" t="e">
        <f t="shared" si="33"/>
        <v>#N/A</v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>
        <f t="shared" si="32"/>
        <v>190</v>
      </c>
      <c r="U191" s="150" t="e">
        <f t="shared" si="33"/>
        <v>#N/A</v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>
        <f t="shared" si="32"/>
        <v>191</v>
      </c>
      <c r="U192" s="150" t="e">
        <f t="shared" si="33"/>
        <v>#N/A</v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>
        <f t="shared" si="32"/>
        <v>192</v>
      </c>
      <c r="U193" s="150" t="e">
        <f t="shared" si="33"/>
        <v>#N/A</v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>
        <f t="shared" si="32"/>
        <v>193</v>
      </c>
      <c r="U194" s="150" t="e">
        <f t="shared" si="33"/>
        <v>#N/A</v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>
        <f t="shared" ref="T195:T258" si="44">IF($B$41&gt;=K195,K195,"")</f>
        <v>194</v>
      </c>
      <c r="U195" s="150" t="e">
        <f t="shared" ref="U195:U258" si="45">IF(T195="","",IF(T195&lt;=$E$43,VLOOKUP($E$42,$I$1:$J$4,2,FALSE),VLOOKUP($F$42,$I$1:$J$4,2,FALSE)))</f>
        <v>#N/A</v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>
        <f t="shared" si="44"/>
        <v>195</v>
      </c>
      <c r="U196" s="150" t="e">
        <f t="shared" si="45"/>
        <v>#N/A</v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>
        <f t="shared" si="44"/>
        <v>196</v>
      </c>
      <c r="U197" s="150" t="e">
        <f t="shared" si="45"/>
        <v>#N/A</v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>
        <f t="shared" si="44"/>
        <v>197</v>
      </c>
      <c r="U198" s="150" t="e">
        <f t="shared" si="45"/>
        <v>#N/A</v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>
        <f t="shared" si="44"/>
        <v>198</v>
      </c>
      <c r="U199" s="150" t="e">
        <f t="shared" si="45"/>
        <v>#N/A</v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>
        <f t="shared" si="44"/>
        <v>199</v>
      </c>
      <c r="U200" s="150" t="e">
        <f t="shared" si="45"/>
        <v>#N/A</v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>
        <f t="shared" si="44"/>
        <v>200</v>
      </c>
      <c r="U201" s="150" t="e">
        <f t="shared" si="45"/>
        <v>#N/A</v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>
        <f t="shared" si="44"/>
        <v>201</v>
      </c>
      <c r="U202" s="150" t="e">
        <f t="shared" si="45"/>
        <v>#N/A</v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>
        <f t="shared" si="44"/>
        <v>202</v>
      </c>
      <c r="U203" s="150" t="e">
        <f t="shared" si="45"/>
        <v>#N/A</v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>
        <f t="shared" si="44"/>
        <v>203</v>
      </c>
      <c r="U204" s="150" t="e">
        <f t="shared" si="45"/>
        <v>#N/A</v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>
        <f t="shared" si="44"/>
        <v>204</v>
      </c>
      <c r="U205" s="150" t="e">
        <f t="shared" si="45"/>
        <v>#N/A</v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>
        <f t="shared" si="44"/>
        <v>205</v>
      </c>
      <c r="U206" s="150" t="e">
        <f t="shared" si="45"/>
        <v>#N/A</v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>
        <f t="shared" si="44"/>
        <v>206</v>
      </c>
      <c r="U207" s="150" t="e">
        <f t="shared" si="45"/>
        <v>#N/A</v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>
        <f t="shared" si="44"/>
        <v>207</v>
      </c>
      <c r="U208" s="150" t="e">
        <f t="shared" si="45"/>
        <v>#N/A</v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>
        <f t="shared" si="44"/>
        <v>208</v>
      </c>
      <c r="U209" s="150" t="e">
        <f t="shared" si="45"/>
        <v>#N/A</v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>
        <f t="shared" si="44"/>
        <v>209</v>
      </c>
      <c r="U210" s="150" t="e">
        <f t="shared" si="45"/>
        <v>#N/A</v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>
        <f t="shared" si="44"/>
        <v>210</v>
      </c>
      <c r="U211" s="150" t="e">
        <f t="shared" si="45"/>
        <v>#N/A</v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>
        <f t="shared" si="44"/>
        <v>211</v>
      </c>
      <c r="U212" s="150" t="e">
        <f t="shared" si="45"/>
        <v>#N/A</v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>
        <f t="shared" si="44"/>
        <v>212</v>
      </c>
      <c r="U213" s="150" t="e">
        <f t="shared" si="45"/>
        <v>#N/A</v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>
        <f t="shared" si="44"/>
        <v>213</v>
      </c>
      <c r="U214" s="150" t="e">
        <f t="shared" si="45"/>
        <v>#N/A</v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>
        <f t="shared" si="44"/>
        <v>214</v>
      </c>
      <c r="U215" s="150" t="e">
        <f t="shared" si="45"/>
        <v>#N/A</v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>
        <f t="shared" si="44"/>
        <v>215</v>
      </c>
      <c r="U216" s="150" t="e">
        <f t="shared" si="45"/>
        <v>#N/A</v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>
        <f t="shared" si="44"/>
        <v>216</v>
      </c>
      <c r="U217" s="150" t="e">
        <f t="shared" si="45"/>
        <v>#N/A</v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>
        <f t="shared" si="44"/>
        <v>217</v>
      </c>
      <c r="U218" s="150" t="e">
        <f t="shared" si="45"/>
        <v>#N/A</v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>
        <f t="shared" si="44"/>
        <v>218</v>
      </c>
      <c r="U219" s="150" t="e">
        <f t="shared" si="45"/>
        <v>#N/A</v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>
        <f t="shared" si="44"/>
        <v>219</v>
      </c>
      <c r="U220" s="150" t="e">
        <f t="shared" si="45"/>
        <v>#N/A</v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>
        <f t="shared" si="44"/>
        <v>220</v>
      </c>
      <c r="U221" s="150" t="e">
        <f t="shared" si="45"/>
        <v>#N/A</v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>
        <f t="shared" si="44"/>
        <v>221</v>
      </c>
      <c r="U222" s="150" t="e">
        <f t="shared" si="45"/>
        <v>#N/A</v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>
        <f t="shared" si="44"/>
        <v>222</v>
      </c>
      <c r="U223" s="150" t="e">
        <f t="shared" si="45"/>
        <v>#N/A</v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>
        <f t="shared" si="44"/>
        <v>223</v>
      </c>
      <c r="U224" s="150" t="e">
        <f t="shared" si="45"/>
        <v>#N/A</v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>
        <f t="shared" si="44"/>
        <v>224</v>
      </c>
      <c r="U225" s="150" t="e">
        <f t="shared" si="45"/>
        <v>#N/A</v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>
        <f t="shared" si="44"/>
        <v>225</v>
      </c>
      <c r="U226" s="150" t="e">
        <f t="shared" si="45"/>
        <v>#N/A</v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>
        <f t="shared" si="44"/>
        <v>226</v>
      </c>
      <c r="U227" s="150" t="e">
        <f t="shared" si="45"/>
        <v>#N/A</v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>
        <f t="shared" si="44"/>
        <v>227</v>
      </c>
      <c r="U228" s="150" t="e">
        <f t="shared" si="45"/>
        <v>#N/A</v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>
        <f t="shared" si="44"/>
        <v>228</v>
      </c>
      <c r="U229" s="150" t="e">
        <f t="shared" si="45"/>
        <v>#N/A</v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>
        <f t="shared" si="44"/>
        <v>229</v>
      </c>
      <c r="U230" s="150" t="e">
        <f t="shared" si="45"/>
        <v>#N/A</v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>
        <f t="shared" si="44"/>
        <v>230</v>
      </c>
      <c r="U231" s="150" t="e">
        <f t="shared" si="45"/>
        <v>#N/A</v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>
        <f t="shared" si="44"/>
        <v>231</v>
      </c>
      <c r="U232" s="150" t="e">
        <f t="shared" si="45"/>
        <v>#N/A</v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>
        <f t="shared" si="44"/>
        <v>232</v>
      </c>
      <c r="U233" s="150" t="e">
        <f t="shared" si="45"/>
        <v>#N/A</v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>
        <f t="shared" si="44"/>
        <v>233</v>
      </c>
      <c r="U234" s="150" t="e">
        <f t="shared" si="45"/>
        <v>#N/A</v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>
        <f t="shared" si="44"/>
        <v>234</v>
      </c>
      <c r="U235" s="150" t="e">
        <f t="shared" si="45"/>
        <v>#N/A</v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>
        <f t="shared" si="44"/>
        <v>235</v>
      </c>
      <c r="U236" s="150" t="e">
        <f t="shared" si="45"/>
        <v>#N/A</v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>
        <f t="shared" si="44"/>
        <v>236</v>
      </c>
      <c r="U237" s="150" t="e">
        <f t="shared" si="45"/>
        <v>#N/A</v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>
        <f t="shared" si="44"/>
        <v>237</v>
      </c>
      <c r="U238" s="150" t="e">
        <f t="shared" si="45"/>
        <v>#N/A</v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>
        <f t="shared" si="44"/>
        <v>238</v>
      </c>
      <c r="U239" s="150" t="e">
        <f t="shared" si="45"/>
        <v>#N/A</v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>
        <f t="shared" si="44"/>
        <v>239</v>
      </c>
      <c r="U240" s="150" t="e">
        <f t="shared" si="45"/>
        <v>#N/A</v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>
        <f t="shared" si="44"/>
        <v>240</v>
      </c>
      <c r="U241" s="150" t="e">
        <f t="shared" si="45"/>
        <v>#N/A</v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>
        <f t="shared" si="44"/>
        <v>241</v>
      </c>
      <c r="U242" s="150" t="e">
        <f t="shared" si="45"/>
        <v>#N/A</v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>
        <f t="shared" si="44"/>
        <v>242</v>
      </c>
      <c r="U243" s="150" t="e">
        <f t="shared" si="45"/>
        <v>#N/A</v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>
        <f t="shared" si="44"/>
        <v>243</v>
      </c>
      <c r="U244" s="150" t="e">
        <f t="shared" si="45"/>
        <v>#N/A</v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>
        <f t="shared" si="44"/>
        <v>244</v>
      </c>
      <c r="U245" s="150" t="e">
        <f t="shared" si="45"/>
        <v>#N/A</v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>
        <f t="shared" si="44"/>
        <v>245</v>
      </c>
      <c r="U246" s="150" t="e">
        <f t="shared" si="45"/>
        <v>#N/A</v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>
        <f t="shared" si="44"/>
        <v>246</v>
      </c>
      <c r="U247" s="150" t="e">
        <f t="shared" si="45"/>
        <v>#N/A</v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>
        <f t="shared" si="44"/>
        <v>247</v>
      </c>
      <c r="U248" s="150" t="e">
        <f t="shared" si="45"/>
        <v>#N/A</v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>
        <f t="shared" si="44"/>
        <v>248</v>
      </c>
      <c r="U249" s="150" t="e">
        <f t="shared" si="45"/>
        <v>#N/A</v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>
        <f t="shared" si="44"/>
        <v>249</v>
      </c>
      <c r="U250" s="150" t="e">
        <f t="shared" si="45"/>
        <v>#N/A</v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>
        <f t="shared" si="44"/>
        <v>250</v>
      </c>
      <c r="U251" s="150" t="e">
        <f t="shared" si="45"/>
        <v>#N/A</v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>
        <f t="shared" si="44"/>
        <v>251</v>
      </c>
      <c r="U252" s="150" t="e">
        <f t="shared" si="45"/>
        <v>#N/A</v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>
        <f t="shared" si="44"/>
        <v>252</v>
      </c>
      <c r="U253" s="150" t="e">
        <f t="shared" si="45"/>
        <v>#N/A</v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>
        <f t="shared" si="44"/>
        <v>253</v>
      </c>
      <c r="U254" s="150" t="e">
        <f t="shared" si="45"/>
        <v>#N/A</v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>
        <f t="shared" si="44"/>
        <v>254</v>
      </c>
      <c r="U255" s="150" t="e">
        <f t="shared" si="45"/>
        <v>#N/A</v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>
        <f t="shared" si="44"/>
        <v>255</v>
      </c>
      <c r="U256" s="150" t="e">
        <f t="shared" si="45"/>
        <v>#N/A</v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>
        <f t="shared" si="44"/>
        <v>256</v>
      </c>
      <c r="U257" s="150" t="e">
        <f t="shared" si="45"/>
        <v>#N/A</v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>
        <f t="shared" si="44"/>
        <v>257</v>
      </c>
      <c r="U258" s="150" t="e">
        <f t="shared" si="45"/>
        <v>#N/A</v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>
        <f t="shared" ref="T259:T322" si="56">IF($B$41&gt;=K259,K259,"")</f>
        <v>258</v>
      </c>
      <c r="U259" s="150" t="e">
        <f t="shared" ref="U259:U322" si="57">IF(T259="","",IF(T259&lt;=$E$43,VLOOKUP($E$42,$I$1:$J$4,2,FALSE),VLOOKUP($F$42,$I$1:$J$4,2,FALSE)))</f>
        <v>#N/A</v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>
        <f t="shared" si="56"/>
        <v>259</v>
      </c>
      <c r="U260" s="150" t="e">
        <f t="shared" si="57"/>
        <v>#N/A</v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>
        <f t="shared" si="56"/>
        <v>260</v>
      </c>
      <c r="U261" s="150" t="e">
        <f t="shared" si="57"/>
        <v>#N/A</v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>
        <f t="shared" si="56"/>
        <v>261</v>
      </c>
      <c r="U262" s="150" t="e">
        <f t="shared" si="57"/>
        <v>#N/A</v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>
        <f t="shared" si="56"/>
        <v>262</v>
      </c>
      <c r="U263" s="150" t="e">
        <f t="shared" si="57"/>
        <v>#N/A</v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>
        <f t="shared" si="56"/>
        <v>263</v>
      </c>
      <c r="U264" s="150" t="e">
        <f t="shared" si="57"/>
        <v>#N/A</v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>
        <f t="shared" si="56"/>
        <v>264</v>
      </c>
      <c r="U265" s="150" t="e">
        <f t="shared" si="57"/>
        <v>#N/A</v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>
        <f t="shared" si="56"/>
        <v>265</v>
      </c>
      <c r="U266" s="150" t="e">
        <f t="shared" si="57"/>
        <v>#N/A</v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>
        <f t="shared" si="56"/>
        <v>266</v>
      </c>
      <c r="U267" s="150" t="e">
        <f t="shared" si="57"/>
        <v>#N/A</v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>
        <f t="shared" si="56"/>
        <v>267</v>
      </c>
      <c r="U268" s="150" t="e">
        <f t="shared" si="57"/>
        <v>#N/A</v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>
        <f t="shared" si="56"/>
        <v>268</v>
      </c>
      <c r="U269" s="150" t="e">
        <f t="shared" si="57"/>
        <v>#N/A</v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>
        <f t="shared" si="56"/>
        <v>269</v>
      </c>
      <c r="U270" s="150" t="e">
        <f t="shared" si="57"/>
        <v>#N/A</v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>
        <f t="shared" si="56"/>
        <v>270</v>
      </c>
      <c r="U271" s="150" t="e">
        <f t="shared" si="57"/>
        <v>#N/A</v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>
        <f t="shared" si="56"/>
        <v>271</v>
      </c>
      <c r="U272" s="150" t="e">
        <f t="shared" si="57"/>
        <v>#N/A</v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>
        <f t="shared" si="56"/>
        <v>272</v>
      </c>
      <c r="U273" s="150" t="e">
        <f t="shared" si="57"/>
        <v>#N/A</v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>
        <f t="shared" si="56"/>
        <v>273</v>
      </c>
      <c r="U274" s="150" t="e">
        <f t="shared" si="57"/>
        <v>#N/A</v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>
        <f t="shared" si="56"/>
        <v>274</v>
      </c>
      <c r="U275" s="150" t="e">
        <f t="shared" si="57"/>
        <v>#N/A</v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>
        <f t="shared" si="56"/>
        <v>275</v>
      </c>
      <c r="U276" s="150" t="e">
        <f t="shared" si="57"/>
        <v>#N/A</v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>
        <f t="shared" si="56"/>
        <v>276</v>
      </c>
      <c r="U277" s="150" t="e">
        <f t="shared" si="57"/>
        <v>#N/A</v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>
        <f t="shared" si="56"/>
        <v>277</v>
      </c>
      <c r="U278" s="150" t="e">
        <f t="shared" si="57"/>
        <v>#N/A</v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>
        <f t="shared" si="56"/>
        <v>278</v>
      </c>
      <c r="U279" s="150" t="e">
        <f t="shared" si="57"/>
        <v>#N/A</v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>
        <f t="shared" si="56"/>
        <v>279</v>
      </c>
      <c r="U280" s="150" t="e">
        <f t="shared" si="57"/>
        <v>#N/A</v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>
        <f t="shared" si="56"/>
        <v>280</v>
      </c>
      <c r="U281" s="150" t="e">
        <f t="shared" si="57"/>
        <v>#N/A</v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>
        <f t="shared" si="56"/>
        <v>281</v>
      </c>
      <c r="U282" s="150" t="e">
        <f t="shared" si="57"/>
        <v>#N/A</v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>
        <f t="shared" si="56"/>
        <v>282</v>
      </c>
      <c r="U283" s="150" t="e">
        <f t="shared" si="57"/>
        <v>#N/A</v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>
        <f t="shared" si="56"/>
        <v>283</v>
      </c>
      <c r="U284" s="150" t="e">
        <f t="shared" si="57"/>
        <v>#N/A</v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>
        <f t="shared" si="56"/>
        <v>284</v>
      </c>
      <c r="U285" s="150" t="e">
        <f t="shared" si="57"/>
        <v>#N/A</v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>
        <f t="shared" si="56"/>
        <v>285</v>
      </c>
      <c r="U286" s="150" t="e">
        <f t="shared" si="57"/>
        <v>#N/A</v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>
        <f t="shared" si="56"/>
        <v>286</v>
      </c>
      <c r="U287" s="150" t="e">
        <f t="shared" si="57"/>
        <v>#N/A</v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>
        <f t="shared" si="56"/>
        <v>287</v>
      </c>
      <c r="U288" s="150" t="e">
        <f t="shared" si="57"/>
        <v>#N/A</v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>
        <f t="shared" si="56"/>
        <v>288</v>
      </c>
      <c r="U289" s="150" t="e">
        <f t="shared" si="57"/>
        <v>#N/A</v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>
        <f t="shared" si="56"/>
        <v>289</v>
      </c>
      <c r="U290" s="150" t="e">
        <f t="shared" si="57"/>
        <v>#N/A</v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>
        <f t="shared" si="56"/>
        <v>290</v>
      </c>
      <c r="U291" s="150" t="e">
        <f t="shared" si="57"/>
        <v>#N/A</v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>
        <f t="shared" si="56"/>
        <v>291</v>
      </c>
      <c r="U292" s="150" t="e">
        <f t="shared" si="57"/>
        <v>#N/A</v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>
        <f t="shared" si="56"/>
        <v>292</v>
      </c>
      <c r="U293" s="150" t="e">
        <f t="shared" si="57"/>
        <v>#N/A</v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>
        <f t="shared" si="56"/>
        <v>293</v>
      </c>
      <c r="U294" s="150" t="e">
        <f t="shared" si="57"/>
        <v>#N/A</v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>
        <f t="shared" si="56"/>
        <v>294</v>
      </c>
      <c r="U295" s="150" t="e">
        <f t="shared" si="57"/>
        <v>#N/A</v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>
        <f t="shared" si="56"/>
        <v>295</v>
      </c>
      <c r="U296" s="150" t="e">
        <f t="shared" si="57"/>
        <v>#N/A</v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>
        <f t="shared" si="56"/>
        <v>296</v>
      </c>
      <c r="U297" s="150" t="e">
        <f t="shared" si="57"/>
        <v>#N/A</v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>
        <f t="shared" si="56"/>
        <v>297</v>
      </c>
      <c r="U298" s="150" t="e">
        <f t="shared" si="57"/>
        <v>#N/A</v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>
        <f t="shared" si="56"/>
        <v>298</v>
      </c>
      <c r="U299" s="150" t="e">
        <f t="shared" si="57"/>
        <v>#N/A</v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>
        <f t="shared" si="56"/>
        <v>299</v>
      </c>
      <c r="U300" s="150" t="e">
        <f t="shared" si="57"/>
        <v>#N/A</v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>
        <f t="shared" si="56"/>
        <v>300</v>
      </c>
      <c r="U301" s="150" t="e">
        <f t="shared" si="57"/>
        <v>#N/A</v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>
        <f t="shared" si="56"/>
        <v>301</v>
      </c>
      <c r="U302" s="150" t="e">
        <f t="shared" si="57"/>
        <v>#N/A</v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>
        <f t="shared" si="56"/>
        <v>302</v>
      </c>
      <c r="U303" s="150" t="e">
        <f t="shared" si="57"/>
        <v>#N/A</v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>
        <f t="shared" si="56"/>
        <v>303</v>
      </c>
      <c r="U304" s="150" t="e">
        <f t="shared" si="57"/>
        <v>#N/A</v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>
        <f t="shared" si="56"/>
        <v>304</v>
      </c>
      <c r="U305" s="150" t="e">
        <f t="shared" si="57"/>
        <v>#N/A</v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>
        <f t="shared" si="56"/>
        <v>305</v>
      </c>
      <c r="U306" s="150" t="e">
        <f t="shared" si="57"/>
        <v>#N/A</v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>
        <f t="shared" si="56"/>
        <v>306</v>
      </c>
      <c r="U307" s="150" t="e">
        <f t="shared" si="57"/>
        <v>#N/A</v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>
        <f t="shared" si="56"/>
        <v>307</v>
      </c>
      <c r="U308" s="150" t="e">
        <f t="shared" si="57"/>
        <v>#N/A</v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>
        <f t="shared" si="56"/>
        <v>308</v>
      </c>
      <c r="U309" s="150" t="e">
        <f t="shared" si="57"/>
        <v>#N/A</v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>
        <f t="shared" si="56"/>
        <v>309</v>
      </c>
      <c r="U310" s="150" t="e">
        <f t="shared" si="57"/>
        <v>#N/A</v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>
        <f t="shared" si="56"/>
        <v>310</v>
      </c>
      <c r="U311" s="150" t="e">
        <f t="shared" si="57"/>
        <v>#N/A</v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>
        <f t="shared" si="56"/>
        <v>311</v>
      </c>
      <c r="U312" s="150" t="e">
        <f t="shared" si="57"/>
        <v>#N/A</v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>
        <f t="shared" si="56"/>
        <v>312</v>
      </c>
      <c r="U313" s="150" t="e">
        <f t="shared" si="57"/>
        <v>#N/A</v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>
        <f t="shared" si="56"/>
        <v>313</v>
      </c>
      <c r="U314" s="150" t="e">
        <f t="shared" si="57"/>
        <v>#N/A</v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>
        <f t="shared" si="56"/>
        <v>314</v>
      </c>
      <c r="U315" s="150" t="e">
        <f t="shared" si="57"/>
        <v>#N/A</v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>
        <f t="shared" si="56"/>
        <v>315</v>
      </c>
      <c r="U316" s="150" t="e">
        <f t="shared" si="57"/>
        <v>#N/A</v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>
        <f t="shared" si="56"/>
        <v>316</v>
      </c>
      <c r="U317" s="150" t="e">
        <f t="shared" si="57"/>
        <v>#N/A</v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>
        <f t="shared" si="56"/>
        <v>317</v>
      </c>
      <c r="U318" s="150" t="e">
        <f t="shared" si="57"/>
        <v>#N/A</v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>
        <f t="shared" si="56"/>
        <v>318</v>
      </c>
      <c r="U319" s="150" t="e">
        <f t="shared" si="57"/>
        <v>#N/A</v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>
        <f t="shared" si="56"/>
        <v>319</v>
      </c>
      <c r="U320" s="150" t="e">
        <f t="shared" si="57"/>
        <v>#N/A</v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>
        <f t="shared" si="56"/>
        <v>320</v>
      </c>
      <c r="U321" s="150" t="e">
        <f t="shared" si="57"/>
        <v>#N/A</v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>
        <f t="shared" si="56"/>
        <v>321</v>
      </c>
      <c r="U322" s="150" t="e">
        <f t="shared" si="57"/>
        <v>#N/A</v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>
        <f t="shared" ref="T323:T386" si="68">IF($B$41&gt;=K323,K323,"")</f>
        <v>322</v>
      </c>
      <c r="U323" s="150" t="e">
        <f t="shared" ref="U323:U386" si="69">IF(T323="","",IF(T323&lt;=$E$43,VLOOKUP($E$42,$I$1:$J$4,2,FALSE),VLOOKUP($F$42,$I$1:$J$4,2,FALSE)))</f>
        <v>#N/A</v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>
        <f t="shared" si="68"/>
        <v>323</v>
      </c>
      <c r="U324" s="150" t="e">
        <f t="shared" si="69"/>
        <v>#N/A</v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>
        <f t="shared" si="68"/>
        <v>324</v>
      </c>
      <c r="U325" s="150" t="e">
        <f t="shared" si="69"/>
        <v>#N/A</v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>
        <f t="shared" si="68"/>
        <v>325</v>
      </c>
      <c r="U326" s="150" t="e">
        <f t="shared" si="69"/>
        <v>#N/A</v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>
        <f t="shared" si="68"/>
        <v>326</v>
      </c>
      <c r="U327" s="150" t="e">
        <f t="shared" si="69"/>
        <v>#N/A</v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>
        <f t="shared" si="68"/>
        <v>327</v>
      </c>
      <c r="U328" s="150" t="e">
        <f t="shared" si="69"/>
        <v>#N/A</v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>
        <f t="shared" si="68"/>
        <v>328</v>
      </c>
      <c r="U329" s="150" t="e">
        <f t="shared" si="69"/>
        <v>#N/A</v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>
        <f t="shared" si="68"/>
        <v>329</v>
      </c>
      <c r="U330" s="150" t="e">
        <f t="shared" si="69"/>
        <v>#N/A</v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>
        <f t="shared" si="68"/>
        <v>330</v>
      </c>
      <c r="U331" s="150" t="e">
        <f t="shared" si="69"/>
        <v>#N/A</v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>
        <f t="shared" si="68"/>
        <v>331</v>
      </c>
      <c r="U332" s="150" t="e">
        <f t="shared" si="69"/>
        <v>#N/A</v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>
        <f t="shared" si="68"/>
        <v>332</v>
      </c>
      <c r="U333" s="150" t="e">
        <f t="shared" si="69"/>
        <v>#N/A</v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>
        <f t="shared" si="68"/>
        <v>333</v>
      </c>
      <c r="U334" s="150" t="e">
        <f t="shared" si="69"/>
        <v>#N/A</v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>
        <f t="shared" si="68"/>
        <v>334</v>
      </c>
      <c r="U335" s="150" t="e">
        <f t="shared" si="69"/>
        <v>#N/A</v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>
        <f t="shared" si="68"/>
        <v>335</v>
      </c>
      <c r="U336" s="150" t="e">
        <f t="shared" si="69"/>
        <v>#N/A</v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>
        <f t="shared" si="68"/>
        <v>336</v>
      </c>
      <c r="U337" s="150" t="e">
        <f t="shared" si="69"/>
        <v>#N/A</v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>
        <f t="shared" si="68"/>
        <v>337</v>
      </c>
      <c r="U338" s="150" t="e">
        <f t="shared" si="69"/>
        <v>#N/A</v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>
        <f t="shared" si="68"/>
        <v>338</v>
      </c>
      <c r="U339" s="150" t="e">
        <f t="shared" si="69"/>
        <v>#N/A</v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>
        <f t="shared" si="68"/>
        <v>339</v>
      </c>
      <c r="U340" s="150" t="e">
        <f t="shared" si="69"/>
        <v>#N/A</v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>
        <f t="shared" si="68"/>
        <v>340</v>
      </c>
      <c r="U341" s="150" t="e">
        <f t="shared" si="69"/>
        <v>#N/A</v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>
        <f t="shared" si="68"/>
        <v>341</v>
      </c>
      <c r="U342" s="150" t="e">
        <f t="shared" si="69"/>
        <v>#N/A</v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>
        <f t="shared" si="68"/>
        <v>342</v>
      </c>
      <c r="U343" s="150" t="e">
        <f t="shared" si="69"/>
        <v>#N/A</v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>
        <f t="shared" si="68"/>
        <v>343</v>
      </c>
      <c r="U344" s="150" t="e">
        <f t="shared" si="69"/>
        <v>#N/A</v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>
        <f t="shared" si="68"/>
        <v>344</v>
      </c>
      <c r="U345" s="150" t="e">
        <f t="shared" si="69"/>
        <v>#N/A</v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>
        <f t="shared" si="68"/>
        <v>345</v>
      </c>
      <c r="U346" s="150" t="e">
        <f t="shared" si="69"/>
        <v>#N/A</v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>
        <f t="shared" si="68"/>
        <v>346</v>
      </c>
      <c r="U347" s="150" t="e">
        <f t="shared" si="69"/>
        <v>#N/A</v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>
        <f t="shared" si="68"/>
        <v>347</v>
      </c>
      <c r="U348" s="150" t="e">
        <f t="shared" si="69"/>
        <v>#N/A</v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>
        <f t="shared" si="68"/>
        <v>348</v>
      </c>
      <c r="U349" s="150" t="e">
        <f t="shared" si="69"/>
        <v>#N/A</v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>
        <f t="shared" si="68"/>
        <v>349</v>
      </c>
      <c r="U350" s="150" t="e">
        <f t="shared" si="69"/>
        <v>#N/A</v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>
        <f t="shared" si="68"/>
        <v>350</v>
      </c>
      <c r="U351" s="150" t="e">
        <f t="shared" si="69"/>
        <v>#N/A</v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>
        <f t="shared" si="68"/>
        <v>351</v>
      </c>
      <c r="U352" s="150" t="e">
        <f t="shared" si="69"/>
        <v>#N/A</v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>
        <f t="shared" si="68"/>
        <v>352</v>
      </c>
      <c r="U353" s="150" t="e">
        <f t="shared" si="69"/>
        <v>#N/A</v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>
        <f t="shared" si="68"/>
        <v>353</v>
      </c>
      <c r="U354" s="150" t="e">
        <f t="shared" si="69"/>
        <v>#N/A</v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>
        <f t="shared" si="68"/>
        <v>354</v>
      </c>
      <c r="U355" s="150" t="e">
        <f t="shared" si="69"/>
        <v>#N/A</v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>
        <f t="shared" si="68"/>
        <v>355</v>
      </c>
      <c r="U356" s="150" t="e">
        <f t="shared" si="69"/>
        <v>#N/A</v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>
        <f t="shared" si="68"/>
        <v>356</v>
      </c>
      <c r="U357" s="150" t="e">
        <f t="shared" si="69"/>
        <v>#N/A</v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>
        <f t="shared" si="68"/>
        <v>357</v>
      </c>
      <c r="U358" s="150" t="e">
        <f t="shared" si="69"/>
        <v>#N/A</v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>
        <f t="shared" si="68"/>
        <v>358</v>
      </c>
      <c r="U359" s="150" t="e">
        <f t="shared" si="69"/>
        <v>#N/A</v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>
        <f t="shared" si="68"/>
        <v>359</v>
      </c>
      <c r="U360" s="150" t="e">
        <f t="shared" si="69"/>
        <v>#N/A</v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>
        <f t="shared" si="68"/>
        <v>360</v>
      </c>
      <c r="U361" s="150" t="e">
        <f t="shared" si="69"/>
        <v>#N/A</v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>
        <f t="shared" si="68"/>
        <v>361</v>
      </c>
      <c r="U362" s="150" t="e">
        <f t="shared" si="69"/>
        <v>#N/A</v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>
        <f t="shared" si="68"/>
        <v>362</v>
      </c>
      <c r="U363" s="150" t="e">
        <f t="shared" si="69"/>
        <v>#N/A</v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>
        <f t="shared" si="68"/>
        <v>363</v>
      </c>
      <c r="U364" s="150" t="e">
        <f t="shared" si="69"/>
        <v>#N/A</v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>
        <f t="shared" si="68"/>
        <v>364</v>
      </c>
      <c r="U365" s="150" t="e">
        <f t="shared" si="69"/>
        <v>#N/A</v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>
        <f t="shared" si="68"/>
        <v>365</v>
      </c>
      <c r="U366" s="150" t="e">
        <f t="shared" si="69"/>
        <v>#N/A</v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>
        <f t="shared" si="68"/>
        <v>366</v>
      </c>
      <c r="U367" s="150" t="e">
        <f t="shared" si="69"/>
        <v>#N/A</v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>
        <f t="shared" si="68"/>
        <v>367</v>
      </c>
      <c r="U368" s="150" t="e">
        <f t="shared" si="69"/>
        <v>#N/A</v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>
        <f t="shared" si="68"/>
        <v>368</v>
      </c>
      <c r="U369" s="150" t="e">
        <f t="shared" si="69"/>
        <v>#N/A</v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>
        <f t="shared" si="68"/>
        <v>369</v>
      </c>
      <c r="U370" s="150" t="e">
        <f t="shared" si="69"/>
        <v>#N/A</v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>
        <f t="shared" si="68"/>
        <v>370</v>
      </c>
      <c r="U371" s="150" t="e">
        <f t="shared" si="69"/>
        <v>#N/A</v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>
        <f t="shared" si="68"/>
        <v>371</v>
      </c>
      <c r="U372" s="150" t="e">
        <f t="shared" si="69"/>
        <v>#N/A</v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>
        <f t="shared" si="68"/>
        <v>372</v>
      </c>
      <c r="U373" s="150" t="e">
        <f t="shared" si="69"/>
        <v>#N/A</v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>
        <f t="shared" si="68"/>
        <v>373</v>
      </c>
      <c r="U374" s="150" t="e">
        <f t="shared" si="69"/>
        <v>#N/A</v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>
        <f t="shared" si="68"/>
        <v>374</v>
      </c>
      <c r="U375" s="150" t="e">
        <f t="shared" si="69"/>
        <v>#N/A</v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>
        <f t="shared" si="68"/>
        <v>375</v>
      </c>
      <c r="U376" s="150" t="e">
        <f t="shared" si="69"/>
        <v>#N/A</v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>
        <f t="shared" si="68"/>
        <v>376</v>
      </c>
      <c r="U377" s="150" t="e">
        <f t="shared" si="69"/>
        <v>#N/A</v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>
        <f t="shared" si="68"/>
        <v>377</v>
      </c>
      <c r="U378" s="150" t="e">
        <f t="shared" si="69"/>
        <v>#N/A</v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>
        <f t="shared" si="68"/>
        <v>378</v>
      </c>
      <c r="U379" s="150" t="e">
        <f t="shared" si="69"/>
        <v>#N/A</v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>
        <f t="shared" si="68"/>
        <v>379</v>
      </c>
      <c r="U380" s="150" t="e">
        <f t="shared" si="69"/>
        <v>#N/A</v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>
        <f t="shared" si="68"/>
        <v>380</v>
      </c>
      <c r="U381" s="150" t="e">
        <f t="shared" si="69"/>
        <v>#N/A</v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>
        <f t="shared" si="68"/>
        <v>381</v>
      </c>
      <c r="U382" s="150" t="e">
        <f t="shared" si="69"/>
        <v>#N/A</v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>
        <f t="shared" si="68"/>
        <v>382</v>
      </c>
      <c r="U383" s="150" t="e">
        <f t="shared" si="69"/>
        <v>#N/A</v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>
        <f t="shared" si="68"/>
        <v>383</v>
      </c>
      <c r="U384" s="150" t="e">
        <f t="shared" si="69"/>
        <v>#N/A</v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>
        <f t="shared" si="68"/>
        <v>384</v>
      </c>
      <c r="U385" s="150" t="e">
        <f t="shared" si="69"/>
        <v>#N/A</v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>
        <f t="shared" si="68"/>
        <v>385</v>
      </c>
      <c r="U386" s="150" t="e">
        <f t="shared" si="69"/>
        <v>#N/A</v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>
        <f t="shared" ref="T387:T450" si="80">IF($B$41&gt;=K387,K387,"")</f>
        <v>386</v>
      </c>
      <c r="U387" s="150" t="e">
        <f t="shared" ref="U387:U450" si="81">IF(T387="","",IF(T387&lt;=$E$43,VLOOKUP($E$42,$I$1:$J$4,2,FALSE),VLOOKUP($F$42,$I$1:$J$4,2,FALSE)))</f>
        <v>#N/A</v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>
        <f t="shared" si="80"/>
        <v>387</v>
      </c>
      <c r="U388" s="150" t="e">
        <f t="shared" si="81"/>
        <v>#N/A</v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>
        <f t="shared" si="80"/>
        <v>388</v>
      </c>
      <c r="U389" s="150" t="e">
        <f t="shared" si="81"/>
        <v>#N/A</v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>
        <f t="shared" si="80"/>
        <v>389</v>
      </c>
      <c r="U390" s="150" t="e">
        <f t="shared" si="81"/>
        <v>#N/A</v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>
        <f t="shared" si="80"/>
        <v>390</v>
      </c>
      <c r="U391" s="150" t="e">
        <f t="shared" si="81"/>
        <v>#N/A</v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>
        <f t="shared" si="80"/>
        <v>391</v>
      </c>
      <c r="U392" s="150" t="e">
        <f t="shared" si="81"/>
        <v>#N/A</v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>
        <f t="shared" si="80"/>
        <v>392</v>
      </c>
      <c r="U393" s="150" t="e">
        <f t="shared" si="81"/>
        <v>#N/A</v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>
        <f t="shared" si="80"/>
        <v>393</v>
      </c>
      <c r="U394" s="150" t="e">
        <f t="shared" si="81"/>
        <v>#N/A</v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>
        <f t="shared" si="80"/>
        <v>394</v>
      </c>
      <c r="U395" s="150" t="e">
        <f t="shared" si="81"/>
        <v>#N/A</v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>
        <f t="shared" si="80"/>
        <v>395</v>
      </c>
      <c r="U396" s="150" t="e">
        <f t="shared" si="81"/>
        <v>#N/A</v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>
        <f t="shared" si="80"/>
        <v>396</v>
      </c>
      <c r="U397" s="150" t="e">
        <f t="shared" si="81"/>
        <v>#N/A</v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>
        <f t="shared" si="80"/>
        <v>397</v>
      </c>
      <c r="U398" s="150" t="e">
        <f t="shared" si="81"/>
        <v>#N/A</v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>
        <f t="shared" si="80"/>
        <v>398</v>
      </c>
      <c r="U399" s="150" t="e">
        <f t="shared" si="81"/>
        <v>#N/A</v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>
        <f t="shared" si="80"/>
        <v>399</v>
      </c>
      <c r="U400" s="150" t="e">
        <f t="shared" si="81"/>
        <v>#N/A</v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>
        <f t="shared" si="80"/>
        <v>400</v>
      </c>
      <c r="U401" s="150" t="e">
        <f t="shared" si="81"/>
        <v>#N/A</v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>
        <f t="shared" si="80"/>
        <v>401</v>
      </c>
      <c r="U402" s="150" t="e">
        <f t="shared" si="81"/>
        <v>#N/A</v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>
        <f t="shared" si="80"/>
        <v>402</v>
      </c>
      <c r="U403" s="150" t="e">
        <f t="shared" si="81"/>
        <v>#N/A</v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>
        <f t="shared" si="80"/>
        <v>403</v>
      </c>
      <c r="U404" s="150" t="e">
        <f t="shared" si="81"/>
        <v>#N/A</v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>
        <f t="shared" si="80"/>
        <v>404</v>
      </c>
      <c r="U405" s="150" t="e">
        <f t="shared" si="81"/>
        <v>#N/A</v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>
        <f t="shared" si="80"/>
        <v>405</v>
      </c>
      <c r="U406" s="150" t="e">
        <f t="shared" si="81"/>
        <v>#N/A</v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>
        <f t="shared" si="80"/>
        <v>406</v>
      </c>
      <c r="U407" s="150" t="e">
        <f t="shared" si="81"/>
        <v>#N/A</v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>
        <f t="shared" si="80"/>
        <v>407</v>
      </c>
      <c r="U408" s="150" t="e">
        <f t="shared" si="81"/>
        <v>#N/A</v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>
        <f t="shared" si="80"/>
        <v>408</v>
      </c>
      <c r="U409" s="150" t="e">
        <f t="shared" si="81"/>
        <v>#N/A</v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>
        <f t="shared" si="80"/>
        <v>409</v>
      </c>
      <c r="U410" s="150" t="e">
        <f t="shared" si="81"/>
        <v>#N/A</v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>
        <f t="shared" si="80"/>
        <v>410</v>
      </c>
      <c r="U411" s="150" t="e">
        <f t="shared" si="81"/>
        <v>#N/A</v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>
        <f t="shared" si="80"/>
        <v>411</v>
      </c>
      <c r="U412" s="150" t="e">
        <f t="shared" si="81"/>
        <v>#N/A</v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>
        <f t="shared" si="80"/>
        <v>412</v>
      </c>
      <c r="U413" s="150" t="e">
        <f t="shared" si="81"/>
        <v>#N/A</v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>
        <f t="shared" si="80"/>
        <v>413</v>
      </c>
      <c r="U414" s="150" t="e">
        <f t="shared" si="81"/>
        <v>#N/A</v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>
        <f t="shared" si="80"/>
        <v>414</v>
      </c>
      <c r="U415" s="150" t="e">
        <f t="shared" si="81"/>
        <v>#N/A</v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>
        <f t="shared" si="80"/>
        <v>415</v>
      </c>
      <c r="U416" s="150" t="e">
        <f t="shared" si="81"/>
        <v>#N/A</v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>
        <f t="shared" si="80"/>
        <v>416</v>
      </c>
      <c r="U417" s="150" t="e">
        <f t="shared" si="81"/>
        <v>#N/A</v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>
        <f t="shared" si="80"/>
        <v>417</v>
      </c>
      <c r="U418" s="150" t="e">
        <f t="shared" si="81"/>
        <v>#N/A</v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>
        <f t="shared" si="80"/>
        <v>418</v>
      </c>
      <c r="U419" s="150" t="e">
        <f t="shared" si="81"/>
        <v>#N/A</v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>
        <f t="shared" si="80"/>
        <v>419</v>
      </c>
      <c r="U420" s="150" t="e">
        <f t="shared" si="81"/>
        <v>#N/A</v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>
        <f t="shared" si="80"/>
        <v>420</v>
      </c>
      <c r="U421" s="150" t="e">
        <f t="shared" si="81"/>
        <v>#N/A</v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>
        <f t="shared" si="80"/>
        <v>421</v>
      </c>
      <c r="U422" s="150" t="e">
        <f t="shared" si="81"/>
        <v>#N/A</v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>
        <f t="shared" si="80"/>
        <v>422</v>
      </c>
      <c r="U423" s="150" t="e">
        <f t="shared" si="81"/>
        <v>#N/A</v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>
        <f t="shared" si="80"/>
        <v>423</v>
      </c>
      <c r="U424" s="150" t="e">
        <f t="shared" si="81"/>
        <v>#N/A</v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>
        <f t="shared" si="80"/>
        <v>424</v>
      </c>
      <c r="U425" s="150" t="e">
        <f t="shared" si="81"/>
        <v>#N/A</v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>
        <f t="shared" si="80"/>
        <v>425</v>
      </c>
      <c r="U426" s="150" t="e">
        <f t="shared" si="81"/>
        <v>#N/A</v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>
        <f t="shared" si="80"/>
        <v>426</v>
      </c>
      <c r="U427" s="150" t="e">
        <f t="shared" si="81"/>
        <v>#N/A</v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>
        <f t="shared" si="80"/>
        <v>427</v>
      </c>
      <c r="U428" s="150" t="e">
        <f t="shared" si="81"/>
        <v>#N/A</v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>
        <f t="shared" si="80"/>
        <v>428</v>
      </c>
      <c r="U429" s="150" t="e">
        <f t="shared" si="81"/>
        <v>#N/A</v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>
        <f t="shared" si="80"/>
        <v>429</v>
      </c>
      <c r="U430" s="150" t="e">
        <f t="shared" si="81"/>
        <v>#N/A</v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>
        <f t="shared" si="80"/>
        <v>430</v>
      </c>
      <c r="U431" s="150" t="e">
        <f t="shared" si="81"/>
        <v>#N/A</v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>
        <f t="shared" si="80"/>
        <v>431</v>
      </c>
      <c r="U432" s="150" t="e">
        <f t="shared" si="81"/>
        <v>#N/A</v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>
        <f t="shared" si="80"/>
        <v>432</v>
      </c>
      <c r="U433" s="150" t="e">
        <f t="shared" si="81"/>
        <v>#N/A</v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>
        <f t="shared" si="80"/>
        <v>433</v>
      </c>
      <c r="U434" s="150" t="e">
        <f t="shared" si="81"/>
        <v>#N/A</v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>
        <f t="shared" si="80"/>
        <v>434</v>
      </c>
      <c r="U435" s="150" t="e">
        <f t="shared" si="81"/>
        <v>#N/A</v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>
        <f t="shared" si="80"/>
        <v>435</v>
      </c>
      <c r="U436" s="150" t="e">
        <f t="shared" si="81"/>
        <v>#N/A</v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>
        <f t="shared" si="80"/>
        <v>436</v>
      </c>
      <c r="U437" s="150" t="e">
        <f t="shared" si="81"/>
        <v>#N/A</v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>
        <f t="shared" si="80"/>
        <v>437</v>
      </c>
      <c r="U438" s="150" t="e">
        <f t="shared" si="81"/>
        <v>#N/A</v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>
        <f t="shared" si="80"/>
        <v>438</v>
      </c>
      <c r="U439" s="150" t="e">
        <f t="shared" si="81"/>
        <v>#N/A</v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>
        <f t="shared" si="80"/>
        <v>439</v>
      </c>
      <c r="U440" s="150" t="e">
        <f t="shared" si="81"/>
        <v>#N/A</v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>
        <f t="shared" si="80"/>
        <v>440</v>
      </c>
      <c r="U441" s="150" t="e">
        <f t="shared" si="81"/>
        <v>#N/A</v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>
        <f t="shared" si="80"/>
        <v>441</v>
      </c>
      <c r="U442" s="150" t="e">
        <f t="shared" si="81"/>
        <v>#N/A</v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>
        <f t="shared" si="80"/>
        <v>442</v>
      </c>
      <c r="U443" s="150" t="e">
        <f t="shared" si="81"/>
        <v>#N/A</v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>
        <f t="shared" si="80"/>
        <v>443</v>
      </c>
      <c r="U444" s="150" t="e">
        <f t="shared" si="81"/>
        <v>#N/A</v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>
        <f t="shared" si="80"/>
        <v>444</v>
      </c>
      <c r="U445" s="150" t="e">
        <f t="shared" si="81"/>
        <v>#N/A</v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>
        <f t="shared" si="80"/>
        <v>445</v>
      </c>
      <c r="U446" s="150" t="e">
        <f t="shared" si="81"/>
        <v>#N/A</v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>
        <f t="shared" si="80"/>
        <v>446</v>
      </c>
      <c r="U447" s="150" t="e">
        <f t="shared" si="81"/>
        <v>#N/A</v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>
        <f t="shared" si="80"/>
        <v>447</v>
      </c>
      <c r="U448" s="150" t="e">
        <f t="shared" si="81"/>
        <v>#N/A</v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>
        <f t="shared" si="80"/>
        <v>448</v>
      </c>
      <c r="U449" s="150" t="e">
        <f t="shared" si="81"/>
        <v>#N/A</v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>
        <f t="shared" si="80"/>
        <v>449</v>
      </c>
      <c r="U450" s="150" t="e">
        <f t="shared" si="81"/>
        <v>#N/A</v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>
        <f t="shared" ref="T451:T514" si="92">IF($B$41&gt;=K451,K451,"")</f>
        <v>450</v>
      </c>
      <c r="U451" s="150" t="e">
        <f t="shared" ref="U451:U514" si="93">IF(T451="","",IF(T451&lt;=$E$43,VLOOKUP($E$42,$I$1:$J$4,2,FALSE),VLOOKUP($F$42,$I$1:$J$4,2,FALSE)))</f>
        <v>#N/A</v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>
        <f t="shared" si="92"/>
        <v>451</v>
      </c>
      <c r="U452" s="150" t="e">
        <f t="shared" si="93"/>
        <v>#N/A</v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>
        <f t="shared" si="92"/>
        <v>452</v>
      </c>
      <c r="U453" s="150" t="e">
        <f t="shared" si="93"/>
        <v>#N/A</v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>
        <f t="shared" si="92"/>
        <v>453</v>
      </c>
      <c r="U454" s="150" t="e">
        <f t="shared" si="93"/>
        <v>#N/A</v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>
        <f t="shared" si="92"/>
        <v>454</v>
      </c>
      <c r="U455" s="150" t="e">
        <f t="shared" si="93"/>
        <v>#N/A</v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>
        <f t="shared" si="92"/>
        <v>455</v>
      </c>
      <c r="U456" s="150" t="e">
        <f t="shared" si="93"/>
        <v>#N/A</v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>
        <f t="shared" si="92"/>
        <v>456</v>
      </c>
      <c r="U457" s="150" t="e">
        <f t="shared" si="93"/>
        <v>#N/A</v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>
        <f t="shared" si="92"/>
        <v>457</v>
      </c>
      <c r="U458" s="150" t="e">
        <f t="shared" si="93"/>
        <v>#N/A</v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>
        <f t="shared" si="92"/>
        <v>458</v>
      </c>
      <c r="U459" s="150" t="e">
        <f t="shared" si="93"/>
        <v>#N/A</v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>
        <f t="shared" si="92"/>
        <v>459</v>
      </c>
      <c r="U460" s="150" t="e">
        <f t="shared" si="93"/>
        <v>#N/A</v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>
        <f t="shared" si="92"/>
        <v>460</v>
      </c>
      <c r="U461" s="150" t="e">
        <f t="shared" si="93"/>
        <v>#N/A</v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>
        <f t="shared" si="92"/>
        <v>461</v>
      </c>
      <c r="U462" s="150" t="e">
        <f t="shared" si="93"/>
        <v>#N/A</v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>
        <f t="shared" si="92"/>
        <v>462</v>
      </c>
      <c r="U463" s="150" t="e">
        <f t="shared" si="93"/>
        <v>#N/A</v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>
        <f t="shared" si="92"/>
        <v>463</v>
      </c>
      <c r="U464" s="150" t="e">
        <f t="shared" si="93"/>
        <v>#N/A</v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>
        <f t="shared" si="92"/>
        <v>464</v>
      </c>
      <c r="U465" s="150" t="e">
        <f t="shared" si="93"/>
        <v>#N/A</v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>
        <f t="shared" si="92"/>
        <v>465</v>
      </c>
      <c r="U466" s="150" t="e">
        <f t="shared" si="93"/>
        <v>#N/A</v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>
        <f t="shared" si="92"/>
        <v>466</v>
      </c>
      <c r="U467" s="150" t="e">
        <f t="shared" si="93"/>
        <v>#N/A</v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>
        <f t="shared" si="92"/>
        <v>467</v>
      </c>
      <c r="U468" s="150" t="e">
        <f t="shared" si="93"/>
        <v>#N/A</v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>
        <f t="shared" si="92"/>
        <v>468</v>
      </c>
      <c r="U469" s="150" t="e">
        <f t="shared" si="93"/>
        <v>#N/A</v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>
        <f t="shared" si="92"/>
        <v>469</v>
      </c>
      <c r="U470" s="150" t="e">
        <f t="shared" si="93"/>
        <v>#N/A</v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>
        <f t="shared" si="92"/>
        <v>470</v>
      </c>
      <c r="U471" s="150" t="e">
        <f t="shared" si="93"/>
        <v>#N/A</v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>
        <f t="shared" si="92"/>
        <v>471</v>
      </c>
      <c r="U472" s="150" t="e">
        <f t="shared" si="93"/>
        <v>#N/A</v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>
        <f t="shared" si="92"/>
        <v>472</v>
      </c>
      <c r="U473" s="150" t="e">
        <f t="shared" si="93"/>
        <v>#N/A</v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>
        <f t="shared" si="92"/>
        <v>473</v>
      </c>
      <c r="U474" s="150" t="e">
        <f t="shared" si="93"/>
        <v>#N/A</v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>
        <f t="shared" si="92"/>
        <v>474</v>
      </c>
      <c r="U475" s="150" t="e">
        <f t="shared" si="93"/>
        <v>#N/A</v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>
        <f t="shared" si="92"/>
        <v>475</v>
      </c>
      <c r="U476" s="150" t="e">
        <f t="shared" si="93"/>
        <v>#N/A</v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>
        <f t="shared" si="92"/>
        <v>476</v>
      </c>
      <c r="U477" s="150" t="e">
        <f t="shared" si="93"/>
        <v>#N/A</v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>
        <f t="shared" si="92"/>
        <v>477</v>
      </c>
      <c r="U478" s="150" t="e">
        <f t="shared" si="93"/>
        <v>#N/A</v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>
        <f t="shared" si="92"/>
        <v>478</v>
      </c>
      <c r="U479" s="150" t="e">
        <f t="shared" si="93"/>
        <v>#N/A</v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>
        <f t="shared" si="92"/>
        <v>479</v>
      </c>
      <c r="U480" s="150" t="e">
        <f t="shared" si="93"/>
        <v>#N/A</v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>
        <f t="shared" si="92"/>
        <v>480</v>
      </c>
      <c r="U481" s="150" t="e">
        <f t="shared" si="93"/>
        <v>#N/A</v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>
        <f t="shared" si="92"/>
        <v>481</v>
      </c>
      <c r="U482" s="150" t="e">
        <f t="shared" si="93"/>
        <v>#N/A</v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>
        <f t="shared" si="92"/>
        <v>482</v>
      </c>
      <c r="U483" s="150" t="e">
        <f t="shared" si="93"/>
        <v>#N/A</v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>
        <f t="shared" si="92"/>
        <v>483</v>
      </c>
      <c r="U484" s="150" t="e">
        <f t="shared" si="93"/>
        <v>#N/A</v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>
        <f t="shared" si="92"/>
        <v>484</v>
      </c>
      <c r="U485" s="150" t="e">
        <f t="shared" si="93"/>
        <v>#N/A</v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>
        <f t="shared" si="92"/>
        <v>485</v>
      </c>
      <c r="U486" s="150" t="e">
        <f t="shared" si="93"/>
        <v>#N/A</v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>
        <f t="shared" si="92"/>
        <v>486</v>
      </c>
      <c r="U487" s="150" t="e">
        <f t="shared" si="93"/>
        <v>#N/A</v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>
        <f t="shared" si="92"/>
        <v>487</v>
      </c>
      <c r="U488" s="150" t="e">
        <f t="shared" si="93"/>
        <v>#N/A</v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>
        <f t="shared" si="92"/>
        <v>488</v>
      </c>
      <c r="U489" s="150" t="e">
        <f t="shared" si="93"/>
        <v>#N/A</v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>
        <f t="shared" si="92"/>
        <v>489</v>
      </c>
      <c r="U490" s="150" t="e">
        <f t="shared" si="93"/>
        <v>#N/A</v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>
        <f t="shared" si="92"/>
        <v>490</v>
      </c>
      <c r="U491" s="150" t="e">
        <f t="shared" si="93"/>
        <v>#N/A</v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>
        <f t="shared" si="92"/>
        <v>491</v>
      </c>
      <c r="U492" s="150" t="e">
        <f t="shared" si="93"/>
        <v>#N/A</v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>
        <f t="shared" si="92"/>
        <v>492</v>
      </c>
      <c r="U493" s="150" t="e">
        <f t="shared" si="93"/>
        <v>#N/A</v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>
        <f t="shared" si="92"/>
        <v>493</v>
      </c>
      <c r="U494" s="150" t="e">
        <f t="shared" si="93"/>
        <v>#N/A</v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>
        <f t="shared" si="92"/>
        <v>494</v>
      </c>
      <c r="U495" s="150" t="e">
        <f t="shared" si="93"/>
        <v>#N/A</v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>
        <f t="shared" si="92"/>
        <v>495</v>
      </c>
      <c r="U496" s="150" t="e">
        <f t="shared" si="93"/>
        <v>#N/A</v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>
        <f t="shared" si="92"/>
        <v>496</v>
      </c>
      <c r="U497" s="150" t="e">
        <f t="shared" si="93"/>
        <v>#N/A</v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>
        <f t="shared" si="92"/>
        <v>497</v>
      </c>
      <c r="U498" s="150" t="e">
        <f t="shared" si="93"/>
        <v>#N/A</v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>
        <f t="shared" si="92"/>
        <v>498</v>
      </c>
      <c r="U499" s="150" t="e">
        <f t="shared" si="93"/>
        <v>#N/A</v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>
        <f t="shared" si="92"/>
        <v>499</v>
      </c>
      <c r="U500" s="150" t="e">
        <f t="shared" si="93"/>
        <v>#N/A</v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>
        <f t="shared" si="92"/>
        <v>500</v>
      </c>
      <c r="U501" s="150" t="e">
        <f t="shared" si="93"/>
        <v>#N/A</v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>
        <f t="shared" si="92"/>
        <v>501</v>
      </c>
      <c r="U502" s="150" t="e">
        <f t="shared" si="93"/>
        <v>#N/A</v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>
        <f t="shared" si="92"/>
        <v>502</v>
      </c>
      <c r="U503" s="150" t="e">
        <f t="shared" si="93"/>
        <v>#N/A</v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>
        <f t="shared" si="92"/>
        <v>503</v>
      </c>
      <c r="U504" s="150" t="e">
        <f t="shared" si="93"/>
        <v>#N/A</v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>
        <f t="shared" si="92"/>
        <v>504</v>
      </c>
      <c r="U505" s="150" t="e">
        <f t="shared" si="93"/>
        <v>#N/A</v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>
        <f t="shared" si="92"/>
        <v>505</v>
      </c>
      <c r="U506" s="150" t="e">
        <f t="shared" si="93"/>
        <v>#N/A</v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>
        <f t="shared" si="92"/>
        <v>506</v>
      </c>
      <c r="U507" s="150" t="e">
        <f t="shared" si="93"/>
        <v>#N/A</v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>
        <f t="shared" si="92"/>
        <v>507</v>
      </c>
      <c r="U508" s="150" t="e">
        <f t="shared" si="93"/>
        <v>#N/A</v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>
        <f t="shared" si="92"/>
        <v>508</v>
      </c>
      <c r="U509" s="150" t="e">
        <f t="shared" si="93"/>
        <v>#N/A</v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>
        <f t="shared" si="92"/>
        <v>509</v>
      </c>
      <c r="U510" s="150" t="e">
        <f t="shared" si="93"/>
        <v>#N/A</v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>
        <f t="shared" si="92"/>
        <v>510</v>
      </c>
      <c r="U511" s="150" t="e">
        <f t="shared" si="93"/>
        <v>#N/A</v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>
        <f t="shared" si="92"/>
        <v>511</v>
      </c>
      <c r="U512" s="150" t="e">
        <f t="shared" si="93"/>
        <v>#N/A</v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>
        <f t="shared" si="92"/>
        <v>512</v>
      </c>
      <c r="U513" s="150" t="e">
        <f t="shared" si="93"/>
        <v>#N/A</v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>
        <f t="shared" si="92"/>
        <v>513</v>
      </c>
      <c r="U514" s="150" t="e">
        <f t="shared" si="93"/>
        <v>#N/A</v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>
        <f t="shared" ref="T515:T578" si="104">IF($B$41&gt;=K515,K515,"")</f>
        <v>514</v>
      </c>
      <c r="U515" s="150" t="e">
        <f t="shared" ref="U515:U578" si="105">IF(T515="","",IF(T515&lt;=$E$43,VLOOKUP($E$42,$I$1:$J$4,2,FALSE),VLOOKUP($F$42,$I$1:$J$4,2,FALSE)))</f>
        <v>#N/A</v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>
        <f t="shared" si="104"/>
        <v>515</v>
      </c>
      <c r="U516" s="150" t="e">
        <f t="shared" si="105"/>
        <v>#N/A</v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>
        <f t="shared" si="104"/>
        <v>516</v>
      </c>
      <c r="U517" s="150" t="e">
        <f t="shared" si="105"/>
        <v>#N/A</v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>
        <f t="shared" si="104"/>
        <v>517</v>
      </c>
      <c r="U518" s="150" t="e">
        <f t="shared" si="105"/>
        <v>#N/A</v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>
        <f t="shared" si="104"/>
        <v>518</v>
      </c>
      <c r="U519" s="150" t="e">
        <f t="shared" si="105"/>
        <v>#N/A</v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>
        <f t="shared" si="104"/>
        <v>519</v>
      </c>
      <c r="U520" s="150" t="e">
        <f t="shared" si="105"/>
        <v>#N/A</v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>
        <f t="shared" si="104"/>
        <v>520</v>
      </c>
      <c r="U521" s="150" t="e">
        <f t="shared" si="105"/>
        <v>#N/A</v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>
        <f t="shared" si="104"/>
        <v>521</v>
      </c>
      <c r="U522" s="150" t="e">
        <f t="shared" si="105"/>
        <v>#N/A</v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>
        <f t="shared" si="104"/>
        <v>522</v>
      </c>
      <c r="U523" s="150" t="e">
        <f t="shared" si="105"/>
        <v>#N/A</v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>
        <f t="shared" si="104"/>
        <v>523</v>
      </c>
      <c r="U524" s="150" t="e">
        <f t="shared" si="105"/>
        <v>#N/A</v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>
        <f t="shared" si="104"/>
        <v>524</v>
      </c>
      <c r="U525" s="150" t="e">
        <f t="shared" si="105"/>
        <v>#N/A</v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>
        <f t="shared" si="104"/>
        <v>525</v>
      </c>
      <c r="U526" s="150" t="e">
        <f t="shared" si="105"/>
        <v>#N/A</v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>
        <f t="shared" si="104"/>
        <v>526</v>
      </c>
      <c r="U527" s="150" t="e">
        <f t="shared" si="105"/>
        <v>#N/A</v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>
        <f t="shared" si="104"/>
        <v>527</v>
      </c>
      <c r="U528" s="150" t="e">
        <f t="shared" si="105"/>
        <v>#N/A</v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>
        <f t="shared" si="104"/>
        <v>528</v>
      </c>
      <c r="U529" s="150" t="e">
        <f t="shared" si="105"/>
        <v>#N/A</v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>
        <f t="shared" si="104"/>
        <v>529</v>
      </c>
      <c r="U530" s="150" t="e">
        <f t="shared" si="105"/>
        <v>#N/A</v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>
        <f t="shared" si="104"/>
        <v>530</v>
      </c>
      <c r="U531" s="150" t="e">
        <f t="shared" si="105"/>
        <v>#N/A</v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>
        <f t="shared" si="104"/>
        <v>531</v>
      </c>
      <c r="U532" s="150" t="e">
        <f t="shared" si="105"/>
        <v>#N/A</v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>
        <f t="shared" si="104"/>
        <v>532</v>
      </c>
      <c r="U533" s="150" t="e">
        <f t="shared" si="105"/>
        <v>#N/A</v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>
        <f t="shared" si="104"/>
        <v>533</v>
      </c>
      <c r="U534" s="150" t="e">
        <f t="shared" si="105"/>
        <v>#N/A</v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>
        <f t="shared" si="104"/>
        <v>534</v>
      </c>
      <c r="U535" s="150" t="e">
        <f t="shared" si="105"/>
        <v>#N/A</v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>
        <f t="shared" si="104"/>
        <v>535</v>
      </c>
      <c r="U536" s="150" t="e">
        <f t="shared" si="105"/>
        <v>#N/A</v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>
        <f t="shared" si="104"/>
        <v>536</v>
      </c>
      <c r="U537" s="150" t="e">
        <f t="shared" si="105"/>
        <v>#N/A</v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>
        <f t="shared" si="104"/>
        <v>537</v>
      </c>
      <c r="U538" s="150" t="e">
        <f t="shared" si="105"/>
        <v>#N/A</v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>
        <f t="shared" si="104"/>
        <v>538</v>
      </c>
      <c r="U539" s="150" t="e">
        <f t="shared" si="105"/>
        <v>#N/A</v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>
        <f t="shared" si="104"/>
        <v>539</v>
      </c>
      <c r="U540" s="150" t="e">
        <f t="shared" si="105"/>
        <v>#N/A</v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>
        <f t="shared" si="104"/>
        <v>540</v>
      </c>
      <c r="U541" s="150" t="e">
        <f t="shared" si="105"/>
        <v>#N/A</v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>
        <f t="shared" si="104"/>
        <v>541</v>
      </c>
      <c r="U542" s="150" t="e">
        <f t="shared" si="105"/>
        <v>#N/A</v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>
        <f t="shared" si="104"/>
        <v>542</v>
      </c>
      <c r="U543" s="150" t="e">
        <f t="shared" si="105"/>
        <v>#N/A</v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>
        <f t="shared" si="104"/>
        <v>543</v>
      </c>
      <c r="U544" s="150" t="e">
        <f t="shared" si="105"/>
        <v>#N/A</v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>
        <f t="shared" si="104"/>
        <v>544</v>
      </c>
      <c r="U545" s="150" t="e">
        <f t="shared" si="105"/>
        <v>#N/A</v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>
        <f t="shared" si="104"/>
        <v>545</v>
      </c>
      <c r="U546" s="150" t="e">
        <f t="shared" si="105"/>
        <v>#N/A</v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>
        <f t="shared" si="104"/>
        <v>546</v>
      </c>
      <c r="U547" s="150" t="e">
        <f t="shared" si="105"/>
        <v>#N/A</v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>
        <f t="shared" si="104"/>
        <v>547</v>
      </c>
      <c r="U548" s="150" t="e">
        <f t="shared" si="105"/>
        <v>#N/A</v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>
        <f t="shared" si="104"/>
        <v>548</v>
      </c>
      <c r="U549" s="150" t="e">
        <f t="shared" si="105"/>
        <v>#N/A</v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>
        <f t="shared" si="104"/>
        <v>549</v>
      </c>
      <c r="U550" s="150" t="e">
        <f t="shared" si="105"/>
        <v>#N/A</v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>
        <f t="shared" si="104"/>
        <v>550</v>
      </c>
      <c r="U551" s="150" t="e">
        <f t="shared" si="105"/>
        <v>#N/A</v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>
        <f t="shared" si="104"/>
        <v>551</v>
      </c>
      <c r="U552" s="150" t="e">
        <f t="shared" si="105"/>
        <v>#N/A</v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>
        <f t="shared" si="104"/>
        <v>552</v>
      </c>
      <c r="U553" s="150" t="e">
        <f t="shared" si="105"/>
        <v>#N/A</v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>
        <f t="shared" si="104"/>
        <v>553</v>
      </c>
      <c r="U554" s="150" t="e">
        <f t="shared" si="105"/>
        <v>#N/A</v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>
        <f t="shared" si="104"/>
        <v>554</v>
      </c>
      <c r="U555" s="150" t="e">
        <f t="shared" si="105"/>
        <v>#N/A</v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>
        <f t="shared" si="104"/>
        <v>555</v>
      </c>
      <c r="U556" s="150" t="e">
        <f t="shared" si="105"/>
        <v>#N/A</v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>
        <f t="shared" si="104"/>
        <v>556</v>
      </c>
      <c r="U557" s="150" t="e">
        <f t="shared" si="105"/>
        <v>#N/A</v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>
        <f t="shared" si="104"/>
        <v>557</v>
      </c>
      <c r="U558" s="150" t="e">
        <f t="shared" si="105"/>
        <v>#N/A</v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>
        <f t="shared" si="104"/>
        <v>558</v>
      </c>
      <c r="U559" s="150" t="e">
        <f t="shared" si="105"/>
        <v>#N/A</v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>
        <f t="shared" si="104"/>
        <v>559</v>
      </c>
      <c r="U560" s="150" t="e">
        <f t="shared" si="105"/>
        <v>#N/A</v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>
        <f t="shared" si="104"/>
        <v>560</v>
      </c>
      <c r="U561" s="150" t="e">
        <f t="shared" si="105"/>
        <v>#N/A</v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>
        <f t="shared" si="104"/>
        <v>561</v>
      </c>
      <c r="U562" s="150" t="e">
        <f t="shared" si="105"/>
        <v>#N/A</v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>
        <f t="shared" si="104"/>
        <v>562</v>
      </c>
      <c r="U563" s="150" t="e">
        <f t="shared" si="105"/>
        <v>#N/A</v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>
        <f t="shared" si="104"/>
        <v>563</v>
      </c>
      <c r="U564" s="150" t="e">
        <f t="shared" si="105"/>
        <v>#N/A</v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>
        <f t="shared" si="104"/>
        <v>564</v>
      </c>
      <c r="U565" s="150" t="e">
        <f t="shared" si="105"/>
        <v>#N/A</v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>
        <f t="shared" si="104"/>
        <v>565</v>
      </c>
      <c r="U566" s="150" t="e">
        <f t="shared" si="105"/>
        <v>#N/A</v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>
        <f t="shared" si="104"/>
        <v>566</v>
      </c>
      <c r="U567" s="150" t="e">
        <f t="shared" si="105"/>
        <v>#N/A</v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>
        <f t="shared" si="104"/>
        <v>567</v>
      </c>
      <c r="U568" s="150" t="e">
        <f t="shared" si="105"/>
        <v>#N/A</v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>
        <f t="shared" si="104"/>
        <v>568</v>
      </c>
      <c r="U569" s="150" t="e">
        <f t="shared" si="105"/>
        <v>#N/A</v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>
        <f t="shared" si="104"/>
        <v>569</v>
      </c>
      <c r="U570" s="150" t="e">
        <f t="shared" si="105"/>
        <v>#N/A</v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>
        <f t="shared" si="104"/>
        <v>570</v>
      </c>
      <c r="U571" s="150" t="e">
        <f t="shared" si="105"/>
        <v>#N/A</v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>
        <f t="shared" si="104"/>
        <v>571</v>
      </c>
      <c r="U572" s="150" t="e">
        <f t="shared" si="105"/>
        <v>#N/A</v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>
        <f t="shared" si="104"/>
        <v>572</v>
      </c>
      <c r="U573" s="150" t="e">
        <f t="shared" si="105"/>
        <v>#N/A</v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>
        <f t="shared" si="104"/>
        <v>573</v>
      </c>
      <c r="U574" s="150" t="e">
        <f t="shared" si="105"/>
        <v>#N/A</v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>
        <f t="shared" si="104"/>
        <v>574</v>
      </c>
      <c r="U575" s="150" t="e">
        <f t="shared" si="105"/>
        <v>#N/A</v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>
        <f t="shared" si="104"/>
        <v>575</v>
      </c>
      <c r="U576" s="150" t="e">
        <f t="shared" si="105"/>
        <v>#N/A</v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>
        <f t="shared" si="104"/>
        <v>576</v>
      </c>
      <c r="U577" s="150" t="e">
        <f t="shared" si="105"/>
        <v>#N/A</v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>
        <f t="shared" si="104"/>
        <v>577</v>
      </c>
      <c r="U578" s="150" t="e">
        <f t="shared" si="105"/>
        <v>#N/A</v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>
        <f t="shared" ref="T579:T642" si="116">IF($B$41&gt;=K579,K579,"")</f>
        <v>578</v>
      </c>
      <c r="U579" s="150" t="e">
        <f t="shared" ref="U579:U642" si="117">IF(T579="","",IF(T579&lt;=$E$43,VLOOKUP($E$42,$I$1:$J$4,2,FALSE),VLOOKUP($F$42,$I$1:$J$4,2,FALSE)))</f>
        <v>#N/A</v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>
        <f t="shared" si="116"/>
        <v>579</v>
      </c>
      <c r="U580" s="150" t="e">
        <f t="shared" si="117"/>
        <v>#N/A</v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>
        <f t="shared" si="116"/>
        <v>580</v>
      </c>
      <c r="U581" s="150" t="e">
        <f t="shared" si="117"/>
        <v>#N/A</v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>
        <f t="shared" si="116"/>
        <v>581</v>
      </c>
      <c r="U582" s="150" t="e">
        <f t="shared" si="117"/>
        <v>#N/A</v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>
        <f t="shared" si="116"/>
        <v>582</v>
      </c>
      <c r="U583" s="150" t="e">
        <f t="shared" si="117"/>
        <v>#N/A</v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>
        <f t="shared" si="116"/>
        <v>583</v>
      </c>
      <c r="U584" s="150" t="e">
        <f t="shared" si="117"/>
        <v>#N/A</v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>
        <f t="shared" si="116"/>
        <v>584</v>
      </c>
      <c r="U585" s="150" t="e">
        <f t="shared" si="117"/>
        <v>#N/A</v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>
        <f t="shared" si="116"/>
        <v>585</v>
      </c>
      <c r="U586" s="150" t="e">
        <f t="shared" si="117"/>
        <v>#N/A</v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>
        <f t="shared" si="116"/>
        <v>586</v>
      </c>
      <c r="U587" s="150" t="e">
        <f t="shared" si="117"/>
        <v>#N/A</v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>
        <f t="shared" si="116"/>
        <v>587</v>
      </c>
      <c r="U588" s="150" t="e">
        <f t="shared" si="117"/>
        <v>#N/A</v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>
        <f t="shared" si="116"/>
        <v>588</v>
      </c>
      <c r="U589" s="150" t="e">
        <f t="shared" si="117"/>
        <v>#N/A</v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>
        <f t="shared" si="116"/>
        <v>589</v>
      </c>
      <c r="U590" s="150" t="e">
        <f t="shared" si="117"/>
        <v>#N/A</v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>
        <f t="shared" si="116"/>
        <v>590</v>
      </c>
      <c r="U591" s="150" t="e">
        <f t="shared" si="117"/>
        <v>#N/A</v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>
        <f t="shared" si="116"/>
        <v>591</v>
      </c>
      <c r="U592" s="150" t="e">
        <f t="shared" si="117"/>
        <v>#N/A</v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>
        <f t="shared" si="116"/>
        <v>592</v>
      </c>
      <c r="U593" s="150" t="e">
        <f t="shared" si="117"/>
        <v>#N/A</v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>
        <f t="shared" si="116"/>
        <v>593</v>
      </c>
      <c r="U594" s="150" t="e">
        <f t="shared" si="117"/>
        <v>#N/A</v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>
        <f t="shared" si="116"/>
        <v>594</v>
      </c>
      <c r="U595" s="150" t="e">
        <f t="shared" si="117"/>
        <v>#N/A</v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>
        <f t="shared" si="116"/>
        <v>595</v>
      </c>
      <c r="U596" s="150" t="e">
        <f t="shared" si="117"/>
        <v>#N/A</v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>
        <f t="shared" si="116"/>
        <v>596</v>
      </c>
      <c r="U597" s="150" t="e">
        <f t="shared" si="117"/>
        <v>#N/A</v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>
        <f t="shared" si="116"/>
        <v>597</v>
      </c>
      <c r="U598" s="150" t="e">
        <f t="shared" si="117"/>
        <v>#N/A</v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>
        <f t="shared" si="116"/>
        <v>598</v>
      </c>
      <c r="U599" s="150" t="e">
        <f t="shared" si="117"/>
        <v>#N/A</v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>
        <f t="shared" si="116"/>
        <v>599</v>
      </c>
      <c r="U600" s="150" t="e">
        <f t="shared" si="117"/>
        <v>#N/A</v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>
        <f t="shared" si="116"/>
        <v>600</v>
      </c>
      <c r="U601" s="150" t="e">
        <f t="shared" si="117"/>
        <v>#N/A</v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>
        <f t="shared" si="116"/>
        <v>601</v>
      </c>
      <c r="U602" s="150" t="e">
        <f t="shared" si="117"/>
        <v>#N/A</v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>
        <f t="shared" si="116"/>
        <v>602</v>
      </c>
      <c r="U603" s="150" t="e">
        <f t="shared" si="117"/>
        <v>#N/A</v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>
        <f t="shared" si="116"/>
        <v>603</v>
      </c>
      <c r="U604" s="150" t="e">
        <f t="shared" si="117"/>
        <v>#N/A</v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>
        <f t="shared" si="116"/>
        <v>604</v>
      </c>
      <c r="U605" s="150" t="e">
        <f t="shared" si="117"/>
        <v>#N/A</v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>
        <f t="shared" si="116"/>
        <v>605</v>
      </c>
      <c r="U606" s="150" t="e">
        <f t="shared" si="117"/>
        <v>#N/A</v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>
        <f t="shared" si="116"/>
        <v>606</v>
      </c>
      <c r="U607" s="150" t="e">
        <f t="shared" si="117"/>
        <v>#N/A</v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>
        <f t="shared" si="116"/>
        <v>607</v>
      </c>
      <c r="U608" s="150" t="e">
        <f t="shared" si="117"/>
        <v>#N/A</v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>
        <f t="shared" si="116"/>
        <v>608</v>
      </c>
      <c r="U609" s="150" t="e">
        <f t="shared" si="117"/>
        <v>#N/A</v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>
        <f t="shared" si="116"/>
        <v>609</v>
      </c>
      <c r="U610" s="150" t="e">
        <f t="shared" si="117"/>
        <v>#N/A</v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>
        <f t="shared" si="116"/>
        <v>610</v>
      </c>
      <c r="U611" s="150" t="e">
        <f t="shared" si="117"/>
        <v>#N/A</v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>
        <f t="shared" si="116"/>
        <v>611</v>
      </c>
      <c r="U612" s="150" t="e">
        <f t="shared" si="117"/>
        <v>#N/A</v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>
        <f t="shared" si="116"/>
        <v>612</v>
      </c>
      <c r="U613" s="150" t="e">
        <f t="shared" si="117"/>
        <v>#N/A</v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>
        <f t="shared" si="116"/>
        <v>613</v>
      </c>
      <c r="U614" s="150" t="e">
        <f t="shared" si="117"/>
        <v>#N/A</v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>
        <f t="shared" si="116"/>
        <v>614</v>
      </c>
      <c r="U615" s="150" t="e">
        <f t="shared" si="117"/>
        <v>#N/A</v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>
        <f t="shared" si="116"/>
        <v>615</v>
      </c>
      <c r="U616" s="150" t="e">
        <f t="shared" si="117"/>
        <v>#N/A</v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>
        <f t="shared" si="116"/>
        <v>616</v>
      </c>
      <c r="U617" s="150" t="e">
        <f t="shared" si="117"/>
        <v>#N/A</v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>
        <f t="shared" si="116"/>
        <v>617</v>
      </c>
      <c r="U618" s="150" t="e">
        <f t="shared" si="117"/>
        <v>#N/A</v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>
        <f t="shared" si="116"/>
        <v>618</v>
      </c>
      <c r="U619" s="150" t="e">
        <f t="shared" si="117"/>
        <v>#N/A</v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>
        <f t="shared" si="116"/>
        <v>619</v>
      </c>
      <c r="U620" s="150" t="e">
        <f t="shared" si="117"/>
        <v>#N/A</v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>
        <f t="shared" si="116"/>
        <v>620</v>
      </c>
      <c r="U621" s="150" t="e">
        <f t="shared" si="117"/>
        <v>#N/A</v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>
        <f t="shared" si="116"/>
        <v>621</v>
      </c>
      <c r="U622" s="150" t="e">
        <f t="shared" si="117"/>
        <v>#N/A</v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>
        <f t="shared" si="116"/>
        <v>622</v>
      </c>
      <c r="U623" s="150" t="e">
        <f t="shared" si="117"/>
        <v>#N/A</v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>
        <f t="shared" si="116"/>
        <v>623</v>
      </c>
      <c r="U624" s="150" t="e">
        <f t="shared" si="117"/>
        <v>#N/A</v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>
        <f t="shared" si="116"/>
        <v>624</v>
      </c>
      <c r="U625" s="150" t="e">
        <f t="shared" si="117"/>
        <v>#N/A</v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>
        <f t="shared" si="116"/>
        <v>625</v>
      </c>
      <c r="U626" s="150" t="e">
        <f t="shared" si="117"/>
        <v>#N/A</v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>
        <f t="shared" si="116"/>
        <v>626</v>
      </c>
      <c r="U627" s="150" t="e">
        <f t="shared" si="117"/>
        <v>#N/A</v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>
        <f t="shared" si="116"/>
        <v>627</v>
      </c>
      <c r="U628" s="150" t="e">
        <f t="shared" si="117"/>
        <v>#N/A</v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>
        <f t="shared" si="116"/>
        <v>628</v>
      </c>
      <c r="U629" s="150" t="e">
        <f t="shared" si="117"/>
        <v>#N/A</v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>
        <f t="shared" si="116"/>
        <v>629</v>
      </c>
      <c r="U630" s="150" t="e">
        <f t="shared" si="117"/>
        <v>#N/A</v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>
        <f t="shared" si="116"/>
        <v>630</v>
      </c>
      <c r="U631" s="150" t="e">
        <f t="shared" si="117"/>
        <v>#N/A</v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>
        <f t="shared" si="116"/>
        <v>631</v>
      </c>
      <c r="U632" s="150" t="e">
        <f t="shared" si="117"/>
        <v>#N/A</v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>
        <f t="shared" si="116"/>
        <v>632</v>
      </c>
      <c r="U633" s="150" t="e">
        <f t="shared" si="117"/>
        <v>#N/A</v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>
        <f t="shared" si="116"/>
        <v>633</v>
      </c>
      <c r="U634" s="150" t="e">
        <f t="shared" si="117"/>
        <v>#N/A</v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>
        <f t="shared" si="116"/>
        <v>634</v>
      </c>
      <c r="U635" s="150" t="e">
        <f t="shared" si="117"/>
        <v>#N/A</v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>
        <f t="shared" si="116"/>
        <v>635</v>
      </c>
      <c r="U636" s="150" t="e">
        <f t="shared" si="117"/>
        <v>#N/A</v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>
        <f t="shared" si="116"/>
        <v>636</v>
      </c>
      <c r="U637" s="150" t="e">
        <f t="shared" si="117"/>
        <v>#N/A</v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>
        <f t="shared" si="116"/>
        <v>637</v>
      </c>
      <c r="U638" s="150" t="e">
        <f t="shared" si="117"/>
        <v>#N/A</v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>
        <f t="shared" si="116"/>
        <v>638</v>
      </c>
      <c r="U639" s="150" t="e">
        <f t="shared" si="117"/>
        <v>#N/A</v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>
        <f t="shared" si="116"/>
        <v>639</v>
      </c>
      <c r="U640" s="150" t="e">
        <f t="shared" si="117"/>
        <v>#N/A</v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>
        <f t="shared" si="116"/>
        <v>640</v>
      </c>
      <c r="U641" s="150" t="e">
        <f t="shared" si="117"/>
        <v>#N/A</v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>
        <f t="shared" si="116"/>
        <v>641</v>
      </c>
      <c r="U642" s="150" t="e">
        <f t="shared" si="117"/>
        <v>#N/A</v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>
        <f t="shared" ref="T643:T706" si="128">IF($B$41&gt;=K643,K643,"")</f>
        <v>642</v>
      </c>
      <c r="U643" s="150" t="e">
        <f t="shared" ref="U643:U706" si="129">IF(T643="","",IF(T643&lt;=$E$43,VLOOKUP($E$42,$I$1:$J$4,2,FALSE),VLOOKUP($F$42,$I$1:$J$4,2,FALSE)))</f>
        <v>#N/A</v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>
        <f t="shared" si="128"/>
        <v>643</v>
      </c>
      <c r="U644" s="150" t="e">
        <f t="shared" si="129"/>
        <v>#N/A</v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>
        <f t="shared" si="128"/>
        <v>644</v>
      </c>
      <c r="U645" s="150" t="e">
        <f t="shared" si="129"/>
        <v>#N/A</v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>
        <f t="shared" si="128"/>
        <v>645</v>
      </c>
      <c r="U646" s="150" t="e">
        <f t="shared" si="129"/>
        <v>#N/A</v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>
        <f t="shared" si="128"/>
        <v>646</v>
      </c>
      <c r="U647" s="150" t="e">
        <f t="shared" si="129"/>
        <v>#N/A</v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>
        <f t="shared" si="128"/>
        <v>647</v>
      </c>
      <c r="U648" s="150" t="e">
        <f t="shared" si="129"/>
        <v>#N/A</v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>
        <f t="shared" si="128"/>
        <v>648</v>
      </c>
      <c r="U649" s="150" t="e">
        <f t="shared" si="129"/>
        <v>#N/A</v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>
        <f t="shared" si="128"/>
        <v>649</v>
      </c>
      <c r="U650" s="150" t="e">
        <f t="shared" si="129"/>
        <v>#N/A</v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>
        <f t="shared" si="128"/>
        <v>650</v>
      </c>
      <c r="U651" s="150" t="e">
        <f t="shared" si="129"/>
        <v>#N/A</v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>
        <f t="shared" si="128"/>
        <v>651</v>
      </c>
      <c r="U652" s="150" t="e">
        <f t="shared" si="129"/>
        <v>#N/A</v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>
        <f t="shared" si="128"/>
        <v>652</v>
      </c>
      <c r="U653" s="150" t="e">
        <f t="shared" si="129"/>
        <v>#N/A</v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>
        <f t="shared" si="128"/>
        <v>653</v>
      </c>
      <c r="U654" s="150" t="e">
        <f t="shared" si="129"/>
        <v>#N/A</v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>
        <f t="shared" si="128"/>
        <v>654</v>
      </c>
      <c r="U655" s="150" t="e">
        <f t="shared" si="129"/>
        <v>#N/A</v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>
        <f t="shared" si="128"/>
        <v>655</v>
      </c>
      <c r="U656" s="150" t="e">
        <f t="shared" si="129"/>
        <v>#N/A</v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>
        <f t="shared" si="128"/>
        <v>656</v>
      </c>
      <c r="U657" s="150" t="e">
        <f t="shared" si="129"/>
        <v>#N/A</v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>
        <f t="shared" si="128"/>
        <v>657</v>
      </c>
      <c r="U658" s="150" t="e">
        <f t="shared" si="129"/>
        <v>#N/A</v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>
        <f t="shared" si="128"/>
        <v>658</v>
      </c>
      <c r="U659" s="150" t="e">
        <f t="shared" si="129"/>
        <v>#N/A</v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>
        <f t="shared" si="128"/>
        <v>659</v>
      </c>
      <c r="U660" s="150" t="e">
        <f t="shared" si="129"/>
        <v>#N/A</v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>
        <f t="shared" si="128"/>
        <v>660</v>
      </c>
      <c r="U661" s="150" t="e">
        <f t="shared" si="129"/>
        <v>#N/A</v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>
        <f t="shared" si="128"/>
        <v>661</v>
      </c>
      <c r="U662" s="150" t="e">
        <f t="shared" si="129"/>
        <v>#N/A</v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>
        <f t="shared" si="128"/>
        <v>662</v>
      </c>
      <c r="U663" s="150" t="e">
        <f t="shared" si="129"/>
        <v>#N/A</v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>
        <f t="shared" si="128"/>
        <v>663</v>
      </c>
      <c r="U664" s="150" t="e">
        <f t="shared" si="129"/>
        <v>#N/A</v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>
        <f t="shared" si="128"/>
        <v>664</v>
      </c>
      <c r="U665" s="150" t="e">
        <f t="shared" si="129"/>
        <v>#N/A</v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>
        <f t="shared" si="128"/>
        <v>665</v>
      </c>
      <c r="U666" s="150" t="e">
        <f t="shared" si="129"/>
        <v>#N/A</v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>
        <f t="shared" si="128"/>
        <v>666</v>
      </c>
      <c r="U667" s="150" t="e">
        <f t="shared" si="129"/>
        <v>#N/A</v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>
        <f t="shared" si="128"/>
        <v>667</v>
      </c>
      <c r="U668" s="150" t="e">
        <f t="shared" si="129"/>
        <v>#N/A</v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>
        <f t="shared" si="128"/>
        <v>668</v>
      </c>
      <c r="U669" s="150" t="e">
        <f t="shared" si="129"/>
        <v>#N/A</v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>
        <f t="shared" si="128"/>
        <v>669</v>
      </c>
      <c r="U670" s="150" t="e">
        <f t="shared" si="129"/>
        <v>#N/A</v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>
        <f t="shared" si="128"/>
        <v>670</v>
      </c>
      <c r="U671" s="150" t="e">
        <f t="shared" si="129"/>
        <v>#N/A</v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>
        <f t="shared" si="128"/>
        <v>671</v>
      </c>
      <c r="U672" s="150" t="e">
        <f t="shared" si="129"/>
        <v>#N/A</v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>
        <f t="shared" si="128"/>
        <v>672</v>
      </c>
      <c r="U673" s="150" t="e">
        <f t="shared" si="129"/>
        <v>#N/A</v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>
        <f t="shared" si="128"/>
        <v>673</v>
      </c>
      <c r="U674" s="150" t="e">
        <f t="shared" si="129"/>
        <v>#N/A</v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>
        <f t="shared" si="128"/>
        <v>674</v>
      </c>
      <c r="U675" s="150" t="e">
        <f t="shared" si="129"/>
        <v>#N/A</v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>
        <f t="shared" si="128"/>
        <v>675</v>
      </c>
      <c r="U676" s="150" t="e">
        <f t="shared" si="129"/>
        <v>#N/A</v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>
        <f t="shared" si="128"/>
        <v>676</v>
      </c>
      <c r="U677" s="150" t="e">
        <f t="shared" si="129"/>
        <v>#N/A</v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>
        <f t="shared" si="128"/>
        <v>677</v>
      </c>
      <c r="U678" s="150" t="e">
        <f t="shared" si="129"/>
        <v>#N/A</v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>
        <f t="shared" si="128"/>
        <v>678</v>
      </c>
      <c r="U679" s="150" t="e">
        <f t="shared" si="129"/>
        <v>#N/A</v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>
        <f t="shared" si="128"/>
        <v>679</v>
      </c>
      <c r="U680" s="150" t="e">
        <f t="shared" si="129"/>
        <v>#N/A</v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>
        <f t="shared" si="128"/>
        <v>680</v>
      </c>
      <c r="U681" s="150" t="e">
        <f t="shared" si="129"/>
        <v>#N/A</v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>
        <f t="shared" si="128"/>
        <v>681</v>
      </c>
      <c r="U682" s="150" t="e">
        <f t="shared" si="129"/>
        <v>#N/A</v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>
        <f t="shared" si="128"/>
        <v>682</v>
      </c>
      <c r="U683" s="150" t="e">
        <f t="shared" si="129"/>
        <v>#N/A</v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>
        <f t="shared" si="128"/>
        <v>683</v>
      </c>
      <c r="U684" s="150" t="e">
        <f t="shared" si="129"/>
        <v>#N/A</v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>
        <f t="shared" si="128"/>
        <v>684</v>
      </c>
      <c r="U685" s="150" t="e">
        <f t="shared" si="129"/>
        <v>#N/A</v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>
        <f t="shared" si="128"/>
        <v>685</v>
      </c>
      <c r="U686" s="150" t="e">
        <f t="shared" si="129"/>
        <v>#N/A</v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>
        <f t="shared" si="128"/>
        <v>686</v>
      </c>
      <c r="U687" s="150" t="e">
        <f t="shared" si="129"/>
        <v>#N/A</v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>
        <f t="shared" si="128"/>
        <v>687</v>
      </c>
      <c r="U688" s="150" t="e">
        <f t="shared" si="129"/>
        <v>#N/A</v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>
        <f t="shared" si="128"/>
        <v>688</v>
      </c>
      <c r="U689" s="150" t="e">
        <f t="shared" si="129"/>
        <v>#N/A</v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>
        <f t="shared" si="128"/>
        <v>689</v>
      </c>
      <c r="U690" s="150" t="e">
        <f t="shared" si="129"/>
        <v>#N/A</v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>
        <f t="shared" si="128"/>
        <v>690</v>
      </c>
      <c r="U691" s="150" t="e">
        <f t="shared" si="129"/>
        <v>#N/A</v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>
        <f t="shared" si="128"/>
        <v>691</v>
      </c>
      <c r="U692" s="150" t="e">
        <f t="shared" si="129"/>
        <v>#N/A</v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>
        <f t="shared" si="128"/>
        <v>692</v>
      </c>
      <c r="U693" s="150" t="e">
        <f t="shared" si="129"/>
        <v>#N/A</v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>
        <f t="shared" si="128"/>
        <v>693</v>
      </c>
      <c r="U694" s="150" t="e">
        <f t="shared" si="129"/>
        <v>#N/A</v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>
        <f t="shared" si="128"/>
        <v>694</v>
      </c>
      <c r="U695" s="150" t="e">
        <f t="shared" si="129"/>
        <v>#N/A</v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>
        <f t="shared" si="128"/>
        <v>695</v>
      </c>
      <c r="U696" s="150" t="e">
        <f t="shared" si="129"/>
        <v>#N/A</v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>
        <f t="shared" si="128"/>
        <v>696</v>
      </c>
      <c r="U697" s="150" t="e">
        <f t="shared" si="129"/>
        <v>#N/A</v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>
        <f t="shared" si="128"/>
        <v>697</v>
      </c>
      <c r="U698" s="150" t="e">
        <f t="shared" si="129"/>
        <v>#N/A</v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>
        <f t="shared" si="128"/>
        <v>698</v>
      </c>
      <c r="U699" s="150" t="e">
        <f t="shared" si="129"/>
        <v>#N/A</v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>
        <f t="shared" si="128"/>
        <v>699</v>
      </c>
      <c r="U700" s="150" t="e">
        <f t="shared" si="129"/>
        <v>#N/A</v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>
        <f t="shared" si="128"/>
        <v>700</v>
      </c>
      <c r="U701" s="150" t="e">
        <f t="shared" si="129"/>
        <v>#N/A</v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>
        <f t="shared" si="128"/>
        <v>701</v>
      </c>
      <c r="U702" s="150" t="e">
        <f t="shared" si="129"/>
        <v>#N/A</v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>
        <f t="shared" si="128"/>
        <v>702</v>
      </c>
      <c r="U703" s="150" t="e">
        <f t="shared" si="129"/>
        <v>#N/A</v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>
        <f t="shared" si="128"/>
        <v>703</v>
      </c>
      <c r="U704" s="150" t="e">
        <f t="shared" si="129"/>
        <v>#N/A</v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>
        <f t="shared" si="128"/>
        <v>704</v>
      </c>
      <c r="U705" s="150" t="e">
        <f t="shared" si="129"/>
        <v>#N/A</v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>
        <f t="shared" si="128"/>
        <v>705</v>
      </c>
      <c r="U706" s="150" t="e">
        <f t="shared" si="129"/>
        <v>#N/A</v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>
        <f t="shared" ref="T707:T770" si="140">IF($B$41&gt;=K707,K707,"")</f>
        <v>706</v>
      </c>
      <c r="U707" s="150" t="e">
        <f t="shared" ref="U707:U770" si="141">IF(T707="","",IF(T707&lt;=$E$43,VLOOKUP($E$42,$I$1:$J$4,2,FALSE),VLOOKUP($F$42,$I$1:$J$4,2,FALSE)))</f>
        <v>#N/A</v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>
        <f t="shared" si="140"/>
        <v>707</v>
      </c>
      <c r="U708" s="150" t="e">
        <f t="shared" si="141"/>
        <v>#N/A</v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>
        <f t="shared" si="140"/>
        <v>708</v>
      </c>
      <c r="U709" s="150" t="e">
        <f t="shared" si="141"/>
        <v>#N/A</v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>
        <f t="shared" si="140"/>
        <v>709</v>
      </c>
      <c r="U710" s="150" t="e">
        <f t="shared" si="141"/>
        <v>#N/A</v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>
        <f t="shared" si="140"/>
        <v>710</v>
      </c>
      <c r="U711" s="150" t="e">
        <f t="shared" si="141"/>
        <v>#N/A</v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>
        <f t="shared" si="140"/>
        <v>711</v>
      </c>
      <c r="U712" s="150" t="e">
        <f t="shared" si="141"/>
        <v>#N/A</v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>
        <f t="shared" si="140"/>
        <v>712</v>
      </c>
      <c r="U713" s="150" t="e">
        <f t="shared" si="141"/>
        <v>#N/A</v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>
        <f t="shared" si="140"/>
        <v>713</v>
      </c>
      <c r="U714" s="150" t="e">
        <f t="shared" si="141"/>
        <v>#N/A</v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>
        <f t="shared" si="140"/>
        <v>714</v>
      </c>
      <c r="U715" s="150" t="e">
        <f t="shared" si="141"/>
        <v>#N/A</v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>
        <f t="shared" si="140"/>
        <v>715</v>
      </c>
      <c r="U716" s="150" t="e">
        <f t="shared" si="141"/>
        <v>#N/A</v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>
        <f t="shared" si="140"/>
        <v>716</v>
      </c>
      <c r="U717" s="150" t="e">
        <f t="shared" si="141"/>
        <v>#N/A</v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>
        <f t="shared" si="140"/>
        <v>717</v>
      </c>
      <c r="U718" s="150" t="e">
        <f t="shared" si="141"/>
        <v>#N/A</v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>
        <f t="shared" si="140"/>
        <v>718</v>
      </c>
      <c r="U719" s="150" t="e">
        <f t="shared" si="141"/>
        <v>#N/A</v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>
        <f t="shared" si="140"/>
        <v>719</v>
      </c>
      <c r="U720" s="150" t="e">
        <f t="shared" si="141"/>
        <v>#N/A</v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>
        <f t="shared" si="140"/>
        <v>720</v>
      </c>
      <c r="U721" s="150" t="e">
        <f t="shared" si="141"/>
        <v>#N/A</v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>
        <f t="shared" si="140"/>
        <v>721</v>
      </c>
      <c r="U722" s="150" t="e">
        <f t="shared" si="141"/>
        <v>#N/A</v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>
        <f t="shared" si="140"/>
        <v>722</v>
      </c>
      <c r="U723" s="150" t="e">
        <f t="shared" si="141"/>
        <v>#N/A</v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>
        <f t="shared" si="140"/>
        <v>723</v>
      </c>
      <c r="U724" s="150" t="e">
        <f t="shared" si="141"/>
        <v>#N/A</v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>
        <f t="shared" si="140"/>
        <v>724</v>
      </c>
      <c r="U725" s="150" t="e">
        <f t="shared" si="141"/>
        <v>#N/A</v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>
        <f t="shared" si="140"/>
        <v>725</v>
      </c>
      <c r="U726" s="150" t="e">
        <f t="shared" si="141"/>
        <v>#N/A</v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>
        <f t="shared" si="140"/>
        <v>726</v>
      </c>
      <c r="U727" s="150" t="e">
        <f t="shared" si="141"/>
        <v>#N/A</v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>
        <f t="shared" si="140"/>
        <v>727</v>
      </c>
      <c r="U728" s="150" t="e">
        <f t="shared" si="141"/>
        <v>#N/A</v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>
        <f t="shared" si="140"/>
        <v>728</v>
      </c>
      <c r="U729" s="150" t="e">
        <f t="shared" si="141"/>
        <v>#N/A</v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>
        <f t="shared" si="140"/>
        <v>729</v>
      </c>
      <c r="U730" s="150" t="e">
        <f t="shared" si="141"/>
        <v>#N/A</v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>
        <f t="shared" si="140"/>
        <v>730</v>
      </c>
      <c r="U731" s="150" t="e">
        <f t="shared" si="141"/>
        <v>#N/A</v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>
        <f t="shared" si="140"/>
        <v>731</v>
      </c>
      <c r="U732" s="150" t="e">
        <f t="shared" si="141"/>
        <v>#N/A</v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>
        <f t="shared" si="140"/>
        <v>732</v>
      </c>
      <c r="U733" s="150" t="e">
        <f t="shared" si="141"/>
        <v>#N/A</v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>
        <f t="shared" si="140"/>
        <v>733</v>
      </c>
      <c r="U734" s="150" t="e">
        <f t="shared" si="141"/>
        <v>#N/A</v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>
        <f t="shared" si="140"/>
        <v>734</v>
      </c>
      <c r="U735" s="150" t="e">
        <f t="shared" si="141"/>
        <v>#N/A</v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>
        <f t="shared" si="140"/>
        <v>735</v>
      </c>
      <c r="U736" s="150" t="e">
        <f t="shared" si="141"/>
        <v>#N/A</v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>
        <f t="shared" si="140"/>
        <v>736</v>
      </c>
      <c r="U737" s="150" t="e">
        <f t="shared" si="141"/>
        <v>#N/A</v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>
        <f t="shared" si="140"/>
        <v>737</v>
      </c>
      <c r="U738" s="150" t="e">
        <f t="shared" si="141"/>
        <v>#N/A</v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>
        <f t="shared" si="140"/>
        <v>738</v>
      </c>
      <c r="U739" s="150" t="e">
        <f t="shared" si="141"/>
        <v>#N/A</v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>
        <f t="shared" si="140"/>
        <v>739</v>
      </c>
      <c r="U740" s="150" t="e">
        <f t="shared" si="141"/>
        <v>#N/A</v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>
        <f t="shared" si="140"/>
        <v>740</v>
      </c>
      <c r="U741" s="150" t="e">
        <f t="shared" si="141"/>
        <v>#N/A</v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>
        <f t="shared" si="140"/>
        <v>741</v>
      </c>
      <c r="U742" s="150" t="e">
        <f t="shared" si="141"/>
        <v>#N/A</v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>
        <f t="shared" si="140"/>
        <v>742</v>
      </c>
      <c r="U743" s="150" t="e">
        <f t="shared" si="141"/>
        <v>#N/A</v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>
        <f t="shared" si="140"/>
        <v>743</v>
      </c>
      <c r="U744" s="150" t="e">
        <f t="shared" si="141"/>
        <v>#N/A</v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>
        <f t="shared" si="140"/>
        <v>744</v>
      </c>
      <c r="U745" s="150" t="e">
        <f t="shared" si="141"/>
        <v>#N/A</v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>
        <f t="shared" si="140"/>
        <v>745</v>
      </c>
      <c r="U746" s="150" t="e">
        <f t="shared" si="141"/>
        <v>#N/A</v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>
        <f t="shared" si="140"/>
        <v>746</v>
      </c>
      <c r="U747" s="150" t="e">
        <f t="shared" si="141"/>
        <v>#N/A</v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>
        <f t="shared" si="140"/>
        <v>747</v>
      </c>
      <c r="U748" s="150" t="e">
        <f t="shared" si="141"/>
        <v>#N/A</v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>
        <f t="shared" si="140"/>
        <v>748</v>
      </c>
      <c r="U749" s="150" t="e">
        <f t="shared" si="141"/>
        <v>#N/A</v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>
        <f t="shared" si="140"/>
        <v>749</v>
      </c>
      <c r="U750" s="150" t="e">
        <f t="shared" si="141"/>
        <v>#N/A</v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>
        <f t="shared" si="140"/>
        <v>750</v>
      </c>
      <c r="U751" s="150" t="e">
        <f t="shared" si="141"/>
        <v>#N/A</v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>
        <f t="shared" si="140"/>
        <v>751</v>
      </c>
      <c r="U752" s="150" t="e">
        <f t="shared" si="141"/>
        <v>#N/A</v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>
        <f t="shared" si="140"/>
        <v>752</v>
      </c>
      <c r="U753" s="150" t="e">
        <f t="shared" si="141"/>
        <v>#N/A</v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>
        <f t="shared" si="140"/>
        <v>753</v>
      </c>
      <c r="U754" s="150" t="e">
        <f t="shared" si="141"/>
        <v>#N/A</v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>
        <f t="shared" si="140"/>
        <v>754</v>
      </c>
      <c r="U755" s="150" t="e">
        <f t="shared" si="141"/>
        <v>#N/A</v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>
        <f t="shared" si="140"/>
        <v>755</v>
      </c>
      <c r="U756" s="150" t="e">
        <f t="shared" si="141"/>
        <v>#N/A</v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>
        <f t="shared" si="140"/>
        <v>756</v>
      </c>
      <c r="U757" s="150" t="e">
        <f t="shared" si="141"/>
        <v>#N/A</v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>
        <f t="shared" si="140"/>
        <v>757</v>
      </c>
      <c r="U758" s="150" t="e">
        <f t="shared" si="141"/>
        <v>#N/A</v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>
        <f t="shared" si="140"/>
        <v>758</v>
      </c>
      <c r="U759" s="150" t="e">
        <f t="shared" si="141"/>
        <v>#N/A</v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>
        <f t="shared" si="140"/>
        <v>759</v>
      </c>
      <c r="U760" s="150" t="e">
        <f t="shared" si="141"/>
        <v>#N/A</v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>
        <f t="shared" si="140"/>
        <v>760</v>
      </c>
      <c r="U761" s="150" t="e">
        <f t="shared" si="141"/>
        <v>#N/A</v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>
        <f t="shared" si="140"/>
        <v>761</v>
      </c>
      <c r="U762" s="150" t="e">
        <f t="shared" si="141"/>
        <v>#N/A</v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>
        <f t="shared" si="140"/>
        <v>762</v>
      </c>
      <c r="U763" s="150" t="e">
        <f t="shared" si="141"/>
        <v>#N/A</v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>
        <f t="shared" si="140"/>
        <v>763</v>
      </c>
      <c r="U764" s="150" t="e">
        <f t="shared" si="141"/>
        <v>#N/A</v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>
        <f t="shared" si="140"/>
        <v>764</v>
      </c>
      <c r="U765" s="150" t="e">
        <f t="shared" si="141"/>
        <v>#N/A</v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>
        <f t="shared" si="140"/>
        <v>765</v>
      </c>
      <c r="U766" s="150" t="e">
        <f t="shared" si="141"/>
        <v>#N/A</v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>
        <f t="shared" si="140"/>
        <v>766</v>
      </c>
      <c r="U767" s="150" t="e">
        <f t="shared" si="141"/>
        <v>#N/A</v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>
        <f t="shared" si="140"/>
        <v>767</v>
      </c>
      <c r="U768" s="150" t="e">
        <f t="shared" si="141"/>
        <v>#N/A</v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>
        <f t="shared" si="140"/>
        <v>768</v>
      </c>
      <c r="U769" s="150" t="e">
        <f t="shared" si="141"/>
        <v>#N/A</v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>
        <f t="shared" si="140"/>
        <v>769</v>
      </c>
      <c r="U770" s="150" t="e">
        <f t="shared" si="141"/>
        <v>#N/A</v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>
        <f t="shared" ref="T771:T834" si="152">IF($B$41&gt;=K771,K771,"")</f>
        <v>770</v>
      </c>
      <c r="U771" s="150" t="e">
        <f t="shared" ref="U771:U834" si="153">IF(T771="","",IF(T771&lt;=$E$43,VLOOKUP($E$42,$I$1:$J$4,2,FALSE),VLOOKUP($F$42,$I$1:$J$4,2,FALSE)))</f>
        <v>#N/A</v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>
        <f t="shared" si="152"/>
        <v>771</v>
      </c>
      <c r="U772" s="150" t="e">
        <f t="shared" si="153"/>
        <v>#N/A</v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>
        <f t="shared" si="152"/>
        <v>772</v>
      </c>
      <c r="U773" s="150" t="e">
        <f t="shared" si="153"/>
        <v>#N/A</v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>
        <f t="shared" si="152"/>
        <v>773</v>
      </c>
      <c r="U774" s="150" t="e">
        <f t="shared" si="153"/>
        <v>#N/A</v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>
        <f t="shared" si="152"/>
        <v>774</v>
      </c>
      <c r="U775" s="150" t="e">
        <f t="shared" si="153"/>
        <v>#N/A</v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>
        <f t="shared" si="152"/>
        <v>775</v>
      </c>
      <c r="U776" s="150" t="e">
        <f t="shared" si="153"/>
        <v>#N/A</v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>
        <f t="shared" si="152"/>
        <v>776</v>
      </c>
      <c r="U777" s="150" t="e">
        <f t="shared" si="153"/>
        <v>#N/A</v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>
        <f t="shared" si="152"/>
        <v>777</v>
      </c>
      <c r="U778" s="150" t="e">
        <f t="shared" si="153"/>
        <v>#N/A</v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>
        <f t="shared" si="152"/>
        <v>778</v>
      </c>
      <c r="U779" s="150" t="e">
        <f t="shared" si="153"/>
        <v>#N/A</v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>
        <f t="shared" si="152"/>
        <v>779</v>
      </c>
      <c r="U780" s="150" t="e">
        <f t="shared" si="153"/>
        <v>#N/A</v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>
        <f t="shared" si="152"/>
        <v>780</v>
      </c>
      <c r="U781" s="150" t="e">
        <f t="shared" si="153"/>
        <v>#N/A</v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>
        <f t="shared" si="152"/>
        <v>781</v>
      </c>
      <c r="U782" s="150" t="e">
        <f t="shared" si="153"/>
        <v>#N/A</v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>
        <f t="shared" si="152"/>
        <v>782</v>
      </c>
      <c r="U783" s="150" t="e">
        <f t="shared" si="153"/>
        <v>#N/A</v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>
        <f t="shared" si="152"/>
        <v>783</v>
      </c>
      <c r="U784" s="150" t="e">
        <f t="shared" si="153"/>
        <v>#N/A</v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>
        <f t="shared" si="152"/>
        <v>784</v>
      </c>
      <c r="U785" s="150" t="e">
        <f t="shared" si="153"/>
        <v>#N/A</v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>
        <f t="shared" si="152"/>
        <v>785</v>
      </c>
      <c r="U786" s="150" t="e">
        <f t="shared" si="153"/>
        <v>#N/A</v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>
        <f t="shared" si="152"/>
        <v>786</v>
      </c>
      <c r="U787" s="150" t="e">
        <f t="shared" si="153"/>
        <v>#N/A</v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>
        <f t="shared" si="152"/>
        <v>787</v>
      </c>
      <c r="U788" s="150" t="e">
        <f t="shared" si="153"/>
        <v>#N/A</v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>
        <f t="shared" si="152"/>
        <v>788</v>
      </c>
      <c r="U789" s="150" t="e">
        <f t="shared" si="153"/>
        <v>#N/A</v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>
        <f t="shared" si="152"/>
        <v>789</v>
      </c>
      <c r="U790" s="150" t="e">
        <f t="shared" si="153"/>
        <v>#N/A</v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>
        <f t="shared" si="152"/>
        <v>790</v>
      </c>
      <c r="U791" s="150" t="e">
        <f t="shared" si="153"/>
        <v>#N/A</v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>
        <f t="shared" si="152"/>
        <v>791</v>
      </c>
      <c r="U792" s="150" t="e">
        <f t="shared" si="153"/>
        <v>#N/A</v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>
        <f t="shared" si="152"/>
        <v>792</v>
      </c>
      <c r="U793" s="150" t="e">
        <f t="shared" si="153"/>
        <v>#N/A</v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>
        <f t="shared" si="152"/>
        <v>793</v>
      </c>
      <c r="U794" s="150" t="e">
        <f t="shared" si="153"/>
        <v>#N/A</v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>
        <f t="shared" si="152"/>
        <v>794</v>
      </c>
      <c r="U795" s="150" t="e">
        <f t="shared" si="153"/>
        <v>#N/A</v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>
        <f t="shared" si="152"/>
        <v>795</v>
      </c>
      <c r="U796" s="150" t="e">
        <f t="shared" si="153"/>
        <v>#N/A</v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>
        <f t="shared" si="152"/>
        <v>796</v>
      </c>
      <c r="U797" s="150" t="e">
        <f t="shared" si="153"/>
        <v>#N/A</v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>
        <f t="shared" si="152"/>
        <v>797</v>
      </c>
      <c r="U798" s="150" t="e">
        <f t="shared" si="153"/>
        <v>#N/A</v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>
        <f t="shared" si="152"/>
        <v>798</v>
      </c>
      <c r="U799" s="150" t="e">
        <f t="shared" si="153"/>
        <v>#N/A</v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>
        <f t="shared" si="152"/>
        <v>799</v>
      </c>
      <c r="U800" s="150" t="e">
        <f t="shared" si="153"/>
        <v>#N/A</v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>
        <f t="shared" si="152"/>
        <v>800</v>
      </c>
      <c r="U801" s="150" t="e">
        <f t="shared" si="153"/>
        <v>#N/A</v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>
        <f t="shared" si="152"/>
        <v>801</v>
      </c>
      <c r="U802" s="150" t="e">
        <f t="shared" si="153"/>
        <v>#N/A</v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>
        <f t="shared" si="152"/>
        <v>802</v>
      </c>
      <c r="U803" s="150" t="e">
        <f t="shared" si="153"/>
        <v>#N/A</v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>
        <f t="shared" si="152"/>
        <v>803</v>
      </c>
      <c r="U804" s="150" t="e">
        <f t="shared" si="153"/>
        <v>#N/A</v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>
        <f t="shared" si="152"/>
        <v>804</v>
      </c>
      <c r="U805" s="150" t="e">
        <f t="shared" si="153"/>
        <v>#N/A</v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>
        <f t="shared" si="152"/>
        <v>805</v>
      </c>
      <c r="U806" s="150" t="e">
        <f t="shared" si="153"/>
        <v>#N/A</v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>
        <f t="shared" si="152"/>
        <v>806</v>
      </c>
      <c r="U807" s="150" t="e">
        <f t="shared" si="153"/>
        <v>#N/A</v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>
        <f t="shared" si="152"/>
        <v>807</v>
      </c>
      <c r="U808" s="150" t="e">
        <f t="shared" si="153"/>
        <v>#N/A</v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>
        <f t="shared" si="152"/>
        <v>808</v>
      </c>
      <c r="U809" s="150" t="e">
        <f t="shared" si="153"/>
        <v>#N/A</v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>
        <f t="shared" si="152"/>
        <v>809</v>
      </c>
      <c r="U810" s="150" t="e">
        <f t="shared" si="153"/>
        <v>#N/A</v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>
        <f t="shared" si="152"/>
        <v>810</v>
      </c>
      <c r="U811" s="150" t="e">
        <f t="shared" si="153"/>
        <v>#N/A</v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>
        <f t="shared" si="152"/>
        <v>811</v>
      </c>
      <c r="U812" s="150" t="e">
        <f t="shared" si="153"/>
        <v>#N/A</v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>
        <f t="shared" si="152"/>
        <v>812</v>
      </c>
      <c r="U813" s="150" t="e">
        <f t="shared" si="153"/>
        <v>#N/A</v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>
        <f t="shared" si="152"/>
        <v>813</v>
      </c>
      <c r="U814" s="150" t="e">
        <f t="shared" si="153"/>
        <v>#N/A</v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>
        <f t="shared" si="152"/>
        <v>814</v>
      </c>
      <c r="U815" s="150" t="e">
        <f t="shared" si="153"/>
        <v>#N/A</v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>
        <f t="shared" si="152"/>
        <v>815</v>
      </c>
      <c r="U816" s="150" t="e">
        <f t="shared" si="153"/>
        <v>#N/A</v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>
        <f t="shared" si="152"/>
        <v>816</v>
      </c>
      <c r="U817" s="150" t="e">
        <f t="shared" si="153"/>
        <v>#N/A</v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>
        <f t="shared" si="152"/>
        <v>817</v>
      </c>
      <c r="U818" s="150" t="e">
        <f t="shared" si="153"/>
        <v>#N/A</v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>
        <f t="shared" si="152"/>
        <v>818</v>
      </c>
      <c r="U819" s="150" t="e">
        <f t="shared" si="153"/>
        <v>#N/A</v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>
        <f t="shared" si="152"/>
        <v>819</v>
      </c>
      <c r="U820" s="150" t="e">
        <f t="shared" si="153"/>
        <v>#N/A</v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>
        <f t="shared" si="152"/>
        <v>820</v>
      </c>
      <c r="U821" s="150" t="e">
        <f t="shared" si="153"/>
        <v>#N/A</v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>
        <f t="shared" si="152"/>
        <v>821</v>
      </c>
      <c r="U822" s="150" t="e">
        <f t="shared" si="153"/>
        <v>#N/A</v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>
        <f t="shared" si="152"/>
        <v>822</v>
      </c>
      <c r="U823" s="150" t="e">
        <f t="shared" si="153"/>
        <v>#N/A</v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>
        <f t="shared" si="152"/>
        <v>823</v>
      </c>
      <c r="U824" s="150" t="e">
        <f t="shared" si="153"/>
        <v>#N/A</v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>
        <f t="shared" si="152"/>
        <v>824</v>
      </c>
      <c r="U825" s="150" t="e">
        <f t="shared" si="153"/>
        <v>#N/A</v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>
        <f t="shared" si="152"/>
        <v>825</v>
      </c>
      <c r="U826" s="150" t="e">
        <f t="shared" si="153"/>
        <v>#N/A</v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>
        <f t="shared" si="152"/>
        <v>826</v>
      </c>
      <c r="U827" s="150" t="e">
        <f t="shared" si="153"/>
        <v>#N/A</v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>
        <f t="shared" si="152"/>
        <v>827</v>
      </c>
      <c r="U828" s="150" t="e">
        <f t="shared" si="153"/>
        <v>#N/A</v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>
        <f t="shared" si="152"/>
        <v>828</v>
      </c>
      <c r="U829" s="150" t="e">
        <f t="shared" si="153"/>
        <v>#N/A</v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>
        <f t="shared" si="152"/>
        <v>829</v>
      </c>
      <c r="U830" s="150" t="e">
        <f t="shared" si="153"/>
        <v>#N/A</v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>
        <f t="shared" si="152"/>
        <v>830</v>
      </c>
      <c r="U831" s="150" t="e">
        <f t="shared" si="153"/>
        <v>#N/A</v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>
        <f t="shared" si="152"/>
        <v>831</v>
      </c>
      <c r="U832" s="150" t="e">
        <f t="shared" si="153"/>
        <v>#N/A</v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>
        <f t="shared" si="152"/>
        <v>832</v>
      </c>
      <c r="U833" s="150" t="e">
        <f t="shared" si="153"/>
        <v>#N/A</v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>
        <f t="shared" si="152"/>
        <v>833</v>
      </c>
      <c r="U834" s="150" t="e">
        <f t="shared" si="153"/>
        <v>#N/A</v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>
        <f t="shared" ref="T835:T865" si="164">IF($B$41&gt;=K835,K835,"")</f>
        <v>834</v>
      </c>
      <c r="U835" s="150" t="e">
        <f t="shared" ref="U835:U865" si="165">IF(T835="","",IF(T835&lt;=$E$43,VLOOKUP($E$42,$I$1:$J$4,2,FALSE),VLOOKUP($F$42,$I$1:$J$4,2,FALSE)))</f>
        <v>#N/A</v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>
        <f t="shared" si="164"/>
        <v>835</v>
      </c>
      <c r="U836" s="150" t="e">
        <f t="shared" si="165"/>
        <v>#N/A</v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>
        <f t="shared" si="164"/>
        <v>836</v>
      </c>
      <c r="U837" s="150" t="e">
        <f t="shared" si="165"/>
        <v>#N/A</v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>
        <f t="shared" si="164"/>
        <v>837</v>
      </c>
      <c r="U838" s="150" t="e">
        <f t="shared" si="165"/>
        <v>#N/A</v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>
        <f t="shared" si="164"/>
        <v>838</v>
      </c>
      <c r="U839" s="150" t="e">
        <f t="shared" si="165"/>
        <v>#N/A</v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>
        <f t="shared" si="164"/>
        <v>839</v>
      </c>
      <c r="U840" s="150" t="e">
        <f t="shared" si="165"/>
        <v>#N/A</v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>
        <f t="shared" si="164"/>
        <v>840</v>
      </c>
      <c r="U841" s="150" t="e">
        <f t="shared" si="165"/>
        <v>#N/A</v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>
        <f t="shared" si="164"/>
        <v>841</v>
      </c>
      <c r="U842" s="150" t="e">
        <f t="shared" si="165"/>
        <v>#N/A</v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>
        <f t="shared" si="164"/>
        <v>842</v>
      </c>
      <c r="U843" s="150" t="e">
        <f t="shared" si="165"/>
        <v>#N/A</v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>
        <f t="shared" si="164"/>
        <v>843</v>
      </c>
      <c r="U844" s="150" t="e">
        <f t="shared" si="165"/>
        <v>#N/A</v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>
        <f t="shared" si="164"/>
        <v>844</v>
      </c>
      <c r="U845" s="150" t="e">
        <f t="shared" si="165"/>
        <v>#N/A</v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>
        <f t="shared" si="164"/>
        <v>845</v>
      </c>
      <c r="U846" s="150" t="e">
        <f t="shared" si="165"/>
        <v>#N/A</v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>
        <f t="shared" si="164"/>
        <v>846</v>
      </c>
      <c r="U847" s="150" t="e">
        <f t="shared" si="165"/>
        <v>#N/A</v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>
        <f t="shared" si="164"/>
        <v>847</v>
      </c>
      <c r="U848" s="150" t="e">
        <f t="shared" si="165"/>
        <v>#N/A</v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>
        <f t="shared" si="164"/>
        <v>848</v>
      </c>
      <c r="U849" s="150" t="e">
        <f t="shared" si="165"/>
        <v>#N/A</v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>
        <f t="shared" si="164"/>
        <v>849</v>
      </c>
      <c r="U850" s="150" t="e">
        <f t="shared" si="165"/>
        <v>#N/A</v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>
        <f t="shared" si="164"/>
        <v>850</v>
      </c>
      <c r="U851" s="150" t="e">
        <f t="shared" si="165"/>
        <v>#N/A</v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>
        <f t="shared" si="164"/>
        <v>851</v>
      </c>
      <c r="U852" s="150" t="e">
        <f t="shared" si="165"/>
        <v>#N/A</v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>
        <f t="shared" si="164"/>
        <v>852</v>
      </c>
      <c r="U853" s="150" t="e">
        <f t="shared" si="165"/>
        <v>#N/A</v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>
        <f t="shared" si="164"/>
        <v>853</v>
      </c>
      <c r="U854" s="150" t="e">
        <f t="shared" si="165"/>
        <v>#N/A</v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>
        <f t="shared" si="164"/>
        <v>854</v>
      </c>
      <c r="U855" s="150" t="e">
        <f t="shared" si="165"/>
        <v>#N/A</v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>
        <f t="shared" si="164"/>
        <v>855</v>
      </c>
      <c r="U856" s="150" t="e">
        <f t="shared" si="165"/>
        <v>#N/A</v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>
        <f t="shared" si="164"/>
        <v>856</v>
      </c>
      <c r="U857" s="150" t="e">
        <f t="shared" si="165"/>
        <v>#N/A</v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>
        <f t="shared" si="164"/>
        <v>857</v>
      </c>
      <c r="U858" s="150" t="e">
        <f t="shared" si="165"/>
        <v>#N/A</v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>
        <f t="shared" si="164"/>
        <v>858</v>
      </c>
      <c r="U859" s="150" t="e">
        <f t="shared" si="165"/>
        <v>#N/A</v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>
        <f t="shared" si="164"/>
        <v>859</v>
      </c>
      <c r="U860" s="150" t="e">
        <f t="shared" si="165"/>
        <v>#N/A</v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>
        <f t="shared" si="164"/>
        <v>860</v>
      </c>
      <c r="U861" s="150" t="e">
        <f t="shared" si="165"/>
        <v>#N/A</v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>
        <f t="shared" si="164"/>
        <v>861</v>
      </c>
      <c r="U862" s="150" t="e">
        <f t="shared" si="165"/>
        <v>#N/A</v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>
        <f t="shared" si="164"/>
        <v>862</v>
      </c>
      <c r="U863" s="150" t="e">
        <f t="shared" si="165"/>
        <v>#N/A</v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>
        <f t="shared" si="164"/>
        <v>863</v>
      </c>
      <c r="U864" s="150" t="e">
        <f t="shared" si="165"/>
        <v>#N/A</v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>
        <f t="shared" si="164"/>
        <v>864</v>
      </c>
      <c r="U865" s="150" t="e">
        <f t="shared" si="165"/>
        <v>#N/A</v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101421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101421</v>
      </c>
      <c r="C3" s="221"/>
      <c r="D3" s="221"/>
      <c r="E3" s="221"/>
      <c r="F3" s="348" t="str">
        <f>'Cover - Location Info'!J10</f>
        <v>2.0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R19" sqref="R19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IND-5A (W)</v>
      </c>
      <c r="AI1" s="120" t="s">
        <v>17</v>
      </c>
      <c r="AJ1" s="121" t="s">
        <v>12</v>
      </c>
      <c r="AM1" s="121" t="str">
        <f>AF1</f>
        <v>[A] IND-5A (W)</v>
      </c>
      <c r="AN1" s="121" t="s">
        <v>17</v>
      </c>
      <c r="AO1" s="121" t="s">
        <v>13</v>
      </c>
      <c r="AR1" s="121" t="str">
        <f>AF2</f>
        <v>[B] IND-5A (N)</v>
      </c>
      <c r="AS1" s="121" t="s">
        <v>17</v>
      </c>
      <c r="AT1" s="121" t="s">
        <v>36</v>
      </c>
      <c r="AW1" s="121" t="str">
        <f>AF3</f>
        <v>[C] IND-B336</v>
      </c>
      <c r="AX1" s="121" t="s">
        <v>17</v>
      </c>
      <c r="AY1" s="121" t="s">
        <v>37</v>
      </c>
      <c r="BB1" s="121" t="str">
        <f>AF4</f>
        <v>[D] 386791: ZAYO-ENT-S-1</v>
      </c>
      <c r="BC1" s="121" t="s">
        <v>17</v>
      </c>
      <c r="BD1" s="121" t="s">
        <v>38</v>
      </c>
      <c r="BG1" s="121" t="str">
        <f>AF5</f>
        <v>[E] 386893: CUST-ENT-N-1</v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IND-5A (N)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e">
        <f>IF('Cable Info'!T2="","",CONCATENATE('Cable Info'!T2," - ",'Cable Info'!U2))</f>
        <v>#N/A</v>
      </c>
      <c r="BG2" s="121" t="e">
        <f>IF(BE2="",BD2,CONCATENATE(BD2,"  &lt;=&gt; ",BE2," ",BF2))</f>
        <v>#N/A</v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101421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2.0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IND-B336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e">
        <f>IF('Cable Info'!T3="","",CONCATENATE('Cable Info'!T3," - ",'Cable Info'!U3))</f>
        <v>#N/A</v>
      </c>
      <c r="BG3" s="121" t="e">
        <f t="shared" ref="BG3:BG10" si="4">IF(BE3="",BD3,CONCATENATE(BD3,"  &lt;=&gt; ",BE3," ",BF3))</f>
        <v>#N/A</v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386791: ZAYO-ENT-S-1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e">
        <f>IF('Cable Info'!T4="","",CONCATENATE('Cable Info'!T4," - ",'Cable Info'!U4))</f>
        <v>#N/A</v>
      </c>
      <c r="BG4" s="121" t="e">
        <f t="shared" si="4"/>
        <v>#N/A</v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>[E] 386893: CUST-ENT-N-1</v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e">
        <f>IF('Cable Info'!T5="","",CONCATENATE('Cable Info'!T5," - ",'Cable Info'!U5))</f>
        <v>#N/A</v>
      </c>
      <c r="BG5" s="121" t="e">
        <f t="shared" si="4"/>
        <v>#N/A</v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e">
        <f>IF('Cable Info'!T6="","",CONCATENATE('Cable Info'!T6," - ",'Cable Info'!U6))</f>
        <v>#N/A</v>
      </c>
      <c r="BG6" s="121" t="e">
        <f t="shared" si="4"/>
        <v>#N/A</v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e">
        <f>IF('Cable Info'!T7="","",CONCATENATE('Cable Info'!T7," - ",'Cable Info'!U7))</f>
        <v>#N/A</v>
      </c>
      <c r="BG7" s="121" t="e">
        <f t="shared" si="4"/>
        <v>#N/A</v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e">
        <f>IF('Cable Info'!T8="","",CONCATENATE('Cable Info'!T8," - ",'Cable Info'!U8))</f>
        <v>#N/A</v>
      </c>
      <c r="BG8" s="121" t="e">
        <f t="shared" si="4"/>
        <v>#N/A</v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e">
        <f>IF('Cable Info'!T9="","",CONCATENATE('Cable Info'!T9," - ",'Cable Info'!U9))</f>
        <v>#N/A</v>
      </c>
      <c r="BG9" s="121" t="e">
        <f t="shared" si="4"/>
        <v>#N/A</v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IND-5A (W)</v>
      </c>
      <c r="D10" s="243"/>
      <c r="E10" s="259">
        <v>81</v>
      </c>
      <c r="F10" s="110" t="s">
        <v>45</v>
      </c>
      <c r="G10" s="262">
        <v>82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386893: CUST-ENT-N-1</v>
      </c>
      <c r="N10" s="129"/>
      <c r="O10" s="179"/>
      <c r="P10" s="130" t="s">
        <v>38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104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e">
        <f>IF('Cable Info'!T10="","",CONCATENATE('Cable Info'!T10," - ",'Cable Info'!U10))</f>
        <v>#N/A</v>
      </c>
      <c r="BG10" s="121" t="e">
        <f t="shared" si="4"/>
        <v>#N/A</v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105</v>
      </c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IND-5A (W)</v>
      </c>
      <c r="D11" s="244"/>
      <c r="E11" s="260">
        <v>83</v>
      </c>
      <c r="F11" s="105" t="s">
        <v>45</v>
      </c>
      <c r="G11" s="263">
        <v>84</v>
      </c>
      <c r="H11" s="115">
        <f>IF(G11="","",((E11-G11)-1)*(-1))</f>
        <v>2</v>
      </c>
      <c r="I11" s="265">
        <v>1</v>
      </c>
      <c r="J11" s="105" t="s">
        <v>45</v>
      </c>
      <c r="K11" s="268">
        <v>2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386791: ZAYO-ENT-S-1</v>
      </c>
      <c r="N11" s="134"/>
      <c r="O11" s="180"/>
      <c r="P11" s="135" t="s">
        <v>37</v>
      </c>
      <c r="Q11" s="190"/>
      <c r="R11" s="131" t="s">
        <v>60</v>
      </c>
      <c r="S11" s="131" t="s">
        <v>52</v>
      </c>
      <c r="T11" s="132">
        <v>42673</v>
      </c>
      <c r="U11" s="132"/>
      <c r="V11" s="133" t="s">
        <v>10</v>
      </c>
      <c r="W11" s="133" t="s">
        <v>106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e">
        <f>IF('Cable Info'!T10="","",CONCATENATE('Cable Info'!T10," - ",'Cable Info'!U10))</f>
        <v>#N/A</v>
      </c>
      <c r="BG11" s="121" t="e">
        <f t="shared" ref="BG11" si="15">IF(BE11="",BD11,CONCATENATE(BD11,"  &lt;=&gt; ",BE11," ",BF11))</f>
        <v>#N/A</v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107</v>
      </c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IND-5A (W)</v>
      </c>
      <c r="D12" s="244"/>
      <c r="E12" s="260">
        <v>85</v>
      </c>
      <c r="F12" s="105" t="s">
        <v>45</v>
      </c>
      <c r="G12" s="263">
        <v>86</v>
      </c>
      <c r="H12" s="115">
        <f t="shared" ref="H12" si="17">IF(G12="","",((E12-G12)-1)*(-1))</f>
        <v>2</v>
      </c>
      <c r="I12" s="265">
        <v>1</v>
      </c>
      <c r="J12" s="105" t="s">
        <v>45</v>
      </c>
      <c r="K12" s="268">
        <v>2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IND-B336</v>
      </c>
      <c r="N12" s="134"/>
      <c r="O12" s="180"/>
      <c r="P12" s="135" t="s">
        <v>36</v>
      </c>
      <c r="Q12" s="190"/>
      <c r="R12" s="131" t="s">
        <v>60</v>
      </c>
      <c r="S12" s="131" t="s">
        <v>52</v>
      </c>
      <c r="T12" s="132">
        <v>42673</v>
      </c>
      <c r="U12" s="132"/>
      <c r="V12" s="133" t="s">
        <v>10</v>
      </c>
      <c r="W12" s="133" t="s">
        <v>108</v>
      </c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e">
        <f>IF('Cable Info'!T11="","",CONCATENATE('Cable Info'!T11," - ",'Cable Info'!U11))</f>
        <v>#N/A</v>
      </c>
      <c r="BG12" s="121" t="e">
        <f t="shared" ref="BG12" si="27">IF(BE12="",BD12,CONCATENATE(BD12,"  &lt;=&gt; ",BE12," ",BF12))</f>
        <v>#N/A</v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 t="s">
        <v>109</v>
      </c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IND-5A (W)</v>
      </c>
      <c r="D13" s="244"/>
      <c r="E13" s="260">
        <v>87</v>
      </c>
      <c r="F13" s="105" t="s">
        <v>45</v>
      </c>
      <c r="G13" s="263">
        <v>88</v>
      </c>
      <c r="H13" s="115">
        <f t="shared" ref="H13:H76" si="29">IF(G13="","",((E13-G13)-1)*(-1))</f>
        <v>2</v>
      </c>
      <c r="I13" s="265">
        <v>3</v>
      </c>
      <c r="J13" s="105" t="s">
        <v>45</v>
      </c>
      <c r="K13" s="268">
        <v>4</v>
      </c>
      <c r="L13" s="247"/>
      <c r="M13" s="115" t="str">
        <f>IFERROR(IF(P13="","",IF((COUNTIF('Cable Info'!$B$11:$C$50,P13)=0),VLOOKUP(P13,'Cable Info (2)'!$B$11:$C$50,2,FALSE),(VLOOKUP(P13,'Cable Info'!$B$11:$C$50,2,FALSE)))),"NO SUCH EXIT")</f>
        <v>IND-B336</v>
      </c>
      <c r="N13" s="134"/>
      <c r="O13" s="180"/>
      <c r="P13" s="135" t="s">
        <v>36</v>
      </c>
      <c r="Q13" s="190"/>
      <c r="R13" s="131" t="s">
        <v>60</v>
      </c>
      <c r="S13" s="131" t="s">
        <v>52</v>
      </c>
      <c r="T13" s="132">
        <v>42673</v>
      </c>
      <c r="U13" s="132"/>
      <c r="V13" s="133" t="s">
        <v>10</v>
      </c>
      <c r="W13" s="133" t="s">
        <v>110</v>
      </c>
      <c r="X13" s="195">
        <f t="shared" ref="X13:X76" si="30">IF(V13="","",IF(R13="","",IF(S13="","",IF(R13="SPLICED",(IF(S13="SPLICE",0,9)),IF(V13=$U$3,(IF(S13="BREAK",12,11)),IF(S13="BREAK",2,1))))))</f>
        <v>0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e">
        <f>IF('Cable Info'!T12="","",CONCATENATE('Cable Info'!T12," - ",'Cable Info'!U12))</f>
        <v>#N/A</v>
      </c>
      <c r="BG13" s="121" t="e">
        <f t="shared" ref="BG13:BG76" si="39">IF(BE13="",BD13,CONCATENATE(BD13,"  &lt;=&gt; ",BE13," ",BF13))</f>
        <v>#N/A</v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 t="s">
        <v>111</v>
      </c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IND-5A (W)</v>
      </c>
      <c r="D14" s="244"/>
      <c r="E14" s="260">
        <v>89</v>
      </c>
      <c r="F14" s="105" t="s">
        <v>45</v>
      </c>
      <c r="G14" s="263">
        <v>94</v>
      </c>
      <c r="H14" s="115">
        <f t="shared" si="29"/>
        <v>6</v>
      </c>
      <c r="I14" s="265">
        <v>5</v>
      </c>
      <c r="J14" s="105" t="s">
        <v>45</v>
      </c>
      <c r="K14" s="268">
        <v>10</v>
      </c>
      <c r="L14" s="247"/>
      <c r="M14" s="115" t="str">
        <f>IFERROR(IF(P14="","",IF((COUNTIF('Cable Info'!$B$11:$C$50,P14)=0),VLOOKUP(P14,'Cable Info (2)'!$B$11:$C$50,2,FALSE),(VLOOKUP(P14,'Cable Info'!$B$11:$C$50,2,FALSE)))),"NO SUCH EXIT")</f>
        <v>IND-B336</v>
      </c>
      <c r="N14" s="134"/>
      <c r="O14" s="180"/>
      <c r="P14" s="135" t="s">
        <v>36</v>
      </c>
      <c r="Q14" s="190"/>
      <c r="R14" s="136" t="s">
        <v>59</v>
      </c>
      <c r="S14" s="136" t="s">
        <v>52</v>
      </c>
      <c r="T14" s="137">
        <v>42878</v>
      </c>
      <c r="U14" s="137"/>
      <c r="V14" s="138" t="s">
        <v>113</v>
      </c>
      <c r="W14" s="133"/>
      <c r="X14" s="195">
        <f t="shared" si="30"/>
        <v>11</v>
      </c>
      <c r="Y14" s="252" t="str">
        <f t="shared" si="31"/>
        <v/>
      </c>
      <c r="Z14" s="253" t="str">
        <f t="shared" si="32"/>
        <v/>
      </c>
      <c r="AA14" s="253">
        <f t="shared" si="33"/>
        <v>6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e">
        <f>IF('Cable Info'!T13="","",CONCATENATE('Cable Info'!T13," - ",'Cable Info'!U13))</f>
        <v>#N/A</v>
      </c>
      <c r="BG14" s="121" t="e">
        <f t="shared" si="39"/>
        <v>#N/A</v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 t="s">
        <v>114</v>
      </c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e">
        <f>IF('Cable Info'!T14="","",CONCATENATE('Cable Info'!T14," - ",'Cable Info'!U14))</f>
        <v>#N/A</v>
      </c>
      <c r="BG15" s="121" t="e">
        <f t="shared" si="39"/>
        <v>#N/A</v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e">
        <f>IF('Cable Info'!T15="","",CONCATENATE('Cable Info'!T15," - ",'Cable Info'!U15))</f>
        <v>#N/A</v>
      </c>
      <c r="BG16" s="121" t="e">
        <f t="shared" si="39"/>
        <v>#N/A</v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e">
        <f>IF('Cable Info'!T16="","",CONCATENATE('Cable Info'!T16," - ",'Cable Info'!U16))</f>
        <v>#N/A</v>
      </c>
      <c r="BG17" s="121" t="e">
        <f t="shared" si="39"/>
        <v>#N/A</v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e">
        <f>IF('Cable Info'!T17="","",CONCATENATE('Cable Info'!T17," - ",'Cable Info'!U17))</f>
        <v>#N/A</v>
      </c>
      <c r="BG18" s="121" t="e">
        <f t="shared" si="39"/>
        <v>#N/A</v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e">
        <f>IF('Cable Info'!T18="","",CONCATENATE('Cable Info'!T18," - ",'Cable Info'!U18))</f>
        <v>#N/A</v>
      </c>
      <c r="BG19" s="121" t="e">
        <f t="shared" si="39"/>
        <v>#N/A</v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e">
        <f>IF('Cable Info'!T19="","",CONCATENATE('Cable Info'!T19," - ",'Cable Info'!U19))</f>
        <v>#N/A</v>
      </c>
      <c r="BG20" s="121" t="e">
        <f t="shared" si="39"/>
        <v>#N/A</v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e">
        <f>IF('Cable Info'!T20="","",CONCATENATE('Cable Info'!T20," - ",'Cable Info'!U20))</f>
        <v>#N/A</v>
      </c>
      <c r="BG21" s="121" t="e">
        <f t="shared" si="39"/>
        <v>#N/A</v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e">
        <f>IF('Cable Info'!T21="","",CONCATENATE('Cable Info'!T21," - ",'Cable Info'!U21))</f>
        <v>#N/A</v>
      </c>
      <c r="BG22" s="121" t="e">
        <f t="shared" si="39"/>
        <v>#N/A</v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e">
        <f>IF('Cable Info'!T22="","",CONCATENATE('Cable Info'!T22," - ",'Cable Info'!U22))</f>
        <v>#N/A</v>
      </c>
      <c r="BG23" s="121" t="e">
        <f t="shared" si="39"/>
        <v>#N/A</v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e">
        <f>IF('Cable Info'!T23="","",CONCATENATE('Cable Info'!T23," - ",'Cable Info'!U23))</f>
        <v>#N/A</v>
      </c>
      <c r="BG24" s="121" t="e">
        <f t="shared" si="39"/>
        <v>#N/A</v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e">
        <f>IF('Cable Info'!T24="","",CONCATENATE('Cable Info'!T24," - ",'Cable Info'!U24))</f>
        <v>#N/A</v>
      </c>
      <c r="BG25" s="121" t="e">
        <f t="shared" si="39"/>
        <v>#N/A</v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e">
        <f>IF('Cable Info'!T25="","",CONCATENATE('Cable Info'!T25," - ",'Cable Info'!U25))</f>
        <v>#N/A</v>
      </c>
      <c r="BG26" s="121" t="e">
        <f t="shared" si="39"/>
        <v>#N/A</v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e">
        <f>IF('Cable Info'!T26="","",CONCATENATE('Cable Info'!T26," - ",'Cable Info'!U26))</f>
        <v>#N/A</v>
      </c>
      <c r="BG27" s="121" t="e">
        <f t="shared" si="39"/>
        <v>#N/A</v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e">
        <f>IF('Cable Info'!T27="","",CONCATENATE('Cable Info'!T27," - ",'Cable Info'!U27))</f>
        <v>#N/A</v>
      </c>
      <c r="BG28" s="121" t="e">
        <f t="shared" si="39"/>
        <v>#N/A</v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e">
        <f>IF('Cable Info'!T28="","",CONCATENATE('Cable Info'!T28," - ",'Cable Info'!U28))</f>
        <v>#N/A</v>
      </c>
      <c r="BG29" s="121" t="e">
        <f t="shared" si="39"/>
        <v>#N/A</v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e">
        <f>IF('Cable Info'!T29="","",CONCATENATE('Cable Info'!T29," - ",'Cable Info'!U29))</f>
        <v>#N/A</v>
      </c>
      <c r="BG30" s="121" t="e">
        <f t="shared" si="39"/>
        <v>#N/A</v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e">
        <f>IF('Cable Info'!T30="","",CONCATENATE('Cable Info'!T30," - ",'Cable Info'!U30))</f>
        <v>#N/A</v>
      </c>
      <c r="BG31" s="121" t="e">
        <f t="shared" si="39"/>
        <v>#N/A</v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e">
        <f>IF('Cable Info'!T31="","",CONCATENATE('Cable Info'!T31," - ",'Cable Info'!U31))</f>
        <v>#N/A</v>
      </c>
      <c r="BG32" s="121" t="e">
        <f t="shared" si="39"/>
        <v>#N/A</v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e">
        <f>IF('Cable Info'!T32="","",CONCATENATE('Cable Info'!T32," - ",'Cable Info'!U32))</f>
        <v>#N/A</v>
      </c>
      <c r="BG33" s="121" t="e">
        <f t="shared" si="39"/>
        <v>#N/A</v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e">
        <f>IF('Cable Info'!T33="","",CONCATENATE('Cable Info'!T33," - ",'Cable Info'!U33))</f>
        <v>#N/A</v>
      </c>
      <c r="BG34" s="121" t="e">
        <f t="shared" si="39"/>
        <v>#N/A</v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e">
        <f>IF('Cable Info'!T34="","",CONCATENATE('Cable Info'!T34," - ",'Cable Info'!U34))</f>
        <v>#N/A</v>
      </c>
      <c r="BG35" s="121" t="e">
        <f t="shared" si="39"/>
        <v>#N/A</v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e">
        <f>IF('Cable Info'!T35="","",CONCATENATE('Cable Info'!T35," - ",'Cable Info'!U35))</f>
        <v>#N/A</v>
      </c>
      <c r="BG36" s="121" t="e">
        <f t="shared" si="39"/>
        <v>#N/A</v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e">
        <f>IF('Cable Info'!T36="","",CONCATENATE('Cable Info'!T36," - ",'Cable Info'!U36))</f>
        <v>#N/A</v>
      </c>
      <c r="BG37" s="121" t="e">
        <f t="shared" si="39"/>
        <v>#N/A</v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e">
        <f>IF('Cable Info'!T37="","",CONCATENATE('Cable Info'!T37," - ",'Cable Info'!U37))</f>
        <v>#N/A</v>
      </c>
      <c r="BG38" s="121" t="e">
        <f t="shared" si="39"/>
        <v>#N/A</v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e">
        <f>IF('Cable Info'!T38="","",CONCATENATE('Cable Info'!T38," - ",'Cable Info'!U38))</f>
        <v>#N/A</v>
      </c>
      <c r="BG39" s="121" t="e">
        <f t="shared" si="39"/>
        <v>#N/A</v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e">
        <f>IF('Cable Info'!T39="","",CONCATENATE('Cable Info'!T39," - ",'Cable Info'!U39))</f>
        <v>#N/A</v>
      </c>
      <c r="BG40" s="121" t="e">
        <f t="shared" si="39"/>
        <v>#N/A</v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e">
        <f>IF('Cable Info'!T40="","",CONCATENATE('Cable Info'!T40," - ",'Cable Info'!U40))</f>
        <v>#N/A</v>
      </c>
      <c r="BG41" s="121" t="e">
        <f t="shared" si="39"/>
        <v>#N/A</v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e">
        <f>IF('Cable Info'!T41="","",CONCATENATE('Cable Info'!T41," - ",'Cable Info'!U41))</f>
        <v>#N/A</v>
      </c>
      <c r="BG42" s="121" t="e">
        <f t="shared" si="39"/>
        <v>#N/A</v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e">
        <f>IF('Cable Info'!T42="","",CONCATENATE('Cable Info'!T42," - ",'Cable Info'!U42))</f>
        <v>#N/A</v>
      </c>
      <c r="BG43" s="121" t="e">
        <f t="shared" si="39"/>
        <v>#N/A</v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e">
        <f>IF('Cable Info'!T43="","",CONCATENATE('Cable Info'!T43," - ",'Cable Info'!U43))</f>
        <v>#N/A</v>
      </c>
      <c r="BG44" s="121" t="e">
        <f t="shared" si="39"/>
        <v>#N/A</v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e">
        <f>IF('Cable Info'!T44="","",CONCATENATE('Cable Info'!T44," - ",'Cable Info'!U44))</f>
        <v>#N/A</v>
      </c>
      <c r="BG45" s="121" t="e">
        <f t="shared" si="39"/>
        <v>#N/A</v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e">
        <f>IF('Cable Info'!T45="","",CONCATENATE('Cable Info'!T45," - ",'Cable Info'!U45))</f>
        <v>#N/A</v>
      </c>
      <c r="BG46" s="121" t="e">
        <f t="shared" si="39"/>
        <v>#N/A</v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e">
        <f>IF('Cable Info'!T46="","",CONCATENATE('Cable Info'!T46," - ",'Cable Info'!U46))</f>
        <v>#N/A</v>
      </c>
      <c r="BG47" s="121" t="e">
        <f t="shared" si="39"/>
        <v>#N/A</v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e">
        <f>IF('Cable Info'!T47="","",CONCATENATE('Cable Info'!T47," - ",'Cable Info'!U47))</f>
        <v>#N/A</v>
      </c>
      <c r="BG48" s="121" t="e">
        <f t="shared" si="39"/>
        <v>#N/A</v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e">
        <f>IF('Cable Info'!T48="","",CONCATENATE('Cable Info'!T48," - ",'Cable Info'!U48))</f>
        <v>#N/A</v>
      </c>
      <c r="BG49" s="121" t="e">
        <f t="shared" si="39"/>
        <v>#N/A</v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e">
        <f>IF('Cable Info'!T49="","",CONCATENATE('Cable Info'!T49," - ",'Cable Info'!U49))</f>
        <v>#N/A</v>
      </c>
      <c r="BG50" s="121" t="e">
        <f t="shared" si="39"/>
        <v>#N/A</v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e">
        <f>IF('Cable Info'!T50="","",CONCATENATE('Cable Info'!T50," - ",'Cable Info'!U50))</f>
        <v>#N/A</v>
      </c>
      <c r="BG51" s="121" t="e">
        <f t="shared" si="39"/>
        <v>#N/A</v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e">
        <f>IF('Cable Info'!T51="","",CONCATENATE('Cable Info'!T51," - ",'Cable Info'!U51))</f>
        <v>#N/A</v>
      </c>
      <c r="BG52" s="121" t="e">
        <f t="shared" si="39"/>
        <v>#N/A</v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e">
        <f>IF('Cable Info'!T52="","",CONCATENATE('Cable Info'!T52," - ",'Cable Info'!U52))</f>
        <v>#N/A</v>
      </c>
      <c r="BG53" s="121" t="e">
        <f t="shared" si="39"/>
        <v>#N/A</v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e">
        <f>IF('Cable Info'!T53="","",CONCATENATE('Cable Info'!T53," - ",'Cable Info'!U53))</f>
        <v>#N/A</v>
      </c>
      <c r="BG54" s="121" t="e">
        <f t="shared" si="39"/>
        <v>#N/A</v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e">
        <f>IF('Cable Info'!T54="","",CONCATENATE('Cable Info'!T54," - ",'Cable Info'!U54))</f>
        <v>#N/A</v>
      </c>
      <c r="BG55" s="121" t="e">
        <f t="shared" si="39"/>
        <v>#N/A</v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e">
        <f>IF('Cable Info'!T55="","",CONCATENATE('Cable Info'!T55," - ",'Cable Info'!U55))</f>
        <v>#N/A</v>
      </c>
      <c r="BG56" s="121" t="e">
        <f t="shared" si="39"/>
        <v>#N/A</v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e">
        <f>IF('Cable Info'!T56="","",CONCATENATE('Cable Info'!T56," - ",'Cable Info'!U56))</f>
        <v>#N/A</v>
      </c>
      <c r="BG57" s="121" t="e">
        <f t="shared" si="39"/>
        <v>#N/A</v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e">
        <f>IF('Cable Info'!T57="","",CONCATENATE('Cable Info'!T57," - ",'Cable Info'!U57))</f>
        <v>#N/A</v>
      </c>
      <c r="BG58" s="121" t="e">
        <f t="shared" si="39"/>
        <v>#N/A</v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e">
        <f>IF('Cable Info'!T58="","",CONCATENATE('Cable Info'!T58," - ",'Cable Info'!U58))</f>
        <v>#N/A</v>
      </c>
      <c r="BG59" s="121" t="e">
        <f t="shared" si="39"/>
        <v>#N/A</v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e">
        <f>IF('Cable Info'!T59="","",CONCATENATE('Cable Info'!T59," - ",'Cable Info'!U59))</f>
        <v>#N/A</v>
      </c>
      <c r="BG60" s="121" t="e">
        <f t="shared" si="39"/>
        <v>#N/A</v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e">
        <f>IF('Cable Info'!T60="","",CONCATENATE('Cable Info'!T60," - ",'Cable Info'!U60))</f>
        <v>#N/A</v>
      </c>
      <c r="BG61" s="121" t="e">
        <f t="shared" si="39"/>
        <v>#N/A</v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e">
        <f>IF('Cable Info'!T61="","",CONCATENATE('Cable Info'!T61," - ",'Cable Info'!U61))</f>
        <v>#N/A</v>
      </c>
      <c r="BG62" s="121" t="e">
        <f t="shared" si="39"/>
        <v>#N/A</v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e">
        <f>IF('Cable Info'!T62="","",CONCATENATE('Cable Info'!T62," - ",'Cable Info'!U62))</f>
        <v>#N/A</v>
      </c>
      <c r="BG63" s="121" t="e">
        <f t="shared" si="39"/>
        <v>#N/A</v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e">
        <f>IF('Cable Info'!T63="","",CONCATENATE('Cable Info'!T63," - ",'Cable Info'!U63))</f>
        <v>#N/A</v>
      </c>
      <c r="BG64" s="121" t="e">
        <f t="shared" si="39"/>
        <v>#N/A</v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e">
        <f>IF('Cable Info'!T64="","",CONCATENATE('Cable Info'!T64," - ",'Cable Info'!U64))</f>
        <v>#N/A</v>
      </c>
      <c r="BG65" s="121" t="e">
        <f t="shared" si="39"/>
        <v>#N/A</v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e">
        <f>IF('Cable Info'!T65="","",CONCATENATE('Cable Info'!T65," - ",'Cable Info'!U65))</f>
        <v>#N/A</v>
      </c>
      <c r="BG66" s="121" t="e">
        <f t="shared" si="39"/>
        <v>#N/A</v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e">
        <f>IF('Cable Info'!T66="","",CONCATENATE('Cable Info'!T66," - ",'Cable Info'!U66))</f>
        <v>#N/A</v>
      </c>
      <c r="BG67" s="121" t="e">
        <f t="shared" si="39"/>
        <v>#N/A</v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e">
        <f>IF('Cable Info'!T67="","",CONCATENATE('Cable Info'!T67," - ",'Cable Info'!U67))</f>
        <v>#N/A</v>
      </c>
      <c r="BG68" s="121" t="e">
        <f t="shared" si="39"/>
        <v>#N/A</v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e">
        <f>IF('Cable Info'!T68="","",CONCATENATE('Cable Info'!T68," - ",'Cable Info'!U68))</f>
        <v>#N/A</v>
      </c>
      <c r="BG69" s="121" t="e">
        <f t="shared" si="39"/>
        <v>#N/A</v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e">
        <f>IF('Cable Info'!T69="","",CONCATENATE('Cable Info'!T69," - ",'Cable Info'!U69))</f>
        <v>#N/A</v>
      </c>
      <c r="BG70" s="121" t="e">
        <f t="shared" si="39"/>
        <v>#N/A</v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e">
        <f>IF('Cable Info'!T70="","",CONCATENATE('Cable Info'!T70," - ",'Cable Info'!U70))</f>
        <v>#N/A</v>
      </c>
      <c r="BG71" s="121" t="e">
        <f t="shared" si="39"/>
        <v>#N/A</v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e">
        <f>IF('Cable Info'!T71="","",CONCATENATE('Cable Info'!T71," - ",'Cable Info'!U71))</f>
        <v>#N/A</v>
      </c>
      <c r="BG72" s="121" t="e">
        <f t="shared" si="39"/>
        <v>#N/A</v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e">
        <f>IF('Cable Info'!T72="","",CONCATENATE('Cable Info'!T72," - ",'Cable Info'!U72))</f>
        <v>#N/A</v>
      </c>
      <c r="BG73" s="121" t="e">
        <f t="shared" si="39"/>
        <v>#N/A</v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e">
        <f>IF('Cable Info'!T73="","",CONCATENATE('Cable Info'!T73," - ",'Cable Info'!U73))</f>
        <v>#N/A</v>
      </c>
      <c r="BG74" s="121" t="e">
        <f t="shared" si="39"/>
        <v>#N/A</v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e">
        <f>IF('Cable Info'!T74="","",CONCATENATE('Cable Info'!T74," - ",'Cable Info'!U74))</f>
        <v>#N/A</v>
      </c>
      <c r="BG75" s="121" t="e">
        <f t="shared" si="39"/>
        <v>#N/A</v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e">
        <f>IF('Cable Info'!T75="","",CONCATENATE('Cable Info'!T75," - ",'Cable Info'!U75))</f>
        <v>#N/A</v>
      </c>
      <c r="BG76" s="121" t="e">
        <f t="shared" si="39"/>
        <v>#N/A</v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e">
        <f>IF('Cable Info'!T76="","",CONCATENATE('Cable Info'!T76," - ",'Cable Info'!U76))</f>
        <v>#N/A</v>
      </c>
      <c r="BG77" s="121" t="e">
        <f t="shared" ref="BG77:BG140" si="51">IF(BE77="",BD77,CONCATENATE(BD77,"  &lt;=&gt; ",BE77," ",BF77))</f>
        <v>#N/A</v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e">
        <f>IF('Cable Info'!T77="","",CONCATENATE('Cable Info'!T77," - ",'Cable Info'!U77))</f>
        <v>#N/A</v>
      </c>
      <c r="BG78" s="121" t="e">
        <f t="shared" si="51"/>
        <v>#N/A</v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e">
        <f>IF('Cable Info'!T78="","",CONCATENATE('Cable Info'!T78," - ",'Cable Info'!U78))</f>
        <v>#N/A</v>
      </c>
      <c r="BG79" s="121" t="e">
        <f t="shared" si="51"/>
        <v>#N/A</v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e">
        <f>IF('Cable Info'!T79="","",CONCATENATE('Cable Info'!T79," - ",'Cable Info'!U79))</f>
        <v>#N/A</v>
      </c>
      <c r="BG80" s="121" t="e">
        <f t="shared" si="51"/>
        <v>#N/A</v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e">
        <f>IF('Cable Info'!T80="","",CONCATENATE('Cable Info'!T80," - ",'Cable Info'!U80))</f>
        <v>#N/A</v>
      </c>
      <c r="BG81" s="121" t="e">
        <f t="shared" si="51"/>
        <v>#N/A</v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e">
        <f>IF('Cable Info'!T81="","",CONCATENATE('Cable Info'!T81," - ",'Cable Info'!U81))</f>
        <v>#N/A</v>
      </c>
      <c r="BG82" s="121" t="e">
        <f t="shared" si="51"/>
        <v>#N/A</v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e">
        <f>IF('Cable Info'!T82="","",CONCATENATE('Cable Info'!T82," - ",'Cable Info'!U82))</f>
        <v>#N/A</v>
      </c>
      <c r="BG83" s="121" t="e">
        <f t="shared" si="51"/>
        <v>#N/A</v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e">
        <f>IF('Cable Info'!T83="","",CONCATENATE('Cable Info'!T83," - ",'Cable Info'!U83))</f>
        <v>#N/A</v>
      </c>
      <c r="BG84" s="121" t="e">
        <f t="shared" si="51"/>
        <v>#N/A</v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e">
        <f>IF('Cable Info'!T84="","",CONCATENATE('Cable Info'!T84," - ",'Cable Info'!U84))</f>
        <v>#N/A</v>
      </c>
      <c r="BG85" s="121" t="e">
        <f t="shared" si="51"/>
        <v>#N/A</v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e">
        <f>IF('Cable Info'!T85="","",CONCATENATE('Cable Info'!T85," - ",'Cable Info'!U85))</f>
        <v>#N/A</v>
      </c>
      <c r="BG86" s="121" t="e">
        <f t="shared" si="51"/>
        <v>#N/A</v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e">
        <f>IF('Cable Info'!T86="","",CONCATENATE('Cable Info'!T86," - ",'Cable Info'!U86))</f>
        <v>#N/A</v>
      </c>
      <c r="BG87" s="121" t="e">
        <f t="shared" si="51"/>
        <v>#N/A</v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e">
        <f>IF('Cable Info'!T87="","",CONCATENATE('Cable Info'!T87," - ",'Cable Info'!U87))</f>
        <v>#N/A</v>
      </c>
      <c r="BG88" s="121" t="e">
        <f t="shared" si="51"/>
        <v>#N/A</v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e">
        <f>IF('Cable Info'!T88="","",CONCATENATE('Cable Info'!T88," - ",'Cable Info'!U88))</f>
        <v>#N/A</v>
      </c>
      <c r="BG89" s="121" t="e">
        <f t="shared" si="51"/>
        <v>#N/A</v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e">
        <f>IF('Cable Info'!T89="","",CONCATENATE('Cable Info'!T89," - ",'Cable Info'!U89))</f>
        <v>#N/A</v>
      </c>
      <c r="BG90" s="121" t="e">
        <f t="shared" si="51"/>
        <v>#N/A</v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e">
        <f>IF('Cable Info'!T90="","",CONCATENATE('Cable Info'!T90," - ",'Cable Info'!U90))</f>
        <v>#N/A</v>
      </c>
      <c r="BG91" s="121" t="e">
        <f t="shared" si="51"/>
        <v>#N/A</v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e">
        <f>IF('Cable Info'!T91="","",CONCATENATE('Cable Info'!T91," - ",'Cable Info'!U91))</f>
        <v>#N/A</v>
      </c>
      <c r="BG92" s="121" t="e">
        <f t="shared" si="51"/>
        <v>#N/A</v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e">
        <f>IF('Cable Info'!T92="","",CONCATENATE('Cable Info'!T92," - ",'Cable Info'!U92))</f>
        <v>#N/A</v>
      </c>
      <c r="BG93" s="121" t="e">
        <f t="shared" si="51"/>
        <v>#N/A</v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e">
        <f>IF('Cable Info'!T93="","",CONCATENATE('Cable Info'!T93," - ",'Cable Info'!U93))</f>
        <v>#N/A</v>
      </c>
      <c r="BG94" s="121" t="e">
        <f t="shared" si="51"/>
        <v>#N/A</v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e">
        <f>IF('Cable Info'!T94="","",CONCATENATE('Cable Info'!T94," - ",'Cable Info'!U94))</f>
        <v>#N/A</v>
      </c>
      <c r="BG95" s="121" t="e">
        <f t="shared" si="51"/>
        <v>#N/A</v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e">
        <f>IF('Cable Info'!T95="","",CONCATENATE('Cable Info'!T95," - ",'Cable Info'!U95))</f>
        <v>#N/A</v>
      </c>
      <c r="BG96" s="121" t="e">
        <f t="shared" si="51"/>
        <v>#N/A</v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e">
        <f>IF('Cable Info'!T96="","",CONCATENATE('Cable Info'!T96," - ",'Cable Info'!U96))</f>
        <v>#N/A</v>
      </c>
      <c r="BG97" s="121" t="e">
        <f t="shared" si="51"/>
        <v>#N/A</v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e">
        <f>IF('Cable Info'!T97="","",CONCATENATE('Cable Info'!T97," - ",'Cable Info'!U97))</f>
        <v>#N/A</v>
      </c>
      <c r="BG98" s="121" t="e">
        <f t="shared" si="51"/>
        <v>#N/A</v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e">
        <f>IF('Cable Info'!T98="","",CONCATENATE('Cable Info'!T98," - ",'Cable Info'!U98))</f>
        <v>#N/A</v>
      </c>
      <c r="BG99" s="121" t="e">
        <f t="shared" si="51"/>
        <v>#N/A</v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e">
        <f>IF('Cable Info'!T99="","",CONCATENATE('Cable Info'!T99," - ",'Cable Info'!U99))</f>
        <v>#N/A</v>
      </c>
      <c r="BG100" s="121" t="e">
        <f t="shared" si="51"/>
        <v>#N/A</v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e">
        <f>IF('Cable Info'!T100="","",CONCATENATE('Cable Info'!T100," - ",'Cable Info'!U100))</f>
        <v>#N/A</v>
      </c>
      <c r="BG101" s="121" t="e">
        <f t="shared" si="51"/>
        <v>#N/A</v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e">
        <f>IF('Cable Info'!T101="","",CONCATENATE('Cable Info'!T101," - ",'Cable Info'!U101))</f>
        <v>#N/A</v>
      </c>
      <c r="BG102" s="121" t="e">
        <f t="shared" si="51"/>
        <v>#N/A</v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e">
        <f>IF('Cable Info'!T102="","",CONCATENATE('Cable Info'!T102," - ",'Cable Info'!U102))</f>
        <v>#N/A</v>
      </c>
      <c r="BG103" s="121" t="e">
        <f t="shared" si="51"/>
        <v>#N/A</v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e">
        <f>IF('Cable Info'!T103="","",CONCATENATE('Cable Info'!T103," - ",'Cable Info'!U103))</f>
        <v>#N/A</v>
      </c>
      <c r="BG104" s="121" t="e">
        <f t="shared" si="51"/>
        <v>#N/A</v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e">
        <f>IF('Cable Info'!T104="","",CONCATENATE('Cable Info'!T104," - ",'Cable Info'!U104))</f>
        <v>#N/A</v>
      </c>
      <c r="BG105" s="121" t="e">
        <f t="shared" si="51"/>
        <v>#N/A</v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e">
        <f>IF('Cable Info'!T105="","",CONCATENATE('Cable Info'!T105," - ",'Cable Info'!U105))</f>
        <v>#N/A</v>
      </c>
      <c r="BG106" s="121" t="e">
        <f t="shared" si="51"/>
        <v>#N/A</v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e">
        <f>IF('Cable Info'!T106="","",CONCATENATE('Cable Info'!T106," - ",'Cable Info'!U106))</f>
        <v>#N/A</v>
      </c>
      <c r="BG107" s="121" t="e">
        <f t="shared" si="51"/>
        <v>#N/A</v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e">
        <f>IF('Cable Info'!T107="","",CONCATENATE('Cable Info'!T107," - ",'Cable Info'!U107))</f>
        <v>#N/A</v>
      </c>
      <c r="BG108" s="121" t="e">
        <f t="shared" si="51"/>
        <v>#N/A</v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e">
        <f>IF('Cable Info'!T108="","",CONCATENATE('Cable Info'!T108," - ",'Cable Info'!U108))</f>
        <v>#N/A</v>
      </c>
      <c r="BG109" s="121" t="e">
        <f t="shared" si="51"/>
        <v>#N/A</v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e">
        <f>IF('Cable Info'!T109="","",CONCATENATE('Cable Info'!T109," - ",'Cable Info'!U109))</f>
        <v>#N/A</v>
      </c>
      <c r="BG110" s="121" t="e">
        <f t="shared" si="51"/>
        <v>#N/A</v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e">
        <f>IF('Cable Info'!T110="","",CONCATENATE('Cable Info'!T110," - ",'Cable Info'!U110))</f>
        <v>#N/A</v>
      </c>
      <c r="BG111" s="121" t="e">
        <f t="shared" si="51"/>
        <v>#N/A</v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e">
        <f>IF('Cable Info'!T111="","",CONCATENATE('Cable Info'!T111," - ",'Cable Info'!U111))</f>
        <v>#N/A</v>
      </c>
      <c r="BG112" s="121" t="e">
        <f t="shared" si="51"/>
        <v>#N/A</v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e">
        <f>IF('Cable Info'!T112="","",CONCATENATE('Cable Info'!T112," - ",'Cable Info'!U112))</f>
        <v>#N/A</v>
      </c>
      <c r="BG113" s="121" t="e">
        <f t="shared" si="51"/>
        <v>#N/A</v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e">
        <f>IF('Cable Info'!T113="","",CONCATENATE('Cable Info'!T113," - ",'Cable Info'!U113))</f>
        <v>#N/A</v>
      </c>
      <c r="BG114" s="121" t="e">
        <f t="shared" si="51"/>
        <v>#N/A</v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e">
        <f>IF('Cable Info'!T114="","",CONCATENATE('Cable Info'!T114," - ",'Cable Info'!U114))</f>
        <v>#N/A</v>
      </c>
      <c r="BG115" s="121" t="e">
        <f t="shared" si="51"/>
        <v>#N/A</v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e">
        <f>IF('Cable Info'!T115="","",CONCATENATE('Cable Info'!T115," - ",'Cable Info'!U115))</f>
        <v>#N/A</v>
      </c>
      <c r="BG116" s="121" t="e">
        <f t="shared" si="51"/>
        <v>#N/A</v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e">
        <f>IF('Cable Info'!T116="","",CONCATENATE('Cable Info'!T116," - ",'Cable Info'!U116))</f>
        <v>#N/A</v>
      </c>
      <c r="BG117" s="121" t="e">
        <f t="shared" si="51"/>
        <v>#N/A</v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e">
        <f>IF('Cable Info'!T117="","",CONCATENATE('Cable Info'!T117," - ",'Cable Info'!U117))</f>
        <v>#N/A</v>
      </c>
      <c r="BG118" s="121" t="e">
        <f t="shared" si="51"/>
        <v>#N/A</v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e">
        <f>IF('Cable Info'!T118="","",CONCATENATE('Cable Info'!T118," - ",'Cable Info'!U118))</f>
        <v>#N/A</v>
      </c>
      <c r="BG119" s="121" t="e">
        <f t="shared" si="51"/>
        <v>#N/A</v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e">
        <f>IF('Cable Info'!T119="","",CONCATENATE('Cable Info'!T119," - ",'Cable Info'!U119))</f>
        <v>#N/A</v>
      </c>
      <c r="BG120" s="121" t="e">
        <f t="shared" si="51"/>
        <v>#N/A</v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e">
        <f>IF('Cable Info'!T120="","",CONCATENATE('Cable Info'!T120," - ",'Cable Info'!U120))</f>
        <v>#N/A</v>
      </c>
      <c r="BG121" s="121" t="e">
        <f t="shared" si="51"/>
        <v>#N/A</v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e">
        <f>IF('Cable Info'!T121="","",CONCATENATE('Cable Info'!T121," - ",'Cable Info'!U121))</f>
        <v>#N/A</v>
      </c>
      <c r="BG122" s="121" t="e">
        <f t="shared" si="51"/>
        <v>#N/A</v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e">
        <f>IF('Cable Info'!T122="","",CONCATENATE('Cable Info'!T122," - ",'Cable Info'!U122))</f>
        <v>#N/A</v>
      </c>
      <c r="BG123" s="121" t="e">
        <f t="shared" si="51"/>
        <v>#N/A</v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e">
        <f>IF('Cable Info'!T123="","",CONCATENATE('Cable Info'!T123," - ",'Cable Info'!U123))</f>
        <v>#N/A</v>
      </c>
      <c r="BG124" s="121" t="e">
        <f t="shared" si="51"/>
        <v>#N/A</v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e">
        <f>IF('Cable Info'!T124="","",CONCATENATE('Cable Info'!T124," - ",'Cable Info'!U124))</f>
        <v>#N/A</v>
      </c>
      <c r="BG125" s="121" t="e">
        <f t="shared" si="51"/>
        <v>#N/A</v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e">
        <f>IF('Cable Info'!T125="","",CONCATENATE('Cable Info'!T125," - ",'Cable Info'!U125))</f>
        <v>#N/A</v>
      </c>
      <c r="BG126" s="121" t="e">
        <f t="shared" si="51"/>
        <v>#N/A</v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e">
        <f>IF('Cable Info'!T126="","",CONCATENATE('Cable Info'!T126," - ",'Cable Info'!U126))</f>
        <v>#N/A</v>
      </c>
      <c r="BG127" s="121" t="e">
        <f t="shared" si="51"/>
        <v>#N/A</v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e">
        <f>IF('Cable Info'!T127="","",CONCATENATE('Cable Info'!T127," - ",'Cable Info'!U127))</f>
        <v>#N/A</v>
      </c>
      <c r="BG128" s="121" t="e">
        <f t="shared" si="51"/>
        <v>#N/A</v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e">
        <f>IF('Cable Info'!T128="","",CONCATENATE('Cable Info'!T128," - ",'Cable Info'!U128))</f>
        <v>#N/A</v>
      </c>
      <c r="BG129" s="121" t="e">
        <f t="shared" si="51"/>
        <v>#N/A</v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e">
        <f>IF('Cable Info'!T129="","",CONCATENATE('Cable Info'!T129," - ",'Cable Info'!U129))</f>
        <v>#N/A</v>
      </c>
      <c r="BG130" s="121" t="e">
        <f t="shared" si="51"/>
        <v>#N/A</v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e">
        <f>IF('Cable Info'!T130="","",CONCATENATE('Cable Info'!T130," - ",'Cable Info'!U130))</f>
        <v>#N/A</v>
      </c>
      <c r="BG131" s="121" t="e">
        <f t="shared" si="51"/>
        <v>#N/A</v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e">
        <f>IF('Cable Info'!T131="","",CONCATENATE('Cable Info'!T131," - ",'Cable Info'!U131))</f>
        <v>#N/A</v>
      </c>
      <c r="BG132" s="121" t="e">
        <f t="shared" si="51"/>
        <v>#N/A</v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e">
        <f>IF('Cable Info'!T132="","",CONCATENATE('Cable Info'!T132," - ",'Cable Info'!U132))</f>
        <v>#N/A</v>
      </c>
      <c r="BG133" s="121" t="e">
        <f t="shared" si="51"/>
        <v>#N/A</v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e">
        <f>IF('Cable Info'!T133="","",CONCATENATE('Cable Info'!T133," - ",'Cable Info'!U133))</f>
        <v>#N/A</v>
      </c>
      <c r="BG134" s="121" t="e">
        <f t="shared" si="51"/>
        <v>#N/A</v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e">
        <f>IF('Cable Info'!T134="","",CONCATENATE('Cable Info'!T134," - ",'Cable Info'!U134))</f>
        <v>#N/A</v>
      </c>
      <c r="BG135" s="121" t="e">
        <f t="shared" si="51"/>
        <v>#N/A</v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e">
        <f>IF('Cable Info'!T135="","",CONCATENATE('Cable Info'!T135," - ",'Cable Info'!U135))</f>
        <v>#N/A</v>
      </c>
      <c r="BG136" s="121" t="e">
        <f t="shared" si="51"/>
        <v>#N/A</v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e">
        <f>IF('Cable Info'!T136="","",CONCATENATE('Cable Info'!T136," - ",'Cable Info'!U136))</f>
        <v>#N/A</v>
      </c>
      <c r="BG137" s="121" t="e">
        <f t="shared" si="51"/>
        <v>#N/A</v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e">
        <f>IF('Cable Info'!T137="","",CONCATENATE('Cable Info'!T137," - ",'Cable Info'!U137))</f>
        <v>#N/A</v>
      </c>
      <c r="BG138" s="121" t="e">
        <f t="shared" si="51"/>
        <v>#N/A</v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e">
        <f>IF('Cable Info'!T138="","",CONCATENATE('Cable Info'!T138," - ",'Cable Info'!U138))</f>
        <v>#N/A</v>
      </c>
      <c r="BG139" s="121" t="e">
        <f t="shared" si="51"/>
        <v>#N/A</v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e">
        <f>IF('Cable Info'!T139="","",CONCATENATE('Cable Info'!T139," - ",'Cable Info'!U139))</f>
        <v>#N/A</v>
      </c>
      <c r="BG140" s="121" t="e">
        <f t="shared" si="51"/>
        <v>#N/A</v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e">
        <f>IF('Cable Info'!T140="","",CONCATENATE('Cable Info'!T140," - ",'Cable Info'!U140))</f>
        <v>#N/A</v>
      </c>
      <c r="BG141" s="121" t="e">
        <f t="shared" ref="BG141:BG204" si="63">IF(BE141="",BD141,CONCATENATE(BD141,"  &lt;=&gt; ",BE141," ",BF141))</f>
        <v>#N/A</v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e">
        <f>IF('Cable Info'!T141="","",CONCATENATE('Cable Info'!T141," - ",'Cable Info'!U141))</f>
        <v>#N/A</v>
      </c>
      <c r="BG142" s="121" t="e">
        <f t="shared" si="63"/>
        <v>#N/A</v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e">
        <f>IF('Cable Info'!T142="","",CONCATENATE('Cable Info'!T142," - ",'Cable Info'!U142))</f>
        <v>#N/A</v>
      </c>
      <c r="BG143" s="121" t="e">
        <f t="shared" si="63"/>
        <v>#N/A</v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e">
        <f>IF('Cable Info'!T143="","",CONCATENATE('Cable Info'!T143," - ",'Cable Info'!U143))</f>
        <v>#N/A</v>
      </c>
      <c r="BG144" s="121" t="e">
        <f t="shared" si="63"/>
        <v>#N/A</v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e">
        <f>IF('Cable Info'!T144="","",CONCATENATE('Cable Info'!T144," - ",'Cable Info'!U144))</f>
        <v>#N/A</v>
      </c>
      <c r="BG145" s="121" t="e">
        <f t="shared" si="63"/>
        <v>#N/A</v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e">
        <f>IF('Cable Info'!T145="","",CONCATENATE('Cable Info'!T145," - ",'Cable Info'!U145))</f>
        <v>#N/A</v>
      </c>
      <c r="BG146" s="121" t="e">
        <f t="shared" si="63"/>
        <v>#N/A</v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e">
        <f>IF('Cable Info'!T146="","",CONCATENATE('Cable Info'!T146," - ",'Cable Info'!U146))</f>
        <v>#N/A</v>
      </c>
      <c r="BG147" s="121" t="e">
        <f t="shared" si="63"/>
        <v>#N/A</v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e">
        <f>IF('Cable Info'!T147="","",CONCATENATE('Cable Info'!T147," - ",'Cable Info'!U147))</f>
        <v>#N/A</v>
      </c>
      <c r="BG148" s="121" t="e">
        <f t="shared" si="63"/>
        <v>#N/A</v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e">
        <f>IF('Cable Info'!T148="","",CONCATENATE('Cable Info'!T148," - ",'Cable Info'!U148))</f>
        <v>#N/A</v>
      </c>
      <c r="BG149" s="121" t="e">
        <f t="shared" si="63"/>
        <v>#N/A</v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e">
        <f>IF('Cable Info'!T149="","",CONCATENATE('Cable Info'!T149," - ",'Cable Info'!U149))</f>
        <v>#N/A</v>
      </c>
      <c r="BG150" s="121" t="e">
        <f t="shared" si="63"/>
        <v>#N/A</v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e">
        <f>IF('Cable Info'!T150="","",CONCATENATE('Cable Info'!T150," - ",'Cable Info'!U150))</f>
        <v>#N/A</v>
      </c>
      <c r="BG151" s="121" t="e">
        <f t="shared" si="63"/>
        <v>#N/A</v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e">
        <f>IF('Cable Info'!T151="","",CONCATENATE('Cable Info'!T151," - ",'Cable Info'!U151))</f>
        <v>#N/A</v>
      </c>
      <c r="BG152" s="121" t="e">
        <f t="shared" si="63"/>
        <v>#N/A</v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e">
        <f>IF('Cable Info'!T152="","",CONCATENATE('Cable Info'!T152," - ",'Cable Info'!U152))</f>
        <v>#N/A</v>
      </c>
      <c r="BG153" s="121" t="e">
        <f t="shared" si="63"/>
        <v>#N/A</v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e">
        <f>IF('Cable Info'!T153="","",CONCATENATE('Cable Info'!T153," - ",'Cable Info'!U153))</f>
        <v>#N/A</v>
      </c>
      <c r="BG154" s="121" t="e">
        <f t="shared" si="63"/>
        <v>#N/A</v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e">
        <f>IF('Cable Info'!T154="","",CONCATENATE('Cable Info'!T154," - ",'Cable Info'!U154))</f>
        <v>#N/A</v>
      </c>
      <c r="BG155" s="121" t="e">
        <f t="shared" si="63"/>
        <v>#N/A</v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e">
        <f>IF('Cable Info'!T155="","",CONCATENATE('Cable Info'!T155," - ",'Cable Info'!U155))</f>
        <v>#N/A</v>
      </c>
      <c r="BG156" s="121" t="e">
        <f t="shared" si="63"/>
        <v>#N/A</v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e">
        <f>IF('Cable Info'!T156="","",CONCATENATE('Cable Info'!T156," - ",'Cable Info'!U156))</f>
        <v>#N/A</v>
      </c>
      <c r="BG157" s="121" t="e">
        <f t="shared" si="63"/>
        <v>#N/A</v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e">
        <f>IF('Cable Info'!T157="","",CONCATENATE('Cable Info'!T157," - ",'Cable Info'!U157))</f>
        <v>#N/A</v>
      </c>
      <c r="BG158" s="121" t="e">
        <f t="shared" si="63"/>
        <v>#N/A</v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e">
        <f>IF('Cable Info'!T158="","",CONCATENATE('Cable Info'!T158," - ",'Cable Info'!U158))</f>
        <v>#N/A</v>
      </c>
      <c r="BG159" s="121" t="e">
        <f t="shared" si="63"/>
        <v>#N/A</v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e">
        <f>IF('Cable Info'!T159="","",CONCATENATE('Cable Info'!T159," - ",'Cable Info'!U159))</f>
        <v>#N/A</v>
      </c>
      <c r="BG160" s="121" t="e">
        <f t="shared" si="63"/>
        <v>#N/A</v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e">
        <f>IF('Cable Info'!T160="","",CONCATENATE('Cable Info'!T160," - ",'Cable Info'!U160))</f>
        <v>#N/A</v>
      </c>
      <c r="BG161" s="121" t="e">
        <f t="shared" si="63"/>
        <v>#N/A</v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e">
        <f>IF('Cable Info'!T161="","",CONCATENATE('Cable Info'!T161," - ",'Cable Info'!U161))</f>
        <v>#N/A</v>
      </c>
      <c r="BG162" s="121" t="e">
        <f t="shared" si="63"/>
        <v>#N/A</v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e">
        <f>IF('Cable Info'!T162="","",CONCATENATE('Cable Info'!T162," - ",'Cable Info'!U162))</f>
        <v>#N/A</v>
      </c>
      <c r="BG163" s="121" t="e">
        <f t="shared" si="63"/>
        <v>#N/A</v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e">
        <f>IF('Cable Info'!T163="","",CONCATENATE('Cable Info'!T163," - ",'Cable Info'!U163))</f>
        <v>#N/A</v>
      </c>
      <c r="BG164" s="121" t="e">
        <f t="shared" si="63"/>
        <v>#N/A</v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e">
        <f>IF('Cable Info'!T164="","",CONCATENATE('Cable Info'!T164," - ",'Cable Info'!U164))</f>
        <v>#N/A</v>
      </c>
      <c r="BG165" s="121" t="e">
        <f t="shared" si="63"/>
        <v>#N/A</v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e">
        <f>IF('Cable Info'!T165="","",CONCATENATE('Cable Info'!T165," - ",'Cable Info'!U165))</f>
        <v>#N/A</v>
      </c>
      <c r="BG166" s="121" t="e">
        <f t="shared" si="63"/>
        <v>#N/A</v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e">
        <f>IF('Cable Info'!T166="","",CONCATENATE('Cable Info'!T166," - ",'Cable Info'!U166))</f>
        <v>#N/A</v>
      </c>
      <c r="BG167" s="121" t="e">
        <f t="shared" si="63"/>
        <v>#N/A</v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e">
        <f>IF('Cable Info'!T167="","",CONCATENATE('Cable Info'!T167," - ",'Cable Info'!U167))</f>
        <v>#N/A</v>
      </c>
      <c r="BG168" s="121" t="e">
        <f t="shared" si="63"/>
        <v>#N/A</v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e">
        <f>IF('Cable Info'!T168="","",CONCATENATE('Cable Info'!T168," - ",'Cable Info'!U168))</f>
        <v>#N/A</v>
      </c>
      <c r="BG169" s="121" t="e">
        <f t="shared" si="63"/>
        <v>#N/A</v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e">
        <f>IF('Cable Info'!T169="","",CONCATENATE('Cable Info'!T169," - ",'Cable Info'!U169))</f>
        <v>#N/A</v>
      </c>
      <c r="BG170" s="121" t="e">
        <f t="shared" si="63"/>
        <v>#N/A</v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e">
        <f>IF('Cable Info'!T170="","",CONCATENATE('Cable Info'!T170," - ",'Cable Info'!U170))</f>
        <v>#N/A</v>
      </c>
      <c r="BG171" s="121" t="e">
        <f t="shared" si="63"/>
        <v>#N/A</v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e">
        <f>IF('Cable Info'!T171="","",CONCATENATE('Cable Info'!T171," - ",'Cable Info'!U171))</f>
        <v>#N/A</v>
      </c>
      <c r="BG172" s="121" t="e">
        <f t="shared" si="63"/>
        <v>#N/A</v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e">
        <f>IF('Cable Info'!T172="","",CONCATENATE('Cable Info'!T172," - ",'Cable Info'!U172))</f>
        <v>#N/A</v>
      </c>
      <c r="BG173" s="121" t="e">
        <f t="shared" si="63"/>
        <v>#N/A</v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e">
        <f>IF('Cable Info'!T173="","",CONCATENATE('Cable Info'!T173," - ",'Cable Info'!U173))</f>
        <v>#N/A</v>
      </c>
      <c r="BG174" s="121" t="e">
        <f t="shared" si="63"/>
        <v>#N/A</v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e">
        <f>IF('Cable Info'!T174="","",CONCATENATE('Cable Info'!T174," - ",'Cable Info'!U174))</f>
        <v>#N/A</v>
      </c>
      <c r="BG175" s="121" t="e">
        <f t="shared" si="63"/>
        <v>#N/A</v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e">
        <f>IF('Cable Info'!T175="","",CONCATENATE('Cable Info'!T175," - ",'Cable Info'!U175))</f>
        <v>#N/A</v>
      </c>
      <c r="BG176" s="121" t="e">
        <f t="shared" si="63"/>
        <v>#N/A</v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e">
        <f>IF('Cable Info'!T176="","",CONCATENATE('Cable Info'!T176," - ",'Cable Info'!U176))</f>
        <v>#N/A</v>
      </c>
      <c r="BG177" s="121" t="e">
        <f t="shared" si="63"/>
        <v>#N/A</v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e">
        <f>IF('Cable Info'!T177="","",CONCATENATE('Cable Info'!T177," - ",'Cable Info'!U177))</f>
        <v>#N/A</v>
      </c>
      <c r="BG178" s="121" t="e">
        <f t="shared" si="63"/>
        <v>#N/A</v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e">
        <f>IF('Cable Info'!T178="","",CONCATENATE('Cable Info'!T178," - ",'Cable Info'!U178))</f>
        <v>#N/A</v>
      </c>
      <c r="BG179" s="121" t="e">
        <f t="shared" si="63"/>
        <v>#N/A</v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e">
        <f>IF('Cable Info'!T179="","",CONCATENATE('Cable Info'!T179," - ",'Cable Info'!U179))</f>
        <v>#N/A</v>
      </c>
      <c r="BG180" s="121" t="e">
        <f t="shared" si="63"/>
        <v>#N/A</v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e">
        <f>IF('Cable Info'!T180="","",CONCATENATE('Cable Info'!T180," - ",'Cable Info'!U180))</f>
        <v>#N/A</v>
      </c>
      <c r="BG181" s="121" t="e">
        <f t="shared" si="63"/>
        <v>#N/A</v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e">
        <f>IF('Cable Info'!T181="","",CONCATENATE('Cable Info'!T181," - ",'Cable Info'!U181))</f>
        <v>#N/A</v>
      </c>
      <c r="BG182" s="121" t="e">
        <f t="shared" si="63"/>
        <v>#N/A</v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e">
        <f>IF('Cable Info'!T182="","",CONCATENATE('Cable Info'!T182," - ",'Cable Info'!U182))</f>
        <v>#N/A</v>
      </c>
      <c r="BG183" s="121" t="e">
        <f t="shared" si="63"/>
        <v>#N/A</v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e">
        <f>IF('Cable Info'!T183="","",CONCATENATE('Cable Info'!T183," - ",'Cable Info'!U183))</f>
        <v>#N/A</v>
      </c>
      <c r="BG184" s="121" t="e">
        <f t="shared" si="63"/>
        <v>#N/A</v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e">
        <f>IF('Cable Info'!T184="","",CONCATENATE('Cable Info'!T184," - ",'Cable Info'!U184))</f>
        <v>#N/A</v>
      </c>
      <c r="BG185" s="121" t="e">
        <f t="shared" si="63"/>
        <v>#N/A</v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e">
        <f>IF('Cable Info'!T185="","",CONCATENATE('Cable Info'!T185," - ",'Cable Info'!U185))</f>
        <v>#N/A</v>
      </c>
      <c r="BG186" s="121" t="e">
        <f t="shared" si="63"/>
        <v>#N/A</v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e">
        <f>IF('Cable Info'!T186="","",CONCATENATE('Cable Info'!T186," - ",'Cable Info'!U186))</f>
        <v>#N/A</v>
      </c>
      <c r="BG187" s="121" t="e">
        <f t="shared" si="63"/>
        <v>#N/A</v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e">
        <f>IF('Cable Info'!T187="","",CONCATENATE('Cable Info'!T187," - ",'Cable Info'!U187))</f>
        <v>#N/A</v>
      </c>
      <c r="BG188" s="121" t="e">
        <f t="shared" si="63"/>
        <v>#N/A</v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e">
        <f>IF('Cable Info'!T188="","",CONCATENATE('Cable Info'!T188," - ",'Cable Info'!U188))</f>
        <v>#N/A</v>
      </c>
      <c r="BG189" s="121" t="e">
        <f t="shared" si="63"/>
        <v>#N/A</v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e">
        <f>IF('Cable Info'!T189="","",CONCATENATE('Cable Info'!T189," - ",'Cable Info'!U189))</f>
        <v>#N/A</v>
      </c>
      <c r="BG190" s="121" t="e">
        <f t="shared" si="63"/>
        <v>#N/A</v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e">
        <f>IF('Cable Info'!T190="","",CONCATENATE('Cable Info'!T190," - ",'Cable Info'!U190))</f>
        <v>#N/A</v>
      </c>
      <c r="BG191" s="121" t="e">
        <f t="shared" si="63"/>
        <v>#N/A</v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e">
        <f>IF('Cable Info'!T191="","",CONCATENATE('Cable Info'!T191," - ",'Cable Info'!U191))</f>
        <v>#N/A</v>
      </c>
      <c r="BG192" s="121" t="e">
        <f t="shared" si="63"/>
        <v>#N/A</v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e">
        <f>IF('Cable Info'!T192="","",CONCATENATE('Cable Info'!T192," - ",'Cable Info'!U192))</f>
        <v>#N/A</v>
      </c>
      <c r="BG193" s="121" t="e">
        <f t="shared" si="63"/>
        <v>#N/A</v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e">
        <f>IF('Cable Info'!T193="","",CONCATENATE('Cable Info'!T193," - ",'Cable Info'!U193))</f>
        <v>#N/A</v>
      </c>
      <c r="BG194" s="121" t="e">
        <f t="shared" si="63"/>
        <v>#N/A</v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e">
        <f>IF('Cable Info'!T194="","",CONCATENATE('Cable Info'!T194," - ",'Cable Info'!U194))</f>
        <v>#N/A</v>
      </c>
      <c r="BG195" s="121" t="e">
        <f t="shared" si="63"/>
        <v>#N/A</v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e">
        <f>IF('Cable Info'!T195="","",CONCATENATE('Cable Info'!T195," - ",'Cable Info'!U195))</f>
        <v>#N/A</v>
      </c>
      <c r="BG196" s="121" t="e">
        <f t="shared" si="63"/>
        <v>#N/A</v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e">
        <f>IF('Cable Info'!T196="","",CONCATENATE('Cable Info'!T196," - ",'Cable Info'!U196))</f>
        <v>#N/A</v>
      </c>
      <c r="BG197" s="121" t="e">
        <f t="shared" si="63"/>
        <v>#N/A</v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e">
        <f>IF('Cable Info'!T197="","",CONCATENATE('Cable Info'!T197," - ",'Cable Info'!U197))</f>
        <v>#N/A</v>
      </c>
      <c r="BG198" s="121" t="e">
        <f t="shared" si="63"/>
        <v>#N/A</v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e">
        <f>IF('Cable Info'!T198="","",CONCATENATE('Cable Info'!T198," - ",'Cable Info'!U198))</f>
        <v>#N/A</v>
      </c>
      <c r="BG199" s="121" t="e">
        <f t="shared" si="63"/>
        <v>#N/A</v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e">
        <f>IF('Cable Info'!T199="","",CONCATENATE('Cable Info'!T199," - ",'Cable Info'!U199))</f>
        <v>#N/A</v>
      </c>
      <c r="BG200" s="121" t="e">
        <f t="shared" si="63"/>
        <v>#N/A</v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e">
        <f>IF('Cable Info'!T200="","",CONCATENATE('Cable Info'!T200," - ",'Cable Info'!U200))</f>
        <v>#N/A</v>
      </c>
      <c r="BG201" s="121" t="e">
        <f t="shared" si="63"/>
        <v>#N/A</v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e">
        <f>IF('Cable Info'!T201="","",CONCATENATE('Cable Info'!T201," - ",'Cable Info'!U201))</f>
        <v>#N/A</v>
      </c>
      <c r="BG202" s="121" t="e">
        <f t="shared" si="63"/>
        <v>#N/A</v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e">
        <f>IF('Cable Info'!T202="","",CONCATENATE('Cable Info'!T202," - ",'Cable Info'!U202))</f>
        <v>#N/A</v>
      </c>
      <c r="BG203" s="121" t="e">
        <f t="shared" si="63"/>
        <v>#N/A</v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e">
        <f>IF('Cable Info'!T203="","",CONCATENATE('Cable Info'!T203," - ",'Cable Info'!U203))</f>
        <v>#N/A</v>
      </c>
      <c r="BG204" s="121" t="e">
        <f t="shared" si="63"/>
        <v>#N/A</v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e">
        <f>IF('Cable Info'!T204="","",CONCATENATE('Cable Info'!T204," - ",'Cable Info'!U204))</f>
        <v>#N/A</v>
      </c>
      <c r="BG205" s="121" t="e">
        <f t="shared" ref="BG205:BG268" si="75">IF(BE205="",BD205,CONCATENATE(BD205,"  &lt;=&gt; ",BE205," ",BF205))</f>
        <v>#N/A</v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e">
        <f>IF('Cable Info'!T205="","",CONCATENATE('Cable Info'!T205," - ",'Cable Info'!U205))</f>
        <v>#N/A</v>
      </c>
      <c r="BG206" s="121" t="e">
        <f t="shared" si="75"/>
        <v>#N/A</v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e">
        <f>IF('Cable Info'!T206="","",CONCATENATE('Cable Info'!T206," - ",'Cable Info'!U206))</f>
        <v>#N/A</v>
      </c>
      <c r="BG207" s="121" t="e">
        <f t="shared" si="75"/>
        <v>#N/A</v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e">
        <f>IF('Cable Info'!T207="","",CONCATENATE('Cable Info'!T207," - ",'Cable Info'!U207))</f>
        <v>#N/A</v>
      </c>
      <c r="BG208" s="121" t="e">
        <f t="shared" si="75"/>
        <v>#N/A</v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e">
        <f>IF('Cable Info'!T208="","",CONCATENATE('Cable Info'!T208," - ",'Cable Info'!U208))</f>
        <v>#N/A</v>
      </c>
      <c r="BG209" s="121" t="e">
        <f t="shared" si="75"/>
        <v>#N/A</v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e">
        <f>IF('Cable Info'!T209="","",CONCATENATE('Cable Info'!T209," - ",'Cable Info'!U209))</f>
        <v>#N/A</v>
      </c>
      <c r="BG210" s="121" t="e">
        <f t="shared" si="75"/>
        <v>#N/A</v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e">
        <f>IF('Cable Info'!T210="","",CONCATENATE('Cable Info'!T210," - ",'Cable Info'!U210))</f>
        <v>#N/A</v>
      </c>
      <c r="BG211" s="121" t="e">
        <f t="shared" si="75"/>
        <v>#N/A</v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e">
        <f>IF('Cable Info'!T211="","",CONCATENATE('Cable Info'!T211," - ",'Cable Info'!U211))</f>
        <v>#N/A</v>
      </c>
      <c r="BG212" s="121" t="e">
        <f t="shared" si="75"/>
        <v>#N/A</v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e">
        <f>IF('Cable Info'!T212="","",CONCATENATE('Cable Info'!T212," - ",'Cable Info'!U212))</f>
        <v>#N/A</v>
      </c>
      <c r="BG213" s="121" t="e">
        <f t="shared" si="75"/>
        <v>#N/A</v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e">
        <f>IF('Cable Info'!T213="","",CONCATENATE('Cable Info'!T213," - ",'Cable Info'!U213))</f>
        <v>#N/A</v>
      </c>
      <c r="BG214" s="121" t="e">
        <f t="shared" si="75"/>
        <v>#N/A</v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e">
        <f>IF('Cable Info'!T214="","",CONCATENATE('Cable Info'!T214," - ",'Cable Info'!U214))</f>
        <v>#N/A</v>
      </c>
      <c r="BG215" s="121" t="e">
        <f t="shared" si="75"/>
        <v>#N/A</v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e">
        <f>IF('Cable Info'!T215="","",CONCATENATE('Cable Info'!T215," - ",'Cable Info'!U215))</f>
        <v>#N/A</v>
      </c>
      <c r="BG216" s="121" t="e">
        <f t="shared" si="75"/>
        <v>#N/A</v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e">
        <f>IF('Cable Info'!T216="","",CONCATENATE('Cable Info'!T216," - ",'Cable Info'!U216))</f>
        <v>#N/A</v>
      </c>
      <c r="BG217" s="121" t="e">
        <f t="shared" si="75"/>
        <v>#N/A</v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e">
        <f>IF('Cable Info'!T217="","",CONCATENATE('Cable Info'!T217," - ",'Cable Info'!U217))</f>
        <v>#N/A</v>
      </c>
      <c r="BG218" s="121" t="e">
        <f t="shared" si="75"/>
        <v>#N/A</v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e">
        <f>IF('Cable Info'!T218="","",CONCATENATE('Cable Info'!T218," - ",'Cable Info'!U218))</f>
        <v>#N/A</v>
      </c>
      <c r="BG219" s="121" t="e">
        <f t="shared" si="75"/>
        <v>#N/A</v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e">
        <f>IF('Cable Info'!T219="","",CONCATENATE('Cable Info'!T219," - ",'Cable Info'!U219))</f>
        <v>#N/A</v>
      </c>
      <c r="BG220" s="121" t="e">
        <f t="shared" si="75"/>
        <v>#N/A</v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e">
        <f>IF('Cable Info'!T220="","",CONCATENATE('Cable Info'!T220," - ",'Cable Info'!U220))</f>
        <v>#N/A</v>
      </c>
      <c r="BG221" s="121" t="e">
        <f t="shared" si="75"/>
        <v>#N/A</v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e">
        <f>IF('Cable Info'!T221="","",CONCATENATE('Cable Info'!T221," - ",'Cable Info'!U221))</f>
        <v>#N/A</v>
      </c>
      <c r="BG222" s="121" t="e">
        <f t="shared" si="75"/>
        <v>#N/A</v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e">
        <f>IF('Cable Info'!T222="","",CONCATENATE('Cable Info'!T222," - ",'Cable Info'!U222))</f>
        <v>#N/A</v>
      </c>
      <c r="BG223" s="121" t="e">
        <f t="shared" si="75"/>
        <v>#N/A</v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e">
        <f>IF('Cable Info'!T223="","",CONCATENATE('Cable Info'!T223," - ",'Cable Info'!U223))</f>
        <v>#N/A</v>
      </c>
      <c r="BG224" s="121" t="e">
        <f t="shared" si="75"/>
        <v>#N/A</v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e">
        <f>IF('Cable Info'!T224="","",CONCATENATE('Cable Info'!T224," - ",'Cable Info'!U224))</f>
        <v>#N/A</v>
      </c>
      <c r="BG225" s="121" t="e">
        <f t="shared" si="75"/>
        <v>#N/A</v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e">
        <f>IF('Cable Info'!T225="","",CONCATENATE('Cable Info'!T225," - ",'Cable Info'!U225))</f>
        <v>#N/A</v>
      </c>
      <c r="BG226" s="121" t="e">
        <f t="shared" si="75"/>
        <v>#N/A</v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e">
        <f>IF('Cable Info'!T226="","",CONCATENATE('Cable Info'!T226," - ",'Cable Info'!U226))</f>
        <v>#N/A</v>
      </c>
      <c r="BG227" s="121" t="e">
        <f t="shared" si="75"/>
        <v>#N/A</v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e">
        <f>IF('Cable Info'!T227="","",CONCATENATE('Cable Info'!T227," - ",'Cable Info'!U227))</f>
        <v>#N/A</v>
      </c>
      <c r="BG228" s="121" t="e">
        <f t="shared" si="75"/>
        <v>#N/A</v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e">
        <f>IF('Cable Info'!T228="","",CONCATENATE('Cable Info'!T228," - ",'Cable Info'!U228))</f>
        <v>#N/A</v>
      </c>
      <c r="BG229" s="121" t="e">
        <f t="shared" si="75"/>
        <v>#N/A</v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e">
        <f>IF('Cable Info'!T229="","",CONCATENATE('Cable Info'!T229," - ",'Cable Info'!U229))</f>
        <v>#N/A</v>
      </c>
      <c r="BG230" s="121" t="e">
        <f t="shared" si="75"/>
        <v>#N/A</v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e">
        <f>IF('Cable Info'!T230="","",CONCATENATE('Cable Info'!T230," - ",'Cable Info'!U230))</f>
        <v>#N/A</v>
      </c>
      <c r="BG231" s="121" t="e">
        <f t="shared" si="75"/>
        <v>#N/A</v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e">
        <f>IF('Cable Info'!T231="","",CONCATENATE('Cable Info'!T231," - ",'Cable Info'!U231))</f>
        <v>#N/A</v>
      </c>
      <c r="BG232" s="121" t="e">
        <f t="shared" si="75"/>
        <v>#N/A</v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e">
        <f>IF('Cable Info'!T232="","",CONCATENATE('Cable Info'!T232," - ",'Cable Info'!U232))</f>
        <v>#N/A</v>
      </c>
      <c r="BG233" s="121" t="e">
        <f t="shared" si="75"/>
        <v>#N/A</v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e">
        <f>IF('Cable Info'!T233="","",CONCATENATE('Cable Info'!T233," - ",'Cable Info'!U233))</f>
        <v>#N/A</v>
      </c>
      <c r="BG234" s="121" t="e">
        <f t="shared" si="75"/>
        <v>#N/A</v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e">
        <f>IF('Cable Info'!T234="","",CONCATENATE('Cable Info'!T234," - ",'Cable Info'!U234))</f>
        <v>#N/A</v>
      </c>
      <c r="BG235" s="121" t="e">
        <f t="shared" si="75"/>
        <v>#N/A</v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e">
        <f>IF('Cable Info'!T235="","",CONCATENATE('Cable Info'!T235," - ",'Cable Info'!U235))</f>
        <v>#N/A</v>
      </c>
      <c r="BG236" s="121" t="e">
        <f t="shared" si="75"/>
        <v>#N/A</v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e">
        <f>IF('Cable Info'!T236="","",CONCATENATE('Cable Info'!T236," - ",'Cable Info'!U236))</f>
        <v>#N/A</v>
      </c>
      <c r="BG237" s="121" t="e">
        <f t="shared" si="75"/>
        <v>#N/A</v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e">
        <f>IF('Cable Info'!T237="","",CONCATENATE('Cable Info'!T237," - ",'Cable Info'!U237))</f>
        <v>#N/A</v>
      </c>
      <c r="BG238" s="121" t="e">
        <f t="shared" si="75"/>
        <v>#N/A</v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e">
        <f>IF('Cable Info'!T238="","",CONCATENATE('Cable Info'!T238," - ",'Cable Info'!U238))</f>
        <v>#N/A</v>
      </c>
      <c r="BG239" s="121" t="e">
        <f t="shared" si="75"/>
        <v>#N/A</v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e">
        <f>IF('Cable Info'!T239="","",CONCATENATE('Cable Info'!T239," - ",'Cable Info'!U239))</f>
        <v>#N/A</v>
      </c>
      <c r="BG240" s="121" t="e">
        <f t="shared" si="75"/>
        <v>#N/A</v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e">
        <f>IF('Cable Info'!T240="","",CONCATENATE('Cable Info'!T240," - ",'Cable Info'!U240))</f>
        <v>#N/A</v>
      </c>
      <c r="BG241" s="121" t="e">
        <f t="shared" si="75"/>
        <v>#N/A</v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e">
        <f>IF('Cable Info'!T241="","",CONCATENATE('Cable Info'!T241," - ",'Cable Info'!U241))</f>
        <v>#N/A</v>
      </c>
      <c r="BG242" s="121" t="e">
        <f t="shared" si="75"/>
        <v>#N/A</v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e">
        <f>IF('Cable Info'!T242="","",CONCATENATE('Cable Info'!T242," - ",'Cable Info'!U242))</f>
        <v>#N/A</v>
      </c>
      <c r="BG243" s="121" t="e">
        <f t="shared" si="75"/>
        <v>#N/A</v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e">
        <f>IF('Cable Info'!T243="","",CONCATENATE('Cable Info'!T243," - ",'Cable Info'!U243))</f>
        <v>#N/A</v>
      </c>
      <c r="BG244" s="121" t="e">
        <f t="shared" si="75"/>
        <v>#N/A</v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e">
        <f>IF('Cable Info'!T244="","",CONCATENATE('Cable Info'!T244," - ",'Cable Info'!U244))</f>
        <v>#N/A</v>
      </c>
      <c r="BG245" s="121" t="e">
        <f t="shared" si="75"/>
        <v>#N/A</v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e">
        <f>IF('Cable Info'!T245="","",CONCATENATE('Cable Info'!T245," - ",'Cable Info'!U245))</f>
        <v>#N/A</v>
      </c>
      <c r="BG246" s="121" t="e">
        <f t="shared" si="75"/>
        <v>#N/A</v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e">
        <f>IF('Cable Info'!T246="","",CONCATENATE('Cable Info'!T246," - ",'Cable Info'!U246))</f>
        <v>#N/A</v>
      </c>
      <c r="BG247" s="121" t="e">
        <f t="shared" si="75"/>
        <v>#N/A</v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e">
        <f>IF('Cable Info'!T247="","",CONCATENATE('Cable Info'!T247," - ",'Cable Info'!U247))</f>
        <v>#N/A</v>
      </c>
      <c r="BG248" s="121" t="e">
        <f t="shared" si="75"/>
        <v>#N/A</v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e">
        <f>IF('Cable Info'!T248="","",CONCATENATE('Cable Info'!T248," - ",'Cable Info'!U248))</f>
        <v>#N/A</v>
      </c>
      <c r="BG249" s="121" t="e">
        <f t="shared" si="75"/>
        <v>#N/A</v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e">
        <f>IF('Cable Info'!T249="","",CONCATENATE('Cable Info'!T249," - ",'Cable Info'!U249))</f>
        <v>#N/A</v>
      </c>
      <c r="BG250" s="121" t="e">
        <f t="shared" si="75"/>
        <v>#N/A</v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e">
        <f>IF('Cable Info'!T250="","",CONCATENATE('Cable Info'!T250," - ",'Cable Info'!U250))</f>
        <v>#N/A</v>
      </c>
      <c r="BG251" s="121" t="e">
        <f t="shared" si="75"/>
        <v>#N/A</v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e">
        <f>IF('Cable Info'!T251="","",CONCATENATE('Cable Info'!T251," - ",'Cable Info'!U251))</f>
        <v>#N/A</v>
      </c>
      <c r="BG252" s="121" t="e">
        <f t="shared" si="75"/>
        <v>#N/A</v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e">
        <f>IF('Cable Info'!T252="","",CONCATENATE('Cable Info'!T252," - ",'Cable Info'!U252))</f>
        <v>#N/A</v>
      </c>
      <c r="BG253" s="121" t="e">
        <f t="shared" si="75"/>
        <v>#N/A</v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e">
        <f>IF('Cable Info'!T253="","",CONCATENATE('Cable Info'!T253," - ",'Cable Info'!U253))</f>
        <v>#N/A</v>
      </c>
      <c r="BG254" s="121" t="e">
        <f t="shared" si="75"/>
        <v>#N/A</v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e">
        <f>IF('Cable Info'!T254="","",CONCATENATE('Cable Info'!T254," - ",'Cable Info'!U254))</f>
        <v>#N/A</v>
      </c>
      <c r="BG255" s="121" t="e">
        <f t="shared" si="75"/>
        <v>#N/A</v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e">
        <f>IF('Cable Info'!T255="","",CONCATENATE('Cable Info'!T255," - ",'Cable Info'!U255))</f>
        <v>#N/A</v>
      </c>
      <c r="BG256" s="121" t="e">
        <f t="shared" si="75"/>
        <v>#N/A</v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e">
        <f>IF('Cable Info'!T256="","",CONCATENATE('Cable Info'!T256," - ",'Cable Info'!U256))</f>
        <v>#N/A</v>
      </c>
      <c r="BG257" s="121" t="e">
        <f t="shared" si="75"/>
        <v>#N/A</v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e">
        <f>IF('Cable Info'!T257="","",CONCATENATE('Cable Info'!T257," - ",'Cable Info'!U257))</f>
        <v>#N/A</v>
      </c>
      <c r="BG258" s="121" t="e">
        <f t="shared" si="75"/>
        <v>#N/A</v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e">
        <f>IF('Cable Info'!T258="","",CONCATENATE('Cable Info'!T258," - ",'Cable Info'!U258))</f>
        <v>#N/A</v>
      </c>
      <c r="BG259" s="121" t="e">
        <f t="shared" si="75"/>
        <v>#N/A</v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e">
        <f>IF('Cable Info'!T259="","",CONCATENATE('Cable Info'!T259," - ",'Cable Info'!U259))</f>
        <v>#N/A</v>
      </c>
      <c r="BG260" s="121" t="e">
        <f t="shared" si="75"/>
        <v>#N/A</v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e">
        <f>IF('Cable Info'!T260="","",CONCATENATE('Cable Info'!T260," - ",'Cable Info'!U260))</f>
        <v>#N/A</v>
      </c>
      <c r="BG261" s="121" t="e">
        <f t="shared" si="75"/>
        <v>#N/A</v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e">
        <f>IF('Cable Info'!T261="","",CONCATENATE('Cable Info'!T261," - ",'Cable Info'!U261))</f>
        <v>#N/A</v>
      </c>
      <c r="BG262" s="121" t="e">
        <f t="shared" si="75"/>
        <v>#N/A</v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e">
        <f>IF('Cable Info'!T262="","",CONCATENATE('Cable Info'!T262," - ",'Cable Info'!U262))</f>
        <v>#N/A</v>
      </c>
      <c r="BG263" s="121" t="e">
        <f t="shared" si="75"/>
        <v>#N/A</v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e">
        <f>IF('Cable Info'!T263="","",CONCATENATE('Cable Info'!T263," - ",'Cable Info'!U263))</f>
        <v>#N/A</v>
      </c>
      <c r="BG264" s="121" t="e">
        <f t="shared" si="75"/>
        <v>#N/A</v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e">
        <f>IF('Cable Info'!T264="","",CONCATENATE('Cable Info'!T264," - ",'Cable Info'!U264))</f>
        <v>#N/A</v>
      </c>
      <c r="BG265" s="121" t="e">
        <f t="shared" si="75"/>
        <v>#N/A</v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e">
        <f>IF('Cable Info'!T265="","",CONCATENATE('Cable Info'!T265," - ",'Cable Info'!U265))</f>
        <v>#N/A</v>
      </c>
      <c r="BG266" s="121" t="e">
        <f t="shared" si="75"/>
        <v>#N/A</v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e">
        <f>IF('Cable Info'!T266="","",CONCATENATE('Cable Info'!T266," - ",'Cable Info'!U266))</f>
        <v>#N/A</v>
      </c>
      <c r="BG267" s="121" t="e">
        <f t="shared" si="75"/>
        <v>#N/A</v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e">
        <f>IF('Cable Info'!T267="","",CONCATENATE('Cable Info'!T267," - ",'Cable Info'!U267))</f>
        <v>#N/A</v>
      </c>
      <c r="BG268" s="121" t="e">
        <f t="shared" si="75"/>
        <v>#N/A</v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e">
        <f>IF('Cable Info'!T268="","",CONCATENATE('Cable Info'!T268," - ",'Cable Info'!U268))</f>
        <v>#N/A</v>
      </c>
      <c r="BG269" s="121" t="e">
        <f t="shared" ref="BG269:BG332" si="87">IF(BE269="",BD269,CONCATENATE(BD269,"  &lt;=&gt; ",BE269," ",BF269))</f>
        <v>#N/A</v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e">
        <f>IF('Cable Info'!T269="","",CONCATENATE('Cable Info'!T269," - ",'Cable Info'!U269))</f>
        <v>#N/A</v>
      </c>
      <c r="BG270" s="121" t="e">
        <f t="shared" si="87"/>
        <v>#N/A</v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e">
        <f>IF('Cable Info'!T270="","",CONCATENATE('Cable Info'!T270," - ",'Cable Info'!U270))</f>
        <v>#N/A</v>
      </c>
      <c r="BG271" s="121" t="e">
        <f t="shared" si="87"/>
        <v>#N/A</v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e">
        <f>IF('Cable Info'!T271="","",CONCATENATE('Cable Info'!T271," - ",'Cable Info'!U271))</f>
        <v>#N/A</v>
      </c>
      <c r="BG272" s="121" t="e">
        <f t="shared" si="87"/>
        <v>#N/A</v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e">
        <f>IF('Cable Info'!T272="","",CONCATENATE('Cable Info'!T272," - ",'Cable Info'!U272))</f>
        <v>#N/A</v>
      </c>
      <c r="BG273" s="121" t="e">
        <f t="shared" si="87"/>
        <v>#N/A</v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e">
        <f>IF('Cable Info'!T273="","",CONCATENATE('Cable Info'!T273," - ",'Cable Info'!U273))</f>
        <v>#N/A</v>
      </c>
      <c r="BG274" s="121" t="e">
        <f t="shared" si="87"/>
        <v>#N/A</v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e">
        <f>IF('Cable Info'!T274="","",CONCATENATE('Cable Info'!T274," - ",'Cable Info'!U274))</f>
        <v>#N/A</v>
      </c>
      <c r="BG275" s="121" t="e">
        <f t="shared" si="87"/>
        <v>#N/A</v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e">
        <f>IF('Cable Info'!T275="","",CONCATENATE('Cable Info'!T275," - ",'Cable Info'!U275))</f>
        <v>#N/A</v>
      </c>
      <c r="BG276" s="121" t="e">
        <f t="shared" si="87"/>
        <v>#N/A</v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e">
        <f>IF('Cable Info'!T276="","",CONCATENATE('Cable Info'!T276," - ",'Cable Info'!U276))</f>
        <v>#N/A</v>
      </c>
      <c r="BG277" s="121" t="e">
        <f t="shared" si="87"/>
        <v>#N/A</v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e">
        <f>IF('Cable Info'!T277="","",CONCATENATE('Cable Info'!T277," - ",'Cable Info'!U277))</f>
        <v>#N/A</v>
      </c>
      <c r="BG278" s="121" t="e">
        <f t="shared" si="87"/>
        <v>#N/A</v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e">
        <f>IF('Cable Info'!T278="","",CONCATENATE('Cable Info'!T278," - ",'Cable Info'!U278))</f>
        <v>#N/A</v>
      </c>
      <c r="BG279" s="121" t="e">
        <f t="shared" si="87"/>
        <v>#N/A</v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e">
        <f>IF('Cable Info'!T279="","",CONCATENATE('Cable Info'!T279," - ",'Cable Info'!U279))</f>
        <v>#N/A</v>
      </c>
      <c r="BG280" s="121" t="e">
        <f t="shared" si="87"/>
        <v>#N/A</v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e">
        <f>IF('Cable Info'!T280="","",CONCATENATE('Cable Info'!T280," - ",'Cable Info'!U280))</f>
        <v>#N/A</v>
      </c>
      <c r="BG281" s="121" t="e">
        <f t="shared" si="87"/>
        <v>#N/A</v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e">
        <f>IF('Cable Info'!T281="","",CONCATENATE('Cable Info'!T281," - ",'Cable Info'!U281))</f>
        <v>#N/A</v>
      </c>
      <c r="BG282" s="121" t="e">
        <f t="shared" si="87"/>
        <v>#N/A</v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e">
        <f>IF('Cable Info'!T282="","",CONCATENATE('Cable Info'!T282," - ",'Cable Info'!U282))</f>
        <v>#N/A</v>
      </c>
      <c r="BG283" s="121" t="e">
        <f t="shared" si="87"/>
        <v>#N/A</v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e">
        <f>IF('Cable Info'!T283="","",CONCATENATE('Cable Info'!T283," - ",'Cable Info'!U283))</f>
        <v>#N/A</v>
      </c>
      <c r="BG284" s="121" t="e">
        <f t="shared" si="87"/>
        <v>#N/A</v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e">
        <f>IF('Cable Info'!T284="","",CONCATENATE('Cable Info'!T284," - ",'Cable Info'!U284))</f>
        <v>#N/A</v>
      </c>
      <c r="BG285" s="121" t="e">
        <f t="shared" si="87"/>
        <v>#N/A</v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e">
        <f>IF('Cable Info'!T285="","",CONCATENATE('Cable Info'!T285," - ",'Cable Info'!U285))</f>
        <v>#N/A</v>
      </c>
      <c r="BG286" s="121" t="e">
        <f t="shared" si="87"/>
        <v>#N/A</v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e">
        <f>IF('Cable Info'!T286="","",CONCATENATE('Cable Info'!T286," - ",'Cable Info'!U286))</f>
        <v>#N/A</v>
      </c>
      <c r="BG287" s="121" t="e">
        <f t="shared" si="87"/>
        <v>#N/A</v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e">
        <f>IF('Cable Info'!T287="","",CONCATENATE('Cable Info'!T287," - ",'Cable Info'!U287))</f>
        <v>#N/A</v>
      </c>
      <c r="BG288" s="121" t="e">
        <f t="shared" si="87"/>
        <v>#N/A</v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e">
        <f>IF('Cable Info'!T288="","",CONCATENATE('Cable Info'!T288," - ",'Cable Info'!U288))</f>
        <v>#N/A</v>
      </c>
      <c r="BG289" s="121" t="e">
        <f t="shared" si="87"/>
        <v>#N/A</v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e">
        <f>IF('Cable Info'!T289="","",CONCATENATE('Cable Info'!T289," - ",'Cable Info'!U289))</f>
        <v>#N/A</v>
      </c>
      <c r="BG290" s="121" t="e">
        <f t="shared" si="87"/>
        <v>#N/A</v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e">
        <f>IF('Cable Info'!T290="","",CONCATENATE('Cable Info'!T290," - ",'Cable Info'!U290))</f>
        <v>#N/A</v>
      </c>
      <c r="BG291" s="121" t="e">
        <f t="shared" si="87"/>
        <v>#N/A</v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e">
        <f>IF('Cable Info'!T291="","",CONCATENATE('Cable Info'!T291," - ",'Cable Info'!U291))</f>
        <v>#N/A</v>
      </c>
      <c r="BG292" s="121" t="e">
        <f t="shared" si="87"/>
        <v>#N/A</v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e">
        <f>IF('Cable Info'!T292="","",CONCATENATE('Cable Info'!T292," - ",'Cable Info'!U292))</f>
        <v>#N/A</v>
      </c>
      <c r="BG293" s="121" t="e">
        <f t="shared" si="87"/>
        <v>#N/A</v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e">
        <f>IF('Cable Info'!T293="","",CONCATENATE('Cable Info'!T293," - ",'Cable Info'!U293))</f>
        <v>#N/A</v>
      </c>
      <c r="BG294" s="121" t="e">
        <f t="shared" si="87"/>
        <v>#N/A</v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e">
        <f>IF('Cable Info'!T294="","",CONCATENATE('Cable Info'!T294," - ",'Cable Info'!U294))</f>
        <v>#N/A</v>
      </c>
      <c r="BG295" s="121" t="e">
        <f t="shared" si="87"/>
        <v>#N/A</v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e">
        <f>IF('Cable Info'!T295="","",CONCATENATE('Cable Info'!T295," - ",'Cable Info'!U295))</f>
        <v>#N/A</v>
      </c>
      <c r="BG296" s="121" t="e">
        <f t="shared" si="87"/>
        <v>#N/A</v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e">
        <f>IF('Cable Info'!T296="","",CONCATENATE('Cable Info'!T296," - ",'Cable Info'!U296))</f>
        <v>#N/A</v>
      </c>
      <c r="BG297" s="121" t="e">
        <f t="shared" si="87"/>
        <v>#N/A</v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e">
        <f>IF('Cable Info'!T297="","",CONCATENATE('Cable Info'!T297," - ",'Cable Info'!U297))</f>
        <v>#N/A</v>
      </c>
      <c r="BG298" s="121" t="e">
        <f t="shared" si="87"/>
        <v>#N/A</v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e">
        <f>IF('Cable Info'!T298="","",CONCATENATE('Cable Info'!T298," - ",'Cable Info'!U298))</f>
        <v>#N/A</v>
      </c>
      <c r="BG299" s="121" t="e">
        <f t="shared" si="87"/>
        <v>#N/A</v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e">
        <f>IF('Cable Info'!T299="","",CONCATENATE('Cable Info'!T299," - ",'Cable Info'!U299))</f>
        <v>#N/A</v>
      </c>
      <c r="BG300" s="121" t="e">
        <f t="shared" si="87"/>
        <v>#N/A</v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e">
        <f>IF('Cable Info'!T300="","",CONCATENATE('Cable Info'!T300," - ",'Cable Info'!U300))</f>
        <v>#N/A</v>
      </c>
      <c r="BG301" s="121" t="e">
        <f t="shared" si="87"/>
        <v>#N/A</v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e">
        <f>IF('Cable Info'!T301="","",CONCATENATE('Cable Info'!T301," - ",'Cable Info'!U301))</f>
        <v>#N/A</v>
      </c>
      <c r="BG302" s="121" t="e">
        <f t="shared" si="87"/>
        <v>#N/A</v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e">
        <f>IF('Cable Info'!T302="","",CONCATENATE('Cable Info'!T302," - ",'Cable Info'!U302))</f>
        <v>#N/A</v>
      </c>
      <c r="BG303" s="121" t="e">
        <f t="shared" si="87"/>
        <v>#N/A</v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e">
        <f>IF('Cable Info'!T303="","",CONCATENATE('Cable Info'!T303," - ",'Cable Info'!U303))</f>
        <v>#N/A</v>
      </c>
      <c r="BG304" s="121" t="e">
        <f t="shared" si="87"/>
        <v>#N/A</v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e">
        <f>IF('Cable Info'!T304="","",CONCATENATE('Cable Info'!T304," - ",'Cable Info'!U304))</f>
        <v>#N/A</v>
      </c>
      <c r="BG305" s="121" t="e">
        <f t="shared" si="87"/>
        <v>#N/A</v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e">
        <f>IF('Cable Info'!T305="","",CONCATENATE('Cable Info'!T305," - ",'Cable Info'!U305))</f>
        <v>#N/A</v>
      </c>
      <c r="BG306" s="121" t="e">
        <f t="shared" si="87"/>
        <v>#N/A</v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e">
        <f>IF('Cable Info'!T306="","",CONCATENATE('Cable Info'!T306," - ",'Cable Info'!U306))</f>
        <v>#N/A</v>
      </c>
      <c r="BG307" s="121" t="e">
        <f t="shared" si="87"/>
        <v>#N/A</v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e">
        <f>IF('Cable Info'!T307="","",CONCATENATE('Cable Info'!T307," - ",'Cable Info'!U307))</f>
        <v>#N/A</v>
      </c>
      <c r="BG308" s="121" t="e">
        <f t="shared" si="87"/>
        <v>#N/A</v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e">
        <f>IF('Cable Info'!T308="","",CONCATENATE('Cable Info'!T308," - ",'Cable Info'!U308))</f>
        <v>#N/A</v>
      </c>
      <c r="BG309" s="121" t="e">
        <f t="shared" si="87"/>
        <v>#N/A</v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e">
        <f>IF('Cable Info'!T309="","",CONCATENATE('Cable Info'!T309," - ",'Cable Info'!U309))</f>
        <v>#N/A</v>
      </c>
      <c r="BG310" s="121" t="e">
        <f t="shared" si="87"/>
        <v>#N/A</v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e">
        <f>IF('Cable Info'!T310="","",CONCATENATE('Cable Info'!T310," - ",'Cable Info'!U310))</f>
        <v>#N/A</v>
      </c>
      <c r="BG311" s="121" t="e">
        <f t="shared" si="87"/>
        <v>#N/A</v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e">
        <f>IF('Cable Info'!T311="","",CONCATENATE('Cable Info'!T311," - ",'Cable Info'!U311))</f>
        <v>#N/A</v>
      </c>
      <c r="BG312" s="121" t="e">
        <f t="shared" si="87"/>
        <v>#N/A</v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e">
        <f>IF('Cable Info'!T312="","",CONCATENATE('Cable Info'!T312," - ",'Cable Info'!U312))</f>
        <v>#N/A</v>
      </c>
      <c r="BG313" s="121" t="e">
        <f t="shared" si="87"/>
        <v>#N/A</v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e">
        <f>IF('Cable Info'!T313="","",CONCATENATE('Cable Info'!T313," - ",'Cable Info'!U313))</f>
        <v>#N/A</v>
      </c>
      <c r="BG314" s="121" t="e">
        <f t="shared" si="87"/>
        <v>#N/A</v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e">
        <f>IF('Cable Info'!T314="","",CONCATENATE('Cable Info'!T314," - ",'Cable Info'!U314))</f>
        <v>#N/A</v>
      </c>
      <c r="BG315" s="121" t="e">
        <f t="shared" si="87"/>
        <v>#N/A</v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e">
        <f>IF('Cable Info'!T315="","",CONCATENATE('Cable Info'!T315," - ",'Cable Info'!U315))</f>
        <v>#N/A</v>
      </c>
      <c r="BG316" s="121" t="e">
        <f t="shared" si="87"/>
        <v>#N/A</v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e">
        <f>IF('Cable Info'!T316="","",CONCATENATE('Cable Info'!T316," - ",'Cable Info'!U316))</f>
        <v>#N/A</v>
      </c>
      <c r="BG317" s="121" t="e">
        <f t="shared" si="87"/>
        <v>#N/A</v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e">
        <f>IF('Cable Info'!T317="","",CONCATENATE('Cable Info'!T317," - ",'Cable Info'!U317))</f>
        <v>#N/A</v>
      </c>
      <c r="BG318" s="121" t="e">
        <f t="shared" si="87"/>
        <v>#N/A</v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e">
        <f>IF('Cable Info'!T318="","",CONCATENATE('Cable Info'!T318," - ",'Cable Info'!U318))</f>
        <v>#N/A</v>
      </c>
      <c r="BG319" s="121" t="e">
        <f t="shared" si="87"/>
        <v>#N/A</v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e">
        <f>IF('Cable Info'!T319="","",CONCATENATE('Cable Info'!T319," - ",'Cable Info'!U319))</f>
        <v>#N/A</v>
      </c>
      <c r="BG320" s="121" t="e">
        <f t="shared" si="87"/>
        <v>#N/A</v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e">
        <f>IF('Cable Info'!T320="","",CONCATENATE('Cable Info'!T320," - ",'Cable Info'!U320))</f>
        <v>#N/A</v>
      </c>
      <c r="BG321" s="121" t="e">
        <f t="shared" si="87"/>
        <v>#N/A</v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e">
        <f>IF('Cable Info'!T321="","",CONCATENATE('Cable Info'!T321," - ",'Cable Info'!U321))</f>
        <v>#N/A</v>
      </c>
      <c r="BG322" s="121" t="e">
        <f t="shared" si="87"/>
        <v>#N/A</v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e">
        <f>IF('Cable Info'!T322="","",CONCATENATE('Cable Info'!T322," - ",'Cable Info'!U322))</f>
        <v>#N/A</v>
      </c>
      <c r="BG323" s="121" t="e">
        <f t="shared" si="87"/>
        <v>#N/A</v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e">
        <f>IF('Cable Info'!T323="","",CONCATENATE('Cable Info'!T323," - ",'Cable Info'!U323))</f>
        <v>#N/A</v>
      </c>
      <c r="BG324" s="121" t="e">
        <f t="shared" si="87"/>
        <v>#N/A</v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e">
        <f>IF('Cable Info'!T324="","",CONCATENATE('Cable Info'!T324," - ",'Cable Info'!U324))</f>
        <v>#N/A</v>
      </c>
      <c r="BG325" s="121" t="e">
        <f t="shared" si="87"/>
        <v>#N/A</v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e">
        <f>IF('Cable Info'!T325="","",CONCATENATE('Cable Info'!T325," - ",'Cable Info'!U325))</f>
        <v>#N/A</v>
      </c>
      <c r="BG326" s="121" t="e">
        <f t="shared" si="87"/>
        <v>#N/A</v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e">
        <f>IF('Cable Info'!T326="","",CONCATENATE('Cable Info'!T326," - ",'Cable Info'!U326))</f>
        <v>#N/A</v>
      </c>
      <c r="BG327" s="121" t="e">
        <f t="shared" si="87"/>
        <v>#N/A</v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e">
        <f>IF('Cable Info'!T327="","",CONCATENATE('Cable Info'!T327," - ",'Cable Info'!U327))</f>
        <v>#N/A</v>
      </c>
      <c r="BG328" s="121" t="e">
        <f t="shared" si="87"/>
        <v>#N/A</v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e">
        <f>IF('Cable Info'!T328="","",CONCATENATE('Cable Info'!T328," - ",'Cable Info'!U328))</f>
        <v>#N/A</v>
      </c>
      <c r="BG329" s="121" t="e">
        <f t="shared" si="87"/>
        <v>#N/A</v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e">
        <f>IF('Cable Info'!T329="","",CONCATENATE('Cable Info'!T329," - ",'Cable Info'!U329))</f>
        <v>#N/A</v>
      </c>
      <c r="BG330" s="121" t="e">
        <f t="shared" si="87"/>
        <v>#N/A</v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e">
        <f>IF('Cable Info'!T330="","",CONCATENATE('Cable Info'!T330," - ",'Cable Info'!U330))</f>
        <v>#N/A</v>
      </c>
      <c r="BG331" s="121" t="e">
        <f t="shared" si="87"/>
        <v>#N/A</v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e">
        <f>IF('Cable Info'!T331="","",CONCATENATE('Cable Info'!T331," - ",'Cable Info'!U331))</f>
        <v>#N/A</v>
      </c>
      <c r="BG332" s="121" t="e">
        <f t="shared" si="87"/>
        <v>#N/A</v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e">
        <f>IF('Cable Info'!T332="","",CONCATENATE('Cable Info'!T332," - ",'Cable Info'!U332))</f>
        <v>#N/A</v>
      </c>
      <c r="BG333" s="121" t="e">
        <f t="shared" ref="BG333:BG368" si="99">IF(BE333="",BD333,CONCATENATE(BD333,"  &lt;=&gt; ",BE333," ",BF333))</f>
        <v>#N/A</v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e">
        <f>IF('Cable Info'!T333="","",CONCATENATE('Cable Info'!T333," - ",'Cable Info'!U333))</f>
        <v>#N/A</v>
      </c>
      <c r="BG334" s="121" t="e">
        <f t="shared" si="99"/>
        <v>#N/A</v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e">
        <f>IF('Cable Info'!T334="","",CONCATENATE('Cable Info'!T334," - ",'Cable Info'!U334))</f>
        <v>#N/A</v>
      </c>
      <c r="BG335" s="121" t="e">
        <f t="shared" si="99"/>
        <v>#N/A</v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e">
        <f>IF('Cable Info'!T335="","",CONCATENATE('Cable Info'!T335," - ",'Cable Info'!U335))</f>
        <v>#N/A</v>
      </c>
      <c r="BG336" s="121" t="e">
        <f t="shared" si="99"/>
        <v>#N/A</v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e">
        <f>IF('Cable Info'!T336="","",CONCATENATE('Cable Info'!T336," - ",'Cable Info'!U336))</f>
        <v>#N/A</v>
      </c>
      <c r="BG337" s="121" t="e">
        <f t="shared" si="99"/>
        <v>#N/A</v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e">
        <f>IF('Cable Info'!T337="","",CONCATENATE('Cable Info'!T337," - ",'Cable Info'!U337))</f>
        <v>#N/A</v>
      </c>
      <c r="BG338" s="121" t="e">
        <f t="shared" si="99"/>
        <v>#N/A</v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e">
        <f>IF('Cable Info'!T338="","",CONCATENATE('Cable Info'!T338," - ",'Cable Info'!U338))</f>
        <v>#N/A</v>
      </c>
      <c r="BG339" s="121" t="e">
        <f t="shared" si="99"/>
        <v>#N/A</v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e">
        <f>IF('Cable Info'!T339="","",CONCATENATE('Cable Info'!T339," - ",'Cable Info'!U339))</f>
        <v>#N/A</v>
      </c>
      <c r="BG340" s="121" t="e">
        <f t="shared" si="99"/>
        <v>#N/A</v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e">
        <f>IF('Cable Info'!T340="","",CONCATENATE('Cable Info'!T340," - ",'Cable Info'!U340))</f>
        <v>#N/A</v>
      </c>
      <c r="BG341" s="121" t="e">
        <f t="shared" si="99"/>
        <v>#N/A</v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e">
        <f>IF('Cable Info'!T341="","",CONCATENATE('Cable Info'!T341," - ",'Cable Info'!U341))</f>
        <v>#N/A</v>
      </c>
      <c r="BG342" s="121" t="e">
        <f t="shared" si="99"/>
        <v>#N/A</v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e">
        <f>IF('Cable Info'!T342="","",CONCATENATE('Cable Info'!T342," - ",'Cable Info'!U342))</f>
        <v>#N/A</v>
      </c>
      <c r="BG343" s="121" t="e">
        <f t="shared" si="99"/>
        <v>#N/A</v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e">
        <f>IF('Cable Info'!T343="","",CONCATENATE('Cable Info'!T343," - ",'Cable Info'!U343))</f>
        <v>#N/A</v>
      </c>
      <c r="BG344" s="121" t="e">
        <f t="shared" si="99"/>
        <v>#N/A</v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e">
        <f>IF('Cable Info'!T344="","",CONCATENATE('Cable Info'!T344," - ",'Cable Info'!U344))</f>
        <v>#N/A</v>
      </c>
      <c r="BG345" s="121" t="e">
        <f t="shared" si="99"/>
        <v>#N/A</v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e">
        <f>IF('Cable Info'!T345="","",CONCATENATE('Cable Info'!T345," - ",'Cable Info'!U345))</f>
        <v>#N/A</v>
      </c>
      <c r="BG346" s="121" t="e">
        <f t="shared" si="99"/>
        <v>#N/A</v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e">
        <f>IF('Cable Info'!T346="","",CONCATENATE('Cable Info'!T346," - ",'Cable Info'!U346))</f>
        <v>#N/A</v>
      </c>
      <c r="BG347" s="121" t="e">
        <f t="shared" si="99"/>
        <v>#N/A</v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e">
        <f>IF('Cable Info'!T347="","",CONCATENATE('Cable Info'!T347," - ",'Cable Info'!U347))</f>
        <v>#N/A</v>
      </c>
      <c r="BG348" s="121" t="e">
        <f t="shared" si="99"/>
        <v>#N/A</v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e">
        <f>IF('Cable Info'!T348="","",CONCATENATE('Cable Info'!T348," - ",'Cable Info'!U348))</f>
        <v>#N/A</v>
      </c>
      <c r="BG349" s="121" t="e">
        <f t="shared" si="99"/>
        <v>#N/A</v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e">
        <f>IF('Cable Info'!T349="","",CONCATENATE('Cable Info'!T349," - ",'Cable Info'!U349))</f>
        <v>#N/A</v>
      </c>
      <c r="BG350" s="121" t="e">
        <f t="shared" si="99"/>
        <v>#N/A</v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e">
        <f>IF('Cable Info'!T350="","",CONCATENATE('Cable Info'!T350," - ",'Cable Info'!U350))</f>
        <v>#N/A</v>
      </c>
      <c r="BG351" s="121" t="e">
        <f t="shared" si="99"/>
        <v>#N/A</v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e">
        <f>IF('Cable Info'!T351="","",CONCATENATE('Cable Info'!T351," - ",'Cable Info'!U351))</f>
        <v>#N/A</v>
      </c>
      <c r="BG352" s="121" t="e">
        <f t="shared" si="99"/>
        <v>#N/A</v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e">
        <f>IF('Cable Info'!T352="","",CONCATENATE('Cable Info'!T352," - ",'Cable Info'!U352))</f>
        <v>#N/A</v>
      </c>
      <c r="BG353" s="121" t="e">
        <f t="shared" si="99"/>
        <v>#N/A</v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e">
        <f>IF('Cable Info'!T353="","",CONCATENATE('Cable Info'!T353," - ",'Cable Info'!U353))</f>
        <v>#N/A</v>
      </c>
      <c r="BG354" s="121" t="e">
        <f t="shared" si="99"/>
        <v>#N/A</v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e">
        <f>IF('Cable Info'!T354="","",CONCATENATE('Cable Info'!T354," - ",'Cable Info'!U354))</f>
        <v>#N/A</v>
      </c>
      <c r="BG355" s="121" t="e">
        <f t="shared" si="99"/>
        <v>#N/A</v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e">
        <f>IF('Cable Info'!T355="","",CONCATENATE('Cable Info'!T355," - ",'Cable Info'!U355))</f>
        <v>#N/A</v>
      </c>
      <c r="BG356" s="121" t="e">
        <f t="shared" si="99"/>
        <v>#N/A</v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e">
        <f>IF('Cable Info'!T356="","",CONCATENATE('Cable Info'!T356," - ",'Cable Info'!U356))</f>
        <v>#N/A</v>
      </c>
      <c r="BG357" s="121" t="e">
        <f t="shared" si="99"/>
        <v>#N/A</v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e">
        <f>IF('Cable Info'!T357="","",CONCATENATE('Cable Info'!T357," - ",'Cable Info'!U357))</f>
        <v>#N/A</v>
      </c>
      <c r="BG358" s="121" t="e">
        <f t="shared" si="99"/>
        <v>#N/A</v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e">
        <f>IF('Cable Info'!T358="","",CONCATENATE('Cable Info'!T358," - ",'Cable Info'!U358))</f>
        <v>#N/A</v>
      </c>
      <c r="BG359" s="121" t="e">
        <f t="shared" si="99"/>
        <v>#N/A</v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e">
        <f>IF('Cable Info'!T359="","",CONCATENATE('Cable Info'!T359," - ",'Cable Info'!U359))</f>
        <v>#N/A</v>
      </c>
      <c r="BG360" s="121" t="e">
        <f t="shared" si="99"/>
        <v>#N/A</v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e">
        <f>IF('Cable Info'!T360="","",CONCATENATE('Cable Info'!T360," - ",'Cable Info'!U360))</f>
        <v>#N/A</v>
      </c>
      <c r="BG361" s="121" t="e">
        <f t="shared" si="99"/>
        <v>#N/A</v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e">
        <f>IF('Cable Info'!T361="","",CONCATENATE('Cable Info'!T361," - ",'Cable Info'!U361))</f>
        <v>#N/A</v>
      </c>
      <c r="BG362" s="121" t="e">
        <f t="shared" si="99"/>
        <v>#N/A</v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e">
        <f>IF('Cable Info'!T362="","",CONCATENATE('Cable Info'!T362," - ",'Cable Info'!U362))</f>
        <v>#N/A</v>
      </c>
      <c r="BG363" s="121" t="e">
        <f t="shared" si="99"/>
        <v>#N/A</v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e">
        <f>IF('Cable Info'!T363="","",CONCATENATE('Cable Info'!T363," - ",'Cable Info'!U363))</f>
        <v>#N/A</v>
      </c>
      <c r="BG364" s="121" t="e">
        <f t="shared" si="99"/>
        <v>#N/A</v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e">
        <f>IF('Cable Info'!T364="","",CONCATENATE('Cable Info'!T364," - ",'Cable Info'!U364))</f>
        <v>#N/A</v>
      </c>
      <c r="BG365" s="121" t="e">
        <f t="shared" si="99"/>
        <v>#N/A</v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e">
        <f>IF('Cable Info'!T365="","",CONCATENATE('Cable Info'!T365," - ",'Cable Info'!U365))</f>
        <v>#N/A</v>
      </c>
      <c r="BG366" s="121" t="e">
        <f t="shared" si="99"/>
        <v>#N/A</v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e">
        <f>IF('Cable Info'!T366="","",CONCATENATE('Cable Info'!T366," - ",'Cable Info'!U366))</f>
        <v>#N/A</v>
      </c>
      <c r="BG367" s="121" t="e">
        <f t="shared" si="99"/>
        <v>#N/A</v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e">
        <f>IF('Cable Info'!T367="","",CONCATENATE('Cable Info'!T367," - ",'Cable Info'!U367))</f>
        <v>#N/A</v>
      </c>
      <c r="BG368" s="121" t="e">
        <f t="shared" si="99"/>
        <v>#N/A</v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e">
        <f>IF('Cable Info'!T186="","",CONCATENATE('Cable Info'!T186," - ",'Cable Info'!U186))</f>
        <v>#N/A</v>
      </c>
      <c r="BG369" s="121" t="e">
        <f t="shared" ref="BG369:BG379" si="111">IF(BE369="",BD369,CONCATENATE(BD369,"  &lt;=&gt; ",BE369," ",BF369))</f>
        <v>#N/A</v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e">
        <f>IF('Cable Info'!T187="","",CONCATENATE('Cable Info'!T187," - ",'Cable Info'!U187))</f>
        <v>#N/A</v>
      </c>
      <c r="BG370" s="121" t="e">
        <f t="shared" si="111"/>
        <v>#N/A</v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e">
        <f>IF('Cable Info'!T188="","",CONCATENATE('Cable Info'!T188," - ",'Cable Info'!U188))</f>
        <v>#N/A</v>
      </c>
      <c r="BG371" s="121" t="e">
        <f t="shared" si="111"/>
        <v>#N/A</v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e">
        <f>IF('Cable Info'!T189="","",CONCATENATE('Cable Info'!T189," - ",'Cable Info'!U189))</f>
        <v>#N/A</v>
      </c>
      <c r="BG372" s="121" t="e">
        <f t="shared" si="111"/>
        <v>#N/A</v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e">
        <f>IF('Cable Info'!T190="","",CONCATENATE('Cable Info'!T190," - ",'Cable Info'!U190))</f>
        <v>#N/A</v>
      </c>
      <c r="BG373" s="121" t="e">
        <f t="shared" si="111"/>
        <v>#N/A</v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e">
        <f>IF('Cable Info'!T191="","",CONCATENATE('Cable Info'!T191," - ",'Cable Info'!U191))</f>
        <v>#N/A</v>
      </c>
      <c r="BG374" s="121" t="e">
        <f t="shared" si="111"/>
        <v>#N/A</v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e">
        <f>IF('Cable Info'!T192="","",CONCATENATE('Cable Info'!T192," - ",'Cable Info'!U192))</f>
        <v>#N/A</v>
      </c>
      <c r="BG375" s="121" t="e">
        <f t="shared" si="111"/>
        <v>#N/A</v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e">
        <f>IF('Cable Info'!T193="","",CONCATENATE('Cable Info'!T193," - ",'Cable Info'!U193))</f>
        <v>#N/A</v>
      </c>
      <c r="BG376" s="121" t="e">
        <f t="shared" si="111"/>
        <v>#N/A</v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e">
        <f>IF('Cable Info'!T194="","",CONCATENATE('Cable Info'!T194," - ",'Cable Info'!U194))</f>
        <v>#N/A</v>
      </c>
      <c r="BG377" s="121" t="e">
        <f t="shared" si="111"/>
        <v>#N/A</v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e">
        <f>IF('Cable Info'!T195="","",CONCATENATE('Cable Info'!T195," - ",'Cable Info'!U195))</f>
        <v>#N/A</v>
      </c>
      <c r="BG378" s="121" t="e">
        <f t="shared" si="111"/>
        <v>#N/A</v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e">
        <f>IF('Cable Info'!T196="","",CONCATENATE('Cable Info'!T196," - ",'Cable Info'!U196))</f>
        <v>#N/A</v>
      </c>
      <c r="BG379" s="121" t="e">
        <f t="shared" si="111"/>
        <v>#N/A</v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e">
        <f>IF('Cable Info'!T84="","",CONCATENATE('Cable Info'!T84," - ",'Cable Info'!U84))</f>
        <v>#N/A</v>
      </c>
      <c r="BG380" s="121" t="e">
        <f t="shared" ref="BG380:BG426" si="123">IF(BE380="",BD380,CONCATENATE(BD380,"  &lt;=&gt; ",BE380," ",BF380))</f>
        <v>#N/A</v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e">
        <f>IF('Cable Info'!T85="","",CONCATENATE('Cable Info'!T85," - ",'Cable Info'!U85))</f>
        <v>#N/A</v>
      </c>
      <c r="BG381" s="121" t="e">
        <f t="shared" si="123"/>
        <v>#N/A</v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e">
        <f>IF('Cable Info'!T86="","",CONCATENATE('Cable Info'!T86," - ",'Cable Info'!U86))</f>
        <v>#N/A</v>
      </c>
      <c r="BE382" s="164"/>
      <c r="BF382" s="164"/>
      <c r="BG382" s="164" t="e">
        <f t="shared" si="123"/>
        <v>#N/A</v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e">
        <f>IF('Cable Info'!T87="","",CONCATENATE('Cable Info'!T87," - ",'Cable Info'!U87))</f>
        <v>#N/A</v>
      </c>
      <c r="BE383" s="160"/>
      <c r="BF383" s="160"/>
      <c r="BG383" s="160" t="e">
        <f t="shared" si="123"/>
        <v>#N/A</v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e">
        <f>IF('Cable Info'!T88="","",CONCATENATE('Cable Info'!T88," - ",'Cable Info'!U88))</f>
        <v>#N/A</v>
      </c>
      <c r="BG384" s="121" t="e">
        <f t="shared" si="123"/>
        <v>#N/A</v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e">
        <f>IF('Cable Info'!T89="","",CONCATENATE('Cable Info'!T89," - ",'Cable Info'!U89))</f>
        <v>#N/A</v>
      </c>
      <c r="BG385" s="121" t="e">
        <f t="shared" si="123"/>
        <v>#N/A</v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e">
        <f>IF('Cable Info'!T90="","",CONCATENATE('Cable Info'!T90," - ",'Cable Info'!U90))</f>
        <v>#N/A</v>
      </c>
      <c r="BG386" s="121" t="e">
        <f t="shared" si="123"/>
        <v>#N/A</v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e">
        <f>IF('Cable Info'!T91="","",CONCATENATE('Cable Info'!T91," - ",'Cable Info'!U91))</f>
        <v>#N/A</v>
      </c>
      <c r="BG387" s="121" t="e">
        <f t="shared" si="123"/>
        <v>#N/A</v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e">
        <f>IF('Cable Info'!T92="","",CONCATENATE('Cable Info'!T92," - ",'Cable Info'!U92))</f>
        <v>#N/A</v>
      </c>
      <c r="BG388" s="121" t="e">
        <f t="shared" si="123"/>
        <v>#N/A</v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e">
        <f>IF('Cable Info'!T93="","",CONCATENATE('Cable Info'!T93," - ",'Cable Info'!U93))</f>
        <v>#N/A</v>
      </c>
      <c r="BG389" s="121" t="e">
        <f t="shared" si="123"/>
        <v>#N/A</v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e">
        <f>IF('Cable Info'!T94="","",CONCATENATE('Cable Info'!T94," - ",'Cable Info'!U94))</f>
        <v>#N/A</v>
      </c>
      <c r="BG390" s="121" t="e">
        <f t="shared" si="123"/>
        <v>#N/A</v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e">
        <f>IF('Cable Info'!T95="","",CONCATENATE('Cable Info'!T95," - ",'Cable Info'!U95))</f>
        <v>#N/A</v>
      </c>
      <c r="BG391" s="121" t="e">
        <f t="shared" si="123"/>
        <v>#N/A</v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e">
        <f>IF('Cable Info'!T96="","",CONCATENATE('Cable Info'!T96," - ",'Cable Info'!U96))</f>
        <v>#N/A</v>
      </c>
      <c r="BG392" s="121" t="e">
        <f t="shared" si="123"/>
        <v>#N/A</v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e">
        <f>IF('Cable Info'!T97="","",CONCATENATE('Cable Info'!T97," - ",'Cable Info'!U97))</f>
        <v>#N/A</v>
      </c>
      <c r="BG393" s="121" t="e">
        <f t="shared" si="123"/>
        <v>#N/A</v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e">
        <f>IF('Cable Info'!T98="","",CONCATENATE('Cable Info'!T98," - ",'Cable Info'!U98))</f>
        <v>#N/A</v>
      </c>
      <c r="BG394" s="121" t="e">
        <f t="shared" si="123"/>
        <v>#N/A</v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e">
        <f>IF('Cable Info'!T99="","",CONCATENATE('Cable Info'!T99," - ",'Cable Info'!U99))</f>
        <v>#N/A</v>
      </c>
      <c r="BG395" s="121" t="e">
        <f t="shared" si="123"/>
        <v>#N/A</v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e">
        <f>IF('Cable Info'!T100="","",CONCATENATE('Cable Info'!T100," - ",'Cable Info'!U100))</f>
        <v>#N/A</v>
      </c>
      <c r="BG396" s="121" t="e">
        <f t="shared" si="123"/>
        <v>#N/A</v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e">
        <f>IF('Cable Info'!T101="","",CONCATENATE('Cable Info'!T101," - ",'Cable Info'!U101))</f>
        <v>#N/A</v>
      </c>
      <c r="BG397" s="121" t="e">
        <f t="shared" si="123"/>
        <v>#N/A</v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e">
        <f>IF('Cable Info'!T102="","",CONCATENATE('Cable Info'!T102," - ",'Cable Info'!U102))</f>
        <v>#N/A</v>
      </c>
      <c r="BG398" s="121" t="e">
        <f t="shared" si="123"/>
        <v>#N/A</v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e">
        <f>IF('Cable Info'!T103="","",CONCATENATE('Cable Info'!T103," - ",'Cable Info'!U103))</f>
        <v>#N/A</v>
      </c>
      <c r="BG399" s="121" t="e">
        <f t="shared" si="123"/>
        <v>#N/A</v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e">
        <f>IF('Cable Info'!T104="","",CONCATENATE('Cable Info'!T104," - ",'Cable Info'!U104))</f>
        <v>#N/A</v>
      </c>
      <c r="BG400" s="121" t="e">
        <f t="shared" si="123"/>
        <v>#N/A</v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e">
        <f>IF('Cable Info'!T105="","",CONCATENATE('Cable Info'!T105," - ",'Cable Info'!U105))</f>
        <v>#N/A</v>
      </c>
      <c r="BG401" s="121" t="e">
        <f t="shared" si="123"/>
        <v>#N/A</v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e">
        <f>IF('Cable Info'!T106="","",CONCATENATE('Cable Info'!T106," - ",'Cable Info'!U106))</f>
        <v>#N/A</v>
      </c>
      <c r="BG402" s="121" t="e">
        <f t="shared" si="123"/>
        <v>#N/A</v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e">
        <f>IF('Cable Info'!T107="","",CONCATENATE('Cable Info'!T107," - ",'Cable Info'!U107))</f>
        <v>#N/A</v>
      </c>
      <c r="BG403" s="121" t="e">
        <f t="shared" si="123"/>
        <v>#N/A</v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e">
        <f>IF('Cable Info'!T108="","",CONCATENATE('Cable Info'!T108," - ",'Cable Info'!U108))</f>
        <v>#N/A</v>
      </c>
      <c r="BG404" s="121" t="e">
        <f t="shared" si="123"/>
        <v>#N/A</v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e">
        <f>IF('Cable Info'!T109="","",CONCATENATE('Cable Info'!T109," - ",'Cable Info'!U109))</f>
        <v>#N/A</v>
      </c>
      <c r="BG405" s="121" t="e">
        <f t="shared" si="123"/>
        <v>#N/A</v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e">
        <f>IF('Cable Info'!T110="","",CONCATENATE('Cable Info'!T110," - ",'Cable Info'!U110))</f>
        <v>#N/A</v>
      </c>
      <c r="BG406" s="121" t="e">
        <f t="shared" si="123"/>
        <v>#N/A</v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e">
        <f>IF('Cable Info'!T111="","",CONCATENATE('Cable Info'!T111," - ",'Cable Info'!U111))</f>
        <v>#N/A</v>
      </c>
      <c r="BG407" s="121" t="e">
        <f t="shared" si="123"/>
        <v>#N/A</v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e">
        <f>IF('Cable Info'!T112="","",CONCATENATE('Cable Info'!T112," - ",'Cable Info'!U112))</f>
        <v>#N/A</v>
      </c>
      <c r="BG408" s="121" t="e">
        <f t="shared" si="123"/>
        <v>#N/A</v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e">
        <f>IF('Cable Info'!T113="","",CONCATENATE('Cable Info'!T113," - ",'Cable Info'!U113))</f>
        <v>#N/A</v>
      </c>
      <c r="BG409" s="121" t="e">
        <f t="shared" si="123"/>
        <v>#N/A</v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e">
        <f>IF('Cable Info'!T114="","",CONCATENATE('Cable Info'!T114," - ",'Cable Info'!U114))</f>
        <v>#N/A</v>
      </c>
      <c r="BG410" s="121" t="e">
        <f t="shared" si="123"/>
        <v>#N/A</v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e">
        <f>IF('Cable Info'!T115="","",CONCATENATE('Cable Info'!T115," - ",'Cable Info'!U115))</f>
        <v>#N/A</v>
      </c>
      <c r="BG411" s="121" t="e">
        <f t="shared" si="123"/>
        <v>#N/A</v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e">
        <f>IF('Cable Info'!T116="","",CONCATENATE('Cable Info'!T116," - ",'Cable Info'!U116))</f>
        <v>#N/A</v>
      </c>
      <c r="BG412" s="121" t="e">
        <f t="shared" si="123"/>
        <v>#N/A</v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e">
        <f>IF('Cable Info'!T117="","",CONCATENATE('Cable Info'!T117," - ",'Cable Info'!U117))</f>
        <v>#N/A</v>
      </c>
      <c r="BG413" s="121" t="e">
        <f t="shared" si="123"/>
        <v>#N/A</v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e">
        <f>IF('Cable Info'!T118="","",CONCATENATE('Cable Info'!T118," - ",'Cable Info'!U118))</f>
        <v>#N/A</v>
      </c>
      <c r="BG414" s="121" t="e">
        <f t="shared" si="123"/>
        <v>#N/A</v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e">
        <f>IF('Cable Info'!T119="","",CONCATENATE('Cable Info'!T119," - ",'Cable Info'!U119))</f>
        <v>#N/A</v>
      </c>
      <c r="BG415" s="121" t="e">
        <f t="shared" si="123"/>
        <v>#N/A</v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e">
        <f>IF('Cable Info'!T120="","",CONCATENATE('Cable Info'!T120," - ",'Cable Info'!U120))</f>
        <v>#N/A</v>
      </c>
      <c r="BG416" s="121" t="e">
        <f t="shared" si="123"/>
        <v>#N/A</v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e">
        <f>IF('Cable Info'!T121="","",CONCATENATE('Cable Info'!T121," - ",'Cable Info'!U121))</f>
        <v>#N/A</v>
      </c>
      <c r="BG417" s="121" t="e">
        <f t="shared" si="123"/>
        <v>#N/A</v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e">
        <f>IF('Cable Info'!T122="","",CONCATENATE('Cable Info'!T122," - ",'Cable Info'!U122))</f>
        <v>#N/A</v>
      </c>
      <c r="BG418" s="121" t="e">
        <f t="shared" si="123"/>
        <v>#N/A</v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e">
        <f>IF('Cable Info'!T123="","",CONCATENATE('Cable Info'!T123," - ",'Cable Info'!U123))</f>
        <v>#N/A</v>
      </c>
      <c r="BG419" s="121" t="e">
        <f t="shared" si="123"/>
        <v>#N/A</v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e">
        <f>IF('Cable Info'!T124="","",CONCATENATE('Cable Info'!T124," - ",'Cable Info'!U124))</f>
        <v>#N/A</v>
      </c>
      <c r="BG420" s="121" t="e">
        <f t="shared" si="123"/>
        <v>#N/A</v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e">
        <f>IF('Cable Info'!T125="","",CONCATENATE('Cable Info'!T125," - ",'Cable Info'!U125))</f>
        <v>#N/A</v>
      </c>
      <c r="BG421" s="121" t="e">
        <f t="shared" si="123"/>
        <v>#N/A</v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e">
        <f>IF('Cable Info'!T126="","",CONCATENATE('Cable Info'!T126," - ",'Cable Info'!U126))</f>
        <v>#N/A</v>
      </c>
      <c r="BG422" s="121" t="e">
        <f t="shared" si="123"/>
        <v>#N/A</v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e">
        <f>IF('Cable Info'!T127="","",CONCATENATE('Cable Info'!T127," - ",'Cable Info'!U127))</f>
        <v>#N/A</v>
      </c>
      <c r="BG423" s="121" t="e">
        <f t="shared" si="123"/>
        <v>#N/A</v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e">
        <f>IF('Cable Info'!T128="","",CONCATENATE('Cable Info'!T128," - ",'Cable Info'!U128))</f>
        <v>#N/A</v>
      </c>
      <c r="BG424" s="121" t="e">
        <f t="shared" si="123"/>
        <v>#N/A</v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e">
        <f>IF('Cable Info'!T129="","",CONCATENATE('Cable Info'!T129," - ",'Cable Info'!U129))</f>
        <v>#N/A</v>
      </c>
      <c r="BG425" s="121" t="e">
        <f t="shared" si="123"/>
        <v>#N/A</v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e">
        <f>IF('Cable Info'!T130="","",CONCATENATE('Cable Info'!T130," - ",'Cable Info'!U130))</f>
        <v>#N/A</v>
      </c>
      <c r="BG426" s="121" t="e">
        <f t="shared" si="123"/>
        <v>#N/A</v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e">
        <f>IF('Cable Info'!T131="","",CONCATENATE('Cable Info'!T131," - ",'Cable Info'!U131))</f>
        <v>#N/A</v>
      </c>
      <c r="BG427" s="121" t="e">
        <f t="shared" ref="BG427:BG490" si="129">IF(BE427="",BD427,CONCATENATE(BD427,"  &lt;=&gt; ",BE427," ",BF427))</f>
        <v>#N/A</v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e">
        <f>IF('Cable Info'!T132="","",CONCATENATE('Cable Info'!T132," - ",'Cable Info'!U132))</f>
        <v>#N/A</v>
      </c>
      <c r="BG428" s="121" t="e">
        <f t="shared" si="129"/>
        <v>#N/A</v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e">
        <f>IF('Cable Info'!T133="","",CONCATENATE('Cable Info'!T133," - ",'Cable Info'!U133))</f>
        <v>#N/A</v>
      </c>
      <c r="BG429" s="121" t="e">
        <f t="shared" si="129"/>
        <v>#N/A</v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e">
        <f>IF('Cable Info'!T134="","",CONCATENATE('Cable Info'!T134," - ",'Cable Info'!U134))</f>
        <v>#N/A</v>
      </c>
      <c r="BG430" s="121" t="e">
        <f t="shared" si="129"/>
        <v>#N/A</v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e">
        <f>IF('Cable Info'!T135="","",CONCATENATE('Cable Info'!T135," - ",'Cable Info'!U135))</f>
        <v>#N/A</v>
      </c>
      <c r="BG431" s="121" t="e">
        <f t="shared" si="129"/>
        <v>#N/A</v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e">
        <f>IF('Cable Info'!T136="","",CONCATENATE('Cable Info'!T136," - ",'Cable Info'!U136))</f>
        <v>#N/A</v>
      </c>
      <c r="BG432" s="121" t="e">
        <f t="shared" si="129"/>
        <v>#N/A</v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e">
        <f>IF('Cable Info'!T137="","",CONCATENATE('Cable Info'!T137," - ",'Cable Info'!U137))</f>
        <v>#N/A</v>
      </c>
      <c r="BG433" s="121" t="e">
        <f t="shared" si="129"/>
        <v>#N/A</v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e">
        <f>IF('Cable Info'!T138="","",CONCATENATE('Cable Info'!T138," - ",'Cable Info'!U138))</f>
        <v>#N/A</v>
      </c>
      <c r="BG434" s="121" t="e">
        <f t="shared" si="129"/>
        <v>#N/A</v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e">
        <f>IF('Cable Info'!T139="","",CONCATENATE('Cable Info'!T139," - ",'Cable Info'!U139))</f>
        <v>#N/A</v>
      </c>
      <c r="BG435" s="121" t="e">
        <f t="shared" si="129"/>
        <v>#N/A</v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e">
        <f>IF('Cable Info'!T140="","",CONCATENATE('Cable Info'!T140," - ",'Cable Info'!U140))</f>
        <v>#N/A</v>
      </c>
      <c r="BG436" s="121" t="e">
        <f t="shared" si="129"/>
        <v>#N/A</v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e">
        <f>IF('Cable Info'!T141="","",CONCATENATE('Cable Info'!T141," - ",'Cable Info'!U141))</f>
        <v>#N/A</v>
      </c>
      <c r="BG437" s="121" t="e">
        <f t="shared" si="129"/>
        <v>#N/A</v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e">
        <f>IF('Cable Info'!T142="","",CONCATENATE('Cable Info'!T142," - ",'Cable Info'!U142))</f>
        <v>#N/A</v>
      </c>
      <c r="BG438" s="121" t="e">
        <f t="shared" si="129"/>
        <v>#N/A</v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e">
        <f>IF('Cable Info'!T143="","",CONCATENATE('Cable Info'!T143," - ",'Cable Info'!U143))</f>
        <v>#N/A</v>
      </c>
      <c r="BG439" s="121" t="e">
        <f t="shared" si="129"/>
        <v>#N/A</v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e">
        <f>IF('Cable Info'!T144="","",CONCATENATE('Cable Info'!T144," - ",'Cable Info'!U144))</f>
        <v>#N/A</v>
      </c>
      <c r="BG440" s="121" t="e">
        <f t="shared" si="129"/>
        <v>#N/A</v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e">
        <f>IF('Cable Info'!T145="","",CONCATENATE('Cable Info'!T145," - ",'Cable Info'!U145))</f>
        <v>#N/A</v>
      </c>
      <c r="BG441" s="121" t="e">
        <f t="shared" si="129"/>
        <v>#N/A</v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e">
        <f>IF('Cable Info'!T146="","",CONCATENATE('Cable Info'!T146," - ",'Cable Info'!U146))</f>
        <v>#N/A</v>
      </c>
      <c r="BG442" s="121" t="e">
        <f t="shared" si="129"/>
        <v>#N/A</v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e">
        <f>IF('Cable Info'!T147="","",CONCATENATE('Cable Info'!T147," - ",'Cable Info'!U147))</f>
        <v>#N/A</v>
      </c>
      <c r="BG443" s="121" t="e">
        <f t="shared" si="129"/>
        <v>#N/A</v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e">
        <f>IF('Cable Info'!T148="","",CONCATENATE('Cable Info'!T148," - ",'Cable Info'!U148))</f>
        <v>#N/A</v>
      </c>
      <c r="BG444" s="121" t="e">
        <f t="shared" si="129"/>
        <v>#N/A</v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e">
        <f>IF('Cable Info'!T149="","",CONCATENATE('Cable Info'!T149," - ",'Cable Info'!U149))</f>
        <v>#N/A</v>
      </c>
      <c r="BG445" s="121" t="e">
        <f t="shared" si="129"/>
        <v>#N/A</v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e">
        <f>IF('Cable Info'!T150="","",CONCATENATE('Cable Info'!T150," - ",'Cable Info'!U150))</f>
        <v>#N/A</v>
      </c>
      <c r="BG446" s="121" t="e">
        <f t="shared" si="129"/>
        <v>#N/A</v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e">
        <f>IF('Cable Info'!T151="","",CONCATENATE('Cable Info'!T151," - ",'Cable Info'!U151))</f>
        <v>#N/A</v>
      </c>
      <c r="BG447" s="121" t="e">
        <f t="shared" si="129"/>
        <v>#N/A</v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e">
        <f>IF('Cable Info'!T152="","",CONCATENATE('Cable Info'!T152," - ",'Cable Info'!U152))</f>
        <v>#N/A</v>
      </c>
      <c r="BG448" s="121" t="e">
        <f t="shared" si="129"/>
        <v>#N/A</v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e">
        <f>IF('Cable Info'!T153="","",CONCATENATE('Cable Info'!T153," - ",'Cable Info'!U153))</f>
        <v>#N/A</v>
      </c>
      <c r="BG449" s="121" t="e">
        <f t="shared" si="129"/>
        <v>#N/A</v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e">
        <f>IF('Cable Info'!T154="","",CONCATENATE('Cable Info'!T154," - ",'Cable Info'!U154))</f>
        <v>#N/A</v>
      </c>
      <c r="BG450" s="121" t="e">
        <f t="shared" si="129"/>
        <v>#N/A</v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e">
        <f>IF('Cable Info'!T155="","",CONCATENATE('Cable Info'!T155," - ",'Cable Info'!U155))</f>
        <v>#N/A</v>
      </c>
      <c r="BG451" s="121" t="e">
        <f t="shared" si="129"/>
        <v>#N/A</v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e">
        <f>IF('Cable Info'!T156="","",CONCATENATE('Cable Info'!T156," - ",'Cable Info'!U156))</f>
        <v>#N/A</v>
      </c>
      <c r="BG452" s="121" t="e">
        <f t="shared" si="129"/>
        <v>#N/A</v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e">
        <f>IF('Cable Info'!T157="","",CONCATENATE('Cable Info'!T157," - ",'Cable Info'!U157))</f>
        <v>#N/A</v>
      </c>
      <c r="BG453" s="121" t="e">
        <f t="shared" si="129"/>
        <v>#N/A</v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e">
        <f>IF('Cable Info'!T158="","",CONCATENATE('Cable Info'!T158," - ",'Cable Info'!U158))</f>
        <v>#N/A</v>
      </c>
      <c r="BG454" s="121" t="e">
        <f t="shared" si="129"/>
        <v>#N/A</v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e">
        <f>IF('Cable Info'!T159="","",CONCATENATE('Cable Info'!T159," - ",'Cable Info'!U159))</f>
        <v>#N/A</v>
      </c>
      <c r="BG455" s="121" t="e">
        <f t="shared" si="129"/>
        <v>#N/A</v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e">
        <f>IF('Cable Info'!T160="","",CONCATENATE('Cable Info'!T160," - ",'Cable Info'!U160))</f>
        <v>#N/A</v>
      </c>
      <c r="BG456" s="121" t="e">
        <f t="shared" si="129"/>
        <v>#N/A</v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e">
        <f>IF('Cable Info'!T161="","",CONCATENATE('Cable Info'!T161," - ",'Cable Info'!U161))</f>
        <v>#N/A</v>
      </c>
      <c r="BG457" s="121" t="e">
        <f t="shared" si="129"/>
        <v>#N/A</v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e">
        <f>IF('Cable Info'!T162="","",CONCATENATE('Cable Info'!T162," - ",'Cable Info'!U162))</f>
        <v>#N/A</v>
      </c>
      <c r="BG458" s="121" t="e">
        <f t="shared" si="129"/>
        <v>#N/A</v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e">
        <f>IF('Cable Info'!T163="","",CONCATENATE('Cable Info'!T163," - ",'Cable Info'!U163))</f>
        <v>#N/A</v>
      </c>
      <c r="BG459" s="121" t="e">
        <f t="shared" si="129"/>
        <v>#N/A</v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e">
        <f>IF('Cable Info'!T164="","",CONCATENATE('Cable Info'!T164," - ",'Cable Info'!U164))</f>
        <v>#N/A</v>
      </c>
      <c r="BG460" s="121" t="e">
        <f t="shared" si="129"/>
        <v>#N/A</v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e">
        <f>IF('Cable Info'!T165="","",CONCATENATE('Cable Info'!T165," - ",'Cable Info'!U165))</f>
        <v>#N/A</v>
      </c>
      <c r="BG461" s="121" t="e">
        <f t="shared" si="129"/>
        <v>#N/A</v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e">
        <f>IF('Cable Info'!T166="","",CONCATENATE('Cable Info'!T166," - ",'Cable Info'!U166))</f>
        <v>#N/A</v>
      </c>
      <c r="BG462" s="121" t="e">
        <f t="shared" si="129"/>
        <v>#N/A</v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e">
        <f>IF('Cable Info'!T167="","",CONCATENATE('Cable Info'!T167," - ",'Cable Info'!U167))</f>
        <v>#N/A</v>
      </c>
      <c r="BG463" s="121" t="e">
        <f t="shared" si="129"/>
        <v>#N/A</v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e">
        <f>IF('Cable Info'!T168="","",CONCATENATE('Cable Info'!T168," - ",'Cable Info'!U168))</f>
        <v>#N/A</v>
      </c>
      <c r="BG464" s="121" t="e">
        <f t="shared" si="129"/>
        <v>#N/A</v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e">
        <f>IF('Cable Info'!T169="","",CONCATENATE('Cable Info'!T169," - ",'Cable Info'!U169))</f>
        <v>#N/A</v>
      </c>
      <c r="BG465" s="121" t="e">
        <f t="shared" si="129"/>
        <v>#N/A</v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e">
        <f>IF('Cable Info'!T170="","",CONCATENATE('Cable Info'!T170," - ",'Cable Info'!U170))</f>
        <v>#N/A</v>
      </c>
      <c r="BG466" s="121" t="e">
        <f t="shared" si="129"/>
        <v>#N/A</v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e">
        <f>IF('Cable Info'!T171="","",CONCATENATE('Cable Info'!T171," - ",'Cable Info'!U171))</f>
        <v>#N/A</v>
      </c>
      <c r="BG467" s="121" t="e">
        <f t="shared" si="129"/>
        <v>#N/A</v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e">
        <f>IF('Cable Info'!T172="","",CONCATENATE('Cable Info'!T172," - ",'Cable Info'!U172))</f>
        <v>#N/A</v>
      </c>
      <c r="BG468" s="121" t="e">
        <f t="shared" si="129"/>
        <v>#N/A</v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e">
        <f>IF('Cable Info'!T173="","",CONCATENATE('Cable Info'!T173," - ",'Cable Info'!U173))</f>
        <v>#N/A</v>
      </c>
      <c r="BG469" s="121" t="e">
        <f t="shared" si="129"/>
        <v>#N/A</v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e">
        <f>IF('Cable Info'!T174="","",CONCATENATE('Cable Info'!T174," - ",'Cable Info'!U174))</f>
        <v>#N/A</v>
      </c>
      <c r="BG470" s="121" t="e">
        <f t="shared" si="129"/>
        <v>#N/A</v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e">
        <f>IF('Cable Info'!T175="","",CONCATENATE('Cable Info'!T175," - ",'Cable Info'!U175))</f>
        <v>#N/A</v>
      </c>
      <c r="BG471" s="121" t="e">
        <f t="shared" si="129"/>
        <v>#N/A</v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e">
        <f>IF('Cable Info'!T176="","",CONCATENATE('Cable Info'!T176," - ",'Cable Info'!U176))</f>
        <v>#N/A</v>
      </c>
      <c r="BG472" s="121" t="e">
        <f t="shared" si="129"/>
        <v>#N/A</v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e">
        <f>IF('Cable Info'!T177="","",CONCATENATE('Cable Info'!T177," - ",'Cable Info'!U177))</f>
        <v>#N/A</v>
      </c>
      <c r="BG473" s="121" t="e">
        <f t="shared" si="129"/>
        <v>#N/A</v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e">
        <f>IF('Cable Info'!T178="","",CONCATENATE('Cable Info'!T178," - ",'Cable Info'!U178))</f>
        <v>#N/A</v>
      </c>
      <c r="BG474" s="121" t="e">
        <f t="shared" si="129"/>
        <v>#N/A</v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e">
        <f>IF('Cable Info'!T179="","",CONCATENATE('Cable Info'!T179," - ",'Cable Info'!U179))</f>
        <v>#N/A</v>
      </c>
      <c r="BG475" s="121" t="e">
        <f t="shared" si="129"/>
        <v>#N/A</v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e">
        <f>IF('Cable Info'!T180="","",CONCATENATE('Cable Info'!T180," - ",'Cable Info'!U180))</f>
        <v>#N/A</v>
      </c>
      <c r="BG476" s="121" t="e">
        <f t="shared" si="129"/>
        <v>#N/A</v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e">
        <f>IF('Cable Info'!T181="","",CONCATENATE('Cable Info'!T181," - ",'Cable Info'!U181))</f>
        <v>#N/A</v>
      </c>
      <c r="BG477" s="121" t="e">
        <f t="shared" si="129"/>
        <v>#N/A</v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e">
        <f>IF('Cable Info'!T182="","",CONCATENATE('Cable Info'!T182," - ",'Cable Info'!U182))</f>
        <v>#N/A</v>
      </c>
      <c r="BG478" s="121" t="e">
        <f t="shared" si="129"/>
        <v>#N/A</v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e">
        <f>IF('Cable Info'!T183="","",CONCATENATE('Cable Info'!T183," - ",'Cable Info'!U183))</f>
        <v>#N/A</v>
      </c>
      <c r="BG479" s="121" t="e">
        <f t="shared" si="129"/>
        <v>#N/A</v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e">
        <f>IF('Cable Info'!T184="","",CONCATENATE('Cable Info'!T184," - ",'Cable Info'!U184))</f>
        <v>#N/A</v>
      </c>
      <c r="BG480" s="121" t="e">
        <f t="shared" si="129"/>
        <v>#N/A</v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e">
        <f>IF('Cable Info'!T185="","",CONCATENATE('Cable Info'!T185," - ",'Cable Info'!U185))</f>
        <v>#N/A</v>
      </c>
      <c r="BG481" s="121" t="e">
        <f t="shared" si="129"/>
        <v>#N/A</v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e">
        <f>IF('Cable Info'!T186="","",CONCATENATE('Cable Info'!T186," - ",'Cable Info'!U186))</f>
        <v>#N/A</v>
      </c>
      <c r="BG482" s="121" t="e">
        <f t="shared" si="129"/>
        <v>#N/A</v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e">
        <f>IF('Cable Info'!T187="","",CONCATENATE('Cable Info'!T187," - ",'Cable Info'!U187))</f>
        <v>#N/A</v>
      </c>
      <c r="BG483" s="121" t="e">
        <f t="shared" si="129"/>
        <v>#N/A</v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e">
        <f>IF('Cable Info'!T188="","",CONCATENATE('Cable Info'!T188," - ",'Cable Info'!U188))</f>
        <v>#N/A</v>
      </c>
      <c r="BG484" s="121" t="e">
        <f t="shared" si="129"/>
        <v>#N/A</v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e">
        <f>IF('Cable Info'!T189="","",CONCATENATE('Cable Info'!T189," - ",'Cable Info'!U189))</f>
        <v>#N/A</v>
      </c>
      <c r="BG485" s="121" t="e">
        <f t="shared" si="129"/>
        <v>#N/A</v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e">
        <f>IF('Cable Info'!T190="","",CONCATENATE('Cable Info'!T190," - ",'Cable Info'!U190))</f>
        <v>#N/A</v>
      </c>
      <c r="BG486" s="121" t="e">
        <f t="shared" si="129"/>
        <v>#N/A</v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e">
        <f>IF('Cable Info'!T191="","",CONCATENATE('Cable Info'!T191," - ",'Cable Info'!U191))</f>
        <v>#N/A</v>
      </c>
      <c r="BG487" s="121" t="e">
        <f t="shared" si="129"/>
        <v>#N/A</v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e">
        <f>IF('Cable Info'!T192="","",CONCATENATE('Cable Info'!T192," - ",'Cable Info'!U192))</f>
        <v>#N/A</v>
      </c>
      <c r="BG488" s="121" t="e">
        <f t="shared" si="129"/>
        <v>#N/A</v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e">
        <f>IF('Cable Info'!T193="","",CONCATENATE('Cable Info'!T193," - ",'Cable Info'!U193))</f>
        <v>#N/A</v>
      </c>
      <c r="BG489" s="121" t="e">
        <f t="shared" si="129"/>
        <v>#N/A</v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e">
        <f>IF('Cable Info'!T194="","",CONCATENATE('Cable Info'!T194," - ",'Cable Info'!U194))</f>
        <v>#N/A</v>
      </c>
      <c r="BG490" s="121" t="e">
        <f t="shared" si="129"/>
        <v>#N/A</v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e">
        <f>IF('Cable Info'!T195="","",CONCATENATE('Cable Info'!T195," - ",'Cable Info'!U195))</f>
        <v>#N/A</v>
      </c>
      <c r="BG491" s="121" t="e">
        <f t="shared" ref="BG491:BG554" si="135">IF(BE491="",BD491,CONCATENATE(BD491,"  &lt;=&gt; ",BE491," ",BF491))</f>
        <v>#N/A</v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e">
        <f>IF('Cable Info'!T196="","",CONCATENATE('Cable Info'!T196," - ",'Cable Info'!U196))</f>
        <v>#N/A</v>
      </c>
      <c r="BG492" s="121" t="e">
        <f t="shared" si="135"/>
        <v>#N/A</v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e">
        <f>IF('Cable Info'!T197="","",CONCATENATE('Cable Info'!T197," - ",'Cable Info'!U197))</f>
        <v>#N/A</v>
      </c>
      <c r="BG493" s="121" t="e">
        <f t="shared" si="135"/>
        <v>#N/A</v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e">
        <f>IF('Cable Info'!T198="","",CONCATENATE('Cable Info'!T198," - ",'Cable Info'!U198))</f>
        <v>#N/A</v>
      </c>
      <c r="BG494" s="121" t="e">
        <f t="shared" si="135"/>
        <v>#N/A</v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e">
        <f>IF('Cable Info'!T199="","",CONCATENATE('Cable Info'!T199," - ",'Cable Info'!U199))</f>
        <v>#N/A</v>
      </c>
      <c r="BG495" s="121" t="e">
        <f t="shared" si="135"/>
        <v>#N/A</v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e">
        <f>IF('Cable Info'!T200="","",CONCATENATE('Cable Info'!T200," - ",'Cable Info'!U200))</f>
        <v>#N/A</v>
      </c>
      <c r="BG496" s="121" t="e">
        <f t="shared" si="135"/>
        <v>#N/A</v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e">
        <f>IF('Cable Info'!T201="","",CONCATENATE('Cable Info'!T201," - ",'Cable Info'!U201))</f>
        <v>#N/A</v>
      </c>
      <c r="BG497" s="121" t="e">
        <f t="shared" si="135"/>
        <v>#N/A</v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e">
        <f>IF('Cable Info'!T202="","",CONCATENATE('Cable Info'!T202," - ",'Cable Info'!U202))</f>
        <v>#N/A</v>
      </c>
      <c r="BG498" s="121" t="e">
        <f t="shared" si="135"/>
        <v>#N/A</v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e">
        <f>IF('Cable Info'!T203="","",CONCATENATE('Cable Info'!T203," - ",'Cable Info'!U203))</f>
        <v>#N/A</v>
      </c>
      <c r="BG499" s="121" t="e">
        <f t="shared" si="135"/>
        <v>#N/A</v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e">
        <f>IF('Cable Info'!T204="","",CONCATENATE('Cable Info'!T204," - ",'Cable Info'!U204))</f>
        <v>#N/A</v>
      </c>
      <c r="BG500" s="121" t="e">
        <f t="shared" si="135"/>
        <v>#N/A</v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e">
        <f>IF('Cable Info'!T205="","",CONCATENATE('Cable Info'!T205," - ",'Cable Info'!U205))</f>
        <v>#N/A</v>
      </c>
      <c r="BG501" s="121" t="e">
        <f t="shared" si="135"/>
        <v>#N/A</v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e">
        <f>IF('Cable Info'!T206="","",CONCATENATE('Cable Info'!T206," - ",'Cable Info'!U206))</f>
        <v>#N/A</v>
      </c>
      <c r="BG502" s="121" t="e">
        <f t="shared" si="135"/>
        <v>#N/A</v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e">
        <f>IF('Cable Info'!T207="","",CONCATENATE('Cable Info'!T207," - ",'Cable Info'!U207))</f>
        <v>#N/A</v>
      </c>
      <c r="BG503" s="121" t="e">
        <f t="shared" si="135"/>
        <v>#N/A</v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e">
        <f>IF('Cable Info'!T208="","",CONCATENATE('Cable Info'!T208," - ",'Cable Info'!U208))</f>
        <v>#N/A</v>
      </c>
      <c r="BG504" s="121" t="e">
        <f t="shared" si="135"/>
        <v>#N/A</v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e">
        <f>IF('Cable Info'!T209="","",CONCATENATE('Cable Info'!T209," - ",'Cable Info'!U209))</f>
        <v>#N/A</v>
      </c>
      <c r="BG505" s="121" t="e">
        <f t="shared" si="135"/>
        <v>#N/A</v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e">
        <f>IF('Cable Info'!T210="","",CONCATENATE('Cable Info'!T210," - ",'Cable Info'!U210))</f>
        <v>#N/A</v>
      </c>
      <c r="BG506" s="121" t="e">
        <f t="shared" si="135"/>
        <v>#N/A</v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e">
        <f>IF('Cable Info'!T211="","",CONCATENATE('Cable Info'!T211," - ",'Cable Info'!U211))</f>
        <v>#N/A</v>
      </c>
      <c r="BG507" s="121" t="e">
        <f t="shared" si="135"/>
        <v>#N/A</v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e">
        <f>IF('Cable Info'!T212="","",CONCATENATE('Cable Info'!T212," - ",'Cable Info'!U212))</f>
        <v>#N/A</v>
      </c>
      <c r="BG508" s="121" t="e">
        <f t="shared" si="135"/>
        <v>#N/A</v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e">
        <f>IF('Cable Info'!T213="","",CONCATENATE('Cable Info'!T213," - ",'Cable Info'!U213))</f>
        <v>#N/A</v>
      </c>
      <c r="BG509" s="121" t="e">
        <f t="shared" si="135"/>
        <v>#N/A</v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e">
        <f>IF('Cable Info'!T214="","",CONCATENATE('Cable Info'!T214," - ",'Cable Info'!U214))</f>
        <v>#N/A</v>
      </c>
      <c r="BG510" s="121" t="e">
        <f t="shared" si="135"/>
        <v>#N/A</v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e">
        <f>IF('Cable Info'!T215="","",CONCATENATE('Cable Info'!T215," - ",'Cable Info'!U215))</f>
        <v>#N/A</v>
      </c>
      <c r="BG511" s="121" t="e">
        <f t="shared" si="135"/>
        <v>#N/A</v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e">
        <f>IF('Cable Info'!T216="","",CONCATENATE('Cable Info'!T216," - ",'Cable Info'!U216))</f>
        <v>#N/A</v>
      </c>
      <c r="BG512" s="121" t="e">
        <f t="shared" si="135"/>
        <v>#N/A</v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e">
        <f>IF('Cable Info'!T217="","",CONCATENATE('Cable Info'!T217," - ",'Cable Info'!U217))</f>
        <v>#N/A</v>
      </c>
      <c r="BG513" s="121" t="e">
        <f t="shared" si="135"/>
        <v>#N/A</v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e">
        <f>IF('Cable Info'!T218="","",CONCATENATE('Cable Info'!T218," - ",'Cable Info'!U218))</f>
        <v>#N/A</v>
      </c>
      <c r="BG514" s="121" t="e">
        <f t="shared" si="135"/>
        <v>#N/A</v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e">
        <f>IF('Cable Info'!T219="","",CONCATENATE('Cable Info'!T219," - ",'Cable Info'!U219))</f>
        <v>#N/A</v>
      </c>
      <c r="BG515" s="121" t="e">
        <f t="shared" si="135"/>
        <v>#N/A</v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e">
        <f>IF('Cable Info'!T220="","",CONCATENATE('Cable Info'!T220," - ",'Cable Info'!U220))</f>
        <v>#N/A</v>
      </c>
      <c r="BG516" s="121" t="e">
        <f t="shared" si="135"/>
        <v>#N/A</v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e">
        <f>IF('Cable Info'!T221="","",CONCATENATE('Cable Info'!T221," - ",'Cable Info'!U221))</f>
        <v>#N/A</v>
      </c>
      <c r="BG517" s="121" t="e">
        <f t="shared" si="135"/>
        <v>#N/A</v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e">
        <f>IF('Cable Info'!T222="","",CONCATENATE('Cable Info'!T222," - ",'Cable Info'!U222))</f>
        <v>#N/A</v>
      </c>
      <c r="BG518" s="121" t="e">
        <f t="shared" si="135"/>
        <v>#N/A</v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e">
        <f>IF('Cable Info'!T223="","",CONCATENATE('Cable Info'!T223," - ",'Cable Info'!U223))</f>
        <v>#N/A</v>
      </c>
      <c r="BG519" s="121" t="e">
        <f t="shared" si="135"/>
        <v>#N/A</v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e">
        <f>IF('Cable Info'!T224="","",CONCATENATE('Cable Info'!T224," - ",'Cable Info'!U224))</f>
        <v>#N/A</v>
      </c>
      <c r="BG520" s="121" t="e">
        <f t="shared" si="135"/>
        <v>#N/A</v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e">
        <f>IF('Cable Info'!T225="","",CONCATENATE('Cable Info'!T225," - ",'Cable Info'!U225))</f>
        <v>#N/A</v>
      </c>
      <c r="BG521" s="121" t="e">
        <f t="shared" si="135"/>
        <v>#N/A</v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e">
        <f>IF('Cable Info'!T226="","",CONCATENATE('Cable Info'!T226," - ",'Cable Info'!U226))</f>
        <v>#N/A</v>
      </c>
      <c r="BG522" s="121" t="e">
        <f t="shared" si="135"/>
        <v>#N/A</v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e">
        <f>IF('Cable Info'!T227="","",CONCATENATE('Cable Info'!T227," - ",'Cable Info'!U227))</f>
        <v>#N/A</v>
      </c>
      <c r="BG523" s="121" t="e">
        <f t="shared" si="135"/>
        <v>#N/A</v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e">
        <f>IF('Cable Info'!T228="","",CONCATENATE('Cable Info'!T228," - ",'Cable Info'!U228))</f>
        <v>#N/A</v>
      </c>
      <c r="BG524" s="121" t="e">
        <f t="shared" si="135"/>
        <v>#N/A</v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e">
        <f>IF('Cable Info'!T229="","",CONCATENATE('Cable Info'!T229," - ",'Cable Info'!U229))</f>
        <v>#N/A</v>
      </c>
      <c r="BG525" s="121" t="e">
        <f t="shared" si="135"/>
        <v>#N/A</v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e">
        <f>IF('Cable Info'!T230="","",CONCATENATE('Cable Info'!T230," - ",'Cable Info'!U230))</f>
        <v>#N/A</v>
      </c>
      <c r="BG526" s="121" t="e">
        <f t="shared" si="135"/>
        <v>#N/A</v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e">
        <f>IF('Cable Info'!T231="","",CONCATENATE('Cable Info'!T231," - ",'Cable Info'!U231))</f>
        <v>#N/A</v>
      </c>
      <c r="BG527" s="121" t="e">
        <f t="shared" si="135"/>
        <v>#N/A</v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e">
        <f>IF('Cable Info'!T232="","",CONCATENATE('Cable Info'!T232," - ",'Cable Info'!U232))</f>
        <v>#N/A</v>
      </c>
      <c r="BG528" s="121" t="e">
        <f t="shared" si="135"/>
        <v>#N/A</v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e">
        <f>IF('Cable Info'!T233="","",CONCATENATE('Cable Info'!T233," - ",'Cable Info'!U233))</f>
        <v>#N/A</v>
      </c>
      <c r="BG529" s="121" t="e">
        <f t="shared" si="135"/>
        <v>#N/A</v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e">
        <f>IF('Cable Info'!T234="","",CONCATENATE('Cable Info'!T234," - ",'Cable Info'!U234))</f>
        <v>#N/A</v>
      </c>
      <c r="BG530" s="121" t="e">
        <f t="shared" si="135"/>
        <v>#N/A</v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e">
        <f>IF('Cable Info'!T235="","",CONCATENATE('Cable Info'!T235," - ",'Cable Info'!U235))</f>
        <v>#N/A</v>
      </c>
      <c r="BG531" s="121" t="e">
        <f t="shared" si="135"/>
        <v>#N/A</v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e">
        <f>IF('Cable Info'!T236="","",CONCATENATE('Cable Info'!T236," - ",'Cable Info'!U236))</f>
        <v>#N/A</v>
      </c>
      <c r="BG532" s="121" t="e">
        <f t="shared" si="135"/>
        <v>#N/A</v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e">
        <f>IF('Cable Info'!T237="","",CONCATENATE('Cable Info'!T237," - ",'Cable Info'!U237))</f>
        <v>#N/A</v>
      </c>
      <c r="BG533" s="121" t="e">
        <f t="shared" si="135"/>
        <v>#N/A</v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e">
        <f>IF('Cable Info'!T238="","",CONCATENATE('Cable Info'!T238," - ",'Cable Info'!U238))</f>
        <v>#N/A</v>
      </c>
      <c r="BG534" s="121" t="e">
        <f t="shared" si="135"/>
        <v>#N/A</v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e">
        <f>IF('Cable Info'!T239="","",CONCATENATE('Cable Info'!T239," - ",'Cable Info'!U239))</f>
        <v>#N/A</v>
      </c>
      <c r="BG535" s="121" t="e">
        <f t="shared" si="135"/>
        <v>#N/A</v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e">
        <f>IF('Cable Info'!T240="","",CONCATENATE('Cable Info'!T240," - ",'Cable Info'!U240))</f>
        <v>#N/A</v>
      </c>
      <c r="BG536" s="121" t="e">
        <f t="shared" si="135"/>
        <v>#N/A</v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e">
        <f>IF('Cable Info'!T241="","",CONCATENATE('Cable Info'!T241," - ",'Cable Info'!U241))</f>
        <v>#N/A</v>
      </c>
      <c r="BG537" s="121" t="e">
        <f t="shared" si="135"/>
        <v>#N/A</v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e">
        <f>IF('Cable Info'!T242="","",CONCATENATE('Cable Info'!T242," - ",'Cable Info'!U242))</f>
        <v>#N/A</v>
      </c>
      <c r="BG538" s="121" t="e">
        <f t="shared" si="135"/>
        <v>#N/A</v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e">
        <f>IF('Cable Info'!T243="","",CONCATENATE('Cable Info'!T243," - ",'Cable Info'!U243))</f>
        <v>#N/A</v>
      </c>
      <c r="BG539" s="121" t="e">
        <f t="shared" si="135"/>
        <v>#N/A</v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e">
        <f>IF('Cable Info'!T244="","",CONCATENATE('Cable Info'!T244," - ",'Cable Info'!U244))</f>
        <v>#N/A</v>
      </c>
      <c r="BG540" s="121" t="e">
        <f t="shared" si="135"/>
        <v>#N/A</v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e">
        <f>IF('Cable Info'!T245="","",CONCATENATE('Cable Info'!T245," - ",'Cable Info'!U245))</f>
        <v>#N/A</v>
      </c>
      <c r="BG541" s="121" t="e">
        <f t="shared" si="135"/>
        <v>#N/A</v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e">
        <f>IF('Cable Info'!T246="","",CONCATENATE('Cable Info'!T246," - ",'Cable Info'!U246))</f>
        <v>#N/A</v>
      </c>
      <c r="BG542" s="121" t="e">
        <f t="shared" si="135"/>
        <v>#N/A</v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e">
        <f>IF('Cable Info'!T247="","",CONCATENATE('Cable Info'!T247," - ",'Cable Info'!U247))</f>
        <v>#N/A</v>
      </c>
      <c r="BG543" s="121" t="e">
        <f t="shared" si="135"/>
        <v>#N/A</v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e">
        <f>IF('Cable Info'!T248="","",CONCATENATE('Cable Info'!T248," - ",'Cable Info'!U248))</f>
        <v>#N/A</v>
      </c>
      <c r="BG544" s="121" t="e">
        <f t="shared" si="135"/>
        <v>#N/A</v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e">
        <f>IF('Cable Info'!T249="","",CONCATENATE('Cable Info'!T249," - ",'Cable Info'!U249))</f>
        <v>#N/A</v>
      </c>
      <c r="BG545" s="121" t="e">
        <f t="shared" si="135"/>
        <v>#N/A</v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e">
        <f>IF('Cable Info'!T250="","",CONCATENATE('Cable Info'!T250," - ",'Cable Info'!U250))</f>
        <v>#N/A</v>
      </c>
      <c r="BG546" s="121" t="e">
        <f t="shared" si="135"/>
        <v>#N/A</v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e">
        <f>IF('Cable Info'!T251="","",CONCATENATE('Cable Info'!T251," - ",'Cable Info'!U251))</f>
        <v>#N/A</v>
      </c>
      <c r="BG547" s="121" t="e">
        <f t="shared" si="135"/>
        <v>#N/A</v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e">
        <f>IF('Cable Info'!T252="","",CONCATENATE('Cable Info'!T252," - ",'Cable Info'!U252))</f>
        <v>#N/A</v>
      </c>
      <c r="BG548" s="121" t="e">
        <f t="shared" si="135"/>
        <v>#N/A</v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e">
        <f>IF('Cable Info'!T253="","",CONCATENATE('Cable Info'!T253," - ",'Cable Info'!U253))</f>
        <v>#N/A</v>
      </c>
      <c r="BG549" s="121" t="e">
        <f t="shared" si="135"/>
        <v>#N/A</v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e">
        <f>IF('Cable Info'!T254="","",CONCATENATE('Cable Info'!T254," - ",'Cable Info'!U254))</f>
        <v>#N/A</v>
      </c>
      <c r="BG550" s="121" t="e">
        <f t="shared" si="135"/>
        <v>#N/A</v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e">
        <f>IF('Cable Info'!T255="","",CONCATENATE('Cable Info'!T255," - ",'Cable Info'!U255))</f>
        <v>#N/A</v>
      </c>
      <c r="BG551" s="121" t="e">
        <f t="shared" si="135"/>
        <v>#N/A</v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e">
        <f>IF('Cable Info'!T256="","",CONCATENATE('Cable Info'!T256," - ",'Cable Info'!U256))</f>
        <v>#N/A</v>
      </c>
      <c r="BG552" s="121" t="e">
        <f t="shared" si="135"/>
        <v>#N/A</v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e">
        <f>IF('Cable Info'!T257="","",CONCATENATE('Cable Info'!T257," - ",'Cable Info'!U257))</f>
        <v>#N/A</v>
      </c>
      <c r="BG553" s="121" t="e">
        <f t="shared" si="135"/>
        <v>#N/A</v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e">
        <f>IF('Cable Info'!T258="","",CONCATENATE('Cable Info'!T258," - ",'Cable Info'!U258))</f>
        <v>#N/A</v>
      </c>
      <c r="BG554" s="121" t="e">
        <f t="shared" si="135"/>
        <v>#N/A</v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e">
        <f>IF('Cable Info'!T259="","",CONCATENATE('Cable Info'!T259," - ",'Cable Info'!U259))</f>
        <v>#N/A</v>
      </c>
      <c r="BG555" s="121" t="e">
        <f t="shared" ref="BG555:BG618" si="141">IF(BE555="",BD555,CONCATENATE(BD555,"  &lt;=&gt; ",BE555," ",BF555))</f>
        <v>#N/A</v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e">
        <f>IF('Cable Info'!T260="","",CONCATENATE('Cable Info'!T260," - ",'Cable Info'!U260))</f>
        <v>#N/A</v>
      </c>
      <c r="BG556" s="121" t="e">
        <f t="shared" si="141"/>
        <v>#N/A</v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e">
        <f>IF('Cable Info'!T261="","",CONCATENATE('Cable Info'!T261," - ",'Cable Info'!U261))</f>
        <v>#N/A</v>
      </c>
      <c r="BG557" s="121" t="e">
        <f t="shared" si="141"/>
        <v>#N/A</v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e">
        <f>IF('Cable Info'!T262="","",CONCATENATE('Cable Info'!T262," - ",'Cable Info'!U262))</f>
        <v>#N/A</v>
      </c>
      <c r="BG558" s="121" t="e">
        <f t="shared" si="141"/>
        <v>#N/A</v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e">
        <f>IF('Cable Info'!T263="","",CONCATENATE('Cable Info'!T263," - ",'Cable Info'!U263))</f>
        <v>#N/A</v>
      </c>
      <c r="BG559" s="121" t="e">
        <f t="shared" si="141"/>
        <v>#N/A</v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e">
        <f>IF('Cable Info'!T264="","",CONCATENATE('Cable Info'!T264," - ",'Cable Info'!U264))</f>
        <v>#N/A</v>
      </c>
      <c r="BG560" s="121" t="e">
        <f t="shared" si="141"/>
        <v>#N/A</v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e">
        <f>IF('Cable Info'!T265="","",CONCATENATE('Cable Info'!T265," - ",'Cable Info'!U265))</f>
        <v>#N/A</v>
      </c>
      <c r="BG561" s="121" t="e">
        <f t="shared" si="141"/>
        <v>#N/A</v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e">
        <f>IF('Cable Info'!T266="","",CONCATENATE('Cable Info'!T266," - ",'Cable Info'!U266))</f>
        <v>#N/A</v>
      </c>
      <c r="BG562" s="121" t="e">
        <f t="shared" si="141"/>
        <v>#N/A</v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e">
        <f>IF('Cable Info'!T267="","",CONCATENATE('Cable Info'!T267," - ",'Cable Info'!U267))</f>
        <v>#N/A</v>
      </c>
      <c r="BG563" s="121" t="e">
        <f t="shared" si="141"/>
        <v>#N/A</v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e">
        <f>IF('Cable Info'!T268="","",CONCATENATE('Cable Info'!T268," - ",'Cable Info'!U268))</f>
        <v>#N/A</v>
      </c>
      <c r="BG564" s="121" t="e">
        <f t="shared" si="141"/>
        <v>#N/A</v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e">
        <f>IF('Cable Info'!T269="","",CONCATENATE('Cable Info'!T269," - ",'Cable Info'!U269))</f>
        <v>#N/A</v>
      </c>
      <c r="BG565" s="121" t="e">
        <f t="shared" si="141"/>
        <v>#N/A</v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e">
        <f>IF('Cable Info'!T270="","",CONCATENATE('Cable Info'!T270," - ",'Cable Info'!U270))</f>
        <v>#N/A</v>
      </c>
      <c r="BG566" s="121" t="e">
        <f t="shared" si="141"/>
        <v>#N/A</v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e">
        <f>IF('Cable Info'!T271="","",CONCATENATE('Cable Info'!T271," - ",'Cable Info'!U271))</f>
        <v>#N/A</v>
      </c>
      <c r="BG567" s="121" t="e">
        <f t="shared" si="141"/>
        <v>#N/A</v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e">
        <f>IF('Cable Info'!T272="","",CONCATENATE('Cable Info'!T272," - ",'Cable Info'!U272))</f>
        <v>#N/A</v>
      </c>
      <c r="BG568" s="121" t="e">
        <f t="shared" si="141"/>
        <v>#N/A</v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e">
        <f>IF('Cable Info'!T273="","",CONCATENATE('Cable Info'!T273," - ",'Cable Info'!U273))</f>
        <v>#N/A</v>
      </c>
      <c r="BG569" s="121" t="e">
        <f t="shared" si="141"/>
        <v>#N/A</v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e">
        <f>IF('Cable Info'!T274="","",CONCATENATE('Cable Info'!T274," - ",'Cable Info'!U274))</f>
        <v>#N/A</v>
      </c>
      <c r="BG570" s="121" t="e">
        <f t="shared" si="141"/>
        <v>#N/A</v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e">
        <f>IF('Cable Info'!T275="","",CONCATENATE('Cable Info'!T275," - ",'Cable Info'!U275))</f>
        <v>#N/A</v>
      </c>
      <c r="BG571" s="121" t="e">
        <f t="shared" si="141"/>
        <v>#N/A</v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e">
        <f>IF('Cable Info'!T276="","",CONCATENATE('Cable Info'!T276," - ",'Cable Info'!U276))</f>
        <v>#N/A</v>
      </c>
      <c r="BG572" s="121" t="e">
        <f t="shared" si="141"/>
        <v>#N/A</v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e">
        <f>IF('Cable Info'!T277="","",CONCATENATE('Cable Info'!T277," - ",'Cable Info'!U277))</f>
        <v>#N/A</v>
      </c>
      <c r="BG573" s="121" t="e">
        <f t="shared" si="141"/>
        <v>#N/A</v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e">
        <f>IF('Cable Info'!T278="","",CONCATENATE('Cable Info'!T278," - ",'Cable Info'!U278))</f>
        <v>#N/A</v>
      </c>
      <c r="BG574" s="121" t="e">
        <f t="shared" si="141"/>
        <v>#N/A</v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e">
        <f>IF('Cable Info'!T279="","",CONCATENATE('Cable Info'!T279," - ",'Cable Info'!U279))</f>
        <v>#N/A</v>
      </c>
      <c r="BG575" s="121" t="e">
        <f t="shared" si="141"/>
        <v>#N/A</v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e">
        <f>IF('Cable Info'!T280="","",CONCATENATE('Cable Info'!T280," - ",'Cable Info'!U280))</f>
        <v>#N/A</v>
      </c>
      <c r="BG576" s="121" t="e">
        <f t="shared" si="141"/>
        <v>#N/A</v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e">
        <f>IF('Cable Info'!T281="","",CONCATENATE('Cable Info'!T281," - ",'Cable Info'!U281))</f>
        <v>#N/A</v>
      </c>
      <c r="BG577" s="121" t="e">
        <f t="shared" si="141"/>
        <v>#N/A</v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e">
        <f>IF('Cable Info'!T282="","",CONCATENATE('Cable Info'!T282," - ",'Cable Info'!U282))</f>
        <v>#N/A</v>
      </c>
      <c r="BG578" s="121" t="e">
        <f t="shared" si="141"/>
        <v>#N/A</v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e">
        <f>IF('Cable Info'!T283="","",CONCATENATE('Cable Info'!T283," - ",'Cable Info'!U283))</f>
        <v>#N/A</v>
      </c>
      <c r="BG579" s="121" t="e">
        <f t="shared" si="141"/>
        <v>#N/A</v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e">
        <f>IF('Cable Info'!T284="","",CONCATENATE('Cable Info'!T284," - ",'Cable Info'!U284))</f>
        <v>#N/A</v>
      </c>
      <c r="BG580" s="121" t="e">
        <f t="shared" si="141"/>
        <v>#N/A</v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e">
        <f>IF('Cable Info'!T285="","",CONCATENATE('Cable Info'!T285," - ",'Cable Info'!U285))</f>
        <v>#N/A</v>
      </c>
      <c r="BG581" s="121" t="e">
        <f t="shared" si="141"/>
        <v>#N/A</v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e">
        <f>IF('Cable Info'!T286="","",CONCATENATE('Cable Info'!T286," - ",'Cable Info'!U286))</f>
        <v>#N/A</v>
      </c>
      <c r="BG582" s="121" t="e">
        <f t="shared" si="141"/>
        <v>#N/A</v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e">
        <f>IF('Cable Info'!T287="","",CONCATENATE('Cable Info'!T287," - ",'Cable Info'!U287))</f>
        <v>#N/A</v>
      </c>
      <c r="BG583" s="121" t="e">
        <f t="shared" si="141"/>
        <v>#N/A</v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e">
        <f>IF('Cable Info'!T288="","",CONCATENATE('Cable Info'!T288," - ",'Cable Info'!U288))</f>
        <v>#N/A</v>
      </c>
      <c r="BG584" s="121" t="e">
        <f t="shared" si="141"/>
        <v>#N/A</v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e">
        <f>IF('Cable Info'!T289="","",CONCATENATE('Cable Info'!T289," - ",'Cable Info'!U289))</f>
        <v>#N/A</v>
      </c>
      <c r="BG585" s="121" t="e">
        <f t="shared" si="141"/>
        <v>#N/A</v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e">
        <f>IF('Cable Info'!T290="","",CONCATENATE('Cable Info'!T290," - ",'Cable Info'!U290))</f>
        <v>#N/A</v>
      </c>
      <c r="BG586" s="121" t="e">
        <f t="shared" si="141"/>
        <v>#N/A</v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e">
        <f>IF('Cable Info'!T291="","",CONCATENATE('Cable Info'!T291," - ",'Cable Info'!U291))</f>
        <v>#N/A</v>
      </c>
      <c r="BG587" s="121" t="e">
        <f t="shared" si="141"/>
        <v>#N/A</v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e">
        <f>IF('Cable Info'!T292="","",CONCATENATE('Cable Info'!T292," - ",'Cable Info'!U292))</f>
        <v>#N/A</v>
      </c>
      <c r="BG588" s="121" t="e">
        <f t="shared" si="141"/>
        <v>#N/A</v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e">
        <f>IF('Cable Info'!T293="","",CONCATENATE('Cable Info'!T293," - ",'Cable Info'!U293))</f>
        <v>#N/A</v>
      </c>
      <c r="BG589" s="121" t="e">
        <f t="shared" si="141"/>
        <v>#N/A</v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e">
        <f>IF('Cable Info'!T294="","",CONCATENATE('Cable Info'!T294," - ",'Cable Info'!U294))</f>
        <v>#N/A</v>
      </c>
      <c r="BG590" s="121" t="e">
        <f t="shared" si="141"/>
        <v>#N/A</v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e">
        <f>IF('Cable Info'!T295="","",CONCATENATE('Cable Info'!T295," - ",'Cable Info'!U295))</f>
        <v>#N/A</v>
      </c>
      <c r="BG591" s="121" t="e">
        <f t="shared" si="141"/>
        <v>#N/A</v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e">
        <f>IF('Cable Info'!T296="","",CONCATENATE('Cable Info'!T296," - ",'Cable Info'!U296))</f>
        <v>#N/A</v>
      </c>
      <c r="BG592" s="121" t="e">
        <f t="shared" si="141"/>
        <v>#N/A</v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e">
        <f>IF('Cable Info'!T297="","",CONCATENATE('Cable Info'!T297," - ",'Cable Info'!U297))</f>
        <v>#N/A</v>
      </c>
      <c r="BG593" s="121" t="e">
        <f t="shared" si="141"/>
        <v>#N/A</v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e">
        <f>IF('Cable Info'!T298="","",CONCATENATE('Cable Info'!T298," - ",'Cable Info'!U298))</f>
        <v>#N/A</v>
      </c>
      <c r="BG594" s="121" t="e">
        <f t="shared" si="141"/>
        <v>#N/A</v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e">
        <f>IF('Cable Info'!T299="","",CONCATENATE('Cable Info'!T299," - ",'Cable Info'!U299))</f>
        <v>#N/A</v>
      </c>
      <c r="BG595" s="121" t="e">
        <f t="shared" si="141"/>
        <v>#N/A</v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e">
        <f>IF('Cable Info'!T300="","",CONCATENATE('Cable Info'!T300," - ",'Cable Info'!U300))</f>
        <v>#N/A</v>
      </c>
      <c r="BG596" s="121" t="e">
        <f t="shared" si="141"/>
        <v>#N/A</v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e">
        <f>IF('Cable Info'!T301="","",CONCATENATE('Cable Info'!T301," - ",'Cable Info'!U301))</f>
        <v>#N/A</v>
      </c>
      <c r="BG597" s="121" t="e">
        <f t="shared" si="141"/>
        <v>#N/A</v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e">
        <f>IF('Cable Info'!T302="","",CONCATENATE('Cable Info'!T302," - ",'Cable Info'!U302))</f>
        <v>#N/A</v>
      </c>
      <c r="BG598" s="121" t="e">
        <f t="shared" si="141"/>
        <v>#N/A</v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e">
        <f>IF('Cable Info'!T303="","",CONCATENATE('Cable Info'!T303," - ",'Cable Info'!U303))</f>
        <v>#N/A</v>
      </c>
      <c r="BG599" s="121" t="e">
        <f t="shared" si="141"/>
        <v>#N/A</v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e">
        <f>IF('Cable Info'!T304="","",CONCATENATE('Cable Info'!T304," - ",'Cable Info'!U304))</f>
        <v>#N/A</v>
      </c>
      <c r="BG600" s="121" t="e">
        <f t="shared" si="141"/>
        <v>#N/A</v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e">
        <f>IF('Cable Info'!T305="","",CONCATENATE('Cable Info'!T305," - ",'Cable Info'!U305))</f>
        <v>#N/A</v>
      </c>
      <c r="BG601" s="121" t="e">
        <f t="shared" si="141"/>
        <v>#N/A</v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e">
        <f>IF('Cable Info'!T306="","",CONCATENATE('Cable Info'!T306," - ",'Cable Info'!U306))</f>
        <v>#N/A</v>
      </c>
      <c r="BG602" s="121" t="e">
        <f t="shared" si="141"/>
        <v>#N/A</v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e">
        <f>IF('Cable Info'!T307="","",CONCATENATE('Cable Info'!T307," - ",'Cable Info'!U307))</f>
        <v>#N/A</v>
      </c>
      <c r="BG603" s="121" t="e">
        <f t="shared" si="141"/>
        <v>#N/A</v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e">
        <f>IF('Cable Info'!T308="","",CONCATENATE('Cable Info'!T308," - ",'Cable Info'!U308))</f>
        <v>#N/A</v>
      </c>
      <c r="BG604" s="121" t="e">
        <f t="shared" si="141"/>
        <v>#N/A</v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e">
        <f>IF('Cable Info'!T309="","",CONCATENATE('Cable Info'!T309," - ",'Cable Info'!U309))</f>
        <v>#N/A</v>
      </c>
      <c r="BG605" s="121" t="e">
        <f t="shared" si="141"/>
        <v>#N/A</v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e">
        <f>IF('Cable Info'!T310="","",CONCATENATE('Cable Info'!T310," - ",'Cable Info'!U310))</f>
        <v>#N/A</v>
      </c>
      <c r="BG606" s="121" t="e">
        <f t="shared" si="141"/>
        <v>#N/A</v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e">
        <f>IF('Cable Info'!T311="","",CONCATENATE('Cable Info'!T311," - ",'Cable Info'!U311))</f>
        <v>#N/A</v>
      </c>
      <c r="BG607" s="121" t="e">
        <f t="shared" si="141"/>
        <v>#N/A</v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e">
        <f>IF('Cable Info'!T312="","",CONCATENATE('Cable Info'!T312," - ",'Cable Info'!U312))</f>
        <v>#N/A</v>
      </c>
      <c r="BG608" s="121" t="e">
        <f t="shared" si="141"/>
        <v>#N/A</v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e">
        <f>IF('Cable Info'!T313="","",CONCATENATE('Cable Info'!T313," - ",'Cable Info'!U313))</f>
        <v>#N/A</v>
      </c>
      <c r="BG609" s="121" t="e">
        <f t="shared" si="141"/>
        <v>#N/A</v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e">
        <f>IF('Cable Info'!T314="","",CONCATENATE('Cable Info'!T314," - ",'Cable Info'!U314))</f>
        <v>#N/A</v>
      </c>
      <c r="BG610" s="121" t="e">
        <f t="shared" si="141"/>
        <v>#N/A</v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e">
        <f>IF('Cable Info'!T315="","",CONCATENATE('Cable Info'!T315," - ",'Cable Info'!U315))</f>
        <v>#N/A</v>
      </c>
      <c r="BG611" s="121" t="e">
        <f t="shared" si="141"/>
        <v>#N/A</v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e">
        <f>IF('Cable Info'!T316="","",CONCATENATE('Cable Info'!T316," - ",'Cable Info'!U316))</f>
        <v>#N/A</v>
      </c>
      <c r="BG612" s="121" t="e">
        <f t="shared" si="141"/>
        <v>#N/A</v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e">
        <f>IF('Cable Info'!T317="","",CONCATENATE('Cable Info'!T317," - ",'Cable Info'!U317))</f>
        <v>#N/A</v>
      </c>
      <c r="BG613" s="121" t="e">
        <f t="shared" si="141"/>
        <v>#N/A</v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e">
        <f>IF('Cable Info'!T318="","",CONCATENATE('Cable Info'!T318," - ",'Cable Info'!U318))</f>
        <v>#N/A</v>
      </c>
      <c r="BG614" s="121" t="e">
        <f t="shared" si="141"/>
        <v>#N/A</v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e">
        <f>IF('Cable Info'!T319="","",CONCATENATE('Cable Info'!T319," - ",'Cable Info'!U319))</f>
        <v>#N/A</v>
      </c>
      <c r="BG615" s="121" t="e">
        <f t="shared" si="141"/>
        <v>#N/A</v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e">
        <f>IF('Cable Info'!T320="","",CONCATENATE('Cable Info'!T320," - ",'Cable Info'!U320))</f>
        <v>#N/A</v>
      </c>
      <c r="BG616" s="121" t="e">
        <f t="shared" si="141"/>
        <v>#N/A</v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e">
        <f>IF('Cable Info'!T321="","",CONCATENATE('Cable Info'!T321," - ",'Cable Info'!U321))</f>
        <v>#N/A</v>
      </c>
      <c r="BG617" s="121" t="e">
        <f t="shared" si="141"/>
        <v>#N/A</v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e">
        <f>IF('Cable Info'!T322="","",CONCATENATE('Cable Info'!T322," - ",'Cable Info'!U322))</f>
        <v>#N/A</v>
      </c>
      <c r="BG618" s="121" t="e">
        <f t="shared" si="141"/>
        <v>#N/A</v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e">
        <f>IF('Cable Info'!T323="","",CONCATENATE('Cable Info'!T323," - ",'Cable Info'!U323))</f>
        <v>#N/A</v>
      </c>
      <c r="BG619" s="121" t="e">
        <f t="shared" ref="BG619:BG682" si="147">IF(BE619="",BD619,CONCATENATE(BD619,"  &lt;=&gt; ",BE619," ",BF619))</f>
        <v>#N/A</v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e">
        <f>IF('Cable Info'!T324="","",CONCATENATE('Cable Info'!T324," - ",'Cable Info'!U324))</f>
        <v>#N/A</v>
      </c>
      <c r="BG620" s="121" t="e">
        <f t="shared" si="147"/>
        <v>#N/A</v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e">
        <f>IF('Cable Info'!T325="","",CONCATENATE('Cable Info'!T325," - ",'Cable Info'!U325))</f>
        <v>#N/A</v>
      </c>
      <c r="BG621" s="121" t="e">
        <f t="shared" si="147"/>
        <v>#N/A</v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e">
        <f>IF('Cable Info'!T326="","",CONCATENATE('Cable Info'!T326," - ",'Cable Info'!U326))</f>
        <v>#N/A</v>
      </c>
      <c r="BG622" s="121" t="e">
        <f t="shared" si="147"/>
        <v>#N/A</v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e">
        <f>IF('Cable Info'!T327="","",CONCATENATE('Cable Info'!T327," - ",'Cable Info'!U327))</f>
        <v>#N/A</v>
      </c>
      <c r="BG623" s="121" t="e">
        <f t="shared" si="147"/>
        <v>#N/A</v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e">
        <f>IF('Cable Info'!T328="","",CONCATENATE('Cable Info'!T328," - ",'Cable Info'!U328))</f>
        <v>#N/A</v>
      </c>
      <c r="BG624" s="121" t="e">
        <f t="shared" si="147"/>
        <v>#N/A</v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e">
        <f>IF('Cable Info'!T329="","",CONCATENATE('Cable Info'!T329," - ",'Cable Info'!U329))</f>
        <v>#N/A</v>
      </c>
      <c r="BG625" s="121" t="e">
        <f t="shared" si="147"/>
        <v>#N/A</v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e">
        <f>IF('Cable Info'!T330="","",CONCATENATE('Cable Info'!T330," - ",'Cable Info'!U330))</f>
        <v>#N/A</v>
      </c>
      <c r="BG626" s="121" t="e">
        <f t="shared" si="147"/>
        <v>#N/A</v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e">
        <f>IF('Cable Info'!T331="","",CONCATENATE('Cable Info'!T331," - ",'Cable Info'!U331))</f>
        <v>#N/A</v>
      </c>
      <c r="BG627" s="121" t="e">
        <f t="shared" si="147"/>
        <v>#N/A</v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e">
        <f>IF('Cable Info'!T332="","",CONCATENATE('Cable Info'!T332," - ",'Cable Info'!U332))</f>
        <v>#N/A</v>
      </c>
      <c r="BG628" s="121" t="e">
        <f t="shared" si="147"/>
        <v>#N/A</v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e">
        <f>IF('Cable Info'!T333="","",CONCATENATE('Cable Info'!T333," - ",'Cable Info'!U333))</f>
        <v>#N/A</v>
      </c>
      <c r="BG629" s="121" t="e">
        <f t="shared" si="147"/>
        <v>#N/A</v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e">
        <f>IF('Cable Info'!T334="","",CONCATENATE('Cable Info'!T334," - ",'Cable Info'!U334))</f>
        <v>#N/A</v>
      </c>
      <c r="BG630" s="121" t="e">
        <f t="shared" si="147"/>
        <v>#N/A</v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e">
        <f>IF('Cable Info'!T335="","",CONCATENATE('Cable Info'!T335," - ",'Cable Info'!U335))</f>
        <v>#N/A</v>
      </c>
      <c r="BG631" s="121" t="e">
        <f t="shared" si="147"/>
        <v>#N/A</v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e">
        <f>IF('Cable Info'!T336="","",CONCATENATE('Cable Info'!T336," - ",'Cable Info'!U336))</f>
        <v>#N/A</v>
      </c>
      <c r="BG632" s="121" t="e">
        <f t="shared" si="147"/>
        <v>#N/A</v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e">
        <f>IF('Cable Info'!T337="","",CONCATENATE('Cable Info'!T337," - ",'Cable Info'!U337))</f>
        <v>#N/A</v>
      </c>
      <c r="BG633" s="121" t="e">
        <f t="shared" si="147"/>
        <v>#N/A</v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e">
        <f>IF('Cable Info'!T338="","",CONCATENATE('Cable Info'!T338," - ",'Cable Info'!U338))</f>
        <v>#N/A</v>
      </c>
      <c r="BG634" s="121" t="e">
        <f t="shared" si="147"/>
        <v>#N/A</v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e">
        <f>IF('Cable Info'!T339="","",CONCATENATE('Cable Info'!T339," - ",'Cable Info'!U339))</f>
        <v>#N/A</v>
      </c>
      <c r="BG635" s="121" t="e">
        <f t="shared" si="147"/>
        <v>#N/A</v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e">
        <f>IF('Cable Info'!T340="","",CONCATENATE('Cable Info'!T340," - ",'Cable Info'!U340))</f>
        <v>#N/A</v>
      </c>
      <c r="BG636" s="121" t="e">
        <f t="shared" si="147"/>
        <v>#N/A</v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e">
        <f>IF('Cable Info'!T341="","",CONCATENATE('Cable Info'!T341," - ",'Cable Info'!U341))</f>
        <v>#N/A</v>
      </c>
      <c r="BG637" s="121" t="e">
        <f t="shared" si="147"/>
        <v>#N/A</v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e">
        <f>IF('Cable Info'!T342="","",CONCATENATE('Cable Info'!T342," - ",'Cable Info'!U342))</f>
        <v>#N/A</v>
      </c>
      <c r="BG638" s="121" t="e">
        <f t="shared" si="147"/>
        <v>#N/A</v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e">
        <f>IF('Cable Info'!T343="","",CONCATENATE('Cable Info'!T343," - ",'Cable Info'!U343))</f>
        <v>#N/A</v>
      </c>
      <c r="BG639" s="121" t="e">
        <f t="shared" si="147"/>
        <v>#N/A</v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e">
        <f>IF('Cable Info'!T344="","",CONCATENATE('Cable Info'!T344," - ",'Cable Info'!U344))</f>
        <v>#N/A</v>
      </c>
      <c r="BG640" s="121" t="e">
        <f t="shared" si="147"/>
        <v>#N/A</v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e">
        <f>IF('Cable Info'!T345="","",CONCATENATE('Cable Info'!T345," - ",'Cable Info'!U345))</f>
        <v>#N/A</v>
      </c>
      <c r="BG641" s="121" t="e">
        <f t="shared" si="147"/>
        <v>#N/A</v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e">
        <f>IF('Cable Info'!T346="","",CONCATENATE('Cable Info'!T346," - ",'Cable Info'!U346))</f>
        <v>#N/A</v>
      </c>
      <c r="BG642" s="121" t="e">
        <f t="shared" si="147"/>
        <v>#N/A</v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e">
        <f>IF('Cable Info'!T347="","",CONCATENATE('Cable Info'!T347," - ",'Cable Info'!U347))</f>
        <v>#N/A</v>
      </c>
      <c r="BG643" s="121" t="e">
        <f t="shared" si="147"/>
        <v>#N/A</v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e">
        <f>IF('Cable Info'!T348="","",CONCATENATE('Cable Info'!T348," - ",'Cable Info'!U348))</f>
        <v>#N/A</v>
      </c>
      <c r="BG644" s="121" t="e">
        <f t="shared" si="147"/>
        <v>#N/A</v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e">
        <f>IF('Cable Info'!T349="","",CONCATENATE('Cable Info'!T349," - ",'Cable Info'!U349))</f>
        <v>#N/A</v>
      </c>
      <c r="BG645" s="121" t="e">
        <f t="shared" si="147"/>
        <v>#N/A</v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e">
        <f>IF('Cable Info'!T350="","",CONCATENATE('Cable Info'!T350," - ",'Cable Info'!U350))</f>
        <v>#N/A</v>
      </c>
      <c r="BG646" s="121" t="e">
        <f t="shared" si="147"/>
        <v>#N/A</v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e">
        <f>IF('Cable Info'!T351="","",CONCATENATE('Cable Info'!T351," - ",'Cable Info'!U351))</f>
        <v>#N/A</v>
      </c>
      <c r="BG647" s="121" t="e">
        <f t="shared" si="147"/>
        <v>#N/A</v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e">
        <f>IF('Cable Info'!T352="","",CONCATENATE('Cable Info'!T352," - ",'Cable Info'!U352))</f>
        <v>#N/A</v>
      </c>
      <c r="BG648" s="121" t="e">
        <f t="shared" si="147"/>
        <v>#N/A</v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e">
        <f>IF('Cable Info'!T353="","",CONCATENATE('Cable Info'!T353," - ",'Cable Info'!U353))</f>
        <v>#N/A</v>
      </c>
      <c r="BG649" s="121" t="e">
        <f t="shared" si="147"/>
        <v>#N/A</v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e">
        <f>IF('Cable Info'!T354="","",CONCATENATE('Cable Info'!T354," - ",'Cable Info'!U354))</f>
        <v>#N/A</v>
      </c>
      <c r="BG650" s="121" t="e">
        <f t="shared" si="147"/>
        <v>#N/A</v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e">
        <f>IF('Cable Info'!T355="","",CONCATENATE('Cable Info'!T355," - ",'Cable Info'!U355))</f>
        <v>#N/A</v>
      </c>
      <c r="BG651" s="121" t="e">
        <f t="shared" si="147"/>
        <v>#N/A</v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e">
        <f>IF('Cable Info'!T356="","",CONCATENATE('Cable Info'!T356," - ",'Cable Info'!U356))</f>
        <v>#N/A</v>
      </c>
      <c r="BG652" s="121" t="e">
        <f t="shared" si="147"/>
        <v>#N/A</v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e">
        <f>IF('Cable Info'!T357="","",CONCATENATE('Cable Info'!T357," - ",'Cable Info'!U357))</f>
        <v>#N/A</v>
      </c>
      <c r="BG653" s="121" t="e">
        <f t="shared" si="147"/>
        <v>#N/A</v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e">
        <f>IF('Cable Info'!T358="","",CONCATENATE('Cable Info'!T358," - ",'Cable Info'!U358))</f>
        <v>#N/A</v>
      </c>
      <c r="BG654" s="121" t="e">
        <f t="shared" si="147"/>
        <v>#N/A</v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e">
        <f>IF('Cable Info'!T359="","",CONCATENATE('Cable Info'!T359," - ",'Cable Info'!U359))</f>
        <v>#N/A</v>
      </c>
      <c r="BG655" s="121" t="e">
        <f t="shared" si="147"/>
        <v>#N/A</v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e">
        <f>IF('Cable Info'!T360="","",CONCATENATE('Cable Info'!T360," - ",'Cable Info'!U360))</f>
        <v>#N/A</v>
      </c>
      <c r="BG656" s="121" t="e">
        <f t="shared" si="147"/>
        <v>#N/A</v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e">
        <f>IF('Cable Info'!T361="","",CONCATENATE('Cable Info'!T361," - ",'Cable Info'!U361))</f>
        <v>#N/A</v>
      </c>
      <c r="BG657" s="121" t="e">
        <f t="shared" si="147"/>
        <v>#N/A</v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e">
        <f>IF('Cable Info'!T362="","",CONCATENATE('Cable Info'!T362," - ",'Cable Info'!U362))</f>
        <v>#N/A</v>
      </c>
      <c r="BG658" s="121" t="e">
        <f t="shared" si="147"/>
        <v>#N/A</v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e">
        <f>IF('Cable Info'!T363="","",CONCATENATE('Cable Info'!T363," - ",'Cable Info'!U363))</f>
        <v>#N/A</v>
      </c>
      <c r="BG659" s="121" t="e">
        <f t="shared" si="147"/>
        <v>#N/A</v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e">
        <f>IF('Cable Info'!T364="","",CONCATENATE('Cable Info'!T364," - ",'Cable Info'!U364))</f>
        <v>#N/A</v>
      </c>
      <c r="BG660" s="121" t="e">
        <f t="shared" si="147"/>
        <v>#N/A</v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e">
        <f>IF('Cable Info'!T365="","",CONCATENATE('Cable Info'!T365," - ",'Cable Info'!U365))</f>
        <v>#N/A</v>
      </c>
      <c r="BG661" s="121" t="e">
        <f t="shared" si="147"/>
        <v>#N/A</v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e">
        <f>IF('Cable Info'!T366="","",CONCATENATE('Cable Info'!T366," - ",'Cable Info'!U366))</f>
        <v>#N/A</v>
      </c>
      <c r="BG662" s="121" t="e">
        <f t="shared" si="147"/>
        <v>#N/A</v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e">
        <f>IF('Cable Info'!T367="","",CONCATENATE('Cable Info'!T367," - ",'Cable Info'!U367))</f>
        <v>#N/A</v>
      </c>
      <c r="BG663" s="121" t="e">
        <f t="shared" si="147"/>
        <v>#N/A</v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e">
        <f>IF('Cable Info'!T368="","",CONCATENATE('Cable Info'!T368," - ",'Cable Info'!U368))</f>
        <v>#N/A</v>
      </c>
      <c r="BG664" s="121" t="e">
        <f t="shared" si="147"/>
        <v>#N/A</v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e">
        <f>IF('Cable Info'!T369="","",CONCATENATE('Cable Info'!T369," - ",'Cable Info'!U369))</f>
        <v>#N/A</v>
      </c>
      <c r="BG665" s="121" t="e">
        <f t="shared" si="147"/>
        <v>#N/A</v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e">
        <f>IF('Cable Info'!T370="","",CONCATENATE('Cable Info'!T370," - ",'Cable Info'!U370))</f>
        <v>#N/A</v>
      </c>
      <c r="BG666" s="121" t="e">
        <f t="shared" si="147"/>
        <v>#N/A</v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e">
        <f>IF('Cable Info'!T371="","",CONCATENATE('Cable Info'!T371," - ",'Cable Info'!U371))</f>
        <v>#N/A</v>
      </c>
      <c r="BG667" s="121" t="e">
        <f t="shared" si="147"/>
        <v>#N/A</v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e">
        <f>IF('Cable Info'!T372="","",CONCATENATE('Cable Info'!T372," - ",'Cable Info'!U372))</f>
        <v>#N/A</v>
      </c>
      <c r="BG668" s="121" t="e">
        <f t="shared" si="147"/>
        <v>#N/A</v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e">
        <f>IF('Cable Info'!T373="","",CONCATENATE('Cable Info'!T373," - ",'Cable Info'!U373))</f>
        <v>#N/A</v>
      </c>
      <c r="BG669" s="121" t="e">
        <f t="shared" si="147"/>
        <v>#N/A</v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e">
        <f>IF('Cable Info'!T374="","",CONCATENATE('Cable Info'!T374," - ",'Cable Info'!U374))</f>
        <v>#N/A</v>
      </c>
      <c r="BG670" s="121" t="e">
        <f t="shared" si="147"/>
        <v>#N/A</v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e">
        <f>IF('Cable Info'!T375="","",CONCATENATE('Cable Info'!T375," - ",'Cable Info'!U375))</f>
        <v>#N/A</v>
      </c>
      <c r="BG671" s="121" t="e">
        <f t="shared" si="147"/>
        <v>#N/A</v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e">
        <f>IF('Cable Info'!T376="","",CONCATENATE('Cable Info'!T376," - ",'Cable Info'!U376))</f>
        <v>#N/A</v>
      </c>
      <c r="BG672" s="121" t="e">
        <f t="shared" si="147"/>
        <v>#N/A</v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e">
        <f>IF('Cable Info'!T377="","",CONCATENATE('Cable Info'!T377," - ",'Cable Info'!U377))</f>
        <v>#N/A</v>
      </c>
      <c r="BG673" s="121" t="e">
        <f t="shared" si="147"/>
        <v>#N/A</v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e">
        <f>IF('Cable Info'!T378="","",CONCATENATE('Cable Info'!T378," - ",'Cable Info'!U378))</f>
        <v>#N/A</v>
      </c>
      <c r="BG674" s="121" t="e">
        <f t="shared" si="147"/>
        <v>#N/A</v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e">
        <f>IF('Cable Info'!T379="","",CONCATENATE('Cable Info'!T379," - ",'Cable Info'!U379))</f>
        <v>#N/A</v>
      </c>
      <c r="BG675" s="121" t="e">
        <f t="shared" si="147"/>
        <v>#N/A</v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e">
        <f>IF('Cable Info'!T380="","",CONCATENATE('Cable Info'!T380," - ",'Cable Info'!U380))</f>
        <v>#N/A</v>
      </c>
      <c r="BG676" s="121" t="e">
        <f t="shared" si="147"/>
        <v>#N/A</v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e">
        <f>IF('Cable Info'!T381="","",CONCATENATE('Cable Info'!T381," - ",'Cable Info'!U381))</f>
        <v>#N/A</v>
      </c>
      <c r="BG677" s="121" t="e">
        <f t="shared" si="147"/>
        <v>#N/A</v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e">
        <f>IF('Cable Info'!T382="","",CONCATENATE('Cable Info'!T382," - ",'Cable Info'!U382))</f>
        <v>#N/A</v>
      </c>
      <c r="BG678" s="121" t="e">
        <f t="shared" si="147"/>
        <v>#N/A</v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e">
        <f>IF('Cable Info'!T383="","",CONCATENATE('Cable Info'!T383," - ",'Cable Info'!U383))</f>
        <v>#N/A</v>
      </c>
      <c r="BG679" s="121" t="e">
        <f t="shared" si="147"/>
        <v>#N/A</v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e">
        <f>IF('Cable Info'!T384="","",CONCATENATE('Cable Info'!T384," - ",'Cable Info'!U384))</f>
        <v>#N/A</v>
      </c>
      <c r="BG680" s="121" t="e">
        <f t="shared" si="147"/>
        <v>#N/A</v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e">
        <f>IF('Cable Info'!T385="","",CONCATENATE('Cable Info'!T385," - ",'Cable Info'!U385))</f>
        <v>#N/A</v>
      </c>
      <c r="BG681" s="121" t="e">
        <f t="shared" si="147"/>
        <v>#N/A</v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e">
        <f>IF('Cable Info'!T386="","",CONCATENATE('Cable Info'!T386," - ",'Cable Info'!U386))</f>
        <v>#N/A</v>
      </c>
      <c r="BG682" s="121" t="e">
        <f t="shared" si="147"/>
        <v>#N/A</v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e">
        <f>IF('Cable Info'!T387="","",CONCATENATE('Cable Info'!T387," - ",'Cable Info'!U387))</f>
        <v>#N/A</v>
      </c>
      <c r="BG683" s="121" t="e">
        <f t="shared" ref="BG683:BG746" si="153">IF(BE683="",BD683,CONCATENATE(BD683,"  &lt;=&gt; ",BE683," ",BF683))</f>
        <v>#N/A</v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e">
        <f>IF('Cable Info'!T388="","",CONCATENATE('Cable Info'!T388," - ",'Cable Info'!U388))</f>
        <v>#N/A</v>
      </c>
      <c r="BG684" s="121" t="e">
        <f t="shared" si="153"/>
        <v>#N/A</v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e">
        <f>IF('Cable Info'!T389="","",CONCATENATE('Cable Info'!T389," - ",'Cable Info'!U389))</f>
        <v>#N/A</v>
      </c>
      <c r="BG685" s="121" t="e">
        <f t="shared" si="153"/>
        <v>#N/A</v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e">
        <f>IF('Cable Info'!T390="","",CONCATENATE('Cable Info'!T390," - ",'Cable Info'!U390))</f>
        <v>#N/A</v>
      </c>
      <c r="BG686" s="121" t="e">
        <f t="shared" si="153"/>
        <v>#N/A</v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e">
        <f>IF('Cable Info'!T391="","",CONCATENATE('Cable Info'!T391," - ",'Cable Info'!U391))</f>
        <v>#N/A</v>
      </c>
      <c r="BG687" s="121" t="e">
        <f t="shared" si="153"/>
        <v>#N/A</v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e">
        <f>IF('Cable Info'!T392="","",CONCATENATE('Cable Info'!T392," - ",'Cable Info'!U392))</f>
        <v>#N/A</v>
      </c>
      <c r="BG688" s="121" t="e">
        <f t="shared" si="153"/>
        <v>#N/A</v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e">
        <f>IF('Cable Info'!T393="","",CONCATENATE('Cable Info'!T393," - ",'Cable Info'!U393))</f>
        <v>#N/A</v>
      </c>
      <c r="BG689" s="121" t="e">
        <f t="shared" si="153"/>
        <v>#N/A</v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e">
        <f>IF('Cable Info'!T394="","",CONCATENATE('Cable Info'!T394," - ",'Cable Info'!U394))</f>
        <v>#N/A</v>
      </c>
      <c r="BG690" s="121" t="e">
        <f t="shared" si="153"/>
        <v>#N/A</v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e">
        <f>IF('Cable Info'!T395="","",CONCATENATE('Cable Info'!T395," - ",'Cable Info'!U395))</f>
        <v>#N/A</v>
      </c>
      <c r="BG691" s="121" t="e">
        <f t="shared" si="153"/>
        <v>#N/A</v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e">
        <f>IF('Cable Info'!T396="","",CONCATENATE('Cable Info'!T396," - ",'Cable Info'!U396))</f>
        <v>#N/A</v>
      </c>
      <c r="BG692" s="121" t="e">
        <f t="shared" si="153"/>
        <v>#N/A</v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e">
        <f>IF('Cable Info'!T397="","",CONCATENATE('Cable Info'!T397," - ",'Cable Info'!U397))</f>
        <v>#N/A</v>
      </c>
      <c r="BG693" s="121" t="e">
        <f t="shared" si="153"/>
        <v>#N/A</v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e">
        <f>IF('Cable Info'!T398="","",CONCATENATE('Cable Info'!T398," - ",'Cable Info'!U398))</f>
        <v>#N/A</v>
      </c>
      <c r="BG694" s="121" t="e">
        <f t="shared" si="153"/>
        <v>#N/A</v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e">
        <f>IF('Cable Info'!T399="","",CONCATENATE('Cable Info'!T399," - ",'Cable Info'!U399))</f>
        <v>#N/A</v>
      </c>
      <c r="BG695" s="121" t="e">
        <f t="shared" si="153"/>
        <v>#N/A</v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e">
        <f>IF('Cable Info'!T400="","",CONCATENATE('Cable Info'!T400," - ",'Cable Info'!U400))</f>
        <v>#N/A</v>
      </c>
      <c r="BG696" s="121" t="e">
        <f t="shared" si="153"/>
        <v>#N/A</v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e">
        <f>IF('Cable Info'!T401="","",CONCATENATE('Cable Info'!T401," - ",'Cable Info'!U401))</f>
        <v>#N/A</v>
      </c>
      <c r="BG697" s="121" t="e">
        <f t="shared" si="153"/>
        <v>#N/A</v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e">
        <f>IF('Cable Info'!T402="","",CONCATENATE('Cable Info'!T402," - ",'Cable Info'!U402))</f>
        <v>#N/A</v>
      </c>
      <c r="BG698" s="121" t="e">
        <f t="shared" si="153"/>
        <v>#N/A</v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e">
        <f>IF('Cable Info'!T403="","",CONCATENATE('Cable Info'!T403," - ",'Cable Info'!U403))</f>
        <v>#N/A</v>
      </c>
      <c r="BG699" s="121" t="e">
        <f t="shared" si="153"/>
        <v>#N/A</v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e">
        <f>IF('Cable Info'!T404="","",CONCATENATE('Cable Info'!T404," - ",'Cable Info'!U404))</f>
        <v>#N/A</v>
      </c>
      <c r="BG700" s="121" t="e">
        <f t="shared" si="153"/>
        <v>#N/A</v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e">
        <f>IF('Cable Info'!T405="","",CONCATENATE('Cable Info'!T405," - ",'Cable Info'!U405))</f>
        <v>#N/A</v>
      </c>
      <c r="BG701" s="121" t="e">
        <f t="shared" si="153"/>
        <v>#N/A</v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e">
        <f>IF('Cable Info'!T406="","",CONCATENATE('Cable Info'!T406," - ",'Cable Info'!U406))</f>
        <v>#N/A</v>
      </c>
      <c r="BG702" s="121" t="e">
        <f t="shared" si="153"/>
        <v>#N/A</v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e">
        <f>IF('Cable Info'!T407="","",CONCATENATE('Cable Info'!T407," - ",'Cable Info'!U407))</f>
        <v>#N/A</v>
      </c>
      <c r="BG703" s="121" t="e">
        <f t="shared" si="153"/>
        <v>#N/A</v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e">
        <f>IF('Cable Info'!T408="","",CONCATENATE('Cable Info'!T408," - ",'Cable Info'!U408))</f>
        <v>#N/A</v>
      </c>
      <c r="BG704" s="121" t="e">
        <f t="shared" si="153"/>
        <v>#N/A</v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e">
        <f>IF('Cable Info'!T409="","",CONCATENATE('Cable Info'!T409," - ",'Cable Info'!U409))</f>
        <v>#N/A</v>
      </c>
      <c r="BG705" s="121" t="e">
        <f t="shared" si="153"/>
        <v>#N/A</v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e">
        <f>IF('Cable Info'!T410="","",CONCATENATE('Cable Info'!T410," - ",'Cable Info'!U410))</f>
        <v>#N/A</v>
      </c>
      <c r="BG706" s="121" t="e">
        <f t="shared" si="153"/>
        <v>#N/A</v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e">
        <f>IF('Cable Info'!T411="","",CONCATENATE('Cable Info'!T411," - ",'Cable Info'!U411))</f>
        <v>#N/A</v>
      </c>
      <c r="BG707" s="121" t="e">
        <f t="shared" si="153"/>
        <v>#N/A</v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e">
        <f>IF('Cable Info'!T412="","",CONCATENATE('Cable Info'!T412," - ",'Cable Info'!U412))</f>
        <v>#N/A</v>
      </c>
      <c r="BG708" s="121" t="e">
        <f t="shared" si="153"/>
        <v>#N/A</v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e">
        <f>IF('Cable Info'!T413="","",CONCATENATE('Cable Info'!T413," - ",'Cable Info'!U413))</f>
        <v>#N/A</v>
      </c>
      <c r="BG709" s="121" t="e">
        <f t="shared" si="153"/>
        <v>#N/A</v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e">
        <f>IF('Cable Info'!T414="","",CONCATENATE('Cable Info'!T414," - ",'Cable Info'!U414))</f>
        <v>#N/A</v>
      </c>
      <c r="BG710" s="121" t="e">
        <f t="shared" si="153"/>
        <v>#N/A</v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e">
        <f>IF('Cable Info'!T415="","",CONCATENATE('Cable Info'!T415," - ",'Cable Info'!U415))</f>
        <v>#N/A</v>
      </c>
      <c r="BG711" s="121" t="e">
        <f t="shared" si="153"/>
        <v>#N/A</v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e">
        <f>IF('Cable Info'!T416="","",CONCATENATE('Cable Info'!T416," - ",'Cable Info'!U416))</f>
        <v>#N/A</v>
      </c>
      <c r="BG712" s="121" t="e">
        <f t="shared" si="153"/>
        <v>#N/A</v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e">
        <f>IF('Cable Info'!T417="","",CONCATENATE('Cable Info'!T417," - ",'Cable Info'!U417))</f>
        <v>#N/A</v>
      </c>
      <c r="BG713" s="121" t="e">
        <f t="shared" si="153"/>
        <v>#N/A</v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e">
        <f>IF('Cable Info'!T418="","",CONCATENATE('Cable Info'!T418," - ",'Cable Info'!U418))</f>
        <v>#N/A</v>
      </c>
      <c r="BG714" s="121" t="e">
        <f t="shared" si="153"/>
        <v>#N/A</v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e">
        <f>IF('Cable Info'!T419="","",CONCATENATE('Cable Info'!T419," - ",'Cable Info'!U419))</f>
        <v>#N/A</v>
      </c>
      <c r="BG715" s="121" t="e">
        <f t="shared" si="153"/>
        <v>#N/A</v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e">
        <f>IF('Cable Info'!T420="","",CONCATENATE('Cable Info'!T420," - ",'Cable Info'!U420))</f>
        <v>#N/A</v>
      </c>
      <c r="BG716" s="121" t="e">
        <f t="shared" si="153"/>
        <v>#N/A</v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e">
        <f>IF('Cable Info'!T421="","",CONCATENATE('Cable Info'!T421," - ",'Cable Info'!U421))</f>
        <v>#N/A</v>
      </c>
      <c r="BG717" s="121" t="e">
        <f t="shared" si="153"/>
        <v>#N/A</v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e">
        <f>IF('Cable Info'!T422="","",CONCATENATE('Cable Info'!T422," - ",'Cable Info'!U422))</f>
        <v>#N/A</v>
      </c>
      <c r="BG718" s="121" t="e">
        <f t="shared" si="153"/>
        <v>#N/A</v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e">
        <f>IF('Cable Info'!T423="","",CONCATENATE('Cable Info'!T423," - ",'Cable Info'!U423))</f>
        <v>#N/A</v>
      </c>
      <c r="BG719" s="121" t="e">
        <f t="shared" si="153"/>
        <v>#N/A</v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e">
        <f>IF('Cable Info'!T424="","",CONCATENATE('Cable Info'!T424," - ",'Cable Info'!U424))</f>
        <v>#N/A</v>
      </c>
      <c r="BG720" s="121" t="e">
        <f t="shared" si="153"/>
        <v>#N/A</v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e">
        <f>IF('Cable Info'!T425="","",CONCATENATE('Cable Info'!T425," - ",'Cable Info'!U425))</f>
        <v>#N/A</v>
      </c>
      <c r="BG721" s="121" t="e">
        <f t="shared" si="153"/>
        <v>#N/A</v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e">
        <f>IF('Cable Info'!T426="","",CONCATENATE('Cable Info'!T426," - ",'Cable Info'!U426))</f>
        <v>#N/A</v>
      </c>
      <c r="BG722" s="121" t="e">
        <f t="shared" si="153"/>
        <v>#N/A</v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e">
        <f>IF('Cable Info'!T427="","",CONCATENATE('Cable Info'!T427," - ",'Cable Info'!U427))</f>
        <v>#N/A</v>
      </c>
      <c r="BG723" s="121" t="e">
        <f t="shared" si="153"/>
        <v>#N/A</v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e">
        <f>IF('Cable Info'!T428="","",CONCATENATE('Cable Info'!T428," - ",'Cable Info'!U428))</f>
        <v>#N/A</v>
      </c>
      <c r="BG724" s="121" t="e">
        <f t="shared" si="153"/>
        <v>#N/A</v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e">
        <f>IF('Cable Info'!T429="","",CONCATENATE('Cable Info'!T429," - ",'Cable Info'!U429))</f>
        <v>#N/A</v>
      </c>
      <c r="BG725" s="121" t="e">
        <f t="shared" si="153"/>
        <v>#N/A</v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e">
        <f>IF('Cable Info'!T430="","",CONCATENATE('Cable Info'!T430," - ",'Cable Info'!U430))</f>
        <v>#N/A</v>
      </c>
      <c r="BG726" s="121" t="e">
        <f t="shared" si="153"/>
        <v>#N/A</v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e">
        <f>IF('Cable Info'!T431="","",CONCATENATE('Cable Info'!T431," - ",'Cable Info'!U431))</f>
        <v>#N/A</v>
      </c>
      <c r="BG727" s="121" t="e">
        <f t="shared" si="153"/>
        <v>#N/A</v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e">
        <f>IF('Cable Info'!T432="","",CONCATENATE('Cable Info'!T432," - ",'Cable Info'!U432))</f>
        <v>#N/A</v>
      </c>
      <c r="BG728" s="121" t="e">
        <f t="shared" si="153"/>
        <v>#N/A</v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e">
        <f>IF('Cable Info'!T433="","",CONCATENATE('Cable Info'!T433," - ",'Cable Info'!U433))</f>
        <v>#N/A</v>
      </c>
      <c r="BG729" s="121" t="e">
        <f t="shared" si="153"/>
        <v>#N/A</v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e">
        <f>IF('Cable Info'!T434="","",CONCATENATE('Cable Info'!T434," - ",'Cable Info'!U434))</f>
        <v>#N/A</v>
      </c>
      <c r="BG730" s="121" t="e">
        <f t="shared" si="153"/>
        <v>#N/A</v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e">
        <f>IF('Cable Info'!T435="","",CONCATENATE('Cable Info'!T435," - ",'Cable Info'!U435))</f>
        <v>#N/A</v>
      </c>
      <c r="BG731" s="121" t="e">
        <f t="shared" si="153"/>
        <v>#N/A</v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e">
        <f>IF('Cable Info'!T436="","",CONCATENATE('Cable Info'!T436," - ",'Cable Info'!U436))</f>
        <v>#N/A</v>
      </c>
      <c r="BG732" s="121" t="e">
        <f t="shared" si="153"/>
        <v>#N/A</v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e">
        <f>IF('Cable Info'!T437="","",CONCATENATE('Cable Info'!T437," - ",'Cable Info'!U437))</f>
        <v>#N/A</v>
      </c>
      <c r="BG733" s="121" t="e">
        <f t="shared" si="153"/>
        <v>#N/A</v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e">
        <f>IF('Cable Info'!T438="","",CONCATENATE('Cable Info'!T438," - ",'Cable Info'!U438))</f>
        <v>#N/A</v>
      </c>
      <c r="BG734" s="121" t="e">
        <f t="shared" si="153"/>
        <v>#N/A</v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e">
        <f>IF('Cable Info'!T439="","",CONCATENATE('Cable Info'!T439," - ",'Cable Info'!U439))</f>
        <v>#N/A</v>
      </c>
      <c r="BG735" s="121" t="e">
        <f t="shared" si="153"/>
        <v>#N/A</v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e">
        <f>IF('Cable Info'!T440="","",CONCATENATE('Cable Info'!T440," - ",'Cable Info'!U440))</f>
        <v>#N/A</v>
      </c>
      <c r="BG736" s="121" t="e">
        <f t="shared" si="153"/>
        <v>#N/A</v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e">
        <f>IF('Cable Info'!T441="","",CONCATENATE('Cable Info'!T441," - ",'Cable Info'!U441))</f>
        <v>#N/A</v>
      </c>
      <c r="BG737" s="121" t="e">
        <f t="shared" si="153"/>
        <v>#N/A</v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e">
        <f>IF('Cable Info'!T442="","",CONCATENATE('Cable Info'!T442," - ",'Cable Info'!U442))</f>
        <v>#N/A</v>
      </c>
      <c r="BG738" s="121" t="e">
        <f t="shared" si="153"/>
        <v>#N/A</v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e">
        <f>IF('Cable Info'!T443="","",CONCATENATE('Cable Info'!T443," - ",'Cable Info'!U443))</f>
        <v>#N/A</v>
      </c>
      <c r="BG739" s="121" t="e">
        <f t="shared" si="153"/>
        <v>#N/A</v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e">
        <f>IF('Cable Info'!T444="","",CONCATENATE('Cable Info'!T444," - ",'Cable Info'!U444))</f>
        <v>#N/A</v>
      </c>
      <c r="BG740" s="121" t="e">
        <f t="shared" si="153"/>
        <v>#N/A</v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e">
        <f>IF('Cable Info'!T445="","",CONCATENATE('Cable Info'!T445," - ",'Cable Info'!U445))</f>
        <v>#N/A</v>
      </c>
      <c r="BG741" s="121" t="e">
        <f t="shared" si="153"/>
        <v>#N/A</v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e">
        <f>IF('Cable Info'!T446="","",CONCATENATE('Cable Info'!T446," - ",'Cable Info'!U446))</f>
        <v>#N/A</v>
      </c>
      <c r="BG742" s="121" t="e">
        <f t="shared" si="153"/>
        <v>#N/A</v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e">
        <f>IF('Cable Info'!T447="","",CONCATENATE('Cable Info'!T447," - ",'Cable Info'!U447))</f>
        <v>#N/A</v>
      </c>
      <c r="BG743" s="121" t="e">
        <f t="shared" si="153"/>
        <v>#N/A</v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e">
        <f>IF('Cable Info'!T448="","",CONCATENATE('Cable Info'!T448," - ",'Cable Info'!U448))</f>
        <v>#N/A</v>
      </c>
      <c r="BG744" s="121" t="e">
        <f t="shared" si="153"/>
        <v>#N/A</v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e">
        <f>IF('Cable Info'!T449="","",CONCATENATE('Cable Info'!T449," - ",'Cable Info'!U449))</f>
        <v>#N/A</v>
      </c>
      <c r="BG745" s="121" t="e">
        <f t="shared" si="153"/>
        <v>#N/A</v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e">
        <f>IF('Cable Info'!T450="","",CONCATENATE('Cable Info'!T450," - ",'Cable Info'!U450))</f>
        <v>#N/A</v>
      </c>
      <c r="BG746" s="121" t="e">
        <f t="shared" si="153"/>
        <v>#N/A</v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e">
        <f>IF('Cable Info'!T451="","",CONCATENATE('Cable Info'!T451," - ",'Cable Info'!U451))</f>
        <v>#N/A</v>
      </c>
      <c r="BG747" s="121" t="e">
        <f t="shared" ref="BG747:BG810" si="159">IF(BE747="",BD747,CONCATENATE(BD747,"  &lt;=&gt; ",BE747," ",BF747))</f>
        <v>#N/A</v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e">
        <f>IF('Cable Info'!T452="","",CONCATENATE('Cable Info'!T452," - ",'Cable Info'!U452))</f>
        <v>#N/A</v>
      </c>
      <c r="BG748" s="121" t="e">
        <f t="shared" si="159"/>
        <v>#N/A</v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e">
        <f>IF('Cable Info'!T453="","",CONCATENATE('Cable Info'!T453," - ",'Cable Info'!U453))</f>
        <v>#N/A</v>
      </c>
      <c r="BG749" s="121" t="e">
        <f t="shared" si="159"/>
        <v>#N/A</v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e">
        <f>IF('Cable Info'!T454="","",CONCATENATE('Cable Info'!T454," - ",'Cable Info'!U454))</f>
        <v>#N/A</v>
      </c>
      <c r="BG750" s="121" t="e">
        <f t="shared" si="159"/>
        <v>#N/A</v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e">
        <f>IF('Cable Info'!T455="","",CONCATENATE('Cable Info'!T455," - ",'Cable Info'!U455))</f>
        <v>#N/A</v>
      </c>
      <c r="BG751" s="121" t="e">
        <f t="shared" si="159"/>
        <v>#N/A</v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e">
        <f>IF('Cable Info'!T456="","",CONCATENATE('Cable Info'!T456," - ",'Cable Info'!U456))</f>
        <v>#N/A</v>
      </c>
      <c r="BG752" s="121" t="e">
        <f t="shared" si="159"/>
        <v>#N/A</v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e">
        <f>IF('Cable Info'!T457="","",CONCATENATE('Cable Info'!T457," - ",'Cable Info'!U457))</f>
        <v>#N/A</v>
      </c>
      <c r="BG753" s="121" t="e">
        <f t="shared" si="159"/>
        <v>#N/A</v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e">
        <f>IF('Cable Info'!T458="","",CONCATENATE('Cable Info'!T458," - ",'Cable Info'!U458))</f>
        <v>#N/A</v>
      </c>
      <c r="BG754" s="121" t="e">
        <f t="shared" si="159"/>
        <v>#N/A</v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e">
        <f>IF('Cable Info'!T459="","",CONCATENATE('Cable Info'!T459," - ",'Cable Info'!U459))</f>
        <v>#N/A</v>
      </c>
      <c r="BG755" s="121" t="e">
        <f t="shared" si="159"/>
        <v>#N/A</v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e">
        <f>IF('Cable Info'!T460="","",CONCATENATE('Cable Info'!T460," - ",'Cable Info'!U460))</f>
        <v>#N/A</v>
      </c>
      <c r="BG756" s="121" t="e">
        <f t="shared" si="159"/>
        <v>#N/A</v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e">
        <f>IF('Cable Info'!T461="","",CONCATENATE('Cable Info'!T461," - ",'Cable Info'!U461))</f>
        <v>#N/A</v>
      </c>
      <c r="BG757" s="121" t="e">
        <f t="shared" si="159"/>
        <v>#N/A</v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e">
        <f>IF('Cable Info'!T462="","",CONCATENATE('Cable Info'!T462," - ",'Cable Info'!U462))</f>
        <v>#N/A</v>
      </c>
      <c r="BG758" s="121" t="e">
        <f t="shared" si="159"/>
        <v>#N/A</v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e">
        <f>IF('Cable Info'!T463="","",CONCATENATE('Cable Info'!T463," - ",'Cable Info'!U463))</f>
        <v>#N/A</v>
      </c>
      <c r="BG759" s="121" t="e">
        <f t="shared" si="159"/>
        <v>#N/A</v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e">
        <f>IF('Cable Info'!T464="","",CONCATENATE('Cable Info'!T464," - ",'Cable Info'!U464))</f>
        <v>#N/A</v>
      </c>
      <c r="BG760" s="121" t="e">
        <f t="shared" si="159"/>
        <v>#N/A</v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e">
        <f>IF('Cable Info'!T465="","",CONCATENATE('Cable Info'!T465," - ",'Cable Info'!U465))</f>
        <v>#N/A</v>
      </c>
      <c r="BG761" s="121" t="e">
        <f t="shared" si="159"/>
        <v>#N/A</v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e">
        <f>IF('Cable Info'!T466="","",CONCATENATE('Cable Info'!T466," - ",'Cable Info'!U466))</f>
        <v>#N/A</v>
      </c>
      <c r="BG762" s="121" t="e">
        <f t="shared" si="159"/>
        <v>#N/A</v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e">
        <f>IF('Cable Info'!T467="","",CONCATENATE('Cable Info'!T467," - ",'Cable Info'!U467))</f>
        <v>#N/A</v>
      </c>
      <c r="BG763" s="121" t="e">
        <f t="shared" si="159"/>
        <v>#N/A</v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e">
        <f>IF('Cable Info'!T468="","",CONCATENATE('Cable Info'!T468," - ",'Cable Info'!U468))</f>
        <v>#N/A</v>
      </c>
      <c r="BG764" s="121" t="e">
        <f t="shared" si="159"/>
        <v>#N/A</v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e">
        <f>IF('Cable Info'!T469="","",CONCATENATE('Cable Info'!T469," - ",'Cable Info'!U469))</f>
        <v>#N/A</v>
      </c>
      <c r="BG765" s="121" t="e">
        <f t="shared" si="159"/>
        <v>#N/A</v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e">
        <f>IF('Cable Info'!T470="","",CONCATENATE('Cable Info'!T470," - ",'Cable Info'!U470))</f>
        <v>#N/A</v>
      </c>
      <c r="BG766" s="121" t="e">
        <f t="shared" si="159"/>
        <v>#N/A</v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e">
        <f>IF('Cable Info'!T471="","",CONCATENATE('Cable Info'!T471," - ",'Cable Info'!U471))</f>
        <v>#N/A</v>
      </c>
      <c r="BG767" s="121" t="e">
        <f t="shared" si="159"/>
        <v>#N/A</v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e">
        <f>IF('Cable Info'!T472="","",CONCATENATE('Cable Info'!T472," - ",'Cable Info'!U472))</f>
        <v>#N/A</v>
      </c>
      <c r="BG768" s="121" t="e">
        <f t="shared" si="159"/>
        <v>#N/A</v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e">
        <f>IF('Cable Info'!T473="","",CONCATENATE('Cable Info'!T473," - ",'Cable Info'!U473))</f>
        <v>#N/A</v>
      </c>
      <c r="BG769" s="121" t="e">
        <f t="shared" si="159"/>
        <v>#N/A</v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e">
        <f>IF('Cable Info'!T474="","",CONCATENATE('Cable Info'!T474," - ",'Cable Info'!U474))</f>
        <v>#N/A</v>
      </c>
      <c r="BG770" s="121" t="e">
        <f t="shared" si="159"/>
        <v>#N/A</v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e">
        <f>IF('Cable Info'!T475="","",CONCATENATE('Cable Info'!T475," - ",'Cable Info'!U475))</f>
        <v>#N/A</v>
      </c>
      <c r="BG771" s="121" t="e">
        <f t="shared" si="159"/>
        <v>#N/A</v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e">
        <f>IF('Cable Info'!T476="","",CONCATENATE('Cable Info'!T476," - ",'Cable Info'!U476))</f>
        <v>#N/A</v>
      </c>
      <c r="BG772" s="121" t="e">
        <f t="shared" si="159"/>
        <v>#N/A</v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e">
        <f>IF('Cable Info'!T477="","",CONCATENATE('Cable Info'!T477," - ",'Cable Info'!U477))</f>
        <v>#N/A</v>
      </c>
      <c r="BG773" s="121" t="e">
        <f t="shared" si="159"/>
        <v>#N/A</v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e">
        <f>IF('Cable Info'!T478="","",CONCATENATE('Cable Info'!T478," - ",'Cable Info'!U478))</f>
        <v>#N/A</v>
      </c>
      <c r="BG774" s="121" t="e">
        <f t="shared" si="159"/>
        <v>#N/A</v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e">
        <f>IF('Cable Info'!T479="","",CONCATENATE('Cable Info'!T479," - ",'Cable Info'!U479))</f>
        <v>#N/A</v>
      </c>
      <c r="BG775" s="121" t="e">
        <f t="shared" si="159"/>
        <v>#N/A</v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e">
        <f>IF('Cable Info'!T480="","",CONCATENATE('Cable Info'!T480," - ",'Cable Info'!U480))</f>
        <v>#N/A</v>
      </c>
      <c r="BG776" s="121" t="e">
        <f t="shared" si="159"/>
        <v>#N/A</v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e">
        <f>IF('Cable Info'!T481="","",CONCATENATE('Cable Info'!T481," - ",'Cable Info'!U481))</f>
        <v>#N/A</v>
      </c>
      <c r="BG777" s="121" t="e">
        <f t="shared" si="159"/>
        <v>#N/A</v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e">
        <f>IF('Cable Info'!T482="","",CONCATENATE('Cable Info'!T482," - ",'Cable Info'!U482))</f>
        <v>#N/A</v>
      </c>
      <c r="BG778" s="121" t="e">
        <f t="shared" si="159"/>
        <v>#N/A</v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e">
        <f>IF('Cable Info'!T483="","",CONCATENATE('Cable Info'!T483," - ",'Cable Info'!U483))</f>
        <v>#N/A</v>
      </c>
      <c r="BG779" s="121" t="e">
        <f t="shared" si="159"/>
        <v>#N/A</v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e">
        <f>IF('Cable Info'!T484="","",CONCATENATE('Cable Info'!T484," - ",'Cable Info'!U484))</f>
        <v>#N/A</v>
      </c>
      <c r="BG780" s="121" t="e">
        <f t="shared" si="159"/>
        <v>#N/A</v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e">
        <f>IF('Cable Info'!T485="","",CONCATENATE('Cable Info'!T485," - ",'Cable Info'!U485))</f>
        <v>#N/A</v>
      </c>
      <c r="BG781" s="121" t="e">
        <f t="shared" si="159"/>
        <v>#N/A</v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e">
        <f>IF('Cable Info'!T486="","",CONCATENATE('Cable Info'!T486," - ",'Cable Info'!U486))</f>
        <v>#N/A</v>
      </c>
      <c r="BG782" s="121" t="e">
        <f t="shared" si="159"/>
        <v>#N/A</v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e">
        <f>IF('Cable Info'!T487="","",CONCATENATE('Cable Info'!T487," - ",'Cable Info'!U487))</f>
        <v>#N/A</v>
      </c>
      <c r="BG783" s="121" t="e">
        <f t="shared" si="159"/>
        <v>#N/A</v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e">
        <f>IF('Cable Info'!T488="","",CONCATENATE('Cable Info'!T488," - ",'Cable Info'!U488))</f>
        <v>#N/A</v>
      </c>
      <c r="BG784" s="121" t="e">
        <f t="shared" si="159"/>
        <v>#N/A</v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e">
        <f>IF('Cable Info'!T489="","",CONCATENATE('Cable Info'!T489," - ",'Cable Info'!U489))</f>
        <v>#N/A</v>
      </c>
      <c r="BG785" s="121" t="e">
        <f t="shared" si="159"/>
        <v>#N/A</v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e">
        <f>IF('Cable Info'!T490="","",CONCATENATE('Cable Info'!T490," - ",'Cable Info'!U490))</f>
        <v>#N/A</v>
      </c>
      <c r="BG786" s="121" t="e">
        <f t="shared" si="159"/>
        <v>#N/A</v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e">
        <f>IF('Cable Info'!T491="","",CONCATENATE('Cable Info'!T491," - ",'Cable Info'!U491))</f>
        <v>#N/A</v>
      </c>
      <c r="BG787" s="121" t="e">
        <f t="shared" si="159"/>
        <v>#N/A</v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e">
        <f>IF('Cable Info'!T492="","",CONCATENATE('Cable Info'!T492," - ",'Cable Info'!U492))</f>
        <v>#N/A</v>
      </c>
      <c r="BG788" s="121" t="e">
        <f t="shared" si="159"/>
        <v>#N/A</v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e">
        <f>IF('Cable Info'!T493="","",CONCATENATE('Cable Info'!T493," - ",'Cable Info'!U493))</f>
        <v>#N/A</v>
      </c>
      <c r="BG789" s="121" t="e">
        <f t="shared" si="159"/>
        <v>#N/A</v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e">
        <f>IF('Cable Info'!T494="","",CONCATENATE('Cable Info'!T494," - ",'Cable Info'!U494))</f>
        <v>#N/A</v>
      </c>
      <c r="BG790" s="121" t="e">
        <f t="shared" si="159"/>
        <v>#N/A</v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e">
        <f>IF('Cable Info'!T495="","",CONCATENATE('Cable Info'!T495," - ",'Cable Info'!U495))</f>
        <v>#N/A</v>
      </c>
      <c r="BG791" s="121" t="e">
        <f t="shared" si="159"/>
        <v>#N/A</v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e">
        <f>IF('Cable Info'!T496="","",CONCATENATE('Cable Info'!T496," - ",'Cable Info'!U496))</f>
        <v>#N/A</v>
      </c>
      <c r="BG792" s="121" t="e">
        <f t="shared" si="159"/>
        <v>#N/A</v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e">
        <f>IF('Cable Info'!T497="","",CONCATENATE('Cable Info'!T497," - ",'Cable Info'!U497))</f>
        <v>#N/A</v>
      </c>
      <c r="BG793" s="121" t="e">
        <f t="shared" si="159"/>
        <v>#N/A</v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e">
        <f>IF('Cable Info'!T498="","",CONCATENATE('Cable Info'!T498," - ",'Cable Info'!U498))</f>
        <v>#N/A</v>
      </c>
      <c r="BG794" s="121" t="e">
        <f t="shared" si="159"/>
        <v>#N/A</v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e">
        <f>IF('Cable Info'!T499="","",CONCATENATE('Cable Info'!T499," - ",'Cable Info'!U499))</f>
        <v>#N/A</v>
      </c>
      <c r="BG795" s="121" t="e">
        <f t="shared" si="159"/>
        <v>#N/A</v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e">
        <f>IF('Cable Info'!T500="","",CONCATENATE('Cable Info'!T500," - ",'Cable Info'!U500))</f>
        <v>#N/A</v>
      </c>
      <c r="BG796" s="121" t="e">
        <f t="shared" si="159"/>
        <v>#N/A</v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e">
        <f>IF('Cable Info'!T501="","",CONCATENATE('Cable Info'!T501," - ",'Cable Info'!U501))</f>
        <v>#N/A</v>
      </c>
      <c r="BG797" s="121" t="e">
        <f t="shared" si="159"/>
        <v>#N/A</v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e">
        <f>IF('Cable Info'!T502="","",CONCATENATE('Cable Info'!T502," - ",'Cable Info'!U502))</f>
        <v>#N/A</v>
      </c>
      <c r="BG798" s="121" t="e">
        <f t="shared" si="159"/>
        <v>#N/A</v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e">
        <f>IF('Cable Info'!T503="","",CONCATENATE('Cable Info'!T503," - ",'Cable Info'!U503))</f>
        <v>#N/A</v>
      </c>
      <c r="BG799" s="121" t="e">
        <f t="shared" si="159"/>
        <v>#N/A</v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e">
        <f>IF('Cable Info'!T504="","",CONCATENATE('Cable Info'!T504," - ",'Cable Info'!U504))</f>
        <v>#N/A</v>
      </c>
      <c r="BG800" s="121" t="e">
        <f t="shared" si="159"/>
        <v>#N/A</v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e">
        <f>IF('Cable Info'!T505="","",CONCATENATE('Cable Info'!T505," - ",'Cable Info'!U505))</f>
        <v>#N/A</v>
      </c>
      <c r="BG801" s="121" t="e">
        <f t="shared" si="159"/>
        <v>#N/A</v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e">
        <f>IF('Cable Info'!T506="","",CONCATENATE('Cable Info'!T506," - ",'Cable Info'!U506))</f>
        <v>#N/A</v>
      </c>
      <c r="BG802" s="121" t="e">
        <f t="shared" si="159"/>
        <v>#N/A</v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e">
        <f>IF('Cable Info'!T507="","",CONCATENATE('Cable Info'!T507," - ",'Cable Info'!U507))</f>
        <v>#N/A</v>
      </c>
      <c r="BG803" s="121" t="e">
        <f t="shared" si="159"/>
        <v>#N/A</v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e">
        <f>IF('Cable Info'!T508="","",CONCATENATE('Cable Info'!T508," - ",'Cable Info'!U508))</f>
        <v>#N/A</v>
      </c>
      <c r="BG804" s="121" t="e">
        <f t="shared" si="159"/>
        <v>#N/A</v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e">
        <f>IF('Cable Info'!T509="","",CONCATENATE('Cable Info'!T509," - ",'Cable Info'!U509))</f>
        <v>#N/A</v>
      </c>
      <c r="BG805" s="121" t="e">
        <f t="shared" si="159"/>
        <v>#N/A</v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e">
        <f>IF('Cable Info'!T510="","",CONCATENATE('Cable Info'!T510," - ",'Cable Info'!U510))</f>
        <v>#N/A</v>
      </c>
      <c r="BG806" s="121" t="e">
        <f t="shared" si="159"/>
        <v>#N/A</v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e">
        <f>IF('Cable Info'!T511="","",CONCATENATE('Cable Info'!T511," - ",'Cable Info'!U511))</f>
        <v>#N/A</v>
      </c>
      <c r="BG807" s="121" t="e">
        <f t="shared" si="159"/>
        <v>#N/A</v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e">
        <f>IF('Cable Info'!T512="","",CONCATENATE('Cable Info'!T512," - ",'Cable Info'!U512))</f>
        <v>#N/A</v>
      </c>
      <c r="BG808" s="121" t="e">
        <f t="shared" si="159"/>
        <v>#N/A</v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e">
        <f>IF('Cable Info'!T513="","",CONCATENATE('Cable Info'!T513," - ",'Cable Info'!U513))</f>
        <v>#N/A</v>
      </c>
      <c r="BG809" s="121" t="e">
        <f t="shared" si="159"/>
        <v>#N/A</v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e">
        <f>IF('Cable Info'!T514="","",CONCATENATE('Cable Info'!T514," - ",'Cable Info'!U514))</f>
        <v>#N/A</v>
      </c>
      <c r="BG810" s="121" t="e">
        <f t="shared" si="159"/>
        <v>#N/A</v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e">
        <f>IF('Cable Info'!T515="","",CONCATENATE('Cable Info'!T515," - ",'Cable Info'!U515))</f>
        <v>#N/A</v>
      </c>
      <c r="BG811" s="121" t="e">
        <f t="shared" ref="BG811:BG874" si="165">IF(BE811="",BD811,CONCATENATE(BD811,"  &lt;=&gt; ",BE811," ",BF811))</f>
        <v>#N/A</v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e">
        <f>IF('Cable Info'!T516="","",CONCATENATE('Cable Info'!T516," - ",'Cable Info'!U516))</f>
        <v>#N/A</v>
      </c>
      <c r="BG812" s="121" t="e">
        <f t="shared" si="165"/>
        <v>#N/A</v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e">
        <f>IF('Cable Info'!T517="","",CONCATENATE('Cable Info'!T517," - ",'Cable Info'!U517))</f>
        <v>#N/A</v>
      </c>
      <c r="BG813" s="121" t="e">
        <f t="shared" si="165"/>
        <v>#N/A</v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e">
        <f>IF('Cable Info'!T518="","",CONCATENATE('Cable Info'!T518," - ",'Cable Info'!U518))</f>
        <v>#N/A</v>
      </c>
      <c r="BG814" s="121" t="e">
        <f t="shared" si="165"/>
        <v>#N/A</v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e">
        <f>IF('Cable Info'!T519="","",CONCATENATE('Cable Info'!T519," - ",'Cable Info'!U519))</f>
        <v>#N/A</v>
      </c>
      <c r="BG815" s="121" t="e">
        <f t="shared" si="165"/>
        <v>#N/A</v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e">
        <f>IF('Cable Info'!T520="","",CONCATENATE('Cable Info'!T520," - ",'Cable Info'!U520))</f>
        <v>#N/A</v>
      </c>
      <c r="BG816" s="121" t="e">
        <f t="shared" si="165"/>
        <v>#N/A</v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e">
        <f>IF('Cable Info'!T521="","",CONCATENATE('Cable Info'!T521," - ",'Cable Info'!U521))</f>
        <v>#N/A</v>
      </c>
      <c r="BG817" s="121" t="e">
        <f t="shared" si="165"/>
        <v>#N/A</v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e">
        <f>IF('Cable Info'!T522="","",CONCATENATE('Cable Info'!T522," - ",'Cable Info'!U522))</f>
        <v>#N/A</v>
      </c>
      <c r="BG818" s="121" t="e">
        <f t="shared" si="165"/>
        <v>#N/A</v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e">
        <f>IF('Cable Info'!T523="","",CONCATENATE('Cable Info'!T523," - ",'Cable Info'!U523))</f>
        <v>#N/A</v>
      </c>
      <c r="BG819" s="121" t="e">
        <f t="shared" si="165"/>
        <v>#N/A</v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e">
        <f>IF('Cable Info'!T524="","",CONCATENATE('Cable Info'!T524," - ",'Cable Info'!U524))</f>
        <v>#N/A</v>
      </c>
      <c r="BG820" s="121" t="e">
        <f t="shared" si="165"/>
        <v>#N/A</v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e">
        <f>IF('Cable Info'!T525="","",CONCATENATE('Cable Info'!T525," - ",'Cable Info'!U525))</f>
        <v>#N/A</v>
      </c>
      <c r="BG821" s="121" t="e">
        <f t="shared" si="165"/>
        <v>#N/A</v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e">
        <f>IF('Cable Info'!T526="","",CONCATENATE('Cable Info'!T526," - ",'Cable Info'!U526))</f>
        <v>#N/A</v>
      </c>
      <c r="BG822" s="121" t="e">
        <f t="shared" si="165"/>
        <v>#N/A</v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e">
        <f>IF('Cable Info'!T527="","",CONCATENATE('Cable Info'!T527," - ",'Cable Info'!U527))</f>
        <v>#N/A</v>
      </c>
      <c r="BG823" s="121" t="e">
        <f t="shared" si="165"/>
        <v>#N/A</v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e">
        <f>IF('Cable Info'!T528="","",CONCATENATE('Cable Info'!T528," - ",'Cable Info'!U528))</f>
        <v>#N/A</v>
      </c>
      <c r="BG824" s="121" t="e">
        <f t="shared" si="165"/>
        <v>#N/A</v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e">
        <f>IF('Cable Info'!T529="","",CONCATENATE('Cable Info'!T529," - ",'Cable Info'!U529))</f>
        <v>#N/A</v>
      </c>
      <c r="BG825" s="121" t="e">
        <f t="shared" si="165"/>
        <v>#N/A</v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e">
        <f>IF('Cable Info'!T530="","",CONCATENATE('Cable Info'!T530," - ",'Cable Info'!U530))</f>
        <v>#N/A</v>
      </c>
      <c r="BG826" s="121" t="e">
        <f t="shared" si="165"/>
        <v>#N/A</v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e">
        <f>IF('Cable Info'!T531="","",CONCATENATE('Cable Info'!T531," - ",'Cable Info'!U531))</f>
        <v>#N/A</v>
      </c>
      <c r="BG827" s="121" t="e">
        <f t="shared" si="165"/>
        <v>#N/A</v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e">
        <f>IF('Cable Info'!T532="","",CONCATENATE('Cable Info'!T532," - ",'Cable Info'!U532))</f>
        <v>#N/A</v>
      </c>
      <c r="BG828" s="121" t="e">
        <f t="shared" si="165"/>
        <v>#N/A</v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e">
        <f>IF('Cable Info'!T533="","",CONCATENATE('Cable Info'!T533," - ",'Cable Info'!U533))</f>
        <v>#N/A</v>
      </c>
      <c r="BG829" s="121" t="e">
        <f t="shared" si="165"/>
        <v>#N/A</v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e">
        <f>IF('Cable Info'!T534="","",CONCATENATE('Cable Info'!T534," - ",'Cable Info'!U534))</f>
        <v>#N/A</v>
      </c>
      <c r="BG830" s="121" t="e">
        <f t="shared" si="165"/>
        <v>#N/A</v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e">
        <f>IF('Cable Info'!T535="","",CONCATENATE('Cable Info'!T535," - ",'Cable Info'!U535))</f>
        <v>#N/A</v>
      </c>
      <c r="BG831" s="121" t="e">
        <f t="shared" si="165"/>
        <v>#N/A</v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e">
        <f>IF('Cable Info'!T536="","",CONCATENATE('Cable Info'!T536," - ",'Cable Info'!U536))</f>
        <v>#N/A</v>
      </c>
      <c r="BG832" s="121" t="e">
        <f t="shared" si="165"/>
        <v>#N/A</v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e">
        <f>IF('Cable Info'!T537="","",CONCATENATE('Cable Info'!T537," - ",'Cable Info'!U537))</f>
        <v>#N/A</v>
      </c>
      <c r="BG833" s="121" t="e">
        <f t="shared" si="165"/>
        <v>#N/A</v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e">
        <f>IF('Cable Info'!T538="","",CONCATENATE('Cable Info'!T538," - ",'Cable Info'!U538))</f>
        <v>#N/A</v>
      </c>
      <c r="BG834" s="121" t="e">
        <f t="shared" si="165"/>
        <v>#N/A</v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e">
        <f>IF('Cable Info'!T539="","",CONCATENATE('Cable Info'!T539," - ",'Cable Info'!U539))</f>
        <v>#N/A</v>
      </c>
      <c r="BG835" s="121" t="e">
        <f t="shared" si="165"/>
        <v>#N/A</v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e">
        <f>IF('Cable Info'!T540="","",CONCATENATE('Cable Info'!T540," - ",'Cable Info'!U540))</f>
        <v>#N/A</v>
      </c>
      <c r="BG836" s="121" t="e">
        <f t="shared" si="165"/>
        <v>#N/A</v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e">
        <f>IF('Cable Info'!T541="","",CONCATENATE('Cable Info'!T541," - ",'Cable Info'!U541))</f>
        <v>#N/A</v>
      </c>
      <c r="BG837" s="121" t="e">
        <f t="shared" si="165"/>
        <v>#N/A</v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e">
        <f>IF('Cable Info'!T542="","",CONCATENATE('Cable Info'!T542," - ",'Cable Info'!U542))</f>
        <v>#N/A</v>
      </c>
      <c r="BG838" s="121" t="e">
        <f t="shared" si="165"/>
        <v>#N/A</v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e">
        <f>IF('Cable Info'!T543="","",CONCATENATE('Cable Info'!T543," - ",'Cable Info'!U543))</f>
        <v>#N/A</v>
      </c>
      <c r="BG839" s="121" t="e">
        <f t="shared" si="165"/>
        <v>#N/A</v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e">
        <f>IF('Cable Info'!T544="","",CONCATENATE('Cable Info'!T544," - ",'Cable Info'!U544))</f>
        <v>#N/A</v>
      </c>
      <c r="BG840" s="121" t="e">
        <f t="shared" si="165"/>
        <v>#N/A</v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e">
        <f>IF('Cable Info'!T545="","",CONCATENATE('Cable Info'!T545," - ",'Cable Info'!U545))</f>
        <v>#N/A</v>
      </c>
      <c r="BG841" s="121" t="e">
        <f t="shared" si="165"/>
        <v>#N/A</v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e">
        <f>IF('Cable Info'!T546="","",CONCATENATE('Cable Info'!T546," - ",'Cable Info'!U546))</f>
        <v>#N/A</v>
      </c>
      <c r="BG842" s="121" t="e">
        <f t="shared" si="165"/>
        <v>#N/A</v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e">
        <f>IF('Cable Info'!T547="","",CONCATENATE('Cable Info'!T547," - ",'Cable Info'!U547))</f>
        <v>#N/A</v>
      </c>
      <c r="BG843" s="121" t="e">
        <f t="shared" si="165"/>
        <v>#N/A</v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e">
        <f>IF('Cable Info'!T548="","",CONCATENATE('Cable Info'!T548," - ",'Cable Info'!U548))</f>
        <v>#N/A</v>
      </c>
      <c r="BG844" s="121" t="e">
        <f t="shared" si="165"/>
        <v>#N/A</v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e">
        <f>IF('Cable Info'!T549="","",CONCATENATE('Cable Info'!T549," - ",'Cable Info'!U549))</f>
        <v>#N/A</v>
      </c>
      <c r="BG845" s="121" t="e">
        <f t="shared" si="165"/>
        <v>#N/A</v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e">
        <f>IF('Cable Info'!T550="","",CONCATENATE('Cable Info'!T550," - ",'Cable Info'!U550))</f>
        <v>#N/A</v>
      </c>
      <c r="BG846" s="121" t="e">
        <f t="shared" si="165"/>
        <v>#N/A</v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e">
        <f>IF('Cable Info'!T551="","",CONCATENATE('Cable Info'!T551," - ",'Cable Info'!U551))</f>
        <v>#N/A</v>
      </c>
      <c r="BG847" s="121" t="e">
        <f t="shared" si="165"/>
        <v>#N/A</v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e">
        <f>IF('Cable Info'!T552="","",CONCATENATE('Cable Info'!T552," - ",'Cable Info'!U552))</f>
        <v>#N/A</v>
      </c>
      <c r="BG848" s="121" t="e">
        <f t="shared" si="165"/>
        <v>#N/A</v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e">
        <f>IF('Cable Info'!T553="","",CONCATENATE('Cable Info'!T553," - ",'Cable Info'!U553))</f>
        <v>#N/A</v>
      </c>
      <c r="BG849" s="121" t="e">
        <f t="shared" si="165"/>
        <v>#N/A</v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e">
        <f>IF('Cable Info'!T554="","",CONCATENATE('Cable Info'!T554," - ",'Cable Info'!U554))</f>
        <v>#N/A</v>
      </c>
      <c r="BG850" s="121" t="e">
        <f t="shared" si="165"/>
        <v>#N/A</v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e">
        <f>IF('Cable Info'!T555="","",CONCATENATE('Cable Info'!T555," - ",'Cable Info'!U555))</f>
        <v>#N/A</v>
      </c>
      <c r="BG851" s="121" t="e">
        <f t="shared" si="165"/>
        <v>#N/A</v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e">
        <f>IF('Cable Info'!T556="","",CONCATENATE('Cable Info'!T556," - ",'Cable Info'!U556))</f>
        <v>#N/A</v>
      </c>
      <c r="BG852" s="121" t="e">
        <f t="shared" si="165"/>
        <v>#N/A</v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e">
        <f>IF('Cable Info'!T557="","",CONCATENATE('Cable Info'!T557," - ",'Cable Info'!U557))</f>
        <v>#N/A</v>
      </c>
      <c r="BG853" s="121" t="e">
        <f t="shared" si="165"/>
        <v>#N/A</v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e">
        <f>IF('Cable Info'!T558="","",CONCATENATE('Cable Info'!T558," - ",'Cable Info'!U558))</f>
        <v>#N/A</v>
      </c>
      <c r="BG854" s="121" t="e">
        <f t="shared" si="165"/>
        <v>#N/A</v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e">
        <f>IF('Cable Info'!T559="","",CONCATENATE('Cable Info'!T559," - ",'Cable Info'!U559))</f>
        <v>#N/A</v>
      </c>
      <c r="BG855" s="121" t="e">
        <f t="shared" si="165"/>
        <v>#N/A</v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e">
        <f>IF('Cable Info'!T560="","",CONCATENATE('Cable Info'!T560," - ",'Cable Info'!U560))</f>
        <v>#N/A</v>
      </c>
      <c r="BG856" s="121" t="e">
        <f t="shared" si="165"/>
        <v>#N/A</v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e">
        <f>IF('Cable Info'!T561="","",CONCATENATE('Cable Info'!T561," - ",'Cable Info'!U561))</f>
        <v>#N/A</v>
      </c>
      <c r="BG857" s="121" t="e">
        <f t="shared" si="165"/>
        <v>#N/A</v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e">
        <f>IF('Cable Info'!T562="","",CONCATENATE('Cable Info'!T562," - ",'Cable Info'!U562))</f>
        <v>#N/A</v>
      </c>
      <c r="BG858" s="121" t="e">
        <f t="shared" si="165"/>
        <v>#N/A</v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e">
        <f>IF('Cable Info'!T563="","",CONCATENATE('Cable Info'!T563," - ",'Cable Info'!U563))</f>
        <v>#N/A</v>
      </c>
      <c r="BG859" s="121" t="e">
        <f t="shared" si="165"/>
        <v>#N/A</v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e">
        <f>IF('Cable Info'!T564="","",CONCATENATE('Cable Info'!T564," - ",'Cable Info'!U564))</f>
        <v>#N/A</v>
      </c>
      <c r="BG860" s="121" t="e">
        <f t="shared" si="165"/>
        <v>#N/A</v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e">
        <f>IF('Cable Info'!T565="","",CONCATENATE('Cable Info'!T565," - ",'Cable Info'!U565))</f>
        <v>#N/A</v>
      </c>
      <c r="BG861" s="121" t="e">
        <f t="shared" si="165"/>
        <v>#N/A</v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e">
        <f>IF('Cable Info'!T566="","",CONCATENATE('Cable Info'!T566," - ",'Cable Info'!U566))</f>
        <v>#N/A</v>
      </c>
      <c r="BG862" s="121" t="e">
        <f t="shared" si="165"/>
        <v>#N/A</v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e">
        <f>IF('Cable Info'!T567="","",CONCATENATE('Cable Info'!T567," - ",'Cable Info'!U567))</f>
        <v>#N/A</v>
      </c>
      <c r="BG863" s="121" t="e">
        <f t="shared" si="165"/>
        <v>#N/A</v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e">
        <f>IF('Cable Info'!T568="","",CONCATENATE('Cable Info'!T568," - ",'Cable Info'!U568))</f>
        <v>#N/A</v>
      </c>
      <c r="BG864" s="121" t="e">
        <f t="shared" si="165"/>
        <v>#N/A</v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e">
        <f>IF('Cable Info'!T569="","",CONCATENATE('Cable Info'!T569," - ",'Cable Info'!U569))</f>
        <v>#N/A</v>
      </c>
      <c r="BG865" s="121" t="e">
        <f t="shared" si="165"/>
        <v>#N/A</v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e">
        <f>IF('Cable Info'!T570="","",CONCATENATE('Cable Info'!T570," - ",'Cable Info'!U570))</f>
        <v>#N/A</v>
      </c>
      <c r="BG866" s="121" t="e">
        <f t="shared" si="165"/>
        <v>#N/A</v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e">
        <f>IF('Cable Info'!T571="","",CONCATENATE('Cable Info'!T571," - ",'Cable Info'!U571))</f>
        <v>#N/A</v>
      </c>
      <c r="BG867" s="121" t="e">
        <f t="shared" si="165"/>
        <v>#N/A</v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e">
        <f>IF('Cable Info'!T572="","",CONCATENATE('Cable Info'!T572," - ",'Cable Info'!U572))</f>
        <v>#N/A</v>
      </c>
      <c r="BG868" s="121" t="e">
        <f t="shared" si="165"/>
        <v>#N/A</v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e">
        <f>IF('Cable Info'!T573="","",CONCATENATE('Cable Info'!T573," - ",'Cable Info'!U573))</f>
        <v>#N/A</v>
      </c>
      <c r="BG869" s="121" t="e">
        <f t="shared" si="165"/>
        <v>#N/A</v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e">
        <f>IF('Cable Info'!T574="","",CONCATENATE('Cable Info'!T574," - ",'Cable Info'!U574))</f>
        <v>#N/A</v>
      </c>
      <c r="BG870" s="121" t="e">
        <f t="shared" si="165"/>
        <v>#N/A</v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e">
        <f>IF('Cable Info'!T575="","",CONCATENATE('Cable Info'!T575," - ",'Cable Info'!U575))</f>
        <v>#N/A</v>
      </c>
      <c r="BG871" s="121" t="e">
        <f t="shared" si="165"/>
        <v>#N/A</v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e">
        <f>IF('Cable Info'!T576="","",CONCATENATE('Cable Info'!T576," - ",'Cable Info'!U576))</f>
        <v>#N/A</v>
      </c>
      <c r="BG872" s="121" t="e">
        <f t="shared" si="165"/>
        <v>#N/A</v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e">
        <f>IF('Cable Info'!T577="","",CONCATENATE('Cable Info'!T577," - ",'Cable Info'!U577))</f>
        <v>#N/A</v>
      </c>
      <c r="BG873" s="121" t="e">
        <f t="shared" si="165"/>
        <v>#N/A</v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e">
        <f>IF('Cable Info'!T578="","",CONCATENATE('Cable Info'!T578," - ",'Cable Info'!U578))</f>
        <v>#N/A</v>
      </c>
      <c r="BG874" s="121" t="e">
        <f t="shared" si="165"/>
        <v>#N/A</v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e">
        <f>IF('Cable Info'!T579="","",CONCATENATE('Cable Info'!T579," - ",'Cable Info'!U579))</f>
        <v>#N/A</v>
      </c>
      <c r="BG875" s="121" t="e">
        <f t="shared" ref="BG875:BG938" si="171">IF(BE875="",BD875,CONCATENATE(BD875,"  &lt;=&gt; ",BE875," ",BF875))</f>
        <v>#N/A</v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e">
        <f>IF('Cable Info'!T580="","",CONCATENATE('Cable Info'!T580," - ",'Cable Info'!U580))</f>
        <v>#N/A</v>
      </c>
      <c r="BG876" s="121" t="e">
        <f t="shared" si="171"/>
        <v>#N/A</v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e">
        <f>IF('Cable Info'!T581="","",CONCATENATE('Cable Info'!T581," - ",'Cable Info'!U581))</f>
        <v>#N/A</v>
      </c>
      <c r="BG877" s="121" t="e">
        <f t="shared" si="171"/>
        <v>#N/A</v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e">
        <f>IF('Cable Info'!T582="","",CONCATENATE('Cable Info'!T582," - ",'Cable Info'!U582))</f>
        <v>#N/A</v>
      </c>
      <c r="BG878" s="121" t="e">
        <f t="shared" si="171"/>
        <v>#N/A</v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e">
        <f>IF('Cable Info'!T583="","",CONCATENATE('Cable Info'!T583," - ",'Cable Info'!U583))</f>
        <v>#N/A</v>
      </c>
      <c r="BG879" s="121" t="e">
        <f t="shared" si="171"/>
        <v>#N/A</v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e">
        <f>IF('Cable Info'!T584="","",CONCATENATE('Cable Info'!T584," - ",'Cable Info'!U584))</f>
        <v>#N/A</v>
      </c>
      <c r="BG880" s="121" t="e">
        <f t="shared" si="171"/>
        <v>#N/A</v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e">
        <f>IF('Cable Info'!T585="","",CONCATENATE('Cable Info'!T585," - ",'Cable Info'!U585))</f>
        <v>#N/A</v>
      </c>
      <c r="BG881" s="121" t="e">
        <f t="shared" si="171"/>
        <v>#N/A</v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e">
        <f>IF('Cable Info'!T586="","",CONCATENATE('Cable Info'!T586," - ",'Cable Info'!U586))</f>
        <v>#N/A</v>
      </c>
      <c r="BG882" s="121" t="e">
        <f t="shared" si="171"/>
        <v>#N/A</v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e">
        <f>IF('Cable Info'!T587="","",CONCATENATE('Cable Info'!T587," - ",'Cable Info'!U587))</f>
        <v>#N/A</v>
      </c>
      <c r="BG883" s="121" t="e">
        <f t="shared" si="171"/>
        <v>#N/A</v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e">
        <f>IF('Cable Info'!T588="","",CONCATENATE('Cable Info'!T588," - ",'Cable Info'!U588))</f>
        <v>#N/A</v>
      </c>
      <c r="BG884" s="121" t="e">
        <f t="shared" si="171"/>
        <v>#N/A</v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e">
        <f>IF('Cable Info'!T589="","",CONCATENATE('Cable Info'!T589," - ",'Cable Info'!U589))</f>
        <v>#N/A</v>
      </c>
      <c r="BG885" s="121" t="e">
        <f t="shared" si="171"/>
        <v>#N/A</v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e">
        <f>IF('Cable Info'!T590="","",CONCATENATE('Cable Info'!T590," - ",'Cable Info'!U590))</f>
        <v>#N/A</v>
      </c>
      <c r="BG886" s="121" t="e">
        <f t="shared" si="171"/>
        <v>#N/A</v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e">
        <f>IF('Cable Info'!T591="","",CONCATENATE('Cable Info'!T591," - ",'Cable Info'!U591))</f>
        <v>#N/A</v>
      </c>
      <c r="BG887" s="121" t="e">
        <f t="shared" si="171"/>
        <v>#N/A</v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e">
        <f>IF('Cable Info'!T592="","",CONCATENATE('Cable Info'!T592," - ",'Cable Info'!U592))</f>
        <v>#N/A</v>
      </c>
      <c r="BG888" s="121" t="e">
        <f t="shared" si="171"/>
        <v>#N/A</v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e">
        <f>IF('Cable Info'!T593="","",CONCATENATE('Cable Info'!T593," - ",'Cable Info'!U593))</f>
        <v>#N/A</v>
      </c>
      <c r="BG889" s="121" t="e">
        <f t="shared" si="171"/>
        <v>#N/A</v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e">
        <f>IF('Cable Info'!T594="","",CONCATENATE('Cable Info'!T594," - ",'Cable Info'!U594))</f>
        <v>#N/A</v>
      </c>
      <c r="BG890" s="121" t="e">
        <f t="shared" si="171"/>
        <v>#N/A</v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e">
        <f>IF('Cable Info'!T595="","",CONCATENATE('Cable Info'!T595," - ",'Cable Info'!U595))</f>
        <v>#N/A</v>
      </c>
      <c r="BG891" s="121" t="e">
        <f t="shared" si="171"/>
        <v>#N/A</v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e">
        <f>IF('Cable Info'!T596="","",CONCATENATE('Cable Info'!T596," - ",'Cable Info'!U596))</f>
        <v>#N/A</v>
      </c>
      <c r="BG892" s="121" t="e">
        <f t="shared" si="171"/>
        <v>#N/A</v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e">
        <f>IF('Cable Info'!T597="","",CONCATENATE('Cable Info'!T597," - ",'Cable Info'!U597))</f>
        <v>#N/A</v>
      </c>
      <c r="BG893" s="121" t="e">
        <f t="shared" si="171"/>
        <v>#N/A</v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e">
        <f>IF('Cable Info'!T598="","",CONCATENATE('Cable Info'!T598," - ",'Cable Info'!U598))</f>
        <v>#N/A</v>
      </c>
      <c r="BG894" s="121" t="e">
        <f t="shared" si="171"/>
        <v>#N/A</v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e">
        <f>IF('Cable Info'!T599="","",CONCATENATE('Cable Info'!T599," - ",'Cable Info'!U599))</f>
        <v>#N/A</v>
      </c>
      <c r="BG895" s="121" t="e">
        <f t="shared" si="171"/>
        <v>#N/A</v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e">
        <f>IF('Cable Info'!T600="","",CONCATENATE('Cable Info'!T600," - ",'Cable Info'!U600))</f>
        <v>#N/A</v>
      </c>
      <c r="BG896" s="121" t="e">
        <f t="shared" si="171"/>
        <v>#N/A</v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e">
        <f>IF('Cable Info'!T601="","",CONCATENATE('Cable Info'!T601," - ",'Cable Info'!U601))</f>
        <v>#N/A</v>
      </c>
      <c r="BG897" s="121" t="e">
        <f t="shared" si="171"/>
        <v>#N/A</v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e">
        <f>IF('Cable Info'!T602="","",CONCATENATE('Cable Info'!T602," - ",'Cable Info'!U602))</f>
        <v>#N/A</v>
      </c>
      <c r="BG898" s="121" t="e">
        <f t="shared" si="171"/>
        <v>#N/A</v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e">
        <f>IF('Cable Info'!T603="","",CONCATENATE('Cable Info'!T603," - ",'Cable Info'!U603))</f>
        <v>#N/A</v>
      </c>
      <c r="BG899" s="121" t="e">
        <f t="shared" si="171"/>
        <v>#N/A</v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e">
        <f>IF('Cable Info'!T604="","",CONCATENATE('Cable Info'!T604," - ",'Cable Info'!U604))</f>
        <v>#N/A</v>
      </c>
      <c r="BG900" s="121" t="e">
        <f t="shared" si="171"/>
        <v>#N/A</v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e">
        <f>IF('Cable Info'!T605="","",CONCATENATE('Cable Info'!T605," - ",'Cable Info'!U605))</f>
        <v>#N/A</v>
      </c>
      <c r="BG901" s="121" t="e">
        <f t="shared" si="171"/>
        <v>#N/A</v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e">
        <f>IF('Cable Info'!T606="","",CONCATENATE('Cable Info'!T606," - ",'Cable Info'!U606))</f>
        <v>#N/A</v>
      </c>
      <c r="BG902" s="121" t="e">
        <f t="shared" si="171"/>
        <v>#N/A</v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e">
        <f>IF('Cable Info'!T607="","",CONCATENATE('Cable Info'!T607," - ",'Cable Info'!U607))</f>
        <v>#N/A</v>
      </c>
      <c r="BG903" s="121" t="e">
        <f t="shared" si="171"/>
        <v>#N/A</v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e">
        <f>IF('Cable Info'!T608="","",CONCATENATE('Cable Info'!T608," - ",'Cable Info'!U608))</f>
        <v>#N/A</v>
      </c>
      <c r="BG904" s="121" t="e">
        <f t="shared" si="171"/>
        <v>#N/A</v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e">
        <f>IF('Cable Info'!T609="","",CONCATENATE('Cable Info'!T609," - ",'Cable Info'!U609))</f>
        <v>#N/A</v>
      </c>
      <c r="BG905" s="121" t="e">
        <f t="shared" si="171"/>
        <v>#N/A</v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e">
        <f>IF('Cable Info'!T610="","",CONCATENATE('Cable Info'!T610," - ",'Cable Info'!U610))</f>
        <v>#N/A</v>
      </c>
      <c r="BG906" s="121" t="e">
        <f t="shared" si="171"/>
        <v>#N/A</v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e">
        <f>IF('Cable Info'!T611="","",CONCATENATE('Cable Info'!T611," - ",'Cable Info'!U611))</f>
        <v>#N/A</v>
      </c>
      <c r="BG907" s="121" t="e">
        <f t="shared" si="171"/>
        <v>#N/A</v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e">
        <f>IF('Cable Info'!T612="","",CONCATENATE('Cable Info'!T612," - ",'Cable Info'!U612))</f>
        <v>#N/A</v>
      </c>
      <c r="BG908" s="121" t="e">
        <f t="shared" si="171"/>
        <v>#N/A</v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e">
        <f>IF('Cable Info'!T613="","",CONCATENATE('Cable Info'!T613," - ",'Cable Info'!U613))</f>
        <v>#N/A</v>
      </c>
      <c r="BG909" s="121" t="e">
        <f t="shared" si="171"/>
        <v>#N/A</v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e">
        <f>IF('Cable Info'!T614="","",CONCATENATE('Cable Info'!T614," - ",'Cable Info'!U614))</f>
        <v>#N/A</v>
      </c>
      <c r="BG910" s="121" t="e">
        <f t="shared" si="171"/>
        <v>#N/A</v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e">
        <f>IF('Cable Info'!T615="","",CONCATENATE('Cable Info'!T615," - ",'Cable Info'!U615))</f>
        <v>#N/A</v>
      </c>
      <c r="BG911" s="121" t="e">
        <f t="shared" si="171"/>
        <v>#N/A</v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e">
        <f>IF('Cable Info'!T616="","",CONCATENATE('Cable Info'!T616," - ",'Cable Info'!U616))</f>
        <v>#N/A</v>
      </c>
      <c r="BG912" s="121" t="e">
        <f t="shared" si="171"/>
        <v>#N/A</v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e">
        <f>IF('Cable Info'!T617="","",CONCATENATE('Cable Info'!T617," - ",'Cable Info'!U617))</f>
        <v>#N/A</v>
      </c>
      <c r="BG913" s="121" t="e">
        <f t="shared" si="171"/>
        <v>#N/A</v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e">
        <f>IF('Cable Info'!T618="","",CONCATENATE('Cable Info'!T618," - ",'Cable Info'!U618))</f>
        <v>#N/A</v>
      </c>
      <c r="BG914" s="121" t="e">
        <f t="shared" si="171"/>
        <v>#N/A</v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e">
        <f>IF('Cable Info'!T619="","",CONCATENATE('Cable Info'!T619," - ",'Cable Info'!U619))</f>
        <v>#N/A</v>
      </c>
      <c r="BG915" s="121" t="e">
        <f t="shared" si="171"/>
        <v>#N/A</v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e">
        <f>IF('Cable Info'!T620="","",CONCATENATE('Cable Info'!T620," - ",'Cable Info'!U620))</f>
        <v>#N/A</v>
      </c>
      <c r="BG916" s="121" t="e">
        <f t="shared" si="171"/>
        <v>#N/A</v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e">
        <f>IF('Cable Info'!T621="","",CONCATENATE('Cable Info'!T621," - ",'Cable Info'!U621))</f>
        <v>#N/A</v>
      </c>
      <c r="BG917" s="121" t="e">
        <f t="shared" si="171"/>
        <v>#N/A</v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e">
        <f>IF('Cable Info'!T622="","",CONCATENATE('Cable Info'!T622," - ",'Cable Info'!U622))</f>
        <v>#N/A</v>
      </c>
      <c r="BG918" s="121" t="e">
        <f t="shared" si="171"/>
        <v>#N/A</v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e">
        <f>IF('Cable Info'!T623="","",CONCATENATE('Cable Info'!T623," - ",'Cable Info'!U623))</f>
        <v>#N/A</v>
      </c>
      <c r="BG919" s="121" t="e">
        <f t="shared" si="171"/>
        <v>#N/A</v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e">
        <f>IF('Cable Info'!T624="","",CONCATENATE('Cable Info'!T624," - ",'Cable Info'!U624))</f>
        <v>#N/A</v>
      </c>
      <c r="BG920" s="121" t="e">
        <f t="shared" si="171"/>
        <v>#N/A</v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e">
        <f>IF('Cable Info'!T625="","",CONCATENATE('Cable Info'!T625," - ",'Cable Info'!U625))</f>
        <v>#N/A</v>
      </c>
      <c r="BG921" s="121" t="e">
        <f t="shared" si="171"/>
        <v>#N/A</v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e">
        <f>IF('Cable Info'!T626="","",CONCATENATE('Cable Info'!T626," - ",'Cable Info'!U626))</f>
        <v>#N/A</v>
      </c>
      <c r="BG922" s="121" t="e">
        <f t="shared" si="171"/>
        <v>#N/A</v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e">
        <f>IF('Cable Info'!T627="","",CONCATENATE('Cable Info'!T627," - ",'Cable Info'!U627))</f>
        <v>#N/A</v>
      </c>
      <c r="BG923" s="121" t="e">
        <f t="shared" si="171"/>
        <v>#N/A</v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e">
        <f>IF('Cable Info'!T628="","",CONCATENATE('Cable Info'!T628," - ",'Cable Info'!U628))</f>
        <v>#N/A</v>
      </c>
      <c r="BG924" s="121" t="e">
        <f t="shared" si="171"/>
        <v>#N/A</v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e">
        <f>IF('Cable Info'!T629="","",CONCATENATE('Cable Info'!T629," - ",'Cable Info'!U629))</f>
        <v>#N/A</v>
      </c>
      <c r="BG925" s="121" t="e">
        <f t="shared" si="171"/>
        <v>#N/A</v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e">
        <f>IF('Cable Info'!T630="","",CONCATENATE('Cable Info'!T630," - ",'Cable Info'!U630))</f>
        <v>#N/A</v>
      </c>
      <c r="BG926" s="121" t="e">
        <f t="shared" si="171"/>
        <v>#N/A</v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e">
        <f>IF('Cable Info'!T631="","",CONCATENATE('Cable Info'!T631," - ",'Cable Info'!U631))</f>
        <v>#N/A</v>
      </c>
      <c r="BG927" s="121" t="e">
        <f t="shared" si="171"/>
        <v>#N/A</v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e">
        <f>IF('Cable Info'!T632="","",CONCATENATE('Cable Info'!T632," - ",'Cable Info'!U632))</f>
        <v>#N/A</v>
      </c>
      <c r="BG928" s="121" t="e">
        <f t="shared" si="171"/>
        <v>#N/A</v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e">
        <f>IF('Cable Info'!T633="","",CONCATENATE('Cable Info'!T633," - ",'Cable Info'!U633))</f>
        <v>#N/A</v>
      </c>
      <c r="BG929" s="121" t="e">
        <f t="shared" si="171"/>
        <v>#N/A</v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e">
        <f>IF('Cable Info'!T634="","",CONCATENATE('Cable Info'!T634," - ",'Cable Info'!U634))</f>
        <v>#N/A</v>
      </c>
      <c r="BG930" s="121" t="e">
        <f t="shared" si="171"/>
        <v>#N/A</v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e">
        <f>IF('Cable Info'!T635="","",CONCATENATE('Cable Info'!T635," - ",'Cable Info'!U635))</f>
        <v>#N/A</v>
      </c>
      <c r="BG931" s="121" t="e">
        <f t="shared" si="171"/>
        <v>#N/A</v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e">
        <f>IF('Cable Info'!T636="","",CONCATENATE('Cable Info'!T636," - ",'Cable Info'!U636))</f>
        <v>#N/A</v>
      </c>
      <c r="BG932" s="121" t="e">
        <f t="shared" si="171"/>
        <v>#N/A</v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e">
        <f>IF('Cable Info'!T637="","",CONCATENATE('Cable Info'!T637," - ",'Cable Info'!U637))</f>
        <v>#N/A</v>
      </c>
      <c r="BG933" s="121" t="e">
        <f t="shared" si="171"/>
        <v>#N/A</v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e">
        <f>IF('Cable Info'!T638="","",CONCATENATE('Cable Info'!T638," - ",'Cable Info'!U638))</f>
        <v>#N/A</v>
      </c>
      <c r="BG934" s="121" t="e">
        <f t="shared" si="171"/>
        <v>#N/A</v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e">
        <f>IF('Cable Info'!T639="","",CONCATENATE('Cable Info'!T639," - ",'Cable Info'!U639))</f>
        <v>#N/A</v>
      </c>
      <c r="BG935" s="121" t="e">
        <f t="shared" si="171"/>
        <v>#N/A</v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e">
        <f>IF('Cable Info'!T640="","",CONCATENATE('Cable Info'!T640," - ",'Cable Info'!U640))</f>
        <v>#N/A</v>
      </c>
      <c r="BG936" s="121" t="e">
        <f t="shared" si="171"/>
        <v>#N/A</v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e">
        <f>IF('Cable Info'!T641="","",CONCATENATE('Cable Info'!T641," - ",'Cable Info'!U641))</f>
        <v>#N/A</v>
      </c>
      <c r="BG937" s="121" t="e">
        <f t="shared" si="171"/>
        <v>#N/A</v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e">
        <f>IF('Cable Info'!T642="","",CONCATENATE('Cable Info'!T642," - ",'Cable Info'!U642))</f>
        <v>#N/A</v>
      </c>
      <c r="BG938" s="121" t="e">
        <f t="shared" si="171"/>
        <v>#N/A</v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e">
        <f>IF('Cable Info'!T643="","",CONCATENATE('Cable Info'!T643," - ",'Cable Info'!U643))</f>
        <v>#N/A</v>
      </c>
      <c r="BG939" s="121" t="e">
        <f t="shared" ref="BG939:BG1002" si="177">IF(BE939="",BD939,CONCATENATE(BD939,"  &lt;=&gt; ",BE939," ",BF939))</f>
        <v>#N/A</v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e">
        <f>IF('Cable Info'!T644="","",CONCATENATE('Cable Info'!T644," - ",'Cable Info'!U644))</f>
        <v>#N/A</v>
      </c>
      <c r="BG940" s="121" t="e">
        <f t="shared" si="177"/>
        <v>#N/A</v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e">
        <f>IF('Cable Info'!T645="","",CONCATENATE('Cable Info'!T645," - ",'Cable Info'!U645))</f>
        <v>#N/A</v>
      </c>
      <c r="BG941" s="121" t="e">
        <f t="shared" si="177"/>
        <v>#N/A</v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e">
        <f>IF('Cable Info'!T646="","",CONCATENATE('Cable Info'!T646," - ",'Cable Info'!U646))</f>
        <v>#N/A</v>
      </c>
      <c r="BG942" s="121" t="e">
        <f t="shared" si="177"/>
        <v>#N/A</v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e">
        <f>IF('Cable Info'!T647="","",CONCATENATE('Cable Info'!T647," - ",'Cable Info'!U647))</f>
        <v>#N/A</v>
      </c>
      <c r="BG943" s="121" t="e">
        <f t="shared" si="177"/>
        <v>#N/A</v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e">
        <f>IF('Cable Info'!T648="","",CONCATENATE('Cable Info'!T648," - ",'Cable Info'!U648))</f>
        <v>#N/A</v>
      </c>
      <c r="BG944" s="121" t="e">
        <f t="shared" si="177"/>
        <v>#N/A</v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e">
        <f>IF('Cable Info'!T649="","",CONCATENATE('Cable Info'!T649," - ",'Cable Info'!U649))</f>
        <v>#N/A</v>
      </c>
      <c r="BG945" s="121" t="e">
        <f t="shared" si="177"/>
        <v>#N/A</v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e">
        <f>IF('Cable Info'!T650="","",CONCATENATE('Cable Info'!T650," - ",'Cable Info'!U650))</f>
        <v>#N/A</v>
      </c>
      <c r="BG946" s="121" t="e">
        <f t="shared" si="177"/>
        <v>#N/A</v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e">
        <f>IF('Cable Info'!T651="","",CONCATENATE('Cable Info'!T651," - ",'Cable Info'!U651))</f>
        <v>#N/A</v>
      </c>
      <c r="BG947" s="121" t="e">
        <f t="shared" si="177"/>
        <v>#N/A</v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e">
        <f>IF('Cable Info'!T652="","",CONCATENATE('Cable Info'!T652," - ",'Cable Info'!U652))</f>
        <v>#N/A</v>
      </c>
      <c r="BG948" s="121" t="e">
        <f t="shared" si="177"/>
        <v>#N/A</v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e">
        <f>IF('Cable Info'!T653="","",CONCATENATE('Cable Info'!T653," - ",'Cable Info'!U653))</f>
        <v>#N/A</v>
      </c>
      <c r="BG949" s="121" t="e">
        <f t="shared" si="177"/>
        <v>#N/A</v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e">
        <f>IF('Cable Info'!T654="","",CONCATENATE('Cable Info'!T654," - ",'Cable Info'!U654))</f>
        <v>#N/A</v>
      </c>
      <c r="BG950" s="121" t="e">
        <f t="shared" si="177"/>
        <v>#N/A</v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e">
        <f>IF('Cable Info'!T655="","",CONCATENATE('Cable Info'!T655," - ",'Cable Info'!U655))</f>
        <v>#N/A</v>
      </c>
      <c r="BG951" s="121" t="e">
        <f t="shared" si="177"/>
        <v>#N/A</v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e">
        <f>IF('Cable Info'!T656="","",CONCATENATE('Cable Info'!T656," - ",'Cable Info'!U656))</f>
        <v>#N/A</v>
      </c>
      <c r="BG952" s="121" t="e">
        <f t="shared" si="177"/>
        <v>#N/A</v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e">
        <f>IF('Cable Info'!T657="","",CONCATENATE('Cable Info'!T657," - ",'Cable Info'!U657))</f>
        <v>#N/A</v>
      </c>
      <c r="BG953" s="121" t="e">
        <f t="shared" si="177"/>
        <v>#N/A</v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e">
        <f>IF('Cable Info'!T658="","",CONCATENATE('Cable Info'!T658," - ",'Cable Info'!U658))</f>
        <v>#N/A</v>
      </c>
      <c r="BG954" s="121" t="e">
        <f t="shared" si="177"/>
        <v>#N/A</v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e">
        <f>IF('Cable Info'!T659="","",CONCATENATE('Cable Info'!T659," - ",'Cable Info'!U659))</f>
        <v>#N/A</v>
      </c>
      <c r="BG955" s="121" t="e">
        <f t="shared" si="177"/>
        <v>#N/A</v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e">
        <f>IF('Cable Info'!T660="","",CONCATENATE('Cable Info'!T660," - ",'Cable Info'!U660))</f>
        <v>#N/A</v>
      </c>
      <c r="BG956" s="121" t="e">
        <f t="shared" si="177"/>
        <v>#N/A</v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e">
        <f>IF('Cable Info'!T661="","",CONCATENATE('Cable Info'!T661," - ",'Cable Info'!U661))</f>
        <v>#N/A</v>
      </c>
      <c r="BG957" s="121" t="e">
        <f t="shared" si="177"/>
        <v>#N/A</v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e">
        <f>IF('Cable Info'!T662="","",CONCATENATE('Cable Info'!T662," - ",'Cable Info'!U662))</f>
        <v>#N/A</v>
      </c>
      <c r="BG958" s="121" t="e">
        <f t="shared" si="177"/>
        <v>#N/A</v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e">
        <f>IF('Cable Info'!T663="","",CONCATENATE('Cable Info'!T663," - ",'Cable Info'!U663))</f>
        <v>#N/A</v>
      </c>
      <c r="BG959" s="121" t="e">
        <f t="shared" si="177"/>
        <v>#N/A</v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e">
        <f>IF('Cable Info'!T664="","",CONCATENATE('Cable Info'!T664," - ",'Cable Info'!U664))</f>
        <v>#N/A</v>
      </c>
      <c r="BG960" s="121" t="e">
        <f t="shared" si="177"/>
        <v>#N/A</v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e">
        <f>IF('Cable Info'!T665="","",CONCATENATE('Cable Info'!T665," - ",'Cable Info'!U665))</f>
        <v>#N/A</v>
      </c>
      <c r="BG961" s="121" t="e">
        <f t="shared" si="177"/>
        <v>#N/A</v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e">
        <f>IF('Cable Info'!T666="","",CONCATENATE('Cable Info'!T666," - ",'Cable Info'!U666))</f>
        <v>#N/A</v>
      </c>
      <c r="BG962" s="121" t="e">
        <f t="shared" si="177"/>
        <v>#N/A</v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e">
        <f>IF('Cable Info'!T667="","",CONCATENATE('Cable Info'!T667," - ",'Cable Info'!U667))</f>
        <v>#N/A</v>
      </c>
      <c r="BG963" s="121" t="e">
        <f t="shared" si="177"/>
        <v>#N/A</v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e">
        <f>IF('Cable Info'!T668="","",CONCATENATE('Cable Info'!T668," - ",'Cable Info'!U668))</f>
        <v>#N/A</v>
      </c>
      <c r="BG964" s="121" t="e">
        <f t="shared" si="177"/>
        <v>#N/A</v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e">
        <f>IF('Cable Info'!T669="","",CONCATENATE('Cable Info'!T669," - ",'Cable Info'!U669))</f>
        <v>#N/A</v>
      </c>
      <c r="BG965" s="121" t="e">
        <f t="shared" si="177"/>
        <v>#N/A</v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e">
        <f>IF('Cable Info'!T670="","",CONCATENATE('Cable Info'!T670," - ",'Cable Info'!U670))</f>
        <v>#N/A</v>
      </c>
      <c r="BG966" s="121" t="e">
        <f t="shared" si="177"/>
        <v>#N/A</v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e">
        <f>IF('Cable Info'!T671="","",CONCATENATE('Cable Info'!T671," - ",'Cable Info'!U671))</f>
        <v>#N/A</v>
      </c>
      <c r="BG967" s="121" t="e">
        <f t="shared" si="177"/>
        <v>#N/A</v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e">
        <f>IF('Cable Info'!T672="","",CONCATENATE('Cable Info'!T672," - ",'Cable Info'!U672))</f>
        <v>#N/A</v>
      </c>
      <c r="BG968" s="121" t="e">
        <f t="shared" si="177"/>
        <v>#N/A</v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e">
        <f>IF('Cable Info'!T673="","",CONCATENATE('Cable Info'!T673," - ",'Cable Info'!U673))</f>
        <v>#N/A</v>
      </c>
      <c r="BG969" s="121" t="e">
        <f t="shared" si="177"/>
        <v>#N/A</v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e">
        <f>IF('Cable Info'!T674="","",CONCATENATE('Cable Info'!T674," - ",'Cable Info'!U674))</f>
        <v>#N/A</v>
      </c>
      <c r="BG970" s="121" t="e">
        <f t="shared" si="177"/>
        <v>#N/A</v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e">
        <f>IF('Cable Info'!T675="","",CONCATENATE('Cable Info'!T675," - ",'Cable Info'!U675))</f>
        <v>#N/A</v>
      </c>
      <c r="BG971" s="121" t="e">
        <f t="shared" si="177"/>
        <v>#N/A</v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e">
        <f>IF('Cable Info'!T676="","",CONCATENATE('Cable Info'!T676," - ",'Cable Info'!U676))</f>
        <v>#N/A</v>
      </c>
      <c r="BG972" s="121" t="e">
        <f t="shared" si="177"/>
        <v>#N/A</v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e">
        <f>IF('Cable Info'!T677="","",CONCATENATE('Cable Info'!T677," - ",'Cable Info'!U677))</f>
        <v>#N/A</v>
      </c>
      <c r="BG973" s="121" t="e">
        <f t="shared" si="177"/>
        <v>#N/A</v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e">
        <f>IF('Cable Info'!T678="","",CONCATENATE('Cable Info'!T678," - ",'Cable Info'!U678))</f>
        <v>#N/A</v>
      </c>
      <c r="BG974" s="121" t="e">
        <f t="shared" si="177"/>
        <v>#N/A</v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e">
        <f>IF('Cable Info'!T679="","",CONCATENATE('Cable Info'!T679," - ",'Cable Info'!U679))</f>
        <v>#N/A</v>
      </c>
      <c r="BG975" s="121" t="e">
        <f t="shared" si="177"/>
        <v>#N/A</v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e">
        <f>IF('Cable Info'!T680="","",CONCATENATE('Cable Info'!T680," - ",'Cable Info'!U680))</f>
        <v>#N/A</v>
      </c>
      <c r="BG976" s="121" t="e">
        <f t="shared" si="177"/>
        <v>#N/A</v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e">
        <f>IF('Cable Info'!T681="","",CONCATENATE('Cable Info'!T681," - ",'Cable Info'!U681))</f>
        <v>#N/A</v>
      </c>
      <c r="BG977" s="121" t="e">
        <f t="shared" si="177"/>
        <v>#N/A</v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e">
        <f>IF('Cable Info'!T682="","",CONCATENATE('Cable Info'!T682," - ",'Cable Info'!U682))</f>
        <v>#N/A</v>
      </c>
      <c r="BG978" s="121" t="e">
        <f t="shared" si="177"/>
        <v>#N/A</v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e">
        <f>IF('Cable Info'!T683="","",CONCATENATE('Cable Info'!T683," - ",'Cable Info'!U683))</f>
        <v>#N/A</v>
      </c>
      <c r="BG979" s="121" t="e">
        <f t="shared" si="177"/>
        <v>#N/A</v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e">
        <f>IF('Cable Info'!T684="","",CONCATENATE('Cable Info'!T684," - ",'Cable Info'!U684))</f>
        <v>#N/A</v>
      </c>
      <c r="BG980" s="121" t="e">
        <f t="shared" si="177"/>
        <v>#N/A</v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e">
        <f>IF('Cable Info'!T685="","",CONCATENATE('Cable Info'!T685," - ",'Cable Info'!U685))</f>
        <v>#N/A</v>
      </c>
      <c r="BG981" s="121" t="e">
        <f t="shared" si="177"/>
        <v>#N/A</v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e">
        <f>IF('Cable Info'!T686="","",CONCATENATE('Cable Info'!T686," - ",'Cable Info'!U686))</f>
        <v>#N/A</v>
      </c>
      <c r="BG982" s="121" t="e">
        <f t="shared" si="177"/>
        <v>#N/A</v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e">
        <f>IF('Cable Info'!T687="","",CONCATENATE('Cable Info'!T687," - ",'Cable Info'!U687))</f>
        <v>#N/A</v>
      </c>
      <c r="BG983" s="121" t="e">
        <f t="shared" si="177"/>
        <v>#N/A</v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e">
        <f>IF('Cable Info'!T688="","",CONCATENATE('Cable Info'!T688," - ",'Cable Info'!U688))</f>
        <v>#N/A</v>
      </c>
      <c r="BG984" s="121" t="e">
        <f t="shared" si="177"/>
        <v>#N/A</v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e">
        <f>IF('Cable Info'!T689="","",CONCATENATE('Cable Info'!T689," - ",'Cable Info'!U689))</f>
        <v>#N/A</v>
      </c>
      <c r="BG985" s="121" t="e">
        <f t="shared" si="177"/>
        <v>#N/A</v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e">
        <f>IF('Cable Info'!T690="","",CONCATENATE('Cable Info'!T690," - ",'Cable Info'!U690))</f>
        <v>#N/A</v>
      </c>
      <c r="BG986" s="121" t="e">
        <f t="shared" si="177"/>
        <v>#N/A</v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e">
        <f>IF('Cable Info'!T691="","",CONCATENATE('Cable Info'!T691," - ",'Cable Info'!U691))</f>
        <v>#N/A</v>
      </c>
      <c r="BG987" s="121" t="e">
        <f t="shared" si="177"/>
        <v>#N/A</v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e">
        <f>IF('Cable Info'!T692="","",CONCATENATE('Cable Info'!T692," - ",'Cable Info'!U692))</f>
        <v>#N/A</v>
      </c>
      <c r="BG988" s="121" t="e">
        <f t="shared" si="177"/>
        <v>#N/A</v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e">
        <f>IF('Cable Info'!T693="","",CONCATENATE('Cable Info'!T693," - ",'Cable Info'!U693))</f>
        <v>#N/A</v>
      </c>
      <c r="BG989" s="121" t="e">
        <f t="shared" si="177"/>
        <v>#N/A</v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e">
        <f>IF('Cable Info'!T694="","",CONCATENATE('Cable Info'!T694," - ",'Cable Info'!U694))</f>
        <v>#N/A</v>
      </c>
      <c r="BG990" s="121" t="e">
        <f t="shared" si="177"/>
        <v>#N/A</v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e">
        <f>IF('Cable Info'!T695="","",CONCATENATE('Cable Info'!T695," - ",'Cable Info'!U695))</f>
        <v>#N/A</v>
      </c>
      <c r="BG991" s="121" t="e">
        <f t="shared" si="177"/>
        <v>#N/A</v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e">
        <f>IF('Cable Info'!T696="","",CONCATENATE('Cable Info'!T696," - ",'Cable Info'!U696))</f>
        <v>#N/A</v>
      </c>
      <c r="BG992" s="121" t="e">
        <f t="shared" si="177"/>
        <v>#N/A</v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e">
        <f>IF('Cable Info'!T697="","",CONCATENATE('Cable Info'!T697," - ",'Cable Info'!U697))</f>
        <v>#N/A</v>
      </c>
      <c r="BG993" s="121" t="e">
        <f t="shared" si="177"/>
        <v>#N/A</v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e">
        <f>IF('Cable Info'!T698="","",CONCATENATE('Cable Info'!T698," - ",'Cable Info'!U698))</f>
        <v>#N/A</v>
      </c>
      <c r="BG994" s="121" t="e">
        <f t="shared" si="177"/>
        <v>#N/A</v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e">
        <f>IF('Cable Info'!T699="","",CONCATENATE('Cable Info'!T699," - ",'Cable Info'!U699))</f>
        <v>#N/A</v>
      </c>
      <c r="BG995" s="121" t="e">
        <f t="shared" si="177"/>
        <v>#N/A</v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e">
        <f>IF('Cable Info'!T700="","",CONCATENATE('Cable Info'!T700," - ",'Cable Info'!U700))</f>
        <v>#N/A</v>
      </c>
      <c r="BG996" s="121" t="e">
        <f t="shared" si="177"/>
        <v>#N/A</v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e">
        <f>IF('Cable Info'!T701="","",CONCATENATE('Cable Info'!T701," - ",'Cable Info'!U701))</f>
        <v>#N/A</v>
      </c>
      <c r="BG997" s="121" t="e">
        <f t="shared" si="177"/>
        <v>#N/A</v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e">
        <f>IF('Cable Info'!T702="","",CONCATENATE('Cable Info'!T702," - ",'Cable Info'!U702))</f>
        <v>#N/A</v>
      </c>
      <c r="BG998" s="121" t="e">
        <f t="shared" si="177"/>
        <v>#N/A</v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e">
        <f>IF('Cable Info'!T703="","",CONCATENATE('Cable Info'!T703," - ",'Cable Info'!U703))</f>
        <v>#N/A</v>
      </c>
      <c r="BG999" s="121" t="e">
        <f t="shared" si="177"/>
        <v>#N/A</v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e">
        <f>IF('Cable Info'!T704="","",CONCATENATE('Cable Info'!T704," - ",'Cable Info'!U704))</f>
        <v>#N/A</v>
      </c>
      <c r="BG1000" s="121" t="e">
        <f t="shared" si="177"/>
        <v>#N/A</v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e">
        <f>IF('Cable Info'!T705="","",CONCATENATE('Cable Info'!T705," - ",'Cable Info'!U705))</f>
        <v>#N/A</v>
      </c>
      <c r="BG1001" s="121" t="e">
        <f t="shared" si="177"/>
        <v>#N/A</v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e">
        <f>IF('Cable Info'!T706="","",CONCATENATE('Cable Info'!T706," - ",'Cable Info'!U706))</f>
        <v>#N/A</v>
      </c>
      <c r="BG1002" s="121" t="e">
        <f t="shared" si="177"/>
        <v>#N/A</v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e">
        <f>IF('Cable Info'!T707="","",CONCATENATE('Cable Info'!T707," - ",'Cable Info'!U707))</f>
        <v>#N/A</v>
      </c>
      <c r="BG1003" s="121" t="e">
        <f t="shared" ref="BG1003:BG1066" si="183">IF(BE1003="",BD1003,CONCATENATE(BD1003,"  &lt;=&gt; ",BE1003," ",BF1003))</f>
        <v>#N/A</v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e">
        <f>IF('Cable Info'!T708="","",CONCATENATE('Cable Info'!T708," - ",'Cable Info'!U708))</f>
        <v>#N/A</v>
      </c>
      <c r="BG1004" s="121" t="e">
        <f t="shared" si="183"/>
        <v>#N/A</v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e">
        <f>IF('Cable Info'!T709="","",CONCATENATE('Cable Info'!T709," - ",'Cable Info'!U709))</f>
        <v>#N/A</v>
      </c>
      <c r="BG1005" s="121" t="e">
        <f t="shared" si="183"/>
        <v>#N/A</v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e">
        <f>IF('Cable Info'!T710="","",CONCATENATE('Cable Info'!T710," - ",'Cable Info'!U710))</f>
        <v>#N/A</v>
      </c>
      <c r="BG1006" s="121" t="e">
        <f t="shared" si="183"/>
        <v>#N/A</v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e">
        <f>IF('Cable Info'!T711="","",CONCATENATE('Cable Info'!T711," - ",'Cable Info'!U711))</f>
        <v>#N/A</v>
      </c>
      <c r="BG1007" s="121" t="e">
        <f t="shared" si="183"/>
        <v>#N/A</v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e">
        <f>IF('Cable Info'!T712="","",CONCATENATE('Cable Info'!T712," - ",'Cable Info'!U712))</f>
        <v>#N/A</v>
      </c>
      <c r="BG1008" s="121" t="e">
        <f t="shared" si="183"/>
        <v>#N/A</v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e">
        <f>IF('Cable Info'!T713="","",CONCATENATE('Cable Info'!T713," - ",'Cable Info'!U713))</f>
        <v>#N/A</v>
      </c>
      <c r="BG1009" s="121" t="e">
        <f t="shared" si="183"/>
        <v>#N/A</v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e">
        <f>IF('Cable Info'!T714="","",CONCATENATE('Cable Info'!T714," - ",'Cable Info'!U714))</f>
        <v>#N/A</v>
      </c>
      <c r="BG1010" s="121" t="e">
        <f t="shared" si="183"/>
        <v>#N/A</v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e">
        <f>IF('Cable Info'!T715="","",CONCATENATE('Cable Info'!T715," - ",'Cable Info'!U715))</f>
        <v>#N/A</v>
      </c>
      <c r="BG1011" s="121" t="e">
        <f t="shared" si="183"/>
        <v>#N/A</v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e">
        <f>IF('Cable Info'!T716="","",CONCATENATE('Cable Info'!T716," - ",'Cable Info'!U716))</f>
        <v>#N/A</v>
      </c>
      <c r="BG1012" s="121" t="e">
        <f t="shared" si="183"/>
        <v>#N/A</v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e">
        <f>IF('Cable Info'!T717="","",CONCATENATE('Cable Info'!T717," - ",'Cable Info'!U717))</f>
        <v>#N/A</v>
      </c>
      <c r="BG1013" s="121" t="e">
        <f t="shared" si="183"/>
        <v>#N/A</v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e">
        <f>IF('Cable Info'!T718="","",CONCATENATE('Cable Info'!T718," - ",'Cable Info'!U718))</f>
        <v>#N/A</v>
      </c>
      <c r="BG1014" s="121" t="e">
        <f t="shared" si="183"/>
        <v>#N/A</v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e">
        <f>IF('Cable Info'!T719="","",CONCATENATE('Cable Info'!T719," - ",'Cable Info'!U719))</f>
        <v>#N/A</v>
      </c>
      <c r="BG1015" s="121" t="e">
        <f t="shared" si="183"/>
        <v>#N/A</v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e">
        <f>IF('Cable Info'!T720="","",CONCATENATE('Cable Info'!T720," - ",'Cable Info'!U720))</f>
        <v>#N/A</v>
      </c>
      <c r="BG1016" s="121" t="e">
        <f t="shared" si="183"/>
        <v>#N/A</v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e">
        <f>IF('Cable Info'!T721="","",CONCATENATE('Cable Info'!T721," - ",'Cable Info'!U721))</f>
        <v>#N/A</v>
      </c>
      <c r="BG1017" s="121" t="e">
        <f t="shared" si="183"/>
        <v>#N/A</v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e">
        <f>IF('Cable Info'!T722="","",CONCATENATE('Cable Info'!T722," - ",'Cable Info'!U722))</f>
        <v>#N/A</v>
      </c>
      <c r="BG1018" s="121" t="e">
        <f t="shared" si="183"/>
        <v>#N/A</v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e">
        <f>IF('Cable Info'!T723="","",CONCATENATE('Cable Info'!T723," - ",'Cable Info'!U723))</f>
        <v>#N/A</v>
      </c>
      <c r="BG1019" s="121" t="e">
        <f t="shared" si="183"/>
        <v>#N/A</v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e">
        <f>IF('Cable Info'!T724="","",CONCATENATE('Cable Info'!T724," - ",'Cable Info'!U724))</f>
        <v>#N/A</v>
      </c>
      <c r="BG1020" s="121" t="e">
        <f t="shared" si="183"/>
        <v>#N/A</v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e">
        <f>IF('Cable Info'!T725="","",CONCATENATE('Cable Info'!T725," - ",'Cable Info'!U725))</f>
        <v>#N/A</v>
      </c>
      <c r="BG1021" s="121" t="e">
        <f t="shared" si="183"/>
        <v>#N/A</v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e">
        <f>IF('Cable Info'!T726="","",CONCATENATE('Cable Info'!T726," - ",'Cable Info'!U726))</f>
        <v>#N/A</v>
      </c>
      <c r="BG1022" s="121" t="e">
        <f t="shared" si="183"/>
        <v>#N/A</v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e">
        <f>IF('Cable Info'!T727="","",CONCATENATE('Cable Info'!T727," - ",'Cable Info'!U727))</f>
        <v>#N/A</v>
      </c>
      <c r="BG1023" s="121" t="e">
        <f t="shared" si="183"/>
        <v>#N/A</v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e">
        <f>IF('Cable Info'!T728="","",CONCATENATE('Cable Info'!T728," - ",'Cable Info'!U728))</f>
        <v>#N/A</v>
      </c>
      <c r="BG1024" s="121" t="e">
        <f t="shared" si="183"/>
        <v>#N/A</v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e">
        <f>IF('Cable Info'!T729="","",CONCATENATE('Cable Info'!T729," - ",'Cable Info'!U729))</f>
        <v>#N/A</v>
      </c>
      <c r="BG1025" s="121" t="e">
        <f t="shared" si="183"/>
        <v>#N/A</v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e">
        <f>IF('Cable Info'!T730="","",CONCATENATE('Cable Info'!T730," - ",'Cable Info'!U730))</f>
        <v>#N/A</v>
      </c>
      <c r="BG1026" s="121" t="e">
        <f t="shared" si="183"/>
        <v>#N/A</v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e">
        <f>IF('Cable Info'!T731="","",CONCATENATE('Cable Info'!T731," - ",'Cable Info'!U731))</f>
        <v>#N/A</v>
      </c>
      <c r="BG1027" s="121" t="e">
        <f t="shared" si="183"/>
        <v>#N/A</v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e">
        <f>IF('Cable Info'!T732="","",CONCATENATE('Cable Info'!T732," - ",'Cable Info'!U732))</f>
        <v>#N/A</v>
      </c>
      <c r="BG1028" s="121" t="e">
        <f t="shared" si="183"/>
        <v>#N/A</v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e">
        <f>IF('Cable Info'!T733="","",CONCATENATE('Cable Info'!T733," - ",'Cable Info'!U733))</f>
        <v>#N/A</v>
      </c>
      <c r="BG1029" s="121" t="e">
        <f t="shared" si="183"/>
        <v>#N/A</v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e">
        <f>IF('Cable Info'!T734="","",CONCATENATE('Cable Info'!T734," - ",'Cable Info'!U734))</f>
        <v>#N/A</v>
      </c>
      <c r="BG1030" s="121" t="e">
        <f t="shared" si="183"/>
        <v>#N/A</v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e">
        <f>IF('Cable Info'!T735="","",CONCATENATE('Cable Info'!T735," - ",'Cable Info'!U735))</f>
        <v>#N/A</v>
      </c>
      <c r="BG1031" s="121" t="e">
        <f t="shared" si="183"/>
        <v>#N/A</v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e">
        <f>IF('Cable Info'!T736="","",CONCATENATE('Cable Info'!T736," - ",'Cable Info'!U736))</f>
        <v>#N/A</v>
      </c>
      <c r="BG1032" s="121" t="e">
        <f t="shared" si="183"/>
        <v>#N/A</v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e">
        <f>IF('Cable Info'!T737="","",CONCATENATE('Cable Info'!T737," - ",'Cable Info'!U737))</f>
        <v>#N/A</v>
      </c>
      <c r="BG1033" s="121" t="e">
        <f t="shared" si="183"/>
        <v>#N/A</v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e">
        <f>IF('Cable Info'!T738="","",CONCATENATE('Cable Info'!T738," - ",'Cable Info'!U738))</f>
        <v>#N/A</v>
      </c>
      <c r="BG1034" s="121" t="e">
        <f t="shared" si="183"/>
        <v>#N/A</v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e">
        <f>IF('Cable Info'!T739="","",CONCATENATE('Cable Info'!T739," - ",'Cable Info'!U739))</f>
        <v>#N/A</v>
      </c>
      <c r="BG1035" s="121" t="e">
        <f t="shared" si="183"/>
        <v>#N/A</v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e">
        <f>IF('Cable Info'!T740="","",CONCATENATE('Cable Info'!T740," - ",'Cable Info'!U740))</f>
        <v>#N/A</v>
      </c>
      <c r="BG1036" s="121" t="e">
        <f t="shared" si="183"/>
        <v>#N/A</v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e">
        <f>IF('Cable Info'!T741="","",CONCATENATE('Cable Info'!T741," - ",'Cable Info'!U741))</f>
        <v>#N/A</v>
      </c>
      <c r="BG1037" s="121" t="e">
        <f t="shared" si="183"/>
        <v>#N/A</v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e">
        <f>IF('Cable Info'!T742="","",CONCATENATE('Cable Info'!T742," - ",'Cable Info'!U742))</f>
        <v>#N/A</v>
      </c>
      <c r="BG1038" s="121" t="e">
        <f t="shared" si="183"/>
        <v>#N/A</v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e">
        <f>IF('Cable Info'!T743="","",CONCATENATE('Cable Info'!T743," - ",'Cable Info'!U743))</f>
        <v>#N/A</v>
      </c>
      <c r="BG1039" s="121" t="e">
        <f t="shared" si="183"/>
        <v>#N/A</v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e">
        <f>IF('Cable Info'!T744="","",CONCATENATE('Cable Info'!T744," - ",'Cable Info'!U744))</f>
        <v>#N/A</v>
      </c>
      <c r="BG1040" s="121" t="e">
        <f t="shared" si="183"/>
        <v>#N/A</v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e">
        <f>IF('Cable Info'!T745="","",CONCATENATE('Cable Info'!T745," - ",'Cable Info'!U745))</f>
        <v>#N/A</v>
      </c>
      <c r="BG1041" s="121" t="e">
        <f t="shared" si="183"/>
        <v>#N/A</v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e">
        <f>IF('Cable Info'!T746="","",CONCATENATE('Cable Info'!T746," - ",'Cable Info'!U746))</f>
        <v>#N/A</v>
      </c>
      <c r="BG1042" s="121" t="e">
        <f t="shared" si="183"/>
        <v>#N/A</v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e">
        <f>IF('Cable Info'!T747="","",CONCATENATE('Cable Info'!T747," - ",'Cable Info'!U747))</f>
        <v>#N/A</v>
      </c>
      <c r="BG1043" s="121" t="e">
        <f t="shared" si="183"/>
        <v>#N/A</v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e">
        <f>IF('Cable Info'!T748="","",CONCATENATE('Cable Info'!T748," - ",'Cable Info'!U748))</f>
        <v>#N/A</v>
      </c>
      <c r="BG1044" s="121" t="e">
        <f t="shared" si="183"/>
        <v>#N/A</v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e">
        <f>IF('Cable Info'!T749="","",CONCATENATE('Cable Info'!T749," - ",'Cable Info'!U749))</f>
        <v>#N/A</v>
      </c>
      <c r="BG1045" s="121" t="e">
        <f t="shared" si="183"/>
        <v>#N/A</v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e">
        <f>IF('Cable Info'!T750="","",CONCATENATE('Cable Info'!T750," - ",'Cable Info'!U750))</f>
        <v>#N/A</v>
      </c>
      <c r="BG1046" s="121" t="e">
        <f t="shared" si="183"/>
        <v>#N/A</v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e">
        <f>IF('Cable Info'!T751="","",CONCATENATE('Cable Info'!T751," - ",'Cable Info'!U751))</f>
        <v>#N/A</v>
      </c>
      <c r="BG1047" s="121" t="e">
        <f t="shared" si="183"/>
        <v>#N/A</v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e">
        <f>IF('Cable Info'!T752="","",CONCATENATE('Cable Info'!T752," - ",'Cable Info'!U752))</f>
        <v>#N/A</v>
      </c>
      <c r="BG1048" s="121" t="e">
        <f t="shared" si="183"/>
        <v>#N/A</v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e">
        <f>IF('Cable Info'!T753="","",CONCATENATE('Cable Info'!T753," - ",'Cable Info'!U753))</f>
        <v>#N/A</v>
      </c>
      <c r="BG1049" s="121" t="e">
        <f t="shared" si="183"/>
        <v>#N/A</v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e">
        <f>IF('Cable Info'!T754="","",CONCATENATE('Cable Info'!T754," - ",'Cable Info'!U754))</f>
        <v>#N/A</v>
      </c>
      <c r="BG1050" s="121" t="e">
        <f t="shared" si="183"/>
        <v>#N/A</v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e">
        <f>IF('Cable Info'!T755="","",CONCATENATE('Cable Info'!T755," - ",'Cable Info'!U755))</f>
        <v>#N/A</v>
      </c>
      <c r="BG1051" s="121" t="e">
        <f t="shared" si="183"/>
        <v>#N/A</v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e">
        <f>IF('Cable Info'!T756="","",CONCATENATE('Cable Info'!T756," - ",'Cable Info'!U756))</f>
        <v>#N/A</v>
      </c>
      <c r="BG1052" s="121" t="e">
        <f t="shared" si="183"/>
        <v>#N/A</v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e">
        <f>IF('Cable Info'!T757="","",CONCATENATE('Cable Info'!T757," - ",'Cable Info'!U757))</f>
        <v>#N/A</v>
      </c>
      <c r="BG1053" s="121" t="e">
        <f t="shared" si="183"/>
        <v>#N/A</v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e">
        <f>IF('Cable Info'!T758="","",CONCATENATE('Cable Info'!T758," - ",'Cable Info'!U758))</f>
        <v>#N/A</v>
      </c>
      <c r="BG1054" s="121" t="e">
        <f t="shared" si="183"/>
        <v>#N/A</v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e">
        <f>IF('Cable Info'!T759="","",CONCATENATE('Cable Info'!T759," - ",'Cable Info'!U759))</f>
        <v>#N/A</v>
      </c>
      <c r="BG1055" s="121" t="e">
        <f t="shared" si="183"/>
        <v>#N/A</v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e">
        <f>IF('Cable Info'!T760="","",CONCATENATE('Cable Info'!T760," - ",'Cable Info'!U760))</f>
        <v>#N/A</v>
      </c>
      <c r="BG1056" s="121" t="e">
        <f t="shared" si="183"/>
        <v>#N/A</v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e">
        <f>IF('Cable Info'!T761="","",CONCATENATE('Cable Info'!T761," - ",'Cable Info'!U761))</f>
        <v>#N/A</v>
      </c>
      <c r="BG1057" s="121" t="e">
        <f t="shared" si="183"/>
        <v>#N/A</v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e">
        <f>IF('Cable Info'!T762="","",CONCATENATE('Cable Info'!T762," - ",'Cable Info'!U762))</f>
        <v>#N/A</v>
      </c>
      <c r="BG1058" s="121" t="e">
        <f t="shared" si="183"/>
        <v>#N/A</v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e">
        <f>IF('Cable Info'!T763="","",CONCATENATE('Cable Info'!T763," - ",'Cable Info'!U763))</f>
        <v>#N/A</v>
      </c>
      <c r="BG1059" s="121" t="e">
        <f t="shared" si="183"/>
        <v>#N/A</v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e">
        <f>IF('Cable Info'!T764="","",CONCATENATE('Cable Info'!T764," - ",'Cable Info'!U764))</f>
        <v>#N/A</v>
      </c>
      <c r="BG1060" s="121" t="e">
        <f t="shared" si="183"/>
        <v>#N/A</v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e">
        <f>IF('Cable Info'!T765="","",CONCATENATE('Cable Info'!T765," - ",'Cable Info'!U765))</f>
        <v>#N/A</v>
      </c>
      <c r="BG1061" s="121" t="e">
        <f t="shared" si="183"/>
        <v>#N/A</v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e">
        <f>IF('Cable Info'!T766="","",CONCATENATE('Cable Info'!T766," - ",'Cable Info'!U766))</f>
        <v>#N/A</v>
      </c>
      <c r="BG1062" s="121" t="e">
        <f t="shared" si="183"/>
        <v>#N/A</v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e">
        <f>IF('Cable Info'!T767="","",CONCATENATE('Cable Info'!T767," - ",'Cable Info'!U767))</f>
        <v>#N/A</v>
      </c>
      <c r="BG1063" s="121" t="e">
        <f t="shared" si="183"/>
        <v>#N/A</v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e">
        <f>IF('Cable Info'!T768="","",CONCATENATE('Cable Info'!T768," - ",'Cable Info'!U768))</f>
        <v>#N/A</v>
      </c>
      <c r="BG1064" s="121" t="e">
        <f t="shared" si="183"/>
        <v>#N/A</v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e">
        <f>IF('Cable Info'!T769="","",CONCATENATE('Cable Info'!T769," - ",'Cable Info'!U769))</f>
        <v>#N/A</v>
      </c>
      <c r="BG1065" s="121" t="e">
        <f t="shared" si="183"/>
        <v>#N/A</v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e">
        <f>IF('Cable Info'!T770="","",CONCATENATE('Cable Info'!T770," - ",'Cable Info'!U770))</f>
        <v>#N/A</v>
      </c>
      <c r="BG1066" s="121" t="e">
        <f t="shared" si="183"/>
        <v>#N/A</v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e">
        <f>IF('Cable Info'!T771="","",CONCATENATE('Cable Info'!T771," - ",'Cable Info'!U771))</f>
        <v>#N/A</v>
      </c>
      <c r="BG1067" s="121" t="e">
        <f t="shared" ref="BG1067:BG1130" si="189">IF(BE1067="",BD1067,CONCATENATE(BD1067,"  &lt;=&gt; ",BE1067," ",BF1067))</f>
        <v>#N/A</v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e">
        <f>IF('Cable Info'!T772="","",CONCATENATE('Cable Info'!T772," - ",'Cable Info'!U772))</f>
        <v>#N/A</v>
      </c>
      <c r="BG1068" s="121" t="e">
        <f t="shared" si="189"/>
        <v>#N/A</v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e">
        <f>IF('Cable Info'!T773="","",CONCATENATE('Cable Info'!T773," - ",'Cable Info'!U773))</f>
        <v>#N/A</v>
      </c>
      <c r="BG1069" s="121" t="e">
        <f t="shared" si="189"/>
        <v>#N/A</v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e">
        <f>IF('Cable Info'!T774="","",CONCATENATE('Cable Info'!T774," - ",'Cable Info'!U774))</f>
        <v>#N/A</v>
      </c>
      <c r="BG1070" s="121" t="e">
        <f t="shared" si="189"/>
        <v>#N/A</v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e">
        <f>IF('Cable Info'!T775="","",CONCATENATE('Cable Info'!T775," - ",'Cable Info'!U775))</f>
        <v>#N/A</v>
      </c>
      <c r="BG1071" s="121" t="e">
        <f t="shared" si="189"/>
        <v>#N/A</v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e">
        <f>IF('Cable Info'!T776="","",CONCATENATE('Cable Info'!T776," - ",'Cable Info'!U776))</f>
        <v>#N/A</v>
      </c>
      <c r="BG1072" s="121" t="e">
        <f t="shared" si="189"/>
        <v>#N/A</v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e">
        <f>IF('Cable Info'!T777="","",CONCATENATE('Cable Info'!T777," - ",'Cable Info'!U777))</f>
        <v>#N/A</v>
      </c>
      <c r="BG1073" s="121" t="e">
        <f t="shared" si="189"/>
        <v>#N/A</v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e">
        <f>IF('Cable Info'!T778="","",CONCATENATE('Cable Info'!T778," - ",'Cable Info'!U778))</f>
        <v>#N/A</v>
      </c>
      <c r="BG1074" s="121" t="e">
        <f t="shared" si="189"/>
        <v>#N/A</v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e">
        <f>IF('Cable Info'!T779="","",CONCATENATE('Cable Info'!T779," - ",'Cable Info'!U779))</f>
        <v>#N/A</v>
      </c>
      <c r="BG1075" s="121" t="e">
        <f t="shared" si="189"/>
        <v>#N/A</v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e">
        <f>IF('Cable Info'!T780="","",CONCATENATE('Cable Info'!T780," - ",'Cable Info'!U780))</f>
        <v>#N/A</v>
      </c>
      <c r="BG1076" s="121" t="e">
        <f t="shared" si="189"/>
        <v>#N/A</v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e">
        <f>IF('Cable Info'!T781="","",CONCATENATE('Cable Info'!T781," - ",'Cable Info'!U781))</f>
        <v>#N/A</v>
      </c>
      <c r="BG1077" s="121" t="e">
        <f t="shared" si="189"/>
        <v>#N/A</v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e">
        <f>IF('Cable Info'!T782="","",CONCATENATE('Cable Info'!T782," - ",'Cable Info'!U782))</f>
        <v>#N/A</v>
      </c>
      <c r="BG1078" s="121" t="e">
        <f t="shared" si="189"/>
        <v>#N/A</v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e">
        <f>IF('Cable Info'!T783="","",CONCATENATE('Cable Info'!T783," - ",'Cable Info'!U783))</f>
        <v>#N/A</v>
      </c>
      <c r="BG1079" s="121" t="e">
        <f t="shared" si="189"/>
        <v>#N/A</v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e">
        <f>IF('Cable Info'!T784="","",CONCATENATE('Cable Info'!T784," - ",'Cable Info'!U784))</f>
        <v>#N/A</v>
      </c>
      <c r="BG1080" s="121" t="e">
        <f t="shared" si="189"/>
        <v>#N/A</v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e">
        <f>IF('Cable Info'!T785="","",CONCATENATE('Cable Info'!T785," - ",'Cable Info'!U785))</f>
        <v>#N/A</v>
      </c>
      <c r="BG1081" s="121" t="e">
        <f t="shared" si="189"/>
        <v>#N/A</v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e">
        <f>IF('Cable Info'!T786="","",CONCATENATE('Cable Info'!T786," - ",'Cable Info'!U786))</f>
        <v>#N/A</v>
      </c>
      <c r="BG1082" s="121" t="e">
        <f t="shared" si="189"/>
        <v>#N/A</v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e">
        <f>IF('Cable Info'!T787="","",CONCATENATE('Cable Info'!T787," - ",'Cable Info'!U787))</f>
        <v>#N/A</v>
      </c>
      <c r="BG1083" s="121" t="e">
        <f t="shared" si="189"/>
        <v>#N/A</v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e">
        <f>IF('Cable Info'!T788="","",CONCATENATE('Cable Info'!T788," - ",'Cable Info'!U788))</f>
        <v>#N/A</v>
      </c>
      <c r="BG1084" s="121" t="e">
        <f t="shared" si="189"/>
        <v>#N/A</v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e">
        <f>IF('Cable Info'!T789="","",CONCATENATE('Cable Info'!T789," - ",'Cable Info'!U789))</f>
        <v>#N/A</v>
      </c>
      <c r="BG1085" s="121" t="e">
        <f t="shared" si="189"/>
        <v>#N/A</v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e">
        <f>IF('Cable Info'!T790="","",CONCATENATE('Cable Info'!T790," - ",'Cable Info'!U790))</f>
        <v>#N/A</v>
      </c>
      <c r="BG1086" s="121" t="e">
        <f t="shared" si="189"/>
        <v>#N/A</v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e">
        <f>IF('Cable Info'!T791="","",CONCATENATE('Cable Info'!T791," - ",'Cable Info'!U791))</f>
        <v>#N/A</v>
      </c>
      <c r="BG1087" s="121" t="e">
        <f t="shared" si="189"/>
        <v>#N/A</v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e">
        <f>IF('Cable Info'!T792="","",CONCATENATE('Cable Info'!T792," - ",'Cable Info'!U792))</f>
        <v>#N/A</v>
      </c>
      <c r="BG1088" s="121" t="e">
        <f t="shared" si="189"/>
        <v>#N/A</v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e">
        <f>IF('Cable Info'!T793="","",CONCATENATE('Cable Info'!T793," - ",'Cable Info'!U793))</f>
        <v>#N/A</v>
      </c>
      <c r="BG1089" s="121" t="e">
        <f t="shared" si="189"/>
        <v>#N/A</v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e">
        <f>IF('Cable Info'!T794="","",CONCATENATE('Cable Info'!T794," - ",'Cable Info'!U794))</f>
        <v>#N/A</v>
      </c>
      <c r="BG1090" s="121" t="e">
        <f t="shared" si="189"/>
        <v>#N/A</v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e">
        <f>IF('Cable Info'!T795="","",CONCATENATE('Cable Info'!T795," - ",'Cable Info'!U795))</f>
        <v>#N/A</v>
      </c>
      <c r="BG1091" s="121" t="e">
        <f t="shared" si="189"/>
        <v>#N/A</v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e">
        <f>IF('Cable Info'!T796="","",CONCATENATE('Cable Info'!T796," - ",'Cable Info'!U796))</f>
        <v>#N/A</v>
      </c>
      <c r="BG1092" s="121" t="e">
        <f t="shared" si="189"/>
        <v>#N/A</v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e">
        <f>IF('Cable Info'!T797="","",CONCATENATE('Cable Info'!T797," - ",'Cable Info'!U797))</f>
        <v>#N/A</v>
      </c>
      <c r="BG1093" s="121" t="e">
        <f t="shared" si="189"/>
        <v>#N/A</v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e">
        <f>IF('Cable Info'!T798="","",CONCATENATE('Cable Info'!T798," - ",'Cable Info'!U798))</f>
        <v>#N/A</v>
      </c>
      <c r="BG1094" s="121" t="e">
        <f t="shared" si="189"/>
        <v>#N/A</v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e">
        <f>IF('Cable Info'!T799="","",CONCATENATE('Cable Info'!T799," - ",'Cable Info'!U799))</f>
        <v>#N/A</v>
      </c>
      <c r="BG1095" s="121" t="e">
        <f t="shared" si="189"/>
        <v>#N/A</v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e">
        <f>IF('Cable Info'!T800="","",CONCATENATE('Cable Info'!T800," - ",'Cable Info'!U800))</f>
        <v>#N/A</v>
      </c>
      <c r="BG1096" s="121" t="e">
        <f t="shared" si="189"/>
        <v>#N/A</v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e">
        <f>IF('Cable Info'!T801="","",CONCATENATE('Cable Info'!T801," - ",'Cable Info'!U801))</f>
        <v>#N/A</v>
      </c>
      <c r="BG1097" s="121" t="e">
        <f t="shared" si="189"/>
        <v>#N/A</v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e">
        <f>IF('Cable Info'!T802="","",CONCATENATE('Cable Info'!T802," - ",'Cable Info'!U802))</f>
        <v>#N/A</v>
      </c>
      <c r="BG1098" s="121" t="e">
        <f t="shared" si="189"/>
        <v>#N/A</v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e">
        <f>IF('Cable Info'!T803="","",CONCATENATE('Cable Info'!T803," - ",'Cable Info'!U803))</f>
        <v>#N/A</v>
      </c>
      <c r="BG1099" s="121" t="e">
        <f t="shared" si="189"/>
        <v>#N/A</v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e">
        <f>IF('Cable Info'!T804="","",CONCATENATE('Cable Info'!T804," - ",'Cable Info'!U804))</f>
        <v>#N/A</v>
      </c>
      <c r="BG1100" s="121" t="e">
        <f t="shared" si="189"/>
        <v>#N/A</v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e">
        <f>IF('Cable Info'!T805="","",CONCATENATE('Cable Info'!T805," - ",'Cable Info'!U805))</f>
        <v>#N/A</v>
      </c>
      <c r="BG1101" s="121" t="e">
        <f t="shared" si="189"/>
        <v>#N/A</v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e">
        <f>IF('Cable Info'!T806="","",CONCATENATE('Cable Info'!T806," - ",'Cable Info'!U806))</f>
        <v>#N/A</v>
      </c>
      <c r="BG1102" s="121" t="e">
        <f t="shared" si="189"/>
        <v>#N/A</v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e">
        <f>IF('Cable Info'!T807="","",CONCATENATE('Cable Info'!T807," - ",'Cable Info'!U807))</f>
        <v>#N/A</v>
      </c>
      <c r="BG1103" s="121" t="e">
        <f t="shared" si="189"/>
        <v>#N/A</v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e">
        <f>IF('Cable Info'!T808="","",CONCATENATE('Cable Info'!T808," - ",'Cable Info'!U808))</f>
        <v>#N/A</v>
      </c>
      <c r="BG1104" s="121" t="e">
        <f t="shared" si="189"/>
        <v>#N/A</v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e">
        <f>IF('Cable Info'!T809="","",CONCATENATE('Cable Info'!T809," - ",'Cable Info'!U809))</f>
        <v>#N/A</v>
      </c>
      <c r="BG1105" s="121" t="e">
        <f t="shared" si="189"/>
        <v>#N/A</v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e">
        <f>IF('Cable Info'!T810="","",CONCATENATE('Cable Info'!T810," - ",'Cable Info'!U810))</f>
        <v>#N/A</v>
      </c>
      <c r="BG1106" s="121" t="e">
        <f t="shared" si="189"/>
        <v>#N/A</v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e">
        <f>IF('Cable Info'!T811="","",CONCATENATE('Cable Info'!T811," - ",'Cable Info'!U811))</f>
        <v>#N/A</v>
      </c>
      <c r="BG1107" s="121" t="e">
        <f t="shared" si="189"/>
        <v>#N/A</v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e">
        <f>IF('Cable Info'!T812="","",CONCATENATE('Cable Info'!T812," - ",'Cable Info'!U812))</f>
        <v>#N/A</v>
      </c>
      <c r="BG1108" s="121" t="e">
        <f t="shared" si="189"/>
        <v>#N/A</v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e">
        <f>IF('Cable Info'!T813="","",CONCATENATE('Cable Info'!T813," - ",'Cable Info'!U813))</f>
        <v>#N/A</v>
      </c>
      <c r="BG1109" s="121" t="e">
        <f t="shared" si="189"/>
        <v>#N/A</v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e">
        <f>IF('Cable Info'!T814="","",CONCATENATE('Cable Info'!T814," - ",'Cable Info'!U814))</f>
        <v>#N/A</v>
      </c>
      <c r="BG1110" s="121" t="e">
        <f t="shared" si="189"/>
        <v>#N/A</v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e">
        <f>IF('Cable Info'!T815="","",CONCATENATE('Cable Info'!T815," - ",'Cable Info'!U815))</f>
        <v>#N/A</v>
      </c>
      <c r="BG1111" s="121" t="e">
        <f t="shared" si="189"/>
        <v>#N/A</v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e">
        <f>IF('Cable Info'!T816="","",CONCATENATE('Cable Info'!T816," - ",'Cable Info'!U816))</f>
        <v>#N/A</v>
      </c>
      <c r="BG1112" s="121" t="e">
        <f t="shared" si="189"/>
        <v>#N/A</v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e">
        <f>IF('Cable Info'!T817="","",CONCATENATE('Cable Info'!T817," - ",'Cable Info'!U817))</f>
        <v>#N/A</v>
      </c>
      <c r="BG1113" s="121" t="e">
        <f t="shared" si="189"/>
        <v>#N/A</v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e">
        <f>IF('Cable Info'!T818="","",CONCATENATE('Cable Info'!T818," - ",'Cable Info'!U818))</f>
        <v>#N/A</v>
      </c>
      <c r="BG1114" s="121" t="e">
        <f t="shared" si="189"/>
        <v>#N/A</v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e">
        <f>IF('Cable Info'!T819="","",CONCATENATE('Cable Info'!T819," - ",'Cable Info'!U819))</f>
        <v>#N/A</v>
      </c>
      <c r="BG1115" s="121" t="e">
        <f t="shared" si="189"/>
        <v>#N/A</v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e">
        <f>IF('Cable Info'!T820="","",CONCATENATE('Cable Info'!T820," - ",'Cable Info'!U820))</f>
        <v>#N/A</v>
      </c>
      <c r="BG1116" s="121" t="e">
        <f t="shared" si="189"/>
        <v>#N/A</v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e">
        <f>IF('Cable Info'!T821="","",CONCATENATE('Cable Info'!T821," - ",'Cable Info'!U821))</f>
        <v>#N/A</v>
      </c>
      <c r="BG1117" s="121" t="e">
        <f t="shared" si="189"/>
        <v>#N/A</v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e">
        <f>IF('Cable Info'!T822="","",CONCATENATE('Cable Info'!T822," - ",'Cable Info'!U822))</f>
        <v>#N/A</v>
      </c>
      <c r="BG1118" s="121" t="e">
        <f t="shared" si="189"/>
        <v>#N/A</v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e">
        <f>IF('Cable Info'!T823="","",CONCATENATE('Cable Info'!T823," - ",'Cable Info'!U823))</f>
        <v>#N/A</v>
      </c>
      <c r="BG1119" s="121" t="e">
        <f t="shared" si="189"/>
        <v>#N/A</v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e">
        <f>IF('Cable Info'!T824="","",CONCATENATE('Cable Info'!T824," - ",'Cable Info'!U824))</f>
        <v>#N/A</v>
      </c>
      <c r="BG1120" s="121" t="e">
        <f t="shared" si="189"/>
        <v>#N/A</v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e">
        <f>IF('Cable Info'!T825="","",CONCATENATE('Cable Info'!T825," - ",'Cable Info'!U825))</f>
        <v>#N/A</v>
      </c>
      <c r="BG1121" s="121" t="e">
        <f t="shared" si="189"/>
        <v>#N/A</v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e">
        <f>IF('Cable Info'!T826="","",CONCATENATE('Cable Info'!T826," - ",'Cable Info'!U826))</f>
        <v>#N/A</v>
      </c>
      <c r="BG1122" s="121" t="e">
        <f t="shared" si="189"/>
        <v>#N/A</v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e">
        <f>IF('Cable Info'!T827="","",CONCATENATE('Cable Info'!T827," - ",'Cable Info'!U827))</f>
        <v>#N/A</v>
      </c>
      <c r="BG1123" s="121" t="e">
        <f t="shared" si="189"/>
        <v>#N/A</v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e">
        <f>IF('Cable Info'!T828="","",CONCATENATE('Cable Info'!T828," - ",'Cable Info'!U828))</f>
        <v>#N/A</v>
      </c>
      <c r="BG1124" s="121" t="e">
        <f t="shared" si="189"/>
        <v>#N/A</v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e">
        <f>IF('Cable Info'!T829="","",CONCATENATE('Cable Info'!T829," - ",'Cable Info'!U829))</f>
        <v>#N/A</v>
      </c>
      <c r="BG1125" s="121" t="e">
        <f t="shared" si="189"/>
        <v>#N/A</v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e">
        <f>IF('Cable Info'!T830="","",CONCATENATE('Cable Info'!T830," - ",'Cable Info'!U830))</f>
        <v>#N/A</v>
      </c>
      <c r="BG1126" s="121" t="e">
        <f t="shared" si="189"/>
        <v>#N/A</v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e">
        <f>IF('Cable Info'!T831="","",CONCATENATE('Cable Info'!T831," - ",'Cable Info'!U831))</f>
        <v>#N/A</v>
      </c>
      <c r="BG1127" s="121" t="e">
        <f t="shared" si="189"/>
        <v>#N/A</v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e">
        <f>IF('Cable Info'!T832="","",CONCATENATE('Cable Info'!T832," - ",'Cable Info'!U832))</f>
        <v>#N/A</v>
      </c>
      <c r="BG1128" s="121" t="e">
        <f t="shared" si="189"/>
        <v>#N/A</v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e">
        <f>IF('Cable Info'!T833="","",CONCATENATE('Cable Info'!T833," - ",'Cable Info'!U833))</f>
        <v>#N/A</v>
      </c>
      <c r="BG1129" s="121" t="e">
        <f t="shared" si="189"/>
        <v>#N/A</v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e">
        <f>IF('Cable Info'!T834="","",CONCATENATE('Cable Info'!T834," - ",'Cable Info'!U834))</f>
        <v>#N/A</v>
      </c>
      <c r="BG1130" s="121" t="e">
        <f t="shared" si="189"/>
        <v>#N/A</v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e">
        <f>IF('Cable Info'!T835="","",CONCATENATE('Cable Info'!T835," - ",'Cable Info'!U835))</f>
        <v>#N/A</v>
      </c>
      <c r="BG1131" s="121" t="e">
        <f t="shared" ref="BG1131:BG1161" si="195">IF(BE1131="",BD1131,CONCATENATE(BD1131,"  &lt;=&gt; ",BE1131," ",BF1131))</f>
        <v>#N/A</v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e">
        <f>IF('Cable Info'!T836="","",CONCATENATE('Cable Info'!T836," - ",'Cable Info'!U836))</f>
        <v>#N/A</v>
      </c>
      <c r="BG1132" s="121" t="e">
        <f t="shared" si="195"/>
        <v>#N/A</v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e">
        <f>IF('Cable Info'!T837="","",CONCATENATE('Cable Info'!T837," - ",'Cable Info'!U837))</f>
        <v>#N/A</v>
      </c>
      <c r="BG1133" s="121" t="e">
        <f t="shared" si="195"/>
        <v>#N/A</v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e">
        <f>IF('Cable Info'!T838="","",CONCATENATE('Cable Info'!T838," - ",'Cable Info'!U838))</f>
        <v>#N/A</v>
      </c>
      <c r="BG1134" s="121" t="e">
        <f t="shared" si="195"/>
        <v>#N/A</v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e">
        <f>IF('Cable Info'!T839="","",CONCATENATE('Cable Info'!T839," - ",'Cable Info'!U839))</f>
        <v>#N/A</v>
      </c>
      <c r="BG1135" s="121" t="e">
        <f t="shared" si="195"/>
        <v>#N/A</v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e">
        <f>IF('Cable Info'!T840="","",CONCATENATE('Cable Info'!T840," - ",'Cable Info'!U840))</f>
        <v>#N/A</v>
      </c>
      <c r="BG1136" s="121" t="e">
        <f t="shared" si="195"/>
        <v>#N/A</v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e">
        <f>IF('Cable Info'!T841="","",CONCATENATE('Cable Info'!T841," - ",'Cable Info'!U841))</f>
        <v>#N/A</v>
      </c>
      <c r="BG1137" s="121" t="e">
        <f t="shared" si="195"/>
        <v>#N/A</v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e">
        <f>IF('Cable Info'!T842="","",CONCATENATE('Cable Info'!T842," - ",'Cable Info'!U842))</f>
        <v>#N/A</v>
      </c>
      <c r="BG1138" s="121" t="e">
        <f t="shared" si="195"/>
        <v>#N/A</v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e">
        <f>IF('Cable Info'!T843="","",CONCATENATE('Cable Info'!T843," - ",'Cable Info'!U843))</f>
        <v>#N/A</v>
      </c>
      <c r="BG1139" s="121" t="e">
        <f t="shared" si="195"/>
        <v>#N/A</v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e">
        <f>IF('Cable Info'!T844="","",CONCATENATE('Cable Info'!T844," - ",'Cable Info'!U844))</f>
        <v>#N/A</v>
      </c>
      <c r="BG1140" s="121" t="e">
        <f t="shared" si="195"/>
        <v>#N/A</v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e">
        <f>IF('Cable Info'!T845="","",CONCATENATE('Cable Info'!T845," - ",'Cable Info'!U845))</f>
        <v>#N/A</v>
      </c>
      <c r="BG1141" s="121" t="e">
        <f t="shared" si="195"/>
        <v>#N/A</v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e">
        <f>IF('Cable Info'!T846="","",CONCATENATE('Cable Info'!T846," - ",'Cable Info'!U846))</f>
        <v>#N/A</v>
      </c>
      <c r="BG1142" s="121" t="e">
        <f t="shared" si="195"/>
        <v>#N/A</v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e">
        <f>IF('Cable Info'!T847="","",CONCATENATE('Cable Info'!T847," - ",'Cable Info'!U847))</f>
        <v>#N/A</v>
      </c>
      <c r="BG1143" s="121" t="e">
        <f t="shared" si="195"/>
        <v>#N/A</v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e">
        <f>IF('Cable Info'!T848="","",CONCATENATE('Cable Info'!T848," - ",'Cable Info'!U848))</f>
        <v>#N/A</v>
      </c>
      <c r="BG1144" s="121" t="e">
        <f t="shared" si="195"/>
        <v>#N/A</v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e">
        <f>IF('Cable Info'!T849="","",CONCATENATE('Cable Info'!T849," - ",'Cable Info'!U849))</f>
        <v>#N/A</v>
      </c>
      <c r="BG1145" s="121" t="e">
        <f t="shared" si="195"/>
        <v>#N/A</v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e">
        <f>IF('Cable Info'!T850="","",CONCATENATE('Cable Info'!T850," - ",'Cable Info'!U850))</f>
        <v>#N/A</v>
      </c>
      <c r="BG1146" s="121" t="e">
        <f t="shared" si="195"/>
        <v>#N/A</v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e">
        <f>IF('Cable Info'!T851="","",CONCATENATE('Cable Info'!T851," - ",'Cable Info'!U851))</f>
        <v>#N/A</v>
      </c>
      <c r="BG1147" s="121" t="e">
        <f t="shared" si="195"/>
        <v>#N/A</v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e">
        <f>IF('Cable Info'!T852="","",CONCATENATE('Cable Info'!T852," - ",'Cable Info'!U852))</f>
        <v>#N/A</v>
      </c>
      <c r="BG1148" s="121" t="e">
        <f t="shared" si="195"/>
        <v>#N/A</v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e">
        <f>IF('Cable Info'!T853="","",CONCATENATE('Cable Info'!T853," - ",'Cable Info'!U853))</f>
        <v>#N/A</v>
      </c>
      <c r="BG1149" s="121" t="e">
        <f t="shared" si="195"/>
        <v>#N/A</v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e">
        <f>IF('Cable Info'!T854="","",CONCATENATE('Cable Info'!T854," - ",'Cable Info'!U854))</f>
        <v>#N/A</v>
      </c>
      <c r="BG1150" s="121" t="e">
        <f t="shared" si="195"/>
        <v>#N/A</v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e">
        <f>IF('Cable Info'!T855="","",CONCATENATE('Cable Info'!T855," - ",'Cable Info'!U855))</f>
        <v>#N/A</v>
      </c>
      <c r="BG1151" s="121" t="e">
        <f t="shared" si="195"/>
        <v>#N/A</v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e">
        <f>IF('Cable Info'!T856="","",CONCATENATE('Cable Info'!T856," - ",'Cable Info'!U856))</f>
        <v>#N/A</v>
      </c>
      <c r="BG1152" s="121" t="e">
        <f t="shared" si="195"/>
        <v>#N/A</v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e">
        <f>IF('Cable Info'!T857="","",CONCATENATE('Cable Info'!T857," - ",'Cable Info'!U857))</f>
        <v>#N/A</v>
      </c>
      <c r="BG1153" s="121" t="e">
        <f t="shared" si="195"/>
        <v>#N/A</v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e">
        <f>IF('Cable Info'!T858="","",CONCATENATE('Cable Info'!T858," - ",'Cable Info'!U858))</f>
        <v>#N/A</v>
      </c>
      <c r="BG1154" s="121" t="e">
        <f t="shared" si="195"/>
        <v>#N/A</v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e">
        <f>IF('Cable Info'!T859="","",CONCATENATE('Cable Info'!T859," - ",'Cable Info'!U859))</f>
        <v>#N/A</v>
      </c>
      <c r="BG1155" s="121" t="e">
        <f t="shared" si="195"/>
        <v>#N/A</v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e">
        <f>IF('Cable Info'!T860="","",CONCATENATE('Cable Info'!T860," - ",'Cable Info'!U860))</f>
        <v>#N/A</v>
      </c>
      <c r="BG1156" s="121" t="e">
        <f t="shared" si="195"/>
        <v>#N/A</v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e">
        <f>IF('Cable Info'!T861="","",CONCATENATE('Cable Info'!T861," - ",'Cable Info'!U861))</f>
        <v>#N/A</v>
      </c>
      <c r="BG1157" s="121" t="e">
        <f t="shared" si="195"/>
        <v>#N/A</v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e">
        <f>IF('Cable Info'!T862="","",CONCATENATE('Cable Info'!T862," - ",'Cable Info'!U862))</f>
        <v>#N/A</v>
      </c>
      <c r="BG1158" s="121" t="e">
        <f t="shared" si="195"/>
        <v>#N/A</v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e">
        <f>IF('Cable Info'!T863="","",CONCATENATE('Cable Info'!T863," - ",'Cable Info'!U863))</f>
        <v>#N/A</v>
      </c>
      <c r="BG1159" s="121" t="e">
        <f t="shared" si="195"/>
        <v>#N/A</v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e">
        <f>IF('Cable Info'!T864="","",CONCATENATE('Cable Info'!T864," - ",'Cable Info'!U864))</f>
        <v>#N/A</v>
      </c>
      <c r="BG1160" s="121" t="e">
        <f t="shared" si="195"/>
        <v>#N/A</v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e">
        <f>IF('Cable Info'!T865="","",CONCATENATE('Cable Info'!T865," - ",'Cable Info'!U865))</f>
        <v>#N/A</v>
      </c>
      <c r="BG1161" s="121" t="e">
        <f t="shared" si="195"/>
        <v>#N/A</v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2018-02-09T23:25:22Z</dcterms:modified>
</cp:coreProperties>
</file>