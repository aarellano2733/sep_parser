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4881 SS\"/>
    </mc:Choice>
  </mc:AlternateContent>
  <bookViews>
    <workbookView xWindow="0" yWindow="0" windowWidth="18588" windowHeight="813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47" i="3" l="1"/>
  <c r="AR47" i="3" s="1"/>
  <c r="AO1097" i="3"/>
  <c r="AR1097" i="3" s="1"/>
  <c r="AO1104" i="3"/>
  <c r="AR1104" i="3" s="1"/>
  <c r="AO315" i="3"/>
  <c r="AR315" i="3" s="1"/>
  <c r="AO99" i="3"/>
  <c r="AR99" i="3" s="1"/>
  <c r="AO913" i="3"/>
  <c r="AR913" i="3" s="1"/>
  <c r="AO841" i="3"/>
  <c r="AR841" i="3" s="1"/>
  <c r="AO242" i="3"/>
  <c r="AR242" i="3" s="1"/>
  <c r="AO238" i="3"/>
  <c r="AR238" i="3" s="1"/>
  <c r="AO13" i="3"/>
  <c r="AR13" i="3" s="1"/>
  <c r="O364" i="2"/>
  <c r="AO365" i="3" s="1"/>
  <c r="AR365" i="3" s="1"/>
  <c r="O356" i="2"/>
  <c r="AO357" i="3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/>
  <c r="AR337" i="3" s="1"/>
  <c r="O332" i="2"/>
  <c r="AO333" i="3" s="1"/>
  <c r="AR333" i="3" s="1"/>
  <c r="O328" i="2"/>
  <c r="AO329" i="3"/>
  <c r="AR329" i="3" s="1"/>
  <c r="O324" i="2"/>
  <c r="AO325" i="3" s="1"/>
  <c r="AR325" i="3" s="1"/>
  <c r="O320" i="2"/>
  <c r="AO321" i="3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297" i="3"/>
  <c r="AR297" i="3" s="1"/>
  <c r="O292" i="2"/>
  <c r="AO293" i="3" s="1"/>
  <c r="AR293" i="3" s="1"/>
  <c r="O288" i="2"/>
  <c r="AO289" i="3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/>
  <c r="AR269" i="3" s="1"/>
  <c r="O264" i="2"/>
  <c r="AO265" i="3" s="1"/>
  <c r="AR265" i="3" s="1"/>
  <c r="O260" i="2"/>
  <c r="AO261" i="3"/>
  <c r="AR261" i="3" s="1"/>
  <c r="O252" i="2"/>
  <c r="AO253" i="3" s="1"/>
  <c r="AR253" i="3" s="1"/>
  <c r="O248" i="2"/>
  <c r="AO249" i="3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/>
  <c r="AR233" i="3" s="1"/>
  <c r="O228" i="2"/>
  <c r="AO229" i="3" s="1"/>
  <c r="AR229" i="3" s="1"/>
  <c r="O224" i="2"/>
  <c r="AO225" i="3"/>
  <c r="AR225" i="3" s="1"/>
  <c r="O220" i="2"/>
  <c r="AO221" i="3" s="1"/>
  <c r="AR221" i="3" s="1"/>
  <c r="O216" i="2"/>
  <c r="AO217" i="3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/>
  <c r="AR201" i="3" s="1"/>
  <c r="O196" i="2"/>
  <c r="AO197" i="3" s="1"/>
  <c r="AR197" i="3" s="1"/>
  <c r="AO379" i="3"/>
  <c r="AR379" i="3" s="1"/>
  <c r="O192" i="2"/>
  <c r="AO488" i="3" s="1"/>
  <c r="AR488" i="3" s="1"/>
  <c r="O188" i="2"/>
  <c r="AO371" i="3" s="1"/>
  <c r="AR371" i="3" s="1"/>
  <c r="AO189" i="3"/>
  <c r="AR189" i="3" s="1"/>
  <c r="O184" i="2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378" i="3" s="1"/>
  <c r="AR378" i="3" s="1"/>
  <c r="AO196" i="3"/>
  <c r="AR196" i="3" s="1"/>
  <c r="O191" i="2"/>
  <c r="AO192" i="3"/>
  <c r="AR192" i="3" s="1"/>
  <c r="AO374" i="3"/>
  <c r="AR374" i="3" s="1"/>
  <c r="O187" i="2"/>
  <c r="AO188" i="3" s="1"/>
  <c r="AR188" i="3" s="1"/>
  <c r="AO370" i="3"/>
  <c r="AR370" i="3" s="1"/>
  <c r="O183" i="2"/>
  <c r="AO184" i="3" s="1"/>
  <c r="AR184" i="3" s="1"/>
  <c r="O179" i="2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/>
  <c r="AR363" i="3" s="1"/>
  <c r="O358" i="2"/>
  <c r="AO359" i="3" s="1"/>
  <c r="AR359" i="3" s="1"/>
  <c r="O354" i="2"/>
  <c r="AO650" i="3" s="1"/>
  <c r="AR650" i="3" s="1"/>
  <c r="O350" i="2"/>
  <c r="AO351" i="3" s="1"/>
  <c r="AR351" i="3" s="1"/>
  <c r="O346" i="2"/>
  <c r="AO642" i="3" s="1"/>
  <c r="AR642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602" i="3" s="1"/>
  <c r="AR602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578" i="3" s="1"/>
  <c r="AR578" i="3" s="1"/>
  <c r="O278" i="2"/>
  <c r="AO279" i="3" s="1"/>
  <c r="AR279" i="3" s="1"/>
  <c r="O274" i="2"/>
  <c r="AO570" i="3" s="1"/>
  <c r="AR570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514" i="3" s="1"/>
  <c r="AR514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373" i="3" s="1"/>
  <c r="AR373" i="3" s="1"/>
  <c r="AO191" i="3"/>
  <c r="AR191" i="3" s="1"/>
  <c r="O186" i="2"/>
  <c r="AO187" i="3" s="1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609" i="3" s="1"/>
  <c r="AR609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190" i="3" s="1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7" i="3"/>
  <c r="AR657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O177" i="2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O173" i="2"/>
  <c r="AO469" i="3" s="1"/>
  <c r="AR469" i="3" s="1"/>
  <c r="O145" i="2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46" i="3"/>
  <c r="AR546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O130" i="2"/>
  <c r="O126" i="2"/>
  <c r="O122" i="2"/>
  <c r="AO418" i="3" s="1"/>
  <c r="AR418" i="3" s="1"/>
  <c r="O114" i="2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05" i="3"/>
  <c r="AR605" i="3" s="1"/>
  <c r="AO589" i="3"/>
  <c r="AR589" i="3" s="1"/>
  <c r="AO529" i="3"/>
  <c r="AR529" i="3" s="1"/>
  <c r="AO513" i="3"/>
  <c r="AR513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98" i="3" l="1"/>
  <c r="AR398" i="3" s="1"/>
  <c r="AO103" i="3"/>
  <c r="AR103" i="3" s="1"/>
  <c r="AO457" i="3"/>
  <c r="AR457" i="3" s="1"/>
  <c r="AO162" i="3"/>
  <c r="AR162" i="3" s="1"/>
  <c r="AO641" i="3"/>
  <c r="AR641" i="3" s="1"/>
  <c r="AO346" i="3"/>
  <c r="AR346" i="3" s="1"/>
  <c r="AO573" i="3"/>
  <c r="AR573" i="3" s="1"/>
  <c r="AO621" i="3"/>
  <c r="AR621" i="3" s="1"/>
  <c r="AO407" i="3"/>
  <c r="AR407" i="3" s="1"/>
  <c r="AO439" i="3"/>
  <c r="AR439" i="3" s="1"/>
  <c r="AO471" i="3"/>
  <c r="AR471" i="3" s="1"/>
  <c r="AO434" i="3"/>
  <c r="AR434" i="3" s="1"/>
  <c r="AO139" i="3"/>
  <c r="AR139" i="3" s="1"/>
  <c r="AO530" i="3"/>
  <c r="AR530" i="3" s="1"/>
  <c r="AO594" i="3"/>
  <c r="AR594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490" i="3"/>
  <c r="AR490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506" i="3"/>
  <c r="AR506" i="3" s="1"/>
  <c r="AO653" i="3"/>
  <c r="AR653" i="3" s="1"/>
  <c r="AO376" i="3"/>
  <c r="AR376" i="3" s="1"/>
  <c r="AO214" i="3"/>
  <c r="AR214" i="3" s="1"/>
  <c r="AO222" i="3"/>
  <c r="AR222" i="3" s="1"/>
  <c r="AO246" i="3"/>
  <c r="AR246" i="3" s="1"/>
  <c r="AO262" i="3"/>
  <c r="AR262" i="3" s="1"/>
  <c r="AO314" i="3"/>
  <c r="AR314" i="3" s="1"/>
  <c r="AO342" i="3"/>
  <c r="AR342" i="3" s="1"/>
  <c r="AO195" i="3"/>
  <c r="AR195" i="3" s="1"/>
  <c r="AO203" i="3"/>
  <c r="AR203" i="3" s="1"/>
  <c r="AO219" i="3"/>
  <c r="AR219" i="3" s="1"/>
  <c r="AO267" i="3"/>
  <c r="AR267" i="3" s="1"/>
  <c r="AO275" i="3"/>
  <c r="AR275" i="3" s="1"/>
  <c r="AO283" i="3"/>
  <c r="AR283" i="3" s="1"/>
  <c r="AO291" i="3"/>
  <c r="AR291" i="3" s="1"/>
  <c r="AO307" i="3"/>
  <c r="AR307" i="3" s="1"/>
  <c r="AO323" i="3"/>
  <c r="AR323" i="3" s="1"/>
  <c r="AO347" i="3"/>
  <c r="AR347" i="3" s="1"/>
  <c r="AO355" i="3"/>
  <c r="AR355" i="3" s="1"/>
  <c r="AO334" i="3"/>
  <c r="AR334" i="3" s="1"/>
  <c r="AO576" i="3"/>
  <c r="AR576" i="3" s="1"/>
  <c r="AO281" i="3"/>
  <c r="AR281" i="3" s="1"/>
  <c r="AO194" i="3"/>
  <c r="AR194" i="3" s="1"/>
  <c r="AO375" i="3"/>
  <c r="AR375" i="3" s="1"/>
  <c r="AO193" i="3"/>
  <c r="AR193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648" i="3"/>
  <c r="AR648" i="3" s="1"/>
  <c r="AO617" i="3"/>
  <c r="AR617" i="3" s="1"/>
  <c r="AO257" i="3"/>
  <c r="AR257" i="3" s="1"/>
  <c r="AO174" i="3"/>
  <c r="AR174" i="3" s="1"/>
  <c r="AO270" i="3"/>
  <c r="AR270" i="3" s="1"/>
  <c r="AO151" i="3"/>
  <c r="AR151" i="3" s="1"/>
  <c r="AO91" i="3"/>
  <c r="AR91" i="3" s="1"/>
  <c r="AO422" i="3"/>
  <c r="AR422" i="3" s="1"/>
  <c r="AO127" i="3"/>
  <c r="AR127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601" i="3"/>
  <c r="AR601" i="3" s="1"/>
  <c r="AO306" i="3"/>
  <c r="AR306" i="3" s="1"/>
  <c r="AO130" i="3"/>
  <c r="AR130" i="3" s="1"/>
  <c r="AO404" i="3"/>
  <c r="AR404" i="3" s="1"/>
  <c r="AO436" i="3"/>
  <c r="AR436" i="3" s="1"/>
  <c r="AO468" i="3"/>
  <c r="AR468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656" i="3"/>
  <c r="AR656" i="3" s="1"/>
  <c r="AO625" i="3"/>
  <c r="AR625" i="3" s="1"/>
  <c r="AO210" i="3"/>
  <c r="AR210" i="3" s="1"/>
  <c r="AO302" i="3"/>
  <c r="AR302" i="3" s="1"/>
  <c r="AO11" i="3"/>
  <c r="AR11" i="3" s="1"/>
  <c r="AO123" i="3"/>
  <c r="AR123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<sst xmlns="http://schemas.openxmlformats.org/spreadsheetml/2006/main" count="1394" uniqueCount="103">
  <si>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</si>
  <si>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</si>
  <si>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</si>
  <si>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</si>
  <si>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</si>
  <si>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</si>
  <si>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</si>
  <si>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</si>
  <si>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</si>
  <si>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</si>
  <si>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</si>
  <si>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</si>
  <si>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</si>
  <si>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</si>
  <si>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</si>
  <si>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</si>
  <si>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</si>
  <si>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</si>
  <si>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</si>
  <si>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</si>
  <si>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</si>
  <si>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</si>
  <si>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</si>
  <si>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</si>
  <si>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</si>
  <si>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</si>
  <si>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</si>
  <si>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</si>
  <si>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</si>
  <si>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</si>
  <si>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</si>
  <si>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</si>
  <si>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</si>
  <si>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</si>
  <si>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</si>
  <si>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</si>
  <si>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</si>
  <si>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</si>
  <si>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</si>
  <si>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</si>
  <si>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</si>
  <si>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</si>
  <si>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</si>
  <si>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</si>
  <si>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</si>
  <si>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</si>
  <si>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</si>
  <si>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</si>
  <si>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</si>
  <si>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</si>
  <si>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</si>
  <si>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</si>
  <si>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</si>
  <si>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</si>
  <si>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</si>
  <si>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</si>
  <si>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</si>
  <si>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</si>
  <si>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</si>
  <si>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</si>
  <si>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</si>
  <si>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</si>
  <si>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</si>
  <si>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</si>
  <si>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</si>
  <si>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</si>
  <si>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</si>
  <si>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</si>
  <si>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</si>
  <si>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</si>
  <si>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</si>
  <si>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</si>
  <si>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</si>
  <si>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</si>
  <si>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</si>
  <si>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</si>
  <si>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</si>
  <si>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</si>
  <si>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</si>
  <si>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</si>
  <si>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</si>
  <si>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</si>
  <si>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</si>
  <si>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</si>
  <si>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</si>
  <si>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</si>
  <si>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</si>
  <si>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north to Splice-100439</t>
  </si>
  <si>
    <t>48</t>
  </si>
  <si>
    <t>24</t>
  </si>
  <si>
    <t>TN-129: ZAYO-ENT-N-1</t>
  </si>
  <si>
    <t>1</t>
  </si>
  <si>
    <t>9/201/6</t>
  </si>
  <si>
    <t>ISO-0165906</t>
  </si>
  <si>
    <t>UNK GA-00051</t>
  </si>
  <si>
    <t>unk</t>
  </si>
  <si>
    <t>transition HH just N of 1299 McLemore</t>
  </si>
  <si>
    <t>Memphis, TN</t>
  </si>
  <si>
    <t>Quinn Wojick</t>
  </si>
  <si>
    <t>Steve Sanders</t>
  </si>
  <si>
    <t>101457</t>
  </si>
  <si>
    <t xml:space="preserve">Ent lat to 10991 Raleigh Lagrange Rd </t>
  </si>
  <si>
    <t>MEM-B272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</si>
</sst>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182880</xdr:rowOff>
        </xdr:from>
        <xdr:to>
          <xdr:col>5</xdr:col>
          <xdr:colOff>53340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L11" sqref="L1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94</v>
      </c>
      <c r="C41" s="279" t="s">
        <v>95</v>
      </c>
      <c r="D41" s="279" t="s">
        <v>96</v>
      </c>
      <c r="E41" s="279" t="s">
        <v>97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MEM-B272  TN-129: ZAYO-ENT-N-1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98</v>
      </c>
      <c r="C50" s="301"/>
      <c r="D50" s="303" t="s">
        <v>99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101457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1</xdr:col>
                <xdr:colOff>0</xdr:colOff>
                <xdr:row>9</xdr:row>
                <xdr:rowOff>182880</xdr:rowOff>
              </from>
              <to>
                <xdr:col>5</xdr:col>
                <xdr:colOff>53340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101457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102</v>
      </c>
      <c r="D11" s="322" t="s">
        <v>87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88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90</v>
      </c>
      <c r="D18" s="322" t="s">
        <v>101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89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101457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101457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K19" sqref="CK1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MEM-B272</v>
      </c>
      <c r="AI1" s="120" t="s">
        <v>17</v>
      </c>
      <c r="AJ1" s="121" t="s">
        <v>12</v>
      </c>
      <c r="AM1" s="121" t="str">
        <f>AF1</f>
        <v>[A] MEM-B272</v>
      </c>
      <c r="AN1" s="121" t="s">
        <v>17</v>
      </c>
      <c r="AO1" s="121" t="s">
        <v>13</v>
      </c>
      <c r="AR1" s="121" t="str">
        <f>AF2</f>
        <v>[B] TN-129: ZAYO-ENT-N-1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TN-129: ZAYO-ENT-N-1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101457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MEM-B272</v>
      </c>
      <c r="D10" s="243" t="s">
        <v>91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91</v>
      </c>
      <c r="M10" s="114" t="str">
        <f>IFERROR(IF(P10="","",IF((COUNTIF('Cable Info'!$B$11:$C$50,P10)=0),VLOOKUP(P10,'Cable Info (2)'!$B$11:$C$50,2,FALSE),(VLOOKUP(P10,'Cable Info'!$B$11:$C$50,2,FALSE)))),"NO SUCH EXIT")</f>
        <v>TN-129: ZAYO-ENT-N-1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 t="s">
        <v>92</v>
      </c>
      <c r="U10" s="132">
        <v>42633</v>
      </c>
      <c r="V10" s="133" t="s">
        <v>10</v>
      </c>
      <c r="W10" s="133" t="s">
        <v>93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2013-11-22T22:56:05Z</cp:lastPrinted>
  <dcterms:created xsi:type="dcterms:W3CDTF">1998-05-29T15:48:38Z</dcterms:created>
  <dcterms:modified xsi:type="dcterms:W3CDTF">2016-11-02T21:10:07Z</dcterms:modified>
</cp:coreProperties>
</file>